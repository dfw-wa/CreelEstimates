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Yakima/Y2025/"/>
    </mc:Choice>
  </mc:AlternateContent>
  <xr:revisionPtr revIDLastSave="35" documentId="8_{21DE86B9-9B68-4068-8B35-DE40E7029633}" xr6:coauthVersionLast="47" xr6:coauthVersionMax="47" xr10:uidLastSave="{E4E7B2A4-136F-4DAE-A6DB-7BDB880A3C9C}"/>
  <bookViews>
    <workbookView xWindow="-120" yWindow="-120" windowWidth="29040" windowHeight="15720" xr2:uid="{00000000-000D-0000-FFFF-FFFF00000000}"/>
  </bookViews>
  <sheets>
    <sheet name="Prosser" sheetId="1" r:id="rId1"/>
    <sheet name="Horn Rapids" sheetId="16" r:id="rId2"/>
    <sheet name="Summary" sheetId="17" r:id="rId3"/>
    <sheet name="Other" sheetId="10" r:id="rId4"/>
    <sheet name="Schedule" sheetId="11" r:id="rId5"/>
    <sheet name="Flow" sheetId="13" r:id="rId6"/>
    <sheet name="Flow2" sheetId="14" r:id="rId7"/>
    <sheet name="Check" sheetId="3" r:id="rId8"/>
    <sheet name="Sheet2" sheetId="19" r:id="rId9"/>
    <sheet name="Sheet1" sheetId="18" r:id="rId10"/>
  </sheets>
  <definedNames>
    <definedName name="_xlnm._FilterDatabase" localSheetId="9" hidden="1">Sheet1!$A$1:$AR$119</definedName>
    <definedName name="_xlnm.Print_Area" localSheetId="4">Schedule!#REF!</definedName>
  </definedNames>
  <calcPr calcId="191029"/>
  <pivotCaches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19" l="1"/>
  <c r="F7" i="19"/>
  <c r="F6" i="19"/>
  <c r="F5" i="19"/>
  <c r="F4" i="19"/>
  <c r="U6" i="11"/>
  <c r="AC31" i="1"/>
  <c r="AD31" i="1"/>
  <c r="H31" i="1"/>
  <c r="I31" i="1"/>
  <c r="J31" i="1"/>
  <c r="J17" i="1" s="1"/>
  <c r="K31" i="1"/>
  <c r="K17" i="1" s="1"/>
  <c r="L31" i="1"/>
  <c r="L17" i="1" s="1"/>
  <c r="M31" i="1"/>
  <c r="M17" i="1" s="1"/>
  <c r="N31" i="1"/>
  <c r="N17" i="1" s="1"/>
  <c r="O31" i="1"/>
  <c r="O17" i="1" s="1"/>
  <c r="P31" i="1"/>
  <c r="P17" i="1" s="1"/>
  <c r="Q31" i="1"/>
  <c r="Q17" i="1" s="1"/>
  <c r="R31" i="1"/>
  <c r="S31" i="1"/>
  <c r="T31" i="1"/>
  <c r="U31" i="1"/>
  <c r="V31" i="1"/>
  <c r="V17" i="1" s="1"/>
  <c r="W31" i="1"/>
  <c r="W17" i="1" s="1"/>
  <c r="X31" i="1"/>
  <c r="X17" i="1" s="1"/>
  <c r="Y31" i="1"/>
  <c r="Y17" i="1" s="1"/>
  <c r="Z31" i="1"/>
  <c r="Z17" i="1" s="1"/>
  <c r="AA31" i="1"/>
  <c r="AA17" i="1" s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H17" i="1"/>
  <c r="I17" i="1"/>
  <c r="R17" i="1"/>
  <c r="S17" i="1"/>
  <c r="T17" i="1"/>
  <c r="U17" i="1"/>
  <c r="E17" i="1"/>
  <c r="G31" i="1"/>
  <c r="G17" i="1" s="1"/>
  <c r="G30" i="1"/>
  <c r="F31" i="1"/>
  <c r="F17" i="1" s="1"/>
  <c r="F30" i="1"/>
  <c r="E17" i="17"/>
  <c r="AB80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E95" i="1"/>
  <c r="AH95" i="1" s="1"/>
  <c r="AI95" i="1" s="1"/>
  <c r="AJ95" i="1" s="1"/>
  <c r="AE92" i="1"/>
  <c r="AH92" i="1" s="1"/>
  <c r="AI92" i="1" s="1"/>
  <c r="AJ92" i="1" s="1"/>
  <c r="AK92" i="1" s="1"/>
  <c r="AB95" i="1"/>
  <c r="AB92" i="1"/>
  <c r="BI95" i="1" l="1"/>
  <c r="BH95" i="1"/>
  <c r="BG95" i="1"/>
  <c r="AK95" i="1"/>
  <c r="BT95" i="1"/>
  <c r="BS95" i="1"/>
  <c r="BU95" i="1"/>
  <c r="BV95" i="1"/>
  <c r="BK95" i="1"/>
  <c r="BL95" i="1"/>
  <c r="BX95" i="1"/>
  <c r="BM95" i="1"/>
  <c r="BY95" i="1"/>
  <c r="BN95" i="1"/>
  <c r="BZ95" i="1"/>
  <c r="BR95" i="1"/>
  <c r="BJ95" i="1"/>
  <c r="BW95" i="1"/>
  <c r="BO95" i="1"/>
  <c r="BP95" i="1"/>
  <c r="BQ95" i="1"/>
  <c r="BK92" i="1"/>
  <c r="BW92" i="1"/>
  <c r="BR92" i="1"/>
  <c r="BG92" i="1"/>
  <c r="BS92" i="1"/>
  <c r="BH92" i="1"/>
  <c r="BT92" i="1"/>
  <c r="BI92" i="1"/>
  <c r="AI30" i="1" s="1"/>
  <c r="BU92" i="1"/>
  <c r="BJ92" i="1"/>
  <c r="AJ30" i="1" s="1"/>
  <c r="BV92" i="1"/>
  <c r="BL92" i="1"/>
  <c r="BX92" i="1"/>
  <c r="BM92" i="1"/>
  <c r="BY92" i="1"/>
  <c r="BN92" i="1"/>
  <c r="BZ92" i="1"/>
  <c r="BO92" i="1"/>
  <c r="BP92" i="1"/>
  <c r="BQ92" i="1"/>
  <c r="C9" i="17"/>
  <c r="C37" i="17" s="1"/>
  <c r="C10" i="17"/>
  <c r="C24" i="17" s="1"/>
  <c r="C11" i="17"/>
  <c r="C39" i="17" s="1"/>
  <c r="C12" i="17"/>
  <c r="C13" i="17"/>
  <c r="C27" i="17" s="1"/>
  <c r="C14" i="17"/>
  <c r="C15" i="17"/>
  <c r="C29" i="17" s="1"/>
  <c r="C16" i="17"/>
  <c r="C44" i="17" s="1"/>
  <c r="C17" i="17"/>
  <c r="C45" i="17" s="1"/>
  <c r="C8" i="17"/>
  <c r="C36" i="17" s="1"/>
  <c r="C2" i="17"/>
  <c r="C9" i="16"/>
  <c r="C23" i="16" s="1"/>
  <c r="C10" i="16"/>
  <c r="C11" i="16"/>
  <c r="C12" i="16"/>
  <c r="C26" i="16" s="1"/>
  <c r="C13" i="16"/>
  <c r="C14" i="16"/>
  <c r="C42" i="16" s="1"/>
  <c r="C15" i="16"/>
  <c r="C16" i="16"/>
  <c r="C30" i="16" s="1"/>
  <c r="C17" i="16"/>
  <c r="C45" i="16" s="1"/>
  <c r="C8" i="16"/>
  <c r="C22" i="16" s="1"/>
  <c r="C2" i="16"/>
  <c r="N26" i="11"/>
  <c r="M26" i="11"/>
  <c r="R21" i="11"/>
  <c r="S21" i="11"/>
  <c r="AJ55" i="16"/>
  <c r="E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Z44" i="17"/>
  <c r="Y44" i="17"/>
  <c r="N44" i="17"/>
  <c r="M44" i="17"/>
  <c r="X43" i="17"/>
  <c r="W43" i="17"/>
  <c r="L43" i="17"/>
  <c r="K43" i="17"/>
  <c r="AA31" i="17"/>
  <c r="AA17" i="17" s="1"/>
  <c r="Z31" i="17"/>
  <c r="Z17" i="17" s="1"/>
  <c r="Y31" i="17"/>
  <c r="Y17" i="17" s="1"/>
  <c r="X31" i="17"/>
  <c r="X17" i="17" s="1"/>
  <c r="W31" i="17"/>
  <c r="W17" i="17" s="1"/>
  <c r="V31" i="17"/>
  <c r="V17" i="17" s="1"/>
  <c r="U31" i="17"/>
  <c r="U17" i="17" s="1"/>
  <c r="T31" i="17"/>
  <c r="T17" i="17" s="1"/>
  <c r="S31" i="17"/>
  <c r="S17" i="17" s="1"/>
  <c r="R31" i="17"/>
  <c r="R17" i="17" s="1"/>
  <c r="Q31" i="17"/>
  <c r="Q17" i="17" s="1"/>
  <c r="P31" i="17"/>
  <c r="P17" i="17" s="1"/>
  <c r="O31" i="17"/>
  <c r="O17" i="17" s="1"/>
  <c r="N31" i="17"/>
  <c r="N17" i="17" s="1"/>
  <c r="M31" i="17"/>
  <c r="M17" i="17" s="1"/>
  <c r="L31" i="17"/>
  <c r="L17" i="17" s="1"/>
  <c r="K31" i="17"/>
  <c r="K17" i="17" s="1"/>
  <c r="J31" i="17"/>
  <c r="J17" i="17" s="1"/>
  <c r="I31" i="17"/>
  <c r="I17" i="17" s="1"/>
  <c r="H31" i="17"/>
  <c r="H17" i="17" s="1"/>
  <c r="G31" i="17"/>
  <c r="G17" i="17" s="1"/>
  <c r="M30" i="17"/>
  <c r="J30" i="17"/>
  <c r="F31" i="17"/>
  <c r="F17" i="17" s="1"/>
  <c r="C41" i="17"/>
  <c r="C40" i="17"/>
  <c r="AD13" i="17"/>
  <c r="C26" i="17"/>
  <c r="AD11" i="17"/>
  <c r="C25" i="17"/>
  <c r="C23" i="17"/>
  <c r="AD16" i="17"/>
  <c r="AD15" i="17"/>
  <c r="AD14" i="17"/>
  <c r="AD12" i="17"/>
  <c r="AT147" i="16"/>
  <c r="BO147" i="16" s="1"/>
  <c r="AF147" i="16"/>
  <c r="AE147" i="16"/>
  <c r="AH147" i="16" s="1"/>
  <c r="AI147" i="16" s="1"/>
  <c r="AJ147" i="16" s="1"/>
  <c r="AF144" i="16"/>
  <c r="AE144" i="16"/>
  <c r="AH144" i="16" s="1"/>
  <c r="AI144" i="16" s="1"/>
  <c r="AJ144" i="16" s="1"/>
  <c r="AK144" i="16" s="1"/>
  <c r="BA142" i="16"/>
  <c r="AF142" i="16"/>
  <c r="AE142" i="16"/>
  <c r="AH142" i="16" s="1"/>
  <c r="AI142" i="16" s="1"/>
  <c r="AJ142" i="16" s="1"/>
  <c r="AK142" i="16" s="1"/>
  <c r="BX139" i="16"/>
  <c r="AT139" i="16"/>
  <c r="BO139" i="16" s="1"/>
  <c r="AI139" i="16"/>
  <c r="AJ139" i="16" s="1"/>
  <c r="AF139" i="16"/>
  <c r="AE139" i="16"/>
  <c r="AH139" i="16" s="1"/>
  <c r="BA137" i="16"/>
  <c r="BV137" i="16" s="1"/>
  <c r="AV42" i="16" s="1"/>
  <c r="AF137" i="16"/>
  <c r="AE137" i="16"/>
  <c r="AH137" i="16" s="1"/>
  <c r="AI137" i="16" s="1"/>
  <c r="AJ137" i="16" s="1"/>
  <c r="AK137" i="16" s="1"/>
  <c r="BH134" i="16"/>
  <c r="AL134" i="16"/>
  <c r="BG134" i="16" s="1"/>
  <c r="AI134" i="16"/>
  <c r="AJ134" i="16" s="1"/>
  <c r="AF134" i="16"/>
  <c r="AE134" i="16"/>
  <c r="AH134" i="16" s="1"/>
  <c r="BO132" i="16"/>
  <c r="AS132" i="16"/>
  <c r="BN132" i="16" s="1"/>
  <c r="AH132" i="16"/>
  <c r="AI132" i="16" s="1"/>
  <c r="AJ132" i="16" s="1"/>
  <c r="AK132" i="16" s="1"/>
  <c r="AF132" i="16"/>
  <c r="AE132" i="16"/>
  <c r="BA129" i="16"/>
  <c r="AF129" i="16"/>
  <c r="AE129" i="16"/>
  <c r="AH129" i="16" s="1"/>
  <c r="AI129" i="16" s="1"/>
  <c r="AJ129" i="16" s="1"/>
  <c r="AM127" i="16"/>
  <c r="BH127" i="16" s="1"/>
  <c r="AH127" i="16"/>
  <c r="AI127" i="16" s="1"/>
  <c r="AJ127" i="16" s="1"/>
  <c r="AK127" i="16" s="1"/>
  <c r="AF127" i="16"/>
  <c r="AE127" i="16"/>
  <c r="AV124" i="16"/>
  <c r="AF124" i="16"/>
  <c r="AE124" i="16"/>
  <c r="AH124" i="16" s="1"/>
  <c r="AI124" i="16" s="1"/>
  <c r="AJ124" i="16" s="1"/>
  <c r="AK124" i="16" s="1"/>
  <c r="BC122" i="16"/>
  <c r="AF122" i="16"/>
  <c r="AE122" i="16"/>
  <c r="BJ119" i="16"/>
  <c r="AM119" i="16"/>
  <c r="BH119" i="16" s="1"/>
  <c r="AH119" i="16"/>
  <c r="AI119" i="16" s="1"/>
  <c r="AJ119" i="16" s="1"/>
  <c r="AK119" i="16" s="1"/>
  <c r="AF119" i="16"/>
  <c r="AE119" i="16"/>
  <c r="AW117" i="16"/>
  <c r="AF117" i="16"/>
  <c r="AE117" i="16"/>
  <c r="BC114" i="16"/>
  <c r="BX114" i="16" s="1"/>
  <c r="AH114" i="16"/>
  <c r="AI114" i="16" s="1"/>
  <c r="AJ114" i="16" s="1"/>
  <c r="AK114" i="16" s="1"/>
  <c r="AF114" i="16"/>
  <c r="AE114" i="16"/>
  <c r="AQ112" i="16"/>
  <c r="AF112" i="16"/>
  <c r="AE112" i="16"/>
  <c r="BV109" i="16"/>
  <c r="AH109" i="16"/>
  <c r="AI109" i="16" s="1"/>
  <c r="AJ109" i="16" s="1"/>
  <c r="AF109" i="16"/>
  <c r="AE109" i="16"/>
  <c r="AE107" i="16"/>
  <c r="AH107" i="16" s="1"/>
  <c r="AI107" i="16" s="1"/>
  <c r="AJ107" i="16" s="1"/>
  <c r="BV95" i="16"/>
  <c r="BN95" i="16"/>
  <c r="BE95" i="16"/>
  <c r="BD95" i="16"/>
  <c r="BD147" i="16" s="1"/>
  <c r="BY147" i="16" s="1"/>
  <c r="BC95" i="16"/>
  <c r="BC147" i="16" s="1"/>
  <c r="BX147" i="16" s="1"/>
  <c r="BB95" i="16"/>
  <c r="BB147" i="16" s="1"/>
  <c r="BW147" i="16" s="1"/>
  <c r="BA95" i="16"/>
  <c r="BA147" i="16" s="1"/>
  <c r="BV147" i="16" s="1"/>
  <c r="AZ95" i="16"/>
  <c r="AZ147" i="16" s="1"/>
  <c r="BU147" i="16" s="1"/>
  <c r="AY95" i="16"/>
  <c r="AY147" i="16" s="1"/>
  <c r="BT147" i="16" s="1"/>
  <c r="AX95" i="16"/>
  <c r="AX147" i="16" s="1"/>
  <c r="BS147" i="16" s="1"/>
  <c r="AW95" i="16"/>
  <c r="AV95" i="16"/>
  <c r="BQ95" i="16" s="1"/>
  <c r="AU95" i="16"/>
  <c r="AU147" i="16" s="1"/>
  <c r="BP147" i="16" s="1"/>
  <c r="AT95" i="16"/>
  <c r="BO95" i="16" s="1"/>
  <c r="AS95" i="16"/>
  <c r="AS147" i="16" s="1"/>
  <c r="BN147" i="16" s="1"/>
  <c r="AR95" i="16"/>
  <c r="AR147" i="16" s="1"/>
  <c r="BM147" i="16" s="1"/>
  <c r="AQ95" i="16"/>
  <c r="AQ147" i="16" s="1"/>
  <c r="BL147" i="16" s="1"/>
  <c r="AP95" i="16"/>
  <c r="AP147" i="16" s="1"/>
  <c r="BK147" i="16" s="1"/>
  <c r="AO95" i="16"/>
  <c r="AN95" i="16"/>
  <c r="AN147" i="16" s="1"/>
  <c r="BI147" i="16" s="1"/>
  <c r="AM95" i="16"/>
  <c r="AM147" i="16" s="1"/>
  <c r="BH147" i="16" s="1"/>
  <c r="AL95" i="16"/>
  <c r="AL147" i="16" s="1"/>
  <c r="BG147" i="16" s="1"/>
  <c r="AE95" i="16"/>
  <c r="AH95" i="16" s="1"/>
  <c r="AI95" i="16" s="1"/>
  <c r="AJ95" i="16" s="1"/>
  <c r="AK95" i="16" s="1"/>
  <c r="AB95" i="16"/>
  <c r="BT92" i="16"/>
  <c r="BL92" i="16"/>
  <c r="BE92" i="16"/>
  <c r="BE144" i="16" s="1"/>
  <c r="BD92" i="16"/>
  <c r="BD144" i="16" s="1"/>
  <c r="BY144" i="16" s="1"/>
  <c r="BC92" i="16"/>
  <c r="BB92" i="16"/>
  <c r="BB144" i="16" s="1"/>
  <c r="BW144" i="16" s="1"/>
  <c r="BA92" i="16"/>
  <c r="BA144" i="16" s="1"/>
  <c r="AZ92" i="16"/>
  <c r="AZ144" i="16" s="1"/>
  <c r="BU144" i="16" s="1"/>
  <c r="AU44" i="16" s="1"/>
  <c r="AY92" i="16"/>
  <c r="AY144" i="16" s="1"/>
  <c r="AX92" i="16"/>
  <c r="AX144" i="16" s="1"/>
  <c r="BS144" i="16" s="1"/>
  <c r="AW92" i="16"/>
  <c r="AW144" i="16" s="1"/>
  <c r="AV92" i="16"/>
  <c r="AV144" i="16" s="1"/>
  <c r="BQ144" i="16" s="1"/>
  <c r="AU92" i="16"/>
  <c r="AT92" i="16"/>
  <c r="AT144" i="16" s="1"/>
  <c r="BO144" i="16" s="1"/>
  <c r="AS92" i="16"/>
  <c r="AS144" i="16" s="1"/>
  <c r="AR92" i="16"/>
  <c r="AR144" i="16" s="1"/>
  <c r="BM144" i="16" s="1"/>
  <c r="AM44" i="16" s="1"/>
  <c r="AQ92" i="16"/>
  <c r="AQ144" i="16" s="1"/>
  <c r="AP92" i="16"/>
  <c r="AP144" i="16" s="1"/>
  <c r="AO92" i="16"/>
  <c r="AO144" i="16" s="1"/>
  <c r="AN92" i="16"/>
  <c r="AN144" i="16" s="1"/>
  <c r="BI144" i="16" s="1"/>
  <c r="AM92" i="16"/>
  <c r="AL92" i="16"/>
  <c r="BG92" i="16" s="1"/>
  <c r="AE92" i="16"/>
  <c r="AH92" i="16" s="1"/>
  <c r="AI92" i="16" s="1"/>
  <c r="AJ92" i="16" s="1"/>
  <c r="AK92" i="16" s="1"/>
  <c r="AB92" i="16"/>
  <c r="BE90" i="16"/>
  <c r="BE142" i="16" s="1"/>
  <c r="BZ142" i="16" s="1"/>
  <c r="BD90" i="16"/>
  <c r="BD142" i="16" s="1"/>
  <c r="BC90" i="16"/>
  <c r="BC142" i="16" s="1"/>
  <c r="BX142" i="16" s="1"/>
  <c r="BB90" i="16"/>
  <c r="BA90" i="16"/>
  <c r="AZ90" i="16"/>
  <c r="AZ142" i="16" s="1"/>
  <c r="AY90" i="16"/>
  <c r="AY142" i="16" s="1"/>
  <c r="BT142" i="16" s="1"/>
  <c r="AX90" i="16"/>
  <c r="AX142" i="16" s="1"/>
  <c r="AW90" i="16"/>
  <c r="AW142" i="16" s="1"/>
  <c r="BR142" i="16" s="1"/>
  <c r="AV90" i="16"/>
  <c r="AV142" i="16" s="1"/>
  <c r="AU90" i="16"/>
  <c r="AU142" i="16" s="1"/>
  <c r="BP142" i="16" s="1"/>
  <c r="AT90" i="16"/>
  <c r="AS90" i="16"/>
  <c r="AS142" i="16" s="1"/>
  <c r="BN142" i="16" s="1"/>
  <c r="AN43" i="16" s="1"/>
  <c r="AR90" i="16"/>
  <c r="AR142" i="16" s="1"/>
  <c r="AQ90" i="16"/>
  <c r="AQ142" i="16" s="1"/>
  <c r="BL142" i="16" s="1"/>
  <c r="AP90" i="16"/>
  <c r="AP142" i="16" s="1"/>
  <c r="AO90" i="16"/>
  <c r="AO142" i="16" s="1"/>
  <c r="BJ142" i="16" s="1"/>
  <c r="AN90" i="16"/>
  <c r="AN142" i="16" s="1"/>
  <c r="AM90" i="16"/>
  <c r="AM142" i="16" s="1"/>
  <c r="BH142" i="16" s="1"/>
  <c r="AL90" i="16"/>
  <c r="AE90" i="16"/>
  <c r="AH90" i="16" s="1"/>
  <c r="AI90" i="16" s="1"/>
  <c r="AJ90" i="16" s="1"/>
  <c r="AB90" i="16"/>
  <c r="BE87" i="16"/>
  <c r="BE139" i="16" s="1"/>
  <c r="BZ139" i="16" s="1"/>
  <c r="BD87" i="16"/>
  <c r="BD139" i="16" s="1"/>
  <c r="BY139" i="16" s="1"/>
  <c r="BC87" i="16"/>
  <c r="BC139" i="16" s="1"/>
  <c r="BB87" i="16"/>
  <c r="BB139" i="16" s="1"/>
  <c r="BW139" i="16" s="1"/>
  <c r="BA87" i="16"/>
  <c r="BA139" i="16" s="1"/>
  <c r="BV139" i="16" s="1"/>
  <c r="AZ87" i="16"/>
  <c r="AY87" i="16"/>
  <c r="AX87" i="16"/>
  <c r="AX139" i="16" s="1"/>
  <c r="BS139" i="16" s="1"/>
  <c r="AW87" i="16"/>
  <c r="AW139" i="16" s="1"/>
  <c r="BR139" i="16" s="1"/>
  <c r="AV87" i="16"/>
  <c r="AV139" i="16" s="1"/>
  <c r="BQ139" i="16" s="1"/>
  <c r="AU87" i="16"/>
  <c r="AU139" i="16" s="1"/>
  <c r="BP139" i="16" s="1"/>
  <c r="AT87" i="16"/>
  <c r="AS87" i="16"/>
  <c r="AS139" i="16" s="1"/>
  <c r="BN139" i="16" s="1"/>
  <c r="AR87" i="16"/>
  <c r="AQ87" i="16"/>
  <c r="AQ139" i="16" s="1"/>
  <c r="BL139" i="16" s="1"/>
  <c r="AP87" i="16"/>
  <c r="AP139" i="16" s="1"/>
  <c r="BK139" i="16" s="1"/>
  <c r="AO87" i="16"/>
  <c r="AO139" i="16" s="1"/>
  <c r="BJ139" i="16" s="1"/>
  <c r="AN87" i="16"/>
  <c r="AN139" i="16" s="1"/>
  <c r="BI139" i="16" s="1"/>
  <c r="AM87" i="16"/>
  <c r="AM139" i="16" s="1"/>
  <c r="BH139" i="16" s="1"/>
  <c r="AL87" i="16"/>
  <c r="AE87" i="16"/>
  <c r="AH87" i="16" s="1"/>
  <c r="AI87" i="16" s="1"/>
  <c r="AJ87" i="16" s="1"/>
  <c r="AB87" i="16"/>
  <c r="BP85" i="16"/>
  <c r="BE85" i="16"/>
  <c r="BE137" i="16" s="1"/>
  <c r="BZ137" i="16" s="1"/>
  <c r="BD85" i="16"/>
  <c r="BD137" i="16" s="1"/>
  <c r="BC85" i="16"/>
  <c r="BC137" i="16" s="1"/>
  <c r="BB85" i="16"/>
  <c r="BB137" i="16" s="1"/>
  <c r="BA85" i="16"/>
  <c r="AZ85" i="16"/>
  <c r="AZ137" i="16" s="1"/>
  <c r="AY85" i="16"/>
  <c r="AX85" i="16"/>
  <c r="AX137" i="16" s="1"/>
  <c r="AW85" i="16"/>
  <c r="AW137" i="16" s="1"/>
  <c r="BR137" i="16" s="1"/>
  <c r="AV85" i="16"/>
  <c r="AV137" i="16" s="1"/>
  <c r="BQ137" i="16" s="1"/>
  <c r="AU85" i="16"/>
  <c r="AU137" i="16" s="1"/>
  <c r="AT85" i="16"/>
  <c r="AT137" i="16" s="1"/>
  <c r="BO137" i="16" s="1"/>
  <c r="AS85" i="16"/>
  <c r="AR85" i="16"/>
  <c r="AR137" i="16" s="1"/>
  <c r="AQ85" i="16"/>
  <c r="AP85" i="16"/>
  <c r="AP137" i="16" s="1"/>
  <c r="AO85" i="16"/>
  <c r="AO137" i="16" s="1"/>
  <c r="BJ137" i="16" s="1"/>
  <c r="AN85" i="16"/>
  <c r="AN137" i="16" s="1"/>
  <c r="BI137" i="16" s="1"/>
  <c r="AM85" i="16"/>
  <c r="AM137" i="16" s="1"/>
  <c r="AL85" i="16"/>
  <c r="AL137" i="16" s="1"/>
  <c r="BG137" i="16" s="1"/>
  <c r="AI85" i="16"/>
  <c r="AJ85" i="16" s="1"/>
  <c r="BX85" i="16" s="1"/>
  <c r="AE85" i="16"/>
  <c r="AH85" i="16" s="1"/>
  <c r="AB85" i="16"/>
  <c r="BV82" i="16"/>
  <c r="BN82" i="16"/>
  <c r="BE82" i="16"/>
  <c r="BD82" i="16"/>
  <c r="BD134" i="16" s="1"/>
  <c r="BY134" i="16" s="1"/>
  <c r="BC82" i="16"/>
  <c r="BC134" i="16" s="1"/>
  <c r="BX134" i="16" s="1"/>
  <c r="BB82" i="16"/>
  <c r="BB134" i="16" s="1"/>
  <c r="BW134" i="16" s="1"/>
  <c r="BA82" i="16"/>
  <c r="BA134" i="16" s="1"/>
  <c r="BV134" i="16" s="1"/>
  <c r="AZ82" i="16"/>
  <c r="AZ134" i="16" s="1"/>
  <c r="BU134" i="16" s="1"/>
  <c r="AY82" i="16"/>
  <c r="BT82" i="16" s="1"/>
  <c r="AX82" i="16"/>
  <c r="AX134" i="16" s="1"/>
  <c r="BS134" i="16" s="1"/>
  <c r="AW82" i="16"/>
  <c r="AV82" i="16"/>
  <c r="AV134" i="16" s="1"/>
  <c r="BQ134" i="16" s="1"/>
  <c r="AU82" i="16"/>
  <c r="AU134" i="16" s="1"/>
  <c r="BP134" i="16" s="1"/>
  <c r="AT82" i="16"/>
  <c r="AT134" i="16" s="1"/>
  <c r="BO134" i="16" s="1"/>
  <c r="AS82" i="16"/>
  <c r="AS134" i="16" s="1"/>
  <c r="BN134" i="16" s="1"/>
  <c r="AR82" i="16"/>
  <c r="AR134" i="16" s="1"/>
  <c r="BM134" i="16" s="1"/>
  <c r="AQ82" i="16"/>
  <c r="BL82" i="16" s="1"/>
  <c r="AP82" i="16"/>
  <c r="AP134" i="16" s="1"/>
  <c r="BK134" i="16" s="1"/>
  <c r="AO82" i="16"/>
  <c r="AN82" i="16"/>
  <c r="AN134" i="16" s="1"/>
  <c r="BI134" i="16" s="1"/>
  <c r="AM82" i="16"/>
  <c r="AM134" i="16" s="1"/>
  <c r="AL82" i="16"/>
  <c r="BG82" i="16" s="1"/>
  <c r="AE82" i="16"/>
  <c r="AH82" i="16" s="1"/>
  <c r="AI82" i="16" s="1"/>
  <c r="AJ82" i="16" s="1"/>
  <c r="AB82" i="16"/>
  <c r="B82" i="16"/>
  <c r="B134" i="16" s="1"/>
  <c r="BU80" i="16"/>
  <c r="BE80" i="16"/>
  <c r="BE132" i="16" s="1"/>
  <c r="BZ132" i="16" s="1"/>
  <c r="BD80" i="16"/>
  <c r="BC80" i="16"/>
  <c r="BC132" i="16" s="1"/>
  <c r="BX132" i="16" s="1"/>
  <c r="BB80" i="16"/>
  <c r="BB132" i="16" s="1"/>
  <c r="BW132" i="16" s="1"/>
  <c r="BA80" i="16"/>
  <c r="BA132" i="16" s="1"/>
  <c r="BV132" i="16" s="1"/>
  <c r="AZ80" i="16"/>
  <c r="AZ132" i="16" s="1"/>
  <c r="BU132" i="16" s="1"/>
  <c r="AY80" i="16"/>
  <c r="AY132" i="16" s="1"/>
  <c r="BT132" i="16" s="1"/>
  <c r="AX80" i="16"/>
  <c r="AX132" i="16" s="1"/>
  <c r="BS132" i="16" s="1"/>
  <c r="AW80" i="16"/>
  <c r="AW132" i="16" s="1"/>
  <c r="BR132" i="16" s="1"/>
  <c r="AV80" i="16"/>
  <c r="AU80" i="16"/>
  <c r="AU132" i="16" s="1"/>
  <c r="BP132" i="16" s="1"/>
  <c r="AT80" i="16"/>
  <c r="AT132" i="16" s="1"/>
  <c r="AS80" i="16"/>
  <c r="AR80" i="16"/>
  <c r="AR132" i="16" s="1"/>
  <c r="BM132" i="16" s="1"/>
  <c r="AQ80" i="16"/>
  <c r="AQ132" i="16" s="1"/>
  <c r="BL132" i="16" s="1"/>
  <c r="AP80" i="16"/>
  <c r="AP132" i="16" s="1"/>
  <c r="BK132" i="16" s="1"/>
  <c r="AO80" i="16"/>
  <c r="AO132" i="16" s="1"/>
  <c r="BJ132" i="16" s="1"/>
  <c r="AN80" i="16"/>
  <c r="AM80" i="16"/>
  <c r="AM132" i="16" s="1"/>
  <c r="BH132" i="16" s="1"/>
  <c r="AL80" i="16"/>
  <c r="AL132" i="16" s="1"/>
  <c r="BG132" i="16" s="1"/>
  <c r="AE80" i="16"/>
  <c r="AH80" i="16" s="1"/>
  <c r="AI80" i="16" s="1"/>
  <c r="AJ80" i="16" s="1"/>
  <c r="AB80" i="16"/>
  <c r="BS77" i="16"/>
  <c r="BE77" i="16"/>
  <c r="BE129" i="16" s="1"/>
  <c r="BD77" i="16"/>
  <c r="BD129" i="16" s="1"/>
  <c r="BC77" i="16"/>
  <c r="BC129" i="16" s="1"/>
  <c r="BB77" i="16"/>
  <c r="BA77" i="16"/>
  <c r="AZ77" i="16"/>
  <c r="AZ129" i="16" s="1"/>
  <c r="AY77" i="16"/>
  <c r="AY129" i="16" s="1"/>
  <c r="BT129" i="16" s="1"/>
  <c r="AT41" i="16" s="1"/>
  <c r="AX77" i="16"/>
  <c r="AX129" i="16" s="1"/>
  <c r="AW77" i="16"/>
  <c r="AW129" i="16" s="1"/>
  <c r="AV77" i="16"/>
  <c r="AV129" i="16" s="1"/>
  <c r="AU77" i="16"/>
  <c r="AU129" i="16" s="1"/>
  <c r="AT77" i="16"/>
  <c r="AS77" i="16"/>
  <c r="AS129" i="16" s="1"/>
  <c r="AR77" i="16"/>
  <c r="AR129" i="16" s="1"/>
  <c r="AQ77" i="16"/>
  <c r="AQ129" i="16" s="1"/>
  <c r="BL129" i="16" s="1"/>
  <c r="AL41" i="16" s="1"/>
  <c r="AP77" i="16"/>
  <c r="AP129" i="16" s="1"/>
  <c r="AO77" i="16"/>
  <c r="AO129" i="16" s="1"/>
  <c r="AN77" i="16"/>
  <c r="AN129" i="16" s="1"/>
  <c r="AM77" i="16"/>
  <c r="AM129" i="16" s="1"/>
  <c r="AL77" i="16"/>
  <c r="AE77" i="16"/>
  <c r="AH77" i="16" s="1"/>
  <c r="AI77" i="16" s="1"/>
  <c r="AJ77" i="16" s="1"/>
  <c r="AB77" i="16"/>
  <c r="BR75" i="16"/>
  <c r="BJ75" i="16"/>
  <c r="BE75" i="16"/>
  <c r="BE127" i="16" s="1"/>
  <c r="BD75" i="16"/>
  <c r="BD127" i="16" s="1"/>
  <c r="BC75" i="16"/>
  <c r="BC127" i="16" s="1"/>
  <c r="BX127" i="16" s="1"/>
  <c r="BB75" i="16"/>
  <c r="BB127" i="16" s="1"/>
  <c r="BA75" i="16"/>
  <c r="AZ75" i="16"/>
  <c r="AZ127" i="16" s="1"/>
  <c r="BU127" i="16" s="1"/>
  <c r="AY75" i="16"/>
  <c r="AY127" i="16" s="1"/>
  <c r="BT127" i="16" s="1"/>
  <c r="AX75" i="16"/>
  <c r="AX127" i="16" s="1"/>
  <c r="BS127" i="16" s="1"/>
  <c r="AW75" i="16"/>
  <c r="AW127" i="16" s="1"/>
  <c r="AV75" i="16"/>
  <c r="AV127" i="16" s="1"/>
  <c r="AU75" i="16"/>
  <c r="AU127" i="16" s="1"/>
  <c r="BP127" i="16" s="1"/>
  <c r="AT75" i="16"/>
  <c r="AT127" i="16" s="1"/>
  <c r="AS75" i="16"/>
  <c r="AR75" i="16"/>
  <c r="AR127" i="16" s="1"/>
  <c r="BM127" i="16" s="1"/>
  <c r="AQ75" i="16"/>
  <c r="AQ127" i="16" s="1"/>
  <c r="BL127" i="16" s="1"/>
  <c r="AP75" i="16"/>
  <c r="AP127" i="16" s="1"/>
  <c r="BK127" i="16" s="1"/>
  <c r="AO75" i="16"/>
  <c r="AO127" i="16" s="1"/>
  <c r="AN75" i="16"/>
  <c r="AN127" i="16" s="1"/>
  <c r="AM75" i="16"/>
  <c r="AL75" i="16"/>
  <c r="AL127" i="16" s="1"/>
  <c r="AK75" i="16"/>
  <c r="AE75" i="16"/>
  <c r="AH75" i="16" s="1"/>
  <c r="AI75" i="16" s="1"/>
  <c r="AJ75" i="16" s="1"/>
  <c r="AB75" i="16"/>
  <c r="BE72" i="16"/>
  <c r="BE124" i="16" s="1"/>
  <c r="BZ124" i="16" s="1"/>
  <c r="BD72" i="16"/>
  <c r="BD124" i="16" s="1"/>
  <c r="BY124" i="16" s="1"/>
  <c r="BC72" i="16"/>
  <c r="BC124" i="16" s="1"/>
  <c r="BB72" i="16"/>
  <c r="BB124" i="16" s="1"/>
  <c r="BW124" i="16" s="1"/>
  <c r="BA72" i="16"/>
  <c r="AZ72" i="16"/>
  <c r="AZ124" i="16" s="1"/>
  <c r="BU124" i="16" s="1"/>
  <c r="AY72" i="16"/>
  <c r="AX72" i="16"/>
  <c r="AX124" i="16" s="1"/>
  <c r="BS124" i="16" s="1"/>
  <c r="AW72" i="16"/>
  <c r="AW124" i="16" s="1"/>
  <c r="AV72" i="16"/>
  <c r="AU72" i="16"/>
  <c r="AU124" i="16" s="1"/>
  <c r="AT72" i="16"/>
  <c r="AT124" i="16" s="1"/>
  <c r="BO124" i="16" s="1"/>
  <c r="AS72" i="16"/>
  <c r="AS124" i="16" s="1"/>
  <c r="BN124" i="16" s="1"/>
  <c r="AR72" i="16"/>
  <c r="AR124" i="16" s="1"/>
  <c r="BM124" i="16" s="1"/>
  <c r="AQ72" i="16"/>
  <c r="AP72" i="16"/>
  <c r="AP124" i="16" s="1"/>
  <c r="BK124" i="16" s="1"/>
  <c r="AO72" i="16"/>
  <c r="AO124" i="16" s="1"/>
  <c r="BJ124" i="16" s="1"/>
  <c r="AN72" i="16"/>
  <c r="AN124" i="16" s="1"/>
  <c r="BI124" i="16" s="1"/>
  <c r="AM72" i="16"/>
  <c r="AM124" i="16" s="1"/>
  <c r="AL72" i="16"/>
  <c r="AL124" i="16" s="1"/>
  <c r="BG124" i="16" s="1"/>
  <c r="AE72" i="16"/>
  <c r="AH72" i="16" s="1"/>
  <c r="AI72" i="16" s="1"/>
  <c r="AJ72" i="16" s="1"/>
  <c r="AB72" i="16"/>
  <c r="B72" i="16"/>
  <c r="B124" i="16" s="1"/>
  <c r="BW70" i="16"/>
  <c r="BO70" i="16"/>
  <c r="BG70" i="16"/>
  <c r="BE70" i="16"/>
  <c r="BZ70" i="16" s="1"/>
  <c r="BD70" i="16"/>
  <c r="BD122" i="16" s="1"/>
  <c r="BC70" i="16"/>
  <c r="BX70" i="16" s="1"/>
  <c r="BB70" i="16"/>
  <c r="BB122" i="16" s="1"/>
  <c r="BA70" i="16"/>
  <c r="BA122" i="16" s="1"/>
  <c r="AZ70" i="16"/>
  <c r="AZ122" i="16" s="1"/>
  <c r="AY70" i="16"/>
  <c r="AY122" i="16" s="1"/>
  <c r="AX70" i="16"/>
  <c r="AW70" i="16"/>
  <c r="AW122" i="16" s="1"/>
  <c r="AV70" i="16"/>
  <c r="AV122" i="16" s="1"/>
  <c r="AU70" i="16"/>
  <c r="AU122" i="16" s="1"/>
  <c r="AT70" i="16"/>
  <c r="AT122" i="16" s="1"/>
  <c r="AS70" i="16"/>
  <c r="AS122" i="16" s="1"/>
  <c r="AR70" i="16"/>
  <c r="BM70" i="16" s="1"/>
  <c r="AQ70" i="16"/>
  <c r="AQ122" i="16" s="1"/>
  <c r="AP70" i="16"/>
  <c r="AO70" i="16"/>
  <c r="AO122" i="16" s="1"/>
  <c r="AN70" i="16"/>
  <c r="AN122" i="16" s="1"/>
  <c r="AM70" i="16"/>
  <c r="AM122" i="16" s="1"/>
  <c r="AL70" i="16"/>
  <c r="AL122" i="16" s="1"/>
  <c r="AH70" i="16"/>
  <c r="AI70" i="16" s="1"/>
  <c r="AJ70" i="16" s="1"/>
  <c r="AK70" i="16" s="1"/>
  <c r="AE70" i="16"/>
  <c r="AB70" i="16"/>
  <c r="BU67" i="16"/>
  <c r="BE67" i="16"/>
  <c r="BE119" i="16" s="1"/>
  <c r="BZ119" i="16" s="1"/>
  <c r="BD67" i="16"/>
  <c r="BC67" i="16"/>
  <c r="BC119" i="16" s="1"/>
  <c r="BX119" i="16" s="1"/>
  <c r="BB67" i="16"/>
  <c r="BB119" i="16" s="1"/>
  <c r="BW119" i="16" s="1"/>
  <c r="BA67" i="16"/>
  <c r="BA119" i="16" s="1"/>
  <c r="BV119" i="16" s="1"/>
  <c r="AZ67" i="16"/>
  <c r="AZ119" i="16" s="1"/>
  <c r="BU119" i="16" s="1"/>
  <c r="AY67" i="16"/>
  <c r="AY119" i="16" s="1"/>
  <c r="BT119" i="16" s="1"/>
  <c r="AX67" i="16"/>
  <c r="AW67" i="16"/>
  <c r="AW119" i="16" s="1"/>
  <c r="BR119" i="16" s="1"/>
  <c r="AV67" i="16"/>
  <c r="AU67" i="16"/>
  <c r="AU119" i="16" s="1"/>
  <c r="BP119" i="16" s="1"/>
  <c r="AT67" i="16"/>
  <c r="AT119" i="16" s="1"/>
  <c r="BO119" i="16" s="1"/>
  <c r="AS67" i="16"/>
  <c r="AS119" i="16" s="1"/>
  <c r="BN119" i="16" s="1"/>
  <c r="AR67" i="16"/>
  <c r="AR119" i="16" s="1"/>
  <c r="BM119" i="16" s="1"/>
  <c r="AQ67" i="16"/>
  <c r="AQ119" i="16" s="1"/>
  <c r="BL119" i="16" s="1"/>
  <c r="AP67" i="16"/>
  <c r="AO67" i="16"/>
  <c r="AO119" i="16" s="1"/>
  <c r="AN67" i="16"/>
  <c r="AM67" i="16"/>
  <c r="AL67" i="16"/>
  <c r="AL119" i="16" s="1"/>
  <c r="BG119" i="16" s="1"/>
  <c r="AE67" i="16"/>
  <c r="AH67" i="16" s="1"/>
  <c r="AI67" i="16" s="1"/>
  <c r="AJ67" i="16" s="1"/>
  <c r="AK67" i="16" s="1"/>
  <c r="AB67" i="16"/>
  <c r="BT65" i="16"/>
  <c r="BL65" i="16"/>
  <c r="BE65" i="16"/>
  <c r="BZ65" i="16" s="1"/>
  <c r="BD65" i="16"/>
  <c r="BD117" i="16" s="1"/>
  <c r="BC65" i="16"/>
  <c r="BB65" i="16"/>
  <c r="BW65" i="16" s="1"/>
  <c r="BA65" i="16"/>
  <c r="BA117" i="16" s="1"/>
  <c r="AZ65" i="16"/>
  <c r="AZ117" i="16" s="1"/>
  <c r="AY65" i="16"/>
  <c r="AY117" i="16" s="1"/>
  <c r="AX65" i="16"/>
  <c r="AX117" i="16" s="1"/>
  <c r="AW65" i="16"/>
  <c r="BR65" i="16" s="1"/>
  <c r="AV65" i="16"/>
  <c r="AV117" i="16" s="1"/>
  <c r="AU65" i="16"/>
  <c r="AT65" i="16"/>
  <c r="AT117" i="16" s="1"/>
  <c r="AS65" i="16"/>
  <c r="AS117" i="16" s="1"/>
  <c r="AR65" i="16"/>
  <c r="AR117" i="16" s="1"/>
  <c r="AQ65" i="16"/>
  <c r="AQ117" i="16" s="1"/>
  <c r="AP65" i="16"/>
  <c r="AP117" i="16" s="1"/>
  <c r="AO65" i="16"/>
  <c r="BJ65" i="16" s="1"/>
  <c r="AN65" i="16"/>
  <c r="AN117" i="16" s="1"/>
  <c r="AM65" i="16"/>
  <c r="AL65" i="16"/>
  <c r="AL117" i="16" s="1"/>
  <c r="AE65" i="16"/>
  <c r="AH65" i="16" s="1"/>
  <c r="AI65" i="16" s="1"/>
  <c r="AJ65" i="16" s="1"/>
  <c r="AB65" i="16"/>
  <c r="BR62" i="16"/>
  <c r="BJ62" i="16"/>
  <c r="BE62" i="16"/>
  <c r="BE114" i="16" s="1"/>
  <c r="BD62" i="16"/>
  <c r="BD114" i="16" s="1"/>
  <c r="BC62" i="16"/>
  <c r="BB62" i="16"/>
  <c r="BB114" i="16" s="1"/>
  <c r="BW114" i="16" s="1"/>
  <c r="BA62" i="16"/>
  <c r="AZ62" i="16"/>
  <c r="AZ114" i="16" s="1"/>
  <c r="BU114" i="16" s="1"/>
  <c r="AY62" i="16"/>
  <c r="AY114" i="16" s="1"/>
  <c r="BT114" i="16" s="1"/>
  <c r="AX62" i="16"/>
  <c r="AX114" i="16" s="1"/>
  <c r="BS114" i="16" s="1"/>
  <c r="AW62" i="16"/>
  <c r="AW114" i="16" s="1"/>
  <c r="AV62" i="16"/>
  <c r="AV114" i="16" s="1"/>
  <c r="BQ114" i="16" s="1"/>
  <c r="AU62" i="16"/>
  <c r="BP62" i="16" s="1"/>
  <c r="AT62" i="16"/>
  <c r="AT114" i="16" s="1"/>
  <c r="BO114" i="16" s="1"/>
  <c r="AS62" i="16"/>
  <c r="AR62" i="16"/>
  <c r="AR114" i="16" s="1"/>
  <c r="BM114" i="16" s="1"/>
  <c r="AQ62" i="16"/>
  <c r="AQ114" i="16" s="1"/>
  <c r="BL114" i="16" s="1"/>
  <c r="AP62" i="16"/>
  <c r="AP114" i="16" s="1"/>
  <c r="BK114" i="16" s="1"/>
  <c r="AO62" i="16"/>
  <c r="AO114" i="16" s="1"/>
  <c r="AN62" i="16"/>
  <c r="AN114" i="16" s="1"/>
  <c r="BI114" i="16" s="1"/>
  <c r="AM62" i="16"/>
  <c r="BH62" i="16" s="1"/>
  <c r="AL62" i="16"/>
  <c r="AL114" i="16" s="1"/>
  <c r="BG114" i="16" s="1"/>
  <c r="AK62" i="16"/>
  <c r="AE62" i="16"/>
  <c r="AH62" i="16" s="1"/>
  <c r="AI62" i="16" s="1"/>
  <c r="AJ62" i="16" s="1"/>
  <c r="BZ62" i="16" s="1"/>
  <c r="AZ24" i="16" s="1"/>
  <c r="AB62" i="16"/>
  <c r="BE60" i="16"/>
  <c r="BE112" i="16" s="1"/>
  <c r="BD60" i="16"/>
  <c r="BD112" i="16" s="1"/>
  <c r="BC60" i="16"/>
  <c r="BC112" i="16" s="1"/>
  <c r="BB60" i="16"/>
  <c r="BA60" i="16"/>
  <c r="BA112" i="16" s="1"/>
  <c r="AZ60" i="16"/>
  <c r="AY60" i="16"/>
  <c r="AY112" i="16" s="1"/>
  <c r="AX60" i="16"/>
  <c r="AX112" i="16" s="1"/>
  <c r="AW60" i="16"/>
  <c r="AW112" i="16" s="1"/>
  <c r="AV60" i="16"/>
  <c r="AU60" i="16"/>
  <c r="AU112" i="16" s="1"/>
  <c r="AT60" i="16"/>
  <c r="AS60" i="16"/>
  <c r="AS112" i="16" s="1"/>
  <c r="AR60" i="16"/>
  <c r="AQ60" i="16"/>
  <c r="AP60" i="16"/>
  <c r="AP112" i="16" s="1"/>
  <c r="AO60" i="16"/>
  <c r="AO112" i="16" s="1"/>
  <c r="AN60" i="16"/>
  <c r="AM60" i="16"/>
  <c r="AM112" i="16" s="1"/>
  <c r="AL60" i="16"/>
  <c r="AL112" i="16" s="1"/>
  <c r="AJ60" i="16"/>
  <c r="BY60" i="16" s="1"/>
  <c r="AE60" i="16"/>
  <c r="AH60" i="16" s="1"/>
  <c r="AI60" i="16" s="1"/>
  <c r="AB60" i="16"/>
  <c r="BE57" i="16"/>
  <c r="BD57" i="16"/>
  <c r="BC57" i="16"/>
  <c r="BB57" i="16"/>
  <c r="BA57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L57" i="16"/>
  <c r="AH57" i="16"/>
  <c r="AI57" i="16" s="1"/>
  <c r="AJ57" i="16" s="1"/>
  <c r="BO57" i="16" s="1"/>
  <c r="AE57" i="16"/>
  <c r="AB57" i="16"/>
  <c r="B57" i="16"/>
  <c r="B109" i="16" s="1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E55" i="16"/>
  <c r="AH55" i="16" s="1"/>
  <c r="AI55" i="16" s="1"/>
  <c r="AB55" i="16"/>
  <c r="AY44" i="16"/>
  <c r="AW44" i="16"/>
  <c r="AS44" i="16"/>
  <c r="AO44" i="16"/>
  <c r="AI44" i="16"/>
  <c r="AD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AE44" i="16" s="1"/>
  <c r="F44" i="16"/>
  <c r="E44" i="16"/>
  <c r="AZ43" i="16"/>
  <c r="AX43" i="16"/>
  <c r="AR43" i="16"/>
  <c r="AP43" i="16"/>
  <c r="AL43" i="16"/>
  <c r="AJ43" i="16"/>
  <c r="AH43" i="16"/>
  <c r="AD43" i="16"/>
  <c r="AA43" i="16"/>
  <c r="Z43" i="16"/>
  <c r="Y43" i="16"/>
  <c r="Y15" i="16" s="1"/>
  <c r="X43" i="16"/>
  <c r="W43" i="16"/>
  <c r="V43" i="16"/>
  <c r="U43" i="16"/>
  <c r="T43" i="16"/>
  <c r="S43" i="16"/>
  <c r="R43" i="16"/>
  <c r="Q43" i="16"/>
  <c r="Q15" i="16" s="1"/>
  <c r="P43" i="16"/>
  <c r="O43" i="16"/>
  <c r="N43" i="16"/>
  <c r="M43" i="16"/>
  <c r="L43" i="16"/>
  <c r="K43" i="16"/>
  <c r="J43" i="16"/>
  <c r="I43" i="16"/>
  <c r="I15" i="16" s="1"/>
  <c r="H43" i="16"/>
  <c r="G43" i="16"/>
  <c r="AE43" i="16" s="1"/>
  <c r="F43" i="16"/>
  <c r="E43" i="16"/>
  <c r="AQ42" i="16"/>
  <c r="AO42" i="16"/>
  <c r="AI42" i="16"/>
  <c r="AG42" i="16"/>
  <c r="AD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AE42" i="16" s="1"/>
  <c r="F42" i="16"/>
  <c r="E42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AU40" i="16"/>
  <c r="AS40" i="16"/>
  <c r="AM40" i="16"/>
  <c r="AK40" i="16"/>
  <c r="AD40" i="16"/>
  <c r="AC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AE40" i="16" s="1"/>
  <c r="F40" i="16"/>
  <c r="E40" i="16"/>
  <c r="C40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AB39" i="16" s="1"/>
  <c r="H39" i="16"/>
  <c r="G39" i="16"/>
  <c r="F39" i="16"/>
  <c r="E39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AB38" i="16" s="1"/>
  <c r="H38" i="16"/>
  <c r="G38" i="16"/>
  <c r="F38" i="16"/>
  <c r="E38" i="16"/>
  <c r="AA37" i="16"/>
  <c r="Z37" i="16"/>
  <c r="Y37" i="16"/>
  <c r="Y9" i="16" s="1"/>
  <c r="X37" i="16"/>
  <c r="W37" i="16"/>
  <c r="V37" i="16"/>
  <c r="U37" i="16"/>
  <c r="T37" i="16"/>
  <c r="S37" i="16"/>
  <c r="R37" i="16"/>
  <c r="Q37" i="16"/>
  <c r="Q9" i="16" s="1"/>
  <c r="P37" i="16"/>
  <c r="O37" i="16"/>
  <c r="N37" i="16"/>
  <c r="M37" i="16"/>
  <c r="L37" i="16"/>
  <c r="K37" i="16"/>
  <c r="J37" i="16"/>
  <c r="I37" i="16"/>
  <c r="I9" i="16" s="1"/>
  <c r="H37" i="16"/>
  <c r="G37" i="16"/>
  <c r="F37" i="16"/>
  <c r="E37" i="16"/>
  <c r="C37" i="16"/>
  <c r="AG36" i="16"/>
  <c r="AC36" i="16"/>
  <c r="AA36" i="16"/>
  <c r="AA46" i="16" s="1"/>
  <c r="Z36" i="16"/>
  <c r="Z46" i="16" s="1"/>
  <c r="Y36" i="16"/>
  <c r="Y46" i="16" s="1"/>
  <c r="X36" i="16"/>
  <c r="X46" i="16" s="1"/>
  <c r="W36" i="16"/>
  <c r="W46" i="16" s="1"/>
  <c r="V36" i="16"/>
  <c r="V46" i="16" s="1"/>
  <c r="U36" i="16"/>
  <c r="U46" i="16" s="1"/>
  <c r="T36" i="16"/>
  <c r="T46" i="16" s="1"/>
  <c r="S36" i="16"/>
  <c r="S46" i="16" s="1"/>
  <c r="R36" i="16"/>
  <c r="R46" i="16" s="1"/>
  <c r="Q36" i="16"/>
  <c r="Q46" i="16" s="1"/>
  <c r="P36" i="16"/>
  <c r="P46" i="16" s="1"/>
  <c r="O36" i="16"/>
  <c r="O46" i="16" s="1"/>
  <c r="N36" i="16"/>
  <c r="N46" i="16" s="1"/>
  <c r="M36" i="16"/>
  <c r="M46" i="16" s="1"/>
  <c r="L36" i="16"/>
  <c r="L46" i="16" s="1"/>
  <c r="K36" i="16"/>
  <c r="K46" i="16" s="1"/>
  <c r="J36" i="16"/>
  <c r="J46" i="16" s="1"/>
  <c r="I36" i="16"/>
  <c r="H36" i="16"/>
  <c r="H46" i="16" s="1"/>
  <c r="G36" i="16"/>
  <c r="G46" i="16" s="1"/>
  <c r="F36" i="16"/>
  <c r="F46" i="16" s="1"/>
  <c r="E36" i="16"/>
  <c r="E46" i="16" s="1"/>
  <c r="AD30" i="16"/>
  <c r="AC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AB30" i="16" s="1"/>
  <c r="G30" i="16"/>
  <c r="AE30" i="16" s="1"/>
  <c r="F30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AB29" i="16" s="1"/>
  <c r="F29" i="16"/>
  <c r="AD28" i="16"/>
  <c r="AA28" i="16"/>
  <c r="Z28" i="16"/>
  <c r="Y28" i="16"/>
  <c r="X28" i="16"/>
  <c r="W28" i="16"/>
  <c r="V28" i="16"/>
  <c r="V14" i="16" s="1"/>
  <c r="U28" i="16"/>
  <c r="T28" i="16"/>
  <c r="S28" i="16"/>
  <c r="R28" i="16"/>
  <c r="Q28" i="16"/>
  <c r="P28" i="16"/>
  <c r="O28" i="16"/>
  <c r="N28" i="16"/>
  <c r="N14" i="16" s="1"/>
  <c r="M28" i="16"/>
  <c r="L28" i="16"/>
  <c r="K28" i="16"/>
  <c r="J28" i="16"/>
  <c r="I28" i="16"/>
  <c r="H28" i="16"/>
  <c r="G28" i="16"/>
  <c r="AB28" i="16" s="1"/>
  <c r="F28" i="16"/>
  <c r="F14" i="16" s="1"/>
  <c r="C28" i="16"/>
  <c r="AD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AB27" i="16" s="1"/>
  <c r="F27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AB26" i="16" s="1"/>
  <c r="K26" i="16"/>
  <c r="J26" i="16"/>
  <c r="I26" i="16"/>
  <c r="H26" i="16"/>
  <c r="G26" i="16"/>
  <c r="F26" i="16"/>
  <c r="AD25" i="16"/>
  <c r="AC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AE25" i="16" s="1"/>
  <c r="F25" i="16"/>
  <c r="AR24" i="16"/>
  <c r="AJ24" i="16"/>
  <c r="AD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AE24" i="16" s="1"/>
  <c r="F24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AA22" i="16"/>
  <c r="Z22" i="16"/>
  <c r="Z32" i="16" s="1"/>
  <c r="Y22" i="16"/>
  <c r="Y32" i="16" s="1"/>
  <c r="X22" i="16"/>
  <c r="X32" i="16" s="1"/>
  <c r="W22" i="16"/>
  <c r="W32" i="16" s="1"/>
  <c r="V22" i="16"/>
  <c r="U22" i="16"/>
  <c r="T22" i="16"/>
  <c r="T32" i="16" s="1"/>
  <c r="S22" i="16"/>
  <c r="R22" i="16"/>
  <c r="R32" i="16" s="1"/>
  <c r="Q22" i="16"/>
  <c r="Q32" i="16" s="1"/>
  <c r="P22" i="16"/>
  <c r="P32" i="16" s="1"/>
  <c r="O22" i="16"/>
  <c r="O32" i="16" s="1"/>
  <c r="N22" i="16"/>
  <c r="M22" i="16"/>
  <c r="M32" i="16" s="1"/>
  <c r="L22" i="16"/>
  <c r="L32" i="16" s="1"/>
  <c r="K22" i="16"/>
  <c r="J22" i="16"/>
  <c r="J32" i="16" s="1"/>
  <c r="I22" i="16"/>
  <c r="I32" i="16" s="1"/>
  <c r="H22" i="16"/>
  <c r="H32" i="16" s="1"/>
  <c r="G22" i="16"/>
  <c r="G32" i="16" s="1"/>
  <c r="F22" i="16"/>
  <c r="AD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AE16" i="16" s="1"/>
  <c r="F16" i="16"/>
  <c r="E16" i="16"/>
  <c r="AA15" i="16"/>
  <c r="Z15" i="16"/>
  <c r="X15" i="16"/>
  <c r="W15" i="16"/>
  <c r="V15" i="16"/>
  <c r="U15" i="16"/>
  <c r="T15" i="16"/>
  <c r="S15" i="16"/>
  <c r="R15" i="16"/>
  <c r="P15" i="16"/>
  <c r="O15" i="16"/>
  <c r="N15" i="16"/>
  <c r="M15" i="16"/>
  <c r="L15" i="16"/>
  <c r="K15" i="16"/>
  <c r="J15" i="16"/>
  <c r="H15" i="16"/>
  <c r="G15" i="16"/>
  <c r="F15" i="16"/>
  <c r="E15" i="16"/>
  <c r="AD14" i="16"/>
  <c r="AA14" i="16"/>
  <c r="Z14" i="16"/>
  <c r="Y14" i="16"/>
  <c r="X14" i="16"/>
  <c r="W14" i="16"/>
  <c r="U14" i="16"/>
  <c r="T14" i="16"/>
  <c r="S14" i="16"/>
  <c r="R14" i="16"/>
  <c r="Q14" i="16"/>
  <c r="P14" i="16"/>
  <c r="O14" i="16"/>
  <c r="M14" i="16"/>
  <c r="L14" i="16"/>
  <c r="K14" i="16"/>
  <c r="J14" i="16"/>
  <c r="I14" i="16"/>
  <c r="H14" i="16"/>
  <c r="G14" i="16"/>
  <c r="AE14" i="16" s="1"/>
  <c r="E14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AB13" i="16" s="1"/>
  <c r="J13" i="16"/>
  <c r="I13" i="16"/>
  <c r="H13" i="16"/>
  <c r="G13" i="16"/>
  <c r="F13" i="16"/>
  <c r="E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AB12" i="16" s="1"/>
  <c r="F12" i="16"/>
  <c r="E12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AA9" i="16"/>
  <c r="Z9" i="16"/>
  <c r="X9" i="16"/>
  <c r="W9" i="16"/>
  <c r="V9" i="16"/>
  <c r="U9" i="16"/>
  <c r="T9" i="16"/>
  <c r="S9" i="16"/>
  <c r="R9" i="16"/>
  <c r="P9" i="16"/>
  <c r="O9" i="16"/>
  <c r="N9" i="16"/>
  <c r="M9" i="16"/>
  <c r="L9" i="16"/>
  <c r="K9" i="16"/>
  <c r="J9" i="16"/>
  <c r="H9" i="16"/>
  <c r="G9" i="16"/>
  <c r="F9" i="16"/>
  <c r="E9" i="16"/>
  <c r="AA8" i="16"/>
  <c r="AA18" i="16" s="1"/>
  <c r="Y8" i="16"/>
  <c r="Y18" i="16" s="1"/>
  <c r="X8" i="16"/>
  <c r="X18" i="16" s="1"/>
  <c r="W8" i="16"/>
  <c r="W18" i="16" s="1"/>
  <c r="V8" i="16"/>
  <c r="V18" i="16" s="1"/>
  <c r="U8" i="16"/>
  <c r="U18" i="16" s="1"/>
  <c r="T8" i="16"/>
  <c r="T18" i="16" s="1"/>
  <c r="S8" i="16"/>
  <c r="S18" i="16" s="1"/>
  <c r="Q8" i="16"/>
  <c r="Q18" i="16" s="1"/>
  <c r="O8" i="16"/>
  <c r="O18" i="16" s="1"/>
  <c r="N8" i="16"/>
  <c r="N18" i="16" s="1"/>
  <c r="M8" i="16"/>
  <c r="M18" i="16" s="1"/>
  <c r="L8" i="16"/>
  <c r="L18" i="16" s="1"/>
  <c r="K8" i="16"/>
  <c r="K18" i="16" s="1"/>
  <c r="I8" i="16"/>
  <c r="I18" i="16" s="1"/>
  <c r="G8" i="16"/>
  <c r="E8" i="16"/>
  <c r="E18" i="16" s="1"/>
  <c r="AA44" i="1"/>
  <c r="AA44" i="17" s="1"/>
  <c r="Z44" i="1"/>
  <c r="Y44" i="1"/>
  <c r="X44" i="1"/>
  <c r="X44" i="17" s="1"/>
  <c r="W44" i="1"/>
  <c r="W44" i="17" s="1"/>
  <c r="V44" i="1"/>
  <c r="V44" i="17" s="1"/>
  <c r="U44" i="1"/>
  <c r="U44" i="17" s="1"/>
  <c r="T44" i="1"/>
  <c r="T16" i="1" s="1"/>
  <c r="S44" i="1"/>
  <c r="S44" i="17" s="1"/>
  <c r="R44" i="1"/>
  <c r="R44" i="17" s="1"/>
  <c r="Q44" i="1"/>
  <c r="Q44" i="17" s="1"/>
  <c r="P44" i="1"/>
  <c r="P44" i="17" s="1"/>
  <c r="O44" i="1"/>
  <c r="O44" i="17" s="1"/>
  <c r="N44" i="1"/>
  <c r="M44" i="1"/>
  <c r="L44" i="1"/>
  <c r="L44" i="17" s="1"/>
  <c r="K44" i="1"/>
  <c r="K44" i="17" s="1"/>
  <c r="J44" i="1"/>
  <c r="J44" i="17" s="1"/>
  <c r="I44" i="1"/>
  <c r="I44" i="17" s="1"/>
  <c r="H44" i="1"/>
  <c r="H44" i="17" s="1"/>
  <c r="G44" i="1"/>
  <c r="G44" i="17" s="1"/>
  <c r="F44" i="1"/>
  <c r="F44" i="17" s="1"/>
  <c r="AA43" i="1"/>
  <c r="AA43" i="17" s="1"/>
  <c r="Z43" i="1"/>
  <c r="Z43" i="17" s="1"/>
  <c r="Y43" i="1"/>
  <c r="Y43" i="17" s="1"/>
  <c r="X43" i="1"/>
  <c r="W43" i="1"/>
  <c r="V43" i="1"/>
  <c r="V43" i="17" s="1"/>
  <c r="U43" i="1"/>
  <c r="U43" i="17" s="1"/>
  <c r="T43" i="1"/>
  <c r="T43" i="17" s="1"/>
  <c r="S43" i="1"/>
  <c r="S43" i="17" s="1"/>
  <c r="R43" i="1"/>
  <c r="R43" i="17" s="1"/>
  <c r="Q43" i="1"/>
  <c r="Q43" i="17" s="1"/>
  <c r="P43" i="1"/>
  <c r="P43" i="17" s="1"/>
  <c r="O43" i="1"/>
  <c r="O43" i="17" s="1"/>
  <c r="N43" i="1"/>
  <c r="N43" i="17" s="1"/>
  <c r="M43" i="1"/>
  <c r="M43" i="17" s="1"/>
  <c r="L43" i="1"/>
  <c r="K43" i="1"/>
  <c r="J43" i="1"/>
  <c r="J43" i="17" s="1"/>
  <c r="I43" i="1"/>
  <c r="I43" i="17" s="1"/>
  <c r="H43" i="1"/>
  <c r="H43" i="17" s="1"/>
  <c r="G43" i="1"/>
  <c r="G43" i="17" s="1"/>
  <c r="F43" i="1"/>
  <c r="F43" i="17" s="1"/>
  <c r="E44" i="1"/>
  <c r="E44" i="17" s="1"/>
  <c r="E16" i="17" s="1"/>
  <c r="E16" i="1"/>
  <c r="E43" i="1"/>
  <c r="E15" i="1" s="1"/>
  <c r="AE44" i="1"/>
  <c r="AA16" i="1"/>
  <c r="Z30" i="17"/>
  <c r="Y30" i="17"/>
  <c r="Y16" i="17" s="1"/>
  <c r="X16" i="1"/>
  <c r="V30" i="17"/>
  <c r="U30" i="17"/>
  <c r="T30" i="17"/>
  <c r="S30" i="17"/>
  <c r="R30" i="17"/>
  <c r="Q30" i="17"/>
  <c r="P30" i="17"/>
  <c r="O30" i="17"/>
  <c r="N30" i="17"/>
  <c r="N16" i="17" s="1"/>
  <c r="L30" i="17"/>
  <c r="I30" i="17"/>
  <c r="H30" i="17"/>
  <c r="G16" i="1"/>
  <c r="AA29" i="1"/>
  <c r="AA29" i="17" s="1"/>
  <c r="Z29" i="1"/>
  <c r="Z29" i="17" s="1"/>
  <c r="Y29" i="1"/>
  <c r="Y29" i="17" s="1"/>
  <c r="X29" i="1"/>
  <c r="X29" i="17" s="1"/>
  <c r="W29" i="1"/>
  <c r="W29" i="17" s="1"/>
  <c r="W15" i="17" s="1"/>
  <c r="V29" i="1"/>
  <c r="V29" i="17" s="1"/>
  <c r="U29" i="1"/>
  <c r="U29" i="17" s="1"/>
  <c r="T29" i="1"/>
  <c r="T29" i="17" s="1"/>
  <c r="S29" i="1"/>
  <c r="S29" i="17" s="1"/>
  <c r="R29" i="1"/>
  <c r="R29" i="17" s="1"/>
  <c r="Q29" i="1"/>
  <c r="Q29" i="17" s="1"/>
  <c r="P29" i="1"/>
  <c r="P29" i="17" s="1"/>
  <c r="O29" i="1"/>
  <c r="O29" i="17" s="1"/>
  <c r="N29" i="1"/>
  <c r="N15" i="1" s="1"/>
  <c r="M29" i="1"/>
  <c r="M29" i="17" s="1"/>
  <c r="L29" i="1"/>
  <c r="L29" i="17" s="1"/>
  <c r="K29" i="1"/>
  <c r="K29" i="17" s="1"/>
  <c r="J29" i="1"/>
  <c r="I29" i="1"/>
  <c r="I29" i="17" s="1"/>
  <c r="H29" i="1"/>
  <c r="H29" i="17" s="1"/>
  <c r="G29" i="1"/>
  <c r="G29" i="17" s="1"/>
  <c r="F30" i="17"/>
  <c r="F29" i="1"/>
  <c r="AF152" i="1"/>
  <c r="AE152" i="1"/>
  <c r="AF149" i="1"/>
  <c r="AE149" i="1"/>
  <c r="AH149" i="1" s="1"/>
  <c r="AI149" i="1" s="1"/>
  <c r="AJ149" i="1" s="1"/>
  <c r="AF147" i="1"/>
  <c r="AE147" i="1"/>
  <c r="AF144" i="1"/>
  <c r="AE144" i="1"/>
  <c r="AF142" i="1"/>
  <c r="AE142" i="1"/>
  <c r="AH142" i="1" s="1"/>
  <c r="AI142" i="1" s="1"/>
  <c r="AJ142" i="1" s="1"/>
  <c r="AF139" i="1"/>
  <c r="AH139" i="1" s="1"/>
  <c r="AI139" i="1" s="1"/>
  <c r="AJ139" i="1" s="1"/>
  <c r="AE139" i="1"/>
  <c r="B87" i="1"/>
  <c r="C45" i="1"/>
  <c r="C44" i="1"/>
  <c r="B92" i="1" s="1"/>
  <c r="C43" i="1"/>
  <c r="C31" i="1"/>
  <c r="C30" i="1"/>
  <c r="C29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BE97" i="1"/>
  <c r="BE149" i="1" s="1"/>
  <c r="BD97" i="1"/>
  <c r="BD149" i="1" s="1"/>
  <c r="BC97" i="1"/>
  <c r="BC149" i="1" s="1"/>
  <c r="BB97" i="1"/>
  <c r="BB149" i="1" s="1"/>
  <c r="BA97" i="1"/>
  <c r="BA149" i="1" s="1"/>
  <c r="AZ97" i="1"/>
  <c r="AZ149" i="1" s="1"/>
  <c r="AY97" i="1"/>
  <c r="AY149" i="1" s="1"/>
  <c r="AX97" i="1"/>
  <c r="AX149" i="1" s="1"/>
  <c r="AW97" i="1"/>
  <c r="AW149" i="1" s="1"/>
  <c r="AV97" i="1"/>
  <c r="AV149" i="1" s="1"/>
  <c r="AU97" i="1"/>
  <c r="AU149" i="1" s="1"/>
  <c r="AT97" i="1"/>
  <c r="AT149" i="1" s="1"/>
  <c r="AS97" i="1"/>
  <c r="AS149" i="1" s="1"/>
  <c r="AR97" i="1"/>
  <c r="AR149" i="1" s="1"/>
  <c r="AQ97" i="1"/>
  <c r="AQ149" i="1" s="1"/>
  <c r="AP97" i="1"/>
  <c r="AP149" i="1" s="1"/>
  <c r="AO97" i="1"/>
  <c r="AO149" i="1" s="1"/>
  <c r="AN97" i="1"/>
  <c r="AN149" i="1" s="1"/>
  <c r="AM97" i="1"/>
  <c r="AM149" i="1" s="1"/>
  <c r="AL97" i="1"/>
  <c r="AL149" i="1" s="1"/>
  <c r="AE97" i="1"/>
  <c r="AH97" i="1" s="1"/>
  <c r="AI97" i="1" s="1"/>
  <c r="AJ97" i="1" s="1"/>
  <c r="AB97" i="1"/>
  <c r="AZ30" i="1" l="1"/>
  <c r="AW30" i="1"/>
  <c r="AT30" i="1"/>
  <c r="AQ30" i="1"/>
  <c r="AH30" i="1"/>
  <c r="AP30" i="1"/>
  <c r="AS30" i="1"/>
  <c r="AO30" i="1"/>
  <c r="AG30" i="1"/>
  <c r="AR30" i="1"/>
  <c r="AN30" i="1"/>
  <c r="AY30" i="1"/>
  <c r="AK30" i="1"/>
  <c r="AM30" i="1"/>
  <c r="AX30" i="1"/>
  <c r="AL30" i="1"/>
  <c r="AV30" i="1"/>
  <c r="AU30" i="1"/>
  <c r="C43" i="16"/>
  <c r="B87" i="16"/>
  <c r="B139" i="16" s="1"/>
  <c r="C28" i="17"/>
  <c r="C42" i="17"/>
  <c r="C41" i="16"/>
  <c r="B77" i="16"/>
  <c r="B129" i="16" s="1"/>
  <c r="C27" i="16"/>
  <c r="C25" i="16"/>
  <c r="C39" i="16"/>
  <c r="B67" i="16"/>
  <c r="B119" i="16" s="1"/>
  <c r="B62" i="16"/>
  <c r="B114" i="16" s="1"/>
  <c r="C38" i="16"/>
  <c r="AD30" i="1"/>
  <c r="C24" i="16"/>
  <c r="K15" i="17"/>
  <c r="C44" i="16"/>
  <c r="B92" i="16" s="1"/>
  <c r="B144" i="16" s="1"/>
  <c r="C38" i="17"/>
  <c r="L15" i="17"/>
  <c r="S15" i="17"/>
  <c r="AB44" i="17"/>
  <c r="AH147" i="1"/>
  <c r="AI147" i="1" s="1"/>
  <c r="AJ147" i="1" s="1"/>
  <c r="V15" i="17"/>
  <c r="M15" i="17"/>
  <c r="Y15" i="17"/>
  <c r="P16" i="17"/>
  <c r="L16" i="1"/>
  <c r="E43" i="17"/>
  <c r="E15" i="17" s="1"/>
  <c r="I15" i="17"/>
  <c r="AH152" i="1"/>
  <c r="AI152" i="1" s="1"/>
  <c r="AJ152" i="1" s="1"/>
  <c r="BI152" i="1" s="1"/>
  <c r="Z15" i="17"/>
  <c r="Q16" i="17"/>
  <c r="V15" i="1"/>
  <c r="AA30" i="17"/>
  <c r="AA16" i="17" s="1"/>
  <c r="M16" i="17"/>
  <c r="O15" i="17"/>
  <c r="AA15" i="17"/>
  <c r="P16" i="1"/>
  <c r="C31" i="17"/>
  <c r="S16" i="17"/>
  <c r="Z16" i="1"/>
  <c r="Q15" i="17"/>
  <c r="H16" i="17"/>
  <c r="AE43" i="1"/>
  <c r="C31" i="16"/>
  <c r="U16" i="17"/>
  <c r="C36" i="16"/>
  <c r="T44" i="17"/>
  <c r="T16" i="17" s="1"/>
  <c r="I16" i="17"/>
  <c r="J16" i="1"/>
  <c r="V16" i="17"/>
  <c r="B52" i="16"/>
  <c r="B104" i="16" s="1"/>
  <c r="U15" i="17"/>
  <c r="O16" i="17"/>
  <c r="F15" i="1"/>
  <c r="F16" i="17"/>
  <c r="R15" i="17"/>
  <c r="AH144" i="1"/>
  <c r="AI144" i="1" s="1"/>
  <c r="AJ144" i="1" s="1"/>
  <c r="T15" i="17"/>
  <c r="K16" i="1"/>
  <c r="W16" i="1"/>
  <c r="H15" i="1"/>
  <c r="C43" i="17"/>
  <c r="C30" i="17"/>
  <c r="C22" i="17"/>
  <c r="F8" i="16"/>
  <c r="F18" i="16" s="1"/>
  <c r="C29" i="16"/>
  <c r="F29" i="17"/>
  <c r="F15" i="17" s="1"/>
  <c r="W30" i="17"/>
  <c r="W16" i="17" s="1"/>
  <c r="M15" i="1"/>
  <c r="R16" i="1"/>
  <c r="U16" i="1"/>
  <c r="X30" i="17"/>
  <c r="X16" i="17" s="1"/>
  <c r="P15" i="1"/>
  <c r="S16" i="1"/>
  <c r="X15" i="17"/>
  <c r="Z16" i="17"/>
  <c r="Q15" i="1"/>
  <c r="V16" i="1"/>
  <c r="K30" i="17"/>
  <c r="K16" i="17" s="1"/>
  <c r="T15" i="1"/>
  <c r="U15" i="1"/>
  <c r="W15" i="1"/>
  <c r="M16" i="1"/>
  <c r="Y16" i="1"/>
  <c r="N29" i="17"/>
  <c r="N15" i="17" s="1"/>
  <c r="X15" i="1"/>
  <c r="R16" i="17"/>
  <c r="Y15" i="1"/>
  <c r="Z15" i="1"/>
  <c r="AA15" i="1"/>
  <c r="Q16" i="1"/>
  <c r="H15" i="17"/>
  <c r="N16" i="1"/>
  <c r="L16" i="17"/>
  <c r="I16" i="1"/>
  <c r="H16" i="1"/>
  <c r="O16" i="1"/>
  <c r="G30" i="17"/>
  <c r="G16" i="17" s="1"/>
  <c r="AE16" i="17" s="1"/>
  <c r="F16" i="1"/>
  <c r="AB29" i="1"/>
  <c r="G15" i="1"/>
  <c r="R15" i="1"/>
  <c r="S15" i="1"/>
  <c r="P15" i="17"/>
  <c r="O15" i="1"/>
  <c r="J15" i="1"/>
  <c r="K15" i="1"/>
  <c r="L15" i="1"/>
  <c r="J29" i="17"/>
  <c r="J15" i="17" s="1"/>
  <c r="I15" i="1"/>
  <c r="P8" i="16"/>
  <c r="P18" i="16" s="1"/>
  <c r="H8" i="16"/>
  <c r="H18" i="16" s="1"/>
  <c r="J16" i="17"/>
  <c r="G15" i="17"/>
  <c r="AE15" i="17" s="1"/>
  <c r="AB43" i="17"/>
  <c r="AJ8" i="17"/>
  <c r="AZ8" i="17"/>
  <c r="AS10" i="17"/>
  <c r="AY10" i="17"/>
  <c r="AD10" i="17"/>
  <c r="AX11" i="17"/>
  <c r="AG11" i="17"/>
  <c r="AK11" i="17"/>
  <c r="AJ32" i="17"/>
  <c r="AP10" i="17"/>
  <c r="AS12" i="17"/>
  <c r="AI12" i="17"/>
  <c r="AT8" i="17"/>
  <c r="AS11" i="17"/>
  <c r="AW14" i="17"/>
  <c r="AR14" i="17"/>
  <c r="AJ14" i="17"/>
  <c r="AC13" i="17"/>
  <c r="AR8" i="17"/>
  <c r="AR10" i="17"/>
  <c r="AZ10" i="17"/>
  <c r="AK15" i="17"/>
  <c r="AU15" i="17"/>
  <c r="AT16" i="17"/>
  <c r="AJ11" i="17"/>
  <c r="AR11" i="17"/>
  <c r="AZ11" i="17"/>
  <c r="AU12" i="17"/>
  <c r="AK14" i="17"/>
  <c r="AS14" i="17"/>
  <c r="AI16" i="17"/>
  <c r="AN12" i="17"/>
  <c r="AV12" i="17"/>
  <c r="AL14" i="17"/>
  <c r="AT14" i="17"/>
  <c r="AO15" i="17"/>
  <c r="AW15" i="17"/>
  <c r="AR16" i="17"/>
  <c r="AI10" i="17"/>
  <c r="AL11" i="17"/>
  <c r="AT11" i="17"/>
  <c r="AG12" i="17"/>
  <c r="AW12" i="17"/>
  <c r="AZ13" i="17"/>
  <c r="AU14" i="17"/>
  <c r="AG14" i="17"/>
  <c r="AO14" i="17"/>
  <c r="AU16" i="17"/>
  <c r="AJ12" i="17"/>
  <c r="AT12" i="17"/>
  <c r="AO13" i="17"/>
  <c r="AU10" i="17"/>
  <c r="AP11" i="17"/>
  <c r="AN13" i="17"/>
  <c r="AI14" i="17"/>
  <c r="AT15" i="17"/>
  <c r="BX55" i="16"/>
  <c r="AX22" i="16" s="1"/>
  <c r="BP55" i="16"/>
  <c r="AP22" i="16" s="1"/>
  <c r="BH55" i="16"/>
  <c r="AH22" i="16" s="1"/>
  <c r="BW55" i="16"/>
  <c r="AW22" i="16" s="1"/>
  <c r="BO55" i="16"/>
  <c r="AO22" i="16" s="1"/>
  <c r="BG55" i="16"/>
  <c r="AG22" i="16" s="1"/>
  <c r="BV55" i="16"/>
  <c r="AV22" i="16" s="1"/>
  <c r="BN55" i="16"/>
  <c r="AN22" i="16" s="1"/>
  <c r="AK55" i="16"/>
  <c r="AC22" i="16" s="1"/>
  <c r="BI55" i="16"/>
  <c r="AI22" i="16" s="1"/>
  <c r="AD22" i="16"/>
  <c r="AE22" i="16" s="1"/>
  <c r="BY55" i="16"/>
  <c r="AY22" i="16" s="1"/>
  <c r="BQ55" i="16"/>
  <c r="AQ22" i="16" s="1"/>
  <c r="AE13" i="16"/>
  <c r="J8" i="16"/>
  <c r="J18" i="16" s="1"/>
  <c r="R8" i="16"/>
  <c r="R18" i="16" s="1"/>
  <c r="Z8" i="16"/>
  <c r="Z18" i="16" s="1"/>
  <c r="AB10" i="16"/>
  <c r="K32" i="16"/>
  <c r="AB32" i="16" s="1"/>
  <c r="S32" i="16"/>
  <c r="AA32" i="16"/>
  <c r="BL55" i="16"/>
  <c r="AL22" i="16" s="1"/>
  <c r="BT55" i="16"/>
  <c r="AT22" i="16" s="1"/>
  <c r="AS127" i="16"/>
  <c r="BN127" i="16" s="1"/>
  <c r="AN40" i="16" s="1"/>
  <c r="BN75" i="16"/>
  <c r="BA127" i="16"/>
  <c r="BV127" i="16" s="1"/>
  <c r="BV75" i="16"/>
  <c r="AB9" i="16"/>
  <c r="AB22" i="16"/>
  <c r="I46" i="16"/>
  <c r="AB46" i="16" s="1"/>
  <c r="BM55" i="16"/>
  <c r="AM22" i="16" s="1"/>
  <c r="BU55" i="16"/>
  <c r="AU22" i="16" s="1"/>
  <c r="AN112" i="16"/>
  <c r="BI60" i="16"/>
  <c r="AV112" i="16"/>
  <c r="BQ60" i="16"/>
  <c r="BS72" i="16"/>
  <c r="BK72" i="16"/>
  <c r="AK72" i="16"/>
  <c r="AC26" i="16" s="1"/>
  <c r="AC12" i="16" s="1"/>
  <c r="BX72" i="16"/>
  <c r="BP72" i="16"/>
  <c r="BH72" i="16"/>
  <c r="AD26" i="16"/>
  <c r="AD12" i="16" s="1"/>
  <c r="AE12" i="16" s="1"/>
  <c r="AK87" i="16"/>
  <c r="AD29" i="16"/>
  <c r="BY87" i="16"/>
  <c r="BQ87" i="16"/>
  <c r="BI87" i="16"/>
  <c r="BK55" i="16"/>
  <c r="AK22" i="16" s="1"/>
  <c r="AB8" i="16"/>
  <c r="AB16" i="16"/>
  <c r="U32" i="16"/>
  <c r="BG87" i="16"/>
  <c r="AG29" i="16" s="1"/>
  <c r="BO87" i="16"/>
  <c r="AK129" i="16"/>
  <c r="AC41" i="16" s="1"/>
  <c r="AD41" i="16"/>
  <c r="AD13" i="16" s="1"/>
  <c r="BX129" i="16"/>
  <c r="AX41" i="16" s="1"/>
  <c r="AB15" i="16"/>
  <c r="F32" i="16"/>
  <c r="N32" i="16"/>
  <c r="V32" i="16"/>
  <c r="BK57" i="16"/>
  <c r="BS57" i="16"/>
  <c r="BS55" i="16"/>
  <c r="AS22" i="16" s="1"/>
  <c r="AK90" i="16"/>
  <c r="BS90" i="16"/>
  <c r="BK90" i="16"/>
  <c r="BV90" i="16"/>
  <c r="AB14" i="16"/>
  <c r="G18" i="16"/>
  <c r="AP122" i="16"/>
  <c r="BK70" i="16"/>
  <c r="AX122" i="16"/>
  <c r="BS70" i="16"/>
  <c r="BU107" i="16"/>
  <c r="AU36" i="16" s="1"/>
  <c r="BM107" i="16"/>
  <c r="AM36" i="16" s="1"/>
  <c r="BT107" i="16"/>
  <c r="AT36" i="16" s="1"/>
  <c r="BL107" i="16"/>
  <c r="AL36" i="16" s="1"/>
  <c r="BS107" i="16"/>
  <c r="AS36" i="16" s="1"/>
  <c r="BK107" i="16"/>
  <c r="AK36" i="16" s="1"/>
  <c r="BZ107" i="16"/>
  <c r="AZ36" i="16" s="1"/>
  <c r="BR107" i="16"/>
  <c r="AR36" i="16" s="1"/>
  <c r="BJ107" i="16"/>
  <c r="AJ36" i="16" s="1"/>
  <c r="BY107" i="16"/>
  <c r="AY36" i="16" s="1"/>
  <c r="BQ107" i="16"/>
  <c r="AQ36" i="16" s="1"/>
  <c r="BI107" i="16"/>
  <c r="AI36" i="16" s="1"/>
  <c r="BX107" i="16"/>
  <c r="AX36" i="16" s="1"/>
  <c r="BP107" i="16"/>
  <c r="AP36" i="16" s="1"/>
  <c r="BH107" i="16"/>
  <c r="AH36" i="16" s="1"/>
  <c r="BW107" i="16"/>
  <c r="AW36" i="16" s="1"/>
  <c r="BO107" i="16"/>
  <c r="AO36" i="16" s="1"/>
  <c r="AD36" i="16"/>
  <c r="BV107" i="16"/>
  <c r="AV36" i="16" s="1"/>
  <c r="BN107" i="16"/>
  <c r="AN36" i="16" s="1"/>
  <c r="AE41" i="16"/>
  <c r="BI57" i="16"/>
  <c r="BG57" i="16"/>
  <c r="AD23" i="16"/>
  <c r="BW57" i="16"/>
  <c r="BJ55" i="16"/>
  <c r="AJ22" i="16" s="1"/>
  <c r="BR55" i="16"/>
  <c r="AR22" i="16" s="1"/>
  <c r="BZ55" i="16"/>
  <c r="AZ22" i="16" s="1"/>
  <c r="AK57" i="16"/>
  <c r="BN57" i="16"/>
  <c r="BV57" i="16"/>
  <c r="AC24" i="16"/>
  <c r="AS114" i="16"/>
  <c r="BN114" i="16" s="1"/>
  <c r="BN62" i="16"/>
  <c r="BA114" i="16"/>
  <c r="BV114" i="16" s="1"/>
  <c r="BV62" i="16"/>
  <c r="AB25" i="16"/>
  <c r="AE28" i="16"/>
  <c r="BJ112" i="16"/>
  <c r="BS65" i="16"/>
  <c r="BK65" i="16"/>
  <c r="AK65" i="16"/>
  <c r="BQ72" i="16"/>
  <c r="BG127" i="16"/>
  <c r="AG40" i="16" s="1"/>
  <c r="BO127" i="16"/>
  <c r="AO40" i="16" s="1"/>
  <c r="BW127" i="16"/>
  <c r="AW40" i="16" s="1"/>
  <c r="BM129" i="16"/>
  <c r="AM41" i="16" s="1"/>
  <c r="BU129" i="16"/>
  <c r="AU41" i="16" s="1"/>
  <c r="BK137" i="16"/>
  <c r="AK42" i="16" s="1"/>
  <c r="BS137" i="16"/>
  <c r="AS42" i="16" s="1"/>
  <c r="BH85" i="16"/>
  <c r="AL142" i="16"/>
  <c r="BG142" i="16" s="1"/>
  <c r="BG90" i="16"/>
  <c r="AT142" i="16"/>
  <c r="BO142" i="16" s="1"/>
  <c r="AO43" i="16" s="1"/>
  <c r="BO90" i="16"/>
  <c r="BB142" i="16"/>
  <c r="BW142" i="16" s="1"/>
  <c r="AW43" i="16" s="1"/>
  <c r="BW90" i="16"/>
  <c r="BY114" i="16"/>
  <c r="BQ124" i="16"/>
  <c r="BW137" i="16"/>
  <c r="AW42" i="16" s="1"/>
  <c r="BV142" i="16"/>
  <c r="AV43" i="16" s="1"/>
  <c r="AB24" i="16"/>
  <c r="AE27" i="16"/>
  <c r="BH57" i="16"/>
  <c r="BP57" i="16"/>
  <c r="AP23" i="16" s="1"/>
  <c r="BX57" i="16"/>
  <c r="BX62" i="16"/>
  <c r="AK77" i="16"/>
  <c r="AC27" i="16" s="1"/>
  <c r="AC13" i="16" s="1"/>
  <c r="BY77" i="16"/>
  <c r="BQ77" i="16"/>
  <c r="BI77" i="16"/>
  <c r="BV77" i="16"/>
  <c r="AV27" i="16" s="1"/>
  <c r="BN77" i="16"/>
  <c r="BN129" i="16"/>
  <c r="AN41" i="16" s="1"/>
  <c r="BS80" i="16"/>
  <c r="AS27" i="16" s="1"/>
  <c r="AS13" i="16" s="1"/>
  <c r="BK80" i="16"/>
  <c r="AK80" i="16"/>
  <c r="BX80" i="16"/>
  <c r="BP80" i="16"/>
  <c r="BH80" i="16"/>
  <c r="BV80" i="16"/>
  <c r="BN80" i="16"/>
  <c r="AQ137" i="16"/>
  <c r="BL137" i="16" s="1"/>
  <c r="BL85" i="16"/>
  <c r="AL28" i="16" s="1"/>
  <c r="AL14" i="16" s="1"/>
  <c r="AY137" i="16"/>
  <c r="BT137" i="16" s="1"/>
  <c r="BT85" i="16"/>
  <c r="AT28" i="16" s="1"/>
  <c r="BR124" i="16"/>
  <c r="BV129" i="16"/>
  <c r="AV41" i="16" s="1"/>
  <c r="AB23" i="16"/>
  <c r="AB36" i="16"/>
  <c r="AB37" i="16"/>
  <c r="AB40" i="16"/>
  <c r="AB41" i="16"/>
  <c r="AB42" i="16"/>
  <c r="AB43" i="16"/>
  <c r="AB44" i="16"/>
  <c r="BQ57" i="16"/>
  <c r="BY57" i="16"/>
  <c r="AY23" i="16" s="1"/>
  <c r="BL60" i="16"/>
  <c r="BT112" i="16"/>
  <c r="AM117" i="16"/>
  <c r="BH65" i="16"/>
  <c r="AH24" i="16" s="1"/>
  <c r="AU117" i="16"/>
  <c r="BP65" i="16"/>
  <c r="AP24" i="16" s="1"/>
  <c r="BC117" i="16"/>
  <c r="BX65" i="16"/>
  <c r="BQ127" i="16"/>
  <c r="BY127" i="16"/>
  <c r="AY40" i="16" s="1"/>
  <c r="AL129" i="16"/>
  <c r="BG129" i="16" s="1"/>
  <c r="AG41" i="16" s="1"/>
  <c r="BG77" i="16"/>
  <c r="AT129" i="16"/>
  <c r="BO129" i="16" s="1"/>
  <c r="AO41" i="16" s="1"/>
  <c r="BO77" i="16"/>
  <c r="AO27" i="16" s="1"/>
  <c r="AO13" i="16" s="1"/>
  <c r="BB129" i="16"/>
  <c r="BW129" i="16" s="1"/>
  <c r="AW41" i="16" s="1"/>
  <c r="BW77" i="16"/>
  <c r="AK82" i="16"/>
  <c r="BY82" i="16"/>
  <c r="BQ82" i="16"/>
  <c r="AQ28" i="16" s="1"/>
  <c r="AQ14" i="16" s="1"/>
  <c r="BI82" i="16"/>
  <c r="BM137" i="16"/>
  <c r="AM42" i="16" s="1"/>
  <c r="BU137" i="16"/>
  <c r="AU42" i="16" s="1"/>
  <c r="AM144" i="16"/>
  <c r="BH144" i="16" s="1"/>
  <c r="AH44" i="16" s="1"/>
  <c r="BH92" i="16"/>
  <c r="AH30" i="16" s="1"/>
  <c r="AH16" i="16" s="1"/>
  <c r="AU144" i="16"/>
  <c r="BP144" i="16" s="1"/>
  <c r="AP44" i="16" s="1"/>
  <c r="BP92" i="16"/>
  <c r="BC144" i="16"/>
  <c r="BX144" i="16" s="1"/>
  <c r="AX44" i="16" s="1"/>
  <c r="BX92" i="16"/>
  <c r="BJ57" i="16"/>
  <c r="BR57" i="16"/>
  <c r="BZ57" i="16"/>
  <c r="AZ23" i="16" s="1"/>
  <c r="AR112" i="16"/>
  <c r="BM60" i="16"/>
  <c r="AZ112" i="16"/>
  <c r="BU60" i="16"/>
  <c r="BH67" i="16"/>
  <c r="AH25" i="16" s="1"/>
  <c r="AQ124" i="16"/>
  <c r="BL124" i="16" s="1"/>
  <c r="AL40" i="16" s="1"/>
  <c r="BL72" i="16"/>
  <c r="AY124" i="16"/>
  <c r="BT124" i="16" s="1"/>
  <c r="AT40" i="16" s="1"/>
  <c r="BT72" i="16"/>
  <c r="BH129" i="16"/>
  <c r="AH41" i="16" s="1"/>
  <c r="BP129" i="16"/>
  <c r="AP41" i="16" s="1"/>
  <c r="BS85" i="16"/>
  <c r="BK85" i="16"/>
  <c r="AK85" i="16"/>
  <c r="BN85" i="16"/>
  <c r="AN28" i="16" s="1"/>
  <c r="AN14" i="16" s="1"/>
  <c r="BV85" i="16"/>
  <c r="AV28" i="16" s="1"/>
  <c r="AV14" i="16" s="1"/>
  <c r="BK144" i="16"/>
  <c r="AK44" i="16" s="1"/>
  <c r="BS60" i="16"/>
  <c r="BK60" i="16"/>
  <c r="AK60" i="16"/>
  <c r="AN119" i="16"/>
  <c r="BI119" i="16" s="1"/>
  <c r="BI67" i="16"/>
  <c r="AI25" i="16" s="1"/>
  <c r="AV119" i="16"/>
  <c r="BQ119" i="16" s="1"/>
  <c r="BQ67" i="16"/>
  <c r="BD119" i="16"/>
  <c r="BY119" i="16" s="1"/>
  <c r="BY67" i="16"/>
  <c r="BI129" i="16"/>
  <c r="AI41" i="16" s="1"/>
  <c r="BQ129" i="16"/>
  <c r="AQ41" i="16" s="1"/>
  <c r="BY129" i="16"/>
  <c r="AN132" i="16"/>
  <c r="BI132" i="16" s="1"/>
  <c r="BI80" i="16"/>
  <c r="AV132" i="16"/>
  <c r="BQ132" i="16" s="1"/>
  <c r="BQ80" i="16"/>
  <c r="BD132" i="16"/>
  <c r="BY132" i="16" s="1"/>
  <c r="BY80" i="16"/>
  <c r="BT87" i="16"/>
  <c r="AO147" i="16"/>
  <c r="BJ147" i="16" s="1"/>
  <c r="BJ95" i="16"/>
  <c r="AW147" i="16"/>
  <c r="BR147" i="16" s="1"/>
  <c r="BR95" i="16"/>
  <c r="BE147" i="16"/>
  <c r="BZ147" i="16" s="1"/>
  <c r="BZ95" i="16"/>
  <c r="AE36" i="16"/>
  <c r="BL57" i="16"/>
  <c r="AL23" i="16" s="1"/>
  <c r="BT57" i="16"/>
  <c r="BO60" i="16"/>
  <c r="AO23" i="16" s="1"/>
  <c r="BW60" i="16"/>
  <c r="BV72" i="16"/>
  <c r="AV26" i="16" s="1"/>
  <c r="BJ129" i="16"/>
  <c r="AJ41" i="16" s="1"/>
  <c r="BR129" i="16"/>
  <c r="AR41" i="16" s="1"/>
  <c r="BZ129" i="16"/>
  <c r="AZ41" i="16" s="1"/>
  <c r="AR139" i="16"/>
  <c r="BM139" i="16" s="1"/>
  <c r="BM87" i="16"/>
  <c r="AM29" i="16" s="1"/>
  <c r="AZ139" i="16"/>
  <c r="BU139" i="16" s="1"/>
  <c r="BU87" i="16"/>
  <c r="AU29" i="16" s="1"/>
  <c r="BZ109" i="16"/>
  <c r="BX109" i="16"/>
  <c r="BP109" i="16"/>
  <c r="BU109" i="16"/>
  <c r="BT109" i="16"/>
  <c r="AT37" i="16" s="1"/>
  <c r="BK109" i="16"/>
  <c r="BS109" i="16"/>
  <c r="BJ109" i="16"/>
  <c r="BR109" i="16"/>
  <c r="BI109" i="16"/>
  <c r="BQ109" i="16"/>
  <c r="BH109" i="16"/>
  <c r="BO109" i="16"/>
  <c r="BG109" i="16"/>
  <c r="BY109" i="16"/>
  <c r="BN109" i="16"/>
  <c r="BW109" i="16"/>
  <c r="BM109" i="16"/>
  <c r="BM57" i="16"/>
  <c r="AM23" i="16" s="1"/>
  <c r="BU57" i="16"/>
  <c r="AU23" i="16" s="1"/>
  <c r="BH112" i="16"/>
  <c r="BK67" i="16"/>
  <c r="AK25" i="16" s="1"/>
  <c r="BS67" i="16"/>
  <c r="AS25" i="16" s="1"/>
  <c r="BM67" i="16"/>
  <c r="AM25" i="16" s="1"/>
  <c r="BX75" i="16"/>
  <c r="BP75" i="16"/>
  <c r="BH75" i="16"/>
  <c r="BU75" i="16"/>
  <c r="BM75" i="16"/>
  <c r="BS75" i="16"/>
  <c r="BK75" i="16"/>
  <c r="BZ75" i="16"/>
  <c r="BK77" i="16"/>
  <c r="AK27" i="16" s="1"/>
  <c r="AK13" i="16" s="1"/>
  <c r="BM80" i="16"/>
  <c r="AO134" i="16"/>
  <c r="BJ134" i="16" s="1"/>
  <c r="AJ42" i="16" s="1"/>
  <c r="BJ82" i="16"/>
  <c r="AJ28" i="16" s="1"/>
  <c r="AJ14" i="16" s="1"/>
  <c r="AW134" i="16"/>
  <c r="BR134" i="16" s="1"/>
  <c r="AR42" i="16" s="1"/>
  <c r="BR82" i="16"/>
  <c r="BE134" i="16"/>
  <c r="BZ134" i="16" s="1"/>
  <c r="AZ42" i="16" s="1"/>
  <c r="BZ82" i="16"/>
  <c r="BY137" i="16"/>
  <c r="AY42" i="16" s="1"/>
  <c r="BL109" i="16"/>
  <c r="BI127" i="16"/>
  <c r="AI40" i="16" s="1"/>
  <c r="BJ60" i="16"/>
  <c r="BR60" i="16"/>
  <c r="BZ60" i="16"/>
  <c r="BK62" i="16"/>
  <c r="AK24" i="16" s="1"/>
  <c r="BS62" i="16"/>
  <c r="BM65" i="16"/>
  <c r="BU65" i="16"/>
  <c r="BN67" i="16"/>
  <c r="AN25" i="16" s="1"/>
  <c r="BV67" i="16"/>
  <c r="AV25" i="16" s="1"/>
  <c r="BH70" i="16"/>
  <c r="BP70" i="16"/>
  <c r="BI72" i="16"/>
  <c r="BY72" i="16"/>
  <c r="BL77" i="16"/>
  <c r="AL27" i="16" s="1"/>
  <c r="AL13" i="16" s="1"/>
  <c r="BT77" i="16"/>
  <c r="BO82" i="16"/>
  <c r="AO28" i="16" s="1"/>
  <c r="AO14" i="16" s="1"/>
  <c r="BW82" i="16"/>
  <c r="AW28" i="16" s="1"/>
  <c r="AW14" i="16" s="1"/>
  <c r="BI85" i="16"/>
  <c r="BQ85" i="16"/>
  <c r="BY85" i="16"/>
  <c r="BJ87" i="16"/>
  <c r="BR87" i="16"/>
  <c r="AR29" i="16" s="1"/>
  <c r="AR15" i="16" s="1"/>
  <c r="BZ87" i="16"/>
  <c r="BL90" i="16"/>
  <c r="BT90" i="16"/>
  <c r="BM92" i="16"/>
  <c r="BU92" i="16"/>
  <c r="BG95" i="16"/>
  <c r="AG30" i="16" s="1"/>
  <c r="BW95" i="16"/>
  <c r="AT112" i="16"/>
  <c r="BO112" i="16" s="1"/>
  <c r="AH117" i="16"/>
  <c r="AI117" i="16" s="1"/>
  <c r="AJ117" i="16" s="1"/>
  <c r="BU117" i="16" s="1"/>
  <c r="AU38" i="16" s="1"/>
  <c r="AP119" i="16"/>
  <c r="BK119" i="16" s="1"/>
  <c r="BE122" i="16"/>
  <c r="AV147" i="16"/>
  <c r="BQ147" i="16" s="1"/>
  <c r="AQ44" i="16" s="1"/>
  <c r="BL62" i="16"/>
  <c r="AL24" i="16" s="1"/>
  <c r="BT62" i="16"/>
  <c r="AT24" i="16" s="1"/>
  <c r="BN65" i="16"/>
  <c r="BV65" i="16"/>
  <c r="BG67" i="16"/>
  <c r="AG25" i="16" s="1"/>
  <c r="BO67" i="16"/>
  <c r="AO25" i="16" s="1"/>
  <c r="BW67" i="16"/>
  <c r="AW25" i="16" s="1"/>
  <c r="BI70" i="16"/>
  <c r="BQ70" i="16"/>
  <c r="BY70" i="16"/>
  <c r="BJ72" i="16"/>
  <c r="AJ26" i="16" s="1"/>
  <c r="BR72" i="16"/>
  <c r="AR26" i="16" s="1"/>
  <c r="BZ72" i="16"/>
  <c r="AZ26" i="16" s="1"/>
  <c r="BL75" i="16"/>
  <c r="BT75" i="16"/>
  <c r="BM77" i="16"/>
  <c r="BU77" i="16"/>
  <c r="AU27" i="16" s="1"/>
  <c r="AU13" i="16" s="1"/>
  <c r="BG80" i="16"/>
  <c r="BO80" i="16"/>
  <c r="BW80" i="16"/>
  <c r="BH82" i="16"/>
  <c r="AH28" i="16" s="1"/>
  <c r="AH14" i="16" s="1"/>
  <c r="BP82" i="16"/>
  <c r="AP28" i="16" s="1"/>
  <c r="BX82" i="16"/>
  <c r="AX28" i="16" s="1"/>
  <c r="AX14" i="16" s="1"/>
  <c r="BJ85" i="16"/>
  <c r="BR85" i="16"/>
  <c r="BZ85" i="16"/>
  <c r="BK87" i="16"/>
  <c r="AK29" i="16" s="1"/>
  <c r="BS87" i="16"/>
  <c r="AS29" i="16" s="1"/>
  <c r="AS15" i="16" s="1"/>
  <c r="BI142" i="16"/>
  <c r="AI43" i="16" s="1"/>
  <c r="BQ142" i="16"/>
  <c r="AQ43" i="16" s="1"/>
  <c r="BY142" i="16"/>
  <c r="AY43" i="16" s="1"/>
  <c r="BM90" i="16"/>
  <c r="BU90" i="16"/>
  <c r="BJ144" i="16"/>
  <c r="AJ44" i="16" s="1"/>
  <c r="BR144" i="16"/>
  <c r="BZ144" i="16"/>
  <c r="AZ44" i="16" s="1"/>
  <c r="BN92" i="16"/>
  <c r="AN30" i="16" s="1"/>
  <c r="AN16" i="16" s="1"/>
  <c r="BV92" i="16"/>
  <c r="AV30" i="16" s="1"/>
  <c r="BH95" i="16"/>
  <c r="BP95" i="16"/>
  <c r="BX95" i="16"/>
  <c r="AM114" i="16"/>
  <c r="BH114" i="16" s="1"/>
  <c r="BB117" i="16"/>
  <c r="BA124" i="16"/>
  <c r="BV124" i="16" s="1"/>
  <c r="AV40" i="16" s="1"/>
  <c r="AQ134" i="16"/>
  <c r="BL134" i="16" s="1"/>
  <c r="AL42" i="16" s="1"/>
  <c r="AY139" i="16"/>
  <c r="BT139" i="16" s="1"/>
  <c r="AT43" i="16" s="1"/>
  <c r="AL144" i="16"/>
  <c r="BG144" i="16" s="1"/>
  <c r="AG44" i="16" s="1"/>
  <c r="BT60" i="16"/>
  <c r="BM62" i="16"/>
  <c r="BU62" i="16"/>
  <c r="AU24" i="16" s="1"/>
  <c r="BG65" i="16"/>
  <c r="BO65" i="16"/>
  <c r="BP67" i="16"/>
  <c r="AP25" i="16" s="1"/>
  <c r="BX67" i="16"/>
  <c r="AX25" i="16" s="1"/>
  <c r="BJ70" i="16"/>
  <c r="BR70" i="16"/>
  <c r="BL87" i="16"/>
  <c r="BN90" i="16"/>
  <c r="BO92" i="16"/>
  <c r="AO30" i="16" s="1"/>
  <c r="AO16" i="16" s="1"/>
  <c r="BW92" i="16"/>
  <c r="AW30" i="16" s="1"/>
  <c r="AW16" i="16" s="1"/>
  <c r="BI95" i="16"/>
  <c r="BY95" i="16"/>
  <c r="AH112" i="16"/>
  <c r="AI112" i="16" s="1"/>
  <c r="AJ112" i="16" s="1"/>
  <c r="BL112" i="16" s="1"/>
  <c r="BE117" i="16"/>
  <c r="BJ114" i="16"/>
  <c r="BR114" i="16"/>
  <c r="BZ114" i="16"/>
  <c r="BL117" i="16"/>
  <c r="AL38" i="16" s="1"/>
  <c r="BT117" i="16"/>
  <c r="AT38" i="16" s="1"/>
  <c r="BH124" i="16"/>
  <c r="AH40" i="16" s="1"/>
  <c r="BP124" i="16"/>
  <c r="AP40" i="16" s="1"/>
  <c r="BX124" i="16"/>
  <c r="AX40" i="16" s="1"/>
  <c r="BJ127" i="16"/>
  <c r="AJ40" i="16" s="1"/>
  <c r="BR127" i="16"/>
  <c r="BZ127" i="16"/>
  <c r="AZ40" i="16" s="1"/>
  <c r="BK129" i="16"/>
  <c r="AK41" i="16" s="1"/>
  <c r="BS129" i="16"/>
  <c r="AS41" i="16" s="1"/>
  <c r="BH137" i="16"/>
  <c r="AH42" i="16" s="1"/>
  <c r="BP137" i="16"/>
  <c r="AP42" i="16" s="1"/>
  <c r="BX137" i="16"/>
  <c r="AX42" i="16" s="1"/>
  <c r="BK142" i="16"/>
  <c r="AK43" i="16" s="1"/>
  <c r="BS142" i="16"/>
  <c r="AS43" i="16" s="1"/>
  <c r="BL144" i="16"/>
  <c r="AL44" i="16" s="1"/>
  <c r="BT144" i="16"/>
  <c r="AT44" i="16" s="1"/>
  <c r="BB112" i="16"/>
  <c r="AX119" i="16"/>
  <c r="BS119" i="16" s="1"/>
  <c r="AR122" i="16"/>
  <c r="AK139" i="16"/>
  <c r="AC43" i="16" s="1"/>
  <c r="AK147" i="16"/>
  <c r="AC44" i="16" s="1"/>
  <c r="AC16" i="16" s="1"/>
  <c r="BN60" i="16"/>
  <c r="BV60" i="16"/>
  <c r="BG62" i="16"/>
  <c r="AG24" i="16" s="1"/>
  <c r="BO62" i="16"/>
  <c r="BW62" i="16"/>
  <c r="AW24" i="16" s="1"/>
  <c r="BI65" i="16"/>
  <c r="BQ65" i="16"/>
  <c r="BY65" i="16"/>
  <c r="BJ67" i="16"/>
  <c r="AJ25" i="16" s="1"/>
  <c r="BR67" i="16"/>
  <c r="AR25" i="16" s="1"/>
  <c r="BZ67" i="16"/>
  <c r="AZ25" i="16" s="1"/>
  <c r="BL70" i="16"/>
  <c r="BT70" i="16"/>
  <c r="BM72" i="16"/>
  <c r="AM26" i="16" s="1"/>
  <c r="AM12" i="16" s="1"/>
  <c r="BU72" i="16"/>
  <c r="BG75" i="16"/>
  <c r="BO75" i="16"/>
  <c r="BW75" i="16"/>
  <c r="BH77" i="16"/>
  <c r="AH27" i="16" s="1"/>
  <c r="AH13" i="16" s="1"/>
  <c r="BP77" i="16"/>
  <c r="AP27" i="16" s="1"/>
  <c r="AP13" i="16" s="1"/>
  <c r="BX77" i="16"/>
  <c r="AX27" i="16" s="1"/>
  <c r="AX13" i="16" s="1"/>
  <c r="BJ80" i="16"/>
  <c r="BR80" i="16"/>
  <c r="BZ80" i="16"/>
  <c r="BK82" i="16"/>
  <c r="BS82" i="16"/>
  <c r="AS28" i="16" s="1"/>
  <c r="BM85" i="16"/>
  <c r="BU85" i="16"/>
  <c r="BN87" i="16"/>
  <c r="BV87" i="16"/>
  <c r="AV29" i="16" s="1"/>
  <c r="AV15" i="16" s="1"/>
  <c r="BH90" i="16"/>
  <c r="BP90" i="16"/>
  <c r="BX90" i="16"/>
  <c r="BI92" i="16"/>
  <c r="AI30" i="16" s="1"/>
  <c r="AI16" i="16" s="1"/>
  <c r="BQ92" i="16"/>
  <c r="AQ30" i="16" s="1"/>
  <c r="AQ16" i="16" s="1"/>
  <c r="BY92" i="16"/>
  <c r="BK95" i="16"/>
  <c r="BS95" i="16"/>
  <c r="AU114" i="16"/>
  <c r="BP114" i="16" s="1"/>
  <c r="AO117" i="16"/>
  <c r="BJ117" i="16" s="1"/>
  <c r="AY134" i="16"/>
  <c r="BT134" i="16" s="1"/>
  <c r="AT42" i="16" s="1"/>
  <c r="AS137" i="16"/>
  <c r="BN137" i="16" s="1"/>
  <c r="AN42" i="16" s="1"/>
  <c r="AL139" i="16"/>
  <c r="BG139" i="16" s="1"/>
  <c r="AG43" i="16" s="1"/>
  <c r="BG60" i="16"/>
  <c r="BU70" i="16"/>
  <c r="AU25" i="16" s="1"/>
  <c r="BN72" i="16"/>
  <c r="AN26" i="16" s="1"/>
  <c r="AN12" i="16" s="1"/>
  <c r="BW87" i="16"/>
  <c r="BM142" i="16"/>
  <c r="BU142" i="16"/>
  <c r="BI90" i="16"/>
  <c r="BQ90" i="16"/>
  <c r="BY90" i="16"/>
  <c r="BN144" i="16"/>
  <c r="AN44" i="16" s="1"/>
  <c r="BV144" i="16"/>
  <c r="AV44" i="16" s="1"/>
  <c r="BJ92" i="16"/>
  <c r="AJ30" i="16" s="1"/>
  <c r="BR92" i="16"/>
  <c r="AR30" i="16" s="1"/>
  <c r="BZ92" i="16"/>
  <c r="AZ30" i="16" s="1"/>
  <c r="BL95" i="16"/>
  <c r="AL30" i="16" s="1"/>
  <c r="AL16" i="16" s="1"/>
  <c r="BT95" i="16"/>
  <c r="AT30" i="16" s="1"/>
  <c r="AT16" i="16" s="1"/>
  <c r="BH60" i="16"/>
  <c r="BP60" i="16"/>
  <c r="BX60" i="16"/>
  <c r="BI62" i="16"/>
  <c r="BQ62" i="16"/>
  <c r="AQ24" i="16" s="1"/>
  <c r="BY62" i="16"/>
  <c r="BL67" i="16"/>
  <c r="AL25" i="16" s="1"/>
  <c r="BT67" i="16"/>
  <c r="AT25" i="16" s="1"/>
  <c r="BN70" i="16"/>
  <c r="BV70" i="16"/>
  <c r="BG72" i="16"/>
  <c r="BO72" i="16"/>
  <c r="BW72" i="16"/>
  <c r="AW26" i="16" s="1"/>
  <c r="AW12" i="16" s="1"/>
  <c r="BI75" i="16"/>
  <c r="BQ75" i="16"/>
  <c r="BY75" i="16"/>
  <c r="BJ77" i="16"/>
  <c r="BR77" i="16"/>
  <c r="AR27" i="16" s="1"/>
  <c r="AR13" i="16" s="1"/>
  <c r="BZ77" i="16"/>
  <c r="BL80" i="16"/>
  <c r="BT80" i="16"/>
  <c r="BM82" i="16"/>
  <c r="AM28" i="16" s="1"/>
  <c r="AM14" i="16" s="1"/>
  <c r="BU82" i="16"/>
  <c r="AU28" i="16" s="1"/>
  <c r="AU14" i="16" s="1"/>
  <c r="BG85" i="16"/>
  <c r="AG28" i="16" s="1"/>
  <c r="AG14" i="16" s="1"/>
  <c r="BO85" i="16"/>
  <c r="BW85" i="16"/>
  <c r="BH87" i="16"/>
  <c r="AH29" i="16" s="1"/>
  <c r="AH15" i="16" s="1"/>
  <c r="BP87" i="16"/>
  <c r="BX87" i="16"/>
  <c r="AX29" i="16" s="1"/>
  <c r="AX15" i="16" s="1"/>
  <c r="BJ90" i="16"/>
  <c r="BR90" i="16"/>
  <c r="BZ90" i="16"/>
  <c r="BK92" i="16"/>
  <c r="AK30" i="16" s="1"/>
  <c r="AK16" i="16" s="1"/>
  <c r="BS92" i="16"/>
  <c r="BM95" i="16"/>
  <c r="BU95" i="16"/>
  <c r="AH122" i="16"/>
  <c r="AI122" i="16" s="1"/>
  <c r="AJ122" i="16" s="1"/>
  <c r="BW122" i="16" s="1"/>
  <c r="AW39" i="16" s="1"/>
  <c r="AK134" i="16"/>
  <c r="AC42" i="16" s="1"/>
  <c r="BH152" i="1"/>
  <c r="BR152" i="1"/>
  <c r="BP152" i="1"/>
  <c r="BM152" i="1"/>
  <c r="BT149" i="1"/>
  <c r="BT152" i="1"/>
  <c r="BU149" i="1"/>
  <c r="BU152" i="1"/>
  <c r="BN149" i="1"/>
  <c r="BV149" i="1"/>
  <c r="BO149" i="1"/>
  <c r="BW149" i="1"/>
  <c r="BR149" i="1"/>
  <c r="BM149" i="1"/>
  <c r="BI149" i="1"/>
  <c r="AK149" i="1"/>
  <c r="BZ149" i="1"/>
  <c r="BQ149" i="1"/>
  <c r="BP149" i="1"/>
  <c r="BH149" i="1"/>
  <c r="BL149" i="1"/>
  <c r="BS149" i="1"/>
  <c r="BK149" i="1"/>
  <c r="BJ149" i="1"/>
  <c r="BY149" i="1"/>
  <c r="BX149" i="1"/>
  <c r="BG149" i="1"/>
  <c r="BO152" i="1"/>
  <c r="BT97" i="1"/>
  <c r="AT31" i="1" s="1"/>
  <c r="BL97" i="1"/>
  <c r="AL31" i="1" s="1"/>
  <c r="BI97" i="1"/>
  <c r="AI31" i="1" s="1"/>
  <c r="BQ97" i="1"/>
  <c r="AQ31" i="1" s="1"/>
  <c r="BY97" i="1"/>
  <c r="AY31" i="1" s="1"/>
  <c r="BJ97" i="1"/>
  <c r="AJ31" i="1" s="1"/>
  <c r="BR97" i="1"/>
  <c r="AR31" i="1" s="1"/>
  <c r="BZ97" i="1"/>
  <c r="AZ31" i="1" s="1"/>
  <c r="BK97" i="1"/>
  <c r="AK31" i="1" s="1"/>
  <c r="BS97" i="1"/>
  <c r="AS31" i="1" s="1"/>
  <c r="BX97" i="1"/>
  <c r="AX31" i="1" s="1"/>
  <c r="BH97" i="1"/>
  <c r="AH31" i="1" s="1"/>
  <c r="BW97" i="1"/>
  <c r="AW31" i="1" s="1"/>
  <c r="BO97" i="1"/>
  <c r="AO31" i="1" s="1"/>
  <c r="BG97" i="1"/>
  <c r="AG31" i="1" s="1"/>
  <c r="BV97" i="1"/>
  <c r="AV31" i="1" s="1"/>
  <c r="BU97" i="1"/>
  <c r="AU31" i="1" s="1"/>
  <c r="BM97" i="1"/>
  <c r="AM31" i="1" s="1"/>
  <c r="BN97" i="1"/>
  <c r="AN31" i="1" s="1"/>
  <c r="AK97" i="1"/>
  <c r="BP97" i="1"/>
  <c r="AP31" i="1" s="1"/>
  <c r="BE90" i="1"/>
  <c r="BE147" i="1" s="1"/>
  <c r="BD90" i="1"/>
  <c r="BD147" i="1" s="1"/>
  <c r="BC90" i="1"/>
  <c r="BC147" i="1" s="1"/>
  <c r="BX147" i="1" s="1"/>
  <c r="BB90" i="1"/>
  <c r="BB147" i="1" s="1"/>
  <c r="BW147" i="1" s="1"/>
  <c r="BA90" i="1"/>
  <c r="BA147" i="1" s="1"/>
  <c r="AZ90" i="1"/>
  <c r="AZ147" i="1" s="1"/>
  <c r="BU147" i="1" s="1"/>
  <c r="AY90" i="1"/>
  <c r="AY147" i="1" s="1"/>
  <c r="BT147" i="1" s="1"/>
  <c r="AX90" i="1"/>
  <c r="AX147" i="1" s="1"/>
  <c r="BS147" i="1" s="1"/>
  <c r="AW90" i="1"/>
  <c r="AW147" i="1" s="1"/>
  <c r="BR147" i="1" s="1"/>
  <c r="AV90" i="1"/>
  <c r="AV147" i="1" s="1"/>
  <c r="BQ147" i="1" s="1"/>
  <c r="AU90" i="1"/>
  <c r="AU147" i="1" s="1"/>
  <c r="AT90" i="1"/>
  <c r="AT147" i="1" s="1"/>
  <c r="AS90" i="1"/>
  <c r="AS147" i="1" s="1"/>
  <c r="AR90" i="1"/>
  <c r="AR147" i="1" s="1"/>
  <c r="AQ90" i="1"/>
  <c r="AQ147" i="1" s="1"/>
  <c r="BL147" i="1" s="1"/>
  <c r="AP90" i="1"/>
  <c r="AP147" i="1" s="1"/>
  <c r="BK147" i="1" s="1"/>
  <c r="AO90" i="1"/>
  <c r="AO147" i="1" s="1"/>
  <c r="AN90" i="1"/>
  <c r="AN147" i="1" s="1"/>
  <c r="BI147" i="1" s="1"/>
  <c r="AM90" i="1"/>
  <c r="AM147" i="1" s="1"/>
  <c r="BH147" i="1" s="1"/>
  <c r="AL90" i="1"/>
  <c r="AL147" i="1" s="1"/>
  <c r="BG147" i="1" s="1"/>
  <c r="AE90" i="1"/>
  <c r="AH90" i="1" s="1"/>
  <c r="AI90" i="1" s="1"/>
  <c r="AJ90" i="1" s="1"/>
  <c r="AB90" i="1"/>
  <c r="AK147" i="1" s="1"/>
  <c r="BE87" i="1"/>
  <c r="BE144" i="1" s="1"/>
  <c r="BD87" i="1"/>
  <c r="BD144" i="1" s="1"/>
  <c r="BC87" i="1"/>
  <c r="BC144" i="1" s="1"/>
  <c r="BB87" i="1"/>
  <c r="BB144" i="1" s="1"/>
  <c r="BA87" i="1"/>
  <c r="BA144" i="1" s="1"/>
  <c r="BV144" i="1" s="1"/>
  <c r="AZ87" i="1"/>
  <c r="AZ144" i="1" s="1"/>
  <c r="BU144" i="1" s="1"/>
  <c r="AY87" i="1"/>
  <c r="AY144" i="1" s="1"/>
  <c r="AX87" i="1"/>
  <c r="AX144" i="1" s="1"/>
  <c r="BS144" i="1" s="1"/>
  <c r="AW87" i="1"/>
  <c r="AW144" i="1" s="1"/>
  <c r="BR144" i="1" s="1"/>
  <c r="AV87" i="1"/>
  <c r="AV144" i="1" s="1"/>
  <c r="BQ144" i="1" s="1"/>
  <c r="AU87" i="1"/>
  <c r="AU144" i="1" s="1"/>
  <c r="BP144" i="1" s="1"/>
  <c r="AT87" i="1"/>
  <c r="AT144" i="1" s="1"/>
  <c r="BO144" i="1" s="1"/>
  <c r="AS87" i="1"/>
  <c r="AS144" i="1" s="1"/>
  <c r="AR87" i="1"/>
  <c r="AR144" i="1" s="1"/>
  <c r="AQ87" i="1"/>
  <c r="AQ144" i="1" s="1"/>
  <c r="AP87" i="1"/>
  <c r="AP144" i="1" s="1"/>
  <c r="AO87" i="1"/>
  <c r="AO144" i="1" s="1"/>
  <c r="BJ144" i="1" s="1"/>
  <c r="AN87" i="1"/>
  <c r="AN144" i="1" s="1"/>
  <c r="BI144" i="1" s="1"/>
  <c r="AM87" i="1"/>
  <c r="AM144" i="1" s="1"/>
  <c r="AL87" i="1"/>
  <c r="AL144" i="1" s="1"/>
  <c r="BG144" i="1" s="1"/>
  <c r="AE87" i="1"/>
  <c r="AH87" i="1" s="1"/>
  <c r="AI87" i="1" s="1"/>
  <c r="AJ87" i="1" s="1"/>
  <c r="AB87" i="1"/>
  <c r="AK144" i="1" s="1"/>
  <c r="BE85" i="1"/>
  <c r="BE142" i="1" s="1"/>
  <c r="BZ142" i="1" s="1"/>
  <c r="BD85" i="1"/>
  <c r="BD142" i="1" s="1"/>
  <c r="BY142" i="1" s="1"/>
  <c r="BC85" i="1"/>
  <c r="BC142" i="1" s="1"/>
  <c r="BX142" i="1" s="1"/>
  <c r="BB85" i="1"/>
  <c r="BB142" i="1" s="1"/>
  <c r="BW142" i="1" s="1"/>
  <c r="BA85" i="1"/>
  <c r="BA142" i="1" s="1"/>
  <c r="BV142" i="1" s="1"/>
  <c r="AZ85" i="1"/>
  <c r="AZ142" i="1" s="1"/>
  <c r="BU142" i="1" s="1"/>
  <c r="AY85" i="1"/>
  <c r="AY142" i="1" s="1"/>
  <c r="BT142" i="1" s="1"/>
  <c r="AX85" i="1"/>
  <c r="AX142" i="1" s="1"/>
  <c r="BS142" i="1" s="1"/>
  <c r="AW85" i="1"/>
  <c r="AW142" i="1" s="1"/>
  <c r="BR142" i="1" s="1"/>
  <c r="AV85" i="1"/>
  <c r="AV142" i="1" s="1"/>
  <c r="BQ142" i="1" s="1"/>
  <c r="AU85" i="1"/>
  <c r="AU142" i="1" s="1"/>
  <c r="BP142" i="1" s="1"/>
  <c r="AT85" i="1"/>
  <c r="AT142" i="1" s="1"/>
  <c r="BO142" i="1" s="1"/>
  <c r="AS85" i="1"/>
  <c r="AS142" i="1" s="1"/>
  <c r="BN142" i="1" s="1"/>
  <c r="AR85" i="1"/>
  <c r="AR142" i="1" s="1"/>
  <c r="BM142" i="1" s="1"/>
  <c r="AQ85" i="1"/>
  <c r="AQ142" i="1" s="1"/>
  <c r="BL142" i="1" s="1"/>
  <c r="AP85" i="1"/>
  <c r="AP142" i="1" s="1"/>
  <c r="BK142" i="1" s="1"/>
  <c r="AO85" i="1"/>
  <c r="AO142" i="1" s="1"/>
  <c r="BJ142" i="1" s="1"/>
  <c r="AN85" i="1"/>
  <c r="AN142" i="1" s="1"/>
  <c r="BI142" i="1" s="1"/>
  <c r="AM85" i="1"/>
  <c r="AM142" i="1" s="1"/>
  <c r="BH142" i="1" s="1"/>
  <c r="AL85" i="1"/>
  <c r="AL142" i="1" s="1"/>
  <c r="BG142" i="1" s="1"/>
  <c r="AE85" i="1"/>
  <c r="AH85" i="1" s="1"/>
  <c r="AI85" i="1" s="1"/>
  <c r="AJ85" i="1" s="1"/>
  <c r="AB85" i="1"/>
  <c r="AK142" i="1" s="1"/>
  <c r="BE82" i="1"/>
  <c r="BE139" i="1" s="1"/>
  <c r="BZ139" i="1" s="1"/>
  <c r="BD82" i="1"/>
  <c r="BD139" i="1" s="1"/>
  <c r="BY139" i="1" s="1"/>
  <c r="BC82" i="1"/>
  <c r="BC139" i="1" s="1"/>
  <c r="BX139" i="1" s="1"/>
  <c r="BB82" i="1"/>
  <c r="BB139" i="1" s="1"/>
  <c r="BW139" i="1" s="1"/>
  <c r="BA82" i="1"/>
  <c r="BA139" i="1" s="1"/>
  <c r="BV139" i="1" s="1"/>
  <c r="AZ82" i="1"/>
  <c r="AZ139" i="1" s="1"/>
  <c r="BU139" i="1" s="1"/>
  <c r="AY82" i="1"/>
  <c r="AY139" i="1" s="1"/>
  <c r="BT139" i="1" s="1"/>
  <c r="AX82" i="1"/>
  <c r="AX139" i="1" s="1"/>
  <c r="BS139" i="1" s="1"/>
  <c r="AW82" i="1"/>
  <c r="AW139" i="1" s="1"/>
  <c r="BR139" i="1" s="1"/>
  <c r="AV82" i="1"/>
  <c r="AV139" i="1" s="1"/>
  <c r="BQ139" i="1" s="1"/>
  <c r="AU82" i="1"/>
  <c r="AU139" i="1" s="1"/>
  <c r="BP139" i="1" s="1"/>
  <c r="AT82" i="1"/>
  <c r="AT139" i="1" s="1"/>
  <c r="BO139" i="1" s="1"/>
  <c r="AS82" i="1"/>
  <c r="AS139" i="1" s="1"/>
  <c r="BN139" i="1" s="1"/>
  <c r="AR82" i="1"/>
  <c r="AR139" i="1" s="1"/>
  <c r="BM139" i="1" s="1"/>
  <c r="AQ82" i="1"/>
  <c r="AQ139" i="1" s="1"/>
  <c r="BL139" i="1" s="1"/>
  <c r="AP82" i="1"/>
  <c r="AP139" i="1" s="1"/>
  <c r="BK139" i="1" s="1"/>
  <c r="AO82" i="1"/>
  <c r="AO139" i="1" s="1"/>
  <c r="BJ139" i="1" s="1"/>
  <c r="AN82" i="1"/>
  <c r="AN139" i="1" s="1"/>
  <c r="BI139" i="1" s="1"/>
  <c r="AM82" i="1"/>
  <c r="AM139" i="1" s="1"/>
  <c r="BH139" i="1" s="1"/>
  <c r="AL82" i="1"/>
  <c r="AL139" i="1" s="1"/>
  <c r="BG139" i="1" s="1"/>
  <c r="AE82" i="1"/>
  <c r="AH82" i="1" s="1"/>
  <c r="AI82" i="1" s="1"/>
  <c r="AJ82" i="1" s="1"/>
  <c r="AB82" i="1"/>
  <c r="AK139" i="1" s="1"/>
  <c r="AW80" i="1"/>
  <c r="AW137" i="1" s="1"/>
  <c r="AW77" i="1"/>
  <c r="AW134" i="1" s="1"/>
  <c r="AW75" i="1"/>
  <c r="AW132" i="1" s="1"/>
  <c r="AW72" i="1"/>
  <c r="AW129" i="1" s="1"/>
  <c r="AW70" i="1"/>
  <c r="AW127" i="1" s="1"/>
  <c r="AW67" i="1"/>
  <c r="AW124" i="1" s="1"/>
  <c r="AW65" i="1"/>
  <c r="AW122" i="1" s="1"/>
  <c r="AW62" i="1"/>
  <c r="AW119" i="1" s="1"/>
  <c r="AW60" i="1"/>
  <c r="AW117" i="1" s="1"/>
  <c r="AW57" i="1"/>
  <c r="AW55" i="1"/>
  <c r="AV80" i="1"/>
  <c r="AV137" i="1" s="1"/>
  <c r="AV77" i="1"/>
  <c r="AV134" i="1" s="1"/>
  <c r="AV75" i="1"/>
  <c r="AV132" i="1" s="1"/>
  <c r="AV72" i="1"/>
  <c r="AV129" i="1" s="1"/>
  <c r="AV70" i="1"/>
  <c r="AV127" i="1" s="1"/>
  <c r="AV67" i="1"/>
  <c r="AV124" i="1" s="1"/>
  <c r="AV65" i="1"/>
  <c r="AV122" i="1" s="1"/>
  <c r="AV62" i="1"/>
  <c r="AV119" i="1" s="1"/>
  <c r="AV60" i="1"/>
  <c r="AV117" i="1" s="1"/>
  <c r="AV57" i="1"/>
  <c r="AV55" i="1"/>
  <c r="AU80" i="1"/>
  <c r="AU137" i="1" s="1"/>
  <c r="AU77" i="1"/>
  <c r="AU134" i="1" s="1"/>
  <c r="AU75" i="1"/>
  <c r="AU132" i="1" s="1"/>
  <c r="AU72" i="1"/>
  <c r="AU129" i="1" s="1"/>
  <c r="AU70" i="1"/>
  <c r="AU127" i="1" s="1"/>
  <c r="AU67" i="1"/>
  <c r="AU124" i="1" s="1"/>
  <c r="AU65" i="1"/>
  <c r="AU122" i="1" s="1"/>
  <c r="AU62" i="1"/>
  <c r="AU119" i="1" s="1"/>
  <c r="AU60" i="1"/>
  <c r="AU117" i="1" s="1"/>
  <c r="AU57" i="1"/>
  <c r="AU55" i="1"/>
  <c r="AT80" i="1"/>
  <c r="AT137" i="1" s="1"/>
  <c r="AT77" i="1"/>
  <c r="AT134" i="1" s="1"/>
  <c r="AT75" i="1"/>
  <c r="AT132" i="1" s="1"/>
  <c r="AT72" i="1"/>
  <c r="AT129" i="1" s="1"/>
  <c r="AT70" i="1"/>
  <c r="AT127" i="1" s="1"/>
  <c r="AT67" i="1"/>
  <c r="AT124" i="1" s="1"/>
  <c r="AT65" i="1"/>
  <c r="AT122" i="1" s="1"/>
  <c r="AT62" i="1"/>
  <c r="AT119" i="1" s="1"/>
  <c r="AT60" i="1"/>
  <c r="AT117" i="1" s="1"/>
  <c r="AT57" i="1"/>
  <c r="AT55" i="1"/>
  <c r="AS80" i="1"/>
  <c r="AS137" i="1" s="1"/>
  <c r="AS77" i="1"/>
  <c r="AS134" i="1" s="1"/>
  <c r="AS75" i="1"/>
  <c r="AS132" i="1" s="1"/>
  <c r="AS72" i="1"/>
  <c r="AS129" i="1" s="1"/>
  <c r="AS70" i="1"/>
  <c r="AS127" i="1" s="1"/>
  <c r="AS67" i="1"/>
  <c r="AS124" i="1" s="1"/>
  <c r="AS65" i="1"/>
  <c r="AS122" i="1" s="1"/>
  <c r="AS62" i="1"/>
  <c r="AS119" i="1" s="1"/>
  <c r="AS60" i="1"/>
  <c r="AS117" i="1" s="1"/>
  <c r="AS57" i="1"/>
  <c r="AS55" i="1"/>
  <c r="AR80" i="1"/>
  <c r="AR137" i="1" s="1"/>
  <c r="AR77" i="1"/>
  <c r="AR134" i="1" s="1"/>
  <c r="AR75" i="1"/>
  <c r="AR132" i="1" s="1"/>
  <c r="AR72" i="1"/>
  <c r="AR129" i="1" s="1"/>
  <c r="AR70" i="1"/>
  <c r="AR127" i="1" s="1"/>
  <c r="AR67" i="1"/>
  <c r="AR124" i="1" s="1"/>
  <c r="AR65" i="1"/>
  <c r="AR122" i="1" s="1"/>
  <c r="AR62" i="1"/>
  <c r="AR119" i="1" s="1"/>
  <c r="AR60" i="1"/>
  <c r="AR117" i="1" s="1"/>
  <c r="AR57" i="1"/>
  <c r="AR55" i="1"/>
  <c r="AQ80" i="1"/>
  <c r="AQ137" i="1" s="1"/>
  <c r="AQ77" i="1"/>
  <c r="AQ134" i="1" s="1"/>
  <c r="AQ75" i="1"/>
  <c r="AQ132" i="1" s="1"/>
  <c r="AQ72" i="1"/>
  <c r="AQ129" i="1" s="1"/>
  <c r="AQ70" i="1"/>
  <c r="AQ127" i="1" s="1"/>
  <c r="AQ67" i="1"/>
  <c r="AQ124" i="1" s="1"/>
  <c r="AQ65" i="1"/>
  <c r="AQ122" i="1" s="1"/>
  <c r="AQ62" i="1"/>
  <c r="AQ119" i="1" s="1"/>
  <c r="AQ60" i="1"/>
  <c r="AQ117" i="1" s="1"/>
  <c r="AQ57" i="1"/>
  <c r="AQ55" i="1"/>
  <c r="AP80" i="1"/>
  <c r="AP137" i="1" s="1"/>
  <c r="AP77" i="1"/>
  <c r="AP134" i="1" s="1"/>
  <c r="AP75" i="1"/>
  <c r="AP132" i="1" s="1"/>
  <c r="AP72" i="1"/>
  <c r="AP129" i="1" s="1"/>
  <c r="AP70" i="1"/>
  <c r="AP127" i="1" s="1"/>
  <c r="AP67" i="1"/>
  <c r="AP124" i="1" s="1"/>
  <c r="AP65" i="1"/>
  <c r="AP122" i="1" s="1"/>
  <c r="AP62" i="1"/>
  <c r="AP119" i="1" s="1"/>
  <c r="AP60" i="1"/>
  <c r="AP117" i="1" s="1"/>
  <c r="AP57" i="1"/>
  <c r="AP55" i="1"/>
  <c r="AO80" i="1"/>
  <c r="AO137" i="1" s="1"/>
  <c r="AO77" i="1"/>
  <c r="AO134" i="1" s="1"/>
  <c r="AO75" i="1"/>
  <c r="AO132" i="1" s="1"/>
  <c r="AO72" i="1"/>
  <c r="AO129" i="1" s="1"/>
  <c r="AO70" i="1"/>
  <c r="AO127" i="1" s="1"/>
  <c r="AO67" i="1"/>
  <c r="AO124" i="1" s="1"/>
  <c r="AO65" i="1"/>
  <c r="AO122" i="1" s="1"/>
  <c r="AO62" i="1"/>
  <c r="AO119" i="1" s="1"/>
  <c r="AO60" i="1"/>
  <c r="AO117" i="1" s="1"/>
  <c r="AO57" i="1"/>
  <c r="AO55" i="1"/>
  <c r="AN80" i="1"/>
  <c r="AN137" i="1" s="1"/>
  <c r="AN77" i="1"/>
  <c r="AN134" i="1" s="1"/>
  <c r="AN75" i="1"/>
  <c r="AN132" i="1" s="1"/>
  <c r="AN72" i="1"/>
  <c r="AN129" i="1" s="1"/>
  <c r="AN70" i="1"/>
  <c r="AN127" i="1" s="1"/>
  <c r="AN67" i="1"/>
  <c r="AN124" i="1" s="1"/>
  <c r="AN65" i="1"/>
  <c r="AN122" i="1" s="1"/>
  <c r="AN62" i="1"/>
  <c r="AN119" i="1" s="1"/>
  <c r="AN60" i="1"/>
  <c r="AN117" i="1" s="1"/>
  <c r="AN57" i="1"/>
  <c r="AN55" i="1"/>
  <c r="AM80" i="1"/>
  <c r="AM137" i="1" s="1"/>
  <c r="AM77" i="1"/>
  <c r="AM134" i="1" s="1"/>
  <c r="AM75" i="1"/>
  <c r="AM132" i="1" s="1"/>
  <c r="AM72" i="1"/>
  <c r="AM129" i="1" s="1"/>
  <c r="AM70" i="1"/>
  <c r="AM127" i="1" s="1"/>
  <c r="AM67" i="1"/>
  <c r="AM124" i="1" s="1"/>
  <c r="AM65" i="1"/>
  <c r="AM122" i="1" s="1"/>
  <c r="AM62" i="1"/>
  <c r="AM119" i="1" s="1"/>
  <c r="AM60" i="1"/>
  <c r="AM117" i="1" s="1"/>
  <c r="AM57" i="1"/>
  <c r="AM55" i="1"/>
  <c r="S42" i="1"/>
  <c r="S42" i="17" s="1"/>
  <c r="S41" i="1"/>
  <c r="S41" i="17" s="1"/>
  <c r="S40" i="1"/>
  <c r="S40" i="17" s="1"/>
  <c r="S39" i="1"/>
  <c r="S39" i="17" s="1"/>
  <c r="S38" i="1"/>
  <c r="S38" i="17" s="1"/>
  <c r="S37" i="1"/>
  <c r="S37" i="17" s="1"/>
  <c r="S36" i="1"/>
  <c r="S36" i="17" s="1"/>
  <c r="R42" i="1"/>
  <c r="R42" i="17" s="1"/>
  <c r="R41" i="1"/>
  <c r="R41" i="17" s="1"/>
  <c r="R40" i="1"/>
  <c r="R40" i="17" s="1"/>
  <c r="R39" i="1"/>
  <c r="R39" i="17" s="1"/>
  <c r="R38" i="1"/>
  <c r="R38" i="17" s="1"/>
  <c r="R37" i="1"/>
  <c r="R37" i="17" s="1"/>
  <c r="R36" i="1"/>
  <c r="R36" i="17" s="1"/>
  <c r="Q42" i="1"/>
  <c r="Q42" i="17" s="1"/>
  <c r="Q41" i="1"/>
  <c r="Q41" i="17" s="1"/>
  <c r="Q40" i="1"/>
  <c r="Q40" i="17" s="1"/>
  <c r="Q39" i="1"/>
  <c r="Q39" i="17" s="1"/>
  <c r="Q38" i="1"/>
  <c r="Q38" i="17" s="1"/>
  <c r="Q37" i="1"/>
  <c r="Q37" i="17" s="1"/>
  <c r="Q36" i="1"/>
  <c r="Q36" i="17" s="1"/>
  <c r="P42" i="1"/>
  <c r="P42" i="17" s="1"/>
  <c r="P41" i="1"/>
  <c r="P41" i="17" s="1"/>
  <c r="P40" i="1"/>
  <c r="P40" i="17" s="1"/>
  <c r="P39" i="1"/>
  <c r="P39" i="17" s="1"/>
  <c r="P38" i="1"/>
  <c r="P38" i="17" s="1"/>
  <c r="P37" i="1"/>
  <c r="P37" i="17" s="1"/>
  <c r="P36" i="1"/>
  <c r="P36" i="17" s="1"/>
  <c r="O42" i="1"/>
  <c r="O42" i="17" s="1"/>
  <c r="O41" i="1"/>
  <c r="O41" i="17" s="1"/>
  <c r="O40" i="1"/>
  <c r="O40" i="17" s="1"/>
  <c r="O39" i="1"/>
  <c r="O39" i="17" s="1"/>
  <c r="O38" i="1"/>
  <c r="O38" i="17" s="1"/>
  <c r="O37" i="1"/>
  <c r="O37" i="17" s="1"/>
  <c r="O36" i="1"/>
  <c r="O36" i="17" s="1"/>
  <c r="N42" i="1"/>
  <c r="N42" i="17" s="1"/>
  <c r="N41" i="1"/>
  <c r="N41" i="17" s="1"/>
  <c r="N40" i="1"/>
  <c r="N40" i="17" s="1"/>
  <c r="N39" i="1"/>
  <c r="N39" i="17" s="1"/>
  <c r="N38" i="1"/>
  <c r="N38" i="17" s="1"/>
  <c r="N37" i="1"/>
  <c r="N37" i="17" s="1"/>
  <c r="N36" i="1"/>
  <c r="N36" i="17" s="1"/>
  <c r="S28" i="1"/>
  <c r="S27" i="1"/>
  <c r="S27" i="17" s="1"/>
  <c r="S26" i="1"/>
  <c r="S26" i="17" s="1"/>
  <c r="S25" i="1"/>
  <c r="S24" i="1"/>
  <c r="S24" i="17" s="1"/>
  <c r="S23" i="1"/>
  <c r="S23" i="17" s="1"/>
  <c r="S22" i="1"/>
  <c r="S22" i="17" s="1"/>
  <c r="R28" i="1"/>
  <c r="R27" i="1"/>
  <c r="R27" i="17" s="1"/>
  <c r="R13" i="17" s="1"/>
  <c r="R26" i="1"/>
  <c r="R26" i="17" s="1"/>
  <c r="R25" i="1"/>
  <c r="R25" i="17" s="1"/>
  <c r="R24" i="1"/>
  <c r="R24" i="17" s="1"/>
  <c r="R10" i="17" s="1"/>
  <c r="R23" i="1"/>
  <c r="R23" i="17" s="1"/>
  <c r="R22" i="1"/>
  <c r="R22" i="17" s="1"/>
  <c r="Q28" i="1"/>
  <c r="Q27" i="1"/>
  <c r="Q27" i="17" s="1"/>
  <c r="Q13" i="17" s="1"/>
  <c r="Q26" i="1"/>
  <c r="Q26" i="17" s="1"/>
  <c r="Q25" i="1"/>
  <c r="Q25" i="17" s="1"/>
  <c r="Q24" i="1"/>
  <c r="Q24" i="17" s="1"/>
  <c r="Q23" i="1"/>
  <c r="Q22" i="1"/>
  <c r="Q22" i="17" s="1"/>
  <c r="Q8" i="17" s="1"/>
  <c r="P28" i="1"/>
  <c r="P27" i="1"/>
  <c r="P27" i="17" s="1"/>
  <c r="P26" i="1"/>
  <c r="P26" i="17" s="1"/>
  <c r="P12" i="17" s="1"/>
  <c r="P25" i="1"/>
  <c r="P25" i="17" s="1"/>
  <c r="P24" i="1"/>
  <c r="P24" i="17" s="1"/>
  <c r="P23" i="1"/>
  <c r="P23" i="17" s="1"/>
  <c r="P22" i="1"/>
  <c r="P22" i="17" s="1"/>
  <c r="P8" i="17" s="1"/>
  <c r="O28" i="1"/>
  <c r="O27" i="1"/>
  <c r="O27" i="17" s="1"/>
  <c r="O26" i="1"/>
  <c r="O26" i="17" s="1"/>
  <c r="O25" i="1"/>
  <c r="O25" i="17" s="1"/>
  <c r="O24" i="1"/>
  <c r="O24" i="17" s="1"/>
  <c r="O10" i="17" s="1"/>
  <c r="O23" i="1"/>
  <c r="O23" i="17" s="1"/>
  <c r="O22" i="1"/>
  <c r="O22" i="17" s="1"/>
  <c r="N28" i="1"/>
  <c r="N27" i="1"/>
  <c r="N27" i="17" s="1"/>
  <c r="N26" i="1"/>
  <c r="N26" i="17" s="1"/>
  <c r="N25" i="1"/>
  <c r="N25" i="17" s="1"/>
  <c r="N24" i="1"/>
  <c r="N24" i="17" s="1"/>
  <c r="N10" i="17" s="1"/>
  <c r="N23" i="1"/>
  <c r="N23" i="17" s="1"/>
  <c r="N22" i="1"/>
  <c r="N22" i="17" s="1"/>
  <c r="B67" i="1"/>
  <c r="B124" i="1" s="1"/>
  <c r="B57" i="1"/>
  <c r="B114" i="1" s="1"/>
  <c r="B52" i="1"/>
  <c r="B109" i="1" s="1"/>
  <c r="C42" i="1"/>
  <c r="C41" i="1"/>
  <c r="C40" i="1"/>
  <c r="C39" i="1"/>
  <c r="C38" i="1"/>
  <c r="C37" i="1"/>
  <c r="C36" i="1"/>
  <c r="C28" i="1"/>
  <c r="C27" i="1"/>
  <c r="C26" i="1"/>
  <c r="C25" i="1"/>
  <c r="C24" i="1"/>
  <c r="C23" i="1"/>
  <c r="C22" i="1"/>
  <c r="AU85" i="10"/>
  <c r="AR85" i="10"/>
  <c r="AQ85" i="10"/>
  <c r="BF85" i="10" s="1"/>
  <c r="AP85" i="10"/>
  <c r="AO85" i="10"/>
  <c r="AN85" i="10"/>
  <c r="AI85" i="10"/>
  <c r="AA85" i="10"/>
  <c r="AD85" i="10" s="1"/>
  <c r="AE85" i="10" s="1"/>
  <c r="AU84" i="10"/>
  <c r="AT84" i="10"/>
  <c r="AT85" i="10" s="1"/>
  <c r="BI85" i="10" s="1"/>
  <c r="AS84" i="10"/>
  <c r="AS85" i="10" s="1"/>
  <c r="AR84" i="10"/>
  <c r="AQ84" i="10"/>
  <c r="AP84" i="10"/>
  <c r="AO84" i="10"/>
  <c r="BD84" i="10" s="1"/>
  <c r="AN84" i="10"/>
  <c r="AM84" i="10"/>
  <c r="BB84" i="10" s="1"/>
  <c r="AL84" i="10"/>
  <c r="BA84" i="10" s="1"/>
  <c r="AK84" i="10"/>
  <c r="AZ84" i="10" s="1"/>
  <c r="AJ84" i="10"/>
  <c r="AI84" i="10"/>
  <c r="AH84" i="10"/>
  <c r="AH85" i="10" s="1"/>
  <c r="AW85" i="10" s="1"/>
  <c r="AD84" i="10"/>
  <c r="AE84" i="10" s="1"/>
  <c r="AA84" i="10"/>
  <c r="AU83" i="10"/>
  <c r="AT83" i="10"/>
  <c r="AS83" i="10"/>
  <c r="AR83" i="10"/>
  <c r="AM83" i="10"/>
  <c r="AJ83" i="10"/>
  <c r="AI83" i="10"/>
  <c r="AH83" i="10"/>
  <c r="AD83" i="10"/>
  <c r="AE83" i="10" s="1"/>
  <c r="BB83" i="10" s="1"/>
  <c r="AA83" i="10"/>
  <c r="AU82" i="10"/>
  <c r="AT82" i="10"/>
  <c r="AS82" i="10"/>
  <c r="AR82" i="10"/>
  <c r="AQ82" i="10"/>
  <c r="AP82" i="10"/>
  <c r="AO82" i="10"/>
  <c r="AN82" i="10"/>
  <c r="AM82" i="10"/>
  <c r="AL82" i="10"/>
  <c r="AL83" i="10" s="1"/>
  <c r="BA83" i="10" s="1"/>
  <c r="AK82" i="10"/>
  <c r="AK83" i="10" s="1"/>
  <c r="AJ82" i="10"/>
  <c r="AI82" i="10"/>
  <c r="AH82" i="10"/>
  <c r="AA82" i="10"/>
  <c r="AD82" i="10" s="1"/>
  <c r="AE82" i="10" s="1"/>
  <c r="BA82" i="10" s="1"/>
  <c r="BP82" i="10" s="1"/>
  <c r="AQ81" i="10"/>
  <c r="AN81" i="10"/>
  <c r="BC81" i="10" s="1"/>
  <c r="AM81" i="10"/>
  <c r="BB81" i="10" s="1"/>
  <c r="AL81" i="10"/>
  <c r="BA81" i="10" s="1"/>
  <c r="AK81" i="10"/>
  <c r="AZ81" i="10" s="1"/>
  <c r="AJ81" i="10"/>
  <c r="AA81" i="10"/>
  <c r="AD81" i="10" s="1"/>
  <c r="AE81" i="10" s="1"/>
  <c r="BF81" i="10" s="1"/>
  <c r="AU80" i="10"/>
  <c r="AT80" i="10"/>
  <c r="AS80" i="10"/>
  <c r="AR80" i="10"/>
  <c r="AQ80" i="10"/>
  <c r="AP80" i="10"/>
  <c r="AP81" i="10" s="1"/>
  <c r="BE81" i="10" s="1"/>
  <c r="AO80" i="10"/>
  <c r="AO81" i="10" s="1"/>
  <c r="BD81" i="10" s="1"/>
  <c r="AN80" i="10"/>
  <c r="AM80" i="10"/>
  <c r="AL80" i="10"/>
  <c r="AK80" i="10"/>
  <c r="AJ80" i="10"/>
  <c r="AI80" i="10"/>
  <c r="AH80" i="10"/>
  <c r="AA80" i="10"/>
  <c r="AD80" i="10" s="1"/>
  <c r="AE80" i="10" s="1"/>
  <c r="AU79" i="10"/>
  <c r="AR79" i="10"/>
  <c r="BG79" i="10" s="1"/>
  <c r="AQ79" i="10"/>
  <c r="BF79" i="10" s="1"/>
  <c r="AP79" i="10"/>
  <c r="AO79" i="10"/>
  <c r="AN79" i="10"/>
  <c r="AI79" i="10"/>
  <c r="AA79" i="10"/>
  <c r="AD79" i="10" s="1"/>
  <c r="AE79" i="10" s="1"/>
  <c r="AU78" i="10"/>
  <c r="AT78" i="10"/>
  <c r="AT79" i="10" s="1"/>
  <c r="AS78" i="10"/>
  <c r="AS79" i="10" s="1"/>
  <c r="BH79" i="10" s="1"/>
  <c r="AR78" i="10"/>
  <c r="AQ78" i="10"/>
  <c r="AP78" i="10"/>
  <c r="AO78" i="10"/>
  <c r="AN78" i="10"/>
  <c r="AM78" i="10"/>
  <c r="AL78" i="10"/>
  <c r="AK78" i="10"/>
  <c r="AJ78" i="10"/>
  <c r="AI78" i="10"/>
  <c r="AH78" i="10"/>
  <c r="AH79" i="10" s="1"/>
  <c r="AD78" i="10"/>
  <c r="AE78" i="10" s="1"/>
  <c r="BI78" i="10" s="1"/>
  <c r="AA78" i="10"/>
  <c r="AU77" i="10"/>
  <c r="AT77" i="10"/>
  <c r="AS77" i="10"/>
  <c r="AR77" i="10"/>
  <c r="BG77" i="10" s="1"/>
  <c r="AO77" i="10"/>
  <c r="AJ77" i="10"/>
  <c r="AI77" i="10"/>
  <c r="AH77" i="10"/>
  <c r="AD77" i="10"/>
  <c r="AE77" i="10" s="1"/>
  <c r="AA77" i="10"/>
  <c r="AU76" i="10"/>
  <c r="AT76" i="10"/>
  <c r="AS76" i="10"/>
  <c r="AR76" i="10"/>
  <c r="AQ76" i="10"/>
  <c r="AP76" i="10"/>
  <c r="AO76" i="10"/>
  <c r="AN76" i="10"/>
  <c r="AN77" i="10" s="1"/>
  <c r="BC77" i="10" s="1"/>
  <c r="AM76" i="10"/>
  <c r="AM77" i="10" s="1"/>
  <c r="BB77" i="10" s="1"/>
  <c r="AL76" i="10"/>
  <c r="AL77" i="10" s="1"/>
  <c r="BA77" i="10" s="1"/>
  <c r="AK76" i="10"/>
  <c r="AK77" i="10" s="1"/>
  <c r="AJ76" i="10"/>
  <c r="AI76" i="10"/>
  <c r="AH76" i="10"/>
  <c r="AA76" i="10"/>
  <c r="AD76" i="10" s="1"/>
  <c r="AE76" i="10" s="1"/>
  <c r="BC76" i="10" s="1"/>
  <c r="AT75" i="10"/>
  <c r="BI75" i="10" s="1"/>
  <c r="AM75" i="10"/>
  <c r="BB75" i="10" s="1"/>
  <c r="AL75" i="10"/>
  <c r="AK75" i="10"/>
  <c r="AZ75" i="10" s="1"/>
  <c r="AJ75" i="10"/>
  <c r="AY75" i="10" s="1"/>
  <c r="AH75" i="10"/>
  <c r="AD75" i="10"/>
  <c r="AE75" i="10" s="1"/>
  <c r="AA75" i="10"/>
  <c r="AU74" i="10"/>
  <c r="AU75" i="10" s="1"/>
  <c r="BJ75" i="10" s="1"/>
  <c r="AT74" i="10"/>
  <c r="AS74" i="10"/>
  <c r="AS75" i="10" s="1"/>
  <c r="BH75" i="10" s="1"/>
  <c r="AR74" i="10"/>
  <c r="AR75" i="10" s="1"/>
  <c r="BG75" i="10" s="1"/>
  <c r="AQ74" i="10"/>
  <c r="AQ75" i="10" s="1"/>
  <c r="BF75" i="10" s="1"/>
  <c r="AP74" i="10"/>
  <c r="BE74" i="10" s="1"/>
  <c r="AO74" i="10"/>
  <c r="AO75" i="10" s="1"/>
  <c r="AN74" i="10"/>
  <c r="AN75" i="10" s="1"/>
  <c r="BC75" i="10" s="1"/>
  <c r="AM74" i="10"/>
  <c r="BB74" i="10" s="1"/>
  <c r="AL74" i="10"/>
  <c r="AK74" i="10"/>
  <c r="AJ74" i="10"/>
  <c r="AI74" i="10"/>
  <c r="AI75" i="10" s="1"/>
  <c r="AX75" i="10" s="1"/>
  <c r="AH74" i="10"/>
  <c r="AA74" i="10"/>
  <c r="AD74" i="10" s="1"/>
  <c r="AE74" i="10" s="1"/>
  <c r="AQ73" i="10"/>
  <c r="BF73" i="10" s="1"/>
  <c r="AP73" i="10"/>
  <c r="BE73" i="10" s="1"/>
  <c r="AO73" i="10"/>
  <c r="BD73" i="10" s="1"/>
  <c r="AN73" i="10"/>
  <c r="AM73" i="10"/>
  <c r="AL73" i="10"/>
  <c r="BA73" i="10" s="1"/>
  <c r="AA73" i="10"/>
  <c r="AD73" i="10" s="1"/>
  <c r="AE73" i="10" s="1"/>
  <c r="BB73" i="10" s="1"/>
  <c r="AU72" i="10"/>
  <c r="AU73" i="10" s="1"/>
  <c r="BJ73" i="10" s="1"/>
  <c r="AT72" i="10"/>
  <c r="AT73" i="10" s="1"/>
  <c r="BI73" i="10" s="1"/>
  <c r="AS72" i="10"/>
  <c r="AS73" i="10" s="1"/>
  <c r="BH73" i="10" s="1"/>
  <c r="AR72" i="10"/>
  <c r="AR73" i="10" s="1"/>
  <c r="BG73" i="10" s="1"/>
  <c r="AQ72" i="10"/>
  <c r="BF72" i="10" s="1"/>
  <c r="AP72" i="10"/>
  <c r="AO72" i="10"/>
  <c r="BD72" i="10" s="1"/>
  <c r="AN72" i="10"/>
  <c r="BC72" i="10" s="1"/>
  <c r="AM72" i="10"/>
  <c r="AL72" i="10"/>
  <c r="AK72" i="10"/>
  <c r="AK73" i="10" s="1"/>
  <c r="AZ73" i="10" s="1"/>
  <c r="AJ72" i="10"/>
  <c r="AI72" i="10"/>
  <c r="AI73" i="10" s="1"/>
  <c r="AX73" i="10" s="1"/>
  <c r="AH72" i="10"/>
  <c r="AH73" i="10" s="1"/>
  <c r="AW73" i="10" s="1"/>
  <c r="AA72" i="10"/>
  <c r="AD72" i="10" s="1"/>
  <c r="AE72" i="10" s="1"/>
  <c r="AU71" i="10"/>
  <c r="BJ71" i="10" s="1"/>
  <c r="AT71" i="10"/>
  <c r="BI71" i="10" s="1"/>
  <c r="AS71" i="10"/>
  <c r="BH71" i="10" s="1"/>
  <c r="AR71" i="10"/>
  <c r="BG71" i="10" s="1"/>
  <c r="AQ71" i="10"/>
  <c r="AP71" i="10"/>
  <c r="AI71" i="10"/>
  <c r="AX71" i="10" s="1"/>
  <c r="AH71" i="10"/>
  <c r="AW71" i="10" s="1"/>
  <c r="AD71" i="10"/>
  <c r="AE71" i="10" s="1"/>
  <c r="BF71" i="10" s="1"/>
  <c r="AA71" i="10"/>
  <c r="AU70" i="10"/>
  <c r="AT70" i="10"/>
  <c r="AS70" i="10"/>
  <c r="AR70" i="10"/>
  <c r="BG70" i="10" s="1"/>
  <c r="AQ70" i="10"/>
  <c r="BF70" i="10" s="1"/>
  <c r="BU70" i="10" s="1"/>
  <c r="AP70" i="10"/>
  <c r="BE70" i="10" s="1"/>
  <c r="AO70" i="10"/>
  <c r="AO71" i="10" s="1"/>
  <c r="BD71" i="10" s="1"/>
  <c r="AN70" i="10"/>
  <c r="AM70" i="10"/>
  <c r="AM71" i="10" s="1"/>
  <c r="BB71" i="10" s="1"/>
  <c r="AL70" i="10"/>
  <c r="AL71" i="10" s="1"/>
  <c r="BA71" i="10" s="1"/>
  <c r="AK70" i="10"/>
  <c r="AK71" i="10" s="1"/>
  <c r="AZ71" i="10" s="1"/>
  <c r="AJ70" i="10"/>
  <c r="AJ71" i="10" s="1"/>
  <c r="AY71" i="10" s="1"/>
  <c r="AI70" i="10"/>
  <c r="AH70" i="10"/>
  <c r="AA70" i="10"/>
  <c r="AD70" i="10" s="1"/>
  <c r="AE70" i="10" s="1"/>
  <c r="AU69" i="10"/>
  <c r="AT69" i="10"/>
  <c r="BI69" i="10" s="1"/>
  <c r="AM69" i="10"/>
  <c r="BB69" i="10" s="1"/>
  <c r="AL69" i="10"/>
  <c r="BA69" i="10" s="1"/>
  <c r="AK69" i="10"/>
  <c r="AJ69" i="10"/>
  <c r="AY69" i="10" s="1"/>
  <c r="AI69" i="10"/>
  <c r="AH69" i="10"/>
  <c r="AD69" i="10"/>
  <c r="AE69" i="10" s="1"/>
  <c r="AA69" i="10"/>
  <c r="AU68" i="10"/>
  <c r="AT68" i="10"/>
  <c r="AS68" i="10"/>
  <c r="AS69" i="10" s="1"/>
  <c r="BH69" i="10" s="1"/>
  <c r="AR68" i="10"/>
  <c r="AR69" i="10" s="1"/>
  <c r="BG69" i="10" s="1"/>
  <c r="AQ68" i="10"/>
  <c r="AQ69" i="10" s="1"/>
  <c r="BF69" i="10" s="1"/>
  <c r="AP68" i="10"/>
  <c r="AP69" i="10" s="1"/>
  <c r="BE69" i="10" s="1"/>
  <c r="AO68" i="10"/>
  <c r="AO69" i="10" s="1"/>
  <c r="AN68" i="10"/>
  <c r="AN69" i="10" s="1"/>
  <c r="BC69" i="10" s="1"/>
  <c r="AM68" i="10"/>
  <c r="BB68" i="10" s="1"/>
  <c r="AL68" i="10"/>
  <c r="AK68" i="10"/>
  <c r="AJ68" i="10"/>
  <c r="AI68" i="10"/>
  <c r="AH68" i="10"/>
  <c r="AA68" i="10"/>
  <c r="AD68" i="10" s="1"/>
  <c r="AE68" i="10" s="1"/>
  <c r="AQ67" i="10"/>
  <c r="AP67" i="10"/>
  <c r="BE67" i="10" s="1"/>
  <c r="AO67" i="10"/>
  <c r="BD67" i="10" s="1"/>
  <c r="AN67" i="10"/>
  <c r="AL67" i="10"/>
  <c r="AA67" i="10"/>
  <c r="AD67" i="10" s="1"/>
  <c r="AE67" i="10" s="1"/>
  <c r="AU66" i="10"/>
  <c r="AU67" i="10" s="1"/>
  <c r="AT66" i="10"/>
  <c r="AT67" i="10" s="1"/>
  <c r="AS66" i="10"/>
  <c r="AR66" i="10"/>
  <c r="AR67" i="10" s="1"/>
  <c r="AQ66" i="10"/>
  <c r="BF66" i="10" s="1"/>
  <c r="AP66" i="10"/>
  <c r="BE66" i="10" s="1"/>
  <c r="AO66" i="10"/>
  <c r="BD66" i="10" s="1"/>
  <c r="AN66" i="10"/>
  <c r="BC66" i="10" s="1"/>
  <c r="AM66" i="10"/>
  <c r="AM67" i="10" s="1"/>
  <c r="BB67" i="10" s="1"/>
  <c r="AL66" i="10"/>
  <c r="AK66" i="10"/>
  <c r="AK67" i="10" s="1"/>
  <c r="AJ66" i="10"/>
  <c r="AJ67" i="10" s="1"/>
  <c r="AY67" i="10" s="1"/>
  <c r="AI66" i="10"/>
  <c r="AI67" i="10" s="1"/>
  <c r="AH66" i="10"/>
  <c r="AH67" i="10" s="1"/>
  <c r="AD66" i="10"/>
  <c r="AE66" i="10" s="1"/>
  <c r="AA66" i="10"/>
  <c r="AX65" i="10"/>
  <c r="AW65" i="10"/>
  <c r="AU65" i="10"/>
  <c r="BJ65" i="10" s="1"/>
  <c r="AT65" i="10"/>
  <c r="BI65" i="10" s="1"/>
  <c r="AN65" i="10"/>
  <c r="AM65" i="10"/>
  <c r="AK65" i="10"/>
  <c r="AJ65" i="10"/>
  <c r="AI65" i="10"/>
  <c r="AH65" i="10"/>
  <c r="AD65" i="10"/>
  <c r="AE65" i="10" s="1"/>
  <c r="BC65" i="10" s="1"/>
  <c r="AA65" i="10"/>
  <c r="AU64" i="10"/>
  <c r="AT64" i="10"/>
  <c r="AS64" i="10"/>
  <c r="AR64" i="10"/>
  <c r="AQ64" i="10"/>
  <c r="AQ65" i="10" s="1"/>
  <c r="BF65" i="10" s="1"/>
  <c r="AP64" i="10"/>
  <c r="AP65" i="10" s="1"/>
  <c r="BE65" i="10" s="1"/>
  <c r="AO64" i="10"/>
  <c r="AO65" i="10" s="1"/>
  <c r="BD65" i="10" s="1"/>
  <c r="AN64" i="10"/>
  <c r="AM64" i="10"/>
  <c r="AL64" i="10"/>
  <c r="AK64" i="10"/>
  <c r="AJ64" i="10"/>
  <c r="AI64" i="10"/>
  <c r="AH64" i="10"/>
  <c r="AA64" i="10"/>
  <c r="AD64" i="10" s="1"/>
  <c r="AE64" i="10" s="1"/>
  <c r="BB63" i="10"/>
  <c r="BA63" i="10"/>
  <c r="AR63" i="10"/>
  <c r="AQ63" i="10"/>
  <c r="AP63" i="10"/>
  <c r="AO63" i="10"/>
  <c r="AN63" i="10"/>
  <c r="AM63" i="10"/>
  <c r="AL63" i="10"/>
  <c r="AA63" i="10"/>
  <c r="AD63" i="10" s="1"/>
  <c r="AE63" i="10" s="1"/>
  <c r="BG63" i="10" s="1"/>
  <c r="AU62" i="10"/>
  <c r="AU63" i="10" s="1"/>
  <c r="AT62" i="10"/>
  <c r="AT63" i="10" s="1"/>
  <c r="BI63" i="10" s="1"/>
  <c r="AS62" i="10"/>
  <c r="AS63" i="10" s="1"/>
  <c r="BH63" i="10" s="1"/>
  <c r="AR62" i="10"/>
  <c r="AQ62" i="10"/>
  <c r="AP62" i="10"/>
  <c r="AO62" i="10"/>
  <c r="AN62" i="10"/>
  <c r="AM62" i="10"/>
  <c r="AL62" i="10"/>
  <c r="AK62" i="10"/>
  <c r="AJ62" i="10"/>
  <c r="AI62" i="10"/>
  <c r="AI63" i="10" s="1"/>
  <c r="AH62" i="10"/>
  <c r="AH63" i="10" s="1"/>
  <c r="AW63" i="10" s="1"/>
  <c r="AA62" i="10"/>
  <c r="AD62" i="10" s="1"/>
  <c r="AE62" i="10" s="1"/>
  <c r="AU61" i="10"/>
  <c r="AT61" i="10"/>
  <c r="AS61" i="10"/>
  <c r="AR61" i="10"/>
  <c r="AQ61" i="10"/>
  <c r="AP61" i="10"/>
  <c r="BE61" i="10" s="1"/>
  <c r="AJ61" i="10"/>
  <c r="AI61" i="10"/>
  <c r="AH61" i="10"/>
  <c r="AA61" i="10"/>
  <c r="AD61" i="10" s="1"/>
  <c r="AE61" i="10" s="1"/>
  <c r="AZ60" i="10"/>
  <c r="AY60" i="10"/>
  <c r="AU60" i="10"/>
  <c r="AT60" i="10"/>
  <c r="AS60" i="10"/>
  <c r="AR60" i="10"/>
  <c r="AQ60" i="10"/>
  <c r="BF60" i="10" s="1"/>
  <c r="AP60" i="10"/>
  <c r="BE60" i="10" s="1"/>
  <c r="AO60" i="10"/>
  <c r="AN60" i="10"/>
  <c r="AM60" i="10"/>
  <c r="AM61" i="10" s="1"/>
  <c r="AL60" i="10"/>
  <c r="AL61" i="10" s="1"/>
  <c r="AK60" i="10"/>
  <c r="AK61" i="10" s="1"/>
  <c r="AJ60" i="10"/>
  <c r="AI60" i="10"/>
  <c r="AH60" i="10"/>
  <c r="AA60" i="10"/>
  <c r="AD60" i="10" s="1"/>
  <c r="AE60" i="10" s="1"/>
  <c r="AX59" i="10"/>
  <c r="AW59" i="10"/>
  <c r="AU59" i="10"/>
  <c r="BJ59" i="10" s="1"/>
  <c r="AT59" i="10"/>
  <c r="BI59" i="10" s="1"/>
  <c r="AM59" i="10"/>
  <c r="BB59" i="10" s="1"/>
  <c r="AL59" i="10"/>
  <c r="AK59" i="10"/>
  <c r="AJ59" i="10"/>
  <c r="AI59" i="10"/>
  <c r="AH59" i="10"/>
  <c r="AD59" i="10"/>
  <c r="AE59" i="10" s="1"/>
  <c r="AA59" i="10"/>
  <c r="AU58" i="10"/>
  <c r="AT58" i="10"/>
  <c r="AS58" i="10"/>
  <c r="AR58" i="10"/>
  <c r="AQ58" i="10"/>
  <c r="AQ59" i="10" s="1"/>
  <c r="BF59" i="10" s="1"/>
  <c r="AP58" i="10"/>
  <c r="AP59" i="10" s="1"/>
  <c r="BE59" i="10" s="1"/>
  <c r="AO58" i="10"/>
  <c r="AO59" i="10" s="1"/>
  <c r="BD59" i="10" s="1"/>
  <c r="AN58" i="10"/>
  <c r="AN59" i="10" s="1"/>
  <c r="BC59" i="10" s="1"/>
  <c r="AM58" i="10"/>
  <c r="AL58" i="10"/>
  <c r="AK58" i="10"/>
  <c r="AJ58" i="10"/>
  <c r="AI58" i="10"/>
  <c r="AH58" i="10"/>
  <c r="AA58" i="10"/>
  <c r="AD58" i="10" s="1"/>
  <c r="AE58" i="10" s="1"/>
  <c r="BA57" i="10"/>
  <c r="AZ57" i="10"/>
  <c r="AT57" i="10"/>
  <c r="AQ57" i="10"/>
  <c r="AP57" i="10"/>
  <c r="AO57" i="10"/>
  <c r="AN57" i="10"/>
  <c r="AM57" i="10"/>
  <c r="AL57" i="10"/>
  <c r="AH57" i="10"/>
  <c r="AA57" i="10"/>
  <c r="AD57" i="10" s="1"/>
  <c r="AE57" i="10" s="1"/>
  <c r="BB57" i="10" s="1"/>
  <c r="BJ56" i="10"/>
  <c r="CP56" i="10" s="1"/>
  <c r="BI56" i="10"/>
  <c r="CO56" i="10" s="1"/>
  <c r="AU56" i="10"/>
  <c r="AU57" i="10" s="1"/>
  <c r="AT56" i="10"/>
  <c r="AS56" i="10"/>
  <c r="AR56" i="10"/>
  <c r="BG56" i="10" s="1"/>
  <c r="CM56" i="10" s="1"/>
  <c r="AQ56" i="10"/>
  <c r="AP56" i="10"/>
  <c r="AO56" i="10"/>
  <c r="BD56" i="10" s="1"/>
  <c r="AN56" i="10"/>
  <c r="AM56" i="10"/>
  <c r="AL56" i="10"/>
  <c r="BA56" i="10" s="1"/>
  <c r="AK56" i="10"/>
  <c r="AK57" i="10" s="1"/>
  <c r="AJ56" i="10"/>
  <c r="AJ57" i="10" s="1"/>
  <c r="AY57" i="10" s="1"/>
  <c r="AI56" i="10"/>
  <c r="AI57" i="10" s="1"/>
  <c r="AH56" i="10"/>
  <c r="AA56" i="10"/>
  <c r="AD56" i="10" s="1"/>
  <c r="AE56" i="10" s="1"/>
  <c r="AU55" i="10"/>
  <c r="BJ55" i="10" s="1"/>
  <c r="AT55" i="10"/>
  <c r="BI55" i="10" s="1"/>
  <c r="AN55" i="10"/>
  <c r="BC55" i="10" s="1"/>
  <c r="AM55" i="10"/>
  <c r="BB55" i="10" s="1"/>
  <c r="AL55" i="10"/>
  <c r="BA55" i="10" s="1"/>
  <c r="AK55" i="10"/>
  <c r="AZ55" i="10" s="1"/>
  <c r="AJ55" i="10"/>
  <c r="AY55" i="10" s="1"/>
  <c r="AI55" i="10"/>
  <c r="AX55" i="10" s="1"/>
  <c r="AH55" i="10"/>
  <c r="AW55" i="10" s="1"/>
  <c r="AE55" i="10"/>
  <c r="AD55" i="10"/>
  <c r="AA55" i="10"/>
  <c r="AU54" i="10"/>
  <c r="AT54" i="10"/>
  <c r="AS54" i="10"/>
  <c r="AS55" i="10" s="1"/>
  <c r="BH55" i="10" s="1"/>
  <c r="AR54" i="10"/>
  <c r="BG54" i="10" s="1"/>
  <c r="AQ54" i="10"/>
  <c r="AQ55" i="10" s="1"/>
  <c r="BF55" i="10" s="1"/>
  <c r="AP54" i="10"/>
  <c r="BE54" i="10" s="1"/>
  <c r="AO54" i="10"/>
  <c r="AO55" i="10" s="1"/>
  <c r="BD55" i="10" s="1"/>
  <c r="AN54" i="10"/>
  <c r="AM54" i="10"/>
  <c r="AL54" i="10"/>
  <c r="BA54" i="10" s="1"/>
  <c r="AK54" i="10"/>
  <c r="AJ54" i="10"/>
  <c r="AI54" i="10"/>
  <c r="AH54" i="10"/>
  <c r="AA54" i="10"/>
  <c r="AD54" i="10" s="1"/>
  <c r="AE54" i="10" s="1"/>
  <c r="AR53" i="10"/>
  <c r="BG53" i="10" s="1"/>
  <c r="AQ53" i="10"/>
  <c r="BF53" i="10" s="1"/>
  <c r="AP53" i="10"/>
  <c r="BE53" i="10" s="1"/>
  <c r="AO53" i="10"/>
  <c r="BD53" i="10" s="1"/>
  <c r="AN53" i="10"/>
  <c r="BC53" i="10" s="1"/>
  <c r="AM53" i="10"/>
  <c r="BB53" i="10" s="1"/>
  <c r="AL53" i="10"/>
  <c r="BA53" i="10" s="1"/>
  <c r="AA53" i="10"/>
  <c r="AD53" i="10" s="1"/>
  <c r="AE53" i="10" s="1"/>
  <c r="AU52" i="10"/>
  <c r="AT52" i="10"/>
  <c r="AT53" i="10" s="1"/>
  <c r="BI53" i="10" s="1"/>
  <c r="AS52" i="10"/>
  <c r="AS53" i="10" s="1"/>
  <c r="BH53" i="10" s="1"/>
  <c r="AR52" i="10"/>
  <c r="AQ52" i="10"/>
  <c r="AP52" i="10"/>
  <c r="BE52" i="10" s="1"/>
  <c r="AO52" i="10"/>
  <c r="AN52" i="10"/>
  <c r="BC52" i="10" s="1"/>
  <c r="BR52" i="10" s="1"/>
  <c r="AM52" i="10"/>
  <c r="AL52" i="10"/>
  <c r="BA52" i="10" s="1"/>
  <c r="AK52" i="10"/>
  <c r="AK53" i="10" s="1"/>
  <c r="AZ53" i="10" s="1"/>
  <c r="AJ52" i="10"/>
  <c r="AI52" i="10"/>
  <c r="AI53" i="10" s="1"/>
  <c r="AX53" i="10" s="1"/>
  <c r="AH52" i="10"/>
  <c r="AH53" i="10" s="1"/>
  <c r="AW53" i="10" s="1"/>
  <c r="AA52" i="10"/>
  <c r="AD52" i="10" s="1"/>
  <c r="AE52" i="10" s="1"/>
  <c r="AU51" i="10"/>
  <c r="BJ51" i="10" s="1"/>
  <c r="AT51" i="10"/>
  <c r="BI51" i="10" s="1"/>
  <c r="AS51" i="10"/>
  <c r="BH51" i="10" s="1"/>
  <c r="AR51" i="10"/>
  <c r="BG51" i="10" s="1"/>
  <c r="AQ51" i="10"/>
  <c r="BF51" i="10" s="1"/>
  <c r="AP51" i="10"/>
  <c r="BE51" i="10" s="1"/>
  <c r="AJ51" i="10"/>
  <c r="AY51" i="10" s="1"/>
  <c r="AI51" i="10"/>
  <c r="AX51" i="10" s="1"/>
  <c r="AH51" i="10"/>
  <c r="AA51" i="10"/>
  <c r="AD51" i="10" s="1"/>
  <c r="AE51" i="10" s="1"/>
  <c r="AU50" i="10"/>
  <c r="AT50" i="10"/>
  <c r="AS50" i="10"/>
  <c r="AR50" i="10"/>
  <c r="BG50" i="10" s="1"/>
  <c r="AQ50" i="10"/>
  <c r="BF50" i="10" s="1"/>
  <c r="AP50" i="10"/>
  <c r="BE50" i="10" s="1"/>
  <c r="BT50" i="10" s="1"/>
  <c r="AO50" i="10"/>
  <c r="AO51" i="10" s="1"/>
  <c r="BD51" i="10" s="1"/>
  <c r="AN50" i="10"/>
  <c r="AM50" i="10"/>
  <c r="AM51" i="10" s="1"/>
  <c r="BB51" i="10" s="1"/>
  <c r="AL50" i="10"/>
  <c r="AL51" i="10" s="1"/>
  <c r="BA51" i="10" s="1"/>
  <c r="AK50" i="10"/>
  <c r="AK51" i="10" s="1"/>
  <c r="AJ50" i="10"/>
  <c r="AI50" i="10"/>
  <c r="AH50" i="10"/>
  <c r="AA50" i="10"/>
  <c r="AD50" i="10" s="1"/>
  <c r="AE50" i="10" s="1"/>
  <c r="AU49" i="10"/>
  <c r="BJ49" i="10" s="1"/>
  <c r="AT49" i="10"/>
  <c r="BI49" i="10" s="1"/>
  <c r="AN49" i="10"/>
  <c r="BC49" i="10" s="1"/>
  <c r="AM49" i="10"/>
  <c r="BB49" i="10" s="1"/>
  <c r="AL49" i="10"/>
  <c r="BA49" i="10" s="1"/>
  <c r="AK49" i="10"/>
  <c r="AZ49" i="10" s="1"/>
  <c r="AJ49" i="10"/>
  <c r="AY49" i="10" s="1"/>
  <c r="AI49" i="10"/>
  <c r="AX49" i="10" s="1"/>
  <c r="AH49" i="10"/>
  <c r="AW49" i="10" s="1"/>
  <c r="AE49" i="10"/>
  <c r="AD49" i="10"/>
  <c r="AA49" i="10"/>
  <c r="AU48" i="10"/>
  <c r="AT48" i="10"/>
  <c r="AS48" i="10"/>
  <c r="AS49" i="10" s="1"/>
  <c r="BH49" i="10" s="1"/>
  <c r="AR48" i="10"/>
  <c r="AR49" i="10" s="1"/>
  <c r="BG49" i="10" s="1"/>
  <c r="AQ48" i="10"/>
  <c r="AP48" i="10"/>
  <c r="AP49" i="10" s="1"/>
  <c r="BE49" i="10" s="1"/>
  <c r="AO48" i="10"/>
  <c r="AO49" i="10" s="1"/>
  <c r="BD49" i="10" s="1"/>
  <c r="AN48" i="10"/>
  <c r="AM48" i="10"/>
  <c r="AL48" i="10"/>
  <c r="AK48" i="10"/>
  <c r="AJ48" i="10"/>
  <c r="AI48" i="10"/>
  <c r="AH48" i="10"/>
  <c r="AA48" i="10"/>
  <c r="AD48" i="10" s="1"/>
  <c r="AE48" i="10" s="1"/>
  <c r="AT47" i="10"/>
  <c r="BI47" i="10" s="1"/>
  <c r="AR47" i="10"/>
  <c r="AQ47" i="10"/>
  <c r="AP47" i="10"/>
  <c r="AO47" i="10"/>
  <c r="AN47" i="10"/>
  <c r="AM47" i="10"/>
  <c r="AL47" i="10"/>
  <c r="AH47" i="10"/>
  <c r="AA47" i="10"/>
  <c r="AD47" i="10" s="1"/>
  <c r="AE47" i="10" s="1"/>
  <c r="AU46" i="10"/>
  <c r="AU47" i="10" s="1"/>
  <c r="BJ47" i="10" s="1"/>
  <c r="AT46" i="10"/>
  <c r="AS46" i="10"/>
  <c r="AS47" i="10" s="1"/>
  <c r="BH47" i="10" s="1"/>
  <c r="AR46" i="10"/>
  <c r="AQ46" i="10"/>
  <c r="AP46" i="10"/>
  <c r="AO46" i="10"/>
  <c r="AN46" i="10"/>
  <c r="AM46" i="10"/>
  <c r="AL46" i="10"/>
  <c r="AK46" i="10"/>
  <c r="AK47" i="10" s="1"/>
  <c r="AJ46" i="10"/>
  <c r="AI46" i="10"/>
  <c r="AI47" i="10" s="1"/>
  <c r="AX47" i="10" s="1"/>
  <c r="AH46" i="10"/>
  <c r="AA46" i="10"/>
  <c r="AD46" i="10" s="1"/>
  <c r="AE46" i="10" s="1"/>
  <c r="AT35" i="10"/>
  <c r="AS35" i="10"/>
  <c r="AR35" i="10"/>
  <c r="AQ35" i="10"/>
  <c r="AP35" i="10"/>
  <c r="AL35" i="10"/>
  <c r="AH35" i="10"/>
  <c r="AA35" i="10"/>
  <c r="AD35" i="10" s="1"/>
  <c r="AE35" i="10" s="1"/>
  <c r="BB34" i="10"/>
  <c r="BA34" i="10"/>
  <c r="AZ34" i="10"/>
  <c r="AU34" i="10"/>
  <c r="AU35" i="10" s="1"/>
  <c r="AT34" i="10"/>
  <c r="AS34" i="10"/>
  <c r="AR34" i="10"/>
  <c r="AQ34" i="10"/>
  <c r="AP34" i="10"/>
  <c r="AO34" i="10"/>
  <c r="AN34" i="10"/>
  <c r="AM34" i="10"/>
  <c r="AM35" i="10" s="1"/>
  <c r="AL34" i="10"/>
  <c r="AK34" i="10"/>
  <c r="AK35" i="10" s="1"/>
  <c r="AJ34" i="10"/>
  <c r="AJ35" i="10" s="1"/>
  <c r="AI34" i="10"/>
  <c r="AI35" i="10" s="1"/>
  <c r="AH34" i="10"/>
  <c r="AA34" i="10"/>
  <c r="AD34" i="10" s="1"/>
  <c r="AE34" i="10" s="1"/>
  <c r="AS33" i="10"/>
  <c r="AO33" i="10"/>
  <c r="AN33" i="10"/>
  <c r="AM33" i="10"/>
  <c r="AL33" i="10"/>
  <c r="AK33" i="10"/>
  <c r="AA33" i="10"/>
  <c r="AU32" i="10"/>
  <c r="AT32" i="10"/>
  <c r="AT33" i="10" s="1"/>
  <c r="AS32" i="10"/>
  <c r="AR32" i="10"/>
  <c r="AR33" i="10" s="1"/>
  <c r="AQ32" i="10"/>
  <c r="AQ33" i="10" s="1"/>
  <c r="AP32" i="10"/>
  <c r="AO32" i="10"/>
  <c r="AN32" i="10"/>
  <c r="AM32" i="10"/>
  <c r="AL32" i="10"/>
  <c r="AK32" i="10"/>
  <c r="AJ32" i="10"/>
  <c r="AI32" i="10"/>
  <c r="AH32" i="10"/>
  <c r="AH33" i="10" s="1"/>
  <c r="AA32" i="10"/>
  <c r="AU31" i="10"/>
  <c r="AT31" i="10"/>
  <c r="AS31" i="10"/>
  <c r="AR31" i="10"/>
  <c r="AN31" i="10"/>
  <c r="AJ31" i="10"/>
  <c r="AI31" i="10"/>
  <c r="AH31" i="10"/>
  <c r="AA31" i="10"/>
  <c r="AU30" i="10"/>
  <c r="AT30" i="10"/>
  <c r="AS30" i="10"/>
  <c r="AR30" i="10"/>
  <c r="AQ30" i="10"/>
  <c r="AP30" i="10"/>
  <c r="AO30" i="10"/>
  <c r="AO31" i="10" s="1"/>
  <c r="AN30" i="10"/>
  <c r="AM30" i="10"/>
  <c r="AM31" i="10" s="1"/>
  <c r="AL30" i="10"/>
  <c r="AL31" i="10" s="1"/>
  <c r="AK30" i="10"/>
  <c r="AJ30" i="10"/>
  <c r="AI30" i="10"/>
  <c r="AH30" i="10"/>
  <c r="AD31" i="10"/>
  <c r="AE31" i="10" s="1"/>
  <c r="BA31" i="10" s="1"/>
  <c r="AA30" i="10"/>
  <c r="AD30" i="10" s="1"/>
  <c r="AE30" i="10" s="1"/>
  <c r="BB29" i="10"/>
  <c r="AU29" i="10"/>
  <c r="AQ29" i="10"/>
  <c r="AP29" i="10"/>
  <c r="AO29" i="10"/>
  <c r="AN29" i="10"/>
  <c r="AM29" i="10"/>
  <c r="AI29" i="10"/>
  <c r="AA29" i="10"/>
  <c r="AD29" i="10" s="1"/>
  <c r="AE29" i="10" s="1"/>
  <c r="BH29" i="10" s="1"/>
  <c r="AU28" i="10"/>
  <c r="AT28" i="10"/>
  <c r="AT29" i="10" s="1"/>
  <c r="BI29" i="10" s="1"/>
  <c r="AS28" i="10"/>
  <c r="AS29" i="10" s="1"/>
  <c r="AR28" i="10"/>
  <c r="AQ28" i="10"/>
  <c r="AP28" i="10"/>
  <c r="AO28" i="10"/>
  <c r="AN28" i="10"/>
  <c r="AM28" i="10"/>
  <c r="AL28" i="10"/>
  <c r="AK28" i="10"/>
  <c r="AJ28" i="10"/>
  <c r="AJ29" i="10" s="1"/>
  <c r="AI28" i="10"/>
  <c r="AH28" i="10"/>
  <c r="AH29" i="10" s="1"/>
  <c r="AW29" i="10" s="1"/>
  <c r="AA28" i="10"/>
  <c r="AD28" i="10" s="1"/>
  <c r="AE28" i="10" s="1"/>
  <c r="AU27" i="10"/>
  <c r="AT27" i="10"/>
  <c r="AQ27" i="10"/>
  <c r="BF27" i="10" s="1"/>
  <c r="AP27" i="10"/>
  <c r="BE27" i="10" s="1"/>
  <c r="AL27" i="10"/>
  <c r="BA27" i="10" s="1"/>
  <c r="AK27" i="10"/>
  <c r="AZ27" i="10" s="1"/>
  <c r="AJ27" i="10"/>
  <c r="AY27" i="10" s="1"/>
  <c r="AI27" i="10"/>
  <c r="AA27" i="10"/>
  <c r="AD27" i="10" s="1"/>
  <c r="AE27" i="10" s="1"/>
  <c r="AU26" i="10"/>
  <c r="AT26" i="10"/>
  <c r="AS26" i="10"/>
  <c r="AR26" i="10"/>
  <c r="AR27" i="10" s="1"/>
  <c r="AQ26" i="10"/>
  <c r="AP26" i="10"/>
  <c r="AO26" i="10"/>
  <c r="AO27" i="10" s="1"/>
  <c r="BD27" i="10" s="1"/>
  <c r="AN26" i="10"/>
  <c r="AM26" i="10"/>
  <c r="AM27" i="10" s="1"/>
  <c r="BB27" i="10" s="1"/>
  <c r="AL26" i="10"/>
  <c r="AK26" i="10"/>
  <c r="AJ26" i="10"/>
  <c r="AI26" i="10"/>
  <c r="AH26" i="10"/>
  <c r="AA26" i="10"/>
  <c r="AD26" i="10" s="1"/>
  <c r="AE26" i="10" s="1"/>
  <c r="BB26" i="10" s="1"/>
  <c r="BQ26" i="10" s="1"/>
  <c r="AT25" i="10"/>
  <c r="AS25" i="10"/>
  <c r="AR25" i="10"/>
  <c r="AP25" i="10"/>
  <c r="AL25" i="10"/>
  <c r="AH25" i="10"/>
  <c r="AA25" i="10"/>
  <c r="AD25" i="10" s="1"/>
  <c r="AE25" i="10" s="1"/>
  <c r="AU24" i="10"/>
  <c r="AU25" i="10" s="1"/>
  <c r="AT24" i="10"/>
  <c r="AS24" i="10"/>
  <c r="AR24" i="10"/>
  <c r="AQ24" i="10"/>
  <c r="AP24" i="10"/>
  <c r="AO24" i="10"/>
  <c r="AO25" i="10" s="1"/>
  <c r="AN24" i="10"/>
  <c r="AN25" i="10" s="1"/>
  <c r="AM24" i="10"/>
  <c r="AM25" i="10" s="1"/>
  <c r="AL24" i="10"/>
  <c r="AK24" i="10"/>
  <c r="AK25" i="10" s="1"/>
  <c r="AJ24" i="10"/>
  <c r="AJ25" i="10" s="1"/>
  <c r="AI24" i="10"/>
  <c r="AI25" i="10" s="1"/>
  <c r="AH24" i="10"/>
  <c r="AA24" i="10"/>
  <c r="AD24" i="10" s="1"/>
  <c r="AE24" i="10" s="1"/>
  <c r="AS23" i="10"/>
  <c r="AO23" i="10"/>
  <c r="AN23" i="10"/>
  <c r="AM23" i="10"/>
  <c r="AL23" i="10"/>
  <c r="AA23" i="10"/>
  <c r="AU22" i="10"/>
  <c r="AU23" i="10" s="1"/>
  <c r="AT22" i="10"/>
  <c r="AT23" i="10" s="1"/>
  <c r="AS22" i="10"/>
  <c r="AR22" i="10"/>
  <c r="AR23" i="10" s="1"/>
  <c r="AQ22" i="10"/>
  <c r="AQ23" i="10" s="1"/>
  <c r="AP22" i="10"/>
  <c r="AO22" i="10"/>
  <c r="AN22" i="10"/>
  <c r="AM22" i="10"/>
  <c r="AL22" i="10"/>
  <c r="AK22" i="10"/>
  <c r="AJ22" i="10"/>
  <c r="AJ23" i="10" s="1"/>
  <c r="AI22" i="10"/>
  <c r="AI23" i="10" s="1"/>
  <c r="AH22" i="10"/>
  <c r="AH23" i="10" s="1"/>
  <c r="AA22" i="10"/>
  <c r="AU21" i="10"/>
  <c r="AT21" i="10"/>
  <c r="AN21" i="10"/>
  <c r="AJ21" i="10"/>
  <c r="AI21" i="10"/>
  <c r="AH21" i="10"/>
  <c r="AW21" i="10" s="1"/>
  <c r="AA21" i="10"/>
  <c r="AU20" i="10"/>
  <c r="AT20" i="10"/>
  <c r="AS20" i="10"/>
  <c r="AR20" i="10"/>
  <c r="AQ20" i="10"/>
  <c r="AQ21" i="10" s="1"/>
  <c r="AP20" i="10"/>
  <c r="AP21" i="10" s="1"/>
  <c r="AO20" i="10"/>
  <c r="AO21" i="10" s="1"/>
  <c r="AN20" i="10"/>
  <c r="AM20" i="10"/>
  <c r="AM21" i="10" s="1"/>
  <c r="AL20" i="10"/>
  <c r="AL21" i="10" s="1"/>
  <c r="AK20" i="10"/>
  <c r="AJ20" i="10"/>
  <c r="AI20" i="10"/>
  <c r="AH20" i="10"/>
  <c r="AD21" i="10"/>
  <c r="AE21" i="10" s="1"/>
  <c r="AA20" i="10"/>
  <c r="AD20" i="10" s="1"/>
  <c r="AE20" i="10" s="1"/>
  <c r="AU19" i="10"/>
  <c r="AQ19" i="10"/>
  <c r="AP19" i="10"/>
  <c r="AO19" i="10"/>
  <c r="BD19" i="10" s="1"/>
  <c r="AN19" i="10"/>
  <c r="BC19" i="10" s="1"/>
  <c r="AM19" i="10"/>
  <c r="BB19" i="10" s="1"/>
  <c r="AI19" i="10"/>
  <c r="AA19" i="10"/>
  <c r="AD19" i="10" s="1"/>
  <c r="AE19" i="10" s="1"/>
  <c r="BA19" i="10" s="1"/>
  <c r="AU18" i="10"/>
  <c r="AT18" i="10"/>
  <c r="AT19" i="10" s="1"/>
  <c r="AS18" i="10"/>
  <c r="AS19" i="10" s="1"/>
  <c r="AR18" i="10"/>
  <c r="AQ18" i="10"/>
  <c r="AP18" i="10"/>
  <c r="AO18" i="10"/>
  <c r="AN18" i="10"/>
  <c r="AM18" i="10"/>
  <c r="AL18" i="10"/>
  <c r="AL19" i="10" s="1"/>
  <c r="AK18" i="10"/>
  <c r="AK19" i="10" s="1"/>
  <c r="AJ18" i="10"/>
  <c r="AJ19" i="10" s="1"/>
  <c r="AY19" i="10" s="1"/>
  <c r="AI18" i="10"/>
  <c r="AH18" i="10"/>
  <c r="AH19" i="10" s="1"/>
  <c r="AA18" i="10"/>
  <c r="AD18" i="10" s="1"/>
  <c r="AE18" i="10" s="1"/>
  <c r="AU17" i="10"/>
  <c r="AT17" i="10"/>
  <c r="AQ17" i="10"/>
  <c r="BF17" i="10" s="1"/>
  <c r="AP17" i="10"/>
  <c r="BE17" i="10" s="1"/>
  <c r="AM17" i="10"/>
  <c r="AL17" i="10"/>
  <c r="AK17" i="10"/>
  <c r="AI17" i="10"/>
  <c r="AH17" i="10"/>
  <c r="AA17" i="10"/>
  <c r="AD17" i="10" s="1"/>
  <c r="AE17" i="10" s="1"/>
  <c r="AX17" i="10" s="1"/>
  <c r="AU16" i="10"/>
  <c r="AT16" i="10"/>
  <c r="AS16" i="10"/>
  <c r="AS17" i="10" s="1"/>
  <c r="AR16" i="10"/>
  <c r="AR17" i="10" s="1"/>
  <c r="AQ16" i="10"/>
  <c r="AP16" i="10"/>
  <c r="AO16" i="10"/>
  <c r="AO17" i="10" s="1"/>
  <c r="BD17" i="10" s="1"/>
  <c r="AN16" i="10"/>
  <c r="AM16" i="10"/>
  <c r="AL16" i="10"/>
  <c r="AK16" i="10"/>
  <c r="AJ16" i="10"/>
  <c r="AJ17" i="10" s="1"/>
  <c r="AY17" i="10" s="1"/>
  <c r="AI16" i="10"/>
  <c r="AH16" i="10"/>
  <c r="AA16" i="10"/>
  <c r="AD16" i="10" s="1"/>
  <c r="AE16" i="10" s="1"/>
  <c r="C10" i="10"/>
  <c r="C9" i="10"/>
  <c r="C8" i="10"/>
  <c r="C7" i="10"/>
  <c r="C6" i="10"/>
  <c r="C5" i="10"/>
  <c r="C4" i="10"/>
  <c r="C3" i="10"/>
  <c r="B144" i="1"/>
  <c r="B139" i="1"/>
  <c r="B77" i="1"/>
  <c r="B134" i="1" s="1"/>
  <c r="B72" i="1"/>
  <c r="B129" i="1" s="1"/>
  <c r="B62" i="1"/>
  <c r="B119" i="1" s="1"/>
  <c r="AA36" i="1"/>
  <c r="AA36" i="17" s="1"/>
  <c r="Z36" i="1"/>
  <c r="Z36" i="17" s="1"/>
  <c r="Y36" i="1"/>
  <c r="Y36" i="17" s="1"/>
  <c r="X36" i="1"/>
  <c r="X36" i="17" s="1"/>
  <c r="W36" i="1"/>
  <c r="W36" i="17" s="1"/>
  <c r="V36" i="1"/>
  <c r="V36" i="17" s="1"/>
  <c r="U36" i="1"/>
  <c r="U36" i="17" s="1"/>
  <c r="T36" i="1"/>
  <c r="T36" i="17" s="1"/>
  <c r="M36" i="1"/>
  <c r="M36" i="17" s="1"/>
  <c r="L36" i="1"/>
  <c r="L36" i="17" s="1"/>
  <c r="K36" i="1"/>
  <c r="K36" i="17" s="1"/>
  <c r="J36" i="1"/>
  <c r="J36" i="17" s="1"/>
  <c r="I36" i="1"/>
  <c r="I36" i="17" s="1"/>
  <c r="H36" i="1"/>
  <c r="H36" i="17" s="1"/>
  <c r="G36" i="1"/>
  <c r="G36" i="17" s="1"/>
  <c r="F36" i="1"/>
  <c r="F36" i="17" s="1"/>
  <c r="E36" i="1"/>
  <c r="AA22" i="1"/>
  <c r="AA22" i="17" s="1"/>
  <c r="Z22" i="1"/>
  <c r="Z22" i="17" s="1"/>
  <c r="Z8" i="17" s="1"/>
  <c r="Y22" i="1"/>
  <c r="Y22" i="17" s="1"/>
  <c r="X22" i="1"/>
  <c r="X22" i="17" s="1"/>
  <c r="W22" i="1"/>
  <c r="W22" i="17" s="1"/>
  <c r="W8" i="17" s="1"/>
  <c r="V22" i="1"/>
  <c r="V22" i="17" s="1"/>
  <c r="V8" i="17" s="1"/>
  <c r="U22" i="1"/>
  <c r="U22" i="17" s="1"/>
  <c r="T22" i="1"/>
  <c r="T22" i="17" s="1"/>
  <c r="M22" i="1"/>
  <c r="M22" i="17" s="1"/>
  <c r="L22" i="1"/>
  <c r="L22" i="17" s="1"/>
  <c r="K22" i="1"/>
  <c r="K22" i="17" s="1"/>
  <c r="J22" i="1"/>
  <c r="J22" i="17" s="1"/>
  <c r="I22" i="1"/>
  <c r="I22" i="17" s="1"/>
  <c r="H22" i="1"/>
  <c r="H22" i="17" s="1"/>
  <c r="G22" i="1"/>
  <c r="G22" i="17" s="1"/>
  <c r="F22" i="1"/>
  <c r="F22" i="17" s="1"/>
  <c r="AE30" i="1" l="1"/>
  <c r="G8" i="17"/>
  <c r="Y8" i="17"/>
  <c r="O11" i="17"/>
  <c r="I8" i="17"/>
  <c r="O12" i="17"/>
  <c r="Q10" i="17"/>
  <c r="S8" i="17"/>
  <c r="J8" i="17"/>
  <c r="K8" i="17"/>
  <c r="N9" i="17"/>
  <c r="Q12" i="17"/>
  <c r="S10" i="17"/>
  <c r="N8" i="17"/>
  <c r="O13" i="17"/>
  <c r="Q11" i="17"/>
  <c r="S9" i="17"/>
  <c r="BH144" i="1"/>
  <c r="AH43" i="1" s="1"/>
  <c r="BT144" i="1"/>
  <c r="AT43" i="1" s="1"/>
  <c r="BJ147" i="1"/>
  <c r="AJ43" i="1" s="1"/>
  <c r="BV147" i="1"/>
  <c r="AV43" i="1" s="1"/>
  <c r="BG152" i="1"/>
  <c r="AG44" i="1" s="1"/>
  <c r="BY152" i="1"/>
  <c r="AY44" i="1" s="1"/>
  <c r="L8" i="17"/>
  <c r="M8" i="17"/>
  <c r="P9" i="17"/>
  <c r="S12" i="17"/>
  <c r="Q46" i="17"/>
  <c r="BK144" i="1"/>
  <c r="AK43" i="1" s="1"/>
  <c r="BW144" i="1"/>
  <c r="AW43" i="1" s="1"/>
  <c r="BM147" i="1"/>
  <c r="BY147" i="1"/>
  <c r="BX152" i="1"/>
  <c r="AX44" i="1" s="1"/>
  <c r="BJ152" i="1"/>
  <c r="AJ44" i="1" s="1"/>
  <c r="N12" i="17"/>
  <c r="P10" i="17"/>
  <c r="S13" i="17"/>
  <c r="BL144" i="1"/>
  <c r="AL43" i="1" s="1"/>
  <c r="BX144" i="1"/>
  <c r="AX43" i="1" s="1"/>
  <c r="BN147" i="1"/>
  <c r="BZ147" i="1"/>
  <c r="BW152" i="1"/>
  <c r="AW44" i="1" s="1"/>
  <c r="BQ152" i="1"/>
  <c r="AQ44" i="1" s="1"/>
  <c r="BZ152" i="1"/>
  <c r="AZ44" i="1" s="1"/>
  <c r="T8" i="17"/>
  <c r="U8" i="17"/>
  <c r="N13" i="17"/>
  <c r="P11" i="17"/>
  <c r="R9" i="17"/>
  <c r="O46" i="17"/>
  <c r="S46" i="17"/>
  <c r="BM144" i="1"/>
  <c r="AM43" i="1" s="1"/>
  <c r="BY144" i="1"/>
  <c r="AY43" i="1" s="1"/>
  <c r="BO147" i="1"/>
  <c r="AO43" i="1" s="1"/>
  <c r="BK152" i="1"/>
  <c r="AK44" i="1" s="1"/>
  <c r="BN144" i="1"/>
  <c r="BZ144" i="1"/>
  <c r="BP147" i="1"/>
  <c r="AP43" i="1" s="1"/>
  <c r="BS152" i="1"/>
  <c r="AS44" i="1" s="1"/>
  <c r="O8" i="17"/>
  <c r="P13" i="17"/>
  <c r="R11" i="17"/>
  <c r="BV152" i="1"/>
  <c r="AV44" i="1" s="1"/>
  <c r="BL152" i="1"/>
  <c r="AL44" i="1" s="1"/>
  <c r="O9" i="17"/>
  <c r="R12" i="17"/>
  <c r="BN152" i="1"/>
  <c r="AN44" i="1" s="1"/>
  <c r="AK152" i="1"/>
  <c r="N46" i="17"/>
  <c r="P46" i="17"/>
  <c r="R46" i="17"/>
  <c r="N11" i="17"/>
  <c r="F8" i="17"/>
  <c r="E8" i="1"/>
  <c r="E36" i="17"/>
  <c r="E8" i="17" s="1"/>
  <c r="R8" i="17"/>
  <c r="X8" i="17"/>
  <c r="AA8" i="17"/>
  <c r="S11" i="1"/>
  <c r="S25" i="17"/>
  <c r="S11" i="17" s="1"/>
  <c r="O9" i="1"/>
  <c r="R12" i="1"/>
  <c r="N28" i="17"/>
  <c r="N14" i="17" s="1"/>
  <c r="N14" i="1"/>
  <c r="Q11" i="1"/>
  <c r="P28" i="17"/>
  <c r="P14" i="17" s="1"/>
  <c r="P14" i="1"/>
  <c r="AB29" i="17"/>
  <c r="Q9" i="1"/>
  <c r="Q23" i="17"/>
  <c r="Q9" i="17" s="1"/>
  <c r="R28" i="17"/>
  <c r="R14" i="17" s="1"/>
  <c r="R14" i="1"/>
  <c r="AB15" i="1"/>
  <c r="AC30" i="1"/>
  <c r="AB30" i="17"/>
  <c r="AT44" i="1"/>
  <c r="AB16" i="17"/>
  <c r="AS43" i="1"/>
  <c r="AU43" i="1"/>
  <c r="AD29" i="1"/>
  <c r="AD15" i="1" s="1"/>
  <c r="AE15" i="1" s="1"/>
  <c r="S14" i="1"/>
  <c r="S28" i="17"/>
  <c r="S14" i="17" s="1"/>
  <c r="AG42" i="1"/>
  <c r="O28" i="17"/>
  <c r="O14" i="17" s="1"/>
  <c r="O14" i="1"/>
  <c r="Q28" i="17"/>
  <c r="Q14" i="17" s="1"/>
  <c r="Q14" i="1"/>
  <c r="H8" i="17"/>
  <c r="AB22" i="17"/>
  <c r="AB15" i="17"/>
  <c r="AQ11" i="17"/>
  <c r="AJ13" i="17"/>
  <c r="AZ16" i="17"/>
  <c r="AK13" i="17"/>
  <c r="AW16" i="17"/>
  <c r="AP16" i="17"/>
  <c r="AT10" i="17"/>
  <c r="AQ32" i="17"/>
  <c r="AQ13" i="17"/>
  <c r="AL46" i="17"/>
  <c r="AZ14" i="17"/>
  <c r="AC10" i="17"/>
  <c r="AC8" i="17"/>
  <c r="AG16" i="17"/>
  <c r="AH11" i="17"/>
  <c r="AH14" i="17"/>
  <c r="AR13" i="17"/>
  <c r="AO12" i="17"/>
  <c r="AJ16" i="17"/>
  <c r="AG15" i="17"/>
  <c r="AI13" i="17"/>
  <c r="AM16" i="17"/>
  <c r="AS15" i="17"/>
  <c r="AQ9" i="17"/>
  <c r="AY13" i="17"/>
  <c r="AP14" i="17"/>
  <c r="AI15" i="17"/>
  <c r="AY11" i="17"/>
  <c r="AU11" i="17"/>
  <c r="AK10" i="17"/>
  <c r="AM32" i="17"/>
  <c r="AM8" i="17"/>
  <c r="AX16" i="17"/>
  <c r="AR46" i="17"/>
  <c r="AM15" i="17"/>
  <c r="AL8" i="17"/>
  <c r="AV15" i="17"/>
  <c r="AM12" i="17"/>
  <c r="AX12" i="17"/>
  <c r="AV14" i="17"/>
  <c r="AQ12" i="17"/>
  <c r="AQ14" i="17"/>
  <c r="AS32" i="17"/>
  <c r="AS8" i="17"/>
  <c r="AX8" i="17"/>
  <c r="AI11" i="17"/>
  <c r="AM11" i="17"/>
  <c r="AV10" i="17"/>
  <c r="AY8" i="17"/>
  <c r="AY32" i="17"/>
  <c r="AK16" i="17"/>
  <c r="AN16" i="17"/>
  <c r="AZ12" i="17"/>
  <c r="AN15" i="17"/>
  <c r="AX13" i="17"/>
  <c r="AW10" i="17"/>
  <c r="AL12" i="17"/>
  <c r="AK9" i="17"/>
  <c r="AU46" i="17"/>
  <c r="AL16" i="17"/>
  <c r="AH15" i="17"/>
  <c r="AJ10" i="17"/>
  <c r="AS9" i="17"/>
  <c r="AQ46" i="17"/>
  <c r="AQ8" i="17"/>
  <c r="AY12" i="17"/>
  <c r="AY14" i="17"/>
  <c r="AK32" i="17"/>
  <c r="AK8" i="17"/>
  <c r="AP32" i="17"/>
  <c r="AP8" i="17"/>
  <c r="AC11" i="17"/>
  <c r="AX10" i="17"/>
  <c r="AG32" i="17"/>
  <c r="AG8" i="17"/>
  <c r="AS16" i="17"/>
  <c r="AU32" i="17"/>
  <c r="AU8" i="17"/>
  <c r="AW13" i="17"/>
  <c r="AO11" i="17"/>
  <c r="AU13" i="17"/>
  <c r="AR12" i="17"/>
  <c r="AT13" i="17"/>
  <c r="AM14" i="17"/>
  <c r="AY16" i="17"/>
  <c r="AP13" i="17"/>
  <c r="AO10" i="17"/>
  <c r="AL10" i="17"/>
  <c r="AY9" i="17"/>
  <c r="AV46" i="17"/>
  <c r="AP15" i="17"/>
  <c r="AH46" i="17"/>
  <c r="AP12" i="17"/>
  <c r="AW11" i="17"/>
  <c r="AC14" i="17"/>
  <c r="AN14" i="17"/>
  <c r="AC12" i="17"/>
  <c r="AG13" i="17"/>
  <c r="AY15" i="17"/>
  <c r="AH32" i="17"/>
  <c r="AH8" i="17"/>
  <c r="AN11" i="17"/>
  <c r="AH10" i="17"/>
  <c r="AV8" i="17"/>
  <c r="AO32" i="17"/>
  <c r="AO8" i="17"/>
  <c r="AV16" i="17"/>
  <c r="AC46" i="17"/>
  <c r="AD9" i="17"/>
  <c r="AX14" i="17"/>
  <c r="AT32" i="17"/>
  <c r="AN32" i="17"/>
  <c r="AN8" i="17"/>
  <c r="AK12" i="17"/>
  <c r="AM10" i="17"/>
  <c r="AM13" i="17"/>
  <c r="AR15" i="17"/>
  <c r="AL13" i="17"/>
  <c r="AQ16" i="17"/>
  <c r="AH13" i="17"/>
  <c r="AG10" i="17"/>
  <c r="AX15" i="17"/>
  <c r="AK46" i="17"/>
  <c r="AN46" i="17"/>
  <c r="AZ15" i="17"/>
  <c r="AS13" i="17"/>
  <c r="AV11" i="17"/>
  <c r="AQ10" i="17"/>
  <c r="AV9" i="17"/>
  <c r="AI32" i="17"/>
  <c r="AI8" i="17"/>
  <c r="AW32" i="17"/>
  <c r="AW8" i="17"/>
  <c r="AJ46" i="17"/>
  <c r="AC16" i="17"/>
  <c r="AL15" i="17"/>
  <c r="AV13" i="17"/>
  <c r="AO16" i="17"/>
  <c r="AP46" i="17"/>
  <c r="AC15" i="17"/>
  <c r="AH12" i="17"/>
  <c r="AX46" i="17"/>
  <c r="AS46" i="17"/>
  <c r="AJ15" i="17"/>
  <c r="AN10" i="17"/>
  <c r="AQ15" i="17"/>
  <c r="AC9" i="17"/>
  <c r="AD32" i="17"/>
  <c r="AD8" i="17"/>
  <c r="AH16" i="17"/>
  <c r="AZ32" i="17"/>
  <c r="AO37" i="16"/>
  <c r="AO9" i="16" s="1"/>
  <c r="AG8" i="16"/>
  <c r="AP29" i="16"/>
  <c r="AP15" i="16" s="1"/>
  <c r="AO26" i="16"/>
  <c r="AO12" i="16" s="1"/>
  <c r="AI24" i="16"/>
  <c r="AJ16" i="16"/>
  <c r="AW29" i="16"/>
  <c r="AW15" i="16" s="1"/>
  <c r="AU26" i="16"/>
  <c r="AU12" i="16" s="1"/>
  <c r="BW117" i="16"/>
  <c r="AW38" i="16" s="1"/>
  <c r="AW10" i="16" s="1"/>
  <c r="AR44" i="16"/>
  <c r="AK15" i="16"/>
  <c r="AJ12" i="16"/>
  <c r="AJ29" i="16"/>
  <c r="AJ15" i="16" s="1"/>
  <c r="AY26" i="16"/>
  <c r="AY12" i="16" s="1"/>
  <c r="AS24" i="16"/>
  <c r="AZ28" i="16"/>
  <c r="AZ14" i="16" s="1"/>
  <c r="BR122" i="16"/>
  <c r="AR39" i="16" s="1"/>
  <c r="AR11" i="16" s="1"/>
  <c r="AH37" i="16"/>
  <c r="AY25" i="16"/>
  <c r="BY117" i="16"/>
  <c r="AR23" i="16"/>
  <c r="BN122" i="16"/>
  <c r="AN39" i="16" s="1"/>
  <c r="BU122" i="16"/>
  <c r="AU39" i="16" s="1"/>
  <c r="AU11" i="16" s="1"/>
  <c r="AH23" i="16"/>
  <c r="BV117" i="16"/>
  <c r="AV23" i="16"/>
  <c r="AS32" i="16"/>
  <c r="AS8" i="16"/>
  <c r="AH26" i="16"/>
  <c r="AH12" i="16" s="1"/>
  <c r="BQ112" i="16"/>
  <c r="AQ37" i="16" s="1"/>
  <c r="AQ46" i="16" s="1"/>
  <c r="AQ8" i="16"/>
  <c r="AO32" i="16"/>
  <c r="AO8" i="16"/>
  <c r="AW23" i="16"/>
  <c r="AW9" i="16" s="1"/>
  <c r="AZ27" i="16"/>
  <c r="AZ13" i="16" s="1"/>
  <c r="AG26" i="16"/>
  <c r="AG12" i="16" s="1"/>
  <c r="BM122" i="16"/>
  <c r="AM39" i="16" s="1"/>
  <c r="AM11" i="16" s="1"/>
  <c r="AU10" i="16"/>
  <c r="AT10" i="16"/>
  <c r="AG16" i="16"/>
  <c r="AI26" i="16"/>
  <c r="AI12" i="16" s="1"/>
  <c r="BJ122" i="16"/>
  <c r="AJ39" i="16" s="1"/>
  <c r="BG112" i="16"/>
  <c r="BQ117" i="16"/>
  <c r="AQ38" i="16" s="1"/>
  <c r="AJ23" i="16"/>
  <c r="BO117" i="16"/>
  <c r="AO38" i="16" s="1"/>
  <c r="BN117" i="16"/>
  <c r="AN23" i="16"/>
  <c r="AG23" i="16"/>
  <c r="AO46" i="16"/>
  <c r="AS23" i="16"/>
  <c r="AK8" i="16"/>
  <c r="AP26" i="16"/>
  <c r="AP12" i="16" s="1"/>
  <c r="AY32" i="16"/>
  <c r="AY8" i="16"/>
  <c r="AW8" i="16"/>
  <c r="AR16" i="16"/>
  <c r="BH122" i="16"/>
  <c r="AH39" i="16" s="1"/>
  <c r="AH11" i="16" s="1"/>
  <c r="AS30" i="16"/>
  <c r="AS16" i="16" s="1"/>
  <c r="AN29" i="16"/>
  <c r="AN15" i="16" s="1"/>
  <c r="AS39" i="16"/>
  <c r="AS11" i="16" s="1"/>
  <c r="AJ38" i="16"/>
  <c r="AJ10" i="16" s="1"/>
  <c r="AL29" i="16"/>
  <c r="AL15" i="16" s="1"/>
  <c r="AM24" i="16"/>
  <c r="AL10" i="16"/>
  <c r="AU30" i="16"/>
  <c r="AU16" i="16" s="1"/>
  <c r="AR28" i="16"/>
  <c r="AR14" i="16" s="1"/>
  <c r="AM37" i="16"/>
  <c r="AM9" i="16" s="1"/>
  <c r="AT23" i="16"/>
  <c r="AT9" i="16" s="1"/>
  <c r="AQ25" i="16"/>
  <c r="BI117" i="16"/>
  <c r="AI38" i="16" s="1"/>
  <c r="BX117" i="16"/>
  <c r="AX38" i="16" s="1"/>
  <c r="AQ23" i="16"/>
  <c r="AN27" i="16"/>
  <c r="AN13" i="16" s="1"/>
  <c r="BG117" i="16"/>
  <c r="AG38" i="16" s="1"/>
  <c r="AC23" i="16"/>
  <c r="AC32" i="16" s="1"/>
  <c r="AI23" i="16"/>
  <c r="AB18" i="16"/>
  <c r="AK23" i="16"/>
  <c r="AK32" i="16" s="1"/>
  <c r="AI29" i="16"/>
  <c r="AI15" i="16" s="1"/>
  <c r="AX26" i="16"/>
  <c r="AX12" i="16" s="1"/>
  <c r="BI112" i="16"/>
  <c r="AI37" i="16" s="1"/>
  <c r="AI46" i="16" s="1"/>
  <c r="AD32" i="16"/>
  <c r="AE32" i="16" s="1"/>
  <c r="AD8" i="16"/>
  <c r="AH32" i="16"/>
  <c r="AH8" i="16"/>
  <c r="AL32" i="16"/>
  <c r="AL8" i="16"/>
  <c r="AJ27" i="16"/>
  <c r="AJ13" i="16" s="1"/>
  <c r="AY30" i="16"/>
  <c r="AY16" i="16" s="1"/>
  <c r="AO24" i="16"/>
  <c r="AO10" i="16" s="1"/>
  <c r="BW112" i="16"/>
  <c r="BZ117" i="16"/>
  <c r="AZ38" i="16" s="1"/>
  <c r="AZ10" i="16" s="1"/>
  <c r="AM27" i="16"/>
  <c r="AM13" i="16" s="1"/>
  <c r="AM30" i="16"/>
  <c r="AM16" i="16" s="1"/>
  <c r="AW37" i="16"/>
  <c r="AW46" i="16" s="1"/>
  <c r="AV12" i="16"/>
  <c r="AY41" i="16"/>
  <c r="AQ39" i="16"/>
  <c r="BR117" i="16"/>
  <c r="AR38" i="16" s="1"/>
  <c r="AR10" i="16" s="1"/>
  <c r="AT26" i="16"/>
  <c r="AT12" i="16" s="1"/>
  <c r="AX30" i="16"/>
  <c r="AX16" i="16" s="1"/>
  <c r="AI28" i="16"/>
  <c r="AI14" i="16" s="1"/>
  <c r="AG27" i="16"/>
  <c r="AG13" i="16" s="1"/>
  <c r="AV13" i="16"/>
  <c r="AX24" i="16"/>
  <c r="AX10" i="16" s="1"/>
  <c r="AV24" i="16"/>
  <c r="AZ32" i="16"/>
  <c r="AZ8" i="16"/>
  <c r="AH46" i="16"/>
  <c r="BS122" i="16"/>
  <c r="AQ29" i="16"/>
  <c r="AQ15" i="16" s="1"/>
  <c r="AU32" i="16"/>
  <c r="AU8" i="16"/>
  <c r="AE23" i="16"/>
  <c r="AI32" i="16"/>
  <c r="AI8" i="16"/>
  <c r="AP32" i="16"/>
  <c r="AP8" i="16"/>
  <c r="AK122" i="16"/>
  <c r="AC39" i="16" s="1"/>
  <c r="AC11" i="16" s="1"/>
  <c r="BY122" i="16"/>
  <c r="AY39" i="16" s="1"/>
  <c r="AD39" i="16"/>
  <c r="AR12" i="16"/>
  <c r="BL122" i="16"/>
  <c r="AL39" i="16" s="1"/>
  <c r="AZ11" i="16"/>
  <c r="AG10" i="16"/>
  <c r="BO122" i="16"/>
  <c r="AO39" i="16" s="1"/>
  <c r="AO11" i="16" s="1"/>
  <c r="AK112" i="16"/>
  <c r="AC37" i="16" s="1"/>
  <c r="AC46" i="16" s="1"/>
  <c r="AD37" i="16"/>
  <c r="AE37" i="16" s="1"/>
  <c r="BN112" i="16"/>
  <c r="AW11" i="16"/>
  <c r="BZ122" i="16"/>
  <c r="AZ39" i="16" s="1"/>
  <c r="AN37" i="16"/>
  <c r="AJ37" i="16"/>
  <c r="AJ46" i="16" s="1"/>
  <c r="AU15" i="16"/>
  <c r="BQ122" i="16"/>
  <c r="AT29" i="16"/>
  <c r="AT15" i="16" s="1"/>
  <c r="BU112" i="16"/>
  <c r="AU37" i="16" s="1"/>
  <c r="BP117" i="16"/>
  <c r="AP38" i="16" s="1"/>
  <c r="AP10" i="16" s="1"/>
  <c r="AR40" i="16"/>
  <c r="AI27" i="16"/>
  <c r="AI13" i="16" s="1"/>
  <c r="BS112" i="16"/>
  <c r="AV38" i="16"/>
  <c r="AR32" i="16"/>
  <c r="AR8" i="16"/>
  <c r="AE26" i="16"/>
  <c r="AO29" i="16"/>
  <c r="AO15" i="16" s="1"/>
  <c r="AY29" i="16"/>
  <c r="AY15" i="16" s="1"/>
  <c r="AK26" i="16"/>
  <c r="AK12" i="16" s="1"/>
  <c r="AM32" i="16"/>
  <c r="AM8" i="16"/>
  <c r="AC8" i="16"/>
  <c r="AX8" i="16"/>
  <c r="AQ10" i="16"/>
  <c r="AW27" i="16"/>
  <c r="AW13" i="16" s="1"/>
  <c r="BV122" i="16"/>
  <c r="AV39" i="16" s="1"/>
  <c r="AV11" i="16" s="1"/>
  <c r="AT46" i="16"/>
  <c r="AL11" i="16"/>
  <c r="AS14" i="16"/>
  <c r="BG122" i="16"/>
  <c r="AG39" i="16" s="1"/>
  <c r="AG11" i="16" s="1"/>
  <c r="AX11" i="16"/>
  <c r="AV16" i="16"/>
  <c r="AP14" i="16"/>
  <c r="AN11" i="16"/>
  <c r="BX112" i="16"/>
  <c r="AX37" i="16" s="1"/>
  <c r="AX46" i="16" s="1"/>
  <c r="AS37" i="16"/>
  <c r="AS46" i="16" s="1"/>
  <c r="AU43" i="16"/>
  <c r="BI122" i="16"/>
  <c r="AI39" i="16" s="1"/>
  <c r="AI11" i="16" s="1"/>
  <c r="BX122" i="16"/>
  <c r="AX39" i="16" s="1"/>
  <c r="AL26" i="16"/>
  <c r="AL12" i="16" s="1"/>
  <c r="AP30" i="16"/>
  <c r="AP16" i="16" s="1"/>
  <c r="AY28" i="16"/>
  <c r="AY14" i="16" s="1"/>
  <c r="AT14" i="16"/>
  <c r="AQ27" i="16"/>
  <c r="AQ13" i="16" s="1"/>
  <c r="BK112" i="16"/>
  <c r="AQ40" i="16"/>
  <c r="AQ26" i="16"/>
  <c r="AQ12" i="16" s="1"/>
  <c r="BZ112" i="16"/>
  <c r="AZ37" i="16" s="1"/>
  <c r="AN24" i="16"/>
  <c r="AN10" i="16" s="1"/>
  <c r="AJ32" i="16"/>
  <c r="AJ8" i="16"/>
  <c r="BK122" i="16"/>
  <c r="AK39" i="16" s="1"/>
  <c r="AK11" i="16" s="1"/>
  <c r="AG15" i="16"/>
  <c r="AD15" i="16"/>
  <c r="AE15" i="16" s="1"/>
  <c r="AE29" i="16"/>
  <c r="AS26" i="16"/>
  <c r="AS12" i="16" s="1"/>
  <c r="AN32" i="16"/>
  <c r="AN8" i="16"/>
  <c r="AM43" i="16"/>
  <c r="AY24" i="16"/>
  <c r="AZ16" i="16"/>
  <c r="AK28" i="16"/>
  <c r="AK14" i="16" s="1"/>
  <c r="AJ11" i="16"/>
  <c r="AZ12" i="16"/>
  <c r="AK117" i="16"/>
  <c r="AC38" i="16" s="1"/>
  <c r="AC10" i="16" s="1"/>
  <c r="BS117" i="16"/>
  <c r="AS38" i="16" s="1"/>
  <c r="AD38" i="16"/>
  <c r="AZ29" i="16"/>
  <c r="AZ15" i="16" s="1"/>
  <c r="AT27" i="16"/>
  <c r="AT13" i="16" s="1"/>
  <c r="AL37" i="16"/>
  <c r="AL9" i="16" s="1"/>
  <c r="BP112" i="16"/>
  <c r="AP37" i="16" s="1"/>
  <c r="AG37" i="16"/>
  <c r="AG46" i="16" s="1"/>
  <c r="AK37" i="16"/>
  <c r="AK46" i="16" s="1"/>
  <c r="AM15" i="16"/>
  <c r="BK117" i="16"/>
  <c r="AK38" i="16" s="1"/>
  <c r="AK10" i="16" s="1"/>
  <c r="BP122" i="16"/>
  <c r="AP39" i="16" s="1"/>
  <c r="AP11" i="16" s="1"/>
  <c r="BV112" i="16"/>
  <c r="AV37" i="16" s="1"/>
  <c r="AV46" i="16" s="1"/>
  <c r="BM112" i="16"/>
  <c r="AC28" i="16"/>
  <c r="AC14" i="16" s="1"/>
  <c r="BH117" i="16"/>
  <c r="AH38" i="16" s="1"/>
  <c r="AH10" i="16" s="1"/>
  <c r="AY27" i="16"/>
  <c r="AY13" i="16" s="1"/>
  <c r="AX23" i="16"/>
  <c r="AY38" i="16"/>
  <c r="BT122" i="16"/>
  <c r="AT39" i="16" s="1"/>
  <c r="AT11" i="16" s="1"/>
  <c r="BR112" i="16"/>
  <c r="AR37" i="16" s="1"/>
  <c r="AR46" i="16" s="1"/>
  <c r="AN38" i="16"/>
  <c r="BM117" i="16"/>
  <c r="AM38" i="16" s="1"/>
  <c r="AN46" i="16"/>
  <c r="AL46" i="16"/>
  <c r="AC29" i="16"/>
  <c r="AC15" i="16" s="1"/>
  <c r="BY112" i="16"/>
  <c r="AY37" i="16" s="1"/>
  <c r="AT32" i="16"/>
  <c r="AT8" i="16"/>
  <c r="AT18" i="16" s="1"/>
  <c r="AV32" i="16"/>
  <c r="AV8" i="16"/>
  <c r="AU44" i="1"/>
  <c r="AG43" i="1"/>
  <c r="AO44" i="1"/>
  <c r="AR44" i="1"/>
  <c r="AR43" i="1"/>
  <c r="AQ43" i="1"/>
  <c r="AP44" i="1"/>
  <c r="AM44" i="1"/>
  <c r="AI43" i="1"/>
  <c r="AI44" i="1"/>
  <c r="AH44" i="1"/>
  <c r="N12" i="1"/>
  <c r="O13" i="1"/>
  <c r="S9" i="1"/>
  <c r="H8" i="1"/>
  <c r="V8" i="1"/>
  <c r="P9" i="1"/>
  <c r="BI82" i="1"/>
  <c r="BQ82" i="1"/>
  <c r="BY82" i="1"/>
  <c r="N13" i="1"/>
  <c r="R9" i="1"/>
  <c r="S10" i="1"/>
  <c r="Q13" i="1"/>
  <c r="N11" i="1"/>
  <c r="O12" i="1"/>
  <c r="P13" i="1"/>
  <c r="S32" i="1"/>
  <c r="Q12" i="1"/>
  <c r="R13" i="1"/>
  <c r="S12" i="1"/>
  <c r="BZ90" i="1"/>
  <c r="BI85" i="1"/>
  <c r="N10" i="1"/>
  <c r="O11" i="1"/>
  <c r="P12" i="1"/>
  <c r="BJ82" i="1"/>
  <c r="BR82" i="1"/>
  <c r="BZ82" i="1"/>
  <c r="BL87" i="1"/>
  <c r="BT87" i="1"/>
  <c r="BM90" i="1"/>
  <c r="BU90" i="1"/>
  <c r="BR90" i="1"/>
  <c r="BQ85" i="1"/>
  <c r="BM87" i="1"/>
  <c r="BU87" i="1"/>
  <c r="BN90" i="1"/>
  <c r="BV90" i="1"/>
  <c r="BJ90" i="1"/>
  <c r="Q10" i="1"/>
  <c r="R11" i="1"/>
  <c r="BY85" i="1"/>
  <c r="P10" i="1"/>
  <c r="BK87" i="1"/>
  <c r="BS87" i="1"/>
  <c r="AK90" i="1"/>
  <c r="BS90" i="1"/>
  <c r="BY90" i="1"/>
  <c r="BQ90" i="1"/>
  <c r="BI90" i="1"/>
  <c r="BK90" i="1"/>
  <c r="BL90" i="1"/>
  <c r="BT90" i="1"/>
  <c r="BZ87" i="1"/>
  <c r="BR87" i="1"/>
  <c r="AK87" i="1"/>
  <c r="BW87" i="1"/>
  <c r="BO87" i="1"/>
  <c r="BG87" i="1"/>
  <c r="BQ87" i="1"/>
  <c r="BY87" i="1"/>
  <c r="BJ87" i="1"/>
  <c r="BI87" i="1"/>
  <c r="BN87" i="1"/>
  <c r="BV87" i="1"/>
  <c r="BG90" i="1"/>
  <c r="BO90" i="1"/>
  <c r="BW90" i="1"/>
  <c r="BH90" i="1"/>
  <c r="BP90" i="1"/>
  <c r="BX90" i="1"/>
  <c r="BH87" i="1"/>
  <c r="BP87" i="1"/>
  <c r="BX87" i="1"/>
  <c r="BS85" i="1"/>
  <c r="BL82" i="1"/>
  <c r="BT82" i="1"/>
  <c r="BL85" i="1"/>
  <c r="BT85" i="1"/>
  <c r="BK85" i="1"/>
  <c r="BX82" i="1"/>
  <c r="BP82" i="1"/>
  <c r="BH82" i="1"/>
  <c r="BU82" i="1"/>
  <c r="BM82" i="1"/>
  <c r="BV82" i="1"/>
  <c r="BN82" i="1"/>
  <c r="BS82" i="1"/>
  <c r="BK82" i="1"/>
  <c r="AK82" i="1"/>
  <c r="BZ85" i="1"/>
  <c r="BR85" i="1"/>
  <c r="BJ85" i="1"/>
  <c r="AK85" i="1"/>
  <c r="BP85" i="1"/>
  <c r="BX85" i="1"/>
  <c r="BW85" i="1"/>
  <c r="BO85" i="1"/>
  <c r="BG85" i="1"/>
  <c r="BU85" i="1"/>
  <c r="BM85" i="1"/>
  <c r="BH85" i="1"/>
  <c r="BN85" i="1"/>
  <c r="BV85" i="1"/>
  <c r="BG82" i="1"/>
  <c r="BO82" i="1"/>
  <c r="BW82" i="1"/>
  <c r="R32" i="1"/>
  <c r="X8" i="1"/>
  <c r="N32" i="1"/>
  <c r="AA8" i="1"/>
  <c r="Q32" i="1"/>
  <c r="S46" i="1"/>
  <c r="P32" i="1"/>
  <c r="R46" i="1"/>
  <c r="O32" i="1"/>
  <c r="Q46" i="1"/>
  <c r="N9" i="1"/>
  <c r="P46" i="1"/>
  <c r="P11" i="1"/>
  <c r="O46" i="1"/>
  <c r="N46" i="1"/>
  <c r="S13" i="1"/>
  <c r="S8" i="1"/>
  <c r="R10" i="1"/>
  <c r="O10" i="1"/>
  <c r="N8" i="1"/>
  <c r="R8" i="1"/>
  <c r="Q8" i="1"/>
  <c r="P8" i="1"/>
  <c r="O8" i="1"/>
  <c r="K8" i="1"/>
  <c r="M8" i="1"/>
  <c r="U8" i="1"/>
  <c r="I8" i="1"/>
  <c r="W8" i="1"/>
  <c r="L8" i="1"/>
  <c r="CI76" i="10"/>
  <c r="BR76" i="10"/>
  <c r="BA80" i="10"/>
  <c r="BP80" i="10" s="1"/>
  <c r="BF80" i="10"/>
  <c r="BU80" i="10" s="1"/>
  <c r="AZ80" i="10"/>
  <c r="BO80" i="10" s="1"/>
  <c r="BC80" i="10"/>
  <c r="BR80" i="10" s="1"/>
  <c r="BB80" i="10"/>
  <c r="BQ80" i="10" s="1"/>
  <c r="AG80" i="10"/>
  <c r="BE80" i="10"/>
  <c r="BT80" i="10" s="1"/>
  <c r="BJ79" i="10"/>
  <c r="AX79" i="10"/>
  <c r="BJ80" i="10"/>
  <c r="BH83" i="10"/>
  <c r="AW76" i="10"/>
  <c r="BI76" i="10"/>
  <c r="BH77" i="10"/>
  <c r="BC78" i="10"/>
  <c r="BR78" i="10" s="1"/>
  <c r="AY80" i="10"/>
  <c r="BN80" i="10" s="1"/>
  <c r="BI83" i="10"/>
  <c r="BG85" i="10"/>
  <c r="BI77" i="10"/>
  <c r="BD78" i="10"/>
  <c r="BC79" i="10"/>
  <c r="BJ83" i="10"/>
  <c r="BJ77" i="10"/>
  <c r="BD79" i="10"/>
  <c r="AZ77" i="10"/>
  <c r="BE79" i="10"/>
  <c r="AY81" i="10"/>
  <c r="AZ83" i="10"/>
  <c r="BE84" i="10"/>
  <c r="BT84" i="10" s="1"/>
  <c r="AX84" i="10"/>
  <c r="AW84" i="10"/>
  <c r="BL84" i="10" s="1"/>
  <c r="BJ84" i="10"/>
  <c r="BG84" i="10"/>
  <c r="BF84" i="10"/>
  <c r="BU84" i="10" s="1"/>
  <c r="AG84" i="10"/>
  <c r="BI84" i="10"/>
  <c r="BX84" i="10" s="1"/>
  <c r="BH85" i="10"/>
  <c r="AW79" i="10"/>
  <c r="BI79" i="10"/>
  <c r="BX78" i="10" s="1"/>
  <c r="AN83" i="10"/>
  <c r="BC83" i="10" s="1"/>
  <c r="BC82" i="10"/>
  <c r="BR82" i="10" s="1"/>
  <c r="AW83" i="10"/>
  <c r="AJ85" i="10"/>
  <c r="AY85" i="10" s="1"/>
  <c r="AY84" i="10"/>
  <c r="BJ85" i="10"/>
  <c r="AX85" i="10"/>
  <c r="AW77" i="10"/>
  <c r="BD82" i="10"/>
  <c r="AX83" i="10"/>
  <c r="BO84" i="10"/>
  <c r="BE76" i="10"/>
  <c r="AP77" i="10"/>
  <c r="BE77" i="10" s="1"/>
  <c r="AX77" i="10"/>
  <c r="AJ79" i="10"/>
  <c r="AY79" i="10" s="1"/>
  <c r="AY78" i="10"/>
  <c r="BN78" i="10" s="1"/>
  <c r="AW78" i="10"/>
  <c r="AR81" i="10"/>
  <c r="BG81" i="10" s="1"/>
  <c r="BG80" i="10"/>
  <c r="BV80" i="10" s="1"/>
  <c r="BE82" i="10"/>
  <c r="AY83" i="10"/>
  <c r="BC85" i="10"/>
  <c r="BF76" i="10"/>
  <c r="AY77" i="10"/>
  <c r="AZ78" i="10"/>
  <c r="BO78" i="10" s="1"/>
  <c r="BH80" i="10"/>
  <c r="BW80" i="10" s="1"/>
  <c r="BF82" i="10"/>
  <c r="BU82" i="10" s="1"/>
  <c r="BD85" i="10"/>
  <c r="BG76" i="10"/>
  <c r="BD77" i="10"/>
  <c r="BA78" i="10"/>
  <c r="AW80" i="10"/>
  <c r="BI80" i="10"/>
  <c r="BG82" i="10"/>
  <c r="BG83" i="10"/>
  <c r="BC84" i="10"/>
  <c r="BR84" i="10" s="1"/>
  <c r="BE85" i="10"/>
  <c r="AY76" i="10"/>
  <c r="BJ76" i="10"/>
  <c r="CP76" i="10" s="1"/>
  <c r="AX76" i="10"/>
  <c r="AG76" i="10"/>
  <c r="BD76" i="10"/>
  <c r="BA76" i="10"/>
  <c r="AZ76" i="10"/>
  <c r="BH76" i="10"/>
  <c r="BB78" i="10"/>
  <c r="BQ78" i="10" s="1"/>
  <c r="AX80" i="10"/>
  <c r="BM80" i="10" s="1"/>
  <c r="BS84" i="10"/>
  <c r="BI82" i="10"/>
  <c r="AW82" i="10"/>
  <c r="BL82" i="10" s="1"/>
  <c r="BH82" i="10"/>
  <c r="BW82" i="10" s="1"/>
  <c r="BB82" i="10"/>
  <c r="BQ82" i="10" s="1"/>
  <c r="AG82" i="10"/>
  <c r="AY82" i="10"/>
  <c r="BJ82" i="10"/>
  <c r="AX82" i="10"/>
  <c r="BM82" i="10" s="1"/>
  <c r="BE78" i="10"/>
  <c r="BT78" i="10" s="1"/>
  <c r="AX78" i="10"/>
  <c r="BM78" i="10" s="1"/>
  <c r="BJ78" i="10"/>
  <c r="BG78" i="10"/>
  <c r="BV78" i="10" s="1"/>
  <c r="BF78" i="10"/>
  <c r="BU78" i="10" s="1"/>
  <c r="AG78" i="10"/>
  <c r="AK79" i="10"/>
  <c r="AZ79" i="10" s="1"/>
  <c r="AS81" i="10"/>
  <c r="BH81" i="10" s="1"/>
  <c r="AO83" i="10"/>
  <c r="BD83" i="10" s="1"/>
  <c r="AK85" i="10"/>
  <c r="AZ85" i="10" s="1"/>
  <c r="AL79" i="10"/>
  <c r="BA79" i="10" s="1"/>
  <c r="AH81" i="10"/>
  <c r="AW81" i="10" s="1"/>
  <c r="AT81" i="10"/>
  <c r="BI81" i="10" s="1"/>
  <c r="AP83" i="10"/>
  <c r="BE83" i="10" s="1"/>
  <c r="AL85" i="10"/>
  <c r="BA85" i="10" s="1"/>
  <c r="BP84" i="10" s="1"/>
  <c r="BB76" i="10"/>
  <c r="AQ77" i="10"/>
  <c r="BF77" i="10" s="1"/>
  <c r="BH78" i="10"/>
  <c r="BW78" i="10" s="1"/>
  <c r="AM79" i="10"/>
  <c r="BB79" i="10" s="1"/>
  <c r="BD80" i="10"/>
  <c r="BS80" i="10" s="1"/>
  <c r="AI81" i="10"/>
  <c r="AX81" i="10" s="1"/>
  <c r="AU81" i="10"/>
  <c r="BJ81" i="10" s="1"/>
  <c r="AZ82" i="10"/>
  <c r="AQ83" i="10"/>
  <c r="BF83" i="10" s="1"/>
  <c r="BH84" i="10"/>
  <c r="BW84" i="10" s="1"/>
  <c r="AM85" i="10"/>
  <c r="BB85" i="10" s="1"/>
  <c r="BQ84" i="10" s="1"/>
  <c r="BS72" i="10"/>
  <c r="CK66" i="10"/>
  <c r="BT66" i="10"/>
  <c r="BD74" i="10"/>
  <c r="BC74" i="10"/>
  <c r="BR74" i="10" s="1"/>
  <c r="BF74" i="10"/>
  <c r="BU74" i="10" s="1"/>
  <c r="BA74" i="10"/>
  <c r="AZ74" i="10"/>
  <c r="BO74" i="10" s="1"/>
  <c r="AG74" i="10"/>
  <c r="BU66" i="10"/>
  <c r="CL66" i="10"/>
  <c r="AW68" i="10"/>
  <c r="BL68" i="10" s="1"/>
  <c r="BI68" i="10"/>
  <c r="BX68" i="10" s="1"/>
  <c r="AZ70" i="10"/>
  <c r="BO70" i="10" s="1"/>
  <c r="AY70" i="10"/>
  <c r="BN70" i="10" s="1"/>
  <c r="BI70" i="10"/>
  <c r="BX70" i="10" s="1"/>
  <c r="AW70" i="10"/>
  <c r="BL70" i="10" s="1"/>
  <c r="BB70" i="10"/>
  <c r="BQ70" i="10" s="1"/>
  <c r="AG70" i="10"/>
  <c r="BH70" i="10"/>
  <c r="BW70" i="10" s="1"/>
  <c r="AW74" i="10"/>
  <c r="BI74" i="10"/>
  <c r="BX74" i="10" s="1"/>
  <c r="BD68" i="10"/>
  <c r="BS68" i="10" s="1"/>
  <c r="BC68" i="10"/>
  <c r="BR68" i="10" s="1"/>
  <c r="BA68" i="10"/>
  <c r="BP68" i="10" s="1"/>
  <c r="BF68" i="10"/>
  <c r="BU68" i="10" s="1"/>
  <c r="AG68" i="10"/>
  <c r="BJ68" i="10"/>
  <c r="BH72" i="10"/>
  <c r="BW72" i="10" s="1"/>
  <c r="BG72" i="10"/>
  <c r="BV72" i="10" s="1"/>
  <c r="AG72" i="10"/>
  <c r="BE72" i="10"/>
  <c r="BT72" i="10" s="1"/>
  <c r="AX72" i="10"/>
  <c r="BM72" i="10" s="1"/>
  <c r="BJ72" i="10"/>
  <c r="BF67" i="10"/>
  <c r="BU72" i="10"/>
  <c r="AX68" i="10"/>
  <c r="BM68" i="10" s="1"/>
  <c r="BJ66" i="10"/>
  <c r="CP66" i="10" s="1"/>
  <c r="AX66" i="10"/>
  <c r="AW66" i="10"/>
  <c r="BG66" i="10"/>
  <c r="AG66" i="10"/>
  <c r="BI66" i="10"/>
  <c r="BH66" i="10"/>
  <c r="AY68" i="10"/>
  <c r="BN68" i="10" s="1"/>
  <c r="AX70" i="10"/>
  <c r="BM70" i="10" s="1"/>
  <c r="BJ70" i="10"/>
  <c r="AY74" i="10"/>
  <c r="BN74" i="10" s="1"/>
  <c r="CJ66" i="10"/>
  <c r="BS66" i="10"/>
  <c r="AW67" i="10"/>
  <c r="BI67" i="10"/>
  <c r="AZ68" i="10"/>
  <c r="AX69" i="10"/>
  <c r="BJ69" i="10"/>
  <c r="BR72" i="10"/>
  <c r="BT70" i="10"/>
  <c r="BV70" i="10"/>
  <c r="BG67" i="10"/>
  <c r="AX67" i="10"/>
  <c r="BJ67" i="10"/>
  <c r="AW69" i="10"/>
  <c r="AY72" i="10"/>
  <c r="AW75" i="10"/>
  <c r="CI66" i="10"/>
  <c r="BQ68" i="10"/>
  <c r="BQ74" i="10"/>
  <c r="AZ67" i="10"/>
  <c r="BA67" i="10"/>
  <c r="BA72" i="10"/>
  <c r="BP72" i="10" s="1"/>
  <c r="BA66" i="10"/>
  <c r="BC67" i="10"/>
  <c r="BR66" i="10" s="1"/>
  <c r="BD69" i="10"/>
  <c r="AZ69" i="10"/>
  <c r="BC70" i="10"/>
  <c r="BR70" i="10" s="1"/>
  <c r="BE71" i="10"/>
  <c r="BB72" i="10"/>
  <c r="BQ72" i="10" s="1"/>
  <c r="BC73" i="10"/>
  <c r="BD75" i="10"/>
  <c r="BA75" i="10"/>
  <c r="BA70" i="10"/>
  <c r="BP70" i="10" s="1"/>
  <c r="AW72" i="10"/>
  <c r="BL72" i="10" s="1"/>
  <c r="AZ72" i="10"/>
  <c r="BO72" i="10" s="1"/>
  <c r="BE68" i="10"/>
  <c r="BT68" i="10" s="1"/>
  <c r="BI72" i="10"/>
  <c r="BX72" i="10" s="1"/>
  <c r="BG68" i="10"/>
  <c r="BV68" i="10" s="1"/>
  <c r="BH68" i="10"/>
  <c r="BW68" i="10" s="1"/>
  <c r="BD70" i="10"/>
  <c r="BS70" i="10" s="1"/>
  <c r="AS67" i="10"/>
  <c r="BH67" i="10" s="1"/>
  <c r="AX74" i="10"/>
  <c r="BM74" i="10" s="1"/>
  <c r="BJ74" i="10"/>
  <c r="AY66" i="10"/>
  <c r="AZ66" i="10"/>
  <c r="BG74" i="10"/>
  <c r="BV74" i="10" s="1"/>
  <c r="AP75" i="10"/>
  <c r="BE75" i="10" s="1"/>
  <c r="BT74" i="10" s="1"/>
  <c r="BB66" i="10"/>
  <c r="BH74" i="10"/>
  <c r="BW74" i="10" s="1"/>
  <c r="AN71" i="10"/>
  <c r="BC71" i="10" s="1"/>
  <c r="AJ73" i="10"/>
  <c r="AY73" i="10" s="1"/>
  <c r="AZ58" i="10"/>
  <c r="AY58" i="10"/>
  <c r="BD58" i="10"/>
  <c r="BS58" i="10" s="1"/>
  <c r="BC58" i="10"/>
  <c r="BR58" i="10" s="1"/>
  <c r="AG58" i="10"/>
  <c r="BF58" i="10"/>
  <c r="BU58" i="10" s="1"/>
  <c r="CG56" i="10"/>
  <c r="BP56" i="10"/>
  <c r="AZ64" i="10"/>
  <c r="AY64" i="10"/>
  <c r="BD64" i="10"/>
  <c r="BS64" i="10" s="1"/>
  <c r="BC64" i="10"/>
  <c r="BR64" i="10" s="1"/>
  <c r="AG64" i="10"/>
  <c r="AY61" i="10"/>
  <c r="BN60" i="10" s="1"/>
  <c r="BF61" i="10"/>
  <c r="BU60" i="10" s="1"/>
  <c r="AZ61" i="10"/>
  <c r="BO60" i="10" s="1"/>
  <c r="BA61" i="10"/>
  <c r="AX63" i="10"/>
  <c r="AS65" i="10"/>
  <c r="BH65" i="10" s="1"/>
  <c r="BH64" i="10"/>
  <c r="BW64" i="10" s="1"/>
  <c r="BI58" i="10"/>
  <c r="BX58" i="10" s="1"/>
  <c r="CJ56" i="10"/>
  <c r="BS56" i="10"/>
  <c r="BB58" i="10"/>
  <c r="BQ58" i="10" s="1"/>
  <c r="AW61" i="10"/>
  <c r="BF62" i="10"/>
  <c r="BU62" i="10" s="1"/>
  <c r="AG62" i="10"/>
  <c r="BD62" i="10"/>
  <c r="BS62" i="10" s="1"/>
  <c r="BC62" i="10"/>
  <c r="AW57" i="10"/>
  <c r="BB61" i="10"/>
  <c r="BB60" i="10"/>
  <c r="BQ60" i="10" s="1"/>
  <c r="BJ63" i="10"/>
  <c r="BE56" i="10"/>
  <c r="BF56" i="10"/>
  <c r="AG56" i="10"/>
  <c r="BH56" i="10"/>
  <c r="AN61" i="10"/>
  <c r="BC61" i="10" s="1"/>
  <c r="BC60" i="10"/>
  <c r="BR60" i="10" s="1"/>
  <c r="AW62" i="10"/>
  <c r="BL62" i="10" s="1"/>
  <c r="AR65" i="10"/>
  <c r="BG65" i="10" s="1"/>
  <c r="BG64" i="10"/>
  <c r="AR59" i="10"/>
  <c r="BG59" i="10" s="1"/>
  <c r="BG58" i="10"/>
  <c r="AO61" i="10"/>
  <c r="BD61" i="10" s="1"/>
  <c r="BD60" i="10"/>
  <c r="BS60" i="10" s="1"/>
  <c r="BG61" i="10"/>
  <c r="AK63" i="10"/>
  <c r="AZ63" i="10" s="1"/>
  <c r="AZ62" i="10"/>
  <c r="BO62" i="10" s="1"/>
  <c r="AX62" i="10"/>
  <c r="BM62" i="10" s="1"/>
  <c r="BC63" i="10"/>
  <c r="AX57" i="10"/>
  <c r="BJ57" i="10"/>
  <c r="BC57" i="10"/>
  <c r="AS59" i="10"/>
  <c r="BH59" i="10" s="1"/>
  <c r="BH58" i="10"/>
  <c r="BT60" i="10"/>
  <c r="BH61" i="10"/>
  <c r="BA62" i="10"/>
  <c r="BP62" i="10" s="1"/>
  <c r="BG62" i="10"/>
  <c r="BV62" i="10" s="1"/>
  <c r="BD63" i="10"/>
  <c r="AW64" i="10"/>
  <c r="BL64" i="10" s="1"/>
  <c r="BI64" i="10"/>
  <c r="BX64" i="10" s="1"/>
  <c r="AW56" i="10"/>
  <c r="BD57" i="10"/>
  <c r="AW58" i="10"/>
  <c r="BL58" i="10" s="1"/>
  <c r="BI61" i="10"/>
  <c r="BB62" i="10"/>
  <c r="BQ62" i="10" s="1"/>
  <c r="BH62" i="10"/>
  <c r="BW62" i="10" s="1"/>
  <c r="BE63" i="10"/>
  <c r="AX64" i="10"/>
  <c r="BM64" i="10" s="1"/>
  <c r="BJ64" i="10"/>
  <c r="AX56" i="10"/>
  <c r="BE57" i="10"/>
  <c r="AX58" i="10"/>
  <c r="BM58" i="10" s="1"/>
  <c r="BJ58" i="10"/>
  <c r="BJ61" i="10"/>
  <c r="BI62" i="10"/>
  <c r="BX62" i="10" s="1"/>
  <c r="BF63" i="10"/>
  <c r="AY65" i="10"/>
  <c r="AY56" i="10"/>
  <c r="BF57" i="10"/>
  <c r="AY59" i="10"/>
  <c r="BG60" i="10"/>
  <c r="BV60" i="10" s="1"/>
  <c r="BH60" i="10"/>
  <c r="BW60" i="10" s="1"/>
  <c r="AG60" i="10"/>
  <c r="BJ62" i="10"/>
  <c r="AZ65" i="10"/>
  <c r="BB56" i="10"/>
  <c r="AZ56" i="10"/>
  <c r="BI57" i="10"/>
  <c r="BX56" i="10" s="1"/>
  <c r="AZ59" i="10"/>
  <c r="AW60" i="10"/>
  <c r="BI60" i="10"/>
  <c r="BX60" i="10" s="1"/>
  <c r="BE62" i="10"/>
  <c r="BT62" i="10" s="1"/>
  <c r="BA64" i="10"/>
  <c r="BP64" i="10" s="1"/>
  <c r="BE64" i="10"/>
  <c r="BT64" i="10" s="1"/>
  <c r="BB65" i="10"/>
  <c r="BC56" i="10"/>
  <c r="BA58" i="10"/>
  <c r="BP58" i="10" s="1"/>
  <c r="BE58" i="10"/>
  <c r="BT58" i="10" s="1"/>
  <c r="BA59" i="10"/>
  <c r="AX60" i="10"/>
  <c r="BJ60" i="10"/>
  <c r="BB64" i="10"/>
  <c r="BQ64" i="10" s="1"/>
  <c r="BF64" i="10"/>
  <c r="BU64" i="10" s="1"/>
  <c r="AX61" i="10"/>
  <c r="BA60" i="10"/>
  <c r="BP60" i="10" s="1"/>
  <c r="AJ63" i="10"/>
  <c r="AY63" i="10" s="1"/>
  <c r="AY62" i="10"/>
  <c r="AL65" i="10"/>
  <c r="BA65" i="10" s="1"/>
  <c r="AR57" i="10"/>
  <c r="BG57" i="10" s="1"/>
  <c r="BV56" i="10" s="1"/>
  <c r="AS57" i="10"/>
  <c r="BH57" i="10" s="1"/>
  <c r="BT52" i="10"/>
  <c r="AY46" i="10"/>
  <c r="BJ48" i="10"/>
  <c r="BV50" i="10"/>
  <c r="AZ47" i="10"/>
  <c r="AW47" i="10"/>
  <c r="AY48" i="10"/>
  <c r="BN48" i="10" s="1"/>
  <c r="BJ50" i="10"/>
  <c r="AX50" i="10"/>
  <c r="BM50" i="10" s="1"/>
  <c r="BH50" i="10"/>
  <c r="BW50" i="10" s="1"/>
  <c r="AZ50" i="10"/>
  <c r="AG50" i="10"/>
  <c r="AY50" i="10"/>
  <c r="BN50" i="10" s="1"/>
  <c r="BB54" i="10"/>
  <c r="BQ54" i="10" s="1"/>
  <c r="BC54" i="10"/>
  <c r="BR54" i="10" s="1"/>
  <c r="AZ54" i="10"/>
  <c r="BO54" i="10" s="1"/>
  <c r="BD54" i="10"/>
  <c r="BS54" i="10" s="1"/>
  <c r="AG54" i="10"/>
  <c r="BA46" i="10"/>
  <c r="BA47" i="10"/>
  <c r="AW50" i="10"/>
  <c r="BI50" i="10"/>
  <c r="BX50" i="10" s="1"/>
  <c r="BF52" i="10"/>
  <c r="BU52" i="10" s="1"/>
  <c r="AG52" i="10"/>
  <c r="BD52" i="10"/>
  <c r="BS52" i="10" s="1"/>
  <c r="BH52" i="10"/>
  <c r="BW52" i="10" s="1"/>
  <c r="BG52" i="10"/>
  <c r="BV52" i="10" s="1"/>
  <c r="AW54" i="10"/>
  <c r="BL54" i="10" s="1"/>
  <c r="BI54" i="10"/>
  <c r="BX54" i="10" s="1"/>
  <c r="BB46" i="10"/>
  <c r="BB47" i="10"/>
  <c r="BA48" i="10"/>
  <c r="BP48" i="10" s="1"/>
  <c r="AX54" i="10"/>
  <c r="BM54" i="10" s="1"/>
  <c r="BJ54" i="10"/>
  <c r="BC46" i="10"/>
  <c r="BC47" i="10"/>
  <c r="BJ52" i="10"/>
  <c r="AY54" i="10"/>
  <c r="BN54" i="10" s="1"/>
  <c r="BD46" i="10"/>
  <c r="BD47" i="10"/>
  <c r="AZ51" i="10"/>
  <c r="AW51" i="10"/>
  <c r="AY52" i="10"/>
  <c r="BH46" i="10"/>
  <c r="AW46" i="10"/>
  <c r="AG46" i="10"/>
  <c r="BJ46" i="10"/>
  <c r="CP46" i="10" s="1"/>
  <c r="BI46" i="10"/>
  <c r="AX46" i="10"/>
  <c r="BI48" i="10"/>
  <c r="BX48" i="10" s="1"/>
  <c r="BE46" i="10"/>
  <c r="BE47" i="10"/>
  <c r="BB48" i="10"/>
  <c r="BQ48" i="10" s="1"/>
  <c r="AZ48" i="10"/>
  <c r="BO48" i="10" s="1"/>
  <c r="BC48" i="10"/>
  <c r="BR48" i="10" s="1"/>
  <c r="BD48" i="10"/>
  <c r="BS48" i="10" s="1"/>
  <c r="AG48" i="10"/>
  <c r="BT54" i="10"/>
  <c r="BU50" i="10"/>
  <c r="BP54" i="10"/>
  <c r="BF46" i="10"/>
  <c r="BF47" i="10"/>
  <c r="BP52" i="10"/>
  <c r="BG46" i="10"/>
  <c r="BG47" i="10"/>
  <c r="BF48" i="10"/>
  <c r="BU48" i="10" s="1"/>
  <c r="BC50" i="10"/>
  <c r="BB52" i="10"/>
  <c r="BQ52" i="10" s="1"/>
  <c r="AW48" i="10"/>
  <c r="BL48" i="10" s="1"/>
  <c r="AX48" i="10"/>
  <c r="BM48" i="10" s="1"/>
  <c r="BE48" i="10"/>
  <c r="BT48" i="10" s="1"/>
  <c r="BI52" i="10"/>
  <c r="BX52" i="10" s="1"/>
  <c r="BB50" i="10"/>
  <c r="BQ50" i="10" s="1"/>
  <c r="BF54" i="10"/>
  <c r="BU54" i="10" s="1"/>
  <c r="BD50" i="10"/>
  <c r="BS50" i="10" s="1"/>
  <c r="BA50" i="10"/>
  <c r="BP50" i="10" s="1"/>
  <c r="AW52" i="10"/>
  <c r="BL52" i="10" s="1"/>
  <c r="AZ46" i="10"/>
  <c r="BH54" i="10"/>
  <c r="BW54" i="10" s="1"/>
  <c r="AP55" i="10"/>
  <c r="BE55" i="10" s="1"/>
  <c r="AX52" i="10"/>
  <c r="BM52" i="10" s="1"/>
  <c r="BG48" i="10"/>
  <c r="BV48" i="10" s="1"/>
  <c r="BH48" i="10"/>
  <c r="BW48" i="10" s="1"/>
  <c r="AQ49" i="10"/>
  <c r="BF49" i="10" s="1"/>
  <c r="AU53" i="10"/>
  <c r="BJ53" i="10" s="1"/>
  <c r="AZ52" i="10"/>
  <c r="BO52" i="10" s="1"/>
  <c r="AJ47" i="10"/>
  <c r="AY47" i="10" s="1"/>
  <c r="AN51" i="10"/>
  <c r="BC51" i="10" s="1"/>
  <c r="AJ53" i="10"/>
  <c r="AY53" i="10" s="1"/>
  <c r="AR55" i="10"/>
  <c r="BG55" i="10" s="1"/>
  <c r="BV54" i="10" s="1"/>
  <c r="BG17" i="10"/>
  <c r="BI17" i="10"/>
  <c r="BE19" i="10"/>
  <c r="BH17" i="10"/>
  <c r="BJ17" i="10"/>
  <c r="BF19" i="10"/>
  <c r="AW17" i="10"/>
  <c r="BJ19" i="10"/>
  <c r="BI27" i="10"/>
  <c r="AZ19" i="10"/>
  <c r="BG27" i="10"/>
  <c r="BJ27" i="10"/>
  <c r="BG31" i="10"/>
  <c r="BH19" i="10"/>
  <c r="BE21" i="10"/>
  <c r="BE34" i="10"/>
  <c r="AW19" i="10"/>
  <c r="BI19" i="10"/>
  <c r="BF21" i="10"/>
  <c r="BF34" i="10"/>
  <c r="AX27" i="10"/>
  <c r="BF28" i="10"/>
  <c r="AG28" i="10"/>
  <c r="BI28" i="10"/>
  <c r="BX28" i="10" s="1"/>
  <c r="BE28" i="10"/>
  <c r="BJ28" i="10"/>
  <c r="AX28" i="10"/>
  <c r="AW28" i="10"/>
  <c r="BL28" i="10" s="1"/>
  <c r="AG30" i="10"/>
  <c r="AY30" i="10"/>
  <c r="BN30" i="10" s="1"/>
  <c r="AX30" i="10"/>
  <c r="BC30" i="10"/>
  <c r="BB30" i="10"/>
  <c r="BJ30" i="10"/>
  <c r="AI33" i="10"/>
  <c r="BE35" i="10"/>
  <c r="BT34" i="10" s="1"/>
  <c r="AG26" i="10"/>
  <c r="BD31" i="10"/>
  <c r="AJ33" i="10"/>
  <c r="BF35" i="10"/>
  <c r="AW26" i="10"/>
  <c r="BI31" i="10"/>
  <c r="BG35" i="10"/>
  <c r="AX29" i="10"/>
  <c r="BF30" i="10"/>
  <c r="AQ31" i="10"/>
  <c r="BF31" i="10" s="1"/>
  <c r="BJ31" i="10"/>
  <c r="BA32" i="10"/>
  <c r="BH35" i="10"/>
  <c r="AY26" i="10"/>
  <c r="BA26" i="10"/>
  <c r="BA28" i="10"/>
  <c r="AL29" i="10"/>
  <c r="BA29" i="10" s="1"/>
  <c r="AY28" i="10"/>
  <c r="BG26" i="10"/>
  <c r="AP33" i="10"/>
  <c r="AN27" i="10"/>
  <c r="BC27" i="10" s="1"/>
  <c r="BC26" i="10"/>
  <c r="AW31" i="10"/>
  <c r="BJ29" i="10"/>
  <c r="AX31" i="10"/>
  <c r="AR29" i="10"/>
  <c r="BG29" i="10" s="1"/>
  <c r="BG28" i="10"/>
  <c r="BV28" i="10" s="1"/>
  <c r="AY31" i="10"/>
  <c r="AD33" i="10"/>
  <c r="AE33" i="10" s="1"/>
  <c r="AD32" i="10"/>
  <c r="AE32" i="10" s="1"/>
  <c r="BJ32" i="10" s="1"/>
  <c r="AW35" i="10"/>
  <c r="AU33" i="10"/>
  <c r="BJ35" i="10"/>
  <c r="BH26" i="10"/>
  <c r="AS27" i="10"/>
  <c r="BH27" i="10" s="1"/>
  <c r="BH31" i="10"/>
  <c r="AY29" i="10"/>
  <c r="BE30" i="10"/>
  <c r="AP31" i="10"/>
  <c r="BE31" i="10" s="1"/>
  <c r="AX26" i="10"/>
  <c r="BJ26" i="10"/>
  <c r="CP26" i="10" s="1"/>
  <c r="AZ28" i="10"/>
  <c r="BO28" i="10" s="1"/>
  <c r="AK29" i="10"/>
  <c r="AZ29" i="10" s="1"/>
  <c r="BD28" i="10"/>
  <c r="BE29" i="10"/>
  <c r="BF29" i="10"/>
  <c r="BU34" i="10"/>
  <c r="AK31" i="10"/>
  <c r="AZ31" i="10" s="1"/>
  <c r="AZ30" i="10"/>
  <c r="AG34" i="10"/>
  <c r="BI34" i="10"/>
  <c r="AW34" i="10"/>
  <c r="BH34" i="10"/>
  <c r="BG34" i="10"/>
  <c r="BV34" i="10" s="1"/>
  <c r="BB31" i="10"/>
  <c r="BD30" i="10"/>
  <c r="BS30" i="10" s="1"/>
  <c r="BC31" i="10"/>
  <c r="BA35" i="10"/>
  <c r="BP34" i="10" s="1"/>
  <c r="CH26" i="10"/>
  <c r="AX35" i="10"/>
  <c r="AY35" i="10"/>
  <c r="BI26" i="10"/>
  <c r="AZ35" i="10"/>
  <c r="BO34" i="10" s="1"/>
  <c r="BG30" i="10"/>
  <c r="BV30" i="10" s="1"/>
  <c r="BB35" i="10"/>
  <c r="BQ34" i="10" s="1"/>
  <c r="BI35" i="10"/>
  <c r="AZ26" i="10"/>
  <c r="BE26" i="10"/>
  <c r="BB28" i="10"/>
  <c r="BQ28" i="10" s="1"/>
  <c r="BC29" i="10"/>
  <c r="BH30" i="10"/>
  <c r="BC34" i="10"/>
  <c r="AN35" i="10"/>
  <c r="BC35" i="10" s="1"/>
  <c r="BF26" i="10"/>
  <c r="AH27" i="10"/>
  <c r="AW27" i="10" s="1"/>
  <c r="BC28" i="10"/>
  <c r="BD29" i="10"/>
  <c r="AW30" i="10"/>
  <c r="BI30" i="10"/>
  <c r="BX30" i="10" s="1"/>
  <c r="BD34" i="10"/>
  <c r="AO35" i="10"/>
  <c r="BD35" i="10" s="1"/>
  <c r="AX34" i="10"/>
  <c r="BJ34" i="10"/>
  <c r="BD26" i="10"/>
  <c r="BH28" i="10"/>
  <c r="BW28" i="10" s="1"/>
  <c r="BA30" i="10"/>
  <c r="BP30" i="10" s="1"/>
  <c r="AY34" i="10"/>
  <c r="BN34" i="10" s="1"/>
  <c r="BB16" i="10"/>
  <c r="BE16" i="10"/>
  <c r="BI16" i="10"/>
  <c r="BF16" i="10"/>
  <c r="BA16" i="10"/>
  <c r="BH16" i="10"/>
  <c r="BG16" i="10"/>
  <c r="AG16" i="10"/>
  <c r="BF18" i="10"/>
  <c r="BU18" i="10" s="1"/>
  <c r="AG18" i="10"/>
  <c r="BE18" i="10"/>
  <c r="BT18" i="10" s="1"/>
  <c r="AX18" i="10"/>
  <c r="AW18" i="10"/>
  <c r="BL18" i="10" s="1"/>
  <c r="BJ18" i="10"/>
  <c r="BI18" i="10"/>
  <c r="BX18" i="10" s="1"/>
  <c r="AG24" i="10"/>
  <c r="BI24" i="10"/>
  <c r="AW24" i="10"/>
  <c r="BH24" i="10"/>
  <c r="BD24" i="10"/>
  <c r="BB24" i="10"/>
  <c r="BA24" i="10"/>
  <c r="AZ24" i="10"/>
  <c r="BG25" i="10"/>
  <c r="BD25" i="10"/>
  <c r="BE25" i="10"/>
  <c r="BC25" i="10"/>
  <c r="AW16" i="10"/>
  <c r="AY20" i="10"/>
  <c r="BB20" i="10"/>
  <c r="BF20" i="10"/>
  <c r="BU20" i="10" s="1"/>
  <c r="BC20" i="10"/>
  <c r="AX20" i="10"/>
  <c r="AG20" i="10"/>
  <c r="BJ20" i="10"/>
  <c r="BE20" i="10"/>
  <c r="BT20" i="10" s="1"/>
  <c r="BA21" i="10"/>
  <c r="BI21" i="10"/>
  <c r="BF24" i="10"/>
  <c r="BU24" i="10" s="1"/>
  <c r="AX21" i="10"/>
  <c r="AX25" i="10"/>
  <c r="AW20" i="10"/>
  <c r="BL20" i="10" s="1"/>
  <c r="AW25" i="10"/>
  <c r="AX16" i="10"/>
  <c r="BJ16" i="10"/>
  <c r="CP16" i="10" s="1"/>
  <c r="AY18" i="10"/>
  <c r="BN18" i="10" s="1"/>
  <c r="BB25" i="10"/>
  <c r="BC24" i="10"/>
  <c r="BA25" i="10"/>
  <c r="BH25" i="10"/>
  <c r="BD21" i="10"/>
  <c r="BI25" i="10"/>
  <c r="AR19" i="10"/>
  <c r="BG19" i="10" s="1"/>
  <c r="BG18" i="10"/>
  <c r="AP23" i="10"/>
  <c r="BC21" i="10"/>
  <c r="BG20" i="10"/>
  <c r="BH20" i="10"/>
  <c r="AS21" i="10"/>
  <c r="BH21" i="10" s="1"/>
  <c r="AY25" i="10"/>
  <c r="BI20" i="10"/>
  <c r="BJ21" i="10"/>
  <c r="AY16" i="10"/>
  <c r="AK21" i="10"/>
  <c r="AZ21" i="10" s="1"/>
  <c r="AZ20" i="10"/>
  <c r="BO20" i="10" s="1"/>
  <c r="AZ16" i="10"/>
  <c r="BA17" i="10"/>
  <c r="BC18" i="10"/>
  <c r="BR18" i="10" s="1"/>
  <c r="BA18" i="10"/>
  <c r="BP18" i="10" s="1"/>
  <c r="AD23" i="10"/>
  <c r="AE23" i="10" s="1"/>
  <c r="AQ25" i="10"/>
  <c r="BF25" i="10" s="1"/>
  <c r="AN17" i="10"/>
  <c r="BC17" i="10" s="1"/>
  <c r="BC16" i="10"/>
  <c r="BG24" i="10"/>
  <c r="AY21" i="10"/>
  <c r="AR21" i="10"/>
  <c r="BG21" i="10" s="1"/>
  <c r="BJ25" i="10"/>
  <c r="AD22" i="10"/>
  <c r="AE22" i="10" s="1"/>
  <c r="BI23" i="10"/>
  <c r="AZ25" i="10"/>
  <c r="AZ17" i="10"/>
  <c r="BB18" i="10"/>
  <c r="BQ18" i="10" s="1"/>
  <c r="AZ18" i="10"/>
  <c r="BO18" i="10" s="1"/>
  <c r="BB17" i="10"/>
  <c r="BD18" i="10"/>
  <c r="BS18" i="10" s="1"/>
  <c r="AX19" i="10"/>
  <c r="BB21" i="10"/>
  <c r="BD20" i="10"/>
  <c r="BB22" i="10"/>
  <c r="AK23" i="10"/>
  <c r="AZ23" i="10" s="1"/>
  <c r="BE24" i="10"/>
  <c r="AX24" i="10"/>
  <c r="BJ24" i="10"/>
  <c r="BD16" i="10"/>
  <c r="BH18" i="10"/>
  <c r="BW18" i="10" s="1"/>
  <c r="BA20" i="10"/>
  <c r="BP20" i="10" s="1"/>
  <c r="AY24" i="10"/>
  <c r="Y8" i="1"/>
  <c r="Z8" i="1"/>
  <c r="G8" i="1"/>
  <c r="J8" i="1"/>
  <c r="F8" i="1"/>
  <c r="T8" i="1"/>
  <c r="AZ43" i="1" l="1"/>
  <c r="AN43" i="1"/>
  <c r="S18" i="17"/>
  <c r="P18" i="17"/>
  <c r="O18" i="17"/>
  <c r="R18" i="17"/>
  <c r="Q18" i="17"/>
  <c r="P32" i="17"/>
  <c r="R32" i="17"/>
  <c r="N32" i="17"/>
  <c r="N18" i="17"/>
  <c r="AV29" i="1"/>
  <c r="AV15" i="1" s="1"/>
  <c r="AL29" i="1"/>
  <c r="AL15" i="1" s="1"/>
  <c r="Q32" i="17"/>
  <c r="AR29" i="1"/>
  <c r="AR15" i="1" s="1"/>
  <c r="AK29" i="1"/>
  <c r="AK15" i="1" s="1"/>
  <c r="AG29" i="1"/>
  <c r="AG15" i="1" s="1"/>
  <c r="AX29" i="1"/>
  <c r="AX15" i="1" s="1"/>
  <c r="AJ29" i="1"/>
  <c r="AJ15" i="1" s="1"/>
  <c r="AY29" i="1"/>
  <c r="AY15" i="1" s="1"/>
  <c r="AM29" i="1"/>
  <c r="AM15" i="1" s="1"/>
  <c r="AH29" i="1"/>
  <c r="AH15" i="1" s="1"/>
  <c r="AQ29" i="1"/>
  <c r="AQ15" i="1" s="1"/>
  <c r="AU29" i="1"/>
  <c r="AU15" i="1" s="1"/>
  <c r="AO29" i="1"/>
  <c r="AO15" i="1" s="1"/>
  <c r="AW29" i="1"/>
  <c r="AW15" i="1" s="1"/>
  <c r="AS29" i="1"/>
  <c r="AS15" i="1" s="1"/>
  <c r="AZ29" i="1"/>
  <c r="AZ15" i="1" s="1"/>
  <c r="AT29" i="1"/>
  <c r="AT15" i="1" s="1"/>
  <c r="AE29" i="1"/>
  <c r="AI29" i="1"/>
  <c r="AI15" i="1" s="1"/>
  <c r="AC29" i="1"/>
  <c r="AC15" i="1" s="1"/>
  <c r="S32" i="17"/>
  <c r="O32" i="17"/>
  <c r="AB8" i="17"/>
  <c r="AP18" i="17"/>
  <c r="AK18" i="17"/>
  <c r="AP9" i="17"/>
  <c r="AO46" i="17"/>
  <c r="AO9" i="17"/>
  <c r="AW46" i="17"/>
  <c r="AW9" i="17"/>
  <c r="AW18" i="17" s="1"/>
  <c r="AT46" i="17"/>
  <c r="AT9" i="17"/>
  <c r="AT18" i="17" s="1"/>
  <c r="AG46" i="17"/>
  <c r="AG9" i="17"/>
  <c r="AI9" i="17"/>
  <c r="AI18" i="17" s="1"/>
  <c r="AI46" i="17"/>
  <c r="AZ46" i="17"/>
  <c r="AZ9" i="17"/>
  <c r="AZ18" i="17" s="1"/>
  <c r="AM46" i="17"/>
  <c r="AM9" i="17"/>
  <c r="AV18" i="17"/>
  <c r="AJ9" i="17"/>
  <c r="AJ18" i="17" s="1"/>
  <c r="AV32" i="17"/>
  <c r="AX9" i="17"/>
  <c r="AN9" i="17"/>
  <c r="AN18" i="17" s="1"/>
  <c r="AU9" i="17"/>
  <c r="AU18" i="17" s="1"/>
  <c r="AX18" i="17"/>
  <c r="AM18" i="17"/>
  <c r="AD46" i="17"/>
  <c r="AY46" i="17"/>
  <c r="AX32" i="17"/>
  <c r="AL9" i="17"/>
  <c r="AL18" i="17" s="1"/>
  <c r="AL32" i="17"/>
  <c r="AG18" i="17"/>
  <c r="AQ18" i="17"/>
  <c r="AS18" i="17"/>
  <c r="AD18" i="17"/>
  <c r="AE8" i="17"/>
  <c r="AY18" i="17"/>
  <c r="AC18" i="17"/>
  <c r="AR9" i="17"/>
  <c r="AR18" i="17" s="1"/>
  <c r="AR32" i="17"/>
  <c r="AO18" i="17"/>
  <c r="AH9" i="17"/>
  <c r="AH18" i="17" s="1"/>
  <c r="AC32" i="17"/>
  <c r="AY9" i="16"/>
  <c r="AY46" i="16"/>
  <c r="AZ46" i="16"/>
  <c r="AZ9" i="16"/>
  <c r="AU9" i="16"/>
  <c r="AU46" i="16"/>
  <c r="AP9" i="16"/>
  <c r="AP46" i="16"/>
  <c r="AH18" i="16"/>
  <c r="AQ9" i="16"/>
  <c r="AQ18" i="16" s="1"/>
  <c r="AG9" i="16"/>
  <c r="AG18" i="16" s="1"/>
  <c r="AG19" i="16" s="1"/>
  <c r="AO18" i="16"/>
  <c r="AM46" i="16"/>
  <c r="AC18" i="16"/>
  <c r="AM18" i="16"/>
  <c r="AR18" i="16"/>
  <c r="AP18" i="16"/>
  <c r="AN9" i="16"/>
  <c r="AR9" i="16"/>
  <c r="AS10" i="16"/>
  <c r="AG32" i="16"/>
  <c r="AN18" i="16"/>
  <c r="AE8" i="16"/>
  <c r="AK18" i="16"/>
  <c r="AD46" i="16"/>
  <c r="AE46" i="16" s="1"/>
  <c r="AQ11" i="16"/>
  <c r="AQ32" i="16"/>
  <c r="AD9" i="16"/>
  <c r="AE9" i="16" s="1"/>
  <c r="AY11" i="16"/>
  <c r="AK9" i="16"/>
  <c r="AZ18" i="16"/>
  <c r="AI9" i="16"/>
  <c r="AI18" i="16" s="1"/>
  <c r="AM10" i="16"/>
  <c r="AS9" i="16"/>
  <c r="AS18" i="16" s="1"/>
  <c r="AV9" i="16"/>
  <c r="AV18" i="16" s="1"/>
  <c r="AY18" i="16"/>
  <c r="AD10" i="16"/>
  <c r="AE10" i="16" s="1"/>
  <c r="AE38" i="16"/>
  <c r="AC9" i="16"/>
  <c r="AW18" i="16"/>
  <c r="AJ9" i="16"/>
  <c r="AJ18" i="16" s="1"/>
  <c r="AI10" i="16"/>
  <c r="AX9" i="16"/>
  <c r="AX18" i="16" s="1"/>
  <c r="AY10" i="16"/>
  <c r="AX32" i="16"/>
  <c r="AD11" i="16"/>
  <c r="AE11" i="16" s="1"/>
  <c r="AE39" i="16"/>
  <c r="AU18" i="16"/>
  <c r="AV10" i="16"/>
  <c r="AL18" i="16"/>
  <c r="AW32" i="16"/>
  <c r="AH9" i="16"/>
  <c r="AP29" i="1"/>
  <c r="AP15" i="1" s="1"/>
  <c r="AN29" i="1"/>
  <c r="AN15" i="1" s="1"/>
  <c r="AQ28" i="1"/>
  <c r="AQ14" i="1" s="1"/>
  <c r="AP28" i="1"/>
  <c r="AP14" i="1" s="1"/>
  <c r="Q18" i="1"/>
  <c r="AR28" i="1"/>
  <c r="AR14" i="1" s="1"/>
  <c r="AO28" i="1"/>
  <c r="AO14" i="1" s="1"/>
  <c r="AN28" i="1"/>
  <c r="AN14" i="1" s="1"/>
  <c r="AM28" i="1"/>
  <c r="AM14" i="1" s="1"/>
  <c r="S18" i="1"/>
  <c r="P18" i="1"/>
  <c r="N18" i="1"/>
  <c r="R18" i="1"/>
  <c r="O18" i="1"/>
  <c r="CL76" i="10"/>
  <c r="BU76" i="10"/>
  <c r="CM76" i="10"/>
  <c r="BV76" i="10"/>
  <c r="CD76" i="10"/>
  <c r="BM76" i="10"/>
  <c r="BV84" i="10"/>
  <c r="BL78" i="10"/>
  <c r="BN84" i="10"/>
  <c r="BS78" i="10"/>
  <c r="BQ76" i="10"/>
  <c r="CH76" i="10"/>
  <c r="CE76" i="10"/>
  <c r="BN76" i="10"/>
  <c r="BX82" i="10"/>
  <c r="BM84" i="10"/>
  <c r="BV82" i="10"/>
  <c r="BT76" i="10"/>
  <c r="CK76" i="10"/>
  <c r="CN76" i="10"/>
  <c r="BW76" i="10"/>
  <c r="BX80" i="10"/>
  <c r="BO76" i="10"/>
  <c r="CF76" i="10"/>
  <c r="BL80" i="10"/>
  <c r="BX76" i="10"/>
  <c r="CO76" i="10"/>
  <c r="BO82" i="10"/>
  <c r="CG76" i="10"/>
  <c r="BP76" i="10"/>
  <c r="BP78" i="10"/>
  <c r="BS82" i="10"/>
  <c r="BL76" i="10"/>
  <c r="CC76" i="10"/>
  <c r="BN82" i="10"/>
  <c r="BS76" i="10"/>
  <c r="CJ76" i="10"/>
  <c r="BT82" i="10"/>
  <c r="BO66" i="10"/>
  <c r="CF66" i="10"/>
  <c r="BL74" i="10"/>
  <c r="BW66" i="10"/>
  <c r="CN66" i="10"/>
  <c r="BN66" i="10"/>
  <c r="CE66" i="10"/>
  <c r="BX66" i="10"/>
  <c r="CO66" i="10"/>
  <c r="BP74" i="10"/>
  <c r="CH66" i="10"/>
  <c r="BQ66" i="10"/>
  <c r="CG66" i="10"/>
  <c r="BP66" i="10"/>
  <c r="BO68" i="10"/>
  <c r="CM66" i="10"/>
  <c r="BV66" i="10"/>
  <c r="BN72" i="10"/>
  <c r="CC66" i="10"/>
  <c r="BL66" i="10"/>
  <c r="BS74" i="10"/>
  <c r="CD66" i="10"/>
  <c r="BM66" i="10"/>
  <c r="BW56" i="10"/>
  <c r="CN56" i="10"/>
  <c r="BU56" i="10"/>
  <c r="CL56" i="10"/>
  <c r="BO58" i="10"/>
  <c r="BM60" i="10"/>
  <c r="CK56" i="10"/>
  <c r="BT56" i="10"/>
  <c r="BN64" i="10"/>
  <c r="CF56" i="10"/>
  <c r="BO56" i="10"/>
  <c r="BW58" i="10"/>
  <c r="BV58" i="10"/>
  <c r="BO64" i="10"/>
  <c r="BL60" i="10"/>
  <c r="CE56" i="10"/>
  <c r="BN56" i="10"/>
  <c r="BN58" i="10"/>
  <c r="BR56" i="10"/>
  <c r="CI56" i="10"/>
  <c r="BV64" i="10"/>
  <c r="BM56" i="10"/>
  <c r="CD56" i="10"/>
  <c r="CH56" i="10"/>
  <c r="BQ56" i="10"/>
  <c r="BN62" i="10"/>
  <c r="CC56" i="10"/>
  <c r="BL56" i="10"/>
  <c r="BR62" i="10"/>
  <c r="BO46" i="10"/>
  <c r="CF46" i="10"/>
  <c r="CH46" i="10"/>
  <c r="BQ46" i="10"/>
  <c r="CJ46" i="10"/>
  <c r="BS46" i="10"/>
  <c r="BR46" i="10"/>
  <c r="CI46" i="10"/>
  <c r="CM46" i="10"/>
  <c r="BV46" i="10"/>
  <c r="BU46" i="10"/>
  <c r="CL46" i="10"/>
  <c r="CE46" i="10"/>
  <c r="BN46" i="10"/>
  <c r="BL50" i="10"/>
  <c r="BW46" i="10"/>
  <c r="CN46" i="10"/>
  <c r="CK46" i="10"/>
  <c r="BT46" i="10"/>
  <c r="CD46" i="10"/>
  <c r="BM46" i="10"/>
  <c r="CO46" i="10"/>
  <c r="BX46" i="10"/>
  <c r="BO50" i="10"/>
  <c r="BL46" i="10"/>
  <c r="CC46" i="10"/>
  <c r="BR50" i="10"/>
  <c r="BN52" i="10"/>
  <c r="BP46" i="10"/>
  <c r="CG46" i="10"/>
  <c r="BW30" i="10"/>
  <c r="BW24" i="10"/>
  <c r="BM34" i="10"/>
  <c r="BQ20" i="10"/>
  <c r="BL24" i="10"/>
  <c r="BN20" i="10"/>
  <c r="BR30" i="10"/>
  <c r="BS20" i="10"/>
  <c r="BL30" i="10"/>
  <c r="BX20" i="10"/>
  <c r="BM28" i="10"/>
  <c r="BO24" i="10"/>
  <c r="BO30" i="10"/>
  <c r="BT28" i="10"/>
  <c r="BC33" i="10"/>
  <c r="AZ33" i="10"/>
  <c r="BF33" i="10"/>
  <c r="AW33" i="10"/>
  <c r="BA33" i="10"/>
  <c r="BH33" i="10"/>
  <c r="BB33" i="10"/>
  <c r="BD33" i="10"/>
  <c r="BG33" i="10"/>
  <c r="BI33" i="10"/>
  <c r="CF26" i="10"/>
  <c r="BO26" i="10"/>
  <c r="AZ32" i="10"/>
  <c r="BE32" i="10"/>
  <c r="BR28" i="10"/>
  <c r="BE33" i="10"/>
  <c r="AX33" i="10"/>
  <c r="BI32" i="10"/>
  <c r="BS28" i="10"/>
  <c r="CG26" i="10"/>
  <c r="BP26" i="10"/>
  <c r="CC26" i="10"/>
  <c r="BL26" i="10"/>
  <c r="BW34" i="10"/>
  <c r="CN26" i="10"/>
  <c r="BW26" i="10"/>
  <c r="CE26" i="10"/>
  <c r="BN26" i="10"/>
  <c r="BM30" i="10"/>
  <c r="BL34" i="10"/>
  <c r="AY33" i="10"/>
  <c r="BS34" i="10"/>
  <c r="BX34" i="10"/>
  <c r="BJ33" i="10"/>
  <c r="AY32" i="10"/>
  <c r="CK26" i="10"/>
  <c r="BT26" i="10"/>
  <c r="BM26" i="10"/>
  <c r="CD26" i="10"/>
  <c r="BR26" i="10"/>
  <c r="CI26" i="10"/>
  <c r="BP32" i="10"/>
  <c r="AG32" i="10"/>
  <c r="BD32" i="10"/>
  <c r="BH32" i="10"/>
  <c r="AW32" i="10"/>
  <c r="BG32" i="10"/>
  <c r="BC32" i="10"/>
  <c r="BR32" i="10" s="1"/>
  <c r="BF32" i="10"/>
  <c r="BB32" i="10"/>
  <c r="BT30" i="10"/>
  <c r="CM26" i="10"/>
  <c r="BV26" i="10"/>
  <c r="BU30" i="10"/>
  <c r="AX32" i="10"/>
  <c r="BM32" i="10" s="1"/>
  <c r="CL26" i="10"/>
  <c r="BU26" i="10"/>
  <c r="BN28" i="10"/>
  <c r="BU28" i="10"/>
  <c r="BS26" i="10"/>
  <c r="CJ26" i="10"/>
  <c r="BR34" i="10"/>
  <c r="CO26" i="10"/>
  <c r="BX26" i="10"/>
  <c r="BP28" i="10"/>
  <c r="BQ30" i="10"/>
  <c r="AX23" i="10"/>
  <c r="AY23" i="10"/>
  <c r="AW23" i="10"/>
  <c r="BA23" i="10"/>
  <c r="AG22" i="10"/>
  <c r="BD22" i="10"/>
  <c r="BC22" i="10"/>
  <c r="BJ22" i="10"/>
  <c r="BH22" i="10"/>
  <c r="BG22" i="10"/>
  <c r="BI22" i="10"/>
  <c r="BX22" i="10" s="1"/>
  <c r="AY22" i="10"/>
  <c r="BA22" i="10"/>
  <c r="BF23" i="10"/>
  <c r="BX24" i="10"/>
  <c r="CM16" i="10"/>
  <c r="BV16" i="10"/>
  <c r="CC16" i="10"/>
  <c r="BL16" i="10"/>
  <c r="CN16" i="10"/>
  <c r="BW16" i="10"/>
  <c r="BN24" i="10"/>
  <c r="BW20" i="10"/>
  <c r="CG16" i="10"/>
  <c r="BP16" i="10"/>
  <c r="BF22" i="10"/>
  <c r="BU22" i="10" s="1"/>
  <c r="BD23" i="10"/>
  <c r="BH23" i="10"/>
  <c r="BR24" i="10"/>
  <c r="CL16" i="10"/>
  <c r="BU16" i="10"/>
  <c r="BC23" i="10"/>
  <c r="CF16" i="10"/>
  <c r="BO16" i="10"/>
  <c r="BG23" i="10"/>
  <c r="CO16" i="10"/>
  <c r="BX16" i="10"/>
  <c r="AZ22" i="10"/>
  <c r="BO22" i="10" s="1"/>
  <c r="AX22" i="10"/>
  <c r="BV20" i="10"/>
  <c r="AW22" i="10"/>
  <c r="BM18" i="10"/>
  <c r="CK16" i="10"/>
  <c r="BT16" i="10"/>
  <c r="BS16" i="10"/>
  <c r="CJ16" i="10"/>
  <c r="BV24" i="10"/>
  <c r="BQ16" i="10"/>
  <c r="CH16" i="10"/>
  <c r="BR16" i="10"/>
  <c r="CI16" i="10"/>
  <c r="BE22" i="10"/>
  <c r="BT22" i="10" s="1"/>
  <c r="BP24" i="10"/>
  <c r="BJ23" i="10"/>
  <c r="BM24" i="10"/>
  <c r="CE16" i="10"/>
  <c r="BN16" i="10"/>
  <c r="BE23" i="10"/>
  <c r="BM16" i="10"/>
  <c r="CD16" i="10"/>
  <c r="BM20" i="10"/>
  <c r="BQ24" i="10"/>
  <c r="BT24" i="10"/>
  <c r="BV18" i="10"/>
  <c r="BR20" i="10"/>
  <c r="BS24" i="10"/>
  <c r="BB23" i="10"/>
  <c r="BQ22" i="10" s="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L9" i="11"/>
  <c r="L14" i="11" s="1"/>
  <c r="L7" i="11"/>
  <c r="L12" i="11" s="1"/>
  <c r="N6" i="11"/>
  <c r="O6" i="11" s="1"/>
  <c r="P6" i="11" s="1"/>
  <c r="Q6" i="11" s="1"/>
  <c r="R6" i="11" s="1"/>
  <c r="S6" i="11" s="1"/>
  <c r="M11" i="11" s="1"/>
  <c r="N11" i="11" s="1"/>
  <c r="O11" i="11" s="1"/>
  <c r="P11" i="11" s="1"/>
  <c r="Q11" i="11" s="1"/>
  <c r="R11" i="11" s="1"/>
  <c r="S11" i="11" s="1"/>
  <c r="M16" i="11" s="1"/>
  <c r="N16" i="11" s="1"/>
  <c r="O16" i="11" s="1"/>
  <c r="P16" i="11" s="1"/>
  <c r="Q16" i="11" s="1"/>
  <c r="R16" i="11" s="1"/>
  <c r="S16" i="11" s="1"/>
  <c r="M21" i="11" s="1"/>
  <c r="N21" i="11" s="1"/>
  <c r="O21" i="11" s="1"/>
  <c r="P21" i="11" s="1"/>
  <c r="Q21" i="11" s="1"/>
  <c r="B14" i="11"/>
  <c r="B19" i="11" s="1"/>
  <c r="B24" i="11" s="1"/>
  <c r="B29" i="11" s="1"/>
  <c r="B12" i="11"/>
  <c r="B17" i="11" s="1"/>
  <c r="B22" i="11" s="1"/>
  <c r="B27" i="11" s="1"/>
  <c r="AG19" i="17" l="1"/>
  <c r="AD18" i="16"/>
  <c r="AE18" i="16" s="1"/>
  <c r="BN22" i="10"/>
  <c r="BX32" i="10"/>
  <c r="BW22" i="10"/>
  <c r="BS32" i="10"/>
  <c r="BS22" i="10"/>
  <c r="BL22" i="10"/>
  <c r="BV32" i="10"/>
  <c r="BN32" i="10"/>
  <c r="BL32" i="10"/>
  <c r="BW32" i="10"/>
  <c r="BQ32" i="10"/>
  <c r="BT32" i="10"/>
  <c r="BU32" i="10"/>
  <c r="BO32" i="10"/>
  <c r="BR22" i="10"/>
  <c r="BV22" i="10"/>
  <c r="BM22" i="10"/>
  <c r="BP22" i="10"/>
  <c r="C11" i="11"/>
  <c r="D11" i="11" s="1"/>
  <c r="E11" i="11" s="1"/>
  <c r="F11" i="11" s="1"/>
  <c r="G11" i="11" s="1"/>
  <c r="H11" i="11" s="1"/>
  <c r="I11" i="11" s="1"/>
  <c r="C16" i="11" s="1"/>
  <c r="D16" i="11" s="1"/>
  <c r="E16" i="11" s="1"/>
  <c r="F16" i="11" s="1"/>
  <c r="G16" i="11" s="1"/>
  <c r="H16" i="11" s="1"/>
  <c r="I16" i="11" s="1"/>
  <c r="C21" i="11" s="1"/>
  <c r="D21" i="11" s="1"/>
  <c r="E21" i="11" s="1"/>
  <c r="F21" i="11" s="1"/>
  <c r="G21" i="11" s="1"/>
  <c r="H21" i="11" s="1"/>
  <c r="I21" i="11" s="1"/>
  <c r="C26" i="11" s="1"/>
  <c r="D26" i="11" s="1"/>
  <c r="E26" i="11" s="1"/>
  <c r="F26" i="11" s="1"/>
  <c r="G26" i="11" s="1"/>
  <c r="H26" i="11" s="1"/>
  <c r="L17" i="11"/>
  <c r="L22" i="11" s="1"/>
  <c r="L27" i="11" s="1"/>
  <c r="L19" i="11"/>
  <c r="L24" i="11" s="1"/>
  <c r="L29" i="11" s="1"/>
  <c r="AB55" i="1" l="1"/>
  <c r="AB60" i="1"/>
  <c r="AB57" i="1"/>
  <c r="AF137" i="1"/>
  <c r="AF134" i="1"/>
  <c r="AF132" i="1"/>
  <c r="AF129" i="1"/>
  <c r="AF127" i="1"/>
  <c r="AF124" i="1"/>
  <c r="AF122" i="1"/>
  <c r="AF119" i="1"/>
  <c r="AF117" i="1"/>
  <c r="AF114" i="1"/>
  <c r="AB65" i="1" l="1"/>
  <c r="AB77" i="1"/>
  <c r="AB72" i="1"/>
  <c r="AB67" i="1"/>
  <c r="AB62" i="1"/>
  <c r="AB75" i="1" l="1"/>
  <c r="AB70" i="1" l="1"/>
  <c r="AA42" i="1" l="1"/>
  <c r="AA42" i="17" s="1"/>
  <c r="Z42" i="1"/>
  <c r="Z42" i="17" s="1"/>
  <c r="Y42" i="1"/>
  <c r="Y42" i="17" s="1"/>
  <c r="X42" i="1"/>
  <c r="X42" i="17" s="1"/>
  <c r="W42" i="1"/>
  <c r="W42" i="17" s="1"/>
  <c r="V42" i="1"/>
  <c r="V42" i="17" s="1"/>
  <c r="U42" i="1"/>
  <c r="U42" i="17" s="1"/>
  <c r="T42" i="1"/>
  <c r="T42" i="17" s="1"/>
  <c r="M42" i="1"/>
  <c r="M42" i="17" s="1"/>
  <c r="L42" i="1"/>
  <c r="L42" i="17" s="1"/>
  <c r="K42" i="1"/>
  <c r="K42" i="17" s="1"/>
  <c r="J42" i="1"/>
  <c r="J42" i="17" s="1"/>
  <c r="I42" i="1"/>
  <c r="I42" i="17" s="1"/>
  <c r="H42" i="1"/>
  <c r="H42" i="17" s="1"/>
  <c r="G42" i="1"/>
  <c r="G42" i="17" s="1"/>
  <c r="F42" i="1"/>
  <c r="F42" i="17" s="1"/>
  <c r="E42" i="1"/>
  <c r="AE137" i="1"/>
  <c r="AH137" i="1" s="1"/>
  <c r="AI137" i="1" s="1"/>
  <c r="AJ137" i="1" s="1"/>
  <c r="AE134" i="1"/>
  <c r="AE132" i="1"/>
  <c r="AE129" i="1"/>
  <c r="AE127" i="1"/>
  <c r="AE124" i="1"/>
  <c r="AE122" i="1"/>
  <c r="AE119" i="1"/>
  <c r="AE117" i="1"/>
  <c r="AE114" i="1"/>
  <c r="AE112" i="1"/>
  <c r="AA28" i="1"/>
  <c r="Z28" i="1"/>
  <c r="Y28" i="1"/>
  <c r="X28" i="1"/>
  <c r="W28" i="1"/>
  <c r="V28" i="1"/>
  <c r="U28" i="1"/>
  <c r="T28" i="1"/>
  <c r="M28" i="1"/>
  <c r="L28" i="1"/>
  <c r="K28" i="1"/>
  <c r="J28" i="1"/>
  <c r="I28" i="1"/>
  <c r="H28" i="1"/>
  <c r="G28" i="1"/>
  <c r="F28" i="1"/>
  <c r="BE80" i="1"/>
  <c r="BE137" i="1" s="1"/>
  <c r="BD80" i="1"/>
  <c r="BD137" i="1" s="1"/>
  <c r="BC80" i="1"/>
  <c r="BC137" i="1" s="1"/>
  <c r="BB80" i="1"/>
  <c r="BB137" i="1" s="1"/>
  <c r="BA80" i="1"/>
  <c r="BA137" i="1" s="1"/>
  <c r="AZ80" i="1"/>
  <c r="AZ137" i="1" s="1"/>
  <c r="AY80" i="1"/>
  <c r="AY137" i="1" s="1"/>
  <c r="AX80" i="1"/>
  <c r="AX137" i="1" s="1"/>
  <c r="AL80" i="1"/>
  <c r="AL137" i="1" s="1"/>
  <c r="BE77" i="1"/>
  <c r="BE134" i="1" s="1"/>
  <c r="BD77" i="1"/>
  <c r="BD134" i="1" s="1"/>
  <c r="BC77" i="1"/>
  <c r="BC134" i="1" s="1"/>
  <c r="BB77" i="1"/>
  <c r="BB134" i="1" s="1"/>
  <c r="BA77" i="1"/>
  <c r="BA134" i="1" s="1"/>
  <c r="AZ77" i="1"/>
  <c r="AZ134" i="1" s="1"/>
  <c r="AY77" i="1"/>
  <c r="AY134" i="1" s="1"/>
  <c r="AX77" i="1"/>
  <c r="AX134" i="1" s="1"/>
  <c r="AL77" i="1"/>
  <c r="AL134" i="1" s="1"/>
  <c r="BE75" i="1"/>
  <c r="BE132" i="1" s="1"/>
  <c r="BD75" i="1"/>
  <c r="BD132" i="1" s="1"/>
  <c r="BC75" i="1"/>
  <c r="BC132" i="1" s="1"/>
  <c r="BB75" i="1"/>
  <c r="BB132" i="1" s="1"/>
  <c r="BA75" i="1"/>
  <c r="BA132" i="1" s="1"/>
  <c r="AZ75" i="1"/>
  <c r="AZ132" i="1" s="1"/>
  <c r="AY75" i="1"/>
  <c r="AY132" i="1" s="1"/>
  <c r="AX75" i="1"/>
  <c r="AX132" i="1" s="1"/>
  <c r="AL75" i="1"/>
  <c r="AL132" i="1" s="1"/>
  <c r="BE72" i="1"/>
  <c r="BE129" i="1" s="1"/>
  <c r="BD72" i="1"/>
  <c r="BD129" i="1" s="1"/>
  <c r="BC72" i="1"/>
  <c r="BC129" i="1" s="1"/>
  <c r="BB72" i="1"/>
  <c r="BB129" i="1" s="1"/>
  <c r="BA72" i="1"/>
  <c r="BA129" i="1" s="1"/>
  <c r="AZ72" i="1"/>
  <c r="AZ129" i="1" s="1"/>
  <c r="AY72" i="1"/>
  <c r="AY129" i="1" s="1"/>
  <c r="AX72" i="1"/>
  <c r="AX129" i="1" s="1"/>
  <c r="AL72" i="1"/>
  <c r="AL129" i="1" s="1"/>
  <c r="BE70" i="1"/>
  <c r="BE127" i="1" s="1"/>
  <c r="BD70" i="1"/>
  <c r="BD127" i="1" s="1"/>
  <c r="BC70" i="1"/>
  <c r="BC127" i="1" s="1"/>
  <c r="BB70" i="1"/>
  <c r="BB127" i="1" s="1"/>
  <c r="BA70" i="1"/>
  <c r="BA127" i="1" s="1"/>
  <c r="AZ70" i="1"/>
  <c r="AZ127" i="1" s="1"/>
  <c r="AY70" i="1"/>
  <c r="AY127" i="1" s="1"/>
  <c r="AX70" i="1"/>
  <c r="AX127" i="1" s="1"/>
  <c r="AL70" i="1"/>
  <c r="AL127" i="1" s="1"/>
  <c r="BE67" i="1"/>
  <c r="BE124" i="1" s="1"/>
  <c r="BD67" i="1"/>
  <c r="BD124" i="1" s="1"/>
  <c r="BC67" i="1"/>
  <c r="BC124" i="1" s="1"/>
  <c r="BB67" i="1"/>
  <c r="BB124" i="1" s="1"/>
  <c r="BA67" i="1"/>
  <c r="BA124" i="1" s="1"/>
  <c r="AZ67" i="1"/>
  <c r="AZ124" i="1" s="1"/>
  <c r="AY67" i="1"/>
  <c r="AY124" i="1" s="1"/>
  <c r="AX67" i="1"/>
  <c r="AX124" i="1" s="1"/>
  <c r="AL67" i="1"/>
  <c r="AL124" i="1" s="1"/>
  <c r="BE65" i="1"/>
  <c r="BE122" i="1" s="1"/>
  <c r="BD65" i="1"/>
  <c r="BD122" i="1" s="1"/>
  <c r="BC65" i="1"/>
  <c r="BC122" i="1" s="1"/>
  <c r="BB65" i="1"/>
  <c r="BB122" i="1" s="1"/>
  <c r="BA65" i="1"/>
  <c r="BA122" i="1" s="1"/>
  <c r="AZ65" i="1"/>
  <c r="AZ122" i="1" s="1"/>
  <c r="AY65" i="1"/>
  <c r="AY122" i="1" s="1"/>
  <c r="AX65" i="1"/>
  <c r="AX122" i="1" s="1"/>
  <c r="AL65" i="1"/>
  <c r="AL122" i="1" s="1"/>
  <c r="BE62" i="1"/>
  <c r="BE119" i="1" s="1"/>
  <c r="BD62" i="1"/>
  <c r="BD119" i="1" s="1"/>
  <c r="BC62" i="1"/>
  <c r="BC119" i="1" s="1"/>
  <c r="BB62" i="1"/>
  <c r="BB119" i="1" s="1"/>
  <c r="BA62" i="1"/>
  <c r="BA119" i="1" s="1"/>
  <c r="AZ62" i="1"/>
  <c r="AZ119" i="1" s="1"/>
  <c r="AY62" i="1"/>
  <c r="AY119" i="1" s="1"/>
  <c r="AX62" i="1"/>
  <c r="AX119" i="1" s="1"/>
  <c r="AL62" i="1"/>
  <c r="AL119" i="1" s="1"/>
  <c r="AE80" i="1"/>
  <c r="AH80" i="1" s="1"/>
  <c r="AI80" i="1" s="1"/>
  <c r="AJ80" i="1" s="1"/>
  <c r="AE77" i="1"/>
  <c r="AH77" i="1" s="1"/>
  <c r="AI77" i="1" s="1"/>
  <c r="AJ77" i="1" s="1"/>
  <c r="AE75" i="1"/>
  <c r="AH75" i="1" s="1"/>
  <c r="AI75" i="1" s="1"/>
  <c r="AJ75" i="1" s="1"/>
  <c r="AE72" i="1"/>
  <c r="AH72" i="1" s="1"/>
  <c r="AI72" i="1" s="1"/>
  <c r="AJ72" i="1" s="1"/>
  <c r="AE70" i="1"/>
  <c r="AH70" i="1" s="1"/>
  <c r="AI70" i="1" s="1"/>
  <c r="AJ70" i="1" s="1"/>
  <c r="AE67" i="1"/>
  <c r="AH67" i="1" s="1"/>
  <c r="AI67" i="1" s="1"/>
  <c r="AJ67" i="1" s="1"/>
  <c r="AE65" i="1"/>
  <c r="AH65" i="1" s="1"/>
  <c r="AI65" i="1" s="1"/>
  <c r="AJ65" i="1" s="1"/>
  <c r="AE62" i="1"/>
  <c r="AH62" i="1" s="1"/>
  <c r="AI62" i="1" s="1"/>
  <c r="AJ62" i="1" s="1"/>
  <c r="BE60" i="1"/>
  <c r="BE117" i="1" s="1"/>
  <c r="BD60" i="1"/>
  <c r="BD117" i="1" s="1"/>
  <c r="BC60" i="1"/>
  <c r="BC117" i="1" s="1"/>
  <c r="BB60" i="1"/>
  <c r="BB117" i="1" s="1"/>
  <c r="BA60" i="1"/>
  <c r="BA117" i="1" s="1"/>
  <c r="AZ60" i="1"/>
  <c r="AZ117" i="1" s="1"/>
  <c r="AY60" i="1"/>
  <c r="AY117" i="1" s="1"/>
  <c r="AX60" i="1"/>
  <c r="AX117" i="1" s="1"/>
  <c r="AL60" i="1"/>
  <c r="AL117" i="1" s="1"/>
  <c r="AE60" i="1"/>
  <c r="AH60" i="1" s="1"/>
  <c r="AI60" i="1" s="1"/>
  <c r="AJ60" i="1" s="1"/>
  <c r="BE57" i="1"/>
  <c r="BD57" i="1"/>
  <c r="BC57" i="1"/>
  <c r="BB57" i="1"/>
  <c r="BA57" i="1"/>
  <c r="AZ57" i="1"/>
  <c r="AY57" i="1"/>
  <c r="AX57" i="1"/>
  <c r="AL57" i="1"/>
  <c r="AE57" i="1"/>
  <c r="AH57" i="1" s="1"/>
  <c r="AI57" i="1" s="1"/>
  <c r="AJ57" i="1" s="1"/>
  <c r="BE55" i="1"/>
  <c r="BD55" i="1"/>
  <c r="BC55" i="1"/>
  <c r="BB55" i="1"/>
  <c r="BA55" i="1"/>
  <c r="AZ55" i="1"/>
  <c r="AY55" i="1"/>
  <c r="AX55" i="1"/>
  <c r="AL55" i="1"/>
  <c r="AE55" i="1"/>
  <c r="AH55" i="1" s="1"/>
  <c r="AI55" i="1" s="1"/>
  <c r="AJ55" i="1" s="1"/>
  <c r="AB42" i="17" l="1"/>
  <c r="T28" i="17"/>
  <c r="T14" i="17" s="1"/>
  <c r="T14" i="1"/>
  <c r="U28" i="17"/>
  <c r="U14" i="17" s="1"/>
  <c r="U14" i="1"/>
  <c r="X14" i="1"/>
  <c r="X28" i="17"/>
  <c r="X14" i="17" s="1"/>
  <c r="Y14" i="1"/>
  <c r="Y28" i="17"/>
  <c r="Y14" i="17" s="1"/>
  <c r="W28" i="17"/>
  <c r="W14" i="17" s="1"/>
  <c r="W14" i="1"/>
  <c r="Z14" i="1"/>
  <c r="Z28" i="17"/>
  <c r="Z14" i="17" s="1"/>
  <c r="AA14" i="1"/>
  <c r="AA28" i="17"/>
  <c r="AA14" i="17" s="1"/>
  <c r="V28" i="17"/>
  <c r="V14" i="17" s="1"/>
  <c r="V14" i="1"/>
  <c r="E14" i="1"/>
  <c r="E42" i="17"/>
  <c r="E14" i="17" s="1"/>
  <c r="J28" i="17"/>
  <c r="J14" i="17" s="1"/>
  <c r="J14" i="1"/>
  <c r="M28" i="17"/>
  <c r="M14" i="17" s="1"/>
  <c r="M14" i="1"/>
  <c r="L28" i="17"/>
  <c r="L14" i="17" s="1"/>
  <c r="L14" i="1"/>
  <c r="K28" i="17"/>
  <c r="K14" i="17" s="1"/>
  <c r="K14" i="1"/>
  <c r="I14" i="1"/>
  <c r="I28" i="17"/>
  <c r="I14" i="17" s="1"/>
  <c r="H14" i="1"/>
  <c r="H28" i="17"/>
  <c r="H14" i="17" s="1"/>
  <c r="G14" i="1"/>
  <c r="G28" i="17"/>
  <c r="F28" i="17"/>
  <c r="F14" i="17" s="1"/>
  <c r="F14" i="1"/>
  <c r="BO67" i="1"/>
  <c r="BM67" i="1"/>
  <c r="BL67" i="1"/>
  <c r="BQ67" i="1"/>
  <c r="BI67" i="1"/>
  <c r="BR67" i="1"/>
  <c r="BK67" i="1"/>
  <c r="BN67" i="1"/>
  <c r="BJ67" i="1"/>
  <c r="BP67" i="1"/>
  <c r="BH67" i="1"/>
  <c r="AK70" i="1"/>
  <c r="BQ70" i="1"/>
  <c r="BI70" i="1"/>
  <c r="BL70" i="1"/>
  <c r="BO70" i="1"/>
  <c r="BR70" i="1"/>
  <c r="BH70" i="1"/>
  <c r="BN70" i="1"/>
  <c r="BM70" i="1"/>
  <c r="BP70" i="1"/>
  <c r="BJ70" i="1"/>
  <c r="BK70" i="1"/>
  <c r="AK55" i="1"/>
  <c r="BQ55" i="1"/>
  <c r="BI55" i="1"/>
  <c r="BN55" i="1"/>
  <c r="BK55" i="1"/>
  <c r="BL55" i="1"/>
  <c r="BR55" i="1"/>
  <c r="BM55" i="1"/>
  <c r="BJ55" i="1"/>
  <c r="BO55" i="1"/>
  <c r="BH55" i="1"/>
  <c r="BP55" i="1"/>
  <c r="AK75" i="1"/>
  <c r="BN75" i="1"/>
  <c r="BQ75" i="1"/>
  <c r="BI75" i="1"/>
  <c r="BO75" i="1"/>
  <c r="BJ75" i="1"/>
  <c r="BR75" i="1"/>
  <c r="BL75" i="1"/>
  <c r="BK75" i="1"/>
  <c r="BP75" i="1"/>
  <c r="BM75" i="1"/>
  <c r="BH75" i="1"/>
  <c r="BP57" i="1"/>
  <c r="BH57" i="1"/>
  <c r="BN57" i="1"/>
  <c r="BI57" i="1"/>
  <c r="BO57" i="1"/>
  <c r="BK57" i="1"/>
  <c r="BQ57" i="1"/>
  <c r="BR57" i="1"/>
  <c r="BM57" i="1"/>
  <c r="BJ57" i="1"/>
  <c r="BL57" i="1"/>
  <c r="BP80" i="1"/>
  <c r="BH80" i="1"/>
  <c r="BM80" i="1"/>
  <c r="BL80" i="1"/>
  <c r="BQ80" i="1"/>
  <c r="BR80" i="1"/>
  <c r="BK80" i="1"/>
  <c r="BI80" i="1"/>
  <c r="BO80" i="1"/>
  <c r="BN80" i="1"/>
  <c r="BJ80" i="1"/>
  <c r="BN72" i="1"/>
  <c r="BL72" i="1"/>
  <c r="BI72" i="1"/>
  <c r="BQ72" i="1"/>
  <c r="BH72" i="1"/>
  <c r="BK72" i="1"/>
  <c r="BO72" i="1"/>
  <c r="BM72" i="1"/>
  <c r="BJ72" i="1"/>
  <c r="BP72" i="1"/>
  <c r="BR72" i="1"/>
  <c r="BP77" i="1"/>
  <c r="BH77" i="1"/>
  <c r="BN77" i="1"/>
  <c r="BM77" i="1"/>
  <c r="BI77" i="1"/>
  <c r="BQ77" i="1"/>
  <c r="BL77" i="1"/>
  <c r="BR77" i="1"/>
  <c r="AR27" i="1" s="1"/>
  <c r="AR13" i="1" s="1"/>
  <c r="BO77" i="1"/>
  <c r="BK77" i="1"/>
  <c r="BJ77" i="1"/>
  <c r="BR62" i="1"/>
  <c r="BJ62" i="1"/>
  <c r="BP62" i="1"/>
  <c r="BH62" i="1"/>
  <c r="BM62" i="1"/>
  <c r="BL62" i="1"/>
  <c r="BI62" i="1"/>
  <c r="BN62" i="1"/>
  <c r="BK62" i="1"/>
  <c r="BQ62" i="1"/>
  <c r="BO62" i="1"/>
  <c r="AK60" i="1"/>
  <c r="BH60" i="1"/>
  <c r="BP60" i="1"/>
  <c r="BM60" i="1"/>
  <c r="BL60" i="1"/>
  <c r="BI60" i="1"/>
  <c r="BO60" i="1"/>
  <c r="BN60" i="1"/>
  <c r="BR60" i="1"/>
  <c r="BQ60" i="1"/>
  <c r="BJ60" i="1"/>
  <c r="BK60" i="1"/>
  <c r="AK65" i="1"/>
  <c r="BO65" i="1"/>
  <c r="BR65" i="1"/>
  <c r="BM65" i="1"/>
  <c r="BJ65" i="1"/>
  <c r="BL65" i="1"/>
  <c r="BK65" i="1"/>
  <c r="BP65" i="1"/>
  <c r="BI65" i="1"/>
  <c r="BH65" i="1"/>
  <c r="BQ65" i="1"/>
  <c r="BN65" i="1"/>
  <c r="AK137" i="1"/>
  <c r="BQ137" i="1"/>
  <c r="BI137" i="1"/>
  <c r="BL137" i="1"/>
  <c r="BO137" i="1"/>
  <c r="BR137" i="1"/>
  <c r="BJ137" i="1"/>
  <c r="BK137" i="1"/>
  <c r="BM137" i="1"/>
  <c r="BP137" i="1"/>
  <c r="BH137" i="1"/>
  <c r="BN137" i="1"/>
  <c r="AB28" i="1"/>
  <c r="AH112" i="1"/>
  <c r="AI112" i="1" s="1"/>
  <c r="AK80" i="1"/>
  <c r="AD27" i="1"/>
  <c r="AD13" i="1" s="1"/>
  <c r="AH132" i="1"/>
  <c r="AI132" i="1" s="1"/>
  <c r="AJ132" i="1" s="1"/>
  <c r="BW75" i="1"/>
  <c r="AK72" i="1"/>
  <c r="AD26" i="1"/>
  <c r="AD12" i="1" s="1"/>
  <c r="AH122" i="1"/>
  <c r="AI122" i="1" s="1"/>
  <c r="AJ122" i="1" s="1"/>
  <c r="AH124" i="1"/>
  <c r="AI124" i="1" s="1"/>
  <c r="AJ124" i="1" s="1"/>
  <c r="AH127" i="1"/>
  <c r="AI127" i="1" s="1"/>
  <c r="AJ127" i="1" s="1"/>
  <c r="AH117" i="1"/>
  <c r="AI117" i="1" s="1"/>
  <c r="AJ117" i="1" s="1"/>
  <c r="AH114" i="1"/>
  <c r="AI114" i="1" s="1"/>
  <c r="AJ114" i="1" s="1"/>
  <c r="BW62" i="1"/>
  <c r="BS77" i="1"/>
  <c r="BW77" i="1"/>
  <c r="BV65" i="1"/>
  <c r="BT67" i="1"/>
  <c r="AH129" i="1"/>
  <c r="AI129" i="1" s="1"/>
  <c r="AJ129" i="1" s="1"/>
  <c r="AH119" i="1"/>
  <c r="AI119" i="1" s="1"/>
  <c r="AJ119" i="1" s="1"/>
  <c r="AH134" i="1"/>
  <c r="AI134" i="1" s="1"/>
  <c r="AJ134" i="1" s="1"/>
  <c r="BS137" i="1"/>
  <c r="BW137" i="1"/>
  <c r="BT137" i="1"/>
  <c r="BX137" i="1"/>
  <c r="BG137" i="1"/>
  <c r="BU137" i="1"/>
  <c r="BY137" i="1"/>
  <c r="BV137" i="1"/>
  <c r="BZ137" i="1"/>
  <c r="BV62" i="1"/>
  <c r="BZ62" i="1"/>
  <c r="BV67" i="1"/>
  <c r="BZ67" i="1"/>
  <c r="BS70" i="1"/>
  <c r="BW70" i="1"/>
  <c r="BS75" i="1"/>
  <c r="BT77" i="1"/>
  <c r="BX77" i="1"/>
  <c r="BS65" i="1"/>
  <c r="BW65" i="1"/>
  <c r="BW67" i="1"/>
  <c r="BX70" i="1"/>
  <c r="BV72" i="1"/>
  <c r="BZ72" i="1"/>
  <c r="BT62" i="1"/>
  <c r="BX62" i="1"/>
  <c r="BX67" i="1"/>
  <c r="BW72" i="1"/>
  <c r="BG75" i="1"/>
  <c r="BU75" i="1"/>
  <c r="BY75" i="1"/>
  <c r="BS80" i="1"/>
  <c r="BW80" i="1"/>
  <c r="AD24" i="1"/>
  <c r="AD10" i="1" s="1"/>
  <c r="AK62" i="1"/>
  <c r="BG62" i="1"/>
  <c r="BU62" i="1"/>
  <c r="BY62" i="1"/>
  <c r="BT65" i="1"/>
  <c r="BX65" i="1"/>
  <c r="BV75" i="1"/>
  <c r="BZ75" i="1"/>
  <c r="BG77" i="1"/>
  <c r="BU77" i="1"/>
  <c r="BY77" i="1"/>
  <c r="BT80" i="1"/>
  <c r="BX80" i="1"/>
  <c r="BV70" i="1"/>
  <c r="BT70" i="1"/>
  <c r="BS62" i="1"/>
  <c r="BG65" i="1"/>
  <c r="BU65" i="1"/>
  <c r="BY65" i="1"/>
  <c r="BZ65" i="1"/>
  <c r="BT72" i="1"/>
  <c r="BX72" i="1"/>
  <c r="BS72" i="1"/>
  <c r="BV77" i="1"/>
  <c r="BZ77" i="1"/>
  <c r="BG80" i="1"/>
  <c r="BU80" i="1"/>
  <c r="BY80" i="1"/>
  <c r="BZ70" i="1"/>
  <c r="AK57" i="1"/>
  <c r="AD23" i="1"/>
  <c r="AD25" i="1"/>
  <c r="AD11" i="1" s="1"/>
  <c r="AK67" i="1"/>
  <c r="AK77" i="1"/>
  <c r="BG67" i="1"/>
  <c r="BU67" i="1"/>
  <c r="BY67" i="1"/>
  <c r="BS67" i="1"/>
  <c r="BG70" i="1"/>
  <c r="BU70" i="1"/>
  <c r="BY70" i="1"/>
  <c r="BG72" i="1"/>
  <c r="BU72" i="1"/>
  <c r="BY72" i="1"/>
  <c r="BT75" i="1"/>
  <c r="BX75" i="1"/>
  <c r="BV80" i="1"/>
  <c r="BZ80" i="1"/>
  <c r="BZ55" i="1"/>
  <c r="BZ57" i="1"/>
  <c r="BV57" i="1"/>
  <c r="BG57" i="1"/>
  <c r="BU57" i="1"/>
  <c r="BY57" i="1"/>
  <c r="BS57" i="1"/>
  <c r="BW57" i="1"/>
  <c r="BG60" i="1"/>
  <c r="BU60" i="1"/>
  <c r="BY60" i="1"/>
  <c r="BT57" i="1"/>
  <c r="BX57" i="1"/>
  <c r="BV60" i="1"/>
  <c r="BZ60" i="1"/>
  <c r="BW60" i="1"/>
  <c r="BX60" i="1"/>
  <c r="BT60" i="1"/>
  <c r="BS60" i="1"/>
  <c r="BG55" i="1"/>
  <c r="BU55" i="1"/>
  <c r="BY55" i="1"/>
  <c r="BS55" i="1"/>
  <c r="BW55" i="1"/>
  <c r="BT55" i="1"/>
  <c r="BX55" i="1"/>
  <c r="BV55" i="1"/>
  <c r="E41" i="1"/>
  <c r="E40" i="1"/>
  <c r="E39" i="1"/>
  <c r="E38" i="1"/>
  <c r="E37" i="1"/>
  <c r="AA41" i="1"/>
  <c r="AA41" i="17" s="1"/>
  <c r="Z41" i="1"/>
  <c r="Z41" i="17" s="1"/>
  <c r="Y41" i="1"/>
  <c r="Y41" i="17" s="1"/>
  <c r="X41" i="1"/>
  <c r="X41" i="17" s="1"/>
  <c r="W41" i="1"/>
  <c r="W41" i="17" s="1"/>
  <c r="V41" i="1"/>
  <c r="V41" i="17" s="1"/>
  <c r="U41" i="1"/>
  <c r="U41" i="17" s="1"/>
  <c r="T41" i="1"/>
  <c r="T41" i="17" s="1"/>
  <c r="M41" i="1"/>
  <c r="M41" i="17" s="1"/>
  <c r="L41" i="1"/>
  <c r="L41" i="17" s="1"/>
  <c r="K41" i="1"/>
  <c r="K41" i="17" s="1"/>
  <c r="J41" i="1"/>
  <c r="J41" i="17" s="1"/>
  <c r="I41" i="1"/>
  <c r="I41" i="17" s="1"/>
  <c r="H41" i="1"/>
  <c r="H41" i="17" s="1"/>
  <c r="G41" i="1"/>
  <c r="G41" i="17" s="1"/>
  <c r="F41" i="1"/>
  <c r="F41" i="17" s="1"/>
  <c r="AA40" i="1"/>
  <c r="AA40" i="17" s="1"/>
  <c r="Z40" i="1"/>
  <c r="Z40" i="17" s="1"/>
  <c r="Y40" i="1"/>
  <c r="Y40" i="17" s="1"/>
  <c r="X40" i="1"/>
  <c r="X40" i="17" s="1"/>
  <c r="W40" i="1"/>
  <c r="W40" i="17" s="1"/>
  <c r="V40" i="1"/>
  <c r="V40" i="17" s="1"/>
  <c r="U40" i="1"/>
  <c r="U40" i="17" s="1"/>
  <c r="T40" i="1"/>
  <c r="T40" i="17" s="1"/>
  <c r="M40" i="1"/>
  <c r="M40" i="17" s="1"/>
  <c r="L40" i="1"/>
  <c r="L40" i="17" s="1"/>
  <c r="K40" i="1"/>
  <c r="K40" i="17" s="1"/>
  <c r="J40" i="1"/>
  <c r="J40" i="17" s="1"/>
  <c r="I40" i="1"/>
  <c r="I40" i="17" s="1"/>
  <c r="H40" i="1"/>
  <c r="H40" i="17" s="1"/>
  <c r="G40" i="1"/>
  <c r="G40" i="17" s="1"/>
  <c r="F40" i="1"/>
  <c r="F40" i="17" s="1"/>
  <c r="AA39" i="1"/>
  <c r="AA39" i="17" s="1"/>
  <c r="Z39" i="1"/>
  <c r="Z39" i="17" s="1"/>
  <c r="Y39" i="1"/>
  <c r="Y39" i="17" s="1"/>
  <c r="X39" i="1"/>
  <c r="X39" i="17" s="1"/>
  <c r="W39" i="1"/>
  <c r="W39" i="17" s="1"/>
  <c r="V39" i="1"/>
  <c r="V39" i="17" s="1"/>
  <c r="U39" i="1"/>
  <c r="U39" i="17" s="1"/>
  <c r="T39" i="1"/>
  <c r="T39" i="17" s="1"/>
  <c r="M39" i="1"/>
  <c r="M39" i="17" s="1"/>
  <c r="L39" i="1"/>
  <c r="L39" i="17" s="1"/>
  <c r="K39" i="1"/>
  <c r="K39" i="17" s="1"/>
  <c r="J39" i="1"/>
  <c r="J39" i="17" s="1"/>
  <c r="I39" i="1"/>
  <c r="I39" i="17" s="1"/>
  <c r="H39" i="1"/>
  <c r="H39" i="17" s="1"/>
  <c r="G39" i="1"/>
  <c r="G39" i="17" s="1"/>
  <c r="F39" i="1"/>
  <c r="F39" i="17" s="1"/>
  <c r="AA38" i="1"/>
  <c r="AA38" i="17" s="1"/>
  <c r="Z38" i="1"/>
  <c r="Z38" i="17" s="1"/>
  <c r="Y38" i="1"/>
  <c r="Y38" i="17" s="1"/>
  <c r="X38" i="1"/>
  <c r="X38" i="17" s="1"/>
  <c r="W38" i="1"/>
  <c r="W38" i="17" s="1"/>
  <c r="V38" i="1"/>
  <c r="V38" i="17" s="1"/>
  <c r="U38" i="1"/>
  <c r="U38" i="17" s="1"/>
  <c r="T38" i="1"/>
  <c r="T38" i="17" s="1"/>
  <c r="M38" i="1"/>
  <c r="M38" i="17" s="1"/>
  <c r="L38" i="1"/>
  <c r="L38" i="17" s="1"/>
  <c r="K38" i="1"/>
  <c r="K38" i="17" s="1"/>
  <c r="J38" i="1"/>
  <c r="J38" i="17" s="1"/>
  <c r="I38" i="1"/>
  <c r="I38" i="17" s="1"/>
  <c r="H38" i="1"/>
  <c r="H38" i="17" s="1"/>
  <c r="G38" i="1"/>
  <c r="G38" i="17" s="1"/>
  <c r="F38" i="1"/>
  <c r="F38" i="17" s="1"/>
  <c r="AA37" i="1"/>
  <c r="AA37" i="17" s="1"/>
  <c r="Z37" i="1"/>
  <c r="Z37" i="17" s="1"/>
  <c r="Y37" i="1"/>
  <c r="Y37" i="17" s="1"/>
  <c r="X37" i="1"/>
  <c r="X37" i="17" s="1"/>
  <c r="W37" i="1"/>
  <c r="W37" i="17" s="1"/>
  <c r="V37" i="1"/>
  <c r="V37" i="17" s="1"/>
  <c r="U37" i="1"/>
  <c r="U37" i="17" s="1"/>
  <c r="T37" i="1"/>
  <c r="T37" i="17" s="1"/>
  <c r="M37" i="1"/>
  <c r="M37" i="17" s="1"/>
  <c r="M46" i="17" s="1"/>
  <c r="L37" i="1"/>
  <c r="L37" i="17" s="1"/>
  <c r="K37" i="1"/>
  <c r="K37" i="17" s="1"/>
  <c r="J37" i="1"/>
  <c r="J37" i="17" s="1"/>
  <c r="I37" i="1"/>
  <c r="I37" i="17" s="1"/>
  <c r="H37" i="1"/>
  <c r="H37" i="17" s="1"/>
  <c r="G37" i="1"/>
  <c r="G37" i="17" s="1"/>
  <c r="F37" i="1"/>
  <c r="F37" i="17" s="1"/>
  <c r="AA27" i="1"/>
  <c r="AA27" i="17" s="1"/>
  <c r="Z27" i="1"/>
  <c r="Z27" i="17" s="1"/>
  <c r="Y27" i="1"/>
  <c r="X27" i="1"/>
  <c r="X27" i="17" s="1"/>
  <c r="W27" i="1"/>
  <c r="W27" i="17" s="1"/>
  <c r="W13" i="17" s="1"/>
  <c r="V27" i="1"/>
  <c r="V27" i="17" s="1"/>
  <c r="V13" i="17" s="1"/>
  <c r="U27" i="1"/>
  <c r="T27" i="1"/>
  <c r="M27" i="1"/>
  <c r="M27" i="17" s="1"/>
  <c r="M13" i="17" s="1"/>
  <c r="L27" i="1"/>
  <c r="L27" i="17" s="1"/>
  <c r="L13" i="17" s="1"/>
  <c r="K27" i="1"/>
  <c r="J27" i="1"/>
  <c r="I27" i="1"/>
  <c r="I27" i="17" s="1"/>
  <c r="H27" i="1"/>
  <c r="H27" i="17" s="1"/>
  <c r="G27" i="1"/>
  <c r="G27" i="17" s="1"/>
  <c r="F27" i="1"/>
  <c r="F27" i="17" s="1"/>
  <c r="AA26" i="1"/>
  <c r="AA26" i="17" s="1"/>
  <c r="AA12" i="17" s="1"/>
  <c r="Z26" i="1"/>
  <c r="Z26" i="17" s="1"/>
  <c r="Y26" i="1"/>
  <c r="X26" i="1"/>
  <c r="W26" i="1"/>
  <c r="W26" i="17" s="1"/>
  <c r="W12" i="17" s="1"/>
  <c r="V26" i="1"/>
  <c r="V26" i="17" s="1"/>
  <c r="V12" i="17" s="1"/>
  <c r="U26" i="1"/>
  <c r="T26" i="1"/>
  <c r="M26" i="1"/>
  <c r="M26" i="17" s="1"/>
  <c r="L26" i="1"/>
  <c r="L26" i="17" s="1"/>
  <c r="K26" i="1"/>
  <c r="K26" i="17" s="1"/>
  <c r="J26" i="1"/>
  <c r="J26" i="17" s="1"/>
  <c r="I26" i="1"/>
  <c r="I26" i="17" s="1"/>
  <c r="I12" i="17" s="1"/>
  <c r="H26" i="1"/>
  <c r="H26" i="17" s="1"/>
  <c r="H12" i="17" s="1"/>
  <c r="G26" i="1"/>
  <c r="G26" i="17" s="1"/>
  <c r="F26" i="1"/>
  <c r="F26" i="17" s="1"/>
  <c r="F12" i="17" s="1"/>
  <c r="AA25" i="1"/>
  <c r="AA25" i="17" s="1"/>
  <c r="AA11" i="17" s="1"/>
  <c r="Z25" i="1"/>
  <c r="Z25" i="17" s="1"/>
  <c r="Z11" i="17" s="1"/>
  <c r="Y25" i="1"/>
  <c r="X25" i="1"/>
  <c r="W25" i="1"/>
  <c r="W25" i="17" s="1"/>
  <c r="V25" i="1"/>
  <c r="V25" i="17" s="1"/>
  <c r="U25" i="1"/>
  <c r="T25" i="1"/>
  <c r="T25" i="17" s="1"/>
  <c r="M25" i="1"/>
  <c r="M25" i="17" s="1"/>
  <c r="M11" i="17" s="1"/>
  <c r="L25" i="1"/>
  <c r="L25" i="17" s="1"/>
  <c r="K25" i="1"/>
  <c r="J25" i="1"/>
  <c r="I25" i="1"/>
  <c r="I25" i="17" s="1"/>
  <c r="H25" i="1"/>
  <c r="H25" i="17" s="1"/>
  <c r="G25" i="1"/>
  <c r="G25" i="17" s="1"/>
  <c r="F25" i="1"/>
  <c r="F25" i="17" s="1"/>
  <c r="AA24" i="1"/>
  <c r="AA24" i="17" s="1"/>
  <c r="Z24" i="1"/>
  <c r="Z24" i="17" s="1"/>
  <c r="Y24" i="1"/>
  <c r="X24" i="1"/>
  <c r="X24" i="17" s="1"/>
  <c r="W24" i="1"/>
  <c r="W24" i="17" s="1"/>
  <c r="V24" i="1"/>
  <c r="V24" i="17" s="1"/>
  <c r="U24" i="1"/>
  <c r="T24" i="1"/>
  <c r="M24" i="1"/>
  <c r="M24" i="17" s="1"/>
  <c r="L24" i="1"/>
  <c r="L24" i="17" s="1"/>
  <c r="K24" i="1"/>
  <c r="K24" i="17" s="1"/>
  <c r="J24" i="1"/>
  <c r="I24" i="1"/>
  <c r="I24" i="17" s="1"/>
  <c r="H24" i="1"/>
  <c r="H24" i="17" s="1"/>
  <c r="G24" i="1"/>
  <c r="G24" i="17" s="1"/>
  <c r="F24" i="1"/>
  <c r="F24" i="17" s="1"/>
  <c r="AA23" i="1"/>
  <c r="AA23" i="17" s="1"/>
  <c r="Z23" i="1"/>
  <c r="Z23" i="17" s="1"/>
  <c r="Z9" i="17" s="1"/>
  <c r="Y23" i="1"/>
  <c r="Y23" i="17" s="1"/>
  <c r="X23" i="1"/>
  <c r="W23" i="1"/>
  <c r="W23" i="17" s="1"/>
  <c r="W9" i="17" s="1"/>
  <c r="V23" i="1"/>
  <c r="V23" i="17" s="1"/>
  <c r="U23" i="1"/>
  <c r="T23" i="1"/>
  <c r="M23" i="1"/>
  <c r="M23" i="17" s="1"/>
  <c r="L23" i="1"/>
  <c r="L23" i="17" s="1"/>
  <c r="K23" i="1"/>
  <c r="K23" i="17" s="1"/>
  <c r="J23" i="1"/>
  <c r="J23" i="17" s="1"/>
  <c r="I23" i="1"/>
  <c r="I23" i="17" s="1"/>
  <c r="I9" i="17" s="1"/>
  <c r="H23" i="1"/>
  <c r="H23" i="17" s="1"/>
  <c r="G23" i="1"/>
  <c r="G23" i="17" s="1"/>
  <c r="F23" i="1"/>
  <c r="F23" i="17" s="1"/>
  <c r="H9" i="17" l="1"/>
  <c r="AC24" i="1"/>
  <c r="AC10" i="1" s="1"/>
  <c r="X10" i="17"/>
  <c r="AB39" i="17"/>
  <c r="L9" i="17"/>
  <c r="Z10" i="17"/>
  <c r="L12" i="17"/>
  <c r="H13" i="17"/>
  <c r="Z13" i="17"/>
  <c r="V46" i="17"/>
  <c r="J9" i="17"/>
  <c r="F13" i="17"/>
  <c r="K9" i="17"/>
  <c r="W11" i="17"/>
  <c r="T11" i="17"/>
  <c r="K12" i="17"/>
  <c r="V11" i="17"/>
  <c r="Z46" i="17"/>
  <c r="X13" i="17"/>
  <c r="K46" i="17"/>
  <c r="AB41" i="17"/>
  <c r="U46" i="17"/>
  <c r="AB38" i="17"/>
  <c r="L46" i="17"/>
  <c r="M12" i="17"/>
  <c r="I13" i="17"/>
  <c r="AA13" i="17"/>
  <c r="W46" i="17"/>
  <c r="T46" i="17"/>
  <c r="E13" i="1"/>
  <c r="E41" i="17"/>
  <c r="E13" i="17" s="1"/>
  <c r="M9" i="17"/>
  <c r="K10" i="17"/>
  <c r="Y46" i="17"/>
  <c r="V9" i="17"/>
  <c r="L10" i="17"/>
  <c r="H46" i="17"/>
  <c r="I10" i="17"/>
  <c r="AA10" i="17"/>
  <c r="AA46" i="17"/>
  <c r="J46" i="17"/>
  <c r="X46" i="17"/>
  <c r="E12" i="1"/>
  <c r="E40" i="17"/>
  <c r="E12" i="17" s="1"/>
  <c r="I46" i="17"/>
  <c r="AB40" i="17"/>
  <c r="G11" i="17"/>
  <c r="AE11" i="17" s="1"/>
  <c r="F11" i="17"/>
  <c r="E11" i="1"/>
  <c r="E39" i="17"/>
  <c r="E11" i="17" s="1"/>
  <c r="F10" i="17"/>
  <c r="F46" i="17"/>
  <c r="E10" i="1"/>
  <c r="E38" i="17"/>
  <c r="E10" i="17" s="1"/>
  <c r="Y10" i="1"/>
  <c r="Y24" i="17"/>
  <c r="Y10" i="17" s="1"/>
  <c r="X9" i="1"/>
  <c r="X23" i="17"/>
  <c r="T10" i="1"/>
  <c r="T24" i="17"/>
  <c r="T10" i="17" s="1"/>
  <c r="J11" i="1"/>
  <c r="J25" i="17"/>
  <c r="J11" i="17" s="1"/>
  <c r="X12" i="1"/>
  <c r="X26" i="17"/>
  <c r="X12" i="17" s="1"/>
  <c r="T13" i="1"/>
  <c r="T27" i="17"/>
  <c r="T13" i="17" s="1"/>
  <c r="Y9" i="17"/>
  <c r="U10" i="1"/>
  <c r="U24" i="17"/>
  <c r="U10" i="17" s="1"/>
  <c r="Y12" i="1"/>
  <c r="Y26" i="17"/>
  <c r="Y12" i="17" s="1"/>
  <c r="U11" i="1"/>
  <c r="U25" i="17"/>
  <c r="U11" i="17" s="1"/>
  <c r="Y13" i="1"/>
  <c r="Y27" i="17"/>
  <c r="Y13" i="17" s="1"/>
  <c r="T9" i="1"/>
  <c r="T23" i="17"/>
  <c r="T9" i="17" s="1"/>
  <c r="J10" i="1"/>
  <c r="J24" i="17"/>
  <c r="J10" i="17" s="1"/>
  <c r="X11" i="1"/>
  <c r="X25" i="17"/>
  <c r="X11" i="17" s="1"/>
  <c r="U9" i="1"/>
  <c r="U23" i="17"/>
  <c r="U9" i="17" s="1"/>
  <c r="Y11" i="1"/>
  <c r="Y25" i="17"/>
  <c r="Y11" i="17" s="1"/>
  <c r="U12" i="1"/>
  <c r="U26" i="17"/>
  <c r="U12" i="17" s="1"/>
  <c r="AA9" i="17"/>
  <c r="AA18" i="17" s="1"/>
  <c r="AA32" i="17"/>
  <c r="AB14" i="1"/>
  <c r="G14" i="17"/>
  <c r="AB28" i="17"/>
  <c r="AK27" i="1"/>
  <c r="AK13" i="1" s="1"/>
  <c r="U13" i="1"/>
  <c r="U27" i="17"/>
  <c r="J13" i="1"/>
  <c r="J27" i="17"/>
  <c r="J13" i="17" s="1"/>
  <c r="K13" i="1"/>
  <c r="K27" i="17"/>
  <c r="K13" i="17" s="1"/>
  <c r="G13" i="17"/>
  <c r="Z12" i="17"/>
  <c r="Z32" i="17"/>
  <c r="T12" i="1"/>
  <c r="T26" i="17"/>
  <c r="J12" i="17"/>
  <c r="AR26" i="1"/>
  <c r="AR12" i="1" s="1"/>
  <c r="AM26" i="1"/>
  <c r="AM12" i="1" s="1"/>
  <c r="G12" i="17"/>
  <c r="AB26" i="17"/>
  <c r="L11" i="17"/>
  <c r="L18" i="17" s="1"/>
  <c r="L32" i="17"/>
  <c r="I11" i="17"/>
  <c r="I32" i="17"/>
  <c r="K11" i="1"/>
  <c r="K25" i="17"/>
  <c r="H11" i="17"/>
  <c r="E9" i="1"/>
  <c r="E37" i="17"/>
  <c r="W10" i="17"/>
  <c r="W32" i="17"/>
  <c r="V10" i="17"/>
  <c r="V18" i="17" s="1"/>
  <c r="V32" i="17"/>
  <c r="H10" i="17"/>
  <c r="H32" i="17"/>
  <c r="M10" i="17"/>
  <c r="M32" i="17"/>
  <c r="G10" i="17"/>
  <c r="G46" i="17"/>
  <c r="AB37" i="17"/>
  <c r="G9" i="17"/>
  <c r="AB23" i="17"/>
  <c r="G32" i="17"/>
  <c r="F32" i="17"/>
  <c r="F9" i="17"/>
  <c r="AJ112" i="1"/>
  <c r="AR25" i="1"/>
  <c r="AR11" i="1" s="1"/>
  <c r="AC25" i="1"/>
  <c r="AC11" i="1" s="1"/>
  <c r="AG27" i="1"/>
  <c r="AG13" i="1" s="1"/>
  <c r="AP24" i="1"/>
  <c r="AP10" i="1" s="1"/>
  <c r="AP26" i="1"/>
  <c r="AP12" i="1" s="1"/>
  <c r="AN25" i="1"/>
  <c r="AN11" i="1" s="1"/>
  <c r="K9" i="1"/>
  <c r="AC26" i="1"/>
  <c r="AC12" i="1" s="1"/>
  <c r="AO27" i="1"/>
  <c r="AO13" i="1" s="1"/>
  <c r="AP27" i="1"/>
  <c r="AP13" i="1" s="1"/>
  <c r="Y9" i="1"/>
  <c r="AO24" i="1"/>
  <c r="AO10" i="1" s="1"/>
  <c r="AN26" i="1"/>
  <c r="AN12" i="1" s="1"/>
  <c r="AQ23" i="1"/>
  <c r="AQ9" i="1" s="1"/>
  <c r="AN27" i="1"/>
  <c r="AN13" i="1" s="1"/>
  <c r="K12" i="1"/>
  <c r="AP25" i="1"/>
  <c r="AP11" i="1" s="1"/>
  <c r="AM23" i="1"/>
  <c r="AM9" i="1" s="1"/>
  <c r="AP23" i="1"/>
  <c r="AP9" i="1" s="1"/>
  <c r="AR23" i="1"/>
  <c r="AR9" i="1" s="1"/>
  <c r="AQ27" i="1"/>
  <c r="AQ13" i="1" s="1"/>
  <c r="AR24" i="1"/>
  <c r="AR10" i="1" s="1"/>
  <c r="AC23" i="1"/>
  <c r="AN24" i="1"/>
  <c r="AN10" i="1" s="1"/>
  <c r="AM27" i="1"/>
  <c r="AM13" i="1" s="1"/>
  <c r="AO26" i="1"/>
  <c r="AO12" i="1" s="1"/>
  <c r="AO23" i="1"/>
  <c r="AO9" i="1" s="1"/>
  <c r="AQ24" i="1"/>
  <c r="AQ10" i="1" s="1"/>
  <c r="AQ25" i="1"/>
  <c r="AQ11" i="1" s="1"/>
  <c r="AY27" i="1"/>
  <c r="AY13" i="1" s="1"/>
  <c r="AN23" i="1"/>
  <c r="AN9" i="1" s="1"/>
  <c r="AM24" i="1"/>
  <c r="AM10" i="1" s="1"/>
  <c r="AQ26" i="1"/>
  <c r="AQ12" i="1" s="1"/>
  <c r="AM25" i="1"/>
  <c r="AM11" i="1" s="1"/>
  <c r="AO25" i="1"/>
  <c r="AO11" i="1" s="1"/>
  <c r="BZ114" i="1"/>
  <c r="BN114" i="1"/>
  <c r="BH114" i="1"/>
  <c r="BQ114" i="1"/>
  <c r="BI114" i="1"/>
  <c r="BL114" i="1"/>
  <c r="BP114" i="1"/>
  <c r="BO114" i="1"/>
  <c r="BK114" i="1"/>
  <c r="BR114" i="1"/>
  <c r="BJ114" i="1"/>
  <c r="BM114" i="1"/>
  <c r="BQ117" i="1"/>
  <c r="BI117" i="1"/>
  <c r="BL117" i="1"/>
  <c r="BO117" i="1"/>
  <c r="BK117" i="1"/>
  <c r="BR117" i="1"/>
  <c r="BJ117" i="1"/>
  <c r="BN117" i="1"/>
  <c r="BM117" i="1"/>
  <c r="BP117" i="1"/>
  <c r="BH117" i="1"/>
  <c r="BM127" i="1"/>
  <c r="BP127" i="1"/>
  <c r="BH127" i="1"/>
  <c r="BK127" i="1"/>
  <c r="BO127" i="1"/>
  <c r="BN127" i="1"/>
  <c r="BR127" i="1"/>
  <c r="BQ127" i="1"/>
  <c r="BI127" i="1"/>
  <c r="BL127" i="1"/>
  <c r="BJ127" i="1"/>
  <c r="BP129" i="1"/>
  <c r="BH129" i="1"/>
  <c r="BR129" i="1"/>
  <c r="BJ129" i="1"/>
  <c r="BK129" i="1"/>
  <c r="BM129" i="1"/>
  <c r="BN129" i="1"/>
  <c r="BQ129" i="1"/>
  <c r="BI129" i="1"/>
  <c r="BL129" i="1"/>
  <c r="BO129" i="1"/>
  <c r="BR124" i="1"/>
  <c r="BJ124" i="1"/>
  <c r="BM124" i="1"/>
  <c r="BP124" i="1"/>
  <c r="BH124" i="1"/>
  <c r="BO124" i="1"/>
  <c r="BK124" i="1"/>
  <c r="BN124" i="1"/>
  <c r="BQ124" i="1"/>
  <c r="BI124" i="1"/>
  <c r="BL124" i="1"/>
  <c r="AL42" i="1"/>
  <c r="AI42" i="1"/>
  <c r="AO42" i="1"/>
  <c r="AR42" i="1"/>
  <c r="AJ42" i="1"/>
  <c r="AM42" i="1"/>
  <c r="AP42" i="1"/>
  <c r="AH42" i="1"/>
  <c r="AK42" i="1"/>
  <c r="AN42" i="1"/>
  <c r="AQ42" i="1"/>
  <c r="BS122" i="1"/>
  <c r="BO122" i="1"/>
  <c r="BR122" i="1"/>
  <c r="BJ122" i="1"/>
  <c r="BM122" i="1"/>
  <c r="BL122" i="1"/>
  <c r="BP122" i="1"/>
  <c r="BH122" i="1"/>
  <c r="BK122" i="1"/>
  <c r="BN122" i="1"/>
  <c r="BQ122" i="1"/>
  <c r="BI122" i="1"/>
  <c r="AK132" i="1"/>
  <c r="BK132" i="1"/>
  <c r="BM132" i="1"/>
  <c r="BN132" i="1"/>
  <c r="BQ132" i="1"/>
  <c r="BI132" i="1"/>
  <c r="BL132" i="1"/>
  <c r="BP132" i="1"/>
  <c r="BH132" i="1"/>
  <c r="BO132" i="1"/>
  <c r="BR132" i="1"/>
  <c r="BJ132" i="1"/>
  <c r="AK134" i="1"/>
  <c r="BN134" i="1"/>
  <c r="AN41" i="1" s="1"/>
  <c r="BQ134" i="1"/>
  <c r="AQ41" i="1" s="1"/>
  <c r="BI134" i="1"/>
  <c r="AI41" i="1" s="1"/>
  <c r="BL134" i="1"/>
  <c r="AL41" i="1" s="1"/>
  <c r="BP134" i="1"/>
  <c r="AP41" i="1" s="1"/>
  <c r="BH134" i="1"/>
  <c r="AH41" i="1" s="1"/>
  <c r="BO134" i="1"/>
  <c r="AO41" i="1" s="1"/>
  <c r="BR134" i="1"/>
  <c r="AR41" i="1" s="1"/>
  <c r="BJ134" i="1"/>
  <c r="AJ41" i="1" s="1"/>
  <c r="BK134" i="1"/>
  <c r="AK41" i="1" s="1"/>
  <c r="BM134" i="1"/>
  <c r="AM41" i="1" s="1"/>
  <c r="K10" i="1"/>
  <c r="BL119" i="1"/>
  <c r="BO119" i="1"/>
  <c r="BR119" i="1"/>
  <c r="BJ119" i="1"/>
  <c r="BN119" i="1"/>
  <c r="BI119" i="1"/>
  <c r="BM119" i="1"/>
  <c r="BP119" i="1"/>
  <c r="BH119" i="1"/>
  <c r="BQ119" i="1"/>
  <c r="BK119" i="1"/>
  <c r="BG114" i="1"/>
  <c r="AB26" i="1"/>
  <c r="AW26" i="1"/>
  <c r="AW12" i="1" s="1"/>
  <c r="X10" i="1"/>
  <c r="BU117" i="1"/>
  <c r="G11" i="1"/>
  <c r="AE11" i="1" s="1"/>
  <c r="AB25" i="1"/>
  <c r="T11" i="1"/>
  <c r="J12" i="1"/>
  <c r="X13" i="1"/>
  <c r="G10" i="1"/>
  <c r="AE10" i="1" s="1"/>
  <c r="AB24" i="1"/>
  <c r="G13" i="1"/>
  <c r="AE13" i="1" s="1"/>
  <c r="AB27" i="1"/>
  <c r="AB39" i="1"/>
  <c r="J9" i="1"/>
  <c r="BS117" i="1"/>
  <c r="AW27" i="1"/>
  <c r="AW13" i="1" s="1"/>
  <c r="AY26" i="1"/>
  <c r="AY12" i="1" s="1"/>
  <c r="AK26" i="1"/>
  <c r="AK12" i="1" s="1"/>
  <c r="AU27" i="1"/>
  <c r="AU13" i="1" s="1"/>
  <c r="AK129" i="1"/>
  <c r="BG122" i="1"/>
  <c r="AK122" i="1"/>
  <c r="AI27" i="1"/>
  <c r="AI13" i="1" s="1"/>
  <c r="AU26" i="1"/>
  <c r="AU12" i="1" s="1"/>
  <c r="AK117" i="1"/>
  <c r="BX127" i="1"/>
  <c r="AK127" i="1"/>
  <c r="AG26" i="1"/>
  <c r="AG12" i="1" s="1"/>
  <c r="AV42" i="1"/>
  <c r="AT28" i="1"/>
  <c r="AT14" i="1" s="1"/>
  <c r="AD28" i="1"/>
  <c r="AD14" i="1" s="1"/>
  <c r="AE14" i="1" s="1"/>
  <c r="AS42" i="1"/>
  <c r="AY42" i="1"/>
  <c r="AX42" i="1"/>
  <c r="AE42" i="1"/>
  <c r="BZ132" i="1"/>
  <c r="BX134" i="1"/>
  <c r="AX41" i="1" s="1"/>
  <c r="AE41" i="1"/>
  <c r="BW134" i="1"/>
  <c r="AW41" i="1" s="1"/>
  <c r="BU134" i="1"/>
  <c r="AU41" i="1" s="1"/>
  <c r="BZ134" i="1"/>
  <c r="AZ41" i="1" s="1"/>
  <c r="AZ27" i="1"/>
  <c r="AZ13" i="1" s="1"/>
  <c r="AT27" i="1"/>
  <c r="AT13" i="1" s="1"/>
  <c r="AL27" i="1"/>
  <c r="AL13" i="1" s="1"/>
  <c r="AJ27" i="1"/>
  <c r="AJ13" i="1" s="1"/>
  <c r="AE27" i="1"/>
  <c r="AH27" i="1"/>
  <c r="AH13" i="1" s="1"/>
  <c r="AX27" i="1"/>
  <c r="AX13" i="1" s="1"/>
  <c r="AV27" i="1"/>
  <c r="AV13" i="1" s="1"/>
  <c r="AS27" i="1"/>
  <c r="AS13" i="1" s="1"/>
  <c r="AC27" i="1"/>
  <c r="AC13" i="1" s="1"/>
  <c r="BU132" i="1"/>
  <c r="BG132" i="1"/>
  <c r="BV132" i="1"/>
  <c r="BW132" i="1"/>
  <c r="BY132" i="1"/>
  <c r="BS132" i="1"/>
  <c r="BX132" i="1"/>
  <c r="BT132" i="1"/>
  <c r="AI26" i="1"/>
  <c r="AI12" i="1" s="1"/>
  <c r="AT26" i="1"/>
  <c r="AT12" i="1" s="1"/>
  <c r="AL26" i="1"/>
  <c r="AL12" i="1" s="1"/>
  <c r="AJ26" i="1"/>
  <c r="AJ12" i="1" s="1"/>
  <c r="AH26" i="1"/>
  <c r="AH12" i="1" s="1"/>
  <c r="AS26" i="1"/>
  <c r="AS12" i="1" s="1"/>
  <c r="AZ26" i="1"/>
  <c r="AZ12" i="1" s="1"/>
  <c r="AX26" i="1"/>
  <c r="AX12" i="1" s="1"/>
  <c r="AV26" i="1"/>
  <c r="AV12" i="1" s="1"/>
  <c r="G12" i="1"/>
  <c r="AE12" i="1" s="1"/>
  <c r="AE26" i="1"/>
  <c r="BZ129" i="1"/>
  <c r="BX129" i="1"/>
  <c r="BT127" i="1"/>
  <c r="BG127" i="1"/>
  <c r="BS127" i="1"/>
  <c r="BZ127" i="1"/>
  <c r="BY127" i="1"/>
  <c r="BV127" i="1"/>
  <c r="BU127" i="1"/>
  <c r="BW127" i="1"/>
  <c r="BZ122" i="1"/>
  <c r="AV24" i="1"/>
  <c r="AV10" i="1" s="1"/>
  <c r="BX122" i="1"/>
  <c r="BU124" i="1"/>
  <c r="BW129" i="1"/>
  <c r="BZ119" i="1"/>
  <c r="BW124" i="1"/>
  <c r="BZ124" i="1"/>
  <c r="BY124" i="1"/>
  <c r="BS129" i="1"/>
  <c r="BV129" i="1"/>
  <c r="BY129" i="1"/>
  <c r="BU122" i="1"/>
  <c r="BT124" i="1"/>
  <c r="BV124" i="1"/>
  <c r="BU129" i="1"/>
  <c r="BV122" i="1"/>
  <c r="BY122" i="1"/>
  <c r="BX124" i="1"/>
  <c r="BW122" i="1"/>
  <c r="BT122" i="1"/>
  <c r="BS124" i="1"/>
  <c r="BG124" i="1"/>
  <c r="AK124" i="1"/>
  <c r="BG129" i="1"/>
  <c r="BT129" i="1"/>
  <c r="AE39" i="1"/>
  <c r="AX24" i="1"/>
  <c r="AX10" i="1" s="1"/>
  <c r="AU25" i="1"/>
  <c r="AU11" i="1" s="1"/>
  <c r="AJ25" i="1"/>
  <c r="AJ11" i="1" s="1"/>
  <c r="AS25" i="1"/>
  <c r="AS11" i="1" s="1"/>
  <c r="AG25" i="1"/>
  <c r="AG11" i="1" s="1"/>
  <c r="AV25" i="1"/>
  <c r="AV11" i="1" s="1"/>
  <c r="AG24" i="1"/>
  <c r="AG10" i="1" s="1"/>
  <c r="AS24" i="1"/>
  <c r="AS10" i="1" s="1"/>
  <c r="BG119" i="1"/>
  <c r="AK119" i="1"/>
  <c r="BU119" i="1"/>
  <c r="BS119" i="1"/>
  <c r="BW119" i="1"/>
  <c r="BY119" i="1"/>
  <c r="BV119" i="1"/>
  <c r="BT117" i="1"/>
  <c r="BZ117" i="1"/>
  <c r="BG117" i="1"/>
  <c r="BW117" i="1"/>
  <c r="BV117" i="1"/>
  <c r="BY117" i="1"/>
  <c r="BX117" i="1"/>
  <c r="AE37" i="1"/>
  <c r="BS114" i="1"/>
  <c r="BX114" i="1"/>
  <c r="BV114" i="1"/>
  <c r="BT114" i="1"/>
  <c r="BU114" i="1"/>
  <c r="BW114" i="1"/>
  <c r="BY114" i="1"/>
  <c r="AT23" i="1"/>
  <c r="AT9" i="1" s="1"/>
  <c r="AY23" i="1"/>
  <c r="AY9" i="1" s="1"/>
  <c r="AJ23" i="1"/>
  <c r="AJ9" i="1" s="1"/>
  <c r="AL23" i="1"/>
  <c r="AL9" i="1" s="1"/>
  <c r="AK23" i="1"/>
  <c r="AK9" i="1" s="1"/>
  <c r="AW23" i="1"/>
  <c r="AW9" i="1" s="1"/>
  <c r="AH23" i="1"/>
  <c r="AH9" i="1" s="1"/>
  <c r="AX23" i="1"/>
  <c r="AX9" i="1" s="1"/>
  <c r="AS23" i="1"/>
  <c r="AS9" i="1" s="1"/>
  <c r="AG23" i="1"/>
  <c r="AG9" i="1" s="1"/>
  <c r="AZ23" i="1"/>
  <c r="AZ9" i="1" s="1"/>
  <c r="AY25" i="1"/>
  <c r="AY11" i="1" s="1"/>
  <c r="AY24" i="1"/>
  <c r="AY10" i="1" s="1"/>
  <c r="AE24" i="1"/>
  <c r="AT24" i="1"/>
  <c r="AT10" i="1" s="1"/>
  <c r="AL25" i="1"/>
  <c r="AL11" i="1" s="1"/>
  <c r="AL24" i="1"/>
  <c r="AL10" i="1" s="1"/>
  <c r="BS134" i="1"/>
  <c r="AS41" i="1" s="1"/>
  <c r="BV134" i="1"/>
  <c r="AV41" i="1" s="1"/>
  <c r="AE25" i="1"/>
  <c r="AU24" i="1"/>
  <c r="AU10" i="1" s="1"/>
  <c r="AX25" i="1"/>
  <c r="AX11" i="1" s="1"/>
  <c r="AJ24" i="1"/>
  <c r="AJ10" i="1" s="1"/>
  <c r="AW25" i="1"/>
  <c r="AW11" i="1" s="1"/>
  <c r="AH25" i="1"/>
  <c r="AH11" i="1" s="1"/>
  <c r="AH24" i="1"/>
  <c r="AH10" i="1" s="1"/>
  <c r="BG134" i="1"/>
  <c r="AG41" i="1" s="1"/>
  <c r="AT25" i="1"/>
  <c r="AT11" i="1" s="1"/>
  <c r="AW24" i="1"/>
  <c r="AW10" i="1" s="1"/>
  <c r="AI23" i="1"/>
  <c r="AI9" i="1" s="1"/>
  <c r="AU23" i="1"/>
  <c r="AU9" i="1" s="1"/>
  <c r="AV23" i="1"/>
  <c r="AV9" i="1" s="1"/>
  <c r="AK25" i="1"/>
  <c r="AK11" i="1" s="1"/>
  <c r="AK24" i="1"/>
  <c r="AK10" i="1" s="1"/>
  <c r="AI25" i="1"/>
  <c r="AI11" i="1" s="1"/>
  <c r="AZ25" i="1"/>
  <c r="AZ11" i="1" s="1"/>
  <c r="AZ24" i="1"/>
  <c r="AZ10" i="1" s="1"/>
  <c r="BY134" i="1"/>
  <c r="AY41" i="1" s="1"/>
  <c r="AW42" i="1"/>
  <c r="AZ42" i="1"/>
  <c r="AI24" i="1"/>
  <c r="AI10" i="1" s="1"/>
  <c r="G9" i="1"/>
  <c r="AE23" i="1"/>
  <c r="BT119" i="1"/>
  <c r="BX119" i="1"/>
  <c r="AL28" i="1"/>
  <c r="AL14" i="1" s="1"/>
  <c r="AU42" i="1"/>
  <c r="BT134" i="1"/>
  <c r="AT41" i="1" s="1"/>
  <c r="AT42" i="1"/>
  <c r="I46" i="1"/>
  <c r="M46" i="1"/>
  <c r="W46" i="1"/>
  <c r="AA46" i="1"/>
  <c r="AK28" i="1"/>
  <c r="AK14" i="1" s="1"/>
  <c r="AW28" i="1"/>
  <c r="AW14" i="1" s="1"/>
  <c r="AC28" i="1"/>
  <c r="AC14" i="1" s="1"/>
  <c r="AY28" i="1"/>
  <c r="AY14" i="1" s="1"/>
  <c r="AJ28" i="1"/>
  <c r="AJ14" i="1" s="1"/>
  <c r="AH28" i="1"/>
  <c r="AH14" i="1" s="1"/>
  <c r="AU28" i="1"/>
  <c r="AU14" i="1" s="1"/>
  <c r="AS28" i="1"/>
  <c r="AS14" i="1" s="1"/>
  <c r="AG28" i="1"/>
  <c r="AG14" i="1" s="1"/>
  <c r="AV28" i="1"/>
  <c r="AV14" i="1" s="1"/>
  <c r="AX28" i="1"/>
  <c r="AX14" i="1" s="1"/>
  <c r="AZ28" i="1"/>
  <c r="AZ14" i="1" s="1"/>
  <c r="AI28" i="1"/>
  <c r="AI14" i="1" s="1"/>
  <c r="AA32" i="1"/>
  <c r="I9" i="1"/>
  <c r="M9" i="1"/>
  <c r="W9" i="1"/>
  <c r="AA9" i="1"/>
  <c r="I10" i="1"/>
  <c r="M10" i="1"/>
  <c r="W10" i="1"/>
  <c r="AA10" i="1"/>
  <c r="I11" i="1"/>
  <c r="M11" i="1"/>
  <c r="W11" i="1"/>
  <c r="AA11" i="1"/>
  <c r="I12" i="1"/>
  <c r="M12" i="1"/>
  <c r="W12" i="1"/>
  <c r="AA12" i="1"/>
  <c r="I13" i="1"/>
  <c r="M13" i="1"/>
  <c r="W13" i="1"/>
  <c r="AA13" i="1"/>
  <c r="H46" i="1"/>
  <c r="L46" i="1"/>
  <c r="V46" i="1"/>
  <c r="Z46" i="1"/>
  <c r="H9" i="1"/>
  <c r="L9" i="1"/>
  <c r="V9" i="1"/>
  <c r="Z9" i="1"/>
  <c r="H10" i="1"/>
  <c r="L10" i="1"/>
  <c r="V10" i="1"/>
  <c r="Z10" i="1"/>
  <c r="H11" i="1"/>
  <c r="L11" i="1"/>
  <c r="V11" i="1"/>
  <c r="Z11" i="1"/>
  <c r="H12" i="1"/>
  <c r="L12" i="1"/>
  <c r="V12" i="1"/>
  <c r="Z12" i="1"/>
  <c r="H13" i="1"/>
  <c r="L13" i="1"/>
  <c r="V13" i="1"/>
  <c r="Z13" i="1"/>
  <c r="G46" i="1"/>
  <c r="K46" i="1"/>
  <c r="U46" i="1"/>
  <c r="Y46" i="1"/>
  <c r="F9" i="1"/>
  <c r="F10" i="1"/>
  <c r="F11" i="1"/>
  <c r="F12" i="1"/>
  <c r="F13" i="1"/>
  <c r="E46" i="1"/>
  <c r="F46" i="1"/>
  <c r="J46" i="1"/>
  <c r="T46" i="1"/>
  <c r="X46" i="1"/>
  <c r="CT9" i="10"/>
  <c r="CS9" i="10"/>
  <c r="CR9" i="10"/>
  <c r="CQ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AB24" i="17" l="1"/>
  <c r="BP112" i="1"/>
  <c r="AP36" i="1" s="1"/>
  <c r="BY112" i="1"/>
  <c r="AY36" i="1" s="1"/>
  <c r="U18" i="1"/>
  <c r="H18" i="17"/>
  <c r="W18" i="17"/>
  <c r="AB9" i="17"/>
  <c r="Z18" i="17"/>
  <c r="F18" i="17"/>
  <c r="I18" i="17"/>
  <c r="M18" i="17"/>
  <c r="AB25" i="17"/>
  <c r="BW112" i="1"/>
  <c r="AW36" i="1" s="1"/>
  <c r="BJ112" i="1"/>
  <c r="AJ36" i="1" s="1"/>
  <c r="T18" i="1"/>
  <c r="Y18" i="1"/>
  <c r="E18" i="1"/>
  <c r="AO39" i="1"/>
  <c r="X9" i="17"/>
  <c r="X18" i="17" s="1"/>
  <c r="X32" i="17"/>
  <c r="Y32" i="17"/>
  <c r="Y18" i="17"/>
  <c r="AB14" i="17"/>
  <c r="AE14" i="17"/>
  <c r="AE28" i="1"/>
  <c r="U13" i="17"/>
  <c r="U18" i="17" s="1"/>
  <c r="U32" i="17"/>
  <c r="J32" i="17"/>
  <c r="J18" i="17"/>
  <c r="AB27" i="17"/>
  <c r="AE13" i="17"/>
  <c r="AB13" i="17"/>
  <c r="T12" i="17"/>
  <c r="T18" i="17" s="1"/>
  <c r="T32" i="17"/>
  <c r="AB12" i="17"/>
  <c r="AE12" i="17"/>
  <c r="K11" i="17"/>
  <c r="K18" i="17" s="1"/>
  <c r="K32" i="17"/>
  <c r="E9" i="17"/>
  <c r="E18" i="17" s="1"/>
  <c r="E46" i="17"/>
  <c r="AS38" i="1"/>
  <c r="AN38" i="1"/>
  <c r="AB10" i="17"/>
  <c r="AE10" i="17"/>
  <c r="BH112" i="1"/>
  <c r="AH36" i="1" s="1"/>
  <c r="BV112" i="1"/>
  <c r="AV36" i="1" s="1"/>
  <c r="BM112" i="1"/>
  <c r="AM36" i="1" s="1"/>
  <c r="BO112" i="1"/>
  <c r="AO36" i="1" s="1"/>
  <c r="BQ112" i="1"/>
  <c r="AQ36" i="1" s="1"/>
  <c r="BL112" i="1"/>
  <c r="AL36" i="1" s="1"/>
  <c r="AD36" i="1"/>
  <c r="AE36" i="1" s="1"/>
  <c r="BZ112" i="1"/>
  <c r="AZ36" i="1" s="1"/>
  <c r="BX112" i="1"/>
  <c r="AX36" i="1" s="1"/>
  <c r="BK112" i="1"/>
  <c r="AK36" i="1" s="1"/>
  <c r="AC22" i="1" s="1"/>
  <c r="BT112" i="1"/>
  <c r="AT36" i="1" s="1"/>
  <c r="BI112" i="1"/>
  <c r="AI36" i="1" s="1"/>
  <c r="BS112" i="1"/>
  <c r="AS36" i="1" s="1"/>
  <c r="BU112" i="1"/>
  <c r="AB46" i="17"/>
  <c r="AE46" i="17"/>
  <c r="AE32" i="17"/>
  <c r="G18" i="17"/>
  <c r="AE9" i="17"/>
  <c r="BN112" i="1"/>
  <c r="AN36" i="1" s="1"/>
  <c r="BR112" i="1"/>
  <c r="AR36" i="1" s="1"/>
  <c r="AG38" i="1"/>
  <c r="AQ39" i="1"/>
  <c r="AR39" i="1"/>
  <c r="AK37" i="1"/>
  <c r="AU36" i="1"/>
  <c r="AZ37" i="1"/>
  <c r="AR38" i="1"/>
  <c r="AQ38" i="1"/>
  <c r="AG36" i="1"/>
  <c r="K18" i="1"/>
  <c r="AP39" i="1"/>
  <c r="AJ39" i="1"/>
  <c r="AM39" i="1"/>
  <c r="AL37" i="1"/>
  <c r="J18" i="1"/>
  <c r="AP38" i="1"/>
  <c r="AC36" i="1"/>
  <c r="AM38" i="1"/>
  <c r="X18" i="1"/>
  <c r="AO37" i="1"/>
  <c r="AN39" i="1"/>
  <c r="AO40" i="1"/>
  <c r="AR40" i="1"/>
  <c r="AP37" i="1"/>
  <c r="AG37" i="1"/>
  <c r="AO38" i="1"/>
  <c r="AP40" i="1"/>
  <c r="AQ40" i="1"/>
  <c r="AM37" i="1"/>
  <c r="AQ37" i="1"/>
  <c r="AN40" i="1"/>
  <c r="AM40" i="1"/>
  <c r="AR37" i="1"/>
  <c r="AN37" i="1"/>
  <c r="AU37" i="1"/>
  <c r="AJ40" i="1"/>
  <c r="AX37" i="1"/>
  <c r="AS37" i="1"/>
  <c r="AH40" i="1"/>
  <c r="AS40" i="1"/>
  <c r="AG39" i="1"/>
  <c r="AB46" i="1"/>
  <c r="AZ38" i="1"/>
  <c r="AW37" i="1"/>
  <c r="AX39" i="1"/>
  <c r="AE40" i="1"/>
  <c r="AL39" i="1"/>
  <c r="AB11" i="1"/>
  <c r="AB13" i="1"/>
  <c r="AY39" i="1"/>
  <c r="AJ37" i="1"/>
  <c r="AU40" i="1"/>
  <c r="AB10" i="1"/>
  <c r="AB12" i="1"/>
  <c r="AI37" i="1"/>
  <c r="AE38" i="1"/>
  <c r="AZ40" i="1"/>
  <c r="AV39" i="1"/>
  <c r="AT37" i="1"/>
  <c r="AG40" i="1"/>
  <c r="AV40" i="1"/>
  <c r="AW40" i="1"/>
  <c r="AI40" i="1"/>
  <c r="AY40" i="1"/>
  <c r="AT40" i="1"/>
  <c r="AL40" i="1"/>
  <c r="AX40" i="1"/>
  <c r="AK40" i="1"/>
  <c r="AZ39" i="1"/>
  <c r="AK39" i="1"/>
  <c r="AJ38" i="1"/>
  <c r="AU39" i="1"/>
  <c r="AH39" i="1"/>
  <c r="AI38" i="1"/>
  <c r="AT39" i="1"/>
  <c r="AW39" i="1"/>
  <c r="AI39" i="1"/>
  <c r="AS39" i="1"/>
  <c r="AU38" i="1"/>
  <c r="AW38" i="1"/>
  <c r="AY38" i="1"/>
  <c r="AL38" i="1"/>
  <c r="AX38" i="1"/>
  <c r="AT38" i="1"/>
  <c r="AK38" i="1"/>
  <c r="AH38" i="1"/>
  <c r="AV38" i="1"/>
  <c r="AD9" i="1"/>
  <c r="AE9" i="1" s="1"/>
  <c r="AH37" i="1"/>
  <c r="AY37" i="1"/>
  <c r="AV37" i="1"/>
  <c r="G18" i="1"/>
  <c r="V18" i="1"/>
  <c r="W18" i="1"/>
  <c r="I18" i="1"/>
  <c r="AA18" i="1"/>
  <c r="M18" i="1"/>
  <c r="Z18" i="1"/>
  <c r="L18" i="1"/>
  <c r="F18" i="1"/>
  <c r="H18" i="1"/>
  <c r="CT8" i="10"/>
  <c r="CS8" i="10"/>
  <c r="CR8" i="10"/>
  <c r="CQ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AB18" i="1" l="1"/>
  <c r="AB32" i="17"/>
  <c r="AB11" i="17"/>
  <c r="AM46" i="1"/>
  <c r="AR46" i="1"/>
  <c r="AN46" i="1"/>
  <c r="AD46" i="1"/>
  <c r="AE46" i="1" s="1"/>
  <c r="AO46" i="1"/>
  <c r="AQ46" i="1"/>
  <c r="AP46" i="1"/>
  <c r="AB18" i="17"/>
  <c r="AE18" i="17"/>
  <c r="AG46" i="1"/>
  <c r="AY46" i="1"/>
  <c r="AJ46" i="1"/>
  <c r="CT7" i="10"/>
  <c r="CS7" i="10"/>
  <c r="CR7" i="10"/>
  <c r="CQ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AU46" i="1" l="1"/>
  <c r="AS46" i="1"/>
  <c r="AC46" i="1"/>
  <c r="AZ46" i="1"/>
  <c r="AV46" i="1"/>
  <c r="AT46" i="1"/>
  <c r="AH46" i="1"/>
  <c r="AI46" i="1"/>
  <c r="AX46" i="1"/>
  <c r="AW46" i="1"/>
  <c r="AC9" i="1"/>
  <c r="AK46" i="1" l="1"/>
  <c r="AL46" i="1"/>
  <c r="E6" i="10" l="1"/>
  <c r="E5" i="10"/>
  <c r="E4" i="10"/>
  <c r="E3" i="10"/>
  <c r="CT6" i="10"/>
  <c r="CS6" i="10"/>
  <c r="CR6" i="10"/>
  <c r="CQ6" i="10"/>
  <c r="CT5" i="10"/>
  <c r="CS5" i="10"/>
  <c r="CR5" i="10"/>
  <c r="CQ5" i="10"/>
  <c r="CT4" i="10"/>
  <c r="CS4" i="10"/>
  <c r="CR4" i="10"/>
  <c r="CQ4" i="10"/>
  <c r="CT3" i="10"/>
  <c r="CS3" i="10"/>
  <c r="CR3" i="10"/>
  <c r="CQ3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AU44" i="10"/>
  <c r="AU45" i="10" s="1"/>
  <c r="AT44" i="10"/>
  <c r="AT45" i="10" s="1"/>
  <c r="AS44" i="10"/>
  <c r="AS45" i="10" s="1"/>
  <c r="AR44" i="10"/>
  <c r="AQ44" i="10"/>
  <c r="AP44" i="10"/>
  <c r="AP45" i="10" s="1"/>
  <c r="AO44" i="10"/>
  <c r="AO45" i="10" s="1"/>
  <c r="AN44" i="10"/>
  <c r="AM44" i="10"/>
  <c r="AL44" i="10"/>
  <c r="AK44" i="10"/>
  <c r="AK45" i="10" s="1"/>
  <c r="AJ44" i="10"/>
  <c r="AI44" i="10"/>
  <c r="AI45" i="10" s="1"/>
  <c r="AH44" i="10"/>
  <c r="AU42" i="10"/>
  <c r="AU43" i="10" s="1"/>
  <c r="AT42" i="10"/>
  <c r="AT43" i="10" s="1"/>
  <c r="AS42" i="10"/>
  <c r="AS43" i="10" s="1"/>
  <c r="AR42" i="10"/>
  <c r="AQ42" i="10"/>
  <c r="AQ43" i="10" s="1"/>
  <c r="AP42" i="10"/>
  <c r="AP43" i="10" s="1"/>
  <c r="AO42" i="10"/>
  <c r="AN42" i="10"/>
  <c r="AM42" i="10"/>
  <c r="AM43" i="10" s="1"/>
  <c r="AL42" i="10"/>
  <c r="AL43" i="10" s="1"/>
  <c r="AK42" i="10"/>
  <c r="AJ42" i="10"/>
  <c r="AI42" i="10"/>
  <c r="AI43" i="10" s="1"/>
  <c r="AH42" i="10"/>
  <c r="AH43" i="10" s="1"/>
  <c r="AU40" i="10"/>
  <c r="AT40" i="10"/>
  <c r="AS40" i="10"/>
  <c r="AS41" i="10" s="1"/>
  <c r="AR40" i="10"/>
  <c r="AR41" i="10" s="1"/>
  <c r="AQ40" i="10"/>
  <c r="AP40" i="10"/>
  <c r="AO40" i="10"/>
  <c r="AO41" i="10" s="1"/>
  <c r="AN40" i="10"/>
  <c r="AN41" i="10" s="1"/>
  <c r="AM40" i="10"/>
  <c r="AM41" i="10" s="1"/>
  <c r="AL40" i="10"/>
  <c r="AK40" i="10"/>
  <c r="AK41" i="10" s="1"/>
  <c r="AJ40" i="10"/>
  <c r="AJ41" i="10" s="1"/>
  <c r="AI40" i="10"/>
  <c r="AI41" i="10" s="1"/>
  <c r="AH40" i="10"/>
  <c r="AU38" i="10"/>
  <c r="AU39" i="10" s="1"/>
  <c r="AT38" i="10"/>
  <c r="AT39" i="10" s="1"/>
  <c r="AS38" i="10"/>
  <c r="AS39" i="10" s="1"/>
  <c r="AR38" i="10"/>
  <c r="AR39" i="10" s="1"/>
  <c r="AQ38" i="10"/>
  <c r="AP38" i="10"/>
  <c r="AP39" i="10" s="1"/>
  <c r="AO38" i="10"/>
  <c r="AN38" i="10"/>
  <c r="AN39" i="10" s="1"/>
  <c r="AM38" i="10"/>
  <c r="AL38" i="10"/>
  <c r="AL39" i="10" s="1"/>
  <c r="AK38" i="10"/>
  <c r="AJ38" i="10"/>
  <c r="AI38" i="10"/>
  <c r="AH38" i="10"/>
  <c r="AH39" i="10" s="1"/>
  <c r="AU36" i="10"/>
  <c r="AT36" i="10"/>
  <c r="AS36" i="10"/>
  <c r="AS37" i="10" s="1"/>
  <c r="AR36" i="10"/>
  <c r="AQ36" i="10"/>
  <c r="AQ37" i="10" s="1"/>
  <c r="AP36" i="10"/>
  <c r="AO36" i="10"/>
  <c r="AO37" i="10" s="1"/>
  <c r="AN36" i="10"/>
  <c r="AM36" i="10"/>
  <c r="AM37" i="10" s="1"/>
  <c r="AL36" i="10"/>
  <c r="AL37" i="10" s="1"/>
  <c r="AK36" i="10"/>
  <c r="AK37" i="10" s="1"/>
  <c r="AJ36" i="10"/>
  <c r="AI36" i="10"/>
  <c r="AH36" i="10"/>
  <c r="AH37" i="10" s="1"/>
  <c r="CQ10" i="10" l="1"/>
  <c r="CR10" i="10"/>
  <c r="CS10" i="10"/>
  <c r="CT10" i="10"/>
  <c r="K32" i="1"/>
  <c r="U32" i="1"/>
  <c r="Y32" i="1"/>
  <c r="L32" i="1"/>
  <c r="V32" i="1"/>
  <c r="Z32" i="1"/>
  <c r="J32" i="1"/>
  <c r="X32" i="1"/>
  <c r="I32" i="1"/>
  <c r="M32" i="1"/>
  <c r="W32" i="1"/>
  <c r="E10" i="10"/>
  <c r="AP37" i="10"/>
  <c r="AH41" i="10"/>
  <c r="AP41" i="10"/>
  <c r="AJ43" i="10"/>
  <c r="AR43" i="10"/>
  <c r="AL45" i="10"/>
  <c r="AI37" i="10"/>
  <c r="AU37" i="10"/>
  <c r="AK39" i="10"/>
  <c r="AO39" i="10"/>
  <c r="AQ41" i="10"/>
  <c r="AU41" i="10"/>
  <c r="AK43" i="10"/>
  <c r="AM45" i="10"/>
  <c r="AQ45" i="10"/>
  <c r="AT37" i="10"/>
  <c r="AJ39" i="10"/>
  <c r="AL41" i="10"/>
  <c r="AT41" i="10"/>
  <c r="AN43" i="10"/>
  <c r="AH45" i="10"/>
  <c r="AO43" i="10"/>
  <c r="AJ37" i="10"/>
  <c r="AR37" i="10"/>
  <c r="AJ45" i="10"/>
  <c r="AR45" i="10"/>
  <c r="AI39" i="10"/>
  <c r="AQ39" i="10"/>
  <c r="AN37" i="10"/>
  <c r="AM39" i="10"/>
  <c r="AN45" i="10"/>
  <c r="T32" i="1"/>
  <c r="H32" i="1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W4" i="10" l="1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4" i="10"/>
  <c r="G32" i="1" l="1"/>
  <c r="AB32" i="1" s="1"/>
  <c r="G3" i="14" l="1"/>
  <c r="G2" i="14"/>
  <c r="G1" i="14"/>
  <c r="W10" i="10" l="1"/>
  <c r="V10" i="10"/>
  <c r="U10" i="10"/>
  <c r="T10" i="10"/>
  <c r="M10" i="10"/>
  <c r="L10" i="10"/>
  <c r="S10" i="10"/>
  <c r="R10" i="10"/>
  <c r="K10" i="10"/>
  <c r="J10" i="10"/>
  <c r="Q10" i="10"/>
  <c r="P10" i="10"/>
  <c r="O10" i="10"/>
  <c r="N10" i="10"/>
  <c r="I10" i="10"/>
  <c r="H10" i="10"/>
  <c r="F3" i="10"/>
  <c r="F32" i="1" l="1"/>
  <c r="F10" i="10"/>
  <c r="G10" i="10"/>
  <c r="W12" i="10" l="1"/>
  <c r="V12" i="10"/>
  <c r="U12" i="10"/>
  <c r="T12" i="10"/>
  <c r="M12" i="10"/>
  <c r="L12" i="10"/>
  <c r="S12" i="10"/>
  <c r="R12" i="10"/>
  <c r="K12" i="10"/>
  <c r="J12" i="10"/>
  <c r="Q12" i="10"/>
  <c r="P12" i="10"/>
  <c r="O12" i="10"/>
  <c r="N12" i="10"/>
  <c r="I12" i="10"/>
  <c r="H12" i="10"/>
  <c r="G12" i="10"/>
  <c r="F12" i="10"/>
  <c r="E12" i="10"/>
  <c r="AA45" i="10" l="1"/>
  <c r="AA44" i="10"/>
  <c r="AA43" i="10"/>
  <c r="AA42" i="10"/>
  <c r="AA41" i="10"/>
  <c r="AA40" i="10"/>
  <c r="AA39" i="10"/>
  <c r="AA38" i="10"/>
  <c r="AA37" i="10"/>
  <c r="AD37" i="10" s="1"/>
  <c r="AA36" i="10"/>
  <c r="AD39" i="10" l="1"/>
  <c r="AE39" i="10" s="1"/>
  <c r="AD38" i="10"/>
  <c r="AE38" i="10" s="1"/>
  <c r="AD41" i="10"/>
  <c r="AE41" i="10" s="1"/>
  <c r="AD40" i="10"/>
  <c r="AE40" i="10" s="1"/>
  <c r="AD43" i="10"/>
  <c r="AE43" i="10" s="1"/>
  <c r="AD42" i="10"/>
  <c r="AE42" i="10" s="1"/>
  <c r="AD36" i="10"/>
  <c r="AE36" i="10" s="1"/>
  <c r="AD45" i="10"/>
  <c r="AE45" i="10" s="1"/>
  <c r="AD44" i="10"/>
  <c r="AE44" i="10" s="1"/>
  <c r="AE37" i="10"/>
  <c r="AG36" i="10" l="1"/>
  <c r="AG44" i="10"/>
  <c r="AG8" i="10"/>
  <c r="AG42" i="10"/>
  <c r="AG40" i="10"/>
  <c r="AG38" i="10"/>
  <c r="AW37" i="10"/>
  <c r="BF37" i="10"/>
  <c r="BA37" i="10"/>
  <c r="AZ37" i="10"/>
  <c r="BH37" i="10"/>
  <c r="BD37" i="10"/>
  <c r="BB37" i="10"/>
  <c r="BG37" i="10"/>
  <c r="AX37" i="10"/>
  <c r="BC37" i="10"/>
  <c r="BI37" i="10"/>
  <c r="AY37" i="10"/>
  <c r="BE37" i="10"/>
  <c r="BJ37" i="10"/>
  <c r="BD44" i="10"/>
  <c r="AZ44" i="10"/>
  <c r="BB44" i="10"/>
  <c r="BI44" i="10"/>
  <c r="BE44" i="10"/>
  <c r="BC44" i="10"/>
  <c r="BH44" i="10"/>
  <c r="AX44" i="10"/>
  <c r="BJ44" i="10"/>
  <c r="AW44" i="10"/>
  <c r="BA44" i="10"/>
  <c r="BF44" i="10"/>
  <c r="BG44" i="10"/>
  <c r="AY44" i="10"/>
  <c r="BE45" i="10"/>
  <c r="AZ45" i="10"/>
  <c r="BJ45" i="10"/>
  <c r="BD45" i="10"/>
  <c r="AX45" i="10"/>
  <c r="BH45" i="10"/>
  <c r="BI45" i="10"/>
  <c r="BB45" i="10"/>
  <c r="AY45" i="10"/>
  <c r="BG45" i="10"/>
  <c r="BA45" i="10"/>
  <c r="BF45" i="10"/>
  <c r="BC45" i="10"/>
  <c r="AW45" i="10"/>
  <c r="BE42" i="10"/>
  <c r="BF42" i="10"/>
  <c r="BH42" i="10"/>
  <c r="BB42" i="10"/>
  <c r="BA42" i="10"/>
  <c r="AW42" i="10"/>
  <c r="BG42" i="10"/>
  <c r="AZ42" i="10"/>
  <c r="BD42" i="10"/>
  <c r="BJ42" i="10"/>
  <c r="AX42" i="10"/>
  <c r="AY42" i="10"/>
  <c r="BI42" i="10"/>
  <c r="BC42" i="10"/>
  <c r="BG40" i="10"/>
  <c r="BH40" i="10"/>
  <c r="BC40" i="10"/>
  <c r="AX40" i="10"/>
  <c r="BE40" i="10"/>
  <c r="BF40" i="10"/>
  <c r="BA40" i="10"/>
  <c r="BD40" i="10"/>
  <c r="AY40" i="10"/>
  <c r="AW40" i="10"/>
  <c r="BI40" i="10"/>
  <c r="BJ40" i="10"/>
  <c r="BB40" i="10"/>
  <c r="AZ40" i="10"/>
  <c r="BE38" i="10"/>
  <c r="BH38" i="10"/>
  <c r="BA38" i="10"/>
  <c r="AW38" i="10"/>
  <c r="BC38" i="10"/>
  <c r="AX38" i="10"/>
  <c r="BJ38" i="10"/>
  <c r="BF38" i="10"/>
  <c r="BD38" i="10"/>
  <c r="AY38" i="10"/>
  <c r="BG38" i="10"/>
  <c r="BB38" i="10"/>
  <c r="AZ38" i="10"/>
  <c r="BI38" i="10"/>
  <c r="BH36" i="10"/>
  <c r="BF36" i="10"/>
  <c r="BG36" i="10"/>
  <c r="BD36" i="10"/>
  <c r="BJ36" i="10"/>
  <c r="BA36" i="10"/>
  <c r="AY36" i="10"/>
  <c r="AW36" i="10"/>
  <c r="BI36" i="10"/>
  <c r="BC36" i="10"/>
  <c r="AZ36" i="10"/>
  <c r="BE36" i="10"/>
  <c r="AX36" i="10"/>
  <c r="BB36" i="10"/>
  <c r="AX43" i="10"/>
  <c r="BF43" i="10"/>
  <c r="BE43" i="10"/>
  <c r="BJ43" i="10"/>
  <c r="BH43" i="10"/>
  <c r="AW43" i="10"/>
  <c r="BA43" i="10"/>
  <c r="BI43" i="10"/>
  <c r="BB43" i="10"/>
  <c r="BG43" i="10"/>
  <c r="BC43" i="10"/>
  <c r="AZ43" i="10"/>
  <c r="BD43" i="10"/>
  <c r="AY43" i="10"/>
  <c r="AX41" i="10"/>
  <c r="BG41" i="10"/>
  <c r="BB41" i="10"/>
  <c r="BC41" i="10"/>
  <c r="BD41" i="10"/>
  <c r="AZ41" i="10"/>
  <c r="BH41" i="10"/>
  <c r="AY41" i="10"/>
  <c r="BF41" i="10"/>
  <c r="BE41" i="10"/>
  <c r="BJ41" i="10"/>
  <c r="BI41" i="10"/>
  <c r="AW41" i="10"/>
  <c r="BA41" i="10"/>
  <c r="BJ39" i="10"/>
  <c r="BC39" i="10"/>
  <c r="AW39" i="10"/>
  <c r="BE39" i="10"/>
  <c r="BA39" i="10"/>
  <c r="BH39" i="10"/>
  <c r="BG39" i="10"/>
  <c r="BI39" i="10"/>
  <c r="AX39" i="10"/>
  <c r="BF39" i="10"/>
  <c r="AZ39" i="10"/>
  <c r="BB39" i="10"/>
  <c r="AY39" i="10"/>
  <c r="BD39" i="10"/>
  <c r="CN8" i="10"/>
  <c r="CO8" i="10"/>
  <c r="CJ8" i="10"/>
  <c r="CH8" i="10"/>
  <c r="CP8" i="10"/>
  <c r="CE8" i="10"/>
  <c r="CF8" i="10"/>
  <c r="AG9" i="10"/>
  <c r="AE12" i="10"/>
  <c r="AD12" i="10"/>
  <c r="BW40" i="10" l="1"/>
  <c r="BQ42" i="10"/>
  <c r="BN44" i="10"/>
  <c r="BR44" i="10"/>
  <c r="CK8" i="10"/>
  <c r="CD8" i="10"/>
  <c r="CI8" i="10"/>
  <c r="CL8" i="10"/>
  <c r="CC8" i="10"/>
  <c r="CG8" i="10"/>
  <c r="CM8" i="10"/>
  <c r="BV38" i="10"/>
  <c r="BL38" i="10"/>
  <c r="BL40" i="10"/>
  <c r="BU40" i="10"/>
  <c r="BN38" i="10"/>
  <c r="BM38" i="10"/>
  <c r="BS40" i="10"/>
  <c r="BM40" i="10"/>
  <c r="BR42" i="10"/>
  <c r="BM44" i="10"/>
  <c r="BX44" i="10"/>
  <c r="AG6" i="10"/>
  <c r="CK36" i="10"/>
  <c r="CK5" i="10" s="1"/>
  <c r="BT36" i="10"/>
  <c r="CC36" i="10"/>
  <c r="CC5" i="10" s="1"/>
  <c r="BL36" i="10"/>
  <c r="CJ36" i="10"/>
  <c r="CJ5" i="10" s="1"/>
  <c r="BS36" i="10"/>
  <c r="BQ38" i="10"/>
  <c r="BU38" i="10"/>
  <c r="BO40" i="10"/>
  <c r="BN42" i="10"/>
  <c r="BO42" i="10"/>
  <c r="CL6" i="10"/>
  <c r="CH6" i="10"/>
  <c r="CF6" i="10"/>
  <c r="CP6" i="10"/>
  <c r="BL44" i="10"/>
  <c r="BO44" i="10"/>
  <c r="AG7" i="10"/>
  <c r="CF36" i="10"/>
  <c r="CF5" i="10" s="1"/>
  <c r="BO36" i="10"/>
  <c r="BN36" i="10"/>
  <c r="CE36" i="10"/>
  <c r="CE5" i="10" s="1"/>
  <c r="CM36" i="10"/>
  <c r="CM5" i="10" s="1"/>
  <c r="BV36" i="10"/>
  <c r="BP38" i="10"/>
  <c r="BQ40" i="10"/>
  <c r="BN40" i="10"/>
  <c r="BT40" i="10"/>
  <c r="BV40" i="10"/>
  <c r="BM42" i="10"/>
  <c r="BV42" i="10"/>
  <c r="BW42" i="10"/>
  <c r="CK6" i="10"/>
  <c r="CG6" i="10"/>
  <c r="CC6" i="10"/>
  <c r="CJ6" i="10"/>
  <c r="BV44" i="10"/>
  <c r="BT44" i="10"/>
  <c r="BS44" i="10"/>
  <c r="AG5" i="10"/>
  <c r="CH36" i="10"/>
  <c r="CH5" i="10" s="1"/>
  <c r="BQ36" i="10"/>
  <c r="CI36" i="10"/>
  <c r="CI5" i="10" s="1"/>
  <c r="BR36" i="10"/>
  <c r="BP36" i="10"/>
  <c r="CG36" i="10"/>
  <c r="CG5" i="10" s="1"/>
  <c r="CL36" i="10"/>
  <c r="CL5" i="10" s="1"/>
  <c r="BU36" i="10"/>
  <c r="BX38" i="10"/>
  <c r="BW38" i="10"/>
  <c r="BL42" i="10"/>
  <c r="BU42" i="10"/>
  <c r="CI6" i="10"/>
  <c r="CM6" i="10"/>
  <c r="CO6" i="10"/>
  <c r="BU44" i="10"/>
  <c r="CD36" i="10"/>
  <c r="CD5" i="10" s="1"/>
  <c r="BM36" i="10"/>
  <c r="BX36" i="10"/>
  <c r="CO36" i="10"/>
  <c r="CO5" i="10" s="1"/>
  <c r="CP36" i="10"/>
  <c r="CP5" i="10" s="1"/>
  <c r="CN36" i="10"/>
  <c r="CN5" i="10" s="1"/>
  <c r="BW36" i="10"/>
  <c r="BO38" i="10"/>
  <c r="BS38" i="10"/>
  <c r="BR38" i="10"/>
  <c r="BT38" i="10"/>
  <c r="BX40" i="10"/>
  <c r="BP40" i="10"/>
  <c r="BR40" i="10"/>
  <c r="BX42" i="10"/>
  <c r="BS42" i="10"/>
  <c r="BP42" i="10"/>
  <c r="BT42" i="10"/>
  <c r="CE6" i="10"/>
  <c r="CN6" i="10"/>
  <c r="CD6" i="10"/>
  <c r="BP44" i="10"/>
  <c r="BW44" i="10"/>
  <c r="BQ44" i="10"/>
  <c r="CP9" i="10"/>
  <c r="CO9" i="10" l="1"/>
  <c r="CH9" i="10"/>
  <c r="CE9" i="10"/>
  <c r="CL9" i="10"/>
  <c r="CG9" i="10"/>
  <c r="CN9" i="10"/>
  <c r="CD9" i="10"/>
  <c r="CM9" i="10"/>
  <c r="CC9" i="10"/>
  <c r="CJ9" i="10"/>
  <c r="CK9" i="10"/>
  <c r="CI9" i="10"/>
  <c r="CF9" i="10"/>
  <c r="CP7" i="10"/>
  <c r="CM7" i="10"/>
  <c r="CK7" i="10"/>
  <c r="CI7" i="10"/>
  <c r="CC7" i="10"/>
  <c r="CO7" i="10"/>
  <c r="CH7" i="10"/>
  <c r="CD7" i="10"/>
  <c r="CJ7" i="10"/>
  <c r="CF7" i="10"/>
  <c r="CL7" i="10"/>
  <c r="CG7" i="10"/>
  <c r="CE7" i="10"/>
  <c r="CN7" i="10"/>
  <c r="AG3" i="10" l="1"/>
  <c r="CH3" i="10" l="1"/>
  <c r="CF3" i="10"/>
  <c r="CL3" i="10"/>
  <c r="CG3" i="10"/>
  <c r="CD3" i="10"/>
  <c r="CO3" i="10"/>
  <c r="CI3" i="10"/>
  <c r="CN3" i="10"/>
  <c r="CM3" i="10"/>
  <c r="CE3" i="10"/>
  <c r="CP3" i="10"/>
  <c r="CK3" i="10"/>
  <c r="CJ3" i="10"/>
  <c r="CC3" i="10"/>
  <c r="AG4" i="10"/>
  <c r="B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" i="3" l="1"/>
  <c r="CO4" i="10"/>
  <c r="CP4" i="10"/>
  <c r="CF4" i="10"/>
  <c r="CC4" i="10"/>
  <c r="CH4" i="10"/>
  <c r="CK4" i="10"/>
  <c r="CL4" i="10"/>
  <c r="CD4" i="10"/>
  <c r="CI4" i="10"/>
  <c r="CE4" i="10"/>
  <c r="CN4" i="10"/>
  <c r="CJ4" i="10"/>
  <c r="CM4" i="10"/>
  <c r="CM10" i="10" s="1"/>
  <c r="CG4" i="10"/>
  <c r="AG10" i="10"/>
  <c r="CC10" i="10"/>
  <c r="CO10" i="10"/>
  <c r="CI10" i="10"/>
  <c r="CK10" i="10" l="1"/>
  <c r="CF10" i="10"/>
  <c r="CG10" i="10"/>
  <c r="CN10" i="10"/>
  <c r="CJ10" i="10"/>
  <c r="CP10" i="10"/>
  <c r="CH10" i="10"/>
  <c r="CL10" i="10"/>
  <c r="CE10" i="10"/>
  <c r="CD10" i="10"/>
  <c r="AD22" i="1" l="1"/>
  <c r="AR22" i="1"/>
  <c r="AQ22" i="1"/>
  <c r="AJ22" i="1"/>
  <c r="AO22" i="1"/>
  <c r="AN22" i="1"/>
  <c r="AP22" i="1"/>
  <c r="AI22" i="1"/>
  <c r="AK22" i="1"/>
  <c r="AH22" i="1"/>
  <c r="AM22" i="1"/>
  <c r="AL22" i="1"/>
  <c r="AW22" i="1"/>
  <c r="AT22" i="1"/>
  <c r="AZ22" i="1"/>
  <c r="AY22" i="1"/>
  <c r="AU22" i="1"/>
  <c r="AX22" i="1"/>
  <c r="AV22" i="1"/>
  <c r="AS22" i="1"/>
  <c r="AE22" i="1" l="1"/>
  <c r="AQ32" i="1"/>
  <c r="AQ18" i="1"/>
  <c r="AR32" i="1"/>
  <c r="AR18" i="1"/>
  <c r="AP32" i="1"/>
  <c r="AP18" i="1"/>
  <c r="AM32" i="1"/>
  <c r="AM18" i="1"/>
  <c r="AN32" i="1"/>
  <c r="AN18" i="1"/>
  <c r="AO32" i="1"/>
  <c r="AO18" i="1"/>
  <c r="AG22" i="1"/>
  <c r="AG18" i="1" s="1"/>
  <c r="AD32" i="1"/>
  <c r="AE32" i="1" s="1"/>
  <c r="AJ32" i="1"/>
  <c r="AJ18" i="1"/>
  <c r="AS32" i="1"/>
  <c r="AS18" i="1"/>
  <c r="AY32" i="1"/>
  <c r="AY18" i="1"/>
  <c r="AT32" i="1"/>
  <c r="AT18" i="1"/>
  <c r="AK32" i="1"/>
  <c r="AK18" i="1"/>
  <c r="AZ32" i="1"/>
  <c r="AZ18" i="1"/>
  <c r="AH32" i="1"/>
  <c r="AH18" i="1"/>
  <c r="AV32" i="1"/>
  <c r="AV18" i="1"/>
  <c r="AU32" i="1"/>
  <c r="AU18" i="1"/>
  <c r="AI32" i="1"/>
  <c r="AI18" i="1"/>
  <c r="AL32" i="1"/>
  <c r="AL18" i="1"/>
  <c r="AX32" i="1"/>
  <c r="AX18" i="1"/>
  <c r="AW32" i="1"/>
  <c r="AW18" i="1"/>
  <c r="AG32" i="1" l="1"/>
  <c r="AG19" i="1"/>
  <c r="AD18" i="1"/>
  <c r="AE18" i="1" s="1"/>
  <c r="AC32" i="1"/>
  <c r="AC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Divens, Marc J (DFW)</author>
    <author>tc={7ECB3CB8-0AFF-46CC-BB28-2ABB83BD7AA5}</author>
  </authors>
  <commentList>
    <comment ref="AB52" authorId="0" shapeId="0" xr:uid="{1D4BC04F-8028-4CBC-AC67-7DC39E64ECA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55" authorId="0" shapeId="0" xr:uid="{ED02C9EE-D571-4C22-8705-09570950354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57" authorId="0" shapeId="0" xr:uid="{068807A8-0766-477B-8CFB-CC78BBEAA84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0" authorId="0" shapeId="0" xr:uid="{A2B9E36D-1ED5-492F-B158-4774FF34A66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 Used in boat calculation
</t>
        </r>
      </text>
    </comment>
    <comment ref="AB7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U73" authorId="1" shapeId="0" xr:uid="{7ECB3CB8-0AFF-46CC-BB28-2ABB83BD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Steelhead HARVESTED</t>
      </text>
    </comment>
    <comment ref="AB7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
Changed for estimated
</t>
        </r>
      </text>
    </comment>
    <comment ref="AB82" authorId="0" shapeId="0" xr:uid="{5C6DFAC1-D365-4077-A2AC-7CF5AD964F7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5" authorId="0" shapeId="0" xr:uid="{9F555112-B9F2-4CAC-942A-494F8DB6A42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7" authorId="0" shapeId="0" xr:uid="{6BF0BC50-D1CD-465A-8606-3828B1AC7F8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0" authorId="0" shapeId="0" xr:uid="{E9862975-73D7-418F-96A2-D59731118B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2" authorId="0" shapeId="0" xr:uid="{E9A693AE-D6B4-4C54-8DC8-2400FA55B9C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5" authorId="0" shapeId="0" xr:uid="{83CCF152-9FC4-4B64-A5B8-E475DE3A0A5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7" authorId="0" shapeId="0" xr:uid="{460E2596-9053-4B83-9A78-F36E058F83E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100" authorId="0" shapeId="0" xr:uid="{6B124D24-F914-4E90-BB5B-647CF0AB37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K114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sampling data or effort, so forced to 0.</t>
        </r>
      </text>
    </comment>
    <comment ref="AK117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9" authorId="0" shapeId="0" xr:uid="{3ABDA45F-C6C4-44CB-996D-EA7A2FFF777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9" authorId="0" shapeId="0" xr:uid="{1DCC845E-0998-461C-8111-A3E4D03EA6B8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9" authorId="0" shapeId="0" xr:uid="{21D0864D-9D08-4C04-B682-CA3217CBEAA1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9" authorId="0" shapeId="0" xr:uid="{11A2BCD3-F841-42DA-9EDC-E82C37F3284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9" authorId="0" shapeId="0" xr:uid="{83ED60A5-C972-472E-BE3D-C4C48F533F9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9" authorId="0" shapeId="0" xr:uid="{D6CCE562-F54D-47CC-8CEC-BB5D538D6ABC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9" authorId="0" shapeId="0" xr:uid="{620DDAC2-58F7-4E9F-9E90-00BAA43D8DE4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9" authorId="0" shapeId="0" xr:uid="{CCB29F50-B1B0-40E6-8408-2EAF7BA861A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9" authorId="0" shapeId="0" xr:uid="{3F2BD9D5-77A3-47A1-B7F3-5EA4A87F2025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9" authorId="0" shapeId="0" xr:uid="{4930C938-2D80-4447-8932-32EE1EA94682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9" authorId="0" shapeId="0" xr:uid="{EC6BED65-BB78-4DD8-8736-E01AA7784B9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2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2" authorId="0" shapeId="0" xr:uid="{E4B96C67-A25F-4DC0-96C9-7B00576E2BB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2" authorId="0" shapeId="0" xr:uid="{DDC6B150-5429-46E5-ADF1-57F3AFC8E54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2" authorId="0" shapeId="0" xr:uid="{A8392720-1D70-452F-B84E-1C710745C53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2" authorId="0" shapeId="0" xr:uid="{5944D1E1-1924-4BB1-90C9-744E110A858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2" authorId="0" shapeId="0" xr:uid="{27DF383D-C081-441F-9724-55DB770F1C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2" authorId="0" shapeId="0" xr:uid="{8F0517BF-FD32-458B-BCA7-0D203068653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2" authorId="0" shapeId="0" xr:uid="{C626A1CD-8231-440D-8CFA-1B5BFB6603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2" authorId="0" shapeId="0" xr:uid="{6B52130C-5BEB-4357-81AE-2379836B66B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2" authorId="0" shapeId="0" xr:uid="{E5539BD1-3345-4652-B3A1-8231DD7CB6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2" authorId="0" shapeId="0" xr:uid="{C52CB203-5C63-4027-9DFD-BD8049372A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2" authorId="0" shapeId="0" xr:uid="{20693252-A1AA-490A-8EC1-495B1C21415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L124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4" authorId="0" shapeId="0" xr:uid="{F2F581EB-007A-4662-8C10-3B4E1D63E3E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4" authorId="0" shapeId="0" xr:uid="{7EF674F5-7BC3-4100-A04B-D96FBEE79E1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4" authorId="0" shapeId="0" xr:uid="{204EA6AD-5A61-4974-BE8B-716E9AD36A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4" authorId="0" shapeId="0" xr:uid="{55F52E45-DF9C-4A7F-B682-7F529383057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4" authorId="0" shapeId="0" xr:uid="{44489018-BED5-4728-81F3-03FF1DA8D6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4" authorId="0" shapeId="0" xr:uid="{66B76F51-FE3F-46E6-A467-4ECDDB249E8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4" authorId="0" shapeId="0" xr:uid="{6931ACA2-0238-45AF-8C41-0A8CA0FF396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4" authorId="0" shapeId="0" xr:uid="{591FF24A-2096-4908-A3B6-C836C5D86D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4" authorId="0" shapeId="0" xr:uid="{836ACA37-903B-4480-B7E1-846BADC8D96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4" authorId="0" shapeId="0" xr:uid="{44492FDF-ABFC-4B65-AB18-991DCCEB64F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4" authorId="0" shapeId="0" xr:uid="{606C065C-BABC-4ED8-AB59-0EAC2E7866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7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7" authorId="0" shapeId="0" xr:uid="{3BBBF67F-49BD-4107-8B7B-AE28759D0F7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7" authorId="0" shapeId="0" xr:uid="{38FDCF8D-4B05-4314-A2DC-336A33EB307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7" authorId="0" shapeId="0" xr:uid="{149F1B1D-CD84-4555-899C-CA13A44C589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7" authorId="0" shapeId="0" xr:uid="{6773AD72-8034-476A-A189-CEC0A935B65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7" authorId="0" shapeId="0" xr:uid="{47F21D0F-388A-4952-9C03-C2EE58F9E76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7" authorId="0" shapeId="0" xr:uid="{1B47F330-BFAE-4B77-8933-C25EE27447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7" authorId="0" shapeId="0" xr:uid="{FA0BE83B-4549-40FF-A39A-524BDEDFAAD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7" authorId="0" shapeId="0" xr:uid="{439E6890-B01C-471B-8EDA-7F85F8819AF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7" authorId="0" shapeId="0" xr:uid="{7559D467-2FAD-48AD-98A9-169D76E79B4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7" authorId="0" shapeId="0" xr:uid="{7DCDA4A7-D31C-4DC2-B3B1-0A95EEAA353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7" authorId="0" shapeId="0" xr:uid="{2C18AD1C-6C6F-44EC-BBBF-96C1FC4DE56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9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9" authorId="0" shapeId="0" xr:uid="{E6F93E52-93C4-432D-9A26-3F5EC03F974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9" authorId="0" shapeId="0" xr:uid="{2D5CBA9A-8DC6-4872-B478-F798239D24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9" authorId="0" shapeId="0" xr:uid="{A3EB2457-D31D-4A9B-B754-E4D7D007931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9" authorId="0" shapeId="0" xr:uid="{31783686-C536-474B-AE19-BAD50B66E0F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9" authorId="0" shapeId="0" xr:uid="{3073C96D-43D2-48EC-87CC-DA9CB9B3D20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9" authorId="0" shapeId="0" xr:uid="{70799CC9-5D4A-4E6A-B1A4-58FE6C2FF9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9" authorId="0" shapeId="0" xr:uid="{9FFB87AF-6533-4680-8756-B8F48B715A0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9" authorId="0" shapeId="0" xr:uid="{5E580511-1DFD-4203-8069-A500D201926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9" authorId="0" shapeId="0" xr:uid="{ECEDECC6-D9DF-4FB9-8ED2-113DB8320D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9" authorId="0" shapeId="0" xr:uid="{EEEB2F68-8C86-4A80-A72A-1F0D909A41E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9" authorId="0" shapeId="0" xr:uid="{A49257DF-8632-4C72-B962-BBCDFBACDB0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2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2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2" authorId="0" shapeId="0" xr:uid="{E01AE8B3-8751-420D-90E0-7915084A64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2" authorId="0" shapeId="0" xr:uid="{B60202DC-BCBC-4C61-B006-A35E715953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2" authorId="0" shapeId="0" xr:uid="{63F2F710-F712-4202-8D33-1B3650B365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2" authorId="0" shapeId="0" xr:uid="{985BF803-4EA2-48AB-A651-2DDBCFD29BC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2" authorId="0" shapeId="0" xr:uid="{B33B5C9F-BBAD-4CC9-84F9-501475759AA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2" authorId="0" shapeId="0" xr:uid="{B454D459-C487-4022-A47C-1E67754BC52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2" authorId="0" shapeId="0" xr:uid="{FB343D8F-B37F-4091-9C13-18DF1EEA907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2" authorId="0" shapeId="0" xr:uid="{388B3378-BA55-4F28-A2B6-E6348BFE43B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2" authorId="0" shapeId="0" xr:uid="{CC63BB4E-46FB-4EDB-B710-64C310F85B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2" authorId="0" shapeId="0" xr:uid="{CB1976FB-7393-4A44-8D84-DB17AC26F8E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2" authorId="0" shapeId="0" xr:uid="{09C565EF-E7BD-44A1-A2ED-B67A4A9806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4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4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4" authorId="0" shapeId="0" xr:uid="{BFD51661-BFD1-4321-9AAC-2A8E516E839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4" authorId="0" shapeId="0" xr:uid="{FE03DD71-5864-44E1-82EB-425F7E5EDB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4" authorId="0" shapeId="0" xr:uid="{62C9EDF2-86F1-43C4-A62A-CF88586AAA1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4" authorId="0" shapeId="0" xr:uid="{FE002FCA-3E37-4F04-9D2D-463C90BF757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4" authorId="0" shapeId="0" xr:uid="{B2C9537B-2F02-4222-8551-E87EAFC079E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4" authorId="0" shapeId="0" xr:uid="{2F14D1F6-FDC8-44DD-A1F7-C929F92757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4" authorId="0" shapeId="0" xr:uid="{0E5424B6-24BD-4E9C-9DEA-E45E6B97F2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4" authorId="0" shapeId="0" xr:uid="{29E143B3-58B2-4F01-B278-01F7154F248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4" authorId="0" shapeId="0" xr:uid="{D1C5849D-810B-4F10-944C-8B7D36E1F5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4" authorId="0" shapeId="0" xr:uid="{83D22FDE-D2DB-428B-AE54-BC57386B43E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4" authorId="0" shapeId="0" xr:uid="{EC266A11-A286-45F5-9410-82A86D42486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7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7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7" authorId="0" shapeId="0" xr:uid="{8DA9C009-8A36-4F87-BE52-364EBBABA8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7" authorId="0" shapeId="0" xr:uid="{91A73D46-60D0-4253-B5A9-9E64757AF5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7" authorId="0" shapeId="0" xr:uid="{D5D9328D-CFD3-49D6-85C3-00AD554C6E3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7" authorId="0" shapeId="0" xr:uid="{E3DFC3A2-A047-440E-B360-047B58AE77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7" authorId="0" shapeId="0" xr:uid="{291FE731-8BC3-4C9A-9D33-BD94734CE38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7" authorId="0" shapeId="0" xr:uid="{68839869-DFF4-45D1-B93E-058619EAEAF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7" authorId="0" shapeId="0" xr:uid="{04832B00-B4F4-4B16-A22B-91592D5ACF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7" authorId="0" shapeId="0" xr:uid="{19BDEDDE-9AD8-4EC3-A8BC-31F31BD05E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7" authorId="0" shapeId="0" xr:uid="{FAE333D7-8CDE-4280-902F-EC2B7FEAD06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7" authorId="0" shapeId="0" xr:uid="{DCCB3962-FE43-4FF5-979C-7B424EC15B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7" authorId="0" shapeId="0" xr:uid="{329CD244-D628-4E77-A1BE-D39749AF043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9" authorId="0" shapeId="0" xr:uid="{988A4B33-B519-4114-91EC-BF1EEC868D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9" authorId="0" shapeId="0" xr:uid="{C1875CD6-1396-4272-A1C6-CD9BD63BA7F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9" authorId="0" shapeId="0" xr:uid="{5F3A3343-CAEF-41EE-9552-94C50AB47E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9" authorId="0" shapeId="0" xr:uid="{925B846B-130B-4938-BF30-6439E0C5AF6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9" authorId="0" shapeId="0" xr:uid="{AB31059B-9E80-4DAD-899A-22CF087E92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9" authorId="0" shapeId="0" xr:uid="{E113D496-05D3-4D65-A96F-3154BE03B3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9" authorId="0" shapeId="0" xr:uid="{36B2A776-C4F3-41BB-862A-41206C9BF1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9" authorId="0" shapeId="0" xr:uid="{E0BCB2AE-57CD-41AE-8F8D-B28C0B16AF6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9" authorId="0" shapeId="0" xr:uid="{5F337FDD-3856-4BFD-9408-C296B94286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9" authorId="0" shapeId="0" xr:uid="{B69A9BCD-0B14-4A3E-85CF-F9A3739A461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9" authorId="0" shapeId="0" xr:uid="{20868D2F-51F2-4A7A-8428-70BC85F21D1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9" authorId="0" shapeId="0" xr:uid="{D9E8FA93-13A3-4F17-8D5B-EA067C14AAA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9" authorId="0" shapeId="0" xr:uid="{0434F4A7-2B46-45B7-AD1A-2E034850AA8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2" authorId="0" shapeId="0" xr:uid="{1A437A17-1C4A-4307-8324-D55B3F0AE82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2" authorId="0" shapeId="0" xr:uid="{9047FBE1-BDC9-4DAE-9FE4-5220D446BA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2" authorId="0" shapeId="0" xr:uid="{B11C10DE-79AC-466A-8276-94ADD42A5B3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2" authorId="0" shapeId="0" xr:uid="{231FDECB-9BDD-4EF7-A491-F1DA36B00E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2" authorId="0" shapeId="0" xr:uid="{3CE4CB4A-03EE-40D6-AEC7-ECC467E67C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2" authorId="0" shapeId="0" xr:uid="{C61F5872-BECB-43C3-8C5E-F5B03487217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2" authorId="0" shapeId="0" xr:uid="{B82F59F0-5DB7-4DFA-A367-9C7BEBCAA8D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2" authorId="0" shapeId="0" xr:uid="{D7094482-1763-4E80-94B1-138C968AEBB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2" authorId="0" shapeId="0" xr:uid="{34CC51B4-AE6D-4A84-A8B1-28CAB8294AB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2" authorId="0" shapeId="0" xr:uid="{E830B12B-A8C4-468E-B391-6944074542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2" authorId="0" shapeId="0" xr:uid="{2A4D1E76-CDA4-45C7-9189-1789E95FC34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2" authorId="0" shapeId="0" xr:uid="{9438408C-EFA2-44ED-B978-47249E5DBCF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2" authorId="0" shapeId="0" xr:uid="{CE420D03-130A-4D7B-9DC2-8517C8C53C4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4" authorId="0" shapeId="0" xr:uid="{B2201ABD-6CD5-40C6-9A0C-424EE3A874A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4" authorId="0" shapeId="0" xr:uid="{A216AD29-9800-4259-ABE0-763A5F1EE93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4" authorId="0" shapeId="0" xr:uid="{808BE37D-8200-4440-84A6-7FEC2C60A71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4" authorId="0" shapeId="0" xr:uid="{43D860C7-211E-4582-98AF-7108A18C717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4" authorId="0" shapeId="0" xr:uid="{EBD1D319-5D1C-4389-8793-7ACFFEAD7A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4" authorId="0" shapeId="0" xr:uid="{2B002043-CAB4-4FE8-9959-772C81AA59E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4" authorId="0" shapeId="0" xr:uid="{B0B4752C-99D0-4764-A614-D1CE0AADB01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4" authorId="0" shapeId="0" xr:uid="{BAA7C76B-0EAC-4E13-B255-B139D167F1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4" authorId="0" shapeId="0" xr:uid="{26B67587-93FC-4C09-AE5A-7E1321ED5A1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4" authorId="0" shapeId="0" xr:uid="{D12635FC-636E-413A-8119-76E11F71BC0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4" authorId="0" shapeId="0" xr:uid="{98C13186-764B-47E2-953F-EB30463EC0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4" authorId="0" shapeId="0" xr:uid="{B75633FD-9F93-48D5-B51D-038F780E4F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4" authorId="0" shapeId="0" xr:uid="{E77091A2-A377-4FBE-9D3B-687D737972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7" authorId="0" shapeId="0" xr:uid="{90894418-D0C5-4BF6-BC28-96728066FE2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7" authorId="0" shapeId="0" xr:uid="{2F136B47-4910-4293-97AA-A369FAC4DF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7" authorId="0" shapeId="0" xr:uid="{7375F7E7-5213-4FB4-B6B0-0559315605B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7" authorId="0" shapeId="0" xr:uid="{4E85B8AE-4B0C-4AA7-A5F5-E84750C9F2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7" authorId="0" shapeId="0" xr:uid="{22011183-D3C6-4D39-B500-A03920E39E1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7" authorId="0" shapeId="0" xr:uid="{3E418B46-8816-4CB8-8F07-222DFCF522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7" authorId="0" shapeId="0" xr:uid="{35214BA6-9CAC-4428-A88B-4CFFE487A2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7" authorId="0" shapeId="0" xr:uid="{11E77CA3-48A9-48BF-BE99-6DECE41245E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7" authorId="0" shapeId="0" xr:uid="{945766F3-3597-458D-BE9B-FE0A3566945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7" authorId="0" shapeId="0" xr:uid="{CFC785A6-5D60-4BFC-81B4-08F97F37F90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7" authorId="0" shapeId="0" xr:uid="{793D1399-10CF-4B79-B9F9-E241E9B49C9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7" authorId="0" shapeId="0" xr:uid="{7021F366-08FD-4DB8-B94C-556B4C106DE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7" authorId="0" shapeId="0" xr:uid="{B465D481-9FD5-491F-A30B-A8DF0EE8B1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9" authorId="0" shapeId="0" xr:uid="{0F376542-D584-4575-806C-16B8B60241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9" authorId="0" shapeId="0" xr:uid="{97664F55-5F58-415D-B2F8-D36C065D7F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9" authorId="0" shapeId="0" xr:uid="{2031C176-B895-42FA-AE46-6DE847CB24A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9" authorId="0" shapeId="0" xr:uid="{815A9F9B-5241-498A-8FE5-4AE2014336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9" authorId="0" shapeId="0" xr:uid="{7B614FD2-34E2-4B5A-95DF-047B948EBD9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9" authorId="0" shapeId="0" xr:uid="{C1174E15-7D0C-433C-A838-9A2F87860C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9" authorId="0" shapeId="0" xr:uid="{CE5DEE15-66BA-4B7C-9DFF-BE4246862A7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9" authorId="0" shapeId="0" xr:uid="{6C258310-74A8-454F-8C8E-A65E8B9C170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9" authorId="0" shapeId="0" xr:uid="{637AEE61-A9BA-405D-B845-5ADC08AB502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9" authorId="0" shapeId="0" xr:uid="{E4D3D360-2D49-4C88-870F-359E005685B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9" authorId="0" shapeId="0" xr:uid="{74B5C0AD-E8CE-4F3F-8757-9438EA1C209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9" authorId="0" shapeId="0" xr:uid="{D1ABD2F8-262C-4AE7-A2D2-7CB1A70ACA4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9" authorId="0" shapeId="0" xr:uid="{CB255209-09F0-4E39-AFEC-A358433C7D8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52" authorId="0" shapeId="0" xr:uid="{F3A5F6BC-20BD-4F8A-85FA-E9AFFA3143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52" authorId="0" shapeId="0" xr:uid="{A695719B-3BB2-44A3-8202-298EB1B607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52" authorId="0" shapeId="0" xr:uid="{71C97E8D-1430-475D-98C0-C85EDB17A8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52" authorId="0" shapeId="0" xr:uid="{5EFD63E7-6511-4F28-964A-0CFCF24846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52" authorId="0" shapeId="0" xr:uid="{C329C1EB-23F8-4255-A18E-0EC4298FAC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52" authorId="0" shapeId="0" xr:uid="{99F7C4B6-32AC-48AE-B29C-B280B7A991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52" authorId="0" shapeId="0" xr:uid="{BDE51C3C-D047-47DD-925E-777427DF63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52" authorId="0" shapeId="0" xr:uid="{2DD7F953-1EF2-477D-93CD-1DD6581AF34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52" authorId="0" shapeId="0" xr:uid="{D55E84B2-0A4D-43F6-83C1-246977026A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52" authorId="0" shapeId="0" xr:uid="{AD1E28DA-9A36-49FC-AA6E-DCF926008C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52" authorId="0" shapeId="0" xr:uid="{F9E14CAB-47E0-40AF-987E-0AF35D63FE9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52" authorId="0" shapeId="0" xr:uid="{7FE447D9-F1D5-4E74-A21C-4883AA63D7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52" authorId="0" shapeId="0" xr:uid="{95104403-CD91-4B06-9093-C8142CD4A35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Divens, Marc J (DFW)</author>
  </authors>
  <commentList>
    <comment ref="AB52" authorId="0" shapeId="0" xr:uid="{A4CFAC83-B09E-4781-95D8-5C942F69DA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55" authorId="0" shapeId="0" xr:uid="{8D589F9D-5084-467B-8A6B-69BFDC2680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57" authorId="0" shapeId="0" xr:uid="{1D09333B-B5F2-4DCF-A1AC-AD6A635929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0" authorId="0" shapeId="0" xr:uid="{DEE0625F-AFC0-4006-9161-7EC6FF120B3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2" authorId="0" shapeId="0" xr:uid="{1EC0B384-6C35-473D-BCEF-8E3FE56261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5" authorId="0" shapeId="0" xr:uid="{2448D87E-9418-422D-8573-945C08D158C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7" authorId="0" shapeId="0" xr:uid="{D52B92EF-86C2-4047-AE05-A7EB09FF97F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0" authorId="0" shapeId="0" xr:uid="{45C86370-5A94-4542-80FB-BE2C100ED02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 Used in boat calculation
</t>
        </r>
      </text>
    </comment>
    <comment ref="AB72" authorId="0" shapeId="0" xr:uid="{2CA4D26E-7A9B-495E-9256-888DFC49971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5" authorId="0" shapeId="0" xr:uid="{A23A8873-9D84-4510-854B-DFB13E2CD90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7" authorId="0" shapeId="0" xr:uid="{66689958-BD8E-4758-AA10-6CBA169A38F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0" authorId="0" shapeId="0" xr:uid="{23D3646E-9006-4796-8282-20A4ED5165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2" authorId="0" shapeId="0" xr:uid="{D96867DB-9CC1-4B33-8655-7E2C29673A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5" authorId="0" shapeId="0" xr:uid="{6AB682C1-3038-4074-9C5C-BCF39B44001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7" authorId="0" shapeId="0" xr:uid="{C82BA34F-AFFF-4D19-9C59-F4E8748799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0" authorId="0" shapeId="0" xr:uid="{15EAD18D-345E-41AC-BD93-419A9434C5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2" authorId="0" shapeId="0" xr:uid="{C39EFF92-B934-48C5-8115-ACFA1DDB284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5" authorId="0" shapeId="0" xr:uid="{F930E63D-9108-4CB9-B922-16BEC8EA25F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K109" authorId="0" shapeId="0" xr:uid="{D9B14D31-52E2-4E26-9A41-8A35C5B2773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sampling data or effort, so forced to 0.</t>
        </r>
      </text>
    </comment>
    <comment ref="AK112" authorId="0" shapeId="0" xr:uid="{09EE17CC-0D6A-488E-8A7E-D21672FF1A7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4" authorId="0" shapeId="0" xr:uid="{61698D83-701D-402B-A52D-BDBFE4481C6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4" authorId="0" shapeId="0" xr:uid="{98118D8F-5286-43D9-968D-E553411A0917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4" authorId="0" shapeId="0" xr:uid="{C34034EF-10D1-4420-B69E-AFA8CA3577F2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4" authorId="0" shapeId="0" xr:uid="{FDA2DD97-1589-48A5-BAAD-7DD110936C28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4" authorId="0" shapeId="0" xr:uid="{A2C20FA4-E9F1-4B8E-A435-06BA32B36CCA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4" authorId="0" shapeId="0" xr:uid="{4CE620AC-33DB-48B9-9E76-966E13AF5557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4" authorId="0" shapeId="0" xr:uid="{8AA5A542-B24D-42F1-A135-C55706325BEF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4" authorId="0" shapeId="0" xr:uid="{89E96629-C3A2-494E-A793-0CF1F70E1659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4" authorId="0" shapeId="0" xr:uid="{2393DC2F-F692-4707-B817-7414169C9E5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4" authorId="0" shapeId="0" xr:uid="{0A95EB11-45EE-4578-B363-718205A83121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4" authorId="0" shapeId="0" xr:uid="{2DD9FE50-DF6C-45F0-AF03-A5AC4A9F3A54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4" authorId="0" shapeId="0" xr:uid="{E9C04842-C63D-4210-995B-A3451859784D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17" authorId="0" shapeId="0" xr:uid="{1A4613F8-BDD0-4450-A781-B2510193C93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7" authorId="0" shapeId="0" xr:uid="{5E4BDF05-0D49-4D27-88A4-9F84E8ABD2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7" authorId="0" shapeId="0" xr:uid="{D80F2950-1458-4DC2-A7CA-D9E233B4022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7" authorId="0" shapeId="0" xr:uid="{BD3D9452-40B8-41DB-A2D1-FFAFFCD9240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7" authorId="0" shapeId="0" xr:uid="{4EA0E93D-2628-4958-B05C-6FFD9E14DB0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7" authorId="0" shapeId="0" xr:uid="{29043861-861F-4C8C-81CD-A7F924A3249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7" authorId="0" shapeId="0" xr:uid="{59282A2B-DDBF-45D1-8776-ED9AE061695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7" authorId="0" shapeId="0" xr:uid="{466FE3E5-451B-4187-A4B7-79D145E715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7" authorId="0" shapeId="0" xr:uid="{0523CB5D-098A-4FF9-A746-431C61ECA0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7" authorId="0" shapeId="0" xr:uid="{204CBD2E-8B76-4646-890B-4D69598567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7" authorId="0" shapeId="0" xr:uid="{3E492ACC-83E9-4A06-BA42-3381BDADD1F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7" authorId="0" shapeId="0" xr:uid="{8CE6A5DA-E284-4BD1-9E11-548AB770CD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7" authorId="0" shapeId="0" xr:uid="{CD3AA3BC-AAFE-44FF-9F7B-5B5F7FE3CF6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L119" authorId="0" shapeId="0" xr:uid="{10E0047C-9A79-4363-8DA4-8DA62086CFC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9" authorId="0" shapeId="0" xr:uid="{FFD355FE-DCB8-478A-B758-ACE0A68853D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9" authorId="0" shapeId="0" xr:uid="{14A061F3-2541-4A3A-B908-0372FD7692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9" authorId="0" shapeId="0" xr:uid="{F5986985-4594-4298-A4F0-8017BACD534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9" authorId="0" shapeId="0" xr:uid="{49E7F371-1FFF-4B96-9FBB-5F4FCAE87E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9" authorId="0" shapeId="0" xr:uid="{B347758A-D37B-4D22-8C6D-7C5457E2317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9" authorId="0" shapeId="0" xr:uid="{83A27665-CB69-4B02-9645-3D91833BD36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9" authorId="0" shapeId="0" xr:uid="{16B94205-C5EB-46AE-9DF8-BE41B777EED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9" authorId="0" shapeId="0" xr:uid="{FDC8B983-3542-48BF-8C4C-6D781165EC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9" authorId="0" shapeId="0" xr:uid="{9B692A5F-184F-4B12-80D9-E8067A0EA50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9" authorId="0" shapeId="0" xr:uid="{BD415F71-7924-4D74-9BBF-F0544CE2B1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9" authorId="0" shapeId="0" xr:uid="{FFF5FC5B-99CD-433E-B4AA-A9C7A3EE7B6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2" authorId="0" shapeId="0" xr:uid="{6B6F611F-2DAA-4F33-A0EA-DD6C76D671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2" authorId="0" shapeId="0" xr:uid="{742A0F30-F485-424B-98D5-650DD91D83A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2" authorId="0" shapeId="0" xr:uid="{A2F92033-5E0C-485D-A7DE-78F2D7DE1E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2" authorId="0" shapeId="0" xr:uid="{8D9A26A4-69D5-47DB-BA7D-27C8E05CE3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2" authorId="0" shapeId="0" xr:uid="{2C544252-C100-47AD-A751-4C130612BA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2" authorId="0" shapeId="0" xr:uid="{379717B2-92F6-4D43-B813-FA4428B8EBF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2" authorId="0" shapeId="0" xr:uid="{8098E73A-AA38-4930-B026-1F98DE2D393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2" authorId="0" shapeId="0" xr:uid="{81C8E562-D586-4249-8E73-D5FB6C54D8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2" authorId="0" shapeId="0" xr:uid="{88BA7330-3357-4882-8683-305DC47614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2" authorId="0" shapeId="0" xr:uid="{EDA9DB33-CE60-4626-B8F6-E257F91509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2" authorId="0" shapeId="0" xr:uid="{2B9E4A1B-1BDB-4F89-9929-AF359EFCBE2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2" authorId="0" shapeId="0" xr:uid="{A3575685-67BB-4E45-8745-D699BD14669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2" authorId="0" shapeId="0" xr:uid="{0F581947-A19E-465A-9382-FD5C9FFC69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4" authorId="0" shapeId="0" xr:uid="{3BBB6095-1993-4319-B2D3-A5C96727F5C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4" authorId="0" shapeId="0" xr:uid="{C6BF4017-C4AC-484E-B4EB-A18648BCD3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4" authorId="0" shapeId="0" xr:uid="{1298B02A-F59A-4D11-A6D3-AC1178DE338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4" authorId="0" shapeId="0" xr:uid="{0B950781-A257-4769-9F2F-5854E62E0F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4" authorId="0" shapeId="0" xr:uid="{E10A83C0-E62E-4CFE-A86B-8D3A6AC0164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4" authorId="0" shapeId="0" xr:uid="{78E8326A-5D92-4DEE-B0D3-A3B2AA78E3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4" authorId="0" shapeId="0" xr:uid="{7E388683-61B3-40A9-80DD-3569146CB18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4" authorId="0" shapeId="0" xr:uid="{D324AD33-149F-4D41-9618-F1FBF6AF06E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4" authorId="0" shapeId="0" xr:uid="{60B8797D-EEAF-44C4-B187-63E28669F76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4" authorId="0" shapeId="0" xr:uid="{E30E9B71-A419-41CF-B695-BCBBEFF9D74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4" authorId="0" shapeId="0" xr:uid="{47FE0E12-6AAB-4E99-9E7E-05C4CBA76D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4" authorId="0" shapeId="0" xr:uid="{E0F4A8CD-46E9-47B7-9A20-EC2C78568A0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4" authorId="0" shapeId="0" xr:uid="{6B160D12-5A66-4660-97CC-C9328759133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7" authorId="0" shapeId="0" xr:uid="{9AF34F58-3B35-444C-B3CA-87278C6DC14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7" authorId="0" shapeId="0" xr:uid="{FF52BB64-AD7B-4822-99F9-64945F512C5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7" authorId="0" shapeId="0" xr:uid="{29F51F00-6DA5-4AA9-9533-F2FED9F4DB3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7" authorId="0" shapeId="0" xr:uid="{FB6A5BC6-4CD4-44D3-89BC-48683CF33C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7" authorId="0" shapeId="0" xr:uid="{5825CCA4-6E80-4687-B70E-39A2B1C517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7" authorId="0" shapeId="0" xr:uid="{607F1BCE-5814-4A50-B151-A6ABE22422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7" authorId="0" shapeId="0" xr:uid="{2D541E1C-F42F-43D8-934F-EA23C54DC3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7" authorId="0" shapeId="0" xr:uid="{7B05C106-33FD-4E79-82E0-27E672FFA9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7" authorId="0" shapeId="0" xr:uid="{DC96F75A-30CD-42D5-9A6F-D23DD9FF4E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7" authorId="0" shapeId="0" xr:uid="{C7D2E2BB-39A4-412F-80B3-6DE363FC2B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7" authorId="0" shapeId="0" xr:uid="{7C659A5B-6241-4B22-A6F0-788ADE27BF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7" authorId="0" shapeId="0" xr:uid="{1744E4C0-5E32-4860-8F8E-365F35E2A13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7" authorId="0" shapeId="0" xr:uid="{D0D6F5C9-A38F-41A4-8921-1AD8B99595D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9" authorId="0" shapeId="0" xr:uid="{DB48EF50-C608-4D3F-A903-290D393001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9" authorId="0" shapeId="0" xr:uid="{C963F417-E26F-449B-8258-616091EDDB8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9" authorId="0" shapeId="0" xr:uid="{CA150F1F-F1EA-4F42-BB88-375AB04A52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9" authorId="0" shapeId="0" xr:uid="{E59AF168-0176-4523-8A38-219688A37C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9" authorId="0" shapeId="0" xr:uid="{515BEA28-9C76-467B-BC40-F21770C104E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9" authorId="0" shapeId="0" xr:uid="{0115E8C0-6156-46E4-8DDF-B13CBB798EB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9" authorId="0" shapeId="0" xr:uid="{2425D579-CD38-444E-8365-D29B098EB0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9" authorId="0" shapeId="0" xr:uid="{FE45E3D9-315F-4AE0-A349-950A1009E3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9" authorId="0" shapeId="0" xr:uid="{5598B2D1-5E23-4D73-9688-2B4F6E7B5BB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9" authorId="0" shapeId="0" xr:uid="{029DB483-FA28-49F8-BBDE-FF701AB21B7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9" authorId="0" shapeId="0" xr:uid="{57A48A39-D801-44A8-A3E5-2986BDC8CB3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9" authorId="0" shapeId="0" xr:uid="{ED77AF31-F8A0-4787-93A1-0B00D629DE2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9" authorId="0" shapeId="0" xr:uid="{9E54CF8D-D772-4692-9B00-7B30780F63D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2" authorId="0" shapeId="0" xr:uid="{86006CBD-B069-4BFA-ABDB-D71B2D7104B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2" authorId="0" shapeId="0" xr:uid="{8E41E33D-A72B-45C6-A7F1-FF0C2F7830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2" authorId="0" shapeId="0" xr:uid="{6F84C083-F968-4EA8-B849-5C7C60A0E2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2" authorId="0" shapeId="0" xr:uid="{42655170-7440-474A-92F0-0DD71C796A8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2" authorId="0" shapeId="0" xr:uid="{DFC95027-3648-4566-B9A1-09960D2702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2" authorId="0" shapeId="0" xr:uid="{9E2CF2B6-454F-41BB-B880-21BBE1679F2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2" authorId="0" shapeId="0" xr:uid="{57E66545-FFE8-4872-92B9-1CCA1745E31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2" authorId="0" shapeId="0" xr:uid="{B9944E8B-7532-4708-87CD-B583B2FFEAD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2" authorId="0" shapeId="0" xr:uid="{B29C178F-757E-46AF-A5ED-5853D17C51A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2" authorId="0" shapeId="0" xr:uid="{561B438E-ABC5-4E73-8995-53639568FF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2" authorId="0" shapeId="0" xr:uid="{BE124CC4-6A0F-4FB2-BA93-AE3AABF079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2" authorId="0" shapeId="0" xr:uid="{DBE169E5-029A-48F9-A498-B019CA425A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2" authorId="0" shapeId="0" xr:uid="{3BA4EA5D-691C-422D-B3B6-1FA552B7B8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4" authorId="0" shapeId="0" xr:uid="{13611BC5-FFFC-4079-A652-28951BFCDF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4" authorId="0" shapeId="0" xr:uid="{647792E4-9382-4195-B9A0-5DF3A19FD5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4" authorId="0" shapeId="0" xr:uid="{51691905-A8E4-4A22-B985-71BF05A856C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4" authorId="0" shapeId="0" xr:uid="{DC93B87D-8FA7-4318-8D22-93B484B8EC4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4" authorId="0" shapeId="0" xr:uid="{C3CDC58A-D10D-41F1-9BD4-E3DC5B0EBD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4" authorId="0" shapeId="0" xr:uid="{A25C1392-0B89-423B-8AB0-B9527C2132E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4" authorId="0" shapeId="0" xr:uid="{BCFE7B19-ACC7-4380-8414-7D922F3947D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4" authorId="0" shapeId="0" xr:uid="{65E6BAFE-5A4C-467D-9AEC-D243CDCDE9C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4" authorId="0" shapeId="0" xr:uid="{238F3E77-C9F0-4533-9286-A514616CA98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4" authorId="0" shapeId="0" xr:uid="{5098A909-4FE5-4968-A250-A6E9CC1EE6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4" authorId="0" shapeId="0" xr:uid="{D30654F7-DC9C-4611-81C2-0262CA73764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4" authorId="0" shapeId="0" xr:uid="{D049F073-3460-4513-8413-550579E00C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4" authorId="0" shapeId="0" xr:uid="{684C7123-BC38-4112-8AD8-FEE5DC73E42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7" authorId="0" shapeId="0" xr:uid="{70668FFB-9CE9-4A12-B923-D39EA196E79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7" authorId="0" shapeId="0" xr:uid="{0FEE0A0E-6260-46B5-AB0E-3F7C7F388F2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7" authorId="0" shapeId="0" xr:uid="{5133FC46-A752-4B37-92C2-92C59155F7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7" authorId="0" shapeId="0" xr:uid="{A5D72EAE-54BC-4E89-8ACB-786F8C1A365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7" authorId="0" shapeId="0" xr:uid="{F9FC71A6-2F42-4F1F-BBFB-B7AF149768C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7" authorId="0" shapeId="0" xr:uid="{DC882736-836E-46B5-AE49-B123A49E48C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7" authorId="0" shapeId="0" xr:uid="{FEE08AE0-2A09-49D5-BC21-38ECECE291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7" authorId="0" shapeId="0" xr:uid="{AE32AFF5-B7C5-41A2-AA2E-96F7E9A5E36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7" authorId="0" shapeId="0" xr:uid="{92DEC24F-B2F4-4241-8061-D79FD3692A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7" authorId="0" shapeId="0" xr:uid="{7C484FB5-DF71-47E7-B4EC-1B94F90D34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7" authorId="0" shapeId="0" xr:uid="{47483298-7F6B-46C9-ACE1-CE1FBDAB471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7" authorId="0" shapeId="0" xr:uid="{04902CE0-8CA8-4412-81D8-186707628A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7" authorId="0" shapeId="0" xr:uid="{0CDA9ACC-AF0F-47E7-BC30-3C75855786F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9" authorId="0" shapeId="0" xr:uid="{9B52BD2B-A1F7-4DCE-9CAC-2C3243C36B4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9" authorId="0" shapeId="0" xr:uid="{ED7DB0E2-03B3-426C-9653-13CBB63B74B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9" authorId="0" shapeId="0" xr:uid="{C29EC28C-1FDE-4230-A90F-F1C39F839D0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9" authorId="0" shapeId="0" xr:uid="{31FE9267-0838-4193-8BA7-6158055490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9" authorId="0" shapeId="0" xr:uid="{B56D6DCE-7088-4AD2-AF08-5537C1FD7E1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9" authorId="0" shapeId="0" xr:uid="{0BE263FF-9E92-424D-8000-E583CDD5EAA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9" authorId="0" shapeId="0" xr:uid="{BA7CCE72-AF0A-41D7-AED7-5FC5C9A0127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9" authorId="0" shapeId="0" xr:uid="{F709FC1B-9755-412C-893A-46920630FFC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9" authorId="0" shapeId="0" xr:uid="{2C74DF0D-0B4A-4B67-A43A-4B134439AF3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9" authorId="0" shapeId="0" xr:uid="{620025CB-BF7F-4DAE-A4DF-893F4A4365F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9" authorId="0" shapeId="0" xr:uid="{D9BFD477-1337-45E2-8FAB-3CD5A8DFC7E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9" authorId="0" shapeId="0" xr:uid="{55FA5339-CBB9-4DEE-84B4-A2CE904C1FD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9" authorId="0" shapeId="0" xr:uid="{306C651D-F2E1-43B8-9926-E3140530087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2" authorId="0" shapeId="0" xr:uid="{AB0E8679-1AEE-4A28-A4DB-4DF69192F2E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2" authorId="0" shapeId="0" xr:uid="{4D54F821-D259-4B90-BC64-5014B7C90B7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2" authorId="0" shapeId="0" xr:uid="{AFB7850C-E3FA-4BCE-A578-902F33C8F3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2" authorId="0" shapeId="0" xr:uid="{BB969361-24E2-4BDB-9AFA-42A755DCDD5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2" authorId="0" shapeId="0" xr:uid="{63DE145F-AE99-4F39-8B78-A54D049D90A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2" authorId="0" shapeId="0" xr:uid="{BB66B7BC-6B04-463D-B6A6-55726B001D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2" authorId="0" shapeId="0" xr:uid="{E486B945-4C44-44CF-A1DA-CF890E5178D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2" authorId="0" shapeId="0" xr:uid="{5A369AA6-D7F8-4495-83A5-1B6659862C9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2" authorId="0" shapeId="0" xr:uid="{76B34085-933F-42C1-993E-6710341DC6B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2" authorId="0" shapeId="0" xr:uid="{006AACCD-17CF-448A-9821-DFC0EF3389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2" authorId="0" shapeId="0" xr:uid="{75F0329F-11EB-4627-866E-4038F6927EA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2" authorId="0" shapeId="0" xr:uid="{0AAE0D10-13F5-4875-B7A3-BCE77C31109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2" authorId="0" shapeId="0" xr:uid="{2DE9E2B5-6BAE-4CF8-BEB1-BA2FCEE564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4" authorId="0" shapeId="0" xr:uid="{7329B7C9-FC47-4B9F-8E52-F0F1A3CD51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4" authorId="0" shapeId="0" xr:uid="{FED32BA1-7C2A-462B-AF83-2D08DDCB2E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4" authorId="0" shapeId="0" xr:uid="{A8691CFA-092B-4F8B-9C98-8270BF48335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4" authorId="0" shapeId="0" xr:uid="{660AD5DE-8D48-4112-BE5C-4BD0654522E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4" authorId="0" shapeId="0" xr:uid="{2C109EE1-6E42-4F58-A027-844988703E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4" authorId="0" shapeId="0" xr:uid="{B02A80CB-1228-477F-804F-B8C811CDF34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4" authorId="0" shapeId="0" xr:uid="{FAF4B8B8-DBFA-4AA1-AF59-037CA455C51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4" authorId="0" shapeId="0" xr:uid="{C6E3A70D-8D04-42E1-9AC9-4DEE512DFE1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4" authorId="0" shapeId="0" xr:uid="{912063A8-2F76-4BDA-B5FC-A8B7001D298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4" authorId="0" shapeId="0" xr:uid="{210EB9B2-D9D3-472A-A6BC-2595BA8D7D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4" authorId="0" shapeId="0" xr:uid="{0396886C-3736-4DE5-BF4A-A66F6D10989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4" authorId="0" shapeId="0" xr:uid="{31C4FE64-9390-4383-B6A4-96797F5E5A2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4" authorId="0" shapeId="0" xr:uid="{556E66FC-79AE-4167-941D-9894141776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7" authorId="0" shapeId="0" xr:uid="{4F2120E3-55EA-42E8-A16F-01932339959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7" authorId="0" shapeId="0" xr:uid="{EDF77232-4DBC-41C8-8CCD-8498B5BD67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7" authorId="0" shapeId="0" xr:uid="{3214D44E-C01E-46C1-B484-04A324C113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7" authorId="0" shapeId="0" xr:uid="{8917CFE8-7E9B-41CB-A171-F0AB9EA066F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7" authorId="0" shapeId="0" xr:uid="{CA525870-CC0F-4E02-99DE-37E291A25D3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7" authorId="0" shapeId="0" xr:uid="{77AFE7F2-480F-4AD9-84EE-68266BC4FC0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7" authorId="0" shapeId="0" xr:uid="{FD293319-FBE1-4C14-B430-FB428DE7887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7" authorId="0" shapeId="0" xr:uid="{2D4125D6-A3DE-4B37-B83E-96028CA3409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7" authorId="0" shapeId="0" xr:uid="{C392CC4F-EF03-417A-97F7-8673B965C0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7" authorId="0" shapeId="0" xr:uid="{B36707C9-1864-450F-9A42-8FF6AE2A7B8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7" authorId="0" shapeId="0" xr:uid="{2F98ED96-8C3B-4871-A5BC-1D1045ED6EC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7" authorId="0" shapeId="0" xr:uid="{A7DA8B9E-5577-4844-AFB6-FFA690F995B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7" authorId="0" shapeId="0" xr:uid="{E62DC239-8DB5-45C7-AF24-675230ED63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</commentList>
</comments>
</file>

<file path=xl/sharedStrings.xml><?xml version="1.0" encoding="utf-8"?>
<sst xmlns="http://schemas.openxmlformats.org/spreadsheetml/2006/main" count="15910" uniqueCount="5340">
  <si>
    <t>Date</t>
  </si>
  <si>
    <t>Anglers</t>
  </si>
  <si>
    <t>Pole</t>
  </si>
  <si>
    <t>Hours</t>
  </si>
  <si>
    <t>Adults</t>
  </si>
  <si>
    <t>Kept</t>
  </si>
  <si>
    <t>Steelhead</t>
  </si>
  <si>
    <t>Hatch</t>
  </si>
  <si>
    <t>Wild</t>
  </si>
  <si>
    <t>Jacks</t>
  </si>
  <si>
    <t>Coho</t>
  </si>
  <si>
    <t>#Anglers</t>
  </si>
  <si>
    <t>Start</t>
  </si>
  <si>
    <t>Stop</t>
  </si>
  <si>
    <t>Days</t>
  </si>
  <si>
    <t>Count</t>
  </si>
  <si>
    <t>Index</t>
  </si>
  <si>
    <t>Peak</t>
  </si>
  <si>
    <t>(total)</t>
  </si>
  <si>
    <t>(#)</t>
  </si>
  <si>
    <t>Avg</t>
  </si>
  <si>
    <t>Daylight</t>
  </si>
  <si>
    <t>Hrs</t>
  </si>
  <si>
    <t>Expansion</t>
  </si>
  <si>
    <t>Adult</t>
  </si>
  <si>
    <t>Boat</t>
  </si>
  <si>
    <t>Anglers/</t>
  </si>
  <si>
    <t>Bass</t>
  </si>
  <si>
    <t>Whitefish</t>
  </si>
  <si>
    <t>C. Catfish</t>
  </si>
  <si>
    <t>Boats</t>
  </si>
  <si>
    <t>Rel</t>
  </si>
  <si>
    <t>Sucker</t>
  </si>
  <si>
    <t>Incidental Catch</t>
  </si>
  <si>
    <t>(Released)</t>
  </si>
  <si>
    <t>Carp</t>
  </si>
  <si>
    <t>Catch</t>
  </si>
  <si>
    <t>Effort (Salmon Only)</t>
  </si>
  <si>
    <t>Day/End</t>
  </si>
  <si>
    <t>Day</t>
  </si>
  <si>
    <t>End</t>
  </si>
  <si>
    <t>Day/</t>
  </si>
  <si>
    <t>Ang/</t>
  </si>
  <si>
    <t>boat</t>
  </si>
  <si>
    <r>
      <t>9.16</t>
    </r>
    <r>
      <rPr>
        <vertAlign val="superscript"/>
        <sz val="10"/>
        <rFont val="Verdana"/>
        <family val="2"/>
      </rPr>
      <t xml:space="preserve">P </t>
    </r>
  </si>
  <si>
    <r>
      <t>9.14</t>
    </r>
    <r>
      <rPr>
        <vertAlign val="superscript"/>
        <sz val="10"/>
        <rFont val="Verdana"/>
        <family val="2"/>
      </rPr>
      <t xml:space="preserve">P </t>
    </r>
  </si>
  <si>
    <r>
      <t>9.13</t>
    </r>
    <r>
      <rPr>
        <vertAlign val="superscript"/>
        <sz val="10"/>
        <rFont val="Verdana"/>
        <family val="2"/>
      </rPr>
      <t xml:space="preserve">P </t>
    </r>
  </si>
  <si>
    <r>
      <t>9.12</t>
    </r>
    <r>
      <rPr>
        <vertAlign val="superscript"/>
        <sz val="10"/>
        <rFont val="Verdana"/>
        <family val="2"/>
      </rPr>
      <t xml:space="preserve">P </t>
    </r>
  </si>
  <si>
    <r>
      <t>9.11</t>
    </r>
    <r>
      <rPr>
        <vertAlign val="superscript"/>
        <sz val="10"/>
        <rFont val="Verdana"/>
        <family val="2"/>
      </rPr>
      <t xml:space="preserve">P </t>
    </r>
  </si>
  <si>
    <r>
      <t>9.10</t>
    </r>
    <r>
      <rPr>
        <vertAlign val="superscript"/>
        <sz val="10"/>
        <rFont val="Verdana"/>
        <family val="2"/>
      </rPr>
      <t xml:space="preserve">P </t>
    </r>
  </si>
  <si>
    <r>
      <t>9.09</t>
    </r>
    <r>
      <rPr>
        <vertAlign val="superscript"/>
        <sz val="10"/>
        <rFont val="Verdana"/>
        <family val="2"/>
      </rPr>
      <t xml:space="preserve">P </t>
    </r>
  </si>
  <si>
    <r>
      <t>9.08</t>
    </r>
    <r>
      <rPr>
        <vertAlign val="superscript"/>
        <sz val="10"/>
        <rFont val="Verdana"/>
        <family val="2"/>
      </rPr>
      <t xml:space="preserve">P </t>
    </r>
  </si>
  <si>
    <r>
      <t>9.07</t>
    </r>
    <r>
      <rPr>
        <vertAlign val="superscript"/>
        <sz val="10"/>
        <rFont val="Verdana"/>
        <family val="2"/>
      </rPr>
      <t xml:space="preserve">P </t>
    </r>
  </si>
  <si>
    <r>
      <t>9.05</t>
    </r>
    <r>
      <rPr>
        <vertAlign val="superscript"/>
        <sz val="10"/>
        <rFont val="Verdana"/>
        <family val="2"/>
      </rPr>
      <t xml:space="preserve">P </t>
    </r>
  </si>
  <si>
    <r>
      <t>9.04</t>
    </r>
    <r>
      <rPr>
        <vertAlign val="superscript"/>
        <sz val="10"/>
        <rFont val="Verdana"/>
        <family val="2"/>
      </rPr>
      <t xml:space="preserve">P </t>
    </r>
  </si>
  <si>
    <r>
      <t>9.03</t>
    </r>
    <r>
      <rPr>
        <vertAlign val="superscript"/>
        <sz val="10"/>
        <rFont val="Verdana"/>
        <family val="2"/>
      </rPr>
      <t xml:space="preserve">P </t>
    </r>
  </si>
  <si>
    <r>
      <t>9.02</t>
    </r>
    <r>
      <rPr>
        <vertAlign val="superscript"/>
        <sz val="10"/>
        <rFont val="Verdana"/>
        <family val="2"/>
      </rPr>
      <t xml:space="preserve">P </t>
    </r>
  </si>
  <si>
    <r>
      <t>9.01</t>
    </r>
    <r>
      <rPr>
        <vertAlign val="superscript"/>
        <sz val="10"/>
        <rFont val="Verdana"/>
        <family val="2"/>
      </rPr>
      <t xml:space="preserve">P </t>
    </r>
  </si>
  <si>
    <r>
      <t>9.00</t>
    </r>
    <r>
      <rPr>
        <vertAlign val="superscript"/>
        <sz val="10"/>
        <rFont val="Verdana"/>
        <family val="2"/>
      </rPr>
      <t xml:space="preserve">P </t>
    </r>
  </si>
  <si>
    <r>
      <t>8.99</t>
    </r>
    <r>
      <rPr>
        <vertAlign val="superscript"/>
        <sz val="10"/>
        <rFont val="Verdana"/>
        <family val="2"/>
      </rPr>
      <t xml:space="preserve">P </t>
    </r>
  </si>
  <si>
    <r>
      <t>8.98</t>
    </r>
    <r>
      <rPr>
        <vertAlign val="superscript"/>
        <sz val="10"/>
        <rFont val="Verdana"/>
        <family val="2"/>
      </rPr>
      <t xml:space="preserve">P </t>
    </r>
  </si>
  <si>
    <r>
      <t>8.96</t>
    </r>
    <r>
      <rPr>
        <vertAlign val="superscript"/>
        <sz val="10"/>
        <rFont val="Verdana"/>
        <family val="2"/>
      </rPr>
      <t xml:space="preserve">P </t>
    </r>
  </si>
  <si>
    <r>
      <t>8.95</t>
    </r>
    <r>
      <rPr>
        <vertAlign val="superscript"/>
        <sz val="10"/>
        <rFont val="Verdana"/>
        <family val="2"/>
      </rPr>
      <t xml:space="preserve">P </t>
    </r>
  </si>
  <si>
    <r>
      <t>8.94</t>
    </r>
    <r>
      <rPr>
        <vertAlign val="superscript"/>
        <sz val="10"/>
        <rFont val="Verdana"/>
        <family val="2"/>
      </rPr>
      <t xml:space="preserve">P </t>
    </r>
  </si>
  <si>
    <r>
      <t>8.93</t>
    </r>
    <r>
      <rPr>
        <vertAlign val="superscript"/>
        <sz val="10"/>
        <rFont val="Verdana"/>
        <family val="2"/>
      </rPr>
      <t xml:space="preserve">P </t>
    </r>
  </si>
  <si>
    <r>
      <t>8.92</t>
    </r>
    <r>
      <rPr>
        <vertAlign val="superscript"/>
        <sz val="10"/>
        <rFont val="Verdana"/>
        <family val="2"/>
      </rPr>
      <t xml:space="preserve">P </t>
    </r>
  </si>
  <si>
    <r>
      <t>8.91</t>
    </r>
    <r>
      <rPr>
        <vertAlign val="superscript"/>
        <sz val="10"/>
        <rFont val="Verdana"/>
        <family val="2"/>
      </rPr>
      <t xml:space="preserve">P </t>
    </r>
  </si>
  <si>
    <r>
      <t>8.87</t>
    </r>
    <r>
      <rPr>
        <vertAlign val="superscript"/>
        <sz val="10"/>
        <rFont val="Verdana"/>
        <family val="2"/>
      </rPr>
      <t xml:space="preserve">P </t>
    </r>
  </si>
  <si>
    <r>
      <t>8.90</t>
    </r>
    <r>
      <rPr>
        <vertAlign val="superscript"/>
        <sz val="10"/>
        <rFont val="Verdana"/>
        <family val="2"/>
      </rPr>
      <t xml:space="preserve">P </t>
    </r>
  </si>
  <si>
    <r>
      <t>8.89</t>
    </r>
    <r>
      <rPr>
        <vertAlign val="superscript"/>
        <sz val="10"/>
        <rFont val="Verdana"/>
        <family val="2"/>
      </rPr>
      <t xml:space="preserve">P </t>
    </r>
  </si>
  <si>
    <r>
      <t>8.88</t>
    </r>
    <r>
      <rPr>
        <vertAlign val="superscript"/>
        <sz val="10"/>
        <rFont val="Verdana"/>
        <family val="2"/>
      </rPr>
      <t xml:space="preserve">P </t>
    </r>
  </si>
  <si>
    <r>
      <t>8.86</t>
    </r>
    <r>
      <rPr>
        <vertAlign val="superscript"/>
        <sz val="10"/>
        <rFont val="Verdana"/>
        <family val="2"/>
      </rPr>
      <t xml:space="preserve">P </t>
    </r>
  </si>
  <si>
    <r>
      <t>8.85</t>
    </r>
    <r>
      <rPr>
        <vertAlign val="superscript"/>
        <sz val="10"/>
        <rFont val="Verdana"/>
        <family val="2"/>
      </rPr>
      <t xml:space="preserve">P </t>
    </r>
  </si>
  <si>
    <r>
      <t>8.84</t>
    </r>
    <r>
      <rPr>
        <vertAlign val="superscript"/>
        <sz val="10"/>
        <rFont val="Verdana"/>
        <family val="2"/>
      </rPr>
      <t xml:space="preserve">P </t>
    </r>
  </si>
  <si>
    <r>
      <t>8.82</t>
    </r>
    <r>
      <rPr>
        <vertAlign val="superscript"/>
        <sz val="10"/>
        <rFont val="Verdana"/>
        <family val="2"/>
      </rPr>
      <t xml:space="preserve">P </t>
    </r>
  </si>
  <si>
    <r>
      <t>8.81</t>
    </r>
    <r>
      <rPr>
        <vertAlign val="superscript"/>
        <sz val="10"/>
        <rFont val="Verdana"/>
        <family val="2"/>
      </rPr>
      <t xml:space="preserve">P </t>
    </r>
  </si>
  <si>
    <r>
      <t>8.80</t>
    </r>
    <r>
      <rPr>
        <vertAlign val="superscript"/>
        <sz val="10"/>
        <rFont val="Verdana"/>
        <family val="2"/>
      </rPr>
      <t xml:space="preserve">P </t>
    </r>
  </si>
  <si>
    <r>
      <t>8.79</t>
    </r>
    <r>
      <rPr>
        <vertAlign val="superscript"/>
        <sz val="10"/>
        <rFont val="Verdana"/>
        <family val="2"/>
      </rPr>
      <t xml:space="preserve">P </t>
    </r>
  </si>
  <si>
    <r>
      <t>8.78</t>
    </r>
    <r>
      <rPr>
        <vertAlign val="superscript"/>
        <sz val="10"/>
        <rFont val="Verdana"/>
        <family val="2"/>
      </rPr>
      <t xml:space="preserve">P </t>
    </r>
  </si>
  <si>
    <r>
      <t>8.77</t>
    </r>
    <r>
      <rPr>
        <vertAlign val="superscript"/>
        <sz val="10"/>
        <rFont val="Verdana"/>
        <family val="2"/>
      </rPr>
      <t xml:space="preserve">P </t>
    </r>
  </si>
  <si>
    <r>
      <t>8.75</t>
    </r>
    <r>
      <rPr>
        <vertAlign val="superscript"/>
        <sz val="10"/>
        <rFont val="Verdana"/>
        <family val="2"/>
      </rPr>
      <t xml:space="preserve">P </t>
    </r>
  </si>
  <si>
    <r>
      <t>8.74</t>
    </r>
    <r>
      <rPr>
        <vertAlign val="superscript"/>
        <sz val="10"/>
        <rFont val="Verdana"/>
        <family val="2"/>
      </rPr>
      <t xml:space="preserve">P </t>
    </r>
  </si>
  <si>
    <r>
      <t>8.73</t>
    </r>
    <r>
      <rPr>
        <vertAlign val="superscript"/>
        <sz val="10"/>
        <rFont val="Verdana"/>
        <family val="2"/>
      </rPr>
      <t xml:space="preserve">P </t>
    </r>
  </si>
  <si>
    <r>
      <t>8.72</t>
    </r>
    <r>
      <rPr>
        <vertAlign val="superscript"/>
        <sz val="10"/>
        <rFont val="Verdana"/>
        <family val="2"/>
      </rPr>
      <t xml:space="preserve">P </t>
    </r>
  </si>
  <si>
    <r>
      <t>8.71</t>
    </r>
    <r>
      <rPr>
        <vertAlign val="superscript"/>
        <sz val="10"/>
        <rFont val="Verdana"/>
        <family val="2"/>
      </rPr>
      <t xml:space="preserve">P </t>
    </r>
  </si>
  <si>
    <r>
      <t>8.70</t>
    </r>
    <r>
      <rPr>
        <vertAlign val="superscript"/>
        <sz val="10"/>
        <rFont val="Verdana"/>
        <family val="2"/>
      </rPr>
      <t xml:space="preserve">P </t>
    </r>
  </si>
  <si>
    <r>
      <t>8.69</t>
    </r>
    <r>
      <rPr>
        <vertAlign val="superscript"/>
        <sz val="10"/>
        <rFont val="Verdana"/>
        <family val="2"/>
      </rPr>
      <t xml:space="preserve">P </t>
    </r>
  </si>
  <si>
    <r>
      <t>8.68</t>
    </r>
    <r>
      <rPr>
        <vertAlign val="superscript"/>
        <sz val="10"/>
        <rFont val="Verdana"/>
        <family val="2"/>
      </rPr>
      <t xml:space="preserve">P </t>
    </r>
  </si>
  <si>
    <r>
      <t>8.67</t>
    </r>
    <r>
      <rPr>
        <vertAlign val="superscript"/>
        <sz val="10"/>
        <rFont val="Verdana"/>
        <family val="2"/>
      </rPr>
      <t xml:space="preserve">P </t>
    </r>
  </si>
  <si>
    <r>
      <t>8.66</t>
    </r>
    <r>
      <rPr>
        <vertAlign val="superscript"/>
        <sz val="10"/>
        <rFont val="Verdana"/>
        <family val="2"/>
      </rPr>
      <t xml:space="preserve">P </t>
    </r>
  </si>
  <si>
    <r>
      <t>8.65</t>
    </r>
    <r>
      <rPr>
        <vertAlign val="superscript"/>
        <sz val="10"/>
        <rFont val="Verdana"/>
        <family val="2"/>
      </rPr>
      <t xml:space="preserve">P </t>
    </r>
  </si>
  <si>
    <r>
      <t>8.64</t>
    </r>
    <r>
      <rPr>
        <vertAlign val="superscript"/>
        <sz val="10"/>
        <rFont val="Verdana"/>
        <family val="2"/>
      </rPr>
      <t xml:space="preserve">P </t>
    </r>
  </si>
  <si>
    <r>
      <t>8.63</t>
    </r>
    <r>
      <rPr>
        <vertAlign val="superscript"/>
        <sz val="10"/>
        <rFont val="Verdana"/>
        <family val="2"/>
      </rPr>
      <t xml:space="preserve">P </t>
    </r>
  </si>
  <si>
    <r>
      <t>8.62</t>
    </r>
    <r>
      <rPr>
        <vertAlign val="superscript"/>
        <sz val="10"/>
        <rFont val="Verdana"/>
        <family val="2"/>
      </rPr>
      <t xml:space="preserve">P </t>
    </r>
  </si>
  <si>
    <r>
      <t>8.61</t>
    </r>
    <r>
      <rPr>
        <vertAlign val="superscript"/>
        <sz val="10"/>
        <rFont val="Verdana"/>
        <family val="2"/>
      </rPr>
      <t xml:space="preserve">P </t>
    </r>
  </si>
  <si>
    <r>
      <t>8.60</t>
    </r>
    <r>
      <rPr>
        <vertAlign val="superscript"/>
        <sz val="10"/>
        <rFont val="Verdana"/>
        <family val="2"/>
      </rPr>
      <t xml:space="preserve">P </t>
    </r>
  </si>
  <si>
    <r>
      <t>8.59</t>
    </r>
    <r>
      <rPr>
        <vertAlign val="superscript"/>
        <sz val="10"/>
        <rFont val="Verdana"/>
        <family val="2"/>
      </rPr>
      <t xml:space="preserve">P </t>
    </r>
  </si>
  <si>
    <r>
      <t>8.58</t>
    </r>
    <r>
      <rPr>
        <vertAlign val="superscript"/>
        <sz val="10"/>
        <rFont val="Verdana"/>
        <family val="2"/>
      </rPr>
      <t xml:space="preserve">P </t>
    </r>
  </si>
  <si>
    <r>
      <t>8.57</t>
    </r>
    <r>
      <rPr>
        <vertAlign val="superscript"/>
        <sz val="10"/>
        <rFont val="Verdana"/>
        <family val="2"/>
      </rPr>
      <t xml:space="preserve">P </t>
    </r>
  </si>
  <si>
    <r>
      <t>8.56</t>
    </r>
    <r>
      <rPr>
        <vertAlign val="superscript"/>
        <sz val="10"/>
        <rFont val="Verdana"/>
        <family val="2"/>
      </rPr>
      <t xml:space="preserve">P </t>
    </r>
  </si>
  <si>
    <r>
      <t>8.55</t>
    </r>
    <r>
      <rPr>
        <vertAlign val="superscript"/>
        <sz val="10"/>
        <rFont val="Verdana"/>
        <family val="2"/>
      </rPr>
      <t xml:space="preserve">P </t>
    </r>
  </si>
  <si>
    <r>
      <t>8.54</t>
    </r>
    <r>
      <rPr>
        <vertAlign val="superscript"/>
        <sz val="10"/>
        <rFont val="Verdana"/>
        <family val="2"/>
      </rPr>
      <t xml:space="preserve">P </t>
    </r>
  </si>
  <si>
    <r>
      <t>8.53</t>
    </r>
    <r>
      <rPr>
        <vertAlign val="superscript"/>
        <sz val="10"/>
        <rFont val="Verdana"/>
        <family val="2"/>
      </rPr>
      <t xml:space="preserve">P </t>
    </r>
  </si>
  <si>
    <r>
      <t>8.52</t>
    </r>
    <r>
      <rPr>
        <vertAlign val="superscript"/>
        <sz val="10"/>
        <rFont val="Verdana"/>
        <family val="2"/>
      </rPr>
      <t xml:space="preserve">P </t>
    </r>
  </si>
  <si>
    <r>
      <t>8.51</t>
    </r>
    <r>
      <rPr>
        <vertAlign val="superscript"/>
        <sz val="10"/>
        <rFont val="Verdana"/>
        <family val="2"/>
      </rPr>
      <t xml:space="preserve">P </t>
    </r>
  </si>
  <si>
    <r>
      <t>8.50</t>
    </r>
    <r>
      <rPr>
        <vertAlign val="superscript"/>
        <sz val="10"/>
        <rFont val="Verdana"/>
        <family val="2"/>
      </rPr>
      <t xml:space="preserve">P </t>
    </r>
  </si>
  <si>
    <r>
      <t>8.49</t>
    </r>
    <r>
      <rPr>
        <vertAlign val="superscript"/>
        <sz val="10"/>
        <rFont val="Verdana"/>
        <family val="2"/>
      </rPr>
      <t xml:space="preserve">P </t>
    </r>
  </si>
  <si>
    <r>
      <t>8.48</t>
    </r>
    <r>
      <rPr>
        <vertAlign val="superscript"/>
        <sz val="10"/>
        <rFont val="Verdana"/>
        <family val="2"/>
      </rPr>
      <t xml:space="preserve">P </t>
    </r>
  </si>
  <si>
    <r>
      <t>8.47</t>
    </r>
    <r>
      <rPr>
        <vertAlign val="superscript"/>
        <sz val="10"/>
        <rFont val="Verdana"/>
        <family val="2"/>
      </rPr>
      <t xml:space="preserve">P </t>
    </r>
  </si>
  <si>
    <r>
      <t>8.46</t>
    </r>
    <r>
      <rPr>
        <vertAlign val="superscript"/>
        <sz val="10"/>
        <rFont val="Verdana"/>
        <family val="2"/>
      </rPr>
      <t xml:space="preserve">P </t>
    </r>
  </si>
  <si>
    <r>
      <t>8.45</t>
    </r>
    <r>
      <rPr>
        <vertAlign val="superscript"/>
        <sz val="10"/>
        <rFont val="Verdana"/>
        <family val="2"/>
      </rPr>
      <t xml:space="preserve">P </t>
    </r>
  </si>
  <si>
    <r>
      <t>8.44</t>
    </r>
    <r>
      <rPr>
        <vertAlign val="superscript"/>
        <sz val="10"/>
        <rFont val="Verdana"/>
        <family val="2"/>
      </rPr>
      <t xml:space="preserve">P </t>
    </r>
  </si>
  <si>
    <r>
      <t>8.43</t>
    </r>
    <r>
      <rPr>
        <vertAlign val="superscript"/>
        <sz val="10"/>
        <rFont val="Verdana"/>
        <family val="2"/>
      </rPr>
      <t xml:space="preserve">P </t>
    </r>
  </si>
  <si>
    <r>
      <t>8.42</t>
    </r>
    <r>
      <rPr>
        <vertAlign val="superscript"/>
        <sz val="10"/>
        <rFont val="Verdana"/>
        <family val="2"/>
      </rPr>
      <t xml:space="preserve">P </t>
    </r>
  </si>
  <si>
    <r>
      <t>8.41</t>
    </r>
    <r>
      <rPr>
        <vertAlign val="superscript"/>
        <sz val="10"/>
        <rFont val="Verdana"/>
        <family val="2"/>
      </rPr>
      <t xml:space="preserve">P </t>
    </r>
  </si>
  <si>
    <r>
      <t>8.40</t>
    </r>
    <r>
      <rPr>
        <vertAlign val="superscript"/>
        <sz val="10"/>
        <rFont val="Verdana"/>
        <family val="2"/>
      </rPr>
      <t xml:space="preserve">P </t>
    </r>
  </si>
  <si>
    <r>
      <t>8.39</t>
    </r>
    <r>
      <rPr>
        <vertAlign val="superscript"/>
        <sz val="10"/>
        <rFont val="Verdana"/>
        <family val="2"/>
      </rPr>
      <t xml:space="preserve">P </t>
    </r>
  </si>
  <si>
    <r>
      <t>8.38</t>
    </r>
    <r>
      <rPr>
        <vertAlign val="superscript"/>
        <sz val="10"/>
        <rFont val="Verdana"/>
        <family val="2"/>
      </rPr>
      <t xml:space="preserve">P </t>
    </r>
  </si>
  <si>
    <r>
      <t>8.37</t>
    </r>
    <r>
      <rPr>
        <vertAlign val="superscript"/>
        <sz val="10"/>
        <rFont val="Verdana"/>
        <family val="2"/>
      </rPr>
      <t xml:space="preserve">P </t>
    </r>
  </si>
  <si>
    <r>
      <t>8.36</t>
    </r>
    <r>
      <rPr>
        <vertAlign val="superscript"/>
        <sz val="10"/>
        <rFont val="Verdana"/>
        <family val="2"/>
      </rPr>
      <t xml:space="preserve">P </t>
    </r>
  </si>
  <si>
    <r>
      <t>8.35</t>
    </r>
    <r>
      <rPr>
        <vertAlign val="superscript"/>
        <sz val="10"/>
        <rFont val="Verdana"/>
        <family val="2"/>
      </rPr>
      <t xml:space="preserve">P </t>
    </r>
  </si>
  <si>
    <r>
      <t>8.34</t>
    </r>
    <r>
      <rPr>
        <vertAlign val="superscript"/>
        <sz val="10"/>
        <rFont val="Verdana"/>
        <family val="2"/>
      </rPr>
      <t xml:space="preserve">P </t>
    </r>
  </si>
  <si>
    <r>
      <t>8.33</t>
    </r>
    <r>
      <rPr>
        <vertAlign val="superscript"/>
        <sz val="10"/>
        <rFont val="Verdana"/>
        <family val="2"/>
      </rPr>
      <t xml:space="preserve">P </t>
    </r>
  </si>
  <si>
    <r>
      <t>8.32</t>
    </r>
    <r>
      <rPr>
        <vertAlign val="superscript"/>
        <sz val="10"/>
        <rFont val="Verdana"/>
        <family val="2"/>
      </rPr>
      <t xml:space="preserve">P </t>
    </r>
  </si>
  <si>
    <r>
      <t>8.31</t>
    </r>
    <r>
      <rPr>
        <vertAlign val="superscript"/>
        <sz val="10"/>
        <rFont val="Verdana"/>
        <family val="2"/>
      </rPr>
      <t xml:space="preserve">P </t>
    </r>
  </si>
  <si>
    <r>
      <t>8.30</t>
    </r>
    <r>
      <rPr>
        <vertAlign val="superscript"/>
        <sz val="10"/>
        <rFont val="Verdana"/>
        <family val="2"/>
      </rPr>
      <t xml:space="preserve">P </t>
    </r>
  </si>
  <si>
    <r>
      <t>8.29</t>
    </r>
    <r>
      <rPr>
        <vertAlign val="superscript"/>
        <sz val="10"/>
        <rFont val="Verdana"/>
        <family val="2"/>
      </rPr>
      <t xml:space="preserve">P </t>
    </r>
  </si>
  <si>
    <r>
      <t>8.28</t>
    </r>
    <r>
      <rPr>
        <vertAlign val="superscript"/>
        <sz val="10"/>
        <rFont val="Verdana"/>
        <family val="2"/>
      </rPr>
      <t xml:space="preserve">P </t>
    </r>
  </si>
  <si>
    <r>
      <t>8.27</t>
    </r>
    <r>
      <rPr>
        <vertAlign val="superscript"/>
        <sz val="10"/>
        <rFont val="Verdana"/>
        <family val="2"/>
      </rPr>
      <t xml:space="preserve">P </t>
    </r>
  </si>
  <si>
    <r>
      <t>8.26</t>
    </r>
    <r>
      <rPr>
        <vertAlign val="superscript"/>
        <sz val="10"/>
        <rFont val="Verdana"/>
        <family val="2"/>
      </rPr>
      <t xml:space="preserve">P </t>
    </r>
  </si>
  <si>
    <r>
      <t>8.25</t>
    </r>
    <r>
      <rPr>
        <vertAlign val="superscript"/>
        <sz val="10"/>
        <rFont val="Verdana"/>
        <family val="2"/>
      </rPr>
      <t xml:space="preserve">P </t>
    </r>
  </si>
  <si>
    <r>
      <t>8.24</t>
    </r>
    <r>
      <rPr>
        <vertAlign val="superscript"/>
        <sz val="10"/>
        <rFont val="Verdana"/>
        <family val="2"/>
      </rPr>
      <t xml:space="preserve">P </t>
    </r>
  </si>
  <si>
    <r>
      <t>8.23</t>
    </r>
    <r>
      <rPr>
        <vertAlign val="superscript"/>
        <sz val="10"/>
        <rFont val="Verdana"/>
        <family val="2"/>
      </rPr>
      <t xml:space="preserve">P </t>
    </r>
  </si>
  <si>
    <r>
      <t>8.22</t>
    </r>
    <r>
      <rPr>
        <vertAlign val="superscript"/>
        <sz val="10"/>
        <rFont val="Verdana"/>
        <family val="2"/>
      </rPr>
      <t xml:space="preserve">P </t>
    </r>
  </si>
  <si>
    <r>
      <t>8.21</t>
    </r>
    <r>
      <rPr>
        <vertAlign val="superscript"/>
        <sz val="10"/>
        <rFont val="Verdana"/>
        <family val="2"/>
      </rPr>
      <t xml:space="preserve">P </t>
    </r>
  </si>
  <si>
    <r>
      <t>8.20</t>
    </r>
    <r>
      <rPr>
        <vertAlign val="superscript"/>
        <sz val="10"/>
        <rFont val="Verdana"/>
        <family val="2"/>
      </rPr>
      <t xml:space="preserve">P </t>
    </r>
  </si>
  <si>
    <r>
      <t>8.19</t>
    </r>
    <r>
      <rPr>
        <vertAlign val="superscript"/>
        <sz val="10"/>
        <rFont val="Verdana"/>
        <family val="2"/>
      </rPr>
      <t xml:space="preserve">P </t>
    </r>
  </si>
  <si>
    <r>
      <t>8.18</t>
    </r>
    <r>
      <rPr>
        <vertAlign val="superscript"/>
        <sz val="10"/>
        <rFont val="Verdana"/>
        <family val="2"/>
      </rPr>
      <t xml:space="preserve">P </t>
    </r>
  </si>
  <si>
    <r>
      <t>8.17</t>
    </r>
    <r>
      <rPr>
        <vertAlign val="superscript"/>
        <sz val="10"/>
        <rFont val="Verdana"/>
        <family val="2"/>
      </rPr>
      <t xml:space="preserve">P </t>
    </r>
  </si>
  <si>
    <r>
      <t>8.16</t>
    </r>
    <r>
      <rPr>
        <vertAlign val="superscript"/>
        <sz val="10"/>
        <rFont val="Verdana"/>
        <family val="2"/>
      </rPr>
      <t xml:space="preserve">P </t>
    </r>
  </si>
  <si>
    <r>
      <t>8.15</t>
    </r>
    <r>
      <rPr>
        <vertAlign val="superscript"/>
        <sz val="10"/>
        <rFont val="Verdana"/>
        <family val="2"/>
      </rPr>
      <t xml:space="preserve">P </t>
    </r>
  </si>
  <si>
    <r>
      <t>8.14</t>
    </r>
    <r>
      <rPr>
        <vertAlign val="superscript"/>
        <sz val="10"/>
        <rFont val="Verdana"/>
        <family val="2"/>
      </rPr>
      <t xml:space="preserve">P </t>
    </r>
  </si>
  <si>
    <r>
      <t>8.13</t>
    </r>
    <r>
      <rPr>
        <vertAlign val="superscript"/>
        <sz val="10"/>
        <rFont val="Verdana"/>
        <family val="2"/>
      </rPr>
      <t xml:space="preserve">P </t>
    </r>
  </si>
  <si>
    <r>
      <t>8.12</t>
    </r>
    <r>
      <rPr>
        <vertAlign val="superscript"/>
        <sz val="10"/>
        <rFont val="Verdana"/>
        <family val="2"/>
      </rPr>
      <t xml:space="preserve">P </t>
    </r>
  </si>
  <si>
    <r>
      <t>8.11</t>
    </r>
    <r>
      <rPr>
        <vertAlign val="superscript"/>
        <sz val="10"/>
        <rFont val="Verdana"/>
        <family val="2"/>
      </rPr>
      <t xml:space="preserve">P </t>
    </r>
  </si>
  <si>
    <r>
      <t>8.10</t>
    </r>
    <r>
      <rPr>
        <vertAlign val="superscript"/>
        <sz val="10"/>
        <rFont val="Verdana"/>
        <family val="2"/>
      </rPr>
      <t xml:space="preserve">P </t>
    </r>
  </si>
  <si>
    <r>
      <t>8.09</t>
    </r>
    <r>
      <rPr>
        <vertAlign val="superscript"/>
        <sz val="10"/>
        <rFont val="Verdana"/>
        <family val="2"/>
      </rPr>
      <t xml:space="preserve">P </t>
    </r>
  </si>
  <si>
    <r>
      <t>8.08</t>
    </r>
    <r>
      <rPr>
        <vertAlign val="superscript"/>
        <sz val="10"/>
        <rFont val="Verdana"/>
        <family val="2"/>
      </rPr>
      <t xml:space="preserve">P </t>
    </r>
  </si>
  <si>
    <r>
      <t>8.07</t>
    </r>
    <r>
      <rPr>
        <vertAlign val="superscript"/>
        <sz val="10"/>
        <rFont val="Verdana"/>
        <family val="2"/>
      </rPr>
      <t xml:space="preserve">P </t>
    </r>
  </si>
  <si>
    <r>
      <t>8.06</t>
    </r>
    <r>
      <rPr>
        <vertAlign val="superscript"/>
        <sz val="10"/>
        <rFont val="Verdana"/>
        <family val="2"/>
      </rPr>
      <t xml:space="preserve">P </t>
    </r>
  </si>
  <si>
    <r>
      <t>8.05</t>
    </r>
    <r>
      <rPr>
        <vertAlign val="superscript"/>
        <sz val="10"/>
        <rFont val="Verdana"/>
        <family val="2"/>
      </rPr>
      <t xml:space="preserve">P </t>
    </r>
  </si>
  <si>
    <r>
      <t>8.04</t>
    </r>
    <r>
      <rPr>
        <vertAlign val="superscript"/>
        <sz val="10"/>
        <rFont val="Verdana"/>
        <family val="2"/>
      </rPr>
      <t xml:space="preserve">P </t>
    </r>
  </si>
  <si>
    <r>
      <t>8.03</t>
    </r>
    <r>
      <rPr>
        <vertAlign val="superscript"/>
        <sz val="10"/>
        <rFont val="Verdana"/>
        <family val="2"/>
      </rPr>
      <t xml:space="preserve">P </t>
    </r>
  </si>
  <si>
    <r>
      <t>8.02</t>
    </r>
    <r>
      <rPr>
        <vertAlign val="superscript"/>
        <sz val="10"/>
        <rFont val="Verdana"/>
        <family val="2"/>
      </rPr>
      <t xml:space="preserve">P </t>
    </r>
  </si>
  <si>
    <r>
      <t>8.01</t>
    </r>
    <r>
      <rPr>
        <vertAlign val="superscript"/>
        <sz val="10"/>
        <rFont val="Verdana"/>
        <family val="2"/>
      </rPr>
      <t xml:space="preserve">P </t>
    </r>
  </si>
  <si>
    <r>
      <t>8.00</t>
    </r>
    <r>
      <rPr>
        <vertAlign val="superscript"/>
        <sz val="10"/>
        <rFont val="Verdana"/>
        <family val="2"/>
      </rPr>
      <t xml:space="preserve">P </t>
    </r>
  </si>
  <si>
    <r>
      <t>7.99</t>
    </r>
    <r>
      <rPr>
        <vertAlign val="superscript"/>
        <sz val="10"/>
        <rFont val="Verdana"/>
        <family val="2"/>
      </rPr>
      <t xml:space="preserve">P </t>
    </r>
  </si>
  <si>
    <r>
      <t>7.98</t>
    </r>
    <r>
      <rPr>
        <vertAlign val="superscript"/>
        <sz val="10"/>
        <rFont val="Verdana"/>
        <family val="2"/>
      </rPr>
      <t xml:space="preserve">P </t>
    </r>
  </si>
  <si>
    <r>
      <t>7.97</t>
    </r>
    <r>
      <rPr>
        <vertAlign val="superscript"/>
        <sz val="10"/>
        <rFont val="Verdana"/>
        <family val="2"/>
      </rPr>
      <t xml:space="preserve">P </t>
    </r>
  </si>
  <si>
    <r>
      <t>7.96</t>
    </r>
    <r>
      <rPr>
        <vertAlign val="superscript"/>
        <sz val="10"/>
        <rFont val="Verdana"/>
        <family val="2"/>
      </rPr>
      <t xml:space="preserve">P </t>
    </r>
  </si>
  <si>
    <r>
      <t>7.95</t>
    </r>
    <r>
      <rPr>
        <vertAlign val="superscript"/>
        <sz val="10"/>
        <rFont val="Verdana"/>
        <family val="2"/>
      </rPr>
      <t xml:space="preserve">P </t>
    </r>
  </si>
  <si>
    <r>
      <t>7.94</t>
    </r>
    <r>
      <rPr>
        <vertAlign val="superscript"/>
        <sz val="10"/>
        <rFont val="Verdana"/>
        <family val="2"/>
      </rPr>
      <t xml:space="preserve">P </t>
    </r>
  </si>
  <si>
    <r>
      <t>7.93</t>
    </r>
    <r>
      <rPr>
        <vertAlign val="superscript"/>
        <sz val="10"/>
        <rFont val="Verdana"/>
        <family val="2"/>
      </rPr>
      <t xml:space="preserve">P </t>
    </r>
  </si>
  <si>
    <r>
      <t>7.92</t>
    </r>
    <r>
      <rPr>
        <vertAlign val="superscript"/>
        <sz val="10"/>
        <rFont val="Verdana"/>
        <family val="2"/>
      </rPr>
      <t xml:space="preserve">P </t>
    </r>
  </si>
  <si>
    <r>
      <t>7.91</t>
    </r>
    <r>
      <rPr>
        <vertAlign val="superscript"/>
        <sz val="10"/>
        <rFont val="Verdana"/>
        <family val="2"/>
      </rPr>
      <t xml:space="preserve">P </t>
    </r>
  </si>
  <si>
    <r>
      <t>7.90</t>
    </r>
    <r>
      <rPr>
        <vertAlign val="superscript"/>
        <sz val="10"/>
        <rFont val="Verdana"/>
        <family val="2"/>
      </rPr>
      <t xml:space="preserve">P </t>
    </r>
  </si>
  <si>
    <r>
      <t>7.89</t>
    </r>
    <r>
      <rPr>
        <vertAlign val="superscript"/>
        <sz val="10"/>
        <rFont val="Verdana"/>
        <family val="2"/>
      </rPr>
      <t xml:space="preserve">P </t>
    </r>
  </si>
  <si>
    <r>
      <t>7.87</t>
    </r>
    <r>
      <rPr>
        <vertAlign val="superscript"/>
        <sz val="10"/>
        <rFont val="Verdana"/>
        <family val="2"/>
      </rPr>
      <t xml:space="preserve">P </t>
    </r>
  </si>
  <si>
    <r>
      <t>7.86</t>
    </r>
    <r>
      <rPr>
        <vertAlign val="superscript"/>
        <sz val="10"/>
        <rFont val="Verdana"/>
        <family val="2"/>
      </rPr>
      <t xml:space="preserve">P </t>
    </r>
  </si>
  <si>
    <r>
      <t>7.85</t>
    </r>
    <r>
      <rPr>
        <vertAlign val="superscript"/>
        <sz val="10"/>
        <rFont val="Verdana"/>
        <family val="2"/>
      </rPr>
      <t xml:space="preserve">P </t>
    </r>
  </si>
  <si>
    <r>
      <t>7.84</t>
    </r>
    <r>
      <rPr>
        <vertAlign val="superscript"/>
        <sz val="10"/>
        <rFont val="Verdana"/>
        <family val="2"/>
      </rPr>
      <t xml:space="preserve">P </t>
    </r>
  </si>
  <si>
    <r>
      <t>7.83</t>
    </r>
    <r>
      <rPr>
        <vertAlign val="superscript"/>
        <sz val="10"/>
        <rFont val="Verdana"/>
        <family val="2"/>
      </rPr>
      <t xml:space="preserve">P </t>
    </r>
  </si>
  <si>
    <r>
      <t>7.82</t>
    </r>
    <r>
      <rPr>
        <vertAlign val="superscript"/>
        <sz val="10"/>
        <rFont val="Verdana"/>
        <family val="2"/>
      </rPr>
      <t xml:space="preserve">P </t>
    </r>
  </si>
  <si>
    <r>
      <t>7.81</t>
    </r>
    <r>
      <rPr>
        <vertAlign val="superscript"/>
        <sz val="10"/>
        <rFont val="Verdana"/>
        <family val="2"/>
      </rPr>
      <t xml:space="preserve">P </t>
    </r>
  </si>
  <si>
    <r>
      <t>7.80</t>
    </r>
    <r>
      <rPr>
        <vertAlign val="superscript"/>
        <sz val="10"/>
        <rFont val="Verdana"/>
        <family val="2"/>
      </rPr>
      <t xml:space="preserve">P </t>
    </r>
  </si>
  <si>
    <r>
      <t>7.79</t>
    </r>
    <r>
      <rPr>
        <vertAlign val="superscript"/>
        <sz val="10"/>
        <rFont val="Verdana"/>
        <family val="2"/>
      </rPr>
      <t xml:space="preserve">P </t>
    </r>
  </si>
  <si>
    <r>
      <t>7.77</t>
    </r>
    <r>
      <rPr>
        <vertAlign val="superscript"/>
        <sz val="10"/>
        <rFont val="Verdana"/>
        <family val="2"/>
      </rPr>
      <t xml:space="preserve">P </t>
    </r>
  </si>
  <si>
    <r>
      <t>7.76</t>
    </r>
    <r>
      <rPr>
        <vertAlign val="superscript"/>
        <sz val="10"/>
        <rFont val="Verdana"/>
        <family val="2"/>
      </rPr>
      <t xml:space="preserve">P </t>
    </r>
  </si>
  <si>
    <r>
      <t>7.75</t>
    </r>
    <r>
      <rPr>
        <vertAlign val="superscript"/>
        <sz val="10"/>
        <rFont val="Verdana"/>
        <family val="2"/>
      </rPr>
      <t xml:space="preserve">P </t>
    </r>
  </si>
  <si>
    <r>
      <t>7.74</t>
    </r>
    <r>
      <rPr>
        <vertAlign val="superscript"/>
        <sz val="10"/>
        <rFont val="Verdana"/>
        <family val="2"/>
      </rPr>
      <t xml:space="preserve">P </t>
    </r>
  </si>
  <si>
    <r>
      <t>7.73</t>
    </r>
    <r>
      <rPr>
        <vertAlign val="superscript"/>
        <sz val="10"/>
        <rFont val="Verdana"/>
        <family val="2"/>
      </rPr>
      <t xml:space="preserve">P </t>
    </r>
  </si>
  <si>
    <r>
      <t>7.72</t>
    </r>
    <r>
      <rPr>
        <vertAlign val="superscript"/>
        <sz val="10"/>
        <rFont val="Verdana"/>
        <family val="2"/>
      </rPr>
      <t xml:space="preserve">P </t>
    </r>
  </si>
  <si>
    <r>
      <t>7.71</t>
    </r>
    <r>
      <rPr>
        <vertAlign val="superscript"/>
        <sz val="10"/>
        <rFont val="Verdana"/>
        <family val="2"/>
      </rPr>
      <t xml:space="preserve">P </t>
    </r>
  </si>
  <si>
    <r>
      <t>7.70</t>
    </r>
    <r>
      <rPr>
        <vertAlign val="superscript"/>
        <sz val="10"/>
        <rFont val="Verdana"/>
        <family val="2"/>
      </rPr>
      <t xml:space="preserve">P </t>
    </r>
  </si>
  <si>
    <r>
      <t>7.69</t>
    </r>
    <r>
      <rPr>
        <vertAlign val="superscript"/>
        <sz val="10"/>
        <rFont val="Verdana"/>
        <family val="2"/>
      </rPr>
      <t xml:space="preserve">P </t>
    </r>
  </si>
  <si>
    <r>
      <t>7.68</t>
    </r>
    <r>
      <rPr>
        <vertAlign val="superscript"/>
        <sz val="10"/>
        <rFont val="Verdana"/>
        <family val="2"/>
      </rPr>
      <t xml:space="preserve">P </t>
    </r>
  </si>
  <si>
    <r>
      <t>7.67</t>
    </r>
    <r>
      <rPr>
        <vertAlign val="superscript"/>
        <sz val="10"/>
        <rFont val="Verdana"/>
        <family val="2"/>
      </rPr>
      <t xml:space="preserve">P </t>
    </r>
  </si>
  <si>
    <r>
      <t>7.66</t>
    </r>
    <r>
      <rPr>
        <vertAlign val="superscript"/>
        <sz val="10"/>
        <rFont val="Verdana"/>
        <family val="2"/>
      </rPr>
      <t xml:space="preserve">P </t>
    </r>
  </si>
  <si>
    <r>
      <t>7.64</t>
    </r>
    <r>
      <rPr>
        <vertAlign val="superscript"/>
        <sz val="10"/>
        <rFont val="Verdana"/>
        <family val="2"/>
      </rPr>
      <t xml:space="preserve">P </t>
    </r>
  </si>
  <si>
    <r>
      <t>7.63</t>
    </r>
    <r>
      <rPr>
        <vertAlign val="superscript"/>
        <sz val="10"/>
        <rFont val="Verdana"/>
        <family val="2"/>
      </rPr>
      <t xml:space="preserve">P </t>
    </r>
  </si>
  <si>
    <r>
      <t>7.62</t>
    </r>
    <r>
      <rPr>
        <vertAlign val="superscript"/>
        <sz val="10"/>
        <rFont val="Verdana"/>
        <family val="2"/>
      </rPr>
      <t xml:space="preserve">P </t>
    </r>
  </si>
  <si>
    <r>
      <t>7.61</t>
    </r>
    <r>
      <rPr>
        <vertAlign val="superscript"/>
        <sz val="10"/>
        <rFont val="Verdana"/>
        <family val="2"/>
      </rPr>
      <t xml:space="preserve">P </t>
    </r>
  </si>
  <si>
    <r>
      <t>7.60</t>
    </r>
    <r>
      <rPr>
        <vertAlign val="superscript"/>
        <sz val="10"/>
        <rFont val="Verdana"/>
        <family val="2"/>
      </rPr>
      <t xml:space="preserve">P </t>
    </r>
  </si>
  <si>
    <r>
      <t>7.59</t>
    </r>
    <r>
      <rPr>
        <vertAlign val="superscript"/>
        <sz val="10"/>
        <rFont val="Verdana"/>
        <family val="2"/>
      </rPr>
      <t xml:space="preserve">P </t>
    </r>
  </si>
  <si>
    <r>
      <t>7.58</t>
    </r>
    <r>
      <rPr>
        <vertAlign val="superscript"/>
        <sz val="10"/>
        <rFont val="Verdana"/>
        <family val="2"/>
      </rPr>
      <t xml:space="preserve">P </t>
    </r>
  </si>
  <si>
    <r>
      <t>7.57</t>
    </r>
    <r>
      <rPr>
        <vertAlign val="superscript"/>
        <sz val="10"/>
        <rFont val="Verdana"/>
        <family val="2"/>
      </rPr>
      <t xml:space="preserve">P </t>
    </r>
  </si>
  <si>
    <r>
      <t>7.56</t>
    </r>
    <r>
      <rPr>
        <vertAlign val="superscript"/>
        <sz val="10"/>
        <rFont val="Verdana"/>
        <family val="2"/>
      </rPr>
      <t xml:space="preserve">P </t>
    </r>
  </si>
  <si>
    <r>
      <t>7.55</t>
    </r>
    <r>
      <rPr>
        <vertAlign val="superscript"/>
        <sz val="10"/>
        <rFont val="Verdana"/>
        <family val="2"/>
      </rPr>
      <t xml:space="preserve">P </t>
    </r>
  </si>
  <si>
    <r>
      <t>7.54</t>
    </r>
    <r>
      <rPr>
        <vertAlign val="superscript"/>
        <sz val="10"/>
        <rFont val="Verdana"/>
        <family val="2"/>
      </rPr>
      <t xml:space="preserve">P </t>
    </r>
  </si>
  <si>
    <r>
      <t>7.53</t>
    </r>
    <r>
      <rPr>
        <vertAlign val="superscript"/>
        <sz val="10"/>
        <rFont val="Verdana"/>
        <family val="2"/>
      </rPr>
      <t xml:space="preserve">P </t>
    </r>
  </si>
  <si>
    <r>
      <t>7.52</t>
    </r>
    <r>
      <rPr>
        <vertAlign val="superscript"/>
        <sz val="10"/>
        <rFont val="Verdana"/>
        <family val="2"/>
      </rPr>
      <t xml:space="preserve">P </t>
    </r>
  </si>
  <si>
    <r>
      <t>7.51</t>
    </r>
    <r>
      <rPr>
        <vertAlign val="superscript"/>
        <sz val="10"/>
        <rFont val="Verdana"/>
        <family val="2"/>
      </rPr>
      <t xml:space="preserve">P </t>
    </r>
  </si>
  <si>
    <r>
      <t>7.50</t>
    </r>
    <r>
      <rPr>
        <vertAlign val="superscript"/>
        <sz val="10"/>
        <rFont val="Verdana"/>
        <family val="2"/>
      </rPr>
      <t xml:space="preserve">P </t>
    </r>
  </si>
  <si>
    <r>
      <t>7.49</t>
    </r>
    <r>
      <rPr>
        <vertAlign val="superscript"/>
        <sz val="10"/>
        <rFont val="Verdana"/>
        <family val="2"/>
      </rPr>
      <t xml:space="preserve">P </t>
    </r>
  </si>
  <si>
    <r>
      <t>7.48</t>
    </r>
    <r>
      <rPr>
        <vertAlign val="superscript"/>
        <sz val="10"/>
        <rFont val="Verdana"/>
        <family val="2"/>
      </rPr>
      <t xml:space="preserve">P </t>
    </r>
  </si>
  <si>
    <r>
      <t>7.47</t>
    </r>
    <r>
      <rPr>
        <vertAlign val="superscript"/>
        <sz val="10"/>
        <rFont val="Verdana"/>
        <family val="2"/>
      </rPr>
      <t xml:space="preserve">P </t>
    </r>
  </si>
  <si>
    <r>
      <t>7.46</t>
    </r>
    <r>
      <rPr>
        <vertAlign val="superscript"/>
        <sz val="10"/>
        <rFont val="Verdana"/>
        <family val="2"/>
      </rPr>
      <t xml:space="preserve">P </t>
    </r>
  </si>
  <si>
    <r>
      <t>7.45</t>
    </r>
    <r>
      <rPr>
        <vertAlign val="superscript"/>
        <sz val="10"/>
        <rFont val="Verdana"/>
        <family val="2"/>
      </rPr>
      <t xml:space="preserve">P </t>
    </r>
  </si>
  <si>
    <r>
      <t>7.44</t>
    </r>
    <r>
      <rPr>
        <vertAlign val="superscript"/>
        <sz val="10"/>
        <rFont val="Verdana"/>
        <family val="2"/>
      </rPr>
      <t xml:space="preserve">P </t>
    </r>
  </si>
  <si>
    <r>
      <t>7.43</t>
    </r>
    <r>
      <rPr>
        <vertAlign val="superscript"/>
        <sz val="10"/>
        <rFont val="Verdana"/>
        <family val="2"/>
      </rPr>
      <t xml:space="preserve">P </t>
    </r>
  </si>
  <si>
    <r>
      <t>7.42</t>
    </r>
    <r>
      <rPr>
        <vertAlign val="superscript"/>
        <sz val="10"/>
        <rFont val="Verdana"/>
        <family val="2"/>
      </rPr>
      <t xml:space="preserve">P </t>
    </r>
  </si>
  <si>
    <r>
      <t>7.41</t>
    </r>
    <r>
      <rPr>
        <vertAlign val="superscript"/>
        <sz val="10"/>
        <rFont val="Verdana"/>
        <family val="2"/>
      </rPr>
      <t xml:space="preserve">P </t>
    </r>
  </si>
  <si>
    <r>
      <t>7.40</t>
    </r>
    <r>
      <rPr>
        <vertAlign val="superscript"/>
        <sz val="10"/>
        <rFont val="Verdana"/>
        <family val="2"/>
      </rPr>
      <t xml:space="preserve">P </t>
    </r>
  </si>
  <si>
    <r>
      <t>7.39</t>
    </r>
    <r>
      <rPr>
        <vertAlign val="superscript"/>
        <sz val="10"/>
        <rFont val="Verdana"/>
        <family val="2"/>
      </rPr>
      <t xml:space="preserve">P </t>
    </r>
  </si>
  <si>
    <r>
      <t>7.38</t>
    </r>
    <r>
      <rPr>
        <vertAlign val="superscript"/>
        <sz val="10"/>
        <rFont val="Verdana"/>
        <family val="2"/>
      </rPr>
      <t xml:space="preserve">P </t>
    </r>
  </si>
  <si>
    <r>
      <t>7.36</t>
    </r>
    <r>
      <rPr>
        <vertAlign val="superscript"/>
        <sz val="10"/>
        <rFont val="Verdana"/>
        <family val="2"/>
      </rPr>
      <t xml:space="preserve">P </t>
    </r>
  </si>
  <si>
    <r>
      <t>7.35</t>
    </r>
    <r>
      <rPr>
        <vertAlign val="superscript"/>
        <sz val="10"/>
        <rFont val="Verdana"/>
        <family val="2"/>
      </rPr>
      <t xml:space="preserve">P </t>
    </r>
  </si>
  <si>
    <r>
      <t>7.34</t>
    </r>
    <r>
      <rPr>
        <vertAlign val="superscript"/>
        <sz val="10"/>
        <rFont val="Verdana"/>
        <family val="2"/>
      </rPr>
      <t xml:space="preserve">P </t>
    </r>
  </si>
  <si>
    <r>
      <t>7.33</t>
    </r>
    <r>
      <rPr>
        <vertAlign val="superscript"/>
        <sz val="10"/>
        <rFont val="Verdana"/>
        <family val="2"/>
      </rPr>
      <t xml:space="preserve">P </t>
    </r>
  </si>
  <si>
    <r>
      <t>7.32</t>
    </r>
    <r>
      <rPr>
        <vertAlign val="superscript"/>
        <sz val="10"/>
        <rFont val="Verdana"/>
        <family val="2"/>
      </rPr>
      <t xml:space="preserve">P </t>
    </r>
  </si>
  <si>
    <r>
      <t>7.31</t>
    </r>
    <r>
      <rPr>
        <vertAlign val="superscript"/>
        <sz val="10"/>
        <rFont val="Verdana"/>
        <family val="2"/>
      </rPr>
      <t xml:space="preserve">P </t>
    </r>
  </si>
  <si>
    <r>
      <t>7.30</t>
    </r>
    <r>
      <rPr>
        <vertAlign val="superscript"/>
        <sz val="10"/>
        <rFont val="Verdana"/>
        <family val="2"/>
      </rPr>
      <t xml:space="preserve">P </t>
    </r>
  </si>
  <si>
    <r>
      <t>7.29</t>
    </r>
    <r>
      <rPr>
        <vertAlign val="superscript"/>
        <sz val="10"/>
        <rFont val="Verdana"/>
        <family val="2"/>
      </rPr>
      <t xml:space="preserve">P </t>
    </r>
  </si>
  <si>
    <r>
      <t>7.28</t>
    </r>
    <r>
      <rPr>
        <vertAlign val="superscript"/>
        <sz val="10"/>
        <rFont val="Verdana"/>
        <family val="2"/>
      </rPr>
      <t xml:space="preserve">P </t>
    </r>
  </si>
  <si>
    <r>
      <t>7.27</t>
    </r>
    <r>
      <rPr>
        <vertAlign val="superscript"/>
        <sz val="10"/>
        <rFont val="Verdana"/>
        <family val="2"/>
      </rPr>
      <t xml:space="preserve">P </t>
    </r>
  </si>
  <si>
    <r>
      <t>7.26</t>
    </r>
    <r>
      <rPr>
        <vertAlign val="superscript"/>
        <sz val="10"/>
        <rFont val="Verdana"/>
        <family val="2"/>
      </rPr>
      <t xml:space="preserve">P </t>
    </r>
  </si>
  <si>
    <r>
      <t>7.25</t>
    </r>
    <r>
      <rPr>
        <vertAlign val="superscript"/>
        <sz val="10"/>
        <rFont val="Verdana"/>
        <family val="2"/>
      </rPr>
      <t xml:space="preserve">P </t>
    </r>
  </si>
  <si>
    <r>
      <t>7.24</t>
    </r>
    <r>
      <rPr>
        <vertAlign val="superscript"/>
        <sz val="10"/>
        <rFont val="Verdana"/>
        <family val="2"/>
      </rPr>
      <t xml:space="preserve">P </t>
    </r>
  </si>
  <si>
    <r>
      <t>7.23</t>
    </r>
    <r>
      <rPr>
        <vertAlign val="superscript"/>
        <sz val="10"/>
        <rFont val="Verdana"/>
        <family val="2"/>
      </rPr>
      <t xml:space="preserve">P </t>
    </r>
  </si>
  <si>
    <r>
      <t>7.22</t>
    </r>
    <r>
      <rPr>
        <vertAlign val="superscript"/>
        <sz val="10"/>
        <rFont val="Verdana"/>
        <family val="2"/>
      </rPr>
      <t xml:space="preserve">P </t>
    </r>
  </si>
  <si>
    <r>
      <t>7.20</t>
    </r>
    <r>
      <rPr>
        <vertAlign val="superscript"/>
        <sz val="10"/>
        <rFont val="Verdana"/>
        <family val="2"/>
      </rPr>
      <t xml:space="preserve">P </t>
    </r>
  </si>
  <si>
    <r>
      <t>7.19</t>
    </r>
    <r>
      <rPr>
        <vertAlign val="superscript"/>
        <sz val="10"/>
        <rFont val="Verdana"/>
        <family val="2"/>
      </rPr>
      <t xml:space="preserve">P </t>
    </r>
  </si>
  <si>
    <r>
      <t>7.17</t>
    </r>
    <r>
      <rPr>
        <vertAlign val="superscript"/>
        <sz val="10"/>
        <rFont val="Verdana"/>
        <family val="2"/>
      </rPr>
      <t xml:space="preserve">P </t>
    </r>
  </si>
  <si>
    <r>
      <t>7.16</t>
    </r>
    <r>
      <rPr>
        <vertAlign val="superscript"/>
        <sz val="10"/>
        <rFont val="Verdana"/>
        <family val="2"/>
      </rPr>
      <t xml:space="preserve">P </t>
    </r>
  </si>
  <si>
    <r>
      <t>7.15</t>
    </r>
    <r>
      <rPr>
        <vertAlign val="superscript"/>
        <sz val="10"/>
        <rFont val="Verdana"/>
        <family val="2"/>
      </rPr>
      <t xml:space="preserve">P </t>
    </r>
  </si>
  <si>
    <r>
      <t>7.13</t>
    </r>
    <r>
      <rPr>
        <vertAlign val="superscript"/>
        <sz val="10"/>
        <rFont val="Verdana"/>
        <family val="2"/>
      </rPr>
      <t xml:space="preserve">P </t>
    </r>
  </si>
  <si>
    <r>
      <t>7.12</t>
    </r>
    <r>
      <rPr>
        <vertAlign val="superscript"/>
        <sz val="10"/>
        <rFont val="Verdana"/>
        <family val="2"/>
      </rPr>
      <t xml:space="preserve">P </t>
    </r>
  </si>
  <si>
    <r>
      <t>7.11</t>
    </r>
    <r>
      <rPr>
        <vertAlign val="superscript"/>
        <sz val="10"/>
        <rFont val="Verdana"/>
        <family val="2"/>
      </rPr>
      <t xml:space="preserve">P </t>
    </r>
  </si>
  <si>
    <r>
      <t>7.09</t>
    </r>
    <r>
      <rPr>
        <vertAlign val="superscript"/>
        <sz val="10"/>
        <rFont val="Verdana"/>
        <family val="2"/>
      </rPr>
      <t xml:space="preserve">P </t>
    </r>
  </si>
  <si>
    <r>
      <t>7.08</t>
    </r>
    <r>
      <rPr>
        <vertAlign val="superscript"/>
        <sz val="10"/>
        <rFont val="Verdana"/>
        <family val="2"/>
      </rPr>
      <t xml:space="preserve">P </t>
    </r>
  </si>
  <si>
    <r>
      <t>7.07</t>
    </r>
    <r>
      <rPr>
        <vertAlign val="superscript"/>
        <sz val="10"/>
        <rFont val="Verdana"/>
        <family val="2"/>
      </rPr>
      <t xml:space="preserve">P </t>
    </r>
  </si>
  <si>
    <r>
      <t>7.05</t>
    </r>
    <r>
      <rPr>
        <vertAlign val="superscript"/>
        <sz val="10"/>
        <rFont val="Verdana"/>
        <family val="2"/>
      </rPr>
      <t xml:space="preserve">P </t>
    </r>
  </si>
  <si>
    <r>
      <t>7.04</t>
    </r>
    <r>
      <rPr>
        <vertAlign val="superscript"/>
        <sz val="10"/>
        <rFont val="Verdana"/>
        <family val="2"/>
      </rPr>
      <t xml:space="preserve">P </t>
    </r>
  </si>
  <si>
    <r>
      <t>7.02</t>
    </r>
    <r>
      <rPr>
        <vertAlign val="superscript"/>
        <sz val="10"/>
        <rFont val="Verdana"/>
        <family val="2"/>
      </rPr>
      <t xml:space="preserve">P </t>
    </r>
  </si>
  <si>
    <r>
      <t>7.01</t>
    </r>
    <r>
      <rPr>
        <vertAlign val="superscript"/>
        <sz val="10"/>
        <rFont val="Verdana"/>
        <family val="2"/>
      </rPr>
      <t xml:space="preserve">P </t>
    </r>
  </si>
  <si>
    <r>
      <t>7.00</t>
    </r>
    <r>
      <rPr>
        <vertAlign val="superscript"/>
        <sz val="10"/>
        <rFont val="Verdana"/>
        <family val="2"/>
      </rPr>
      <t xml:space="preserve">P </t>
    </r>
  </si>
  <si>
    <r>
      <t>6.98</t>
    </r>
    <r>
      <rPr>
        <vertAlign val="superscript"/>
        <sz val="10"/>
        <rFont val="Verdana"/>
        <family val="2"/>
      </rPr>
      <t xml:space="preserve">P </t>
    </r>
  </si>
  <si>
    <r>
      <t>6.97</t>
    </r>
    <r>
      <rPr>
        <vertAlign val="superscript"/>
        <sz val="10"/>
        <rFont val="Verdana"/>
        <family val="2"/>
      </rPr>
      <t xml:space="preserve">P </t>
    </r>
  </si>
  <si>
    <r>
      <t>6.96</t>
    </r>
    <r>
      <rPr>
        <vertAlign val="superscript"/>
        <sz val="10"/>
        <rFont val="Verdana"/>
        <family val="2"/>
      </rPr>
      <t xml:space="preserve">P </t>
    </r>
  </si>
  <si>
    <r>
      <t>6.94</t>
    </r>
    <r>
      <rPr>
        <vertAlign val="superscript"/>
        <sz val="10"/>
        <rFont val="Verdana"/>
        <family val="2"/>
      </rPr>
      <t xml:space="preserve">P </t>
    </r>
  </si>
  <si>
    <r>
      <t>6.93</t>
    </r>
    <r>
      <rPr>
        <vertAlign val="superscript"/>
        <sz val="10"/>
        <rFont val="Verdana"/>
        <family val="2"/>
      </rPr>
      <t xml:space="preserve">P </t>
    </r>
  </si>
  <si>
    <r>
      <t>6.91</t>
    </r>
    <r>
      <rPr>
        <vertAlign val="superscript"/>
        <sz val="10"/>
        <rFont val="Verdana"/>
        <family val="2"/>
      </rPr>
      <t xml:space="preserve">P </t>
    </r>
  </si>
  <si>
    <r>
      <t>6.90</t>
    </r>
    <r>
      <rPr>
        <vertAlign val="superscript"/>
        <sz val="10"/>
        <rFont val="Verdana"/>
        <family val="2"/>
      </rPr>
      <t xml:space="preserve">P </t>
    </r>
  </si>
  <si>
    <r>
      <t>6.88</t>
    </r>
    <r>
      <rPr>
        <vertAlign val="superscript"/>
        <sz val="10"/>
        <rFont val="Verdana"/>
        <family val="2"/>
      </rPr>
      <t xml:space="preserve">P </t>
    </r>
  </si>
  <si>
    <r>
      <t>6.87</t>
    </r>
    <r>
      <rPr>
        <vertAlign val="superscript"/>
        <sz val="10"/>
        <rFont val="Verdana"/>
        <family val="2"/>
      </rPr>
      <t xml:space="preserve">P </t>
    </r>
  </si>
  <si>
    <r>
      <t>6.85</t>
    </r>
    <r>
      <rPr>
        <vertAlign val="superscript"/>
        <sz val="10"/>
        <rFont val="Verdana"/>
        <family val="2"/>
      </rPr>
      <t xml:space="preserve">P </t>
    </r>
  </si>
  <si>
    <r>
      <t>6.84</t>
    </r>
    <r>
      <rPr>
        <vertAlign val="superscript"/>
        <sz val="10"/>
        <rFont val="Verdana"/>
        <family val="2"/>
      </rPr>
      <t xml:space="preserve">P </t>
    </r>
  </si>
  <si>
    <r>
      <t>6.82</t>
    </r>
    <r>
      <rPr>
        <vertAlign val="superscript"/>
        <sz val="10"/>
        <rFont val="Verdana"/>
        <family val="2"/>
      </rPr>
      <t xml:space="preserve">P </t>
    </r>
  </si>
  <si>
    <r>
      <t>6.80</t>
    </r>
    <r>
      <rPr>
        <vertAlign val="superscript"/>
        <sz val="10"/>
        <rFont val="Verdana"/>
        <family val="2"/>
      </rPr>
      <t xml:space="preserve">P </t>
    </r>
  </si>
  <si>
    <r>
      <t>6.79</t>
    </r>
    <r>
      <rPr>
        <vertAlign val="superscript"/>
        <sz val="10"/>
        <rFont val="Verdana"/>
        <family val="2"/>
      </rPr>
      <t xml:space="preserve">P </t>
    </r>
  </si>
  <si>
    <r>
      <t>6.78</t>
    </r>
    <r>
      <rPr>
        <vertAlign val="superscript"/>
        <sz val="10"/>
        <rFont val="Verdana"/>
        <family val="2"/>
      </rPr>
      <t xml:space="preserve">P </t>
    </r>
  </si>
  <si>
    <r>
      <t>6.76</t>
    </r>
    <r>
      <rPr>
        <vertAlign val="superscript"/>
        <sz val="10"/>
        <rFont val="Verdana"/>
        <family val="2"/>
      </rPr>
      <t xml:space="preserve">P </t>
    </r>
  </si>
  <si>
    <r>
      <t>6.75</t>
    </r>
    <r>
      <rPr>
        <vertAlign val="superscript"/>
        <sz val="10"/>
        <rFont val="Verdana"/>
        <family val="2"/>
      </rPr>
      <t xml:space="preserve">P </t>
    </r>
  </si>
  <si>
    <r>
      <t>6.74</t>
    </r>
    <r>
      <rPr>
        <vertAlign val="superscript"/>
        <sz val="10"/>
        <rFont val="Verdana"/>
        <family val="2"/>
      </rPr>
      <t xml:space="preserve">P </t>
    </r>
  </si>
  <si>
    <r>
      <t>6.73</t>
    </r>
    <r>
      <rPr>
        <vertAlign val="superscript"/>
        <sz val="10"/>
        <rFont val="Verdana"/>
        <family val="2"/>
      </rPr>
      <t xml:space="preserve">P </t>
    </r>
  </si>
  <si>
    <r>
      <t>6.72</t>
    </r>
    <r>
      <rPr>
        <vertAlign val="superscript"/>
        <sz val="10"/>
        <rFont val="Verdana"/>
        <family val="2"/>
      </rPr>
      <t xml:space="preserve">P </t>
    </r>
  </si>
  <si>
    <r>
      <t>6.71</t>
    </r>
    <r>
      <rPr>
        <vertAlign val="superscript"/>
        <sz val="10"/>
        <rFont val="Verdana"/>
        <family val="2"/>
      </rPr>
      <t xml:space="preserve">P </t>
    </r>
  </si>
  <si>
    <r>
      <t>6.70</t>
    </r>
    <r>
      <rPr>
        <vertAlign val="superscript"/>
        <sz val="10"/>
        <rFont val="Verdana"/>
        <family val="2"/>
      </rPr>
      <t xml:space="preserve">P </t>
    </r>
  </si>
  <si>
    <r>
      <t>6.68</t>
    </r>
    <r>
      <rPr>
        <vertAlign val="superscript"/>
        <sz val="10"/>
        <rFont val="Verdana"/>
        <family val="2"/>
      </rPr>
      <t xml:space="preserve">P </t>
    </r>
  </si>
  <si>
    <r>
      <t>6.67</t>
    </r>
    <r>
      <rPr>
        <vertAlign val="superscript"/>
        <sz val="10"/>
        <rFont val="Verdana"/>
        <family val="2"/>
      </rPr>
      <t xml:space="preserve">P </t>
    </r>
  </si>
  <si>
    <r>
      <t>6.66</t>
    </r>
    <r>
      <rPr>
        <vertAlign val="superscript"/>
        <sz val="10"/>
        <rFont val="Verdana"/>
        <family val="2"/>
      </rPr>
      <t xml:space="preserve">P </t>
    </r>
  </si>
  <si>
    <r>
      <t>6.64</t>
    </r>
    <r>
      <rPr>
        <vertAlign val="superscript"/>
        <sz val="10"/>
        <rFont val="Verdana"/>
        <family val="2"/>
      </rPr>
      <t xml:space="preserve">P </t>
    </r>
  </si>
  <si>
    <r>
      <t>6.63</t>
    </r>
    <r>
      <rPr>
        <vertAlign val="superscript"/>
        <sz val="10"/>
        <rFont val="Verdana"/>
        <family val="2"/>
      </rPr>
      <t xml:space="preserve">P </t>
    </r>
  </si>
  <si>
    <r>
      <t>6.62</t>
    </r>
    <r>
      <rPr>
        <vertAlign val="superscript"/>
        <sz val="10"/>
        <rFont val="Verdana"/>
        <family val="2"/>
      </rPr>
      <t xml:space="preserve">P </t>
    </r>
  </si>
  <si>
    <r>
      <t>6.60</t>
    </r>
    <r>
      <rPr>
        <vertAlign val="superscript"/>
        <sz val="10"/>
        <rFont val="Verdana"/>
        <family val="2"/>
      </rPr>
      <t xml:space="preserve">P </t>
    </r>
  </si>
  <si>
    <r>
      <t>6.59</t>
    </r>
    <r>
      <rPr>
        <vertAlign val="superscript"/>
        <sz val="10"/>
        <rFont val="Verdana"/>
        <family val="2"/>
      </rPr>
      <t xml:space="preserve">P </t>
    </r>
  </si>
  <si>
    <r>
      <t>6.58</t>
    </r>
    <r>
      <rPr>
        <vertAlign val="superscript"/>
        <sz val="10"/>
        <rFont val="Verdana"/>
        <family val="2"/>
      </rPr>
      <t xml:space="preserve">P </t>
    </r>
  </si>
  <si>
    <r>
      <t>6.56</t>
    </r>
    <r>
      <rPr>
        <vertAlign val="superscript"/>
        <sz val="10"/>
        <rFont val="Verdana"/>
        <family val="2"/>
      </rPr>
      <t xml:space="preserve">P </t>
    </r>
  </si>
  <si>
    <r>
      <t>6.55</t>
    </r>
    <r>
      <rPr>
        <vertAlign val="superscript"/>
        <sz val="10"/>
        <rFont val="Verdana"/>
        <family val="2"/>
      </rPr>
      <t xml:space="preserve">P </t>
    </r>
  </si>
  <si>
    <r>
      <t>6.54</t>
    </r>
    <r>
      <rPr>
        <vertAlign val="superscript"/>
        <sz val="10"/>
        <rFont val="Verdana"/>
        <family val="2"/>
      </rPr>
      <t xml:space="preserve">P </t>
    </r>
  </si>
  <si>
    <r>
      <t>6.53</t>
    </r>
    <r>
      <rPr>
        <vertAlign val="superscript"/>
        <sz val="10"/>
        <rFont val="Verdana"/>
        <family val="2"/>
      </rPr>
      <t xml:space="preserve">P </t>
    </r>
  </si>
  <si>
    <r>
      <t>6.52</t>
    </r>
    <r>
      <rPr>
        <vertAlign val="superscript"/>
        <sz val="10"/>
        <rFont val="Verdana"/>
        <family val="2"/>
      </rPr>
      <t xml:space="preserve">P </t>
    </r>
  </si>
  <si>
    <r>
      <t>6.51</t>
    </r>
    <r>
      <rPr>
        <vertAlign val="superscript"/>
        <sz val="10"/>
        <rFont val="Verdana"/>
        <family val="2"/>
      </rPr>
      <t xml:space="preserve">P </t>
    </r>
  </si>
  <si>
    <r>
      <t>6.50</t>
    </r>
    <r>
      <rPr>
        <vertAlign val="superscript"/>
        <sz val="10"/>
        <rFont val="Verdana"/>
        <family val="2"/>
      </rPr>
      <t xml:space="preserve">P </t>
    </r>
  </si>
  <si>
    <r>
      <t>6.49</t>
    </r>
    <r>
      <rPr>
        <vertAlign val="superscript"/>
        <sz val="10"/>
        <rFont val="Verdana"/>
        <family val="2"/>
      </rPr>
      <t xml:space="preserve">P </t>
    </r>
  </si>
  <si>
    <r>
      <t>6.48</t>
    </r>
    <r>
      <rPr>
        <vertAlign val="superscript"/>
        <sz val="10"/>
        <rFont val="Verdana"/>
        <family val="2"/>
      </rPr>
      <t xml:space="preserve">P </t>
    </r>
  </si>
  <si>
    <r>
      <t>6.47</t>
    </r>
    <r>
      <rPr>
        <vertAlign val="superscript"/>
        <sz val="10"/>
        <rFont val="Verdana"/>
        <family val="2"/>
      </rPr>
      <t xml:space="preserve">P </t>
    </r>
  </si>
  <si>
    <r>
      <t>6.46</t>
    </r>
    <r>
      <rPr>
        <vertAlign val="superscript"/>
        <sz val="10"/>
        <rFont val="Verdana"/>
        <family val="2"/>
      </rPr>
      <t xml:space="preserve">P </t>
    </r>
  </si>
  <si>
    <r>
      <t>6.45</t>
    </r>
    <r>
      <rPr>
        <vertAlign val="superscript"/>
        <sz val="10"/>
        <rFont val="Verdana"/>
        <family val="2"/>
      </rPr>
      <t xml:space="preserve">P </t>
    </r>
  </si>
  <si>
    <r>
      <t>6.44</t>
    </r>
    <r>
      <rPr>
        <vertAlign val="superscript"/>
        <sz val="10"/>
        <rFont val="Verdana"/>
        <family val="2"/>
      </rPr>
      <t xml:space="preserve">P </t>
    </r>
  </si>
  <si>
    <r>
      <t>6.43</t>
    </r>
    <r>
      <rPr>
        <vertAlign val="superscript"/>
        <sz val="10"/>
        <rFont val="Verdana"/>
        <family val="2"/>
      </rPr>
      <t xml:space="preserve">P </t>
    </r>
  </si>
  <si>
    <r>
      <t>6.42</t>
    </r>
    <r>
      <rPr>
        <vertAlign val="superscript"/>
        <sz val="10"/>
        <rFont val="Verdana"/>
        <family val="2"/>
      </rPr>
      <t xml:space="preserve">P </t>
    </r>
  </si>
  <si>
    <r>
      <t>6.41</t>
    </r>
    <r>
      <rPr>
        <vertAlign val="superscript"/>
        <sz val="10"/>
        <rFont val="Verdana"/>
        <family val="2"/>
      </rPr>
      <t xml:space="preserve">P </t>
    </r>
  </si>
  <si>
    <r>
      <t>6.40</t>
    </r>
    <r>
      <rPr>
        <vertAlign val="superscript"/>
        <sz val="10"/>
        <rFont val="Verdana"/>
        <family val="2"/>
      </rPr>
      <t xml:space="preserve">P </t>
    </r>
  </si>
  <si>
    <r>
      <t>6.39</t>
    </r>
    <r>
      <rPr>
        <vertAlign val="superscript"/>
        <sz val="10"/>
        <rFont val="Verdana"/>
        <family val="2"/>
      </rPr>
      <t xml:space="preserve">P </t>
    </r>
  </si>
  <si>
    <r>
      <t>6.38</t>
    </r>
    <r>
      <rPr>
        <vertAlign val="superscript"/>
        <sz val="10"/>
        <rFont val="Verdana"/>
        <family val="2"/>
      </rPr>
      <t xml:space="preserve">P </t>
    </r>
  </si>
  <si>
    <r>
      <t>6.37</t>
    </r>
    <r>
      <rPr>
        <vertAlign val="superscript"/>
        <sz val="10"/>
        <rFont val="Verdana"/>
        <family val="2"/>
      </rPr>
      <t xml:space="preserve">P </t>
    </r>
  </si>
  <si>
    <r>
      <t>6.36</t>
    </r>
    <r>
      <rPr>
        <vertAlign val="superscript"/>
        <sz val="10"/>
        <rFont val="Verdana"/>
        <family val="2"/>
      </rPr>
      <t xml:space="preserve">P </t>
    </r>
  </si>
  <si>
    <r>
      <t>6.35</t>
    </r>
    <r>
      <rPr>
        <vertAlign val="superscript"/>
        <sz val="10"/>
        <rFont val="Verdana"/>
        <family val="2"/>
      </rPr>
      <t xml:space="preserve">P </t>
    </r>
  </si>
  <si>
    <r>
      <t>6.34</t>
    </r>
    <r>
      <rPr>
        <vertAlign val="superscript"/>
        <sz val="10"/>
        <rFont val="Verdana"/>
        <family val="2"/>
      </rPr>
      <t xml:space="preserve">P </t>
    </r>
  </si>
  <si>
    <r>
      <t>6.33</t>
    </r>
    <r>
      <rPr>
        <vertAlign val="superscript"/>
        <sz val="10"/>
        <rFont val="Verdana"/>
        <family val="2"/>
      </rPr>
      <t xml:space="preserve">P </t>
    </r>
  </si>
  <si>
    <r>
      <t>6.32</t>
    </r>
    <r>
      <rPr>
        <vertAlign val="superscript"/>
        <sz val="10"/>
        <rFont val="Verdana"/>
        <family val="2"/>
      </rPr>
      <t xml:space="preserve">P </t>
    </r>
  </si>
  <si>
    <r>
      <t>6.31</t>
    </r>
    <r>
      <rPr>
        <vertAlign val="superscript"/>
        <sz val="10"/>
        <rFont val="Verdana"/>
        <family val="2"/>
      </rPr>
      <t xml:space="preserve">P </t>
    </r>
  </si>
  <si>
    <r>
      <t>6.30</t>
    </r>
    <r>
      <rPr>
        <vertAlign val="superscript"/>
        <sz val="10"/>
        <rFont val="Verdana"/>
        <family val="2"/>
      </rPr>
      <t xml:space="preserve">P </t>
    </r>
  </si>
  <si>
    <r>
      <t>6.29</t>
    </r>
    <r>
      <rPr>
        <vertAlign val="superscript"/>
        <sz val="10"/>
        <rFont val="Verdana"/>
        <family val="2"/>
      </rPr>
      <t xml:space="preserve">P </t>
    </r>
  </si>
  <si>
    <r>
      <t>6.28</t>
    </r>
    <r>
      <rPr>
        <vertAlign val="superscript"/>
        <sz val="10"/>
        <rFont val="Verdana"/>
        <family val="2"/>
      </rPr>
      <t xml:space="preserve">P </t>
    </r>
  </si>
  <si>
    <r>
      <t>6.27</t>
    </r>
    <r>
      <rPr>
        <vertAlign val="superscript"/>
        <sz val="10"/>
        <rFont val="Verdana"/>
        <family val="2"/>
      </rPr>
      <t xml:space="preserve">P </t>
    </r>
  </si>
  <si>
    <r>
      <t>6.26</t>
    </r>
    <r>
      <rPr>
        <vertAlign val="superscript"/>
        <sz val="10"/>
        <rFont val="Verdana"/>
        <family val="2"/>
      </rPr>
      <t xml:space="preserve">P </t>
    </r>
  </si>
  <si>
    <r>
      <t>6.25</t>
    </r>
    <r>
      <rPr>
        <vertAlign val="superscript"/>
        <sz val="10"/>
        <rFont val="Verdana"/>
        <family val="2"/>
      </rPr>
      <t xml:space="preserve">P </t>
    </r>
  </si>
  <si>
    <r>
      <t>6.24</t>
    </r>
    <r>
      <rPr>
        <vertAlign val="superscript"/>
        <sz val="10"/>
        <rFont val="Verdana"/>
        <family val="2"/>
      </rPr>
      <t xml:space="preserve">P </t>
    </r>
  </si>
  <si>
    <r>
      <t>6.23</t>
    </r>
    <r>
      <rPr>
        <vertAlign val="superscript"/>
        <sz val="10"/>
        <rFont val="Verdana"/>
        <family val="2"/>
      </rPr>
      <t xml:space="preserve">P </t>
    </r>
  </si>
  <si>
    <r>
      <t>6.22</t>
    </r>
    <r>
      <rPr>
        <vertAlign val="superscript"/>
        <sz val="10"/>
        <rFont val="Verdana"/>
        <family val="2"/>
      </rPr>
      <t xml:space="preserve">P </t>
    </r>
  </si>
  <si>
    <r>
      <t>6.21</t>
    </r>
    <r>
      <rPr>
        <vertAlign val="superscript"/>
        <sz val="10"/>
        <rFont val="Verdana"/>
        <family val="2"/>
      </rPr>
      <t xml:space="preserve">P </t>
    </r>
  </si>
  <si>
    <r>
      <t>6.20</t>
    </r>
    <r>
      <rPr>
        <vertAlign val="superscript"/>
        <sz val="10"/>
        <rFont val="Verdana"/>
        <family val="2"/>
      </rPr>
      <t xml:space="preserve">P </t>
    </r>
  </si>
  <si>
    <r>
      <t>6.19</t>
    </r>
    <r>
      <rPr>
        <vertAlign val="superscript"/>
        <sz val="10"/>
        <rFont val="Verdana"/>
        <family val="2"/>
      </rPr>
      <t xml:space="preserve">P </t>
    </r>
  </si>
  <si>
    <r>
      <t>6.18</t>
    </r>
    <r>
      <rPr>
        <vertAlign val="superscript"/>
        <sz val="10"/>
        <rFont val="Verdana"/>
        <family val="2"/>
      </rPr>
      <t xml:space="preserve">P </t>
    </r>
  </si>
  <si>
    <r>
      <t>6.17</t>
    </r>
    <r>
      <rPr>
        <vertAlign val="superscript"/>
        <sz val="10"/>
        <rFont val="Verdana"/>
        <family val="2"/>
      </rPr>
      <t xml:space="preserve">P </t>
    </r>
  </si>
  <si>
    <r>
      <t>6.16</t>
    </r>
    <r>
      <rPr>
        <vertAlign val="superscript"/>
        <sz val="10"/>
        <rFont val="Verdana"/>
        <family val="2"/>
      </rPr>
      <t xml:space="preserve">P </t>
    </r>
  </si>
  <si>
    <r>
      <t>6.15</t>
    </r>
    <r>
      <rPr>
        <vertAlign val="superscript"/>
        <sz val="10"/>
        <rFont val="Verdana"/>
        <family val="2"/>
      </rPr>
      <t xml:space="preserve">P </t>
    </r>
  </si>
  <si>
    <r>
      <t>6.14</t>
    </r>
    <r>
      <rPr>
        <vertAlign val="superscript"/>
        <sz val="10"/>
        <rFont val="Verdana"/>
        <family val="2"/>
      </rPr>
      <t xml:space="preserve">P </t>
    </r>
  </si>
  <si>
    <r>
      <t>6.13</t>
    </r>
    <r>
      <rPr>
        <vertAlign val="superscript"/>
        <sz val="10"/>
        <rFont val="Verdana"/>
        <family val="2"/>
      </rPr>
      <t xml:space="preserve">P </t>
    </r>
  </si>
  <si>
    <r>
      <t>6.12</t>
    </r>
    <r>
      <rPr>
        <vertAlign val="superscript"/>
        <sz val="10"/>
        <rFont val="Verdana"/>
        <family val="2"/>
      </rPr>
      <t xml:space="preserve">P </t>
    </r>
  </si>
  <si>
    <r>
      <t>6.11</t>
    </r>
    <r>
      <rPr>
        <vertAlign val="superscript"/>
        <sz val="10"/>
        <rFont val="Verdana"/>
        <family val="2"/>
      </rPr>
      <t xml:space="preserve">P </t>
    </r>
  </si>
  <si>
    <r>
      <t>6.10</t>
    </r>
    <r>
      <rPr>
        <vertAlign val="superscript"/>
        <sz val="10"/>
        <rFont val="Verdana"/>
        <family val="2"/>
      </rPr>
      <t xml:space="preserve">P </t>
    </r>
  </si>
  <si>
    <r>
      <t>6.09</t>
    </r>
    <r>
      <rPr>
        <vertAlign val="superscript"/>
        <sz val="10"/>
        <rFont val="Verdana"/>
        <family val="2"/>
      </rPr>
      <t xml:space="preserve">P </t>
    </r>
  </si>
  <si>
    <r>
      <t>6.08</t>
    </r>
    <r>
      <rPr>
        <vertAlign val="superscript"/>
        <sz val="10"/>
        <rFont val="Verdana"/>
        <family val="2"/>
      </rPr>
      <t xml:space="preserve">P </t>
    </r>
  </si>
  <si>
    <r>
      <t>6.07</t>
    </r>
    <r>
      <rPr>
        <vertAlign val="superscript"/>
        <sz val="10"/>
        <rFont val="Verdana"/>
        <family val="2"/>
      </rPr>
      <t xml:space="preserve">P </t>
    </r>
  </si>
  <si>
    <r>
      <t>6.06</t>
    </r>
    <r>
      <rPr>
        <vertAlign val="superscript"/>
        <sz val="10"/>
        <rFont val="Verdana"/>
        <family val="2"/>
      </rPr>
      <t xml:space="preserve">P </t>
    </r>
  </si>
  <si>
    <r>
      <t>6.05</t>
    </r>
    <r>
      <rPr>
        <vertAlign val="superscript"/>
        <sz val="10"/>
        <rFont val="Verdana"/>
        <family val="2"/>
      </rPr>
      <t xml:space="preserve">P </t>
    </r>
  </si>
  <si>
    <r>
      <t>6.04</t>
    </r>
    <r>
      <rPr>
        <vertAlign val="superscript"/>
        <sz val="10"/>
        <rFont val="Verdana"/>
        <family val="2"/>
      </rPr>
      <t xml:space="preserve">P </t>
    </r>
  </si>
  <si>
    <r>
      <t>6.03</t>
    </r>
    <r>
      <rPr>
        <vertAlign val="superscript"/>
        <sz val="10"/>
        <rFont val="Verdana"/>
        <family val="2"/>
      </rPr>
      <t xml:space="preserve">P </t>
    </r>
  </si>
  <si>
    <r>
      <t>6.02</t>
    </r>
    <r>
      <rPr>
        <vertAlign val="superscript"/>
        <sz val="10"/>
        <rFont val="Verdana"/>
        <family val="2"/>
      </rPr>
      <t xml:space="preserve">P </t>
    </r>
  </si>
  <si>
    <r>
      <t>6.01</t>
    </r>
    <r>
      <rPr>
        <vertAlign val="superscript"/>
        <sz val="10"/>
        <rFont val="Verdana"/>
        <family val="2"/>
      </rPr>
      <t xml:space="preserve">P </t>
    </r>
  </si>
  <si>
    <r>
      <t>6.00</t>
    </r>
    <r>
      <rPr>
        <vertAlign val="superscript"/>
        <sz val="10"/>
        <rFont val="Verdana"/>
        <family val="2"/>
      </rPr>
      <t xml:space="preserve">P </t>
    </r>
  </si>
  <si>
    <r>
      <t>5.99</t>
    </r>
    <r>
      <rPr>
        <vertAlign val="superscript"/>
        <sz val="10"/>
        <rFont val="Verdana"/>
        <family val="2"/>
      </rPr>
      <t xml:space="preserve">P </t>
    </r>
  </si>
  <si>
    <r>
      <t>5.98</t>
    </r>
    <r>
      <rPr>
        <vertAlign val="superscript"/>
        <sz val="10"/>
        <rFont val="Verdana"/>
        <family val="2"/>
      </rPr>
      <t xml:space="preserve">P </t>
    </r>
  </si>
  <si>
    <r>
      <t>5.97</t>
    </r>
    <r>
      <rPr>
        <vertAlign val="superscript"/>
        <sz val="10"/>
        <rFont val="Verdana"/>
        <family val="2"/>
      </rPr>
      <t xml:space="preserve">P </t>
    </r>
  </si>
  <si>
    <r>
      <t>5.96</t>
    </r>
    <r>
      <rPr>
        <vertAlign val="superscript"/>
        <sz val="10"/>
        <rFont val="Verdana"/>
        <family val="2"/>
      </rPr>
      <t xml:space="preserve">P </t>
    </r>
  </si>
  <si>
    <r>
      <t>5.95</t>
    </r>
    <r>
      <rPr>
        <vertAlign val="superscript"/>
        <sz val="10"/>
        <rFont val="Verdana"/>
        <family val="2"/>
      </rPr>
      <t xml:space="preserve">P </t>
    </r>
  </si>
  <si>
    <r>
      <t>5.94</t>
    </r>
    <r>
      <rPr>
        <vertAlign val="superscript"/>
        <sz val="10"/>
        <rFont val="Verdana"/>
        <family val="2"/>
      </rPr>
      <t xml:space="preserve">P </t>
    </r>
  </si>
  <si>
    <r>
      <t>5.93</t>
    </r>
    <r>
      <rPr>
        <vertAlign val="superscript"/>
        <sz val="10"/>
        <rFont val="Verdana"/>
        <family val="2"/>
      </rPr>
      <t xml:space="preserve">P </t>
    </r>
  </si>
  <si>
    <r>
      <t>5.92</t>
    </r>
    <r>
      <rPr>
        <vertAlign val="superscript"/>
        <sz val="10"/>
        <rFont val="Verdana"/>
        <family val="2"/>
      </rPr>
      <t xml:space="preserve">P </t>
    </r>
  </si>
  <si>
    <r>
      <t>5.91</t>
    </r>
    <r>
      <rPr>
        <vertAlign val="superscript"/>
        <sz val="10"/>
        <rFont val="Verdana"/>
        <family val="2"/>
      </rPr>
      <t xml:space="preserve">P </t>
    </r>
  </si>
  <si>
    <r>
      <t>5.90</t>
    </r>
    <r>
      <rPr>
        <vertAlign val="superscript"/>
        <sz val="10"/>
        <rFont val="Verdana"/>
        <family val="2"/>
      </rPr>
      <t xml:space="preserve">P </t>
    </r>
  </si>
  <si>
    <r>
      <t>5.89</t>
    </r>
    <r>
      <rPr>
        <vertAlign val="superscript"/>
        <sz val="10"/>
        <rFont val="Verdana"/>
        <family val="2"/>
      </rPr>
      <t xml:space="preserve">P </t>
    </r>
  </si>
  <si>
    <r>
      <t>5.88</t>
    </r>
    <r>
      <rPr>
        <vertAlign val="superscript"/>
        <sz val="10"/>
        <rFont val="Verdana"/>
        <family val="2"/>
      </rPr>
      <t xml:space="preserve">P </t>
    </r>
  </si>
  <si>
    <r>
      <t>5.87</t>
    </r>
    <r>
      <rPr>
        <vertAlign val="superscript"/>
        <sz val="10"/>
        <rFont val="Verdana"/>
        <family val="2"/>
      </rPr>
      <t xml:space="preserve">P </t>
    </r>
  </si>
  <si>
    <r>
      <t>5.86</t>
    </r>
    <r>
      <rPr>
        <vertAlign val="superscript"/>
        <sz val="10"/>
        <rFont val="Verdana"/>
        <family val="2"/>
      </rPr>
      <t xml:space="preserve">P </t>
    </r>
  </si>
  <si>
    <r>
      <t>5.85</t>
    </r>
    <r>
      <rPr>
        <vertAlign val="superscript"/>
        <sz val="10"/>
        <rFont val="Verdana"/>
        <family val="2"/>
      </rPr>
      <t xml:space="preserve">P </t>
    </r>
  </si>
  <si>
    <r>
      <t>5.84</t>
    </r>
    <r>
      <rPr>
        <vertAlign val="superscript"/>
        <sz val="10"/>
        <rFont val="Verdana"/>
        <family val="2"/>
      </rPr>
      <t xml:space="preserve">P </t>
    </r>
  </si>
  <si>
    <r>
      <t>5.83</t>
    </r>
    <r>
      <rPr>
        <vertAlign val="superscript"/>
        <sz val="10"/>
        <rFont val="Verdana"/>
        <family val="2"/>
      </rPr>
      <t xml:space="preserve">P </t>
    </r>
  </si>
  <si>
    <r>
      <t>5.82</t>
    </r>
    <r>
      <rPr>
        <vertAlign val="superscript"/>
        <sz val="10"/>
        <rFont val="Verdana"/>
        <family val="2"/>
      </rPr>
      <t xml:space="preserve">P </t>
    </r>
  </si>
  <si>
    <r>
      <t>5.81</t>
    </r>
    <r>
      <rPr>
        <vertAlign val="superscript"/>
        <sz val="10"/>
        <rFont val="Verdana"/>
        <family val="2"/>
      </rPr>
      <t xml:space="preserve">P </t>
    </r>
  </si>
  <si>
    <r>
      <t>5.80</t>
    </r>
    <r>
      <rPr>
        <vertAlign val="superscript"/>
        <sz val="10"/>
        <rFont val="Verdana"/>
        <family val="2"/>
      </rPr>
      <t xml:space="preserve">P </t>
    </r>
  </si>
  <si>
    <r>
      <t>5.79</t>
    </r>
    <r>
      <rPr>
        <vertAlign val="superscript"/>
        <sz val="10"/>
        <rFont val="Verdana"/>
        <family val="2"/>
      </rPr>
      <t xml:space="preserve">P </t>
    </r>
  </si>
  <si>
    <r>
      <t>5.78</t>
    </r>
    <r>
      <rPr>
        <vertAlign val="superscript"/>
        <sz val="10"/>
        <rFont val="Verdana"/>
        <family val="2"/>
      </rPr>
      <t xml:space="preserve">P </t>
    </r>
  </si>
  <si>
    <r>
      <t>5.77</t>
    </r>
    <r>
      <rPr>
        <vertAlign val="superscript"/>
        <sz val="10"/>
        <rFont val="Verdana"/>
        <family val="2"/>
      </rPr>
      <t xml:space="preserve">P </t>
    </r>
  </si>
  <si>
    <r>
      <t>5.76</t>
    </r>
    <r>
      <rPr>
        <vertAlign val="superscript"/>
        <sz val="10"/>
        <rFont val="Verdana"/>
        <family val="2"/>
      </rPr>
      <t xml:space="preserve">P </t>
    </r>
  </si>
  <si>
    <r>
      <t>5.75</t>
    </r>
    <r>
      <rPr>
        <vertAlign val="superscript"/>
        <sz val="10"/>
        <rFont val="Verdana"/>
        <family val="2"/>
      </rPr>
      <t xml:space="preserve">P </t>
    </r>
  </si>
  <si>
    <r>
      <t>5.74</t>
    </r>
    <r>
      <rPr>
        <vertAlign val="superscript"/>
        <sz val="10"/>
        <rFont val="Verdana"/>
        <family val="2"/>
      </rPr>
      <t xml:space="preserve">P </t>
    </r>
  </si>
  <si>
    <r>
      <t>5.73</t>
    </r>
    <r>
      <rPr>
        <vertAlign val="superscript"/>
        <sz val="10"/>
        <rFont val="Verdana"/>
        <family val="2"/>
      </rPr>
      <t xml:space="preserve">P </t>
    </r>
  </si>
  <si>
    <r>
      <t>5.72</t>
    </r>
    <r>
      <rPr>
        <vertAlign val="superscript"/>
        <sz val="10"/>
        <rFont val="Verdana"/>
        <family val="2"/>
      </rPr>
      <t xml:space="preserve">P </t>
    </r>
  </si>
  <si>
    <r>
      <t>5.71</t>
    </r>
    <r>
      <rPr>
        <vertAlign val="superscript"/>
        <sz val="10"/>
        <rFont val="Verdana"/>
        <family val="2"/>
      </rPr>
      <t xml:space="preserve">P </t>
    </r>
  </si>
  <si>
    <r>
      <t>5.70</t>
    </r>
    <r>
      <rPr>
        <vertAlign val="superscript"/>
        <sz val="10"/>
        <rFont val="Verdana"/>
        <family val="2"/>
      </rPr>
      <t xml:space="preserve">P </t>
    </r>
  </si>
  <si>
    <r>
      <t>5.69</t>
    </r>
    <r>
      <rPr>
        <vertAlign val="superscript"/>
        <sz val="10"/>
        <rFont val="Verdana"/>
        <family val="2"/>
      </rPr>
      <t xml:space="preserve">P </t>
    </r>
  </si>
  <si>
    <r>
      <t>5.68</t>
    </r>
    <r>
      <rPr>
        <vertAlign val="superscript"/>
        <sz val="10"/>
        <rFont val="Verdana"/>
        <family val="2"/>
      </rPr>
      <t xml:space="preserve">P </t>
    </r>
  </si>
  <si>
    <r>
      <t>5.67</t>
    </r>
    <r>
      <rPr>
        <vertAlign val="superscript"/>
        <sz val="10"/>
        <rFont val="Verdana"/>
        <family val="2"/>
      </rPr>
      <t xml:space="preserve">P </t>
    </r>
  </si>
  <si>
    <r>
      <t>5.66</t>
    </r>
    <r>
      <rPr>
        <vertAlign val="superscript"/>
        <sz val="10"/>
        <rFont val="Verdana"/>
        <family val="2"/>
      </rPr>
      <t xml:space="preserve">P </t>
    </r>
  </si>
  <si>
    <r>
      <t>5.65</t>
    </r>
    <r>
      <rPr>
        <vertAlign val="superscript"/>
        <sz val="10"/>
        <rFont val="Verdana"/>
        <family val="2"/>
      </rPr>
      <t xml:space="preserve">P </t>
    </r>
  </si>
  <si>
    <r>
      <t>5.64</t>
    </r>
    <r>
      <rPr>
        <vertAlign val="superscript"/>
        <sz val="10"/>
        <rFont val="Verdana"/>
        <family val="2"/>
      </rPr>
      <t xml:space="preserve">P </t>
    </r>
  </si>
  <si>
    <r>
      <t>5.63</t>
    </r>
    <r>
      <rPr>
        <vertAlign val="superscript"/>
        <sz val="10"/>
        <rFont val="Verdana"/>
        <family val="2"/>
      </rPr>
      <t xml:space="preserve">P </t>
    </r>
  </si>
  <si>
    <r>
      <t>5.62</t>
    </r>
    <r>
      <rPr>
        <vertAlign val="superscript"/>
        <sz val="10"/>
        <rFont val="Verdana"/>
        <family val="2"/>
      </rPr>
      <t xml:space="preserve">P </t>
    </r>
  </si>
  <si>
    <r>
      <t>5.61</t>
    </r>
    <r>
      <rPr>
        <vertAlign val="superscript"/>
        <sz val="10"/>
        <rFont val="Verdana"/>
        <family val="2"/>
      </rPr>
      <t xml:space="preserve">P </t>
    </r>
  </si>
  <si>
    <r>
      <t>5.60</t>
    </r>
    <r>
      <rPr>
        <vertAlign val="superscript"/>
        <sz val="10"/>
        <rFont val="Verdana"/>
        <family val="2"/>
      </rPr>
      <t xml:space="preserve">P </t>
    </r>
  </si>
  <si>
    <r>
      <t>5.59</t>
    </r>
    <r>
      <rPr>
        <vertAlign val="superscript"/>
        <sz val="10"/>
        <rFont val="Verdana"/>
        <family val="2"/>
      </rPr>
      <t xml:space="preserve">P </t>
    </r>
  </si>
  <si>
    <r>
      <t>5.58</t>
    </r>
    <r>
      <rPr>
        <vertAlign val="superscript"/>
        <sz val="10"/>
        <rFont val="Verdana"/>
        <family val="2"/>
      </rPr>
      <t xml:space="preserve">P </t>
    </r>
  </si>
  <si>
    <r>
      <t>5.57</t>
    </r>
    <r>
      <rPr>
        <vertAlign val="superscript"/>
        <sz val="10"/>
        <rFont val="Verdana"/>
        <family val="2"/>
      </rPr>
      <t xml:space="preserve">P </t>
    </r>
  </si>
  <si>
    <r>
      <t>5.56</t>
    </r>
    <r>
      <rPr>
        <vertAlign val="superscript"/>
        <sz val="10"/>
        <rFont val="Verdana"/>
        <family val="2"/>
      </rPr>
      <t xml:space="preserve">P </t>
    </r>
  </si>
  <si>
    <r>
      <t>5.55</t>
    </r>
    <r>
      <rPr>
        <vertAlign val="superscript"/>
        <sz val="10"/>
        <rFont val="Verdana"/>
        <family val="2"/>
      </rPr>
      <t xml:space="preserve">P </t>
    </r>
  </si>
  <si>
    <r>
      <t>5.54</t>
    </r>
    <r>
      <rPr>
        <vertAlign val="superscript"/>
        <sz val="10"/>
        <rFont val="Verdana"/>
        <family val="2"/>
      </rPr>
      <t xml:space="preserve">P </t>
    </r>
  </si>
  <si>
    <r>
      <t>5.53</t>
    </r>
    <r>
      <rPr>
        <vertAlign val="superscript"/>
        <sz val="10"/>
        <rFont val="Verdana"/>
        <family val="2"/>
      </rPr>
      <t xml:space="preserve">P </t>
    </r>
  </si>
  <si>
    <r>
      <t>5.52</t>
    </r>
    <r>
      <rPr>
        <vertAlign val="superscript"/>
        <sz val="10"/>
        <rFont val="Verdana"/>
        <family val="2"/>
      </rPr>
      <t xml:space="preserve">P </t>
    </r>
  </si>
  <si>
    <r>
      <t>5.51</t>
    </r>
    <r>
      <rPr>
        <vertAlign val="superscript"/>
        <sz val="10"/>
        <rFont val="Verdana"/>
        <family val="2"/>
      </rPr>
      <t xml:space="preserve">P </t>
    </r>
  </si>
  <si>
    <r>
      <t>5.50</t>
    </r>
    <r>
      <rPr>
        <vertAlign val="superscript"/>
        <sz val="10"/>
        <rFont val="Verdana"/>
        <family val="2"/>
      </rPr>
      <t xml:space="preserve">P </t>
    </r>
  </si>
  <si>
    <r>
      <t>5.49</t>
    </r>
    <r>
      <rPr>
        <vertAlign val="superscript"/>
        <sz val="10"/>
        <rFont val="Verdana"/>
        <family val="2"/>
      </rPr>
      <t xml:space="preserve">P </t>
    </r>
  </si>
  <si>
    <r>
      <t>5.48</t>
    </r>
    <r>
      <rPr>
        <vertAlign val="superscript"/>
        <sz val="10"/>
        <rFont val="Verdana"/>
        <family val="2"/>
      </rPr>
      <t xml:space="preserve">P </t>
    </r>
  </si>
  <si>
    <r>
      <t>5.47</t>
    </r>
    <r>
      <rPr>
        <vertAlign val="superscript"/>
        <sz val="10"/>
        <rFont val="Verdana"/>
        <family val="2"/>
      </rPr>
      <t xml:space="preserve">P </t>
    </r>
  </si>
  <si>
    <r>
      <t>5.46</t>
    </r>
    <r>
      <rPr>
        <vertAlign val="superscript"/>
        <sz val="10"/>
        <rFont val="Verdana"/>
        <family val="2"/>
      </rPr>
      <t xml:space="preserve">P </t>
    </r>
  </si>
  <si>
    <r>
      <t>5.45</t>
    </r>
    <r>
      <rPr>
        <vertAlign val="superscript"/>
        <sz val="10"/>
        <rFont val="Verdana"/>
        <family val="2"/>
      </rPr>
      <t xml:space="preserve">P </t>
    </r>
  </si>
  <si>
    <r>
      <t>5.44</t>
    </r>
    <r>
      <rPr>
        <vertAlign val="superscript"/>
        <sz val="10"/>
        <rFont val="Verdana"/>
        <family val="2"/>
      </rPr>
      <t xml:space="preserve">P </t>
    </r>
  </si>
  <si>
    <r>
      <t>5.43</t>
    </r>
    <r>
      <rPr>
        <vertAlign val="superscript"/>
        <sz val="10"/>
        <rFont val="Verdana"/>
        <family val="2"/>
      </rPr>
      <t xml:space="preserve">P </t>
    </r>
  </si>
  <si>
    <r>
      <t>5.42</t>
    </r>
    <r>
      <rPr>
        <vertAlign val="superscript"/>
        <sz val="10"/>
        <rFont val="Verdana"/>
        <family val="2"/>
      </rPr>
      <t xml:space="preserve">P </t>
    </r>
  </si>
  <si>
    <r>
      <t>5.41</t>
    </r>
    <r>
      <rPr>
        <vertAlign val="superscript"/>
        <sz val="10"/>
        <rFont val="Verdana"/>
        <family val="2"/>
      </rPr>
      <t xml:space="preserve">P </t>
    </r>
  </si>
  <si>
    <r>
      <t>5.40</t>
    </r>
    <r>
      <rPr>
        <vertAlign val="superscript"/>
        <sz val="10"/>
        <rFont val="Verdana"/>
        <family val="2"/>
      </rPr>
      <t xml:space="preserve">P </t>
    </r>
  </si>
  <si>
    <r>
      <t>5.39</t>
    </r>
    <r>
      <rPr>
        <vertAlign val="superscript"/>
        <sz val="10"/>
        <rFont val="Verdana"/>
        <family val="2"/>
      </rPr>
      <t xml:space="preserve">P </t>
    </r>
  </si>
  <si>
    <r>
      <t>5.38</t>
    </r>
    <r>
      <rPr>
        <vertAlign val="superscript"/>
        <sz val="10"/>
        <rFont val="Verdana"/>
        <family val="2"/>
      </rPr>
      <t xml:space="preserve">P </t>
    </r>
  </si>
  <si>
    <r>
      <t>5.37</t>
    </r>
    <r>
      <rPr>
        <vertAlign val="superscript"/>
        <sz val="10"/>
        <rFont val="Verdana"/>
        <family val="2"/>
      </rPr>
      <t xml:space="preserve">P </t>
    </r>
  </si>
  <si>
    <r>
      <t>5.36</t>
    </r>
    <r>
      <rPr>
        <vertAlign val="superscript"/>
        <sz val="10"/>
        <rFont val="Verdana"/>
        <family val="2"/>
      </rPr>
      <t xml:space="preserve">P </t>
    </r>
  </si>
  <si>
    <r>
      <t>5.35</t>
    </r>
    <r>
      <rPr>
        <vertAlign val="superscript"/>
        <sz val="10"/>
        <rFont val="Verdana"/>
        <family val="2"/>
      </rPr>
      <t xml:space="preserve">P </t>
    </r>
  </si>
  <si>
    <r>
      <t>5.34</t>
    </r>
    <r>
      <rPr>
        <vertAlign val="superscript"/>
        <sz val="10"/>
        <rFont val="Verdana"/>
        <family val="2"/>
      </rPr>
      <t xml:space="preserve">P </t>
    </r>
  </si>
  <si>
    <r>
      <t>5.33</t>
    </r>
    <r>
      <rPr>
        <vertAlign val="superscript"/>
        <sz val="10"/>
        <rFont val="Verdana"/>
        <family val="2"/>
      </rPr>
      <t xml:space="preserve">P </t>
    </r>
  </si>
  <si>
    <r>
      <t>5.32</t>
    </r>
    <r>
      <rPr>
        <vertAlign val="superscript"/>
        <sz val="10"/>
        <rFont val="Verdana"/>
        <family val="2"/>
      </rPr>
      <t xml:space="preserve">P </t>
    </r>
  </si>
  <si>
    <r>
      <t>5.31</t>
    </r>
    <r>
      <rPr>
        <vertAlign val="superscript"/>
        <sz val="10"/>
        <rFont val="Verdana"/>
        <family val="2"/>
      </rPr>
      <t xml:space="preserve">P </t>
    </r>
  </si>
  <si>
    <r>
      <t>5.30</t>
    </r>
    <r>
      <rPr>
        <vertAlign val="superscript"/>
        <sz val="10"/>
        <rFont val="Verdana"/>
        <family val="2"/>
      </rPr>
      <t xml:space="preserve">P </t>
    </r>
  </si>
  <si>
    <r>
      <t>5.29</t>
    </r>
    <r>
      <rPr>
        <vertAlign val="superscript"/>
        <sz val="10"/>
        <rFont val="Verdana"/>
        <family val="2"/>
      </rPr>
      <t xml:space="preserve">P </t>
    </r>
  </si>
  <si>
    <r>
      <t>5.28</t>
    </r>
    <r>
      <rPr>
        <vertAlign val="superscript"/>
        <sz val="10"/>
        <rFont val="Verdana"/>
        <family val="2"/>
      </rPr>
      <t xml:space="preserve">P </t>
    </r>
  </si>
  <si>
    <r>
      <t>5.27</t>
    </r>
    <r>
      <rPr>
        <vertAlign val="superscript"/>
        <sz val="10"/>
        <rFont val="Verdana"/>
        <family val="2"/>
      </rPr>
      <t xml:space="preserve">P </t>
    </r>
  </si>
  <si>
    <r>
      <t>5.26</t>
    </r>
    <r>
      <rPr>
        <vertAlign val="superscript"/>
        <sz val="10"/>
        <rFont val="Verdana"/>
        <family val="2"/>
      </rPr>
      <t xml:space="preserve">P </t>
    </r>
  </si>
  <si>
    <r>
      <t>5.25</t>
    </r>
    <r>
      <rPr>
        <vertAlign val="superscript"/>
        <sz val="10"/>
        <rFont val="Verdana"/>
        <family val="2"/>
      </rPr>
      <t xml:space="preserve">P </t>
    </r>
  </si>
  <si>
    <r>
      <t>5.24</t>
    </r>
    <r>
      <rPr>
        <vertAlign val="superscript"/>
        <sz val="10"/>
        <rFont val="Verdana"/>
        <family val="2"/>
      </rPr>
      <t xml:space="preserve">P </t>
    </r>
  </si>
  <si>
    <r>
      <t>5.23</t>
    </r>
    <r>
      <rPr>
        <vertAlign val="superscript"/>
        <sz val="10"/>
        <rFont val="Verdana"/>
        <family val="2"/>
      </rPr>
      <t xml:space="preserve">P </t>
    </r>
  </si>
  <si>
    <r>
      <t>5.22</t>
    </r>
    <r>
      <rPr>
        <vertAlign val="superscript"/>
        <sz val="10"/>
        <rFont val="Verdana"/>
        <family val="2"/>
      </rPr>
      <t xml:space="preserve">P </t>
    </r>
  </si>
  <si>
    <r>
      <t>5.21</t>
    </r>
    <r>
      <rPr>
        <vertAlign val="superscript"/>
        <sz val="10"/>
        <rFont val="Verdana"/>
        <family val="2"/>
      </rPr>
      <t xml:space="preserve">P </t>
    </r>
  </si>
  <si>
    <r>
      <t>5.20</t>
    </r>
    <r>
      <rPr>
        <vertAlign val="superscript"/>
        <sz val="10"/>
        <rFont val="Verdana"/>
        <family val="2"/>
      </rPr>
      <t xml:space="preserve">P </t>
    </r>
  </si>
  <si>
    <r>
      <t>5.19</t>
    </r>
    <r>
      <rPr>
        <vertAlign val="superscript"/>
        <sz val="10"/>
        <rFont val="Verdana"/>
        <family val="2"/>
      </rPr>
      <t xml:space="preserve">P </t>
    </r>
  </si>
  <si>
    <r>
      <t>5.18</t>
    </r>
    <r>
      <rPr>
        <vertAlign val="superscript"/>
        <sz val="10"/>
        <rFont val="Verdana"/>
        <family val="2"/>
      </rPr>
      <t xml:space="preserve">P </t>
    </r>
  </si>
  <si>
    <r>
      <t>5.17</t>
    </r>
    <r>
      <rPr>
        <vertAlign val="superscript"/>
        <sz val="10"/>
        <rFont val="Verdana"/>
        <family val="2"/>
      </rPr>
      <t xml:space="preserve">P </t>
    </r>
  </si>
  <si>
    <r>
      <t>5.16</t>
    </r>
    <r>
      <rPr>
        <vertAlign val="superscript"/>
        <sz val="10"/>
        <rFont val="Verdana"/>
        <family val="2"/>
      </rPr>
      <t xml:space="preserve">P </t>
    </r>
  </si>
  <si>
    <r>
      <t>5.15</t>
    </r>
    <r>
      <rPr>
        <vertAlign val="superscript"/>
        <sz val="10"/>
        <rFont val="Verdana"/>
        <family val="2"/>
      </rPr>
      <t xml:space="preserve">P </t>
    </r>
  </si>
  <si>
    <r>
      <t>5.14</t>
    </r>
    <r>
      <rPr>
        <vertAlign val="superscript"/>
        <sz val="10"/>
        <rFont val="Verdana"/>
        <family val="2"/>
      </rPr>
      <t xml:space="preserve">P </t>
    </r>
  </si>
  <si>
    <r>
      <t>5.13</t>
    </r>
    <r>
      <rPr>
        <vertAlign val="superscript"/>
        <sz val="10"/>
        <rFont val="Verdana"/>
        <family val="2"/>
      </rPr>
      <t xml:space="preserve">P </t>
    </r>
  </si>
  <si>
    <r>
      <t>5.12</t>
    </r>
    <r>
      <rPr>
        <vertAlign val="superscript"/>
        <sz val="10"/>
        <rFont val="Verdana"/>
        <family val="2"/>
      </rPr>
      <t xml:space="preserve">P </t>
    </r>
  </si>
  <si>
    <r>
      <t>5.11</t>
    </r>
    <r>
      <rPr>
        <vertAlign val="superscript"/>
        <sz val="10"/>
        <rFont val="Verdana"/>
        <family val="2"/>
      </rPr>
      <t xml:space="preserve">P </t>
    </r>
  </si>
  <si>
    <r>
      <t>5.10</t>
    </r>
    <r>
      <rPr>
        <vertAlign val="superscript"/>
        <sz val="10"/>
        <rFont val="Verdana"/>
        <family val="2"/>
      </rPr>
      <t xml:space="preserve">P </t>
    </r>
  </si>
  <si>
    <r>
      <t>5.09</t>
    </r>
    <r>
      <rPr>
        <vertAlign val="superscript"/>
        <sz val="10"/>
        <rFont val="Verdana"/>
        <family val="2"/>
      </rPr>
      <t xml:space="preserve">P </t>
    </r>
  </si>
  <si>
    <r>
      <t>5.08</t>
    </r>
    <r>
      <rPr>
        <vertAlign val="superscript"/>
        <sz val="10"/>
        <rFont val="Verdana"/>
        <family val="2"/>
      </rPr>
      <t xml:space="preserve">P </t>
    </r>
  </si>
  <si>
    <r>
      <t>5.07</t>
    </r>
    <r>
      <rPr>
        <vertAlign val="superscript"/>
        <sz val="10"/>
        <rFont val="Verdana"/>
        <family val="2"/>
      </rPr>
      <t xml:space="preserve">P </t>
    </r>
  </si>
  <si>
    <r>
      <t>5.06</t>
    </r>
    <r>
      <rPr>
        <vertAlign val="superscript"/>
        <sz val="10"/>
        <rFont val="Verdana"/>
        <family val="2"/>
      </rPr>
      <t xml:space="preserve">P </t>
    </r>
  </si>
  <si>
    <r>
      <t>5.05</t>
    </r>
    <r>
      <rPr>
        <vertAlign val="superscript"/>
        <sz val="10"/>
        <rFont val="Verdana"/>
        <family val="2"/>
      </rPr>
      <t xml:space="preserve">P </t>
    </r>
  </si>
  <si>
    <r>
      <t>6.57</t>
    </r>
    <r>
      <rPr>
        <vertAlign val="superscript"/>
        <sz val="10"/>
        <rFont val="Verdana"/>
        <family val="2"/>
      </rPr>
      <t xml:space="preserve">P </t>
    </r>
  </si>
  <si>
    <r>
      <t>6.65</t>
    </r>
    <r>
      <rPr>
        <vertAlign val="superscript"/>
        <sz val="10"/>
        <rFont val="Verdana"/>
        <family val="2"/>
      </rPr>
      <t xml:space="preserve">P </t>
    </r>
  </si>
  <si>
    <r>
      <t>6.77</t>
    </r>
    <r>
      <rPr>
        <vertAlign val="superscript"/>
        <sz val="10"/>
        <rFont val="Verdana"/>
        <family val="2"/>
      </rPr>
      <t xml:space="preserve">P </t>
    </r>
  </si>
  <si>
    <r>
      <t>6.81</t>
    </r>
    <r>
      <rPr>
        <vertAlign val="superscript"/>
        <sz val="10"/>
        <rFont val="Verdana"/>
        <family val="2"/>
      </rPr>
      <t xml:space="preserve">P </t>
    </r>
  </si>
  <si>
    <r>
      <t>6.83</t>
    </r>
    <r>
      <rPr>
        <vertAlign val="superscript"/>
        <sz val="10"/>
        <rFont val="Verdana"/>
        <family val="2"/>
      </rPr>
      <t xml:space="preserve">P </t>
    </r>
  </si>
  <si>
    <r>
      <t>6.86</t>
    </r>
    <r>
      <rPr>
        <vertAlign val="superscript"/>
        <sz val="10"/>
        <rFont val="Verdana"/>
        <family val="2"/>
      </rPr>
      <t xml:space="preserve">P </t>
    </r>
  </si>
  <si>
    <r>
      <t>6.89</t>
    </r>
    <r>
      <rPr>
        <vertAlign val="superscript"/>
        <sz val="10"/>
        <rFont val="Verdana"/>
        <family val="2"/>
      </rPr>
      <t xml:space="preserve">P </t>
    </r>
  </si>
  <si>
    <r>
      <t>6.92</t>
    </r>
    <r>
      <rPr>
        <vertAlign val="superscript"/>
        <sz val="10"/>
        <rFont val="Verdana"/>
        <family val="2"/>
      </rPr>
      <t xml:space="preserve">P </t>
    </r>
  </si>
  <si>
    <r>
      <t>6.95</t>
    </r>
    <r>
      <rPr>
        <vertAlign val="superscript"/>
        <sz val="10"/>
        <rFont val="Verdana"/>
        <family val="2"/>
      </rPr>
      <t xml:space="preserve">P </t>
    </r>
  </si>
  <si>
    <r>
      <t>6.99</t>
    </r>
    <r>
      <rPr>
        <vertAlign val="superscript"/>
        <sz val="10"/>
        <rFont val="Verdana"/>
        <family val="2"/>
      </rPr>
      <t xml:space="preserve">P </t>
    </r>
  </si>
  <si>
    <r>
      <t>7.03</t>
    </r>
    <r>
      <rPr>
        <vertAlign val="superscript"/>
        <sz val="10"/>
        <rFont val="Verdana"/>
        <family val="2"/>
      </rPr>
      <t xml:space="preserve">P </t>
    </r>
  </si>
  <si>
    <r>
      <t>7.06</t>
    </r>
    <r>
      <rPr>
        <vertAlign val="superscript"/>
        <sz val="10"/>
        <rFont val="Verdana"/>
        <family val="2"/>
      </rPr>
      <t xml:space="preserve">P </t>
    </r>
  </si>
  <si>
    <r>
      <t>6.69</t>
    </r>
    <r>
      <rPr>
        <vertAlign val="superscript"/>
        <sz val="10"/>
        <rFont val="Verdana"/>
        <family val="2"/>
      </rPr>
      <t xml:space="preserve">P </t>
    </r>
  </si>
  <si>
    <r>
      <t>6.61</t>
    </r>
    <r>
      <rPr>
        <vertAlign val="superscript"/>
        <sz val="10"/>
        <rFont val="Verdana"/>
        <family val="2"/>
      </rPr>
      <t xml:space="preserve">P </t>
    </r>
  </si>
  <si>
    <r>
      <t>5.04</t>
    </r>
    <r>
      <rPr>
        <vertAlign val="superscript"/>
        <sz val="10"/>
        <rFont val="Verdana"/>
        <family val="2"/>
      </rPr>
      <t xml:space="preserve">P </t>
    </r>
  </si>
  <si>
    <r>
      <t>5.03</t>
    </r>
    <r>
      <rPr>
        <vertAlign val="superscript"/>
        <sz val="10"/>
        <rFont val="Verdana"/>
        <family val="2"/>
      </rPr>
      <t xml:space="preserve">P </t>
    </r>
  </si>
  <si>
    <r>
      <t>5.02</t>
    </r>
    <r>
      <rPr>
        <vertAlign val="superscript"/>
        <sz val="10"/>
        <rFont val="Verdana"/>
        <family val="2"/>
      </rPr>
      <t xml:space="preserve">P </t>
    </r>
  </si>
  <si>
    <r>
      <t>5.01</t>
    </r>
    <r>
      <rPr>
        <vertAlign val="superscript"/>
        <sz val="10"/>
        <rFont val="Verdana"/>
        <family val="2"/>
      </rPr>
      <t xml:space="preserve">P </t>
    </r>
  </si>
  <si>
    <r>
      <t>5.00</t>
    </r>
    <r>
      <rPr>
        <vertAlign val="superscript"/>
        <sz val="10"/>
        <rFont val="Verdana"/>
        <family val="2"/>
      </rPr>
      <t xml:space="preserve">P </t>
    </r>
  </si>
  <si>
    <r>
      <t>4.99</t>
    </r>
    <r>
      <rPr>
        <vertAlign val="superscript"/>
        <sz val="10"/>
        <rFont val="Verdana"/>
        <family val="2"/>
      </rPr>
      <t xml:space="preserve">P </t>
    </r>
  </si>
  <si>
    <r>
      <t>4.98</t>
    </r>
    <r>
      <rPr>
        <vertAlign val="superscript"/>
        <sz val="10"/>
        <rFont val="Verdana"/>
        <family val="2"/>
      </rPr>
      <t xml:space="preserve">P </t>
    </r>
  </si>
  <si>
    <r>
      <t>4.97</t>
    </r>
    <r>
      <rPr>
        <vertAlign val="superscript"/>
        <sz val="10"/>
        <rFont val="Verdana"/>
        <family val="2"/>
      </rPr>
      <t xml:space="preserve">P </t>
    </r>
  </si>
  <si>
    <r>
      <t>4.96</t>
    </r>
    <r>
      <rPr>
        <vertAlign val="superscript"/>
        <sz val="10"/>
        <rFont val="Verdana"/>
        <family val="2"/>
      </rPr>
      <t xml:space="preserve">P </t>
    </r>
  </si>
  <si>
    <r>
      <t>4.95</t>
    </r>
    <r>
      <rPr>
        <vertAlign val="superscript"/>
        <sz val="10"/>
        <rFont val="Verdana"/>
        <family val="2"/>
      </rPr>
      <t xml:space="preserve">P </t>
    </r>
  </si>
  <si>
    <r>
      <t>4.94</t>
    </r>
    <r>
      <rPr>
        <vertAlign val="superscript"/>
        <sz val="10"/>
        <rFont val="Verdana"/>
        <family val="2"/>
      </rPr>
      <t xml:space="preserve">P </t>
    </r>
  </si>
  <si>
    <r>
      <t>4.93</t>
    </r>
    <r>
      <rPr>
        <vertAlign val="superscript"/>
        <sz val="10"/>
        <rFont val="Verdana"/>
        <family val="2"/>
      </rPr>
      <t xml:space="preserve">P </t>
    </r>
  </si>
  <si>
    <r>
      <t>4.92</t>
    </r>
    <r>
      <rPr>
        <vertAlign val="superscript"/>
        <sz val="10"/>
        <rFont val="Verdana"/>
        <family val="2"/>
      </rPr>
      <t xml:space="preserve">P </t>
    </r>
  </si>
  <si>
    <r>
      <t>4.91</t>
    </r>
    <r>
      <rPr>
        <vertAlign val="superscript"/>
        <sz val="10"/>
        <rFont val="Verdana"/>
        <family val="2"/>
      </rPr>
      <t xml:space="preserve">P </t>
    </r>
  </si>
  <si>
    <r>
      <t>4.90</t>
    </r>
    <r>
      <rPr>
        <vertAlign val="superscript"/>
        <sz val="10"/>
        <rFont val="Verdana"/>
        <family val="2"/>
      </rPr>
      <t xml:space="preserve">P </t>
    </r>
  </si>
  <si>
    <r>
      <t>4.89</t>
    </r>
    <r>
      <rPr>
        <vertAlign val="superscript"/>
        <sz val="10"/>
        <rFont val="Verdana"/>
        <family val="2"/>
      </rPr>
      <t xml:space="preserve">P </t>
    </r>
  </si>
  <si>
    <r>
      <t>4.88</t>
    </r>
    <r>
      <rPr>
        <vertAlign val="superscript"/>
        <sz val="10"/>
        <rFont val="Verdana"/>
        <family val="2"/>
      </rPr>
      <t xml:space="preserve">P </t>
    </r>
  </si>
  <si>
    <r>
      <t>4.87</t>
    </r>
    <r>
      <rPr>
        <vertAlign val="superscript"/>
        <sz val="10"/>
        <rFont val="Verdana"/>
        <family val="2"/>
      </rPr>
      <t xml:space="preserve">P </t>
    </r>
  </si>
  <si>
    <r>
      <t>4.86</t>
    </r>
    <r>
      <rPr>
        <vertAlign val="superscript"/>
        <sz val="10"/>
        <rFont val="Verdana"/>
        <family val="2"/>
      </rPr>
      <t xml:space="preserve">P </t>
    </r>
  </si>
  <si>
    <r>
      <t>4.85</t>
    </r>
    <r>
      <rPr>
        <vertAlign val="superscript"/>
        <sz val="10"/>
        <rFont val="Verdana"/>
        <family val="2"/>
      </rPr>
      <t xml:space="preserve">P </t>
    </r>
  </si>
  <si>
    <r>
      <t>4.84</t>
    </r>
    <r>
      <rPr>
        <vertAlign val="superscript"/>
        <sz val="10"/>
        <rFont val="Verdana"/>
        <family val="2"/>
      </rPr>
      <t xml:space="preserve">P </t>
    </r>
  </si>
  <si>
    <r>
      <t>4.83</t>
    </r>
    <r>
      <rPr>
        <vertAlign val="superscript"/>
        <sz val="10"/>
        <rFont val="Verdana"/>
        <family val="2"/>
      </rPr>
      <t xml:space="preserve">P </t>
    </r>
  </si>
  <si>
    <r>
      <t>4.82</t>
    </r>
    <r>
      <rPr>
        <vertAlign val="superscript"/>
        <sz val="10"/>
        <rFont val="Verdana"/>
        <family val="2"/>
      </rPr>
      <t xml:space="preserve">P </t>
    </r>
  </si>
  <si>
    <r>
      <t>4.81</t>
    </r>
    <r>
      <rPr>
        <vertAlign val="superscript"/>
        <sz val="10"/>
        <rFont val="Verdana"/>
        <family val="2"/>
      </rPr>
      <t xml:space="preserve">P </t>
    </r>
  </si>
  <si>
    <r>
      <t>4.80</t>
    </r>
    <r>
      <rPr>
        <vertAlign val="superscript"/>
        <sz val="10"/>
        <rFont val="Verdana"/>
        <family val="2"/>
      </rPr>
      <t xml:space="preserve">P </t>
    </r>
  </si>
  <si>
    <r>
      <t>4.79</t>
    </r>
    <r>
      <rPr>
        <vertAlign val="superscript"/>
        <sz val="10"/>
        <rFont val="Verdana"/>
        <family val="2"/>
      </rPr>
      <t xml:space="preserve">P </t>
    </r>
  </si>
  <si>
    <r>
      <t>4.78</t>
    </r>
    <r>
      <rPr>
        <vertAlign val="superscript"/>
        <sz val="10"/>
        <rFont val="Verdana"/>
        <family val="2"/>
      </rPr>
      <t xml:space="preserve">P </t>
    </r>
  </si>
  <si>
    <r>
      <t>4.77</t>
    </r>
    <r>
      <rPr>
        <vertAlign val="superscript"/>
        <sz val="10"/>
        <rFont val="Verdana"/>
        <family val="2"/>
      </rPr>
      <t xml:space="preserve">P </t>
    </r>
  </si>
  <si>
    <r>
      <t>4.76</t>
    </r>
    <r>
      <rPr>
        <vertAlign val="superscript"/>
        <sz val="10"/>
        <rFont val="Verdana"/>
        <family val="2"/>
      </rPr>
      <t xml:space="preserve">P </t>
    </r>
  </si>
  <si>
    <r>
      <t>4.75</t>
    </r>
    <r>
      <rPr>
        <vertAlign val="superscript"/>
        <sz val="10"/>
        <rFont val="Verdana"/>
        <family val="2"/>
      </rPr>
      <t xml:space="preserve">P </t>
    </r>
  </si>
  <si>
    <r>
      <t>4.74</t>
    </r>
    <r>
      <rPr>
        <vertAlign val="superscript"/>
        <sz val="10"/>
        <rFont val="Verdana"/>
        <family val="2"/>
      </rPr>
      <t xml:space="preserve">P </t>
    </r>
  </si>
  <si>
    <r>
      <t>4.73</t>
    </r>
    <r>
      <rPr>
        <vertAlign val="superscript"/>
        <sz val="10"/>
        <rFont val="Verdana"/>
        <family val="2"/>
      </rPr>
      <t xml:space="preserve">P </t>
    </r>
  </si>
  <si>
    <r>
      <t>4.72</t>
    </r>
    <r>
      <rPr>
        <vertAlign val="superscript"/>
        <sz val="10"/>
        <rFont val="Verdana"/>
        <family val="2"/>
      </rPr>
      <t xml:space="preserve">P </t>
    </r>
  </si>
  <si>
    <r>
      <t>4.71</t>
    </r>
    <r>
      <rPr>
        <vertAlign val="superscript"/>
        <sz val="10"/>
        <rFont val="Verdana"/>
        <family val="2"/>
      </rPr>
      <t xml:space="preserve">P </t>
    </r>
  </si>
  <si>
    <r>
      <t>4.70</t>
    </r>
    <r>
      <rPr>
        <vertAlign val="superscript"/>
        <sz val="10"/>
        <rFont val="Verdana"/>
        <family val="2"/>
      </rPr>
      <t xml:space="preserve">P </t>
    </r>
  </si>
  <si>
    <r>
      <t>4.69</t>
    </r>
    <r>
      <rPr>
        <vertAlign val="superscript"/>
        <sz val="10"/>
        <rFont val="Verdana"/>
        <family val="2"/>
      </rPr>
      <t xml:space="preserve">P </t>
    </r>
  </si>
  <si>
    <r>
      <t>4.68</t>
    </r>
    <r>
      <rPr>
        <vertAlign val="superscript"/>
        <sz val="10"/>
        <rFont val="Verdana"/>
        <family val="2"/>
      </rPr>
      <t xml:space="preserve">P </t>
    </r>
  </si>
  <si>
    <r>
      <t>4.67</t>
    </r>
    <r>
      <rPr>
        <vertAlign val="superscript"/>
        <sz val="10"/>
        <rFont val="Verdana"/>
        <family val="2"/>
      </rPr>
      <t xml:space="preserve">P </t>
    </r>
  </si>
  <si>
    <r>
      <t>4.66</t>
    </r>
    <r>
      <rPr>
        <vertAlign val="superscript"/>
        <sz val="10"/>
        <rFont val="Verdana"/>
        <family val="2"/>
      </rPr>
      <t xml:space="preserve">P </t>
    </r>
  </si>
  <si>
    <r>
      <t>4.65</t>
    </r>
    <r>
      <rPr>
        <vertAlign val="superscript"/>
        <sz val="10"/>
        <rFont val="Verdana"/>
        <family val="2"/>
      </rPr>
      <t xml:space="preserve">P </t>
    </r>
  </si>
  <si>
    <r>
      <t>4.64</t>
    </r>
    <r>
      <rPr>
        <vertAlign val="superscript"/>
        <sz val="10"/>
        <rFont val="Verdana"/>
        <family val="2"/>
      </rPr>
      <t xml:space="preserve">P </t>
    </r>
  </si>
  <si>
    <r>
      <t>4.63</t>
    </r>
    <r>
      <rPr>
        <vertAlign val="superscript"/>
        <sz val="10"/>
        <rFont val="Verdana"/>
        <family val="2"/>
      </rPr>
      <t xml:space="preserve">P </t>
    </r>
  </si>
  <si>
    <r>
      <t>4.62</t>
    </r>
    <r>
      <rPr>
        <vertAlign val="superscript"/>
        <sz val="10"/>
        <rFont val="Verdana"/>
        <family val="2"/>
      </rPr>
      <t xml:space="preserve">P </t>
    </r>
  </si>
  <si>
    <r>
      <t>4.61</t>
    </r>
    <r>
      <rPr>
        <vertAlign val="superscript"/>
        <sz val="10"/>
        <rFont val="Verdana"/>
        <family val="2"/>
      </rPr>
      <t xml:space="preserve">P </t>
    </r>
  </si>
  <si>
    <r>
      <t>4.60</t>
    </r>
    <r>
      <rPr>
        <vertAlign val="superscript"/>
        <sz val="10"/>
        <rFont val="Verdana"/>
        <family val="2"/>
      </rPr>
      <t xml:space="preserve">P </t>
    </r>
  </si>
  <si>
    <r>
      <t>4.59</t>
    </r>
    <r>
      <rPr>
        <vertAlign val="superscript"/>
        <sz val="10"/>
        <rFont val="Verdana"/>
        <family val="2"/>
      </rPr>
      <t xml:space="preserve">P </t>
    </r>
  </si>
  <si>
    <r>
      <t>4.58</t>
    </r>
    <r>
      <rPr>
        <vertAlign val="superscript"/>
        <sz val="10"/>
        <rFont val="Verdana"/>
        <family val="2"/>
      </rPr>
      <t xml:space="preserve">P </t>
    </r>
  </si>
  <si>
    <r>
      <t>4.57</t>
    </r>
    <r>
      <rPr>
        <vertAlign val="superscript"/>
        <sz val="10"/>
        <rFont val="Verdana"/>
        <family val="2"/>
      </rPr>
      <t xml:space="preserve">P </t>
    </r>
  </si>
  <si>
    <r>
      <t>4.56</t>
    </r>
    <r>
      <rPr>
        <vertAlign val="superscript"/>
        <sz val="10"/>
        <rFont val="Verdana"/>
        <family val="2"/>
      </rPr>
      <t xml:space="preserve">P </t>
    </r>
  </si>
  <si>
    <r>
      <t>4.55</t>
    </r>
    <r>
      <rPr>
        <vertAlign val="superscript"/>
        <sz val="10"/>
        <rFont val="Verdana"/>
        <family val="2"/>
      </rPr>
      <t xml:space="preserve">P </t>
    </r>
  </si>
  <si>
    <r>
      <t>4.54</t>
    </r>
    <r>
      <rPr>
        <vertAlign val="superscript"/>
        <sz val="10"/>
        <rFont val="Verdana"/>
        <family val="2"/>
      </rPr>
      <t xml:space="preserve">P </t>
    </r>
  </si>
  <si>
    <r>
      <t>4.53</t>
    </r>
    <r>
      <rPr>
        <vertAlign val="superscript"/>
        <sz val="10"/>
        <rFont val="Verdana"/>
        <family val="2"/>
      </rPr>
      <t xml:space="preserve">P </t>
    </r>
  </si>
  <si>
    <r>
      <t>4.52</t>
    </r>
    <r>
      <rPr>
        <vertAlign val="superscript"/>
        <sz val="10"/>
        <rFont val="Verdana"/>
        <family val="2"/>
      </rPr>
      <t xml:space="preserve">P </t>
    </r>
  </si>
  <si>
    <r>
      <t>4.51</t>
    </r>
    <r>
      <rPr>
        <vertAlign val="superscript"/>
        <sz val="10"/>
        <rFont val="Verdana"/>
        <family val="2"/>
      </rPr>
      <t xml:space="preserve">P </t>
    </r>
  </si>
  <si>
    <r>
      <t>4.50</t>
    </r>
    <r>
      <rPr>
        <vertAlign val="superscript"/>
        <sz val="10"/>
        <rFont val="Verdana"/>
        <family val="2"/>
      </rPr>
      <t xml:space="preserve">P </t>
    </r>
  </si>
  <si>
    <r>
      <t>4.49</t>
    </r>
    <r>
      <rPr>
        <vertAlign val="superscript"/>
        <sz val="10"/>
        <rFont val="Verdana"/>
        <family val="2"/>
      </rPr>
      <t xml:space="preserve">P </t>
    </r>
  </si>
  <si>
    <r>
      <t>4.48</t>
    </r>
    <r>
      <rPr>
        <vertAlign val="superscript"/>
        <sz val="10"/>
        <rFont val="Verdana"/>
        <family val="2"/>
      </rPr>
      <t xml:space="preserve">P </t>
    </r>
  </si>
  <si>
    <r>
      <t>4.47</t>
    </r>
    <r>
      <rPr>
        <vertAlign val="superscript"/>
        <sz val="10"/>
        <rFont val="Verdana"/>
        <family val="2"/>
      </rPr>
      <t xml:space="preserve">P </t>
    </r>
  </si>
  <si>
    <r>
      <t>4.46</t>
    </r>
    <r>
      <rPr>
        <vertAlign val="superscript"/>
        <sz val="10"/>
        <rFont val="Verdana"/>
        <family val="2"/>
      </rPr>
      <t xml:space="preserve">P </t>
    </r>
  </si>
  <si>
    <r>
      <t>4.45</t>
    </r>
    <r>
      <rPr>
        <vertAlign val="superscript"/>
        <sz val="10"/>
        <rFont val="Verdana"/>
        <family val="2"/>
      </rPr>
      <t xml:space="preserve">P </t>
    </r>
  </si>
  <si>
    <r>
      <t>4.44</t>
    </r>
    <r>
      <rPr>
        <vertAlign val="superscript"/>
        <sz val="10"/>
        <rFont val="Verdana"/>
        <family val="2"/>
      </rPr>
      <t xml:space="preserve">P </t>
    </r>
  </si>
  <si>
    <r>
      <t>4.43</t>
    </r>
    <r>
      <rPr>
        <vertAlign val="superscript"/>
        <sz val="10"/>
        <rFont val="Verdana"/>
        <family val="2"/>
      </rPr>
      <t xml:space="preserve">P </t>
    </r>
  </si>
  <si>
    <r>
      <t>4.42</t>
    </r>
    <r>
      <rPr>
        <vertAlign val="superscript"/>
        <sz val="10"/>
        <rFont val="Verdana"/>
        <family val="2"/>
      </rPr>
      <t xml:space="preserve">P </t>
    </r>
  </si>
  <si>
    <r>
      <t>4.41</t>
    </r>
    <r>
      <rPr>
        <vertAlign val="superscript"/>
        <sz val="10"/>
        <rFont val="Verdana"/>
        <family val="2"/>
      </rPr>
      <t xml:space="preserve">P </t>
    </r>
  </si>
  <si>
    <r>
      <t>4.40</t>
    </r>
    <r>
      <rPr>
        <vertAlign val="superscript"/>
        <sz val="10"/>
        <rFont val="Verdana"/>
        <family val="2"/>
      </rPr>
      <t xml:space="preserve">P </t>
    </r>
  </si>
  <si>
    <r>
      <t>4.39</t>
    </r>
    <r>
      <rPr>
        <vertAlign val="superscript"/>
        <sz val="10"/>
        <rFont val="Verdana"/>
        <family val="2"/>
      </rPr>
      <t xml:space="preserve">P </t>
    </r>
  </si>
  <si>
    <r>
      <t>4.38</t>
    </r>
    <r>
      <rPr>
        <vertAlign val="superscript"/>
        <sz val="10"/>
        <rFont val="Verdana"/>
        <family val="2"/>
      </rPr>
      <t xml:space="preserve">P </t>
    </r>
  </si>
  <si>
    <r>
      <t>4.37</t>
    </r>
    <r>
      <rPr>
        <vertAlign val="superscript"/>
        <sz val="10"/>
        <rFont val="Verdana"/>
        <family val="2"/>
      </rPr>
      <t xml:space="preserve">P </t>
    </r>
  </si>
  <si>
    <r>
      <t>4.36</t>
    </r>
    <r>
      <rPr>
        <vertAlign val="superscript"/>
        <sz val="10"/>
        <rFont val="Verdana"/>
        <family val="2"/>
      </rPr>
      <t xml:space="preserve">P </t>
    </r>
  </si>
  <si>
    <r>
      <t>4.35</t>
    </r>
    <r>
      <rPr>
        <vertAlign val="superscript"/>
        <sz val="10"/>
        <rFont val="Verdana"/>
        <family val="2"/>
      </rPr>
      <t xml:space="preserve">P </t>
    </r>
  </si>
  <si>
    <r>
      <t>4.34</t>
    </r>
    <r>
      <rPr>
        <vertAlign val="superscript"/>
        <sz val="10"/>
        <rFont val="Verdana"/>
        <family val="2"/>
      </rPr>
      <t xml:space="preserve">P </t>
    </r>
  </si>
  <si>
    <r>
      <t>4.33</t>
    </r>
    <r>
      <rPr>
        <vertAlign val="superscript"/>
        <sz val="10"/>
        <rFont val="Verdana"/>
        <family val="2"/>
      </rPr>
      <t xml:space="preserve">P </t>
    </r>
  </si>
  <si>
    <r>
      <t>4.32</t>
    </r>
    <r>
      <rPr>
        <vertAlign val="superscript"/>
        <sz val="10"/>
        <rFont val="Verdana"/>
        <family val="2"/>
      </rPr>
      <t xml:space="preserve">P </t>
    </r>
  </si>
  <si>
    <r>
      <t>4.31</t>
    </r>
    <r>
      <rPr>
        <vertAlign val="superscript"/>
        <sz val="10"/>
        <rFont val="Verdana"/>
        <family val="2"/>
      </rPr>
      <t xml:space="preserve">P </t>
    </r>
  </si>
  <si>
    <r>
      <t>4.30</t>
    </r>
    <r>
      <rPr>
        <vertAlign val="superscript"/>
        <sz val="10"/>
        <rFont val="Verdana"/>
        <family val="2"/>
      </rPr>
      <t xml:space="preserve">P </t>
    </r>
  </si>
  <si>
    <r>
      <t>4.29</t>
    </r>
    <r>
      <rPr>
        <vertAlign val="superscript"/>
        <sz val="10"/>
        <rFont val="Verdana"/>
        <family val="2"/>
      </rPr>
      <t xml:space="preserve">P </t>
    </r>
  </si>
  <si>
    <r>
      <t>4.28</t>
    </r>
    <r>
      <rPr>
        <vertAlign val="superscript"/>
        <sz val="10"/>
        <rFont val="Verdana"/>
        <family val="2"/>
      </rPr>
      <t xml:space="preserve">P </t>
    </r>
  </si>
  <si>
    <r>
      <t>4.27</t>
    </r>
    <r>
      <rPr>
        <vertAlign val="superscript"/>
        <sz val="10"/>
        <rFont val="Verdana"/>
        <family val="2"/>
      </rPr>
      <t xml:space="preserve">P </t>
    </r>
  </si>
  <si>
    <r>
      <t>4.26</t>
    </r>
    <r>
      <rPr>
        <vertAlign val="superscript"/>
        <sz val="10"/>
        <rFont val="Verdana"/>
        <family val="2"/>
      </rPr>
      <t xml:space="preserve">P </t>
    </r>
  </si>
  <si>
    <r>
      <t>4.25</t>
    </r>
    <r>
      <rPr>
        <vertAlign val="superscript"/>
        <sz val="10"/>
        <rFont val="Verdana"/>
        <family val="2"/>
      </rPr>
      <t xml:space="preserve">P </t>
    </r>
  </si>
  <si>
    <r>
      <t>4.24</t>
    </r>
    <r>
      <rPr>
        <vertAlign val="superscript"/>
        <sz val="10"/>
        <rFont val="Verdana"/>
        <family val="2"/>
      </rPr>
      <t xml:space="preserve">P </t>
    </r>
  </si>
  <si>
    <r>
      <t>4.23</t>
    </r>
    <r>
      <rPr>
        <vertAlign val="superscript"/>
        <sz val="10"/>
        <rFont val="Verdana"/>
        <family val="2"/>
      </rPr>
      <t xml:space="preserve">P </t>
    </r>
  </si>
  <si>
    <r>
      <t>4.22</t>
    </r>
    <r>
      <rPr>
        <vertAlign val="superscript"/>
        <sz val="10"/>
        <rFont val="Verdana"/>
        <family val="2"/>
      </rPr>
      <t xml:space="preserve">P </t>
    </r>
  </si>
  <si>
    <r>
      <t>4.21</t>
    </r>
    <r>
      <rPr>
        <vertAlign val="superscript"/>
        <sz val="10"/>
        <rFont val="Verdana"/>
        <family val="2"/>
      </rPr>
      <t xml:space="preserve">P </t>
    </r>
  </si>
  <si>
    <r>
      <t>4.20</t>
    </r>
    <r>
      <rPr>
        <vertAlign val="superscript"/>
        <sz val="10"/>
        <rFont val="Verdana"/>
        <family val="2"/>
      </rPr>
      <t xml:space="preserve">P </t>
    </r>
  </si>
  <si>
    <r>
      <t>4.19</t>
    </r>
    <r>
      <rPr>
        <vertAlign val="superscript"/>
        <sz val="10"/>
        <rFont val="Verdana"/>
        <family val="2"/>
      </rPr>
      <t xml:space="preserve">P </t>
    </r>
  </si>
  <si>
    <r>
      <t>4.18</t>
    </r>
    <r>
      <rPr>
        <vertAlign val="superscript"/>
        <sz val="10"/>
        <rFont val="Verdana"/>
        <family val="2"/>
      </rPr>
      <t xml:space="preserve">P </t>
    </r>
  </si>
  <si>
    <r>
      <t>4.17</t>
    </r>
    <r>
      <rPr>
        <vertAlign val="superscript"/>
        <sz val="10"/>
        <rFont val="Verdana"/>
        <family val="2"/>
      </rPr>
      <t xml:space="preserve">P </t>
    </r>
  </si>
  <si>
    <r>
      <t>4.16</t>
    </r>
    <r>
      <rPr>
        <vertAlign val="superscript"/>
        <sz val="10"/>
        <rFont val="Verdana"/>
        <family val="2"/>
      </rPr>
      <t xml:space="preserve">P </t>
    </r>
  </si>
  <si>
    <r>
      <t>4.15</t>
    </r>
    <r>
      <rPr>
        <vertAlign val="superscript"/>
        <sz val="10"/>
        <rFont val="Verdana"/>
        <family val="2"/>
      </rPr>
      <t xml:space="preserve">P </t>
    </r>
  </si>
  <si>
    <r>
      <t>4.14</t>
    </r>
    <r>
      <rPr>
        <vertAlign val="superscript"/>
        <sz val="10"/>
        <rFont val="Verdana"/>
        <family val="2"/>
      </rPr>
      <t xml:space="preserve">P </t>
    </r>
  </si>
  <si>
    <r>
      <t>4.13</t>
    </r>
    <r>
      <rPr>
        <vertAlign val="superscript"/>
        <sz val="10"/>
        <rFont val="Verdana"/>
        <family val="2"/>
      </rPr>
      <t xml:space="preserve">P </t>
    </r>
  </si>
  <si>
    <r>
      <t>4.12</t>
    </r>
    <r>
      <rPr>
        <vertAlign val="superscript"/>
        <sz val="10"/>
        <rFont val="Verdana"/>
        <family val="2"/>
      </rPr>
      <t xml:space="preserve">P </t>
    </r>
  </si>
  <si>
    <r>
      <t>4.11</t>
    </r>
    <r>
      <rPr>
        <vertAlign val="superscript"/>
        <sz val="10"/>
        <rFont val="Verdana"/>
        <family val="2"/>
      </rPr>
      <t xml:space="preserve">P </t>
    </r>
  </si>
  <si>
    <r>
      <t>4.10</t>
    </r>
    <r>
      <rPr>
        <vertAlign val="superscript"/>
        <sz val="10"/>
        <rFont val="Verdana"/>
        <family val="2"/>
      </rPr>
      <t xml:space="preserve">P </t>
    </r>
  </si>
  <si>
    <r>
      <t>4.09</t>
    </r>
    <r>
      <rPr>
        <vertAlign val="superscript"/>
        <sz val="10"/>
        <rFont val="Verdana"/>
        <family val="2"/>
      </rPr>
      <t xml:space="preserve">P </t>
    </r>
  </si>
  <si>
    <r>
      <t>4.08</t>
    </r>
    <r>
      <rPr>
        <vertAlign val="superscript"/>
        <sz val="10"/>
        <rFont val="Verdana"/>
        <family val="2"/>
      </rPr>
      <t xml:space="preserve">P </t>
    </r>
  </si>
  <si>
    <r>
      <t>4.07</t>
    </r>
    <r>
      <rPr>
        <vertAlign val="superscript"/>
        <sz val="10"/>
        <rFont val="Verdana"/>
        <family val="2"/>
      </rPr>
      <t xml:space="preserve">P </t>
    </r>
  </si>
  <si>
    <r>
      <t>4.06</t>
    </r>
    <r>
      <rPr>
        <vertAlign val="superscript"/>
        <sz val="10"/>
        <rFont val="Verdana"/>
        <family val="2"/>
      </rPr>
      <t xml:space="preserve">P </t>
    </r>
  </si>
  <si>
    <r>
      <t>4.05</t>
    </r>
    <r>
      <rPr>
        <vertAlign val="superscript"/>
        <sz val="10"/>
        <rFont val="Verdana"/>
        <family val="2"/>
      </rPr>
      <t xml:space="preserve">P </t>
    </r>
  </si>
  <si>
    <r>
      <t>4.04</t>
    </r>
    <r>
      <rPr>
        <vertAlign val="superscript"/>
        <sz val="10"/>
        <rFont val="Verdana"/>
        <family val="2"/>
      </rPr>
      <t xml:space="preserve">P </t>
    </r>
  </si>
  <si>
    <r>
      <t>4.03</t>
    </r>
    <r>
      <rPr>
        <vertAlign val="superscript"/>
        <sz val="10"/>
        <rFont val="Verdana"/>
        <family val="2"/>
      </rPr>
      <t xml:space="preserve">P </t>
    </r>
  </si>
  <si>
    <r>
      <t>4.02</t>
    </r>
    <r>
      <rPr>
        <vertAlign val="superscript"/>
        <sz val="10"/>
        <rFont val="Verdana"/>
        <family val="2"/>
      </rPr>
      <t xml:space="preserve">P </t>
    </r>
  </si>
  <si>
    <r>
      <t>4.01</t>
    </r>
    <r>
      <rPr>
        <vertAlign val="superscript"/>
        <sz val="10"/>
        <rFont val="Verdana"/>
        <family val="2"/>
      </rPr>
      <t xml:space="preserve">P </t>
    </r>
  </si>
  <si>
    <r>
      <t>4.00</t>
    </r>
    <r>
      <rPr>
        <vertAlign val="superscript"/>
        <sz val="10"/>
        <rFont val="Verdana"/>
        <family val="2"/>
      </rPr>
      <t xml:space="preserve">P </t>
    </r>
  </si>
  <si>
    <r>
      <t>3.99</t>
    </r>
    <r>
      <rPr>
        <vertAlign val="superscript"/>
        <sz val="10"/>
        <rFont val="Verdana"/>
        <family val="2"/>
      </rPr>
      <t xml:space="preserve">P </t>
    </r>
  </si>
  <si>
    <r>
      <t>3.98</t>
    </r>
    <r>
      <rPr>
        <vertAlign val="superscript"/>
        <sz val="10"/>
        <rFont val="Verdana"/>
        <family val="2"/>
      </rPr>
      <t xml:space="preserve">P </t>
    </r>
  </si>
  <si>
    <r>
      <t>3.97</t>
    </r>
    <r>
      <rPr>
        <vertAlign val="superscript"/>
        <sz val="10"/>
        <rFont val="Verdana"/>
        <family val="2"/>
      </rPr>
      <t xml:space="preserve">P </t>
    </r>
  </si>
  <si>
    <r>
      <t>3.96</t>
    </r>
    <r>
      <rPr>
        <vertAlign val="superscript"/>
        <sz val="10"/>
        <rFont val="Verdana"/>
        <family val="2"/>
      </rPr>
      <t xml:space="preserve">P </t>
    </r>
  </si>
  <si>
    <r>
      <t>3.95</t>
    </r>
    <r>
      <rPr>
        <vertAlign val="superscript"/>
        <sz val="10"/>
        <rFont val="Verdana"/>
        <family val="2"/>
      </rPr>
      <t xml:space="preserve">P </t>
    </r>
  </si>
  <si>
    <r>
      <t>3.94</t>
    </r>
    <r>
      <rPr>
        <vertAlign val="superscript"/>
        <sz val="10"/>
        <rFont val="Verdana"/>
        <family val="2"/>
      </rPr>
      <t xml:space="preserve">P </t>
    </r>
  </si>
  <si>
    <r>
      <t>3.93</t>
    </r>
    <r>
      <rPr>
        <vertAlign val="superscript"/>
        <sz val="10"/>
        <rFont val="Verdana"/>
        <family val="2"/>
      </rPr>
      <t xml:space="preserve">P </t>
    </r>
  </si>
  <si>
    <r>
      <t>3.92</t>
    </r>
    <r>
      <rPr>
        <vertAlign val="superscript"/>
        <sz val="10"/>
        <rFont val="Verdana"/>
        <family val="2"/>
      </rPr>
      <t xml:space="preserve">P </t>
    </r>
  </si>
  <si>
    <r>
      <t>3.91</t>
    </r>
    <r>
      <rPr>
        <vertAlign val="superscript"/>
        <sz val="10"/>
        <rFont val="Verdana"/>
        <family val="2"/>
      </rPr>
      <t xml:space="preserve">P </t>
    </r>
  </si>
  <si>
    <r>
      <t>3.90</t>
    </r>
    <r>
      <rPr>
        <vertAlign val="superscript"/>
        <sz val="10"/>
        <rFont val="Verdana"/>
        <family val="2"/>
      </rPr>
      <t xml:space="preserve">P </t>
    </r>
  </si>
  <si>
    <r>
      <t>3.89</t>
    </r>
    <r>
      <rPr>
        <vertAlign val="superscript"/>
        <sz val="10"/>
        <rFont val="Verdana"/>
        <family val="2"/>
      </rPr>
      <t xml:space="preserve">P </t>
    </r>
  </si>
  <si>
    <r>
      <t>3.88</t>
    </r>
    <r>
      <rPr>
        <vertAlign val="superscript"/>
        <sz val="10"/>
        <rFont val="Verdana"/>
        <family val="2"/>
      </rPr>
      <t xml:space="preserve">P </t>
    </r>
  </si>
  <si>
    <r>
      <t>3.87</t>
    </r>
    <r>
      <rPr>
        <vertAlign val="superscript"/>
        <sz val="10"/>
        <rFont val="Verdana"/>
        <family val="2"/>
      </rPr>
      <t xml:space="preserve">P </t>
    </r>
  </si>
  <si>
    <r>
      <t>3.86</t>
    </r>
    <r>
      <rPr>
        <vertAlign val="superscript"/>
        <sz val="10"/>
        <rFont val="Verdana"/>
        <family val="2"/>
      </rPr>
      <t xml:space="preserve">P </t>
    </r>
  </si>
  <si>
    <r>
      <t>3.85</t>
    </r>
    <r>
      <rPr>
        <vertAlign val="superscript"/>
        <sz val="10"/>
        <rFont val="Verdana"/>
        <family val="2"/>
      </rPr>
      <t xml:space="preserve">P </t>
    </r>
  </si>
  <si>
    <r>
      <t>3.84</t>
    </r>
    <r>
      <rPr>
        <vertAlign val="superscript"/>
        <sz val="10"/>
        <rFont val="Verdana"/>
        <family val="2"/>
      </rPr>
      <t xml:space="preserve">P </t>
    </r>
  </si>
  <si>
    <r>
      <t>3.83</t>
    </r>
    <r>
      <rPr>
        <vertAlign val="superscript"/>
        <sz val="10"/>
        <rFont val="Verdana"/>
        <family val="2"/>
      </rPr>
      <t xml:space="preserve">P </t>
    </r>
  </si>
  <si>
    <r>
      <t>3.82</t>
    </r>
    <r>
      <rPr>
        <vertAlign val="superscript"/>
        <sz val="10"/>
        <rFont val="Verdana"/>
        <family val="2"/>
      </rPr>
      <t xml:space="preserve">P </t>
    </r>
  </si>
  <si>
    <r>
      <t>3.81</t>
    </r>
    <r>
      <rPr>
        <vertAlign val="superscript"/>
        <sz val="10"/>
        <rFont val="Verdana"/>
        <family val="2"/>
      </rPr>
      <t xml:space="preserve">P </t>
    </r>
  </si>
  <si>
    <r>
      <t>3.80</t>
    </r>
    <r>
      <rPr>
        <vertAlign val="superscript"/>
        <sz val="10"/>
        <rFont val="Verdana"/>
        <family val="2"/>
      </rPr>
      <t xml:space="preserve">P </t>
    </r>
  </si>
  <si>
    <r>
      <t>3.79</t>
    </r>
    <r>
      <rPr>
        <vertAlign val="superscript"/>
        <sz val="10"/>
        <rFont val="Verdana"/>
        <family val="2"/>
      </rPr>
      <t xml:space="preserve">P </t>
    </r>
  </si>
  <si>
    <r>
      <t>3.78</t>
    </r>
    <r>
      <rPr>
        <vertAlign val="superscript"/>
        <sz val="10"/>
        <rFont val="Verdana"/>
        <family val="2"/>
      </rPr>
      <t xml:space="preserve">P </t>
    </r>
  </si>
  <si>
    <r>
      <t>3.77</t>
    </r>
    <r>
      <rPr>
        <vertAlign val="superscript"/>
        <sz val="10"/>
        <rFont val="Verdana"/>
        <family val="2"/>
      </rPr>
      <t xml:space="preserve">P </t>
    </r>
  </si>
  <si>
    <r>
      <t>3.76</t>
    </r>
    <r>
      <rPr>
        <vertAlign val="superscript"/>
        <sz val="10"/>
        <rFont val="Verdana"/>
        <family val="2"/>
      </rPr>
      <t xml:space="preserve">P </t>
    </r>
  </si>
  <si>
    <r>
      <t>3.75</t>
    </r>
    <r>
      <rPr>
        <vertAlign val="superscript"/>
        <sz val="10"/>
        <rFont val="Verdana"/>
        <family val="2"/>
      </rPr>
      <t xml:space="preserve">P </t>
    </r>
  </si>
  <si>
    <r>
      <t>3.74</t>
    </r>
    <r>
      <rPr>
        <vertAlign val="superscript"/>
        <sz val="10"/>
        <rFont val="Verdana"/>
        <family val="2"/>
      </rPr>
      <t xml:space="preserve">P </t>
    </r>
  </si>
  <si>
    <r>
      <t>3.73</t>
    </r>
    <r>
      <rPr>
        <vertAlign val="superscript"/>
        <sz val="10"/>
        <rFont val="Verdana"/>
        <family val="2"/>
      </rPr>
      <t xml:space="preserve">P </t>
    </r>
  </si>
  <si>
    <r>
      <t>3.72</t>
    </r>
    <r>
      <rPr>
        <vertAlign val="superscript"/>
        <sz val="10"/>
        <rFont val="Verdana"/>
        <family val="2"/>
      </rPr>
      <t xml:space="preserve">P </t>
    </r>
  </si>
  <si>
    <r>
      <t>3.71</t>
    </r>
    <r>
      <rPr>
        <vertAlign val="superscript"/>
        <sz val="10"/>
        <rFont val="Verdana"/>
        <family val="2"/>
      </rPr>
      <t xml:space="preserve">P </t>
    </r>
  </si>
  <si>
    <r>
      <t>3.70</t>
    </r>
    <r>
      <rPr>
        <vertAlign val="superscript"/>
        <sz val="10"/>
        <rFont val="Verdana"/>
        <family val="2"/>
      </rPr>
      <t xml:space="preserve">P </t>
    </r>
  </si>
  <si>
    <r>
      <t>3.69</t>
    </r>
    <r>
      <rPr>
        <vertAlign val="superscript"/>
        <sz val="10"/>
        <rFont val="Verdana"/>
        <family val="2"/>
      </rPr>
      <t xml:space="preserve">P </t>
    </r>
  </si>
  <si>
    <r>
      <t>3.68</t>
    </r>
    <r>
      <rPr>
        <vertAlign val="superscript"/>
        <sz val="10"/>
        <rFont val="Verdana"/>
        <family val="2"/>
      </rPr>
      <t xml:space="preserve">P </t>
    </r>
  </si>
  <si>
    <r>
      <t>3.67</t>
    </r>
    <r>
      <rPr>
        <vertAlign val="superscript"/>
        <sz val="10"/>
        <rFont val="Verdana"/>
        <family val="2"/>
      </rPr>
      <t xml:space="preserve">P </t>
    </r>
  </si>
  <si>
    <r>
      <t>3.66</t>
    </r>
    <r>
      <rPr>
        <vertAlign val="superscript"/>
        <sz val="10"/>
        <rFont val="Verdana"/>
        <family val="2"/>
      </rPr>
      <t xml:space="preserve">P </t>
    </r>
  </si>
  <si>
    <r>
      <t>3.65</t>
    </r>
    <r>
      <rPr>
        <vertAlign val="superscript"/>
        <sz val="10"/>
        <rFont val="Verdana"/>
        <family val="2"/>
      </rPr>
      <t xml:space="preserve">P </t>
    </r>
  </si>
  <si>
    <r>
      <t>3.64</t>
    </r>
    <r>
      <rPr>
        <vertAlign val="superscript"/>
        <sz val="10"/>
        <rFont val="Verdana"/>
        <family val="2"/>
      </rPr>
      <t xml:space="preserve">P </t>
    </r>
  </si>
  <si>
    <r>
      <t>3.63</t>
    </r>
    <r>
      <rPr>
        <vertAlign val="superscript"/>
        <sz val="10"/>
        <rFont val="Verdana"/>
        <family val="2"/>
      </rPr>
      <t xml:space="preserve">P </t>
    </r>
  </si>
  <si>
    <r>
      <t>3.62</t>
    </r>
    <r>
      <rPr>
        <vertAlign val="superscript"/>
        <sz val="10"/>
        <rFont val="Verdana"/>
        <family val="2"/>
      </rPr>
      <t xml:space="preserve">P </t>
    </r>
  </si>
  <si>
    <r>
      <t>3.61</t>
    </r>
    <r>
      <rPr>
        <vertAlign val="superscript"/>
        <sz val="10"/>
        <rFont val="Verdana"/>
        <family val="2"/>
      </rPr>
      <t xml:space="preserve">P </t>
    </r>
  </si>
  <si>
    <r>
      <t>3.60</t>
    </r>
    <r>
      <rPr>
        <vertAlign val="superscript"/>
        <sz val="10"/>
        <rFont val="Verdana"/>
        <family val="2"/>
      </rPr>
      <t xml:space="preserve">P </t>
    </r>
  </si>
  <si>
    <r>
      <t>3.59</t>
    </r>
    <r>
      <rPr>
        <vertAlign val="superscript"/>
        <sz val="10"/>
        <rFont val="Verdana"/>
        <family val="2"/>
      </rPr>
      <t xml:space="preserve">P </t>
    </r>
  </si>
  <si>
    <r>
      <t>3.58</t>
    </r>
    <r>
      <rPr>
        <vertAlign val="superscript"/>
        <sz val="10"/>
        <rFont val="Verdana"/>
        <family val="2"/>
      </rPr>
      <t xml:space="preserve">P </t>
    </r>
  </si>
  <si>
    <r>
      <t>3.57</t>
    </r>
    <r>
      <rPr>
        <vertAlign val="superscript"/>
        <sz val="10"/>
        <rFont val="Verdana"/>
        <family val="2"/>
      </rPr>
      <t xml:space="preserve">P </t>
    </r>
  </si>
  <si>
    <r>
      <t>3.56</t>
    </r>
    <r>
      <rPr>
        <vertAlign val="superscript"/>
        <sz val="10"/>
        <rFont val="Verdana"/>
        <family val="2"/>
      </rPr>
      <t xml:space="preserve">P </t>
    </r>
  </si>
  <si>
    <r>
      <t>3.55</t>
    </r>
    <r>
      <rPr>
        <vertAlign val="superscript"/>
        <sz val="10"/>
        <rFont val="Verdana"/>
        <family val="2"/>
      </rPr>
      <t xml:space="preserve">P </t>
    </r>
  </si>
  <si>
    <r>
      <t>3.54</t>
    </r>
    <r>
      <rPr>
        <vertAlign val="superscript"/>
        <sz val="10"/>
        <rFont val="Verdana"/>
        <family val="2"/>
      </rPr>
      <t xml:space="preserve">P </t>
    </r>
  </si>
  <si>
    <r>
      <t>3.53</t>
    </r>
    <r>
      <rPr>
        <vertAlign val="superscript"/>
        <sz val="10"/>
        <rFont val="Verdana"/>
        <family val="2"/>
      </rPr>
      <t xml:space="preserve">P </t>
    </r>
  </si>
  <si>
    <r>
      <t>3.52</t>
    </r>
    <r>
      <rPr>
        <vertAlign val="superscript"/>
        <sz val="10"/>
        <rFont val="Verdana"/>
        <family val="2"/>
      </rPr>
      <t xml:space="preserve">P </t>
    </r>
  </si>
  <si>
    <t>Sampled</t>
  </si>
  <si>
    <t>Bank</t>
  </si>
  <si>
    <r>
      <t>10,300</t>
    </r>
    <r>
      <rPr>
        <vertAlign val="superscript"/>
        <sz val="10"/>
        <rFont val="Verdana"/>
        <family val="2"/>
      </rPr>
      <t xml:space="preserve">P </t>
    </r>
  </si>
  <si>
    <r>
      <t>8,990</t>
    </r>
    <r>
      <rPr>
        <vertAlign val="superscript"/>
        <sz val="10"/>
        <rFont val="Verdana"/>
        <family val="2"/>
      </rPr>
      <t xml:space="preserve">P </t>
    </r>
  </si>
  <si>
    <r>
      <t>7,400</t>
    </r>
    <r>
      <rPr>
        <vertAlign val="superscript"/>
        <sz val="10"/>
        <rFont val="Verdana"/>
        <family val="2"/>
      </rPr>
      <t xml:space="preserve">P </t>
    </r>
  </si>
  <si>
    <r>
      <t>5,780</t>
    </r>
    <r>
      <rPr>
        <vertAlign val="superscript"/>
        <sz val="10"/>
        <rFont val="Verdana"/>
        <family val="2"/>
      </rPr>
      <t xml:space="preserve">P </t>
    </r>
  </si>
  <si>
    <r>
      <t>4,920</t>
    </r>
    <r>
      <rPr>
        <vertAlign val="superscript"/>
        <sz val="10"/>
        <rFont val="Verdana"/>
        <family val="2"/>
      </rPr>
      <t xml:space="preserve">P </t>
    </r>
  </si>
  <si>
    <r>
      <t>4,420</t>
    </r>
    <r>
      <rPr>
        <vertAlign val="superscript"/>
        <sz val="10"/>
        <rFont val="Verdana"/>
        <family val="2"/>
      </rPr>
      <t xml:space="preserve">P </t>
    </r>
  </si>
  <si>
    <r>
      <t>3,950</t>
    </r>
    <r>
      <rPr>
        <vertAlign val="superscript"/>
        <sz val="10"/>
        <rFont val="Verdana"/>
        <family val="2"/>
      </rPr>
      <t xml:space="preserve">P </t>
    </r>
  </si>
  <si>
    <r>
      <t>4,330</t>
    </r>
    <r>
      <rPr>
        <vertAlign val="superscript"/>
        <sz val="10"/>
        <rFont val="Verdana"/>
        <family val="2"/>
      </rPr>
      <t xml:space="preserve">P </t>
    </r>
  </si>
  <si>
    <r>
      <t>6,100</t>
    </r>
    <r>
      <rPr>
        <vertAlign val="superscript"/>
        <sz val="10"/>
        <rFont val="Verdana"/>
        <family val="2"/>
      </rPr>
      <t xml:space="preserve">P </t>
    </r>
  </si>
  <si>
    <r>
      <t>6,870</t>
    </r>
    <r>
      <rPr>
        <vertAlign val="superscript"/>
        <sz val="10"/>
        <rFont val="Verdana"/>
        <family val="2"/>
      </rPr>
      <t xml:space="preserve">P </t>
    </r>
  </si>
  <si>
    <r>
      <t>6,710</t>
    </r>
    <r>
      <rPr>
        <vertAlign val="superscript"/>
        <sz val="10"/>
        <rFont val="Verdana"/>
        <family val="2"/>
      </rPr>
      <t xml:space="preserve">P </t>
    </r>
  </si>
  <si>
    <r>
      <t>6,240</t>
    </r>
    <r>
      <rPr>
        <vertAlign val="superscript"/>
        <sz val="10"/>
        <rFont val="Verdana"/>
        <family val="2"/>
      </rPr>
      <t xml:space="preserve">P </t>
    </r>
  </si>
  <si>
    <r>
      <t>5,730</t>
    </r>
    <r>
      <rPr>
        <vertAlign val="superscript"/>
        <sz val="10"/>
        <rFont val="Verdana"/>
        <family val="2"/>
      </rPr>
      <t xml:space="preserve">P </t>
    </r>
  </si>
  <si>
    <r>
      <t>5,560</t>
    </r>
    <r>
      <rPr>
        <vertAlign val="superscript"/>
        <sz val="10"/>
        <rFont val="Verdana"/>
        <family val="2"/>
      </rPr>
      <t xml:space="preserve">P </t>
    </r>
  </si>
  <si>
    <r>
      <t>5,790</t>
    </r>
    <r>
      <rPr>
        <vertAlign val="superscript"/>
        <sz val="10"/>
        <rFont val="Verdana"/>
        <family val="2"/>
      </rPr>
      <t xml:space="preserve">P </t>
    </r>
  </si>
  <si>
    <r>
      <t>6,480</t>
    </r>
    <r>
      <rPr>
        <vertAlign val="superscript"/>
        <sz val="10"/>
        <rFont val="Verdana"/>
        <family val="2"/>
      </rPr>
      <t xml:space="preserve">P </t>
    </r>
  </si>
  <si>
    <r>
      <t>6,840</t>
    </r>
    <r>
      <rPr>
        <vertAlign val="superscript"/>
        <sz val="10"/>
        <rFont val="Verdana"/>
        <family val="2"/>
      </rPr>
      <t xml:space="preserve">P </t>
    </r>
  </si>
  <si>
    <r>
      <t>6,390</t>
    </r>
    <r>
      <rPr>
        <vertAlign val="superscript"/>
        <sz val="10"/>
        <rFont val="Verdana"/>
        <family val="2"/>
      </rPr>
      <t xml:space="preserve">P </t>
    </r>
  </si>
  <si>
    <r>
      <t>5,900</t>
    </r>
    <r>
      <rPr>
        <vertAlign val="superscript"/>
        <sz val="10"/>
        <rFont val="Verdana"/>
        <family val="2"/>
      </rPr>
      <t xml:space="preserve">P </t>
    </r>
  </si>
  <si>
    <r>
      <t>5,460</t>
    </r>
    <r>
      <rPr>
        <vertAlign val="superscript"/>
        <sz val="10"/>
        <rFont val="Verdana"/>
        <family val="2"/>
      </rPr>
      <t xml:space="preserve">P </t>
    </r>
  </si>
  <si>
    <r>
      <t>4,900</t>
    </r>
    <r>
      <rPr>
        <vertAlign val="superscript"/>
        <sz val="10"/>
        <rFont val="Verdana"/>
        <family val="2"/>
      </rPr>
      <t xml:space="preserve">P </t>
    </r>
  </si>
  <si>
    <r>
      <t>5,130</t>
    </r>
    <r>
      <rPr>
        <vertAlign val="superscript"/>
        <sz val="10"/>
        <rFont val="Verdana"/>
        <family val="2"/>
      </rPr>
      <t xml:space="preserve">P </t>
    </r>
  </si>
  <si>
    <r>
      <t>5,880</t>
    </r>
    <r>
      <rPr>
        <vertAlign val="superscript"/>
        <sz val="10"/>
        <rFont val="Verdana"/>
        <family val="2"/>
      </rPr>
      <t xml:space="preserve">P </t>
    </r>
  </si>
  <si>
    <r>
      <t>5,760</t>
    </r>
    <r>
      <rPr>
        <vertAlign val="superscript"/>
        <sz val="10"/>
        <rFont val="Verdana"/>
        <family val="2"/>
      </rPr>
      <t xml:space="preserve">P </t>
    </r>
  </si>
  <si>
    <r>
      <t>5,300</t>
    </r>
    <r>
      <rPr>
        <vertAlign val="superscript"/>
        <sz val="10"/>
        <rFont val="Verdana"/>
        <family val="2"/>
      </rPr>
      <t xml:space="preserve">P </t>
    </r>
  </si>
  <si>
    <r>
      <t>4,600</t>
    </r>
    <r>
      <rPr>
        <vertAlign val="superscript"/>
        <sz val="10"/>
        <rFont val="Verdana"/>
        <family val="2"/>
      </rPr>
      <t xml:space="preserve">P </t>
    </r>
  </si>
  <si>
    <r>
      <t>3,900</t>
    </r>
    <r>
      <rPr>
        <vertAlign val="superscript"/>
        <sz val="10"/>
        <rFont val="Verdana"/>
        <family val="2"/>
      </rPr>
      <t xml:space="preserve">P </t>
    </r>
  </si>
  <si>
    <r>
      <t>3,180</t>
    </r>
    <r>
      <rPr>
        <vertAlign val="superscript"/>
        <sz val="10"/>
        <rFont val="Verdana"/>
        <family val="2"/>
      </rPr>
      <t xml:space="preserve">P </t>
    </r>
  </si>
  <si>
    <r>
      <t>2,430</t>
    </r>
    <r>
      <rPr>
        <vertAlign val="superscript"/>
        <sz val="10"/>
        <rFont val="Verdana"/>
        <family val="2"/>
      </rPr>
      <t xml:space="preserve">P </t>
    </r>
  </si>
  <si>
    <r>
      <t>2,050</t>
    </r>
    <r>
      <rPr>
        <vertAlign val="superscript"/>
        <sz val="10"/>
        <rFont val="Verdana"/>
        <family val="2"/>
      </rPr>
      <t xml:space="preserve">P </t>
    </r>
  </si>
  <si>
    <r>
      <t>1,850</t>
    </r>
    <r>
      <rPr>
        <vertAlign val="superscript"/>
        <sz val="10"/>
        <rFont val="Verdana"/>
        <family val="2"/>
      </rPr>
      <t xml:space="preserve">P </t>
    </r>
  </si>
  <si>
    <r>
      <t>1,750</t>
    </r>
    <r>
      <rPr>
        <vertAlign val="superscript"/>
        <sz val="10"/>
        <rFont val="Verdana"/>
        <family val="2"/>
      </rPr>
      <t xml:space="preserve">P </t>
    </r>
  </si>
  <si>
    <r>
      <t>1,890</t>
    </r>
    <r>
      <rPr>
        <vertAlign val="superscript"/>
        <sz val="10"/>
        <rFont val="Verdana"/>
        <family val="2"/>
      </rPr>
      <t xml:space="preserve">P </t>
    </r>
  </si>
  <si>
    <r>
      <t>2,180</t>
    </r>
    <r>
      <rPr>
        <vertAlign val="superscript"/>
        <sz val="10"/>
        <rFont val="Verdana"/>
        <family val="2"/>
      </rPr>
      <t xml:space="preserve">P </t>
    </r>
  </si>
  <si>
    <r>
      <t>2,600</t>
    </r>
    <r>
      <rPr>
        <vertAlign val="superscript"/>
        <sz val="10"/>
        <rFont val="Verdana"/>
        <family val="2"/>
      </rPr>
      <t xml:space="preserve">P </t>
    </r>
  </si>
  <si>
    <r>
      <t>2,700</t>
    </r>
    <r>
      <rPr>
        <vertAlign val="superscript"/>
        <sz val="10"/>
        <rFont val="Verdana"/>
        <family val="2"/>
      </rPr>
      <t xml:space="preserve">P </t>
    </r>
  </si>
  <si>
    <r>
      <t>2,610</t>
    </r>
    <r>
      <rPr>
        <vertAlign val="superscript"/>
        <sz val="10"/>
        <rFont val="Verdana"/>
        <family val="2"/>
      </rPr>
      <t xml:space="preserve">P </t>
    </r>
  </si>
  <si>
    <r>
      <t>2,440</t>
    </r>
    <r>
      <rPr>
        <vertAlign val="superscript"/>
        <sz val="10"/>
        <rFont val="Verdana"/>
        <family val="2"/>
      </rPr>
      <t xml:space="preserve">P </t>
    </r>
  </si>
  <si>
    <r>
      <t>2,410</t>
    </r>
    <r>
      <rPr>
        <vertAlign val="superscript"/>
        <sz val="10"/>
        <rFont val="Verdana"/>
        <family val="2"/>
      </rPr>
      <t xml:space="preserve">P </t>
    </r>
  </si>
  <si>
    <r>
      <t>2,390</t>
    </r>
    <r>
      <rPr>
        <vertAlign val="superscript"/>
        <sz val="10"/>
        <rFont val="Verdana"/>
        <family val="2"/>
      </rPr>
      <t xml:space="preserve">P </t>
    </r>
  </si>
  <si>
    <r>
      <t>2,680</t>
    </r>
    <r>
      <rPr>
        <vertAlign val="superscript"/>
        <sz val="10"/>
        <rFont val="Verdana"/>
        <family val="2"/>
      </rPr>
      <t xml:space="preserve">P </t>
    </r>
  </si>
  <si>
    <r>
      <t>2,630</t>
    </r>
    <r>
      <rPr>
        <vertAlign val="superscript"/>
        <sz val="10"/>
        <rFont val="Verdana"/>
        <family val="2"/>
      </rPr>
      <t xml:space="preserve">P </t>
    </r>
  </si>
  <si>
    <r>
      <t>2,400</t>
    </r>
    <r>
      <rPr>
        <vertAlign val="superscript"/>
        <sz val="10"/>
        <rFont val="Verdana"/>
        <family val="2"/>
      </rPr>
      <t xml:space="preserve">P </t>
    </r>
  </si>
  <si>
    <r>
      <t>2,200</t>
    </r>
    <r>
      <rPr>
        <vertAlign val="superscript"/>
        <sz val="10"/>
        <rFont val="Verdana"/>
        <family val="2"/>
      </rPr>
      <t xml:space="preserve">P </t>
    </r>
  </si>
  <si>
    <r>
      <t>2,160</t>
    </r>
    <r>
      <rPr>
        <vertAlign val="superscript"/>
        <sz val="10"/>
        <rFont val="Verdana"/>
        <family val="2"/>
      </rPr>
      <t xml:space="preserve">P </t>
    </r>
  </si>
  <si>
    <t>Angler</t>
  </si>
  <si>
    <t>Trips</t>
  </si>
  <si>
    <t>WAL</t>
  </si>
  <si>
    <t>NPM</t>
  </si>
  <si>
    <t>May 26-Jun 1</t>
  </si>
  <si>
    <t>Jun 2-8</t>
  </si>
  <si>
    <t>Jun 7-15</t>
  </si>
  <si>
    <t>05/03/2014 00:00 PDT</t>
  </si>
  <si>
    <t>05/03/2014 00:15 PDT</t>
  </si>
  <si>
    <t>05/03/2014 00:30 PDT</t>
  </si>
  <si>
    <t>05/03/2014 00:45 PDT</t>
  </si>
  <si>
    <t>05/03/2014 01:00 PDT</t>
  </si>
  <si>
    <t>05/03/2014 01:15 PDT</t>
  </si>
  <si>
    <t>05/03/2014 01:30 PDT</t>
  </si>
  <si>
    <t>05/03/2014 01:45 PDT</t>
  </si>
  <si>
    <t>05/03/2014 02:00 PDT</t>
  </si>
  <si>
    <t>05/03/2014 02:15 PDT</t>
  </si>
  <si>
    <t>05/03/2014 02:30 PDT</t>
  </si>
  <si>
    <t>05/03/2014 02:45 PDT</t>
  </si>
  <si>
    <t>05/03/2014 03:00 PDT</t>
  </si>
  <si>
    <t>05/03/2014 03:15 PDT</t>
  </si>
  <si>
    <t>05/03/2014 03:30 PDT</t>
  </si>
  <si>
    <t>05/03/2014 03:45 PDT</t>
  </si>
  <si>
    <t>05/03/2014 04:00 PDT</t>
  </si>
  <si>
    <t>05/03/2014 04:15 PDT</t>
  </si>
  <si>
    <t>05/03/2014 04:30 PDT</t>
  </si>
  <si>
    <t>05/03/2014 04:45 PDT</t>
  </si>
  <si>
    <t>05/03/2014 05:00 PDT</t>
  </si>
  <si>
    <t>05/03/2014 05:15 PDT</t>
  </si>
  <si>
    <t>05/03/2014 05:30 PDT</t>
  </si>
  <si>
    <t>05/03/2014 05:45 PDT</t>
  </si>
  <si>
    <t>05/03/2014 06:00 PDT</t>
  </si>
  <si>
    <t>05/03/2014 06:15 PDT</t>
  </si>
  <si>
    <t>05/03/2014 06:30 PDT</t>
  </si>
  <si>
    <t>05/03/2014 06:45 PDT</t>
  </si>
  <si>
    <t>05/03/2014 07:00 PDT</t>
  </si>
  <si>
    <t>05/03/2014 07:15 PDT</t>
  </si>
  <si>
    <t>05/03/2014 07:30 PDT</t>
  </si>
  <si>
    <t>05/03/2014 07:45 PDT</t>
  </si>
  <si>
    <t>05/03/2014 08:00 PDT</t>
  </si>
  <si>
    <t>05/03/2014 08:15 PDT</t>
  </si>
  <si>
    <t>05/03/2014 08:30 PDT</t>
  </si>
  <si>
    <t>05/03/2014 08:45 PDT</t>
  </si>
  <si>
    <t>05/03/2014 09:00 PDT</t>
  </si>
  <si>
    <t>05/03/2014 09:15 PDT</t>
  </si>
  <si>
    <t>05/03/2014 09:30 PDT</t>
  </si>
  <si>
    <t>05/03/2014 09:45 PDT</t>
  </si>
  <si>
    <t>05/03/2014 10:00 PDT</t>
  </si>
  <si>
    <t>05/03/2014 10:15 PDT</t>
  </si>
  <si>
    <t>05/03/2014 10:30 PDT</t>
  </si>
  <si>
    <t>05/03/2014 10:45 PDT</t>
  </si>
  <si>
    <t>05/03/2014 11:00 PDT</t>
  </si>
  <si>
    <t>05/03/2014 11:15 PDT</t>
  </si>
  <si>
    <t>05/03/2014 11:30 PDT</t>
  </si>
  <si>
    <t>05/03/2014 11:45 PDT</t>
  </si>
  <si>
    <t>05/03/2014 12:00 PDT</t>
  </si>
  <si>
    <t>05/03/2014 12:15 PDT</t>
  </si>
  <si>
    <t>05/03/2014 12:30 PDT</t>
  </si>
  <si>
    <t>05/03/2014 12:45 PDT</t>
  </si>
  <si>
    <t>05/03/2014 13:00 PDT</t>
  </si>
  <si>
    <t>05/03/2014 13:15 PDT</t>
  </si>
  <si>
    <t>05/03/2014 13:30 PDT</t>
  </si>
  <si>
    <t>05/03/2014 13:45 PDT</t>
  </si>
  <si>
    <t>05/03/2014 14:00 PDT</t>
  </si>
  <si>
    <t>05/03/2014 14:15 PDT</t>
  </si>
  <si>
    <t>05/03/2014 14:30 PDT</t>
  </si>
  <si>
    <t>05/03/2014 14:45 PDT</t>
  </si>
  <si>
    <t>05/03/2014 15:00 PDT</t>
  </si>
  <si>
    <t>05/03/2014 15:15 PDT</t>
  </si>
  <si>
    <t>05/03/2014 15:30 PDT</t>
  </si>
  <si>
    <t>05/03/2014 15:45 PDT</t>
  </si>
  <si>
    <t>05/03/2014 16:00 PDT</t>
  </si>
  <si>
    <t>05/03/2014 16:15 PDT</t>
  </si>
  <si>
    <t>05/03/2014 16:30 PDT</t>
  </si>
  <si>
    <t>05/03/2014 16:45 PDT</t>
  </si>
  <si>
    <t>05/03/2014 17:00 PDT</t>
  </si>
  <si>
    <t>05/03/2014 17:15 PDT</t>
  </si>
  <si>
    <t>05/03/2014 17:30 PDT</t>
  </si>
  <si>
    <t>05/03/2014 17:45 PDT</t>
  </si>
  <si>
    <t>05/03/2014 18:00 PDT</t>
  </si>
  <si>
    <t>05/03/2014 18:15 PDT</t>
  </si>
  <si>
    <t>05/03/2014 18:30 PDT</t>
  </si>
  <si>
    <t>05/03/2014 18:45 PDT</t>
  </si>
  <si>
    <t>05/03/2014 19:00 PDT</t>
  </si>
  <si>
    <t>05/03/2014 19:15 PDT</t>
  </si>
  <si>
    <t>05/03/2014 19:30 PDT</t>
  </si>
  <si>
    <t>05/03/2014 19:45 PDT</t>
  </si>
  <si>
    <t>05/03/2014 20:00 PDT</t>
  </si>
  <si>
    <t>05/03/2014 20:15 PDT</t>
  </si>
  <si>
    <t>05/03/2014 20:30 PDT</t>
  </si>
  <si>
    <t>05/03/2014 20:45 PDT</t>
  </si>
  <si>
    <t>05/03/2014 21:00 PDT</t>
  </si>
  <si>
    <t>05/03/2014 21:15 PDT</t>
  </si>
  <si>
    <t>05/03/2014 21:30 PDT</t>
  </si>
  <si>
    <t>05/03/2014 21:45 PDT</t>
  </si>
  <si>
    <t>05/03/2014 22:00 PDT</t>
  </si>
  <si>
    <t>05/03/2014 22:15 PDT</t>
  </si>
  <si>
    <t>05/03/2014 22:30 PDT</t>
  </si>
  <si>
    <t>05/03/2014 22:45 PDT</t>
  </si>
  <si>
    <t>05/03/2014 23:00 PDT</t>
  </si>
  <si>
    <t>05/03/2014 23:15 PDT</t>
  </si>
  <si>
    <t>05/03/2014 23:30 PDT</t>
  </si>
  <si>
    <t>05/03/2014 23:45 PDT</t>
  </si>
  <si>
    <t>05/04/2014 00:00 PDT</t>
  </si>
  <si>
    <t>05/04/2014 00:15 PDT</t>
  </si>
  <si>
    <t>05/04/2014 00:30 PDT</t>
  </si>
  <si>
    <t>05/04/2014 00:45 PDT</t>
  </si>
  <si>
    <t>05/04/2014 01:00 PDT</t>
  </si>
  <si>
    <t>05/04/2014 01:15 PDT</t>
  </si>
  <si>
    <t>05/04/2014 01:30 PDT</t>
  </si>
  <si>
    <t>05/04/2014 01:45 PDT</t>
  </si>
  <si>
    <t>05/04/2014 02:00 PDT</t>
  </si>
  <si>
    <t>05/04/2014 02:15 PDT</t>
  </si>
  <si>
    <t>05/04/2014 02:30 PDT</t>
  </si>
  <si>
    <t>05/04/2014 02:45 PDT</t>
  </si>
  <si>
    <t>05/04/2014 03:00 PDT</t>
  </si>
  <si>
    <t>05/04/2014 03:15 PDT</t>
  </si>
  <si>
    <t>05/04/2014 03:30 PDT</t>
  </si>
  <si>
    <t>05/04/2014 03:45 PDT</t>
  </si>
  <si>
    <t>05/04/2014 04:00 PDT</t>
  </si>
  <si>
    <t>05/04/2014 04:15 PDT</t>
  </si>
  <si>
    <t>05/04/2014 04:30 PDT</t>
  </si>
  <si>
    <t>05/04/2014 04:45 PDT</t>
  </si>
  <si>
    <t>05/04/2014 05:00 PDT</t>
  </si>
  <si>
    <t>05/04/2014 05:15 PDT</t>
  </si>
  <si>
    <t>05/04/2014 05:30 PDT</t>
  </si>
  <si>
    <t>05/04/2014 05:45 PDT</t>
  </si>
  <si>
    <t>05/04/2014 06:00 PDT</t>
  </si>
  <si>
    <t>05/04/2014 06:15 PDT</t>
  </si>
  <si>
    <t>05/04/2014 06:30 PDT</t>
  </si>
  <si>
    <t>05/04/2014 06:45 PDT</t>
  </si>
  <si>
    <t>05/04/2014 07:00 PDT</t>
  </si>
  <si>
    <t>05/04/2014 07:15 PDT</t>
  </si>
  <si>
    <t>05/04/2014 07:30 PDT</t>
  </si>
  <si>
    <t>05/04/2014 07:45 PDT</t>
  </si>
  <si>
    <t>05/04/2014 08:00 PDT</t>
  </si>
  <si>
    <t>05/04/2014 08:15 PDT</t>
  </si>
  <si>
    <t>05/04/2014 08:30 PDT</t>
  </si>
  <si>
    <t>05/04/2014 08:45 PDT</t>
  </si>
  <si>
    <t>05/04/2014 09:00 PDT</t>
  </si>
  <si>
    <t>05/04/2014 09:15 PDT</t>
  </si>
  <si>
    <t>05/04/2014 09:30 PDT</t>
  </si>
  <si>
    <t>05/04/2014 09:45 PDT</t>
  </si>
  <si>
    <t>05/04/2014 10:00 PDT</t>
  </si>
  <si>
    <t>05/04/2014 10:15 PDT</t>
  </si>
  <si>
    <t>05/04/2014 10:30 PDT</t>
  </si>
  <si>
    <t>05/04/2014 10:45 PDT</t>
  </si>
  <si>
    <t>05/04/2014 11:00 PDT</t>
  </si>
  <si>
    <t>05/04/2014 11:15 PDT</t>
  </si>
  <si>
    <t>05/04/2014 11:30 PDT</t>
  </si>
  <si>
    <t>05/04/2014 11:45 PDT</t>
  </si>
  <si>
    <t>05/04/2014 12:00 PDT</t>
  </si>
  <si>
    <t>05/04/2014 12:15 PDT</t>
  </si>
  <si>
    <t>05/04/2014 12:30 PDT</t>
  </si>
  <si>
    <t>05/04/2014 12:45 PDT</t>
  </si>
  <si>
    <t>05/04/2014 13:00 PDT</t>
  </si>
  <si>
    <t>05/04/2014 13:15 PDT</t>
  </si>
  <si>
    <t>05/04/2014 13:30 PDT</t>
  </si>
  <si>
    <t>05/04/2014 13:45 PDT</t>
  </si>
  <si>
    <t>05/04/2014 14:00 PDT</t>
  </si>
  <si>
    <t>05/04/2014 14:15 PDT</t>
  </si>
  <si>
    <t>05/04/2014 14:30 PDT</t>
  </si>
  <si>
    <t>05/04/2014 14:45 PDT</t>
  </si>
  <si>
    <t>05/04/2014 15:00 PDT</t>
  </si>
  <si>
    <t>05/04/2014 15:15 PDT</t>
  </si>
  <si>
    <t>05/04/2014 15:30 PDT</t>
  </si>
  <si>
    <t>05/04/2014 15:45 PDT</t>
  </si>
  <si>
    <t>05/04/2014 16:00 PDT</t>
  </si>
  <si>
    <t>05/04/2014 16:15 PDT</t>
  </si>
  <si>
    <t>05/04/2014 16:30 PDT</t>
  </si>
  <si>
    <t>05/04/2014 16:45 PDT</t>
  </si>
  <si>
    <t>05/04/2014 17:00 PDT</t>
  </si>
  <si>
    <t>05/04/2014 17:15 PDT</t>
  </si>
  <si>
    <t>05/04/2014 17:30 PDT</t>
  </si>
  <si>
    <t>05/04/2014 17:45 PDT</t>
  </si>
  <si>
    <t>05/04/2014 18:00 PDT</t>
  </si>
  <si>
    <t>05/04/2014 18:15 PDT</t>
  </si>
  <si>
    <t>05/04/2014 18:30 PDT</t>
  </si>
  <si>
    <t>05/04/2014 18:45 PDT</t>
  </si>
  <si>
    <t>05/04/2014 19:00 PDT</t>
  </si>
  <si>
    <t>05/04/2014 19:15 PDT</t>
  </si>
  <si>
    <t>05/04/2014 19:30 PDT</t>
  </si>
  <si>
    <t>05/04/2014 19:45 PDT</t>
  </si>
  <si>
    <t>05/04/2014 20:00 PDT</t>
  </si>
  <si>
    <t>05/04/2014 20:15 PDT</t>
  </si>
  <si>
    <t>05/04/2014 20:30 PDT</t>
  </si>
  <si>
    <t>05/04/2014 20:45 PDT</t>
  </si>
  <si>
    <t>05/04/2014 21:00 PDT</t>
  </si>
  <si>
    <t>05/04/2014 21:15 PDT</t>
  </si>
  <si>
    <t>05/04/2014 21:30 PDT</t>
  </si>
  <si>
    <t>05/04/2014 21:45 PDT</t>
  </si>
  <si>
    <t>05/04/2014 22:00 PDT</t>
  </si>
  <si>
    <t>05/04/2014 22:15 PDT</t>
  </si>
  <si>
    <t>05/04/2014 22:30 PDT</t>
  </si>
  <si>
    <t>05/04/2014 22:45 PDT</t>
  </si>
  <si>
    <t>05/04/2014 23:00 PDT</t>
  </si>
  <si>
    <t>05/04/2014 23:15 PDT</t>
  </si>
  <si>
    <t>05/04/2014 23:30 PDT</t>
  </si>
  <si>
    <t>05/04/2014 23:45 PDT</t>
  </si>
  <si>
    <t>05/05/2014 00:00 PDT</t>
  </si>
  <si>
    <t>05/05/2014 00:15 PDT</t>
  </si>
  <si>
    <t>05/05/2014 00:30 PDT</t>
  </si>
  <si>
    <t>05/05/2014 00:45 PDT</t>
  </si>
  <si>
    <t>05/05/2014 01:00 PDT</t>
  </si>
  <si>
    <t>05/05/2014 01:15 PDT</t>
  </si>
  <si>
    <t>05/05/2014 01:30 PDT</t>
  </si>
  <si>
    <t>05/05/2014 01:45 PDT</t>
  </si>
  <si>
    <t>05/05/2014 02:00 PDT</t>
  </si>
  <si>
    <t>05/05/2014 02:15 PDT</t>
  </si>
  <si>
    <t>05/05/2014 02:30 PDT</t>
  </si>
  <si>
    <t>05/05/2014 02:45 PDT</t>
  </si>
  <si>
    <t>05/05/2014 03:00 PDT</t>
  </si>
  <si>
    <t>05/05/2014 03:15 PDT</t>
  </si>
  <si>
    <t>05/05/2014 03:30 PDT</t>
  </si>
  <si>
    <t>05/05/2014 03:45 PDT</t>
  </si>
  <si>
    <t>05/05/2014 04:00 PDT</t>
  </si>
  <si>
    <t>05/05/2014 04:15 PDT</t>
  </si>
  <si>
    <t>05/05/2014 04:30 PDT</t>
  </si>
  <si>
    <t>05/05/2014 04:45 PDT</t>
  </si>
  <si>
    <t>05/05/2014 05:00 PDT</t>
  </si>
  <si>
    <t>05/05/2014 05:15 PDT</t>
  </si>
  <si>
    <t>05/05/2014 05:30 PDT</t>
  </si>
  <si>
    <t>05/05/2014 05:45 PDT</t>
  </si>
  <si>
    <t>05/05/2014 06:00 PDT</t>
  </si>
  <si>
    <t>05/05/2014 06:15 PDT</t>
  </si>
  <si>
    <t>05/05/2014 06:30 PDT</t>
  </si>
  <si>
    <t>05/05/2014 06:45 PDT</t>
  </si>
  <si>
    <t>05/05/2014 07:00 PDT</t>
  </si>
  <si>
    <t>05/05/2014 07:15 PDT</t>
  </si>
  <si>
    <t>05/05/2014 07:30 PDT</t>
  </si>
  <si>
    <t>05/05/2014 07:45 PDT</t>
  </si>
  <si>
    <t>05/05/2014 08:00 PDT</t>
  </si>
  <si>
    <t>05/05/2014 08:15 PDT</t>
  </si>
  <si>
    <t>05/05/2014 08:30 PDT</t>
  </si>
  <si>
    <t>05/05/2014 08:45 PDT</t>
  </si>
  <si>
    <t>05/05/2014 09:00 PDT</t>
  </si>
  <si>
    <t>05/05/2014 09:15 PDT</t>
  </si>
  <si>
    <t>05/05/2014 09:30 PDT</t>
  </si>
  <si>
    <t>05/05/2014 09:45 PDT</t>
  </si>
  <si>
    <t>05/05/2014 10:00 PDT</t>
  </si>
  <si>
    <t>05/05/2014 10:15 PDT</t>
  </si>
  <si>
    <t>05/05/2014 10:30 PDT</t>
  </si>
  <si>
    <t>05/05/2014 10:45 PDT</t>
  </si>
  <si>
    <t>05/05/2014 11:00 PDT</t>
  </si>
  <si>
    <t>05/05/2014 11:15 PDT</t>
  </si>
  <si>
    <t>05/05/2014 11:30 PDT</t>
  </si>
  <si>
    <t>05/05/2014 11:45 PDT</t>
  </si>
  <si>
    <t>05/05/2014 12:00 PDT</t>
  </si>
  <si>
    <t>05/05/2014 12:15 PDT</t>
  </si>
  <si>
    <t>05/05/2014 12:30 PDT</t>
  </si>
  <si>
    <t>05/05/2014 12:45 PDT</t>
  </si>
  <si>
    <t>05/05/2014 13:00 PDT</t>
  </si>
  <si>
    <t>05/05/2014 13:15 PDT</t>
  </si>
  <si>
    <t>05/05/2014 13:30 PDT</t>
  </si>
  <si>
    <t>05/05/2014 13:45 PDT</t>
  </si>
  <si>
    <t>05/05/2014 14:00 PDT</t>
  </si>
  <si>
    <t>05/05/2014 14:15 PDT</t>
  </si>
  <si>
    <t>05/05/2014 14:30 PDT</t>
  </si>
  <si>
    <t>05/05/2014 14:45 PDT</t>
  </si>
  <si>
    <t>05/05/2014 15:00 PDT</t>
  </si>
  <si>
    <t>05/05/2014 15:15 PDT</t>
  </si>
  <si>
    <t>05/05/2014 15:30 PDT</t>
  </si>
  <si>
    <t>05/05/2014 15:45 PDT</t>
  </si>
  <si>
    <t>05/05/2014 16:00 PDT</t>
  </si>
  <si>
    <t>05/05/2014 16:15 PDT</t>
  </si>
  <si>
    <t>05/05/2014 16:30 PDT</t>
  </si>
  <si>
    <t>05/05/2014 16:45 PDT</t>
  </si>
  <si>
    <t>05/05/2014 17:00 PDT</t>
  </si>
  <si>
    <t>05/05/2014 17:15 PDT</t>
  </si>
  <si>
    <t>05/05/2014 17:30 PDT</t>
  </si>
  <si>
    <t>05/05/2014 17:45 PDT</t>
  </si>
  <si>
    <t>05/05/2014 18:00 PDT</t>
  </si>
  <si>
    <t>05/05/2014 18:15 PDT</t>
  </si>
  <si>
    <t>05/05/2014 18:30 PDT</t>
  </si>
  <si>
    <t>05/05/2014 18:45 PDT</t>
  </si>
  <si>
    <t>05/05/2014 19:00 PDT</t>
  </si>
  <si>
    <t>05/05/2014 19:15 PDT</t>
  </si>
  <si>
    <t>05/05/2014 19:30 PDT</t>
  </si>
  <si>
    <t>05/05/2014 19:45 PDT</t>
  </si>
  <si>
    <t>05/05/2014 20:00 PDT</t>
  </si>
  <si>
    <t>05/05/2014 20:15 PDT</t>
  </si>
  <si>
    <t>05/05/2014 20:30 PDT</t>
  </si>
  <si>
    <t>05/05/2014 20:45 PDT</t>
  </si>
  <si>
    <t>05/05/2014 21:00 PDT</t>
  </si>
  <si>
    <t>05/05/2014 21:15 PDT</t>
  </si>
  <si>
    <t>05/05/2014 21:30 PDT</t>
  </si>
  <si>
    <t>05/05/2014 21:45 PDT</t>
  </si>
  <si>
    <t>05/05/2014 22:00 PDT</t>
  </si>
  <si>
    <t>05/05/2014 22:15 PDT</t>
  </si>
  <si>
    <t>05/05/2014 22:30 PDT</t>
  </si>
  <si>
    <t>05/05/2014 22:45 PDT</t>
  </si>
  <si>
    <t>05/05/2014 23:00 PDT</t>
  </si>
  <si>
    <t>05/05/2014 23:15 PDT</t>
  </si>
  <si>
    <t>05/05/2014 23:30 PDT</t>
  </si>
  <si>
    <t>05/05/2014 23:45 PDT</t>
  </si>
  <si>
    <t>05/06/2014 00:00 PDT</t>
  </si>
  <si>
    <t>05/06/2014 00:15 PDT</t>
  </si>
  <si>
    <t>05/06/2014 00:30 PDT</t>
  </si>
  <si>
    <t>05/06/2014 00:45 PDT</t>
  </si>
  <si>
    <t>05/06/2014 01:00 PDT</t>
  </si>
  <si>
    <t>05/06/2014 01:15 PDT</t>
  </si>
  <si>
    <t>05/06/2014 01:30 PDT</t>
  </si>
  <si>
    <t>05/06/2014 01:45 PDT</t>
  </si>
  <si>
    <t>05/06/2014 02:00 PDT</t>
  </si>
  <si>
    <t>05/06/2014 02:15 PDT</t>
  </si>
  <si>
    <t>05/06/2014 02:30 PDT</t>
  </si>
  <si>
    <t>05/06/2014 02:45 PDT</t>
  </si>
  <si>
    <t>05/06/2014 03:00 PDT</t>
  </si>
  <si>
    <t>05/06/2014 03:15 PDT</t>
  </si>
  <si>
    <t>05/06/2014 03:30 PDT</t>
  </si>
  <si>
    <t>05/06/2014 03:45 PDT</t>
  </si>
  <si>
    <t>05/06/2014 04:00 PDT</t>
  </si>
  <si>
    <t>05/06/2014 04:15 PDT</t>
  </si>
  <si>
    <t>05/06/2014 04:30 PDT</t>
  </si>
  <si>
    <t>05/06/2014 04:45 PDT</t>
  </si>
  <si>
    <t>05/06/2014 05:00 PDT</t>
  </si>
  <si>
    <t>05/06/2014 05:15 PDT</t>
  </si>
  <si>
    <t>05/06/2014 05:30 PDT</t>
  </si>
  <si>
    <t>05/06/2014 05:45 PDT</t>
  </si>
  <si>
    <t>05/06/2014 06:00 PDT</t>
  </si>
  <si>
    <t>05/06/2014 06:15 PDT</t>
  </si>
  <si>
    <t>05/06/2014 06:30 PDT</t>
  </si>
  <si>
    <t>05/06/2014 06:45 PDT</t>
  </si>
  <si>
    <t>05/06/2014 07:00 PDT</t>
  </si>
  <si>
    <t>05/06/2014 07:15 PDT</t>
  </si>
  <si>
    <t>05/06/2014 07:30 PDT</t>
  </si>
  <si>
    <t>05/06/2014 07:45 PDT</t>
  </si>
  <si>
    <t>05/06/2014 08:00 PDT</t>
  </si>
  <si>
    <t>05/06/2014 08:15 PDT</t>
  </si>
  <si>
    <t>05/06/2014 08:30 PDT</t>
  </si>
  <si>
    <t>05/06/2014 08:45 PDT</t>
  </si>
  <si>
    <t>05/06/2014 09:00 PDT</t>
  </si>
  <si>
    <t>05/06/2014 09:15 PDT</t>
  </si>
  <si>
    <t>05/06/2014 09:30 PDT</t>
  </si>
  <si>
    <t>05/06/2014 09:45 PDT</t>
  </si>
  <si>
    <t>05/06/2014 10:00 PDT</t>
  </si>
  <si>
    <t>05/06/2014 10:15 PDT</t>
  </si>
  <si>
    <t>05/06/2014 10:30 PDT</t>
  </si>
  <si>
    <t>05/06/2014 10:45 PDT</t>
  </si>
  <si>
    <t>05/06/2014 11:00 PDT</t>
  </si>
  <si>
    <t>05/06/2014 11:15 PDT</t>
  </si>
  <si>
    <t>05/06/2014 11:30 PDT</t>
  </si>
  <si>
    <t>05/06/2014 11:45 PDT</t>
  </si>
  <si>
    <t>05/06/2014 12:00 PDT</t>
  </si>
  <si>
    <t>05/06/2014 12:15 PDT</t>
  </si>
  <si>
    <t>05/06/2014 12:30 PDT</t>
  </si>
  <si>
    <t>05/06/2014 12:45 PDT</t>
  </si>
  <si>
    <t>05/06/2014 13:00 PDT</t>
  </si>
  <si>
    <t>05/06/2014 13:15 PDT</t>
  </si>
  <si>
    <t>05/06/2014 13:30 PDT</t>
  </si>
  <si>
    <t>05/06/2014 13:45 PDT</t>
  </si>
  <si>
    <t>05/06/2014 14:00 PDT</t>
  </si>
  <si>
    <t>05/06/2014 14:15 PDT</t>
  </si>
  <si>
    <t>05/06/2014 14:30 PDT</t>
  </si>
  <si>
    <t>05/06/2014 14:45 PDT</t>
  </si>
  <si>
    <t>05/06/2014 15:00 PDT</t>
  </si>
  <si>
    <t>05/06/2014 15:15 PDT</t>
  </si>
  <si>
    <t>05/06/2014 15:30 PDT</t>
  </si>
  <si>
    <t>05/06/2014 15:45 PDT</t>
  </si>
  <si>
    <t>05/06/2014 16:00 PDT</t>
  </si>
  <si>
    <t>05/06/2014 16:15 PDT</t>
  </si>
  <si>
    <t>05/06/2014 16:30 PDT</t>
  </si>
  <si>
    <t>05/06/2014 16:45 PDT</t>
  </si>
  <si>
    <t>05/06/2014 17:00 PDT</t>
  </si>
  <si>
    <t>05/06/2014 17:15 PDT</t>
  </si>
  <si>
    <t>05/06/2014 17:30 PDT</t>
  </si>
  <si>
    <t>05/06/2014 17:45 PDT</t>
  </si>
  <si>
    <t>05/06/2014 18:00 PDT</t>
  </si>
  <si>
    <t>05/06/2014 18:15 PDT</t>
  </si>
  <si>
    <t>05/06/2014 18:30 PDT</t>
  </si>
  <si>
    <t>05/06/2014 18:45 PDT</t>
  </si>
  <si>
    <t>05/06/2014 19:00 PDT</t>
  </si>
  <si>
    <t>05/06/2014 19:15 PDT</t>
  </si>
  <si>
    <t>05/06/2014 19:30 PDT</t>
  </si>
  <si>
    <t>05/06/2014 19:45 PDT</t>
  </si>
  <si>
    <t>05/06/2014 20:00 PDT</t>
  </si>
  <si>
    <t>05/06/2014 20:15 PDT</t>
  </si>
  <si>
    <t>05/06/2014 20:30 PDT</t>
  </si>
  <si>
    <t>05/06/2014 20:45 PDT</t>
  </si>
  <si>
    <t>05/06/2014 21:00 PDT</t>
  </si>
  <si>
    <t>05/06/2014 21:15 PDT</t>
  </si>
  <si>
    <t>05/06/2014 21:30 PDT</t>
  </si>
  <si>
    <t>05/06/2014 21:45 PDT</t>
  </si>
  <si>
    <t>05/06/2014 22:00 PDT</t>
  </si>
  <si>
    <t>05/06/2014 22:15 PDT</t>
  </si>
  <si>
    <t>05/06/2014 22:30 PDT</t>
  </si>
  <si>
    <t>05/06/2014 22:45 PDT</t>
  </si>
  <si>
    <t>05/06/2014 23:00 PDT</t>
  </si>
  <si>
    <t>05/06/2014 23:15 PDT</t>
  </si>
  <si>
    <t>05/06/2014 23:30 PDT</t>
  </si>
  <si>
    <t>05/06/2014 23:45 PDT</t>
  </si>
  <si>
    <t>05/07/2014 00:00 PDT</t>
  </si>
  <si>
    <t>05/07/2014 00:15 PDT</t>
  </si>
  <si>
    <t>05/07/2014 00:30 PDT</t>
  </si>
  <si>
    <t>05/07/2014 00:45 PDT</t>
  </si>
  <si>
    <t>05/07/2014 01:00 PDT</t>
  </si>
  <si>
    <t>05/07/2014 01:15 PDT</t>
  </si>
  <si>
    <t>05/07/2014 01:30 PDT</t>
  </si>
  <si>
    <t>05/07/2014 01:45 PDT</t>
  </si>
  <si>
    <t>05/07/2014 02:00 PDT</t>
  </si>
  <si>
    <t>05/07/2014 02:15 PDT</t>
  </si>
  <si>
    <t>05/07/2014 02:30 PDT</t>
  </si>
  <si>
    <t>05/07/2014 02:45 PDT</t>
  </si>
  <si>
    <t>05/07/2014 03:00 PDT</t>
  </si>
  <si>
    <t>05/07/2014 03:15 PDT</t>
  </si>
  <si>
    <t>05/07/2014 03:30 PDT</t>
  </si>
  <si>
    <t>05/07/2014 03:45 PDT</t>
  </si>
  <si>
    <t>05/07/2014 04:00 PDT</t>
  </si>
  <si>
    <t>05/07/2014 04:15 PDT</t>
  </si>
  <si>
    <t>05/07/2014 04:30 PDT</t>
  </si>
  <si>
    <t>05/07/2014 04:45 PDT</t>
  </si>
  <si>
    <t>05/07/2014 05:00 PDT</t>
  </si>
  <si>
    <t>05/07/2014 05:15 PDT</t>
  </si>
  <si>
    <t>05/07/2014 05:30 PDT</t>
  </si>
  <si>
    <t>05/07/2014 05:45 PDT</t>
  </si>
  <si>
    <t>05/07/2014 06:00 PDT</t>
  </si>
  <si>
    <t>05/07/2014 06:15 PDT</t>
  </si>
  <si>
    <t>05/07/2014 06:30 PDT</t>
  </si>
  <si>
    <t>05/07/2014 06:45 PDT</t>
  </si>
  <si>
    <t>05/07/2014 07:00 PDT</t>
  </si>
  <si>
    <t>05/07/2014 07:15 PDT</t>
  </si>
  <si>
    <t>05/07/2014 07:30 PDT</t>
  </si>
  <si>
    <t>05/07/2014 07:45 PDT</t>
  </si>
  <si>
    <t>05/07/2014 08:00 PDT</t>
  </si>
  <si>
    <t>05/07/2014 08:15 PDT</t>
  </si>
  <si>
    <t>05/07/2014 08:30 PDT</t>
  </si>
  <si>
    <t>05/07/2014 08:45 PDT</t>
  </si>
  <si>
    <t>05/07/2014 09:00 PDT</t>
  </si>
  <si>
    <t>05/07/2014 09:15 PDT</t>
  </si>
  <si>
    <t>05/07/2014 09:30 PDT</t>
  </si>
  <si>
    <t>05/07/2014 09:45 PDT</t>
  </si>
  <si>
    <t>05/07/2014 10:00 PDT</t>
  </si>
  <si>
    <t>05/07/2014 10:15 PDT</t>
  </si>
  <si>
    <t>05/07/2014 10:30 PDT</t>
  </si>
  <si>
    <t>05/07/2014 10:45 PDT</t>
  </si>
  <si>
    <t>05/07/2014 11:00 PDT</t>
  </si>
  <si>
    <t>05/07/2014 11:15 PDT</t>
  </si>
  <si>
    <t>05/07/2014 11:30 PDT</t>
  </si>
  <si>
    <t>05/07/2014 11:45 PDT</t>
  </si>
  <si>
    <t>05/07/2014 12:00 PDT</t>
  </si>
  <si>
    <t>05/07/2014 12:15 PDT</t>
  </si>
  <si>
    <t>05/07/2014 12:30 PDT</t>
  </si>
  <si>
    <t>05/07/2014 12:45 PDT</t>
  </si>
  <si>
    <t>05/07/2014 13:00 PDT</t>
  </si>
  <si>
    <t>05/07/2014 13:15 PDT</t>
  </si>
  <si>
    <t>05/07/2014 13:30 PDT</t>
  </si>
  <si>
    <t>05/07/2014 13:45 PDT</t>
  </si>
  <si>
    <t>05/07/2014 14:00 PDT</t>
  </si>
  <si>
    <t>05/07/2014 14:15 PDT</t>
  </si>
  <si>
    <t>05/07/2014 14:30 PDT</t>
  </si>
  <si>
    <t>05/07/2014 14:45 PDT</t>
  </si>
  <si>
    <t>05/07/2014 15:00 PDT</t>
  </si>
  <si>
    <t>05/07/2014 15:15 PDT</t>
  </si>
  <si>
    <t>05/07/2014 15:30 PDT</t>
  </si>
  <si>
    <t>05/07/2014 15:45 PDT</t>
  </si>
  <si>
    <t>05/07/2014 16:00 PDT</t>
  </si>
  <si>
    <t>05/07/2014 16:15 PDT</t>
  </si>
  <si>
    <t>05/07/2014 16:30 PDT</t>
  </si>
  <si>
    <t>05/07/2014 16:45 PDT</t>
  </si>
  <si>
    <t>05/07/2014 17:00 PDT</t>
  </si>
  <si>
    <t>05/07/2014 17:15 PDT</t>
  </si>
  <si>
    <t>05/07/2014 17:30 PDT</t>
  </si>
  <si>
    <t>05/07/2014 17:45 PDT</t>
  </si>
  <si>
    <t>05/07/2014 18:00 PDT</t>
  </si>
  <si>
    <t>05/07/2014 18:15 PDT</t>
  </si>
  <si>
    <t>05/07/2014 18:30 PDT</t>
  </si>
  <si>
    <t>05/07/2014 18:45 PDT</t>
  </si>
  <si>
    <t>05/07/2014 19:00 PDT</t>
  </si>
  <si>
    <t>05/07/2014 19:15 PDT</t>
  </si>
  <si>
    <t>05/07/2014 19:30 PDT</t>
  </si>
  <si>
    <t>05/07/2014 19:45 PDT</t>
  </si>
  <si>
    <t>05/07/2014 20:00 PDT</t>
  </si>
  <si>
    <t>05/07/2014 20:15 PDT</t>
  </si>
  <si>
    <t>05/07/2014 20:30 PDT</t>
  </si>
  <si>
    <t>05/07/2014 20:45 PDT</t>
  </si>
  <si>
    <t>05/07/2014 21:00 PDT</t>
  </si>
  <si>
    <t>05/07/2014 21:15 PDT</t>
  </si>
  <si>
    <t>05/07/2014 21:30 PDT</t>
  </si>
  <si>
    <t>05/07/2014 21:45 PDT</t>
  </si>
  <si>
    <t>05/07/2014 22:00 PDT</t>
  </si>
  <si>
    <t>05/07/2014 22:15 PDT</t>
  </si>
  <si>
    <t>05/07/2014 22:30 PDT</t>
  </si>
  <si>
    <t>05/07/2014 22:45 PDT</t>
  </si>
  <si>
    <t>05/07/2014 23:00 PDT</t>
  </si>
  <si>
    <t>05/07/2014 23:15 PDT</t>
  </si>
  <si>
    <t>05/07/2014 23:30 PDT</t>
  </si>
  <si>
    <t>05/07/2014 23:45 PDT</t>
  </si>
  <si>
    <t>05/08/2014 00:00 PDT</t>
  </si>
  <si>
    <t>05/08/2014 00:15 PDT</t>
  </si>
  <si>
    <t>05/08/2014 00:30 PDT</t>
  </si>
  <si>
    <t>05/08/2014 00:45 PDT</t>
  </si>
  <si>
    <t>05/08/2014 01:00 PDT</t>
  </si>
  <si>
    <t>05/08/2014 01:15 PDT</t>
  </si>
  <si>
    <t>05/08/2014 01:30 PDT</t>
  </si>
  <si>
    <t>05/08/2014 01:45 PDT</t>
  </si>
  <si>
    <t>05/08/2014 02:00 PDT</t>
  </si>
  <si>
    <t>05/08/2014 02:15 PDT</t>
  </si>
  <si>
    <t>05/08/2014 02:30 PDT</t>
  </si>
  <si>
    <t>05/08/2014 02:45 PDT</t>
  </si>
  <si>
    <t>05/08/2014 03:00 PDT</t>
  </si>
  <si>
    <t>05/08/2014 03:15 PDT</t>
  </si>
  <si>
    <t>05/08/2014 03:30 PDT</t>
  </si>
  <si>
    <t>05/08/2014 03:45 PDT</t>
  </si>
  <si>
    <t>05/08/2014 04:00 PDT</t>
  </si>
  <si>
    <t>05/08/2014 04:15 PDT</t>
  </si>
  <si>
    <t>05/08/2014 04:30 PDT</t>
  </si>
  <si>
    <t>05/08/2014 04:45 PDT</t>
  </si>
  <si>
    <t>05/08/2014 05:00 PDT</t>
  </si>
  <si>
    <t>05/08/2014 05:15 PDT</t>
  </si>
  <si>
    <t>05/08/2014 05:30 PDT</t>
  </si>
  <si>
    <t>05/08/2014 05:45 PDT</t>
  </si>
  <si>
    <t>05/08/2014 06:00 PDT</t>
  </si>
  <si>
    <t>05/08/2014 06:15 PDT</t>
  </si>
  <si>
    <t>05/08/2014 06:30 PDT</t>
  </si>
  <si>
    <t>05/08/2014 06:45 PDT</t>
  </si>
  <si>
    <t>05/08/2014 07:00 PDT</t>
  </si>
  <si>
    <t>05/08/2014 07:15 PDT</t>
  </si>
  <si>
    <t>05/08/2014 07:30 PDT</t>
  </si>
  <si>
    <t>05/08/2014 07:45 PDT</t>
  </si>
  <si>
    <t>05/08/2014 08:00 PDT</t>
  </si>
  <si>
    <t>05/08/2014 08:15 PDT</t>
  </si>
  <si>
    <t>05/08/2014 08:30 PDT</t>
  </si>
  <si>
    <t>05/08/2014 08:45 PDT</t>
  </si>
  <si>
    <t>05/08/2014 09:00 PDT</t>
  </si>
  <si>
    <t>05/08/2014 09:15 PDT</t>
  </si>
  <si>
    <t>05/08/2014 09:30 PDT</t>
  </si>
  <si>
    <t>05/08/2014 09:45 PDT</t>
  </si>
  <si>
    <t>05/08/2014 10:00 PDT</t>
  </si>
  <si>
    <t>05/08/2014 10:15 PDT</t>
  </si>
  <si>
    <t>05/08/2014 10:30 PDT</t>
  </si>
  <si>
    <t>05/08/2014 10:45 PDT</t>
  </si>
  <si>
    <t>05/08/2014 11:00 PDT</t>
  </si>
  <si>
    <t>05/08/2014 11:15 PDT</t>
  </si>
  <si>
    <t>05/08/2014 11:30 PDT</t>
  </si>
  <si>
    <t>05/08/2014 11:45 PDT</t>
  </si>
  <si>
    <t>05/08/2014 12:00 PDT</t>
  </si>
  <si>
    <t>05/08/2014 12:15 PDT</t>
  </si>
  <si>
    <t>05/08/2014 12:30 PDT</t>
  </si>
  <si>
    <t>05/08/2014 12:45 PDT</t>
  </si>
  <si>
    <t>05/08/2014 13:00 PDT</t>
  </si>
  <si>
    <t>05/08/2014 13:15 PDT</t>
  </si>
  <si>
    <t>05/08/2014 13:30 PDT</t>
  </si>
  <si>
    <t>05/08/2014 13:45 PDT</t>
  </si>
  <si>
    <t>05/08/2014 14:00 PDT</t>
  </si>
  <si>
    <t>05/08/2014 14:15 PDT</t>
  </si>
  <si>
    <t>05/08/2014 14:30 PDT</t>
  </si>
  <si>
    <t>05/08/2014 14:45 PDT</t>
  </si>
  <si>
    <t>05/08/2014 15:00 PDT</t>
  </si>
  <si>
    <t>05/08/2014 15:15 PDT</t>
  </si>
  <si>
    <t>05/08/2014 15:30 PDT</t>
  </si>
  <si>
    <t>05/08/2014 15:45 PDT</t>
  </si>
  <si>
    <t>05/08/2014 16:00 PDT</t>
  </si>
  <si>
    <t>05/08/2014 16:15 PDT</t>
  </si>
  <si>
    <t>05/08/2014 16:30 PDT</t>
  </si>
  <si>
    <t>05/08/2014 16:45 PDT</t>
  </si>
  <si>
    <t>05/08/2014 17:00 PDT</t>
  </si>
  <si>
    <t>05/08/2014 17:15 PDT</t>
  </si>
  <si>
    <t>05/08/2014 17:30 PDT</t>
  </si>
  <si>
    <t>05/08/2014 17:45 PDT</t>
  </si>
  <si>
    <t>05/08/2014 18:00 PDT</t>
  </si>
  <si>
    <t>05/08/2014 18:15 PDT</t>
  </si>
  <si>
    <t>05/08/2014 18:30 PDT</t>
  </si>
  <si>
    <t>05/08/2014 18:45 PDT</t>
  </si>
  <si>
    <t>05/08/2014 19:00 PDT</t>
  </si>
  <si>
    <t>05/08/2014 19:15 PDT</t>
  </si>
  <si>
    <t>05/08/2014 19:30 PDT</t>
  </si>
  <si>
    <t>05/08/2014 19:45 PDT</t>
  </si>
  <si>
    <t>05/08/2014 20:00 PDT</t>
  </si>
  <si>
    <t>05/08/2014 20:15 PDT</t>
  </si>
  <si>
    <t>05/08/2014 20:30 PDT</t>
  </si>
  <si>
    <t>05/08/2014 20:45 PDT</t>
  </si>
  <si>
    <t>05/08/2014 21:00 PDT</t>
  </si>
  <si>
    <t>05/08/2014 21:15 PDT</t>
  </si>
  <si>
    <t>05/08/2014 21:30 PDT</t>
  </si>
  <si>
    <t>05/08/2014 21:45 PDT</t>
  </si>
  <si>
    <t>05/08/2014 22:00 PDT</t>
  </si>
  <si>
    <t>05/08/2014 22:15 PDT</t>
  </si>
  <si>
    <t>05/08/2014 22:30 PDT</t>
  </si>
  <si>
    <t>05/08/2014 22:45 PDT</t>
  </si>
  <si>
    <t>05/08/2014 23:00 PDT</t>
  </si>
  <si>
    <t>05/08/2014 23:15 PDT</t>
  </si>
  <si>
    <t>05/08/2014 23:30 PDT</t>
  </si>
  <si>
    <t>05/08/2014 23:45 PDT</t>
  </si>
  <si>
    <t>05/09/2014 00:00 PDT</t>
  </si>
  <si>
    <t>05/09/2014 00:15 PDT</t>
  </si>
  <si>
    <t>05/09/2014 00:30 PDT</t>
  </si>
  <si>
    <t>05/09/2014 00:45 PDT</t>
  </si>
  <si>
    <t>05/09/2014 01:00 PDT</t>
  </si>
  <si>
    <t>05/09/2014 01:15 PDT</t>
  </si>
  <si>
    <t>05/09/2014 01:30 PDT</t>
  </si>
  <si>
    <t>05/09/2014 01:45 PDT</t>
  </si>
  <si>
    <t>05/09/2014 02:00 PDT</t>
  </si>
  <si>
    <t>05/09/2014 02:15 PDT</t>
  </si>
  <si>
    <t>05/09/2014 02:30 PDT</t>
  </si>
  <si>
    <t>05/09/2014 02:45 PDT</t>
  </si>
  <si>
    <t>05/09/2014 03:00 PDT</t>
  </si>
  <si>
    <t>05/09/2014 03:15 PDT</t>
  </si>
  <si>
    <t>05/09/2014 03:30 PDT</t>
  </si>
  <si>
    <t>05/09/2014 03:45 PDT</t>
  </si>
  <si>
    <t>05/09/2014 04:00 PDT</t>
  </si>
  <si>
    <t>05/09/2014 04:15 PDT</t>
  </si>
  <si>
    <t>05/09/2014 04:30 PDT</t>
  </si>
  <si>
    <t>05/09/2014 04:45 PDT</t>
  </si>
  <si>
    <t>05/09/2014 05:00 PDT</t>
  </si>
  <si>
    <t>05/09/2014 05:15 PDT</t>
  </si>
  <si>
    <t>05/09/2014 05:30 PDT</t>
  </si>
  <si>
    <t>05/09/2014 05:45 PDT</t>
  </si>
  <si>
    <t>05/09/2014 06:00 PDT</t>
  </si>
  <si>
    <t>05/09/2014 06:15 PDT</t>
  </si>
  <si>
    <t>05/09/2014 06:30 PDT</t>
  </si>
  <si>
    <t>05/09/2014 06:45 PDT</t>
  </si>
  <si>
    <t>05/09/2014 07:00 PDT</t>
  </si>
  <si>
    <t>05/09/2014 07:15 PDT</t>
  </si>
  <si>
    <t>05/09/2014 07:30 PDT</t>
  </si>
  <si>
    <t>05/09/2014 07:45 PDT</t>
  </si>
  <si>
    <t>05/09/2014 08:00 PDT</t>
  </si>
  <si>
    <t>05/09/2014 08:15 PDT</t>
  </si>
  <si>
    <t>05/09/2014 08:30 PDT</t>
  </si>
  <si>
    <t>05/09/2014 08:45 PDT</t>
  </si>
  <si>
    <t>05/09/2014 09:00 PDT</t>
  </si>
  <si>
    <t>05/09/2014 09:15 PDT</t>
  </si>
  <si>
    <t>05/09/2014 09:30 PDT</t>
  </si>
  <si>
    <t>05/09/2014 09:45 PDT</t>
  </si>
  <si>
    <t>05/09/2014 10:00 PDT</t>
  </si>
  <si>
    <t>05/09/2014 10:15 PDT</t>
  </si>
  <si>
    <t>05/09/2014 10:30 PDT</t>
  </si>
  <si>
    <t>05/09/2014 10:45 PDT</t>
  </si>
  <si>
    <t>05/09/2014 11:00 PDT</t>
  </si>
  <si>
    <t>05/09/2014 11:15 PDT</t>
  </si>
  <si>
    <t>05/09/2014 11:30 PDT</t>
  </si>
  <si>
    <t>05/09/2014 11:45 PDT</t>
  </si>
  <si>
    <t>05/09/2014 12:00 PDT</t>
  </si>
  <si>
    <t>05/09/2014 12:15 PDT</t>
  </si>
  <si>
    <t>05/09/2014 12:30 PDT</t>
  </si>
  <si>
    <t>05/09/2014 12:45 PDT</t>
  </si>
  <si>
    <t>05/09/2014 13:00 PDT</t>
  </si>
  <si>
    <t>05/09/2014 13:15 PDT</t>
  </si>
  <si>
    <t>05/09/2014 13:30 PDT</t>
  </si>
  <si>
    <t>05/09/2014 13:45 PDT</t>
  </si>
  <si>
    <t>05/09/2014 14:00 PDT</t>
  </si>
  <si>
    <t>05/09/2014 14:15 PDT</t>
  </si>
  <si>
    <t>05/09/2014 14:30 PDT</t>
  </si>
  <si>
    <t>05/09/2014 14:45 PDT</t>
  </si>
  <si>
    <t>05/09/2014 15:00 PDT</t>
  </si>
  <si>
    <t>05/09/2014 15:15 PDT</t>
  </si>
  <si>
    <t>05/09/2014 15:30 PDT</t>
  </si>
  <si>
    <t>05/09/2014 15:45 PDT</t>
  </si>
  <si>
    <t>05/09/2014 16:00 PDT</t>
  </si>
  <si>
    <t>05/09/2014 16:15 PDT</t>
  </si>
  <si>
    <t>05/09/2014 16:30 PDT</t>
  </si>
  <si>
    <t>05/09/2014 16:45 PDT</t>
  </si>
  <si>
    <t>05/09/2014 17:00 PDT</t>
  </si>
  <si>
    <t>05/09/2014 17:15 PDT</t>
  </si>
  <si>
    <t>05/09/2014 17:30 PDT</t>
  </si>
  <si>
    <t>05/09/2014 17:45 PDT</t>
  </si>
  <si>
    <t>05/09/2014 18:00 PDT</t>
  </si>
  <si>
    <t>05/09/2014 18:15 PDT</t>
  </si>
  <si>
    <t>05/09/2014 18:30 PDT</t>
  </si>
  <si>
    <t>05/09/2014 18:45 PDT</t>
  </si>
  <si>
    <t>05/09/2014 19:00 PDT</t>
  </si>
  <si>
    <t>05/09/2014 19:15 PDT</t>
  </si>
  <si>
    <t>05/09/2014 19:30 PDT</t>
  </si>
  <si>
    <t>05/09/2014 19:45 PDT</t>
  </si>
  <si>
    <t>05/09/2014 20:00 PDT</t>
  </si>
  <si>
    <t>05/09/2014 20:15 PDT</t>
  </si>
  <si>
    <t>05/09/2014 20:30 PDT</t>
  </si>
  <si>
    <t>05/09/2014 20:45 PDT</t>
  </si>
  <si>
    <t>05/09/2014 21:00 PDT</t>
  </si>
  <si>
    <t>05/09/2014 21:15 PDT</t>
  </si>
  <si>
    <t>05/09/2014 21:30 PDT</t>
  </si>
  <si>
    <t>05/09/2014 21:45 PDT</t>
  </si>
  <si>
    <t>05/09/2014 22:00 PDT</t>
  </si>
  <si>
    <t>05/09/2014 22:15 PDT</t>
  </si>
  <si>
    <t>05/09/2014 22:30 PDT</t>
  </si>
  <si>
    <t>05/09/2014 22:45 PDT</t>
  </si>
  <si>
    <t>05/09/2014 23:00 PDT</t>
  </si>
  <si>
    <t>05/09/2014 23:15 PDT</t>
  </si>
  <si>
    <t>05/09/2014 23:30 PDT</t>
  </si>
  <si>
    <t>05/09/2014 23:45 PDT</t>
  </si>
  <si>
    <t>05/10/2014 00:00 PDT</t>
  </si>
  <si>
    <t>05/10/2014 00:15 PDT</t>
  </si>
  <si>
    <t>05/10/2014 00:30 PDT</t>
  </si>
  <si>
    <t>05/10/2014 00:45 PDT</t>
  </si>
  <si>
    <t>05/10/2014 01:00 PDT</t>
  </si>
  <si>
    <t>05/10/2014 01:15 PDT</t>
  </si>
  <si>
    <t>05/10/2014 01:30 PDT</t>
  </si>
  <si>
    <t>05/10/2014 01:45 PDT</t>
  </si>
  <si>
    <t>05/10/2014 02:00 PDT</t>
  </si>
  <si>
    <t>05/10/2014 02:15 PDT</t>
  </si>
  <si>
    <t>05/10/2014 02:30 PDT</t>
  </si>
  <si>
    <t>05/10/2014 02:45 PDT</t>
  </si>
  <si>
    <t>05/10/2014 03:00 PDT</t>
  </si>
  <si>
    <t>05/10/2014 03:15 PDT</t>
  </si>
  <si>
    <t>05/10/2014 03:30 PDT</t>
  </si>
  <si>
    <t>05/10/2014 03:45 PDT</t>
  </si>
  <si>
    <t>05/10/2014 04:00 PDT</t>
  </si>
  <si>
    <t>05/10/2014 04:15 PDT</t>
  </si>
  <si>
    <t>05/10/2014 04:30 PDT</t>
  </si>
  <si>
    <t>05/10/2014 04:45 PDT</t>
  </si>
  <si>
    <t>05/10/2014 05:00 PDT</t>
  </si>
  <si>
    <t>05/10/2014 05:15 PDT</t>
  </si>
  <si>
    <t>05/10/2014 05:30 PDT</t>
  </si>
  <si>
    <t>05/10/2014 05:45 PDT</t>
  </si>
  <si>
    <t>05/10/2014 06:00 PDT</t>
  </si>
  <si>
    <t>05/10/2014 06:15 PDT</t>
  </si>
  <si>
    <t>05/10/2014 06:30 PDT</t>
  </si>
  <si>
    <t>05/10/2014 06:45 PDT</t>
  </si>
  <si>
    <t>05/10/2014 07:00 PDT</t>
  </si>
  <si>
    <t>05/10/2014 07:15 PDT</t>
  </si>
  <si>
    <t>05/10/2014 07:30 PDT</t>
  </si>
  <si>
    <t>05/10/2014 07:45 PDT</t>
  </si>
  <si>
    <t>05/10/2014 08:00 PDT</t>
  </si>
  <si>
    <t>05/10/2014 08:15 PDT</t>
  </si>
  <si>
    <t>05/10/2014 08:30 PDT</t>
  </si>
  <si>
    <t>05/10/2014 08:45 PDT</t>
  </si>
  <si>
    <t>05/10/2014 09:00 PDT</t>
  </si>
  <si>
    <t>05/10/2014 09:15 PDT</t>
  </si>
  <si>
    <t>05/10/2014 09:30 PDT</t>
  </si>
  <si>
    <t>05/10/2014 09:45 PDT</t>
  </si>
  <si>
    <t>05/10/2014 10:00 PDT</t>
  </si>
  <si>
    <t>05/10/2014 10:15 PDT</t>
  </si>
  <si>
    <t>05/10/2014 10:30 PDT</t>
  </si>
  <si>
    <t>05/10/2014 10:45 PDT</t>
  </si>
  <si>
    <t>05/10/2014 11:00 PDT</t>
  </si>
  <si>
    <t>05/10/2014 11:15 PDT</t>
  </si>
  <si>
    <t>05/10/2014 11:30 PDT</t>
  </si>
  <si>
    <t>05/10/2014 11:45 PDT</t>
  </si>
  <si>
    <t>05/10/2014 12:00 PDT</t>
  </si>
  <si>
    <t>05/10/2014 12:15 PDT</t>
  </si>
  <si>
    <t>05/10/2014 12:30 PDT</t>
  </si>
  <si>
    <t>05/10/2014 12:45 PDT</t>
  </si>
  <si>
    <t>05/10/2014 13:00 PDT</t>
  </si>
  <si>
    <t>05/10/2014 13:15 PDT</t>
  </si>
  <si>
    <t>05/10/2014 13:30 PDT</t>
  </si>
  <si>
    <t>05/10/2014 13:45 PDT</t>
  </si>
  <si>
    <t>05/10/2014 14:00 PDT</t>
  </si>
  <si>
    <t>05/10/2014 14:15 PDT</t>
  </si>
  <si>
    <t>05/10/2014 14:30 PDT</t>
  </si>
  <si>
    <t>05/10/2014 14:45 PDT</t>
  </si>
  <si>
    <t>05/10/2014 15:00 PDT</t>
  </si>
  <si>
    <t>05/10/2014 15:15 PDT</t>
  </si>
  <si>
    <t>05/10/2014 15:30 PDT</t>
  </si>
  <si>
    <t>05/10/2014 15:45 PDT</t>
  </si>
  <si>
    <t>05/10/2014 16:00 PDT</t>
  </si>
  <si>
    <t>05/10/2014 16:15 PDT</t>
  </si>
  <si>
    <t>05/10/2014 16:30 PDT</t>
  </si>
  <si>
    <t>05/10/2014 16:45 PDT</t>
  </si>
  <si>
    <t>05/10/2014 17:00 PDT</t>
  </si>
  <si>
    <t>05/10/2014 17:15 PDT</t>
  </si>
  <si>
    <t>05/10/2014 17:30 PDT</t>
  </si>
  <si>
    <t>05/10/2014 17:45 PDT</t>
  </si>
  <si>
    <t>05/10/2014 18:00 PDT</t>
  </si>
  <si>
    <t>05/10/2014 18:15 PDT</t>
  </si>
  <si>
    <t>05/10/2014 18:30 PDT</t>
  </si>
  <si>
    <t>05/10/2014 18:45 PDT</t>
  </si>
  <si>
    <t>05/10/2014 19:00 PDT</t>
  </si>
  <si>
    <t>05/10/2014 19:15 PDT</t>
  </si>
  <si>
    <t>05/10/2014 19:30 PDT</t>
  </si>
  <si>
    <t>05/10/2014 19:45 PDT</t>
  </si>
  <si>
    <t>05/10/2014 20:00 PDT</t>
  </si>
  <si>
    <t>05/10/2014 20:15 PDT</t>
  </si>
  <si>
    <t>05/10/2014 20:30 PDT</t>
  </si>
  <si>
    <t>05/10/2014 20:45 PDT</t>
  </si>
  <si>
    <t>05/10/2014 21:00 PDT</t>
  </si>
  <si>
    <t>05/10/2014 21:15 PDT</t>
  </si>
  <si>
    <t>05/10/2014 21:30 PDT</t>
  </si>
  <si>
    <t>05/10/2014 21:45 PDT</t>
  </si>
  <si>
    <t>05/10/2014 22:00 PDT</t>
  </si>
  <si>
    <t>05/10/2014 22:15 PDT</t>
  </si>
  <si>
    <t>05/10/2014 22:30 PDT</t>
  </si>
  <si>
    <t>05/10/2014 22:45 PDT</t>
  </si>
  <si>
    <t>05/10/2014 23:00 PDT</t>
  </si>
  <si>
    <t>05/10/2014 23:15 PDT</t>
  </si>
  <si>
    <t>05/10/2014 23:30 PDT</t>
  </si>
  <si>
    <t>05/10/2014 23:45 PDT</t>
  </si>
  <si>
    <t>05/11/2014 00:00 PDT</t>
  </si>
  <si>
    <t>05/11/2014 00:15 PDT</t>
  </si>
  <si>
    <t>05/11/2014 00:30 PDT</t>
  </si>
  <si>
    <t>05/11/2014 00:45 PDT</t>
  </si>
  <si>
    <t>05/11/2014 01:00 PDT</t>
  </si>
  <si>
    <t>05/11/2014 01:15 PDT</t>
  </si>
  <si>
    <t>05/11/2014 01:30 PDT</t>
  </si>
  <si>
    <t>05/11/2014 01:45 PDT</t>
  </si>
  <si>
    <t>05/11/2014 02:00 PDT</t>
  </si>
  <si>
    <t>05/11/2014 02:15 PDT</t>
  </si>
  <si>
    <t>05/11/2014 02:30 PDT</t>
  </si>
  <si>
    <t>05/11/2014 02:45 PDT</t>
  </si>
  <si>
    <t>05/11/2014 03:00 PDT</t>
  </si>
  <si>
    <t>05/11/2014 03:15 PDT</t>
  </si>
  <si>
    <t>05/11/2014 03:30 PDT</t>
  </si>
  <si>
    <t>05/11/2014 03:45 PDT</t>
  </si>
  <si>
    <t>05/11/2014 04:00 PDT</t>
  </si>
  <si>
    <t>05/11/2014 04:15 PDT</t>
  </si>
  <si>
    <t>05/11/2014 04:30 PDT</t>
  </si>
  <si>
    <t>05/11/2014 04:45 PDT</t>
  </si>
  <si>
    <t>05/11/2014 05:00 PDT</t>
  </si>
  <si>
    <t>05/11/2014 05:15 PDT</t>
  </si>
  <si>
    <t>05/11/2014 05:30 PDT</t>
  </si>
  <si>
    <t>05/11/2014 05:45 PDT</t>
  </si>
  <si>
    <t>05/11/2014 06:00 PDT</t>
  </si>
  <si>
    <t>05/11/2014 06:15 PDT</t>
  </si>
  <si>
    <t>05/11/2014 06:30 PDT</t>
  </si>
  <si>
    <t>05/11/2014 06:45 PDT</t>
  </si>
  <si>
    <t>05/11/2014 07:00 PDT</t>
  </si>
  <si>
    <t>05/11/2014 07:15 PDT</t>
  </si>
  <si>
    <t>05/11/2014 07:30 PDT</t>
  </si>
  <si>
    <t>05/11/2014 07:45 PDT</t>
  </si>
  <si>
    <t>05/11/2014 08:00 PDT</t>
  </si>
  <si>
    <t>05/11/2014 08:15 PDT</t>
  </si>
  <si>
    <t>05/11/2014 08:30 PDT</t>
  </si>
  <si>
    <t>05/11/2014 08:45 PDT</t>
  </si>
  <si>
    <t>05/11/2014 09:00 PDT</t>
  </si>
  <si>
    <t>05/11/2014 09:15 PDT</t>
  </si>
  <si>
    <t>05/11/2014 09:30 PDT</t>
  </si>
  <si>
    <t>05/11/2014 09:45 PDT</t>
  </si>
  <si>
    <t>05/11/2014 10:00 PDT</t>
  </si>
  <si>
    <t>05/11/2014 10:15 PDT</t>
  </si>
  <si>
    <t>05/11/2014 10:30 PDT</t>
  </si>
  <si>
    <t>05/11/2014 10:45 PDT</t>
  </si>
  <si>
    <t>05/11/2014 11:00 PDT</t>
  </si>
  <si>
    <t>05/11/2014 11:15 PDT</t>
  </si>
  <si>
    <t>05/11/2014 11:30 PDT</t>
  </si>
  <si>
    <t>05/11/2014 11:45 PDT</t>
  </si>
  <si>
    <t>05/11/2014 12:00 PDT</t>
  </si>
  <si>
    <t>05/11/2014 12:15 PDT</t>
  </si>
  <si>
    <t>05/11/2014 12:30 PDT</t>
  </si>
  <si>
    <t>05/11/2014 12:45 PDT</t>
  </si>
  <si>
    <t>05/11/2014 13:00 PDT</t>
  </si>
  <si>
    <t>05/11/2014 13:15 PDT</t>
  </si>
  <si>
    <t>05/11/2014 13:30 PDT</t>
  </si>
  <si>
    <t>05/11/2014 13:45 PDT</t>
  </si>
  <si>
    <t>05/11/2014 14:00 PDT</t>
  </si>
  <si>
    <t>05/11/2014 14:15 PDT</t>
  </si>
  <si>
    <t>05/11/2014 14:30 PDT</t>
  </si>
  <si>
    <t>05/11/2014 14:45 PDT</t>
  </si>
  <si>
    <t>05/11/2014 15:00 PDT</t>
  </si>
  <si>
    <t>05/11/2014 15:15 PDT</t>
  </si>
  <si>
    <t>05/11/2014 15:30 PDT</t>
  </si>
  <si>
    <t>05/11/2014 15:45 PDT</t>
  </si>
  <si>
    <t>05/11/2014 16:00 PDT</t>
  </si>
  <si>
    <t>05/11/2014 16:15 PDT</t>
  </si>
  <si>
    <t>05/11/2014 16:30 PDT</t>
  </si>
  <si>
    <t>05/11/2014 16:45 PDT</t>
  </si>
  <si>
    <t>05/11/2014 17:00 PDT</t>
  </si>
  <si>
    <t>05/11/2014 17:15 PDT</t>
  </si>
  <si>
    <t>05/11/2014 17:30 PDT</t>
  </si>
  <si>
    <t>05/11/2014 17:45 PDT</t>
  </si>
  <si>
    <t>05/11/2014 18:00 PDT</t>
  </si>
  <si>
    <t>05/11/2014 18:15 PDT</t>
  </si>
  <si>
    <t>05/11/2014 18:30 PDT</t>
  </si>
  <si>
    <t>05/11/2014 18:45 PDT</t>
  </si>
  <si>
    <t>05/11/2014 19:00 PDT</t>
  </si>
  <si>
    <t>05/11/2014 19:15 PDT</t>
  </si>
  <si>
    <t>05/11/2014 19:30 PDT</t>
  </si>
  <si>
    <t>05/11/2014 19:45 PDT</t>
  </si>
  <si>
    <t>05/11/2014 20:00 PDT</t>
  </si>
  <si>
    <t>05/11/2014 20:15 PDT</t>
  </si>
  <si>
    <t>05/11/2014 20:30 PDT</t>
  </si>
  <si>
    <t>05/11/2014 20:45 PDT</t>
  </si>
  <si>
    <t>05/11/2014 21:00 PDT</t>
  </si>
  <si>
    <t>05/11/2014 21:15 PDT</t>
  </si>
  <si>
    <t>05/11/2014 21:30 PDT</t>
  </si>
  <si>
    <t>05/11/2014 21:45 PDT</t>
  </si>
  <si>
    <t>05/11/2014 22:00 PDT</t>
  </si>
  <si>
    <t>05/11/2014 22:15 PDT</t>
  </si>
  <si>
    <t>05/11/2014 22:30 PDT</t>
  </si>
  <si>
    <t>05/11/2014 22:45 PDT</t>
  </si>
  <si>
    <t>05/11/2014 23:00 PDT</t>
  </si>
  <si>
    <t>05/11/2014 23:15 PDT</t>
  </si>
  <si>
    <t>05/11/2014 23:30 PDT</t>
  </si>
  <si>
    <t>05/11/2014 23:45 PDT</t>
  </si>
  <si>
    <t>05/12/2014 00:00 PDT</t>
  </si>
  <si>
    <t>05/12/2014 00:15 PDT</t>
  </si>
  <si>
    <t>05/12/2014 00:30 PDT</t>
  </si>
  <si>
    <t>05/12/2014 00:45 PDT</t>
  </si>
  <si>
    <t>05/12/2014 01:00 PDT</t>
  </si>
  <si>
    <t>05/12/2014 01:15 PDT</t>
  </si>
  <si>
    <t>05/12/2014 01:30 PDT</t>
  </si>
  <si>
    <t>05/12/2014 01:45 PDT</t>
  </si>
  <si>
    <t>05/12/2014 02:00 PDT</t>
  </si>
  <si>
    <t>05/12/2014 02:15 PDT</t>
  </si>
  <si>
    <t>05/12/2014 02:30 PDT</t>
  </si>
  <si>
    <t>05/12/2014 02:45 PDT</t>
  </si>
  <si>
    <t>05/12/2014 03:00 PDT</t>
  </si>
  <si>
    <t>05/12/2014 03:15 PDT</t>
  </si>
  <si>
    <t>05/12/2014 03:30 PDT</t>
  </si>
  <si>
    <t>05/12/2014 03:45 PDT</t>
  </si>
  <si>
    <t>05/12/2014 04:00 PDT</t>
  </si>
  <si>
    <t>05/12/2014 04:15 PDT</t>
  </si>
  <si>
    <t>05/12/2014 04:30 PDT</t>
  </si>
  <si>
    <t>05/12/2014 04:45 PDT</t>
  </si>
  <si>
    <t>05/12/2014 05:00 PDT</t>
  </si>
  <si>
    <t>05/12/2014 05:15 PDT</t>
  </si>
  <si>
    <t>05/12/2014 05:30 PDT</t>
  </si>
  <si>
    <t>05/12/2014 05:45 PDT</t>
  </si>
  <si>
    <t>05/12/2014 06:00 PDT</t>
  </si>
  <si>
    <t>05/12/2014 06:15 PDT</t>
  </si>
  <si>
    <t>05/12/2014 06:30 PDT</t>
  </si>
  <si>
    <t>05/12/2014 06:45 PDT</t>
  </si>
  <si>
    <t>05/12/2014 07:00 PDT</t>
  </si>
  <si>
    <t>05/12/2014 07:15 PDT</t>
  </si>
  <si>
    <t>05/12/2014 07:30 PDT</t>
  </si>
  <si>
    <t>05/12/2014 07:45 PDT</t>
  </si>
  <si>
    <t>05/12/2014 08:00 PDT</t>
  </si>
  <si>
    <t>05/12/2014 08:15 PDT</t>
  </si>
  <si>
    <t>05/12/2014 08:30 PDT</t>
  </si>
  <si>
    <t>05/12/2014 08:45 PDT</t>
  </si>
  <si>
    <t>05/12/2014 09:00 PDT</t>
  </si>
  <si>
    <t>05/12/2014 09:15 PDT</t>
  </si>
  <si>
    <t>05/12/2014 09:30 PDT</t>
  </si>
  <si>
    <t>05/12/2014 09:45 PDT</t>
  </si>
  <si>
    <t>05/12/2014 10:00 PDT</t>
  </si>
  <si>
    <t>05/12/2014 10:15 PDT</t>
  </si>
  <si>
    <t>05/12/2014 10:30 PDT</t>
  </si>
  <si>
    <t>05/12/2014 10:45 PDT</t>
  </si>
  <si>
    <t>05/12/2014 11:00 PDT</t>
  </si>
  <si>
    <t>05/12/2014 11:15 PDT</t>
  </si>
  <si>
    <t>05/12/2014 11:30 PDT</t>
  </si>
  <si>
    <t>05/12/2014 11:45 PDT</t>
  </si>
  <si>
    <t>05/12/2014 12:00 PDT</t>
  </si>
  <si>
    <t>05/12/2014 12:15 PDT</t>
  </si>
  <si>
    <t>05/12/2014 12:30 PDT</t>
  </si>
  <si>
    <t>05/12/2014 12:45 PDT</t>
  </si>
  <si>
    <t>05/12/2014 13:00 PDT</t>
  </si>
  <si>
    <t>05/12/2014 13:15 PDT</t>
  </si>
  <si>
    <t>05/12/2014 13:30 PDT</t>
  </si>
  <si>
    <t>05/12/2014 13:45 PDT</t>
  </si>
  <si>
    <t>05/12/2014 14:00 PDT</t>
  </si>
  <si>
    <t>05/12/2014 14:15 PDT</t>
  </si>
  <si>
    <t>05/12/2014 14:30 PDT</t>
  </si>
  <si>
    <t>05/12/2014 14:45 PDT</t>
  </si>
  <si>
    <t>05/12/2014 15:00 PDT</t>
  </si>
  <si>
    <t>05/12/2014 15:15 PDT</t>
  </si>
  <si>
    <t>05/12/2014 15:30 PDT</t>
  </si>
  <si>
    <t>05/12/2014 15:45 PDT</t>
  </si>
  <si>
    <t>05/12/2014 16:00 PDT</t>
  </si>
  <si>
    <t>05/12/2014 16:15 PDT</t>
  </si>
  <si>
    <t>05/12/2014 16:30 PDT</t>
  </si>
  <si>
    <t>05/12/2014 16:45 PDT</t>
  </si>
  <si>
    <t>05/12/2014 17:00 PDT</t>
  </si>
  <si>
    <t>05/12/2014 17:15 PDT</t>
  </si>
  <si>
    <t>05/12/2014 17:30 PDT</t>
  </si>
  <si>
    <t>05/12/2014 17:45 PDT</t>
  </si>
  <si>
    <t>05/12/2014 18:00 PDT</t>
  </si>
  <si>
    <t>05/12/2014 18:15 PDT</t>
  </si>
  <si>
    <t>05/12/2014 18:30 PDT</t>
  </si>
  <si>
    <t>05/12/2014 18:45 PDT</t>
  </si>
  <si>
    <t>05/12/2014 19:00 PDT</t>
  </si>
  <si>
    <t>05/12/2014 19:15 PDT</t>
  </si>
  <si>
    <t>05/12/2014 19:30 PDT</t>
  </si>
  <si>
    <t>05/12/2014 19:45 PDT</t>
  </si>
  <si>
    <t>05/12/2014 20:00 PDT</t>
  </si>
  <si>
    <t>05/12/2014 20:15 PDT</t>
  </si>
  <si>
    <t>05/12/2014 20:30 PDT</t>
  </si>
  <si>
    <t>05/12/2014 20:45 PDT</t>
  </si>
  <si>
    <t>05/12/2014 21:00 PDT</t>
  </si>
  <si>
    <t>05/12/2014 21:15 PDT</t>
  </si>
  <si>
    <t>05/12/2014 21:30 PDT</t>
  </si>
  <si>
    <t>05/12/2014 21:45 PDT</t>
  </si>
  <si>
    <t>05/12/2014 22:00 PDT</t>
  </si>
  <si>
    <t>05/12/2014 22:15 PDT</t>
  </si>
  <si>
    <t>05/12/2014 22:30 PDT</t>
  </si>
  <si>
    <t>05/12/2014 22:45 PDT</t>
  </si>
  <si>
    <t>05/12/2014 23:00 PDT</t>
  </si>
  <si>
    <t>05/12/2014 23:15 PDT</t>
  </si>
  <si>
    <t>05/12/2014 23:30 PDT</t>
  </si>
  <si>
    <t>05/12/2014 23:45 PDT</t>
  </si>
  <si>
    <t>05/13/2014 00:00 PDT</t>
  </si>
  <si>
    <t>05/13/2014 00:15 PDT</t>
  </si>
  <si>
    <t>05/13/2014 00:30 PDT</t>
  </si>
  <si>
    <t>05/13/2014 00:45 PDT</t>
  </si>
  <si>
    <t>05/13/2014 01:00 PDT</t>
  </si>
  <si>
    <t>05/13/2014 01:15 PDT</t>
  </si>
  <si>
    <t>05/13/2014 01:30 PDT</t>
  </si>
  <si>
    <t>05/13/2014 01:45 PDT</t>
  </si>
  <si>
    <t>05/13/2014 02:00 PDT</t>
  </si>
  <si>
    <t>05/13/2014 02:15 PDT</t>
  </si>
  <si>
    <t>05/13/2014 02:30 PDT</t>
  </si>
  <si>
    <t>05/13/2014 02:45 PDT</t>
  </si>
  <si>
    <t>05/13/2014 03:00 PDT</t>
  </si>
  <si>
    <t>05/13/2014 03:15 PDT</t>
  </si>
  <si>
    <t>05/13/2014 03:30 PDT</t>
  </si>
  <si>
    <t>05/13/2014 03:45 PDT</t>
  </si>
  <si>
    <t>05/13/2014 04:00 PDT</t>
  </si>
  <si>
    <t>05/13/2014 04:15 PDT</t>
  </si>
  <si>
    <t>05/13/2014 04:30 PDT</t>
  </si>
  <si>
    <t>05/13/2014 04:45 PDT</t>
  </si>
  <si>
    <t>05/13/2014 05:00 PDT</t>
  </si>
  <si>
    <t>05/13/2014 05:15 PDT</t>
  </si>
  <si>
    <t>05/13/2014 05:30 PDT</t>
  </si>
  <si>
    <t>05/13/2014 05:45 PDT</t>
  </si>
  <si>
    <t>05/13/2014 06:00 PDT</t>
  </si>
  <si>
    <t>05/13/2014 06:15 PDT</t>
  </si>
  <si>
    <t>05/13/2014 06:30 PDT</t>
  </si>
  <si>
    <t>05/13/2014 06:45 PDT</t>
  </si>
  <si>
    <t>05/13/2014 07:00 PDT</t>
  </si>
  <si>
    <t>05/13/2014 07:15 PDT</t>
  </si>
  <si>
    <t>05/13/2014 07:30 PDT</t>
  </si>
  <si>
    <t>05/13/2014 07:45 PDT</t>
  </si>
  <si>
    <t>05/13/2014 08:00 PDT</t>
  </si>
  <si>
    <t>05/13/2014 08:15 PDT</t>
  </si>
  <si>
    <t>05/13/2014 08:30 PDT</t>
  </si>
  <si>
    <t>05/13/2014 08:45 PDT</t>
  </si>
  <si>
    <t>05/13/2014 09:00 PDT</t>
  </si>
  <si>
    <t>05/13/2014 09:15 PDT</t>
  </si>
  <si>
    <t>05/13/2014 09:30 PDT</t>
  </si>
  <si>
    <t>05/13/2014 09:45 PDT</t>
  </si>
  <si>
    <t>05/13/2014 10:00 PDT</t>
  </si>
  <si>
    <t>05/13/2014 10:15 PDT</t>
  </si>
  <si>
    <t>05/13/2014 10:30 PDT</t>
  </si>
  <si>
    <t>05/13/2014 10:45 PDT</t>
  </si>
  <si>
    <t>05/13/2014 11:00 PDT</t>
  </si>
  <si>
    <t>05/13/2014 11:15 PDT</t>
  </si>
  <si>
    <t>05/13/2014 11:30 PDT</t>
  </si>
  <si>
    <t>05/13/2014 11:45 PDT</t>
  </si>
  <si>
    <t>05/13/2014 12:00 PDT</t>
  </si>
  <si>
    <t>05/13/2014 12:15 PDT</t>
  </si>
  <si>
    <t>05/13/2014 12:30 PDT</t>
  </si>
  <si>
    <t>05/13/2014 12:45 PDT</t>
  </si>
  <si>
    <t>05/13/2014 13:00 PDT</t>
  </si>
  <si>
    <t>05/13/2014 13:15 PDT</t>
  </si>
  <si>
    <t>05/13/2014 13:30 PDT</t>
  </si>
  <si>
    <t>05/13/2014 13:45 PDT</t>
  </si>
  <si>
    <t>05/13/2014 14:00 PDT</t>
  </si>
  <si>
    <t>05/13/2014 14:15 PDT</t>
  </si>
  <si>
    <t>05/13/2014 14:30 PDT</t>
  </si>
  <si>
    <t>05/13/2014 14:45 PDT</t>
  </si>
  <si>
    <t>05/13/2014 15:00 PDT</t>
  </si>
  <si>
    <t>05/13/2014 15:15 PDT</t>
  </si>
  <si>
    <t>05/13/2014 15:30 PDT</t>
  </si>
  <si>
    <t>05/13/2014 15:45 PDT</t>
  </si>
  <si>
    <t>05/13/2014 16:00 PDT</t>
  </si>
  <si>
    <t>05/13/2014 16:15 PDT</t>
  </si>
  <si>
    <t>05/13/2014 16:30 PDT</t>
  </si>
  <si>
    <t>05/13/2014 16:45 PDT</t>
  </si>
  <si>
    <t>05/13/2014 17:00 PDT</t>
  </si>
  <si>
    <t>05/13/2014 17:15 PDT</t>
  </si>
  <si>
    <t>05/13/2014 17:30 PDT</t>
  </si>
  <si>
    <t>05/13/2014 17:45 PDT</t>
  </si>
  <si>
    <t>05/13/2014 18:00 PDT</t>
  </si>
  <si>
    <t>05/13/2014 18:15 PDT</t>
  </si>
  <si>
    <t>05/13/2014 18:30 PDT</t>
  </si>
  <si>
    <t>05/13/2014 18:45 PDT</t>
  </si>
  <si>
    <t>05/13/2014 19:00 PDT</t>
  </si>
  <si>
    <t>05/13/2014 19:15 PDT</t>
  </si>
  <si>
    <t>05/13/2014 19:30 PDT</t>
  </si>
  <si>
    <t>05/13/2014 19:45 PDT</t>
  </si>
  <si>
    <t>05/13/2014 20:00 PDT</t>
  </si>
  <si>
    <t>05/13/2014 20:15 PDT</t>
  </si>
  <si>
    <t>05/13/2014 20:30 PDT</t>
  </si>
  <si>
    <t>05/13/2014 20:45 PDT</t>
  </si>
  <si>
    <t>05/13/2014 21:00 PDT</t>
  </si>
  <si>
    <t>05/13/2014 21:15 PDT</t>
  </si>
  <si>
    <t>05/13/2014 21:30 PDT</t>
  </si>
  <si>
    <t>05/13/2014 21:45 PDT</t>
  </si>
  <si>
    <t>05/13/2014 22:00 PDT</t>
  </si>
  <si>
    <t>05/13/2014 22:15 PDT</t>
  </si>
  <si>
    <t>05/13/2014 22:30 PDT</t>
  </si>
  <si>
    <t>05/13/2014 22:45 PDT</t>
  </si>
  <si>
    <t>05/13/2014 23:00 PDT</t>
  </si>
  <si>
    <t>05/13/2014 23:15 PDT</t>
  </si>
  <si>
    <t>05/13/2014 23:30 PDT</t>
  </si>
  <si>
    <t>05/13/2014 23:45 PDT</t>
  </si>
  <si>
    <t>05/14/2014 00:00 PDT</t>
  </si>
  <si>
    <t>05/14/2014 00:15 PDT</t>
  </si>
  <si>
    <t>05/14/2014 00:30 PDT</t>
  </si>
  <si>
    <t>05/14/2014 00:45 PDT</t>
  </si>
  <si>
    <t>05/14/2014 01:00 PDT</t>
  </si>
  <si>
    <t>05/14/2014 01:15 PDT</t>
  </si>
  <si>
    <t>05/14/2014 01:30 PDT</t>
  </si>
  <si>
    <t>05/14/2014 01:45 PDT</t>
  </si>
  <si>
    <t>05/14/2014 02:00 PDT</t>
  </si>
  <si>
    <t>05/14/2014 02:15 PDT</t>
  </si>
  <si>
    <t>05/14/2014 02:30 PDT</t>
  </si>
  <si>
    <t>05/14/2014 02:45 PDT</t>
  </si>
  <si>
    <t>05/14/2014 03:00 PDT</t>
  </si>
  <si>
    <t>05/14/2014 03:15 PDT</t>
  </si>
  <si>
    <t>05/14/2014 03:30 PDT</t>
  </si>
  <si>
    <t>05/14/2014 03:45 PDT</t>
  </si>
  <si>
    <t>05/14/2014 04:00 PDT</t>
  </si>
  <si>
    <t>05/14/2014 04:15 PDT</t>
  </si>
  <si>
    <t>05/14/2014 04:30 PDT</t>
  </si>
  <si>
    <t>05/14/2014 04:45 PDT</t>
  </si>
  <si>
    <t>05/14/2014 05:00 PDT</t>
  </si>
  <si>
    <t>05/14/2014 05:15 PDT</t>
  </si>
  <si>
    <t>05/14/2014 05:30 PDT</t>
  </si>
  <si>
    <t>05/14/2014 05:45 PDT</t>
  </si>
  <si>
    <t>05/14/2014 06:00 PDT</t>
  </si>
  <si>
    <t>05/14/2014 06:15 PDT</t>
  </si>
  <si>
    <t>05/14/2014 06:30 PDT</t>
  </si>
  <si>
    <t>05/14/2014 06:45 PDT</t>
  </si>
  <si>
    <t>05/14/2014 07:00 PDT</t>
  </si>
  <si>
    <t>05/14/2014 07:15 PDT</t>
  </si>
  <si>
    <t>05/14/2014 07:30 PDT</t>
  </si>
  <si>
    <t>05/14/2014 07:45 PDT</t>
  </si>
  <si>
    <t>05/14/2014 08:00 PDT</t>
  </si>
  <si>
    <t>05/14/2014 08:15 PDT</t>
  </si>
  <si>
    <t>05/14/2014 08:30 PDT</t>
  </si>
  <si>
    <t>05/14/2014 08:45 PDT</t>
  </si>
  <si>
    <t>05/14/2014 09:00 PDT</t>
  </si>
  <si>
    <t>05/14/2014 09:15 PDT</t>
  </si>
  <si>
    <t>05/14/2014 09:30 PDT</t>
  </si>
  <si>
    <t>05/14/2014 09:45 PDT</t>
  </si>
  <si>
    <t>05/14/2014 10:00 PDT</t>
  </si>
  <si>
    <t>05/14/2014 10:15 PDT</t>
  </si>
  <si>
    <t>05/14/2014 10:30 PDT</t>
  </si>
  <si>
    <t>05/14/2014 10:45 PDT</t>
  </si>
  <si>
    <t>05/14/2014 11:00 PDT</t>
  </si>
  <si>
    <t>05/14/2014 11:15 PDT</t>
  </si>
  <si>
    <t>05/14/2014 11:30 PDT</t>
  </si>
  <si>
    <t>05/14/2014 11:45 PDT</t>
  </si>
  <si>
    <t>05/14/2014 12:00 PDT</t>
  </si>
  <si>
    <t>05/14/2014 12:15 PDT</t>
  </si>
  <si>
    <t>05/14/2014 12:30 PDT</t>
  </si>
  <si>
    <t>05/14/2014 12:45 PDT</t>
  </si>
  <si>
    <t>05/14/2014 13:00 PDT</t>
  </si>
  <si>
    <t>05/14/2014 13:15 PDT</t>
  </si>
  <si>
    <t>05/14/2014 13:30 PDT</t>
  </si>
  <si>
    <t>05/14/2014 13:45 PDT</t>
  </si>
  <si>
    <t>05/14/2014 14:00 PDT</t>
  </si>
  <si>
    <t>05/14/2014 14:15 PDT</t>
  </si>
  <si>
    <t>05/14/2014 14:30 PDT</t>
  </si>
  <si>
    <t>05/14/2014 14:45 PDT</t>
  </si>
  <si>
    <t>05/14/2014 15:00 PDT</t>
  </si>
  <si>
    <t>05/14/2014 15:15 PDT</t>
  </si>
  <si>
    <t>05/14/2014 15:30 PDT</t>
  </si>
  <si>
    <t>05/14/2014 15:45 PDT</t>
  </si>
  <si>
    <t>05/14/2014 16:00 PDT</t>
  </si>
  <si>
    <t>05/14/2014 16:15 PDT</t>
  </si>
  <si>
    <t>05/14/2014 16:30 PDT</t>
  </si>
  <si>
    <t>05/14/2014 16:45 PDT</t>
  </si>
  <si>
    <t>05/14/2014 17:00 PDT</t>
  </si>
  <si>
    <t>05/14/2014 17:15 PDT</t>
  </si>
  <si>
    <t>05/14/2014 17:30 PDT</t>
  </si>
  <si>
    <t>05/14/2014 17:45 PDT</t>
  </si>
  <si>
    <t>05/14/2014 18:00 PDT</t>
  </si>
  <si>
    <t>05/14/2014 18:15 PDT</t>
  </si>
  <si>
    <t>05/14/2014 18:30 PDT</t>
  </si>
  <si>
    <t>05/14/2014 18:45 PDT</t>
  </si>
  <si>
    <t>05/14/2014 19:00 PDT</t>
  </si>
  <si>
    <t>05/14/2014 19:15 PDT</t>
  </si>
  <si>
    <t>05/14/2014 19:30 PDT</t>
  </si>
  <si>
    <t>05/14/2014 19:45 PDT</t>
  </si>
  <si>
    <t>05/14/2014 20:00 PDT</t>
  </si>
  <si>
    <t>05/14/2014 20:15 PDT</t>
  </si>
  <si>
    <t>05/14/2014 20:30 PDT</t>
  </si>
  <si>
    <t>05/14/2014 20:45 PDT</t>
  </si>
  <si>
    <t>05/14/2014 21:00 PDT</t>
  </si>
  <si>
    <t>05/14/2014 21:15 PDT</t>
  </si>
  <si>
    <t>05/14/2014 21:30 PDT</t>
  </si>
  <si>
    <t>05/14/2014 21:45 PDT</t>
  </si>
  <si>
    <t>05/14/2014 22:00 PDT</t>
  </si>
  <si>
    <t>05/14/2014 22:15 PDT</t>
  </si>
  <si>
    <t>05/14/2014 22:30 PDT</t>
  </si>
  <si>
    <t>05/14/2014 22:45 PDT</t>
  </si>
  <si>
    <t>05/14/2014 23:00 PDT</t>
  </si>
  <si>
    <t>05/14/2014 23:15 PDT</t>
  </si>
  <si>
    <t>05/14/2014 23:30 PDT</t>
  </si>
  <si>
    <t>05/14/2014 23:45 PDT</t>
  </si>
  <si>
    <t>05/15/2014 00:00 PDT</t>
  </si>
  <si>
    <t>05/15/2014 00:15 PDT</t>
  </si>
  <si>
    <t>05/15/2014 00:30 PDT</t>
  </si>
  <si>
    <t>05/15/2014 00:45 PDT</t>
  </si>
  <si>
    <t>05/15/2014 01:00 PDT</t>
  </si>
  <si>
    <t>05/15/2014 01:15 PDT</t>
  </si>
  <si>
    <t>05/15/2014 01:30 PDT</t>
  </si>
  <si>
    <t>05/15/2014 01:45 PDT</t>
  </si>
  <si>
    <t>05/15/2014 02:00 PDT</t>
  </si>
  <si>
    <t>05/15/2014 02:15 PDT</t>
  </si>
  <si>
    <t>05/15/2014 02:30 PDT</t>
  </si>
  <si>
    <t>05/15/2014 02:45 PDT</t>
  </si>
  <si>
    <t>05/15/2014 03:00 PDT</t>
  </si>
  <si>
    <t>05/15/2014 03:15 PDT</t>
  </si>
  <si>
    <t>05/15/2014 03:30 PDT</t>
  </si>
  <si>
    <t>05/15/2014 03:45 PDT</t>
  </si>
  <si>
    <t>05/15/2014 04:00 PDT</t>
  </si>
  <si>
    <t>05/15/2014 04:15 PDT</t>
  </si>
  <si>
    <t>05/15/2014 04:30 PDT</t>
  </si>
  <si>
    <t>05/15/2014 04:45 PDT</t>
  </si>
  <si>
    <t>05/15/2014 05:00 PDT</t>
  </si>
  <si>
    <t>05/15/2014 05:15 PDT</t>
  </si>
  <si>
    <t>05/15/2014 05:30 PDT</t>
  </si>
  <si>
    <t>05/15/2014 05:45 PDT</t>
  </si>
  <si>
    <t>05/15/2014 06:00 PDT</t>
  </si>
  <si>
    <t>05/15/2014 06:15 PDT</t>
  </si>
  <si>
    <t>05/15/2014 06:30 PDT</t>
  </si>
  <si>
    <t>05/15/2014 06:45 PDT</t>
  </si>
  <si>
    <t>05/15/2014 07:00 PDT</t>
  </si>
  <si>
    <t>05/15/2014 07:15 PDT</t>
  </si>
  <si>
    <t>05/15/2014 07:30 PDT</t>
  </si>
  <si>
    <t>05/15/2014 07:45 PDT</t>
  </si>
  <si>
    <t>05/15/2014 08:00 PDT</t>
  </si>
  <si>
    <t>05/15/2014 08:15 PDT</t>
  </si>
  <si>
    <t>05/15/2014 08:30 PDT</t>
  </si>
  <si>
    <t>05/15/2014 08:45 PDT</t>
  </si>
  <si>
    <t>05/15/2014 09:00 PDT</t>
  </si>
  <si>
    <t>05/15/2014 09:15 PDT</t>
  </si>
  <si>
    <t>05/15/2014 09:30 PDT</t>
  </si>
  <si>
    <t>05/15/2014 09:45 PDT</t>
  </si>
  <si>
    <t>05/15/2014 10:00 PDT</t>
  </si>
  <si>
    <t>05/15/2014 10:15 PDT</t>
  </si>
  <si>
    <t>05/15/2014 10:30 PDT</t>
  </si>
  <si>
    <t>05/15/2014 10:45 PDT</t>
  </si>
  <si>
    <t>05/15/2014 11:00 PDT</t>
  </si>
  <si>
    <t>05/15/2014 11:15 PDT</t>
  </si>
  <si>
    <t>05/15/2014 11:30 PDT</t>
  </si>
  <si>
    <t>05/15/2014 11:45 PDT</t>
  </si>
  <si>
    <t>05/15/2014 12:00 PDT</t>
  </si>
  <si>
    <t>05/15/2014 12:15 PDT</t>
  </si>
  <si>
    <t>05/15/2014 12:30 PDT</t>
  </si>
  <si>
    <t>05/15/2014 12:45 PDT</t>
  </si>
  <si>
    <t>05/15/2014 13:00 PDT</t>
  </si>
  <si>
    <t>05/15/2014 13:15 PDT</t>
  </si>
  <si>
    <t>05/15/2014 13:30 PDT</t>
  </si>
  <si>
    <t>05/15/2014 13:45 PDT</t>
  </si>
  <si>
    <t>05/15/2014 14:00 PDT</t>
  </si>
  <si>
    <t>05/15/2014 14:15 PDT</t>
  </si>
  <si>
    <t>05/15/2014 14:30 PDT</t>
  </si>
  <si>
    <t>05/15/2014 14:45 PDT</t>
  </si>
  <si>
    <t>05/15/2014 15:00 PDT</t>
  </si>
  <si>
    <t>05/15/2014 15:15 PDT</t>
  </si>
  <si>
    <t>05/15/2014 15:30 PDT</t>
  </si>
  <si>
    <t>05/15/2014 15:45 PDT</t>
  </si>
  <si>
    <t>05/15/2014 16:00 PDT</t>
  </si>
  <si>
    <t>05/15/2014 16:15 PDT</t>
  </si>
  <si>
    <t>05/15/2014 16:30 PDT</t>
  </si>
  <si>
    <t>05/15/2014 16:45 PDT</t>
  </si>
  <si>
    <t>05/15/2014 17:00 PDT</t>
  </si>
  <si>
    <t>05/15/2014 17:15 PDT</t>
  </si>
  <si>
    <t>05/15/2014 17:30 PDT</t>
  </si>
  <si>
    <t>05/15/2014 17:45 PDT</t>
  </si>
  <si>
    <t>05/15/2014 18:00 PDT</t>
  </si>
  <si>
    <t>05/15/2014 18:15 PDT</t>
  </si>
  <si>
    <t>05/15/2014 18:30 PDT</t>
  </si>
  <si>
    <t>05/15/2014 18:45 PDT</t>
  </si>
  <si>
    <t>05/15/2014 19:00 PDT</t>
  </si>
  <si>
    <t>05/15/2014 19:15 PDT</t>
  </si>
  <si>
    <t>05/15/2014 19:30 PDT</t>
  </si>
  <si>
    <t>05/15/2014 19:45 PDT</t>
  </si>
  <si>
    <t>05/15/2014 20:00 PDT</t>
  </si>
  <si>
    <t>05/15/2014 20:15 PDT</t>
  </si>
  <si>
    <t>05/15/2014 20:30 PDT</t>
  </si>
  <si>
    <t>05/15/2014 20:45 PDT</t>
  </si>
  <si>
    <t>05/15/2014 21:00 PDT</t>
  </si>
  <si>
    <t>05/15/2014 21:15 PDT</t>
  </si>
  <si>
    <t>05/15/2014 21:30 PDT</t>
  </si>
  <si>
    <t>05/15/2014 21:45 PDT</t>
  </si>
  <si>
    <t>05/15/2014 22:00 PDT</t>
  </si>
  <si>
    <t>05/15/2014 22:15 PDT</t>
  </si>
  <si>
    <t>05/15/2014 22:30 PDT</t>
  </si>
  <si>
    <t>05/15/2014 22:45 PDT</t>
  </si>
  <si>
    <t>05/15/2014 23:00 PDT</t>
  </si>
  <si>
    <t>05/15/2014 23:15 PDT</t>
  </si>
  <si>
    <t>05/15/2014 23:30 PDT</t>
  </si>
  <si>
    <t>05/15/2014 23:45 PDT</t>
  </si>
  <si>
    <t>05/16/2014 00:00 PDT</t>
  </si>
  <si>
    <t>05/16/2014 00:15 PDT</t>
  </si>
  <si>
    <t>05/16/2014 00:30 PDT</t>
  </si>
  <si>
    <t>05/16/2014 00:45 PDT</t>
  </si>
  <si>
    <t>05/16/2014 01:00 PDT</t>
  </si>
  <si>
    <t>05/16/2014 01:15 PDT</t>
  </si>
  <si>
    <t>05/16/2014 01:30 PDT</t>
  </si>
  <si>
    <t>05/16/2014 01:45 PDT</t>
  </si>
  <si>
    <t>05/16/2014 02:00 PDT</t>
  </si>
  <si>
    <t>05/16/2014 02:15 PDT</t>
  </si>
  <si>
    <t>05/16/2014 02:30 PDT</t>
  </si>
  <si>
    <t>05/16/2014 02:45 PDT</t>
  </si>
  <si>
    <t>05/16/2014 03:00 PDT</t>
  </si>
  <si>
    <t>05/16/2014 03:15 PDT</t>
  </si>
  <si>
    <t>05/16/2014 03:30 PDT</t>
  </si>
  <si>
    <t>05/16/2014 03:45 PDT</t>
  </si>
  <si>
    <t>05/16/2014 04:00 PDT</t>
  </si>
  <si>
    <t>05/16/2014 04:15 PDT</t>
  </si>
  <si>
    <t>05/16/2014 04:30 PDT</t>
  </si>
  <si>
    <t>05/16/2014 04:45 PDT</t>
  </si>
  <si>
    <t>05/16/2014 05:00 PDT</t>
  </si>
  <si>
    <t>05/16/2014 05:15 PDT</t>
  </si>
  <si>
    <t>05/16/2014 05:30 PDT</t>
  </si>
  <si>
    <t>05/16/2014 05:45 PDT</t>
  </si>
  <si>
    <t>05/16/2014 06:00 PDT</t>
  </si>
  <si>
    <t>05/16/2014 06:15 PDT</t>
  </si>
  <si>
    <t>05/16/2014 06:30 PDT</t>
  </si>
  <si>
    <t>05/16/2014 06:45 PDT</t>
  </si>
  <si>
    <t>05/16/2014 07:00 PDT</t>
  </si>
  <si>
    <t>05/16/2014 07:15 PDT</t>
  </si>
  <si>
    <t>05/16/2014 07:30 PDT</t>
  </si>
  <si>
    <t>05/16/2014 07:45 PDT</t>
  </si>
  <si>
    <t>05/16/2014 08:00 PDT</t>
  </si>
  <si>
    <t>05/16/2014 08:15 PDT</t>
  </si>
  <si>
    <t>05/16/2014 08:30 PDT</t>
  </si>
  <si>
    <t>05/16/2014 08:45 PDT</t>
  </si>
  <si>
    <t>05/16/2014 09:00 PDT</t>
  </si>
  <si>
    <t>05/16/2014 09:15 PDT</t>
  </si>
  <si>
    <t>05/16/2014 09:30 PDT</t>
  </si>
  <si>
    <t>05/16/2014 09:45 PDT</t>
  </si>
  <si>
    <t>05/16/2014 10:00 PDT</t>
  </si>
  <si>
    <t>05/16/2014 10:15 PDT</t>
  </si>
  <si>
    <t>05/16/2014 10:30 PDT</t>
  </si>
  <si>
    <t>05/16/2014 10:45 PDT</t>
  </si>
  <si>
    <t>05/16/2014 11:00 PDT</t>
  </si>
  <si>
    <t>05/16/2014 11:15 PDT</t>
  </si>
  <si>
    <t>05/16/2014 11:30 PDT</t>
  </si>
  <si>
    <t>05/16/2014 11:45 PDT</t>
  </si>
  <si>
    <t>05/16/2014 12:00 PDT</t>
  </si>
  <si>
    <t>05/16/2014 12:15 PDT</t>
  </si>
  <si>
    <t>05/16/2014 12:30 PDT</t>
  </si>
  <si>
    <t>05/16/2014 12:45 PDT</t>
  </si>
  <si>
    <t>05/16/2014 13:00 PDT</t>
  </si>
  <si>
    <t>05/16/2014 13:15 PDT</t>
  </si>
  <si>
    <t>05/16/2014 13:30 PDT</t>
  </si>
  <si>
    <t>05/16/2014 13:45 PDT</t>
  </si>
  <si>
    <t>05/16/2014 14:00 PDT</t>
  </si>
  <si>
    <t>05/16/2014 14:15 PDT</t>
  </si>
  <si>
    <t>05/16/2014 14:30 PDT</t>
  </si>
  <si>
    <t>05/16/2014 14:45 PDT</t>
  </si>
  <si>
    <t>05/16/2014 15:00 PDT</t>
  </si>
  <si>
    <t>05/16/2014 15:15 PDT</t>
  </si>
  <si>
    <t>05/16/2014 15:30 PDT</t>
  </si>
  <si>
    <t>05/16/2014 15:45 PDT</t>
  </si>
  <si>
    <t>05/16/2014 16:00 PDT</t>
  </si>
  <si>
    <t>05/16/2014 16:15 PDT</t>
  </si>
  <si>
    <t>05/16/2014 16:30 PDT</t>
  </si>
  <si>
    <t>05/16/2014 16:45 PDT</t>
  </si>
  <si>
    <t>05/16/2014 17:00 PDT</t>
  </si>
  <si>
    <t>05/16/2014 17:15 PDT</t>
  </si>
  <si>
    <t>05/16/2014 17:30 PDT</t>
  </si>
  <si>
    <t>05/16/2014 17:45 PDT</t>
  </si>
  <si>
    <t>05/16/2014 18:00 PDT</t>
  </si>
  <si>
    <t>05/16/2014 18:15 PDT</t>
  </si>
  <si>
    <t>05/16/2014 18:30 PDT</t>
  </si>
  <si>
    <t>05/16/2014 18:45 PDT</t>
  </si>
  <si>
    <t>05/16/2014 19:00 PDT</t>
  </si>
  <si>
    <t>05/16/2014 19:15 PDT</t>
  </si>
  <si>
    <t>05/16/2014 19:30 PDT</t>
  </si>
  <si>
    <t>05/16/2014 19:45 PDT</t>
  </si>
  <si>
    <t>05/16/2014 20:00 PDT</t>
  </si>
  <si>
    <t>05/16/2014 20:15 PDT</t>
  </si>
  <si>
    <t>05/16/2014 20:30 PDT</t>
  </si>
  <si>
    <t>05/16/2014 20:45 PDT</t>
  </si>
  <si>
    <t>05/16/2014 21:00 PDT</t>
  </si>
  <si>
    <t>05/16/2014 21:15 PDT</t>
  </si>
  <si>
    <t>05/16/2014 21:30 PDT</t>
  </si>
  <si>
    <t>05/16/2014 21:45 PDT</t>
  </si>
  <si>
    <t>05/16/2014 22:00 PDT</t>
  </si>
  <si>
    <t>05/16/2014 22:15 PDT</t>
  </si>
  <si>
    <t>05/16/2014 22:30 PDT</t>
  </si>
  <si>
    <t>05/16/2014 22:45 PDT</t>
  </si>
  <si>
    <t>05/16/2014 23:00 PDT</t>
  </si>
  <si>
    <t>05/16/2014 23:15 PDT</t>
  </si>
  <si>
    <t>05/16/2014 23:30 PDT</t>
  </si>
  <si>
    <t>05/16/2014 23:45 PDT</t>
  </si>
  <si>
    <t>05/17/2014 00:00 PDT</t>
  </si>
  <si>
    <t>05/17/2014 00:15 PDT</t>
  </si>
  <si>
    <t>05/17/2014 00:30 PDT</t>
  </si>
  <si>
    <t>05/17/2014 00:45 PDT</t>
  </si>
  <si>
    <t>05/17/2014 01:00 PDT</t>
  </si>
  <si>
    <t>05/17/2014 01:15 PDT</t>
  </si>
  <si>
    <t>05/17/2014 01:30 PDT</t>
  </si>
  <si>
    <t>05/17/2014 01:45 PDT</t>
  </si>
  <si>
    <t>05/17/2014 02:00 PDT</t>
  </si>
  <si>
    <t>05/17/2014 02:15 PDT</t>
  </si>
  <si>
    <t>05/17/2014 02:30 PDT</t>
  </si>
  <si>
    <t>05/17/2014 02:45 PDT</t>
  </si>
  <si>
    <t>05/17/2014 03:00 PDT</t>
  </si>
  <si>
    <t>05/17/2014 03:15 PDT</t>
  </si>
  <si>
    <t>05/17/2014 03:30 PDT</t>
  </si>
  <si>
    <t>05/17/2014 03:45 PDT</t>
  </si>
  <si>
    <t>05/17/2014 04:00 PDT</t>
  </si>
  <si>
    <t>05/17/2014 04:15 PDT</t>
  </si>
  <si>
    <t>05/17/2014 04:30 PDT</t>
  </si>
  <si>
    <t>05/17/2014 04:45 PDT</t>
  </si>
  <si>
    <t>05/17/2014 05:00 PDT</t>
  </si>
  <si>
    <t>05/17/2014 05:15 PDT</t>
  </si>
  <si>
    <t>05/17/2014 05:30 PDT</t>
  </si>
  <si>
    <t>05/17/2014 05:45 PDT</t>
  </si>
  <si>
    <t>05/17/2014 06:00 PDT</t>
  </si>
  <si>
    <t>05/17/2014 06:15 PDT</t>
  </si>
  <si>
    <t>05/17/2014 06:30 PDT</t>
  </si>
  <si>
    <t>05/17/2014 06:45 PDT</t>
  </si>
  <si>
    <t>05/17/2014 07:00 PDT</t>
  </si>
  <si>
    <t>05/17/2014 07:15 PDT</t>
  </si>
  <si>
    <t>05/17/2014 07:30 PDT</t>
  </si>
  <si>
    <t>05/17/2014 07:45 PDT</t>
  </si>
  <si>
    <t>05/17/2014 08:00 PDT</t>
  </si>
  <si>
    <t>05/17/2014 08:15 PDT</t>
  </si>
  <si>
    <t>05/17/2014 08:30 PDT</t>
  </si>
  <si>
    <t>05/17/2014 08:45 PDT</t>
  </si>
  <si>
    <t>05/17/2014 09:00 PDT</t>
  </si>
  <si>
    <t>05/17/2014 09:15 PDT</t>
  </si>
  <si>
    <t>05/17/2014 09:30 PDT</t>
  </si>
  <si>
    <t>05/17/2014 09:45 PDT</t>
  </si>
  <si>
    <t>05/17/2014 10:00 PDT</t>
  </si>
  <si>
    <t>05/17/2014 10:15 PDT</t>
  </si>
  <si>
    <t>05/17/2014 10:30 PDT</t>
  </si>
  <si>
    <t>05/17/2014 10:45 PDT</t>
  </si>
  <si>
    <t>05/17/2014 11:00 PDT</t>
  </si>
  <si>
    <t>05/17/2014 11:15 PDT</t>
  </si>
  <si>
    <t>05/17/2014 11:30 PDT</t>
  </si>
  <si>
    <t>05/17/2014 11:45 PDT</t>
  </si>
  <si>
    <t>05/17/2014 12:00 PDT</t>
  </si>
  <si>
    <t>05/17/2014 12:15 PDT</t>
  </si>
  <si>
    <t>05/17/2014 12:30 PDT</t>
  </si>
  <si>
    <t>05/17/2014 12:45 PDT</t>
  </si>
  <si>
    <t>05/17/2014 13:00 PDT</t>
  </si>
  <si>
    <t>05/17/2014 13:15 PDT</t>
  </si>
  <si>
    <t>05/17/2014 13:30 PDT</t>
  </si>
  <si>
    <t>05/17/2014 13:45 PDT</t>
  </si>
  <si>
    <t>05/17/2014 14:00 PDT</t>
  </si>
  <si>
    <t>05/17/2014 14:15 PDT</t>
  </si>
  <si>
    <t>05/17/2014 14:30 PDT</t>
  </si>
  <si>
    <t>05/17/2014 14:45 PDT</t>
  </si>
  <si>
    <t>05/17/2014 15:00 PDT</t>
  </si>
  <si>
    <t>05/17/2014 15:15 PDT</t>
  </si>
  <si>
    <t>05/17/2014 15:30 PDT</t>
  </si>
  <si>
    <t>05/17/2014 15:45 PDT</t>
  </si>
  <si>
    <t>05/17/2014 16:00 PDT</t>
  </si>
  <si>
    <t>05/17/2014 16:15 PDT</t>
  </si>
  <si>
    <t>05/17/2014 16:30 PDT</t>
  </si>
  <si>
    <t>05/17/2014 16:45 PDT</t>
  </si>
  <si>
    <t>05/17/2014 17:00 PDT</t>
  </si>
  <si>
    <t>05/17/2014 17:15 PDT</t>
  </si>
  <si>
    <t>05/17/2014 17:30 PDT</t>
  </si>
  <si>
    <t>05/17/2014 17:45 PDT</t>
  </si>
  <si>
    <t>05/17/2014 18:00 PDT</t>
  </si>
  <si>
    <t>05/17/2014 18:15 PDT</t>
  </si>
  <si>
    <t>05/17/2014 18:30 PDT</t>
  </si>
  <si>
    <t>05/17/2014 18:45 PDT</t>
  </si>
  <si>
    <t>05/17/2014 19:00 PDT</t>
  </si>
  <si>
    <t>05/17/2014 19:15 PDT</t>
  </si>
  <si>
    <t>05/17/2014 19:30 PDT</t>
  </si>
  <si>
    <t>05/17/2014 19:45 PDT</t>
  </si>
  <si>
    <t>05/17/2014 20:00 PDT</t>
  </si>
  <si>
    <t>05/17/2014 20:15 PDT</t>
  </si>
  <si>
    <t>05/17/2014 20:30 PDT</t>
  </si>
  <si>
    <t>05/17/2014 20:45 PDT</t>
  </si>
  <si>
    <t>05/17/2014 21:00 PDT</t>
  </si>
  <si>
    <t>05/17/2014 21:15 PDT</t>
  </si>
  <si>
    <t>05/17/2014 21:30 PDT</t>
  </si>
  <si>
    <t>05/17/2014 21:45 PDT</t>
  </si>
  <si>
    <t>05/17/2014 22:00 PDT</t>
  </si>
  <si>
    <t>05/17/2014 22:15 PDT</t>
  </si>
  <si>
    <t>05/17/2014 22:30 PDT</t>
  </si>
  <si>
    <t>05/17/2014 22:45 PDT</t>
  </si>
  <si>
    <t>05/17/2014 23:00 PDT</t>
  </si>
  <si>
    <t>05/17/2014 23:15 PDT</t>
  </si>
  <si>
    <t>05/17/2014 23:30 PDT</t>
  </si>
  <si>
    <t>05/17/2014 23:45 PDT</t>
  </si>
  <si>
    <t>05/18/2014 00:00 PDT</t>
  </si>
  <si>
    <t>05/18/2014 00:15 PDT</t>
  </si>
  <si>
    <t>05/18/2014 00:30 PDT</t>
  </si>
  <si>
    <t>05/18/2014 00:45 PDT</t>
  </si>
  <si>
    <t>05/18/2014 01:00 PDT</t>
  </si>
  <si>
    <t>05/18/2014 01:15 PDT</t>
  </si>
  <si>
    <t>05/18/2014 01:30 PDT</t>
  </si>
  <si>
    <t>05/18/2014 01:45 PDT</t>
  </si>
  <si>
    <t>05/18/2014 02:00 PDT</t>
  </si>
  <si>
    <t>05/18/2014 02:15 PDT</t>
  </si>
  <si>
    <t>05/18/2014 02:30 PDT</t>
  </si>
  <si>
    <t>05/18/2014 02:45 PDT</t>
  </si>
  <si>
    <t>05/18/2014 03:00 PDT</t>
  </si>
  <si>
    <t>05/18/2014 03:15 PDT</t>
  </si>
  <si>
    <t>05/18/2014 03:30 PDT</t>
  </si>
  <si>
    <t>05/18/2014 03:45 PDT</t>
  </si>
  <si>
    <t>05/18/2014 04:00 PDT</t>
  </si>
  <si>
    <t>05/18/2014 04:15 PDT</t>
  </si>
  <si>
    <t>05/18/2014 04:30 PDT</t>
  </si>
  <si>
    <t>05/18/2014 04:45 PDT</t>
  </si>
  <si>
    <t>05/18/2014 05:00 PDT</t>
  </si>
  <si>
    <t>05/18/2014 05:15 PDT</t>
  </si>
  <si>
    <t>05/18/2014 05:30 PDT</t>
  </si>
  <si>
    <t>05/18/2014 05:45 PDT</t>
  </si>
  <si>
    <t>05/18/2014 06:00 PDT</t>
  </si>
  <si>
    <t>05/18/2014 06:15 PDT</t>
  </si>
  <si>
    <t>05/18/2014 06:30 PDT</t>
  </si>
  <si>
    <t>05/18/2014 06:45 PDT</t>
  </si>
  <si>
    <t>05/18/2014 07:00 PDT</t>
  </si>
  <si>
    <t>05/18/2014 07:15 PDT</t>
  </si>
  <si>
    <t>05/18/2014 07:30 PDT</t>
  </si>
  <si>
    <t>05/18/2014 07:45 PDT</t>
  </si>
  <si>
    <t>05/18/2014 08:00 PDT</t>
  </si>
  <si>
    <t>05/18/2014 08:15 PDT</t>
  </si>
  <si>
    <t>05/18/2014 08:30 PDT</t>
  </si>
  <si>
    <t>05/18/2014 08:45 PDT</t>
  </si>
  <si>
    <t>05/18/2014 09:00 PDT</t>
  </si>
  <si>
    <t>05/18/2014 09:15 PDT</t>
  </si>
  <si>
    <t>05/18/2014 09:30 PDT</t>
  </si>
  <si>
    <t>05/18/2014 09:45 PDT</t>
  </si>
  <si>
    <t>05/18/2014 10:00 PDT</t>
  </si>
  <si>
    <t>05/18/2014 10:15 PDT</t>
  </si>
  <si>
    <t>05/18/2014 10:30 PDT</t>
  </si>
  <si>
    <t>05/18/2014 10:45 PDT</t>
  </si>
  <si>
    <t>05/18/2014 11:00 PDT</t>
  </si>
  <si>
    <t>05/18/2014 11:15 PDT</t>
  </si>
  <si>
    <t>05/18/2014 11:30 PDT</t>
  </si>
  <si>
    <t>05/18/2014 11:45 PDT</t>
  </si>
  <si>
    <t>05/18/2014 12:00 PDT</t>
  </si>
  <si>
    <t>05/18/2014 12:15 PDT</t>
  </si>
  <si>
    <t>05/18/2014 12:30 PDT</t>
  </si>
  <si>
    <t>05/18/2014 12:45 PDT</t>
  </si>
  <si>
    <t>05/18/2014 13:00 PDT</t>
  </si>
  <si>
    <t>05/18/2014 13:15 PDT</t>
  </si>
  <si>
    <t>05/18/2014 13:30 PDT</t>
  </si>
  <si>
    <t>05/18/2014 13:45 PDT</t>
  </si>
  <si>
    <t>05/18/2014 14:00 PDT</t>
  </si>
  <si>
    <t>05/18/2014 14:15 PDT</t>
  </si>
  <si>
    <t>05/18/2014 14:30 PDT</t>
  </si>
  <si>
    <t>05/18/2014 14:45 PDT</t>
  </si>
  <si>
    <t>05/18/2014 15:00 PDT</t>
  </si>
  <si>
    <t>05/18/2014 15:15 PDT</t>
  </si>
  <si>
    <t>05/18/2014 15:30 PDT</t>
  </si>
  <si>
    <t>05/18/2014 15:45 PDT</t>
  </si>
  <si>
    <t>05/18/2014 16:00 PDT</t>
  </si>
  <si>
    <t>05/18/2014 16:15 PDT</t>
  </si>
  <si>
    <t>05/18/2014 16:30 PDT</t>
  </si>
  <si>
    <t>05/18/2014 16:45 PDT</t>
  </si>
  <si>
    <t>05/18/2014 17:00 PDT</t>
  </si>
  <si>
    <t>05/18/2014 17:15 PDT</t>
  </si>
  <si>
    <t>05/18/2014 17:30 PDT</t>
  </si>
  <si>
    <t>05/18/2014 17:45 PDT</t>
  </si>
  <si>
    <t>05/18/2014 18:00 PDT</t>
  </si>
  <si>
    <t>05/18/2014 18:15 PDT</t>
  </si>
  <si>
    <t>05/18/2014 18:30 PDT</t>
  </si>
  <si>
    <t>05/18/2014 18:45 PDT</t>
  </si>
  <si>
    <t>05/18/2014 19:00 PDT</t>
  </si>
  <si>
    <t>05/18/2014 19:15 PDT</t>
  </si>
  <si>
    <t>05/18/2014 19:30 PDT</t>
  </si>
  <si>
    <t>05/18/2014 19:45 PDT</t>
  </si>
  <si>
    <t>05/18/2014 20:00 PDT</t>
  </si>
  <si>
    <t>05/18/2014 20:15 PDT</t>
  </si>
  <si>
    <t>05/18/2014 20:30 PDT</t>
  </si>
  <si>
    <t>05/18/2014 20:45 PDT</t>
  </si>
  <si>
    <t>05/18/2014 21:00 PDT</t>
  </si>
  <si>
    <t>05/18/2014 21:15 PDT</t>
  </si>
  <si>
    <t>05/18/2014 21:30 PDT</t>
  </si>
  <si>
    <t>05/18/2014 21:45 PDT</t>
  </si>
  <si>
    <t>05/18/2014 22:00 PDT</t>
  </si>
  <si>
    <t>05/18/2014 22:15 PDT</t>
  </si>
  <si>
    <t>05/18/2014 22:30 PDT</t>
  </si>
  <si>
    <t>05/18/2014 22:45 PDT</t>
  </si>
  <si>
    <t>05/18/2014 23:00 PDT</t>
  </si>
  <si>
    <t>05/18/2014 23:15 PDT</t>
  </si>
  <si>
    <t>05/18/2014 23:30 PDT</t>
  </si>
  <si>
    <t>05/18/2014 23:45 PDT</t>
  </si>
  <si>
    <t>05/19/2014 00:00 PDT</t>
  </si>
  <si>
    <t>05/19/2014 00:15 PDT</t>
  </si>
  <si>
    <t>05/19/2014 00:30 PDT</t>
  </si>
  <si>
    <t>05/19/2014 00:45 PDT</t>
  </si>
  <si>
    <t>05/19/2014 01:00 PDT</t>
  </si>
  <si>
    <t>05/19/2014 01:15 PDT</t>
  </si>
  <si>
    <t>05/19/2014 01:30 PDT</t>
  </si>
  <si>
    <t>05/19/2014 01:45 PDT</t>
  </si>
  <si>
    <t>05/19/2014 02:00 PDT</t>
  </si>
  <si>
    <t>05/19/2014 02:15 PDT</t>
  </si>
  <si>
    <t>05/19/2014 02:30 PDT</t>
  </si>
  <si>
    <t>05/19/2014 02:45 PDT</t>
  </si>
  <si>
    <t>05/19/2014 03:00 PDT</t>
  </si>
  <si>
    <t>05/19/2014 03:15 PDT</t>
  </si>
  <si>
    <t>05/19/2014 03:30 PDT</t>
  </si>
  <si>
    <t>05/19/2014 03:45 PDT</t>
  </si>
  <si>
    <t>05/19/2014 04:00 PDT</t>
  </si>
  <si>
    <t>05/19/2014 04:15 PDT</t>
  </si>
  <si>
    <t>05/19/2014 04:30 PDT</t>
  </si>
  <si>
    <t>05/19/2014 04:45 PDT</t>
  </si>
  <si>
    <t>05/19/2014 05:00 PDT</t>
  </si>
  <si>
    <t>05/19/2014 05:15 PDT</t>
  </si>
  <si>
    <t>05/19/2014 05:30 PDT</t>
  </si>
  <si>
    <t>05/19/2014 05:45 PDT</t>
  </si>
  <si>
    <t>05/19/2014 06:00 PDT</t>
  </si>
  <si>
    <t>05/19/2014 06:15 PDT</t>
  </si>
  <si>
    <t>05/19/2014 06:30 PDT</t>
  </si>
  <si>
    <t>05/19/2014 06:45 PDT</t>
  </si>
  <si>
    <t>05/19/2014 07:00 PDT</t>
  </si>
  <si>
    <t>05/19/2014 07:15 PDT</t>
  </si>
  <si>
    <t>05/19/2014 07:30 PDT</t>
  </si>
  <si>
    <t>05/19/2014 07:45 PDT</t>
  </si>
  <si>
    <t>05/19/2014 08:00 PDT</t>
  </si>
  <si>
    <t>05/19/2014 08:15 PDT</t>
  </si>
  <si>
    <t>05/19/2014 08:30 PDT</t>
  </si>
  <si>
    <t>05/19/2014 08:45 PDT</t>
  </si>
  <si>
    <t>05/19/2014 09:00 PDT</t>
  </si>
  <si>
    <t>05/19/2014 09:15 PDT</t>
  </si>
  <si>
    <t>05/19/2014 09:30 PDT</t>
  </si>
  <si>
    <t>05/19/2014 09:45 PDT</t>
  </si>
  <si>
    <t>05/19/2014 10:00 PDT</t>
  </si>
  <si>
    <t>05/19/2014 10:15 PDT</t>
  </si>
  <si>
    <t>05/19/2014 10:30 PDT</t>
  </si>
  <si>
    <t>05/19/2014 10:45 PDT</t>
  </si>
  <si>
    <t>05/19/2014 11:00 PDT</t>
  </si>
  <si>
    <t>05/19/2014 11:15 PDT</t>
  </si>
  <si>
    <t>05/19/2014 11:30 PDT</t>
  </si>
  <si>
    <t>05/19/2014 11:45 PDT</t>
  </si>
  <si>
    <t>05/19/2014 12:00 PDT</t>
  </si>
  <si>
    <t>05/19/2014 12:15 PDT</t>
  </si>
  <si>
    <t>05/19/2014 12:30 PDT</t>
  </si>
  <si>
    <t>05/19/2014 12:45 PDT</t>
  </si>
  <si>
    <t>05/19/2014 13:00 PDT</t>
  </si>
  <si>
    <t>05/19/2014 13:15 PDT</t>
  </si>
  <si>
    <t>05/19/2014 13:30 PDT</t>
  </si>
  <si>
    <t>05/19/2014 13:45 PDT</t>
  </si>
  <si>
    <t>05/19/2014 14:00 PDT</t>
  </si>
  <si>
    <t>05/19/2014 14:15 PDT</t>
  </si>
  <si>
    <t>05/19/2014 14:30 PDT</t>
  </si>
  <si>
    <t>05/19/2014 14:45 PDT</t>
  </si>
  <si>
    <t>05/19/2014 15:00 PDT</t>
  </si>
  <si>
    <t>05/19/2014 15:15 PDT</t>
  </si>
  <si>
    <t>05/19/2014 15:30 PDT</t>
  </si>
  <si>
    <t>05/19/2014 15:45 PDT</t>
  </si>
  <si>
    <t>05/19/2014 16:00 PDT</t>
  </si>
  <si>
    <t>05/19/2014 16:15 PDT</t>
  </si>
  <si>
    <t>05/19/2014 16:30 PDT</t>
  </si>
  <si>
    <t>05/19/2014 16:45 PDT</t>
  </si>
  <si>
    <t>05/19/2014 17:00 PDT</t>
  </si>
  <si>
    <t>05/19/2014 17:15 PDT</t>
  </si>
  <si>
    <t>05/19/2014 17:30 PDT</t>
  </si>
  <si>
    <t>05/19/2014 17:45 PDT</t>
  </si>
  <si>
    <t>05/19/2014 18:00 PDT</t>
  </si>
  <si>
    <t>05/19/2014 18:15 PDT</t>
  </si>
  <si>
    <t>05/19/2014 18:30 PDT</t>
  </si>
  <si>
    <t>05/19/2014 18:45 PDT</t>
  </si>
  <si>
    <t>05/19/2014 19:00 PDT</t>
  </si>
  <si>
    <t>05/19/2014 19:15 PDT</t>
  </si>
  <si>
    <t>05/19/2014 19:30 PDT</t>
  </si>
  <si>
    <t>05/19/2014 19:45 PDT</t>
  </si>
  <si>
    <t>05/19/2014 20:00 PDT</t>
  </si>
  <si>
    <t>05/19/2014 20:15 PDT</t>
  </si>
  <si>
    <t>05/19/2014 20:30 PDT</t>
  </si>
  <si>
    <t>05/19/2014 20:45 PDT</t>
  </si>
  <si>
    <t>05/19/2014 21:00 PDT</t>
  </si>
  <si>
    <t>05/19/2014 21:15 PDT</t>
  </si>
  <si>
    <t>05/19/2014 21:30 PDT</t>
  </si>
  <si>
    <t>05/19/2014 21:45 PDT</t>
  </si>
  <si>
    <t>05/19/2014 22:00 PDT</t>
  </si>
  <si>
    <t>05/19/2014 22:15 PDT</t>
  </si>
  <si>
    <t>05/19/2014 22:30 PDT</t>
  </si>
  <si>
    <t>05/19/2014 22:45 PDT</t>
  </si>
  <si>
    <t>05/19/2014 23:00 PDT</t>
  </si>
  <si>
    <t>05/19/2014 23:15 PDT</t>
  </si>
  <si>
    <t>05/19/2014 23:30 PDT</t>
  </si>
  <si>
    <t>05/19/2014 23:45 PDT</t>
  </si>
  <si>
    <t>05/20/2014 00:00 PDT</t>
  </si>
  <si>
    <t>05/20/2014 00:15 PDT</t>
  </si>
  <si>
    <t>05/20/2014 00:30 PDT</t>
  </si>
  <si>
    <t>05/20/2014 00:45 PDT</t>
  </si>
  <si>
    <t>05/20/2014 01:00 PDT</t>
  </si>
  <si>
    <t>05/20/2014 01:15 PDT</t>
  </si>
  <si>
    <t>05/20/2014 01:30 PDT</t>
  </si>
  <si>
    <t>05/20/2014 01:45 PDT</t>
  </si>
  <si>
    <t>05/20/2014 02:00 PDT</t>
  </si>
  <si>
    <t>05/20/2014 02:15 PDT</t>
  </si>
  <si>
    <t>05/20/2014 02:30 PDT</t>
  </si>
  <si>
    <t>05/20/2014 02:45 PDT</t>
  </si>
  <si>
    <t>05/20/2014 03:00 PDT</t>
  </si>
  <si>
    <t>05/20/2014 03:15 PDT</t>
  </si>
  <si>
    <t>05/20/2014 03:30 PDT</t>
  </si>
  <si>
    <t>05/20/2014 03:45 PDT</t>
  </si>
  <si>
    <t>05/20/2014 04:00 PDT</t>
  </si>
  <si>
    <t>05/20/2014 04:15 PDT</t>
  </si>
  <si>
    <t>05/20/2014 04:30 PDT</t>
  </si>
  <si>
    <t>05/20/2014 04:45 PDT</t>
  </si>
  <si>
    <t>05/20/2014 05:00 PDT</t>
  </si>
  <si>
    <t>05/20/2014 05:15 PDT</t>
  </si>
  <si>
    <t>05/20/2014 05:30 PDT</t>
  </si>
  <si>
    <t>05/20/2014 05:45 PDT</t>
  </si>
  <si>
    <t>05/20/2014 06:00 PDT</t>
  </si>
  <si>
    <t>05/20/2014 06:15 PDT</t>
  </si>
  <si>
    <t>05/20/2014 06:30 PDT</t>
  </si>
  <si>
    <t>05/20/2014 06:45 PDT</t>
  </si>
  <si>
    <t>05/20/2014 07:00 PDT</t>
  </si>
  <si>
    <t>05/20/2014 07:15 PDT</t>
  </si>
  <si>
    <t>05/20/2014 07:30 PDT</t>
  </si>
  <si>
    <t>05/20/2014 07:45 PDT</t>
  </si>
  <si>
    <t>05/20/2014 08:00 PDT</t>
  </si>
  <si>
    <t>05/20/2014 08:15 PDT</t>
  </si>
  <si>
    <t>05/20/2014 08:30 PDT</t>
  </si>
  <si>
    <t>05/20/2014 08:45 PDT</t>
  </si>
  <si>
    <t>05/20/2014 09:00 PDT</t>
  </si>
  <si>
    <t>05/20/2014 09:15 PDT</t>
  </si>
  <si>
    <t>05/20/2014 09:30 PDT</t>
  </si>
  <si>
    <t>05/20/2014 09:45 PDT</t>
  </si>
  <si>
    <t>05/20/2014 10:00 PDT</t>
  </si>
  <si>
    <t>05/20/2014 10:15 PDT</t>
  </si>
  <si>
    <t>05/20/2014 10:30 PDT</t>
  </si>
  <si>
    <t>05/20/2014 10:45 PDT</t>
  </si>
  <si>
    <t>05/20/2014 11:00 PDT</t>
  </si>
  <si>
    <t>05/20/2014 11:15 PDT</t>
  </si>
  <si>
    <t>05/20/2014 11:30 PDT</t>
  </si>
  <si>
    <t>05/20/2014 11:45 PDT</t>
  </si>
  <si>
    <t>05/20/2014 12:00 PDT</t>
  </si>
  <si>
    <t>05/20/2014 12:15 PDT</t>
  </si>
  <si>
    <t>05/20/2014 12:30 PDT</t>
  </si>
  <si>
    <t>05/20/2014 12:45 PDT</t>
  </si>
  <si>
    <t>05/20/2014 13:00 PDT</t>
  </si>
  <si>
    <t>05/20/2014 13:15 PDT</t>
  </si>
  <si>
    <t>05/20/2014 13:30 PDT</t>
  </si>
  <si>
    <t>05/20/2014 13:45 PDT</t>
  </si>
  <si>
    <t>05/20/2014 14:00 PDT</t>
  </si>
  <si>
    <t>05/20/2014 14:15 PDT</t>
  </si>
  <si>
    <t>05/20/2014 14:30 PDT</t>
  </si>
  <si>
    <t>05/20/2014 14:45 PDT</t>
  </si>
  <si>
    <t>05/20/2014 15:00 PDT</t>
  </si>
  <si>
    <t>05/20/2014 15:15 PDT</t>
  </si>
  <si>
    <t>05/20/2014 15:30 PDT</t>
  </si>
  <si>
    <t>05/20/2014 15:45 PDT</t>
  </si>
  <si>
    <t>05/20/2014 16:00 PDT</t>
  </si>
  <si>
    <t>05/20/2014 16:15 PDT</t>
  </si>
  <si>
    <t>05/20/2014 16:30 PDT</t>
  </si>
  <si>
    <t>05/20/2014 16:45 PDT</t>
  </si>
  <si>
    <t>05/20/2014 17:00 PDT</t>
  </si>
  <si>
    <t>05/20/2014 17:15 PDT</t>
  </si>
  <si>
    <t>05/20/2014 17:30 PDT</t>
  </si>
  <si>
    <t>05/20/2014 17:45 PDT</t>
  </si>
  <si>
    <t>05/20/2014 18:00 PDT</t>
  </si>
  <si>
    <t>05/20/2014 18:15 PDT</t>
  </si>
  <si>
    <t>05/20/2014 18:30 PDT</t>
  </si>
  <si>
    <t>05/20/2014 18:45 PDT</t>
  </si>
  <si>
    <t>05/20/2014 19:00 PDT</t>
  </si>
  <si>
    <t>05/20/2014 19:15 PDT</t>
  </si>
  <si>
    <t>05/20/2014 19:30 PDT</t>
  </si>
  <si>
    <t>05/20/2014 19:45 PDT</t>
  </si>
  <si>
    <t>05/20/2014 20:00 PDT</t>
  </si>
  <si>
    <t>05/20/2014 20:15 PDT</t>
  </si>
  <si>
    <t>05/20/2014 20:30 PDT</t>
  </si>
  <si>
    <t>05/20/2014 20:45 PDT</t>
  </si>
  <si>
    <t>05/20/2014 21:00 PDT</t>
  </si>
  <si>
    <t>05/20/2014 21:15 PDT</t>
  </si>
  <si>
    <t>05/20/2014 21:30 PDT</t>
  </si>
  <si>
    <t>05/20/2014 21:45 PDT</t>
  </si>
  <si>
    <t>05/20/2014 22:00 PDT</t>
  </si>
  <si>
    <t>05/20/2014 22:15 PDT</t>
  </si>
  <si>
    <t>05/20/2014 22:30 PDT</t>
  </si>
  <si>
    <t>05/20/2014 22:45 PDT</t>
  </si>
  <si>
    <t>05/20/2014 23:00 PDT</t>
  </si>
  <si>
    <t>05/20/2014 23:15 PDT</t>
  </si>
  <si>
    <t>05/20/2014 23:30 PDT</t>
  </si>
  <si>
    <t>05/20/2014 23:45 PDT</t>
  </si>
  <si>
    <t>05/21/2014 00:00 PDT</t>
  </si>
  <si>
    <t>05/21/2014 00:15 PDT</t>
  </si>
  <si>
    <t>05/21/2014 00:30 PDT</t>
  </si>
  <si>
    <t>05/21/2014 00:45 PDT</t>
  </si>
  <si>
    <t>05/21/2014 01:00 PDT</t>
  </si>
  <si>
    <t>05/21/2014 01:15 PDT</t>
  </si>
  <si>
    <t>05/21/2014 01:30 PDT</t>
  </si>
  <si>
    <t>05/21/2014 01:45 PDT</t>
  </si>
  <si>
    <t>05/21/2014 02:00 PDT</t>
  </si>
  <si>
    <t>05/21/2014 02:15 PDT</t>
  </si>
  <si>
    <t>05/21/2014 02:30 PDT</t>
  </si>
  <si>
    <t>05/21/2014 02:45 PDT</t>
  </si>
  <si>
    <t>05/21/2014 03:00 PDT</t>
  </si>
  <si>
    <t>05/21/2014 03:15 PDT</t>
  </si>
  <si>
    <t>05/21/2014 03:30 PDT</t>
  </si>
  <si>
    <t>05/21/2014 03:45 PDT</t>
  </si>
  <si>
    <t>05/21/2014 04:00 PDT</t>
  </si>
  <si>
    <t>05/21/2014 04:15 PDT</t>
  </si>
  <si>
    <t>05/21/2014 04:30 PDT</t>
  </si>
  <si>
    <t>05/21/2014 04:45 PDT</t>
  </si>
  <si>
    <t>05/21/2014 05:00 PDT</t>
  </si>
  <si>
    <t>05/21/2014 05:15 PDT</t>
  </si>
  <si>
    <t>05/21/2014 05:30 PDT</t>
  </si>
  <si>
    <t>05/21/2014 05:45 PDT</t>
  </si>
  <si>
    <t>05/21/2014 06:00 PDT</t>
  </si>
  <si>
    <t>05/21/2014 06:15 PDT</t>
  </si>
  <si>
    <t>05/21/2014 06:30 PDT</t>
  </si>
  <si>
    <t>05/21/2014 06:45 PDT</t>
  </si>
  <si>
    <t>05/21/2014 07:00 PDT</t>
  </si>
  <si>
    <t>05/21/2014 07:15 PDT</t>
  </si>
  <si>
    <t>05/21/2014 07:30 PDT</t>
  </si>
  <si>
    <t>05/21/2014 07:45 PDT</t>
  </si>
  <si>
    <t>05/21/2014 08:00 PDT</t>
  </si>
  <si>
    <t>05/21/2014 08:15 PDT</t>
  </si>
  <si>
    <t>05/21/2014 08:30 PDT</t>
  </si>
  <si>
    <t>05/21/2014 08:45 PDT</t>
  </si>
  <si>
    <t>05/21/2014 09:00 PDT</t>
  </si>
  <si>
    <t>05/21/2014 09:15 PDT</t>
  </si>
  <si>
    <t>05/21/2014 09:30 PDT</t>
  </si>
  <si>
    <t>05/21/2014 09:45 PDT</t>
  </si>
  <si>
    <t>05/21/2014 10:00 PDT</t>
  </si>
  <si>
    <t>05/21/2014 10:15 PDT</t>
  </si>
  <si>
    <t>05/21/2014 10:30 PDT</t>
  </si>
  <si>
    <t>05/21/2014 10:45 PDT</t>
  </si>
  <si>
    <t>05/21/2014 11:00 PDT</t>
  </si>
  <si>
    <t>05/21/2014 11:15 PDT</t>
  </si>
  <si>
    <t>05/21/2014 11:30 PDT</t>
  </si>
  <si>
    <t>05/21/2014 11:45 PDT</t>
  </si>
  <si>
    <t>05/21/2014 12:00 PDT</t>
  </si>
  <si>
    <t>05/21/2014 12:15 PDT</t>
  </si>
  <si>
    <t>05/21/2014 12:30 PDT</t>
  </si>
  <si>
    <t>05/21/2014 12:45 PDT</t>
  </si>
  <si>
    <t>05/21/2014 13:00 PDT</t>
  </si>
  <si>
    <t>05/21/2014 13:15 PDT</t>
  </si>
  <si>
    <t>05/21/2014 13:30 PDT</t>
  </si>
  <si>
    <t>05/21/2014 13:45 PDT</t>
  </si>
  <si>
    <t>05/21/2014 14:00 PDT</t>
  </si>
  <si>
    <t>05/21/2014 14:15 PDT</t>
  </si>
  <si>
    <t>05/21/2014 14:30 PDT</t>
  </si>
  <si>
    <t>05/21/2014 14:45 PDT</t>
  </si>
  <si>
    <t>05/21/2014 15:00 PDT</t>
  </si>
  <si>
    <t>05/21/2014 15:15 PDT</t>
  </si>
  <si>
    <t>05/21/2014 15:30 PDT</t>
  </si>
  <si>
    <t>05/21/2014 15:45 PDT</t>
  </si>
  <si>
    <t>05/21/2014 16:00 PDT</t>
  </si>
  <si>
    <t>05/21/2014 16:15 PDT</t>
  </si>
  <si>
    <t>05/21/2014 16:30 PDT</t>
  </si>
  <si>
    <t>05/21/2014 16:45 PDT</t>
  </si>
  <si>
    <t>05/21/2014 17:00 PDT</t>
  </si>
  <si>
    <t>05/21/2014 17:15 PDT</t>
  </si>
  <si>
    <t>05/21/2014 17:30 PDT</t>
  </si>
  <si>
    <t>05/21/2014 17:45 PDT</t>
  </si>
  <si>
    <t>05/21/2014 18:00 PDT</t>
  </si>
  <si>
    <t>05/21/2014 18:15 PDT</t>
  </si>
  <si>
    <t>05/21/2014 18:30 PDT</t>
  </si>
  <si>
    <t>05/21/2014 18:45 PDT</t>
  </si>
  <si>
    <t>05/21/2014 19:00 PDT</t>
  </si>
  <si>
    <t>05/21/2014 19:15 PDT</t>
  </si>
  <si>
    <t>05/21/2014 19:30 PDT</t>
  </si>
  <si>
    <t>05/21/2014 19:45 PDT</t>
  </si>
  <si>
    <t>05/21/2014 20:00 PDT</t>
  </si>
  <si>
    <t>05/21/2014 20:15 PDT</t>
  </si>
  <si>
    <t>05/21/2014 20:30 PDT</t>
  </si>
  <si>
    <t>05/21/2014 20:45 PDT</t>
  </si>
  <si>
    <t>05/21/2014 21:00 PDT</t>
  </si>
  <si>
    <t>05/21/2014 21:15 PDT</t>
  </si>
  <si>
    <t>05/21/2014 21:30 PDT</t>
  </si>
  <si>
    <t>05/21/2014 21:45 PDT</t>
  </si>
  <si>
    <t>05/21/2014 22:00 PDT</t>
  </si>
  <si>
    <t>05/21/2014 22:15 PDT</t>
  </si>
  <si>
    <t>05/21/2014 22:30 PDT</t>
  </si>
  <si>
    <t>05/21/2014 22:45 PDT</t>
  </si>
  <si>
    <t>05/21/2014 23:00 PDT</t>
  </si>
  <si>
    <t>05/21/2014 23:15 PDT</t>
  </si>
  <si>
    <t>05/21/2014 23:30 PDT</t>
  </si>
  <si>
    <t>05/21/2014 23:45 PDT</t>
  </si>
  <si>
    <t>05/22/2014 00:00 PDT</t>
  </si>
  <si>
    <t>05/22/2014 00:15 PDT</t>
  </si>
  <si>
    <t>05/22/2014 00:30 PDT</t>
  </si>
  <si>
    <t>05/22/2014 00:45 PDT</t>
  </si>
  <si>
    <t>05/22/2014 01:00 PDT</t>
  </si>
  <si>
    <t>05/22/2014 01:15 PDT</t>
  </si>
  <si>
    <t>05/22/2014 01:30 PDT</t>
  </si>
  <si>
    <t>05/22/2014 01:45 PDT</t>
  </si>
  <si>
    <t>05/22/2014 02:00 PDT</t>
  </si>
  <si>
    <t>05/22/2014 02:15 PDT</t>
  </si>
  <si>
    <t>05/22/2014 02:30 PDT</t>
  </si>
  <si>
    <t>05/22/2014 02:45 PDT</t>
  </si>
  <si>
    <t>05/22/2014 03:00 PDT</t>
  </si>
  <si>
    <t>05/22/2014 03:15 PDT</t>
  </si>
  <si>
    <t>05/22/2014 03:30 PDT</t>
  </si>
  <si>
    <t>05/22/2014 03:45 PDT</t>
  </si>
  <si>
    <t>05/22/2014 04:00 PDT</t>
  </si>
  <si>
    <t>05/22/2014 04:15 PDT</t>
  </si>
  <si>
    <t>05/22/2014 04:30 PDT</t>
  </si>
  <si>
    <t>05/22/2014 04:45 PDT</t>
  </si>
  <si>
    <t>05/22/2014 05:00 PDT</t>
  </si>
  <si>
    <t>05/22/2014 05:15 PDT</t>
  </si>
  <si>
    <t>05/22/2014 05:30 PDT</t>
  </si>
  <si>
    <t>05/22/2014 05:45 PDT</t>
  </si>
  <si>
    <t>05/22/2014 06:00 PDT</t>
  </si>
  <si>
    <t>05/22/2014 06:15 PDT</t>
  </si>
  <si>
    <t>05/22/2014 06:30 PDT</t>
  </si>
  <si>
    <t>05/22/2014 06:45 PDT</t>
  </si>
  <si>
    <t>05/22/2014 07:00 PDT</t>
  </si>
  <si>
    <t>05/22/2014 07:15 PDT</t>
  </si>
  <si>
    <t>05/22/2014 07:30 PDT</t>
  </si>
  <si>
    <t>05/22/2014 07:45 PDT</t>
  </si>
  <si>
    <t>05/22/2014 08:00 PDT</t>
  </si>
  <si>
    <t>05/22/2014 08:15 PDT</t>
  </si>
  <si>
    <t>05/22/2014 08:30 PDT</t>
  </si>
  <si>
    <t>05/22/2014 08:45 PDT</t>
  </si>
  <si>
    <t>05/22/2014 09:00 PDT</t>
  </si>
  <si>
    <t>05/22/2014 09:15 PDT</t>
  </si>
  <si>
    <t>05/22/2014 09:30 PDT</t>
  </si>
  <si>
    <t>05/22/2014 09:45 PDT</t>
  </si>
  <si>
    <t>05/22/2014 10:00 PDT</t>
  </si>
  <si>
    <t>05/22/2014 10:15 PDT</t>
  </si>
  <si>
    <t>05/22/2014 10:30 PDT</t>
  </si>
  <si>
    <t>05/22/2014 10:45 PDT</t>
  </si>
  <si>
    <t>05/22/2014 11:00 PDT</t>
  </si>
  <si>
    <t>05/22/2014 11:15 PDT</t>
  </si>
  <si>
    <t>05/22/2014 11:30 PDT</t>
  </si>
  <si>
    <t>05/22/2014 11:45 PDT</t>
  </si>
  <si>
    <t>05/22/2014 12:00 PDT</t>
  </si>
  <si>
    <t>05/22/2014 12:15 PDT</t>
  </si>
  <si>
    <t>05/22/2014 12:30 PDT</t>
  </si>
  <si>
    <t>05/22/2014 12:45 PDT</t>
  </si>
  <si>
    <t>05/22/2014 13:00 PDT</t>
  </si>
  <si>
    <t>05/22/2014 13:15 PDT</t>
  </si>
  <si>
    <t>05/22/2014 13:30 PDT</t>
  </si>
  <si>
    <t>05/22/2014 13:45 PDT</t>
  </si>
  <si>
    <t>05/22/2014 14:00 PDT</t>
  </si>
  <si>
    <t>05/22/2014 14:15 PDT</t>
  </si>
  <si>
    <t>05/22/2014 14:30 PDT</t>
  </si>
  <si>
    <t>05/22/2014 14:45 PDT</t>
  </si>
  <si>
    <t>05/22/2014 15:00 PDT</t>
  </si>
  <si>
    <t>05/22/2014 15:15 PDT</t>
  </si>
  <si>
    <t>05/22/2014 15:30 PDT</t>
  </si>
  <si>
    <t>05/22/2014 15:45 PDT</t>
  </si>
  <si>
    <t>05/22/2014 16:00 PDT</t>
  </si>
  <si>
    <t>05/22/2014 16:15 PDT</t>
  </si>
  <si>
    <t>05/22/2014 16:30 PDT</t>
  </si>
  <si>
    <t>05/22/2014 16:45 PDT</t>
  </si>
  <si>
    <t>05/22/2014 17:00 PDT</t>
  </si>
  <si>
    <t>05/22/2014 17:15 PDT</t>
  </si>
  <si>
    <t>05/22/2014 17:30 PDT</t>
  </si>
  <si>
    <t>05/22/2014 17:45 PDT</t>
  </si>
  <si>
    <t>05/22/2014 18:00 PDT</t>
  </si>
  <si>
    <t>05/22/2014 18:15 PDT</t>
  </si>
  <si>
    <t>05/22/2014 18:30 PDT</t>
  </si>
  <si>
    <t>05/22/2014 18:45 PDT</t>
  </si>
  <si>
    <t>05/22/2014 19:00 PDT</t>
  </si>
  <si>
    <t>05/22/2014 19:15 PDT</t>
  </si>
  <si>
    <t>05/22/2014 19:30 PDT</t>
  </si>
  <si>
    <t>05/22/2014 19:45 PDT</t>
  </si>
  <si>
    <t>05/22/2014 20:00 PDT</t>
  </si>
  <si>
    <t>05/22/2014 20:15 PDT</t>
  </si>
  <si>
    <t>05/22/2014 20:30 PDT</t>
  </si>
  <si>
    <t>05/22/2014 20:45 PDT</t>
  </si>
  <si>
    <t>05/22/2014 21:00 PDT</t>
  </si>
  <si>
    <t>05/22/2014 21:15 PDT</t>
  </si>
  <si>
    <t>05/22/2014 21:30 PDT</t>
  </si>
  <si>
    <t>05/22/2014 21:45 PDT</t>
  </si>
  <si>
    <t>05/22/2014 22:00 PDT</t>
  </si>
  <si>
    <t>05/22/2014 22:15 PDT</t>
  </si>
  <si>
    <t>05/22/2014 22:30 PDT</t>
  </si>
  <si>
    <t>05/22/2014 22:45 PDT</t>
  </si>
  <si>
    <t>05/22/2014 23:00 PDT</t>
  </si>
  <si>
    <t>05/22/2014 23:15 PDT</t>
  </si>
  <si>
    <t>05/22/2014 23:30 PDT</t>
  </si>
  <si>
    <t>05/22/2014 23:45 PDT</t>
  </si>
  <si>
    <t>05/23/2014 00:00 PDT</t>
  </si>
  <si>
    <t>05/23/2014 00:15 PDT</t>
  </si>
  <si>
    <t>05/23/2014 00:30 PDT</t>
  </si>
  <si>
    <t>05/23/2014 00:45 PDT</t>
  </si>
  <si>
    <t>05/23/2014 01:00 PDT</t>
  </si>
  <si>
    <t>05/23/2014 01:15 PDT</t>
  </si>
  <si>
    <t>05/23/2014 01:30 PDT</t>
  </si>
  <si>
    <t>05/23/2014 01:45 PDT</t>
  </si>
  <si>
    <t>05/23/2014 02:00 PDT</t>
  </si>
  <si>
    <t>05/23/2014 02:15 PDT</t>
  </si>
  <si>
    <t>05/23/2014 02:30 PDT</t>
  </si>
  <si>
    <t>05/23/2014 02:45 PDT</t>
  </si>
  <si>
    <t>05/23/2014 03:00 PDT</t>
  </si>
  <si>
    <t>05/23/2014 03:15 PDT</t>
  </si>
  <si>
    <t>05/23/2014 03:30 PDT</t>
  </si>
  <si>
    <t>05/23/2014 03:45 PDT</t>
  </si>
  <si>
    <t>05/23/2014 04:00 PDT</t>
  </si>
  <si>
    <t>05/23/2014 04:15 PDT</t>
  </si>
  <si>
    <t>05/23/2014 04:30 PDT</t>
  </si>
  <si>
    <t>05/23/2014 04:45 PDT</t>
  </si>
  <si>
    <t>05/23/2014 05:00 PDT</t>
  </si>
  <si>
    <t>05/23/2014 05:15 PDT</t>
  </si>
  <si>
    <t>05/23/2014 05:30 PDT</t>
  </si>
  <si>
    <t>05/23/2014 05:45 PDT</t>
  </si>
  <si>
    <t>05/23/2014 06:00 PDT</t>
  </si>
  <si>
    <t>05/23/2014 06:15 PDT</t>
  </si>
  <si>
    <t>05/23/2014 06:30 PDT</t>
  </si>
  <si>
    <t>05/23/2014 06:45 PDT</t>
  </si>
  <si>
    <t>05/23/2014 07:00 PDT</t>
  </si>
  <si>
    <t>05/23/2014 07:15 PDT</t>
  </si>
  <si>
    <t>05/23/2014 07:30 PDT</t>
  </si>
  <si>
    <t>05/23/2014 07:45 PDT</t>
  </si>
  <si>
    <t>05/23/2014 08:00 PDT</t>
  </si>
  <si>
    <t>05/23/2014 08:15 PDT</t>
  </si>
  <si>
    <t>05/23/2014 08:30 PDT</t>
  </si>
  <si>
    <t>05/23/2014 08:45 PDT</t>
  </si>
  <si>
    <t>05/23/2014 09:00 PDT</t>
  </si>
  <si>
    <t>05/23/2014 09:15 PDT</t>
  </si>
  <si>
    <t>05/23/2014 09:30 PDT</t>
  </si>
  <si>
    <t>05/23/2014 09:45 PDT</t>
  </si>
  <si>
    <t>05/23/2014 10:00 PDT</t>
  </si>
  <si>
    <t>05/23/2014 10:15 PDT</t>
  </si>
  <si>
    <t>05/23/2014 10:30 PDT</t>
  </si>
  <si>
    <t>05/23/2014 10:45 PDT</t>
  </si>
  <si>
    <t>05/23/2014 11:00 PDT</t>
  </si>
  <si>
    <t>05/23/2014 11:15 PDT</t>
  </si>
  <si>
    <t>05/23/2014 11:30 PDT</t>
  </si>
  <si>
    <t>05/23/2014 11:45 PDT</t>
  </si>
  <si>
    <t>05/23/2014 12:00 PDT</t>
  </si>
  <si>
    <t>05/23/2014 12:15 PDT</t>
  </si>
  <si>
    <t>05/23/2014 12:30 PDT</t>
  </si>
  <si>
    <t>05/23/2014 12:45 PDT</t>
  </si>
  <si>
    <t>05/23/2014 13:00 PDT</t>
  </si>
  <si>
    <t>05/23/2014 13:15 PDT</t>
  </si>
  <si>
    <t>05/23/2014 13:30 PDT</t>
  </si>
  <si>
    <t>05/23/2014 13:45 PDT</t>
  </si>
  <si>
    <t>05/23/2014 14:00 PDT</t>
  </si>
  <si>
    <t>05/23/2014 14:15 PDT</t>
  </si>
  <si>
    <t>05/23/2014 14:30 PDT</t>
  </si>
  <si>
    <t>05/23/2014 14:45 PDT</t>
  </si>
  <si>
    <t>05/23/2014 15:00 PDT</t>
  </si>
  <si>
    <t>05/23/2014 15:15 PDT</t>
  </si>
  <si>
    <t>05/23/2014 15:30 PDT</t>
  </si>
  <si>
    <t>05/23/2014 15:45 PDT</t>
  </si>
  <si>
    <t>05/23/2014 16:00 PDT</t>
  </si>
  <si>
    <t>05/23/2014 16:15 PDT</t>
  </si>
  <si>
    <t>05/23/2014 16:30 PDT</t>
  </si>
  <si>
    <t>05/23/2014 16:45 PDT</t>
  </si>
  <si>
    <t>05/23/2014 17:00 PDT</t>
  </si>
  <si>
    <t>05/23/2014 17:15 PDT</t>
  </si>
  <si>
    <t>05/23/2014 17:30 PDT</t>
  </si>
  <si>
    <t>05/23/2014 17:45 PDT</t>
  </si>
  <si>
    <t>05/23/2014 18:00 PDT</t>
  </si>
  <si>
    <t>05/23/2014 18:15 PDT</t>
  </si>
  <si>
    <t>05/23/2014 18:30 PDT</t>
  </si>
  <si>
    <t>05/23/2014 18:45 PDT</t>
  </si>
  <si>
    <t>05/23/2014 19:00 PDT</t>
  </si>
  <si>
    <t>05/23/2014 19:15 PDT</t>
  </si>
  <si>
    <t>05/23/2014 19:30 PDT</t>
  </si>
  <si>
    <t>05/23/2014 19:45 PDT</t>
  </si>
  <si>
    <t>05/23/2014 20:00 PDT</t>
  </si>
  <si>
    <t>05/23/2014 20:15 PDT</t>
  </si>
  <si>
    <t>05/23/2014 20:30 PDT</t>
  </si>
  <si>
    <t>05/23/2014 20:45 PDT</t>
  </si>
  <si>
    <t>05/23/2014 21:00 PDT</t>
  </si>
  <si>
    <t>05/23/2014 21:15 PDT</t>
  </si>
  <si>
    <t>05/23/2014 21:30 PDT</t>
  </si>
  <si>
    <t>05/23/2014 21:45 PDT</t>
  </si>
  <si>
    <t>05/23/2014 22:00 PDT</t>
  </si>
  <si>
    <t>05/23/2014 22:15 PDT</t>
  </si>
  <si>
    <t>05/23/2014 22:30 PDT</t>
  </si>
  <si>
    <t>05/23/2014 22:45 PDT</t>
  </si>
  <si>
    <t>05/23/2014 23:00 PDT</t>
  </si>
  <si>
    <t>05/23/2014 23:15 PDT</t>
  </si>
  <si>
    <t>05/23/2014 23:30 PDT</t>
  </si>
  <si>
    <t>05/23/2014 23:45 PDT</t>
  </si>
  <si>
    <t>05/24/2014 00:00 PDT</t>
  </si>
  <si>
    <t>05/24/2014 00:15 PDT</t>
  </si>
  <si>
    <t>05/24/2014 00:30 PDT</t>
  </si>
  <si>
    <t>05/24/2014 00:45 PDT</t>
  </si>
  <si>
    <t>05/24/2014 01:00 PDT</t>
  </si>
  <si>
    <t>05/24/2014 01:15 PDT</t>
  </si>
  <si>
    <t>05/24/2014 01:30 PDT</t>
  </si>
  <si>
    <t>05/24/2014 01:45 PDT</t>
  </si>
  <si>
    <t>05/24/2014 02:00 PDT</t>
  </si>
  <si>
    <t>05/24/2014 02:15 PDT</t>
  </si>
  <si>
    <t>05/24/2014 02:30 PDT</t>
  </si>
  <si>
    <t>05/24/2014 02:45 PDT</t>
  </si>
  <si>
    <t>05/24/2014 03:00 PDT</t>
  </si>
  <si>
    <t>05/24/2014 03:15 PDT</t>
  </si>
  <si>
    <t>05/24/2014 03:30 PDT</t>
  </si>
  <si>
    <t>05/24/2014 03:45 PDT</t>
  </si>
  <si>
    <t>05/24/2014 04:00 PDT</t>
  </si>
  <si>
    <t>05/24/2014 04:15 PDT</t>
  </si>
  <si>
    <t>05/24/2014 04:30 PDT</t>
  </si>
  <si>
    <t>05/24/2014 04:45 PDT</t>
  </si>
  <si>
    <t>05/24/2014 05:00 PDT</t>
  </si>
  <si>
    <t>05/24/2014 05:15 PDT</t>
  </si>
  <si>
    <t>05/24/2014 05:30 PDT</t>
  </si>
  <si>
    <t>05/24/2014 05:45 PDT</t>
  </si>
  <si>
    <t>05/24/2014 06:00 PDT</t>
  </si>
  <si>
    <t>05/24/2014 06:15 PDT</t>
  </si>
  <si>
    <t>05/24/2014 06:30 PDT</t>
  </si>
  <si>
    <t>05/24/2014 06:45 PDT</t>
  </si>
  <si>
    <t>05/24/2014 07:00 PDT</t>
  </si>
  <si>
    <t>05/24/2014 07:15 PDT</t>
  </si>
  <si>
    <t>05/24/2014 07:30 PDT</t>
  </si>
  <si>
    <t>05/24/2014 07:45 PDT</t>
  </si>
  <si>
    <t>05/24/2014 08:00 PDT</t>
  </si>
  <si>
    <t>05/24/2014 08:15 PDT</t>
  </si>
  <si>
    <t>05/24/2014 08:30 PDT</t>
  </si>
  <si>
    <t>05/24/2014 08:45 PDT</t>
  </si>
  <si>
    <t>05/24/2014 09:00 PDT</t>
  </si>
  <si>
    <t>05/24/2014 09:15 PDT</t>
  </si>
  <si>
    <t>05/24/2014 09:30 PDT</t>
  </si>
  <si>
    <t>05/24/2014 09:45 PDT</t>
  </si>
  <si>
    <t>05/24/2014 10:00 PDT</t>
  </si>
  <si>
    <t>05/24/2014 10:15 PDT</t>
  </si>
  <si>
    <t>05/24/2014 10:30 PDT</t>
  </si>
  <si>
    <t>05/24/2014 10:45 PDT</t>
  </si>
  <si>
    <t>05/24/2014 11:00 PDT</t>
  </si>
  <si>
    <t>05/24/2014 11:15 PDT</t>
  </si>
  <si>
    <t>05/24/2014 11:30 PDT</t>
  </si>
  <si>
    <t>05/24/2014 11:45 PDT</t>
  </si>
  <si>
    <t>05/24/2014 12:00 PDT</t>
  </si>
  <si>
    <t>05/24/2014 12:15 PDT</t>
  </si>
  <si>
    <t>05/24/2014 12:30 PDT</t>
  </si>
  <si>
    <t>05/24/2014 12:45 PDT</t>
  </si>
  <si>
    <t>05/24/2014 13:00 PDT</t>
  </si>
  <si>
    <t>05/24/2014 13:15 PDT</t>
  </si>
  <si>
    <t>05/24/2014 13:30 PDT</t>
  </si>
  <si>
    <t>05/24/2014 13:45 PDT</t>
  </si>
  <si>
    <t>05/24/2014 14:00 PDT</t>
  </si>
  <si>
    <t>05/24/2014 14:15 PDT</t>
  </si>
  <si>
    <t>05/24/2014 14:30 PDT</t>
  </si>
  <si>
    <t>05/24/2014 14:45 PDT</t>
  </si>
  <si>
    <t>05/24/2014 15:00 PDT</t>
  </si>
  <si>
    <t>05/24/2014 15:15 PDT</t>
  </si>
  <si>
    <t>05/24/2014 15:30 PDT</t>
  </si>
  <si>
    <t>05/24/2014 15:45 PDT</t>
  </si>
  <si>
    <t>05/24/2014 16:00 PDT</t>
  </si>
  <si>
    <t>05/24/2014 16:15 PDT</t>
  </si>
  <si>
    <t>05/24/2014 16:30 PDT</t>
  </si>
  <si>
    <t>05/24/2014 16:45 PDT</t>
  </si>
  <si>
    <t>05/24/2014 17:00 PDT</t>
  </si>
  <si>
    <t>05/24/2014 17:15 PDT</t>
  </si>
  <si>
    <t>05/24/2014 17:30 PDT</t>
  </si>
  <si>
    <t>05/24/2014 17:45 PDT</t>
  </si>
  <si>
    <t>05/24/2014 18:00 PDT</t>
  </si>
  <si>
    <t>05/24/2014 18:15 PDT</t>
  </si>
  <si>
    <t>05/24/2014 18:30 PDT</t>
  </si>
  <si>
    <t>05/24/2014 18:45 PDT</t>
  </si>
  <si>
    <t>05/24/2014 19:00 PDT</t>
  </si>
  <si>
    <t>05/24/2014 19:15 PDT</t>
  </si>
  <si>
    <t>05/24/2014 19:30 PDT</t>
  </si>
  <si>
    <t>05/24/2014 19:45 PDT</t>
  </si>
  <si>
    <t>05/24/2014 20:00 PDT</t>
  </si>
  <si>
    <t>05/24/2014 20:15 PDT</t>
  </si>
  <si>
    <t>05/24/2014 20:30 PDT</t>
  </si>
  <si>
    <t>05/24/2014 20:45 PDT</t>
  </si>
  <si>
    <t>05/24/2014 21:00 PDT</t>
  </si>
  <si>
    <t>05/24/2014 21:15 PDT</t>
  </si>
  <si>
    <t>05/24/2014 21:30 PDT</t>
  </si>
  <si>
    <t>05/24/2014 21:45 PDT</t>
  </si>
  <si>
    <t>05/24/2014 22:00 PDT</t>
  </si>
  <si>
    <t>05/24/2014 22:15 PDT</t>
  </si>
  <si>
    <t>05/24/2014 22:30 PDT</t>
  </si>
  <si>
    <t>05/24/2014 22:45 PDT</t>
  </si>
  <si>
    <t>05/24/2014 23:00 PDT</t>
  </si>
  <si>
    <t>05/24/2014 23:15 PDT</t>
  </si>
  <si>
    <t>05/24/2014 23:30 PDT</t>
  </si>
  <si>
    <t>05/24/2014 23:45 PDT</t>
  </si>
  <si>
    <t>05/25/2014 00:00 PDT</t>
  </si>
  <si>
    <t>05/25/2014 00:15 PDT</t>
  </si>
  <si>
    <t>05/25/2014 00:30 PDT</t>
  </si>
  <si>
    <t>05/25/2014 00:45 PDT</t>
  </si>
  <si>
    <t>05/25/2014 01:00 PDT</t>
  </si>
  <si>
    <t>05/25/2014 01:15 PDT</t>
  </si>
  <si>
    <t>05/25/2014 01:30 PDT</t>
  </si>
  <si>
    <t>05/25/2014 01:45 PDT</t>
  </si>
  <si>
    <t>05/25/2014 02:00 PDT</t>
  </si>
  <si>
    <t>05/25/2014 02:15 PDT</t>
  </si>
  <si>
    <t>05/25/2014 02:30 PDT</t>
  </si>
  <si>
    <t>05/25/2014 02:45 PDT</t>
  </si>
  <si>
    <t>05/25/2014 03:00 PDT</t>
  </si>
  <si>
    <t>05/25/2014 03:15 PDT</t>
  </si>
  <si>
    <t>05/25/2014 03:30 PDT</t>
  </si>
  <si>
    <t>05/25/2014 03:45 PDT</t>
  </si>
  <si>
    <t>05/25/2014 04:00 PDT</t>
  </si>
  <si>
    <t>05/25/2014 04:15 PDT</t>
  </si>
  <si>
    <t>05/25/2014 04:30 PDT</t>
  </si>
  <si>
    <t>05/25/2014 04:45 PDT</t>
  </si>
  <si>
    <t>05/25/2014 05:00 PDT</t>
  </si>
  <si>
    <t>05/25/2014 05:15 PDT</t>
  </si>
  <si>
    <t>05/25/2014 05:30 PDT</t>
  </si>
  <si>
    <t>05/25/2014 05:45 PDT</t>
  </si>
  <si>
    <t>05/25/2014 06:00 PDT</t>
  </si>
  <si>
    <t>05/25/2014 06:15 PDT</t>
  </si>
  <si>
    <t>05/25/2014 06:30 PDT</t>
  </si>
  <si>
    <t>05/25/2014 06:45 PDT</t>
  </si>
  <si>
    <t>05/25/2014 07:00 PDT</t>
  </si>
  <si>
    <t>05/25/2014 07:15 PDT</t>
  </si>
  <si>
    <t>05/25/2014 07:30 PDT</t>
  </si>
  <si>
    <t>05/25/2014 07:45 PDT</t>
  </si>
  <si>
    <t>05/25/2014 08:00 PDT</t>
  </si>
  <si>
    <t>05/25/2014 08:15 PDT</t>
  </si>
  <si>
    <t>05/25/2014 08:30 PDT</t>
  </si>
  <si>
    <t>05/25/2014 08:45 PDT</t>
  </si>
  <si>
    <t>05/25/2014 09:00 PDT</t>
  </si>
  <si>
    <t>05/25/2014 09:15 PDT</t>
  </si>
  <si>
    <t>05/25/2014 09:30 PDT</t>
  </si>
  <si>
    <t>05/25/2014 09:45 PDT</t>
  </si>
  <si>
    <t>05/25/2014 10:00 PDT</t>
  </si>
  <si>
    <t>05/25/2014 10:15 PDT</t>
  </si>
  <si>
    <t>05/25/2014 10:30 PDT</t>
  </si>
  <si>
    <t>05/25/2014 10:45 PDT</t>
  </si>
  <si>
    <t>05/25/2014 11:00 PDT</t>
  </si>
  <si>
    <t>05/25/2014 11:15 PDT</t>
  </si>
  <si>
    <t>05/25/2014 11:30 PDT</t>
  </si>
  <si>
    <t>05/25/2014 11:45 PDT</t>
  </si>
  <si>
    <t>05/25/2014 12:00 PDT</t>
  </si>
  <si>
    <t>05/25/2014 12:15 PDT</t>
  </si>
  <si>
    <t>05/25/2014 12:30 PDT</t>
  </si>
  <si>
    <t>05/25/2014 12:45 PDT</t>
  </si>
  <si>
    <t>05/25/2014 13:00 PDT</t>
  </si>
  <si>
    <t>05/25/2014 13:15 PDT</t>
  </si>
  <si>
    <t>05/25/2014 13:30 PDT</t>
  </si>
  <si>
    <t>05/25/2014 13:45 PDT</t>
  </si>
  <si>
    <t>05/25/2014 14:00 PDT</t>
  </si>
  <si>
    <t>05/25/2014 14:15 PDT</t>
  </si>
  <si>
    <t>05/25/2014 14:30 PDT</t>
  </si>
  <si>
    <t>05/25/2014 14:45 PDT</t>
  </si>
  <si>
    <t>05/25/2014 15:00 PDT</t>
  </si>
  <si>
    <t>05/25/2014 15:15 PDT</t>
  </si>
  <si>
    <t>05/25/2014 15:30 PDT</t>
  </si>
  <si>
    <t>05/25/2014 15:45 PDT</t>
  </si>
  <si>
    <t>05/25/2014 16:00 PDT</t>
  </si>
  <si>
    <t>05/25/2014 16:15 PDT</t>
  </si>
  <si>
    <t>05/25/2014 16:30 PDT</t>
  </si>
  <si>
    <t>05/25/2014 16:45 PDT</t>
  </si>
  <si>
    <t>05/25/2014 17:00 PDT</t>
  </si>
  <si>
    <t>05/25/2014 17:15 PDT</t>
  </si>
  <si>
    <t>05/25/2014 17:30 PDT</t>
  </si>
  <si>
    <t>05/25/2014 17:45 PDT</t>
  </si>
  <si>
    <t>05/25/2014 18:00 PDT</t>
  </si>
  <si>
    <t>05/25/2014 18:15 PDT</t>
  </si>
  <si>
    <t>05/25/2014 18:30 PDT</t>
  </si>
  <si>
    <t>05/25/2014 18:45 PDT</t>
  </si>
  <si>
    <t>05/25/2014 19:00 PDT</t>
  </si>
  <si>
    <t>05/25/2014 19:15 PDT</t>
  </si>
  <si>
    <t>05/25/2014 19:30 PDT</t>
  </si>
  <si>
    <t>05/25/2014 19:45 PDT</t>
  </si>
  <si>
    <t>05/25/2014 20:00 PDT</t>
  </si>
  <si>
    <t>05/25/2014 20:15 PDT</t>
  </si>
  <si>
    <t>05/25/2014 20:30 PDT</t>
  </si>
  <si>
    <t>05/25/2014 20:45 PDT</t>
  </si>
  <si>
    <t>05/25/2014 21:00 PDT</t>
  </si>
  <si>
    <t>05/25/2014 21:15 PDT</t>
  </si>
  <si>
    <t>05/25/2014 21:30 PDT</t>
  </si>
  <si>
    <t>05/25/2014 21:45 PDT</t>
  </si>
  <si>
    <t>05/25/2014 22:00 PDT</t>
  </si>
  <si>
    <t>05/25/2014 22:15 PDT</t>
  </si>
  <si>
    <t>05/25/2014 22:30 PDT</t>
  </si>
  <si>
    <t>05/25/2014 22:45 PDT</t>
  </si>
  <si>
    <t>05/25/2014 23:00 PDT</t>
  </si>
  <si>
    <t>05/25/2014 23:15 PDT</t>
  </si>
  <si>
    <t>05/25/2014 23:30 PDT</t>
  </si>
  <si>
    <t>05/25/2014 23:45 PDT</t>
  </si>
  <si>
    <t>05/26/2014 00:00 PDT</t>
  </si>
  <si>
    <t>05/26/2014 00:15 PDT</t>
  </si>
  <si>
    <t>05/26/2014 00:30 PDT</t>
  </si>
  <si>
    <t>05/26/2014 00:45 PDT</t>
  </si>
  <si>
    <t>05/26/2014 01:00 PDT</t>
  </si>
  <si>
    <t>05/26/2014 01:15 PDT</t>
  </si>
  <si>
    <t>05/26/2014 01:30 PDT</t>
  </si>
  <si>
    <t>05/26/2014 01:45 PDT</t>
  </si>
  <si>
    <t>05/26/2014 02:00 PDT</t>
  </si>
  <si>
    <t>05/26/2014 02:15 PDT</t>
  </si>
  <si>
    <t>05/26/2014 02:30 PDT</t>
  </si>
  <si>
    <t>05/26/2014 02:45 PDT</t>
  </si>
  <si>
    <t>05/26/2014 03:00 PDT</t>
  </si>
  <si>
    <t>05/26/2014 03:15 PDT</t>
  </si>
  <si>
    <t>05/26/2014 03:30 PDT</t>
  </si>
  <si>
    <t>05/26/2014 03:45 PDT</t>
  </si>
  <si>
    <t>05/26/2014 04:00 PDT</t>
  </si>
  <si>
    <t>05/26/2014 04:15 PDT</t>
  </si>
  <si>
    <t>05/26/2014 04:30 PDT</t>
  </si>
  <si>
    <t>05/26/2014 04:45 PDT</t>
  </si>
  <si>
    <t>05/26/2014 05:00 PDT</t>
  </si>
  <si>
    <t>05/26/2014 05:15 PDT</t>
  </si>
  <si>
    <t>05/26/2014 05:30 PDT</t>
  </si>
  <si>
    <t>05/26/2014 05:45 PDT</t>
  </si>
  <si>
    <t>05/26/2014 06:00 PDT</t>
  </si>
  <si>
    <t>05/26/2014 06:15 PDT</t>
  </si>
  <si>
    <t>05/26/2014 06:30 PDT</t>
  </si>
  <si>
    <t>05/26/2014 06:45 PDT</t>
  </si>
  <si>
    <t>05/26/2014 07:00 PDT</t>
  </si>
  <si>
    <t>05/26/2014 07:15 PDT</t>
  </si>
  <si>
    <t>05/26/2014 07:30 PDT</t>
  </si>
  <si>
    <t>05/26/2014 07:45 PDT</t>
  </si>
  <si>
    <t>05/26/2014 08:00 PDT</t>
  </si>
  <si>
    <t>05/26/2014 08:15 PDT</t>
  </si>
  <si>
    <t>05/26/2014 08:30 PDT</t>
  </si>
  <si>
    <t>05/26/2014 08:45 PDT</t>
  </si>
  <si>
    <t>05/26/2014 09:00 PDT</t>
  </si>
  <si>
    <t>05/26/2014 09:15 PDT</t>
  </si>
  <si>
    <t>05/26/2014 09:30 PDT</t>
  </si>
  <si>
    <t>05/26/2014 09:45 PDT</t>
  </si>
  <si>
    <t>05/26/2014 10:00 PDT</t>
  </si>
  <si>
    <t>05/26/2014 10:15 PDT</t>
  </si>
  <si>
    <t>05/26/2014 10:30 PDT</t>
  </si>
  <si>
    <t>05/26/2014 10:45 PDT</t>
  </si>
  <si>
    <t>05/26/2014 11:00 PDT</t>
  </si>
  <si>
    <t>05/26/2014 11:15 PDT</t>
  </si>
  <si>
    <t>05/26/2014 11:30 PDT</t>
  </si>
  <si>
    <t>05/26/2014 11:45 PDT</t>
  </si>
  <si>
    <t>05/26/2014 12:00 PDT</t>
  </si>
  <si>
    <t>05/26/2014 12:15 PDT</t>
  </si>
  <si>
    <t>05/26/2014 12:30 PDT</t>
  </si>
  <si>
    <t>05/26/2014 12:45 PDT</t>
  </si>
  <si>
    <t>05/26/2014 13:00 PDT</t>
  </si>
  <si>
    <t>05/26/2014 13:15 PDT</t>
  </si>
  <si>
    <t>05/26/2014 13:30 PDT</t>
  </si>
  <si>
    <t>05/26/2014 13:45 PDT</t>
  </si>
  <si>
    <t>05/26/2014 14:00 PDT</t>
  </si>
  <si>
    <t>05/26/2014 14:15 PDT</t>
  </si>
  <si>
    <t>05/26/2014 14:30 PDT</t>
  </si>
  <si>
    <t>05/26/2014 14:45 PDT</t>
  </si>
  <si>
    <t>05/26/2014 15:00 PDT</t>
  </si>
  <si>
    <t>05/26/2014 15:15 PDT</t>
  </si>
  <si>
    <t>05/26/2014 15:30 PDT</t>
  </si>
  <si>
    <t>05/26/2014 15:45 PDT</t>
  </si>
  <si>
    <t>05/26/2014 16:00 PDT</t>
  </si>
  <si>
    <t>05/26/2014 16:15 PDT</t>
  </si>
  <si>
    <t>05/26/2014 16:30 PDT</t>
  </si>
  <si>
    <t>05/26/2014 16:45 PDT</t>
  </si>
  <si>
    <t>05/26/2014 17:00 PDT</t>
  </si>
  <si>
    <t>05/26/2014 17:15 PDT</t>
  </si>
  <si>
    <t>05/26/2014 17:30 PDT</t>
  </si>
  <si>
    <t>05/26/2014 17:45 PDT</t>
  </si>
  <si>
    <t>05/26/2014 18:00 PDT</t>
  </si>
  <si>
    <t>05/26/2014 18:15 PDT</t>
  </si>
  <si>
    <t>05/26/2014 18:30 PDT</t>
  </si>
  <si>
    <t>05/26/2014 18:45 PDT</t>
  </si>
  <si>
    <t>05/26/2014 19:00 PDT</t>
  </si>
  <si>
    <t>05/26/2014 19:15 PDT</t>
  </si>
  <si>
    <t>05/26/2014 19:30 PDT</t>
  </si>
  <si>
    <t>05/26/2014 19:45 PDT</t>
  </si>
  <si>
    <t>05/26/2014 20:00 PDT</t>
  </si>
  <si>
    <t>05/26/2014 20:15 PDT</t>
  </si>
  <si>
    <t>05/26/2014 20:30 PDT</t>
  </si>
  <si>
    <t>05/26/2014 20:45 PDT</t>
  </si>
  <si>
    <t>05/26/2014 21:00 PDT</t>
  </si>
  <si>
    <t>05/26/2014 21:15 PDT</t>
  </si>
  <si>
    <t>05/26/2014 21:30 PDT</t>
  </si>
  <si>
    <t>05/26/2014 21:45 PDT</t>
  </si>
  <si>
    <t>05/26/2014 22:00 PDT</t>
  </si>
  <si>
    <t>05/26/2014 22:15 PDT</t>
  </si>
  <si>
    <t>05/26/2014 22:30 PDT</t>
  </si>
  <si>
    <t>05/26/2014 22:45 PDT</t>
  </si>
  <si>
    <t>05/26/2014 23:00 PDT</t>
  </si>
  <si>
    <t>05/26/2014 23:15 PDT</t>
  </si>
  <si>
    <t>05/26/2014 23:30 PDT</t>
  </si>
  <si>
    <t>05/26/2014 23:45 PDT</t>
  </si>
  <si>
    <t>05/27/2014 00:00 PDT</t>
  </si>
  <si>
    <t>05/27/2014 00:15 PDT</t>
  </si>
  <si>
    <t>05/27/2014 00:30 PDT</t>
  </si>
  <si>
    <t>05/27/2014 00:45 PDT</t>
  </si>
  <si>
    <t>05/27/2014 01:00 PDT</t>
  </si>
  <si>
    <t>05/27/2014 01:15 PDT</t>
  </si>
  <si>
    <t>05/27/2014 01:30 PDT</t>
  </si>
  <si>
    <t>05/27/2014 01:45 PDT</t>
  </si>
  <si>
    <t>05/27/2014 02:00 PDT</t>
  </si>
  <si>
    <t>05/27/2014 02:15 PDT</t>
  </si>
  <si>
    <t>05/27/2014 02:30 PDT</t>
  </si>
  <si>
    <t>05/27/2014 02:45 PDT</t>
  </si>
  <si>
    <t>05/27/2014 03:00 PDT</t>
  </si>
  <si>
    <t>05/27/2014 03:15 PDT</t>
  </si>
  <si>
    <t>05/27/2014 03:30 PDT</t>
  </si>
  <si>
    <t>05/27/2014 03:45 PDT</t>
  </si>
  <si>
    <t>05/27/2014 04:00 PDT</t>
  </si>
  <si>
    <t>05/27/2014 04:15 PDT</t>
  </si>
  <si>
    <t>05/27/2014 04:30 PDT</t>
  </si>
  <si>
    <t>05/27/2014 04:45 PDT</t>
  </si>
  <si>
    <t>05/27/2014 05:00 PDT</t>
  </si>
  <si>
    <t>05/27/2014 05:15 PDT</t>
  </si>
  <si>
    <t>05/27/2014 05:30 PDT</t>
  </si>
  <si>
    <t>05/27/2014 05:45 PDT</t>
  </si>
  <si>
    <t>05/27/2014 06:00 PDT</t>
  </si>
  <si>
    <t>05/27/2014 06:15 PDT</t>
  </si>
  <si>
    <t>05/27/2014 06:30 PDT</t>
  </si>
  <si>
    <t>05/27/2014 06:45 PDT</t>
  </si>
  <si>
    <t>05/27/2014 07:00 PDT</t>
  </si>
  <si>
    <t>05/27/2014 07:15 PDT</t>
  </si>
  <si>
    <t>05/27/2014 07:30 PDT</t>
  </si>
  <si>
    <t>05/27/2014 07:45 PDT</t>
  </si>
  <si>
    <t>05/27/2014 08:00 PDT</t>
  </si>
  <si>
    <t>05/27/2014 08:15 PDT</t>
  </si>
  <si>
    <t>05/27/2014 08:30 PDT</t>
  </si>
  <si>
    <t>05/27/2014 08:45 PDT</t>
  </si>
  <si>
    <t>05/27/2014 09:00 PDT</t>
  </si>
  <si>
    <t>05/27/2014 09:15 PDT</t>
  </si>
  <si>
    <t>05/27/2014 09:30 PDT</t>
  </si>
  <si>
    <t>05/27/2014 09:45 PDT</t>
  </si>
  <si>
    <t>05/27/2014 10:00 PDT</t>
  </si>
  <si>
    <t>05/27/2014 10:15 PDT</t>
  </si>
  <si>
    <t>05/27/2014 10:30 PDT</t>
  </si>
  <si>
    <t>05/27/2014 10:45 PDT</t>
  </si>
  <si>
    <t>05/27/2014 11:00 PDT</t>
  </si>
  <si>
    <t>05/27/2014 11:15 PDT</t>
  </si>
  <si>
    <t>05/27/2014 11:30 PDT</t>
  </si>
  <si>
    <t>05/27/2014 11:45 PDT</t>
  </si>
  <si>
    <t>05/27/2014 12:00 PDT</t>
  </si>
  <si>
    <t>05/27/2014 12:15 PDT</t>
  </si>
  <si>
    <t>05/27/2014 12:30 PDT</t>
  </si>
  <si>
    <t>05/27/2014 12:45 PDT</t>
  </si>
  <si>
    <t>05/27/2014 13:00 PDT</t>
  </si>
  <si>
    <t>05/27/2014 13:15 PDT</t>
  </si>
  <si>
    <t>05/27/2014 13:30 PDT</t>
  </si>
  <si>
    <t>05/27/2014 13:45 PDT</t>
  </si>
  <si>
    <t>05/27/2014 14:00 PDT</t>
  </si>
  <si>
    <t>05/27/2014 14:15 PDT</t>
  </si>
  <si>
    <t>05/27/2014 14:30 PDT</t>
  </si>
  <si>
    <t>05/27/2014 14:45 PDT</t>
  </si>
  <si>
    <t>05/27/2014 15:00 PDT</t>
  </si>
  <si>
    <t>05/27/2014 15:15 PDT</t>
  </si>
  <si>
    <t>05/27/2014 15:30 PDT</t>
  </si>
  <si>
    <t>05/27/2014 15:45 PDT</t>
  </si>
  <si>
    <t>05/27/2014 16:00 PDT</t>
  </si>
  <si>
    <t>05/27/2014 16:15 PDT</t>
  </si>
  <si>
    <t>05/27/2014 16:30 PDT</t>
  </si>
  <si>
    <t>05/27/2014 16:45 PDT</t>
  </si>
  <si>
    <t>05/27/2014 17:00 PDT</t>
  </si>
  <si>
    <t>05/27/2014 17:15 PDT</t>
  </si>
  <si>
    <t>05/27/2014 17:30 PDT</t>
  </si>
  <si>
    <t>05/27/2014 17:45 PDT</t>
  </si>
  <si>
    <t>05/27/2014 18:00 PDT</t>
  </si>
  <si>
    <t>05/27/2014 18:15 PDT</t>
  </si>
  <si>
    <t>05/27/2014 18:30 PDT</t>
  </si>
  <si>
    <t>05/27/2014 18:45 PDT</t>
  </si>
  <si>
    <t>05/27/2014 19:00 PDT</t>
  </si>
  <si>
    <t>05/27/2014 19:15 PDT</t>
  </si>
  <si>
    <t>05/27/2014 19:30 PDT</t>
  </si>
  <si>
    <t>05/27/2014 19:45 PDT</t>
  </si>
  <si>
    <t>05/27/2014 20:00 PDT</t>
  </si>
  <si>
    <t>05/27/2014 20:15 PDT</t>
  </si>
  <si>
    <t>05/27/2014 20:30 PDT</t>
  </si>
  <si>
    <t>05/27/2014 20:45 PDT</t>
  </si>
  <si>
    <t>05/27/2014 21:00 PDT</t>
  </si>
  <si>
    <t>05/27/2014 21:15 PDT</t>
  </si>
  <si>
    <t>05/27/2014 21:30 PDT</t>
  </si>
  <si>
    <t>05/27/2014 21:45 PDT</t>
  </si>
  <si>
    <t>05/27/2014 22:00 PDT</t>
  </si>
  <si>
    <t>05/27/2014 22:15 PDT</t>
  </si>
  <si>
    <t>05/27/2014 22:30 PDT</t>
  </si>
  <si>
    <t>05/27/2014 22:45 PDT</t>
  </si>
  <si>
    <t>05/27/2014 23:00 PDT</t>
  </si>
  <si>
    <t>05/27/2014 23:15 PDT</t>
  </si>
  <si>
    <t>05/27/2014 23:30 PDT</t>
  </si>
  <si>
    <t>05/27/2014 23:45 PDT</t>
  </si>
  <si>
    <t>05/28/2014 00:00 PDT</t>
  </si>
  <si>
    <t>05/28/2014 00:15 PDT</t>
  </si>
  <si>
    <t>05/28/2014 00:30 PDT</t>
  </si>
  <si>
    <t>05/28/2014 00:45 PDT</t>
  </si>
  <si>
    <t>05/28/2014 01:00 PDT</t>
  </si>
  <si>
    <t>05/28/2014 01:15 PDT</t>
  </si>
  <si>
    <t>05/28/2014 01:30 PDT</t>
  </si>
  <si>
    <t>05/28/2014 01:45 PDT</t>
  </si>
  <si>
    <t>05/28/2014 02:00 PDT</t>
  </si>
  <si>
    <t>05/28/2014 02:15 PDT</t>
  </si>
  <si>
    <t>05/28/2014 02:30 PDT</t>
  </si>
  <si>
    <t>05/28/2014 02:45 PDT</t>
  </si>
  <si>
    <t>05/28/2014 03:00 PDT</t>
  </si>
  <si>
    <t>05/28/2014 03:15 PDT</t>
  </si>
  <si>
    <t>05/28/2014 03:30 PDT</t>
  </si>
  <si>
    <t>05/28/2014 03:45 PDT</t>
  </si>
  <si>
    <t>05/28/2014 04:00 PDT</t>
  </si>
  <si>
    <t>05/28/2014 04:15 PDT</t>
  </si>
  <si>
    <t>05/28/2014 04:30 PDT</t>
  </si>
  <si>
    <t>05/28/2014 04:45 PDT</t>
  </si>
  <si>
    <t>05/28/2014 05:00 PDT</t>
  </si>
  <si>
    <t>05/28/2014 05:15 PDT</t>
  </si>
  <si>
    <t>05/28/2014 05:30 PDT</t>
  </si>
  <si>
    <t>05/28/2014 05:45 PDT</t>
  </si>
  <si>
    <t>05/28/2014 06:00 PDT</t>
  </si>
  <si>
    <t>05/28/2014 06:15 PDT</t>
  </si>
  <si>
    <t>05/28/2014 06:30 PDT</t>
  </si>
  <si>
    <t>05/28/2014 06:45 PDT</t>
  </si>
  <si>
    <t>05/28/2014 07:00 PDT</t>
  </si>
  <si>
    <t>05/28/2014 07:15 PDT</t>
  </si>
  <si>
    <t>05/28/2014 07:30 PDT</t>
  </si>
  <si>
    <t>05/28/2014 07:45 PDT</t>
  </si>
  <si>
    <t>05/28/2014 08:00 PDT</t>
  </si>
  <si>
    <t>05/28/2014 08:15 PDT</t>
  </si>
  <si>
    <t>05/28/2014 08:30 PDT</t>
  </si>
  <si>
    <t>05/28/2014 08:45 PDT</t>
  </si>
  <si>
    <t>05/28/2014 09:00 PDT</t>
  </si>
  <si>
    <t>05/28/2014 09:15 PDT</t>
  </si>
  <si>
    <t>05/28/2014 09:30 PDT</t>
  </si>
  <si>
    <t>05/28/2014 09:45 PDT</t>
  </si>
  <si>
    <t>05/28/2014 10:00 PDT</t>
  </si>
  <si>
    <t>05/28/2014 10:15 PDT</t>
  </si>
  <si>
    <t>05/28/2014 10:30 PDT</t>
  </si>
  <si>
    <t>05/28/2014 10:45 PDT</t>
  </si>
  <si>
    <t>05/28/2014 11:00 PDT</t>
  </si>
  <si>
    <t>05/28/2014 11:15 PDT</t>
  </si>
  <si>
    <t>05/28/2014 11:30 PDT</t>
  </si>
  <si>
    <t>05/28/2014 11:45 PDT</t>
  </si>
  <si>
    <t>05/28/2014 12:00 PDT</t>
  </si>
  <si>
    <t>05/28/2014 12:15 PDT</t>
  </si>
  <si>
    <t>05/28/2014 12:30 PDT</t>
  </si>
  <si>
    <t>05/28/2014 12:45 PDT</t>
  </si>
  <si>
    <t>05/28/2014 13:00 PDT</t>
  </si>
  <si>
    <t>05/28/2014 13:15 PDT</t>
  </si>
  <si>
    <t>05/28/2014 13:30 PDT</t>
  </si>
  <si>
    <t>05/28/2014 13:45 PDT</t>
  </si>
  <si>
    <t>05/28/2014 14:00 PDT</t>
  </si>
  <si>
    <t>05/28/2014 14:15 PDT</t>
  </si>
  <si>
    <t>05/28/2014 14:30 PDT</t>
  </si>
  <si>
    <t>05/28/2014 14:45 PDT</t>
  </si>
  <si>
    <t>05/28/2014 15:00 PDT</t>
  </si>
  <si>
    <t>05/28/2014 15:15 PDT</t>
  </si>
  <si>
    <t>05/28/2014 15:30 PDT</t>
  </si>
  <si>
    <t>05/28/2014 15:45 PDT</t>
  </si>
  <si>
    <t>05/28/2014 16:00 PDT</t>
  </si>
  <si>
    <t>05/28/2014 16:15 PDT</t>
  </si>
  <si>
    <t>05/28/2014 16:30 PDT</t>
  </si>
  <si>
    <t>05/28/2014 16:45 PDT</t>
  </si>
  <si>
    <t>05/28/2014 17:00 PDT</t>
  </si>
  <si>
    <t>05/28/2014 17:15 PDT</t>
  </si>
  <si>
    <t>05/28/2014 17:30 PDT</t>
  </si>
  <si>
    <t>05/28/2014 17:45 PDT</t>
  </si>
  <si>
    <t>05/28/2014 18:00 PDT</t>
  </si>
  <si>
    <t>05/28/2014 18:15 PDT</t>
  </si>
  <si>
    <t>05/28/2014 18:30 PDT</t>
  </si>
  <si>
    <t>05/28/2014 18:45 PDT</t>
  </si>
  <si>
    <t>05/28/2014 19:00 PDT</t>
  </si>
  <si>
    <t>05/28/2014 19:15 PDT</t>
  </si>
  <si>
    <t>05/28/2014 19:30 PDT</t>
  </si>
  <si>
    <t>05/28/2014 19:45 PDT</t>
  </si>
  <si>
    <t>05/28/2014 20:00 PDT</t>
  </si>
  <si>
    <t>05/28/2014 20:15 PDT</t>
  </si>
  <si>
    <t>05/28/2014 20:30 PDT</t>
  </si>
  <si>
    <t>05/28/2014 20:45 PDT</t>
  </si>
  <si>
    <t>05/28/2014 21:00 PDT</t>
  </si>
  <si>
    <t>05/28/2014 21:15 PDT</t>
  </si>
  <si>
    <t>05/28/2014 21:30 PDT</t>
  </si>
  <si>
    <t>05/28/2014 21:45 PDT</t>
  </si>
  <si>
    <t>05/28/2014 22:00 PDT</t>
  </si>
  <si>
    <t>05/28/2014 22:15 PDT</t>
  </si>
  <si>
    <t>05/28/2014 22:30 PDT</t>
  </si>
  <si>
    <t>05/28/2014 22:45 PDT</t>
  </si>
  <si>
    <t>05/28/2014 23:00 PDT</t>
  </si>
  <si>
    <t>05/28/2014 23:15 PDT</t>
  </si>
  <si>
    <t>05/28/2014 23:30 PDT</t>
  </si>
  <si>
    <t>05/28/2014 23:45 PDT</t>
  </si>
  <si>
    <t>05/29/2014 00:00 PDT</t>
  </si>
  <si>
    <t>05/29/2014 00:15 PDT</t>
  </si>
  <si>
    <t>05/29/2014 00:30 PDT</t>
  </si>
  <si>
    <t>05/29/2014 00:45 PDT</t>
  </si>
  <si>
    <t>05/29/2014 01:00 PDT</t>
  </si>
  <si>
    <t>05/29/2014 01:15 PDT</t>
  </si>
  <si>
    <t>05/29/2014 01:30 PDT</t>
  </si>
  <si>
    <t>05/29/2014 01:45 PDT</t>
  </si>
  <si>
    <t>05/29/2014 02:00 PDT</t>
  </si>
  <si>
    <t>05/29/2014 02:15 PDT</t>
  </si>
  <si>
    <t>05/29/2014 02:30 PDT</t>
  </si>
  <si>
    <t>05/29/2014 02:45 PDT</t>
  </si>
  <si>
    <t>05/29/2014 03:00 PDT</t>
  </si>
  <si>
    <t>05/29/2014 03:15 PDT</t>
  </si>
  <si>
    <t>05/29/2014 03:30 PDT</t>
  </si>
  <si>
    <t>05/29/2014 03:45 PDT</t>
  </si>
  <si>
    <t>05/29/2014 04:00 PDT</t>
  </si>
  <si>
    <t>05/29/2014 04:15 PDT</t>
  </si>
  <si>
    <t>05/29/2014 04:30 PDT</t>
  </si>
  <si>
    <t>05/29/2014 04:45 PDT</t>
  </si>
  <si>
    <t>05/29/2014 05:00 PDT</t>
  </si>
  <si>
    <t>05/29/2014 05:15 PDT</t>
  </si>
  <si>
    <t>05/29/2014 05:30 PDT</t>
  </si>
  <si>
    <t>05/29/2014 05:45 PDT</t>
  </si>
  <si>
    <t>05/29/2014 06:00 PDT</t>
  </si>
  <si>
    <t>05/29/2014 06:15 PDT</t>
  </si>
  <si>
    <t>05/29/2014 06:30 PDT</t>
  </si>
  <si>
    <t>05/29/2014 06:45 PDT</t>
  </si>
  <si>
    <t>05/29/2014 07:00 PDT</t>
  </si>
  <si>
    <t>05/29/2014 07:15 PDT</t>
  </si>
  <si>
    <t>05/29/2014 07:30 PDT</t>
  </si>
  <si>
    <t>05/29/2014 07:45 PDT</t>
  </si>
  <si>
    <t>05/29/2014 08:00 PDT</t>
  </si>
  <si>
    <t>05/29/2014 08:15 PDT</t>
  </si>
  <si>
    <t>05/29/2014 08:30 PDT</t>
  </si>
  <si>
    <t>05/29/2014 08:45 PDT</t>
  </si>
  <si>
    <t>05/29/2014 09:00 PDT</t>
  </si>
  <si>
    <t>05/29/2014 09:15 PDT</t>
  </si>
  <si>
    <t>05/29/2014 09:30 PDT</t>
  </si>
  <si>
    <t>05/29/2014 09:45 PDT</t>
  </si>
  <si>
    <t>05/29/2014 10:00 PDT</t>
  </si>
  <si>
    <t>05/29/2014 10:15 PDT</t>
  </si>
  <si>
    <t>05/29/2014 10:30 PDT</t>
  </si>
  <si>
    <t>05/29/2014 10:45 PDT</t>
  </si>
  <si>
    <t>05/29/2014 11:00 PDT</t>
  </si>
  <si>
    <t>05/29/2014 11:15 PDT</t>
  </si>
  <si>
    <t>05/29/2014 11:30 PDT</t>
  </si>
  <si>
    <t>05/29/2014 11:45 PDT</t>
  </si>
  <si>
    <t>05/29/2014 12:00 PDT</t>
  </si>
  <si>
    <t>05/29/2014 12:15 PDT</t>
  </si>
  <si>
    <t>05/29/2014 12:30 PDT</t>
  </si>
  <si>
    <t>05/29/2014 12:45 PDT</t>
  </si>
  <si>
    <t>05/29/2014 13:00 PDT</t>
  </si>
  <si>
    <t>05/29/2014 13:15 PDT</t>
  </si>
  <si>
    <t>05/29/2014 13:30 PDT</t>
  </si>
  <si>
    <t>05/29/2014 13:45 PDT</t>
  </si>
  <si>
    <t>05/29/2014 14:00 PDT</t>
  </si>
  <si>
    <t>05/29/2014 14:15 PDT</t>
  </si>
  <si>
    <t>05/29/2014 14:30 PDT</t>
  </si>
  <si>
    <t>05/29/2014 14:45 PDT</t>
  </si>
  <si>
    <t>05/29/2014 15:00 PDT</t>
  </si>
  <si>
    <t>05/29/2014 15:15 PDT</t>
  </si>
  <si>
    <t>05/29/2014 15:30 PDT</t>
  </si>
  <si>
    <t>05/29/2014 15:45 PDT</t>
  </si>
  <si>
    <t>05/29/2014 16:00 PDT</t>
  </si>
  <si>
    <t>05/29/2014 16:15 PDT</t>
  </si>
  <si>
    <t>05/29/2014 16:30 PDT</t>
  </si>
  <si>
    <t>05/29/2014 16:45 PDT</t>
  </si>
  <si>
    <t>05/29/2014 17:00 PDT</t>
  </si>
  <si>
    <t>05/29/2014 17:15 PDT</t>
  </si>
  <si>
    <t>05/29/2014 17:30 PDT</t>
  </si>
  <si>
    <t>05/29/2014 17:45 PDT</t>
  </si>
  <si>
    <t>05/29/2014 18:00 PDT</t>
  </si>
  <si>
    <t>05/29/2014 18:15 PDT</t>
  </si>
  <si>
    <t>05/29/2014 18:30 PDT</t>
  </si>
  <si>
    <t>05/29/2014 18:45 PDT</t>
  </si>
  <si>
    <t>05/29/2014 19:00 PDT</t>
  </si>
  <si>
    <t>05/29/2014 19:15 PDT</t>
  </si>
  <si>
    <t>05/29/2014 19:30 PDT</t>
  </si>
  <si>
    <t>05/29/2014 19:45 PDT</t>
  </si>
  <si>
    <t>05/29/2014 20:00 PDT</t>
  </si>
  <si>
    <t>05/29/2014 20:15 PDT</t>
  </si>
  <si>
    <t>05/29/2014 20:30 PDT</t>
  </si>
  <si>
    <t>05/29/2014 20:45 PDT</t>
  </si>
  <si>
    <t>05/29/2014 21:00 PDT</t>
  </si>
  <si>
    <t>05/29/2014 21:15 PDT</t>
  </si>
  <si>
    <t>05/29/2014 21:30 PDT</t>
  </si>
  <si>
    <t>05/29/2014 21:45 PDT</t>
  </si>
  <si>
    <t>05/29/2014 22:00 PDT</t>
  </si>
  <si>
    <t>05/29/2014 22:15 PDT</t>
  </si>
  <si>
    <t>05/29/2014 22:30 PDT</t>
  </si>
  <si>
    <t>05/29/2014 22:45 PDT</t>
  </si>
  <si>
    <t>05/29/2014 23:00 PDT</t>
  </si>
  <si>
    <t>05/29/2014 23:15 PDT</t>
  </si>
  <si>
    <t>05/29/2014 23:30 PDT</t>
  </si>
  <si>
    <t>05/29/2014 23:45 PDT</t>
  </si>
  <si>
    <t>05/30/2014 00:00 PDT</t>
  </si>
  <si>
    <t>05/30/2014 00:15 PDT</t>
  </si>
  <si>
    <t>05/30/2014 00:30 PDT</t>
  </si>
  <si>
    <t>05/30/2014 00:45 PDT</t>
  </si>
  <si>
    <t>05/30/2014 01:00 PDT</t>
  </si>
  <si>
    <t>05/30/2014 01:15 PDT</t>
  </si>
  <si>
    <t>05/30/2014 01:30 PDT</t>
  </si>
  <si>
    <t>05/30/2014 01:45 PDT</t>
  </si>
  <si>
    <t>05/30/2014 02:00 PDT</t>
  </si>
  <si>
    <t>05/30/2014 02:15 PDT</t>
  </si>
  <si>
    <t>05/30/2014 02:30 PDT</t>
  </si>
  <si>
    <t>05/30/2014 02:45 PDT</t>
  </si>
  <si>
    <t>05/30/2014 03:00 PDT</t>
  </si>
  <si>
    <t>05/30/2014 03:15 PDT</t>
  </si>
  <si>
    <t>05/30/2014 03:30 PDT</t>
  </si>
  <si>
    <t>05/30/2014 03:45 PDT</t>
  </si>
  <si>
    <t>05/30/2014 04:00 PDT</t>
  </si>
  <si>
    <t>05/30/2014 04:15 PDT</t>
  </si>
  <si>
    <t>05/30/2014 04:30 PDT</t>
  </si>
  <si>
    <t>05/30/2014 04:45 PDT</t>
  </si>
  <si>
    <t>05/30/2014 05:00 PDT</t>
  </si>
  <si>
    <t>05/30/2014 05:15 PDT</t>
  </si>
  <si>
    <t>05/30/2014 05:30 PDT</t>
  </si>
  <si>
    <t>05/30/2014 05:45 PDT</t>
  </si>
  <si>
    <t>05/30/2014 06:00 PDT</t>
  </si>
  <si>
    <t>05/30/2014 06:15 PDT</t>
  </si>
  <si>
    <t>05/30/2014 06:30 PDT</t>
  </si>
  <si>
    <t>05/30/2014 06:45 PDT</t>
  </si>
  <si>
    <t>05/30/2014 07:00 PDT</t>
  </si>
  <si>
    <t>05/30/2014 07:15 PDT</t>
  </si>
  <si>
    <t>05/30/2014 07:30 PDT</t>
  </si>
  <si>
    <t>05/30/2014 07:45 PDT</t>
  </si>
  <si>
    <t>05/30/2014 08:00 PDT</t>
  </si>
  <si>
    <t>05/30/2014 08:15 PDT</t>
  </si>
  <si>
    <t>05/30/2014 08:30 PDT</t>
  </si>
  <si>
    <t>05/30/2014 08:45 PDT</t>
  </si>
  <si>
    <t>05/30/2014 09:00 PDT</t>
  </si>
  <si>
    <t>05/30/2014 09:15 PDT</t>
  </si>
  <si>
    <t>05/30/2014 09:30 PDT</t>
  </si>
  <si>
    <t>05/30/2014 09:45 PDT</t>
  </si>
  <si>
    <t>05/30/2014 10:00 PDT</t>
  </si>
  <si>
    <t>05/30/2014 10:15 PDT</t>
  </si>
  <si>
    <t>05/30/2014 10:30 PDT</t>
  </si>
  <si>
    <t>05/30/2014 10:45 PDT</t>
  </si>
  <si>
    <t>05/30/2014 11:00 PDT</t>
  </si>
  <si>
    <t>05/30/2014 11:15 PDT</t>
  </si>
  <si>
    <t>05/30/2014 11:30 PDT</t>
  </si>
  <si>
    <t>05/30/2014 11:45 PDT</t>
  </si>
  <si>
    <t>05/30/2014 12:00 PDT</t>
  </si>
  <si>
    <t>05/30/2014 12:15 PDT</t>
  </si>
  <si>
    <t>05/30/2014 12:30 PDT</t>
  </si>
  <si>
    <t>05/30/2014 12:45 PDT</t>
  </si>
  <si>
    <t>05/30/2014 13:00 PDT</t>
  </si>
  <si>
    <t>05/30/2014 13:15 PDT</t>
  </si>
  <si>
    <t>05/30/2014 13:30 PDT</t>
  </si>
  <si>
    <t>05/30/2014 13:45 PDT</t>
  </si>
  <si>
    <t>05/30/2014 14:00 PDT</t>
  </si>
  <si>
    <t>05/30/2014 14:15 PDT</t>
  </si>
  <si>
    <t>05/30/2014 14:30 PDT</t>
  </si>
  <si>
    <t>05/30/2014 14:45 PDT</t>
  </si>
  <si>
    <t>05/30/2014 15:00 PDT</t>
  </si>
  <si>
    <t>05/30/2014 15:15 PDT</t>
  </si>
  <si>
    <t>05/30/2014 15:30 PDT</t>
  </si>
  <si>
    <t>05/30/2014 15:45 PDT</t>
  </si>
  <si>
    <t>05/30/2014 16:00 PDT</t>
  </si>
  <si>
    <t>05/30/2014 16:15 PDT</t>
  </si>
  <si>
    <t>05/30/2014 16:30 PDT</t>
  </si>
  <si>
    <t>05/30/2014 16:45 PDT</t>
  </si>
  <si>
    <t>05/30/2014 17:00 PDT</t>
  </si>
  <si>
    <t>05/30/2014 17:15 PDT</t>
  </si>
  <si>
    <t>05/30/2014 17:30 PDT</t>
  </si>
  <si>
    <t>05/30/2014 17:45 PDT</t>
  </si>
  <si>
    <t>05/30/2014 18:00 PDT</t>
  </si>
  <si>
    <t>05/30/2014 18:15 PDT</t>
  </si>
  <si>
    <t>05/30/2014 18:30 PDT</t>
  </si>
  <si>
    <t>05/30/2014 18:45 PDT</t>
  </si>
  <si>
    <t>05/30/2014 19:00 PDT</t>
  </si>
  <si>
    <t>05/30/2014 19:15 PDT</t>
  </si>
  <si>
    <t>05/30/2014 19:30 PDT</t>
  </si>
  <si>
    <t>05/30/2014 19:45 PDT</t>
  </si>
  <si>
    <t>05/30/2014 20:00 PDT</t>
  </si>
  <si>
    <t>05/30/2014 20:15 PDT</t>
  </si>
  <si>
    <t>05/30/2014 20:30 PDT</t>
  </si>
  <si>
    <t>05/30/2014 20:45 PDT</t>
  </si>
  <si>
    <t>05/30/2014 21:00 PDT</t>
  </si>
  <si>
    <t>05/30/2014 21:15 PDT</t>
  </si>
  <si>
    <t>05/30/2014 21:30 PDT</t>
  </si>
  <si>
    <t>05/30/2014 21:45 PDT</t>
  </si>
  <si>
    <t>05/30/2014 22:00 PDT</t>
  </si>
  <si>
    <t>05/30/2014 22:15 PDT</t>
  </si>
  <si>
    <t>05/30/2014 22:30 PDT</t>
  </si>
  <si>
    <t>05/30/2014 22:45 PDT</t>
  </si>
  <si>
    <t>05/30/2014 23:00 PDT</t>
  </si>
  <si>
    <t>05/30/2014 23:15 PDT</t>
  </si>
  <si>
    <t>05/30/2014 23:30 PDT</t>
  </si>
  <si>
    <t>05/30/2014 23:45 PDT</t>
  </si>
  <si>
    <t>05/31/2014 00:00 PDT</t>
  </si>
  <si>
    <t>05/31/2014 00:15 PDT</t>
  </si>
  <si>
    <t>05/31/2014 00:30 PDT</t>
  </si>
  <si>
    <t>05/31/2014 00:45 PDT</t>
  </si>
  <si>
    <t>05/31/2014 01:00 PDT</t>
  </si>
  <si>
    <t>05/31/2014 01:15 PDT</t>
  </si>
  <si>
    <t>05/31/2014 01:30 PDT</t>
  </si>
  <si>
    <t>05/31/2014 01:45 PDT</t>
  </si>
  <si>
    <t>05/31/2014 02:00 PDT</t>
  </si>
  <si>
    <t>05/31/2014 02:15 PDT</t>
  </si>
  <si>
    <t>05/31/2014 02:30 PDT</t>
  </si>
  <si>
    <t>05/31/2014 02:45 PDT</t>
  </si>
  <si>
    <t>05/31/2014 03:00 PDT</t>
  </si>
  <si>
    <t>05/31/2014 03:15 PDT</t>
  </si>
  <si>
    <t>05/31/2014 03:30 PDT</t>
  </si>
  <si>
    <t>05/31/2014 03:45 PDT</t>
  </si>
  <si>
    <t>05/31/2014 04:00 PDT</t>
  </si>
  <si>
    <t>05/31/2014 04:15 PDT</t>
  </si>
  <si>
    <t>05/31/2014 04:30 PDT</t>
  </si>
  <si>
    <t>05/31/2014 04:45 PDT</t>
  </si>
  <si>
    <t>05/31/2014 05:00 PDT</t>
  </si>
  <si>
    <t>05/31/2014 05:15 PDT</t>
  </si>
  <si>
    <t>05/31/2014 05:30 PDT</t>
  </si>
  <si>
    <t>05/31/2014 05:45 PDT</t>
  </si>
  <si>
    <t>05/31/2014 06:00 PDT</t>
  </si>
  <si>
    <t>05/31/2014 06:15 PDT</t>
  </si>
  <si>
    <t>05/31/2014 06:30 PDT</t>
  </si>
  <si>
    <t>05/31/2014 06:45 PDT</t>
  </si>
  <si>
    <t>05/31/2014 07:00 PDT</t>
  </si>
  <si>
    <t>05/31/2014 07:15 PDT</t>
  </si>
  <si>
    <t>05/31/2014 07:30 PDT</t>
  </si>
  <si>
    <t>05/31/2014 07:45 PDT</t>
  </si>
  <si>
    <t>05/31/2014 08:00 PDT</t>
  </si>
  <si>
    <t>05/31/2014 08:15 PDT</t>
  </si>
  <si>
    <t>05/31/2014 08:30 PDT</t>
  </si>
  <si>
    <t>05/31/2014 08:45 PDT</t>
  </si>
  <si>
    <t>05/31/2014 09:00 PDT</t>
  </si>
  <si>
    <t>05/31/2014 09:15 PDT</t>
  </si>
  <si>
    <t>05/31/2014 09:30 PDT</t>
  </si>
  <si>
    <t>05/31/2014 09:45 PDT</t>
  </si>
  <si>
    <t>05/31/2014 10:00 PDT</t>
  </si>
  <si>
    <t>05/31/2014 10:15 PDT</t>
  </si>
  <si>
    <t>05/31/2014 10:30 PDT</t>
  </si>
  <si>
    <t>05/31/2014 10:45 PDT</t>
  </si>
  <si>
    <t>05/31/2014 11:00 PDT</t>
  </si>
  <si>
    <t>05/31/2014 11:15 PDT</t>
  </si>
  <si>
    <t>05/31/2014 11:30 PDT</t>
  </si>
  <si>
    <t>05/31/2014 11:45 PDT</t>
  </si>
  <si>
    <t>05/31/2014 12:00 PDT</t>
  </si>
  <si>
    <t>05/31/2014 12:15 PDT</t>
  </si>
  <si>
    <t>05/31/2014 12:30 PDT</t>
  </si>
  <si>
    <t>05/31/2014 12:45 PDT</t>
  </si>
  <si>
    <t>05/31/2014 13:00 PDT</t>
  </si>
  <si>
    <t>05/31/2014 13:15 PDT</t>
  </si>
  <si>
    <t>05/31/2014 13:30 PDT</t>
  </si>
  <si>
    <t>05/31/2014 13:45 PDT</t>
  </si>
  <si>
    <t>05/31/2014 14:00 PDT</t>
  </si>
  <si>
    <t>05/31/2014 14:15 PDT</t>
  </si>
  <si>
    <t>05/31/2014 14:30 PDT</t>
  </si>
  <si>
    <t>05/31/2014 14:45 PDT</t>
  </si>
  <si>
    <t>05/31/2014 15:00 PDT</t>
  </si>
  <si>
    <t>05/31/2014 15:15 PDT</t>
  </si>
  <si>
    <t>05/31/2014 15:30 PDT</t>
  </si>
  <si>
    <t>05/31/2014 15:45 PDT</t>
  </si>
  <si>
    <t>05/31/2014 16:00 PDT</t>
  </si>
  <si>
    <t>05/31/2014 16:15 PDT</t>
  </si>
  <si>
    <t>05/31/2014 16:30 PDT</t>
  </si>
  <si>
    <t>05/31/2014 16:45 PDT</t>
  </si>
  <si>
    <t>05/31/2014 17:00 PDT</t>
  </si>
  <si>
    <t>05/31/2014 17:15 PDT</t>
  </si>
  <si>
    <t>05/31/2014 17:30 PDT</t>
  </si>
  <si>
    <t>05/31/2014 17:45 PDT</t>
  </si>
  <si>
    <t>05/31/2014 18:00 PDT</t>
  </si>
  <si>
    <t>05/31/2014 18:15 PDT</t>
  </si>
  <si>
    <t>05/31/2014 18:30 PDT</t>
  </si>
  <si>
    <t>05/31/2014 18:45 PDT</t>
  </si>
  <si>
    <t>05/31/2014 19:00 PDT</t>
  </si>
  <si>
    <t>05/31/2014 19:15 PDT</t>
  </si>
  <si>
    <t>05/31/2014 19:30 PDT</t>
  </si>
  <si>
    <t>05/31/2014 19:45 PDT</t>
  </si>
  <si>
    <t>05/31/2014 20:00 PDT</t>
  </si>
  <si>
    <t>05/31/2014 20:15 PDT</t>
  </si>
  <si>
    <t>05/31/2014 20:30 PDT</t>
  </si>
  <si>
    <t>05/31/2014 20:45 PDT</t>
  </si>
  <si>
    <t>05/31/2014 21:00 PDT</t>
  </si>
  <si>
    <t>05/31/2014 21:15 PDT</t>
  </si>
  <si>
    <t>05/31/2014 21:30 PDT</t>
  </si>
  <si>
    <t>05/31/2014 21:45 PDT</t>
  </si>
  <si>
    <t>05/31/2014 22:00 PDT</t>
  </si>
  <si>
    <t>05/31/2014 22:15 PDT</t>
  </si>
  <si>
    <t>05/31/2014 22:30 PDT</t>
  </si>
  <si>
    <t>05/31/2014 22:45 PDT</t>
  </si>
  <si>
    <t>05/31/2014 23:00 PDT</t>
  </si>
  <si>
    <t>05/31/2014 23:15 PDT</t>
  </si>
  <si>
    <t>05/31/2014 23:30 PDT</t>
  </si>
  <si>
    <t>05/31/2014 23:45 PDT</t>
  </si>
  <si>
    <t>06/01/2014 00:00 PDT</t>
  </si>
  <si>
    <t>06/01/2014 00:15 PDT</t>
  </si>
  <si>
    <t>06/01/2014 00:30 PDT</t>
  </si>
  <si>
    <t>06/01/2014 00:45 PDT</t>
  </si>
  <si>
    <t>06/01/2014 01:00 PDT</t>
  </si>
  <si>
    <t>06/01/2014 01:15 PDT</t>
  </si>
  <si>
    <t>06/01/2014 01:30 PDT</t>
  </si>
  <si>
    <t>06/01/2014 01:45 PDT</t>
  </si>
  <si>
    <t>06/01/2014 02:00 PDT</t>
  </si>
  <si>
    <t>06/01/2014 02:15 PDT</t>
  </si>
  <si>
    <t>06/01/2014 02:30 PDT</t>
  </si>
  <si>
    <t>06/01/2014 02:45 PDT</t>
  </si>
  <si>
    <t>06/01/2014 03:00 PDT</t>
  </si>
  <si>
    <t>06/01/2014 03:15 PDT</t>
  </si>
  <si>
    <t>06/01/2014 03:30 PDT</t>
  </si>
  <si>
    <t>06/01/2014 03:45 PDT</t>
  </si>
  <si>
    <t>06/01/2014 04:00 PDT</t>
  </si>
  <si>
    <t>06/01/2014 04:15 PDT</t>
  </si>
  <si>
    <t>06/01/2014 04:30 PDT</t>
  </si>
  <si>
    <t>06/01/2014 04:45 PDT</t>
  </si>
  <si>
    <t>06/01/2014 05:00 PDT</t>
  </si>
  <si>
    <t>06/01/2014 05:15 PDT</t>
  </si>
  <si>
    <t>06/01/2014 05:30 PDT</t>
  </si>
  <si>
    <t>06/01/2014 05:45 PDT</t>
  </si>
  <si>
    <t>06/01/2014 06:00 PDT</t>
  </si>
  <si>
    <t>06/01/2014 06:15 PDT</t>
  </si>
  <si>
    <t>06/01/2014 06:30 PDT</t>
  </si>
  <si>
    <t>06/01/2014 06:45 PDT</t>
  </si>
  <si>
    <t>06/01/2014 07:00 PDT</t>
  </si>
  <si>
    <t>06/01/2014 07:15 PDT</t>
  </si>
  <si>
    <t>06/01/2014 07:30 PDT</t>
  </si>
  <si>
    <t>06/01/2014 07:45 PDT</t>
  </si>
  <si>
    <t>06/01/2014 08:00 PDT</t>
  </si>
  <si>
    <t>06/01/2014 08:15 PDT</t>
  </si>
  <si>
    <t>06/01/2014 08:30 PDT</t>
  </si>
  <si>
    <t>06/01/2014 08:45 PDT</t>
  </si>
  <si>
    <t>06/01/2014 09:00 PDT</t>
  </si>
  <si>
    <t>06/01/2014 09:15 PDT</t>
  </si>
  <si>
    <t>06/01/2014 09:30 PDT</t>
  </si>
  <si>
    <t>06/01/2014 09:45 PDT</t>
  </si>
  <si>
    <t>06/01/2014 10:00 PDT</t>
  </si>
  <si>
    <t>06/01/2014 10:15 PDT</t>
  </si>
  <si>
    <t>06/01/2014 10:30 PDT</t>
  </si>
  <si>
    <t>06/01/2014 10:45 PDT</t>
  </si>
  <si>
    <t>06/01/2014 11:00 PDT</t>
  </si>
  <si>
    <t>06/01/2014 11:15 PDT</t>
  </si>
  <si>
    <t>06/01/2014 11:30 PDT</t>
  </si>
  <si>
    <t>06/01/2014 11:45 PDT</t>
  </si>
  <si>
    <t>06/01/2014 12:00 PDT</t>
  </si>
  <si>
    <t>06/01/2014 12:15 PDT</t>
  </si>
  <si>
    <t>06/01/2014 12:30 PDT</t>
  </si>
  <si>
    <t>06/01/2014 12:45 PDT</t>
  </si>
  <si>
    <t>06/01/2014 13:00 PDT</t>
  </si>
  <si>
    <t>06/01/2014 13:15 PDT</t>
  </si>
  <si>
    <t>06/01/2014 13:30 PDT</t>
  </si>
  <si>
    <t>06/01/2014 13:45 PDT</t>
  </si>
  <si>
    <t>06/01/2014 14:00 PDT</t>
  </si>
  <si>
    <t>06/01/2014 14:15 PDT</t>
  </si>
  <si>
    <t>06/01/2014 14:30 PDT</t>
  </si>
  <si>
    <t>06/01/2014 14:45 PDT</t>
  </si>
  <si>
    <t>06/01/2014 15:00 PDT</t>
  </si>
  <si>
    <t>06/01/2014 15:15 PDT</t>
  </si>
  <si>
    <t>06/01/2014 15:30 PDT</t>
  </si>
  <si>
    <t>06/01/2014 15:45 PDT</t>
  </si>
  <si>
    <t>06/01/2014 16:00 PDT</t>
  </si>
  <si>
    <t>06/01/2014 16:15 PDT</t>
  </si>
  <si>
    <t>06/01/2014 16:30 PDT</t>
  </si>
  <si>
    <t>06/01/2014 16:45 PDT</t>
  </si>
  <si>
    <t>06/01/2014 17:00 PDT</t>
  </si>
  <si>
    <t>06/01/2014 17:15 PDT</t>
  </si>
  <si>
    <t>06/01/2014 17:30 PDT</t>
  </si>
  <si>
    <t>06/01/2014 17:45 PDT</t>
  </si>
  <si>
    <t>06/01/2014 18:00 PDT</t>
  </si>
  <si>
    <t>06/01/2014 18:15 PDT</t>
  </si>
  <si>
    <t>06/01/2014 18:30 PDT</t>
  </si>
  <si>
    <t>06/01/2014 18:45 PDT</t>
  </si>
  <si>
    <t>06/01/2014 19:00 PDT</t>
  </si>
  <si>
    <t>06/01/2014 19:15 PDT</t>
  </si>
  <si>
    <t>06/01/2014 19:30 PDT</t>
  </si>
  <si>
    <t>06/01/2014 19:45 PDT</t>
  </si>
  <si>
    <t>06/01/2014 20:00 PDT</t>
  </si>
  <si>
    <t>06/01/2014 20:15 PDT</t>
  </si>
  <si>
    <t>06/01/2014 20:30 PDT</t>
  </si>
  <si>
    <t>06/01/2014 20:45 PDT</t>
  </si>
  <si>
    <t>06/01/2014 21:00 PDT</t>
  </si>
  <si>
    <t>06/01/2014 21:15 PDT</t>
  </si>
  <si>
    <t>06/01/2014 21:30 PDT</t>
  </si>
  <si>
    <t>06/01/2014 21:45 PDT</t>
  </si>
  <si>
    <t>06/01/2014 22:00 PDT</t>
  </si>
  <si>
    <t>06/01/2014 22:15 PDT</t>
  </si>
  <si>
    <t>06/01/2014 22:30 PDT</t>
  </si>
  <si>
    <t>06/01/2014 22:45 PDT</t>
  </si>
  <si>
    <t>06/01/2014 23:00 PDT</t>
  </si>
  <si>
    <t>06/01/2014 23:15 PDT</t>
  </si>
  <si>
    <t>06/01/2014 23:30 PDT</t>
  </si>
  <si>
    <t>06/01/2014 23:45 PDT</t>
  </si>
  <si>
    <t>06/02/2014 00:00 PDT</t>
  </si>
  <si>
    <t>06/02/2014 00:15 PDT</t>
  </si>
  <si>
    <t>06/02/2014 00:30 PDT</t>
  </si>
  <si>
    <t>06/02/2014 00:45 PDT</t>
  </si>
  <si>
    <t>06/02/2014 01:00 PDT</t>
  </si>
  <si>
    <t>06/02/2014 01:15 PDT</t>
  </si>
  <si>
    <t>06/02/2014 01:30 PDT</t>
  </si>
  <si>
    <t>06/02/2014 01:45 PDT</t>
  </si>
  <si>
    <t>06/02/2014 02:00 PDT</t>
  </si>
  <si>
    <t>06/02/2014 02:15 PDT</t>
  </si>
  <si>
    <t>06/02/2014 02:30 PDT</t>
  </si>
  <si>
    <t>06/02/2014 02:45 PDT</t>
  </si>
  <si>
    <t>06/02/2014 03:00 PDT</t>
  </si>
  <si>
    <t>06/02/2014 03:15 PDT</t>
  </si>
  <si>
    <t>06/02/2014 03:30 PDT</t>
  </si>
  <si>
    <t>06/02/2014 03:45 PDT</t>
  </si>
  <si>
    <t>06/02/2014 04:00 PDT</t>
  </si>
  <si>
    <t>06/02/2014 04:15 PDT</t>
  </si>
  <si>
    <t>06/02/2014 04:30 PDT</t>
  </si>
  <si>
    <t>06/02/2014 04:45 PDT</t>
  </si>
  <si>
    <t>06/02/2014 05:00 PDT</t>
  </si>
  <si>
    <t>06/02/2014 05:15 PDT</t>
  </si>
  <si>
    <t>06/02/2014 05:30 PDT</t>
  </si>
  <si>
    <t>06/02/2014 05:45 PDT</t>
  </si>
  <si>
    <t>06/02/2014 06:00 PDT</t>
  </si>
  <si>
    <t>06/02/2014 06:15 PDT</t>
  </si>
  <si>
    <t>06/02/2014 06:30 PDT</t>
  </si>
  <si>
    <t>06/02/2014 06:45 PDT</t>
  </si>
  <si>
    <t>06/02/2014 07:00 PDT</t>
  </si>
  <si>
    <t>06/02/2014 07:15 PDT</t>
  </si>
  <si>
    <t>06/02/2014 07:30 PDT</t>
  </si>
  <si>
    <t>06/02/2014 07:45 PDT</t>
  </si>
  <si>
    <t>06/02/2014 08:00 PDT</t>
  </si>
  <si>
    <t>06/02/2014 08:15 PDT</t>
  </si>
  <si>
    <t>06/02/2014 08:30 PDT</t>
  </si>
  <si>
    <t>06/02/2014 08:45 PDT</t>
  </si>
  <si>
    <t>06/02/2014 09:00 PDT</t>
  </si>
  <si>
    <t>06/02/2014 09:15 PDT</t>
  </si>
  <si>
    <t>06/02/2014 09:30 PDT</t>
  </si>
  <si>
    <t>06/02/2014 09:45 PDT</t>
  </si>
  <si>
    <t>06/02/2014 10:00 PDT</t>
  </si>
  <si>
    <t>06/02/2014 10:15 PDT</t>
  </si>
  <si>
    <t>06/02/2014 10:30 PDT</t>
  </si>
  <si>
    <t>06/02/2014 10:45 PDT</t>
  </si>
  <si>
    <t>06/02/2014 11:00 PDT</t>
  </si>
  <si>
    <t>06/02/2014 11:15 PDT</t>
  </si>
  <si>
    <t>06/02/2014 11:30 PDT</t>
  </si>
  <si>
    <t>06/02/2014 11:45 PDT</t>
  </si>
  <si>
    <t>06/02/2014 12:00 PDT</t>
  </si>
  <si>
    <t>06/02/2014 12:15 PDT</t>
  </si>
  <si>
    <t>06/02/2014 12:30 PDT</t>
  </si>
  <si>
    <t>06/02/2014 12:45 PDT</t>
  </si>
  <si>
    <t>06/02/2014 13:00 PDT</t>
  </si>
  <si>
    <t>06/02/2014 13:15 PDT</t>
  </si>
  <si>
    <t>06/02/2014 13:30 PDT</t>
  </si>
  <si>
    <t>06/02/2014 13:45 PDT</t>
  </si>
  <si>
    <t>06/02/2014 14:00 PDT</t>
  </si>
  <si>
    <t>06/02/2014 14:15 PDT</t>
  </si>
  <si>
    <t>06/02/2014 14:30 PDT</t>
  </si>
  <si>
    <t>06/02/2014 14:45 PDT</t>
  </si>
  <si>
    <t>06/02/2014 15:00 PDT</t>
  </si>
  <si>
    <t>06/02/2014 15:15 PDT</t>
  </si>
  <si>
    <t>06/02/2014 15:30 PDT</t>
  </si>
  <si>
    <t>06/02/2014 15:45 PDT</t>
  </si>
  <si>
    <t>06/02/2014 16:00 PDT</t>
  </si>
  <si>
    <t>06/02/2014 16:15 PDT</t>
  </si>
  <si>
    <t>06/02/2014 16:30 PDT</t>
  </si>
  <si>
    <t>06/02/2014 16:45 PDT</t>
  </si>
  <si>
    <t>06/02/2014 17:00 PDT</t>
  </si>
  <si>
    <t>06/02/2014 17:15 PDT</t>
  </si>
  <si>
    <t>06/02/2014 17:30 PDT</t>
  </si>
  <si>
    <t>06/02/2014 17:45 PDT</t>
  </si>
  <si>
    <t>06/02/2014 18:00 PDT</t>
  </si>
  <si>
    <t>06/02/2014 18:15 PDT</t>
  </si>
  <si>
    <t>06/02/2014 18:30 PDT</t>
  </si>
  <si>
    <t>06/02/2014 18:45 PDT</t>
  </si>
  <si>
    <t>06/02/2014 19:00 PDT</t>
  </si>
  <si>
    <t>06/02/2014 19:15 PDT</t>
  </si>
  <si>
    <t>06/02/2014 19:30 PDT</t>
  </si>
  <si>
    <t>06/02/2014 19:45 PDT</t>
  </si>
  <si>
    <t>06/02/2014 20:00 PDT</t>
  </si>
  <si>
    <t>06/02/2014 20:15 PDT</t>
  </si>
  <si>
    <t>06/02/2014 20:30 PDT</t>
  </si>
  <si>
    <t>06/02/2014 20:45 PDT</t>
  </si>
  <si>
    <t>06/02/2014 21:00 PDT</t>
  </si>
  <si>
    <t>06/02/2014 21:15 PDT</t>
  </si>
  <si>
    <t>06/02/2014 21:30 PDT</t>
  </si>
  <si>
    <t>06/02/2014 21:45 PDT</t>
  </si>
  <si>
    <t>06/02/2014 22:00 PDT</t>
  </si>
  <si>
    <t>06/02/2014 22:15 PDT</t>
  </si>
  <si>
    <t>06/02/2014 22:30 PDT</t>
  </si>
  <si>
    <t>06/02/2014 22:45 PDT</t>
  </si>
  <si>
    <t>06/02/2014 23:00 PDT</t>
  </si>
  <si>
    <t>06/02/2014 23:15 PDT</t>
  </si>
  <si>
    <t>06/02/2014 23:30 PDT</t>
  </si>
  <si>
    <t>06/02/2014 23:45 PDT</t>
  </si>
  <si>
    <t>06/03/2014 00:00 PDT</t>
  </si>
  <si>
    <t>06/03/2014 00:15 PDT</t>
  </si>
  <si>
    <t>06/03/2014 00:30 PDT</t>
  </si>
  <si>
    <t>06/03/2014 00:45 PDT</t>
  </si>
  <si>
    <t>06/03/2014 01:00 PDT</t>
  </si>
  <si>
    <t>06/03/2014 01:15 PDT</t>
  </si>
  <si>
    <t>06/03/2014 01:30 PDT</t>
  </si>
  <si>
    <t>06/03/2014 01:45 PDT</t>
  </si>
  <si>
    <t>06/03/2014 02:00 PDT</t>
  </si>
  <si>
    <t>06/03/2014 02:15 PDT</t>
  </si>
  <si>
    <t>06/03/2014 02:30 PDT</t>
  </si>
  <si>
    <t>06/03/2014 02:45 PDT</t>
  </si>
  <si>
    <t>06/03/2014 03:00 PDT</t>
  </si>
  <si>
    <t>06/03/2014 03:15 PDT</t>
  </si>
  <si>
    <t>06/03/2014 03:30 PDT</t>
  </si>
  <si>
    <t>06/03/2014 03:45 PDT</t>
  </si>
  <si>
    <t>06/03/2014 04:00 PDT</t>
  </si>
  <si>
    <t>06/03/2014 04:15 PDT</t>
  </si>
  <si>
    <t>06/03/2014 04:30 PDT</t>
  </si>
  <si>
    <t>06/03/2014 04:45 PDT</t>
  </si>
  <si>
    <t>06/03/2014 05:00 PDT</t>
  </si>
  <si>
    <t>06/03/2014 05:15 PDT</t>
  </si>
  <si>
    <t>06/03/2014 05:30 PDT</t>
  </si>
  <si>
    <t>06/03/2014 05:45 PDT</t>
  </si>
  <si>
    <t>06/03/2014 06:00 PDT</t>
  </si>
  <si>
    <t>06/03/2014 06:15 PDT</t>
  </si>
  <si>
    <t>06/03/2014 06:30 PDT</t>
  </si>
  <si>
    <t>06/03/2014 06:45 PDT</t>
  </si>
  <si>
    <t>06/03/2014 07:00 PDT</t>
  </si>
  <si>
    <t>06/03/2014 07:15 PDT</t>
  </si>
  <si>
    <t>06/03/2014 07:30 PDT</t>
  </si>
  <si>
    <t>06/03/2014 07:45 PDT</t>
  </si>
  <si>
    <t>06/03/2014 08:00 PDT</t>
  </si>
  <si>
    <t>06/03/2014 08:15 PDT</t>
  </si>
  <si>
    <t>06/03/2014 08:30 PDT</t>
  </si>
  <si>
    <t>06/03/2014 08:45 PDT</t>
  </si>
  <si>
    <t>06/03/2014 09:00 PDT</t>
  </si>
  <si>
    <t>06/03/2014 09:15 PDT</t>
  </si>
  <si>
    <t>06/03/2014 09:30 PDT</t>
  </si>
  <si>
    <t>06/03/2014 09:45 PDT</t>
  </si>
  <si>
    <t>06/03/2014 10:00 PDT</t>
  </si>
  <si>
    <t>06/03/2014 10:15 PDT</t>
  </si>
  <si>
    <t>06/03/2014 10:30 PDT</t>
  </si>
  <si>
    <t>06/03/2014 10:45 PDT</t>
  </si>
  <si>
    <t>06/03/2014 11:00 PDT</t>
  </si>
  <si>
    <t>06/03/2014 11:15 PDT</t>
  </si>
  <si>
    <t>06/03/2014 11:30 PDT</t>
  </si>
  <si>
    <t>06/03/2014 11:45 PDT</t>
  </si>
  <si>
    <t>06/03/2014 12:00 PDT</t>
  </si>
  <si>
    <t>06/03/2014 12:15 PDT</t>
  </si>
  <si>
    <t>06/03/2014 12:30 PDT</t>
  </si>
  <si>
    <t>06/03/2014 12:45 PDT</t>
  </si>
  <si>
    <t>06/03/2014 13:00 PDT</t>
  </si>
  <si>
    <t>06/03/2014 13:15 PDT</t>
  </si>
  <si>
    <t>06/03/2014 13:30 PDT</t>
  </si>
  <si>
    <t>06/03/2014 13:45 PDT</t>
  </si>
  <si>
    <t>06/03/2014 14:00 PDT</t>
  </si>
  <si>
    <t>06/03/2014 14:15 PDT</t>
  </si>
  <si>
    <t>06/03/2014 14:30 PDT</t>
  </si>
  <si>
    <t>06/03/2014 14:45 PDT</t>
  </si>
  <si>
    <t>06/03/2014 15:00 PDT</t>
  </si>
  <si>
    <t>06/03/2014 15:15 PDT</t>
  </si>
  <si>
    <t>06/03/2014 15:30 PDT</t>
  </si>
  <si>
    <t>06/03/2014 15:45 PDT</t>
  </si>
  <si>
    <t>06/03/2014 16:00 PDT</t>
  </si>
  <si>
    <t>06/03/2014 16:15 PDT</t>
  </si>
  <si>
    <t>06/03/2014 16:30 PDT</t>
  </si>
  <si>
    <t>06/03/2014 16:45 PDT</t>
  </si>
  <si>
    <t>06/03/2014 17:00 PDT</t>
  </si>
  <si>
    <t>06/03/2014 17:15 PDT</t>
  </si>
  <si>
    <t>06/03/2014 17:30 PDT</t>
  </si>
  <si>
    <t>06/03/2014 17:45 PDT</t>
  </si>
  <si>
    <t>06/03/2014 18:00 PDT</t>
  </si>
  <si>
    <t>06/03/2014 18:15 PDT</t>
  </si>
  <si>
    <t>06/03/2014 18:30 PDT</t>
  </si>
  <si>
    <t>06/03/2014 18:45 PDT</t>
  </si>
  <si>
    <t>06/03/2014 19:00 PDT</t>
  </si>
  <si>
    <t>06/03/2014 19:15 PDT</t>
  </si>
  <si>
    <t>06/03/2014 19:30 PDT</t>
  </si>
  <si>
    <t>06/03/2014 19:45 PDT</t>
  </si>
  <si>
    <t>06/03/2014 20:00 PDT</t>
  </si>
  <si>
    <t>06/03/2014 20:15 PDT</t>
  </si>
  <si>
    <t>06/03/2014 20:30 PDT</t>
  </si>
  <si>
    <t>06/03/2014 20:45 PDT</t>
  </si>
  <si>
    <t>06/03/2014 21:00 PDT</t>
  </si>
  <si>
    <t>06/03/2014 21:15 PDT</t>
  </si>
  <si>
    <t>06/03/2014 21:30 PDT</t>
  </si>
  <si>
    <t>06/03/2014 21:45 PDT</t>
  </si>
  <si>
    <t>06/03/2014 22:00 PDT</t>
  </si>
  <si>
    <t>06/03/2014 22:15 PDT</t>
  </si>
  <si>
    <t>06/03/2014 22:30 PDT</t>
  </si>
  <si>
    <t>06/03/2014 22:45 PDT</t>
  </si>
  <si>
    <t>06/03/2014 23:00 PDT</t>
  </si>
  <si>
    <t>06/03/2014 23:15 PDT</t>
  </si>
  <si>
    <t>06/03/2014 23:30 PDT</t>
  </si>
  <si>
    <t>06/03/2014 23:45 PDT</t>
  </si>
  <si>
    <t>06/04/2014 00:00 PDT</t>
  </si>
  <si>
    <t>06/04/2014 00:15 PDT</t>
  </si>
  <si>
    <t>06/04/2014 00:30 PDT</t>
  </si>
  <si>
    <t>06/04/2014 00:45 PDT</t>
  </si>
  <si>
    <t>06/04/2014 01:00 PDT</t>
  </si>
  <si>
    <t>06/04/2014 01:15 PDT</t>
  </si>
  <si>
    <t>06/04/2014 01:30 PDT</t>
  </si>
  <si>
    <t>06/04/2014 01:45 PDT</t>
  </si>
  <si>
    <t>06/04/2014 02:00 PDT</t>
  </si>
  <si>
    <t>06/04/2014 02:15 PDT</t>
  </si>
  <si>
    <t>06/04/2014 02:30 PDT</t>
  </si>
  <si>
    <t>06/04/2014 02:45 PDT</t>
  </si>
  <si>
    <t>06/04/2014 03:00 PDT</t>
  </si>
  <si>
    <t>06/04/2014 03:15 PDT</t>
  </si>
  <si>
    <t>06/04/2014 03:30 PDT</t>
  </si>
  <si>
    <t>06/04/2014 03:45 PDT</t>
  </si>
  <si>
    <t>06/04/2014 04:00 PDT</t>
  </si>
  <si>
    <t>06/04/2014 04:15 PDT</t>
  </si>
  <si>
    <t>06/04/2014 04:30 PDT</t>
  </si>
  <si>
    <t>06/04/2014 04:45 PDT</t>
  </si>
  <si>
    <t>06/04/2014 05:00 PDT</t>
  </si>
  <si>
    <t>06/04/2014 05:15 PDT</t>
  </si>
  <si>
    <t>06/04/2014 05:30 PDT</t>
  </si>
  <si>
    <t>06/04/2014 05:45 PDT</t>
  </si>
  <si>
    <t>06/04/2014 06:00 PDT</t>
  </si>
  <si>
    <t>06/04/2014 06:15 PDT</t>
  </si>
  <si>
    <t>06/04/2014 06:30 PDT</t>
  </si>
  <si>
    <t>06/04/2014 06:45 PDT</t>
  </si>
  <si>
    <t>06/04/2014 07:00 PDT</t>
  </si>
  <si>
    <t>06/04/2014 07:15 PDT</t>
  </si>
  <si>
    <t>06/04/2014 07:30 PDT</t>
  </si>
  <si>
    <t>06/04/2014 07:45 PDT</t>
  </si>
  <si>
    <t>06/04/2014 08:00 PDT</t>
  </si>
  <si>
    <t>06/04/2014 08:15 PDT</t>
  </si>
  <si>
    <t>06/04/2014 08:30 PDT</t>
  </si>
  <si>
    <t>06/04/2014 08:45 PDT</t>
  </si>
  <si>
    <t>06/04/2014 09:00 PDT</t>
  </si>
  <si>
    <t>06/04/2014 09:15 PDT</t>
  </si>
  <si>
    <t>06/04/2014 09:30 PDT</t>
  </si>
  <si>
    <t>06/04/2014 09:45 PDT</t>
  </si>
  <si>
    <t>06/04/2014 10:00 PDT</t>
  </si>
  <si>
    <t>06/04/2014 10:15 PDT</t>
  </si>
  <si>
    <t>06/04/2014 10:30 PDT</t>
  </si>
  <si>
    <t>06/04/2014 10:45 PDT</t>
  </si>
  <si>
    <t>06/04/2014 11:00 PDT</t>
  </si>
  <si>
    <t>06/04/2014 11:15 PDT</t>
  </si>
  <si>
    <t>06/04/2014 11:30 PDT</t>
  </si>
  <si>
    <t>06/04/2014 11:45 PDT</t>
  </si>
  <si>
    <t>06/04/2014 12:00 PDT</t>
  </si>
  <si>
    <t>06/04/2014 12:15 PDT</t>
  </si>
  <si>
    <t>06/04/2014 12:30 PDT</t>
  </si>
  <si>
    <t>06/04/2014 12:45 PDT</t>
  </si>
  <si>
    <t>06/04/2014 13:00 PDT</t>
  </si>
  <si>
    <t>06/04/2014 13:15 PDT</t>
  </si>
  <si>
    <t>06/04/2014 13:30 PDT</t>
  </si>
  <si>
    <t>06/04/2014 13:45 PDT</t>
  </si>
  <si>
    <t>06/04/2014 14:00 PDT</t>
  </si>
  <si>
    <t>06/04/2014 14:15 PDT</t>
  </si>
  <si>
    <t>06/04/2014 14:30 PDT</t>
  </si>
  <si>
    <t>06/04/2014 14:45 PDT</t>
  </si>
  <si>
    <t>06/04/2014 15:00 PDT</t>
  </si>
  <si>
    <t>06/04/2014 15:15 PDT</t>
  </si>
  <si>
    <t>06/04/2014 15:30 PDT</t>
  </si>
  <si>
    <t>06/04/2014 15:45 PDT</t>
  </si>
  <si>
    <t>06/04/2014 16:00 PDT</t>
  </si>
  <si>
    <t>06/04/2014 16:15 PDT</t>
  </si>
  <si>
    <t>06/04/2014 16:30 PDT</t>
  </si>
  <si>
    <t>06/04/2014 16:45 PDT</t>
  </si>
  <si>
    <t>06/04/2014 17:00 PDT</t>
  </si>
  <si>
    <t>06/04/2014 17:15 PDT</t>
  </si>
  <si>
    <t>06/04/2014 17:30 PDT</t>
  </si>
  <si>
    <t>06/04/2014 17:45 PDT</t>
  </si>
  <si>
    <t>06/04/2014 18:00 PDT</t>
  </si>
  <si>
    <t>06/04/2014 18:15 PDT</t>
  </si>
  <si>
    <t>06/04/2014 18:30 PDT</t>
  </si>
  <si>
    <t>06/04/2014 18:45 PDT</t>
  </si>
  <si>
    <t>06/04/2014 19:00 PDT</t>
  </si>
  <si>
    <t>06/04/2014 19:15 PDT</t>
  </si>
  <si>
    <t>06/04/2014 19:30 PDT</t>
  </si>
  <si>
    <t>06/04/2014 19:45 PDT</t>
  </si>
  <si>
    <t>06/04/2014 20:00 PDT</t>
  </si>
  <si>
    <t>06/04/2014 20:15 PDT</t>
  </si>
  <si>
    <t>06/04/2014 20:30 PDT</t>
  </si>
  <si>
    <t>06/04/2014 20:45 PDT</t>
  </si>
  <si>
    <t>06/04/2014 21:00 PDT</t>
  </si>
  <si>
    <t>06/04/2014 21:15 PDT</t>
  </si>
  <si>
    <t>06/04/2014 21:30 PDT</t>
  </si>
  <si>
    <t>06/04/2014 21:45 PDT</t>
  </si>
  <si>
    <t>06/04/2014 22:00 PDT</t>
  </si>
  <si>
    <t>06/04/2014 22:15 PDT</t>
  </si>
  <si>
    <t>06/04/2014 22:30 PDT</t>
  </si>
  <si>
    <t>06/04/2014 22:45 PDT</t>
  </si>
  <si>
    <t>06/04/2014 23:00 PDT</t>
  </si>
  <si>
    <t>06/04/2014 23:15 PDT</t>
  </si>
  <si>
    <t>06/04/2014 23:30 PDT</t>
  </si>
  <si>
    <t>06/04/2014 23:45 PDT</t>
  </si>
  <si>
    <t>06/05/2014 00:00 PDT</t>
  </si>
  <si>
    <t>06/05/2014 00:15 PDT</t>
  </si>
  <si>
    <t>06/05/2014 00:30 PDT</t>
  </si>
  <si>
    <t>06/05/2014 00:45 PDT</t>
  </si>
  <si>
    <t>06/05/2014 01:00 PDT</t>
  </si>
  <si>
    <t>06/05/2014 01:15 PDT</t>
  </si>
  <si>
    <t>06/05/2014 01:30 PDT</t>
  </si>
  <si>
    <t>06/05/2014 01:45 PDT</t>
  </si>
  <si>
    <t>06/05/2014 02:00 PDT</t>
  </si>
  <si>
    <t>06/05/2014 02:15 PDT</t>
  </si>
  <si>
    <t>06/05/2014 02:30 PDT</t>
  </si>
  <si>
    <t>06/05/2014 02:45 PDT</t>
  </si>
  <si>
    <t>06/05/2014 03:00 PDT</t>
  </si>
  <si>
    <t>06/05/2014 03:15 PDT</t>
  </si>
  <si>
    <t>06/05/2014 03:30 PDT</t>
  </si>
  <si>
    <t>06/05/2014 03:45 PDT</t>
  </si>
  <si>
    <t>06/05/2014 04:00 PDT</t>
  </si>
  <si>
    <t>06/05/2014 04:15 PDT</t>
  </si>
  <si>
    <t>06/05/2014 04:30 PDT</t>
  </si>
  <si>
    <t>06/05/2014 04:45 PDT</t>
  </si>
  <si>
    <t>06/05/2014 05:00 PDT</t>
  </si>
  <si>
    <t>06/05/2014 05:15 PDT</t>
  </si>
  <si>
    <t>06/05/2014 05:30 PDT</t>
  </si>
  <si>
    <t>06/05/2014 05:45 PDT</t>
  </si>
  <si>
    <t>06/05/2014 06:00 PDT</t>
  </si>
  <si>
    <t>06/05/2014 06:15 PDT</t>
  </si>
  <si>
    <t>06/05/2014 06:30 PDT</t>
  </si>
  <si>
    <t>06/05/2014 06:45 PDT</t>
  </si>
  <si>
    <t>06/05/2014 07:00 PDT</t>
  </si>
  <si>
    <t>06/05/2014 07:15 PDT</t>
  </si>
  <si>
    <t>06/05/2014 07:30 PDT</t>
  </si>
  <si>
    <t>06/05/2014 07:45 PDT</t>
  </si>
  <si>
    <t>06/05/2014 08:00 PDT</t>
  </si>
  <si>
    <t>06/05/2014 08:15 PDT</t>
  </si>
  <si>
    <t>06/05/2014 08:30 PDT</t>
  </si>
  <si>
    <t>06/05/2014 08:45 PDT</t>
  </si>
  <si>
    <t>06/05/2014 09:00 PDT</t>
  </si>
  <si>
    <t>06/05/2014 09:15 PDT</t>
  </si>
  <si>
    <t>06/05/2014 09:30 PDT</t>
  </si>
  <si>
    <t>06/05/2014 09:45 PDT</t>
  </si>
  <si>
    <t>06/05/2014 10:00 PDT</t>
  </si>
  <si>
    <t>06/05/2014 10:15 PDT</t>
  </si>
  <si>
    <t>06/05/2014 10:30 PDT</t>
  </si>
  <si>
    <t>06/05/2014 10:45 PDT</t>
  </si>
  <si>
    <t>06/05/2014 11:00 PDT</t>
  </si>
  <si>
    <t>06/05/2014 11:15 PDT</t>
  </si>
  <si>
    <t>06/05/2014 11:30 PDT</t>
  </si>
  <si>
    <t>06/05/2014 11:45 PDT</t>
  </si>
  <si>
    <t>06/05/2014 12:00 PDT</t>
  </si>
  <si>
    <t>06/05/2014 12:15 PDT</t>
  </si>
  <si>
    <t>06/05/2014 12:30 PDT</t>
  </si>
  <si>
    <t>06/05/2014 12:45 PDT</t>
  </si>
  <si>
    <t>06/05/2014 13:00 PDT</t>
  </si>
  <si>
    <t>06/05/2014 13:15 PDT</t>
  </si>
  <si>
    <t>06/05/2014 13:30 PDT</t>
  </si>
  <si>
    <t>06/05/2014 13:45 PDT</t>
  </si>
  <si>
    <t>06/05/2014 14:00 PDT</t>
  </si>
  <si>
    <t>06/05/2014 14:15 PDT</t>
  </si>
  <si>
    <t>06/05/2014 14:30 PDT</t>
  </si>
  <si>
    <t>06/05/2014 14:45 PDT</t>
  </si>
  <si>
    <t>06/05/2014 15:00 PDT</t>
  </si>
  <si>
    <t>06/05/2014 15:15 PDT</t>
  </si>
  <si>
    <t>06/05/2014 15:30 PDT</t>
  </si>
  <si>
    <t>06/05/2014 15:45 PDT</t>
  </si>
  <si>
    <t>06/05/2014 16:00 PDT</t>
  </si>
  <si>
    <t>06/05/2014 16:15 PDT</t>
  </si>
  <si>
    <t>06/05/2014 16:30 PDT</t>
  </si>
  <si>
    <t>06/05/2014 16:45 PDT</t>
  </si>
  <si>
    <t>06/05/2014 17:00 PDT</t>
  </si>
  <si>
    <t>06/05/2014 17:15 PDT</t>
  </si>
  <si>
    <t>06/05/2014 17:30 PDT</t>
  </si>
  <si>
    <t>06/05/2014 17:45 PDT</t>
  </si>
  <si>
    <t>06/05/2014 18:00 PDT</t>
  </si>
  <si>
    <t>06/05/2014 18:15 PDT</t>
  </si>
  <si>
    <t>06/05/2014 18:30 PDT</t>
  </si>
  <si>
    <t>06/05/2014 18:45 PDT</t>
  </si>
  <si>
    <t>06/05/2014 19:00 PDT</t>
  </si>
  <si>
    <t>06/05/2014 19:15 PDT</t>
  </si>
  <si>
    <t>06/05/2014 19:30 PDT</t>
  </si>
  <si>
    <t>06/05/2014 19:45 PDT</t>
  </si>
  <si>
    <t>06/05/2014 20:00 PDT</t>
  </si>
  <si>
    <t>06/05/2014 20:15 PDT</t>
  </si>
  <si>
    <t>06/05/2014 20:30 PDT</t>
  </si>
  <si>
    <t>06/05/2014 20:45 PDT</t>
  </si>
  <si>
    <t>06/05/2014 21:00 PDT</t>
  </si>
  <si>
    <t>06/05/2014 21:15 PDT</t>
  </si>
  <si>
    <t>06/05/2014 21:30 PDT</t>
  </si>
  <si>
    <t>06/05/2014 21:45 PDT</t>
  </si>
  <si>
    <t>06/05/2014 22:00 PDT</t>
  </si>
  <si>
    <t>06/05/2014 22:15 PDT</t>
  </si>
  <si>
    <t>06/05/2014 22:30 PDT</t>
  </si>
  <si>
    <t>06/05/2014 22:45 PDT</t>
  </si>
  <si>
    <t>06/05/2014 23:00 PDT</t>
  </si>
  <si>
    <t>06/05/2014 23:15 PDT</t>
  </si>
  <si>
    <t>06/05/2014 23:30 PDT</t>
  </si>
  <si>
    <t>06/05/2014 23:45 PDT</t>
  </si>
  <si>
    <t>06/06/2014 00:00 PDT</t>
  </si>
  <si>
    <t>06/06/2014 00:15 PDT</t>
  </si>
  <si>
    <t>06/06/2014 00:30 PDT</t>
  </si>
  <si>
    <t>06/06/2014 00:45 PDT</t>
  </si>
  <si>
    <t>06/06/2014 01:00 PDT</t>
  </si>
  <si>
    <t>06/06/2014 01:15 PDT</t>
  </si>
  <si>
    <t>06/06/2014 01:30 PDT</t>
  </si>
  <si>
    <t>06/06/2014 01:45 PDT</t>
  </si>
  <si>
    <t>06/06/2014 02:00 PDT</t>
  </si>
  <si>
    <t>06/06/2014 02:15 PDT</t>
  </si>
  <si>
    <t>06/06/2014 02:30 PDT</t>
  </si>
  <si>
    <t>06/06/2014 02:45 PDT</t>
  </si>
  <si>
    <t>06/06/2014 03:00 PDT</t>
  </si>
  <si>
    <t>06/06/2014 03:15 PDT</t>
  </si>
  <si>
    <t>06/06/2014 03:30 PDT</t>
  </si>
  <si>
    <t>06/06/2014 03:45 PDT</t>
  </si>
  <si>
    <t>06/06/2014 04:00 PDT</t>
  </si>
  <si>
    <t>06/06/2014 04:15 PDT</t>
  </si>
  <si>
    <t>06/06/2014 04:30 PDT</t>
  </si>
  <si>
    <t>06/06/2014 04:45 PDT</t>
  </si>
  <si>
    <t>06/06/2014 05:00 PDT</t>
  </si>
  <si>
    <t>06/06/2014 05:15 PDT</t>
  </si>
  <si>
    <t>06/06/2014 05:30 PDT</t>
  </si>
  <si>
    <t>06/06/2014 05:45 PDT</t>
  </si>
  <si>
    <t>06/06/2014 06:00 PDT</t>
  </si>
  <si>
    <t>06/06/2014 06:15 PDT</t>
  </si>
  <si>
    <t>06/06/2014 06:30 PDT</t>
  </si>
  <si>
    <t>06/06/2014 06:45 PDT</t>
  </si>
  <si>
    <t>06/06/2014 07:00 PDT</t>
  </si>
  <si>
    <t>06/06/2014 07:15 PDT</t>
  </si>
  <si>
    <t>06/06/2014 07:30 PDT</t>
  </si>
  <si>
    <t>06/06/2014 07:45 PDT</t>
  </si>
  <si>
    <t>06/06/2014 08:00 PDT</t>
  </si>
  <si>
    <t>06/06/2014 08:15 PDT</t>
  </si>
  <si>
    <t>06/06/2014 08:30 PDT</t>
  </si>
  <si>
    <t>06/06/2014 08:45 PDT</t>
  </si>
  <si>
    <t>06/06/2014 09:00 PDT</t>
  </si>
  <si>
    <t>06/06/2014 09:15 PDT</t>
  </si>
  <si>
    <t>06/06/2014 09:30 PDT</t>
  </si>
  <si>
    <t>06/06/2014 09:45 PDT</t>
  </si>
  <si>
    <t>06/06/2014 10:00 PDT</t>
  </si>
  <si>
    <t>06/06/2014 10:15 PDT</t>
  </si>
  <si>
    <t>06/06/2014 10:30 PDT</t>
  </si>
  <si>
    <t>06/06/2014 10:45 PDT</t>
  </si>
  <si>
    <t>06/06/2014 11:00 PDT</t>
  </si>
  <si>
    <t>06/06/2014 11:15 PDT</t>
  </si>
  <si>
    <t>06/06/2014 11:30 PDT</t>
  </si>
  <si>
    <t>06/06/2014 11:45 PDT</t>
  </si>
  <si>
    <t>06/06/2014 12:00 PDT</t>
  </si>
  <si>
    <t>06/06/2014 12:15 PDT</t>
  </si>
  <si>
    <t>06/06/2014 12:30 PDT</t>
  </si>
  <si>
    <t>06/06/2014 12:45 PDT</t>
  </si>
  <si>
    <t>06/06/2014 13:00 PDT</t>
  </si>
  <si>
    <t>06/06/2014 13:15 PDT</t>
  </si>
  <si>
    <t>06/06/2014 13:30 PDT</t>
  </si>
  <si>
    <t>06/06/2014 13:45 PDT</t>
  </si>
  <si>
    <t>06/06/2014 14:00 PDT</t>
  </si>
  <si>
    <t>06/06/2014 14:15 PDT</t>
  </si>
  <si>
    <t>06/06/2014 14:30 PDT</t>
  </si>
  <si>
    <t>06/06/2014 14:45 PDT</t>
  </si>
  <si>
    <t>06/06/2014 15:00 PDT</t>
  </si>
  <si>
    <t>06/06/2014 15:15 PDT</t>
  </si>
  <si>
    <t>06/06/2014 15:30 PDT</t>
  </si>
  <si>
    <t>06/06/2014 15:45 PDT</t>
  </si>
  <si>
    <t>06/06/2014 16:00 PDT</t>
  </si>
  <si>
    <t>06/06/2014 16:15 PDT</t>
  </si>
  <si>
    <t>06/06/2014 16:30 PDT</t>
  </si>
  <si>
    <t>06/06/2014 16:45 PDT</t>
  </si>
  <si>
    <t>06/06/2014 17:00 PDT</t>
  </si>
  <si>
    <t>06/06/2014 17:15 PDT</t>
  </si>
  <si>
    <t>06/06/2014 17:30 PDT</t>
  </si>
  <si>
    <t>06/06/2014 17:45 PDT</t>
  </si>
  <si>
    <t>06/06/2014 18:00 PDT</t>
  </si>
  <si>
    <t>06/06/2014 18:15 PDT</t>
  </si>
  <si>
    <t>06/06/2014 18:30 PDT</t>
  </si>
  <si>
    <t>06/06/2014 18:45 PDT</t>
  </si>
  <si>
    <t>06/06/2014 19:00 PDT</t>
  </si>
  <si>
    <t>06/06/2014 19:15 PDT</t>
  </si>
  <si>
    <t>06/06/2014 19:30 PDT</t>
  </si>
  <si>
    <t>06/06/2014 19:45 PDT</t>
  </si>
  <si>
    <t>06/06/2014 20:00 PDT</t>
  </si>
  <si>
    <t>06/06/2014 20:15 PDT</t>
  </si>
  <si>
    <t>06/06/2014 20:30 PDT</t>
  </si>
  <si>
    <t>06/06/2014 20:45 PDT</t>
  </si>
  <si>
    <t>06/06/2014 21:00 PDT</t>
  </si>
  <si>
    <t>06/06/2014 21:15 PDT</t>
  </si>
  <si>
    <t>06/06/2014 21:30 PDT</t>
  </si>
  <si>
    <t>06/06/2014 21:45 PDT</t>
  </si>
  <si>
    <t>06/06/2014 22:00 PDT</t>
  </si>
  <si>
    <t>06/06/2014 22:15 PDT</t>
  </si>
  <si>
    <t>06/06/2014 22:30 PDT</t>
  </si>
  <si>
    <t>06/06/2014 22:45 PDT</t>
  </si>
  <si>
    <t>06/06/2014 23:00 PDT</t>
  </si>
  <si>
    <t>06/06/2014 23:15 PDT</t>
  </si>
  <si>
    <t>06/06/2014 23:30 PDT</t>
  </si>
  <si>
    <t>06/06/2014 23:45 PDT</t>
  </si>
  <si>
    <t>06/07/2014 00:00 PDT</t>
  </si>
  <si>
    <t>06/07/2014 00:15 PDT</t>
  </si>
  <si>
    <t>06/07/2014 00:30 PDT</t>
  </si>
  <si>
    <t>06/07/2014 00:45 PDT</t>
  </si>
  <si>
    <t>06/07/2014 01:00 PDT</t>
  </si>
  <si>
    <t>06/07/2014 01:15 PDT</t>
  </si>
  <si>
    <t>06/07/2014 01:30 PDT</t>
  </si>
  <si>
    <t>06/07/2014 01:45 PDT</t>
  </si>
  <si>
    <t>06/07/2014 02:00 PDT</t>
  </si>
  <si>
    <t>06/07/2014 02:15 PDT</t>
  </si>
  <si>
    <t>06/07/2014 02:30 PDT</t>
  </si>
  <si>
    <t>06/07/2014 02:45 PDT</t>
  </si>
  <si>
    <t>06/07/2014 03:00 PDT</t>
  </si>
  <si>
    <t>06/07/2014 03:15 PDT</t>
  </si>
  <si>
    <t>06/07/2014 03:30 PDT</t>
  </si>
  <si>
    <t>06/07/2014 03:45 PDT</t>
  </si>
  <si>
    <t>06/07/2014 04:00 PDT</t>
  </si>
  <si>
    <t>06/07/2014 04:15 PDT</t>
  </si>
  <si>
    <t>06/07/2014 04:30 PDT</t>
  </si>
  <si>
    <t>06/07/2014 04:45 PDT</t>
  </si>
  <si>
    <t>06/07/2014 05:00 PDT</t>
  </si>
  <si>
    <t>06/07/2014 05:15 PDT</t>
  </si>
  <si>
    <t>06/07/2014 05:30 PDT</t>
  </si>
  <si>
    <t>06/07/2014 05:45 PDT</t>
  </si>
  <si>
    <t>06/07/2014 06:00 PDT</t>
  </si>
  <si>
    <t>06/07/2014 06:15 PDT</t>
  </si>
  <si>
    <t>06/07/2014 06:30 PDT</t>
  </si>
  <si>
    <t>06/07/2014 06:45 PDT</t>
  </si>
  <si>
    <t>06/07/2014 07:00 PDT</t>
  </si>
  <si>
    <t>06/07/2014 07:15 PDT</t>
  </si>
  <si>
    <t>06/07/2014 07:30 PDT</t>
  </si>
  <si>
    <t>06/07/2014 07:45 PDT</t>
  </si>
  <si>
    <t>06/07/2014 08:00 PDT</t>
  </si>
  <si>
    <t>06/07/2014 08:15 PDT</t>
  </si>
  <si>
    <t>06/07/2014 08:30 PDT</t>
  </si>
  <si>
    <t>06/07/2014 08:45 PDT</t>
  </si>
  <si>
    <t>06/07/2014 09:00 PDT</t>
  </si>
  <si>
    <t>06/07/2014 09:15 PDT</t>
  </si>
  <si>
    <t>06/07/2014 09:30 PDT</t>
  </si>
  <si>
    <t>06/07/2014 09:45 PDT</t>
  </si>
  <si>
    <t>06/07/2014 10:00 PDT</t>
  </si>
  <si>
    <t>06/07/2014 10:15 PDT</t>
  </si>
  <si>
    <t>06/07/2014 10:30 PDT</t>
  </si>
  <si>
    <t>06/07/2014 10:45 PDT</t>
  </si>
  <si>
    <t>06/07/2014 11:00 PDT</t>
  </si>
  <si>
    <t>06/07/2014 11:15 PDT</t>
  </si>
  <si>
    <t>06/07/2014 11:30 PDT</t>
  </si>
  <si>
    <t>06/07/2014 11:45 PDT</t>
  </si>
  <si>
    <t>06/07/2014 12:00 PDT</t>
  </si>
  <si>
    <t>06/07/2014 12:15 PDT</t>
  </si>
  <si>
    <t>06/07/2014 12:30 PDT</t>
  </si>
  <si>
    <t>06/07/2014 12:45 PDT</t>
  </si>
  <si>
    <t>06/07/2014 13:00 PDT</t>
  </si>
  <si>
    <t>06/07/2014 13:15 PDT</t>
  </si>
  <si>
    <t>06/07/2014 13:30 PDT</t>
  </si>
  <si>
    <t>06/07/2014 13:45 PDT</t>
  </si>
  <si>
    <t>06/07/2014 14:00 PDT</t>
  </si>
  <si>
    <t>06/07/2014 14:15 PDT</t>
  </si>
  <si>
    <t>06/07/2014 14:30 PDT</t>
  </si>
  <si>
    <t>06/07/2014 14:45 PDT</t>
  </si>
  <si>
    <t>06/07/2014 15:00 PDT</t>
  </si>
  <si>
    <t>06/07/2014 15:15 PDT</t>
  </si>
  <si>
    <t>06/07/2014 15:30 PDT</t>
  </si>
  <si>
    <t>06/07/2014 15:45 PDT</t>
  </si>
  <si>
    <t>06/07/2014 16:00 PDT</t>
  </si>
  <si>
    <t>06/07/2014 16:15 PDT</t>
  </si>
  <si>
    <t>06/07/2014 16:30 PDT</t>
  </si>
  <si>
    <t>06/07/2014 16:45 PDT</t>
  </si>
  <si>
    <t>06/07/2014 17:00 PDT</t>
  </si>
  <si>
    <t>06/07/2014 17:15 PDT</t>
  </si>
  <si>
    <t>06/07/2014 17:30 PDT</t>
  </si>
  <si>
    <t>06/07/2014 17:45 PDT</t>
  </si>
  <si>
    <t>06/07/2014 18:00 PDT</t>
  </si>
  <si>
    <t>06/07/2014 18:15 PDT</t>
  </si>
  <si>
    <t>06/07/2014 18:30 PDT</t>
  </si>
  <si>
    <t>06/07/2014 18:45 PDT</t>
  </si>
  <si>
    <t>06/07/2014 19:00 PDT</t>
  </si>
  <si>
    <t>06/07/2014 19:15 PDT</t>
  </si>
  <si>
    <t>06/07/2014 19:30 PDT</t>
  </si>
  <si>
    <t>06/07/2014 19:45 PDT</t>
  </si>
  <si>
    <t>06/07/2014 20:00 PDT</t>
  </si>
  <si>
    <t>06/07/2014 20:15 PDT</t>
  </si>
  <si>
    <t>06/07/2014 20:30 PDT</t>
  </si>
  <si>
    <t>06/07/2014 20:45 PDT</t>
  </si>
  <si>
    <t>06/07/2014 21:00 PDT</t>
  </si>
  <si>
    <t>06/07/2014 21:15 PDT</t>
  </si>
  <si>
    <t>06/07/2014 21:30 PDT</t>
  </si>
  <si>
    <t>06/07/2014 21:45 PDT</t>
  </si>
  <si>
    <t>06/07/2014 22:00 PDT</t>
  </si>
  <si>
    <t>06/07/2014 22:15 PDT</t>
  </si>
  <si>
    <t>06/07/2014 22:30 PDT</t>
  </si>
  <si>
    <t>06/07/2014 22:45 PDT</t>
  </si>
  <si>
    <t>06/07/2014 23:00 PDT</t>
  </si>
  <si>
    <t>06/07/2014 23:15 PDT</t>
  </si>
  <si>
    <t>06/07/2014 23:30 PDT</t>
  </si>
  <si>
    <t>06/07/2014 23:45 PDT</t>
  </si>
  <si>
    <t>06/08/2014 00:00 PDT</t>
  </si>
  <si>
    <t>06/08/2014 00:15 PDT</t>
  </si>
  <si>
    <t>06/08/2014 00:30 PDT</t>
  </si>
  <si>
    <t>06/08/2014 00:45 PDT</t>
  </si>
  <si>
    <t>06/08/2014 01:00 PDT</t>
  </si>
  <si>
    <t>06/08/2014 01:15 PDT</t>
  </si>
  <si>
    <t>06/08/2014 01:30 PDT</t>
  </si>
  <si>
    <t>06/08/2014 01:45 PDT</t>
  </si>
  <si>
    <t>06/08/2014 02:00 PDT</t>
  </si>
  <si>
    <t>06/08/2014 02:15 PDT</t>
  </si>
  <si>
    <t>06/08/2014 02:30 PDT</t>
  </si>
  <si>
    <t>06/08/2014 02:45 PDT</t>
  </si>
  <si>
    <t>06/08/2014 03:00 PDT</t>
  </si>
  <si>
    <t>06/08/2014 03:15 PDT</t>
  </si>
  <si>
    <t>06/08/2014 03:30 PDT</t>
  </si>
  <si>
    <t>06/08/2014 03:45 PDT</t>
  </si>
  <si>
    <t>06/08/2014 04:00 PDT</t>
  </si>
  <si>
    <t>06/08/2014 04:15 PDT</t>
  </si>
  <si>
    <t>06/08/2014 04:30 PDT</t>
  </si>
  <si>
    <t>06/08/2014 04:45 PDT</t>
  </si>
  <si>
    <t>06/08/2014 05:00 PDT</t>
  </si>
  <si>
    <t>06/08/2014 05:15 PDT</t>
  </si>
  <si>
    <t>06/08/2014 05:30 PDT</t>
  </si>
  <si>
    <t>06/08/2014 05:45 PDT</t>
  </si>
  <si>
    <t>06/08/2014 06:00 PDT</t>
  </si>
  <si>
    <t>06/08/2014 06:15 PDT</t>
  </si>
  <si>
    <t>06/08/2014 06:30 PDT</t>
  </si>
  <si>
    <t>06/08/2014 06:45 PDT</t>
  </si>
  <si>
    <t>06/08/2014 07:00 PDT</t>
  </si>
  <si>
    <t>06/08/2014 07:15 PDT</t>
  </si>
  <si>
    <t>06/08/2014 07:30 PDT</t>
  </si>
  <si>
    <t>06/08/2014 07:45 PDT</t>
  </si>
  <si>
    <t>06/08/2014 08:00 PDT</t>
  </si>
  <si>
    <t>06/08/2014 08:15 PDT</t>
  </si>
  <si>
    <t>06/08/2014 08:30 PDT</t>
  </si>
  <si>
    <t>06/08/2014 08:45 PDT</t>
  </si>
  <si>
    <t>06/08/2014 09:00 PDT</t>
  </si>
  <si>
    <t>06/08/2014 09:15 PDT</t>
  </si>
  <si>
    <t>06/08/2014 09:30 PDT</t>
  </si>
  <si>
    <t>06/08/2014 09:45 PDT</t>
  </si>
  <si>
    <t>06/08/2014 10:00 PDT</t>
  </si>
  <si>
    <t>06/08/2014 10:15 PDT</t>
  </si>
  <si>
    <t>06/08/2014 10:30 PDT</t>
  </si>
  <si>
    <t>06/08/2014 10:45 PDT</t>
  </si>
  <si>
    <t>06/08/2014 11:00 PDT</t>
  </si>
  <si>
    <t>06/08/2014 11:15 PDT</t>
  </si>
  <si>
    <t>06/08/2014 11:30 PDT</t>
  </si>
  <si>
    <t>06/08/2014 11:45 PDT</t>
  </si>
  <si>
    <t>06/08/2014 12:00 PDT</t>
  </si>
  <si>
    <t>06/08/2014 12:15 PDT</t>
  </si>
  <si>
    <t>06/08/2014 12:30 PDT</t>
  </si>
  <si>
    <t>06/08/2014 12:45 PDT</t>
  </si>
  <si>
    <t>06/08/2014 13:00 PDT</t>
  </si>
  <si>
    <t>06/08/2014 13:15 PDT</t>
  </si>
  <si>
    <t>06/08/2014 13:30 PDT</t>
  </si>
  <si>
    <t>06/08/2014 13:45 PDT</t>
  </si>
  <si>
    <t>06/08/2014 14:00 PDT</t>
  </si>
  <si>
    <t>06/08/2014 14:15 PDT</t>
  </si>
  <si>
    <t>06/08/2014 14:30 PDT</t>
  </si>
  <si>
    <t>06/08/2014 14:45 PDT</t>
  </si>
  <si>
    <t>06/08/2014 15:00 PDT</t>
  </si>
  <si>
    <t>06/08/2014 15:15 PDT</t>
  </si>
  <si>
    <t>06/08/2014 15:30 PDT</t>
  </si>
  <si>
    <t>06/08/2014 15:45 PDT</t>
  </si>
  <si>
    <t>06/08/2014 16:00 PDT</t>
  </si>
  <si>
    <t>06/08/2014 16:15 PDT</t>
  </si>
  <si>
    <t>06/08/2014 16:30 PDT</t>
  </si>
  <si>
    <t>06/08/2014 16:45 PDT</t>
  </si>
  <si>
    <t>06/08/2014 17:00 PDT</t>
  </si>
  <si>
    <t>06/08/2014 17:15 PDT</t>
  </si>
  <si>
    <t>06/08/2014 17:30 PDT</t>
  </si>
  <si>
    <t>06/08/2014 17:45 PDT</t>
  </si>
  <si>
    <t>06/08/2014 18:00 PDT</t>
  </si>
  <si>
    <t>06/08/2014 18:15 PDT</t>
  </si>
  <si>
    <t>06/08/2014 18:30 PDT</t>
  </si>
  <si>
    <t>06/08/2014 18:45 PDT</t>
  </si>
  <si>
    <t>06/08/2014 19:00 PDT</t>
  </si>
  <si>
    <t>06/08/2014 19:15 PDT</t>
  </si>
  <si>
    <t>06/08/2014 19:30 PDT</t>
  </si>
  <si>
    <t>06/08/2014 19:45 PDT</t>
  </si>
  <si>
    <t>06/08/2014 20:00 PDT</t>
  </si>
  <si>
    <t>06/08/2014 20:15 PDT</t>
  </si>
  <si>
    <t>06/08/2014 20:30 PDT</t>
  </si>
  <si>
    <t>06/08/2014 20:45 PDT</t>
  </si>
  <si>
    <t>06/08/2014 21:00 PDT</t>
  </si>
  <si>
    <t>06/08/2014 21:15 PDT</t>
  </si>
  <si>
    <t>06/08/2014 21:30 PDT</t>
  </si>
  <si>
    <t>06/08/2014 21:45 PDT</t>
  </si>
  <si>
    <t>06/08/2014 22:00 PDT</t>
  </si>
  <si>
    <t>06/08/2014 22:15 PDT</t>
  </si>
  <si>
    <t>06/08/2014 22:30 PDT</t>
  </si>
  <si>
    <t>06/08/2014 22:45 PDT</t>
  </si>
  <si>
    <t>06/08/2014 23:00 PDT</t>
  </si>
  <si>
    <t>06/08/2014 23:15 PDT</t>
  </si>
  <si>
    <t>06/08/2014 23:30 PDT</t>
  </si>
  <si>
    <t>06/08/2014 23:45 PDT</t>
  </si>
  <si>
    <t>06/09/2014 00:00 PDT</t>
  </si>
  <si>
    <t>06/09/2014 00:15 PDT</t>
  </si>
  <si>
    <t>06/09/2014 00:30 PDT</t>
  </si>
  <si>
    <t>06/09/2014 00:45 PDT</t>
  </si>
  <si>
    <t>06/09/2014 01:00 PDT</t>
  </si>
  <si>
    <t>06/09/2014 01:15 PDT</t>
  </si>
  <si>
    <t>06/09/2014 01:30 PDT</t>
  </si>
  <si>
    <t>06/09/2014 01:45 PDT</t>
  </si>
  <si>
    <t>06/09/2014 02:00 PDT</t>
  </si>
  <si>
    <t>06/09/2014 02:15 PDT</t>
  </si>
  <si>
    <t>06/09/2014 02:30 PDT</t>
  </si>
  <si>
    <t>06/09/2014 02:45 PDT</t>
  </si>
  <si>
    <t>06/09/2014 03:00 PDT</t>
  </si>
  <si>
    <t>06/09/2014 03:15 PDT</t>
  </si>
  <si>
    <t>06/09/2014 03:30 PDT</t>
  </si>
  <si>
    <t>06/09/2014 03:45 PDT</t>
  </si>
  <si>
    <t>06/09/2014 04:00 PDT</t>
  </si>
  <si>
    <t>06/09/2014 04:15 PDT</t>
  </si>
  <si>
    <t>06/09/2014 04:30 PDT</t>
  </si>
  <si>
    <t>06/09/2014 04:45 PDT</t>
  </si>
  <si>
    <t>06/09/2014 05:00 PDT</t>
  </si>
  <si>
    <t>06/09/2014 05:15 PDT</t>
  </si>
  <si>
    <t>06/09/2014 05:30 PDT</t>
  </si>
  <si>
    <t>06/09/2014 05:45 PDT</t>
  </si>
  <si>
    <t>06/09/2014 06:00 PDT</t>
  </si>
  <si>
    <t>06/09/2014 06:15 PDT</t>
  </si>
  <si>
    <t>06/09/2014 06:30 PDT</t>
  </si>
  <si>
    <t>06/09/2014 06:45 PDT</t>
  </si>
  <si>
    <t>06/09/2014 07:00 PDT</t>
  </si>
  <si>
    <t>06/09/2014 07:15 PDT</t>
  </si>
  <si>
    <t>06/09/2014 07:30 PDT</t>
  </si>
  <si>
    <t>06/09/2014 07:45 PDT</t>
  </si>
  <si>
    <t>06/09/2014 08:00 PDT</t>
  </si>
  <si>
    <t>06/09/2014 08:15 PDT</t>
  </si>
  <si>
    <t>06/09/2014 08:30 PDT</t>
  </si>
  <si>
    <t>06/09/2014 08:45 PDT</t>
  </si>
  <si>
    <t>06/09/2014 09:00 PDT</t>
  </si>
  <si>
    <t>06/09/2014 09:15 PDT</t>
  </si>
  <si>
    <t>06/09/2014 09:30 PDT</t>
  </si>
  <si>
    <t>06/09/2014 09:45 PDT</t>
  </si>
  <si>
    <t>06/09/2014 10:00 PDT</t>
  </si>
  <si>
    <t>06/09/2014 10:15 PDT</t>
  </si>
  <si>
    <t>06/09/2014 10:30 PDT</t>
  </si>
  <si>
    <t>06/09/2014 10:45 PDT</t>
  </si>
  <si>
    <t>06/09/2014 11:00 PDT</t>
  </si>
  <si>
    <t>06/09/2014 11:15 PDT</t>
  </si>
  <si>
    <t>06/09/2014 11:30 PDT</t>
  </si>
  <si>
    <t>06/09/2014 11:45 PDT</t>
  </si>
  <si>
    <t>06/09/2014 12:00 PDT</t>
  </si>
  <si>
    <t>06/09/2014 12:15 PDT</t>
  </si>
  <si>
    <t>06/09/2014 12:30 PDT</t>
  </si>
  <si>
    <t>06/09/2014 12:45 PDT</t>
  </si>
  <si>
    <t>06/09/2014 13:00 PDT</t>
  </si>
  <si>
    <t>06/09/2014 13:15 PDT</t>
  </si>
  <si>
    <t>06/09/2014 13:30 PDT</t>
  </si>
  <si>
    <t>06/09/2014 13:45 PDT</t>
  </si>
  <si>
    <t>06/09/2014 14:00 PDT</t>
  </si>
  <si>
    <t>06/09/2014 14:15 PDT</t>
  </si>
  <si>
    <t>06/09/2014 14:30 PDT</t>
  </si>
  <si>
    <t>06/09/2014 14:45 PDT</t>
  </si>
  <si>
    <t>06/09/2014 15:00 PDT</t>
  </si>
  <si>
    <t>06/09/2014 15:15 PDT</t>
  </si>
  <si>
    <t>06/09/2014 15:30 PDT</t>
  </si>
  <si>
    <t>06/09/2014 15:45 PDT</t>
  </si>
  <si>
    <t>06/09/2014 16:00 PDT</t>
  </si>
  <si>
    <t>06/09/2014 16:15 PDT</t>
  </si>
  <si>
    <t>06/09/2014 16:30 PDT</t>
  </si>
  <si>
    <t>06/09/2014 16:45 PDT</t>
  </si>
  <si>
    <t>06/09/2014 17:00 PDT</t>
  </si>
  <si>
    <t>06/09/2014 17:15 PDT</t>
  </si>
  <si>
    <t>06/09/2014 17:30 PDT</t>
  </si>
  <si>
    <t>06/09/2014 17:45 PDT</t>
  </si>
  <si>
    <t>06/09/2014 18:00 PDT</t>
  </si>
  <si>
    <t>06/09/2014 18:15 PDT</t>
  </si>
  <si>
    <t>06/09/2014 18:30 PDT</t>
  </si>
  <si>
    <t>06/09/2014 18:45 PDT</t>
  </si>
  <si>
    <t>06/09/2014 19:00 PDT</t>
  </si>
  <si>
    <t>06/09/2014 19:15 PDT</t>
  </si>
  <si>
    <t>06/09/2014 19:30 PDT</t>
  </si>
  <si>
    <t>06/09/2014 19:45 PDT</t>
  </si>
  <si>
    <t>06/09/2014 20:00 PDT</t>
  </si>
  <si>
    <t>06/09/2014 20:15 PDT</t>
  </si>
  <si>
    <t>06/09/2014 20:30 PDT</t>
  </si>
  <si>
    <t>06/09/2014 20:45 PDT</t>
  </si>
  <si>
    <t>06/09/2014 21:00 PDT</t>
  </si>
  <si>
    <t>06/09/2014 21:15 PDT</t>
  </si>
  <si>
    <t>06/09/2014 21:30 PDT</t>
  </si>
  <si>
    <t>06/09/2014 21:45 PDT</t>
  </si>
  <si>
    <t>06/09/2014 22:00 PDT</t>
  </si>
  <si>
    <t>06/09/2014 22:15 PDT</t>
  </si>
  <si>
    <t>06/09/2014 22:30 PDT</t>
  </si>
  <si>
    <t>06/09/2014 22:45 PDT</t>
  </si>
  <si>
    <t>06/09/2014 23:00 PDT</t>
  </si>
  <si>
    <t>06/09/2014 23:15 PDT</t>
  </si>
  <si>
    <t>06/09/2014 23:30 PDT</t>
  </si>
  <si>
    <t>06/09/2014 23:45 PDT</t>
  </si>
  <si>
    <t>06/10/2014 00:00 PDT</t>
  </si>
  <si>
    <t>06/10/2014 00:15 PDT</t>
  </si>
  <si>
    <t>06/10/2014 00:30 PDT</t>
  </si>
  <si>
    <t>06/10/2014 00:45 PDT</t>
  </si>
  <si>
    <t>06/10/2014 01:00 PDT</t>
  </si>
  <si>
    <t>06/10/2014 01:15 PDT</t>
  </si>
  <si>
    <t>06/10/2014 01:30 PDT</t>
  </si>
  <si>
    <t>06/10/2014 01:45 PDT</t>
  </si>
  <si>
    <t>06/10/2014 02:00 PDT</t>
  </si>
  <si>
    <t>06/10/2014 02:15 PDT</t>
  </si>
  <si>
    <t>06/10/2014 02:30 PDT</t>
  </si>
  <si>
    <t>06/10/2014 02:45 PDT</t>
  </si>
  <si>
    <t>06/10/2014 03:00 PDT</t>
  </si>
  <si>
    <t>06/10/2014 03:15 PDT</t>
  </si>
  <si>
    <t>06/10/2014 03:30 PDT</t>
  </si>
  <si>
    <t>06/10/2014 03:45 PDT</t>
  </si>
  <si>
    <t>06/10/2014 04:00 PDT</t>
  </si>
  <si>
    <t>06/10/2014 04:15 PDT</t>
  </si>
  <si>
    <t>06/10/2014 04:30 PDT</t>
  </si>
  <si>
    <t>06/10/2014 04:45 PDT</t>
  </si>
  <si>
    <t>06/10/2014 05:00 PDT</t>
  </si>
  <si>
    <t>06/10/2014 05:15 PDT</t>
  </si>
  <si>
    <t>06/10/2014 05:30 PDT</t>
  </si>
  <si>
    <t>06/10/2014 05:45 PDT</t>
  </si>
  <si>
    <t>06/10/2014 06:00 PDT</t>
  </si>
  <si>
    <t>06/10/2014 06:15 PDT</t>
  </si>
  <si>
    <t>06/10/2014 06:30 PDT</t>
  </si>
  <si>
    <t>06/10/2014 06:45 PDT</t>
  </si>
  <si>
    <t>06/10/2014 07:00 PDT</t>
  </si>
  <si>
    <t>06/10/2014 07:15 PDT</t>
  </si>
  <si>
    <t>06/10/2014 07:30 PDT</t>
  </si>
  <si>
    <t>06/10/2014 07:45 PDT</t>
  </si>
  <si>
    <t>06/10/2014 08:00 PDT</t>
  </si>
  <si>
    <t>06/10/2014 08:15 PDT</t>
  </si>
  <si>
    <t>06/10/2014 08:30 PDT</t>
  </si>
  <si>
    <t>06/10/2014 08:45 PDT</t>
  </si>
  <si>
    <t>06/10/2014 09:00 PDT</t>
  </si>
  <si>
    <t>06/10/2014 09:15 PDT</t>
  </si>
  <si>
    <t>06/10/2014 09:30 PDT</t>
  </si>
  <si>
    <t>06/10/2014 09:45 PDT</t>
  </si>
  <si>
    <t>06/10/2014 10:00 PDT</t>
  </si>
  <si>
    <t>06/10/2014 10:15 PDT</t>
  </si>
  <si>
    <t>06/10/2014 10:30 PDT</t>
  </si>
  <si>
    <t>06/10/2014 10:45 PDT</t>
  </si>
  <si>
    <t>06/10/2014 11:00 PDT</t>
  </si>
  <si>
    <t>06/10/2014 11:15 PDT</t>
  </si>
  <si>
    <t>06/10/2014 11:30 PDT</t>
  </si>
  <si>
    <t>06/10/2014 11:45 PDT</t>
  </si>
  <si>
    <t>06/10/2014 12:00 PDT</t>
  </si>
  <si>
    <t>06/10/2014 12:15 PDT</t>
  </si>
  <si>
    <t>06/10/2014 12:30 PDT</t>
  </si>
  <si>
    <t>06/10/2014 12:45 PDT</t>
  </si>
  <si>
    <t>06/10/2014 13:00 PDT</t>
  </si>
  <si>
    <t>06/10/2014 13:15 PDT</t>
  </si>
  <si>
    <t>06/10/2014 13:30 PDT</t>
  </si>
  <si>
    <t>06/10/2014 13:45 PDT</t>
  </si>
  <si>
    <t>06/10/2014 14:00 PDT</t>
  </si>
  <si>
    <t>06/10/2014 14:15 PDT</t>
  </si>
  <si>
    <t>06/10/2014 14:30 PDT</t>
  </si>
  <si>
    <t>06/10/2014 14:45 PDT</t>
  </si>
  <si>
    <t>06/10/2014 15:00 PDT</t>
  </si>
  <si>
    <t>06/10/2014 15:15 PDT</t>
  </si>
  <si>
    <t>06/10/2014 15:30 PDT</t>
  </si>
  <si>
    <t>06/10/2014 15:45 PDT</t>
  </si>
  <si>
    <t>06/10/2014 16:00 PDT</t>
  </si>
  <si>
    <t>06/10/2014 16:15 PDT</t>
  </si>
  <si>
    <t>06/10/2014 16:30 PDT</t>
  </si>
  <si>
    <t>06/10/2014 16:45 PDT</t>
  </si>
  <si>
    <t>06/10/2014 17:00 PDT</t>
  </si>
  <si>
    <t>06/10/2014 17:15 PDT</t>
  </si>
  <si>
    <t>06/10/2014 17:30 PDT</t>
  </si>
  <si>
    <t>06/10/2014 17:45 PDT</t>
  </si>
  <si>
    <t>06/10/2014 18:00 PDT</t>
  </si>
  <si>
    <t>06/10/2014 18:15 PDT</t>
  </si>
  <si>
    <t>06/10/2014 18:30 PDT</t>
  </si>
  <si>
    <t>06/10/2014 18:45 PDT</t>
  </si>
  <si>
    <t>06/10/2014 19:00 PDT</t>
  </si>
  <si>
    <t>06/10/2014 19:15 PDT</t>
  </si>
  <si>
    <t>06/10/2014 19:30 PDT</t>
  </si>
  <si>
    <t>06/10/2014 19:45 PDT</t>
  </si>
  <si>
    <t>06/10/2014 20:00 PDT</t>
  </si>
  <si>
    <t>06/10/2014 20:15 PDT</t>
  </si>
  <si>
    <t>06/10/2014 20:30 PDT</t>
  </si>
  <si>
    <t>06/10/2014 20:45 PDT</t>
  </si>
  <si>
    <t>06/10/2014 21:00 PDT</t>
  </si>
  <si>
    <t>06/10/2014 21:15 PDT</t>
  </si>
  <si>
    <t>06/10/2014 21:30 PDT</t>
  </si>
  <si>
    <t>06/10/2014 21:45 PDT</t>
  </si>
  <si>
    <t>06/10/2014 22:00 PDT</t>
  </si>
  <si>
    <t>06/10/2014 22:15 PDT</t>
  </si>
  <si>
    <t>06/10/2014 22:30 PDT</t>
  </si>
  <si>
    <t>06/10/2014 22:45 PDT</t>
  </si>
  <si>
    <t>06/10/2014 23:00 PDT</t>
  </si>
  <si>
    <t>06/10/2014 23:15 PDT</t>
  </si>
  <si>
    <t>06/10/2014 23:30 PDT</t>
  </si>
  <si>
    <t>06/10/2014 23:45 PDT</t>
  </si>
  <si>
    <t>06/11/2014 00:00 PDT</t>
  </si>
  <si>
    <t>06/11/2014 00:15 PDT</t>
  </si>
  <si>
    <t>06/11/2014 00:30 PDT</t>
  </si>
  <si>
    <t>06/11/2014 00:45 PDT</t>
  </si>
  <si>
    <t>06/11/2014 01:00 PDT</t>
  </si>
  <si>
    <t>06/11/2014 01:15 PDT</t>
  </si>
  <si>
    <t>06/11/2014 01:30 PDT</t>
  </si>
  <si>
    <t>06/11/2014 01:45 PDT</t>
  </si>
  <si>
    <t>06/11/2014 02:00 PDT</t>
  </si>
  <si>
    <t>06/11/2014 02:15 PDT</t>
  </si>
  <si>
    <t>06/11/2014 02:30 PDT</t>
  </si>
  <si>
    <t>06/11/2014 02:45 PDT</t>
  </si>
  <si>
    <t>06/11/2014 03:00 PDT</t>
  </si>
  <si>
    <t>06/11/2014 03:15 PDT</t>
  </si>
  <si>
    <t>06/11/2014 03:30 PDT</t>
  </si>
  <si>
    <t>06/11/2014 03:45 PDT</t>
  </si>
  <si>
    <t>06/11/2014 04:00 PDT</t>
  </si>
  <si>
    <t>06/11/2014 04:15 PDT</t>
  </si>
  <si>
    <t>06/11/2014 04:30 PDT</t>
  </si>
  <si>
    <t>06/11/2014 04:45 PDT</t>
  </si>
  <si>
    <t>06/11/2014 05:00 PDT</t>
  </si>
  <si>
    <t>06/11/2014 05:15 PDT</t>
  </si>
  <si>
    <t>06/11/2014 05:30 PDT</t>
  </si>
  <si>
    <t>06/11/2014 05:45 PDT</t>
  </si>
  <si>
    <t>06/11/2014 06:00 PDT</t>
  </si>
  <si>
    <t>06/11/2014 06:15 PDT</t>
  </si>
  <si>
    <t>06/11/2014 06:30 PDT</t>
  </si>
  <si>
    <t>06/11/2014 06:45 PDT</t>
  </si>
  <si>
    <t>06/11/2014 07:00 PDT</t>
  </si>
  <si>
    <t>06/11/2014 07:15 PDT</t>
  </si>
  <si>
    <t>06/11/2014 07:30 PDT</t>
  </si>
  <si>
    <t>06/11/2014 07:45 PDT</t>
  </si>
  <si>
    <t>06/11/2014 08:00 PDT</t>
  </si>
  <si>
    <t>06/11/2014 08:15 PDT</t>
  </si>
  <si>
    <t>06/11/2014 08:30 PDT</t>
  </si>
  <si>
    <t>06/11/2014 08:45 PDT</t>
  </si>
  <si>
    <t>06/11/2014 09:00 PDT</t>
  </si>
  <si>
    <t>06/11/2014 09:15 PDT</t>
  </si>
  <si>
    <t>06/11/2014 09:30 PDT</t>
  </si>
  <si>
    <t>06/11/2014 09:45 PDT</t>
  </si>
  <si>
    <t>06/11/2014 10:00 PDT</t>
  </si>
  <si>
    <t>06/11/2014 10:15 PDT</t>
  </si>
  <si>
    <t>06/11/2014 10:30 PDT</t>
  </si>
  <si>
    <t>06/11/2014 10:45 PDT</t>
  </si>
  <si>
    <t>06/11/2014 11:00 PDT</t>
  </si>
  <si>
    <t>06/11/2014 11:15 PDT</t>
  </si>
  <si>
    <t>06/11/2014 11:30 PDT</t>
  </si>
  <si>
    <t>06/11/2014 11:45 PDT</t>
  </si>
  <si>
    <t>06/11/2014 12:00 PDT</t>
  </si>
  <si>
    <t>06/11/2014 12:15 PDT</t>
  </si>
  <si>
    <t>06/11/2014 12:30 PDT</t>
  </si>
  <si>
    <t>06/11/2014 12:45 PDT</t>
  </si>
  <si>
    <t>06/11/2014 13:00 PDT</t>
  </si>
  <si>
    <t>06/11/2014 13:15 PDT</t>
  </si>
  <si>
    <t>06/11/2014 13:30 PDT</t>
  </si>
  <si>
    <t>06/11/2014 13:45 PDT</t>
  </si>
  <si>
    <t>06/11/2014 14:00 PDT</t>
  </si>
  <si>
    <t>06/11/2014 14:15 PDT</t>
  </si>
  <si>
    <t>06/11/2014 14:30 PDT</t>
  </si>
  <si>
    <t>06/11/2014 14:45 PDT</t>
  </si>
  <si>
    <t>06/11/2014 15:00 PDT</t>
  </si>
  <si>
    <t>06/11/2014 15:15 PDT</t>
  </si>
  <si>
    <t>06/11/2014 15:30 PDT</t>
  </si>
  <si>
    <t>06/11/2014 15:45 PDT</t>
  </si>
  <si>
    <t>06/11/2014 16:00 PDT</t>
  </si>
  <si>
    <t>06/11/2014 16:15 PDT</t>
  </si>
  <si>
    <t>06/11/2014 16:30 PDT</t>
  </si>
  <si>
    <t>06/11/2014 16:45 PDT</t>
  </si>
  <si>
    <t>06/11/2014 17:00 PDT</t>
  </si>
  <si>
    <t>06/11/2014 17:15 PDT</t>
  </si>
  <si>
    <t>06/11/2014 17:30 PDT</t>
  </si>
  <si>
    <t>06/11/2014 17:45 PDT</t>
  </si>
  <si>
    <t>06/11/2014 18:00 PDT</t>
  </si>
  <si>
    <t>06/11/2014 18:15 PDT</t>
  </si>
  <si>
    <t>06/11/2014 18:30 PDT</t>
  </si>
  <si>
    <t>06/11/2014 18:45 PDT</t>
  </si>
  <si>
    <t>06/11/2014 19:00 PDT</t>
  </si>
  <si>
    <t>06/11/2014 19:15 PDT</t>
  </si>
  <si>
    <t>06/11/2014 19:30 PDT</t>
  </si>
  <si>
    <t>06/11/2014 19:45 PDT</t>
  </si>
  <si>
    <t>06/11/2014 20:00 PDT</t>
  </si>
  <si>
    <t>06/11/2014 20:15 PDT</t>
  </si>
  <si>
    <t>06/11/2014 20:30 PDT</t>
  </si>
  <si>
    <t>06/11/2014 20:45 PDT</t>
  </si>
  <si>
    <t>06/11/2014 21:00 PDT</t>
  </si>
  <si>
    <t>06/11/2014 21:15 PDT</t>
  </si>
  <si>
    <t>06/11/2014 21:30 PDT</t>
  </si>
  <si>
    <t>06/11/2014 21:45 PDT</t>
  </si>
  <si>
    <t>06/11/2014 22:00 PDT</t>
  </si>
  <si>
    <t>06/11/2014 22:15 PDT</t>
  </si>
  <si>
    <t>06/11/2014 22:30 PDT</t>
  </si>
  <si>
    <t>06/11/2014 22:45 PDT</t>
  </si>
  <si>
    <t>06/11/2014 23:00 PDT</t>
  </si>
  <si>
    <t>06/11/2014 23:15 PDT</t>
  </si>
  <si>
    <t>06/11/2014 23:30 PDT</t>
  </si>
  <si>
    <t>06/11/2014 23:45 PDT</t>
  </si>
  <si>
    <t>06/12/2014 00:00 PDT</t>
  </si>
  <si>
    <t>06/12/2014 00:15 PDT</t>
  </si>
  <si>
    <t>06/12/2014 00:30 PDT</t>
  </si>
  <si>
    <t>06/12/2014 00:45 PDT</t>
  </si>
  <si>
    <t>06/12/2014 01:00 PDT</t>
  </si>
  <si>
    <t>06/12/2014 01:15 PDT</t>
  </si>
  <si>
    <t>06/12/2014 01:30 PDT</t>
  </si>
  <si>
    <t>06/12/2014 01:45 PDT</t>
  </si>
  <si>
    <t>06/12/2014 02:00 PDT</t>
  </si>
  <si>
    <t>06/12/2014 02:15 PDT</t>
  </si>
  <si>
    <t>06/12/2014 02:30 PDT</t>
  </si>
  <si>
    <t>06/12/2014 02:45 PDT</t>
  </si>
  <si>
    <t>06/12/2014 03:00 PDT</t>
  </si>
  <si>
    <t>06/12/2014 03:15 PDT</t>
  </si>
  <si>
    <t>06/12/2014 03:30 PDT</t>
  </si>
  <si>
    <t>06/12/2014 03:45 PDT</t>
  </si>
  <si>
    <t>06/12/2014 04:00 PDT</t>
  </si>
  <si>
    <t>06/12/2014 04:15 PDT</t>
  </si>
  <si>
    <t>06/12/2014 04:30 PDT</t>
  </si>
  <si>
    <t>06/12/2014 04:45 PDT</t>
  </si>
  <si>
    <t>06/12/2014 05:00 PDT</t>
  </si>
  <si>
    <t>06/12/2014 05:15 PDT</t>
  </si>
  <si>
    <t>06/12/2014 05:30 PDT</t>
  </si>
  <si>
    <t>06/12/2014 05:45 PDT</t>
  </si>
  <si>
    <t>06/12/2014 06:00 PDT</t>
  </si>
  <si>
    <t>06/12/2014 06:15 PDT</t>
  </si>
  <si>
    <t>06/12/2014 06:30 PDT</t>
  </si>
  <si>
    <t>06/12/2014 06:45 PDT</t>
  </si>
  <si>
    <t>06/12/2014 07:00 PDT</t>
  </si>
  <si>
    <t>06/12/2014 07:15 PDT</t>
  </si>
  <si>
    <t>06/12/2014 07:30 PDT</t>
  </si>
  <si>
    <t>06/12/2014 07:45 PDT</t>
  </si>
  <si>
    <t>06/12/2014 08:00 PDT</t>
  </si>
  <si>
    <t>06/12/2014 08:15 PDT</t>
  </si>
  <si>
    <t>06/12/2014 08:30 PDT</t>
  </si>
  <si>
    <t>06/12/2014 08:45 PDT</t>
  </si>
  <si>
    <t>06/12/2014 09:00 PDT</t>
  </si>
  <si>
    <t>06/12/2014 09:15 PDT</t>
  </si>
  <si>
    <t>06/12/2014 09:30 PDT</t>
  </si>
  <si>
    <t>06/12/2014 09:45 PDT</t>
  </si>
  <si>
    <t>06/12/2014 10:00 PDT</t>
  </si>
  <si>
    <t>06/12/2014 10:15 PDT</t>
  </si>
  <si>
    <t>06/12/2014 10:30 PDT</t>
  </si>
  <si>
    <t>06/12/2014 10:45 PDT</t>
  </si>
  <si>
    <t>06/12/2014 11:00 PDT</t>
  </si>
  <si>
    <t>06/12/2014 11:15 PDT</t>
  </si>
  <si>
    <t>06/12/2014 11:30 PDT</t>
  </si>
  <si>
    <t>06/12/2014 11:45 PDT</t>
  </si>
  <si>
    <t>06/12/2014 12:00 PDT</t>
  </si>
  <si>
    <t>06/12/2014 12:15 PDT</t>
  </si>
  <si>
    <t>06/12/2014 12:30 PDT</t>
  </si>
  <si>
    <t>06/12/2014 12:45 PDT</t>
  </si>
  <si>
    <t>06/12/2014 13:00 PDT</t>
  </si>
  <si>
    <t>06/12/2014 13:15 PDT</t>
  </si>
  <si>
    <t>06/12/2014 13:30 PDT</t>
  </si>
  <si>
    <t>06/12/2014 13:45 PDT</t>
  </si>
  <si>
    <t>06/12/2014 14:00 PDT</t>
  </si>
  <si>
    <t>06/12/2014 14:15 PDT</t>
  </si>
  <si>
    <t>06/12/2014 14:30 PDT</t>
  </si>
  <si>
    <t>06/12/2014 14:45 PDT</t>
  </si>
  <si>
    <t>06/12/2014 15:00 PDT</t>
  </si>
  <si>
    <t>06/12/2014 15:15 PDT</t>
  </si>
  <si>
    <t>06/12/2014 15:30 PDT</t>
  </si>
  <si>
    <t>06/12/2014 15:45 PDT</t>
  </si>
  <si>
    <t>06/12/2014 16:00 PDT</t>
  </si>
  <si>
    <t>06/12/2014 16:15 PDT</t>
  </si>
  <si>
    <t>06/12/2014 16:30 PDT</t>
  </si>
  <si>
    <t>06/12/2014 16:45 PDT</t>
  </si>
  <si>
    <t>06/12/2014 17:00 PDT</t>
  </si>
  <si>
    <t>06/12/2014 17:15 PDT</t>
  </si>
  <si>
    <t>06/12/2014 17:30 PDT</t>
  </si>
  <si>
    <t>06/12/2014 17:45 PDT</t>
  </si>
  <si>
    <t>06/12/2014 18:00 PDT</t>
  </si>
  <si>
    <t>06/12/2014 18:15 PDT</t>
  </si>
  <si>
    <t>06/12/2014 18:30 PDT</t>
  </si>
  <si>
    <t>06/12/2014 18:45 PDT</t>
  </si>
  <si>
    <t>06/12/2014 19:00 PDT</t>
  </si>
  <si>
    <t>06/12/2014 19:15 PDT</t>
  </si>
  <si>
    <t>06/12/2014 19:30 PDT</t>
  </si>
  <si>
    <t>06/12/2014 19:45 PDT</t>
  </si>
  <si>
    <t>06/12/2014 20:00 PDT</t>
  </si>
  <si>
    <t>06/12/2014 20:15 PDT</t>
  </si>
  <si>
    <t>06/12/2014 20:30 PDT</t>
  </si>
  <si>
    <t>06/12/2014 20:45 PDT</t>
  </si>
  <si>
    <t>06/12/2014 21:00 PDT</t>
  </si>
  <si>
    <t>06/12/2014 21:15 PDT</t>
  </si>
  <si>
    <t>06/12/2014 21:30 PDT</t>
  </si>
  <si>
    <t>06/12/2014 21:45 PDT</t>
  </si>
  <si>
    <t>06/12/2014 22:00 PDT</t>
  </si>
  <si>
    <t>06/12/2014 22:15 PDT</t>
  </si>
  <si>
    <t>06/12/2014 22:30 PDT</t>
  </si>
  <si>
    <t>06/12/2014 22:45 PDT</t>
  </si>
  <si>
    <t>06/12/2014 23:00 PDT</t>
  </si>
  <si>
    <t>06/12/2014 23:15 PDT</t>
  </si>
  <si>
    <t>06/12/2014 23:30 PDT</t>
  </si>
  <si>
    <t>06/12/2014 23:45 PDT</t>
  </si>
  <si>
    <t>06/13/2014 00:00 PDT</t>
  </si>
  <si>
    <t>06/13/2014 00:15 PDT</t>
  </si>
  <si>
    <t>06/13/2014 00:30 PDT</t>
  </si>
  <si>
    <t>06/13/2014 00:45 PDT</t>
  </si>
  <si>
    <t>06/13/2014 01:00 PDT</t>
  </si>
  <si>
    <t>06/13/2014 01:15 PDT</t>
  </si>
  <si>
    <t>06/13/2014 01:30 PDT</t>
  </si>
  <si>
    <t>06/13/2014 01:45 PDT</t>
  </si>
  <si>
    <t>06/13/2014 02:00 PDT</t>
  </si>
  <si>
    <t>06/13/2014 02:15 PDT</t>
  </si>
  <si>
    <t>06/13/2014 02:30 PDT</t>
  </si>
  <si>
    <t>06/13/2014 02:45 PDT</t>
  </si>
  <si>
    <t>06/13/2014 03:00 PDT</t>
  </si>
  <si>
    <t>06/13/2014 03:15 PDT</t>
  </si>
  <si>
    <t>06/13/2014 03:30 PDT</t>
  </si>
  <si>
    <t>06/13/2014 03:45 PDT</t>
  </si>
  <si>
    <t>06/13/2014 04:00 PDT</t>
  </si>
  <si>
    <t>06/13/2014 04:15 PDT</t>
  </si>
  <si>
    <t>06/13/2014 04:30 PDT</t>
  </si>
  <si>
    <t>06/13/2014 04:45 PDT</t>
  </si>
  <si>
    <t>06/13/2014 05:00 PDT</t>
  </si>
  <si>
    <t>06/13/2014 05:15 PDT</t>
  </si>
  <si>
    <t>06/13/2014 05:30 PDT</t>
  </si>
  <si>
    <t>06/13/2014 05:45 PDT</t>
  </si>
  <si>
    <t>06/13/2014 06:00 PDT</t>
  </si>
  <si>
    <t>06/13/2014 06:15 PDT</t>
  </si>
  <si>
    <t>06/13/2014 06:30 PDT</t>
  </si>
  <si>
    <t>06/13/2014 06:45 PDT</t>
  </si>
  <si>
    <t>06/13/2014 07:00 PDT</t>
  </si>
  <si>
    <t>06/13/2014 07:15 PDT</t>
  </si>
  <si>
    <t>06/13/2014 07:30 PDT</t>
  </si>
  <si>
    <t>06/13/2014 07:45 PDT</t>
  </si>
  <si>
    <t>06/13/2014 08:00 PDT</t>
  </si>
  <si>
    <t>06/13/2014 08:15 PDT</t>
  </si>
  <si>
    <t>06/13/2014 08:30 PDT</t>
  </si>
  <si>
    <t>06/13/2014 08:45 PDT</t>
  </si>
  <si>
    <t>06/13/2014 09:00 PDT</t>
  </si>
  <si>
    <t>06/13/2014 09:15 PDT</t>
  </si>
  <si>
    <t>06/13/2014 09:30 PDT</t>
  </si>
  <si>
    <t>06/13/2014 09:45 PDT</t>
  </si>
  <si>
    <t>06/13/2014 10:00 PDT</t>
  </si>
  <si>
    <t>06/13/2014 10:15 PDT</t>
  </si>
  <si>
    <t>06/13/2014 10:30 PDT</t>
  </si>
  <si>
    <t>06/13/2014 10:45 PDT</t>
  </si>
  <si>
    <t>06/13/2014 11:00 PDT</t>
  </si>
  <si>
    <t>06/13/2014 11:15 PDT</t>
  </si>
  <si>
    <t>06/13/2014 11:30 PDT</t>
  </si>
  <si>
    <t>06/13/2014 11:45 PDT</t>
  </si>
  <si>
    <t>06/13/2014 12:00 PDT</t>
  </si>
  <si>
    <t>06/13/2014 12:15 PDT</t>
  </si>
  <si>
    <t>06/13/2014 12:30 PDT</t>
  </si>
  <si>
    <t>06/13/2014 12:45 PDT</t>
  </si>
  <si>
    <t>06/13/2014 13:00 PDT</t>
  </si>
  <si>
    <t>06/13/2014 13:15 PDT</t>
  </si>
  <si>
    <t>06/13/2014 13:30 PDT</t>
  </si>
  <si>
    <t>06/13/2014 13:45 PDT</t>
  </si>
  <si>
    <t>06/13/2014 14:00 PDT</t>
  </si>
  <si>
    <t>06/13/2014 14:15 PDT</t>
  </si>
  <si>
    <t>06/13/2014 14:30 PDT</t>
  </si>
  <si>
    <t>06/13/2014 14:45 PDT</t>
  </si>
  <si>
    <t>06/13/2014 15:00 PDT</t>
  </si>
  <si>
    <t>06/13/2014 15:15 PDT</t>
  </si>
  <si>
    <t>06/13/2014 15:30 PDT</t>
  </si>
  <si>
    <t>06/13/2014 15:45 PDT</t>
  </si>
  <si>
    <t>06/13/2014 16:00 PDT</t>
  </si>
  <si>
    <t>06/13/2014 16:15 PDT</t>
  </si>
  <si>
    <t>06/13/2014 16:30 PDT</t>
  </si>
  <si>
    <t>06/13/2014 16:45 PDT</t>
  </si>
  <si>
    <t>06/13/2014 17:00 PDT</t>
  </si>
  <si>
    <t>06/13/2014 17:15 PDT</t>
  </si>
  <si>
    <t>06/13/2014 17:30 PDT</t>
  </si>
  <si>
    <t>06/13/2014 17:45 PDT</t>
  </si>
  <si>
    <t>06/13/2014 18:00 PDT</t>
  </si>
  <si>
    <t>06/13/2014 18:15 PDT</t>
  </si>
  <si>
    <t>06/13/2014 18:30 PDT</t>
  </si>
  <si>
    <t>06/13/2014 18:45 PDT</t>
  </si>
  <si>
    <t>06/13/2014 19:00 PDT</t>
  </si>
  <si>
    <t>06/13/2014 19:15 PDT</t>
  </si>
  <si>
    <t>06/13/2014 19:30 PDT</t>
  </si>
  <si>
    <t>06/13/2014 19:45 PDT</t>
  </si>
  <si>
    <t>06/13/2014 20:00 PDT</t>
  </si>
  <si>
    <t>06/13/2014 20:15 PDT</t>
  </si>
  <si>
    <t>06/13/2014 20:30 PDT</t>
  </si>
  <si>
    <t>06/13/2014 20:45 PDT</t>
  </si>
  <si>
    <t>06/13/2014 21:00 PDT</t>
  </si>
  <si>
    <t>06/13/2014 21:15 PDT</t>
  </si>
  <si>
    <t>06/13/2014 21:30 PDT</t>
  </si>
  <si>
    <t>06/13/2014 21:45 PDT</t>
  </si>
  <si>
    <t>06/13/2014 22:00 PDT</t>
  </si>
  <si>
    <t>06/13/2014 22:15 PDT</t>
  </si>
  <si>
    <t>06/13/2014 22:30 PDT</t>
  </si>
  <si>
    <t>06/13/2014 22:45 PDT</t>
  </si>
  <si>
    <t>06/13/2014 23:00 PDT</t>
  </si>
  <si>
    <t>06/13/2014 23:15 PDT</t>
  </si>
  <si>
    <t>06/13/2014 23:30 PDT</t>
  </si>
  <si>
    <t>06/13/2014 23:45 PDT</t>
  </si>
  <si>
    <t>06/14/2014 00:00 PDT</t>
  </si>
  <si>
    <t>06/14/2014 00:15 PDT</t>
  </si>
  <si>
    <t>06/14/2014 00:30 PDT</t>
  </si>
  <si>
    <t>06/14/2014 00:45 PDT</t>
  </si>
  <si>
    <t>06/14/2014 01:00 PDT</t>
  </si>
  <si>
    <t>06/14/2014 01:15 PDT</t>
  </si>
  <si>
    <t>06/14/2014 01:30 PDT</t>
  </si>
  <si>
    <t>06/14/2014 01:45 PDT</t>
  </si>
  <si>
    <t>06/14/2014 02:00 PDT</t>
  </si>
  <si>
    <t>06/14/2014 02:15 PDT</t>
  </si>
  <si>
    <t>06/14/2014 02:30 PDT</t>
  </si>
  <si>
    <t>06/14/2014 02:45 PDT</t>
  </si>
  <si>
    <t>06/14/2014 03:00 PDT</t>
  </si>
  <si>
    <t>06/14/2014 03:15 PDT</t>
  </si>
  <si>
    <t>06/14/2014 03:30 PDT</t>
  </si>
  <si>
    <t>06/14/2014 03:45 PDT</t>
  </si>
  <si>
    <t>06/14/2014 04:00 PDT</t>
  </si>
  <si>
    <t>06/14/2014 04:15 PDT</t>
  </si>
  <si>
    <t>06/14/2014 04:30 PDT</t>
  </si>
  <si>
    <t>06/14/2014 04:45 PDT</t>
  </si>
  <si>
    <t>06/14/2014 05:00 PDT</t>
  </si>
  <si>
    <t>06/14/2014 05:15 PDT</t>
  </si>
  <si>
    <t>06/14/2014 05:30 PDT</t>
  </si>
  <si>
    <t>06/14/2014 05:45 PDT</t>
  </si>
  <si>
    <t>06/14/2014 06:00 PDT</t>
  </si>
  <si>
    <t>06/14/2014 06:15 PDT</t>
  </si>
  <si>
    <t>06/14/2014 06:30 PDT</t>
  </si>
  <si>
    <t>06/14/2014 06:45 PDT</t>
  </si>
  <si>
    <t>06/14/2014 07:00 PDT</t>
  </si>
  <si>
    <t>06/14/2014 07:15 PDT</t>
  </si>
  <si>
    <t>06/14/2014 07:30 PDT</t>
  </si>
  <si>
    <t>06/14/2014 07:45 PDT</t>
  </si>
  <si>
    <t>06/14/2014 08:00 PDT</t>
  </si>
  <si>
    <t>06/14/2014 08:15 PDT</t>
  </si>
  <si>
    <t>06/14/2014 08:30 PDT</t>
  </si>
  <si>
    <t>06/14/2014 08:45 PDT</t>
  </si>
  <si>
    <t>06/14/2014 09:00 PDT</t>
  </si>
  <si>
    <t>06/14/2014 09:15 PDT</t>
  </si>
  <si>
    <t>06/14/2014 09:30 PDT</t>
  </si>
  <si>
    <t>06/14/2014 09:45 PDT</t>
  </si>
  <si>
    <t>06/14/2014 10:00 PDT</t>
  </si>
  <si>
    <t>06/14/2014 10:15 PDT</t>
  </si>
  <si>
    <t>06/14/2014 10:30 PDT</t>
  </si>
  <si>
    <t>06/14/2014 10:45 PDT</t>
  </si>
  <si>
    <t>06/14/2014 11:00 PDT</t>
  </si>
  <si>
    <t>06/14/2014 11:15 PDT</t>
  </si>
  <si>
    <t>06/14/2014 11:30 PDT</t>
  </si>
  <si>
    <t>06/14/2014 11:45 PDT</t>
  </si>
  <si>
    <t>06/14/2014 12:00 PDT</t>
  </si>
  <si>
    <t>06/14/2014 12:15 PDT</t>
  </si>
  <si>
    <t>06/14/2014 12:30 PDT</t>
  </si>
  <si>
    <t>06/14/2014 12:45 PDT</t>
  </si>
  <si>
    <t>06/14/2014 13:00 PDT</t>
  </si>
  <si>
    <t>06/14/2014 13:15 PDT</t>
  </si>
  <si>
    <t>06/14/2014 13:30 PDT</t>
  </si>
  <si>
    <t>06/14/2014 13:45 PDT</t>
  </si>
  <si>
    <t>06/14/2014 14:00 PDT</t>
  </si>
  <si>
    <t>06/14/2014 14:15 PDT</t>
  </si>
  <si>
    <t>06/14/2014 14:30 PDT</t>
  </si>
  <si>
    <t>06/14/2014 14:45 PDT</t>
  </si>
  <si>
    <t>06/14/2014 15:00 PDT</t>
  </si>
  <si>
    <t>06/14/2014 15:15 PDT</t>
  </si>
  <si>
    <t>06/14/2014 15:30 PDT</t>
  </si>
  <si>
    <t>06/14/2014 15:45 PDT</t>
  </si>
  <si>
    <t>06/14/2014 16:00 PDT</t>
  </si>
  <si>
    <t>06/14/2014 16:15 PDT</t>
  </si>
  <si>
    <t>06/14/2014 16:30 PDT</t>
  </si>
  <si>
    <t>06/14/2014 16:45 PDT</t>
  </si>
  <si>
    <t>06/14/2014 17:00 PDT</t>
  </si>
  <si>
    <t>06/14/2014 17:15 PDT</t>
  </si>
  <si>
    <t>06/14/2014 17:30 PDT</t>
  </si>
  <si>
    <t>06/14/2014 17:45 PDT</t>
  </si>
  <si>
    <t>06/14/2014 18:00 PDT</t>
  </si>
  <si>
    <t>06/14/2014 18:15 PDT</t>
  </si>
  <si>
    <t>06/14/2014 18:30 PDT</t>
  </si>
  <si>
    <t>06/14/2014 18:45 PDT</t>
  </si>
  <si>
    <t>06/14/2014 19:00 PDT</t>
  </si>
  <si>
    <t>06/14/2014 19:15 PDT</t>
  </si>
  <si>
    <t>06/14/2014 19:30 PDT</t>
  </si>
  <si>
    <t>06/14/2014 19:45 PDT</t>
  </si>
  <si>
    <t>06/14/2014 20:00 PDT</t>
  </si>
  <si>
    <t>06/14/2014 20:15 PDT</t>
  </si>
  <si>
    <t>06/14/2014 20:30 PDT</t>
  </si>
  <si>
    <t>06/14/2014 20:45 PDT</t>
  </si>
  <si>
    <t>06/14/2014 21:00 PDT</t>
  </si>
  <si>
    <t>06/14/2014 21:15 PDT</t>
  </si>
  <si>
    <t>06/14/2014 21:30 PDT</t>
  </si>
  <si>
    <t>06/14/2014 21:45 PDT</t>
  </si>
  <si>
    <t>06/14/2014 22:00 PDT</t>
  </si>
  <si>
    <t>06/14/2014 22:15 PDT</t>
  </si>
  <si>
    <t>06/14/2014 22:30 PDT</t>
  </si>
  <si>
    <t>06/14/2014 22:45 PDT</t>
  </si>
  <si>
    <t>06/14/2014 23:00 PDT</t>
  </si>
  <si>
    <t>06/14/2014 23:15 PDT</t>
  </si>
  <si>
    <t>06/14/2014 23:30 PDT</t>
  </si>
  <si>
    <t>06/14/2014 23:45 PDT</t>
  </si>
  <si>
    <t>06/15/2014 00:00 PDT</t>
  </si>
  <si>
    <t>06/15/2014 00:15 PDT</t>
  </si>
  <si>
    <t>06/15/2014 00:30 PDT</t>
  </si>
  <si>
    <t>06/15/2014 00:45 PDT</t>
  </si>
  <si>
    <t>06/15/2014 01:00 PDT</t>
  </si>
  <si>
    <t>06/15/2014 01:15 PDT</t>
  </si>
  <si>
    <t>06/15/2014 01:30 PDT</t>
  </si>
  <si>
    <t>06/15/2014 01:45 PDT</t>
  </si>
  <si>
    <t>06/15/2014 02:00 PDT</t>
  </si>
  <si>
    <t>06/15/2014 02:15 PDT</t>
  </si>
  <si>
    <t>06/15/2014 02:30 PDT</t>
  </si>
  <si>
    <t>06/15/2014 02:45 PDT</t>
  </si>
  <si>
    <t>06/15/2014 03:00 PDT</t>
  </si>
  <si>
    <t>06/15/2014 03:15 PDT</t>
  </si>
  <si>
    <t>06/15/2014 03:30 PDT</t>
  </si>
  <si>
    <t>06/15/2014 03:45 PDT</t>
  </si>
  <si>
    <t>06/15/2014 04:00 PDT</t>
  </si>
  <si>
    <t>06/15/2014 04:15 PDT</t>
  </si>
  <si>
    <t>06/15/2014 04:30 PDT</t>
  </si>
  <si>
    <t>06/15/2014 04:45 PDT</t>
  </si>
  <si>
    <t>06/15/2014 05:00 PDT</t>
  </si>
  <si>
    <t>06/15/2014 05:15 PDT</t>
  </si>
  <si>
    <t>06/15/2014 05:30 PDT</t>
  </si>
  <si>
    <t>06/15/2014 05:45 PDT</t>
  </si>
  <si>
    <t>06/15/2014 06:00 PDT</t>
  </si>
  <si>
    <t>06/15/2014 06:15 PDT</t>
  </si>
  <si>
    <t>06/15/2014 06:30 PDT</t>
  </si>
  <si>
    <t>06/15/2014 06:45 PDT</t>
  </si>
  <si>
    <t>06/15/2014 07:00 PDT</t>
  </si>
  <si>
    <t>06/15/2014 07:15 PDT</t>
  </si>
  <si>
    <t>06/15/2014 07:30 PDT</t>
  </si>
  <si>
    <t>06/15/2014 07:45 PDT</t>
  </si>
  <si>
    <t>06/15/2014 08:00 PDT</t>
  </si>
  <si>
    <t>06/15/2014 08:15 PDT</t>
  </si>
  <si>
    <t>06/15/2014 08:30 PDT</t>
  </si>
  <si>
    <t>06/15/2014 08:45 PDT</t>
  </si>
  <si>
    <t>06/15/2014 09:00 PDT</t>
  </si>
  <si>
    <t>06/15/2014 09:15 PDT</t>
  </si>
  <si>
    <t>06/15/2014 09:30 PDT</t>
  </si>
  <si>
    <t>06/15/2014 09:45 PDT</t>
  </si>
  <si>
    <t>06/15/2014 10:00 PDT</t>
  </si>
  <si>
    <t>06/15/2014 10:15 PDT</t>
  </si>
  <si>
    <t>06/15/2014 10:30 PDT</t>
  </si>
  <si>
    <t>06/15/2014 10:45 PDT</t>
  </si>
  <si>
    <t>06/15/2014 11:00 PDT</t>
  </si>
  <si>
    <t>06/15/2014 11:15 PDT</t>
  </si>
  <si>
    <t>06/15/2014 11:30 PDT</t>
  </si>
  <si>
    <t>06/15/2014 11:45 PDT</t>
  </si>
  <si>
    <t>06/15/2014 12:00 PDT</t>
  </si>
  <si>
    <t>06/15/2014 12:15 PDT</t>
  </si>
  <si>
    <t>06/15/2014 12:30 PDT</t>
  </si>
  <si>
    <t>06/15/2014 12:45 PDT</t>
  </si>
  <si>
    <t>06/15/2014 13:00 PDT</t>
  </si>
  <si>
    <t>06/15/2014 13:15 PDT</t>
  </si>
  <si>
    <t>06/15/2014 13:30 PDT</t>
  </si>
  <si>
    <t>06/15/2014 13:45 PDT</t>
  </si>
  <si>
    <t>06/15/2014 14:00 PDT</t>
  </si>
  <si>
    <t>06/15/2014 14:15 PDT</t>
  </si>
  <si>
    <t>06/15/2014 14:30 PDT</t>
  </si>
  <si>
    <t>06/15/2014 14:45 PDT</t>
  </si>
  <si>
    <t>06/15/2014 15:00 PDT</t>
  </si>
  <si>
    <t>06/15/2014 15:15 PDT</t>
  </si>
  <si>
    <t>06/15/2014 15:30 PDT</t>
  </si>
  <si>
    <t>06/15/2014 15:45 PDT</t>
  </si>
  <si>
    <t>06/15/2014 16:00 PDT</t>
  </si>
  <si>
    <t>06/15/2014 16:15 PDT</t>
  </si>
  <si>
    <t>06/15/2014 16:30 PDT</t>
  </si>
  <si>
    <t>06/15/2014 16:45 PDT</t>
  </si>
  <si>
    <t>06/15/2014 17:00 PDT</t>
  </si>
  <si>
    <t>06/15/2014 17:15 PDT</t>
  </si>
  <si>
    <t>06/15/2014 17:30 PDT</t>
  </si>
  <si>
    <t>06/15/2014 17:45 PDT</t>
  </si>
  <si>
    <t>06/15/2014 18:00 PDT</t>
  </si>
  <si>
    <t>06/15/2014 18:15 PDT</t>
  </si>
  <si>
    <t>06/15/2014 18:30 PDT</t>
  </si>
  <si>
    <t>06/15/2014 18:45 PDT</t>
  </si>
  <si>
    <t>06/15/2014 19:00 PDT</t>
  </si>
  <si>
    <t>06/15/2014 19:15 PDT</t>
  </si>
  <si>
    <t>06/15/2014 19:30 PDT</t>
  </si>
  <si>
    <t>06/15/2014 19:45 PDT</t>
  </si>
  <si>
    <t>06/15/2014 20:00 PDT</t>
  </si>
  <si>
    <t>06/15/2014 20:15 PDT</t>
  </si>
  <si>
    <t>06/15/2014 20:30 PDT</t>
  </si>
  <si>
    <t>06/15/2014 20:45 PDT</t>
  </si>
  <si>
    <t>06/15/2014 21:00 PDT</t>
  </si>
  <si>
    <t>06/15/2014 21:15 PDT</t>
  </si>
  <si>
    <t>06/15/2014 21:30 PDT</t>
  </si>
  <si>
    <t>06/15/2014 21:45 PDT</t>
  </si>
  <si>
    <t>06/15/2014 22:00 PDT</t>
  </si>
  <si>
    <t>06/15/2014 22:15 PDT</t>
  </si>
  <si>
    <t>06/15/2014 22:30 PDT</t>
  </si>
  <si>
    <t>06/15/2014 22:45 PDT</t>
  </si>
  <si>
    <t>06/15/2014 23:00 PDT</t>
  </si>
  <si>
    <t>06/15/2014 23:15 PDT</t>
  </si>
  <si>
    <t>06/15/2014 23:30 PDT</t>
  </si>
  <si>
    <t>06/15/2014 23:45 PDT</t>
  </si>
  <si>
    <t>&lt;/body&gt;</t>
  </si>
  <si>
    <r>
      <t>5.46</t>
    </r>
    <r>
      <rPr>
        <vertAlign val="superscript"/>
        <sz val="10"/>
        <color rgb="FF000000"/>
        <rFont val="Verdana"/>
        <family val="2"/>
      </rPr>
      <t xml:space="preserve">P </t>
    </r>
  </si>
  <si>
    <r>
      <t>5.47</t>
    </r>
    <r>
      <rPr>
        <vertAlign val="superscript"/>
        <sz val="10"/>
        <color rgb="FF000000"/>
        <rFont val="Verdana"/>
        <family val="2"/>
      </rPr>
      <t xml:space="preserve">P </t>
    </r>
  </si>
  <si>
    <r>
      <t>5.48</t>
    </r>
    <r>
      <rPr>
        <vertAlign val="superscript"/>
        <sz val="10"/>
        <color rgb="FF000000"/>
        <rFont val="Verdana"/>
        <family val="2"/>
      </rPr>
      <t xml:space="preserve">P </t>
    </r>
  </si>
  <si>
    <r>
      <t>5.49</t>
    </r>
    <r>
      <rPr>
        <vertAlign val="superscript"/>
        <sz val="10"/>
        <color rgb="FF000000"/>
        <rFont val="Verdana"/>
        <family val="2"/>
      </rPr>
      <t xml:space="preserve">P </t>
    </r>
  </si>
  <si>
    <r>
      <t>5.50</t>
    </r>
    <r>
      <rPr>
        <vertAlign val="superscript"/>
        <sz val="10"/>
        <color rgb="FF000000"/>
        <rFont val="Verdana"/>
        <family val="2"/>
      </rPr>
      <t xml:space="preserve">P </t>
    </r>
  </si>
  <si>
    <r>
      <t>5.51</t>
    </r>
    <r>
      <rPr>
        <vertAlign val="superscript"/>
        <sz val="10"/>
        <color rgb="FF000000"/>
        <rFont val="Verdana"/>
        <family val="2"/>
      </rPr>
      <t xml:space="preserve">P </t>
    </r>
  </si>
  <si>
    <r>
      <t>5.52</t>
    </r>
    <r>
      <rPr>
        <vertAlign val="superscript"/>
        <sz val="10"/>
        <color rgb="FF000000"/>
        <rFont val="Verdana"/>
        <family val="2"/>
      </rPr>
      <t xml:space="preserve">P </t>
    </r>
  </si>
  <si>
    <r>
      <t>5.53</t>
    </r>
    <r>
      <rPr>
        <vertAlign val="superscript"/>
        <sz val="10"/>
        <color rgb="FF000000"/>
        <rFont val="Verdana"/>
        <family val="2"/>
      </rPr>
      <t xml:space="preserve">P </t>
    </r>
  </si>
  <si>
    <r>
      <t>5.54</t>
    </r>
    <r>
      <rPr>
        <vertAlign val="superscript"/>
        <sz val="10"/>
        <color rgb="FF000000"/>
        <rFont val="Verdana"/>
        <family val="2"/>
      </rPr>
      <t xml:space="preserve">P </t>
    </r>
  </si>
  <si>
    <r>
      <t>5.55</t>
    </r>
    <r>
      <rPr>
        <vertAlign val="superscript"/>
        <sz val="10"/>
        <color rgb="FF000000"/>
        <rFont val="Verdana"/>
        <family val="2"/>
      </rPr>
      <t xml:space="preserve">P </t>
    </r>
  </si>
  <si>
    <r>
      <t>5.56</t>
    </r>
    <r>
      <rPr>
        <vertAlign val="superscript"/>
        <sz val="10"/>
        <color rgb="FF000000"/>
        <rFont val="Verdana"/>
        <family val="2"/>
      </rPr>
      <t xml:space="preserve">P </t>
    </r>
  </si>
  <si>
    <r>
      <t>5.57</t>
    </r>
    <r>
      <rPr>
        <vertAlign val="superscript"/>
        <sz val="10"/>
        <color rgb="FF000000"/>
        <rFont val="Verdana"/>
        <family val="2"/>
      </rPr>
      <t xml:space="preserve">P </t>
    </r>
  </si>
  <si>
    <r>
      <t>5.58</t>
    </r>
    <r>
      <rPr>
        <vertAlign val="superscript"/>
        <sz val="10"/>
        <color rgb="FF000000"/>
        <rFont val="Verdana"/>
        <family val="2"/>
      </rPr>
      <t xml:space="preserve">P </t>
    </r>
  </si>
  <si>
    <r>
      <t>5.59</t>
    </r>
    <r>
      <rPr>
        <vertAlign val="superscript"/>
        <sz val="10"/>
        <color rgb="FF000000"/>
        <rFont val="Verdana"/>
        <family val="2"/>
      </rPr>
      <t xml:space="preserve">P </t>
    </r>
  </si>
  <si>
    <r>
      <t>5.60</t>
    </r>
    <r>
      <rPr>
        <vertAlign val="superscript"/>
        <sz val="10"/>
        <color rgb="FF000000"/>
        <rFont val="Verdana"/>
        <family val="2"/>
      </rPr>
      <t xml:space="preserve">P </t>
    </r>
  </si>
  <si>
    <r>
      <t>5.61</t>
    </r>
    <r>
      <rPr>
        <vertAlign val="superscript"/>
        <sz val="10"/>
        <color rgb="FF000000"/>
        <rFont val="Verdana"/>
        <family val="2"/>
      </rPr>
      <t xml:space="preserve">P </t>
    </r>
  </si>
  <si>
    <r>
      <t>5.62</t>
    </r>
    <r>
      <rPr>
        <vertAlign val="superscript"/>
        <sz val="10"/>
        <color rgb="FF000000"/>
        <rFont val="Verdana"/>
        <family val="2"/>
      </rPr>
      <t xml:space="preserve">P </t>
    </r>
  </si>
  <si>
    <r>
      <t>5.63</t>
    </r>
    <r>
      <rPr>
        <vertAlign val="superscript"/>
        <sz val="10"/>
        <color rgb="FF000000"/>
        <rFont val="Verdana"/>
        <family val="2"/>
      </rPr>
      <t xml:space="preserve">P </t>
    </r>
  </si>
  <si>
    <r>
      <t>5.64</t>
    </r>
    <r>
      <rPr>
        <vertAlign val="superscript"/>
        <sz val="10"/>
        <color rgb="FF000000"/>
        <rFont val="Verdana"/>
        <family val="2"/>
      </rPr>
      <t xml:space="preserve">P </t>
    </r>
  </si>
  <si>
    <r>
      <t>5.65</t>
    </r>
    <r>
      <rPr>
        <vertAlign val="superscript"/>
        <sz val="10"/>
        <color rgb="FF000000"/>
        <rFont val="Verdana"/>
        <family val="2"/>
      </rPr>
      <t xml:space="preserve">P </t>
    </r>
  </si>
  <si>
    <r>
      <t>5.66</t>
    </r>
    <r>
      <rPr>
        <vertAlign val="superscript"/>
        <sz val="10"/>
        <color rgb="FF000000"/>
        <rFont val="Verdana"/>
        <family val="2"/>
      </rPr>
      <t xml:space="preserve">P </t>
    </r>
  </si>
  <si>
    <r>
      <t>5.67</t>
    </r>
    <r>
      <rPr>
        <vertAlign val="superscript"/>
        <sz val="10"/>
        <color rgb="FF000000"/>
        <rFont val="Verdana"/>
        <family val="2"/>
      </rPr>
      <t xml:space="preserve">P </t>
    </r>
  </si>
  <si>
    <r>
      <t>5.68</t>
    </r>
    <r>
      <rPr>
        <vertAlign val="superscript"/>
        <sz val="10"/>
        <color rgb="FF000000"/>
        <rFont val="Verdana"/>
        <family val="2"/>
      </rPr>
      <t xml:space="preserve">P </t>
    </r>
  </si>
  <si>
    <r>
      <t>5.69</t>
    </r>
    <r>
      <rPr>
        <vertAlign val="superscript"/>
        <sz val="10"/>
        <color rgb="FF000000"/>
        <rFont val="Verdana"/>
        <family val="2"/>
      </rPr>
      <t xml:space="preserve">P </t>
    </r>
  </si>
  <si>
    <r>
      <t>5.70</t>
    </r>
    <r>
      <rPr>
        <vertAlign val="superscript"/>
        <sz val="10"/>
        <color rgb="FF000000"/>
        <rFont val="Verdana"/>
        <family val="2"/>
      </rPr>
      <t xml:space="preserve">P </t>
    </r>
  </si>
  <si>
    <r>
      <t>5.71</t>
    </r>
    <r>
      <rPr>
        <vertAlign val="superscript"/>
        <sz val="10"/>
        <color rgb="FF000000"/>
        <rFont val="Verdana"/>
        <family val="2"/>
      </rPr>
      <t xml:space="preserve">P </t>
    </r>
  </si>
  <si>
    <r>
      <t>5.72</t>
    </r>
    <r>
      <rPr>
        <vertAlign val="superscript"/>
        <sz val="10"/>
        <color rgb="FF000000"/>
        <rFont val="Verdana"/>
        <family val="2"/>
      </rPr>
      <t xml:space="preserve">P </t>
    </r>
  </si>
  <si>
    <r>
      <t>5.73</t>
    </r>
    <r>
      <rPr>
        <vertAlign val="superscript"/>
        <sz val="10"/>
        <color rgb="FF000000"/>
        <rFont val="Verdana"/>
        <family val="2"/>
      </rPr>
      <t xml:space="preserve">P </t>
    </r>
  </si>
  <si>
    <r>
      <t>5.74</t>
    </r>
    <r>
      <rPr>
        <vertAlign val="superscript"/>
        <sz val="10"/>
        <color rgb="FF000000"/>
        <rFont val="Verdana"/>
        <family val="2"/>
      </rPr>
      <t xml:space="preserve">P </t>
    </r>
  </si>
  <si>
    <r>
      <t>5.75</t>
    </r>
    <r>
      <rPr>
        <vertAlign val="superscript"/>
        <sz val="10"/>
        <color rgb="FF000000"/>
        <rFont val="Verdana"/>
        <family val="2"/>
      </rPr>
      <t xml:space="preserve">P </t>
    </r>
  </si>
  <si>
    <r>
      <t>5.76</t>
    </r>
    <r>
      <rPr>
        <vertAlign val="superscript"/>
        <sz val="10"/>
        <color rgb="FF000000"/>
        <rFont val="Verdana"/>
        <family val="2"/>
      </rPr>
      <t xml:space="preserve">P </t>
    </r>
  </si>
  <si>
    <r>
      <t>5.77</t>
    </r>
    <r>
      <rPr>
        <vertAlign val="superscript"/>
        <sz val="10"/>
        <color rgb="FF000000"/>
        <rFont val="Verdana"/>
        <family val="2"/>
      </rPr>
      <t xml:space="preserve">P </t>
    </r>
  </si>
  <si>
    <r>
      <t>5.78</t>
    </r>
    <r>
      <rPr>
        <vertAlign val="superscript"/>
        <sz val="10"/>
        <color rgb="FF000000"/>
        <rFont val="Verdana"/>
        <family val="2"/>
      </rPr>
      <t xml:space="preserve">P </t>
    </r>
  </si>
  <si>
    <r>
      <t>5.79</t>
    </r>
    <r>
      <rPr>
        <vertAlign val="superscript"/>
        <sz val="10"/>
        <color rgb="FF000000"/>
        <rFont val="Verdana"/>
        <family val="2"/>
      </rPr>
      <t xml:space="preserve">P </t>
    </r>
  </si>
  <si>
    <r>
      <t>5.80</t>
    </r>
    <r>
      <rPr>
        <vertAlign val="superscript"/>
        <sz val="10"/>
        <color rgb="FF000000"/>
        <rFont val="Verdana"/>
        <family val="2"/>
      </rPr>
      <t xml:space="preserve">P </t>
    </r>
  </si>
  <si>
    <r>
      <t>5.81</t>
    </r>
    <r>
      <rPr>
        <vertAlign val="superscript"/>
        <sz val="10"/>
        <color rgb="FF000000"/>
        <rFont val="Verdana"/>
        <family val="2"/>
      </rPr>
      <t xml:space="preserve">P </t>
    </r>
  </si>
  <si>
    <r>
      <t>5.82</t>
    </r>
    <r>
      <rPr>
        <vertAlign val="superscript"/>
        <sz val="10"/>
        <color rgb="FF000000"/>
        <rFont val="Verdana"/>
        <family val="2"/>
      </rPr>
      <t xml:space="preserve">P </t>
    </r>
  </si>
  <si>
    <r>
      <t>5.84</t>
    </r>
    <r>
      <rPr>
        <vertAlign val="superscript"/>
        <sz val="10"/>
        <color rgb="FF000000"/>
        <rFont val="Verdana"/>
        <family val="2"/>
      </rPr>
      <t xml:space="preserve">P </t>
    </r>
  </si>
  <si>
    <r>
      <t>5.85</t>
    </r>
    <r>
      <rPr>
        <vertAlign val="superscript"/>
        <sz val="10"/>
        <color rgb="FF000000"/>
        <rFont val="Verdana"/>
        <family val="2"/>
      </rPr>
      <t xml:space="preserve">P </t>
    </r>
  </si>
  <si>
    <r>
      <t>5.86</t>
    </r>
    <r>
      <rPr>
        <vertAlign val="superscript"/>
        <sz val="10"/>
        <color rgb="FF000000"/>
        <rFont val="Verdana"/>
        <family val="2"/>
      </rPr>
      <t xml:space="preserve">P </t>
    </r>
  </si>
  <si>
    <r>
      <t>5.88</t>
    </r>
    <r>
      <rPr>
        <vertAlign val="superscript"/>
        <sz val="10"/>
        <color rgb="FF000000"/>
        <rFont val="Verdana"/>
        <family val="2"/>
      </rPr>
      <t xml:space="preserve">P </t>
    </r>
  </si>
  <si>
    <r>
      <t>5.89</t>
    </r>
    <r>
      <rPr>
        <vertAlign val="superscript"/>
        <sz val="10"/>
        <color rgb="FF000000"/>
        <rFont val="Verdana"/>
        <family val="2"/>
      </rPr>
      <t xml:space="preserve">P </t>
    </r>
  </si>
  <si>
    <r>
      <t>5.90</t>
    </r>
    <r>
      <rPr>
        <vertAlign val="superscript"/>
        <sz val="10"/>
        <color rgb="FF000000"/>
        <rFont val="Verdana"/>
        <family val="2"/>
      </rPr>
      <t xml:space="preserve">P </t>
    </r>
  </si>
  <si>
    <r>
      <t>5.92</t>
    </r>
    <r>
      <rPr>
        <vertAlign val="superscript"/>
        <sz val="10"/>
        <color rgb="FF000000"/>
        <rFont val="Verdana"/>
        <family val="2"/>
      </rPr>
      <t xml:space="preserve">P </t>
    </r>
  </si>
  <si>
    <r>
      <t>5.93</t>
    </r>
    <r>
      <rPr>
        <vertAlign val="superscript"/>
        <sz val="10"/>
        <color rgb="FF000000"/>
        <rFont val="Verdana"/>
        <family val="2"/>
      </rPr>
      <t xml:space="preserve">P </t>
    </r>
  </si>
  <si>
    <r>
      <t>5.94</t>
    </r>
    <r>
      <rPr>
        <vertAlign val="superscript"/>
        <sz val="10"/>
        <color rgb="FF000000"/>
        <rFont val="Verdana"/>
        <family val="2"/>
      </rPr>
      <t xml:space="preserve">P </t>
    </r>
  </si>
  <si>
    <r>
      <t>5.96</t>
    </r>
    <r>
      <rPr>
        <vertAlign val="superscript"/>
        <sz val="10"/>
        <color rgb="FF000000"/>
        <rFont val="Verdana"/>
        <family val="2"/>
      </rPr>
      <t xml:space="preserve">P </t>
    </r>
  </si>
  <si>
    <r>
      <t>5.97</t>
    </r>
    <r>
      <rPr>
        <vertAlign val="superscript"/>
        <sz val="10"/>
        <color rgb="FF000000"/>
        <rFont val="Verdana"/>
        <family val="2"/>
      </rPr>
      <t xml:space="preserve">P </t>
    </r>
  </si>
  <si>
    <r>
      <t>5.98</t>
    </r>
    <r>
      <rPr>
        <vertAlign val="superscript"/>
        <sz val="10"/>
        <color rgb="FF000000"/>
        <rFont val="Verdana"/>
        <family val="2"/>
      </rPr>
      <t xml:space="preserve">P </t>
    </r>
  </si>
  <si>
    <r>
      <t>5.99</t>
    </r>
    <r>
      <rPr>
        <vertAlign val="superscript"/>
        <sz val="10"/>
        <color rgb="FF000000"/>
        <rFont val="Verdana"/>
        <family val="2"/>
      </rPr>
      <t xml:space="preserve">P </t>
    </r>
  </si>
  <si>
    <r>
      <t>6.00</t>
    </r>
    <r>
      <rPr>
        <vertAlign val="superscript"/>
        <sz val="10"/>
        <color rgb="FF000000"/>
        <rFont val="Verdana"/>
        <family val="2"/>
      </rPr>
      <t xml:space="preserve">P </t>
    </r>
  </si>
  <si>
    <r>
      <t>6.01</t>
    </r>
    <r>
      <rPr>
        <vertAlign val="superscript"/>
        <sz val="10"/>
        <color rgb="FF000000"/>
        <rFont val="Verdana"/>
        <family val="2"/>
      </rPr>
      <t xml:space="preserve">P </t>
    </r>
  </si>
  <si>
    <r>
      <t>6.02</t>
    </r>
    <r>
      <rPr>
        <vertAlign val="superscript"/>
        <sz val="10"/>
        <color rgb="FF000000"/>
        <rFont val="Verdana"/>
        <family val="2"/>
      </rPr>
      <t xml:space="preserve">P </t>
    </r>
  </si>
  <si>
    <r>
      <t>6.03</t>
    </r>
    <r>
      <rPr>
        <vertAlign val="superscript"/>
        <sz val="10"/>
        <color rgb="FF000000"/>
        <rFont val="Verdana"/>
        <family val="2"/>
      </rPr>
      <t xml:space="preserve">P </t>
    </r>
  </si>
  <si>
    <r>
      <t>6.04</t>
    </r>
    <r>
      <rPr>
        <vertAlign val="superscript"/>
        <sz val="10"/>
        <color rgb="FF000000"/>
        <rFont val="Verdana"/>
        <family val="2"/>
      </rPr>
      <t xml:space="preserve">P </t>
    </r>
  </si>
  <si>
    <r>
      <t>6.05</t>
    </r>
    <r>
      <rPr>
        <vertAlign val="superscript"/>
        <sz val="10"/>
        <color rgb="FF000000"/>
        <rFont val="Verdana"/>
        <family val="2"/>
      </rPr>
      <t xml:space="preserve">P </t>
    </r>
  </si>
  <si>
    <r>
      <t>6.06</t>
    </r>
    <r>
      <rPr>
        <vertAlign val="superscript"/>
        <sz val="10"/>
        <color rgb="FF000000"/>
        <rFont val="Verdana"/>
        <family val="2"/>
      </rPr>
      <t xml:space="preserve">P </t>
    </r>
  </si>
  <si>
    <r>
      <t>6.07</t>
    </r>
    <r>
      <rPr>
        <vertAlign val="superscript"/>
        <sz val="10"/>
        <color rgb="FF000000"/>
        <rFont val="Verdana"/>
        <family val="2"/>
      </rPr>
      <t xml:space="preserve">P </t>
    </r>
  </si>
  <si>
    <r>
      <t>6.08</t>
    </r>
    <r>
      <rPr>
        <vertAlign val="superscript"/>
        <sz val="10"/>
        <color rgb="FF000000"/>
        <rFont val="Verdana"/>
        <family val="2"/>
      </rPr>
      <t xml:space="preserve">P </t>
    </r>
  </si>
  <si>
    <r>
      <t>6.09</t>
    </r>
    <r>
      <rPr>
        <vertAlign val="superscript"/>
        <sz val="10"/>
        <color rgb="FF000000"/>
        <rFont val="Verdana"/>
        <family val="2"/>
      </rPr>
      <t xml:space="preserve">P </t>
    </r>
  </si>
  <si>
    <r>
      <t>6.10</t>
    </r>
    <r>
      <rPr>
        <vertAlign val="superscript"/>
        <sz val="10"/>
        <color rgb="FF000000"/>
        <rFont val="Verdana"/>
        <family val="2"/>
      </rPr>
      <t xml:space="preserve">P </t>
    </r>
  </si>
  <si>
    <r>
      <t>6.11</t>
    </r>
    <r>
      <rPr>
        <vertAlign val="superscript"/>
        <sz val="10"/>
        <color rgb="FF000000"/>
        <rFont val="Verdana"/>
        <family val="2"/>
      </rPr>
      <t xml:space="preserve">P </t>
    </r>
  </si>
  <si>
    <r>
      <t>6.12</t>
    </r>
    <r>
      <rPr>
        <vertAlign val="superscript"/>
        <sz val="10"/>
        <color rgb="FF000000"/>
        <rFont val="Verdana"/>
        <family val="2"/>
      </rPr>
      <t xml:space="preserve">P </t>
    </r>
  </si>
  <si>
    <r>
      <t>6.13</t>
    </r>
    <r>
      <rPr>
        <vertAlign val="superscript"/>
        <sz val="10"/>
        <color rgb="FF000000"/>
        <rFont val="Verdana"/>
        <family val="2"/>
      </rPr>
      <t xml:space="preserve">P </t>
    </r>
  </si>
  <si>
    <r>
      <t>6.14</t>
    </r>
    <r>
      <rPr>
        <vertAlign val="superscript"/>
        <sz val="10"/>
        <color rgb="FF000000"/>
        <rFont val="Verdana"/>
        <family val="2"/>
      </rPr>
      <t xml:space="preserve">P </t>
    </r>
  </si>
  <si>
    <r>
      <t>6.15</t>
    </r>
    <r>
      <rPr>
        <vertAlign val="superscript"/>
        <sz val="10"/>
        <color rgb="FF000000"/>
        <rFont val="Verdana"/>
        <family val="2"/>
      </rPr>
      <t xml:space="preserve">P </t>
    </r>
  </si>
  <si>
    <r>
      <t>6.16</t>
    </r>
    <r>
      <rPr>
        <vertAlign val="superscript"/>
        <sz val="10"/>
        <color rgb="FF000000"/>
        <rFont val="Verdana"/>
        <family val="2"/>
      </rPr>
      <t xml:space="preserve">P </t>
    </r>
  </si>
  <si>
    <r>
      <t>6.17</t>
    </r>
    <r>
      <rPr>
        <vertAlign val="superscript"/>
        <sz val="10"/>
        <color rgb="FF000000"/>
        <rFont val="Verdana"/>
        <family val="2"/>
      </rPr>
      <t xml:space="preserve">P </t>
    </r>
  </si>
  <si>
    <r>
      <t>6.18</t>
    </r>
    <r>
      <rPr>
        <vertAlign val="superscript"/>
        <sz val="10"/>
        <color rgb="FF000000"/>
        <rFont val="Verdana"/>
        <family val="2"/>
      </rPr>
      <t xml:space="preserve">P </t>
    </r>
  </si>
  <si>
    <r>
      <t>6.19</t>
    </r>
    <r>
      <rPr>
        <vertAlign val="superscript"/>
        <sz val="10"/>
        <color rgb="FF000000"/>
        <rFont val="Verdana"/>
        <family val="2"/>
      </rPr>
      <t xml:space="preserve">P </t>
    </r>
  </si>
  <si>
    <r>
      <t>6.20</t>
    </r>
    <r>
      <rPr>
        <vertAlign val="superscript"/>
        <sz val="10"/>
        <color rgb="FF000000"/>
        <rFont val="Verdana"/>
        <family val="2"/>
      </rPr>
      <t xml:space="preserve">P </t>
    </r>
  </si>
  <si>
    <r>
      <t>6.21</t>
    </r>
    <r>
      <rPr>
        <vertAlign val="superscript"/>
        <sz val="10"/>
        <color rgb="FF000000"/>
        <rFont val="Verdana"/>
        <family val="2"/>
      </rPr>
      <t xml:space="preserve">P </t>
    </r>
  </si>
  <si>
    <r>
      <t>6.22</t>
    </r>
    <r>
      <rPr>
        <vertAlign val="superscript"/>
        <sz val="10"/>
        <color rgb="FF000000"/>
        <rFont val="Verdana"/>
        <family val="2"/>
      </rPr>
      <t xml:space="preserve">P </t>
    </r>
  </si>
  <si>
    <r>
      <t>6.23</t>
    </r>
    <r>
      <rPr>
        <vertAlign val="superscript"/>
        <sz val="10"/>
        <color rgb="FF000000"/>
        <rFont val="Verdana"/>
        <family val="2"/>
      </rPr>
      <t xml:space="preserve">P </t>
    </r>
  </si>
  <si>
    <r>
      <t>6.24</t>
    </r>
    <r>
      <rPr>
        <vertAlign val="superscript"/>
        <sz val="10"/>
        <color rgb="FF000000"/>
        <rFont val="Verdana"/>
        <family val="2"/>
      </rPr>
      <t xml:space="preserve">P </t>
    </r>
  </si>
  <si>
    <r>
      <t>6.25</t>
    </r>
    <r>
      <rPr>
        <vertAlign val="superscript"/>
        <sz val="10"/>
        <color rgb="FF000000"/>
        <rFont val="Verdana"/>
        <family val="2"/>
      </rPr>
      <t xml:space="preserve">P </t>
    </r>
  </si>
  <si>
    <r>
      <t>6.26</t>
    </r>
    <r>
      <rPr>
        <vertAlign val="superscript"/>
        <sz val="10"/>
        <color rgb="FF000000"/>
        <rFont val="Verdana"/>
        <family val="2"/>
      </rPr>
      <t xml:space="preserve">P </t>
    </r>
  </si>
  <si>
    <r>
      <t>6.27</t>
    </r>
    <r>
      <rPr>
        <vertAlign val="superscript"/>
        <sz val="10"/>
        <color rgb="FF000000"/>
        <rFont val="Verdana"/>
        <family val="2"/>
      </rPr>
      <t xml:space="preserve">P </t>
    </r>
  </si>
  <si>
    <r>
      <t>6.28</t>
    </r>
    <r>
      <rPr>
        <vertAlign val="superscript"/>
        <sz val="10"/>
        <color rgb="FF000000"/>
        <rFont val="Verdana"/>
        <family val="2"/>
      </rPr>
      <t xml:space="preserve">P </t>
    </r>
  </si>
  <si>
    <r>
      <t>6.29</t>
    </r>
    <r>
      <rPr>
        <vertAlign val="superscript"/>
        <sz val="10"/>
        <color rgb="FF000000"/>
        <rFont val="Verdana"/>
        <family val="2"/>
      </rPr>
      <t xml:space="preserve">P </t>
    </r>
  </si>
  <si>
    <r>
      <t>6.30</t>
    </r>
    <r>
      <rPr>
        <vertAlign val="superscript"/>
        <sz val="10"/>
        <color rgb="FF000000"/>
        <rFont val="Verdana"/>
        <family val="2"/>
      </rPr>
      <t xml:space="preserve">P </t>
    </r>
  </si>
  <si>
    <r>
      <t>6.31</t>
    </r>
    <r>
      <rPr>
        <vertAlign val="superscript"/>
        <sz val="10"/>
        <color rgb="FF000000"/>
        <rFont val="Verdana"/>
        <family val="2"/>
      </rPr>
      <t xml:space="preserve">P </t>
    </r>
  </si>
  <si>
    <r>
      <t>6.32</t>
    </r>
    <r>
      <rPr>
        <vertAlign val="superscript"/>
        <sz val="10"/>
        <color rgb="FF000000"/>
        <rFont val="Verdana"/>
        <family val="2"/>
      </rPr>
      <t xml:space="preserve">P </t>
    </r>
  </si>
  <si>
    <r>
      <t>6.33</t>
    </r>
    <r>
      <rPr>
        <vertAlign val="superscript"/>
        <sz val="10"/>
        <color rgb="FF000000"/>
        <rFont val="Verdana"/>
        <family val="2"/>
      </rPr>
      <t xml:space="preserve">P </t>
    </r>
  </si>
  <si>
    <r>
      <t>6.34</t>
    </r>
    <r>
      <rPr>
        <vertAlign val="superscript"/>
        <sz val="10"/>
        <color rgb="FF000000"/>
        <rFont val="Verdana"/>
        <family val="2"/>
      </rPr>
      <t xml:space="preserve">P </t>
    </r>
  </si>
  <si>
    <r>
      <t>6.35</t>
    </r>
    <r>
      <rPr>
        <vertAlign val="superscript"/>
        <sz val="10"/>
        <color rgb="FF000000"/>
        <rFont val="Verdana"/>
        <family val="2"/>
      </rPr>
      <t xml:space="preserve">P </t>
    </r>
  </si>
  <si>
    <r>
      <t>6.36</t>
    </r>
    <r>
      <rPr>
        <vertAlign val="superscript"/>
        <sz val="10"/>
        <color rgb="FF000000"/>
        <rFont val="Verdana"/>
        <family val="2"/>
      </rPr>
      <t xml:space="preserve">P </t>
    </r>
  </si>
  <si>
    <r>
      <t>6.37</t>
    </r>
    <r>
      <rPr>
        <vertAlign val="superscript"/>
        <sz val="10"/>
        <color rgb="FF000000"/>
        <rFont val="Verdana"/>
        <family val="2"/>
      </rPr>
      <t xml:space="preserve">P </t>
    </r>
  </si>
  <si>
    <r>
      <t>6.38</t>
    </r>
    <r>
      <rPr>
        <vertAlign val="superscript"/>
        <sz val="10"/>
        <color rgb="FF000000"/>
        <rFont val="Verdana"/>
        <family val="2"/>
      </rPr>
      <t xml:space="preserve">P </t>
    </r>
  </si>
  <si>
    <r>
      <t>6.39</t>
    </r>
    <r>
      <rPr>
        <vertAlign val="superscript"/>
        <sz val="10"/>
        <color rgb="FF000000"/>
        <rFont val="Verdana"/>
        <family val="2"/>
      </rPr>
      <t xml:space="preserve">P </t>
    </r>
  </si>
  <si>
    <r>
      <t>6.40</t>
    </r>
    <r>
      <rPr>
        <vertAlign val="superscript"/>
        <sz val="10"/>
        <color rgb="FF000000"/>
        <rFont val="Verdana"/>
        <family val="2"/>
      </rPr>
      <t xml:space="preserve">P </t>
    </r>
  </si>
  <si>
    <r>
      <t>6.41</t>
    </r>
    <r>
      <rPr>
        <vertAlign val="superscript"/>
        <sz val="10"/>
        <color rgb="FF000000"/>
        <rFont val="Verdana"/>
        <family val="2"/>
      </rPr>
      <t xml:space="preserve">P </t>
    </r>
  </si>
  <si>
    <r>
      <t>6.42</t>
    </r>
    <r>
      <rPr>
        <vertAlign val="superscript"/>
        <sz val="10"/>
        <color rgb="FF000000"/>
        <rFont val="Verdana"/>
        <family val="2"/>
      </rPr>
      <t xml:space="preserve">P </t>
    </r>
  </si>
  <si>
    <r>
      <t>6.43</t>
    </r>
    <r>
      <rPr>
        <vertAlign val="superscript"/>
        <sz val="10"/>
        <color rgb="FF000000"/>
        <rFont val="Verdana"/>
        <family val="2"/>
      </rPr>
      <t xml:space="preserve">P </t>
    </r>
  </si>
  <si>
    <r>
      <t>6.44</t>
    </r>
    <r>
      <rPr>
        <vertAlign val="superscript"/>
        <sz val="10"/>
        <color rgb="FF000000"/>
        <rFont val="Verdana"/>
        <family val="2"/>
      </rPr>
      <t xml:space="preserve">P </t>
    </r>
  </si>
  <si>
    <r>
      <t>6.45</t>
    </r>
    <r>
      <rPr>
        <vertAlign val="superscript"/>
        <sz val="10"/>
        <color rgb="FF000000"/>
        <rFont val="Verdana"/>
        <family val="2"/>
      </rPr>
      <t xml:space="preserve">P </t>
    </r>
  </si>
  <si>
    <r>
      <t>6.46</t>
    </r>
    <r>
      <rPr>
        <vertAlign val="superscript"/>
        <sz val="10"/>
        <color rgb="FF000000"/>
        <rFont val="Verdana"/>
        <family val="2"/>
      </rPr>
      <t xml:space="preserve">P </t>
    </r>
  </si>
  <si>
    <r>
      <t>6.47</t>
    </r>
    <r>
      <rPr>
        <vertAlign val="superscript"/>
        <sz val="10"/>
        <color rgb="FF000000"/>
        <rFont val="Verdana"/>
        <family val="2"/>
      </rPr>
      <t xml:space="preserve">P </t>
    </r>
  </si>
  <si>
    <r>
      <t>6.48</t>
    </r>
    <r>
      <rPr>
        <vertAlign val="superscript"/>
        <sz val="10"/>
        <color rgb="FF000000"/>
        <rFont val="Verdana"/>
        <family val="2"/>
      </rPr>
      <t xml:space="preserve">P </t>
    </r>
  </si>
  <si>
    <r>
      <t>6.49</t>
    </r>
    <r>
      <rPr>
        <vertAlign val="superscript"/>
        <sz val="10"/>
        <color rgb="FF000000"/>
        <rFont val="Verdana"/>
        <family val="2"/>
      </rPr>
      <t xml:space="preserve">P </t>
    </r>
  </si>
  <si>
    <r>
      <t>6.50</t>
    </r>
    <r>
      <rPr>
        <vertAlign val="superscript"/>
        <sz val="10"/>
        <color rgb="FF000000"/>
        <rFont val="Verdana"/>
        <family val="2"/>
      </rPr>
      <t xml:space="preserve">P </t>
    </r>
  </si>
  <si>
    <r>
      <t>6.52</t>
    </r>
    <r>
      <rPr>
        <vertAlign val="superscript"/>
        <sz val="10"/>
        <color rgb="FF000000"/>
        <rFont val="Verdana"/>
        <family val="2"/>
      </rPr>
      <t xml:space="preserve">P </t>
    </r>
  </si>
  <si>
    <r>
      <t>6.53</t>
    </r>
    <r>
      <rPr>
        <vertAlign val="superscript"/>
        <sz val="10"/>
        <color rgb="FF000000"/>
        <rFont val="Verdana"/>
        <family val="2"/>
      </rPr>
      <t xml:space="preserve">P </t>
    </r>
  </si>
  <si>
    <r>
      <t>6.55</t>
    </r>
    <r>
      <rPr>
        <vertAlign val="superscript"/>
        <sz val="10"/>
        <color rgb="FF000000"/>
        <rFont val="Verdana"/>
        <family val="2"/>
      </rPr>
      <t xml:space="preserve">P </t>
    </r>
  </si>
  <si>
    <r>
      <t>6.56</t>
    </r>
    <r>
      <rPr>
        <vertAlign val="superscript"/>
        <sz val="10"/>
        <color rgb="FF000000"/>
        <rFont val="Verdana"/>
        <family val="2"/>
      </rPr>
      <t xml:space="preserve">P </t>
    </r>
  </si>
  <si>
    <r>
      <t>6.57</t>
    </r>
    <r>
      <rPr>
        <vertAlign val="superscript"/>
        <sz val="10"/>
        <color rgb="FF000000"/>
        <rFont val="Verdana"/>
        <family val="2"/>
      </rPr>
      <t xml:space="preserve">P </t>
    </r>
  </si>
  <si>
    <r>
      <t>6.58</t>
    </r>
    <r>
      <rPr>
        <vertAlign val="superscript"/>
        <sz val="10"/>
        <color rgb="FF000000"/>
        <rFont val="Verdana"/>
        <family val="2"/>
      </rPr>
      <t xml:space="preserve">P </t>
    </r>
  </si>
  <si>
    <r>
      <t>6.60</t>
    </r>
    <r>
      <rPr>
        <vertAlign val="superscript"/>
        <sz val="10"/>
        <color rgb="FF000000"/>
        <rFont val="Verdana"/>
        <family val="2"/>
      </rPr>
      <t xml:space="preserve">P </t>
    </r>
  </si>
  <si>
    <r>
      <t>6.61</t>
    </r>
    <r>
      <rPr>
        <vertAlign val="superscript"/>
        <sz val="10"/>
        <color rgb="FF000000"/>
        <rFont val="Verdana"/>
        <family val="2"/>
      </rPr>
      <t xml:space="preserve">P </t>
    </r>
  </si>
  <si>
    <r>
      <t>6.62</t>
    </r>
    <r>
      <rPr>
        <vertAlign val="superscript"/>
        <sz val="10"/>
        <color rgb="FF000000"/>
        <rFont val="Verdana"/>
        <family val="2"/>
      </rPr>
      <t xml:space="preserve">P </t>
    </r>
  </si>
  <si>
    <r>
      <t>6.63</t>
    </r>
    <r>
      <rPr>
        <vertAlign val="superscript"/>
        <sz val="10"/>
        <color rgb="FF000000"/>
        <rFont val="Verdana"/>
        <family val="2"/>
      </rPr>
      <t xml:space="preserve">P </t>
    </r>
  </si>
  <si>
    <r>
      <t>6.64</t>
    </r>
    <r>
      <rPr>
        <vertAlign val="superscript"/>
        <sz val="10"/>
        <color rgb="FF000000"/>
        <rFont val="Verdana"/>
        <family val="2"/>
      </rPr>
      <t xml:space="preserve">P </t>
    </r>
  </si>
  <si>
    <r>
      <t>6.65</t>
    </r>
    <r>
      <rPr>
        <vertAlign val="superscript"/>
        <sz val="10"/>
        <color rgb="FF000000"/>
        <rFont val="Verdana"/>
        <family val="2"/>
      </rPr>
      <t xml:space="preserve">P </t>
    </r>
  </si>
  <si>
    <r>
      <t>6.66</t>
    </r>
    <r>
      <rPr>
        <vertAlign val="superscript"/>
        <sz val="10"/>
        <color rgb="FF000000"/>
        <rFont val="Verdana"/>
        <family val="2"/>
      </rPr>
      <t xml:space="preserve">P </t>
    </r>
  </si>
  <si>
    <r>
      <t>6.68</t>
    </r>
    <r>
      <rPr>
        <vertAlign val="superscript"/>
        <sz val="10"/>
        <color rgb="FF000000"/>
        <rFont val="Verdana"/>
        <family val="2"/>
      </rPr>
      <t xml:space="preserve">P </t>
    </r>
  </si>
  <si>
    <r>
      <t>6.69</t>
    </r>
    <r>
      <rPr>
        <vertAlign val="superscript"/>
        <sz val="10"/>
        <color rgb="FF000000"/>
        <rFont val="Verdana"/>
        <family val="2"/>
      </rPr>
      <t xml:space="preserve">P </t>
    </r>
  </si>
  <si>
    <r>
      <t>6.70</t>
    </r>
    <r>
      <rPr>
        <vertAlign val="superscript"/>
        <sz val="10"/>
        <color rgb="FF000000"/>
        <rFont val="Verdana"/>
        <family val="2"/>
      </rPr>
      <t xml:space="preserve">P </t>
    </r>
  </si>
  <si>
    <r>
      <t>6.71</t>
    </r>
    <r>
      <rPr>
        <vertAlign val="superscript"/>
        <sz val="10"/>
        <color rgb="FF000000"/>
        <rFont val="Verdana"/>
        <family val="2"/>
      </rPr>
      <t xml:space="preserve">P </t>
    </r>
  </si>
  <si>
    <r>
      <t>6.72</t>
    </r>
    <r>
      <rPr>
        <vertAlign val="superscript"/>
        <sz val="10"/>
        <color rgb="FF000000"/>
        <rFont val="Verdana"/>
        <family val="2"/>
      </rPr>
      <t xml:space="preserve">P </t>
    </r>
  </si>
  <si>
    <r>
      <t>6.73</t>
    </r>
    <r>
      <rPr>
        <vertAlign val="superscript"/>
        <sz val="10"/>
        <color rgb="FF000000"/>
        <rFont val="Verdana"/>
        <family val="2"/>
      </rPr>
      <t xml:space="preserve">P </t>
    </r>
  </si>
  <si>
    <r>
      <t>6.74</t>
    </r>
    <r>
      <rPr>
        <vertAlign val="superscript"/>
        <sz val="10"/>
        <color rgb="FF000000"/>
        <rFont val="Verdana"/>
        <family val="2"/>
      </rPr>
      <t xml:space="preserve">P </t>
    </r>
  </si>
  <si>
    <r>
      <t>6.75</t>
    </r>
    <r>
      <rPr>
        <vertAlign val="superscript"/>
        <sz val="10"/>
        <color rgb="FF000000"/>
        <rFont val="Verdana"/>
        <family val="2"/>
      </rPr>
      <t xml:space="preserve">P </t>
    </r>
  </si>
  <si>
    <r>
      <t>6.76</t>
    </r>
    <r>
      <rPr>
        <vertAlign val="superscript"/>
        <sz val="10"/>
        <color rgb="FF000000"/>
        <rFont val="Verdana"/>
        <family val="2"/>
      </rPr>
      <t xml:space="preserve">P </t>
    </r>
  </si>
  <si>
    <r>
      <t>6.77</t>
    </r>
    <r>
      <rPr>
        <vertAlign val="superscript"/>
        <sz val="10"/>
        <color rgb="FF000000"/>
        <rFont val="Verdana"/>
        <family val="2"/>
      </rPr>
      <t xml:space="preserve">P </t>
    </r>
  </si>
  <si>
    <r>
      <t>6.78</t>
    </r>
    <r>
      <rPr>
        <vertAlign val="superscript"/>
        <sz val="10"/>
        <color rgb="FF000000"/>
        <rFont val="Verdana"/>
        <family val="2"/>
      </rPr>
      <t xml:space="preserve">P </t>
    </r>
  </si>
  <si>
    <r>
      <t>6.79</t>
    </r>
    <r>
      <rPr>
        <vertAlign val="superscript"/>
        <sz val="10"/>
        <color rgb="FF000000"/>
        <rFont val="Verdana"/>
        <family val="2"/>
      </rPr>
      <t xml:space="preserve">P </t>
    </r>
  </si>
  <si>
    <r>
      <t>6.80</t>
    </r>
    <r>
      <rPr>
        <vertAlign val="superscript"/>
        <sz val="10"/>
        <color rgb="FF000000"/>
        <rFont val="Verdana"/>
        <family val="2"/>
      </rPr>
      <t xml:space="preserve">P </t>
    </r>
  </si>
  <si>
    <r>
      <t>6.81</t>
    </r>
    <r>
      <rPr>
        <vertAlign val="superscript"/>
        <sz val="10"/>
        <color rgb="FF000000"/>
        <rFont val="Verdana"/>
        <family val="2"/>
      </rPr>
      <t xml:space="preserve">P </t>
    </r>
  </si>
  <si>
    <r>
      <t>6.82</t>
    </r>
    <r>
      <rPr>
        <vertAlign val="superscript"/>
        <sz val="10"/>
        <color rgb="FF000000"/>
        <rFont val="Verdana"/>
        <family val="2"/>
      </rPr>
      <t xml:space="preserve">P </t>
    </r>
  </si>
  <si>
    <r>
      <t>6.83</t>
    </r>
    <r>
      <rPr>
        <vertAlign val="superscript"/>
        <sz val="10"/>
        <color rgb="FF000000"/>
        <rFont val="Verdana"/>
        <family val="2"/>
      </rPr>
      <t xml:space="preserve">P </t>
    </r>
  </si>
  <si>
    <r>
      <t>6.84</t>
    </r>
    <r>
      <rPr>
        <vertAlign val="superscript"/>
        <sz val="10"/>
        <color rgb="FF000000"/>
        <rFont val="Verdana"/>
        <family val="2"/>
      </rPr>
      <t xml:space="preserve">P </t>
    </r>
  </si>
  <si>
    <r>
      <t>6.85</t>
    </r>
    <r>
      <rPr>
        <vertAlign val="superscript"/>
        <sz val="10"/>
        <color rgb="FF000000"/>
        <rFont val="Verdana"/>
        <family val="2"/>
      </rPr>
      <t xml:space="preserve">P </t>
    </r>
  </si>
  <si>
    <r>
      <t>6.86</t>
    </r>
    <r>
      <rPr>
        <vertAlign val="superscript"/>
        <sz val="10"/>
        <color rgb="FF000000"/>
        <rFont val="Verdana"/>
        <family val="2"/>
      </rPr>
      <t xml:space="preserve">P </t>
    </r>
  </si>
  <si>
    <r>
      <t>6.87</t>
    </r>
    <r>
      <rPr>
        <vertAlign val="superscript"/>
        <sz val="10"/>
        <color rgb="FF000000"/>
        <rFont val="Verdana"/>
        <family val="2"/>
      </rPr>
      <t xml:space="preserve">P </t>
    </r>
  </si>
  <si>
    <r>
      <t>6.88</t>
    </r>
    <r>
      <rPr>
        <vertAlign val="superscript"/>
        <sz val="10"/>
        <color rgb="FF000000"/>
        <rFont val="Verdana"/>
        <family val="2"/>
      </rPr>
      <t xml:space="preserve">P </t>
    </r>
  </si>
  <si>
    <r>
      <t>6.89</t>
    </r>
    <r>
      <rPr>
        <vertAlign val="superscript"/>
        <sz val="10"/>
        <color rgb="FF000000"/>
        <rFont val="Verdana"/>
        <family val="2"/>
      </rPr>
      <t xml:space="preserve">P </t>
    </r>
  </si>
  <si>
    <r>
      <t>6.90</t>
    </r>
    <r>
      <rPr>
        <vertAlign val="superscript"/>
        <sz val="10"/>
        <color rgb="FF000000"/>
        <rFont val="Verdana"/>
        <family val="2"/>
      </rPr>
      <t xml:space="preserve">P </t>
    </r>
  </si>
  <si>
    <r>
      <t>6.91</t>
    </r>
    <r>
      <rPr>
        <vertAlign val="superscript"/>
        <sz val="10"/>
        <color rgb="FF000000"/>
        <rFont val="Verdana"/>
        <family val="2"/>
      </rPr>
      <t xml:space="preserve">P </t>
    </r>
  </si>
  <si>
    <r>
      <t>6.92</t>
    </r>
    <r>
      <rPr>
        <vertAlign val="superscript"/>
        <sz val="10"/>
        <color rgb="FF000000"/>
        <rFont val="Verdana"/>
        <family val="2"/>
      </rPr>
      <t xml:space="preserve">P </t>
    </r>
  </si>
  <si>
    <r>
      <t>6.93</t>
    </r>
    <r>
      <rPr>
        <vertAlign val="superscript"/>
        <sz val="10"/>
        <color rgb="FF000000"/>
        <rFont val="Verdana"/>
        <family val="2"/>
      </rPr>
      <t xml:space="preserve">P </t>
    </r>
  </si>
  <si>
    <r>
      <t>6.94</t>
    </r>
    <r>
      <rPr>
        <vertAlign val="superscript"/>
        <sz val="10"/>
        <color rgb="FF000000"/>
        <rFont val="Verdana"/>
        <family val="2"/>
      </rPr>
      <t xml:space="preserve">P </t>
    </r>
  </si>
  <si>
    <r>
      <t>6.95</t>
    </r>
    <r>
      <rPr>
        <vertAlign val="superscript"/>
        <sz val="10"/>
        <color rgb="FF000000"/>
        <rFont val="Verdana"/>
        <family val="2"/>
      </rPr>
      <t xml:space="preserve">P </t>
    </r>
  </si>
  <si>
    <r>
      <t>6.96</t>
    </r>
    <r>
      <rPr>
        <vertAlign val="superscript"/>
        <sz val="10"/>
        <color rgb="FF000000"/>
        <rFont val="Verdana"/>
        <family val="2"/>
      </rPr>
      <t xml:space="preserve">P </t>
    </r>
  </si>
  <si>
    <r>
      <t>6.97</t>
    </r>
    <r>
      <rPr>
        <vertAlign val="superscript"/>
        <sz val="10"/>
        <color rgb="FF000000"/>
        <rFont val="Verdana"/>
        <family val="2"/>
      </rPr>
      <t xml:space="preserve">P </t>
    </r>
  </si>
  <si>
    <r>
      <t>6.98</t>
    </r>
    <r>
      <rPr>
        <vertAlign val="superscript"/>
        <sz val="10"/>
        <color rgb="FF000000"/>
        <rFont val="Verdana"/>
        <family val="2"/>
      </rPr>
      <t xml:space="preserve">P </t>
    </r>
  </si>
  <si>
    <r>
      <t>6.99</t>
    </r>
    <r>
      <rPr>
        <vertAlign val="superscript"/>
        <sz val="10"/>
        <color rgb="FF000000"/>
        <rFont val="Verdana"/>
        <family val="2"/>
      </rPr>
      <t xml:space="preserve">P </t>
    </r>
  </si>
  <si>
    <r>
      <t>7.00</t>
    </r>
    <r>
      <rPr>
        <vertAlign val="superscript"/>
        <sz val="10"/>
        <color rgb="FF000000"/>
        <rFont val="Verdana"/>
        <family val="2"/>
      </rPr>
      <t xml:space="preserve">P </t>
    </r>
  </si>
  <si>
    <r>
      <t>7.01</t>
    </r>
    <r>
      <rPr>
        <vertAlign val="superscript"/>
        <sz val="10"/>
        <color rgb="FF000000"/>
        <rFont val="Verdana"/>
        <family val="2"/>
      </rPr>
      <t xml:space="preserve">P </t>
    </r>
  </si>
  <si>
    <r>
      <t>7.02</t>
    </r>
    <r>
      <rPr>
        <vertAlign val="superscript"/>
        <sz val="10"/>
        <color rgb="FF000000"/>
        <rFont val="Verdana"/>
        <family val="2"/>
      </rPr>
      <t xml:space="preserve">P </t>
    </r>
  </si>
  <si>
    <r>
      <t>7.03</t>
    </r>
    <r>
      <rPr>
        <vertAlign val="superscript"/>
        <sz val="10"/>
        <color rgb="FF000000"/>
        <rFont val="Verdana"/>
        <family val="2"/>
      </rPr>
      <t xml:space="preserve">P </t>
    </r>
  </si>
  <si>
    <r>
      <t>7.04</t>
    </r>
    <r>
      <rPr>
        <vertAlign val="superscript"/>
        <sz val="10"/>
        <color rgb="FF000000"/>
        <rFont val="Verdana"/>
        <family val="2"/>
      </rPr>
      <t xml:space="preserve">P </t>
    </r>
  </si>
  <si>
    <r>
      <t>7.05</t>
    </r>
    <r>
      <rPr>
        <vertAlign val="superscript"/>
        <sz val="10"/>
        <color rgb="FF000000"/>
        <rFont val="Verdana"/>
        <family val="2"/>
      </rPr>
      <t xml:space="preserve">P </t>
    </r>
  </si>
  <si>
    <r>
      <t>7.06</t>
    </r>
    <r>
      <rPr>
        <vertAlign val="superscript"/>
        <sz val="10"/>
        <color rgb="FF000000"/>
        <rFont val="Verdana"/>
        <family val="2"/>
      </rPr>
      <t xml:space="preserve">P </t>
    </r>
  </si>
  <si>
    <r>
      <t>7.07</t>
    </r>
    <r>
      <rPr>
        <vertAlign val="superscript"/>
        <sz val="10"/>
        <color rgb="FF000000"/>
        <rFont val="Verdana"/>
        <family val="2"/>
      </rPr>
      <t xml:space="preserve">P </t>
    </r>
  </si>
  <si>
    <r>
      <t>6.67</t>
    </r>
    <r>
      <rPr>
        <vertAlign val="superscript"/>
        <sz val="10"/>
        <color rgb="FF000000"/>
        <rFont val="Verdana"/>
        <family val="2"/>
      </rPr>
      <t xml:space="preserve">P </t>
    </r>
  </si>
  <si>
    <r>
      <t>6.59</t>
    </r>
    <r>
      <rPr>
        <vertAlign val="superscript"/>
        <sz val="10"/>
        <color rgb="FF000000"/>
        <rFont val="Verdana"/>
        <family val="2"/>
      </rPr>
      <t xml:space="preserve">P </t>
    </r>
  </si>
  <si>
    <r>
      <t>6.54</t>
    </r>
    <r>
      <rPr>
        <vertAlign val="superscript"/>
        <sz val="10"/>
        <color rgb="FF000000"/>
        <rFont val="Verdana"/>
        <family val="2"/>
      </rPr>
      <t xml:space="preserve">P </t>
    </r>
  </si>
  <si>
    <r>
      <t>6.51</t>
    </r>
    <r>
      <rPr>
        <vertAlign val="superscript"/>
        <sz val="10"/>
        <color rgb="FF000000"/>
        <rFont val="Verdana"/>
        <family val="2"/>
      </rPr>
      <t xml:space="preserve">P </t>
    </r>
  </si>
  <si>
    <r>
      <t>5.95</t>
    </r>
    <r>
      <rPr>
        <vertAlign val="superscript"/>
        <sz val="10"/>
        <color rgb="FF000000"/>
        <rFont val="Verdana"/>
        <family val="2"/>
      </rPr>
      <t xml:space="preserve">P </t>
    </r>
  </si>
  <si>
    <r>
      <t>5.91</t>
    </r>
    <r>
      <rPr>
        <vertAlign val="superscript"/>
        <sz val="10"/>
        <color rgb="FF000000"/>
        <rFont val="Verdana"/>
        <family val="2"/>
      </rPr>
      <t xml:space="preserve">P </t>
    </r>
  </si>
  <si>
    <r>
      <t>5.87</t>
    </r>
    <r>
      <rPr>
        <vertAlign val="superscript"/>
        <sz val="10"/>
        <color rgb="FF000000"/>
        <rFont val="Verdana"/>
        <family val="2"/>
      </rPr>
      <t xml:space="preserve">P </t>
    </r>
  </si>
  <si>
    <r>
      <t>5.83</t>
    </r>
    <r>
      <rPr>
        <vertAlign val="superscript"/>
        <sz val="10"/>
        <color rgb="FF000000"/>
        <rFont val="Verdana"/>
        <family val="2"/>
      </rPr>
      <t xml:space="preserve">P </t>
    </r>
  </si>
  <si>
    <r>
      <t>5.45</t>
    </r>
    <r>
      <rPr>
        <vertAlign val="superscript"/>
        <sz val="10"/>
        <color rgb="FF000000"/>
        <rFont val="Verdana"/>
        <family val="2"/>
      </rPr>
      <t xml:space="preserve">P </t>
    </r>
  </si>
  <si>
    <r>
      <t>5.44</t>
    </r>
    <r>
      <rPr>
        <vertAlign val="superscript"/>
        <sz val="10"/>
        <color rgb="FF000000"/>
        <rFont val="Verdana"/>
        <family val="2"/>
      </rPr>
      <t xml:space="preserve">P </t>
    </r>
  </si>
  <si>
    <r>
      <t>5.43</t>
    </r>
    <r>
      <rPr>
        <vertAlign val="superscript"/>
        <sz val="10"/>
        <color rgb="FF000000"/>
        <rFont val="Verdana"/>
        <family val="2"/>
      </rPr>
      <t xml:space="preserve">P </t>
    </r>
  </si>
  <si>
    <r>
      <t>5.42</t>
    </r>
    <r>
      <rPr>
        <vertAlign val="superscript"/>
        <sz val="10"/>
        <color rgb="FF000000"/>
        <rFont val="Verdana"/>
        <family val="2"/>
      </rPr>
      <t xml:space="preserve">P </t>
    </r>
  </si>
  <si>
    <r>
      <t>5.41</t>
    </r>
    <r>
      <rPr>
        <vertAlign val="superscript"/>
        <sz val="10"/>
        <color rgb="FF000000"/>
        <rFont val="Verdana"/>
        <family val="2"/>
      </rPr>
      <t xml:space="preserve">P </t>
    </r>
  </si>
  <si>
    <r>
      <t>5.40</t>
    </r>
    <r>
      <rPr>
        <vertAlign val="superscript"/>
        <sz val="10"/>
        <color rgb="FF000000"/>
        <rFont val="Verdana"/>
        <family val="2"/>
      </rPr>
      <t xml:space="preserve">P </t>
    </r>
  </si>
  <si>
    <r>
      <t>5.39</t>
    </r>
    <r>
      <rPr>
        <vertAlign val="superscript"/>
        <sz val="10"/>
        <color rgb="FF000000"/>
        <rFont val="Verdana"/>
        <family val="2"/>
      </rPr>
      <t xml:space="preserve">P </t>
    </r>
  </si>
  <si>
    <r>
      <t>5.38</t>
    </r>
    <r>
      <rPr>
        <vertAlign val="superscript"/>
        <sz val="10"/>
        <color rgb="FF000000"/>
        <rFont val="Verdana"/>
        <family val="2"/>
      </rPr>
      <t xml:space="preserve">P </t>
    </r>
  </si>
  <si>
    <r>
      <t>5.37</t>
    </r>
    <r>
      <rPr>
        <vertAlign val="superscript"/>
        <sz val="10"/>
        <color rgb="FF000000"/>
        <rFont val="Verdana"/>
        <family val="2"/>
      </rPr>
      <t xml:space="preserve">P </t>
    </r>
  </si>
  <si>
    <r>
      <t>5.36</t>
    </r>
    <r>
      <rPr>
        <vertAlign val="superscript"/>
        <sz val="10"/>
        <color rgb="FF000000"/>
        <rFont val="Verdana"/>
        <family val="2"/>
      </rPr>
      <t xml:space="preserve">P </t>
    </r>
  </si>
  <si>
    <r>
      <t>5.35</t>
    </r>
    <r>
      <rPr>
        <vertAlign val="superscript"/>
        <sz val="10"/>
        <color rgb="FF000000"/>
        <rFont val="Verdana"/>
        <family val="2"/>
      </rPr>
      <t xml:space="preserve">P </t>
    </r>
  </si>
  <si>
    <r>
      <t>5.34</t>
    </r>
    <r>
      <rPr>
        <vertAlign val="superscript"/>
        <sz val="10"/>
        <color rgb="FF000000"/>
        <rFont val="Verdana"/>
        <family val="2"/>
      </rPr>
      <t xml:space="preserve">P </t>
    </r>
  </si>
  <si>
    <r>
      <t>5.33</t>
    </r>
    <r>
      <rPr>
        <vertAlign val="superscript"/>
        <sz val="10"/>
        <color rgb="FF000000"/>
        <rFont val="Verdana"/>
        <family val="2"/>
      </rPr>
      <t xml:space="preserve">P </t>
    </r>
  </si>
  <si>
    <r>
      <t>5.32</t>
    </r>
    <r>
      <rPr>
        <vertAlign val="superscript"/>
        <sz val="10"/>
        <color rgb="FF000000"/>
        <rFont val="Verdana"/>
        <family val="2"/>
      </rPr>
      <t xml:space="preserve">P </t>
    </r>
  </si>
  <si>
    <r>
      <t>5.31</t>
    </r>
    <r>
      <rPr>
        <vertAlign val="superscript"/>
        <sz val="10"/>
        <color rgb="FF000000"/>
        <rFont val="Verdana"/>
        <family val="2"/>
      </rPr>
      <t xml:space="preserve">P </t>
    </r>
  </si>
  <si>
    <r>
      <t>5.30</t>
    </r>
    <r>
      <rPr>
        <vertAlign val="superscript"/>
        <sz val="10"/>
        <color rgb="FF000000"/>
        <rFont val="Verdana"/>
        <family val="2"/>
      </rPr>
      <t xml:space="preserve">P </t>
    </r>
  </si>
  <si>
    <r>
      <t>5.29</t>
    </r>
    <r>
      <rPr>
        <vertAlign val="superscript"/>
        <sz val="10"/>
        <color rgb="FF000000"/>
        <rFont val="Verdana"/>
        <family val="2"/>
      </rPr>
      <t xml:space="preserve">P </t>
    </r>
  </si>
  <si>
    <r>
      <t>5.28</t>
    </r>
    <r>
      <rPr>
        <vertAlign val="superscript"/>
        <sz val="10"/>
        <color rgb="FF000000"/>
        <rFont val="Verdana"/>
        <family val="2"/>
      </rPr>
      <t xml:space="preserve">P </t>
    </r>
  </si>
  <si>
    <r>
      <t>5.27</t>
    </r>
    <r>
      <rPr>
        <vertAlign val="superscript"/>
        <sz val="10"/>
        <color rgb="FF000000"/>
        <rFont val="Verdana"/>
        <family val="2"/>
      </rPr>
      <t xml:space="preserve">P </t>
    </r>
  </si>
  <si>
    <r>
      <t>5.26</t>
    </r>
    <r>
      <rPr>
        <vertAlign val="superscript"/>
        <sz val="10"/>
        <color rgb="FF000000"/>
        <rFont val="Verdana"/>
        <family val="2"/>
      </rPr>
      <t xml:space="preserve">P </t>
    </r>
  </si>
  <si>
    <r>
      <t>5.25</t>
    </r>
    <r>
      <rPr>
        <vertAlign val="superscript"/>
        <sz val="10"/>
        <color rgb="FF000000"/>
        <rFont val="Verdana"/>
        <family val="2"/>
      </rPr>
      <t xml:space="preserve">P </t>
    </r>
  </si>
  <si>
    <r>
      <t>5.24</t>
    </r>
    <r>
      <rPr>
        <vertAlign val="superscript"/>
        <sz val="10"/>
        <color rgb="FF000000"/>
        <rFont val="Verdana"/>
        <family val="2"/>
      </rPr>
      <t xml:space="preserve">P </t>
    </r>
  </si>
  <si>
    <r>
      <t>5.23</t>
    </r>
    <r>
      <rPr>
        <vertAlign val="superscript"/>
        <sz val="10"/>
        <color rgb="FF000000"/>
        <rFont val="Verdana"/>
        <family val="2"/>
      </rPr>
      <t xml:space="preserve">P </t>
    </r>
  </si>
  <si>
    <r>
      <t>5.22</t>
    </r>
    <r>
      <rPr>
        <vertAlign val="superscript"/>
        <sz val="10"/>
        <color rgb="FF000000"/>
        <rFont val="Verdana"/>
        <family val="2"/>
      </rPr>
      <t xml:space="preserve">P </t>
    </r>
  </si>
  <si>
    <r>
      <t>5.21</t>
    </r>
    <r>
      <rPr>
        <vertAlign val="superscript"/>
        <sz val="10"/>
        <color rgb="FF000000"/>
        <rFont val="Verdana"/>
        <family val="2"/>
      </rPr>
      <t xml:space="preserve">P </t>
    </r>
  </si>
  <si>
    <r>
      <t>5.20</t>
    </r>
    <r>
      <rPr>
        <vertAlign val="superscript"/>
        <sz val="10"/>
        <color rgb="FF000000"/>
        <rFont val="Verdana"/>
        <family val="2"/>
      </rPr>
      <t xml:space="preserve">P </t>
    </r>
  </si>
  <si>
    <r>
      <t>7.08</t>
    </r>
    <r>
      <rPr>
        <vertAlign val="superscript"/>
        <sz val="10"/>
        <color rgb="FF000000"/>
        <rFont val="Verdana"/>
        <family val="2"/>
      </rPr>
      <t xml:space="preserve">P </t>
    </r>
  </si>
  <si>
    <r>
      <t>7.09</t>
    </r>
    <r>
      <rPr>
        <vertAlign val="superscript"/>
        <sz val="10"/>
        <color rgb="FF000000"/>
        <rFont val="Verdana"/>
        <family val="2"/>
      </rPr>
      <t xml:space="preserve">P </t>
    </r>
  </si>
  <si>
    <r>
      <t>7.10</t>
    </r>
    <r>
      <rPr>
        <vertAlign val="superscript"/>
        <sz val="10"/>
        <color rgb="FF000000"/>
        <rFont val="Verdana"/>
        <family val="2"/>
      </rPr>
      <t xml:space="preserve">P </t>
    </r>
  </si>
  <si>
    <r>
      <t>7.12</t>
    </r>
    <r>
      <rPr>
        <vertAlign val="superscript"/>
        <sz val="10"/>
        <color rgb="FF000000"/>
        <rFont val="Verdana"/>
        <family val="2"/>
      </rPr>
      <t xml:space="preserve">P </t>
    </r>
  </si>
  <si>
    <r>
      <t>7.13</t>
    </r>
    <r>
      <rPr>
        <vertAlign val="superscript"/>
        <sz val="10"/>
        <color rgb="FF000000"/>
        <rFont val="Verdana"/>
        <family val="2"/>
      </rPr>
      <t xml:space="preserve">P </t>
    </r>
  </si>
  <si>
    <r>
      <t>7.14</t>
    </r>
    <r>
      <rPr>
        <vertAlign val="superscript"/>
        <sz val="10"/>
        <color rgb="FF000000"/>
        <rFont val="Verdana"/>
        <family val="2"/>
      </rPr>
      <t xml:space="preserve">P </t>
    </r>
  </si>
  <si>
    <r>
      <t>7.15</t>
    </r>
    <r>
      <rPr>
        <vertAlign val="superscript"/>
        <sz val="10"/>
        <color rgb="FF000000"/>
        <rFont val="Verdana"/>
        <family val="2"/>
      </rPr>
      <t xml:space="preserve">P </t>
    </r>
  </si>
  <si>
    <r>
      <t>7.16</t>
    </r>
    <r>
      <rPr>
        <vertAlign val="superscript"/>
        <sz val="10"/>
        <color rgb="FF000000"/>
        <rFont val="Verdana"/>
        <family val="2"/>
      </rPr>
      <t xml:space="preserve">P </t>
    </r>
  </si>
  <si>
    <r>
      <t>7.18</t>
    </r>
    <r>
      <rPr>
        <vertAlign val="superscript"/>
        <sz val="10"/>
        <color rgb="FF000000"/>
        <rFont val="Verdana"/>
        <family val="2"/>
      </rPr>
      <t xml:space="preserve">P </t>
    </r>
  </si>
  <si>
    <r>
      <t>7.19</t>
    </r>
    <r>
      <rPr>
        <vertAlign val="superscript"/>
        <sz val="10"/>
        <color rgb="FF000000"/>
        <rFont val="Verdana"/>
        <family val="2"/>
      </rPr>
      <t xml:space="preserve">P </t>
    </r>
  </si>
  <si>
    <r>
      <t>7.20</t>
    </r>
    <r>
      <rPr>
        <vertAlign val="superscript"/>
        <sz val="10"/>
        <color rgb="FF000000"/>
        <rFont val="Verdana"/>
        <family val="2"/>
      </rPr>
      <t xml:space="preserve">P </t>
    </r>
  </si>
  <si>
    <r>
      <t>7.21</t>
    </r>
    <r>
      <rPr>
        <vertAlign val="superscript"/>
        <sz val="10"/>
        <color rgb="FF000000"/>
        <rFont val="Verdana"/>
        <family val="2"/>
      </rPr>
      <t xml:space="preserve">P </t>
    </r>
  </si>
  <si>
    <r>
      <t>7.23</t>
    </r>
    <r>
      <rPr>
        <vertAlign val="superscript"/>
        <sz val="10"/>
        <color rgb="FF000000"/>
        <rFont val="Verdana"/>
        <family val="2"/>
      </rPr>
      <t xml:space="preserve">P </t>
    </r>
  </si>
  <si>
    <r>
      <t>7.24</t>
    </r>
    <r>
      <rPr>
        <vertAlign val="superscript"/>
        <sz val="10"/>
        <color rgb="FF000000"/>
        <rFont val="Verdana"/>
        <family val="2"/>
      </rPr>
      <t xml:space="preserve">P </t>
    </r>
  </si>
  <si>
    <r>
      <t>7.25</t>
    </r>
    <r>
      <rPr>
        <vertAlign val="superscript"/>
        <sz val="10"/>
        <color rgb="FF000000"/>
        <rFont val="Verdana"/>
        <family val="2"/>
      </rPr>
      <t xml:space="preserve">P </t>
    </r>
  </si>
  <si>
    <r>
      <t>7.26</t>
    </r>
    <r>
      <rPr>
        <vertAlign val="superscript"/>
        <sz val="10"/>
        <color rgb="FF000000"/>
        <rFont val="Verdana"/>
        <family val="2"/>
      </rPr>
      <t xml:space="preserve">P </t>
    </r>
  </si>
  <si>
    <r>
      <t>7.27</t>
    </r>
    <r>
      <rPr>
        <vertAlign val="superscript"/>
        <sz val="10"/>
        <color rgb="FF000000"/>
        <rFont val="Verdana"/>
        <family val="2"/>
      </rPr>
      <t xml:space="preserve">P </t>
    </r>
  </si>
  <si>
    <r>
      <t>7.28</t>
    </r>
    <r>
      <rPr>
        <vertAlign val="superscript"/>
        <sz val="10"/>
        <color rgb="FF000000"/>
        <rFont val="Verdana"/>
        <family val="2"/>
      </rPr>
      <t xml:space="preserve">P </t>
    </r>
  </si>
  <si>
    <r>
      <t>7.29</t>
    </r>
    <r>
      <rPr>
        <vertAlign val="superscript"/>
        <sz val="10"/>
        <color rgb="FF000000"/>
        <rFont val="Verdana"/>
        <family val="2"/>
      </rPr>
      <t xml:space="preserve">P </t>
    </r>
  </si>
  <si>
    <r>
      <t>7.30</t>
    </r>
    <r>
      <rPr>
        <vertAlign val="superscript"/>
        <sz val="10"/>
        <color rgb="FF000000"/>
        <rFont val="Verdana"/>
        <family val="2"/>
      </rPr>
      <t xml:space="preserve">P </t>
    </r>
  </si>
  <si>
    <r>
      <t>7.31</t>
    </r>
    <r>
      <rPr>
        <vertAlign val="superscript"/>
        <sz val="10"/>
        <color rgb="FF000000"/>
        <rFont val="Verdana"/>
        <family val="2"/>
      </rPr>
      <t xml:space="preserve">P </t>
    </r>
  </si>
  <si>
    <r>
      <t>7.32</t>
    </r>
    <r>
      <rPr>
        <vertAlign val="superscript"/>
        <sz val="10"/>
        <color rgb="FF000000"/>
        <rFont val="Verdana"/>
        <family val="2"/>
      </rPr>
      <t xml:space="preserve">P </t>
    </r>
  </si>
  <si>
    <r>
      <t>7.33</t>
    </r>
    <r>
      <rPr>
        <vertAlign val="superscript"/>
        <sz val="10"/>
        <color rgb="FF000000"/>
        <rFont val="Verdana"/>
        <family val="2"/>
      </rPr>
      <t xml:space="preserve">P </t>
    </r>
  </si>
  <si>
    <r>
      <t>7.34</t>
    </r>
    <r>
      <rPr>
        <vertAlign val="superscript"/>
        <sz val="10"/>
        <color rgb="FF000000"/>
        <rFont val="Verdana"/>
        <family val="2"/>
      </rPr>
      <t xml:space="preserve">P </t>
    </r>
  </si>
  <si>
    <r>
      <t>7.35</t>
    </r>
    <r>
      <rPr>
        <vertAlign val="superscript"/>
        <sz val="10"/>
        <color rgb="FF000000"/>
        <rFont val="Verdana"/>
        <family val="2"/>
      </rPr>
      <t xml:space="preserve">P </t>
    </r>
  </si>
  <si>
    <r>
      <t>7.36</t>
    </r>
    <r>
      <rPr>
        <vertAlign val="superscript"/>
        <sz val="10"/>
        <color rgb="FF000000"/>
        <rFont val="Verdana"/>
        <family val="2"/>
      </rPr>
      <t xml:space="preserve">P </t>
    </r>
  </si>
  <si>
    <r>
      <t>7.37</t>
    </r>
    <r>
      <rPr>
        <vertAlign val="superscript"/>
        <sz val="10"/>
        <color rgb="FF000000"/>
        <rFont val="Verdana"/>
        <family val="2"/>
      </rPr>
      <t xml:space="preserve">P </t>
    </r>
  </si>
  <si>
    <r>
      <t>7.38</t>
    </r>
    <r>
      <rPr>
        <vertAlign val="superscript"/>
        <sz val="10"/>
        <color rgb="FF000000"/>
        <rFont val="Verdana"/>
        <family val="2"/>
      </rPr>
      <t xml:space="preserve">P </t>
    </r>
  </si>
  <si>
    <r>
      <t>7.39</t>
    </r>
    <r>
      <rPr>
        <vertAlign val="superscript"/>
        <sz val="10"/>
        <color rgb="FF000000"/>
        <rFont val="Verdana"/>
        <family val="2"/>
      </rPr>
      <t xml:space="preserve">P </t>
    </r>
  </si>
  <si>
    <r>
      <t>7.40</t>
    </r>
    <r>
      <rPr>
        <vertAlign val="superscript"/>
        <sz val="10"/>
        <color rgb="FF000000"/>
        <rFont val="Verdana"/>
        <family val="2"/>
      </rPr>
      <t xml:space="preserve">P </t>
    </r>
  </si>
  <si>
    <r>
      <t>7.41</t>
    </r>
    <r>
      <rPr>
        <vertAlign val="superscript"/>
        <sz val="10"/>
        <color rgb="FF000000"/>
        <rFont val="Verdana"/>
        <family val="2"/>
      </rPr>
      <t xml:space="preserve">P </t>
    </r>
  </si>
  <si>
    <r>
      <t>7.42</t>
    </r>
    <r>
      <rPr>
        <vertAlign val="superscript"/>
        <sz val="10"/>
        <color rgb="FF000000"/>
        <rFont val="Verdana"/>
        <family val="2"/>
      </rPr>
      <t xml:space="preserve">P </t>
    </r>
  </si>
  <si>
    <r>
      <t>7.43</t>
    </r>
    <r>
      <rPr>
        <vertAlign val="superscript"/>
        <sz val="10"/>
        <color rgb="FF000000"/>
        <rFont val="Verdana"/>
        <family val="2"/>
      </rPr>
      <t xml:space="preserve">P </t>
    </r>
  </si>
  <si>
    <r>
      <t>7.44</t>
    </r>
    <r>
      <rPr>
        <vertAlign val="superscript"/>
        <sz val="10"/>
        <color rgb="FF000000"/>
        <rFont val="Verdana"/>
        <family val="2"/>
      </rPr>
      <t xml:space="preserve">P </t>
    </r>
  </si>
  <si>
    <r>
      <t>7.45</t>
    </r>
    <r>
      <rPr>
        <vertAlign val="superscript"/>
        <sz val="10"/>
        <color rgb="FF000000"/>
        <rFont val="Verdana"/>
        <family val="2"/>
      </rPr>
      <t xml:space="preserve">P </t>
    </r>
  </si>
  <si>
    <r>
      <t>7.46</t>
    </r>
    <r>
      <rPr>
        <vertAlign val="superscript"/>
        <sz val="10"/>
        <color rgb="FF000000"/>
        <rFont val="Verdana"/>
        <family val="2"/>
      </rPr>
      <t xml:space="preserve">P </t>
    </r>
  </si>
  <si>
    <r>
      <t>7.47</t>
    </r>
    <r>
      <rPr>
        <vertAlign val="superscript"/>
        <sz val="10"/>
        <color rgb="FF000000"/>
        <rFont val="Verdana"/>
        <family val="2"/>
      </rPr>
      <t xml:space="preserve">P </t>
    </r>
  </si>
  <si>
    <r>
      <t>7.48</t>
    </r>
    <r>
      <rPr>
        <vertAlign val="superscript"/>
        <sz val="10"/>
        <color rgb="FF000000"/>
        <rFont val="Verdana"/>
        <family val="2"/>
      </rPr>
      <t xml:space="preserve">P </t>
    </r>
  </si>
  <si>
    <r>
      <t>7.49</t>
    </r>
    <r>
      <rPr>
        <vertAlign val="superscript"/>
        <sz val="10"/>
        <color rgb="FF000000"/>
        <rFont val="Verdana"/>
        <family val="2"/>
      </rPr>
      <t xml:space="preserve">P </t>
    </r>
  </si>
  <si>
    <r>
      <t>7.50</t>
    </r>
    <r>
      <rPr>
        <vertAlign val="superscript"/>
        <sz val="10"/>
        <color rgb="FF000000"/>
        <rFont val="Verdana"/>
        <family val="2"/>
      </rPr>
      <t xml:space="preserve">P </t>
    </r>
  </si>
  <si>
    <r>
      <t>7.51</t>
    </r>
    <r>
      <rPr>
        <vertAlign val="superscript"/>
        <sz val="10"/>
        <color rgb="FF000000"/>
        <rFont val="Verdana"/>
        <family val="2"/>
      </rPr>
      <t xml:space="preserve">P </t>
    </r>
  </si>
  <si>
    <r>
      <t>7.52</t>
    </r>
    <r>
      <rPr>
        <vertAlign val="superscript"/>
        <sz val="10"/>
        <color rgb="FF000000"/>
        <rFont val="Verdana"/>
        <family val="2"/>
      </rPr>
      <t xml:space="preserve">P </t>
    </r>
  </si>
  <si>
    <r>
      <t>7.53</t>
    </r>
    <r>
      <rPr>
        <vertAlign val="superscript"/>
        <sz val="10"/>
        <color rgb="FF000000"/>
        <rFont val="Verdana"/>
        <family val="2"/>
      </rPr>
      <t xml:space="preserve">P </t>
    </r>
  </si>
  <si>
    <r>
      <t>7.54</t>
    </r>
    <r>
      <rPr>
        <vertAlign val="superscript"/>
        <sz val="10"/>
        <color rgb="FF000000"/>
        <rFont val="Verdana"/>
        <family val="2"/>
      </rPr>
      <t xml:space="preserve">P </t>
    </r>
  </si>
  <si>
    <r>
      <t>7.55</t>
    </r>
    <r>
      <rPr>
        <vertAlign val="superscript"/>
        <sz val="10"/>
        <color rgb="FF000000"/>
        <rFont val="Verdana"/>
        <family val="2"/>
      </rPr>
      <t xml:space="preserve">P </t>
    </r>
  </si>
  <si>
    <r>
      <t>7.56</t>
    </r>
    <r>
      <rPr>
        <vertAlign val="superscript"/>
        <sz val="10"/>
        <color rgb="FF000000"/>
        <rFont val="Verdana"/>
        <family val="2"/>
      </rPr>
      <t xml:space="preserve">P </t>
    </r>
  </si>
  <si>
    <r>
      <t>7.57</t>
    </r>
    <r>
      <rPr>
        <vertAlign val="superscript"/>
        <sz val="10"/>
        <color rgb="FF000000"/>
        <rFont val="Verdana"/>
        <family val="2"/>
      </rPr>
      <t xml:space="preserve">P </t>
    </r>
  </si>
  <si>
    <r>
      <t>7.58</t>
    </r>
    <r>
      <rPr>
        <vertAlign val="superscript"/>
        <sz val="10"/>
        <color rgb="FF000000"/>
        <rFont val="Verdana"/>
        <family val="2"/>
      </rPr>
      <t xml:space="preserve">P </t>
    </r>
  </si>
  <si>
    <r>
      <t>7.59</t>
    </r>
    <r>
      <rPr>
        <vertAlign val="superscript"/>
        <sz val="10"/>
        <color rgb="FF000000"/>
        <rFont val="Verdana"/>
        <family val="2"/>
      </rPr>
      <t xml:space="preserve">P </t>
    </r>
  </si>
  <si>
    <r>
      <t>7.60</t>
    </r>
    <r>
      <rPr>
        <vertAlign val="superscript"/>
        <sz val="10"/>
        <color rgb="FF000000"/>
        <rFont val="Verdana"/>
        <family val="2"/>
      </rPr>
      <t xml:space="preserve">P </t>
    </r>
  </si>
  <si>
    <r>
      <t>7.61</t>
    </r>
    <r>
      <rPr>
        <vertAlign val="superscript"/>
        <sz val="10"/>
        <color rgb="FF000000"/>
        <rFont val="Verdana"/>
        <family val="2"/>
      </rPr>
      <t xml:space="preserve">P </t>
    </r>
  </si>
  <si>
    <r>
      <t>7.62</t>
    </r>
    <r>
      <rPr>
        <vertAlign val="superscript"/>
        <sz val="10"/>
        <color rgb="FF000000"/>
        <rFont val="Verdana"/>
        <family val="2"/>
      </rPr>
      <t xml:space="preserve">P </t>
    </r>
  </si>
  <si>
    <r>
      <t>7.63</t>
    </r>
    <r>
      <rPr>
        <vertAlign val="superscript"/>
        <sz val="10"/>
        <color rgb="FF000000"/>
        <rFont val="Verdana"/>
        <family val="2"/>
      </rPr>
      <t xml:space="preserve">P </t>
    </r>
  </si>
  <si>
    <r>
      <t>7.64</t>
    </r>
    <r>
      <rPr>
        <vertAlign val="superscript"/>
        <sz val="10"/>
        <color rgb="FF000000"/>
        <rFont val="Verdana"/>
        <family val="2"/>
      </rPr>
      <t xml:space="preserve">P </t>
    </r>
  </si>
  <si>
    <r>
      <t>7.65</t>
    </r>
    <r>
      <rPr>
        <vertAlign val="superscript"/>
        <sz val="10"/>
        <color rgb="FF000000"/>
        <rFont val="Verdana"/>
        <family val="2"/>
      </rPr>
      <t xml:space="preserve">P </t>
    </r>
  </si>
  <si>
    <r>
      <t>7.66</t>
    </r>
    <r>
      <rPr>
        <vertAlign val="superscript"/>
        <sz val="10"/>
        <color rgb="FF000000"/>
        <rFont val="Verdana"/>
        <family val="2"/>
      </rPr>
      <t xml:space="preserve">P </t>
    </r>
  </si>
  <si>
    <r>
      <t>7.67</t>
    </r>
    <r>
      <rPr>
        <vertAlign val="superscript"/>
        <sz val="10"/>
        <color rgb="FF000000"/>
        <rFont val="Verdana"/>
        <family val="2"/>
      </rPr>
      <t xml:space="preserve">P </t>
    </r>
  </si>
  <si>
    <r>
      <t>7.68</t>
    </r>
    <r>
      <rPr>
        <vertAlign val="superscript"/>
        <sz val="10"/>
        <color rgb="FF000000"/>
        <rFont val="Verdana"/>
        <family val="2"/>
      </rPr>
      <t xml:space="preserve">P </t>
    </r>
  </si>
  <si>
    <r>
      <t>7.69</t>
    </r>
    <r>
      <rPr>
        <vertAlign val="superscript"/>
        <sz val="10"/>
        <color rgb="FF000000"/>
        <rFont val="Verdana"/>
        <family val="2"/>
      </rPr>
      <t xml:space="preserve">P </t>
    </r>
  </si>
  <si>
    <r>
      <t>7.70</t>
    </r>
    <r>
      <rPr>
        <vertAlign val="superscript"/>
        <sz val="10"/>
        <color rgb="FF000000"/>
        <rFont val="Verdana"/>
        <family val="2"/>
      </rPr>
      <t xml:space="preserve">P </t>
    </r>
  </si>
  <si>
    <r>
      <t>7.71</t>
    </r>
    <r>
      <rPr>
        <vertAlign val="superscript"/>
        <sz val="10"/>
        <color rgb="FF000000"/>
        <rFont val="Verdana"/>
        <family val="2"/>
      </rPr>
      <t xml:space="preserve">P </t>
    </r>
  </si>
  <si>
    <r>
      <t>7.72</t>
    </r>
    <r>
      <rPr>
        <vertAlign val="superscript"/>
        <sz val="10"/>
        <color rgb="FF000000"/>
        <rFont val="Verdana"/>
        <family val="2"/>
      </rPr>
      <t xml:space="preserve">P </t>
    </r>
  </si>
  <si>
    <r>
      <t>7.73</t>
    </r>
    <r>
      <rPr>
        <vertAlign val="superscript"/>
        <sz val="10"/>
        <color rgb="FF000000"/>
        <rFont val="Verdana"/>
        <family val="2"/>
      </rPr>
      <t xml:space="preserve">P </t>
    </r>
  </si>
  <si>
    <r>
      <t>7.74</t>
    </r>
    <r>
      <rPr>
        <vertAlign val="superscript"/>
        <sz val="10"/>
        <color rgb="FF000000"/>
        <rFont val="Verdana"/>
        <family val="2"/>
      </rPr>
      <t xml:space="preserve">P </t>
    </r>
  </si>
  <si>
    <r>
      <t>7.75</t>
    </r>
    <r>
      <rPr>
        <vertAlign val="superscript"/>
        <sz val="10"/>
        <color rgb="FF000000"/>
        <rFont val="Verdana"/>
        <family val="2"/>
      </rPr>
      <t xml:space="preserve">P </t>
    </r>
  </si>
  <si>
    <r>
      <t>7.76</t>
    </r>
    <r>
      <rPr>
        <vertAlign val="superscript"/>
        <sz val="10"/>
        <color rgb="FF000000"/>
        <rFont val="Verdana"/>
        <family val="2"/>
      </rPr>
      <t xml:space="preserve">P </t>
    </r>
  </si>
  <si>
    <r>
      <t>7.77</t>
    </r>
    <r>
      <rPr>
        <vertAlign val="superscript"/>
        <sz val="10"/>
        <color rgb="FF000000"/>
        <rFont val="Verdana"/>
        <family val="2"/>
      </rPr>
      <t xml:space="preserve">P </t>
    </r>
  </si>
  <si>
    <r>
      <t>7.78</t>
    </r>
    <r>
      <rPr>
        <vertAlign val="superscript"/>
        <sz val="10"/>
        <color rgb="FF000000"/>
        <rFont val="Verdana"/>
        <family val="2"/>
      </rPr>
      <t xml:space="preserve">P </t>
    </r>
  </si>
  <si>
    <r>
      <t>7.79</t>
    </r>
    <r>
      <rPr>
        <vertAlign val="superscript"/>
        <sz val="10"/>
        <color rgb="FF000000"/>
        <rFont val="Verdana"/>
        <family val="2"/>
      </rPr>
      <t xml:space="preserve">P </t>
    </r>
  </si>
  <si>
    <r>
      <t>7.80</t>
    </r>
    <r>
      <rPr>
        <vertAlign val="superscript"/>
        <sz val="10"/>
        <color rgb="FF000000"/>
        <rFont val="Verdana"/>
        <family val="2"/>
      </rPr>
      <t xml:space="preserve">P </t>
    </r>
  </si>
  <si>
    <r>
      <t>7.81</t>
    </r>
    <r>
      <rPr>
        <vertAlign val="superscript"/>
        <sz val="10"/>
        <color rgb="FF000000"/>
        <rFont val="Verdana"/>
        <family val="2"/>
      </rPr>
      <t xml:space="preserve">P </t>
    </r>
  </si>
  <si>
    <r>
      <t>7.82</t>
    </r>
    <r>
      <rPr>
        <vertAlign val="superscript"/>
        <sz val="10"/>
        <color rgb="FF000000"/>
        <rFont val="Verdana"/>
        <family val="2"/>
      </rPr>
      <t xml:space="preserve">P </t>
    </r>
  </si>
  <si>
    <r>
      <t>7.83</t>
    </r>
    <r>
      <rPr>
        <vertAlign val="superscript"/>
        <sz val="10"/>
        <color rgb="FF000000"/>
        <rFont val="Verdana"/>
        <family val="2"/>
      </rPr>
      <t xml:space="preserve">P </t>
    </r>
  </si>
  <si>
    <r>
      <t>7.84</t>
    </r>
    <r>
      <rPr>
        <vertAlign val="superscript"/>
        <sz val="10"/>
        <color rgb="FF000000"/>
        <rFont val="Verdana"/>
        <family val="2"/>
      </rPr>
      <t xml:space="preserve">P </t>
    </r>
  </si>
  <si>
    <r>
      <t>7.85</t>
    </r>
    <r>
      <rPr>
        <vertAlign val="superscript"/>
        <sz val="10"/>
        <color rgb="FF000000"/>
        <rFont val="Verdana"/>
        <family val="2"/>
      </rPr>
      <t xml:space="preserve">P </t>
    </r>
  </si>
  <si>
    <r>
      <t>7.86</t>
    </r>
    <r>
      <rPr>
        <vertAlign val="superscript"/>
        <sz val="10"/>
        <color rgb="FF000000"/>
        <rFont val="Verdana"/>
        <family val="2"/>
      </rPr>
      <t xml:space="preserve">P </t>
    </r>
  </si>
  <si>
    <r>
      <t>7.87</t>
    </r>
    <r>
      <rPr>
        <vertAlign val="superscript"/>
        <sz val="10"/>
        <color rgb="FF000000"/>
        <rFont val="Verdana"/>
        <family val="2"/>
      </rPr>
      <t xml:space="preserve">P </t>
    </r>
  </si>
  <si>
    <r>
      <t>7.88</t>
    </r>
    <r>
      <rPr>
        <vertAlign val="superscript"/>
        <sz val="10"/>
        <color rgb="FF000000"/>
        <rFont val="Verdana"/>
        <family val="2"/>
      </rPr>
      <t xml:space="preserve">P </t>
    </r>
  </si>
  <si>
    <r>
      <t>7.89</t>
    </r>
    <r>
      <rPr>
        <vertAlign val="superscript"/>
        <sz val="10"/>
        <color rgb="FF000000"/>
        <rFont val="Verdana"/>
        <family val="2"/>
      </rPr>
      <t xml:space="preserve">P </t>
    </r>
  </si>
  <si>
    <r>
      <t>7.90</t>
    </r>
    <r>
      <rPr>
        <vertAlign val="superscript"/>
        <sz val="10"/>
        <color rgb="FF000000"/>
        <rFont val="Verdana"/>
        <family val="2"/>
      </rPr>
      <t xml:space="preserve">P </t>
    </r>
  </si>
  <si>
    <r>
      <t>7.22</t>
    </r>
    <r>
      <rPr>
        <vertAlign val="superscript"/>
        <sz val="10"/>
        <color rgb="FF000000"/>
        <rFont val="Verdana"/>
        <family val="2"/>
      </rPr>
      <t xml:space="preserve">P </t>
    </r>
  </si>
  <si>
    <r>
      <t>7.17</t>
    </r>
    <r>
      <rPr>
        <vertAlign val="superscript"/>
        <sz val="10"/>
        <color rgb="FF000000"/>
        <rFont val="Verdana"/>
        <family val="2"/>
      </rPr>
      <t xml:space="preserve">P </t>
    </r>
  </si>
  <si>
    <r>
      <t>7.11</t>
    </r>
    <r>
      <rPr>
        <vertAlign val="superscript"/>
        <sz val="10"/>
        <color rgb="FF000000"/>
        <rFont val="Verdana"/>
        <family val="2"/>
      </rPr>
      <t xml:space="preserve">P </t>
    </r>
  </si>
  <si>
    <r>
      <t>5.19</t>
    </r>
    <r>
      <rPr>
        <vertAlign val="superscript"/>
        <sz val="10"/>
        <color rgb="FF000000"/>
        <rFont val="Verdana"/>
        <family val="2"/>
      </rPr>
      <t xml:space="preserve">P </t>
    </r>
  </si>
  <si>
    <r>
      <t>5.18</t>
    </r>
    <r>
      <rPr>
        <vertAlign val="superscript"/>
        <sz val="10"/>
        <color rgb="FF000000"/>
        <rFont val="Verdana"/>
        <family val="2"/>
      </rPr>
      <t xml:space="preserve">P </t>
    </r>
  </si>
  <si>
    <r>
      <t>5.17</t>
    </r>
    <r>
      <rPr>
        <vertAlign val="superscript"/>
        <sz val="10"/>
        <color rgb="FF000000"/>
        <rFont val="Verdana"/>
        <family val="2"/>
      </rPr>
      <t xml:space="preserve">P </t>
    </r>
  </si>
  <si>
    <r>
      <t>5.16</t>
    </r>
    <r>
      <rPr>
        <vertAlign val="superscript"/>
        <sz val="10"/>
        <color rgb="FF000000"/>
        <rFont val="Verdana"/>
        <family val="2"/>
      </rPr>
      <t xml:space="preserve">P </t>
    </r>
  </si>
  <si>
    <r>
      <t>5.15</t>
    </r>
    <r>
      <rPr>
        <vertAlign val="superscript"/>
        <sz val="10"/>
        <color rgb="FF000000"/>
        <rFont val="Verdana"/>
        <family val="2"/>
      </rPr>
      <t xml:space="preserve">P </t>
    </r>
  </si>
  <si>
    <r>
      <t>5.14</t>
    </r>
    <r>
      <rPr>
        <vertAlign val="superscript"/>
        <sz val="10"/>
        <color rgb="FF000000"/>
        <rFont val="Verdana"/>
        <family val="2"/>
      </rPr>
      <t xml:space="preserve">P </t>
    </r>
  </si>
  <si>
    <r>
      <t>5.13</t>
    </r>
    <r>
      <rPr>
        <vertAlign val="superscript"/>
        <sz val="10"/>
        <color rgb="FF000000"/>
        <rFont val="Verdana"/>
        <family val="2"/>
      </rPr>
      <t xml:space="preserve">P </t>
    </r>
  </si>
  <si>
    <r>
      <t>5.12</t>
    </r>
    <r>
      <rPr>
        <vertAlign val="superscript"/>
        <sz val="10"/>
        <color rgb="FF000000"/>
        <rFont val="Verdana"/>
        <family val="2"/>
      </rPr>
      <t xml:space="preserve">P </t>
    </r>
  </si>
  <si>
    <r>
      <t>5.11</t>
    </r>
    <r>
      <rPr>
        <vertAlign val="superscript"/>
        <sz val="10"/>
        <color rgb="FF000000"/>
        <rFont val="Verdana"/>
        <family val="2"/>
      </rPr>
      <t xml:space="preserve">P </t>
    </r>
  </si>
  <si>
    <r>
      <t>5.10</t>
    </r>
    <r>
      <rPr>
        <vertAlign val="superscript"/>
        <sz val="10"/>
        <color rgb="FF000000"/>
        <rFont val="Verdana"/>
        <family val="2"/>
      </rPr>
      <t xml:space="preserve">P </t>
    </r>
  </si>
  <si>
    <r>
      <t>5.09</t>
    </r>
    <r>
      <rPr>
        <vertAlign val="superscript"/>
        <sz val="10"/>
        <color rgb="FF000000"/>
        <rFont val="Verdana"/>
        <family val="2"/>
      </rPr>
      <t xml:space="preserve">P </t>
    </r>
  </si>
  <si>
    <r>
      <t>5.08</t>
    </r>
    <r>
      <rPr>
        <vertAlign val="superscript"/>
        <sz val="10"/>
        <color rgb="FF000000"/>
        <rFont val="Verdana"/>
        <family val="2"/>
      </rPr>
      <t xml:space="preserve">P </t>
    </r>
  </si>
  <si>
    <r>
      <t>5.06</t>
    </r>
    <r>
      <rPr>
        <vertAlign val="superscript"/>
        <sz val="10"/>
        <color rgb="FF000000"/>
        <rFont val="Verdana"/>
        <family val="2"/>
      </rPr>
      <t xml:space="preserve">P </t>
    </r>
  </si>
  <si>
    <r>
      <t>5.05</t>
    </r>
    <r>
      <rPr>
        <vertAlign val="superscript"/>
        <sz val="10"/>
        <color rgb="FF000000"/>
        <rFont val="Verdana"/>
        <family val="2"/>
      </rPr>
      <t xml:space="preserve">P </t>
    </r>
  </si>
  <si>
    <r>
      <t>5.04</t>
    </r>
    <r>
      <rPr>
        <vertAlign val="superscript"/>
        <sz val="10"/>
        <color rgb="FF000000"/>
        <rFont val="Verdana"/>
        <family val="2"/>
      </rPr>
      <t xml:space="preserve">P </t>
    </r>
  </si>
  <si>
    <r>
      <t>5.02</t>
    </r>
    <r>
      <rPr>
        <vertAlign val="superscript"/>
        <sz val="10"/>
        <color rgb="FF000000"/>
        <rFont val="Verdana"/>
        <family val="2"/>
      </rPr>
      <t xml:space="preserve">P </t>
    </r>
  </si>
  <si>
    <r>
      <t>5.00</t>
    </r>
    <r>
      <rPr>
        <vertAlign val="superscript"/>
        <sz val="10"/>
        <color rgb="FF000000"/>
        <rFont val="Verdana"/>
        <family val="2"/>
      </rPr>
      <t xml:space="preserve">P </t>
    </r>
  </si>
  <si>
    <r>
      <t>4.99</t>
    </r>
    <r>
      <rPr>
        <vertAlign val="superscript"/>
        <sz val="10"/>
        <color rgb="FF000000"/>
        <rFont val="Verdana"/>
        <family val="2"/>
      </rPr>
      <t xml:space="preserve">P </t>
    </r>
  </si>
  <si>
    <r>
      <t>4.98</t>
    </r>
    <r>
      <rPr>
        <vertAlign val="superscript"/>
        <sz val="10"/>
        <color rgb="FF000000"/>
        <rFont val="Verdana"/>
        <family val="2"/>
      </rPr>
      <t xml:space="preserve">P </t>
    </r>
  </si>
  <si>
    <r>
      <t>4.96</t>
    </r>
    <r>
      <rPr>
        <vertAlign val="superscript"/>
        <sz val="10"/>
        <color rgb="FF000000"/>
        <rFont val="Verdana"/>
        <family val="2"/>
      </rPr>
      <t xml:space="preserve">P </t>
    </r>
  </si>
  <si>
    <r>
      <t>4.94</t>
    </r>
    <r>
      <rPr>
        <vertAlign val="superscript"/>
        <sz val="10"/>
        <color rgb="FF000000"/>
        <rFont val="Verdana"/>
        <family val="2"/>
      </rPr>
      <t xml:space="preserve">P </t>
    </r>
  </si>
  <si>
    <r>
      <t>4.93</t>
    </r>
    <r>
      <rPr>
        <vertAlign val="superscript"/>
        <sz val="10"/>
        <color rgb="FF000000"/>
        <rFont val="Verdana"/>
        <family val="2"/>
      </rPr>
      <t xml:space="preserve">P </t>
    </r>
  </si>
  <si>
    <r>
      <t>4.92</t>
    </r>
    <r>
      <rPr>
        <vertAlign val="superscript"/>
        <sz val="10"/>
        <color rgb="FF000000"/>
        <rFont val="Verdana"/>
        <family val="2"/>
      </rPr>
      <t xml:space="preserve">P </t>
    </r>
  </si>
  <si>
    <r>
      <t>4.90</t>
    </r>
    <r>
      <rPr>
        <vertAlign val="superscript"/>
        <sz val="10"/>
        <color rgb="FF000000"/>
        <rFont val="Verdana"/>
        <family val="2"/>
      </rPr>
      <t xml:space="preserve">P </t>
    </r>
  </si>
  <si>
    <r>
      <t>4.89</t>
    </r>
    <r>
      <rPr>
        <vertAlign val="superscript"/>
        <sz val="10"/>
        <color rgb="FF000000"/>
        <rFont val="Verdana"/>
        <family val="2"/>
      </rPr>
      <t xml:space="preserve">P </t>
    </r>
  </si>
  <si>
    <r>
      <t>4.87</t>
    </r>
    <r>
      <rPr>
        <vertAlign val="superscript"/>
        <sz val="10"/>
        <color rgb="FF000000"/>
        <rFont val="Verdana"/>
        <family val="2"/>
      </rPr>
      <t xml:space="preserve">P </t>
    </r>
  </si>
  <si>
    <r>
      <t>4.86</t>
    </r>
    <r>
      <rPr>
        <vertAlign val="superscript"/>
        <sz val="10"/>
        <color rgb="FF000000"/>
        <rFont val="Verdana"/>
        <family val="2"/>
      </rPr>
      <t xml:space="preserve">P </t>
    </r>
  </si>
  <si>
    <r>
      <t>4.85</t>
    </r>
    <r>
      <rPr>
        <vertAlign val="superscript"/>
        <sz val="10"/>
        <color rgb="FF000000"/>
        <rFont val="Verdana"/>
        <family val="2"/>
      </rPr>
      <t xml:space="preserve">P </t>
    </r>
  </si>
  <si>
    <r>
      <t>4.83</t>
    </r>
    <r>
      <rPr>
        <vertAlign val="superscript"/>
        <sz val="10"/>
        <color rgb="FF000000"/>
        <rFont val="Verdana"/>
        <family val="2"/>
      </rPr>
      <t xml:space="preserve">P </t>
    </r>
  </si>
  <si>
    <r>
      <t>4.82</t>
    </r>
    <r>
      <rPr>
        <vertAlign val="superscript"/>
        <sz val="10"/>
        <color rgb="FF000000"/>
        <rFont val="Verdana"/>
        <family val="2"/>
      </rPr>
      <t xml:space="preserve">P </t>
    </r>
  </si>
  <si>
    <r>
      <t>4.81</t>
    </r>
    <r>
      <rPr>
        <vertAlign val="superscript"/>
        <sz val="10"/>
        <color rgb="FF000000"/>
        <rFont val="Verdana"/>
        <family val="2"/>
      </rPr>
      <t xml:space="preserve">P </t>
    </r>
  </si>
  <si>
    <r>
      <t>4.80</t>
    </r>
    <r>
      <rPr>
        <vertAlign val="superscript"/>
        <sz val="10"/>
        <color rgb="FF000000"/>
        <rFont val="Verdana"/>
        <family val="2"/>
      </rPr>
      <t xml:space="preserve">P </t>
    </r>
  </si>
  <si>
    <r>
      <t>4.79</t>
    </r>
    <r>
      <rPr>
        <vertAlign val="superscript"/>
        <sz val="10"/>
        <color rgb="FF000000"/>
        <rFont val="Verdana"/>
        <family val="2"/>
      </rPr>
      <t xml:space="preserve">P </t>
    </r>
  </si>
  <si>
    <r>
      <t>4.78</t>
    </r>
    <r>
      <rPr>
        <vertAlign val="superscript"/>
        <sz val="10"/>
        <color rgb="FF000000"/>
        <rFont val="Verdana"/>
        <family val="2"/>
      </rPr>
      <t xml:space="preserve">P </t>
    </r>
  </si>
  <si>
    <r>
      <t>4.77</t>
    </r>
    <r>
      <rPr>
        <vertAlign val="superscript"/>
        <sz val="10"/>
        <color rgb="FF000000"/>
        <rFont val="Verdana"/>
        <family val="2"/>
      </rPr>
      <t xml:space="preserve">P </t>
    </r>
  </si>
  <si>
    <r>
      <t>4.76</t>
    </r>
    <r>
      <rPr>
        <vertAlign val="superscript"/>
        <sz val="10"/>
        <color rgb="FF000000"/>
        <rFont val="Verdana"/>
        <family val="2"/>
      </rPr>
      <t xml:space="preserve">P </t>
    </r>
  </si>
  <si>
    <r>
      <t>4.75</t>
    </r>
    <r>
      <rPr>
        <vertAlign val="superscript"/>
        <sz val="10"/>
        <color rgb="FF000000"/>
        <rFont val="Verdana"/>
        <family val="2"/>
      </rPr>
      <t xml:space="preserve">P </t>
    </r>
  </si>
  <si>
    <r>
      <t>4.74</t>
    </r>
    <r>
      <rPr>
        <vertAlign val="superscript"/>
        <sz val="10"/>
        <color rgb="FF000000"/>
        <rFont val="Verdana"/>
        <family val="2"/>
      </rPr>
      <t xml:space="preserve">P </t>
    </r>
  </si>
  <si>
    <r>
      <t>4.73</t>
    </r>
    <r>
      <rPr>
        <vertAlign val="superscript"/>
        <sz val="10"/>
        <color rgb="FF000000"/>
        <rFont val="Verdana"/>
        <family val="2"/>
      </rPr>
      <t xml:space="preserve">P </t>
    </r>
  </si>
  <si>
    <r>
      <t>4.72</t>
    </r>
    <r>
      <rPr>
        <vertAlign val="superscript"/>
        <sz val="10"/>
        <color rgb="FF000000"/>
        <rFont val="Verdana"/>
        <family val="2"/>
      </rPr>
      <t xml:space="preserve">P </t>
    </r>
  </si>
  <si>
    <r>
      <t>4.71</t>
    </r>
    <r>
      <rPr>
        <vertAlign val="superscript"/>
        <sz val="10"/>
        <color rgb="FF000000"/>
        <rFont val="Verdana"/>
        <family val="2"/>
      </rPr>
      <t xml:space="preserve">P </t>
    </r>
  </si>
  <si>
    <r>
      <t>4.70</t>
    </r>
    <r>
      <rPr>
        <vertAlign val="superscript"/>
        <sz val="10"/>
        <color rgb="FF000000"/>
        <rFont val="Verdana"/>
        <family val="2"/>
      </rPr>
      <t xml:space="preserve">P </t>
    </r>
  </si>
  <si>
    <r>
      <t>4.69</t>
    </r>
    <r>
      <rPr>
        <vertAlign val="superscript"/>
        <sz val="10"/>
        <color rgb="FF000000"/>
        <rFont val="Verdana"/>
        <family val="2"/>
      </rPr>
      <t xml:space="preserve">P </t>
    </r>
  </si>
  <si>
    <r>
      <t>4.68</t>
    </r>
    <r>
      <rPr>
        <vertAlign val="superscript"/>
        <sz val="10"/>
        <color rgb="FF000000"/>
        <rFont val="Verdana"/>
        <family val="2"/>
      </rPr>
      <t xml:space="preserve">P </t>
    </r>
  </si>
  <si>
    <r>
      <t>4.67</t>
    </r>
    <r>
      <rPr>
        <vertAlign val="superscript"/>
        <sz val="10"/>
        <color rgb="FF000000"/>
        <rFont val="Verdana"/>
        <family val="2"/>
      </rPr>
      <t xml:space="preserve">P </t>
    </r>
  </si>
  <si>
    <r>
      <t>4.66</t>
    </r>
    <r>
      <rPr>
        <vertAlign val="superscript"/>
        <sz val="10"/>
        <color rgb="FF000000"/>
        <rFont val="Verdana"/>
        <family val="2"/>
      </rPr>
      <t xml:space="preserve">P </t>
    </r>
  </si>
  <si>
    <r>
      <t>4.65</t>
    </r>
    <r>
      <rPr>
        <vertAlign val="superscript"/>
        <sz val="10"/>
        <color rgb="FF000000"/>
        <rFont val="Verdana"/>
        <family val="2"/>
      </rPr>
      <t xml:space="preserve">P </t>
    </r>
  </si>
  <si>
    <r>
      <t>4.64</t>
    </r>
    <r>
      <rPr>
        <vertAlign val="superscript"/>
        <sz val="10"/>
        <color rgb="FF000000"/>
        <rFont val="Verdana"/>
        <family val="2"/>
      </rPr>
      <t xml:space="preserve">P </t>
    </r>
  </si>
  <si>
    <r>
      <t>4.63</t>
    </r>
    <r>
      <rPr>
        <vertAlign val="superscript"/>
        <sz val="10"/>
        <color rgb="FF000000"/>
        <rFont val="Verdana"/>
        <family val="2"/>
      </rPr>
      <t xml:space="preserve">P </t>
    </r>
  </si>
  <si>
    <r>
      <t>4.62</t>
    </r>
    <r>
      <rPr>
        <vertAlign val="superscript"/>
        <sz val="10"/>
        <color rgb="FF000000"/>
        <rFont val="Verdana"/>
        <family val="2"/>
      </rPr>
      <t xml:space="preserve">P </t>
    </r>
  </si>
  <si>
    <r>
      <t>4.61</t>
    </r>
    <r>
      <rPr>
        <vertAlign val="superscript"/>
        <sz val="10"/>
        <color rgb="FF000000"/>
        <rFont val="Verdana"/>
        <family val="2"/>
      </rPr>
      <t xml:space="preserve">P </t>
    </r>
  </si>
  <si>
    <r>
      <t>4.60</t>
    </r>
    <r>
      <rPr>
        <vertAlign val="superscript"/>
        <sz val="10"/>
        <color rgb="FF000000"/>
        <rFont val="Verdana"/>
        <family val="2"/>
      </rPr>
      <t xml:space="preserve">P </t>
    </r>
  </si>
  <si>
    <r>
      <t>4.59</t>
    </r>
    <r>
      <rPr>
        <vertAlign val="superscript"/>
        <sz val="10"/>
        <color rgb="FF000000"/>
        <rFont val="Verdana"/>
        <family val="2"/>
      </rPr>
      <t xml:space="preserve">P </t>
    </r>
  </si>
  <si>
    <r>
      <t>4.58</t>
    </r>
    <r>
      <rPr>
        <vertAlign val="superscript"/>
        <sz val="10"/>
        <color rgb="FF000000"/>
        <rFont val="Verdana"/>
        <family val="2"/>
      </rPr>
      <t xml:space="preserve">P </t>
    </r>
  </si>
  <si>
    <r>
      <t>4.57</t>
    </r>
    <r>
      <rPr>
        <vertAlign val="superscript"/>
        <sz val="10"/>
        <color rgb="FF000000"/>
        <rFont val="Verdana"/>
        <family val="2"/>
      </rPr>
      <t xml:space="preserve">P </t>
    </r>
  </si>
  <si>
    <r>
      <t>4.56</t>
    </r>
    <r>
      <rPr>
        <vertAlign val="superscript"/>
        <sz val="10"/>
        <color rgb="FF000000"/>
        <rFont val="Verdana"/>
        <family val="2"/>
      </rPr>
      <t xml:space="preserve">P </t>
    </r>
  </si>
  <si>
    <r>
      <t>4.55</t>
    </r>
    <r>
      <rPr>
        <vertAlign val="superscript"/>
        <sz val="10"/>
        <color rgb="FF000000"/>
        <rFont val="Verdana"/>
        <family val="2"/>
      </rPr>
      <t xml:space="preserve">P </t>
    </r>
  </si>
  <si>
    <r>
      <t>4.54</t>
    </r>
    <r>
      <rPr>
        <vertAlign val="superscript"/>
        <sz val="10"/>
        <color rgb="FF000000"/>
        <rFont val="Verdana"/>
        <family val="2"/>
      </rPr>
      <t xml:space="preserve">P </t>
    </r>
  </si>
  <si>
    <r>
      <t>4.53</t>
    </r>
    <r>
      <rPr>
        <vertAlign val="superscript"/>
        <sz val="10"/>
        <color rgb="FF000000"/>
        <rFont val="Verdana"/>
        <family val="2"/>
      </rPr>
      <t xml:space="preserve">P </t>
    </r>
  </si>
  <si>
    <r>
      <t>4.52</t>
    </r>
    <r>
      <rPr>
        <vertAlign val="superscript"/>
        <sz val="10"/>
        <color rgb="FF000000"/>
        <rFont val="Verdana"/>
        <family val="2"/>
      </rPr>
      <t xml:space="preserve">P </t>
    </r>
  </si>
  <si>
    <r>
      <t>4.51</t>
    </r>
    <r>
      <rPr>
        <vertAlign val="superscript"/>
        <sz val="10"/>
        <color rgb="FF000000"/>
        <rFont val="Verdana"/>
        <family val="2"/>
      </rPr>
      <t xml:space="preserve">P </t>
    </r>
  </si>
  <si>
    <r>
      <t>4.50</t>
    </r>
    <r>
      <rPr>
        <vertAlign val="superscript"/>
        <sz val="10"/>
        <color rgb="FF000000"/>
        <rFont val="Verdana"/>
        <family val="2"/>
      </rPr>
      <t xml:space="preserve">P </t>
    </r>
  </si>
  <si>
    <r>
      <t>4.49</t>
    </r>
    <r>
      <rPr>
        <vertAlign val="superscript"/>
        <sz val="10"/>
        <color rgb="FF000000"/>
        <rFont val="Verdana"/>
        <family val="2"/>
      </rPr>
      <t xml:space="preserve">P </t>
    </r>
  </si>
  <si>
    <r>
      <t>4.48</t>
    </r>
    <r>
      <rPr>
        <vertAlign val="superscript"/>
        <sz val="10"/>
        <color rgb="FF000000"/>
        <rFont val="Verdana"/>
        <family val="2"/>
      </rPr>
      <t xml:space="preserve">P </t>
    </r>
  </si>
  <si>
    <r>
      <t>4.47</t>
    </r>
    <r>
      <rPr>
        <vertAlign val="superscript"/>
        <sz val="10"/>
        <color rgb="FF000000"/>
        <rFont val="Verdana"/>
        <family val="2"/>
      </rPr>
      <t xml:space="preserve">P </t>
    </r>
  </si>
  <si>
    <r>
      <t>4.46</t>
    </r>
    <r>
      <rPr>
        <vertAlign val="superscript"/>
        <sz val="10"/>
        <color rgb="FF000000"/>
        <rFont val="Verdana"/>
        <family val="2"/>
      </rPr>
      <t xml:space="preserve">P </t>
    </r>
  </si>
  <si>
    <r>
      <t>4.45</t>
    </r>
    <r>
      <rPr>
        <vertAlign val="superscript"/>
        <sz val="10"/>
        <color rgb="FF000000"/>
        <rFont val="Verdana"/>
        <family val="2"/>
      </rPr>
      <t xml:space="preserve">P </t>
    </r>
  </si>
  <si>
    <t>May 2-3</t>
  </si>
  <si>
    <t>May 4-10</t>
  </si>
  <si>
    <t>Effort (Other)</t>
  </si>
  <si>
    <t>Walleye</t>
  </si>
  <si>
    <t>May 11-17</t>
  </si>
  <si>
    <t>May 18-24</t>
  </si>
  <si>
    <t>Combined</t>
  </si>
  <si>
    <t>Effort</t>
  </si>
  <si>
    <t>Pole Hrs</t>
  </si>
  <si>
    <t>Bank Summary</t>
  </si>
  <si>
    <t>Boat Summary</t>
  </si>
  <si>
    <t>Expanded Catch &amp; Harvest</t>
  </si>
  <si>
    <t>%</t>
  </si>
  <si>
    <t>Exp</t>
  </si>
  <si>
    <t>Catch Per Unit Effort (fish/hour)</t>
  </si>
  <si>
    <t>Catch &amp; Harvest</t>
  </si>
  <si>
    <t>SK</t>
  </si>
  <si>
    <t>hours/fish</t>
  </si>
  <si>
    <t>RB</t>
  </si>
  <si>
    <t>Total Salmon Caught</t>
  </si>
  <si>
    <t>Mon</t>
  </si>
  <si>
    <t>Tue</t>
  </si>
  <si>
    <t>Wed</t>
  </si>
  <si>
    <t>Thu</t>
  </si>
  <si>
    <t>Fri</t>
  </si>
  <si>
    <t>Sat</t>
  </si>
  <si>
    <t>Sun</t>
  </si>
  <si>
    <t>Random</t>
  </si>
  <si>
    <t>Generator</t>
  </si>
  <si>
    <t>Values</t>
  </si>
  <si>
    <t>NM</t>
  </si>
  <si>
    <t>AD</t>
  </si>
  <si>
    <t>Chinook</t>
  </si>
  <si>
    <t>Released</t>
  </si>
  <si>
    <t>Hours/Angler  Hours/Fish</t>
  </si>
  <si>
    <t>Poles</t>
  </si>
  <si>
    <t>+1</t>
  </si>
  <si>
    <t>September</t>
  </si>
  <si>
    <t>October</t>
  </si>
  <si>
    <t>No Boats=FIX FORMULA</t>
  </si>
  <si>
    <t>SMB</t>
  </si>
  <si>
    <t>Oct 21-27</t>
  </si>
  <si>
    <t>Nov 4-10</t>
  </si>
  <si>
    <t>x</t>
  </si>
  <si>
    <t>Nov11-16</t>
  </si>
  <si>
    <t>2025 Yakima River Fall Salmon Creel Survey (Sept 15 - October 31)</t>
  </si>
  <si>
    <t>Deron</t>
  </si>
  <si>
    <t>Sept 15-21</t>
  </si>
  <si>
    <t>Sept 21-28</t>
  </si>
  <si>
    <t>Sept 29-Oct 5</t>
  </si>
  <si>
    <t>Oct 6-Oct 12</t>
  </si>
  <si>
    <t>Oct 13-19</t>
  </si>
  <si>
    <t>Oct 20-26</t>
  </si>
  <si>
    <t>Oct 27-Nov 2</t>
  </si>
  <si>
    <t>Nov 3-9</t>
  </si>
  <si>
    <t>Nov 10-16</t>
  </si>
  <si>
    <t>NPM/Bass</t>
  </si>
  <si>
    <t>0</t>
  </si>
  <si>
    <t>Survey_Date</t>
  </si>
  <si>
    <t>Return_Yr</t>
  </si>
  <si>
    <t>GEAR_TYPE_LUT_Id</t>
  </si>
  <si>
    <t>STREAM_LUT_Id</t>
  </si>
  <si>
    <t>POINT_LOCATIONS_LUT_Id</t>
  </si>
  <si>
    <t>POINT_LOCATIONS_Description</t>
  </si>
  <si>
    <t>STREAM_REACH_Id</t>
  </si>
  <si>
    <t>Samplers_Txt</t>
  </si>
  <si>
    <t>HeaderComments</t>
  </si>
  <si>
    <t>Disposition</t>
  </si>
  <si>
    <t>Scale_Card_Num_Txt</t>
  </si>
  <si>
    <t>Position_Pos</t>
  </si>
  <si>
    <t>Scale_Card_Front_Autonumber_Serial</t>
  </si>
  <si>
    <t>SPECIES_Id</t>
  </si>
  <si>
    <t>RUN_LUT_Id</t>
  </si>
  <si>
    <t>TAG_TYPE_SAMPLE_LUT_Id</t>
  </si>
  <si>
    <t>FISH_STATUS_LUT_Id</t>
  </si>
  <si>
    <t>Sample_Rate_Num</t>
  </si>
  <si>
    <t>CWT_Sample_Size_Qty</t>
  </si>
  <si>
    <t>Plus_Count_Qty</t>
  </si>
  <si>
    <t>Number_CWT_Qty</t>
  </si>
  <si>
    <t>ScaleCardComments</t>
  </si>
  <si>
    <t>Scale_Age_Code</t>
  </si>
  <si>
    <t>Fork_Length_Meas</t>
  </si>
  <si>
    <t>POHP</t>
  </si>
  <si>
    <t>CWT_Tag_Code</t>
  </si>
  <si>
    <t>CWT_Age_Code</t>
  </si>
  <si>
    <t>CWT_Status_Code</t>
  </si>
  <si>
    <t>SEX_TYPE_LUT_Id</t>
  </si>
  <si>
    <t>MARK_TYPE_LUT_Id</t>
  </si>
  <si>
    <t>SAMPLE_TYPE_CATEGORY_LUT_Id</t>
  </si>
  <si>
    <t>Snout_Collection_Identification_Code</t>
  </si>
  <si>
    <t>FISH_REPRODUCTIVE_CONDITION_TYPE_LUT_Id</t>
  </si>
  <si>
    <t>DNA_Sample_Code</t>
  </si>
  <si>
    <t>Carcass_Condition</t>
  </si>
  <si>
    <t>Otolith_Sample_Code</t>
  </si>
  <si>
    <t>Otolith_Age_Code</t>
  </si>
  <si>
    <t>OTOLITH_ORIGIN_TYPE_LUT_Id</t>
  </si>
  <si>
    <t>Total_Fecundity</t>
  </si>
  <si>
    <t>Fecundity_EggsSampled</t>
  </si>
  <si>
    <t>Fecundity_SampleEggWeight</t>
  </si>
  <si>
    <t>Fecundity_TotalEggWeight</t>
  </si>
  <si>
    <t>Scales_Taken_Ind</t>
  </si>
  <si>
    <t>CWT_ORIGIN_TYPE_LUT_Id</t>
  </si>
  <si>
    <t>Freshwater Sport</t>
  </si>
  <si>
    <t>Yakima River</t>
  </si>
  <si>
    <t>Yakima River Sport Fishery</t>
  </si>
  <si>
    <t xml:space="preserve">Schumacher,E;Clark,D </t>
  </si>
  <si>
    <t>Harvested</t>
  </si>
  <si>
    <t>Chinook salmon</t>
  </si>
  <si>
    <t>Fall</t>
  </si>
  <si>
    <t>CWT and PIT Sample</t>
  </si>
  <si>
    <t>LIVE</t>
  </si>
  <si>
    <t>Female</t>
  </si>
  <si>
    <t>UM</t>
  </si>
  <si>
    <t>blank</t>
  </si>
  <si>
    <t>Yes</t>
  </si>
  <si>
    <t>Decoded</t>
  </si>
  <si>
    <t>Hatchery unknown</t>
  </si>
  <si>
    <t xml:space="preserve">Clark,D </t>
  </si>
  <si>
    <t>Unknown</t>
  </si>
  <si>
    <t>UNK</t>
  </si>
  <si>
    <t>Male</t>
  </si>
  <si>
    <t>Jack</t>
  </si>
  <si>
    <t>moved pos 1 and 2 to sc 27303a was coho</t>
  </si>
  <si>
    <t>Row Labels</t>
  </si>
  <si>
    <t>(blank)</t>
  </si>
  <si>
    <t>Grand Total</t>
  </si>
  <si>
    <t>Count of Scale_Age_Code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</si>
</sst>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"/>
    <numFmt numFmtId="166" formatCode="0.0%"/>
    <numFmt numFmtId="167" formatCode="mmm\ dd"/>
    <numFmt numFmtId="168" formatCode="#,##0.0"/>
  </numFmts>
  <fonts count="17" x14ac:knownFonts="1">
    <font>
      <sz val="10"/>
      <name val="Times New Roman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22"/>
      <name val="Times New Roman"/>
      <family val="1"/>
    </font>
    <font>
      <sz val="10"/>
      <name val="Verdana"/>
      <family val="2"/>
    </font>
    <font>
      <vertAlign val="superscript"/>
      <sz val="10"/>
      <name val="Verdana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rgb="FF000000"/>
      <name val="Verdana"/>
      <family val="2"/>
    </font>
    <font>
      <vertAlign val="superscript"/>
      <sz val="10"/>
      <color rgb="FF000000"/>
      <name val="Verdana"/>
      <family val="2"/>
    </font>
    <font>
      <sz val="12"/>
      <color rgb="FF000000"/>
      <name val="Verdana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47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" fontId="0" fillId="0" borderId="0" xfId="0" applyNumberFormat="1"/>
    <xf numFmtId="0" fontId="2" fillId="0" borderId="15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0" xfId="0" applyNumberFormat="1" applyFont="1"/>
    <xf numFmtId="164" fontId="3" fillId="0" borderId="0" xfId="0" applyNumberFormat="1" applyFont="1"/>
    <xf numFmtId="0" fontId="3" fillId="0" borderId="22" xfId="0" applyFont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3" fillId="0" borderId="19" xfId="0" applyFont="1" applyBorder="1"/>
    <xf numFmtId="0" fontId="3" fillId="0" borderId="15" xfId="0" applyFont="1" applyBorder="1"/>
    <xf numFmtId="2" fontId="3" fillId="0" borderId="15" xfId="0" applyNumberFormat="1" applyFont="1" applyBorder="1"/>
    <xf numFmtId="164" fontId="3" fillId="0" borderId="15" xfId="0" applyNumberFormat="1" applyFont="1" applyBorder="1" applyAlignment="1">
      <alignment horizontal="center"/>
    </xf>
    <xf numFmtId="1" fontId="3" fillId="0" borderId="15" xfId="0" applyNumberFormat="1" applyFont="1" applyBorder="1"/>
    <xf numFmtId="0" fontId="3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1" xfId="0" applyFont="1" applyBorder="1"/>
    <xf numFmtId="2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3" xfId="0" applyFont="1" applyBorder="1"/>
    <xf numFmtId="0" fontId="3" fillId="0" borderId="4" xfId="0" applyFont="1" applyBorder="1"/>
    <xf numFmtId="2" fontId="3" fillId="0" borderId="8" xfId="0" applyNumberFormat="1" applyFont="1" applyBorder="1"/>
    <xf numFmtId="164" fontId="3" fillId="0" borderId="8" xfId="0" applyNumberFormat="1" applyFont="1" applyBorder="1"/>
    <xf numFmtId="0" fontId="3" fillId="0" borderId="20" xfId="0" applyFont="1" applyBorder="1"/>
    <xf numFmtId="0" fontId="3" fillId="0" borderId="12" xfId="0" applyFont="1" applyBorder="1"/>
    <xf numFmtId="165" fontId="3" fillId="0" borderId="20" xfId="0" applyNumberFormat="1" applyFont="1" applyBorder="1"/>
    <xf numFmtId="165" fontId="3" fillId="0" borderId="0" xfId="0" applyNumberFormat="1" applyFont="1"/>
    <xf numFmtId="164" fontId="3" fillId="0" borderId="20" xfId="0" applyNumberFormat="1" applyFont="1" applyBorder="1"/>
    <xf numFmtId="167" fontId="3" fillId="0" borderId="18" xfId="0" applyNumberFormat="1" applyFont="1" applyBorder="1" applyAlignment="1">
      <alignment horizontal="left"/>
    </xf>
    <xf numFmtId="165" fontId="3" fillId="0" borderId="12" xfId="0" applyNumberFormat="1" applyFont="1" applyBorder="1"/>
    <xf numFmtId="0" fontId="3" fillId="0" borderId="17" xfId="0" applyFont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4" xfId="0" applyFont="1" applyBorder="1"/>
    <xf numFmtId="0" fontId="5" fillId="0" borderId="31" xfId="0" applyFont="1" applyBorder="1" applyAlignment="1">
      <alignment horizontal="center"/>
    </xf>
    <xf numFmtId="3" fontId="5" fillId="0" borderId="31" xfId="0" applyNumberFormat="1" applyFont="1" applyBorder="1" applyAlignment="1">
      <alignment horizontal="center"/>
    </xf>
    <xf numFmtId="22" fontId="5" fillId="0" borderId="31" xfId="0" applyNumberFormat="1" applyFont="1" applyBorder="1" applyAlignment="1">
      <alignment horizontal="center"/>
    </xf>
    <xf numFmtId="14" fontId="5" fillId="0" borderId="31" xfId="0" applyNumberFormat="1" applyFont="1" applyBorder="1" applyAlignment="1">
      <alignment horizontal="center"/>
    </xf>
    <xf numFmtId="0" fontId="3" fillId="0" borderId="13" xfId="0" applyFont="1" applyBorder="1"/>
    <xf numFmtId="164" fontId="3" fillId="0" borderId="5" xfId="0" applyNumberFormat="1" applyFont="1" applyBorder="1"/>
    <xf numFmtId="0" fontId="3" fillId="3" borderId="20" xfId="0" applyFont="1" applyFill="1" applyBorder="1"/>
    <xf numFmtId="0" fontId="3" fillId="3" borderId="12" xfId="0" applyFont="1" applyFill="1" applyBorder="1"/>
    <xf numFmtId="0" fontId="3" fillId="3" borderId="11" xfId="0" applyFont="1" applyFill="1" applyBorder="1"/>
    <xf numFmtId="0" fontId="2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0" xfId="0" quotePrefix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7" xfId="0" applyNumberFormat="1" applyFont="1" applyBorder="1"/>
    <xf numFmtId="164" fontId="3" fillId="3" borderId="11" xfId="0" applyNumberFormat="1" applyFont="1" applyFill="1" applyBorder="1"/>
    <xf numFmtId="164" fontId="3" fillId="0" borderId="11" xfId="0" applyNumberFormat="1" applyFont="1" applyBorder="1"/>
    <xf numFmtId="2" fontId="3" fillId="0" borderId="8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3" fontId="2" fillId="0" borderId="0" xfId="0" applyNumberFormat="1" applyFont="1"/>
    <xf numFmtId="3" fontId="3" fillId="0" borderId="0" xfId="0" applyNumberFormat="1" applyFont="1"/>
    <xf numFmtId="0" fontId="8" fillId="0" borderId="0" xfId="0" applyFont="1"/>
    <xf numFmtId="0" fontId="9" fillId="0" borderId="31" xfId="0" applyFont="1" applyBorder="1" applyAlignment="1">
      <alignment horizontal="center" vertical="center"/>
    </xf>
    <xf numFmtId="3" fontId="9" fillId="0" borderId="31" xfId="0" applyNumberFormat="1" applyFont="1" applyBorder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3" fontId="11" fillId="0" borderId="31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3" fontId="0" fillId="0" borderId="0" xfId="0" applyNumberFormat="1"/>
    <xf numFmtId="0" fontId="3" fillId="0" borderId="36" xfId="0" applyFont="1" applyBorder="1" applyAlignment="1">
      <alignment horizontal="center"/>
    </xf>
    <xf numFmtId="3" fontId="3" fillId="0" borderId="13" xfId="0" applyNumberFormat="1" applyFont="1" applyBorder="1"/>
    <xf numFmtId="3" fontId="3" fillId="0" borderId="32" xfId="0" applyNumberFormat="1" applyFont="1" applyBorder="1"/>
    <xf numFmtId="0" fontId="3" fillId="0" borderId="13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41" xfId="0" applyFont="1" applyBorder="1"/>
    <xf numFmtId="164" fontId="3" fillId="0" borderId="12" xfId="0" applyNumberFormat="1" applyFont="1" applyBorder="1"/>
    <xf numFmtId="164" fontId="3" fillId="0" borderId="6" xfId="0" applyNumberFormat="1" applyFont="1" applyBorder="1"/>
    <xf numFmtId="3" fontId="3" fillId="0" borderId="38" xfId="0" applyNumberFormat="1" applyFont="1" applyBorder="1"/>
    <xf numFmtId="3" fontId="3" fillId="0" borderId="39" xfId="0" applyNumberFormat="1" applyFont="1" applyBorder="1"/>
    <xf numFmtId="3" fontId="3" fillId="0" borderId="16" xfId="0" applyNumberFormat="1" applyFont="1" applyBorder="1"/>
    <xf numFmtId="3" fontId="3" fillId="0" borderId="40" xfId="0" applyNumberFormat="1" applyFont="1" applyBorder="1"/>
    <xf numFmtId="3" fontId="2" fillId="0" borderId="41" xfId="0" applyNumberFormat="1" applyFont="1" applyBorder="1"/>
    <xf numFmtId="3" fontId="3" fillId="0" borderId="45" xfId="0" applyNumberFormat="1" applyFont="1" applyBorder="1" applyAlignment="1">
      <alignment horizontal="left"/>
    </xf>
    <xf numFmtId="3" fontId="2" fillId="0" borderId="42" xfId="0" applyNumberFormat="1" applyFont="1" applyBorder="1"/>
    <xf numFmtId="0" fontId="7" fillId="0" borderId="37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168" fontId="3" fillId="0" borderId="13" xfId="0" applyNumberFormat="1" applyFont="1" applyBorder="1"/>
    <xf numFmtId="0" fontId="3" fillId="0" borderId="45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7" fillId="0" borderId="44" xfId="0" applyFont="1" applyBorder="1" applyAlignment="1">
      <alignment vertical="center" wrapText="1"/>
    </xf>
    <xf numFmtId="0" fontId="3" fillId="0" borderId="32" xfId="0" applyFont="1" applyBorder="1" applyAlignment="1">
      <alignment horizontal="left"/>
    </xf>
    <xf numFmtId="0" fontId="2" fillId="0" borderId="14" xfId="0" applyFont="1" applyBorder="1"/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6" xfId="0" applyFont="1" applyBorder="1"/>
    <xf numFmtId="167" fontId="3" fillId="0" borderId="48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9" xfId="0" applyFont="1" applyBorder="1"/>
    <xf numFmtId="168" fontId="3" fillId="0" borderId="9" xfId="0" applyNumberFormat="1" applyFont="1" applyBorder="1"/>
    <xf numFmtId="0" fontId="3" fillId="0" borderId="10" xfId="0" applyFont="1" applyBorder="1"/>
    <xf numFmtId="0" fontId="3" fillId="0" borderId="5" xfId="0" applyFont="1" applyBorder="1"/>
    <xf numFmtId="0" fontId="3" fillId="0" borderId="6" xfId="0" applyFont="1" applyBorder="1"/>
    <xf numFmtId="164" fontId="3" fillId="0" borderId="10" xfId="0" applyNumberFormat="1" applyFont="1" applyBorder="1"/>
    <xf numFmtId="165" fontId="3" fillId="0" borderId="3" xfId="0" applyNumberFormat="1" applyFont="1" applyBorder="1"/>
    <xf numFmtId="165" fontId="3" fillId="0" borderId="8" xfId="0" applyNumberFormat="1" applyFont="1" applyBorder="1"/>
    <xf numFmtId="165" fontId="3" fillId="0" borderId="4" xfId="0" applyNumberFormat="1" applyFont="1" applyBorder="1"/>
    <xf numFmtId="165" fontId="3" fillId="0" borderId="5" xfId="0" applyNumberFormat="1" applyFont="1" applyBorder="1"/>
    <xf numFmtId="165" fontId="3" fillId="0" borderId="10" xfId="0" applyNumberFormat="1" applyFont="1" applyBorder="1"/>
    <xf numFmtId="165" fontId="3" fillId="0" borderId="6" xfId="0" applyNumberFormat="1" applyFont="1" applyBorder="1"/>
    <xf numFmtId="164" fontId="3" fillId="0" borderId="32" xfId="0" applyNumberFormat="1" applyFont="1" applyBorder="1"/>
    <xf numFmtId="164" fontId="2" fillId="0" borderId="41" xfId="0" applyNumberFormat="1" applyFont="1" applyBorder="1"/>
    <xf numFmtId="0" fontId="3" fillId="0" borderId="13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0" fontId="2" fillId="0" borderId="41" xfId="0" applyFont="1" applyBorder="1" applyAlignment="1">
      <alignment horizontal="right"/>
    </xf>
    <xf numFmtId="167" fontId="3" fillId="0" borderId="49" xfId="0" applyNumberFormat="1" applyFont="1" applyBorder="1" applyAlignment="1">
      <alignment horizontal="left"/>
    </xf>
    <xf numFmtId="0" fontId="3" fillId="0" borderId="52" xfId="0" applyFont="1" applyBorder="1"/>
    <xf numFmtId="167" fontId="3" fillId="0" borderId="45" xfId="0" applyNumberFormat="1" applyFont="1" applyBorder="1" applyAlignment="1">
      <alignment horizontal="left"/>
    </xf>
    <xf numFmtId="0" fontId="3" fillId="0" borderId="46" xfId="0" applyFont="1" applyBorder="1" applyAlignment="1">
      <alignment horizontal="center"/>
    </xf>
    <xf numFmtId="0" fontId="3" fillId="0" borderId="41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47" xfId="0" applyFont="1" applyBorder="1"/>
    <xf numFmtId="1" fontId="2" fillId="0" borderId="43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168" fontId="3" fillId="0" borderId="32" xfId="0" applyNumberFormat="1" applyFont="1" applyBorder="1"/>
    <xf numFmtId="168" fontId="3" fillId="0" borderId="0" xfId="0" applyNumberFormat="1" applyFont="1"/>
    <xf numFmtId="3" fontId="3" fillId="0" borderId="15" xfId="0" applyNumberFormat="1" applyFont="1" applyBorder="1" applyAlignment="1">
      <alignment horizontal="center"/>
    </xf>
    <xf numFmtId="3" fontId="3" fillId="0" borderId="15" xfId="0" applyNumberFormat="1" applyFont="1" applyBorder="1"/>
    <xf numFmtId="3" fontId="3" fillId="0" borderId="4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36" xfId="0" applyNumberFormat="1" applyFont="1" applyBorder="1"/>
    <xf numFmtId="3" fontId="3" fillId="0" borderId="44" xfId="0" applyNumberFormat="1" applyFont="1" applyBorder="1"/>
    <xf numFmtId="3" fontId="2" fillId="0" borderId="45" xfId="0" applyNumberFormat="1" applyFont="1" applyBorder="1"/>
    <xf numFmtId="0" fontId="2" fillId="0" borderId="4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3" fontId="3" fillId="0" borderId="54" xfId="0" applyNumberFormat="1" applyFont="1" applyBorder="1"/>
    <xf numFmtId="3" fontId="2" fillId="0" borderId="33" xfId="0" applyNumberFormat="1" applyFont="1" applyBorder="1"/>
    <xf numFmtId="1" fontId="2" fillId="0" borderId="33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left"/>
    </xf>
    <xf numFmtId="4" fontId="3" fillId="0" borderId="11" xfId="0" applyNumberFormat="1" applyFont="1" applyBorder="1" applyAlignment="1">
      <alignment horizontal="center"/>
    </xf>
    <xf numFmtId="0" fontId="3" fillId="0" borderId="34" xfId="0" applyFont="1" applyBorder="1" applyAlignment="1">
      <alignment horizontal="left"/>
    </xf>
    <xf numFmtId="166" fontId="3" fillId="0" borderId="16" xfId="0" applyNumberFormat="1" applyFont="1" applyBorder="1"/>
    <xf numFmtId="166" fontId="2" fillId="0" borderId="42" xfId="0" applyNumberFormat="1" applyFont="1" applyBorder="1"/>
    <xf numFmtId="1" fontId="3" fillId="0" borderId="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43" xfId="0" applyFont="1" applyBorder="1"/>
    <xf numFmtId="0" fontId="2" fillId="0" borderId="59" xfId="0" applyFont="1" applyBorder="1" applyAlignment="1">
      <alignment horizontal="center"/>
    </xf>
    <xf numFmtId="9" fontId="3" fillId="0" borderId="59" xfId="0" applyNumberFormat="1" applyFont="1" applyBorder="1"/>
    <xf numFmtId="9" fontId="3" fillId="0" borderId="53" xfId="0" applyNumberFormat="1" applyFont="1" applyBorder="1"/>
    <xf numFmtId="2" fontId="3" fillId="0" borderId="7" xfId="0" applyNumberFormat="1" applyFont="1" applyBorder="1"/>
    <xf numFmtId="0" fontId="4" fillId="0" borderId="7" xfId="0" applyFont="1" applyBorder="1"/>
    <xf numFmtId="164" fontId="3" fillId="0" borderId="4" xfId="0" applyNumberFormat="1" applyFont="1" applyBorder="1" applyAlignment="1">
      <alignment horizontal="center"/>
    </xf>
    <xf numFmtId="0" fontId="4" fillId="0" borderId="9" xfId="0" applyFont="1" applyBorder="1"/>
    <xf numFmtId="0" fontId="3" fillId="0" borderId="9" xfId="0" quotePrefix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1" fontId="3" fillId="0" borderId="59" xfId="0" applyNumberFormat="1" applyFont="1" applyBorder="1"/>
    <xf numFmtId="166" fontId="3" fillId="0" borderId="54" xfId="0" applyNumberFormat="1" applyFont="1" applyBorder="1"/>
    <xf numFmtId="3" fontId="3" fillId="0" borderId="35" xfId="0" applyNumberFormat="1" applyFont="1" applyBorder="1"/>
    <xf numFmtId="3" fontId="3" fillId="0" borderId="60" xfId="0" applyNumberFormat="1" applyFont="1" applyBorder="1"/>
    <xf numFmtId="3" fontId="2" fillId="0" borderId="58" xfId="0" applyNumberFormat="1" applyFont="1" applyBorder="1"/>
    <xf numFmtId="164" fontId="0" fillId="0" borderId="0" xfId="0" applyNumberFormat="1"/>
    <xf numFmtId="164" fontId="0" fillId="2" borderId="0" xfId="0" applyNumberFormat="1" applyFill="1"/>
    <xf numFmtId="0" fontId="13" fillId="0" borderId="0" xfId="0" applyFont="1"/>
    <xf numFmtId="0" fontId="13" fillId="0" borderId="0" xfId="0" applyFont="1" applyAlignment="1">
      <alignment horizontal="right"/>
    </xf>
    <xf numFmtId="164" fontId="3" fillId="0" borderId="15" xfId="0" applyNumberFormat="1" applyFont="1" applyBorder="1"/>
    <xf numFmtId="3" fontId="2" fillId="5" borderId="0" xfId="0" applyNumberFormat="1" applyFont="1" applyFill="1"/>
    <xf numFmtId="0" fontId="3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4" fillId="0" borderId="8" xfId="0" applyFont="1" applyBorder="1" applyProtection="1">
      <protection locked="0"/>
    </xf>
    <xf numFmtId="164" fontId="3" fillId="0" borderId="8" xfId="0" applyNumberFormat="1" applyFont="1" applyBorder="1" applyProtection="1">
      <protection locked="0"/>
    </xf>
    <xf numFmtId="3" fontId="3" fillId="0" borderId="8" xfId="0" applyNumberFormat="1" applyFont="1" applyBorder="1" applyProtection="1">
      <protection locked="0"/>
    </xf>
    <xf numFmtId="168" fontId="3" fillId="0" borderId="8" xfId="0" applyNumberFormat="1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0" xfId="0" applyFont="1" applyProtection="1">
      <protection locked="0"/>
    </xf>
    <xf numFmtId="164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168" fontId="3" fillId="0" borderId="0" xfId="0" applyNumberFormat="1" applyFont="1" applyProtection="1">
      <protection locked="0"/>
    </xf>
    <xf numFmtId="0" fontId="3" fillId="0" borderId="5" xfId="0" applyFont="1" applyBorder="1" applyProtection="1">
      <protection locked="0"/>
    </xf>
    <xf numFmtId="0" fontId="3" fillId="0" borderId="10" xfId="0" applyFont="1" applyBorder="1" applyProtection="1">
      <protection locked="0"/>
    </xf>
    <xf numFmtId="164" fontId="3" fillId="0" borderId="10" xfId="0" applyNumberFormat="1" applyFont="1" applyBorder="1" applyProtection="1">
      <protection locked="0"/>
    </xf>
    <xf numFmtId="0" fontId="4" fillId="0" borderId="10" xfId="0" applyFont="1" applyBorder="1" applyProtection="1">
      <protection locked="0"/>
    </xf>
    <xf numFmtId="3" fontId="3" fillId="0" borderId="10" xfId="0" applyNumberFormat="1" applyFont="1" applyBorder="1" applyProtection="1">
      <protection locked="0"/>
    </xf>
    <xf numFmtId="168" fontId="3" fillId="0" borderId="10" xfId="0" applyNumberFormat="1" applyFont="1" applyBorder="1" applyProtection="1">
      <protection locked="0"/>
    </xf>
    <xf numFmtId="164" fontId="3" fillId="0" borderId="8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10" xfId="0" applyNumberFormat="1" applyFont="1" applyBorder="1" applyAlignment="1" applyProtection="1">
      <alignment horizontal="center"/>
      <protection locked="0"/>
    </xf>
    <xf numFmtId="0" fontId="3" fillId="0" borderId="41" xfId="0" applyFont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4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3" fillId="8" borderId="13" xfId="0" applyFont="1" applyFill="1" applyBorder="1"/>
    <xf numFmtId="0" fontId="2" fillId="9" borderId="13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1" xfId="0" quotePrefix="1" applyFont="1" applyFill="1" applyBorder="1" applyAlignment="1">
      <alignment horizontal="center"/>
    </xf>
    <xf numFmtId="0" fontId="3" fillId="3" borderId="9" xfId="0" quotePrefix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left"/>
    </xf>
    <xf numFmtId="0" fontId="7" fillId="0" borderId="49" xfId="0" applyFont="1" applyBorder="1" applyAlignment="1">
      <alignment vertical="center" wrapText="1"/>
    </xf>
    <xf numFmtId="0" fontId="3" fillId="0" borderId="9" xfId="0" applyFont="1" applyBorder="1" applyAlignment="1">
      <alignment horizontal="right"/>
    </xf>
    <xf numFmtId="0" fontId="13" fillId="5" borderId="55" xfId="0" applyFont="1" applyFill="1" applyBorder="1" applyAlignment="1">
      <alignment horizontal="left"/>
    </xf>
    <xf numFmtId="0" fontId="2" fillId="5" borderId="57" xfId="0" applyFont="1" applyFill="1" applyBorder="1" applyAlignment="1">
      <alignment horizontal="left"/>
    </xf>
    <xf numFmtId="0" fontId="3" fillId="5" borderId="57" xfId="0" applyFont="1" applyFill="1" applyBorder="1"/>
    <xf numFmtId="0" fontId="2" fillId="0" borderId="21" xfId="0" applyFont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1" xfId="0" quotePrefix="1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164" fontId="3" fillId="0" borderId="19" xfId="0" applyNumberFormat="1" applyFont="1" applyBorder="1"/>
    <xf numFmtId="165" fontId="3" fillId="0" borderId="15" xfId="0" applyNumberFormat="1" applyFont="1" applyBorder="1"/>
    <xf numFmtId="0" fontId="3" fillId="4" borderId="19" xfId="0" applyFont="1" applyFill="1" applyBorder="1" applyAlignment="1">
      <alignment horizontal="center"/>
    </xf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62" xfId="0" applyNumberFormat="1" applyFont="1" applyBorder="1"/>
    <xf numFmtId="0" fontId="3" fillId="3" borderId="0" xfId="0" applyFont="1" applyFill="1"/>
    <xf numFmtId="2" fontId="3" fillId="3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164" fontId="3" fillId="0" borderId="17" xfId="0" applyNumberFormat="1" applyFont="1" applyBorder="1"/>
    <xf numFmtId="2" fontId="3" fillId="0" borderId="0" xfId="0" applyNumberFormat="1" applyFont="1"/>
    <xf numFmtId="0" fontId="3" fillId="0" borderId="58" xfId="0" applyFont="1" applyBorder="1"/>
    <xf numFmtId="0" fontId="2" fillId="3" borderId="41" xfId="0" applyFont="1" applyFill="1" applyBorder="1" applyAlignment="1">
      <alignment horizontal="left"/>
    </xf>
    <xf numFmtId="0" fontId="3" fillId="3" borderId="41" xfId="0" applyFont="1" applyFill="1" applyBorder="1"/>
    <xf numFmtId="0" fontId="3" fillId="3" borderId="50" xfId="0" applyFont="1" applyFill="1" applyBorder="1"/>
    <xf numFmtId="0" fontId="3" fillId="3" borderId="46" xfId="0" applyFont="1" applyFill="1" applyBorder="1"/>
    <xf numFmtId="0" fontId="3" fillId="3" borderId="51" xfId="0" applyFont="1" applyFill="1" applyBorder="1"/>
    <xf numFmtId="2" fontId="3" fillId="3" borderId="46" xfId="0" applyNumberFormat="1" applyFont="1" applyFill="1" applyBorder="1"/>
    <xf numFmtId="164" fontId="3" fillId="3" borderId="46" xfId="0" applyNumberFormat="1" applyFont="1" applyFill="1" applyBorder="1"/>
    <xf numFmtId="164" fontId="3" fillId="3" borderId="41" xfId="0" applyNumberFormat="1" applyFont="1" applyFill="1" applyBorder="1"/>
    <xf numFmtId="165" fontId="3" fillId="3" borderId="46" xfId="0" applyNumberFormat="1" applyFont="1" applyFill="1" applyBorder="1"/>
    <xf numFmtId="164" fontId="3" fillId="0" borderId="64" xfId="0" applyNumberFormat="1" applyFont="1" applyBorder="1"/>
    <xf numFmtId="164" fontId="3" fillId="0" borderId="46" xfId="0" applyNumberFormat="1" applyFont="1" applyBorder="1"/>
    <xf numFmtId="164" fontId="3" fillId="0" borderId="50" xfId="0" applyNumberFormat="1" applyFont="1" applyBorder="1"/>
    <xf numFmtId="164" fontId="3" fillId="0" borderId="51" xfId="0" applyNumberFormat="1" applyFont="1" applyBorder="1"/>
    <xf numFmtId="164" fontId="3" fillId="0" borderId="47" xfId="0" applyNumberFormat="1" applyFont="1" applyBorder="1"/>
    <xf numFmtId="167" fontId="3" fillId="0" borderId="61" xfId="0" applyNumberFormat="1" applyFont="1" applyBorder="1" applyAlignment="1">
      <alignment horizontal="left"/>
    </xf>
    <xf numFmtId="0" fontId="3" fillId="0" borderId="63" xfId="0" applyFont="1" applyBorder="1"/>
    <xf numFmtId="3" fontId="3" fillId="0" borderId="9" xfId="0" applyNumberFormat="1" applyFont="1" applyBorder="1"/>
    <xf numFmtId="3" fontId="3" fillId="0" borderId="65" xfId="0" applyNumberFormat="1" applyFont="1" applyBorder="1"/>
    <xf numFmtId="0" fontId="13" fillId="5" borderId="34" xfId="0" applyFont="1" applyFill="1" applyBorder="1" applyAlignment="1">
      <alignment horizontal="left"/>
    </xf>
    <xf numFmtId="0" fontId="2" fillId="5" borderId="29" xfId="0" applyFont="1" applyFill="1" applyBorder="1" applyAlignment="1">
      <alignment horizontal="left"/>
    </xf>
    <xf numFmtId="168" fontId="3" fillId="0" borderId="3" xfId="0" applyNumberFormat="1" applyFont="1" applyBorder="1"/>
    <xf numFmtId="168" fontId="3" fillId="0" borderId="20" xfId="0" applyNumberFormat="1" applyFont="1" applyBorder="1"/>
    <xf numFmtId="168" fontId="3" fillId="0" borderId="5" xfId="0" applyNumberFormat="1" applyFont="1" applyBorder="1"/>
    <xf numFmtId="168" fontId="3" fillId="0" borderId="50" xfId="0" applyNumberFormat="1" applyFont="1" applyBorder="1"/>
    <xf numFmtId="0" fontId="3" fillId="0" borderId="35" xfId="0" applyFont="1" applyBorder="1" applyAlignment="1">
      <alignment horizontal="center"/>
    </xf>
    <xf numFmtId="0" fontId="3" fillId="0" borderId="66" xfId="0" applyFont="1" applyBorder="1"/>
    <xf numFmtId="0" fontId="3" fillId="0" borderId="21" xfId="0" applyFont="1" applyBorder="1"/>
    <xf numFmtId="165" fontId="3" fillId="0" borderId="66" xfId="0" applyNumberFormat="1" applyFont="1" applyBorder="1"/>
    <xf numFmtId="165" fontId="3" fillId="0" borderId="24" xfId="0" applyNumberFormat="1" applyFont="1" applyBorder="1"/>
    <xf numFmtId="165" fontId="3" fillId="0" borderId="63" xfId="0" applyNumberFormat="1" applyFont="1" applyBorder="1"/>
    <xf numFmtId="165" fontId="3" fillId="0" borderId="17" xfId="0" applyNumberFormat="1" applyFont="1" applyBorder="1"/>
    <xf numFmtId="165" fontId="3" fillId="0" borderId="21" xfId="0" applyNumberFormat="1" applyFont="1" applyBorder="1"/>
    <xf numFmtId="165" fontId="3" fillId="0" borderId="52" xfId="0" applyNumberFormat="1" applyFont="1" applyBorder="1"/>
    <xf numFmtId="164" fontId="3" fillId="0" borderId="63" xfId="0" applyNumberFormat="1" applyFont="1" applyBorder="1"/>
    <xf numFmtId="164" fontId="3" fillId="0" borderId="67" xfId="0" applyNumberFormat="1" applyFont="1" applyBorder="1"/>
    <xf numFmtId="164" fontId="3" fillId="0" borderId="21" xfId="0" applyNumberFormat="1" applyFont="1" applyBorder="1"/>
    <xf numFmtId="164" fontId="3" fillId="0" borderId="65" xfId="0" applyNumberFormat="1" applyFont="1" applyBorder="1"/>
    <xf numFmtId="164" fontId="3" fillId="0" borderId="52" xfId="0" applyNumberFormat="1" applyFont="1" applyBorder="1"/>
    <xf numFmtId="0" fontId="1" fillId="0" borderId="0" xfId="0" applyFont="1" applyAlignment="1">
      <alignment horizontal="center" vertical="center" textRotation="90"/>
    </xf>
    <xf numFmtId="167" fontId="3" fillId="0" borderId="0" xfId="0" applyNumberFormat="1" applyFont="1" applyAlignment="1">
      <alignment horizontal="left"/>
    </xf>
    <xf numFmtId="9" fontId="3" fillId="0" borderId="0" xfId="0" applyNumberFormat="1" applyFont="1"/>
    <xf numFmtId="3" fontId="3" fillId="0" borderId="7" xfId="0" applyNumberFormat="1" applyFont="1" applyBorder="1"/>
    <xf numFmtId="3" fontId="3" fillId="0" borderId="66" xfId="0" applyNumberFormat="1" applyFont="1" applyBorder="1"/>
    <xf numFmtId="166" fontId="3" fillId="0" borderId="39" xfId="0" applyNumberFormat="1" applyFont="1" applyBorder="1"/>
    <xf numFmtId="166" fontId="3" fillId="0" borderId="40" xfId="0" applyNumberFormat="1" applyFont="1" applyBorder="1"/>
    <xf numFmtId="3" fontId="2" fillId="0" borderId="41" xfId="1" applyNumberFormat="1" applyFont="1" applyBorder="1"/>
    <xf numFmtId="1" fontId="3" fillId="0" borderId="68" xfId="0" applyNumberFormat="1" applyFont="1" applyBorder="1" applyAlignment="1">
      <alignment horizontal="center"/>
    </xf>
    <xf numFmtId="1" fontId="3" fillId="0" borderId="65" xfId="0" applyNumberFormat="1" applyFont="1" applyBorder="1" applyAlignment="1">
      <alignment horizontal="center"/>
    </xf>
    <xf numFmtId="0" fontId="3" fillId="0" borderId="66" xfId="0" applyFont="1" applyBorder="1" applyProtection="1">
      <protection locked="0"/>
    </xf>
    <xf numFmtId="168" fontId="3" fillId="0" borderId="24" xfId="0" applyNumberFormat="1" applyFont="1" applyBorder="1" applyProtection="1">
      <protection locked="0"/>
    </xf>
    <xf numFmtId="0" fontId="3" fillId="0" borderId="63" xfId="0" applyFont="1" applyBorder="1" applyProtection="1">
      <protection locked="0"/>
    </xf>
    <xf numFmtId="168" fontId="3" fillId="0" borderId="17" xfId="0" applyNumberFormat="1" applyFont="1" applyBorder="1" applyProtection="1">
      <protection locked="0"/>
    </xf>
    <xf numFmtId="0" fontId="3" fillId="0" borderId="21" xfId="0" applyFont="1" applyBorder="1" applyProtection="1">
      <protection locked="0"/>
    </xf>
    <xf numFmtId="168" fontId="3" fillId="0" borderId="52" xfId="0" applyNumberFormat="1" applyFont="1" applyBorder="1" applyProtection="1">
      <protection locked="0"/>
    </xf>
    <xf numFmtId="0" fontId="3" fillId="0" borderId="58" xfId="0" applyFont="1" applyBorder="1" applyProtection="1">
      <protection locked="0"/>
    </xf>
    <xf numFmtId="0" fontId="3" fillId="0" borderId="46" xfId="0" applyFont="1" applyBorder="1" applyProtection="1">
      <protection locked="0"/>
    </xf>
    <xf numFmtId="164" fontId="3" fillId="0" borderId="46" xfId="0" applyNumberFormat="1" applyFont="1" applyBorder="1" applyProtection="1">
      <protection locked="0"/>
    </xf>
    <xf numFmtId="0" fontId="4" fillId="0" borderId="46" xfId="0" applyFont="1" applyBorder="1" applyProtection="1">
      <protection locked="0"/>
    </xf>
    <xf numFmtId="164" fontId="3" fillId="0" borderId="46" xfId="0" applyNumberFormat="1" applyFont="1" applyBorder="1" applyAlignment="1" applyProtection="1">
      <alignment horizontal="center"/>
      <protection locked="0"/>
    </xf>
    <xf numFmtId="3" fontId="3" fillId="0" borderId="46" xfId="0" applyNumberFormat="1" applyFont="1" applyBorder="1" applyProtection="1">
      <protection locked="0"/>
    </xf>
    <xf numFmtId="168" fontId="3" fillId="0" borderId="47" xfId="0" applyNumberFormat="1" applyFont="1" applyBorder="1" applyProtection="1">
      <protection locked="0"/>
    </xf>
    <xf numFmtId="165" fontId="3" fillId="0" borderId="58" xfId="0" applyNumberFormat="1" applyFont="1" applyBorder="1"/>
    <xf numFmtId="165" fontId="3" fillId="0" borderId="46" xfId="0" applyNumberFormat="1" applyFont="1" applyBorder="1"/>
    <xf numFmtId="165" fontId="3" fillId="0" borderId="50" xfId="0" applyNumberFormat="1" applyFont="1" applyBorder="1"/>
    <xf numFmtId="165" fontId="3" fillId="0" borderId="47" xfId="0" applyNumberFormat="1" applyFont="1" applyBorder="1"/>
    <xf numFmtId="165" fontId="3" fillId="0" borderId="51" xfId="0" applyNumberFormat="1" applyFont="1" applyBorder="1"/>
    <xf numFmtId="168" fontId="3" fillId="4" borderId="0" xfId="0" applyNumberFormat="1" applyFont="1" applyFill="1" applyProtection="1">
      <protection locked="0"/>
    </xf>
    <xf numFmtId="168" fontId="3" fillId="4" borderId="17" xfId="0" applyNumberFormat="1" applyFont="1" applyFill="1" applyBorder="1" applyProtection="1">
      <protection locked="0"/>
    </xf>
    <xf numFmtId="1" fontId="3" fillId="4" borderId="59" xfId="0" applyNumberFormat="1" applyFont="1" applyFill="1" applyBorder="1"/>
    <xf numFmtId="165" fontId="3" fillId="4" borderId="63" xfId="0" applyNumberFormat="1" applyFont="1" applyFill="1" applyBorder="1"/>
    <xf numFmtId="165" fontId="3" fillId="4" borderId="0" xfId="0" applyNumberFormat="1" applyFont="1" applyFill="1"/>
    <xf numFmtId="165" fontId="3" fillId="4" borderId="20" xfId="0" applyNumberFormat="1" applyFont="1" applyFill="1" applyBorder="1"/>
    <xf numFmtId="165" fontId="3" fillId="4" borderId="17" xfId="0" applyNumberFormat="1" applyFont="1" applyFill="1" applyBorder="1"/>
    <xf numFmtId="165" fontId="3" fillId="4" borderId="12" xfId="0" applyNumberFormat="1" applyFont="1" applyFill="1" applyBorder="1"/>
    <xf numFmtId="3" fontId="3" fillId="0" borderId="6" xfId="0" applyNumberFormat="1" applyFont="1" applyBorder="1"/>
    <xf numFmtId="3" fontId="3" fillId="0" borderId="2" xfId="0" applyNumberFormat="1" applyFont="1" applyBorder="1"/>
    <xf numFmtId="3" fontId="3" fillId="0" borderId="70" xfId="0" applyNumberFormat="1" applyFont="1" applyBorder="1"/>
    <xf numFmtId="3" fontId="2" fillId="0" borderId="51" xfId="0" applyNumberFormat="1" applyFont="1" applyBorder="1"/>
    <xf numFmtId="3" fontId="3" fillId="0" borderId="49" xfId="0" applyNumberFormat="1" applyFont="1" applyBorder="1"/>
    <xf numFmtId="0" fontId="2" fillId="5" borderId="22" xfId="0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69" xfId="0" applyFont="1" applyBorder="1" applyAlignment="1">
      <alignment horizontal="right"/>
    </xf>
    <xf numFmtId="0" fontId="2" fillId="0" borderId="50" xfId="0" applyFont="1" applyBorder="1" applyAlignment="1">
      <alignment horizontal="right"/>
    </xf>
    <xf numFmtId="0" fontId="3" fillId="0" borderId="29" xfId="0" applyFont="1" applyBorder="1"/>
    <xf numFmtId="0" fontId="2" fillId="0" borderId="65" xfId="0" applyFont="1" applyBorder="1" applyAlignment="1">
      <alignment horizontal="center"/>
    </xf>
    <xf numFmtId="0" fontId="3" fillId="0" borderId="49" xfId="0" applyFont="1" applyBorder="1"/>
    <xf numFmtId="168" fontId="3" fillId="0" borderId="65" xfId="0" applyNumberFormat="1" applyFont="1" applyBorder="1"/>
    <xf numFmtId="0" fontId="3" fillId="0" borderId="36" xfId="0" applyFont="1" applyBorder="1"/>
    <xf numFmtId="168" fontId="3" fillId="0" borderId="16" xfId="0" applyNumberFormat="1" applyFont="1" applyBorder="1"/>
    <xf numFmtId="164" fontId="3" fillId="0" borderId="40" xfId="0" applyNumberFormat="1" applyFont="1" applyBorder="1"/>
    <xf numFmtId="0" fontId="2" fillId="0" borderId="45" xfId="0" applyFont="1" applyBorder="1"/>
    <xf numFmtId="164" fontId="2" fillId="0" borderId="42" xfId="0" applyNumberFormat="1" applyFont="1" applyBorder="1"/>
    <xf numFmtId="3" fontId="3" fillId="0" borderId="5" xfId="0" applyNumberFormat="1" applyFont="1" applyBorder="1"/>
    <xf numFmtId="3" fontId="3" fillId="0" borderId="1" xfId="0" applyNumberFormat="1" applyFont="1" applyBorder="1"/>
    <xf numFmtId="3" fontId="3" fillId="0" borderId="69" xfId="0" applyNumberFormat="1" applyFont="1" applyBorder="1"/>
    <xf numFmtId="3" fontId="2" fillId="0" borderId="50" xfId="0" applyNumberFormat="1" applyFont="1" applyBorder="1"/>
    <xf numFmtId="0" fontId="3" fillId="0" borderId="7" xfId="0" quotePrefix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9" xfId="0" quotePrefix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66" xfId="0" applyBorder="1" applyAlignment="1">
      <alignment horizontal="center"/>
    </xf>
    <xf numFmtId="0" fontId="16" fillId="0" borderId="0" xfId="0" applyFont="1"/>
    <xf numFmtId="16" fontId="7" fillId="0" borderId="49" xfId="0" applyNumberFormat="1" applyFont="1" applyBorder="1" applyAlignment="1">
      <alignment vertical="center" wrapText="1"/>
    </xf>
    <xf numFmtId="16" fontId="7" fillId="0" borderId="49" xfId="0" quotePrefix="1" applyNumberFormat="1" applyFont="1" applyBorder="1" applyAlignment="1">
      <alignment vertical="center" wrapText="1"/>
    </xf>
    <xf numFmtId="0" fontId="0" fillId="0" borderId="10" xfId="0" applyBorder="1" applyAlignment="1">
      <alignment horizontal="center"/>
    </xf>
    <xf numFmtId="164" fontId="3" fillId="0" borderId="53" xfId="0" applyNumberFormat="1" applyFont="1" applyBorder="1" applyAlignment="1">
      <alignment horizontal="center"/>
    </xf>
    <xf numFmtId="0" fontId="3" fillId="0" borderId="44" xfId="0" applyFont="1" applyBorder="1"/>
    <xf numFmtId="0" fontId="3" fillId="0" borderId="32" xfId="0" applyFont="1" applyBorder="1"/>
    <xf numFmtId="168" fontId="3" fillId="0" borderId="40" xfId="0" applyNumberFormat="1" applyFont="1" applyBorder="1"/>
    <xf numFmtId="0" fontId="3" fillId="10" borderId="11" xfId="0" applyFont="1" applyFill="1" applyBorder="1" applyAlignment="1">
      <alignment horizontal="center"/>
    </xf>
    <xf numFmtId="0" fontId="3" fillId="10" borderId="11" xfId="0" applyFont="1" applyFill="1" applyBorder="1"/>
    <xf numFmtId="168" fontId="3" fillId="0" borderId="67" xfId="0" applyNumberFormat="1" applyFont="1" applyBorder="1"/>
    <xf numFmtId="0" fontId="3" fillId="0" borderId="20" xfId="0" applyFont="1" applyBorder="1" applyAlignment="1">
      <alignment horizontal="right"/>
    </xf>
    <xf numFmtId="168" fontId="3" fillId="0" borderId="68" xfId="0" applyNumberFormat="1" applyFont="1" applyBorder="1"/>
    <xf numFmtId="0" fontId="3" fillId="0" borderId="41" xfId="0" applyFont="1" applyBorder="1" applyAlignment="1">
      <alignment horizontal="right"/>
    </xf>
    <xf numFmtId="168" fontId="3" fillId="0" borderId="42" xfId="0" applyNumberFormat="1" applyFont="1" applyBorder="1"/>
    <xf numFmtId="0" fontId="3" fillId="0" borderId="11" xfId="0" applyFont="1" applyBorder="1" applyAlignment="1">
      <alignment horizontal="right"/>
    </xf>
    <xf numFmtId="167" fontId="3" fillId="10" borderId="18" xfId="0" applyNumberFormat="1" applyFont="1" applyFill="1" applyBorder="1" applyAlignment="1">
      <alignment horizontal="left"/>
    </xf>
    <xf numFmtId="0" fontId="3" fillId="10" borderId="9" xfId="0" applyFont="1" applyFill="1" applyBorder="1" applyAlignment="1">
      <alignment horizontal="center"/>
    </xf>
    <xf numFmtId="0" fontId="3" fillId="10" borderId="9" xfId="0" applyFont="1" applyFill="1" applyBorder="1"/>
    <xf numFmtId="0" fontId="3" fillId="10" borderId="20" xfId="0" applyFont="1" applyFill="1" applyBorder="1" applyAlignment="1">
      <alignment horizontal="right"/>
    </xf>
    <xf numFmtId="0" fontId="3" fillId="4" borderId="0" xfId="0" applyFont="1" applyFill="1"/>
    <xf numFmtId="0" fontId="0" fillId="0" borderId="63" xfId="0" applyBorder="1" applyAlignment="1">
      <alignment horizontal="right"/>
    </xf>
    <xf numFmtId="0" fontId="0" fillId="0" borderId="12" xfId="0" applyBorder="1" applyAlignment="1">
      <alignment horizontal="right"/>
    </xf>
    <xf numFmtId="168" fontId="3" fillId="10" borderId="67" xfId="0" applyNumberFormat="1" applyFont="1" applyFill="1" applyBorder="1"/>
    <xf numFmtId="168" fontId="3" fillId="10" borderId="65" xfId="0" applyNumberFormat="1" applyFont="1" applyFill="1" applyBorder="1"/>
    <xf numFmtId="164" fontId="3" fillId="10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164" fontId="3" fillId="0" borderId="59" xfId="0" applyNumberFormat="1" applyFont="1" applyBorder="1" applyAlignment="1">
      <alignment horizontal="center"/>
    </xf>
    <xf numFmtId="164" fontId="3" fillId="0" borderId="33" xfId="0" applyNumberFormat="1" applyFont="1" applyBorder="1" applyAlignment="1">
      <alignment horizontal="center"/>
    </xf>
    <xf numFmtId="0" fontId="3" fillId="10" borderId="0" xfId="0" applyFont="1" applyFill="1" applyProtection="1">
      <protection locked="0"/>
    </xf>
    <xf numFmtId="0" fontId="0" fillId="10" borderId="0" xfId="0" applyFill="1"/>
    <xf numFmtId="0" fontId="0" fillId="10" borderId="10" xfId="0" applyFill="1" applyBorder="1"/>
    <xf numFmtId="0" fontId="2" fillId="0" borderId="43" xfId="0" applyFont="1" applyBorder="1" applyAlignment="1">
      <alignment horizontal="center" vertical="center" textRotation="90"/>
    </xf>
    <xf numFmtId="0" fontId="1" fillId="0" borderId="59" xfId="0" applyFont="1" applyBorder="1" applyAlignment="1">
      <alignment horizontal="center" vertical="center" textRotation="90"/>
    </xf>
    <xf numFmtId="0" fontId="1" fillId="0" borderId="33" xfId="0" applyFont="1" applyBorder="1" applyAlignment="1">
      <alignment horizontal="center" vertical="center" textRotation="90"/>
    </xf>
    <xf numFmtId="0" fontId="2" fillId="0" borderId="43" xfId="0" applyFont="1" applyBorder="1" applyAlignment="1">
      <alignment horizontal="center" vertical="center" textRotation="90" readingOrder="1"/>
    </xf>
    <xf numFmtId="0" fontId="3" fillId="0" borderId="59" xfId="0" applyFont="1" applyBorder="1" applyAlignment="1">
      <alignment horizontal="center" vertical="center" textRotation="90" readingOrder="1"/>
    </xf>
    <xf numFmtId="0" fontId="3" fillId="0" borderId="33" xfId="0" applyFont="1" applyBorder="1" applyAlignment="1">
      <alignment horizontal="center" vertical="center" textRotation="90" readingOrder="1"/>
    </xf>
    <xf numFmtId="0" fontId="2" fillId="0" borderId="59" xfId="0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 textRotation="90"/>
    </xf>
    <xf numFmtId="0" fontId="2" fillId="0" borderId="48" xfId="0" applyFont="1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56" xfId="0" applyFont="1" applyFill="1" applyBorder="1" applyAlignment="1">
      <alignment horizontal="center"/>
    </xf>
    <xf numFmtId="0" fontId="2" fillId="6" borderId="57" xfId="0" applyFont="1" applyFill="1" applyBorder="1" applyAlignment="1">
      <alignment horizontal="center"/>
    </xf>
    <xf numFmtId="0" fontId="2" fillId="6" borderId="55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64" fontId="2" fillId="0" borderId="43" xfId="0" applyNumberFormat="1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64" fontId="2" fillId="0" borderId="61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66FF66"/>
      <color rgb="FFB7DEE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prstClr val="black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</c:spPr>
          </c:marker>
          <c:cat>
            <c:numRef>
              <c:f>Flow!$H$7:$H$53</c:f>
              <c:numCache>
                <c:formatCode>m/d/yyyy</c:formatCode>
                <c:ptCount val="47"/>
                <c:pt idx="0">
                  <c:v>41409</c:v>
                </c:pt>
                <c:pt idx="1">
                  <c:v>41410</c:v>
                </c:pt>
                <c:pt idx="2">
                  <c:v>41411</c:v>
                </c:pt>
                <c:pt idx="3">
                  <c:v>41412</c:v>
                </c:pt>
                <c:pt idx="4">
                  <c:v>41413</c:v>
                </c:pt>
                <c:pt idx="5">
                  <c:v>41414</c:v>
                </c:pt>
                <c:pt idx="6">
                  <c:v>41415</c:v>
                </c:pt>
                <c:pt idx="7">
                  <c:v>41416</c:v>
                </c:pt>
                <c:pt idx="8">
                  <c:v>41417</c:v>
                </c:pt>
                <c:pt idx="9">
                  <c:v>41418</c:v>
                </c:pt>
                <c:pt idx="10">
                  <c:v>41419</c:v>
                </c:pt>
                <c:pt idx="11">
                  <c:v>41420</c:v>
                </c:pt>
                <c:pt idx="12">
                  <c:v>41421</c:v>
                </c:pt>
                <c:pt idx="13">
                  <c:v>41422</c:v>
                </c:pt>
                <c:pt idx="14">
                  <c:v>41423</c:v>
                </c:pt>
                <c:pt idx="15">
                  <c:v>41424</c:v>
                </c:pt>
                <c:pt idx="16">
                  <c:v>41425</c:v>
                </c:pt>
                <c:pt idx="17">
                  <c:v>41426</c:v>
                </c:pt>
                <c:pt idx="18">
                  <c:v>41427</c:v>
                </c:pt>
                <c:pt idx="19">
                  <c:v>41428</c:v>
                </c:pt>
                <c:pt idx="20">
                  <c:v>41429</c:v>
                </c:pt>
                <c:pt idx="21">
                  <c:v>41430</c:v>
                </c:pt>
                <c:pt idx="22">
                  <c:v>41431</c:v>
                </c:pt>
                <c:pt idx="23">
                  <c:v>41432</c:v>
                </c:pt>
                <c:pt idx="24">
                  <c:v>41433</c:v>
                </c:pt>
                <c:pt idx="25">
                  <c:v>41434</c:v>
                </c:pt>
                <c:pt idx="26">
                  <c:v>41435</c:v>
                </c:pt>
                <c:pt idx="27">
                  <c:v>41436</c:v>
                </c:pt>
                <c:pt idx="28">
                  <c:v>41437</c:v>
                </c:pt>
                <c:pt idx="29">
                  <c:v>41438</c:v>
                </c:pt>
                <c:pt idx="30">
                  <c:v>41439</c:v>
                </c:pt>
                <c:pt idx="31">
                  <c:v>41440</c:v>
                </c:pt>
                <c:pt idx="32">
                  <c:v>41441</c:v>
                </c:pt>
                <c:pt idx="33">
                  <c:v>41442</c:v>
                </c:pt>
                <c:pt idx="34">
                  <c:v>41443</c:v>
                </c:pt>
                <c:pt idx="35">
                  <c:v>41444</c:v>
                </c:pt>
                <c:pt idx="36">
                  <c:v>41445</c:v>
                </c:pt>
                <c:pt idx="37">
                  <c:v>41446</c:v>
                </c:pt>
                <c:pt idx="38">
                  <c:v>41447</c:v>
                </c:pt>
                <c:pt idx="39">
                  <c:v>41448</c:v>
                </c:pt>
                <c:pt idx="40">
                  <c:v>41449</c:v>
                </c:pt>
                <c:pt idx="41">
                  <c:v>41450</c:v>
                </c:pt>
                <c:pt idx="42">
                  <c:v>41451</c:v>
                </c:pt>
                <c:pt idx="43">
                  <c:v>41452</c:v>
                </c:pt>
                <c:pt idx="44">
                  <c:v>41453</c:v>
                </c:pt>
                <c:pt idx="45">
                  <c:v>41454</c:v>
                </c:pt>
                <c:pt idx="46">
                  <c:v>41455</c:v>
                </c:pt>
              </c:numCache>
            </c:numRef>
          </c:cat>
          <c:val>
            <c:numRef>
              <c:f>Flow!$I$7:$I$53</c:f>
              <c:numCache>
                <c:formatCode>#,##0</c:formatCode>
                <c:ptCount val="47"/>
                <c:pt idx="0">
                  <c:v>10300</c:v>
                </c:pt>
                <c:pt idx="1">
                  <c:v>8990</c:v>
                </c:pt>
                <c:pt idx="2">
                  <c:v>7400</c:v>
                </c:pt>
                <c:pt idx="3">
                  <c:v>5780</c:v>
                </c:pt>
                <c:pt idx="4">
                  <c:v>4920</c:v>
                </c:pt>
                <c:pt idx="5">
                  <c:v>4420</c:v>
                </c:pt>
                <c:pt idx="6">
                  <c:v>3950</c:v>
                </c:pt>
                <c:pt idx="7">
                  <c:v>4330</c:v>
                </c:pt>
                <c:pt idx="8">
                  <c:v>6100</c:v>
                </c:pt>
                <c:pt idx="9">
                  <c:v>6870</c:v>
                </c:pt>
                <c:pt idx="10">
                  <c:v>6710</c:v>
                </c:pt>
                <c:pt idx="11">
                  <c:v>6240</c:v>
                </c:pt>
                <c:pt idx="12">
                  <c:v>5730</c:v>
                </c:pt>
                <c:pt idx="13">
                  <c:v>5560</c:v>
                </c:pt>
                <c:pt idx="14">
                  <c:v>5790</c:v>
                </c:pt>
                <c:pt idx="15">
                  <c:v>6480</c:v>
                </c:pt>
                <c:pt idx="16">
                  <c:v>6840</c:v>
                </c:pt>
                <c:pt idx="17">
                  <c:v>6390</c:v>
                </c:pt>
                <c:pt idx="18">
                  <c:v>6100</c:v>
                </c:pt>
                <c:pt idx="19">
                  <c:v>5900</c:v>
                </c:pt>
                <c:pt idx="20">
                  <c:v>5460</c:v>
                </c:pt>
                <c:pt idx="21">
                  <c:v>4920</c:v>
                </c:pt>
                <c:pt idx="22">
                  <c:v>4900</c:v>
                </c:pt>
                <c:pt idx="23">
                  <c:v>5130</c:v>
                </c:pt>
                <c:pt idx="24">
                  <c:v>5880</c:v>
                </c:pt>
                <c:pt idx="25">
                  <c:v>5760</c:v>
                </c:pt>
                <c:pt idx="26">
                  <c:v>5300</c:v>
                </c:pt>
                <c:pt idx="27">
                  <c:v>4600</c:v>
                </c:pt>
                <c:pt idx="28">
                  <c:v>3900</c:v>
                </c:pt>
                <c:pt idx="29">
                  <c:v>3180</c:v>
                </c:pt>
                <c:pt idx="30">
                  <c:v>2430</c:v>
                </c:pt>
                <c:pt idx="31">
                  <c:v>2050</c:v>
                </c:pt>
                <c:pt idx="32">
                  <c:v>1850</c:v>
                </c:pt>
                <c:pt idx="33">
                  <c:v>1750</c:v>
                </c:pt>
                <c:pt idx="34">
                  <c:v>1890</c:v>
                </c:pt>
                <c:pt idx="35">
                  <c:v>2180</c:v>
                </c:pt>
                <c:pt idx="36">
                  <c:v>2600</c:v>
                </c:pt>
                <c:pt idx="37">
                  <c:v>2700</c:v>
                </c:pt>
                <c:pt idx="38">
                  <c:v>2610</c:v>
                </c:pt>
                <c:pt idx="39">
                  <c:v>2440</c:v>
                </c:pt>
                <c:pt idx="40">
                  <c:v>2410</c:v>
                </c:pt>
                <c:pt idx="41">
                  <c:v>2390</c:v>
                </c:pt>
                <c:pt idx="42">
                  <c:v>2680</c:v>
                </c:pt>
                <c:pt idx="43">
                  <c:v>2630</c:v>
                </c:pt>
                <c:pt idx="44">
                  <c:v>2400</c:v>
                </c:pt>
                <c:pt idx="45">
                  <c:v>2200</c:v>
                </c:pt>
                <c:pt idx="46">
                  <c:v>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0-43AB-AEC5-00BD90B4A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76832"/>
        <c:axId val="111979520"/>
      </c:lineChart>
      <c:dateAx>
        <c:axId val="11197683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crossAx val="111979520"/>
        <c:crosses val="autoZero"/>
        <c:auto val="1"/>
        <c:lblOffset val="100"/>
        <c:baseTimeUnit val="days"/>
      </c:dateAx>
      <c:valAx>
        <c:axId val="111979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Discharge (cfs)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9768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prstClr val="black"/>
          </a:solidFill>
        </a:ln>
      </c:spPr>
    </c:plotArea>
    <c:plotVisOnly val="1"/>
    <c:dispBlanksAs val="gap"/>
    <c:showDLblsOverMax val="0"/>
  </c:chart>
  <c:txPr>
    <a:bodyPr/>
    <a:lstStyle/>
    <a:p>
      <a:pPr>
        <a:defRPr baseline="0">
          <a:latin typeface="Times New Roman" pitchFamily="18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Flow2!$B$4:$B$4227</c:f>
              <c:strCache>
                <c:ptCount val="4224"/>
                <c:pt idx="0">
                  <c:v>05/03/2014 00:00 PDT</c:v>
                </c:pt>
                <c:pt idx="1">
                  <c:v>05/03/2014 00:15 PDT</c:v>
                </c:pt>
                <c:pt idx="2">
                  <c:v>05/03/2014 00:30 PDT</c:v>
                </c:pt>
                <c:pt idx="3">
                  <c:v>05/03/2014 00:45 PDT</c:v>
                </c:pt>
                <c:pt idx="4">
                  <c:v>05/03/2014 01:00 PDT</c:v>
                </c:pt>
                <c:pt idx="5">
                  <c:v>05/03/2014 01:15 PDT</c:v>
                </c:pt>
                <c:pt idx="6">
                  <c:v>05/03/2014 01:30 PDT</c:v>
                </c:pt>
                <c:pt idx="7">
                  <c:v>05/03/2014 01:45 PDT</c:v>
                </c:pt>
                <c:pt idx="8">
                  <c:v>05/03/2014 02:00 PDT</c:v>
                </c:pt>
                <c:pt idx="9">
                  <c:v>05/03/2014 02:15 PDT</c:v>
                </c:pt>
                <c:pt idx="10">
                  <c:v>05/03/2014 02:30 PDT</c:v>
                </c:pt>
                <c:pt idx="11">
                  <c:v>05/03/2014 02:45 PDT</c:v>
                </c:pt>
                <c:pt idx="12">
                  <c:v>05/03/2014 03:00 PDT</c:v>
                </c:pt>
                <c:pt idx="13">
                  <c:v>05/03/2014 03:15 PDT</c:v>
                </c:pt>
                <c:pt idx="14">
                  <c:v>05/03/2014 03:30 PDT</c:v>
                </c:pt>
                <c:pt idx="15">
                  <c:v>05/03/2014 03:45 PDT</c:v>
                </c:pt>
                <c:pt idx="16">
                  <c:v>05/03/2014 04:00 PDT</c:v>
                </c:pt>
                <c:pt idx="17">
                  <c:v>05/03/2014 04:15 PDT</c:v>
                </c:pt>
                <c:pt idx="18">
                  <c:v>05/03/2014 04:30 PDT</c:v>
                </c:pt>
                <c:pt idx="19">
                  <c:v>05/03/2014 04:45 PDT</c:v>
                </c:pt>
                <c:pt idx="20">
                  <c:v>05/03/2014 05:00 PDT</c:v>
                </c:pt>
                <c:pt idx="21">
                  <c:v>05/03/2014 05:15 PDT</c:v>
                </c:pt>
                <c:pt idx="22">
                  <c:v>05/03/2014 05:30 PDT</c:v>
                </c:pt>
                <c:pt idx="23">
                  <c:v>05/03/2014 05:45 PDT</c:v>
                </c:pt>
                <c:pt idx="24">
                  <c:v>05/03/2014 06:00 PDT</c:v>
                </c:pt>
                <c:pt idx="25">
                  <c:v>05/03/2014 06:15 PDT</c:v>
                </c:pt>
                <c:pt idx="26">
                  <c:v>05/03/2014 06:30 PDT</c:v>
                </c:pt>
                <c:pt idx="27">
                  <c:v>05/03/2014 06:45 PDT</c:v>
                </c:pt>
                <c:pt idx="28">
                  <c:v>05/03/2014 07:00 PDT</c:v>
                </c:pt>
                <c:pt idx="29">
                  <c:v>05/03/2014 07:15 PDT</c:v>
                </c:pt>
                <c:pt idx="30">
                  <c:v>05/03/2014 07:30 PDT</c:v>
                </c:pt>
                <c:pt idx="31">
                  <c:v>05/03/2014 07:45 PDT</c:v>
                </c:pt>
                <c:pt idx="32">
                  <c:v>05/03/2014 08:00 PDT</c:v>
                </c:pt>
                <c:pt idx="33">
                  <c:v>05/03/2014 08:15 PDT</c:v>
                </c:pt>
                <c:pt idx="34">
                  <c:v>05/03/2014 08:30 PDT</c:v>
                </c:pt>
                <c:pt idx="35">
                  <c:v>05/03/2014 08:45 PDT</c:v>
                </c:pt>
                <c:pt idx="36">
                  <c:v>05/03/2014 09:00 PDT</c:v>
                </c:pt>
                <c:pt idx="37">
                  <c:v>05/03/2014 09:15 PDT</c:v>
                </c:pt>
                <c:pt idx="38">
                  <c:v>05/03/2014 09:30 PDT</c:v>
                </c:pt>
                <c:pt idx="39">
                  <c:v>05/03/2014 09:45 PDT</c:v>
                </c:pt>
                <c:pt idx="40">
                  <c:v>05/03/2014 10:00 PDT</c:v>
                </c:pt>
                <c:pt idx="41">
                  <c:v>05/03/2014 10:15 PDT</c:v>
                </c:pt>
                <c:pt idx="42">
                  <c:v>05/03/2014 10:30 PDT</c:v>
                </c:pt>
                <c:pt idx="43">
                  <c:v>05/03/2014 10:45 PDT</c:v>
                </c:pt>
                <c:pt idx="44">
                  <c:v>05/03/2014 11:00 PDT</c:v>
                </c:pt>
                <c:pt idx="45">
                  <c:v>05/03/2014 11:15 PDT</c:v>
                </c:pt>
                <c:pt idx="46">
                  <c:v>05/03/2014 11:30 PDT</c:v>
                </c:pt>
                <c:pt idx="47">
                  <c:v>05/03/2014 11:45 PDT</c:v>
                </c:pt>
                <c:pt idx="48">
                  <c:v>05/03/2014 12:00 PDT</c:v>
                </c:pt>
                <c:pt idx="49">
                  <c:v>05/03/2014 12:15 PDT</c:v>
                </c:pt>
                <c:pt idx="50">
                  <c:v>05/03/2014 12:30 PDT</c:v>
                </c:pt>
                <c:pt idx="51">
                  <c:v>05/03/2014 12:45 PDT</c:v>
                </c:pt>
                <c:pt idx="52">
                  <c:v>05/03/2014 13:00 PDT</c:v>
                </c:pt>
                <c:pt idx="53">
                  <c:v>05/03/2014 13:15 PDT</c:v>
                </c:pt>
                <c:pt idx="54">
                  <c:v>05/03/2014 13:30 PDT</c:v>
                </c:pt>
                <c:pt idx="55">
                  <c:v>05/03/2014 13:45 PDT</c:v>
                </c:pt>
                <c:pt idx="56">
                  <c:v>05/03/2014 14:00 PDT</c:v>
                </c:pt>
                <c:pt idx="57">
                  <c:v>05/03/2014 14:15 PDT</c:v>
                </c:pt>
                <c:pt idx="58">
                  <c:v>05/03/2014 14:30 PDT</c:v>
                </c:pt>
                <c:pt idx="59">
                  <c:v>05/03/2014 14:45 PDT</c:v>
                </c:pt>
                <c:pt idx="60">
                  <c:v>05/03/2014 15:00 PDT</c:v>
                </c:pt>
                <c:pt idx="61">
                  <c:v>05/03/2014 15:15 PDT</c:v>
                </c:pt>
                <c:pt idx="62">
                  <c:v>05/03/2014 15:30 PDT</c:v>
                </c:pt>
                <c:pt idx="63">
                  <c:v>05/03/2014 15:45 PDT</c:v>
                </c:pt>
                <c:pt idx="64">
                  <c:v>05/03/2014 16:00 PDT</c:v>
                </c:pt>
                <c:pt idx="65">
                  <c:v>05/03/2014 16:15 PDT</c:v>
                </c:pt>
                <c:pt idx="66">
                  <c:v>05/03/2014 16:30 PDT</c:v>
                </c:pt>
                <c:pt idx="67">
                  <c:v>05/03/2014 16:45 PDT</c:v>
                </c:pt>
                <c:pt idx="68">
                  <c:v>05/03/2014 17:00 PDT</c:v>
                </c:pt>
                <c:pt idx="69">
                  <c:v>05/03/2014 17:15 PDT</c:v>
                </c:pt>
                <c:pt idx="70">
                  <c:v>05/03/2014 17:30 PDT</c:v>
                </c:pt>
                <c:pt idx="71">
                  <c:v>05/03/2014 17:45 PDT</c:v>
                </c:pt>
                <c:pt idx="72">
                  <c:v>05/03/2014 18:00 PDT</c:v>
                </c:pt>
                <c:pt idx="73">
                  <c:v>05/03/2014 18:15 PDT</c:v>
                </c:pt>
                <c:pt idx="74">
                  <c:v>05/03/2014 18:30 PDT</c:v>
                </c:pt>
                <c:pt idx="75">
                  <c:v>05/03/2014 18:45 PDT</c:v>
                </c:pt>
                <c:pt idx="76">
                  <c:v>05/03/2014 19:00 PDT</c:v>
                </c:pt>
                <c:pt idx="77">
                  <c:v>05/03/2014 19:15 PDT</c:v>
                </c:pt>
                <c:pt idx="78">
                  <c:v>05/03/2014 19:30 PDT</c:v>
                </c:pt>
                <c:pt idx="79">
                  <c:v>05/03/2014 19:45 PDT</c:v>
                </c:pt>
                <c:pt idx="80">
                  <c:v>05/03/2014 20:00 PDT</c:v>
                </c:pt>
                <c:pt idx="81">
                  <c:v>05/03/2014 20:15 PDT</c:v>
                </c:pt>
                <c:pt idx="82">
                  <c:v>05/03/2014 20:30 PDT</c:v>
                </c:pt>
                <c:pt idx="83">
                  <c:v>05/03/2014 20:45 PDT</c:v>
                </c:pt>
                <c:pt idx="84">
                  <c:v>05/03/2014 21:00 PDT</c:v>
                </c:pt>
                <c:pt idx="85">
                  <c:v>05/03/2014 21:15 PDT</c:v>
                </c:pt>
                <c:pt idx="86">
                  <c:v>05/03/2014 21:30 PDT</c:v>
                </c:pt>
                <c:pt idx="87">
                  <c:v>05/03/2014 21:45 PDT</c:v>
                </c:pt>
                <c:pt idx="88">
                  <c:v>05/03/2014 22:00 PDT</c:v>
                </c:pt>
                <c:pt idx="89">
                  <c:v>05/03/2014 22:15 PDT</c:v>
                </c:pt>
                <c:pt idx="90">
                  <c:v>05/03/2014 22:30 PDT</c:v>
                </c:pt>
                <c:pt idx="91">
                  <c:v>05/03/2014 22:45 PDT</c:v>
                </c:pt>
                <c:pt idx="92">
                  <c:v>05/03/2014 23:00 PDT</c:v>
                </c:pt>
                <c:pt idx="93">
                  <c:v>05/03/2014 23:15 PDT</c:v>
                </c:pt>
                <c:pt idx="94">
                  <c:v>05/03/2014 23:30 PDT</c:v>
                </c:pt>
                <c:pt idx="95">
                  <c:v>05/03/2014 23:45 PDT</c:v>
                </c:pt>
                <c:pt idx="96">
                  <c:v>05/04/2014 00:00 PDT</c:v>
                </c:pt>
                <c:pt idx="97">
                  <c:v>05/04/2014 00:15 PDT</c:v>
                </c:pt>
                <c:pt idx="98">
                  <c:v>05/04/2014 00:30 PDT</c:v>
                </c:pt>
                <c:pt idx="99">
                  <c:v>05/04/2014 00:45 PDT</c:v>
                </c:pt>
                <c:pt idx="100">
                  <c:v>05/04/2014 01:00 PDT</c:v>
                </c:pt>
                <c:pt idx="101">
                  <c:v>05/04/2014 01:15 PDT</c:v>
                </c:pt>
                <c:pt idx="102">
                  <c:v>05/04/2014 01:30 PDT</c:v>
                </c:pt>
                <c:pt idx="103">
                  <c:v>05/04/2014 01:45 PDT</c:v>
                </c:pt>
                <c:pt idx="104">
                  <c:v>05/04/2014 02:00 PDT</c:v>
                </c:pt>
                <c:pt idx="105">
                  <c:v>05/04/2014 02:15 PDT</c:v>
                </c:pt>
                <c:pt idx="106">
                  <c:v>05/04/2014 02:30 PDT</c:v>
                </c:pt>
                <c:pt idx="107">
                  <c:v>05/04/2014 02:45 PDT</c:v>
                </c:pt>
                <c:pt idx="108">
                  <c:v>05/04/2014 03:00 PDT</c:v>
                </c:pt>
                <c:pt idx="109">
                  <c:v>05/04/2014 03:15 PDT</c:v>
                </c:pt>
                <c:pt idx="110">
                  <c:v>05/04/2014 03:30 PDT</c:v>
                </c:pt>
                <c:pt idx="111">
                  <c:v>05/04/2014 03:45 PDT</c:v>
                </c:pt>
                <c:pt idx="112">
                  <c:v>05/04/2014 04:00 PDT</c:v>
                </c:pt>
                <c:pt idx="113">
                  <c:v>05/04/2014 04:15 PDT</c:v>
                </c:pt>
                <c:pt idx="114">
                  <c:v>05/04/2014 04:30 PDT</c:v>
                </c:pt>
                <c:pt idx="115">
                  <c:v>05/04/2014 04:45 PDT</c:v>
                </c:pt>
                <c:pt idx="116">
                  <c:v>05/04/2014 05:00 PDT</c:v>
                </c:pt>
                <c:pt idx="117">
                  <c:v>05/04/2014 05:15 PDT</c:v>
                </c:pt>
                <c:pt idx="118">
                  <c:v>05/04/2014 05:30 PDT</c:v>
                </c:pt>
                <c:pt idx="119">
                  <c:v>05/04/2014 05:45 PDT</c:v>
                </c:pt>
                <c:pt idx="120">
                  <c:v>05/04/2014 06:00 PDT</c:v>
                </c:pt>
                <c:pt idx="121">
                  <c:v>05/04/2014 06:15 PDT</c:v>
                </c:pt>
                <c:pt idx="122">
                  <c:v>05/04/2014 06:30 PDT</c:v>
                </c:pt>
                <c:pt idx="123">
                  <c:v>05/04/2014 06:45 PDT</c:v>
                </c:pt>
                <c:pt idx="124">
                  <c:v>05/04/2014 07:00 PDT</c:v>
                </c:pt>
                <c:pt idx="125">
                  <c:v>05/04/2014 07:15 PDT</c:v>
                </c:pt>
                <c:pt idx="126">
                  <c:v>05/04/2014 07:30 PDT</c:v>
                </c:pt>
                <c:pt idx="127">
                  <c:v>05/04/2014 07:45 PDT</c:v>
                </c:pt>
                <c:pt idx="128">
                  <c:v>05/04/2014 08:00 PDT</c:v>
                </c:pt>
                <c:pt idx="129">
                  <c:v>05/04/2014 08:15 PDT</c:v>
                </c:pt>
                <c:pt idx="130">
                  <c:v>05/04/2014 08:30 PDT</c:v>
                </c:pt>
                <c:pt idx="131">
                  <c:v>05/04/2014 08:45 PDT</c:v>
                </c:pt>
                <c:pt idx="132">
                  <c:v>05/04/2014 09:00 PDT</c:v>
                </c:pt>
                <c:pt idx="133">
                  <c:v>05/04/2014 09:15 PDT</c:v>
                </c:pt>
                <c:pt idx="134">
                  <c:v>05/04/2014 09:30 PDT</c:v>
                </c:pt>
                <c:pt idx="135">
                  <c:v>05/04/2014 09:45 PDT</c:v>
                </c:pt>
                <c:pt idx="136">
                  <c:v>05/04/2014 10:00 PDT</c:v>
                </c:pt>
                <c:pt idx="137">
                  <c:v>05/04/2014 10:15 PDT</c:v>
                </c:pt>
                <c:pt idx="138">
                  <c:v>05/04/2014 10:30 PDT</c:v>
                </c:pt>
                <c:pt idx="139">
                  <c:v>05/04/2014 10:45 PDT</c:v>
                </c:pt>
                <c:pt idx="140">
                  <c:v>05/04/2014 11:00 PDT</c:v>
                </c:pt>
                <c:pt idx="141">
                  <c:v>05/04/2014 11:15 PDT</c:v>
                </c:pt>
                <c:pt idx="142">
                  <c:v>05/04/2014 11:30 PDT</c:v>
                </c:pt>
                <c:pt idx="143">
                  <c:v>05/04/2014 11:45 PDT</c:v>
                </c:pt>
                <c:pt idx="144">
                  <c:v>05/04/2014 12:00 PDT</c:v>
                </c:pt>
                <c:pt idx="145">
                  <c:v>05/04/2014 12:15 PDT</c:v>
                </c:pt>
                <c:pt idx="146">
                  <c:v>05/04/2014 12:30 PDT</c:v>
                </c:pt>
                <c:pt idx="147">
                  <c:v>05/04/2014 12:45 PDT</c:v>
                </c:pt>
                <c:pt idx="148">
                  <c:v>05/04/2014 13:00 PDT</c:v>
                </c:pt>
                <c:pt idx="149">
                  <c:v>05/04/2014 13:15 PDT</c:v>
                </c:pt>
                <c:pt idx="150">
                  <c:v>05/04/2014 13:30 PDT</c:v>
                </c:pt>
                <c:pt idx="151">
                  <c:v>05/04/2014 13:45 PDT</c:v>
                </c:pt>
                <c:pt idx="152">
                  <c:v>05/04/2014 14:00 PDT</c:v>
                </c:pt>
                <c:pt idx="153">
                  <c:v>05/04/2014 14:15 PDT</c:v>
                </c:pt>
                <c:pt idx="154">
                  <c:v>05/04/2014 14:30 PDT</c:v>
                </c:pt>
                <c:pt idx="155">
                  <c:v>05/04/2014 14:45 PDT</c:v>
                </c:pt>
                <c:pt idx="156">
                  <c:v>05/04/2014 15:00 PDT</c:v>
                </c:pt>
                <c:pt idx="157">
                  <c:v>05/04/2014 15:15 PDT</c:v>
                </c:pt>
                <c:pt idx="158">
                  <c:v>05/04/2014 15:30 PDT</c:v>
                </c:pt>
                <c:pt idx="159">
                  <c:v>05/04/2014 15:45 PDT</c:v>
                </c:pt>
                <c:pt idx="160">
                  <c:v>05/04/2014 16:00 PDT</c:v>
                </c:pt>
                <c:pt idx="161">
                  <c:v>05/04/2014 16:15 PDT</c:v>
                </c:pt>
                <c:pt idx="162">
                  <c:v>05/04/2014 16:30 PDT</c:v>
                </c:pt>
                <c:pt idx="163">
                  <c:v>05/04/2014 16:45 PDT</c:v>
                </c:pt>
                <c:pt idx="164">
                  <c:v>05/04/2014 17:00 PDT</c:v>
                </c:pt>
                <c:pt idx="165">
                  <c:v>05/04/2014 17:15 PDT</c:v>
                </c:pt>
                <c:pt idx="166">
                  <c:v>05/04/2014 17:30 PDT</c:v>
                </c:pt>
                <c:pt idx="167">
                  <c:v>05/04/2014 17:45 PDT</c:v>
                </c:pt>
                <c:pt idx="168">
                  <c:v>05/04/2014 18:00 PDT</c:v>
                </c:pt>
                <c:pt idx="169">
                  <c:v>05/04/2014 18:15 PDT</c:v>
                </c:pt>
                <c:pt idx="170">
                  <c:v>05/04/2014 18:30 PDT</c:v>
                </c:pt>
                <c:pt idx="171">
                  <c:v>05/04/2014 18:45 PDT</c:v>
                </c:pt>
                <c:pt idx="172">
                  <c:v>05/04/2014 19:00 PDT</c:v>
                </c:pt>
                <c:pt idx="173">
                  <c:v>05/04/2014 19:15 PDT</c:v>
                </c:pt>
                <c:pt idx="174">
                  <c:v>05/04/2014 19:30 PDT</c:v>
                </c:pt>
                <c:pt idx="175">
                  <c:v>05/04/2014 19:45 PDT</c:v>
                </c:pt>
                <c:pt idx="176">
                  <c:v>05/04/2014 20:00 PDT</c:v>
                </c:pt>
                <c:pt idx="177">
                  <c:v>05/04/2014 20:15 PDT</c:v>
                </c:pt>
                <c:pt idx="178">
                  <c:v>05/04/2014 20:30 PDT</c:v>
                </c:pt>
                <c:pt idx="179">
                  <c:v>05/04/2014 20:45 PDT</c:v>
                </c:pt>
                <c:pt idx="180">
                  <c:v>05/04/2014 21:00 PDT</c:v>
                </c:pt>
                <c:pt idx="181">
                  <c:v>05/04/2014 21:15 PDT</c:v>
                </c:pt>
                <c:pt idx="182">
                  <c:v>05/04/2014 21:30 PDT</c:v>
                </c:pt>
                <c:pt idx="183">
                  <c:v>05/04/2014 21:45 PDT</c:v>
                </c:pt>
                <c:pt idx="184">
                  <c:v>05/04/2014 22:00 PDT</c:v>
                </c:pt>
                <c:pt idx="185">
                  <c:v>05/04/2014 22:15 PDT</c:v>
                </c:pt>
                <c:pt idx="186">
                  <c:v>05/04/2014 22:30 PDT</c:v>
                </c:pt>
                <c:pt idx="187">
                  <c:v>05/04/2014 22:45 PDT</c:v>
                </c:pt>
                <c:pt idx="188">
                  <c:v>05/04/2014 23:00 PDT</c:v>
                </c:pt>
                <c:pt idx="189">
                  <c:v>05/04/2014 23:15 PDT</c:v>
                </c:pt>
                <c:pt idx="190">
                  <c:v>05/04/2014 23:30 PDT</c:v>
                </c:pt>
                <c:pt idx="191">
                  <c:v>05/04/2014 23:45 PDT</c:v>
                </c:pt>
                <c:pt idx="192">
                  <c:v>05/05/2014 00:00 PDT</c:v>
                </c:pt>
                <c:pt idx="193">
                  <c:v>05/05/2014 00:15 PDT</c:v>
                </c:pt>
                <c:pt idx="194">
                  <c:v>05/05/2014 00:30 PDT</c:v>
                </c:pt>
                <c:pt idx="195">
                  <c:v>05/05/2014 00:45 PDT</c:v>
                </c:pt>
                <c:pt idx="196">
                  <c:v>05/05/2014 01:00 PDT</c:v>
                </c:pt>
                <c:pt idx="197">
                  <c:v>05/05/2014 01:15 PDT</c:v>
                </c:pt>
                <c:pt idx="198">
                  <c:v>05/05/2014 01:30 PDT</c:v>
                </c:pt>
                <c:pt idx="199">
                  <c:v>05/05/2014 01:45 PDT</c:v>
                </c:pt>
                <c:pt idx="200">
                  <c:v>05/05/2014 02:00 PDT</c:v>
                </c:pt>
                <c:pt idx="201">
                  <c:v>05/05/2014 02:15 PDT</c:v>
                </c:pt>
                <c:pt idx="202">
                  <c:v>05/05/2014 02:30 PDT</c:v>
                </c:pt>
                <c:pt idx="203">
                  <c:v>05/05/2014 02:45 PDT</c:v>
                </c:pt>
                <c:pt idx="204">
                  <c:v>05/05/2014 03:00 PDT</c:v>
                </c:pt>
                <c:pt idx="205">
                  <c:v>05/05/2014 03:15 PDT</c:v>
                </c:pt>
                <c:pt idx="206">
                  <c:v>05/05/2014 03:30 PDT</c:v>
                </c:pt>
                <c:pt idx="207">
                  <c:v>05/05/2014 03:45 PDT</c:v>
                </c:pt>
                <c:pt idx="208">
                  <c:v>05/05/2014 04:00 PDT</c:v>
                </c:pt>
                <c:pt idx="209">
                  <c:v>05/05/2014 04:15 PDT</c:v>
                </c:pt>
                <c:pt idx="210">
                  <c:v>05/05/2014 04:30 PDT</c:v>
                </c:pt>
                <c:pt idx="211">
                  <c:v>05/05/2014 04:45 PDT</c:v>
                </c:pt>
                <c:pt idx="212">
                  <c:v>05/05/2014 05:00 PDT</c:v>
                </c:pt>
                <c:pt idx="213">
                  <c:v>05/05/2014 05:15 PDT</c:v>
                </c:pt>
                <c:pt idx="214">
                  <c:v>05/05/2014 05:30 PDT</c:v>
                </c:pt>
                <c:pt idx="215">
                  <c:v>05/05/2014 05:45 PDT</c:v>
                </c:pt>
                <c:pt idx="216">
                  <c:v>05/05/2014 06:00 PDT</c:v>
                </c:pt>
                <c:pt idx="217">
                  <c:v>05/05/2014 06:15 PDT</c:v>
                </c:pt>
                <c:pt idx="218">
                  <c:v>05/05/2014 06:30 PDT</c:v>
                </c:pt>
                <c:pt idx="219">
                  <c:v>05/05/2014 06:45 PDT</c:v>
                </c:pt>
                <c:pt idx="220">
                  <c:v>05/05/2014 07:00 PDT</c:v>
                </c:pt>
                <c:pt idx="221">
                  <c:v>05/05/2014 07:15 PDT</c:v>
                </c:pt>
                <c:pt idx="222">
                  <c:v>05/05/2014 07:30 PDT</c:v>
                </c:pt>
                <c:pt idx="223">
                  <c:v>05/05/2014 07:45 PDT</c:v>
                </c:pt>
                <c:pt idx="224">
                  <c:v>05/05/2014 08:00 PDT</c:v>
                </c:pt>
                <c:pt idx="225">
                  <c:v>05/05/2014 08:15 PDT</c:v>
                </c:pt>
                <c:pt idx="226">
                  <c:v>05/05/2014 08:30 PDT</c:v>
                </c:pt>
                <c:pt idx="227">
                  <c:v>05/05/2014 08:45 PDT</c:v>
                </c:pt>
                <c:pt idx="228">
                  <c:v>05/05/2014 09:00 PDT</c:v>
                </c:pt>
                <c:pt idx="229">
                  <c:v>05/05/2014 09:15 PDT</c:v>
                </c:pt>
                <c:pt idx="230">
                  <c:v>05/05/2014 09:30 PDT</c:v>
                </c:pt>
                <c:pt idx="231">
                  <c:v>05/05/2014 09:45 PDT</c:v>
                </c:pt>
                <c:pt idx="232">
                  <c:v>05/05/2014 10:00 PDT</c:v>
                </c:pt>
                <c:pt idx="233">
                  <c:v>05/05/2014 10:15 PDT</c:v>
                </c:pt>
                <c:pt idx="234">
                  <c:v>05/05/2014 10:30 PDT</c:v>
                </c:pt>
                <c:pt idx="235">
                  <c:v>05/05/2014 10:45 PDT</c:v>
                </c:pt>
                <c:pt idx="236">
                  <c:v>05/05/2014 11:00 PDT</c:v>
                </c:pt>
                <c:pt idx="237">
                  <c:v>05/05/2014 11:15 PDT</c:v>
                </c:pt>
                <c:pt idx="238">
                  <c:v>05/05/2014 11:30 PDT</c:v>
                </c:pt>
                <c:pt idx="239">
                  <c:v>05/05/2014 11:45 PDT</c:v>
                </c:pt>
                <c:pt idx="240">
                  <c:v>05/05/2014 12:00 PDT</c:v>
                </c:pt>
                <c:pt idx="241">
                  <c:v>05/05/2014 12:15 PDT</c:v>
                </c:pt>
                <c:pt idx="242">
                  <c:v>05/05/2014 12:30 PDT</c:v>
                </c:pt>
                <c:pt idx="243">
                  <c:v>05/05/2014 12:45 PDT</c:v>
                </c:pt>
                <c:pt idx="244">
                  <c:v>05/05/2014 13:00 PDT</c:v>
                </c:pt>
                <c:pt idx="245">
                  <c:v>05/05/2014 13:15 PDT</c:v>
                </c:pt>
                <c:pt idx="246">
                  <c:v>05/05/2014 13:30 PDT</c:v>
                </c:pt>
                <c:pt idx="247">
                  <c:v>05/05/2014 13:45 PDT</c:v>
                </c:pt>
                <c:pt idx="248">
                  <c:v>05/05/2014 14:00 PDT</c:v>
                </c:pt>
                <c:pt idx="249">
                  <c:v>05/05/2014 14:15 PDT</c:v>
                </c:pt>
                <c:pt idx="250">
                  <c:v>05/05/2014 14:30 PDT</c:v>
                </c:pt>
                <c:pt idx="251">
                  <c:v>05/05/2014 14:45 PDT</c:v>
                </c:pt>
                <c:pt idx="252">
                  <c:v>05/05/2014 15:00 PDT</c:v>
                </c:pt>
                <c:pt idx="253">
                  <c:v>05/05/2014 15:15 PDT</c:v>
                </c:pt>
                <c:pt idx="254">
                  <c:v>05/05/2014 15:30 PDT</c:v>
                </c:pt>
                <c:pt idx="255">
                  <c:v>05/05/2014 15:45 PDT</c:v>
                </c:pt>
                <c:pt idx="256">
                  <c:v>05/05/2014 16:00 PDT</c:v>
                </c:pt>
                <c:pt idx="257">
                  <c:v>05/05/2014 16:15 PDT</c:v>
                </c:pt>
                <c:pt idx="258">
                  <c:v>05/05/2014 16:30 PDT</c:v>
                </c:pt>
                <c:pt idx="259">
                  <c:v>05/05/2014 16:45 PDT</c:v>
                </c:pt>
                <c:pt idx="260">
                  <c:v>05/05/2014 17:00 PDT</c:v>
                </c:pt>
                <c:pt idx="261">
                  <c:v>05/05/2014 17:15 PDT</c:v>
                </c:pt>
                <c:pt idx="262">
                  <c:v>05/05/2014 17:30 PDT</c:v>
                </c:pt>
                <c:pt idx="263">
                  <c:v>05/05/2014 17:45 PDT</c:v>
                </c:pt>
                <c:pt idx="264">
                  <c:v>05/05/2014 18:00 PDT</c:v>
                </c:pt>
                <c:pt idx="265">
                  <c:v>05/05/2014 18:15 PDT</c:v>
                </c:pt>
                <c:pt idx="266">
                  <c:v>05/05/2014 18:30 PDT</c:v>
                </c:pt>
                <c:pt idx="267">
                  <c:v>05/05/2014 18:45 PDT</c:v>
                </c:pt>
                <c:pt idx="268">
                  <c:v>05/05/2014 19:00 PDT</c:v>
                </c:pt>
                <c:pt idx="269">
                  <c:v>05/05/2014 19:15 PDT</c:v>
                </c:pt>
                <c:pt idx="270">
                  <c:v>05/05/2014 19:30 PDT</c:v>
                </c:pt>
                <c:pt idx="271">
                  <c:v>05/05/2014 19:45 PDT</c:v>
                </c:pt>
                <c:pt idx="272">
                  <c:v>05/05/2014 20:00 PDT</c:v>
                </c:pt>
                <c:pt idx="273">
                  <c:v>05/05/2014 20:15 PDT</c:v>
                </c:pt>
                <c:pt idx="274">
                  <c:v>05/05/2014 20:30 PDT</c:v>
                </c:pt>
                <c:pt idx="275">
                  <c:v>05/05/2014 20:45 PDT</c:v>
                </c:pt>
                <c:pt idx="276">
                  <c:v>05/05/2014 21:00 PDT</c:v>
                </c:pt>
                <c:pt idx="277">
                  <c:v>05/05/2014 21:15 PDT</c:v>
                </c:pt>
                <c:pt idx="278">
                  <c:v>05/05/2014 21:30 PDT</c:v>
                </c:pt>
                <c:pt idx="279">
                  <c:v>05/05/2014 21:45 PDT</c:v>
                </c:pt>
                <c:pt idx="280">
                  <c:v>05/05/2014 22:00 PDT</c:v>
                </c:pt>
                <c:pt idx="281">
                  <c:v>05/05/2014 22:15 PDT</c:v>
                </c:pt>
                <c:pt idx="282">
                  <c:v>05/05/2014 22:30 PDT</c:v>
                </c:pt>
                <c:pt idx="283">
                  <c:v>05/05/2014 22:45 PDT</c:v>
                </c:pt>
                <c:pt idx="284">
                  <c:v>05/05/2014 23:00 PDT</c:v>
                </c:pt>
                <c:pt idx="285">
                  <c:v>05/05/2014 23:15 PDT</c:v>
                </c:pt>
                <c:pt idx="286">
                  <c:v>05/05/2014 23:30 PDT</c:v>
                </c:pt>
                <c:pt idx="287">
                  <c:v>05/05/2014 23:45 PDT</c:v>
                </c:pt>
                <c:pt idx="288">
                  <c:v>05/06/2014 00:00 PDT</c:v>
                </c:pt>
                <c:pt idx="289">
                  <c:v>05/06/2014 00:15 PDT</c:v>
                </c:pt>
                <c:pt idx="290">
                  <c:v>05/06/2014 00:30 PDT</c:v>
                </c:pt>
                <c:pt idx="291">
                  <c:v>05/06/2014 00:45 PDT</c:v>
                </c:pt>
                <c:pt idx="292">
                  <c:v>05/06/2014 01:00 PDT</c:v>
                </c:pt>
                <c:pt idx="293">
                  <c:v>05/06/2014 01:15 PDT</c:v>
                </c:pt>
                <c:pt idx="294">
                  <c:v>05/06/2014 01:30 PDT</c:v>
                </c:pt>
                <c:pt idx="295">
                  <c:v>05/06/2014 01:45 PDT</c:v>
                </c:pt>
                <c:pt idx="296">
                  <c:v>05/06/2014 02:00 PDT</c:v>
                </c:pt>
                <c:pt idx="297">
                  <c:v>05/06/2014 02:15 PDT</c:v>
                </c:pt>
                <c:pt idx="298">
                  <c:v>05/06/2014 02:30 PDT</c:v>
                </c:pt>
                <c:pt idx="299">
                  <c:v>05/06/2014 02:45 PDT</c:v>
                </c:pt>
                <c:pt idx="300">
                  <c:v>05/06/2014 03:00 PDT</c:v>
                </c:pt>
                <c:pt idx="301">
                  <c:v>05/06/2014 03:15 PDT</c:v>
                </c:pt>
                <c:pt idx="302">
                  <c:v>05/06/2014 03:30 PDT</c:v>
                </c:pt>
                <c:pt idx="303">
                  <c:v>05/06/2014 03:45 PDT</c:v>
                </c:pt>
                <c:pt idx="304">
                  <c:v>05/06/2014 04:00 PDT</c:v>
                </c:pt>
                <c:pt idx="305">
                  <c:v>05/06/2014 04:15 PDT</c:v>
                </c:pt>
                <c:pt idx="306">
                  <c:v>05/06/2014 04:30 PDT</c:v>
                </c:pt>
                <c:pt idx="307">
                  <c:v>05/06/2014 04:45 PDT</c:v>
                </c:pt>
                <c:pt idx="308">
                  <c:v>05/06/2014 05:00 PDT</c:v>
                </c:pt>
                <c:pt idx="309">
                  <c:v>05/06/2014 05:15 PDT</c:v>
                </c:pt>
                <c:pt idx="310">
                  <c:v>05/06/2014 05:30 PDT</c:v>
                </c:pt>
                <c:pt idx="311">
                  <c:v>05/06/2014 05:45 PDT</c:v>
                </c:pt>
                <c:pt idx="312">
                  <c:v>05/06/2014 06:00 PDT</c:v>
                </c:pt>
                <c:pt idx="313">
                  <c:v>05/06/2014 06:15 PDT</c:v>
                </c:pt>
                <c:pt idx="314">
                  <c:v>05/06/2014 06:30 PDT</c:v>
                </c:pt>
                <c:pt idx="315">
                  <c:v>05/06/2014 06:45 PDT</c:v>
                </c:pt>
                <c:pt idx="316">
                  <c:v>05/06/2014 07:00 PDT</c:v>
                </c:pt>
                <c:pt idx="317">
                  <c:v>05/06/2014 07:15 PDT</c:v>
                </c:pt>
                <c:pt idx="318">
                  <c:v>05/06/2014 07:30 PDT</c:v>
                </c:pt>
                <c:pt idx="319">
                  <c:v>05/06/2014 07:45 PDT</c:v>
                </c:pt>
                <c:pt idx="320">
                  <c:v>05/06/2014 08:00 PDT</c:v>
                </c:pt>
                <c:pt idx="321">
                  <c:v>05/06/2014 08:15 PDT</c:v>
                </c:pt>
                <c:pt idx="322">
                  <c:v>05/06/2014 08:30 PDT</c:v>
                </c:pt>
                <c:pt idx="323">
                  <c:v>05/06/2014 08:45 PDT</c:v>
                </c:pt>
                <c:pt idx="324">
                  <c:v>05/06/2014 09:00 PDT</c:v>
                </c:pt>
                <c:pt idx="325">
                  <c:v>05/06/2014 09:15 PDT</c:v>
                </c:pt>
                <c:pt idx="326">
                  <c:v>05/06/2014 09:30 PDT</c:v>
                </c:pt>
                <c:pt idx="327">
                  <c:v>05/06/2014 09:45 PDT</c:v>
                </c:pt>
                <c:pt idx="328">
                  <c:v>05/06/2014 10:00 PDT</c:v>
                </c:pt>
                <c:pt idx="329">
                  <c:v>05/06/2014 10:15 PDT</c:v>
                </c:pt>
                <c:pt idx="330">
                  <c:v>05/06/2014 10:30 PDT</c:v>
                </c:pt>
                <c:pt idx="331">
                  <c:v>05/06/2014 10:45 PDT</c:v>
                </c:pt>
                <c:pt idx="332">
                  <c:v>05/06/2014 11:00 PDT</c:v>
                </c:pt>
                <c:pt idx="333">
                  <c:v>05/06/2014 11:15 PDT</c:v>
                </c:pt>
                <c:pt idx="334">
                  <c:v>05/06/2014 11:30 PDT</c:v>
                </c:pt>
                <c:pt idx="335">
                  <c:v>05/06/2014 11:45 PDT</c:v>
                </c:pt>
                <c:pt idx="336">
                  <c:v>05/06/2014 12:00 PDT</c:v>
                </c:pt>
                <c:pt idx="337">
                  <c:v>05/06/2014 12:15 PDT</c:v>
                </c:pt>
                <c:pt idx="338">
                  <c:v>05/06/2014 12:30 PDT</c:v>
                </c:pt>
                <c:pt idx="339">
                  <c:v>05/06/2014 12:45 PDT</c:v>
                </c:pt>
                <c:pt idx="340">
                  <c:v>05/06/2014 13:00 PDT</c:v>
                </c:pt>
                <c:pt idx="341">
                  <c:v>05/06/2014 13:15 PDT</c:v>
                </c:pt>
                <c:pt idx="342">
                  <c:v>05/06/2014 13:30 PDT</c:v>
                </c:pt>
                <c:pt idx="343">
                  <c:v>05/06/2014 13:45 PDT</c:v>
                </c:pt>
                <c:pt idx="344">
                  <c:v>05/06/2014 14:00 PDT</c:v>
                </c:pt>
                <c:pt idx="345">
                  <c:v>05/06/2014 14:15 PDT</c:v>
                </c:pt>
                <c:pt idx="346">
                  <c:v>05/06/2014 14:30 PDT</c:v>
                </c:pt>
                <c:pt idx="347">
                  <c:v>05/06/2014 14:45 PDT</c:v>
                </c:pt>
                <c:pt idx="348">
                  <c:v>05/06/2014 15:00 PDT</c:v>
                </c:pt>
                <c:pt idx="349">
                  <c:v>05/06/2014 15:15 PDT</c:v>
                </c:pt>
                <c:pt idx="350">
                  <c:v>05/06/2014 15:30 PDT</c:v>
                </c:pt>
                <c:pt idx="351">
                  <c:v>05/06/2014 15:45 PDT</c:v>
                </c:pt>
                <c:pt idx="352">
                  <c:v>05/06/2014 16:00 PDT</c:v>
                </c:pt>
                <c:pt idx="353">
                  <c:v>05/06/2014 16:15 PDT</c:v>
                </c:pt>
                <c:pt idx="354">
                  <c:v>05/06/2014 16:30 PDT</c:v>
                </c:pt>
                <c:pt idx="355">
                  <c:v>05/06/2014 16:45 PDT</c:v>
                </c:pt>
                <c:pt idx="356">
                  <c:v>05/06/2014 17:00 PDT</c:v>
                </c:pt>
                <c:pt idx="357">
                  <c:v>05/06/2014 17:15 PDT</c:v>
                </c:pt>
                <c:pt idx="358">
                  <c:v>05/06/2014 17:30 PDT</c:v>
                </c:pt>
                <c:pt idx="359">
                  <c:v>05/06/2014 17:45 PDT</c:v>
                </c:pt>
                <c:pt idx="360">
                  <c:v>05/06/2014 18:00 PDT</c:v>
                </c:pt>
                <c:pt idx="361">
                  <c:v>05/06/2014 18:15 PDT</c:v>
                </c:pt>
                <c:pt idx="362">
                  <c:v>05/06/2014 18:30 PDT</c:v>
                </c:pt>
                <c:pt idx="363">
                  <c:v>05/06/2014 18:45 PDT</c:v>
                </c:pt>
                <c:pt idx="364">
                  <c:v>05/06/2014 19:00 PDT</c:v>
                </c:pt>
                <c:pt idx="365">
                  <c:v>05/06/2014 19:15 PDT</c:v>
                </c:pt>
                <c:pt idx="366">
                  <c:v>05/06/2014 19:30 PDT</c:v>
                </c:pt>
                <c:pt idx="367">
                  <c:v>05/06/2014 19:45 PDT</c:v>
                </c:pt>
                <c:pt idx="368">
                  <c:v>05/06/2014 20:00 PDT</c:v>
                </c:pt>
                <c:pt idx="369">
                  <c:v>05/06/2014 20:15 PDT</c:v>
                </c:pt>
                <c:pt idx="370">
                  <c:v>05/06/2014 20:30 PDT</c:v>
                </c:pt>
                <c:pt idx="371">
                  <c:v>05/06/2014 20:45 PDT</c:v>
                </c:pt>
                <c:pt idx="372">
                  <c:v>05/06/2014 21:00 PDT</c:v>
                </c:pt>
                <c:pt idx="373">
                  <c:v>05/06/2014 21:15 PDT</c:v>
                </c:pt>
                <c:pt idx="374">
                  <c:v>05/06/2014 21:30 PDT</c:v>
                </c:pt>
                <c:pt idx="375">
                  <c:v>05/06/2014 21:45 PDT</c:v>
                </c:pt>
                <c:pt idx="376">
                  <c:v>05/06/2014 22:00 PDT</c:v>
                </c:pt>
                <c:pt idx="377">
                  <c:v>05/06/2014 22:15 PDT</c:v>
                </c:pt>
                <c:pt idx="378">
                  <c:v>05/06/2014 22:30 PDT</c:v>
                </c:pt>
                <c:pt idx="379">
                  <c:v>05/06/2014 22:45 PDT</c:v>
                </c:pt>
                <c:pt idx="380">
                  <c:v>05/06/2014 23:00 PDT</c:v>
                </c:pt>
                <c:pt idx="381">
                  <c:v>05/06/2014 23:15 PDT</c:v>
                </c:pt>
                <c:pt idx="382">
                  <c:v>05/06/2014 23:30 PDT</c:v>
                </c:pt>
                <c:pt idx="383">
                  <c:v>05/06/2014 23:45 PDT</c:v>
                </c:pt>
                <c:pt idx="384">
                  <c:v>05/07/2014 00:00 PDT</c:v>
                </c:pt>
                <c:pt idx="385">
                  <c:v>05/07/2014 00:15 PDT</c:v>
                </c:pt>
                <c:pt idx="386">
                  <c:v>05/07/2014 00:30 PDT</c:v>
                </c:pt>
                <c:pt idx="387">
                  <c:v>05/07/2014 00:45 PDT</c:v>
                </c:pt>
                <c:pt idx="388">
                  <c:v>05/07/2014 01:00 PDT</c:v>
                </c:pt>
                <c:pt idx="389">
                  <c:v>05/07/2014 01:15 PDT</c:v>
                </c:pt>
                <c:pt idx="390">
                  <c:v>05/07/2014 01:30 PDT</c:v>
                </c:pt>
                <c:pt idx="391">
                  <c:v>05/07/2014 01:45 PDT</c:v>
                </c:pt>
                <c:pt idx="392">
                  <c:v>05/07/2014 02:00 PDT</c:v>
                </c:pt>
                <c:pt idx="393">
                  <c:v>05/07/2014 02:15 PDT</c:v>
                </c:pt>
                <c:pt idx="394">
                  <c:v>05/07/2014 02:30 PDT</c:v>
                </c:pt>
                <c:pt idx="395">
                  <c:v>05/07/2014 02:45 PDT</c:v>
                </c:pt>
                <c:pt idx="396">
                  <c:v>05/07/2014 03:00 PDT</c:v>
                </c:pt>
                <c:pt idx="397">
                  <c:v>05/07/2014 03:15 PDT</c:v>
                </c:pt>
                <c:pt idx="398">
                  <c:v>05/07/2014 03:30 PDT</c:v>
                </c:pt>
                <c:pt idx="399">
                  <c:v>05/07/2014 03:45 PDT</c:v>
                </c:pt>
                <c:pt idx="400">
                  <c:v>05/07/2014 04:00 PDT</c:v>
                </c:pt>
                <c:pt idx="401">
                  <c:v>05/07/2014 04:15 PDT</c:v>
                </c:pt>
                <c:pt idx="402">
                  <c:v>05/07/2014 04:30 PDT</c:v>
                </c:pt>
                <c:pt idx="403">
                  <c:v>05/07/2014 04:45 PDT</c:v>
                </c:pt>
                <c:pt idx="404">
                  <c:v>05/07/2014 05:00 PDT</c:v>
                </c:pt>
                <c:pt idx="405">
                  <c:v>05/07/2014 05:15 PDT</c:v>
                </c:pt>
                <c:pt idx="406">
                  <c:v>05/07/2014 05:30 PDT</c:v>
                </c:pt>
                <c:pt idx="407">
                  <c:v>05/07/2014 05:45 PDT</c:v>
                </c:pt>
                <c:pt idx="408">
                  <c:v>05/07/2014 06:00 PDT</c:v>
                </c:pt>
                <c:pt idx="409">
                  <c:v>05/07/2014 06:15 PDT</c:v>
                </c:pt>
                <c:pt idx="410">
                  <c:v>05/07/2014 06:30 PDT</c:v>
                </c:pt>
                <c:pt idx="411">
                  <c:v>05/07/2014 06:45 PDT</c:v>
                </c:pt>
                <c:pt idx="412">
                  <c:v>05/07/2014 07:00 PDT</c:v>
                </c:pt>
                <c:pt idx="413">
                  <c:v>05/07/2014 07:15 PDT</c:v>
                </c:pt>
                <c:pt idx="414">
                  <c:v>05/07/2014 07:30 PDT</c:v>
                </c:pt>
                <c:pt idx="415">
                  <c:v>05/07/2014 07:45 PDT</c:v>
                </c:pt>
                <c:pt idx="416">
                  <c:v>05/07/2014 08:00 PDT</c:v>
                </c:pt>
                <c:pt idx="417">
                  <c:v>05/07/2014 08:15 PDT</c:v>
                </c:pt>
                <c:pt idx="418">
                  <c:v>05/07/2014 08:30 PDT</c:v>
                </c:pt>
                <c:pt idx="419">
                  <c:v>05/07/2014 08:45 PDT</c:v>
                </c:pt>
                <c:pt idx="420">
                  <c:v>05/07/2014 09:00 PDT</c:v>
                </c:pt>
                <c:pt idx="421">
                  <c:v>05/07/2014 09:15 PDT</c:v>
                </c:pt>
                <c:pt idx="422">
                  <c:v>05/07/2014 09:30 PDT</c:v>
                </c:pt>
                <c:pt idx="423">
                  <c:v>05/07/2014 09:45 PDT</c:v>
                </c:pt>
                <c:pt idx="424">
                  <c:v>05/07/2014 10:00 PDT</c:v>
                </c:pt>
                <c:pt idx="425">
                  <c:v>05/07/2014 10:15 PDT</c:v>
                </c:pt>
                <c:pt idx="426">
                  <c:v>05/07/2014 10:30 PDT</c:v>
                </c:pt>
                <c:pt idx="427">
                  <c:v>05/07/2014 10:45 PDT</c:v>
                </c:pt>
                <c:pt idx="428">
                  <c:v>05/07/2014 11:00 PDT</c:v>
                </c:pt>
                <c:pt idx="429">
                  <c:v>05/07/2014 11:15 PDT</c:v>
                </c:pt>
                <c:pt idx="430">
                  <c:v>05/07/2014 11:30 PDT</c:v>
                </c:pt>
                <c:pt idx="431">
                  <c:v>05/07/2014 11:45 PDT</c:v>
                </c:pt>
                <c:pt idx="432">
                  <c:v>05/07/2014 12:00 PDT</c:v>
                </c:pt>
                <c:pt idx="433">
                  <c:v>05/07/2014 12:15 PDT</c:v>
                </c:pt>
                <c:pt idx="434">
                  <c:v>05/07/2014 12:30 PDT</c:v>
                </c:pt>
                <c:pt idx="435">
                  <c:v>05/07/2014 12:45 PDT</c:v>
                </c:pt>
                <c:pt idx="436">
                  <c:v>05/07/2014 13:00 PDT</c:v>
                </c:pt>
                <c:pt idx="437">
                  <c:v>05/07/2014 13:15 PDT</c:v>
                </c:pt>
                <c:pt idx="438">
                  <c:v>05/07/2014 13:30 PDT</c:v>
                </c:pt>
                <c:pt idx="439">
                  <c:v>05/07/2014 13:45 PDT</c:v>
                </c:pt>
                <c:pt idx="440">
                  <c:v>05/07/2014 14:00 PDT</c:v>
                </c:pt>
                <c:pt idx="441">
                  <c:v>05/07/2014 14:15 PDT</c:v>
                </c:pt>
                <c:pt idx="442">
                  <c:v>05/07/2014 14:30 PDT</c:v>
                </c:pt>
                <c:pt idx="443">
                  <c:v>05/07/2014 14:45 PDT</c:v>
                </c:pt>
                <c:pt idx="444">
                  <c:v>05/07/2014 15:00 PDT</c:v>
                </c:pt>
                <c:pt idx="445">
                  <c:v>05/07/2014 15:15 PDT</c:v>
                </c:pt>
                <c:pt idx="446">
                  <c:v>05/07/2014 15:30 PDT</c:v>
                </c:pt>
                <c:pt idx="447">
                  <c:v>05/07/2014 15:45 PDT</c:v>
                </c:pt>
                <c:pt idx="448">
                  <c:v>05/07/2014 16:00 PDT</c:v>
                </c:pt>
                <c:pt idx="449">
                  <c:v>05/07/2014 16:15 PDT</c:v>
                </c:pt>
                <c:pt idx="450">
                  <c:v>05/07/2014 16:30 PDT</c:v>
                </c:pt>
                <c:pt idx="451">
                  <c:v>05/07/2014 16:45 PDT</c:v>
                </c:pt>
                <c:pt idx="452">
                  <c:v>05/07/2014 17:00 PDT</c:v>
                </c:pt>
                <c:pt idx="453">
                  <c:v>05/07/2014 17:15 PDT</c:v>
                </c:pt>
                <c:pt idx="454">
                  <c:v>05/07/2014 17:30 PDT</c:v>
                </c:pt>
                <c:pt idx="455">
                  <c:v>05/07/2014 17:45 PDT</c:v>
                </c:pt>
                <c:pt idx="456">
                  <c:v>05/07/2014 18:00 PDT</c:v>
                </c:pt>
                <c:pt idx="457">
                  <c:v>05/07/2014 18:15 PDT</c:v>
                </c:pt>
                <c:pt idx="458">
                  <c:v>05/07/2014 18:30 PDT</c:v>
                </c:pt>
                <c:pt idx="459">
                  <c:v>05/07/2014 18:45 PDT</c:v>
                </c:pt>
                <c:pt idx="460">
                  <c:v>05/07/2014 19:00 PDT</c:v>
                </c:pt>
                <c:pt idx="461">
                  <c:v>05/07/2014 19:15 PDT</c:v>
                </c:pt>
                <c:pt idx="462">
                  <c:v>05/07/2014 19:30 PDT</c:v>
                </c:pt>
                <c:pt idx="463">
                  <c:v>05/07/2014 19:45 PDT</c:v>
                </c:pt>
                <c:pt idx="464">
                  <c:v>05/07/2014 20:00 PDT</c:v>
                </c:pt>
                <c:pt idx="465">
                  <c:v>05/07/2014 20:15 PDT</c:v>
                </c:pt>
                <c:pt idx="466">
                  <c:v>05/07/2014 20:30 PDT</c:v>
                </c:pt>
                <c:pt idx="467">
                  <c:v>05/07/2014 20:45 PDT</c:v>
                </c:pt>
                <c:pt idx="468">
                  <c:v>05/07/2014 21:00 PDT</c:v>
                </c:pt>
                <c:pt idx="469">
                  <c:v>05/07/2014 21:15 PDT</c:v>
                </c:pt>
                <c:pt idx="470">
                  <c:v>05/07/2014 21:30 PDT</c:v>
                </c:pt>
                <c:pt idx="471">
                  <c:v>05/07/2014 21:45 PDT</c:v>
                </c:pt>
                <c:pt idx="472">
                  <c:v>05/07/2014 22:00 PDT</c:v>
                </c:pt>
                <c:pt idx="473">
                  <c:v>05/07/2014 22:15 PDT</c:v>
                </c:pt>
                <c:pt idx="474">
                  <c:v>05/07/2014 22:30 PDT</c:v>
                </c:pt>
                <c:pt idx="475">
                  <c:v>05/07/2014 22:45 PDT</c:v>
                </c:pt>
                <c:pt idx="476">
                  <c:v>05/07/2014 23:00 PDT</c:v>
                </c:pt>
                <c:pt idx="477">
                  <c:v>05/07/2014 23:15 PDT</c:v>
                </c:pt>
                <c:pt idx="478">
                  <c:v>05/07/2014 23:30 PDT</c:v>
                </c:pt>
                <c:pt idx="479">
                  <c:v>05/07/2014 23:45 PDT</c:v>
                </c:pt>
                <c:pt idx="480">
                  <c:v>05/08/2014 00:00 PDT</c:v>
                </c:pt>
                <c:pt idx="481">
                  <c:v>05/08/2014 00:15 PDT</c:v>
                </c:pt>
                <c:pt idx="482">
                  <c:v>05/08/2014 00:30 PDT</c:v>
                </c:pt>
                <c:pt idx="483">
                  <c:v>05/08/2014 00:45 PDT</c:v>
                </c:pt>
                <c:pt idx="484">
                  <c:v>05/08/2014 01:00 PDT</c:v>
                </c:pt>
                <c:pt idx="485">
                  <c:v>05/08/2014 01:15 PDT</c:v>
                </c:pt>
                <c:pt idx="486">
                  <c:v>05/08/2014 01:30 PDT</c:v>
                </c:pt>
                <c:pt idx="487">
                  <c:v>05/08/2014 01:45 PDT</c:v>
                </c:pt>
                <c:pt idx="488">
                  <c:v>05/08/2014 02:00 PDT</c:v>
                </c:pt>
                <c:pt idx="489">
                  <c:v>05/08/2014 02:15 PDT</c:v>
                </c:pt>
                <c:pt idx="490">
                  <c:v>05/08/2014 02:30 PDT</c:v>
                </c:pt>
                <c:pt idx="491">
                  <c:v>05/08/2014 02:45 PDT</c:v>
                </c:pt>
                <c:pt idx="492">
                  <c:v>05/08/2014 03:00 PDT</c:v>
                </c:pt>
                <c:pt idx="493">
                  <c:v>05/08/2014 03:15 PDT</c:v>
                </c:pt>
                <c:pt idx="494">
                  <c:v>05/08/2014 03:30 PDT</c:v>
                </c:pt>
                <c:pt idx="495">
                  <c:v>05/08/2014 03:45 PDT</c:v>
                </c:pt>
                <c:pt idx="496">
                  <c:v>05/08/2014 04:00 PDT</c:v>
                </c:pt>
                <c:pt idx="497">
                  <c:v>05/08/2014 04:15 PDT</c:v>
                </c:pt>
                <c:pt idx="498">
                  <c:v>05/08/2014 04:30 PDT</c:v>
                </c:pt>
                <c:pt idx="499">
                  <c:v>05/08/2014 04:45 PDT</c:v>
                </c:pt>
                <c:pt idx="500">
                  <c:v>05/08/2014 05:00 PDT</c:v>
                </c:pt>
                <c:pt idx="501">
                  <c:v>05/08/2014 05:15 PDT</c:v>
                </c:pt>
                <c:pt idx="502">
                  <c:v>05/08/2014 05:30 PDT</c:v>
                </c:pt>
                <c:pt idx="503">
                  <c:v>05/08/2014 05:45 PDT</c:v>
                </c:pt>
                <c:pt idx="504">
                  <c:v>05/08/2014 06:00 PDT</c:v>
                </c:pt>
                <c:pt idx="505">
                  <c:v>05/08/2014 06:15 PDT</c:v>
                </c:pt>
                <c:pt idx="506">
                  <c:v>05/08/2014 06:30 PDT</c:v>
                </c:pt>
                <c:pt idx="507">
                  <c:v>05/08/2014 06:45 PDT</c:v>
                </c:pt>
                <c:pt idx="508">
                  <c:v>05/08/2014 07:00 PDT</c:v>
                </c:pt>
                <c:pt idx="509">
                  <c:v>05/08/2014 07:15 PDT</c:v>
                </c:pt>
                <c:pt idx="510">
                  <c:v>05/08/2014 07:30 PDT</c:v>
                </c:pt>
                <c:pt idx="511">
                  <c:v>05/08/2014 07:45 PDT</c:v>
                </c:pt>
                <c:pt idx="512">
                  <c:v>05/08/2014 08:00 PDT</c:v>
                </c:pt>
                <c:pt idx="513">
                  <c:v>05/08/2014 08:15 PDT</c:v>
                </c:pt>
                <c:pt idx="514">
                  <c:v>05/08/2014 08:30 PDT</c:v>
                </c:pt>
                <c:pt idx="515">
                  <c:v>05/08/2014 08:45 PDT</c:v>
                </c:pt>
                <c:pt idx="516">
                  <c:v>05/08/2014 09:00 PDT</c:v>
                </c:pt>
                <c:pt idx="517">
                  <c:v>05/08/2014 09:15 PDT</c:v>
                </c:pt>
                <c:pt idx="518">
                  <c:v>05/08/2014 09:30 PDT</c:v>
                </c:pt>
                <c:pt idx="519">
                  <c:v>05/08/2014 09:45 PDT</c:v>
                </c:pt>
                <c:pt idx="520">
                  <c:v>05/08/2014 10:00 PDT</c:v>
                </c:pt>
                <c:pt idx="521">
                  <c:v>05/08/2014 10:15 PDT</c:v>
                </c:pt>
                <c:pt idx="522">
                  <c:v>05/08/2014 10:30 PDT</c:v>
                </c:pt>
                <c:pt idx="523">
                  <c:v>05/08/2014 10:45 PDT</c:v>
                </c:pt>
                <c:pt idx="524">
                  <c:v>05/08/2014 11:00 PDT</c:v>
                </c:pt>
                <c:pt idx="525">
                  <c:v>05/08/2014 11:15 PDT</c:v>
                </c:pt>
                <c:pt idx="526">
                  <c:v>05/08/2014 11:30 PDT</c:v>
                </c:pt>
                <c:pt idx="527">
                  <c:v>05/08/2014 11:45 PDT</c:v>
                </c:pt>
                <c:pt idx="528">
                  <c:v>05/08/2014 12:00 PDT</c:v>
                </c:pt>
                <c:pt idx="529">
                  <c:v>05/08/2014 12:15 PDT</c:v>
                </c:pt>
                <c:pt idx="530">
                  <c:v>05/08/2014 12:30 PDT</c:v>
                </c:pt>
                <c:pt idx="531">
                  <c:v>05/08/2014 12:45 PDT</c:v>
                </c:pt>
                <c:pt idx="532">
                  <c:v>05/08/2014 13:00 PDT</c:v>
                </c:pt>
                <c:pt idx="533">
                  <c:v>05/08/2014 13:15 PDT</c:v>
                </c:pt>
                <c:pt idx="534">
                  <c:v>05/08/2014 13:30 PDT</c:v>
                </c:pt>
                <c:pt idx="535">
                  <c:v>05/08/2014 13:45 PDT</c:v>
                </c:pt>
                <c:pt idx="536">
                  <c:v>05/08/2014 14:00 PDT</c:v>
                </c:pt>
                <c:pt idx="537">
                  <c:v>05/08/2014 14:15 PDT</c:v>
                </c:pt>
                <c:pt idx="538">
                  <c:v>05/08/2014 14:30 PDT</c:v>
                </c:pt>
                <c:pt idx="539">
                  <c:v>05/08/2014 14:45 PDT</c:v>
                </c:pt>
                <c:pt idx="540">
                  <c:v>05/08/2014 15:00 PDT</c:v>
                </c:pt>
                <c:pt idx="541">
                  <c:v>05/08/2014 15:15 PDT</c:v>
                </c:pt>
                <c:pt idx="542">
                  <c:v>05/08/2014 15:30 PDT</c:v>
                </c:pt>
                <c:pt idx="543">
                  <c:v>05/08/2014 15:45 PDT</c:v>
                </c:pt>
                <c:pt idx="544">
                  <c:v>05/08/2014 16:00 PDT</c:v>
                </c:pt>
                <c:pt idx="545">
                  <c:v>05/08/2014 16:15 PDT</c:v>
                </c:pt>
                <c:pt idx="546">
                  <c:v>05/08/2014 16:30 PDT</c:v>
                </c:pt>
                <c:pt idx="547">
                  <c:v>05/08/2014 16:45 PDT</c:v>
                </c:pt>
                <c:pt idx="548">
                  <c:v>05/08/2014 17:00 PDT</c:v>
                </c:pt>
                <c:pt idx="549">
                  <c:v>05/08/2014 17:15 PDT</c:v>
                </c:pt>
                <c:pt idx="550">
                  <c:v>05/08/2014 17:30 PDT</c:v>
                </c:pt>
                <c:pt idx="551">
                  <c:v>05/08/2014 17:45 PDT</c:v>
                </c:pt>
                <c:pt idx="552">
                  <c:v>05/08/2014 18:00 PDT</c:v>
                </c:pt>
                <c:pt idx="553">
                  <c:v>05/08/2014 18:15 PDT</c:v>
                </c:pt>
                <c:pt idx="554">
                  <c:v>05/08/2014 18:30 PDT</c:v>
                </c:pt>
                <c:pt idx="555">
                  <c:v>05/08/2014 18:45 PDT</c:v>
                </c:pt>
                <c:pt idx="556">
                  <c:v>05/08/2014 19:00 PDT</c:v>
                </c:pt>
                <c:pt idx="557">
                  <c:v>05/08/2014 19:15 PDT</c:v>
                </c:pt>
                <c:pt idx="558">
                  <c:v>05/08/2014 19:30 PDT</c:v>
                </c:pt>
                <c:pt idx="559">
                  <c:v>05/08/2014 19:45 PDT</c:v>
                </c:pt>
                <c:pt idx="560">
                  <c:v>05/08/2014 20:00 PDT</c:v>
                </c:pt>
                <c:pt idx="561">
                  <c:v>05/08/2014 20:15 PDT</c:v>
                </c:pt>
                <c:pt idx="562">
                  <c:v>05/08/2014 20:30 PDT</c:v>
                </c:pt>
                <c:pt idx="563">
                  <c:v>05/08/2014 20:45 PDT</c:v>
                </c:pt>
                <c:pt idx="564">
                  <c:v>05/08/2014 21:00 PDT</c:v>
                </c:pt>
                <c:pt idx="565">
                  <c:v>05/08/2014 21:15 PDT</c:v>
                </c:pt>
                <c:pt idx="566">
                  <c:v>05/08/2014 21:30 PDT</c:v>
                </c:pt>
                <c:pt idx="567">
                  <c:v>05/08/2014 21:45 PDT</c:v>
                </c:pt>
                <c:pt idx="568">
                  <c:v>05/08/2014 22:00 PDT</c:v>
                </c:pt>
                <c:pt idx="569">
                  <c:v>05/08/2014 22:15 PDT</c:v>
                </c:pt>
                <c:pt idx="570">
                  <c:v>05/08/2014 22:30 PDT</c:v>
                </c:pt>
                <c:pt idx="571">
                  <c:v>05/08/2014 22:45 PDT</c:v>
                </c:pt>
                <c:pt idx="572">
                  <c:v>05/08/2014 23:00 PDT</c:v>
                </c:pt>
                <c:pt idx="573">
                  <c:v>05/08/2014 23:15 PDT</c:v>
                </c:pt>
                <c:pt idx="574">
                  <c:v>05/08/2014 23:30 PDT</c:v>
                </c:pt>
                <c:pt idx="575">
                  <c:v>05/08/2014 23:45 PDT</c:v>
                </c:pt>
                <c:pt idx="576">
                  <c:v>05/09/2014 00:00 PDT</c:v>
                </c:pt>
                <c:pt idx="577">
                  <c:v>05/09/2014 00:15 PDT</c:v>
                </c:pt>
                <c:pt idx="578">
                  <c:v>05/09/2014 00:30 PDT</c:v>
                </c:pt>
                <c:pt idx="579">
                  <c:v>05/09/2014 00:45 PDT</c:v>
                </c:pt>
                <c:pt idx="580">
                  <c:v>05/09/2014 01:00 PDT</c:v>
                </c:pt>
                <c:pt idx="581">
                  <c:v>05/09/2014 01:15 PDT</c:v>
                </c:pt>
                <c:pt idx="582">
                  <c:v>05/09/2014 01:30 PDT</c:v>
                </c:pt>
                <c:pt idx="583">
                  <c:v>05/09/2014 01:45 PDT</c:v>
                </c:pt>
                <c:pt idx="584">
                  <c:v>05/09/2014 02:00 PDT</c:v>
                </c:pt>
                <c:pt idx="585">
                  <c:v>05/09/2014 02:15 PDT</c:v>
                </c:pt>
                <c:pt idx="586">
                  <c:v>05/09/2014 02:30 PDT</c:v>
                </c:pt>
                <c:pt idx="587">
                  <c:v>05/09/2014 02:45 PDT</c:v>
                </c:pt>
                <c:pt idx="588">
                  <c:v>05/09/2014 03:00 PDT</c:v>
                </c:pt>
                <c:pt idx="589">
                  <c:v>05/09/2014 03:15 PDT</c:v>
                </c:pt>
                <c:pt idx="590">
                  <c:v>05/09/2014 03:30 PDT</c:v>
                </c:pt>
                <c:pt idx="591">
                  <c:v>05/09/2014 03:45 PDT</c:v>
                </c:pt>
                <c:pt idx="592">
                  <c:v>05/09/2014 04:00 PDT</c:v>
                </c:pt>
                <c:pt idx="593">
                  <c:v>05/09/2014 04:15 PDT</c:v>
                </c:pt>
                <c:pt idx="594">
                  <c:v>05/09/2014 04:30 PDT</c:v>
                </c:pt>
                <c:pt idx="595">
                  <c:v>05/09/2014 04:45 PDT</c:v>
                </c:pt>
                <c:pt idx="596">
                  <c:v>05/09/2014 05:00 PDT</c:v>
                </c:pt>
                <c:pt idx="597">
                  <c:v>05/09/2014 05:15 PDT</c:v>
                </c:pt>
                <c:pt idx="598">
                  <c:v>05/09/2014 05:30 PDT</c:v>
                </c:pt>
                <c:pt idx="599">
                  <c:v>05/09/2014 05:45 PDT</c:v>
                </c:pt>
                <c:pt idx="600">
                  <c:v>05/09/2014 06:00 PDT</c:v>
                </c:pt>
                <c:pt idx="601">
                  <c:v>05/09/2014 06:15 PDT</c:v>
                </c:pt>
                <c:pt idx="602">
                  <c:v>05/09/2014 06:30 PDT</c:v>
                </c:pt>
                <c:pt idx="603">
                  <c:v>05/09/2014 06:45 PDT</c:v>
                </c:pt>
                <c:pt idx="604">
                  <c:v>05/09/2014 07:00 PDT</c:v>
                </c:pt>
                <c:pt idx="605">
                  <c:v>05/09/2014 07:15 PDT</c:v>
                </c:pt>
                <c:pt idx="606">
                  <c:v>05/09/2014 07:30 PDT</c:v>
                </c:pt>
                <c:pt idx="607">
                  <c:v>05/09/2014 07:45 PDT</c:v>
                </c:pt>
                <c:pt idx="608">
                  <c:v>05/09/2014 08:00 PDT</c:v>
                </c:pt>
                <c:pt idx="609">
                  <c:v>05/09/2014 08:15 PDT</c:v>
                </c:pt>
                <c:pt idx="610">
                  <c:v>05/09/2014 08:30 PDT</c:v>
                </c:pt>
                <c:pt idx="611">
                  <c:v>05/09/2014 08:45 PDT</c:v>
                </c:pt>
                <c:pt idx="612">
                  <c:v>05/09/2014 09:00 PDT</c:v>
                </c:pt>
                <c:pt idx="613">
                  <c:v>05/09/2014 09:15 PDT</c:v>
                </c:pt>
                <c:pt idx="614">
                  <c:v>05/09/2014 09:30 PDT</c:v>
                </c:pt>
                <c:pt idx="615">
                  <c:v>05/09/2014 09:45 PDT</c:v>
                </c:pt>
                <c:pt idx="616">
                  <c:v>05/09/2014 10:00 PDT</c:v>
                </c:pt>
                <c:pt idx="617">
                  <c:v>05/09/2014 10:15 PDT</c:v>
                </c:pt>
                <c:pt idx="618">
                  <c:v>05/09/2014 10:30 PDT</c:v>
                </c:pt>
                <c:pt idx="619">
                  <c:v>05/09/2014 10:45 PDT</c:v>
                </c:pt>
                <c:pt idx="620">
                  <c:v>05/09/2014 11:00 PDT</c:v>
                </c:pt>
                <c:pt idx="621">
                  <c:v>05/09/2014 11:15 PDT</c:v>
                </c:pt>
                <c:pt idx="622">
                  <c:v>05/09/2014 11:30 PDT</c:v>
                </c:pt>
                <c:pt idx="623">
                  <c:v>05/09/2014 11:45 PDT</c:v>
                </c:pt>
                <c:pt idx="624">
                  <c:v>05/09/2014 12:00 PDT</c:v>
                </c:pt>
                <c:pt idx="625">
                  <c:v>05/09/2014 12:15 PDT</c:v>
                </c:pt>
                <c:pt idx="626">
                  <c:v>05/09/2014 12:30 PDT</c:v>
                </c:pt>
                <c:pt idx="627">
                  <c:v>05/09/2014 12:45 PDT</c:v>
                </c:pt>
                <c:pt idx="628">
                  <c:v>05/09/2014 13:00 PDT</c:v>
                </c:pt>
                <c:pt idx="629">
                  <c:v>05/09/2014 13:15 PDT</c:v>
                </c:pt>
                <c:pt idx="630">
                  <c:v>05/09/2014 13:30 PDT</c:v>
                </c:pt>
                <c:pt idx="631">
                  <c:v>05/09/2014 13:45 PDT</c:v>
                </c:pt>
                <c:pt idx="632">
                  <c:v>05/09/2014 14:00 PDT</c:v>
                </c:pt>
                <c:pt idx="633">
                  <c:v>05/09/2014 14:15 PDT</c:v>
                </c:pt>
                <c:pt idx="634">
                  <c:v>05/09/2014 14:30 PDT</c:v>
                </c:pt>
                <c:pt idx="635">
                  <c:v>05/09/2014 14:45 PDT</c:v>
                </c:pt>
                <c:pt idx="636">
                  <c:v>05/09/2014 15:00 PDT</c:v>
                </c:pt>
                <c:pt idx="637">
                  <c:v>05/09/2014 15:15 PDT</c:v>
                </c:pt>
                <c:pt idx="638">
                  <c:v>05/09/2014 15:30 PDT</c:v>
                </c:pt>
                <c:pt idx="639">
                  <c:v>05/09/2014 15:45 PDT</c:v>
                </c:pt>
                <c:pt idx="640">
                  <c:v>05/09/2014 16:00 PDT</c:v>
                </c:pt>
                <c:pt idx="641">
                  <c:v>05/09/2014 16:15 PDT</c:v>
                </c:pt>
                <c:pt idx="642">
                  <c:v>05/09/2014 16:30 PDT</c:v>
                </c:pt>
                <c:pt idx="643">
                  <c:v>05/09/2014 16:45 PDT</c:v>
                </c:pt>
                <c:pt idx="644">
                  <c:v>05/09/2014 17:00 PDT</c:v>
                </c:pt>
                <c:pt idx="645">
                  <c:v>05/09/2014 17:15 PDT</c:v>
                </c:pt>
                <c:pt idx="646">
                  <c:v>05/09/2014 17:30 PDT</c:v>
                </c:pt>
                <c:pt idx="647">
                  <c:v>05/09/2014 17:45 PDT</c:v>
                </c:pt>
                <c:pt idx="648">
                  <c:v>05/09/2014 18:00 PDT</c:v>
                </c:pt>
                <c:pt idx="649">
                  <c:v>05/09/2014 18:15 PDT</c:v>
                </c:pt>
                <c:pt idx="650">
                  <c:v>05/09/2014 18:30 PDT</c:v>
                </c:pt>
                <c:pt idx="651">
                  <c:v>05/09/2014 18:45 PDT</c:v>
                </c:pt>
                <c:pt idx="652">
                  <c:v>05/09/2014 19:00 PDT</c:v>
                </c:pt>
                <c:pt idx="653">
                  <c:v>05/09/2014 19:15 PDT</c:v>
                </c:pt>
                <c:pt idx="654">
                  <c:v>05/09/2014 19:30 PDT</c:v>
                </c:pt>
                <c:pt idx="655">
                  <c:v>05/09/2014 19:45 PDT</c:v>
                </c:pt>
                <c:pt idx="656">
                  <c:v>05/09/2014 20:00 PDT</c:v>
                </c:pt>
                <c:pt idx="657">
                  <c:v>05/09/2014 20:15 PDT</c:v>
                </c:pt>
                <c:pt idx="658">
                  <c:v>05/09/2014 20:30 PDT</c:v>
                </c:pt>
                <c:pt idx="659">
                  <c:v>05/09/2014 20:45 PDT</c:v>
                </c:pt>
                <c:pt idx="660">
                  <c:v>05/09/2014 21:00 PDT</c:v>
                </c:pt>
                <c:pt idx="661">
                  <c:v>05/09/2014 21:15 PDT</c:v>
                </c:pt>
                <c:pt idx="662">
                  <c:v>05/09/2014 21:30 PDT</c:v>
                </c:pt>
                <c:pt idx="663">
                  <c:v>05/09/2014 21:45 PDT</c:v>
                </c:pt>
                <c:pt idx="664">
                  <c:v>05/09/2014 22:00 PDT</c:v>
                </c:pt>
                <c:pt idx="665">
                  <c:v>05/09/2014 22:15 PDT</c:v>
                </c:pt>
                <c:pt idx="666">
                  <c:v>05/09/2014 22:30 PDT</c:v>
                </c:pt>
                <c:pt idx="667">
                  <c:v>05/09/2014 22:45 PDT</c:v>
                </c:pt>
                <c:pt idx="668">
                  <c:v>05/09/2014 23:00 PDT</c:v>
                </c:pt>
                <c:pt idx="669">
                  <c:v>05/09/2014 23:15 PDT</c:v>
                </c:pt>
                <c:pt idx="670">
                  <c:v>05/09/2014 23:30 PDT</c:v>
                </c:pt>
                <c:pt idx="671">
                  <c:v>05/09/2014 23:45 PDT</c:v>
                </c:pt>
                <c:pt idx="672">
                  <c:v>05/10/2014 00:00 PDT</c:v>
                </c:pt>
                <c:pt idx="673">
                  <c:v>05/10/2014 00:15 PDT</c:v>
                </c:pt>
                <c:pt idx="674">
                  <c:v>05/10/2014 00:30 PDT</c:v>
                </c:pt>
                <c:pt idx="675">
                  <c:v>05/10/2014 00:45 PDT</c:v>
                </c:pt>
                <c:pt idx="676">
                  <c:v>05/10/2014 01:00 PDT</c:v>
                </c:pt>
                <c:pt idx="677">
                  <c:v>05/10/2014 01:15 PDT</c:v>
                </c:pt>
                <c:pt idx="678">
                  <c:v>05/10/2014 01:30 PDT</c:v>
                </c:pt>
                <c:pt idx="679">
                  <c:v>05/10/2014 01:45 PDT</c:v>
                </c:pt>
                <c:pt idx="680">
                  <c:v>05/10/2014 02:00 PDT</c:v>
                </c:pt>
                <c:pt idx="681">
                  <c:v>05/10/2014 02:15 PDT</c:v>
                </c:pt>
                <c:pt idx="682">
                  <c:v>05/10/2014 02:30 PDT</c:v>
                </c:pt>
                <c:pt idx="683">
                  <c:v>05/10/2014 02:45 PDT</c:v>
                </c:pt>
                <c:pt idx="684">
                  <c:v>05/10/2014 03:00 PDT</c:v>
                </c:pt>
                <c:pt idx="685">
                  <c:v>05/10/2014 03:15 PDT</c:v>
                </c:pt>
                <c:pt idx="686">
                  <c:v>05/10/2014 03:30 PDT</c:v>
                </c:pt>
                <c:pt idx="687">
                  <c:v>05/10/2014 03:45 PDT</c:v>
                </c:pt>
                <c:pt idx="688">
                  <c:v>05/10/2014 04:00 PDT</c:v>
                </c:pt>
                <c:pt idx="689">
                  <c:v>05/10/2014 04:15 PDT</c:v>
                </c:pt>
                <c:pt idx="690">
                  <c:v>05/10/2014 04:30 PDT</c:v>
                </c:pt>
                <c:pt idx="691">
                  <c:v>05/10/2014 04:45 PDT</c:v>
                </c:pt>
                <c:pt idx="692">
                  <c:v>05/10/2014 05:00 PDT</c:v>
                </c:pt>
                <c:pt idx="693">
                  <c:v>05/10/2014 05:15 PDT</c:v>
                </c:pt>
                <c:pt idx="694">
                  <c:v>05/10/2014 05:30 PDT</c:v>
                </c:pt>
                <c:pt idx="695">
                  <c:v>05/10/2014 05:45 PDT</c:v>
                </c:pt>
                <c:pt idx="696">
                  <c:v>05/10/2014 06:00 PDT</c:v>
                </c:pt>
                <c:pt idx="697">
                  <c:v>05/10/2014 06:15 PDT</c:v>
                </c:pt>
                <c:pt idx="698">
                  <c:v>05/10/2014 06:30 PDT</c:v>
                </c:pt>
                <c:pt idx="699">
                  <c:v>05/10/2014 06:45 PDT</c:v>
                </c:pt>
                <c:pt idx="700">
                  <c:v>05/10/2014 07:00 PDT</c:v>
                </c:pt>
                <c:pt idx="701">
                  <c:v>05/10/2014 07:15 PDT</c:v>
                </c:pt>
                <c:pt idx="702">
                  <c:v>05/10/2014 07:30 PDT</c:v>
                </c:pt>
                <c:pt idx="703">
                  <c:v>05/10/2014 07:45 PDT</c:v>
                </c:pt>
                <c:pt idx="704">
                  <c:v>05/10/2014 08:00 PDT</c:v>
                </c:pt>
                <c:pt idx="705">
                  <c:v>05/10/2014 08:15 PDT</c:v>
                </c:pt>
                <c:pt idx="706">
                  <c:v>05/10/2014 08:30 PDT</c:v>
                </c:pt>
                <c:pt idx="707">
                  <c:v>05/10/2014 08:45 PDT</c:v>
                </c:pt>
                <c:pt idx="708">
                  <c:v>05/10/2014 09:00 PDT</c:v>
                </c:pt>
                <c:pt idx="709">
                  <c:v>05/10/2014 09:15 PDT</c:v>
                </c:pt>
                <c:pt idx="710">
                  <c:v>05/10/2014 09:30 PDT</c:v>
                </c:pt>
                <c:pt idx="711">
                  <c:v>05/10/2014 09:45 PDT</c:v>
                </c:pt>
                <c:pt idx="712">
                  <c:v>05/10/2014 10:00 PDT</c:v>
                </c:pt>
                <c:pt idx="713">
                  <c:v>05/10/2014 10:15 PDT</c:v>
                </c:pt>
                <c:pt idx="714">
                  <c:v>05/10/2014 10:30 PDT</c:v>
                </c:pt>
                <c:pt idx="715">
                  <c:v>05/10/2014 10:45 PDT</c:v>
                </c:pt>
                <c:pt idx="716">
                  <c:v>05/10/2014 11:00 PDT</c:v>
                </c:pt>
                <c:pt idx="717">
                  <c:v>05/10/2014 11:15 PDT</c:v>
                </c:pt>
                <c:pt idx="718">
                  <c:v>05/10/2014 11:30 PDT</c:v>
                </c:pt>
                <c:pt idx="719">
                  <c:v>05/10/2014 11:45 PDT</c:v>
                </c:pt>
                <c:pt idx="720">
                  <c:v>05/10/2014 12:00 PDT</c:v>
                </c:pt>
                <c:pt idx="721">
                  <c:v>05/10/2014 12:15 PDT</c:v>
                </c:pt>
                <c:pt idx="722">
                  <c:v>05/10/2014 12:30 PDT</c:v>
                </c:pt>
                <c:pt idx="723">
                  <c:v>05/10/2014 12:45 PDT</c:v>
                </c:pt>
                <c:pt idx="724">
                  <c:v>05/10/2014 13:00 PDT</c:v>
                </c:pt>
                <c:pt idx="725">
                  <c:v>05/10/2014 13:15 PDT</c:v>
                </c:pt>
                <c:pt idx="726">
                  <c:v>05/10/2014 13:30 PDT</c:v>
                </c:pt>
                <c:pt idx="727">
                  <c:v>05/10/2014 13:45 PDT</c:v>
                </c:pt>
                <c:pt idx="728">
                  <c:v>05/10/2014 14:00 PDT</c:v>
                </c:pt>
                <c:pt idx="729">
                  <c:v>05/10/2014 14:15 PDT</c:v>
                </c:pt>
                <c:pt idx="730">
                  <c:v>05/10/2014 14:30 PDT</c:v>
                </c:pt>
                <c:pt idx="731">
                  <c:v>05/10/2014 14:45 PDT</c:v>
                </c:pt>
                <c:pt idx="732">
                  <c:v>05/10/2014 15:00 PDT</c:v>
                </c:pt>
                <c:pt idx="733">
                  <c:v>05/10/2014 15:15 PDT</c:v>
                </c:pt>
                <c:pt idx="734">
                  <c:v>05/10/2014 15:30 PDT</c:v>
                </c:pt>
                <c:pt idx="735">
                  <c:v>05/10/2014 15:45 PDT</c:v>
                </c:pt>
                <c:pt idx="736">
                  <c:v>05/10/2014 16:00 PDT</c:v>
                </c:pt>
                <c:pt idx="737">
                  <c:v>05/10/2014 16:15 PDT</c:v>
                </c:pt>
                <c:pt idx="738">
                  <c:v>05/10/2014 16:30 PDT</c:v>
                </c:pt>
                <c:pt idx="739">
                  <c:v>05/10/2014 16:45 PDT</c:v>
                </c:pt>
                <c:pt idx="740">
                  <c:v>05/10/2014 17:00 PDT</c:v>
                </c:pt>
                <c:pt idx="741">
                  <c:v>05/10/2014 17:15 PDT</c:v>
                </c:pt>
                <c:pt idx="742">
                  <c:v>05/10/2014 17:30 PDT</c:v>
                </c:pt>
                <c:pt idx="743">
                  <c:v>05/10/2014 17:45 PDT</c:v>
                </c:pt>
                <c:pt idx="744">
                  <c:v>05/10/2014 18:00 PDT</c:v>
                </c:pt>
                <c:pt idx="745">
                  <c:v>05/10/2014 18:15 PDT</c:v>
                </c:pt>
                <c:pt idx="746">
                  <c:v>05/10/2014 18:30 PDT</c:v>
                </c:pt>
                <c:pt idx="747">
                  <c:v>05/10/2014 18:45 PDT</c:v>
                </c:pt>
                <c:pt idx="748">
                  <c:v>05/10/2014 19:00 PDT</c:v>
                </c:pt>
                <c:pt idx="749">
                  <c:v>05/10/2014 19:15 PDT</c:v>
                </c:pt>
                <c:pt idx="750">
                  <c:v>05/10/2014 19:30 PDT</c:v>
                </c:pt>
                <c:pt idx="751">
                  <c:v>05/10/2014 19:45 PDT</c:v>
                </c:pt>
                <c:pt idx="752">
                  <c:v>05/10/2014 20:00 PDT</c:v>
                </c:pt>
                <c:pt idx="753">
                  <c:v>05/10/2014 20:15 PDT</c:v>
                </c:pt>
                <c:pt idx="754">
                  <c:v>05/10/2014 20:30 PDT</c:v>
                </c:pt>
                <c:pt idx="755">
                  <c:v>05/10/2014 20:45 PDT</c:v>
                </c:pt>
                <c:pt idx="756">
                  <c:v>05/10/2014 21:00 PDT</c:v>
                </c:pt>
                <c:pt idx="757">
                  <c:v>05/10/2014 21:15 PDT</c:v>
                </c:pt>
                <c:pt idx="758">
                  <c:v>05/10/2014 21:30 PDT</c:v>
                </c:pt>
                <c:pt idx="759">
                  <c:v>05/10/2014 21:45 PDT</c:v>
                </c:pt>
                <c:pt idx="760">
                  <c:v>05/10/2014 22:00 PDT</c:v>
                </c:pt>
                <c:pt idx="761">
                  <c:v>05/10/2014 22:15 PDT</c:v>
                </c:pt>
                <c:pt idx="762">
                  <c:v>05/10/2014 22:30 PDT</c:v>
                </c:pt>
                <c:pt idx="763">
                  <c:v>05/10/2014 22:45 PDT</c:v>
                </c:pt>
                <c:pt idx="764">
                  <c:v>05/10/2014 23:00 PDT</c:v>
                </c:pt>
                <c:pt idx="765">
                  <c:v>05/10/2014 23:15 PDT</c:v>
                </c:pt>
                <c:pt idx="766">
                  <c:v>05/10/2014 23:30 PDT</c:v>
                </c:pt>
                <c:pt idx="767">
                  <c:v>05/10/2014 23:45 PDT</c:v>
                </c:pt>
                <c:pt idx="768">
                  <c:v>05/11/2014 00:00 PDT</c:v>
                </c:pt>
                <c:pt idx="769">
                  <c:v>05/11/2014 00:15 PDT</c:v>
                </c:pt>
                <c:pt idx="770">
                  <c:v>05/11/2014 00:30 PDT</c:v>
                </c:pt>
                <c:pt idx="771">
                  <c:v>05/11/2014 00:45 PDT</c:v>
                </c:pt>
                <c:pt idx="772">
                  <c:v>05/11/2014 01:00 PDT</c:v>
                </c:pt>
                <c:pt idx="773">
                  <c:v>05/11/2014 01:15 PDT</c:v>
                </c:pt>
                <c:pt idx="774">
                  <c:v>05/11/2014 01:30 PDT</c:v>
                </c:pt>
                <c:pt idx="775">
                  <c:v>05/11/2014 01:45 PDT</c:v>
                </c:pt>
                <c:pt idx="776">
                  <c:v>05/11/2014 02:00 PDT</c:v>
                </c:pt>
                <c:pt idx="777">
                  <c:v>05/11/2014 02:15 PDT</c:v>
                </c:pt>
                <c:pt idx="778">
                  <c:v>05/11/2014 02:30 PDT</c:v>
                </c:pt>
                <c:pt idx="779">
                  <c:v>05/11/2014 02:45 PDT</c:v>
                </c:pt>
                <c:pt idx="780">
                  <c:v>05/11/2014 03:00 PDT</c:v>
                </c:pt>
                <c:pt idx="781">
                  <c:v>05/11/2014 03:15 PDT</c:v>
                </c:pt>
                <c:pt idx="782">
                  <c:v>05/11/2014 03:30 PDT</c:v>
                </c:pt>
                <c:pt idx="783">
                  <c:v>05/11/2014 03:45 PDT</c:v>
                </c:pt>
                <c:pt idx="784">
                  <c:v>05/11/2014 04:00 PDT</c:v>
                </c:pt>
                <c:pt idx="785">
                  <c:v>05/11/2014 04:15 PDT</c:v>
                </c:pt>
                <c:pt idx="786">
                  <c:v>05/11/2014 04:30 PDT</c:v>
                </c:pt>
                <c:pt idx="787">
                  <c:v>05/11/2014 04:45 PDT</c:v>
                </c:pt>
                <c:pt idx="788">
                  <c:v>05/11/2014 05:00 PDT</c:v>
                </c:pt>
                <c:pt idx="789">
                  <c:v>05/11/2014 05:15 PDT</c:v>
                </c:pt>
                <c:pt idx="790">
                  <c:v>05/11/2014 05:30 PDT</c:v>
                </c:pt>
                <c:pt idx="791">
                  <c:v>05/11/2014 05:45 PDT</c:v>
                </c:pt>
                <c:pt idx="792">
                  <c:v>05/11/2014 06:00 PDT</c:v>
                </c:pt>
                <c:pt idx="793">
                  <c:v>05/11/2014 06:15 PDT</c:v>
                </c:pt>
                <c:pt idx="794">
                  <c:v>05/11/2014 06:30 PDT</c:v>
                </c:pt>
                <c:pt idx="795">
                  <c:v>05/11/2014 06:45 PDT</c:v>
                </c:pt>
                <c:pt idx="796">
                  <c:v>05/11/2014 07:00 PDT</c:v>
                </c:pt>
                <c:pt idx="797">
                  <c:v>05/11/2014 07:15 PDT</c:v>
                </c:pt>
                <c:pt idx="798">
                  <c:v>05/11/2014 07:30 PDT</c:v>
                </c:pt>
                <c:pt idx="799">
                  <c:v>05/11/2014 07:45 PDT</c:v>
                </c:pt>
                <c:pt idx="800">
                  <c:v>05/11/2014 08:00 PDT</c:v>
                </c:pt>
                <c:pt idx="801">
                  <c:v>05/11/2014 08:15 PDT</c:v>
                </c:pt>
                <c:pt idx="802">
                  <c:v>05/11/2014 08:30 PDT</c:v>
                </c:pt>
                <c:pt idx="803">
                  <c:v>05/11/2014 08:45 PDT</c:v>
                </c:pt>
                <c:pt idx="804">
                  <c:v>05/11/2014 09:00 PDT</c:v>
                </c:pt>
                <c:pt idx="805">
                  <c:v>05/11/2014 09:15 PDT</c:v>
                </c:pt>
                <c:pt idx="806">
                  <c:v>05/11/2014 09:30 PDT</c:v>
                </c:pt>
                <c:pt idx="807">
                  <c:v>05/11/2014 09:45 PDT</c:v>
                </c:pt>
                <c:pt idx="808">
                  <c:v>05/11/2014 10:00 PDT</c:v>
                </c:pt>
                <c:pt idx="809">
                  <c:v>05/11/2014 10:15 PDT</c:v>
                </c:pt>
                <c:pt idx="810">
                  <c:v>05/11/2014 10:30 PDT</c:v>
                </c:pt>
                <c:pt idx="811">
                  <c:v>05/11/2014 10:45 PDT</c:v>
                </c:pt>
                <c:pt idx="812">
                  <c:v>05/11/2014 11:00 PDT</c:v>
                </c:pt>
                <c:pt idx="813">
                  <c:v>05/11/2014 11:15 PDT</c:v>
                </c:pt>
                <c:pt idx="814">
                  <c:v>05/11/2014 11:30 PDT</c:v>
                </c:pt>
                <c:pt idx="815">
                  <c:v>05/11/2014 11:45 PDT</c:v>
                </c:pt>
                <c:pt idx="816">
                  <c:v>05/11/2014 12:00 PDT</c:v>
                </c:pt>
                <c:pt idx="817">
                  <c:v>05/11/2014 12:15 PDT</c:v>
                </c:pt>
                <c:pt idx="818">
                  <c:v>05/11/2014 12:30 PDT</c:v>
                </c:pt>
                <c:pt idx="819">
                  <c:v>05/11/2014 12:45 PDT</c:v>
                </c:pt>
                <c:pt idx="820">
                  <c:v>05/11/2014 13:00 PDT</c:v>
                </c:pt>
                <c:pt idx="821">
                  <c:v>05/11/2014 13:15 PDT</c:v>
                </c:pt>
                <c:pt idx="822">
                  <c:v>05/11/2014 13:30 PDT</c:v>
                </c:pt>
                <c:pt idx="823">
                  <c:v>05/11/2014 13:45 PDT</c:v>
                </c:pt>
                <c:pt idx="824">
                  <c:v>05/11/2014 14:00 PDT</c:v>
                </c:pt>
                <c:pt idx="825">
                  <c:v>05/11/2014 14:15 PDT</c:v>
                </c:pt>
                <c:pt idx="826">
                  <c:v>05/11/2014 14:30 PDT</c:v>
                </c:pt>
                <c:pt idx="827">
                  <c:v>05/11/2014 14:45 PDT</c:v>
                </c:pt>
                <c:pt idx="828">
                  <c:v>05/11/2014 15:00 PDT</c:v>
                </c:pt>
                <c:pt idx="829">
                  <c:v>05/11/2014 15:15 PDT</c:v>
                </c:pt>
                <c:pt idx="830">
                  <c:v>05/11/2014 15:30 PDT</c:v>
                </c:pt>
                <c:pt idx="831">
                  <c:v>05/11/2014 15:45 PDT</c:v>
                </c:pt>
                <c:pt idx="832">
                  <c:v>05/11/2014 16:00 PDT</c:v>
                </c:pt>
                <c:pt idx="833">
                  <c:v>05/11/2014 16:15 PDT</c:v>
                </c:pt>
                <c:pt idx="834">
                  <c:v>05/11/2014 16:30 PDT</c:v>
                </c:pt>
                <c:pt idx="835">
                  <c:v>05/11/2014 16:45 PDT</c:v>
                </c:pt>
                <c:pt idx="836">
                  <c:v>05/11/2014 17:00 PDT</c:v>
                </c:pt>
                <c:pt idx="837">
                  <c:v>05/11/2014 17:15 PDT</c:v>
                </c:pt>
                <c:pt idx="838">
                  <c:v>05/11/2014 17:30 PDT</c:v>
                </c:pt>
                <c:pt idx="839">
                  <c:v>05/11/2014 17:45 PDT</c:v>
                </c:pt>
                <c:pt idx="840">
                  <c:v>05/11/2014 18:00 PDT</c:v>
                </c:pt>
                <c:pt idx="841">
                  <c:v>05/11/2014 18:15 PDT</c:v>
                </c:pt>
                <c:pt idx="842">
                  <c:v>05/11/2014 18:30 PDT</c:v>
                </c:pt>
                <c:pt idx="843">
                  <c:v>05/11/2014 18:45 PDT</c:v>
                </c:pt>
                <c:pt idx="844">
                  <c:v>05/11/2014 19:00 PDT</c:v>
                </c:pt>
                <c:pt idx="845">
                  <c:v>05/11/2014 19:15 PDT</c:v>
                </c:pt>
                <c:pt idx="846">
                  <c:v>05/11/2014 19:30 PDT</c:v>
                </c:pt>
                <c:pt idx="847">
                  <c:v>05/11/2014 19:45 PDT</c:v>
                </c:pt>
                <c:pt idx="848">
                  <c:v>05/11/2014 20:00 PDT</c:v>
                </c:pt>
                <c:pt idx="849">
                  <c:v>05/11/2014 20:15 PDT</c:v>
                </c:pt>
                <c:pt idx="850">
                  <c:v>05/11/2014 20:30 PDT</c:v>
                </c:pt>
                <c:pt idx="851">
                  <c:v>05/11/2014 20:45 PDT</c:v>
                </c:pt>
                <c:pt idx="852">
                  <c:v>05/11/2014 21:00 PDT</c:v>
                </c:pt>
                <c:pt idx="853">
                  <c:v>05/11/2014 21:15 PDT</c:v>
                </c:pt>
                <c:pt idx="854">
                  <c:v>05/11/2014 21:30 PDT</c:v>
                </c:pt>
                <c:pt idx="855">
                  <c:v>05/11/2014 21:45 PDT</c:v>
                </c:pt>
                <c:pt idx="856">
                  <c:v>05/11/2014 22:00 PDT</c:v>
                </c:pt>
                <c:pt idx="857">
                  <c:v>05/11/2014 22:15 PDT</c:v>
                </c:pt>
                <c:pt idx="858">
                  <c:v>05/11/2014 22:30 PDT</c:v>
                </c:pt>
                <c:pt idx="859">
                  <c:v>05/11/2014 22:45 PDT</c:v>
                </c:pt>
                <c:pt idx="860">
                  <c:v>05/11/2014 23:00 PDT</c:v>
                </c:pt>
                <c:pt idx="861">
                  <c:v>05/11/2014 23:15 PDT</c:v>
                </c:pt>
                <c:pt idx="862">
                  <c:v>05/11/2014 23:30 PDT</c:v>
                </c:pt>
                <c:pt idx="863">
                  <c:v>05/11/2014 23:45 PDT</c:v>
                </c:pt>
                <c:pt idx="864">
                  <c:v>05/12/2014 00:00 PDT</c:v>
                </c:pt>
                <c:pt idx="865">
                  <c:v>05/12/2014 00:15 PDT</c:v>
                </c:pt>
                <c:pt idx="866">
                  <c:v>05/12/2014 00:30 PDT</c:v>
                </c:pt>
                <c:pt idx="867">
                  <c:v>05/12/2014 00:45 PDT</c:v>
                </c:pt>
                <c:pt idx="868">
                  <c:v>05/12/2014 01:00 PDT</c:v>
                </c:pt>
                <c:pt idx="869">
                  <c:v>05/12/2014 01:15 PDT</c:v>
                </c:pt>
                <c:pt idx="870">
                  <c:v>05/12/2014 01:30 PDT</c:v>
                </c:pt>
                <c:pt idx="871">
                  <c:v>05/12/2014 01:45 PDT</c:v>
                </c:pt>
                <c:pt idx="872">
                  <c:v>05/12/2014 02:00 PDT</c:v>
                </c:pt>
                <c:pt idx="873">
                  <c:v>05/12/2014 02:15 PDT</c:v>
                </c:pt>
                <c:pt idx="874">
                  <c:v>05/12/2014 02:30 PDT</c:v>
                </c:pt>
                <c:pt idx="875">
                  <c:v>05/12/2014 02:45 PDT</c:v>
                </c:pt>
                <c:pt idx="876">
                  <c:v>05/12/2014 03:00 PDT</c:v>
                </c:pt>
                <c:pt idx="877">
                  <c:v>05/12/2014 03:15 PDT</c:v>
                </c:pt>
                <c:pt idx="878">
                  <c:v>05/12/2014 03:30 PDT</c:v>
                </c:pt>
                <c:pt idx="879">
                  <c:v>05/12/2014 03:45 PDT</c:v>
                </c:pt>
                <c:pt idx="880">
                  <c:v>05/12/2014 04:00 PDT</c:v>
                </c:pt>
                <c:pt idx="881">
                  <c:v>05/12/2014 04:15 PDT</c:v>
                </c:pt>
                <c:pt idx="882">
                  <c:v>05/12/2014 04:30 PDT</c:v>
                </c:pt>
                <c:pt idx="883">
                  <c:v>05/12/2014 04:45 PDT</c:v>
                </c:pt>
                <c:pt idx="884">
                  <c:v>05/12/2014 05:00 PDT</c:v>
                </c:pt>
                <c:pt idx="885">
                  <c:v>05/12/2014 05:15 PDT</c:v>
                </c:pt>
                <c:pt idx="886">
                  <c:v>05/12/2014 05:30 PDT</c:v>
                </c:pt>
                <c:pt idx="887">
                  <c:v>05/12/2014 05:45 PDT</c:v>
                </c:pt>
                <c:pt idx="888">
                  <c:v>05/12/2014 06:00 PDT</c:v>
                </c:pt>
                <c:pt idx="889">
                  <c:v>05/12/2014 06:15 PDT</c:v>
                </c:pt>
                <c:pt idx="890">
                  <c:v>05/12/2014 06:30 PDT</c:v>
                </c:pt>
                <c:pt idx="891">
                  <c:v>05/12/2014 06:45 PDT</c:v>
                </c:pt>
                <c:pt idx="892">
                  <c:v>05/12/2014 07:00 PDT</c:v>
                </c:pt>
                <c:pt idx="893">
                  <c:v>05/12/2014 07:15 PDT</c:v>
                </c:pt>
                <c:pt idx="894">
                  <c:v>05/12/2014 07:30 PDT</c:v>
                </c:pt>
                <c:pt idx="895">
                  <c:v>05/12/2014 07:45 PDT</c:v>
                </c:pt>
                <c:pt idx="896">
                  <c:v>05/12/2014 08:00 PDT</c:v>
                </c:pt>
                <c:pt idx="897">
                  <c:v>05/12/2014 08:15 PDT</c:v>
                </c:pt>
                <c:pt idx="898">
                  <c:v>05/12/2014 08:30 PDT</c:v>
                </c:pt>
                <c:pt idx="899">
                  <c:v>05/12/2014 08:45 PDT</c:v>
                </c:pt>
                <c:pt idx="900">
                  <c:v>05/12/2014 09:00 PDT</c:v>
                </c:pt>
                <c:pt idx="901">
                  <c:v>05/12/2014 09:15 PDT</c:v>
                </c:pt>
                <c:pt idx="902">
                  <c:v>05/12/2014 09:30 PDT</c:v>
                </c:pt>
                <c:pt idx="903">
                  <c:v>05/12/2014 09:45 PDT</c:v>
                </c:pt>
                <c:pt idx="904">
                  <c:v>05/12/2014 10:00 PDT</c:v>
                </c:pt>
                <c:pt idx="905">
                  <c:v>05/12/2014 10:15 PDT</c:v>
                </c:pt>
                <c:pt idx="906">
                  <c:v>05/12/2014 10:30 PDT</c:v>
                </c:pt>
                <c:pt idx="907">
                  <c:v>05/12/2014 10:45 PDT</c:v>
                </c:pt>
                <c:pt idx="908">
                  <c:v>05/12/2014 11:00 PDT</c:v>
                </c:pt>
                <c:pt idx="909">
                  <c:v>05/12/2014 11:15 PDT</c:v>
                </c:pt>
                <c:pt idx="910">
                  <c:v>05/12/2014 11:30 PDT</c:v>
                </c:pt>
                <c:pt idx="911">
                  <c:v>05/12/2014 11:45 PDT</c:v>
                </c:pt>
                <c:pt idx="912">
                  <c:v>05/12/2014 12:00 PDT</c:v>
                </c:pt>
                <c:pt idx="913">
                  <c:v>05/12/2014 12:15 PDT</c:v>
                </c:pt>
                <c:pt idx="914">
                  <c:v>05/12/2014 12:30 PDT</c:v>
                </c:pt>
                <c:pt idx="915">
                  <c:v>05/12/2014 12:45 PDT</c:v>
                </c:pt>
                <c:pt idx="916">
                  <c:v>05/12/2014 13:00 PDT</c:v>
                </c:pt>
                <c:pt idx="917">
                  <c:v>05/12/2014 13:15 PDT</c:v>
                </c:pt>
                <c:pt idx="918">
                  <c:v>05/12/2014 13:30 PDT</c:v>
                </c:pt>
                <c:pt idx="919">
                  <c:v>05/12/2014 13:45 PDT</c:v>
                </c:pt>
                <c:pt idx="920">
                  <c:v>05/12/2014 14:00 PDT</c:v>
                </c:pt>
                <c:pt idx="921">
                  <c:v>05/12/2014 14:15 PDT</c:v>
                </c:pt>
                <c:pt idx="922">
                  <c:v>05/12/2014 14:30 PDT</c:v>
                </c:pt>
                <c:pt idx="923">
                  <c:v>05/12/2014 14:45 PDT</c:v>
                </c:pt>
                <c:pt idx="924">
                  <c:v>05/12/2014 15:00 PDT</c:v>
                </c:pt>
                <c:pt idx="925">
                  <c:v>05/12/2014 15:15 PDT</c:v>
                </c:pt>
                <c:pt idx="926">
                  <c:v>05/12/2014 15:30 PDT</c:v>
                </c:pt>
                <c:pt idx="927">
                  <c:v>05/12/2014 15:45 PDT</c:v>
                </c:pt>
                <c:pt idx="928">
                  <c:v>05/12/2014 16:00 PDT</c:v>
                </c:pt>
                <c:pt idx="929">
                  <c:v>05/12/2014 16:15 PDT</c:v>
                </c:pt>
                <c:pt idx="930">
                  <c:v>05/12/2014 16:30 PDT</c:v>
                </c:pt>
                <c:pt idx="931">
                  <c:v>05/12/2014 16:45 PDT</c:v>
                </c:pt>
                <c:pt idx="932">
                  <c:v>05/12/2014 17:00 PDT</c:v>
                </c:pt>
                <c:pt idx="933">
                  <c:v>05/12/2014 17:15 PDT</c:v>
                </c:pt>
                <c:pt idx="934">
                  <c:v>05/12/2014 17:30 PDT</c:v>
                </c:pt>
                <c:pt idx="935">
                  <c:v>05/12/2014 17:45 PDT</c:v>
                </c:pt>
                <c:pt idx="936">
                  <c:v>05/12/2014 18:00 PDT</c:v>
                </c:pt>
                <c:pt idx="937">
                  <c:v>05/12/2014 18:15 PDT</c:v>
                </c:pt>
                <c:pt idx="938">
                  <c:v>05/12/2014 18:30 PDT</c:v>
                </c:pt>
                <c:pt idx="939">
                  <c:v>05/12/2014 18:45 PDT</c:v>
                </c:pt>
                <c:pt idx="940">
                  <c:v>05/12/2014 19:00 PDT</c:v>
                </c:pt>
                <c:pt idx="941">
                  <c:v>05/12/2014 19:15 PDT</c:v>
                </c:pt>
                <c:pt idx="942">
                  <c:v>05/12/2014 19:30 PDT</c:v>
                </c:pt>
                <c:pt idx="943">
                  <c:v>05/12/2014 19:45 PDT</c:v>
                </c:pt>
                <c:pt idx="944">
                  <c:v>05/12/2014 20:00 PDT</c:v>
                </c:pt>
                <c:pt idx="945">
                  <c:v>05/12/2014 20:15 PDT</c:v>
                </c:pt>
                <c:pt idx="946">
                  <c:v>05/12/2014 20:30 PDT</c:v>
                </c:pt>
                <c:pt idx="947">
                  <c:v>05/12/2014 20:45 PDT</c:v>
                </c:pt>
                <c:pt idx="948">
                  <c:v>05/12/2014 21:00 PDT</c:v>
                </c:pt>
                <c:pt idx="949">
                  <c:v>05/12/2014 21:15 PDT</c:v>
                </c:pt>
                <c:pt idx="950">
                  <c:v>05/12/2014 21:30 PDT</c:v>
                </c:pt>
                <c:pt idx="951">
                  <c:v>05/12/2014 21:45 PDT</c:v>
                </c:pt>
                <c:pt idx="952">
                  <c:v>05/12/2014 22:00 PDT</c:v>
                </c:pt>
                <c:pt idx="953">
                  <c:v>05/12/2014 22:15 PDT</c:v>
                </c:pt>
                <c:pt idx="954">
                  <c:v>05/12/2014 22:30 PDT</c:v>
                </c:pt>
                <c:pt idx="955">
                  <c:v>05/12/2014 22:45 PDT</c:v>
                </c:pt>
                <c:pt idx="956">
                  <c:v>05/12/2014 23:00 PDT</c:v>
                </c:pt>
                <c:pt idx="957">
                  <c:v>05/12/2014 23:15 PDT</c:v>
                </c:pt>
                <c:pt idx="958">
                  <c:v>05/12/2014 23:30 PDT</c:v>
                </c:pt>
                <c:pt idx="959">
                  <c:v>05/12/2014 23:45 PDT</c:v>
                </c:pt>
                <c:pt idx="960">
                  <c:v>05/13/2014 00:00 PDT</c:v>
                </c:pt>
                <c:pt idx="961">
                  <c:v>05/13/2014 00:15 PDT</c:v>
                </c:pt>
                <c:pt idx="962">
                  <c:v>05/13/2014 00:30 PDT</c:v>
                </c:pt>
                <c:pt idx="963">
                  <c:v>05/13/2014 00:45 PDT</c:v>
                </c:pt>
                <c:pt idx="964">
                  <c:v>05/13/2014 01:00 PDT</c:v>
                </c:pt>
                <c:pt idx="965">
                  <c:v>05/13/2014 01:15 PDT</c:v>
                </c:pt>
                <c:pt idx="966">
                  <c:v>05/13/2014 01:30 PDT</c:v>
                </c:pt>
                <c:pt idx="967">
                  <c:v>05/13/2014 01:45 PDT</c:v>
                </c:pt>
                <c:pt idx="968">
                  <c:v>05/13/2014 02:00 PDT</c:v>
                </c:pt>
                <c:pt idx="969">
                  <c:v>05/13/2014 02:15 PDT</c:v>
                </c:pt>
                <c:pt idx="970">
                  <c:v>05/13/2014 02:30 PDT</c:v>
                </c:pt>
                <c:pt idx="971">
                  <c:v>05/13/2014 02:45 PDT</c:v>
                </c:pt>
                <c:pt idx="972">
                  <c:v>05/13/2014 03:00 PDT</c:v>
                </c:pt>
                <c:pt idx="973">
                  <c:v>05/13/2014 03:15 PDT</c:v>
                </c:pt>
                <c:pt idx="974">
                  <c:v>05/13/2014 03:30 PDT</c:v>
                </c:pt>
                <c:pt idx="975">
                  <c:v>05/13/2014 03:45 PDT</c:v>
                </c:pt>
                <c:pt idx="976">
                  <c:v>05/13/2014 04:00 PDT</c:v>
                </c:pt>
                <c:pt idx="977">
                  <c:v>05/13/2014 04:15 PDT</c:v>
                </c:pt>
                <c:pt idx="978">
                  <c:v>05/13/2014 04:30 PDT</c:v>
                </c:pt>
                <c:pt idx="979">
                  <c:v>05/13/2014 04:45 PDT</c:v>
                </c:pt>
                <c:pt idx="980">
                  <c:v>05/13/2014 05:00 PDT</c:v>
                </c:pt>
                <c:pt idx="981">
                  <c:v>05/13/2014 05:15 PDT</c:v>
                </c:pt>
                <c:pt idx="982">
                  <c:v>05/13/2014 05:30 PDT</c:v>
                </c:pt>
                <c:pt idx="983">
                  <c:v>05/13/2014 05:45 PDT</c:v>
                </c:pt>
                <c:pt idx="984">
                  <c:v>05/13/2014 06:00 PDT</c:v>
                </c:pt>
                <c:pt idx="985">
                  <c:v>05/13/2014 06:15 PDT</c:v>
                </c:pt>
                <c:pt idx="986">
                  <c:v>05/13/2014 06:30 PDT</c:v>
                </c:pt>
                <c:pt idx="987">
                  <c:v>05/13/2014 06:45 PDT</c:v>
                </c:pt>
                <c:pt idx="988">
                  <c:v>05/13/2014 07:00 PDT</c:v>
                </c:pt>
                <c:pt idx="989">
                  <c:v>05/13/2014 07:15 PDT</c:v>
                </c:pt>
                <c:pt idx="990">
                  <c:v>05/13/2014 07:30 PDT</c:v>
                </c:pt>
                <c:pt idx="991">
                  <c:v>05/13/2014 07:45 PDT</c:v>
                </c:pt>
                <c:pt idx="992">
                  <c:v>05/13/2014 08:00 PDT</c:v>
                </c:pt>
                <c:pt idx="993">
                  <c:v>05/13/2014 08:15 PDT</c:v>
                </c:pt>
                <c:pt idx="994">
                  <c:v>05/13/2014 08:30 PDT</c:v>
                </c:pt>
                <c:pt idx="995">
                  <c:v>05/13/2014 08:45 PDT</c:v>
                </c:pt>
                <c:pt idx="996">
                  <c:v>05/13/2014 09:00 PDT</c:v>
                </c:pt>
                <c:pt idx="997">
                  <c:v>05/13/2014 09:15 PDT</c:v>
                </c:pt>
                <c:pt idx="998">
                  <c:v>05/13/2014 09:30 PDT</c:v>
                </c:pt>
                <c:pt idx="999">
                  <c:v>05/13/2014 09:45 PDT</c:v>
                </c:pt>
                <c:pt idx="1000">
                  <c:v>05/13/2014 10:00 PDT</c:v>
                </c:pt>
                <c:pt idx="1001">
                  <c:v>05/13/2014 10:15 PDT</c:v>
                </c:pt>
                <c:pt idx="1002">
                  <c:v>05/13/2014 10:30 PDT</c:v>
                </c:pt>
                <c:pt idx="1003">
                  <c:v>05/13/2014 10:45 PDT</c:v>
                </c:pt>
                <c:pt idx="1004">
                  <c:v>05/13/2014 11:00 PDT</c:v>
                </c:pt>
                <c:pt idx="1005">
                  <c:v>05/13/2014 11:15 PDT</c:v>
                </c:pt>
                <c:pt idx="1006">
                  <c:v>05/13/2014 11:30 PDT</c:v>
                </c:pt>
                <c:pt idx="1007">
                  <c:v>05/13/2014 11:45 PDT</c:v>
                </c:pt>
                <c:pt idx="1008">
                  <c:v>05/13/2014 12:00 PDT</c:v>
                </c:pt>
                <c:pt idx="1009">
                  <c:v>05/13/2014 12:15 PDT</c:v>
                </c:pt>
                <c:pt idx="1010">
                  <c:v>05/13/2014 12:30 PDT</c:v>
                </c:pt>
                <c:pt idx="1011">
                  <c:v>05/13/2014 12:45 PDT</c:v>
                </c:pt>
                <c:pt idx="1012">
                  <c:v>05/13/2014 13:00 PDT</c:v>
                </c:pt>
                <c:pt idx="1013">
                  <c:v>05/13/2014 13:15 PDT</c:v>
                </c:pt>
                <c:pt idx="1014">
                  <c:v>05/13/2014 13:30 PDT</c:v>
                </c:pt>
                <c:pt idx="1015">
                  <c:v>05/13/2014 13:45 PDT</c:v>
                </c:pt>
                <c:pt idx="1016">
                  <c:v>05/13/2014 14:00 PDT</c:v>
                </c:pt>
                <c:pt idx="1017">
                  <c:v>05/13/2014 14:15 PDT</c:v>
                </c:pt>
                <c:pt idx="1018">
                  <c:v>05/13/2014 14:30 PDT</c:v>
                </c:pt>
                <c:pt idx="1019">
                  <c:v>05/13/2014 14:45 PDT</c:v>
                </c:pt>
                <c:pt idx="1020">
                  <c:v>05/13/2014 15:00 PDT</c:v>
                </c:pt>
                <c:pt idx="1021">
                  <c:v>05/13/2014 15:15 PDT</c:v>
                </c:pt>
                <c:pt idx="1022">
                  <c:v>05/13/2014 15:30 PDT</c:v>
                </c:pt>
                <c:pt idx="1023">
                  <c:v>05/13/2014 15:45 PDT</c:v>
                </c:pt>
                <c:pt idx="1024">
                  <c:v>05/13/2014 16:00 PDT</c:v>
                </c:pt>
                <c:pt idx="1025">
                  <c:v>05/13/2014 16:15 PDT</c:v>
                </c:pt>
                <c:pt idx="1026">
                  <c:v>05/13/2014 16:30 PDT</c:v>
                </c:pt>
                <c:pt idx="1027">
                  <c:v>05/13/2014 16:45 PDT</c:v>
                </c:pt>
                <c:pt idx="1028">
                  <c:v>05/13/2014 17:00 PDT</c:v>
                </c:pt>
                <c:pt idx="1029">
                  <c:v>05/13/2014 17:15 PDT</c:v>
                </c:pt>
                <c:pt idx="1030">
                  <c:v>05/13/2014 17:30 PDT</c:v>
                </c:pt>
                <c:pt idx="1031">
                  <c:v>05/13/2014 17:45 PDT</c:v>
                </c:pt>
                <c:pt idx="1032">
                  <c:v>05/13/2014 18:00 PDT</c:v>
                </c:pt>
                <c:pt idx="1033">
                  <c:v>05/13/2014 18:15 PDT</c:v>
                </c:pt>
                <c:pt idx="1034">
                  <c:v>05/13/2014 18:30 PDT</c:v>
                </c:pt>
                <c:pt idx="1035">
                  <c:v>05/13/2014 18:45 PDT</c:v>
                </c:pt>
                <c:pt idx="1036">
                  <c:v>05/13/2014 19:00 PDT</c:v>
                </c:pt>
                <c:pt idx="1037">
                  <c:v>05/13/2014 19:15 PDT</c:v>
                </c:pt>
                <c:pt idx="1038">
                  <c:v>05/13/2014 19:30 PDT</c:v>
                </c:pt>
                <c:pt idx="1039">
                  <c:v>05/13/2014 19:45 PDT</c:v>
                </c:pt>
                <c:pt idx="1040">
                  <c:v>05/13/2014 20:00 PDT</c:v>
                </c:pt>
                <c:pt idx="1041">
                  <c:v>05/13/2014 20:15 PDT</c:v>
                </c:pt>
                <c:pt idx="1042">
                  <c:v>05/13/2014 20:30 PDT</c:v>
                </c:pt>
                <c:pt idx="1043">
                  <c:v>05/13/2014 20:45 PDT</c:v>
                </c:pt>
                <c:pt idx="1044">
                  <c:v>05/13/2014 21:00 PDT</c:v>
                </c:pt>
                <c:pt idx="1045">
                  <c:v>05/13/2014 21:15 PDT</c:v>
                </c:pt>
                <c:pt idx="1046">
                  <c:v>05/13/2014 21:30 PDT</c:v>
                </c:pt>
                <c:pt idx="1047">
                  <c:v>05/13/2014 21:45 PDT</c:v>
                </c:pt>
                <c:pt idx="1048">
                  <c:v>05/13/2014 22:00 PDT</c:v>
                </c:pt>
                <c:pt idx="1049">
                  <c:v>05/13/2014 22:15 PDT</c:v>
                </c:pt>
                <c:pt idx="1050">
                  <c:v>05/13/2014 22:30 PDT</c:v>
                </c:pt>
                <c:pt idx="1051">
                  <c:v>05/13/2014 22:45 PDT</c:v>
                </c:pt>
                <c:pt idx="1052">
                  <c:v>05/13/2014 23:00 PDT</c:v>
                </c:pt>
                <c:pt idx="1053">
                  <c:v>05/13/2014 23:15 PDT</c:v>
                </c:pt>
                <c:pt idx="1054">
                  <c:v>05/13/2014 23:30 PDT</c:v>
                </c:pt>
                <c:pt idx="1055">
                  <c:v>05/13/2014 23:45 PDT</c:v>
                </c:pt>
                <c:pt idx="1056">
                  <c:v>05/14/2014 00:00 PDT</c:v>
                </c:pt>
                <c:pt idx="1057">
                  <c:v>05/14/2014 00:15 PDT</c:v>
                </c:pt>
                <c:pt idx="1058">
                  <c:v>05/14/2014 00:30 PDT</c:v>
                </c:pt>
                <c:pt idx="1059">
                  <c:v>05/14/2014 00:45 PDT</c:v>
                </c:pt>
                <c:pt idx="1060">
                  <c:v>05/14/2014 01:00 PDT</c:v>
                </c:pt>
                <c:pt idx="1061">
                  <c:v>05/14/2014 01:15 PDT</c:v>
                </c:pt>
                <c:pt idx="1062">
                  <c:v>05/14/2014 01:30 PDT</c:v>
                </c:pt>
                <c:pt idx="1063">
                  <c:v>05/14/2014 01:45 PDT</c:v>
                </c:pt>
                <c:pt idx="1064">
                  <c:v>05/14/2014 02:00 PDT</c:v>
                </c:pt>
                <c:pt idx="1065">
                  <c:v>05/14/2014 02:15 PDT</c:v>
                </c:pt>
                <c:pt idx="1066">
                  <c:v>05/14/2014 02:30 PDT</c:v>
                </c:pt>
                <c:pt idx="1067">
                  <c:v>05/14/2014 02:45 PDT</c:v>
                </c:pt>
                <c:pt idx="1068">
                  <c:v>05/14/2014 03:00 PDT</c:v>
                </c:pt>
                <c:pt idx="1069">
                  <c:v>05/14/2014 03:15 PDT</c:v>
                </c:pt>
                <c:pt idx="1070">
                  <c:v>05/14/2014 03:30 PDT</c:v>
                </c:pt>
                <c:pt idx="1071">
                  <c:v>05/14/2014 03:45 PDT</c:v>
                </c:pt>
                <c:pt idx="1072">
                  <c:v>05/14/2014 04:00 PDT</c:v>
                </c:pt>
                <c:pt idx="1073">
                  <c:v>05/14/2014 04:15 PDT</c:v>
                </c:pt>
                <c:pt idx="1074">
                  <c:v>05/14/2014 04:30 PDT</c:v>
                </c:pt>
                <c:pt idx="1075">
                  <c:v>05/14/2014 04:45 PDT</c:v>
                </c:pt>
                <c:pt idx="1076">
                  <c:v>05/14/2014 05:00 PDT</c:v>
                </c:pt>
                <c:pt idx="1077">
                  <c:v>05/14/2014 05:15 PDT</c:v>
                </c:pt>
                <c:pt idx="1078">
                  <c:v>05/14/2014 05:30 PDT</c:v>
                </c:pt>
                <c:pt idx="1079">
                  <c:v>05/14/2014 05:45 PDT</c:v>
                </c:pt>
                <c:pt idx="1080">
                  <c:v>05/14/2014 06:00 PDT</c:v>
                </c:pt>
                <c:pt idx="1081">
                  <c:v>05/14/2014 06:15 PDT</c:v>
                </c:pt>
                <c:pt idx="1082">
                  <c:v>05/14/2014 06:30 PDT</c:v>
                </c:pt>
                <c:pt idx="1083">
                  <c:v>05/14/2014 06:45 PDT</c:v>
                </c:pt>
                <c:pt idx="1084">
                  <c:v>05/14/2014 07:00 PDT</c:v>
                </c:pt>
                <c:pt idx="1085">
                  <c:v>05/14/2014 07:15 PDT</c:v>
                </c:pt>
                <c:pt idx="1086">
                  <c:v>05/14/2014 07:30 PDT</c:v>
                </c:pt>
                <c:pt idx="1087">
                  <c:v>05/14/2014 07:45 PDT</c:v>
                </c:pt>
                <c:pt idx="1088">
                  <c:v>05/14/2014 08:00 PDT</c:v>
                </c:pt>
                <c:pt idx="1089">
                  <c:v>05/14/2014 08:15 PDT</c:v>
                </c:pt>
                <c:pt idx="1090">
                  <c:v>05/14/2014 08:30 PDT</c:v>
                </c:pt>
                <c:pt idx="1091">
                  <c:v>05/14/2014 08:45 PDT</c:v>
                </c:pt>
                <c:pt idx="1092">
                  <c:v>05/14/2014 09:00 PDT</c:v>
                </c:pt>
                <c:pt idx="1093">
                  <c:v>05/14/2014 09:15 PDT</c:v>
                </c:pt>
                <c:pt idx="1094">
                  <c:v>05/14/2014 09:30 PDT</c:v>
                </c:pt>
                <c:pt idx="1095">
                  <c:v>05/14/2014 09:45 PDT</c:v>
                </c:pt>
                <c:pt idx="1096">
                  <c:v>05/14/2014 10:00 PDT</c:v>
                </c:pt>
                <c:pt idx="1097">
                  <c:v>05/14/2014 10:15 PDT</c:v>
                </c:pt>
                <c:pt idx="1098">
                  <c:v>05/14/2014 10:30 PDT</c:v>
                </c:pt>
                <c:pt idx="1099">
                  <c:v>05/14/2014 10:45 PDT</c:v>
                </c:pt>
                <c:pt idx="1100">
                  <c:v>05/14/2014 11:00 PDT</c:v>
                </c:pt>
                <c:pt idx="1101">
                  <c:v>05/14/2014 11:15 PDT</c:v>
                </c:pt>
                <c:pt idx="1102">
                  <c:v>05/14/2014 11:30 PDT</c:v>
                </c:pt>
                <c:pt idx="1103">
                  <c:v>05/14/2014 11:45 PDT</c:v>
                </c:pt>
                <c:pt idx="1104">
                  <c:v>05/14/2014 12:00 PDT</c:v>
                </c:pt>
                <c:pt idx="1105">
                  <c:v>05/14/2014 12:15 PDT</c:v>
                </c:pt>
                <c:pt idx="1106">
                  <c:v>05/14/2014 12:30 PDT</c:v>
                </c:pt>
                <c:pt idx="1107">
                  <c:v>05/14/2014 12:45 PDT</c:v>
                </c:pt>
                <c:pt idx="1108">
                  <c:v>05/14/2014 13:00 PDT</c:v>
                </c:pt>
                <c:pt idx="1109">
                  <c:v>05/14/2014 13:15 PDT</c:v>
                </c:pt>
                <c:pt idx="1110">
                  <c:v>05/14/2014 13:30 PDT</c:v>
                </c:pt>
                <c:pt idx="1111">
                  <c:v>05/14/2014 13:45 PDT</c:v>
                </c:pt>
                <c:pt idx="1112">
                  <c:v>05/14/2014 14:00 PDT</c:v>
                </c:pt>
                <c:pt idx="1113">
                  <c:v>05/14/2014 14:15 PDT</c:v>
                </c:pt>
                <c:pt idx="1114">
                  <c:v>05/14/2014 14:30 PDT</c:v>
                </c:pt>
                <c:pt idx="1115">
                  <c:v>05/14/2014 14:45 PDT</c:v>
                </c:pt>
                <c:pt idx="1116">
                  <c:v>05/14/2014 15:00 PDT</c:v>
                </c:pt>
                <c:pt idx="1117">
                  <c:v>05/14/2014 15:15 PDT</c:v>
                </c:pt>
                <c:pt idx="1118">
                  <c:v>05/14/2014 15:30 PDT</c:v>
                </c:pt>
                <c:pt idx="1119">
                  <c:v>05/14/2014 15:45 PDT</c:v>
                </c:pt>
                <c:pt idx="1120">
                  <c:v>05/14/2014 16:00 PDT</c:v>
                </c:pt>
                <c:pt idx="1121">
                  <c:v>05/14/2014 16:15 PDT</c:v>
                </c:pt>
                <c:pt idx="1122">
                  <c:v>05/14/2014 16:30 PDT</c:v>
                </c:pt>
                <c:pt idx="1123">
                  <c:v>05/14/2014 16:45 PDT</c:v>
                </c:pt>
                <c:pt idx="1124">
                  <c:v>05/14/2014 17:00 PDT</c:v>
                </c:pt>
                <c:pt idx="1125">
                  <c:v>05/14/2014 17:15 PDT</c:v>
                </c:pt>
                <c:pt idx="1126">
                  <c:v>05/14/2014 17:30 PDT</c:v>
                </c:pt>
                <c:pt idx="1127">
                  <c:v>05/14/2014 17:45 PDT</c:v>
                </c:pt>
                <c:pt idx="1128">
                  <c:v>05/14/2014 18:00 PDT</c:v>
                </c:pt>
                <c:pt idx="1129">
                  <c:v>05/14/2014 18:15 PDT</c:v>
                </c:pt>
                <c:pt idx="1130">
                  <c:v>05/14/2014 18:30 PDT</c:v>
                </c:pt>
                <c:pt idx="1131">
                  <c:v>05/14/2014 18:45 PDT</c:v>
                </c:pt>
                <c:pt idx="1132">
                  <c:v>05/14/2014 19:00 PDT</c:v>
                </c:pt>
                <c:pt idx="1133">
                  <c:v>05/14/2014 19:15 PDT</c:v>
                </c:pt>
                <c:pt idx="1134">
                  <c:v>05/14/2014 19:30 PDT</c:v>
                </c:pt>
                <c:pt idx="1135">
                  <c:v>05/14/2014 19:45 PDT</c:v>
                </c:pt>
                <c:pt idx="1136">
                  <c:v>05/14/2014 20:00 PDT</c:v>
                </c:pt>
                <c:pt idx="1137">
                  <c:v>05/14/2014 20:15 PDT</c:v>
                </c:pt>
                <c:pt idx="1138">
                  <c:v>05/14/2014 20:30 PDT</c:v>
                </c:pt>
                <c:pt idx="1139">
                  <c:v>05/14/2014 20:45 PDT</c:v>
                </c:pt>
                <c:pt idx="1140">
                  <c:v>05/14/2014 21:00 PDT</c:v>
                </c:pt>
                <c:pt idx="1141">
                  <c:v>05/14/2014 21:15 PDT</c:v>
                </c:pt>
                <c:pt idx="1142">
                  <c:v>05/14/2014 21:30 PDT</c:v>
                </c:pt>
                <c:pt idx="1143">
                  <c:v>05/14/2014 21:45 PDT</c:v>
                </c:pt>
                <c:pt idx="1144">
                  <c:v>05/14/2014 22:00 PDT</c:v>
                </c:pt>
                <c:pt idx="1145">
                  <c:v>05/14/2014 22:15 PDT</c:v>
                </c:pt>
                <c:pt idx="1146">
                  <c:v>05/14/2014 22:30 PDT</c:v>
                </c:pt>
                <c:pt idx="1147">
                  <c:v>05/14/2014 22:45 PDT</c:v>
                </c:pt>
                <c:pt idx="1148">
                  <c:v>05/14/2014 23:00 PDT</c:v>
                </c:pt>
                <c:pt idx="1149">
                  <c:v>05/14/2014 23:15 PDT</c:v>
                </c:pt>
                <c:pt idx="1150">
                  <c:v>05/14/2014 23:30 PDT</c:v>
                </c:pt>
                <c:pt idx="1151">
                  <c:v>05/14/2014 23:45 PDT</c:v>
                </c:pt>
                <c:pt idx="1152">
                  <c:v>05/15/2014 00:00 PDT</c:v>
                </c:pt>
                <c:pt idx="1153">
                  <c:v>05/15/2014 00:15 PDT</c:v>
                </c:pt>
                <c:pt idx="1154">
                  <c:v>05/15/2014 00:30 PDT</c:v>
                </c:pt>
                <c:pt idx="1155">
                  <c:v>05/15/2014 00:45 PDT</c:v>
                </c:pt>
                <c:pt idx="1156">
                  <c:v>05/15/2014 01:00 PDT</c:v>
                </c:pt>
                <c:pt idx="1157">
                  <c:v>05/15/2014 01:15 PDT</c:v>
                </c:pt>
                <c:pt idx="1158">
                  <c:v>05/15/2014 01:30 PDT</c:v>
                </c:pt>
                <c:pt idx="1159">
                  <c:v>05/15/2014 01:45 PDT</c:v>
                </c:pt>
                <c:pt idx="1160">
                  <c:v>05/15/2014 02:00 PDT</c:v>
                </c:pt>
                <c:pt idx="1161">
                  <c:v>05/15/2014 02:15 PDT</c:v>
                </c:pt>
                <c:pt idx="1162">
                  <c:v>05/15/2014 02:30 PDT</c:v>
                </c:pt>
                <c:pt idx="1163">
                  <c:v>05/15/2014 02:45 PDT</c:v>
                </c:pt>
                <c:pt idx="1164">
                  <c:v>05/15/2014 03:00 PDT</c:v>
                </c:pt>
                <c:pt idx="1165">
                  <c:v>05/15/2014 03:15 PDT</c:v>
                </c:pt>
                <c:pt idx="1166">
                  <c:v>05/15/2014 03:30 PDT</c:v>
                </c:pt>
                <c:pt idx="1167">
                  <c:v>05/15/2014 03:45 PDT</c:v>
                </c:pt>
                <c:pt idx="1168">
                  <c:v>05/15/2014 04:00 PDT</c:v>
                </c:pt>
                <c:pt idx="1169">
                  <c:v>05/15/2014 04:15 PDT</c:v>
                </c:pt>
                <c:pt idx="1170">
                  <c:v>05/15/2014 04:30 PDT</c:v>
                </c:pt>
                <c:pt idx="1171">
                  <c:v>05/15/2014 04:45 PDT</c:v>
                </c:pt>
                <c:pt idx="1172">
                  <c:v>05/15/2014 05:00 PDT</c:v>
                </c:pt>
                <c:pt idx="1173">
                  <c:v>05/15/2014 05:15 PDT</c:v>
                </c:pt>
                <c:pt idx="1174">
                  <c:v>05/15/2014 05:30 PDT</c:v>
                </c:pt>
                <c:pt idx="1175">
                  <c:v>05/15/2014 05:45 PDT</c:v>
                </c:pt>
                <c:pt idx="1176">
                  <c:v>05/15/2014 06:00 PDT</c:v>
                </c:pt>
                <c:pt idx="1177">
                  <c:v>05/15/2014 06:15 PDT</c:v>
                </c:pt>
                <c:pt idx="1178">
                  <c:v>05/15/2014 06:30 PDT</c:v>
                </c:pt>
                <c:pt idx="1179">
                  <c:v>05/15/2014 06:45 PDT</c:v>
                </c:pt>
                <c:pt idx="1180">
                  <c:v>05/15/2014 07:00 PDT</c:v>
                </c:pt>
                <c:pt idx="1181">
                  <c:v>05/15/2014 07:15 PDT</c:v>
                </c:pt>
                <c:pt idx="1182">
                  <c:v>05/15/2014 07:30 PDT</c:v>
                </c:pt>
                <c:pt idx="1183">
                  <c:v>05/15/2014 07:45 PDT</c:v>
                </c:pt>
                <c:pt idx="1184">
                  <c:v>05/15/2014 08:00 PDT</c:v>
                </c:pt>
                <c:pt idx="1185">
                  <c:v>05/15/2014 08:15 PDT</c:v>
                </c:pt>
                <c:pt idx="1186">
                  <c:v>05/15/2014 08:30 PDT</c:v>
                </c:pt>
                <c:pt idx="1187">
                  <c:v>05/15/2014 08:45 PDT</c:v>
                </c:pt>
                <c:pt idx="1188">
                  <c:v>05/15/2014 09:00 PDT</c:v>
                </c:pt>
                <c:pt idx="1189">
                  <c:v>05/15/2014 09:15 PDT</c:v>
                </c:pt>
                <c:pt idx="1190">
                  <c:v>05/15/2014 09:30 PDT</c:v>
                </c:pt>
                <c:pt idx="1191">
                  <c:v>05/15/2014 09:45 PDT</c:v>
                </c:pt>
                <c:pt idx="1192">
                  <c:v>05/15/2014 10:00 PDT</c:v>
                </c:pt>
                <c:pt idx="1193">
                  <c:v>05/15/2014 10:15 PDT</c:v>
                </c:pt>
                <c:pt idx="1194">
                  <c:v>05/15/2014 10:30 PDT</c:v>
                </c:pt>
                <c:pt idx="1195">
                  <c:v>05/15/2014 10:45 PDT</c:v>
                </c:pt>
                <c:pt idx="1196">
                  <c:v>05/15/2014 11:00 PDT</c:v>
                </c:pt>
                <c:pt idx="1197">
                  <c:v>05/15/2014 11:15 PDT</c:v>
                </c:pt>
                <c:pt idx="1198">
                  <c:v>05/15/2014 11:30 PDT</c:v>
                </c:pt>
                <c:pt idx="1199">
                  <c:v>05/15/2014 11:45 PDT</c:v>
                </c:pt>
                <c:pt idx="1200">
                  <c:v>05/15/2014 12:00 PDT</c:v>
                </c:pt>
                <c:pt idx="1201">
                  <c:v>05/15/2014 12:15 PDT</c:v>
                </c:pt>
                <c:pt idx="1202">
                  <c:v>05/15/2014 12:30 PDT</c:v>
                </c:pt>
                <c:pt idx="1203">
                  <c:v>05/15/2014 12:45 PDT</c:v>
                </c:pt>
                <c:pt idx="1204">
                  <c:v>05/15/2014 13:00 PDT</c:v>
                </c:pt>
                <c:pt idx="1205">
                  <c:v>05/15/2014 13:15 PDT</c:v>
                </c:pt>
                <c:pt idx="1206">
                  <c:v>05/15/2014 13:30 PDT</c:v>
                </c:pt>
                <c:pt idx="1207">
                  <c:v>05/15/2014 13:45 PDT</c:v>
                </c:pt>
                <c:pt idx="1208">
                  <c:v>05/15/2014 14:00 PDT</c:v>
                </c:pt>
                <c:pt idx="1209">
                  <c:v>05/15/2014 14:15 PDT</c:v>
                </c:pt>
                <c:pt idx="1210">
                  <c:v>05/15/2014 14:30 PDT</c:v>
                </c:pt>
                <c:pt idx="1211">
                  <c:v>05/15/2014 14:45 PDT</c:v>
                </c:pt>
                <c:pt idx="1212">
                  <c:v>05/15/2014 15:00 PDT</c:v>
                </c:pt>
                <c:pt idx="1213">
                  <c:v>05/15/2014 15:15 PDT</c:v>
                </c:pt>
                <c:pt idx="1214">
                  <c:v>05/15/2014 15:30 PDT</c:v>
                </c:pt>
                <c:pt idx="1215">
                  <c:v>05/15/2014 15:45 PDT</c:v>
                </c:pt>
                <c:pt idx="1216">
                  <c:v>05/15/2014 16:00 PDT</c:v>
                </c:pt>
                <c:pt idx="1217">
                  <c:v>05/15/2014 16:15 PDT</c:v>
                </c:pt>
                <c:pt idx="1218">
                  <c:v>05/15/2014 16:30 PDT</c:v>
                </c:pt>
                <c:pt idx="1219">
                  <c:v>05/15/2014 16:45 PDT</c:v>
                </c:pt>
                <c:pt idx="1220">
                  <c:v>05/15/2014 17:00 PDT</c:v>
                </c:pt>
                <c:pt idx="1221">
                  <c:v>05/15/2014 17:15 PDT</c:v>
                </c:pt>
                <c:pt idx="1222">
                  <c:v>05/15/2014 17:30 PDT</c:v>
                </c:pt>
                <c:pt idx="1223">
                  <c:v>05/15/2014 17:45 PDT</c:v>
                </c:pt>
                <c:pt idx="1224">
                  <c:v>05/15/2014 18:00 PDT</c:v>
                </c:pt>
                <c:pt idx="1225">
                  <c:v>05/15/2014 18:15 PDT</c:v>
                </c:pt>
                <c:pt idx="1226">
                  <c:v>05/15/2014 18:30 PDT</c:v>
                </c:pt>
                <c:pt idx="1227">
                  <c:v>05/15/2014 18:45 PDT</c:v>
                </c:pt>
                <c:pt idx="1228">
                  <c:v>05/15/2014 19:00 PDT</c:v>
                </c:pt>
                <c:pt idx="1229">
                  <c:v>05/15/2014 19:15 PDT</c:v>
                </c:pt>
                <c:pt idx="1230">
                  <c:v>05/15/2014 19:30 PDT</c:v>
                </c:pt>
                <c:pt idx="1231">
                  <c:v>05/15/2014 19:45 PDT</c:v>
                </c:pt>
                <c:pt idx="1232">
                  <c:v>05/15/2014 20:00 PDT</c:v>
                </c:pt>
                <c:pt idx="1233">
                  <c:v>05/15/2014 20:15 PDT</c:v>
                </c:pt>
                <c:pt idx="1234">
                  <c:v>05/15/2014 20:30 PDT</c:v>
                </c:pt>
                <c:pt idx="1235">
                  <c:v>05/15/2014 20:45 PDT</c:v>
                </c:pt>
                <c:pt idx="1236">
                  <c:v>05/15/2014 21:00 PDT</c:v>
                </c:pt>
                <c:pt idx="1237">
                  <c:v>05/15/2014 21:15 PDT</c:v>
                </c:pt>
                <c:pt idx="1238">
                  <c:v>05/15/2014 21:30 PDT</c:v>
                </c:pt>
                <c:pt idx="1239">
                  <c:v>05/15/2014 21:45 PDT</c:v>
                </c:pt>
                <c:pt idx="1240">
                  <c:v>05/15/2014 22:00 PDT</c:v>
                </c:pt>
                <c:pt idx="1241">
                  <c:v>05/15/2014 22:15 PDT</c:v>
                </c:pt>
                <c:pt idx="1242">
                  <c:v>05/15/2014 22:30 PDT</c:v>
                </c:pt>
                <c:pt idx="1243">
                  <c:v>05/15/2014 22:45 PDT</c:v>
                </c:pt>
                <c:pt idx="1244">
                  <c:v>05/15/2014 23:00 PDT</c:v>
                </c:pt>
                <c:pt idx="1245">
                  <c:v>05/15/2014 23:15 PDT</c:v>
                </c:pt>
                <c:pt idx="1246">
                  <c:v>05/15/2014 23:30 PDT</c:v>
                </c:pt>
                <c:pt idx="1247">
                  <c:v>05/15/2014 23:45 PDT</c:v>
                </c:pt>
                <c:pt idx="1248">
                  <c:v>05/16/2014 00:00 PDT</c:v>
                </c:pt>
                <c:pt idx="1249">
                  <c:v>05/16/2014 00:15 PDT</c:v>
                </c:pt>
                <c:pt idx="1250">
                  <c:v>05/16/2014 00:30 PDT</c:v>
                </c:pt>
                <c:pt idx="1251">
                  <c:v>05/16/2014 00:45 PDT</c:v>
                </c:pt>
                <c:pt idx="1252">
                  <c:v>05/16/2014 01:00 PDT</c:v>
                </c:pt>
                <c:pt idx="1253">
                  <c:v>05/16/2014 01:15 PDT</c:v>
                </c:pt>
                <c:pt idx="1254">
                  <c:v>05/16/2014 01:30 PDT</c:v>
                </c:pt>
                <c:pt idx="1255">
                  <c:v>05/16/2014 01:45 PDT</c:v>
                </c:pt>
                <c:pt idx="1256">
                  <c:v>05/16/2014 02:00 PDT</c:v>
                </c:pt>
                <c:pt idx="1257">
                  <c:v>05/16/2014 02:15 PDT</c:v>
                </c:pt>
                <c:pt idx="1258">
                  <c:v>05/16/2014 02:30 PDT</c:v>
                </c:pt>
                <c:pt idx="1259">
                  <c:v>05/16/2014 02:45 PDT</c:v>
                </c:pt>
                <c:pt idx="1260">
                  <c:v>05/16/2014 03:00 PDT</c:v>
                </c:pt>
                <c:pt idx="1261">
                  <c:v>05/16/2014 03:15 PDT</c:v>
                </c:pt>
                <c:pt idx="1262">
                  <c:v>05/16/2014 03:30 PDT</c:v>
                </c:pt>
                <c:pt idx="1263">
                  <c:v>05/16/2014 03:45 PDT</c:v>
                </c:pt>
                <c:pt idx="1264">
                  <c:v>05/16/2014 04:00 PDT</c:v>
                </c:pt>
                <c:pt idx="1265">
                  <c:v>05/16/2014 04:15 PDT</c:v>
                </c:pt>
                <c:pt idx="1266">
                  <c:v>05/16/2014 04:30 PDT</c:v>
                </c:pt>
                <c:pt idx="1267">
                  <c:v>05/16/2014 04:45 PDT</c:v>
                </c:pt>
                <c:pt idx="1268">
                  <c:v>05/16/2014 05:00 PDT</c:v>
                </c:pt>
                <c:pt idx="1269">
                  <c:v>05/16/2014 05:15 PDT</c:v>
                </c:pt>
                <c:pt idx="1270">
                  <c:v>05/16/2014 05:30 PDT</c:v>
                </c:pt>
                <c:pt idx="1271">
                  <c:v>05/16/2014 05:45 PDT</c:v>
                </c:pt>
                <c:pt idx="1272">
                  <c:v>05/16/2014 06:00 PDT</c:v>
                </c:pt>
                <c:pt idx="1273">
                  <c:v>05/16/2014 06:15 PDT</c:v>
                </c:pt>
                <c:pt idx="1274">
                  <c:v>05/16/2014 06:30 PDT</c:v>
                </c:pt>
                <c:pt idx="1275">
                  <c:v>05/16/2014 06:45 PDT</c:v>
                </c:pt>
                <c:pt idx="1276">
                  <c:v>05/16/2014 07:00 PDT</c:v>
                </c:pt>
                <c:pt idx="1277">
                  <c:v>05/16/2014 07:15 PDT</c:v>
                </c:pt>
                <c:pt idx="1278">
                  <c:v>05/16/2014 07:30 PDT</c:v>
                </c:pt>
                <c:pt idx="1279">
                  <c:v>05/16/2014 07:45 PDT</c:v>
                </c:pt>
                <c:pt idx="1280">
                  <c:v>05/16/2014 08:00 PDT</c:v>
                </c:pt>
                <c:pt idx="1281">
                  <c:v>05/16/2014 08:15 PDT</c:v>
                </c:pt>
                <c:pt idx="1282">
                  <c:v>05/16/2014 08:30 PDT</c:v>
                </c:pt>
                <c:pt idx="1283">
                  <c:v>05/16/2014 08:45 PDT</c:v>
                </c:pt>
                <c:pt idx="1284">
                  <c:v>05/16/2014 09:00 PDT</c:v>
                </c:pt>
                <c:pt idx="1285">
                  <c:v>05/16/2014 09:15 PDT</c:v>
                </c:pt>
                <c:pt idx="1286">
                  <c:v>05/16/2014 09:30 PDT</c:v>
                </c:pt>
                <c:pt idx="1287">
                  <c:v>05/16/2014 09:45 PDT</c:v>
                </c:pt>
                <c:pt idx="1288">
                  <c:v>05/16/2014 10:00 PDT</c:v>
                </c:pt>
                <c:pt idx="1289">
                  <c:v>05/16/2014 10:15 PDT</c:v>
                </c:pt>
                <c:pt idx="1290">
                  <c:v>05/16/2014 10:30 PDT</c:v>
                </c:pt>
                <c:pt idx="1291">
                  <c:v>05/16/2014 10:45 PDT</c:v>
                </c:pt>
                <c:pt idx="1292">
                  <c:v>05/16/2014 11:00 PDT</c:v>
                </c:pt>
                <c:pt idx="1293">
                  <c:v>05/16/2014 11:15 PDT</c:v>
                </c:pt>
                <c:pt idx="1294">
                  <c:v>05/16/2014 11:30 PDT</c:v>
                </c:pt>
                <c:pt idx="1295">
                  <c:v>05/16/2014 11:45 PDT</c:v>
                </c:pt>
                <c:pt idx="1296">
                  <c:v>05/16/2014 12:00 PDT</c:v>
                </c:pt>
                <c:pt idx="1297">
                  <c:v>05/16/2014 12:15 PDT</c:v>
                </c:pt>
                <c:pt idx="1298">
                  <c:v>05/16/2014 12:30 PDT</c:v>
                </c:pt>
                <c:pt idx="1299">
                  <c:v>05/16/2014 12:45 PDT</c:v>
                </c:pt>
                <c:pt idx="1300">
                  <c:v>05/16/2014 13:00 PDT</c:v>
                </c:pt>
                <c:pt idx="1301">
                  <c:v>05/16/2014 13:15 PDT</c:v>
                </c:pt>
                <c:pt idx="1302">
                  <c:v>05/16/2014 13:30 PDT</c:v>
                </c:pt>
                <c:pt idx="1303">
                  <c:v>05/16/2014 13:45 PDT</c:v>
                </c:pt>
                <c:pt idx="1304">
                  <c:v>05/16/2014 14:00 PDT</c:v>
                </c:pt>
                <c:pt idx="1305">
                  <c:v>05/16/2014 14:15 PDT</c:v>
                </c:pt>
                <c:pt idx="1306">
                  <c:v>05/16/2014 14:30 PDT</c:v>
                </c:pt>
                <c:pt idx="1307">
                  <c:v>05/16/2014 14:45 PDT</c:v>
                </c:pt>
                <c:pt idx="1308">
                  <c:v>05/16/2014 15:00 PDT</c:v>
                </c:pt>
                <c:pt idx="1309">
                  <c:v>05/16/2014 15:15 PDT</c:v>
                </c:pt>
                <c:pt idx="1310">
                  <c:v>05/16/2014 15:30 PDT</c:v>
                </c:pt>
                <c:pt idx="1311">
                  <c:v>05/16/2014 15:45 PDT</c:v>
                </c:pt>
                <c:pt idx="1312">
                  <c:v>05/16/2014 16:00 PDT</c:v>
                </c:pt>
                <c:pt idx="1313">
                  <c:v>05/16/2014 16:15 PDT</c:v>
                </c:pt>
                <c:pt idx="1314">
                  <c:v>05/16/2014 16:30 PDT</c:v>
                </c:pt>
                <c:pt idx="1315">
                  <c:v>05/16/2014 16:45 PDT</c:v>
                </c:pt>
                <c:pt idx="1316">
                  <c:v>05/16/2014 17:00 PDT</c:v>
                </c:pt>
                <c:pt idx="1317">
                  <c:v>05/16/2014 17:15 PDT</c:v>
                </c:pt>
                <c:pt idx="1318">
                  <c:v>05/16/2014 17:30 PDT</c:v>
                </c:pt>
                <c:pt idx="1319">
                  <c:v>05/16/2014 17:45 PDT</c:v>
                </c:pt>
                <c:pt idx="1320">
                  <c:v>05/16/2014 18:00 PDT</c:v>
                </c:pt>
                <c:pt idx="1321">
                  <c:v>05/16/2014 18:15 PDT</c:v>
                </c:pt>
                <c:pt idx="1322">
                  <c:v>05/16/2014 18:30 PDT</c:v>
                </c:pt>
                <c:pt idx="1323">
                  <c:v>05/16/2014 18:45 PDT</c:v>
                </c:pt>
                <c:pt idx="1324">
                  <c:v>05/16/2014 19:00 PDT</c:v>
                </c:pt>
                <c:pt idx="1325">
                  <c:v>05/16/2014 19:15 PDT</c:v>
                </c:pt>
                <c:pt idx="1326">
                  <c:v>05/16/2014 19:30 PDT</c:v>
                </c:pt>
                <c:pt idx="1327">
                  <c:v>05/16/2014 19:45 PDT</c:v>
                </c:pt>
                <c:pt idx="1328">
                  <c:v>05/16/2014 20:00 PDT</c:v>
                </c:pt>
                <c:pt idx="1329">
                  <c:v>05/16/2014 20:15 PDT</c:v>
                </c:pt>
                <c:pt idx="1330">
                  <c:v>05/16/2014 20:30 PDT</c:v>
                </c:pt>
                <c:pt idx="1331">
                  <c:v>05/16/2014 20:45 PDT</c:v>
                </c:pt>
                <c:pt idx="1332">
                  <c:v>05/16/2014 21:00 PDT</c:v>
                </c:pt>
                <c:pt idx="1333">
                  <c:v>05/16/2014 21:15 PDT</c:v>
                </c:pt>
                <c:pt idx="1334">
                  <c:v>05/16/2014 21:30 PDT</c:v>
                </c:pt>
                <c:pt idx="1335">
                  <c:v>05/16/2014 21:45 PDT</c:v>
                </c:pt>
                <c:pt idx="1336">
                  <c:v>05/16/2014 22:00 PDT</c:v>
                </c:pt>
                <c:pt idx="1337">
                  <c:v>05/16/2014 22:15 PDT</c:v>
                </c:pt>
                <c:pt idx="1338">
                  <c:v>05/16/2014 22:30 PDT</c:v>
                </c:pt>
                <c:pt idx="1339">
                  <c:v>05/16/2014 22:45 PDT</c:v>
                </c:pt>
                <c:pt idx="1340">
                  <c:v>05/16/2014 23:00 PDT</c:v>
                </c:pt>
                <c:pt idx="1341">
                  <c:v>05/16/2014 23:15 PDT</c:v>
                </c:pt>
                <c:pt idx="1342">
                  <c:v>05/16/2014 23:30 PDT</c:v>
                </c:pt>
                <c:pt idx="1343">
                  <c:v>05/16/2014 23:45 PDT</c:v>
                </c:pt>
                <c:pt idx="1344">
                  <c:v>05/17/2014 00:00 PDT</c:v>
                </c:pt>
                <c:pt idx="1345">
                  <c:v>05/17/2014 00:15 PDT</c:v>
                </c:pt>
                <c:pt idx="1346">
                  <c:v>05/17/2014 00:30 PDT</c:v>
                </c:pt>
                <c:pt idx="1347">
                  <c:v>05/17/2014 00:45 PDT</c:v>
                </c:pt>
                <c:pt idx="1348">
                  <c:v>05/17/2014 01:00 PDT</c:v>
                </c:pt>
                <c:pt idx="1349">
                  <c:v>05/17/2014 01:15 PDT</c:v>
                </c:pt>
                <c:pt idx="1350">
                  <c:v>05/17/2014 01:30 PDT</c:v>
                </c:pt>
                <c:pt idx="1351">
                  <c:v>05/17/2014 01:45 PDT</c:v>
                </c:pt>
                <c:pt idx="1352">
                  <c:v>05/17/2014 02:00 PDT</c:v>
                </c:pt>
                <c:pt idx="1353">
                  <c:v>05/17/2014 02:15 PDT</c:v>
                </c:pt>
                <c:pt idx="1354">
                  <c:v>05/17/2014 02:30 PDT</c:v>
                </c:pt>
                <c:pt idx="1355">
                  <c:v>05/17/2014 02:45 PDT</c:v>
                </c:pt>
                <c:pt idx="1356">
                  <c:v>05/17/2014 03:00 PDT</c:v>
                </c:pt>
                <c:pt idx="1357">
                  <c:v>05/17/2014 03:15 PDT</c:v>
                </c:pt>
                <c:pt idx="1358">
                  <c:v>05/17/2014 03:30 PDT</c:v>
                </c:pt>
                <c:pt idx="1359">
                  <c:v>05/17/2014 03:45 PDT</c:v>
                </c:pt>
                <c:pt idx="1360">
                  <c:v>05/17/2014 04:00 PDT</c:v>
                </c:pt>
                <c:pt idx="1361">
                  <c:v>05/17/2014 04:15 PDT</c:v>
                </c:pt>
                <c:pt idx="1362">
                  <c:v>05/17/2014 04:30 PDT</c:v>
                </c:pt>
                <c:pt idx="1363">
                  <c:v>05/17/2014 04:45 PDT</c:v>
                </c:pt>
                <c:pt idx="1364">
                  <c:v>05/17/2014 05:00 PDT</c:v>
                </c:pt>
                <c:pt idx="1365">
                  <c:v>05/17/2014 05:15 PDT</c:v>
                </c:pt>
                <c:pt idx="1366">
                  <c:v>05/17/2014 05:30 PDT</c:v>
                </c:pt>
                <c:pt idx="1367">
                  <c:v>05/17/2014 05:45 PDT</c:v>
                </c:pt>
                <c:pt idx="1368">
                  <c:v>05/17/2014 06:00 PDT</c:v>
                </c:pt>
                <c:pt idx="1369">
                  <c:v>05/17/2014 06:15 PDT</c:v>
                </c:pt>
                <c:pt idx="1370">
                  <c:v>05/17/2014 06:30 PDT</c:v>
                </c:pt>
                <c:pt idx="1371">
                  <c:v>05/17/2014 06:45 PDT</c:v>
                </c:pt>
                <c:pt idx="1372">
                  <c:v>05/17/2014 07:00 PDT</c:v>
                </c:pt>
                <c:pt idx="1373">
                  <c:v>05/17/2014 07:15 PDT</c:v>
                </c:pt>
                <c:pt idx="1374">
                  <c:v>05/17/2014 07:30 PDT</c:v>
                </c:pt>
                <c:pt idx="1375">
                  <c:v>05/17/2014 07:45 PDT</c:v>
                </c:pt>
                <c:pt idx="1376">
                  <c:v>05/17/2014 08:00 PDT</c:v>
                </c:pt>
                <c:pt idx="1377">
                  <c:v>05/17/2014 08:15 PDT</c:v>
                </c:pt>
                <c:pt idx="1378">
                  <c:v>05/17/2014 08:30 PDT</c:v>
                </c:pt>
                <c:pt idx="1379">
                  <c:v>05/17/2014 08:45 PDT</c:v>
                </c:pt>
                <c:pt idx="1380">
                  <c:v>05/17/2014 09:00 PDT</c:v>
                </c:pt>
                <c:pt idx="1381">
                  <c:v>05/17/2014 09:15 PDT</c:v>
                </c:pt>
                <c:pt idx="1382">
                  <c:v>05/17/2014 09:30 PDT</c:v>
                </c:pt>
                <c:pt idx="1383">
                  <c:v>05/17/2014 09:45 PDT</c:v>
                </c:pt>
                <c:pt idx="1384">
                  <c:v>05/17/2014 10:00 PDT</c:v>
                </c:pt>
                <c:pt idx="1385">
                  <c:v>05/17/2014 10:15 PDT</c:v>
                </c:pt>
                <c:pt idx="1386">
                  <c:v>05/17/2014 10:30 PDT</c:v>
                </c:pt>
                <c:pt idx="1387">
                  <c:v>05/17/2014 10:45 PDT</c:v>
                </c:pt>
                <c:pt idx="1388">
                  <c:v>05/17/2014 11:00 PDT</c:v>
                </c:pt>
                <c:pt idx="1389">
                  <c:v>05/17/2014 11:15 PDT</c:v>
                </c:pt>
                <c:pt idx="1390">
                  <c:v>05/17/2014 11:30 PDT</c:v>
                </c:pt>
                <c:pt idx="1391">
                  <c:v>05/17/2014 11:45 PDT</c:v>
                </c:pt>
                <c:pt idx="1392">
                  <c:v>05/17/2014 12:00 PDT</c:v>
                </c:pt>
                <c:pt idx="1393">
                  <c:v>05/17/2014 12:15 PDT</c:v>
                </c:pt>
                <c:pt idx="1394">
                  <c:v>05/17/2014 12:30 PDT</c:v>
                </c:pt>
                <c:pt idx="1395">
                  <c:v>05/17/2014 12:45 PDT</c:v>
                </c:pt>
                <c:pt idx="1396">
                  <c:v>05/17/2014 13:00 PDT</c:v>
                </c:pt>
                <c:pt idx="1397">
                  <c:v>05/17/2014 13:15 PDT</c:v>
                </c:pt>
                <c:pt idx="1398">
                  <c:v>05/17/2014 13:30 PDT</c:v>
                </c:pt>
                <c:pt idx="1399">
                  <c:v>05/17/2014 13:45 PDT</c:v>
                </c:pt>
                <c:pt idx="1400">
                  <c:v>05/17/2014 14:00 PDT</c:v>
                </c:pt>
                <c:pt idx="1401">
                  <c:v>05/17/2014 14:15 PDT</c:v>
                </c:pt>
                <c:pt idx="1402">
                  <c:v>05/17/2014 14:30 PDT</c:v>
                </c:pt>
                <c:pt idx="1403">
                  <c:v>05/17/2014 14:45 PDT</c:v>
                </c:pt>
                <c:pt idx="1404">
                  <c:v>05/17/2014 15:00 PDT</c:v>
                </c:pt>
                <c:pt idx="1405">
                  <c:v>05/17/2014 15:15 PDT</c:v>
                </c:pt>
                <c:pt idx="1406">
                  <c:v>05/17/2014 15:30 PDT</c:v>
                </c:pt>
                <c:pt idx="1407">
                  <c:v>05/17/2014 15:45 PDT</c:v>
                </c:pt>
                <c:pt idx="1408">
                  <c:v>05/17/2014 16:00 PDT</c:v>
                </c:pt>
                <c:pt idx="1409">
                  <c:v>05/17/2014 16:15 PDT</c:v>
                </c:pt>
                <c:pt idx="1410">
                  <c:v>05/17/2014 16:30 PDT</c:v>
                </c:pt>
                <c:pt idx="1411">
                  <c:v>05/17/2014 16:45 PDT</c:v>
                </c:pt>
                <c:pt idx="1412">
                  <c:v>05/17/2014 17:00 PDT</c:v>
                </c:pt>
                <c:pt idx="1413">
                  <c:v>05/17/2014 17:15 PDT</c:v>
                </c:pt>
                <c:pt idx="1414">
                  <c:v>05/17/2014 17:30 PDT</c:v>
                </c:pt>
                <c:pt idx="1415">
                  <c:v>05/17/2014 17:45 PDT</c:v>
                </c:pt>
                <c:pt idx="1416">
                  <c:v>05/17/2014 18:00 PDT</c:v>
                </c:pt>
                <c:pt idx="1417">
                  <c:v>05/17/2014 18:15 PDT</c:v>
                </c:pt>
                <c:pt idx="1418">
                  <c:v>05/17/2014 18:30 PDT</c:v>
                </c:pt>
                <c:pt idx="1419">
                  <c:v>05/17/2014 18:45 PDT</c:v>
                </c:pt>
                <c:pt idx="1420">
                  <c:v>05/17/2014 19:00 PDT</c:v>
                </c:pt>
                <c:pt idx="1421">
                  <c:v>05/17/2014 19:15 PDT</c:v>
                </c:pt>
                <c:pt idx="1422">
                  <c:v>05/17/2014 19:30 PDT</c:v>
                </c:pt>
                <c:pt idx="1423">
                  <c:v>05/17/2014 19:45 PDT</c:v>
                </c:pt>
                <c:pt idx="1424">
                  <c:v>05/17/2014 20:00 PDT</c:v>
                </c:pt>
                <c:pt idx="1425">
                  <c:v>05/17/2014 20:15 PDT</c:v>
                </c:pt>
                <c:pt idx="1426">
                  <c:v>05/17/2014 20:30 PDT</c:v>
                </c:pt>
                <c:pt idx="1427">
                  <c:v>05/17/2014 20:45 PDT</c:v>
                </c:pt>
                <c:pt idx="1428">
                  <c:v>05/17/2014 21:00 PDT</c:v>
                </c:pt>
                <c:pt idx="1429">
                  <c:v>05/17/2014 21:15 PDT</c:v>
                </c:pt>
                <c:pt idx="1430">
                  <c:v>05/17/2014 21:30 PDT</c:v>
                </c:pt>
                <c:pt idx="1431">
                  <c:v>05/17/2014 21:45 PDT</c:v>
                </c:pt>
                <c:pt idx="1432">
                  <c:v>05/17/2014 22:00 PDT</c:v>
                </c:pt>
                <c:pt idx="1433">
                  <c:v>05/17/2014 22:15 PDT</c:v>
                </c:pt>
                <c:pt idx="1434">
                  <c:v>05/17/2014 22:30 PDT</c:v>
                </c:pt>
                <c:pt idx="1435">
                  <c:v>05/17/2014 22:45 PDT</c:v>
                </c:pt>
                <c:pt idx="1436">
                  <c:v>05/17/2014 23:00 PDT</c:v>
                </c:pt>
                <c:pt idx="1437">
                  <c:v>05/17/2014 23:15 PDT</c:v>
                </c:pt>
                <c:pt idx="1438">
                  <c:v>05/17/2014 23:30 PDT</c:v>
                </c:pt>
                <c:pt idx="1439">
                  <c:v>05/17/2014 23:45 PDT</c:v>
                </c:pt>
                <c:pt idx="1440">
                  <c:v>05/18/2014 00:00 PDT</c:v>
                </c:pt>
                <c:pt idx="1441">
                  <c:v>05/18/2014 00:15 PDT</c:v>
                </c:pt>
                <c:pt idx="1442">
                  <c:v>05/18/2014 00:30 PDT</c:v>
                </c:pt>
                <c:pt idx="1443">
                  <c:v>05/18/2014 00:45 PDT</c:v>
                </c:pt>
                <c:pt idx="1444">
                  <c:v>05/18/2014 01:00 PDT</c:v>
                </c:pt>
                <c:pt idx="1445">
                  <c:v>05/18/2014 01:15 PDT</c:v>
                </c:pt>
                <c:pt idx="1446">
                  <c:v>05/18/2014 01:30 PDT</c:v>
                </c:pt>
                <c:pt idx="1447">
                  <c:v>05/18/2014 01:45 PDT</c:v>
                </c:pt>
                <c:pt idx="1448">
                  <c:v>05/18/2014 02:00 PDT</c:v>
                </c:pt>
                <c:pt idx="1449">
                  <c:v>05/18/2014 02:15 PDT</c:v>
                </c:pt>
                <c:pt idx="1450">
                  <c:v>05/18/2014 02:30 PDT</c:v>
                </c:pt>
                <c:pt idx="1451">
                  <c:v>05/18/2014 02:45 PDT</c:v>
                </c:pt>
                <c:pt idx="1452">
                  <c:v>05/18/2014 03:00 PDT</c:v>
                </c:pt>
                <c:pt idx="1453">
                  <c:v>05/18/2014 03:15 PDT</c:v>
                </c:pt>
                <c:pt idx="1454">
                  <c:v>05/18/2014 03:30 PDT</c:v>
                </c:pt>
                <c:pt idx="1455">
                  <c:v>05/18/2014 03:45 PDT</c:v>
                </c:pt>
                <c:pt idx="1456">
                  <c:v>05/18/2014 04:00 PDT</c:v>
                </c:pt>
                <c:pt idx="1457">
                  <c:v>05/18/2014 04:15 PDT</c:v>
                </c:pt>
                <c:pt idx="1458">
                  <c:v>05/18/2014 04:30 PDT</c:v>
                </c:pt>
                <c:pt idx="1459">
                  <c:v>05/18/2014 04:45 PDT</c:v>
                </c:pt>
                <c:pt idx="1460">
                  <c:v>05/18/2014 05:00 PDT</c:v>
                </c:pt>
                <c:pt idx="1461">
                  <c:v>05/18/2014 05:15 PDT</c:v>
                </c:pt>
                <c:pt idx="1462">
                  <c:v>05/18/2014 05:30 PDT</c:v>
                </c:pt>
                <c:pt idx="1463">
                  <c:v>05/18/2014 05:45 PDT</c:v>
                </c:pt>
                <c:pt idx="1464">
                  <c:v>05/18/2014 06:00 PDT</c:v>
                </c:pt>
                <c:pt idx="1465">
                  <c:v>05/18/2014 06:15 PDT</c:v>
                </c:pt>
                <c:pt idx="1466">
                  <c:v>05/18/2014 06:30 PDT</c:v>
                </c:pt>
                <c:pt idx="1467">
                  <c:v>05/18/2014 06:45 PDT</c:v>
                </c:pt>
                <c:pt idx="1468">
                  <c:v>05/18/2014 07:00 PDT</c:v>
                </c:pt>
                <c:pt idx="1469">
                  <c:v>05/18/2014 07:15 PDT</c:v>
                </c:pt>
                <c:pt idx="1470">
                  <c:v>05/18/2014 07:30 PDT</c:v>
                </c:pt>
                <c:pt idx="1471">
                  <c:v>05/18/2014 07:45 PDT</c:v>
                </c:pt>
                <c:pt idx="1472">
                  <c:v>05/18/2014 08:00 PDT</c:v>
                </c:pt>
                <c:pt idx="1473">
                  <c:v>05/18/2014 08:15 PDT</c:v>
                </c:pt>
                <c:pt idx="1474">
                  <c:v>05/18/2014 08:30 PDT</c:v>
                </c:pt>
                <c:pt idx="1475">
                  <c:v>05/18/2014 08:45 PDT</c:v>
                </c:pt>
                <c:pt idx="1476">
                  <c:v>05/18/2014 09:00 PDT</c:v>
                </c:pt>
                <c:pt idx="1477">
                  <c:v>05/18/2014 09:15 PDT</c:v>
                </c:pt>
                <c:pt idx="1478">
                  <c:v>05/18/2014 09:30 PDT</c:v>
                </c:pt>
                <c:pt idx="1479">
                  <c:v>05/18/2014 09:45 PDT</c:v>
                </c:pt>
                <c:pt idx="1480">
                  <c:v>05/18/2014 10:00 PDT</c:v>
                </c:pt>
                <c:pt idx="1481">
                  <c:v>05/18/2014 10:15 PDT</c:v>
                </c:pt>
                <c:pt idx="1482">
                  <c:v>05/18/2014 10:30 PDT</c:v>
                </c:pt>
                <c:pt idx="1483">
                  <c:v>05/18/2014 10:45 PDT</c:v>
                </c:pt>
                <c:pt idx="1484">
                  <c:v>05/18/2014 11:00 PDT</c:v>
                </c:pt>
                <c:pt idx="1485">
                  <c:v>05/18/2014 11:15 PDT</c:v>
                </c:pt>
                <c:pt idx="1486">
                  <c:v>05/18/2014 11:30 PDT</c:v>
                </c:pt>
                <c:pt idx="1487">
                  <c:v>05/18/2014 11:45 PDT</c:v>
                </c:pt>
                <c:pt idx="1488">
                  <c:v>05/18/2014 12:00 PDT</c:v>
                </c:pt>
                <c:pt idx="1489">
                  <c:v>05/18/2014 12:15 PDT</c:v>
                </c:pt>
                <c:pt idx="1490">
                  <c:v>05/18/2014 12:30 PDT</c:v>
                </c:pt>
                <c:pt idx="1491">
                  <c:v>05/18/2014 12:45 PDT</c:v>
                </c:pt>
                <c:pt idx="1492">
                  <c:v>05/18/2014 13:00 PDT</c:v>
                </c:pt>
                <c:pt idx="1493">
                  <c:v>05/18/2014 13:15 PDT</c:v>
                </c:pt>
                <c:pt idx="1494">
                  <c:v>05/18/2014 13:30 PDT</c:v>
                </c:pt>
                <c:pt idx="1495">
                  <c:v>05/18/2014 13:45 PDT</c:v>
                </c:pt>
                <c:pt idx="1496">
                  <c:v>05/18/2014 14:00 PDT</c:v>
                </c:pt>
                <c:pt idx="1497">
                  <c:v>05/18/2014 14:15 PDT</c:v>
                </c:pt>
                <c:pt idx="1498">
                  <c:v>05/18/2014 14:30 PDT</c:v>
                </c:pt>
                <c:pt idx="1499">
                  <c:v>05/18/2014 14:45 PDT</c:v>
                </c:pt>
                <c:pt idx="1500">
                  <c:v>05/18/2014 15:00 PDT</c:v>
                </c:pt>
                <c:pt idx="1501">
                  <c:v>05/18/2014 15:15 PDT</c:v>
                </c:pt>
                <c:pt idx="1502">
                  <c:v>05/18/2014 15:30 PDT</c:v>
                </c:pt>
                <c:pt idx="1503">
                  <c:v>05/18/2014 15:45 PDT</c:v>
                </c:pt>
                <c:pt idx="1504">
                  <c:v>05/18/2014 16:00 PDT</c:v>
                </c:pt>
                <c:pt idx="1505">
                  <c:v>05/18/2014 16:15 PDT</c:v>
                </c:pt>
                <c:pt idx="1506">
                  <c:v>05/18/2014 16:30 PDT</c:v>
                </c:pt>
                <c:pt idx="1507">
                  <c:v>05/18/2014 16:45 PDT</c:v>
                </c:pt>
                <c:pt idx="1508">
                  <c:v>05/18/2014 17:00 PDT</c:v>
                </c:pt>
                <c:pt idx="1509">
                  <c:v>05/18/2014 17:15 PDT</c:v>
                </c:pt>
                <c:pt idx="1510">
                  <c:v>05/18/2014 17:30 PDT</c:v>
                </c:pt>
                <c:pt idx="1511">
                  <c:v>05/18/2014 17:45 PDT</c:v>
                </c:pt>
                <c:pt idx="1512">
                  <c:v>05/18/2014 18:00 PDT</c:v>
                </c:pt>
                <c:pt idx="1513">
                  <c:v>05/18/2014 18:15 PDT</c:v>
                </c:pt>
                <c:pt idx="1514">
                  <c:v>05/18/2014 18:30 PDT</c:v>
                </c:pt>
                <c:pt idx="1515">
                  <c:v>05/18/2014 18:45 PDT</c:v>
                </c:pt>
                <c:pt idx="1516">
                  <c:v>05/18/2014 19:00 PDT</c:v>
                </c:pt>
                <c:pt idx="1517">
                  <c:v>05/18/2014 19:15 PDT</c:v>
                </c:pt>
                <c:pt idx="1518">
                  <c:v>05/18/2014 19:30 PDT</c:v>
                </c:pt>
                <c:pt idx="1519">
                  <c:v>05/18/2014 19:45 PDT</c:v>
                </c:pt>
                <c:pt idx="1520">
                  <c:v>05/18/2014 20:00 PDT</c:v>
                </c:pt>
                <c:pt idx="1521">
                  <c:v>05/18/2014 20:15 PDT</c:v>
                </c:pt>
                <c:pt idx="1522">
                  <c:v>05/18/2014 20:30 PDT</c:v>
                </c:pt>
                <c:pt idx="1523">
                  <c:v>05/18/2014 20:45 PDT</c:v>
                </c:pt>
                <c:pt idx="1524">
                  <c:v>05/18/2014 21:00 PDT</c:v>
                </c:pt>
                <c:pt idx="1525">
                  <c:v>05/18/2014 21:15 PDT</c:v>
                </c:pt>
                <c:pt idx="1526">
                  <c:v>05/18/2014 21:30 PDT</c:v>
                </c:pt>
                <c:pt idx="1527">
                  <c:v>05/18/2014 21:45 PDT</c:v>
                </c:pt>
                <c:pt idx="1528">
                  <c:v>05/18/2014 22:00 PDT</c:v>
                </c:pt>
                <c:pt idx="1529">
                  <c:v>05/18/2014 22:15 PDT</c:v>
                </c:pt>
                <c:pt idx="1530">
                  <c:v>05/18/2014 22:30 PDT</c:v>
                </c:pt>
                <c:pt idx="1531">
                  <c:v>05/18/2014 22:45 PDT</c:v>
                </c:pt>
                <c:pt idx="1532">
                  <c:v>05/18/2014 23:00 PDT</c:v>
                </c:pt>
                <c:pt idx="1533">
                  <c:v>05/18/2014 23:15 PDT</c:v>
                </c:pt>
                <c:pt idx="1534">
                  <c:v>05/18/2014 23:30 PDT</c:v>
                </c:pt>
                <c:pt idx="1535">
                  <c:v>05/18/2014 23:45 PDT</c:v>
                </c:pt>
                <c:pt idx="1536">
                  <c:v>05/19/2014 00:00 PDT</c:v>
                </c:pt>
                <c:pt idx="1537">
                  <c:v>05/19/2014 00:15 PDT</c:v>
                </c:pt>
                <c:pt idx="1538">
                  <c:v>05/19/2014 00:30 PDT</c:v>
                </c:pt>
                <c:pt idx="1539">
                  <c:v>05/19/2014 00:45 PDT</c:v>
                </c:pt>
                <c:pt idx="1540">
                  <c:v>05/19/2014 01:00 PDT</c:v>
                </c:pt>
                <c:pt idx="1541">
                  <c:v>05/19/2014 01:15 PDT</c:v>
                </c:pt>
                <c:pt idx="1542">
                  <c:v>05/19/2014 01:30 PDT</c:v>
                </c:pt>
                <c:pt idx="1543">
                  <c:v>05/19/2014 01:45 PDT</c:v>
                </c:pt>
                <c:pt idx="1544">
                  <c:v>05/19/2014 02:00 PDT</c:v>
                </c:pt>
                <c:pt idx="1545">
                  <c:v>05/19/2014 02:15 PDT</c:v>
                </c:pt>
                <c:pt idx="1546">
                  <c:v>05/19/2014 02:30 PDT</c:v>
                </c:pt>
                <c:pt idx="1547">
                  <c:v>05/19/2014 02:45 PDT</c:v>
                </c:pt>
                <c:pt idx="1548">
                  <c:v>05/19/2014 03:00 PDT</c:v>
                </c:pt>
                <c:pt idx="1549">
                  <c:v>05/19/2014 03:15 PDT</c:v>
                </c:pt>
                <c:pt idx="1550">
                  <c:v>05/19/2014 03:30 PDT</c:v>
                </c:pt>
                <c:pt idx="1551">
                  <c:v>05/19/2014 03:45 PDT</c:v>
                </c:pt>
                <c:pt idx="1552">
                  <c:v>05/19/2014 04:00 PDT</c:v>
                </c:pt>
                <c:pt idx="1553">
                  <c:v>05/19/2014 04:15 PDT</c:v>
                </c:pt>
                <c:pt idx="1554">
                  <c:v>05/19/2014 04:30 PDT</c:v>
                </c:pt>
                <c:pt idx="1555">
                  <c:v>05/19/2014 04:45 PDT</c:v>
                </c:pt>
                <c:pt idx="1556">
                  <c:v>05/19/2014 05:00 PDT</c:v>
                </c:pt>
                <c:pt idx="1557">
                  <c:v>05/19/2014 05:15 PDT</c:v>
                </c:pt>
                <c:pt idx="1558">
                  <c:v>05/19/2014 05:30 PDT</c:v>
                </c:pt>
                <c:pt idx="1559">
                  <c:v>05/19/2014 05:45 PDT</c:v>
                </c:pt>
                <c:pt idx="1560">
                  <c:v>05/19/2014 06:00 PDT</c:v>
                </c:pt>
                <c:pt idx="1561">
                  <c:v>05/19/2014 06:15 PDT</c:v>
                </c:pt>
                <c:pt idx="1562">
                  <c:v>05/19/2014 06:30 PDT</c:v>
                </c:pt>
                <c:pt idx="1563">
                  <c:v>05/19/2014 06:45 PDT</c:v>
                </c:pt>
                <c:pt idx="1564">
                  <c:v>05/19/2014 07:00 PDT</c:v>
                </c:pt>
                <c:pt idx="1565">
                  <c:v>05/19/2014 07:15 PDT</c:v>
                </c:pt>
                <c:pt idx="1566">
                  <c:v>05/19/2014 07:30 PDT</c:v>
                </c:pt>
                <c:pt idx="1567">
                  <c:v>05/19/2014 07:45 PDT</c:v>
                </c:pt>
                <c:pt idx="1568">
                  <c:v>05/19/2014 08:00 PDT</c:v>
                </c:pt>
                <c:pt idx="1569">
                  <c:v>05/19/2014 08:15 PDT</c:v>
                </c:pt>
                <c:pt idx="1570">
                  <c:v>05/19/2014 08:30 PDT</c:v>
                </c:pt>
                <c:pt idx="1571">
                  <c:v>05/19/2014 08:45 PDT</c:v>
                </c:pt>
                <c:pt idx="1572">
                  <c:v>05/19/2014 09:00 PDT</c:v>
                </c:pt>
                <c:pt idx="1573">
                  <c:v>05/19/2014 09:15 PDT</c:v>
                </c:pt>
                <c:pt idx="1574">
                  <c:v>05/19/2014 09:30 PDT</c:v>
                </c:pt>
                <c:pt idx="1575">
                  <c:v>05/19/2014 09:45 PDT</c:v>
                </c:pt>
                <c:pt idx="1576">
                  <c:v>05/19/2014 10:00 PDT</c:v>
                </c:pt>
                <c:pt idx="1577">
                  <c:v>05/19/2014 10:15 PDT</c:v>
                </c:pt>
                <c:pt idx="1578">
                  <c:v>05/19/2014 10:30 PDT</c:v>
                </c:pt>
                <c:pt idx="1579">
                  <c:v>05/19/2014 10:45 PDT</c:v>
                </c:pt>
                <c:pt idx="1580">
                  <c:v>05/19/2014 11:00 PDT</c:v>
                </c:pt>
                <c:pt idx="1581">
                  <c:v>05/19/2014 11:15 PDT</c:v>
                </c:pt>
                <c:pt idx="1582">
                  <c:v>05/19/2014 11:30 PDT</c:v>
                </c:pt>
                <c:pt idx="1583">
                  <c:v>05/19/2014 11:45 PDT</c:v>
                </c:pt>
                <c:pt idx="1584">
                  <c:v>05/19/2014 12:00 PDT</c:v>
                </c:pt>
                <c:pt idx="1585">
                  <c:v>05/19/2014 12:15 PDT</c:v>
                </c:pt>
                <c:pt idx="1586">
                  <c:v>05/19/2014 12:30 PDT</c:v>
                </c:pt>
                <c:pt idx="1587">
                  <c:v>05/19/2014 12:45 PDT</c:v>
                </c:pt>
                <c:pt idx="1588">
                  <c:v>05/19/2014 13:00 PDT</c:v>
                </c:pt>
                <c:pt idx="1589">
                  <c:v>05/19/2014 13:15 PDT</c:v>
                </c:pt>
                <c:pt idx="1590">
                  <c:v>05/19/2014 13:30 PDT</c:v>
                </c:pt>
                <c:pt idx="1591">
                  <c:v>05/19/2014 13:45 PDT</c:v>
                </c:pt>
                <c:pt idx="1592">
                  <c:v>05/19/2014 14:00 PDT</c:v>
                </c:pt>
                <c:pt idx="1593">
                  <c:v>05/19/2014 14:15 PDT</c:v>
                </c:pt>
                <c:pt idx="1594">
                  <c:v>05/19/2014 14:30 PDT</c:v>
                </c:pt>
                <c:pt idx="1595">
                  <c:v>05/19/2014 14:45 PDT</c:v>
                </c:pt>
                <c:pt idx="1596">
                  <c:v>05/19/2014 15:00 PDT</c:v>
                </c:pt>
                <c:pt idx="1597">
                  <c:v>05/19/2014 15:15 PDT</c:v>
                </c:pt>
                <c:pt idx="1598">
                  <c:v>05/19/2014 15:30 PDT</c:v>
                </c:pt>
                <c:pt idx="1599">
                  <c:v>05/19/2014 15:45 PDT</c:v>
                </c:pt>
                <c:pt idx="1600">
                  <c:v>05/19/2014 16:00 PDT</c:v>
                </c:pt>
                <c:pt idx="1601">
                  <c:v>05/19/2014 16:15 PDT</c:v>
                </c:pt>
                <c:pt idx="1602">
                  <c:v>05/19/2014 16:30 PDT</c:v>
                </c:pt>
                <c:pt idx="1603">
                  <c:v>05/19/2014 16:45 PDT</c:v>
                </c:pt>
                <c:pt idx="1604">
                  <c:v>05/19/2014 17:00 PDT</c:v>
                </c:pt>
                <c:pt idx="1605">
                  <c:v>05/19/2014 17:15 PDT</c:v>
                </c:pt>
                <c:pt idx="1606">
                  <c:v>05/19/2014 17:30 PDT</c:v>
                </c:pt>
                <c:pt idx="1607">
                  <c:v>05/19/2014 17:45 PDT</c:v>
                </c:pt>
                <c:pt idx="1608">
                  <c:v>05/19/2014 18:00 PDT</c:v>
                </c:pt>
                <c:pt idx="1609">
                  <c:v>05/19/2014 18:15 PDT</c:v>
                </c:pt>
                <c:pt idx="1610">
                  <c:v>05/19/2014 18:30 PDT</c:v>
                </c:pt>
                <c:pt idx="1611">
                  <c:v>05/19/2014 18:45 PDT</c:v>
                </c:pt>
                <c:pt idx="1612">
                  <c:v>05/19/2014 19:00 PDT</c:v>
                </c:pt>
                <c:pt idx="1613">
                  <c:v>05/19/2014 19:15 PDT</c:v>
                </c:pt>
                <c:pt idx="1614">
                  <c:v>05/19/2014 19:30 PDT</c:v>
                </c:pt>
                <c:pt idx="1615">
                  <c:v>05/19/2014 19:45 PDT</c:v>
                </c:pt>
                <c:pt idx="1616">
                  <c:v>05/19/2014 20:00 PDT</c:v>
                </c:pt>
                <c:pt idx="1617">
                  <c:v>05/19/2014 20:15 PDT</c:v>
                </c:pt>
                <c:pt idx="1618">
                  <c:v>05/19/2014 20:30 PDT</c:v>
                </c:pt>
                <c:pt idx="1619">
                  <c:v>05/19/2014 20:45 PDT</c:v>
                </c:pt>
                <c:pt idx="1620">
                  <c:v>05/19/2014 21:00 PDT</c:v>
                </c:pt>
                <c:pt idx="1621">
                  <c:v>05/19/2014 21:15 PDT</c:v>
                </c:pt>
                <c:pt idx="1622">
                  <c:v>05/19/2014 21:30 PDT</c:v>
                </c:pt>
                <c:pt idx="1623">
                  <c:v>05/19/2014 21:45 PDT</c:v>
                </c:pt>
                <c:pt idx="1624">
                  <c:v>05/19/2014 22:00 PDT</c:v>
                </c:pt>
                <c:pt idx="1625">
                  <c:v>05/19/2014 22:15 PDT</c:v>
                </c:pt>
                <c:pt idx="1626">
                  <c:v>05/19/2014 22:30 PDT</c:v>
                </c:pt>
                <c:pt idx="1627">
                  <c:v>05/19/2014 22:45 PDT</c:v>
                </c:pt>
                <c:pt idx="1628">
                  <c:v>05/19/2014 23:00 PDT</c:v>
                </c:pt>
                <c:pt idx="1629">
                  <c:v>05/19/2014 23:15 PDT</c:v>
                </c:pt>
                <c:pt idx="1630">
                  <c:v>05/19/2014 23:30 PDT</c:v>
                </c:pt>
                <c:pt idx="1631">
                  <c:v>05/19/2014 23:45 PDT</c:v>
                </c:pt>
                <c:pt idx="1632">
                  <c:v>05/20/2014 00:00 PDT</c:v>
                </c:pt>
                <c:pt idx="1633">
                  <c:v>05/20/2014 00:15 PDT</c:v>
                </c:pt>
                <c:pt idx="1634">
                  <c:v>05/20/2014 00:30 PDT</c:v>
                </c:pt>
                <c:pt idx="1635">
                  <c:v>05/20/2014 00:45 PDT</c:v>
                </c:pt>
                <c:pt idx="1636">
                  <c:v>05/20/2014 01:00 PDT</c:v>
                </c:pt>
                <c:pt idx="1637">
                  <c:v>05/20/2014 01:15 PDT</c:v>
                </c:pt>
                <c:pt idx="1638">
                  <c:v>05/20/2014 01:30 PDT</c:v>
                </c:pt>
                <c:pt idx="1639">
                  <c:v>05/20/2014 01:45 PDT</c:v>
                </c:pt>
                <c:pt idx="1640">
                  <c:v>05/20/2014 02:00 PDT</c:v>
                </c:pt>
                <c:pt idx="1641">
                  <c:v>05/20/2014 02:15 PDT</c:v>
                </c:pt>
                <c:pt idx="1642">
                  <c:v>05/20/2014 02:30 PDT</c:v>
                </c:pt>
                <c:pt idx="1643">
                  <c:v>05/20/2014 02:45 PDT</c:v>
                </c:pt>
                <c:pt idx="1644">
                  <c:v>05/20/2014 03:00 PDT</c:v>
                </c:pt>
                <c:pt idx="1645">
                  <c:v>05/20/2014 03:15 PDT</c:v>
                </c:pt>
                <c:pt idx="1646">
                  <c:v>05/20/2014 03:30 PDT</c:v>
                </c:pt>
                <c:pt idx="1647">
                  <c:v>05/20/2014 03:45 PDT</c:v>
                </c:pt>
                <c:pt idx="1648">
                  <c:v>05/20/2014 04:00 PDT</c:v>
                </c:pt>
                <c:pt idx="1649">
                  <c:v>05/20/2014 04:15 PDT</c:v>
                </c:pt>
                <c:pt idx="1650">
                  <c:v>05/20/2014 04:30 PDT</c:v>
                </c:pt>
                <c:pt idx="1651">
                  <c:v>05/20/2014 04:45 PDT</c:v>
                </c:pt>
                <c:pt idx="1652">
                  <c:v>05/20/2014 05:00 PDT</c:v>
                </c:pt>
                <c:pt idx="1653">
                  <c:v>05/20/2014 05:15 PDT</c:v>
                </c:pt>
                <c:pt idx="1654">
                  <c:v>05/20/2014 05:30 PDT</c:v>
                </c:pt>
                <c:pt idx="1655">
                  <c:v>05/20/2014 05:45 PDT</c:v>
                </c:pt>
                <c:pt idx="1656">
                  <c:v>05/20/2014 06:00 PDT</c:v>
                </c:pt>
                <c:pt idx="1657">
                  <c:v>05/20/2014 06:15 PDT</c:v>
                </c:pt>
                <c:pt idx="1658">
                  <c:v>05/20/2014 06:30 PDT</c:v>
                </c:pt>
                <c:pt idx="1659">
                  <c:v>05/20/2014 06:45 PDT</c:v>
                </c:pt>
                <c:pt idx="1660">
                  <c:v>05/20/2014 07:00 PDT</c:v>
                </c:pt>
                <c:pt idx="1661">
                  <c:v>05/20/2014 07:15 PDT</c:v>
                </c:pt>
                <c:pt idx="1662">
                  <c:v>05/20/2014 07:30 PDT</c:v>
                </c:pt>
                <c:pt idx="1663">
                  <c:v>05/20/2014 07:45 PDT</c:v>
                </c:pt>
                <c:pt idx="1664">
                  <c:v>05/20/2014 08:00 PDT</c:v>
                </c:pt>
                <c:pt idx="1665">
                  <c:v>05/20/2014 08:15 PDT</c:v>
                </c:pt>
                <c:pt idx="1666">
                  <c:v>05/20/2014 08:30 PDT</c:v>
                </c:pt>
                <c:pt idx="1667">
                  <c:v>05/20/2014 08:45 PDT</c:v>
                </c:pt>
                <c:pt idx="1668">
                  <c:v>05/20/2014 09:00 PDT</c:v>
                </c:pt>
                <c:pt idx="1669">
                  <c:v>05/20/2014 09:15 PDT</c:v>
                </c:pt>
                <c:pt idx="1670">
                  <c:v>05/20/2014 09:30 PDT</c:v>
                </c:pt>
                <c:pt idx="1671">
                  <c:v>05/20/2014 09:45 PDT</c:v>
                </c:pt>
                <c:pt idx="1672">
                  <c:v>05/20/2014 10:00 PDT</c:v>
                </c:pt>
                <c:pt idx="1673">
                  <c:v>05/20/2014 10:15 PDT</c:v>
                </c:pt>
                <c:pt idx="1674">
                  <c:v>05/20/2014 10:30 PDT</c:v>
                </c:pt>
                <c:pt idx="1675">
                  <c:v>05/20/2014 10:45 PDT</c:v>
                </c:pt>
                <c:pt idx="1676">
                  <c:v>05/20/2014 11:00 PDT</c:v>
                </c:pt>
                <c:pt idx="1677">
                  <c:v>05/20/2014 11:15 PDT</c:v>
                </c:pt>
                <c:pt idx="1678">
                  <c:v>05/20/2014 11:30 PDT</c:v>
                </c:pt>
                <c:pt idx="1679">
                  <c:v>05/20/2014 11:45 PDT</c:v>
                </c:pt>
                <c:pt idx="1680">
                  <c:v>05/20/2014 12:00 PDT</c:v>
                </c:pt>
                <c:pt idx="1681">
                  <c:v>05/20/2014 12:15 PDT</c:v>
                </c:pt>
                <c:pt idx="1682">
                  <c:v>05/20/2014 12:30 PDT</c:v>
                </c:pt>
                <c:pt idx="1683">
                  <c:v>05/20/2014 12:45 PDT</c:v>
                </c:pt>
                <c:pt idx="1684">
                  <c:v>05/20/2014 13:00 PDT</c:v>
                </c:pt>
                <c:pt idx="1685">
                  <c:v>05/20/2014 13:15 PDT</c:v>
                </c:pt>
                <c:pt idx="1686">
                  <c:v>05/20/2014 13:30 PDT</c:v>
                </c:pt>
                <c:pt idx="1687">
                  <c:v>05/20/2014 13:45 PDT</c:v>
                </c:pt>
                <c:pt idx="1688">
                  <c:v>05/20/2014 14:00 PDT</c:v>
                </c:pt>
                <c:pt idx="1689">
                  <c:v>05/20/2014 14:15 PDT</c:v>
                </c:pt>
                <c:pt idx="1690">
                  <c:v>05/20/2014 14:30 PDT</c:v>
                </c:pt>
                <c:pt idx="1691">
                  <c:v>05/20/2014 14:45 PDT</c:v>
                </c:pt>
                <c:pt idx="1692">
                  <c:v>05/20/2014 15:00 PDT</c:v>
                </c:pt>
                <c:pt idx="1693">
                  <c:v>05/20/2014 15:15 PDT</c:v>
                </c:pt>
                <c:pt idx="1694">
                  <c:v>05/20/2014 15:30 PDT</c:v>
                </c:pt>
                <c:pt idx="1695">
                  <c:v>05/20/2014 15:45 PDT</c:v>
                </c:pt>
                <c:pt idx="1696">
                  <c:v>05/20/2014 16:00 PDT</c:v>
                </c:pt>
                <c:pt idx="1697">
                  <c:v>05/20/2014 16:15 PDT</c:v>
                </c:pt>
                <c:pt idx="1698">
                  <c:v>05/20/2014 16:30 PDT</c:v>
                </c:pt>
                <c:pt idx="1699">
                  <c:v>05/20/2014 16:45 PDT</c:v>
                </c:pt>
                <c:pt idx="1700">
                  <c:v>05/20/2014 17:00 PDT</c:v>
                </c:pt>
                <c:pt idx="1701">
                  <c:v>05/20/2014 17:15 PDT</c:v>
                </c:pt>
                <c:pt idx="1702">
                  <c:v>05/20/2014 17:30 PDT</c:v>
                </c:pt>
                <c:pt idx="1703">
                  <c:v>05/20/2014 17:45 PDT</c:v>
                </c:pt>
                <c:pt idx="1704">
                  <c:v>05/20/2014 18:00 PDT</c:v>
                </c:pt>
                <c:pt idx="1705">
                  <c:v>05/20/2014 18:15 PDT</c:v>
                </c:pt>
                <c:pt idx="1706">
                  <c:v>05/20/2014 18:30 PDT</c:v>
                </c:pt>
                <c:pt idx="1707">
                  <c:v>05/20/2014 18:45 PDT</c:v>
                </c:pt>
                <c:pt idx="1708">
                  <c:v>05/20/2014 19:00 PDT</c:v>
                </c:pt>
                <c:pt idx="1709">
                  <c:v>05/20/2014 19:15 PDT</c:v>
                </c:pt>
                <c:pt idx="1710">
                  <c:v>05/20/2014 19:30 PDT</c:v>
                </c:pt>
                <c:pt idx="1711">
                  <c:v>05/20/2014 19:45 PDT</c:v>
                </c:pt>
                <c:pt idx="1712">
                  <c:v>05/20/2014 20:00 PDT</c:v>
                </c:pt>
                <c:pt idx="1713">
                  <c:v>05/20/2014 20:15 PDT</c:v>
                </c:pt>
                <c:pt idx="1714">
                  <c:v>05/20/2014 20:30 PDT</c:v>
                </c:pt>
                <c:pt idx="1715">
                  <c:v>05/20/2014 20:45 PDT</c:v>
                </c:pt>
                <c:pt idx="1716">
                  <c:v>05/20/2014 21:00 PDT</c:v>
                </c:pt>
                <c:pt idx="1717">
                  <c:v>05/20/2014 21:15 PDT</c:v>
                </c:pt>
                <c:pt idx="1718">
                  <c:v>05/20/2014 21:30 PDT</c:v>
                </c:pt>
                <c:pt idx="1719">
                  <c:v>05/20/2014 21:45 PDT</c:v>
                </c:pt>
                <c:pt idx="1720">
                  <c:v>05/20/2014 22:00 PDT</c:v>
                </c:pt>
                <c:pt idx="1721">
                  <c:v>05/20/2014 22:15 PDT</c:v>
                </c:pt>
                <c:pt idx="1722">
                  <c:v>05/20/2014 22:30 PDT</c:v>
                </c:pt>
                <c:pt idx="1723">
                  <c:v>05/20/2014 22:45 PDT</c:v>
                </c:pt>
                <c:pt idx="1724">
                  <c:v>05/20/2014 23:00 PDT</c:v>
                </c:pt>
                <c:pt idx="1725">
                  <c:v>05/20/2014 23:15 PDT</c:v>
                </c:pt>
                <c:pt idx="1726">
                  <c:v>05/20/2014 23:30 PDT</c:v>
                </c:pt>
                <c:pt idx="1727">
                  <c:v>05/20/2014 23:45 PDT</c:v>
                </c:pt>
                <c:pt idx="1728">
                  <c:v>05/21/2014 00:00 PDT</c:v>
                </c:pt>
                <c:pt idx="1729">
                  <c:v>05/21/2014 00:15 PDT</c:v>
                </c:pt>
                <c:pt idx="1730">
                  <c:v>05/21/2014 00:30 PDT</c:v>
                </c:pt>
                <c:pt idx="1731">
                  <c:v>05/21/2014 00:45 PDT</c:v>
                </c:pt>
                <c:pt idx="1732">
                  <c:v>05/21/2014 01:00 PDT</c:v>
                </c:pt>
                <c:pt idx="1733">
                  <c:v>05/21/2014 01:15 PDT</c:v>
                </c:pt>
                <c:pt idx="1734">
                  <c:v>05/21/2014 01:30 PDT</c:v>
                </c:pt>
                <c:pt idx="1735">
                  <c:v>05/21/2014 01:45 PDT</c:v>
                </c:pt>
                <c:pt idx="1736">
                  <c:v>05/21/2014 02:00 PDT</c:v>
                </c:pt>
                <c:pt idx="1737">
                  <c:v>05/21/2014 02:15 PDT</c:v>
                </c:pt>
                <c:pt idx="1738">
                  <c:v>05/21/2014 02:30 PDT</c:v>
                </c:pt>
                <c:pt idx="1739">
                  <c:v>05/21/2014 02:45 PDT</c:v>
                </c:pt>
                <c:pt idx="1740">
                  <c:v>05/21/2014 03:00 PDT</c:v>
                </c:pt>
                <c:pt idx="1741">
                  <c:v>05/21/2014 03:15 PDT</c:v>
                </c:pt>
                <c:pt idx="1742">
                  <c:v>05/21/2014 03:30 PDT</c:v>
                </c:pt>
                <c:pt idx="1743">
                  <c:v>05/21/2014 03:45 PDT</c:v>
                </c:pt>
                <c:pt idx="1744">
                  <c:v>05/21/2014 04:00 PDT</c:v>
                </c:pt>
                <c:pt idx="1745">
                  <c:v>05/21/2014 04:15 PDT</c:v>
                </c:pt>
                <c:pt idx="1746">
                  <c:v>05/21/2014 04:30 PDT</c:v>
                </c:pt>
                <c:pt idx="1747">
                  <c:v>05/21/2014 04:45 PDT</c:v>
                </c:pt>
                <c:pt idx="1748">
                  <c:v>05/21/2014 05:00 PDT</c:v>
                </c:pt>
                <c:pt idx="1749">
                  <c:v>05/21/2014 05:15 PDT</c:v>
                </c:pt>
                <c:pt idx="1750">
                  <c:v>05/21/2014 05:30 PDT</c:v>
                </c:pt>
                <c:pt idx="1751">
                  <c:v>05/21/2014 05:45 PDT</c:v>
                </c:pt>
                <c:pt idx="1752">
                  <c:v>05/21/2014 06:00 PDT</c:v>
                </c:pt>
                <c:pt idx="1753">
                  <c:v>05/21/2014 06:15 PDT</c:v>
                </c:pt>
                <c:pt idx="1754">
                  <c:v>05/21/2014 06:30 PDT</c:v>
                </c:pt>
                <c:pt idx="1755">
                  <c:v>05/21/2014 06:45 PDT</c:v>
                </c:pt>
                <c:pt idx="1756">
                  <c:v>05/21/2014 07:00 PDT</c:v>
                </c:pt>
                <c:pt idx="1757">
                  <c:v>05/21/2014 07:15 PDT</c:v>
                </c:pt>
                <c:pt idx="1758">
                  <c:v>05/21/2014 07:30 PDT</c:v>
                </c:pt>
                <c:pt idx="1759">
                  <c:v>05/21/2014 07:45 PDT</c:v>
                </c:pt>
                <c:pt idx="1760">
                  <c:v>05/21/2014 08:00 PDT</c:v>
                </c:pt>
                <c:pt idx="1761">
                  <c:v>05/21/2014 08:15 PDT</c:v>
                </c:pt>
                <c:pt idx="1762">
                  <c:v>05/21/2014 08:30 PDT</c:v>
                </c:pt>
                <c:pt idx="1763">
                  <c:v>05/21/2014 08:45 PDT</c:v>
                </c:pt>
                <c:pt idx="1764">
                  <c:v>05/21/2014 09:00 PDT</c:v>
                </c:pt>
                <c:pt idx="1765">
                  <c:v>05/21/2014 09:15 PDT</c:v>
                </c:pt>
                <c:pt idx="1766">
                  <c:v>05/21/2014 09:30 PDT</c:v>
                </c:pt>
                <c:pt idx="1767">
                  <c:v>05/21/2014 09:45 PDT</c:v>
                </c:pt>
                <c:pt idx="1768">
                  <c:v>05/21/2014 10:00 PDT</c:v>
                </c:pt>
                <c:pt idx="1769">
                  <c:v>05/21/2014 10:15 PDT</c:v>
                </c:pt>
                <c:pt idx="1770">
                  <c:v>05/21/2014 10:30 PDT</c:v>
                </c:pt>
                <c:pt idx="1771">
                  <c:v>05/21/2014 10:45 PDT</c:v>
                </c:pt>
                <c:pt idx="1772">
                  <c:v>05/21/2014 11:00 PDT</c:v>
                </c:pt>
                <c:pt idx="1773">
                  <c:v>05/21/2014 11:15 PDT</c:v>
                </c:pt>
                <c:pt idx="1774">
                  <c:v>05/21/2014 11:30 PDT</c:v>
                </c:pt>
                <c:pt idx="1775">
                  <c:v>05/21/2014 11:45 PDT</c:v>
                </c:pt>
                <c:pt idx="1776">
                  <c:v>05/21/2014 12:00 PDT</c:v>
                </c:pt>
                <c:pt idx="1777">
                  <c:v>05/21/2014 12:15 PDT</c:v>
                </c:pt>
                <c:pt idx="1778">
                  <c:v>05/21/2014 12:30 PDT</c:v>
                </c:pt>
                <c:pt idx="1779">
                  <c:v>05/21/2014 12:45 PDT</c:v>
                </c:pt>
                <c:pt idx="1780">
                  <c:v>05/21/2014 13:00 PDT</c:v>
                </c:pt>
                <c:pt idx="1781">
                  <c:v>05/21/2014 13:15 PDT</c:v>
                </c:pt>
                <c:pt idx="1782">
                  <c:v>05/21/2014 13:30 PDT</c:v>
                </c:pt>
                <c:pt idx="1783">
                  <c:v>05/21/2014 13:45 PDT</c:v>
                </c:pt>
                <c:pt idx="1784">
                  <c:v>05/21/2014 14:00 PDT</c:v>
                </c:pt>
                <c:pt idx="1785">
                  <c:v>05/21/2014 14:15 PDT</c:v>
                </c:pt>
                <c:pt idx="1786">
                  <c:v>05/21/2014 14:30 PDT</c:v>
                </c:pt>
                <c:pt idx="1787">
                  <c:v>05/21/2014 14:45 PDT</c:v>
                </c:pt>
                <c:pt idx="1788">
                  <c:v>05/21/2014 15:00 PDT</c:v>
                </c:pt>
                <c:pt idx="1789">
                  <c:v>05/21/2014 15:15 PDT</c:v>
                </c:pt>
                <c:pt idx="1790">
                  <c:v>05/21/2014 15:30 PDT</c:v>
                </c:pt>
                <c:pt idx="1791">
                  <c:v>05/21/2014 15:45 PDT</c:v>
                </c:pt>
                <c:pt idx="1792">
                  <c:v>05/21/2014 16:00 PDT</c:v>
                </c:pt>
                <c:pt idx="1793">
                  <c:v>05/21/2014 16:15 PDT</c:v>
                </c:pt>
                <c:pt idx="1794">
                  <c:v>05/21/2014 16:30 PDT</c:v>
                </c:pt>
                <c:pt idx="1795">
                  <c:v>05/21/2014 16:45 PDT</c:v>
                </c:pt>
                <c:pt idx="1796">
                  <c:v>05/21/2014 17:00 PDT</c:v>
                </c:pt>
                <c:pt idx="1797">
                  <c:v>05/21/2014 17:15 PDT</c:v>
                </c:pt>
                <c:pt idx="1798">
                  <c:v>05/21/2014 17:30 PDT</c:v>
                </c:pt>
                <c:pt idx="1799">
                  <c:v>05/21/2014 17:45 PDT</c:v>
                </c:pt>
                <c:pt idx="1800">
                  <c:v>05/21/2014 18:00 PDT</c:v>
                </c:pt>
                <c:pt idx="1801">
                  <c:v>05/21/2014 18:15 PDT</c:v>
                </c:pt>
                <c:pt idx="1802">
                  <c:v>05/21/2014 18:30 PDT</c:v>
                </c:pt>
                <c:pt idx="1803">
                  <c:v>05/21/2014 18:45 PDT</c:v>
                </c:pt>
                <c:pt idx="1804">
                  <c:v>05/21/2014 19:00 PDT</c:v>
                </c:pt>
                <c:pt idx="1805">
                  <c:v>05/21/2014 19:15 PDT</c:v>
                </c:pt>
                <c:pt idx="1806">
                  <c:v>05/21/2014 19:30 PDT</c:v>
                </c:pt>
                <c:pt idx="1807">
                  <c:v>05/21/2014 19:45 PDT</c:v>
                </c:pt>
                <c:pt idx="1808">
                  <c:v>05/21/2014 20:00 PDT</c:v>
                </c:pt>
                <c:pt idx="1809">
                  <c:v>05/21/2014 20:15 PDT</c:v>
                </c:pt>
                <c:pt idx="1810">
                  <c:v>05/21/2014 20:30 PDT</c:v>
                </c:pt>
                <c:pt idx="1811">
                  <c:v>05/21/2014 20:45 PDT</c:v>
                </c:pt>
                <c:pt idx="1812">
                  <c:v>05/21/2014 21:00 PDT</c:v>
                </c:pt>
                <c:pt idx="1813">
                  <c:v>05/21/2014 21:15 PDT</c:v>
                </c:pt>
                <c:pt idx="1814">
                  <c:v>05/21/2014 21:30 PDT</c:v>
                </c:pt>
                <c:pt idx="1815">
                  <c:v>05/21/2014 21:45 PDT</c:v>
                </c:pt>
                <c:pt idx="1816">
                  <c:v>05/21/2014 22:00 PDT</c:v>
                </c:pt>
                <c:pt idx="1817">
                  <c:v>05/21/2014 22:15 PDT</c:v>
                </c:pt>
                <c:pt idx="1818">
                  <c:v>05/21/2014 22:30 PDT</c:v>
                </c:pt>
                <c:pt idx="1819">
                  <c:v>05/21/2014 22:45 PDT</c:v>
                </c:pt>
                <c:pt idx="1820">
                  <c:v>05/21/2014 23:00 PDT</c:v>
                </c:pt>
                <c:pt idx="1821">
                  <c:v>05/21/2014 23:15 PDT</c:v>
                </c:pt>
                <c:pt idx="1822">
                  <c:v>05/21/2014 23:30 PDT</c:v>
                </c:pt>
                <c:pt idx="1823">
                  <c:v>05/21/2014 23:45 PDT</c:v>
                </c:pt>
                <c:pt idx="1824">
                  <c:v>05/22/2014 00:00 PDT</c:v>
                </c:pt>
                <c:pt idx="1825">
                  <c:v>05/22/2014 00:15 PDT</c:v>
                </c:pt>
                <c:pt idx="1826">
                  <c:v>05/22/2014 00:30 PDT</c:v>
                </c:pt>
                <c:pt idx="1827">
                  <c:v>05/22/2014 00:45 PDT</c:v>
                </c:pt>
                <c:pt idx="1828">
                  <c:v>05/22/2014 01:00 PDT</c:v>
                </c:pt>
                <c:pt idx="1829">
                  <c:v>05/22/2014 01:15 PDT</c:v>
                </c:pt>
                <c:pt idx="1830">
                  <c:v>05/22/2014 01:30 PDT</c:v>
                </c:pt>
                <c:pt idx="1831">
                  <c:v>05/22/2014 01:45 PDT</c:v>
                </c:pt>
                <c:pt idx="1832">
                  <c:v>05/22/2014 02:00 PDT</c:v>
                </c:pt>
                <c:pt idx="1833">
                  <c:v>05/22/2014 02:15 PDT</c:v>
                </c:pt>
                <c:pt idx="1834">
                  <c:v>05/22/2014 02:30 PDT</c:v>
                </c:pt>
                <c:pt idx="1835">
                  <c:v>05/22/2014 02:45 PDT</c:v>
                </c:pt>
                <c:pt idx="1836">
                  <c:v>05/22/2014 03:00 PDT</c:v>
                </c:pt>
                <c:pt idx="1837">
                  <c:v>05/22/2014 03:15 PDT</c:v>
                </c:pt>
                <c:pt idx="1838">
                  <c:v>05/22/2014 03:30 PDT</c:v>
                </c:pt>
                <c:pt idx="1839">
                  <c:v>05/22/2014 03:45 PDT</c:v>
                </c:pt>
                <c:pt idx="1840">
                  <c:v>05/22/2014 04:00 PDT</c:v>
                </c:pt>
                <c:pt idx="1841">
                  <c:v>05/22/2014 04:15 PDT</c:v>
                </c:pt>
                <c:pt idx="1842">
                  <c:v>05/22/2014 04:30 PDT</c:v>
                </c:pt>
                <c:pt idx="1843">
                  <c:v>05/22/2014 04:45 PDT</c:v>
                </c:pt>
                <c:pt idx="1844">
                  <c:v>05/22/2014 05:00 PDT</c:v>
                </c:pt>
                <c:pt idx="1845">
                  <c:v>05/22/2014 05:15 PDT</c:v>
                </c:pt>
                <c:pt idx="1846">
                  <c:v>05/22/2014 05:30 PDT</c:v>
                </c:pt>
                <c:pt idx="1847">
                  <c:v>05/22/2014 05:45 PDT</c:v>
                </c:pt>
                <c:pt idx="1848">
                  <c:v>05/22/2014 06:00 PDT</c:v>
                </c:pt>
                <c:pt idx="1849">
                  <c:v>05/22/2014 06:15 PDT</c:v>
                </c:pt>
                <c:pt idx="1850">
                  <c:v>05/22/2014 06:30 PDT</c:v>
                </c:pt>
                <c:pt idx="1851">
                  <c:v>05/22/2014 06:45 PDT</c:v>
                </c:pt>
                <c:pt idx="1852">
                  <c:v>05/22/2014 07:00 PDT</c:v>
                </c:pt>
                <c:pt idx="1853">
                  <c:v>05/22/2014 07:15 PDT</c:v>
                </c:pt>
                <c:pt idx="1854">
                  <c:v>05/22/2014 07:30 PDT</c:v>
                </c:pt>
                <c:pt idx="1855">
                  <c:v>05/22/2014 07:45 PDT</c:v>
                </c:pt>
                <c:pt idx="1856">
                  <c:v>05/22/2014 08:00 PDT</c:v>
                </c:pt>
                <c:pt idx="1857">
                  <c:v>05/22/2014 08:15 PDT</c:v>
                </c:pt>
                <c:pt idx="1858">
                  <c:v>05/22/2014 08:30 PDT</c:v>
                </c:pt>
                <c:pt idx="1859">
                  <c:v>05/22/2014 08:45 PDT</c:v>
                </c:pt>
                <c:pt idx="1860">
                  <c:v>05/22/2014 09:00 PDT</c:v>
                </c:pt>
                <c:pt idx="1861">
                  <c:v>05/22/2014 09:15 PDT</c:v>
                </c:pt>
                <c:pt idx="1862">
                  <c:v>05/22/2014 09:30 PDT</c:v>
                </c:pt>
                <c:pt idx="1863">
                  <c:v>05/22/2014 09:45 PDT</c:v>
                </c:pt>
                <c:pt idx="1864">
                  <c:v>05/22/2014 10:00 PDT</c:v>
                </c:pt>
                <c:pt idx="1865">
                  <c:v>05/22/2014 10:15 PDT</c:v>
                </c:pt>
                <c:pt idx="1866">
                  <c:v>05/22/2014 10:30 PDT</c:v>
                </c:pt>
                <c:pt idx="1867">
                  <c:v>05/22/2014 10:45 PDT</c:v>
                </c:pt>
                <c:pt idx="1868">
                  <c:v>05/22/2014 11:00 PDT</c:v>
                </c:pt>
                <c:pt idx="1869">
                  <c:v>05/22/2014 11:15 PDT</c:v>
                </c:pt>
                <c:pt idx="1870">
                  <c:v>05/22/2014 11:30 PDT</c:v>
                </c:pt>
                <c:pt idx="1871">
                  <c:v>05/22/2014 11:45 PDT</c:v>
                </c:pt>
                <c:pt idx="1872">
                  <c:v>05/22/2014 12:00 PDT</c:v>
                </c:pt>
                <c:pt idx="1873">
                  <c:v>05/22/2014 12:15 PDT</c:v>
                </c:pt>
                <c:pt idx="1874">
                  <c:v>05/22/2014 12:30 PDT</c:v>
                </c:pt>
                <c:pt idx="1875">
                  <c:v>05/22/2014 12:45 PDT</c:v>
                </c:pt>
                <c:pt idx="1876">
                  <c:v>05/22/2014 13:00 PDT</c:v>
                </c:pt>
                <c:pt idx="1877">
                  <c:v>05/22/2014 13:15 PDT</c:v>
                </c:pt>
                <c:pt idx="1878">
                  <c:v>05/22/2014 13:30 PDT</c:v>
                </c:pt>
                <c:pt idx="1879">
                  <c:v>05/22/2014 13:45 PDT</c:v>
                </c:pt>
                <c:pt idx="1880">
                  <c:v>05/22/2014 14:00 PDT</c:v>
                </c:pt>
                <c:pt idx="1881">
                  <c:v>05/22/2014 14:15 PDT</c:v>
                </c:pt>
                <c:pt idx="1882">
                  <c:v>05/22/2014 14:30 PDT</c:v>
                </c:pt>
                <c:pt idx="1883">
                  <c:v>05/22/2014 14:45 PDT</c:v>
                </c:pt>
                <c:pt idx="1884">
                  <c:v>05/22/2014 15:00 PDT</c:v>
                </c:pt>
                <c:pt idx="1885">
                  <c:v>05/22/2014 15:15 PDT</c:v>
                </c:pt>
                <c:pt idx="1886">
                  <c:v>05/22/2014 15:30 PDT</c:v>
                </c:pt>
                <c:pt idx="1887">
                  <c:v>05/22/2014 15:45 PDT</c:v>
                </c:pt>
                <c:pt idx="1888">
                  <c:v>05/22/2014 16:00 PDT</c:v>
                </c:pt>
                <c:pt idx="1889">
                  <c:v>05/22/2014 16:15 PDT</c:v>
                </c:pt>
                <c:pt idx="1890">
                  <c:v>05/22/2014 16:30 PDT</c:v>
                </c:pt>
                <c:pt idx="1891">
                  <c:v>05/22/2014 16:45 PDT</c:v>
                </c:pt>
                <c:pt idx="1892">
                  <c:v>05/22/2014 17:00 PDT</c:v>
                </c:pt>
                <c:pt idx="1893">
                  <c:v>05/22/2014 17:15 PDT</c:v>
                </c:pt>
                <c:pt idx="1894">
                  <c:v>05/22/2014 17:30 PDT</c:v>
                </c:pt>
                <c:pt idx="1895">
                  <c:v>05/22/2014 17:45 PDT</c:v>
                </c:pt>
                <c:pt idx="1896">
                  <c:v>05/22/2014 18:00 PDT</c:v>
                </c:pt>
                <c:pt idx="1897">
                  <c:v>05/22/2014 18:15 PDT</c:v>
                </c:pt>
                <c:pt idx="1898">
                  <c:v>05/22/2014 18:30 PDT</c:v>
                </c:pt>
                <c:pt idx="1899">
                  <c:v>05/22/2014 18:45 PDT</c:v>
                </c:pt>
                <c:pt idx="1900">
                  <c:v>05/22/2014 19:00 PDT</c:v>
                </c:pt>
                <c:pt idx="1901">
                  <c:v>05/22/2014 19:15 PDT</c:v>
                </c:pt>
                <c:pt idx="1902">
                  <c:v>05/22/2014 19:30 PDT</c:v>
                </c:pt>
                <c:pt idx="1903">
                  <c:v>05/22/2014 19:45 PDT</c:v>
                </c:pt>
                <c:pt idx="1904">
                  <c:v>05/22/2014 20:00 PDT</c:v>
                </c:pt>
                <c:pt idx="1905">
                  <c:v>05/22/2014 20:15 PDT</c:v>
                </c:pt>
                <c:pt idx="1906">
                  <c:v>05/22/2014 20:30 PDT</c:v>
                </c:pt>
                <c:pt idx="1907">
                  <c:v>05/22/2014 20:45 PDT</c:v>
                </c:pt>
                <c:pt idx="1908">
                  <c:v>05/22/2014 21:00 PDT</c:v>
                </c:pt>
                <c:pt idx="1909">
                  <c:v>05/22/2014 21:15 PDT</c:v>
                </c:pt>
                <c:pt idx="1910">
                  <c:v>05/22/2014 21:30 PDT</c:v>
                </c:pt>
                <c:pt idx="1911">
                  <c:v>05/22/2014 21:45 PDT</c:v>
                </c:pt>
                <c:pt idx="1912">
                  <c:v>05/22/2014 22:00 PDT</c:v>
                </c:pt>
                <c:pt idx="1913">
                  <c:v>05/22/2014 22:15 PDT</c:v>
                </c:pt>
                <c:pt idx="1914">
                  <c:v>05/22/2014 22:30 PDT</c:v>
                </c:pt>
                <c:pt idx="1915">
                  <c:v>05/22/2014 22:45 PDT</c:v>
                </c:pt>
                <c:pt idx="1916">
                  <c:v>05/22/2014 23:00 PDT</c:v>
                </c:pt>
                <c:pt idx="1917">
                  <c:v>05/22/2014 23:15 PDT</c:v>
                </c:pt>
                <c:pt idx="1918">
                  <c:v>05/22/2014 23:30 PDT</c:v>
                </c:pt>
                <c:pt idx="1919">
                  <c:v>05/22/2014 23:45 PDT</c:v>
                </c:pt>
                <c:pt idx="1920">
                  <c:v>05/23/2014 00:00 PDT</c:v>
                </c:pt>
                <c:pt idx="1921">
                  <c:v>05/23/2014 00:15 PDT</c:v>
                </c:pt>
                <c:pt idx="1922">
                  <c:v>05/23/2014 00:30 PDT</c:v>
                </c:pt>
                <c:pt idx="1923">
                  <c:v>05/23/2014 00:45 PDT</c:v>
                </c:pt>
                <c:pt idx="1924">
                  <c:v>05/23/2014 01:00 PDT</c:v>
                </c:pt>
                <c:pt idx="1925">
                  <c:v>05/23/2014 01:15 PDT</c:v>
                </c:pt>
                <c:pt idx="1926">
                  <c:v>05/23/2014 01:30 PDT</c:v>
                </c:pt>
                <c:pt idx="1927">
                  <c:v>05/23/2014 01:45 PDT</c:v>
                </c:pt>
                <c:pt idx="1928">
                  <c:v>05/23/2014 02:00 PDT</c:v>
                </c:pt>
                <c:pt idx="1929">
                  <c:v>05/23/2014 02:15 PDT</c:v>
                </c:pt>
                <c:pt idx="1930">
                  <c:v>05/23/2014 02:30 PDT</c:v>
                </c:pt>
                <c:pt idx="1931">
                  <c:v>05/23/2014 02:45 PDT</c:v>
                </c:pt>
                <c:pt idx="1932">
                  <c:v>05/23/2014 03:00 PDT</c:v>
                </c:pt>
                <c:pt idx="1933">
                  <c:v>05/23/2014 03:15 PDT</c:v>
                </c:pt>
                <c:pt idx="1934">
                  <c:v>05/23/2014 03:30 PDT</c:v>
                </c:pt>
                <c:pt idx="1935">
                  <c:v>05/23/2014 03:45 PDT</c:v>
                </c:pt>
                <c:pt idx="1936">
                  <c:v>05/23/2014 04:00 PDT</c:v>
                </c:pt>
                <c:pt idx="1937">
                  <c:v>05/23/2014 04:15 PDT</c:v>
                </c:pt>
                <c:pt idx="1938">
                  <c:v>05/23/2014 04:30 PDT</c:v>
                </c:pt>
                <c:pt idx="1939">
                  <c:v>05/23/2014 04:45 PDT</c:v>
                </c:pt>
                <c:pt idx="1940">
                  <c:v>05/23/2014 05:00 PDT</c:v>
                </c:pt>
                <c:pt idx="1941">
                  <c:v>05/23/2014 05:15 PDT</c:v>
                </c:pt>
                <c:pt idx="1942">
                  <c:v>05/23/2014 05:30 PDT</c:v>
                </c:pt>
                <c:pt idx="1943">
                  <c:v>05/23/2014 05:45 PDT</c:v>
                </c:pt>
                <c:pt idx="1944">
                  <c:v>05/23/2014 06:00 PDT</c:v>
                </c:pt>
                <c:pt idx="1945">
                  <c:v>05/23/2014 06:15 PDT</c:v>
                </c:pt>
                <c:pt idx="1946">
                  <c:v>05/23/2014 06:30 PDT</c:v>
                </c:pt>
                <c:pt idx="1947">
                  <c:v>05/23/2014 06:45 PDT</c:v>
                </c:pt>
                <c:pt idx="1948">
                  <c:v>05/23/2014 07:00 PDT</c:v>
                </c:pt>
                <c:pt idx="1949">
                  <c:v>05/23/2014 07:15 PDT</c:v>
                </c:pt>
                <c:pt idx="1950">
                  <c:v>05/23/2014 07:30 PDT</c:v>
                </c:pt>
                <c:pt idx="1951">
                  <c:v>05/23/2014 07:45 PDT</c:v>
                </c:pt>
                <c:pt idx="1952">
                  <c:v>05/23/2014 08:00 PDT</c:v>
                </c:pt>
                <c:pt idx="1953">
                  <c:v>05/23/2014 08:15 PDT</c:v>
                </c:pt>
                <c:pt idx="1954">
                  <c:v>05/23/2014 08:30 PDT</c:v>
                </c:pt>
                <c:pt idx="1955">
                  <c:v>05/23/2014 08:45 PDT</c:v>
                </c:pt>
                <c:pt idx="1956">
                  <c:v>05/23/2014 09:00 PDT</c:v>
                </c:pt>
                <c:pt idx="1957">
                  <c:v>05/23/2014 09:15 PDT</c:v>
                </c:pt>
                <c:pt idx="1958">
                  <c:v>05/23/2014 09:30 PDT</c:v>
                </c:pt>
                <c:pt idx="1959">
                  <c:v>05/23/2014 09:45 PDT</c:v>
                </c:pt>
                <c:pt idx="1960">
                  <c:v>05/23/2014 10:00 PDT</c:v>
                </c:pt>
                <c:pt idx="1961">
                  <c:v>05/23/2014 10:15 PDT</c:v>
                </c:pt>
                <c:pt idx="1962">
                  <c:v>05/23/2014 10:30 PDT</c:v>
                </c:pt>
                <c:pt idx="1963">
                  <c:v>05/23/2014 10:45 PDT</c:v>
                </c:pt>
                <c:pt idx="1964">
                  <c:v>05/23/2014 11:00 PDT</c:v>
                </c:pt>
                <c:pt idx="1965">
                  <c:v>05/23/2014 11:15 PDT</c:v>
                </c:pt>
                <c:pt idx="1966">
                  <c:v>05/23/2014 11:30 PDT</c:v>
                </c:pt>
                <c:pt idx="1967">
                  <c:v>05/23/2014 11:45 PDT</c:v>
                </c:pt>
                <c:pt idx="1968">
                  <c:v>05/23/2014 12:00 PDT</c:v>
                </c:pt>
                <c:pt idx="1969">
                  <c:v>05/23/2014 12:15 PDT</c:v>
                </c:pt>
                <c:pt idx="1970">
                  <c:v>05/23/2014 12:30 PDT</c:v>
                </c:pt>
                <c:pt idx="1971">
                  <c:v>05/23/2014 12:45 PDT</c:v>
                </c:pt>
                <c:pt idx="1972">
                  <c:v>05/23/2014 13:00 PDT</c:v>
                </c:pt>
                <c:pt idx="1973">
                  <c:v>05/23/2014 13:15 PDT</c:v>
                </c:pt>
                <c:pt idx="1974">
                  <c:v>05/23/2014 13:30 PDT</c:v>
                </c:pt>
                <c:pt idx="1975">
                  <c:v>05/23/2014 13:45 PDT</c:v>
                </c:pt>
                <c:pt idx="1976">
                  <c:v>05/23/2014 14:00 PDT</c:v>
                </c:pt>
                <c:pt idx="1977">
                  <c:v>05/23/2014 14:15 PDT</c:v>
                </c:pt>
                <c:pt idx="1978">
                  <c:v>05/23/2014 14:30 PDT</c:v>
                </c:pt>
                <c:pt idx="1979">
                  <c:v>05/23/2014 14:45 PDT</c:v>
                </c:pt>
                <c:pt idx="1980">
                  <c:v>05/23/2014 15:00 PDT</c:v>
                </c:pt>
                <c:pt idx="1981">
                  <c:v>05/23/2014 15:15 PDT</c:v>
                </c:pt>
                <c:pt idx="1982">
                  <c:v>05/23/2014 15:30 PDT</c:v>
                </c:pt>
                <c:pt idx="1983">
                  <c:v>05/23/2014 15:45 PDT</c:v>
                </c:pt>
                <c:pt idx="1984">
                  <c:v>05/23/2014 16:00 PDT</c:v>
                </c:pt>
                <c:pt idx="1985">
                  <c:v>05/23/2014 16:15 PDT</c:v>
                </c:pt>
                <c:pt idx="1986">
                  <c:v>05/23/2014 16:30 PDT</c:v>
                </c:pt>
                <c:pt idx="1987">
                  <c:v>05/23/2014 16:45 PDT</c:v>
                </c:pt>
                <c:pt idx="1988">
                  <c:v>05/23/2014 17:00 PDT</c:v>
                </c:pt>
                <c:pt idx="1989">
                  <c:v>05/23/2014 17:15 PDT</c:v>
                </c:pt>
                <c:pt idx="1990">
                  <c:v>05/23/2014 17:30 PDT</c:v>
                </c:pt>
                <c:pt idx="1991">
                  <c:v>05/23/2014 17:45 PDT</c:v>
                </c:pt>
                <c:pt idx="1992">
                  <c:v>05/23/2014 18:00 PDT</c:v>
                </c:pt>
                <c:pt idx="1993">
                  <c:v>05/23/2014 18:15 PDT</c:v>
                </c:pt>
                <c:pt idx="1994">
                  <c:v>05/23/2014 18:30 PDT</c:v>
                </c:pt>
                <c:pt idx="1995">
                  <c:v>05/23/2014 18:45 PDT</c:v>
                </c:pt>
                <c:pt idx="1996">
                  <c:v>05/23/2014 19:00 PDT</c:v>
                </c:pt>
                <c:pt idx="1997">
                  <c:v>05/23/2014 19:15 PDT</c:v>
                </c:pt>
                <c:pt idx="1998">
                  <c:v>05/23/2014 19:30 PDT</c:v>
                </c:pt>
                <c:pt idx="1999">
                  <c:v>05/23/2014 19:45 PDT</c:v>
                </c:pt>
                <c:pt idx="2000">
                  <c:v>05/23/2014 20:00 PDT</c:v>
                </c:pt>
                <c:pt idx="2001">
                  <c:v>05/23/2014 20:15 PDT</c:v>
                </c:pt>
                <c:pt idx="2002">
                  <c:v>05/23/2014 20:30 PDT</c:v>
                </c:pt>
                <c:pt idx="2003">
                  <c:v>05/23/2014 20:45 PDT</c:v>
                </c:pt>
                <c:pt idx="2004">
                  <c:v>05/23/2014 21:00 PDT</c:v>
                </c:pt>
                <c:pt idx="2005">
                  <c:v>05/23/2014 21:15 PDT</c:v>
                </c:pt>
                <c:pt idx="2006">
                  <c:v>05/23/2014 21:30 PDT</c:v>
                </c:pt>
                <c:pt idx="2007">
                  <c:v>05/23/2014 21:45 PDT</c:v>
                </c:pt>
                <c:pt idx="2008">
                  <c:v>05/23/2014 22:00 PDT</c:v>
                </c:pt>
                <c:pt idx="2009">
                  <c:v>05/23/2014 22:15 PDT</c:v>
                </c:pt>
                <c:pt idx="2010">
                  <c:v>05/23/2014 22:30 PDT</c:v>
                </c:pt>
                <c:pt idx="2011">
                  <c:v>05/23/2014 22:45 PDT</c:v>
                </c:pt>
                <c:pt idx="2012">
                  <c:v>05/23/2014 23:00 PDT</c:v>
                </c:pt>
                <c:pt idx="2013">
                  <c:v>05/23/2014 23:15 PDT</c:v>
                </c:pt>
                <c:pt idx="2014">
                  <c:v>05/23/2014 23:30 PDT</c:v>
                </c:pt>
                <c:pt idx="2015">
                  <c:v>05/23/2014 23:45 PDT</c:v>
                </c:pt>
                <c:pt idx="2016">
                  <c:v>05/24/2014 00:00 PDT</c:v>
                </c:pt>
                <c:pt idx="2017">
                  <c:v>05/24/2014 00:15 PDT</c:v>
                </c:pt>
                <c:pt idx="2018">
                  <c:v>05/24/2014 00:30 PDT</c:v>
                </c:pt>
                <c:pt idx="2019">
                  <c:v>05/24/2014 00:45 PDT</c:v>
                </c:pt>
                <c:pt idx="2020">
                  <c:v>05/24/2014 01:00 PDT</c:v>
                </c:pt>
                <c:pt idx="2021">
                  <c:v>05/24/2014 01:15 PDT</c:v>
                </c:pt>
                <c:pt idx="2022">
                  <c:v>05/24/2014 01:30 PDT</c:v>
                </c:pt>
                <c:pt idx="2023">
                  <c:v>05/24/2014 01:45 PDT</c:v>
                </c:pt>
                <c:pt idx="2024">
                  <c:v>05/24/2014 02:00 PDT</c:v>
                </c:pt>
                <c:pt idx="2025">
                  <c:v>05/24/2014 02:15 PDT</c:v>
                </c:pt>
                <c:pt idx="2026">
                  <c:v>05/24/2014 02:30 PDT</c:v>
                </c:pt>
                <c:pt idx="2027">
                  <c:v>05/24/2014 02:45 PDT</c:v>
                </c:pt>
                <c:pt idx="2028">
                  <c:v>05/24/2014 03:00 PDT</c:v>
                </c:pt>
                <c:pt idx="2029">
                  <c:v>05/24/2014 03:15 PDT</c:v>
                </c:pt>
                <c:pt idx="2030">
                  <c:v>05/24/2014 03:30 PDT</c:v>
                </c:pt>
                <c:pt idx="2031">
                  <c:v>05/24/2014 03:45 PDT</c:v>
                </c:pt>
                <c:pt idx="2032">
                  <c:v>05/24/2014 04:00 PDT</c:v>
                </c:pt>
                <c:pt idx="2033">
                  <c:v>05/24/2014 04:15 PDT</c:v>
                </c:pt>
                <c:pt idx="2034">
                  <c:v>05/24/2014 04:30 PDT</c:v>
                </c:pt>
                <c:pt idx="2035">
                  <c:v>05/24/2014 04:45 PDT</c:v>
                </c:pt>
                <c:pt idx="2036">
                  <c:v>05/24/2014 05:00 PDT</c:v>
                </c:pt>
                <c:pt idx="2037">
                  <c:v>05/24/2014 05:15 PDT</c:v>
                </c:pt>
                <c:pt idx="2038">
                  <c:v>05/24/2014 05:30 PDT</c:v>
                </c:pt>
                <c:pt idx="2039">
                  <c:v>05/24/2014 05:45 PDT</c:v>
                </c:pt>
                <c:pt idx="2040">
                  <c:v>05/24/2014 06:00 PDT</c:v>
                </c:pt>
                <c:pt idx="2041">
                  <c:v>05/24/2014 06:15 PDT</c:v>
                </c:pt>
                <c:pt idx="2042">
                  <c:v>05/24/2014 06:30 PDT</c:v>
                </c:pt>
                <c:pt idx="2043">
                  <c:v>05/24/2014 06:45 PDT</c:v>
                </c:pt>
                <c:pt idx="2044">
                  <c:v>05/24/2014 07:00 PDT</c:v>
                </c:pt>
                <c:pt idx="2045">
                  <c:v>05/24/2014 07:15 PDT</c:v>
                </c:pt>
                <c:pt idx="2046">
                  <c:v>05/24/2014 07:30 PDT</c:v>
                </c:pt>
                <c:pt idx="2047">
                  <c:v>05/24/2014 07:45 PDT</c:v>
                </c:pt>
                <c:pt idx="2048">
                  <c:v>05/24/2014 08:00 PDT</c:v>
                </c:pt>
                <c:pt idx="2049">
                  <c:v>05/24/2014 08:15 PDT</c:v>
                </c:pt>
                <c:pt idx="2050">
                  <c:v>05/24/2014 08:30 PDT</c:v>
                </c:pt>
                <c:pt idx="2051">
                  <c:v>05/24/2014 08:45 PDT</c:v>
                </c:pt>
                <c:pt idx="2052">
                  <c:v>05/24/2014 09:00 PDT</c:v>
                </c:pt>
                <c:pt idx="2053">
                  <c:v>05/24/2014 09:15 PDT</c:v>
                </c:pt>
                <c:pt idx="2054">
                  <c:v>05/24/2014 09:30 PDT</c:v>
                </c:pt>
                <c:pt idx="2055">
                  <c:v>05/24/2014 09:45 PDT</c:v>
                </c:pt>
                <c:pt idx="2056">
                  <c:v>05/24/2014 10:00 PDT</c:v>
                </c:pt>
                <c:pt idx="2057">
                  <c:v>05/24/2014 10:15 PDT</c:v>
                </c:pt>
                <c:pt idx="2058">
                  <c:v>05/24/2014 10:30 PDT</c:v>
                </c:pt>
                <c:pt idx="2059">
                  <c:v>05/24/2014 10:45 PDT</c:v>
                </c:pt>
                <c:pt idx="2060">
                  <c:v>05/24/2014 11:00 PDT</c:v>
                </c:pt>
                <c:pt idx="2061">
                  <c:v>05/24/2014 11:15 PDT</c:v>
                </c:pt>
                <c:pt idx="2062">
                  <c:v>05/24/2014 11:30 PDT</c:v>
                </c:pt>
                <c:pt idx="2063">
                  <c:v>05/24/2014 11:45 PDT</c:v>
                </c:pt>
                <c:pt idx="2064">
                  <c:v>05/24/2014 12:00 PDT</c:v>
                </c:pt>
                <c:pt idx="2065">
                  <c:v>05/24/2014 12:15 PDT</c:v>
                </c:pt>
                <c:pt idx="2066">
                  <c:v>05/24/2014 12:30 PDT</c:v>
                </c:pt>
                <c:pt idx="2067">
                  <c:v>05/24/2014 12:45 PDT</c:v>
                </c:pt>
                <c:pt idx="2068">
                  <c:v>05/24/2014 13:00 PDT</c:v>
                </c:pt>
                <c:pt idx="2069">
                  <c:v>05/24/2014 13:15 PDT</c:v>
                </c:pt>
                <c:pt idx="2070">
                  <c:v>05/24/2014 13:30 PDT</c:v>
                </c:pt>
                <c:pt idx="2071">
                  <c:v>05/24/2014 13:45 PDT</c:v>
                </c:pt>
                <c:pt idx="2072">
                  <c:v>05/24/2014 14:00 PDT</c:v>
                </c:pt>
                <c:pt idx="2073">
                  <c:v>05/24/2014 14:15 PDT</c:v>
                </c:pt>
                <c:pt idx="2074">
                  <c:v>05/24/2014 14:30 PDT</c:v>
                </c:pt>
                <c:pt idx="2075">
                  <c:v>05/24/2014 14:45 PDT</c:v>
                </c:pt>
                <c:pt idx="2076">
                  <c:v>05/24/2014 15:00 PDT</c:v>
                </c:pt>
                <c:pt idx="2077">
                  <c:v>05/24/2014 15:15 PDT</c:v>
                </c:pt>
                <c:pt idx="2078">
                  <c:v>05/24/2014 15:30 PDT</c:v>
                </c:pt>
                <c:pt idx="2079">
                  <c:v>05/24/2014 15:45 PDT</c:v>
                </c:pt>
                <c:pt idx="2080">
                  <c:v>05/24/2014 16:00 PDT</c:v>
                </c:pt>
                <c:pt idx="2081">
                  <c:v>05/24/2014 16:15 PDT</c:v>
                </c:pt>
                <c:pt idx="2082">
                  <c:v>05/24/2014 16:30 PDT</c:v>
                </c:pt>
                <c:pt idx="2083">
                  <c:v>05/24/2014 16:45 PDT</c:v>
                </c:pt>
                <c:pt idx="2084">
                  <c:v>05/24/2014 17:00 PDT</c:v>
                </c:pt>
                <c:pt idx="2085">
                  <c:v>05/24/2014 17:15 PDT</c:v>
                </c:pt>
                <c:pt idx="2086">
                  <c:v>05/24/2014 17:30 PDT</c:v>
                </c:pt>
                <c:pt idx="2087">
                  <c:v>05/24/2014 17:45 PDT</c:v>
                </c:pt>
                <c:pt idx="2088">
                  <c:v>05/24/2014 18:00 PDT</c:v>
                </c:pt>
                <c:pt idx="2089">
                  <c:v>05/24/2014 18:15 PDT</c:v>
                </c:pt>
                <c:pt idx="2090">
                  <c:v>05/24/2014 18:30 PDT</c:v>
                </c:pt>
                <c:pt idx="2091">
                  <c:v>05/24/2014 18:45 PDT</c:v>
                </c:pt>
                <c:pt idx="2092">
                  <c:v>05/24/2014 19:00 PDT</c:v>
                </c:pt>
                <c:pt idx="2093">
                  <c:v>05/24/2014 19:15 PDT</c:v>
                </c:pt>
                <c:pt idx="2094">
                  <c:v>05/24/2014 19:30 PDT</c:v>
                </c:pt>
                <c:pt idx="2095">
                  <c:v>05/24/2014 19:45 PDT</c:v>
                </c:pt>
                <c:pt idx="2096">
                  <c:v>05/24/2014 20:00 PDT</c:v>
                </c:pt>
                <c:pt idx="2097">
                  <c:v>05/24/2014 20:15 PDT</c:v>
                </c:pt>
                <c:pt idx="2098">
                  <c:v>05/24/2014 20:30 PDT</c:v>
                </c:pt>
                <c:pt idx="2099">
                  <c:v>05/24/2014 20:45 PDT</c:v>
                </c:pt>
                <c:pt idx="2100">
                  <c:v>05/24/2014 21:00 PDT</c:v>
                </c:pt>
                <c:pt idx="2101">
                  <c:v>05/24/2014 21:15 PDT</c:v>
                </c:pt>
                <c:pt idx="2102">
                  <c:v>05/24/2014 21:30 PDT</c:v>
                </c:pt>
                <c:pt idx="2103">
                  <c:v>05/24/2014 21:45 PDT</c:v>
                </c:pt>
                <c:pt idx="2104">
                  <c:v>05/24/2014 22:00 PDT</c:v>
                </c:pt>
                <c:pt idx="2105">
                  <c:v>05/24/2014 22:15 PDT</c:v>
                </c:pt>
                <c:pt idx="2106">
                  <c:v>05/24/2014 22:30 PDT</c:v>
                </c:pt>
                <c:pt idx="2107">
                  <c:v>05/24/2014 22:45 PDT</c:v>
                </c:pt>
                <c:pt idx="2108">
                  <c:v>05/24/2014 23:00 PDT</c:v>
                </c:pt>
                <c:pt idx="2109">
                  <c:v>05/24/2014 23:15 PDT</c:v>
                </c:pt>
                <c:pt idx="2110">
                  <c:v>05/24/2014 23:30 PDT</c:v>
                </c:pt>
                <c:pt idx="2111">
                  <c:v>05/24/2014 23:45 PDT</c:v>
                </c:pt>
                <c:pt idx="2112">
                  <c:v>05/25/2014 00:00 PDT</c:v>
                </c:pt>
                <c:pt idx="2113">
                  <c:v>05/25/2014 00:15 PDT</c:v>
                </c:pt>
                <c:pt idx="2114">
                  <c:v>05/25/2014 00:30 PDT</c:v>
                </c:pt>
                <c:pt idx="2115">
                  <c:v>05/25/2014 00:45 PDT</c:v>
                </c:pt>
                <c:pt idx="2116">
                  <c:v>05/25/2014 01:00 PDT</c:v>
                </c:pt>
                <c:pt idx="2117">
                  <c:v>05/25/2014 01:15 PDT</c:v>
                </c:pt>
                <c:pt idx="2118">
                  <c:v>05/25/2014 01:30 PDT</c:v>
                </c:pt>
                <c:pt idx="2119">
                  <c:v>05/25/2014 01:45 PDT</c:v>
                </c:pt>
                <c:pt idx="2120">
                  <c:v>05/25/2014 02:00 PDT</c:v>
                </c:pt>
                <c:pt idx="2121">
                  <c:v>05/25/2014 02:15 PDT</c:v>
                </c:pt>
                <c:pt idx="2122">
                  <c:v>05/25/2014 02:30 PDT</c:v>
                </c:pt>
                <c:pt idx="2123">
                  <c:v>05/25/2014 02:45 PDT</c:v>
                </c:pt>
                <c:pt idx="2124">
                  <c:v>05/25/2014 03:00 PDT</c:v>
                </c:pt>
                <c:pt idx="2125">
                  <c:v>05/25/2014 03:15 PDT</c:v>
                </c:pt>
                <c:pt idx="2126">
                  <c:v>05/25/2014 03:30 PDT</c:v>
                </c:pt>
                <c:pt idx="2127">
                  <c:v>05/25/2014 03:45 PDT</c:v>
                </c:pt>
                <c:pt idx="2128">
                  <c:v>05/25/2014 04:00 PDT</c:v>
                </c:pt>
                <c:pt idx="2129">
                  <c:v>05/25/2014 04:15 PDT</c:v>
                </c:pt>
                <c:pt idx="2130">
                  <c:v>05/25/2014 04:30 PDT</c:v>
                </c:pt>
                <c:pt idx="2131">
                  <c:v>05/25/2014 04:45 PDT</c:v>
                </c:pt>
                <c:pt idx="2132">
                  <c:v>05/25/2014 05:00 PDT</c:v>
                </c:pt>
                <c:pt idx="2133">
                  <c:v>05/25/2014 05:15 PDT</c:v>
                </c:pt>
                <c:pt idx="2134">
                  <c:v>05/25/2014 05:30 PDT</c:v>
                </c:pt>
                <c:pt idx="2135">
                  <c:v>05/25/2014 05:45 PDT</c:v>
                </c:pt>
                <c:pt idx="2136">
                  <c:v>05/25/2014 06:00 PDT</c:v>
                </c:pt>
                <c:pt idx="2137">
                  <c:v>05/25/2014 06:15 PDT</c:v>
                </c:pt>
                <c:pt idx="2138">
                  <c:v>05/25/2014 06:30 PDT</c:v>
                </c:pt>
                <c:pt idx="2139">
                  <c:v>05/25/2014 06:45 PDT</c:v>
                </c:pt>
                <c:pt idx="2140">
                  <c:v>05/25/2014 07:00 PDT</c:v>
                </c:pt>
                <c:pt idx="2141">
                  <c:v>05/25/2014 07:15 PDT</c:v>
                </c:pt>
                <c:pt idx="2142">
                  <c:v>05/25/2014 07:30 PDT</c:v>
                </c:pt>
                <c:pt idx="2143">
                  <c:v>05/25/2014 07:45 PDT</c:v>
                </c:pt>
                <c:pt idx="2144">
                  <c:v>05/25/2014 08:00 PDT</c:v>
                </c:pt>
                <c:pt idx="2145">
                  <c:v>05/25/2014 08:15 PDT</c:v>
                </c:pt>
                <c:pt idx="2146">
                  <c:v>05/25/2014 08:30 PDT</c:v>
                </c:pt>
                <c:pt idx="2147">
                  <c:v>05/25/2014 08:45 PDT</c:v>
                </c:pt>
                <c:pt idx="2148">
                  <c:v>05/25/2014 09:00 PDT</c:v>
                </c:pt>
                <c:pt idx="2149">
                  <c:v>05/25/2014 09:15 PDT</c:v>
                </c:pt>
                <c:pt idx="2150">
                  <c:v>05/25/2014 09:30 PDT</c:v>
                </c:pt>
                <c:pt idx="2151">
                  <c:v>05/25/2014 09:45 PDT</c:v>
                </c:pt>
                <c:pt idx="2152">
                  <c:v>05/25/2014 10:00 PDT</c:v>
                </c:pt>
                <c:pt idx="2153">
                  <c:v>05/25/2014 10:15 PDT</c:v>
                </c:pt>
                <c:pt idx="2154">
                  <c:v>05/25/2014 10:30 PDT</c:v>
                </c:pt>
                <c:pt idx="2155">
                  <c:v>05/25/2014 10:45 PDT</c:v>
                </c:pt>
                <c:pt idx="2156">
                  <c:v>05/25/2014 11:00 PDT</c:v>
                </c:pt>
                <c:pt idx="2157">
                  <c:v>05/25/2014 11:15 PDT</c:v>
                </c:pt>
                <c:pt idx="2158">
                  <c:v>05/25/2014 11:30 PDT</c:v>
                </c:pt>
                <c:pt idx="2159">
                  <c:v>05/25/2014 11:45 PDT</c:v>
                </c:pt>
                <c:pt idx="2160">
                  <c:v>05/25/2014 12:00 PDT</c:v>
                </c:pt>
                <c:pt idx="2161">
                  <c:v>05/25/2014 12:15 PDT</c:v>
                </c:pt>
                <c:pt idx="2162">
                  <c:v>05/25/2014 12:30 PDT</c:v>
                </c:pt>
                <c:pt idx="2163">
                  <c:v>05/25/2014 12:45 PDT</c:v>
                </c:pt>
                <c:pt idx="2164">
                  <c:v>05/25/2014 13:00 PDT</c:v>
                </c:pt>
                <c:pt idx="2165">
                  <c:v>05/25/2014 13:15 PDT</c:v>
                </c:pt>
                <c:pt idx="2166">
                  <c:v>05/25/2014 13:30 PDT</c:v>
                </c:pt>
                <c:pt idx="2167">
                  <c:v>05/25/2014 13:45 PDT</c:v>
                </c:pt>
                <c:pt idx="2168">
                  <c:v>05/25/2014 14:00 PDT</c:v>
                </c:pt>
                <c:pt idx="2169">
                  <c:v>05/25/2014 14:15 PDT</c:v>
                </c:pt>
                <c:pt idx="2170">
                  <c:v>05/25/2014 14:30 PDT</c:v>
                </c:pt>
                <c:pt idx="2171">
                  <c:v>05/25/2014 14:45 PDT</c:v>
                </c:pt>
                <c:pt idx="2172">
                  <c:v>05/25/2014 15:00 PDT</c:v>
                </c:pt>
                <c:pt idx="2173">
                  <c:v>05/25/2014 15:15 PDT</c:v>
                </c:pt>
                <c:pt idx="2174">
                  <c:v>05/25/2014 15:30 PDT</c:v>
                </c:pt>
                <c:pt idx="2175">
                  <c:v>05/25/2014 15:45 PDT</c:v>
                </c:pt>
                <c:pt idx="2176">
                  <c:v>05/25/2014 16:00 PDT</c:v>
                </c:pt>
                <c:pt idx="2177">
                  <c:v>05/25/2014 16:15 PDT</c:v>
                </c:pt>
                <c:pt idx="2178">
                  <c:v>05/25/2014 16:30 PDT</c:v>
                </c:pt>
                <c:pt idx="2179">
                  <c:v>05/25/2014 16:45 PDT</c:v>
                </c:pt>
                <c:pt idx="2180">
                  <c:v>05/25/2014 17:00 PDT</c:v>
                </c:pt>
                <c:pt idx="2181">
                  <c:v>05/25/2014 17:15 PDT</c:v>
                </c:pt>
                <c:pt idx="2182">
                  <c:v>05/25/2014 17:30 PDT</c:v>
                </c:pt>
                <c:pt idx="2183">
                  <c:v>05/25/2014 17:45 PDT</c:v>
                </c:pt>
                <c:pt idx="2184">
                  <c:v>05/25/2014 18:00 PDT</c:v>
                </c:pt>
                <c:pt idx="2185">
                  <c:v>05/25/2014 18:15 PDT</c:v>
                </c:pt>
                <c:pt idx="2186">
                  <c:v>05/25/2014 18:30 PDT</c:v>
                </c:pt>
                <c:pt idx="2187">
                  <c:v>05/25/2014 18:45 PDT</c:v>
                </c:pt>
                <c:pt idx="2188">
                  <c:v>05/25/2014 19:00 PDT</c:v>
                </c:pt>
                <c:pt idx="2189">
                  <c:v>05/25/2014 19:15 PDT</c:v>
                </c:pt>
                <c:pt idx="2190">
                  <c:v>05/25/2014 19:30 PDT</c:v>
                </c:pt>
                <c:pt idx="2191">
                  <c:v>05/25/2014 19:45 PDT</c:v>
                </c:pt>
                <c:pt idx="2192">
                  <c:v>05/25/2014 20:00 PDT</c:v>
                </c:pt>
                <c:pt idx="2193">
                  <c:v>05/25/2014 20:15 PDT</c:v>
                </c:pt>
                <c:pt idx="2194">
                  <c:v>05/25/2014 20:30 PDT</c:v>
                </c:pt>
                <c:pt idx="2195">
                  <c:v>05/25/2014 20:45 PDT</c:v>
                </c:pt>
                <c:pt idx="2196">
                  <c:v>05/25/2014 21:00 PDT</c:v>
                </c:pt>
                <c:pt idx="2197">
                  <c:v>05/25/2014 21:15 PDT</c:v>
                </c:pt>
                <c:pt idx="2198">
                  <c:v>05/25/2014 21:30 PDT</c:v>
                </c:pt>
                <c:pt idx="2199">
                  <c:v>05/25/2014 21:45 PDT</c:v>
                </c:pt>
                <c:pt idx="2200">
                  <c:v>05/25/2014 22:00 PDT</c:v>
                </c:pt>
                <c:pt idx="2201">
                  <c:v>05/25/2014 22:15 PDT</c:v>
                </c:pt>
                <c:pt idx="2202">
                  <c:v>05/25/2014 22:30 PDT</c:v>
                </c:pt>
                <c:pt idx="2203">
                  <c:v>05/25/2014 22:45 PDT</c:v>
                </c:pt>
                <c:pt idx="2204">
                  <c:v>05/25/2014 23:00 PDT</c:v>
                </c:pt>
                <c:pt idx="2205">
                  <c:v>05/25/2014 23:15 PDT</c:v>
                </c:pt>
                <c:pt idx="2206">
                  <c:v>05/25/2014 23:30 PDT</c:v>
                </c:pt>
                <c:pt idx="2207">
                  <c:v>05/25/2014 23:45 PDT</c:v>
                </c:pt>
                <c:pt idx="2208">
                  <c:v>05/26/2014 00:00 PDT</c:v>
                </c:pt>
                <c:pt idx="2209">
                  <c:v>05/26/2014 00:15 PDT</c:v>
                </c:pt>
                <c:pt idx="2210">
                  <c:v>05/26/2014 00:30 PDT</c:v>
                </c:pt>
                <c:pt idx="2211">
                  <c:v>05/26/2014 00:45 PDT</c:v>
                </c:pt>
                <c:pt idx="2212">
                  <c:v>05/26/2014 01:00 PDT</c:v>
                </c:pt>
                <c:pt idx="2213">
                  <c:v>05/26/2014 01:15 PDT</c:v>
                </c:pt>
                <c:pt idx="2214">
                  <c:v>05/26/2014 01:30 PDT</c:v>
                </c:pt>
                <c:pt idx="2215">
                  <c:v>05/26/2014 01:45 PDT</c:v>
                </c:pt>
                <c:pt idx="2216">
                  <c:v>05/26/2014 02:00 PDT</c:v>
                </c:pt>
                <c:pt idx="2217">
                  <c:v>05/26/2014 02:15 PDT</c:v>
                </c:pt>
                <c:pt idx="2218">
                  <c:v>05/26/2014 02:30 PDT</c:v>
                </c:pt>
                <c:pt idx="2219">
                  <c:v>05/26/2014 02:45 PDT</c:v>
                </c:pt>
                <c:pt idx="2220">
                  <c:v>05/26/2014 03:00 PDT</c:v>
                </c:pt>
                <c:pt idx="2221">
                  <c:v>05/26/2014 03:15 PDT</c:v>
                </c:pt>
                <c:pt idx="2222">
                  <c:v>05/26/2014 03:30 PDT</c:v>
                </c:pt>
                <c:pt idx="2223">
                  <c:v>05/26/2014 03:45 PDT</c:v>
                </c:pt>
                <c:pt idx="2224">
                  <c:v>05/26/2014 04:00 PDT</c:v>
                </c:pt>
                <c:pt idx="2225">
                  <c:v>05/26/2014 04:15 PDT</c:v>
                </c:pt>
                <c:pt idx="2226">
                  <c:v>05/26/2014 04:30 PDT</c:v>
                </c:pt>
                <c:pt idx="2227">
                  <c:v>05/26/2014 04:45 PDT</c:v>
                </c:pt>
                <c:pt idx="2228">
                  <c:v>05/26/2014 05:00 PDT</c:v>
                </c:pt>
                <c:pt idx="2229">
                  <c:v>05/26/2014 05:15 PDT</c:v>
                </c:pt>
                <c:pt idx="2230">
                  <c:v>05/26/2014 05:30 PDT</c:v>
                </c:pt>
                <c:pt idx="2231">
                  <c:v>05/26/2014 05:45 PDT</c:v>
                </c:pt>
                <c:pt idx="2232">
                  <c:v>05/26/2014 06:00 PDT</c:v>
                </c:pt>
                <c:pt idx="2233">
                  <c:v>05/26/2014 06:15 PDT</c:v>
                </c:pt>
                <c:pt idx="2234">
                  <c:v>05/26/2014 06:30 PDT</c:v>
                </c:pt>
                <c:pt idx="2235">
                  <c:v>05/26/2014 06:45 PDT</c:v>
                </c:pt>
                <c:pt idx="2236">
                  <c:v>05/26/2014 07:00 PDT</c:v>
                </c:pt>
                <c:pt idx="2237">
                  <c:v>05/26/2014 07:15 PDT</c:v>
                </c:pt>
                <c:pt idx="2238">
                  <c:v>05/26/2014 07:30 PDT</c:v>
                </c:pt>
                <c:pt idx="2239">
                  <c:v>05/26/2014 07:45 PDT</c:v>
                </c:pt>
                <c:pt idx="2240">
                  <c:v>05/26/2014 08:00 PDT</c:v>
                </c:pt>
                <c:pt idx="2241">
                  <c:v>05/26/2014 08:15 PDT</c:v>
                </c:pt>
                <c:pt idx="2242">
                  <c:v>05/26/2014 08:30 PDT</c:v>
                </c:pt>
                <c:pt idx="2243">
                  <c:v>05/26/2014 08:45 PDT</c:v>
                </c:pt>
                <c:pt idx="2244">
                  <c:v>05/26/2014 09:00 PDT</c:v>
                </c:pt>
                <c:pt idx="2245">
                  <c:v>05/26/2014 09:15 PDT</c:v>
                </c:pt>
                <c:pt idx="2246">
                  <c:v>05/26/2014 09:30 PDT</c:v>
                </c:pt>
                <c:pt idx="2247">
                  <c:v>05/26/2014 09:45 PDT</c:v>
                </c:pt>
                <c:pt idx="2248">
                  <c:v>05/26/2014 10:00 PDT</c:v>
                </c:pt>
                <c:pt idx="2249">
                  <c:v>05/26/2014 10:15 PDT</c:v>
                </c:pt>
                <c:pt idx="2250">
                  <c:v>05/26/2014 10:30 PDT</c:v>
                </c:pt>
                <c:pt idx="2251">
                  <c:v>05/26/2014 10:45 PDT</c:v>
                </c:pt>
                <c:pt idx="2252">
                  <c:v>05/26/2014 11:00 PDT</c:v>
                </c:pt>
                <c:pt idx="2253">
                  <c:v>05/26/2014 11:15 PDT</c:v>
                </c:pt>
                <c:pt idx="2254">
                  <c:v>05/26/2014 11:30 PDT</c:v>
                </c:pt>
                <c:pt idx="2255">
                  <c:v>05/26/2014 11:45 PDT</c:v>
                </c:pt>
                <c:pt idx="2256">
                  <c:v>05/26/2014 12:00 PDT</c:v>
                </c:pt>
                <c:pt idx="2257">
                  <c:v>05/26/2014 12:15 PDT</c:v>
                </c:pt>
                <c:pt idx="2258">
                  <c:v>05/26/2014 12:30 PDT</c:v>
                </c:pt>
                <c:pt idx="2259">
                  <c:v>05/26/2014 12:45 PDT</c:v>
                </c:pt>
                <c:pt idx="2260">
                  <c:v>05/26/2014 13:00 PDT</c:v>
                </c:pt>
                <c:pt idx="2261">
                  <c:v>05/26/2014 13:15 PDT</c:v>
                </c:pt>
                <c:pt idx="2262">
                  <c:v>05/26/2014 13:30 PDT</c:v>
                </c:pt>
                <c:pt idx="2263">
                  <c:v>05/26/2014 13:45 PDT</c:v>
                </c:pt>
                <c:pt idx="2264">
                  <c:v>05/26/2014 14:00 PDT</c:v>
                </c:pt>
                <c:pt idx="2265">
                  <c:v>05/26/2014 14:15 PDT</c:v>
                </c:pt>
                <c:pt idx="2266">
                  <c:v>05/26/2014 14:30 PDT</c:v>
                </c:pt>
                <c:pt idx="2267">
                  <c:v>05/26/2014 14:45 PDT</c:v>
                </c:pt>
                <c:pt idx="2268">
                  <c:v>05/26/2014 15:00 PDT</c:v>
                </c:pt>
                <c:pt idx="2269">
                  <c:v>05/26/2014 15:15 PDT</c:v>
                </c:pt>
                <c:pt idx="2270">
                  <c:v>05/26/2014 15:30 PDT</c:v>
                </c:pt>
                <c:pt idx="2271">
                  <c:v>05/26/2014 15:45 PDT</c:v>
                </c:pt>
                <c:pt idx="2272">
                  <c:v>05/26/2014 16:00 PDT</c:v>
                </c:pt>
                <c:pt idx="2273">
                  <c:v>05/26/2014 16:15 PDT</c:v>
                </c:pt>
                <c:pt idx="2274">
                  <c:v>05/26/2014 16:30 PDT</c:v>
                </c:pt>
                <c:pt idx="2275">
                  <c:v>05/26/2014 16:45 PDT</c:v>
                </c:pt>
                <c:pt idx="2276">
                  <c:v>05/26/2014 17:00 PDT</c:v>
                </c:pt>
                <c:pt idx="2277">
                  <c:v>05/26/2014 17:15 PDT</c:v>
                </c:pt>
                <c:pt idx="2278">
                  <c:v>05/26/2014 17:30 PDT</c:v>
                </c:pt>
                <c:pt idx="2279">
                  <c:v>05/26/2014 17:45 PDT</c:v>
                </c:pt>
                <c:pt idx="2280">
                  <c:v>05/26/2014 18:00 PDT</c:v>
                </c:pt>
                <c:pt idx="2281">
                  <c:v>05/26/2014 18:15 PDT</c:v>
                </c:pt>
                <c:pt idx="2282">
                  <c:v>05/26/2014 18:30 PDT</c:v>
                </c:pt>
                <c:pt idx="2283">
                  <c:v>05/26/2014 18:45 PDT</c:v>
                </c:pt>
                <c:pt idx="2284">
                  <c:v>05/26/2014 19:00 PDT</c:v>
                </c:pt>
                <c:pt idx="2285">
                  <c:v>05/26/2014 19:15 PDT</c:v>
                </c:pt>
                <c:pt idx="2286">
                  <c:v>05/26/2014 19:30 PDT</c:v>
                </c:pt>
                <c:pt idx="2287">
                  <c:v>05/26/2014 19:45 PDT</c:v>
                </c:pt>
                <c:pt idx="2288">
                  <c:v>05/26/2014 20:00 PDT</c:v>
                </c:pt>
                <c:pt idx="2289">
                  <c:v>05/26/2014 20:15 PDT</c:v>
                </c:pt>
                <c:pt idx="2290">
                  <c:v>05/26/2014 20:30 PDT</c:v>
                </c:pt>
                <c:pt idx="2291">
                  <c:v>05/26/2014 20:45 PDT</c:v>
                </c:pt>
                <c:pt idx="2292">
                  <c:v>05/26/2014 21:00 PDT</c:v>
                </c:pt>
                <c:pt idx="2293">
                  <c:v>05/26/2014 21:15 PDT</c:v>
                </c:pt>
                <c:pt idx="2294">
                  <c:v>05/26/2014 21:30 PDT</c:v>
                </c:pt>
                <c:pt idx="2295">
                  <c:v>05/26/2014 21:45 PDT</c:v>
                </c:pt>
                <c:pt idx="2296">
                  <c:v>05/26/2014 22:00 PDT</c:v>
                </c:pt>
                <c:pt idx="2297">
                  <c:v>05/26/2014 22:15 PDT</c:v>
                </c:pt>
                <c:pt idx="2298">
                  <c:v>05/26/2014 22:30 PDT</c:v>
                </c:pt>
                <c:pt idx="2299">
                  <c:v>05/26/2014 22:45 PDT</c:v>
                </c:pt>
                <c:pt idx="2300">
                  <c:v>05/26/2014 23:00 PDT</c:v>
                </c:pt>
                <c:pt idx="2301">
                  <c:v>05/26/2014 23:15 PDT</c:v>
                </c:pt>
                <c:pt idx="2302">
                  <c:v>05/26/2014 23:30 PDT</c:v>
                </c:pt>
                <c:pt idx="2303">
                  <c:v>05/26/2014 23:45 PDT</c:v>
                </c:pt>
                <c:pt idx="2304">
                  <c:v>05/27/2014 00:00 PDT</c:v>
                </c:pt>
                <c:pt idx="2305">
                  <c:v>05/27/2014 00:15 PDT</c:v>
                </c:pt>
                <c:pt idx="2306">
                  <c:v>05/27/2014 00:30 PDT</c:v>
                </c:pt>
                <c:pt idx="2307">
                  <c:v>05/27/2014 00:45 PDT</c:v>
                </c:pt>
                <c:pt idx="2308">
                  <c:v>05/27/2014 01:00 PDT</c:v>
                </c:pt>
                <c:pt idx="2309">
                  <c:v>05/27/2014 01:15 PDT</c:v>
                </c:pt>
                <c:pt idx="2310">
                  <c:v>05/27/2014 01:30 PDT</c:v>
                </c:pt>
                <c:pt idx="2311">
                  <c:v>05/27/2014 01:45 PDT</c:v>
                </c:pt>
                <c:pt idx="2312">
                  <c:v>05/27/2014 02:00 PDT</c:v>
                </c:pt>
                <c:pt idx="2313">
                  <c:v>05/27/2014 02:15 PDT</c:v>
                </c:pt>
                <c:pt idx="2314">
                  <c:v>05/27/2014 02:30 PDT</c:v>
                </c:pt>
                <c:pt idx="2315">
                  <c:v>05/27/2014 02:45 PDT</c:v>
                </c:pt>
                <c:pt idx="2316">
                  <c:v>05/27/2014 03:00 PDT</c:v>
                </c:pt>
                <c:pt idx="2317">
                  <c:v>05/27/2014 03:15 PDT</c:v>
                </c:pt>
                <c:pt idx="2318">
                  <c:v>05/27/2014 03:30 PDT</c:v>
                </c:pt>
                <c:pt idx="2319">
                  <c:v>05/27/2014 03:45 PDT</c:v>
                </c:pt>
                <c:pt idx="2320">
                  <c:v>05/27/2014 04:00 PDT</c:v>
                </c:pt>
                <c:pt idx="2321">
                  <c:v>05/27/2014 04:15 PDT</c:v>
                </c:pt>
                <c:pt idx="2322">
                  <c:v>05/27/2014 04:30 PDT</c:v>
                </c:pt>
                <c:pt idx="2323">
                  <c:v>05/27/2014 04:45 PDT</c:v>
                </c:pt>
                <c:pt idx="2324">
                  <c:v>05/27/2014 05:00 PDT</c:v>
                </c:pt>
                <c:pt idx="2325">
                  <c:v>05/27/2014 05:15 PDT</c:v>
                </c:pt>
                <c:pt idx="2326">
                  <c:v>05/27/2014 05:30 PDT</c:v>
                </c:pt>
                <c:pt idx="2327">
                  <c:v>05/27/2014 05:45 PDT</c:v>
                </c:pt>
                <c:pt idx="2328">
                  <c:v>05/27/2014 06:00 PDT</c:v>
                </c:pt>
                <c:pt idx="2329">
                  <c:v>05/27/2014 06:15 PDT</c:v>
                </c:pt>
                <c:pt idx="2330">
                  <c:v>05/27/2014 06:30 PDT</c:v>
                </c:pt>
                <c:pt idx="2331">
                  <c:v>05/27/2014 06:45 PDT</c:v>
                </c:pt>
                <c:pt idx="2332">
                  <c:v>05/27/2014 07:00 PDT</c:v>
                </c:pt>
                <c:pt idx="2333">
                  <c:v>05/27/2014 07:15 PDT</c:v>
                </c:pt>
                <c:pt idx="2334">
                  <c:v>05/27/2014 07:30 PDT</c:v>
                </c:pt>
                <c:pt idx="2335">
                  <c:v>05/27/2014 07:45 PDT</c:v>
                </c:pt>
                <c:pt idx="2336">
                  <c:v>05/27/2014 08:00 PDT</c:v>
                </c:pt>
                <c:pt idx="2337">
                  <c:v>05/27/2014 08:15 PDT</c:v>
                </c:pt>
                <c:pt idx="2338">
                  <c:v>05/27/2014 08:30 PDT</c:v>
                </c:pt>
                <c:pt idx="2339">
                  <c:v>05/27/2014 08:45 PDT</c:v>
                </c:pt>
                <c:pt idx="2340">
                  <c:v>05/27/2014 09:00 PDT</c:v>
                </c:pt>
                <c:pt idx="2341">
                  <c:v>05/27/2014 09:15 PDT</c:v>
                </c:pt>
                <c:pt idx="2342">
                  <c:v>05/27/2014 09:30 PDT</c:v>
                </c:pt>
                <c:pt idx="2343">
                  <c:v>05/27/2014 09:45 PDT</c:v>
                </c:pt>
                <c:pt idx="2344">
                  <c:v>05/27/2014 10:00 PDT</c:v>
                </c:pt>
                <c:pt idx="2345">
                  <c:v>05/27/2014 10:15 PDT</c:v>
                </c:pt>
                <c:pt idx="2346">
                  <c:v>05/27/2014 10:30 PDT</c:v>
                </c:pt>
                <c:pt idx="2347">
                  <c:v>05/27/2014 10:45 PDT</c:v>
                </c:pt>
                <c:pt idx="2348">
                  <c:v>05/27/2014 11:00 PDT</c:v>
                </c:pt>
                <c:pt idx="2349">
                  <c:v>05/27/2014 11:15 PDT</c:v>
                </c:pt>
                <c:pt idx="2350">
                  <c:v>05/27/2014 11:30 PDT</c:v>
                </c:pt>
                <c:pt idx="2351">
                  <c:v>05/27/2014 11:45 PDT</c:v>
                </c:pt>
                <c:pt idx="2352">
                  <c:v>05/27/2014 12:00 PDT</c:v>
                </c:pt>
                <c:pt idx="2353">
                  <c:v>05/27/2014 12:15 PDT</c:v>
                </c:pt>
                <c:pt idx="2354">
                  <c:v>05/27/2014 12:30 PDT</c:v>
                </c:pt>
                <c:pt idx="2355">
                  <c:v>05/27/2014 12:45 PDT</c:v>
                </c:pt>
                <c:pt idx="2356">
                  <c:v>05/27/2014 13:00 PDT</c:v>
                </c:pt>
                <c:pt idx="2357">
                  <c:v>05/27/2014 13:15 PDT</c:v>
                </c:pt>
                <c:pt idx="2358">
                  <c:v>05/27/2014 13:30 PDT</c:v>
                </c:pt>
                <c:pt idx="2359">
                  <c:v>05/27/2014 13:45 PDT</c:v>
                </c:pt>
                <c:pt idx="2360">
                  <c:v>05/27/2014 14:00 PDT</c:v>
                </c:pt>
                <c:pt idx="2361">
                  <c:v>05/27/2014 14:15 PDT</c:v>
                </c:pt>
                <c:pt idx="2362">
                  <c:v>05/27/2014 14:30 PDT</c:v>
                </c:pt>
                <c:pt idx="2363">
                  <c:v>05/27/2014 14:45 PDT</c:v>
                </c:pt>
                <c:pt idx="2364">
                  <c:v>05/27/2014 15:00 PDT</c:v>
                </c:pt>
                <c:pt idx="2365">
                  <c:v>05/27/2014 15:15 PDT</c:v>
                </c:pt>
                <c:pt idx="2366">
                  <c:v>05/27/2014 15:30 PDT</c:v>
                </c:pt>
                <c:pt idx="2367">
                  <c:v>05/27/2014 15:45 PDT</c:v>
                </c:pt>
                <c:pt idx="2368">
                  <c:v>05/27/2014 16:00 PDT</c:v>
                </c:pt>
                <c:pt idx="2369">
                  <c:v>05/27/2014 16:15 PDT</c:v>
                </c:pt>
                <c:pt idx="2370">
                  <c:v>05/27/2014 16:30 PDT</c:v>
                </c:pt>
                <c:pt idx="2371">
                  <c:v>05/27/2014 16:45 PDT</c:v>
                </c:pt>
                <c:pt idx="2372">
                  <c:v>05/27/2014 17:00 PDT</c:v>
                </c:pt>
                <c:pt idx="2373">
                  <c:v>05/27/2014 17:15 PDT</c:v>
                </c:pt>
                <c:pt idx="2374">
                  <c:v>05/27/2014 17:30 PDT</c:v>
                </c:pt>
                <c:pt idx="2375">
                  <c:v>05/27/2014 17:45 PDT</c:v>
                </c:pt>
                <c:pt idx="2376">
                  <c:v>05/27/2014 18:00 PDT</c:v>
                </c:pt>
                <c:pt idx="2377">
                  <c:v>05/27/2014 18:15 PDT</c:v>
                </c:pt>
                <c:pt idx="2378">
                  <c:v>05/27/2014 18:30 PDT</c:v>
                </c:pt>
                <c:pt idx="2379">
                  <c:v>05/27/2014 18:45 PDT</c:v>
                </c:pt>
                <c:pt idx="2380">
                  <c:v>05/27/2014 19:00 PDT</c:v>
                </c:pt>
                <c:pt idx="2381">
                  <c:v>05/27/2014 19:15 PDT</c:v>
                </c:pt>
                <c:pt idx="2382">
                  <c:v>05/27/2014 19:30 PDT</c:v>
                </c:pt>
                <c:pt idx="2383">
                  <c:v>05/27/2014 19:45 PDT</c:v>
                </c:pt>
                <c:pt idx="2384">
                  <c:v>05/27/2014 20:00 PDT</c:v>
                </c:pt>
                <c:pt idx="2385">
                  <c:v>05/27/2014 20:15 PDT</c:v>
                </c:pt>
                <c:pt idx="2386">
                  <c:v>05/27/2014 20:30 PDT</c:v>
                </c:pt>
                <c:pt idx="2387">
                  <c:v>05/27/2014 20:45 PDT</c:v>
                </c:pt>
                <c:pt idx="2388">
                  <c:v>05/27/2014 21:00 PDT</c:v>
                </c:pt>
                <c:pt idx="2389">
                  <c:v>05/27/2014 21:15 PDT</c:v>
                </c:pt>
                <c:pt idx="2390">
                  <c:v>05/27/2014 21:30 PDT</c:v>
                </c:pt>
                <c:pt idx="2391">
                  <c:v>05/27/2014 21:45 PDT</c:v>
                </c:pt>
                <c:pt idx="2392">
                  <c:v>05/27/2014 22:00 PDT</c:v>
                </c:pt>
                <c:pt idx="2393">
                  <c:v>05/27/2014 22:15 PDT</c:v>
                </c:pt>
                <c:pt idx="2394">
                  <c:v>05/27/2014 22:30 PDT</c:v>
                </c:pt>
                <c:pt idx="2395">
                  <c:v>05/27/2014 22:45 PDT</c:v>
                </c:pt>
                <c:pt idx="2396">
                  <c:v>05/27/2014 23:00 PDT</c:v>
                </c:pt>
                <c:pt idx="2397">
                  <c:v>05/27/2014 23:15 PDT</c:v>
                </c:pt>
                <c:pt idx="2398">
                  <c:v>05/27/2014 23:30 PDT</c:v>
                </c:pt>
                <c:pt idx="2399">
                  <c:v>05/27/2014 23:45 PDT</c:v>
                </c:pt>
                <c:pt idx="2400">
                  <c:v>05/28/2014 00:00 PDT</c:v>
                </c:pt>
                <c:pt idx="2401">
                  <c:v>05/28/2014 00:15 PDT</c:v>
                </c:pt>
                <c:pt idx="2402">
                  <c:v>05/28/2014 00:30 PDT</c:v>
                </c:pt>
                <c:pt idx="2403">
                  <c:v>05/28/2014 00:45 PDT</c:v>
                </c:pt>
                <c:pt idx="2404">
                  <c:v>05/28/2014 01:00 PDT</c:v>
                </c:pt>
                <c:pt idx="2405">
                  <c:v>05/28/2014 01:15 PDT</c:v>
                </c:pt>
                <c:pt idx="2406">
                  <c:v>05/28/2014 01:30 PDT</c:v>
                </c:pt>
                <c:pt idx="2407">
                  <c:v>05/28/2014 01:45 PDT</c:v>
                </c:pt>
                <c:pt idx="2408">
                  <c:v>05/28/2014 02:00 PDT</c:v>
                </c:pt>
                <c:pt idx="2409">
                  <c:v>05/28/2014 02:15 PDT</c:v>
                </c:pt>
                <c:pt idx="2410">
                  <c:v>05/28/2014 02:30 PDT</c:v>
                </c:pt>
                <c:pt idx="2411">
                  <c:v>05/28/2014 02:45 PDT</c:v>
                </c:pt>
                <c:pt idx="2412">
                  <c:v>05/28/2014 03:00 PDT</c:v>
                </c:pt>
                <c:pt idx="2413">
                  <c:v>05/28/2014 03:15 PDT</c:v>
                </c:pt>
                <c:pt idx="2414">
                  <c:v>05/28/2014 03:30 PDT</c:v>
                </c:pt>
                <c:pt idx="2415">
                  <c:v>05/28/2014 03:45 PDT</c:v>
                </c:pt>
                <c:pt idx="2416">
                  <c:v>05/28/2014 04:00 PDT</c:v>
                </c:pt>
                <c:pt idx="2417">
                  <c:v>05/28/2014 04:15 PDT</c:v>
                </c:pt>
                <c:pt idx="2418">
                  <c:v>05/28/2014 04:30 PDT</c:v>
                </c:pt>
                <c:pt idx="2419">
                  <c:v>05/28/2014 04:45 PDT</c:v>
                </c:pt>
                <c:pt idx="2420">
                  <c:v>05/28/2014 05:00 PDT</c:v>
                </c:pt>
                <c:pt idx="2421">
                  <c:v>05/28/2014 05:15 PDT</c:v>
                </c:pt>
                <c:pt idx="2422">
                  <c:v>05/28/2014 05:30 PDT</c:v>
                </c:pt>
                <c:pt idx="2423">
                  <c:v>05/28/2014 05:45 PDT</c:v>
                </c:pt>
                <c:pt idx="2424">
                  <c:v>05/28/2014 06:00 PDT</c:v>
                </c:pt>
                <c:pt idx="2425">
                  <c:v>05/28/2014 06:15 PDT</c:v>
                </c:pt>
                <c:pt idx="2426">
                  <c:v>05/28/2014 06:30 PDT</c:v>
                </c:pt>
                <c:pt idx="2427">
                  <c:v>05/28/2014 06:45 PDT</c:v>
                </c:pt>
                <c:pt idx="2428">
                  <c:v>05/28/2014 07:00 PDT</c:v>
                </c:pt>
                <c:pt idx="2429">
                  <c:v>05/28/2014 07:15 PDT</c:v>
                </c:pt>
                <c:pt idx="2430">
                  <c:v>05/28/2014 07:30 PDT</c:v>
                </c:pt>
                <c:pt idx="2431">
                  <c:v>05/28/2014 07:45 PDT</c:v>
                </c:pt>
                <c:pt idx="2432">
                  <c:v>05/28/2014 08:00 PDT</c:v>
                </c:pt>
                <c:pt idx="2433">
                  <c:v>05/28/2014 08:15 PDT</c:v>
                </c:pt>
                <c:pt idx="2434">
                  <c:v>05/28/2014 08:30 PDT</c:v>
                </c:pt>
                <c:pt idx="2435">
                  <c:v>05/28/2014 08:45 PDT</c:v>
                </c:pt>
                <c:pt idx="2436">
                  <c:v>05/28/2014 09:00 PDT</c:v>
                </c:pt>
                <c:pt idx="2437">
                  <c:v>05/28/2014 09:15 PDT</c:v>
                </c:pt>
                <c:pt idx="2438">
                  <c:v>05/28/2014 09:30 PDT</c:v>
                </c:pt>
                <c:pt idx="2439">
                  <c:v>05/28/2014 09:45 PDT</c:v>
                </c:pt>
                <c:pt idx="2440">
                  <c:v>05/28/2014 10:00 PDT</c:v>
                </c:pt>
                <c:pt idx="2441">
                  <c:v>05/28/2014 10:15 PDT</c:v>
                </c:pt>
                <c:pt idx="2442">
                  <c:v>05/28/2014 10:30 PDT</c:v>
                </c:pt>
                <c:pt idx="2443">
                  <c:v>05/28/2014 10:45 PDT</c:v>
                </c:pt>
                <c:pt idx="2444">
                  <c:v>05/28/2014 11:00 PDT</c:v>
                </c:pt>
                <c:pt idx="2445">
                  <c:v>05/28/2014 11:15 PDT</c:v>
                </c:pt>
                <c:pt idx="2446">
                  <c:v>05/28/2014 11:30 PDT</c:v>
                </c:pt>
                <c:pt idx="2447">
                  <c:v>05/28/2014 11:45 PDT</c:v>
                </c:pt>
                <c:pt idx="2448">
                  <c:v>05/28/2014 12:00 PDT</c:v>
                </c:pt>
                <c:pt idx="2449">
                  <c:v>05/28/2014 12:15 PDT</c:v>
                </c:pt>
                <c:pt idx="2450">
                  <c:v>05/28/2014 12:30 PDT</c:v>
                </c:pt>
                <c:pt idx="2451">
                  <c:v>05/28/2014 12:45 PDT</c:v>
                </c:pt>
                <c:pt idx="2452">
                  <c:v>05/28/2014 13:00 PDT</c:v>
                </c:pt>
                <c:pt idx="2453">
                  <c:v>05/28/2014 13:15 PDT</c:v>
                </c:pt>
                <c:pt idx="2454">
                  <c:v>05/28/2014 13:30 PDT</c:v>
                </c:pt>
                <c:pt idx="2455">
                  <c:v>05/28/2014 13:45 PDT</c:v>
                </c:pt>
                <c:pt idx="2456">
                  <c:v>05/28/2014 14:00 PDT</c:v>
                </c:pt>
                <c:pt idx="2457">
                  <c:v>05/28/2014 14:15 PDT</c:v>
                </c:pt>
                <c:pt idx="2458">
                  <c:v>05/28/2014 14:30 PDT</c:v>
                </c:pt>
                <c:pt idx="2459">
                  <c:v>05/28/2014 14:45 PDT</c:v>
                </c:pt>
                <c:pt idx="2460">
                  <c:v>05/28/2014 15:00 PDT</c:v>
                </c:pt>
                <c:pt idx="2461">
                  <c:v>05/28/2014 15:15 PDT</c:v>
                </c:pt>
                <c:pt idx="2462">
                  <c:v>05/28/2014 15:30 PDT</c:v>
                </c:pt>
                <c:pt idx="2463">
                  <c:v>05/28/2014 15:45 PDT</c:v>
                </c:pt>
                <c:pt idx="2464">
                  <c:v>05/28/2014 16:00 PDT</c:v>
                </c:pt>
                <c:pt idx="2465">
                  <c:v>05/28/2014 16:15 PDT</c:v>
                </c:pt>
                <c:pt idx="2466">
                  <c:v>05/28/2014 16:30 PDT</c:v>
                </c:pt>
                <c:pt idx="2467">
                  <c:v>05/28/2014 16:45 PDT</c:v>
                </c:pt>
                <c:pt idx="2468">
                  <c:v>05/28/2014 17:00 PDT</c:v>
                </c:pt>
                <c:pt idx="2469">
                  <c:v>05/28/2014 17:15 PDT</c:v>
                </c:pt>
                <c:pt idx="2470">
                  <c:v>05/28/2014 17:30 PDT</c:v>
                </c:pt>
                <c:pt idx="2471">
                  <c:v>05/28/2014 17:45 PDT</c:v>
                </c:pt>
                <c:pt idx="2472">
                  <c:v>05/28/2014 18:00 PDT</c:v>
                </c:pt>
                <c:pt idx="2473">
                  <c:v>05/28/2014 18:15 PDT</c:v>
                </c:pt>
                <c:pt idx="2474">
                  <c:v>05/28/2014 18:30 PDT</c:v>
                </c:pt>
                <c:pt idx="2475">
                  <c:v>05/28/2014 18:45 PDT</c:v>
                </c:pt>
                <c:pt idx="2476">
                  <c:v>05/28/2014 19:00 PDT</c:v>
                </c:pt>
                <c:pt idx="2477">
                  <c:v>05/28/2014 19:15 PDT</c:v>
                </c:pt>
                <c:pt idx="2478">
                  <c:v>05/28/2014 19:30 PDT</c:v>
                </c:pt>
                <c:pt idx="2479">
                  <c:v>05/28/2014 19:45 PDT</c:v>
                </c:pt>
                <c:pt idx="2480">
                  <c:v>05/28/2014 20:00 PDT</c:v>
                </c:pt>
                <c:pt idx="2481">
                  <c:v>05/28/2014 20:15 PDT</c:v>
                </c:pt>
                <c:pt idx="2482">
                  <c:v>05/28/2014 20:30 PDT</c:v>
                </c:pt>
                <c:pt idx="2483">
                  <c:v>05/28/2014 20:45 PDT</c:v>
                </c:pt>
                <c:pt idx="2484">
                  <c:v>05/28/2014 21:00 PDT</c:v>
                </c:pt>
                <c:pt idx="2485">
                  <c:v>05/28/2014 21:15 PDT</c:v>
                </c:pt>
                <c:pt idx="2486">
                  <c:v>05/28/2014 21:30 PDT</c:v>
                </c:pt>
                <c:pt idx="2487">
                  <c:v>05/28/2014 21:45 PDT</c:v>
                </c:pt>
                <c:pt idx="2488">
                  <c:v>05/28/2014 22:00 PDT</c:v>
                </c:pt>
                <c:pt idx="2489">
                  <c:v>05/28/2014 22:15 PDT</c:v>
                </c:pt>
                <c:pt idx="2490">
                  <c:v>05/28/2014 22:30 PDT</c:v>
                </c:pt>
                <c:pt idx="2491">
                  <c:v>05/28/2014 22:45 PDT</c:v>
                </c:pt>
                <c:pt idx="2492">
                  <c:v>05/28/2014 23:00 PDT</c:v>
                </c:pt>
                <c:pt idx="2493">
                  <c:v>05/28/2014 23:15 PDT</c:v>
                </c:pt>
                <c:pt idx="2494">
                  <c:v>05/28/2014 23:30 PDT</c:v>
                </c:pt>
                <c:pt idx="2495">
                  <c:v>05/28/2014 23:45 PDT</c:v>
                </c:pt>
                <c:pt idx="2496">
                  <c:v>05/29/2014 00:00 PDT</c:v>
                </c:pt>
                <c:pt idx="2497">
                  <c:v>05/29/2014 00:15 PDT</c:v>
                </c:pt>
                <c:pt idx="2498">
                  <c:v>05/29/2014 00:30 PDT</c:v>
                </c:pt>
                <c:pt idx="2499">
                  <c:v>05/29/2014 00:45 PDT</c:v>
                </c:pt>
                <c:pt idx="2500">
                  <c:v>05/29/2014 01:00 PDT</c:v>
                </c:pt>
                <c:pt idx="2501">
                  <c:v>05/29/2014 01:15 PDT</c:v>
                </c:pt>
                <c:pt idx="2502">
                  <c:v>05/29/2014 01:30 PDT</c:v>
                </c:pt>
                <c:pt idx="2503">
                  <c:v>05/29/2014 01:45 PDT</c:v>
                </c:pt>
                <c:pt idx="2504">
                  <c:v>05/29/2014 02:00 PDT</c:v>
                </c:pt>
                <c:pt idx="2505">
                  <c:v>05/29/2014 02:15 PDT</c:v>
                </c:pt>
                <c:pt idx="2506">
                  <c:v>05/29/2014 02:30 PDT</c:v>
                </c:pt>
                <c:pt idx="2507">
                  <c:v>05/29/2014 02:45 PDT</c:v>
                </c:pt>
                <c:pt idx="2508">
                  <c:v>05/29/2014 03:00 PDT</c:v>
                </c:pt>
                <c:pt idx="2509">
                  <c:v>05/29/2014 03:15 PDT</c:v>
                </c:pt>
                <c:pt idx="2510">
                  <c:v>05/29/2014 03:30 PDT</c:v>
                </c:pt>
                <c:pt idx="2511">
                  <c:v>05/29/2014 03:45 PDT</c:v>
                </c:pt>
                <c:pt idx="2512">
                  <c:v>05/29/2014 04:00 PDT</c:v>
                </c:pt>
                <c:pt idx="2513">
                  <c:v>05/29/2014 04:15 PDT</c:v>
                </c:pt>
                <c:pt idx="2514">
                  <c:v>05/29/2014 04:30 PDT</c:v>
                </c:pt>
                <c:pt idx="2515">
                  <c:v>05/29/2014 04:45 PDT</c:v>
                </c:pt>
                <c:pt idx="2516">
                  <c:v>05/29/2014 05:00 PDT</c:v>
                </c:pt>
                <c:pt idx="2517">
                  <c:v>05/29/2014 05:15 PDT</c:v>
                </c:pt>
                <c:pt idx="2518">
                  <c:v>05/29/2014 05:30 PDT</c:v>
                </c:pt>
                <c:pt idx="2519">
                  <c:v>05/29/2014 05:45 PDT</c:v>
                </c:pt>
                <c:pt idx="2520">
                  <c:v>05/29/2014 06:00 PDT</c:v>
                </c:pt>
                <c:pt idx="2521">
                  <c:v>05/29/2014 06:15 PDT</c:v>
                </c:pt>
                <c:pt idx="2522">
                  <c:v>05/29/2014 06:30 PDT</c:v>
                </c:pt>
                <c:pt idx="2523">
                  <c:v>05/29/2014 06:45 PDT</c:v>
                </c:pt>
                <c:pt idx="2524">
                  <c:v>05/29/2014 07:00 PDT</c:v>
                </c:pt>
                <c:pt idx="2525">
                  <c:v>05/29/2014 07:15 PDT</c:v>
                </c:pt>
                <c:pt idx="2526">
                  <c:v>05/29/2014 07:30 PDT</c:v>
                </c:pt>
                <c:pt idx="2527">
                  <c:v>05/29/2014 07:45 PDT</c:v>
                </c:pt>
                <c:pt idx="2528">
                  <c:v>05/29/2014 08:00 PDT</c:v>
                </c:pt>
                <c:pt idx="2529">
                  <c:v>05/29/2014 08:15 PDT</c:v>
                </c:pt>
                <c:pt idx="2530">
                  <c:v>05/29/2014 08:30 PDT</c:v>
                </c:pt>
                <c:pt idx="2531">
                  <c:v>05/29/2014 08:45 PDT</c:v>
                </c:pt>
                <c:pt idx="2532">
                  <c:v>05/29/2014 09:00 PDT</c:v>
                </c:pt>
                <c:pt idx="2533">
                  <c:v>05/29/2014 09:15 PDT</c:v>
                </c:pt>
                <c:pt idx="2534">
                  <c:v>05/29/2014 09:30 PDT</c:v>
                </c:pt>
                <c:pt idx="2535">
                  <c:v>05/29/2014 09:45 PDT</c:v>
                </c:pt>
                <c:pt idx="2536">
                  <c:v>05/29/2014 10:00 PDT</c:v>
                </c:pt>
                <c:pt idx="2537">
                  <c:v>05/29/2014 10:15 PDT</c:v>
                </c:pt>
                <c:pt idx="2538">
                  <c:v>05/29/2014 10:30 PDT</c:v>
                </c:pt>
                <c:pt idx="2539">
                  <c:v>05/29/2014 10:45 PDT</c:v>
                </c:pt>
                <c:pt idx="2540">
                  <c:v>05/29/2014 11:00 PDT</c:v>
                </c:pt>
                <c:pt idx="2541">
                  <c:v>05/29/2014 11:15 PDT</c:v>
                </c:pt>
                <c:pt idx="2542">
                  <c:v>05/29/2014 11:30 PDT</c:v>
                </c:pt>
                <c:pt idx="2543">
                  <c:v>05/29/2014 11:45 PDT</c:v>
                </c:pt>
                <c:pt idx="2544">
                  <c:v>05/29/2014 12:00 PDT</c:v>
                </c:pt>
                <c:pt idx="2545">
                  <c:v>05/29/2014 12:15 PDT</c:v>
                </c:pt>
                <c:pt idx="2546">
                  <c:v>05/29/2014 12:30 PDT</c:v>
                </c:pt>
                <c:pt idx="2547">
                  <c:v>05/29/2014 12:45 PDT</c:v>
                </c:pt>
                <c:pt idx="2548">
                  <c:v>05/29/2014 13:00 PDT</c:v>
                </c:pt>
                <c:pt idx="2549">
                  <c:v>05/29/2014 13:15 PDT</c:v>
                </c:pt>
                <c:pt idx="2550">
                  <c:v>05/29/2014 13:30 PDT</c:v>
                </c:pt>
                <c:pt idx="2551">
                  <c:v>05/29/2014 13:45 PDT</c:v>
                </c:pt>
                <c:pt idx="2552">
                  <c:v>05/29/2014 14:00 PDT</c:v>
                </c:pt>
                <c:pt idx="2553">
                  <c:v>05/29/2014 14:15 PDT</c:v>
                </c:pt>
                <c:pt idx="2554">
                  <c:v>05/29/2014 14:30 PDT</c:v>
                </c:pt>
                <c:pt idx="2555">
                  <c:v>05/29/2014 14:45 PDT</c:v>
                </c:pt>
                <c:pt idx="2556">
                  <c:v>05/29/2014 15:00 PDT</c:v>
                </c:pt>
                <c:pt idx="2557">
                  <c:v>05/29/2014 15:15 PDT</c:v>
                </c:pt>
                <c:pt idx="2558">
                  <c:v>05/29/2014 15:30 PDT</c:v>
                </c:pt>
                <c:pt idx="2559">
                  <c:v>05/29/2014 15:45 PDT</c:v>
                </c:pt>
                <c:pt idx="2560">
                  <c:v>05/29/2014 16:00 PDT</c:v>
                </c:pt>
                <c:pt idx="2561">
                  <c:v>05/29/2014 16:15 PDT</c:v>
                </c:pt>
                <c:pt idx="2562">
                  <c:v>05/29/2014 16:30 PDT</c:v>
                </c:pt>
                <c:pt idx="2563">
                  <c:v>05/29/2014 16:45 PDT</c:v>
                </c:pt>
                <c:pt idx="2564">
                  <c:v>05/29/2014 17:00 PDT</c:v>
                </c:pt>
                <c:pt idx="2565">
                  <c:v>05/29/2014 17:15 PDT</c:v>
                </c:pt>
                <c:pt idx="2566">
                  <c:v>05/29/2014 17:30 PDT</c:v>
                </c:pt>
                <c:pt idx="2567">
                  <c:v>05/29/2014 17:45 PDT</c:v>
                </c:pt>
                <c:pt idx="2568">
                  <c:v>05/29/2014 18:00 PDT</c:v>
                </c:pt>
                <c:pt idx="2569">
                  <c:v>05/29/2014 18:15 PDT</c:v>
                </c:pt>
                <c:pt idx="2570">
                  <c:v>05/29/2014 18:30 PDT</c:v>
                </c:pt>
                <c:pt idx="2571">
                  <c:v>05/29/2014 18:45 PDT</c:v>
                </c:pt>
                <c:pt idx="2572">
                  <c:v>05/29/2014 19:00 PDT</c:v>
                </c:pt>
                <c:pt idx="2573">
                  <c:v>05/29/2014 19:15 PDT</c:v>
                </c:pt>
                <c:pt idx="2574">
                  <c:v>05/29/2014 19:30 PDT</c:v>
                </c:pt>
                <c:pt idx="2575">
                  <c:v>05/29/2014 19:45 PDT</c:v>
                </c:pt>
                <c:pt idx="2576">
                  <c:v>05/29/2014 20:00 PDT</c:v>
                </c:pt>
                <c:pt idx="2577">
                  <c:v>05/29/2014 20:15 PDT</c:v>
                </c:pt>
                <c:pt idx="2578">
                  <c:v>05/29/2014 20:30 PDT</c:v>
                </c:pt>
                <c:pt idx="2579">
                  <c:v>05/29/2014 20:45 PDT</c:v>
                </c:pt>
                <c:pt idx="2580">
                  <c:v>05/29/2014 21:00 PDT</c:v>
                </c:pt>
                <c:pt idx="2581">
                  <c:v>05/29/2014 21:15 PDT</c:v>
                </c:pt>
                <c:pt idx="2582">
                  <c:v>05/29/2014 21:30 PDT</c:v>
                </c:pt>
                <c:pt idx="2583">
                  <c:v>05/29/2014 21:45 PDT</c:v>
                </c:pt>
                <c:pt idx="2584">
                  <c:v>05/29/2014 22:00 PDT</c:v>
                </c:pt>
                <c:pt idx="2585">
                  <c:v>05/29/2014 22:15 PDT</c:v>
                </c:pt>
                <c:pt idx="2586">
                  <c:v>05/29/2014 22:30 PDT</c:v>
                </c:pt>
                <c:pt idx="2587">
                  <c:v>05/29/2014 22:45 PDT</c:v>
                </c:pt>
                <c:pt idx="2588">
                  <c:v>05/29/2014 23:00 PDT</c:v>
                </c:pt>
                <c:pt idx="2589">
                  <c:v>05/29/2014 23:15 PDT</c:v>
                </c:pt>
                <c:pt idx="2590">
                  <c:v>05/29/2014 23:30 PDT</c:v>
                </c:pt>
                <c:pt idx="2591">
                  <c:v>05/29/2014 23:45 PDT</c:v>
                </c:pt>
                <c:pt idx="2592">
                  <c:v>05/30/2014 00:00 PDT</c:v>
                </c:pt>
                <c:pt idx="2593">
                  <c:v>05/30/2014 00:15 PDT</c:v>
                </c:pt>
                <c:pt idx="2594">
                  <c:v>05/30/2014 00:30 PDT</c:v>
                </c:pt>
                <c:pt idx="2595">
                  <c:v>05/30/2014 00:45 PDT</c:v>
                </c:pt>
                <c:pt idx="2596">
                  <c:v>05/30/2014 01:00 PDT</c:v>
                </c:pt>
                <c:pt idx="2597">
                  <c:v>05/30/2014 01:15 PDT</c:v>
                </c:pt>
                <c:pt idx="2598">
                  <c:v>05/30/2014 01:30 PDT</c:v>
                </c:pt>
                <c:pt idx="2599">
                  <c:v>05/30/2014 01:45 PDT</c:v>
                </c:pt>
                <c:pt idx="2600">
                  <c:v>05/30/2014 02:00 PDT</c:v>
                </c:pt>
                <c:pt idx="2601">
                  <c:v>05/30/2014 02:15 PDT</c:v>
                </c:pt>
                <c:pt idx="2602">
                  <c:v>05/30/2014 02:30 PDT</c:v>
                </c:pt>
                <c:pt idx="2603">
                  <c:v>05/30/2014 02:45 PDT</c:v>
                </c:pt>
                <c:pt idx="2604">
                  <c:v>05/30/2014 03:00 PDT</c:v>
                </c:pt>
                <c:pt idx="2605">
                  <c:v>05/30/2014 03:15 PDT</c:v>
                </c:pt>
                <c:pt idx="2606">
                  <c:v>05/30/2014 03:30 PDT</c:v>
                </c:pt>
                <c:pt idx="2607">
                  <c:v>05/30/2014 03:45 PDT</c:v>
                </c:pt>
                <c:pt idx="2608">
                  <c:v>05/30/2014 04:00 PDT</c:v>
                </c:pt>
                <c:pt idx="2609">
                  <c:v>05/30/2014 04:15 PDT</c:v>
                </c:pt>
                <c:pt idx="2610">
                  <c:v>05/30/2014 04:30 PDT</c:v>
                </c:pt>
                <c:pt idx="2611">
                  <c:v>05/30/2014 04:45 PDT</c:v>
                </c:pt>
                <c:pt idx="2612">
                  <c:v>05/30/2014 05:00 PDT</c:v>
                </c:pt>
                <c:pt idx="2613">
                  <c:v>05/30/2014 05:15 PDT</c:v>
                </c:pt>
                <c:pt idx="2614">
                  <c:v>05/30/2014 05:30 PDT</c:v>
                </c:pt>
                <c:pt idx="2615">
                  <c:v>05/30/2014 05:45 PDT</c:v>
                </c:pt>
                <c:pt idx="2616">
                  <c:v>05/30/2014 06:00 PDT</c:v>
                </c:pt>
                <c:pt idx="2617">
                  <c:v>05/30/2014 06:15 PDT</c:v>
                </c:pt>
                <c:pt idx="2618">
                  <c:v>05/30/2014 06:30 PDT</c:v>
                </c:pt>
                <c:pt idx="2619">
                  <c:v>05/30/2014 06:45 PDT</c:v>
                </c:pt>
                <c:pt idx="2620">
                  <c:v>05/30/2014 07:00 PDT</c:v>
                </c:pt>
                <c:pt idx="2621">
                  <c:v>05/30/2014 07:15 PDT</c:v>
                </c:pt>
                <c:pt idx="2622">
                  <c:v>05/30/2014 07:30 PDT</c:v>
                </c:pt>
                <c:pt idx="2623">
                  <c:v>05/30/2014 07:45 PDT</c:v>
                </c:pt>
                <c:pt idx="2624">
                  <c:v>05/30/2014 08:00 PDT</c:v>
                </c:pt>
                <c:pt idx="2625">
                  <c:v>05/30/2014 08:15 PDT</c:v>
                </c:pt>
                <c:pt idx="2626">
                  <c:v>05/30/2014 08:30 PDT</c:v>
                </c:pt>
                <c:pt idx="2627">
                  <c:v>05/30/2014 08:45 PDT</c:v>
                </c:pt>
                <c:pt idx="2628">
                  <c:v>05/30/2014 09:00 PDT</c:v>
                </c:pt>
                <c:pt idx="2629">
                  <c:v>05/30/2014 09:15 PDT</c:v>
                </c:pt>
                <c:pt idx="2630">
                  <c:v>05/30/2014 09:30 PDT</c:v>
                </c:pt>
                <c:pt idx="2631">
                  <c:v>05/30/2014 09:45 PDT</c:v>
                </c:pt>
                <c:pt idx="2632">
                  <c:v>05/30/2014 10:00 PDT</c:v>
                </c:pt>
                <c:pt idx="2633">
                  <c:v>05/30/2014 10:15 PDT</c:v>
                </c:pt>
                <c:pt idx="2634">
                  <c:v>05/30/2014 10:30 PDT</c:v>
                </c:pt>
                <c:pt idx="2635">
                  <c:v>05/30/2014 10:45 PDT</c:v>
                </c:pt>
                <c:pt idx="2636">
                  <c:v>05/30/2014 11:00 PDT</c:v>
                </c:pt>
                <c:pt idx="2637">
                  <c:v>05/30/2014 11:15 PDT</c:v>
                </c:pt>
                <c:pt idx="2638">
                  <c:v>05/30/2014 11:30 PDT</c:v>
                </c:pt>
                <c:pt idx="2639">
                  <c:v>05/30/2014 11:45 PDT</c:v>
                </c:pt>
                <c:pt idx="2640">
                  <c:v>05/30/2014 12:00 PDT</c:v>
                </c:pt>
                <c:pt idx="2641">
                  <c:v>05/30/2014 12:15 PDT</c:v>
                </c:pt>
                <c:pt idx="2642">
                  <c:v>05/30/2014 12:30 PDT</c:v>
                </c:pt>
                <c:pt idx="2643">
                  <c:v>05/30/2014 12:45 PDT</c:v>
                </c:pt>
                <c:pt idx="2644">
                  <c:v>05/30/2014 13:00 PDT</c:v>
                </c:pt>
                <c:pt idx="2645">
                  <c:v>05/30/2014 13:15 PDT</c:v>
                </c:pt>
                <c:pt idx="2646">
                  <c:v>05/30/2014 13:30 PDT</c:v>
                </c:pt>
                <c:pt idx="2647">
                  <c:v>05/30/2014 13:45 PDT</c:v>
                </c:pt>
                <c:pt idx="2648">
                  <c:v>05/30/2014 14:00 PDT</c:v>
                </c:pt>
                <c:pt idx="2649">
                  <c:v>05/30/2014 14:15 PDT</c:v>
                </c:pt>
                <c:pt idx="2650">
                  <c:v>05/30/2014 14:30 PDT</c:v>
                </c:pt>
                <c:pt idx="2651">
                  <c:v>05/30/2014 14:45 PDT</c:v>
                </c:pt>
                <c:pt idx="2652">
                  <c:v>05/30/2014 15:00 PDT</c:v>
                </c:pt>
                <c:pt idx="2653">
                  <c:v>05/30/2014 15:15 PDT</c:v>
                </c:pt>
                <c:pt idx="2654">
                  <c:v>05/30/2014 15:30 PDT</c:v>
                </c:pt>
                <c:pt idx="2655">
                  <c:v>05/30/2014 15:45 PDT</c:v>
                </c:pt>
                <c:pt idx="2656">
                  <c:v>05/30/2014 16:00 PDT</c:v>
                </c:pt>
                <c:pt idx="2657">
                  <c:v>05/30/2014 16:15 PDT</c:v>
                </c:pt>
                <c:pt idx="2658">
                  <c:v>05/30/2014 16:30 PDT</c:v>
                </c:pt>
                <c:pt idx="2659">
                  <c:v>05/30/2014 16:45 PDT</c:v>
                </c:pt>
                <c:pt idx="2660">
                  <c:v>05/30/2014 17:00 PDT</c:v>
                </c:pt>
                <c:pt idx="2661">
                  <c:v>05/30/2014 17:15 PDT</c:v>
                </c:pt>
                <c:pt idx="2662">
                  <c:v>05/30/2014 17:30 PDT</c:v>
                </c:pt>
                <c:pt idx="2663">
                  <c:v>05/30/2014 17:45 PDT</c:v>
                </c:pt>
                <c:pt idx="2664">
                  <c:v>05/30/2014 18:00 PDT</c:v>
                </c:pt>
                <c:pt idx="2665">
                  <c:v>05/30/2014 18:15 PDT</c:v>
                </c:pt>
                <c:pt idx="2666">
                  <c:v>05/30/2014 18:30 PDT</c:v>
                </c:pt>
                <c:pt idx="2667">
                  <c:v>05/30/2014 18:45 PDT</c:v>
                </c:pt>
                <c:pt idx="2668">
                  <c:v>05/30/2014 19:00 PDT</c:v>
                </c:pt>
                <c:pt idx="2669">
                  <c:v>05/30/2014 19:15 PDT</c:v>
                </c:pt>
                <c:pt idx="2670">
                  <c:v>05/30/2014 19:30 PDT</c:v>
                </c:pt>
                <c:pt idx="2671">
                  <c:v>05/30/2014 19:45 PDT</c:v>
                </c:pt>
                <c:pt idx="2672">
                  <c:v>05/30/2014 20:00 PDT</c:v>
                </c:pt>
                <c:pt idx="2673">
                  <c:v>05/30/2014 20:15 PDT</c:v>
                </c:pt>
                <c:pt idx="2674">
                  <c:v>05/30/2014 20:30 PDT</c:v>
                </c:pt>
                <c:pt idx="2675">
                  <c:v>05/30/2014 20:45 PDT</c:v>
                </c:pt>
                <c:pt idx="2676">
                  <c:v>05/30/2014 21:00 PDT</c:v>
                </c:pt>
                <c:pt idx="2677">
                  <c:v>05/30/2014 21:15 PDT</c:v>
                </c:pt>
                <c:pt idx="2678">
                  <c:v>05/30/2014 21:30 PDT</c:v>
                </c:pt>
                <c:pt idx="2679">
                  <c:v>05/30/2014 21:45 PDT</c:v>
                </c:pt>
                <c:pt idx="2680">
                  <c:v>05/30/2014 22:00 PDT</c:v>
                </c:pt>
                <c:pt idx="2681">
                  <c:v>05/30/2014 22:15 PDT</c:v>
                </c:pt>
                <c:pt idx="2682">
                  <c:v>05/30/2014 22:30 PDT</c:v>
                </c:pt>
                <c:pt idx="2683">
                  <c:v>05/30/2014 22:45 PDT</c:v>
                </c:pt>
                <c:pt idx="2684">
                  <c:v>05/30/2014 23:00 PDT</c:v>
                </c:pt>
                <c:pt idx="2685">
                  <c:v>05/30/2014 23:15 PDT</c:v>
                </c:pt>
                <c:pt idx="2686">
                  <c:v>05/30/2014 23:30 PDT</c:v>
                </c:pt>
                <c:pt idx="2687">
                  <c:v>05/30/2014 23:45 PDT</c:v>
                </c:pt>
                <c:pt idx="2688">
                  <c:v>05/31/2014 00:00 PDT</c:v>
                </c:pt>
                <c:pt idx="2689">
                  <c:v>05/31/2014 00:15 PDT</c:v>
                </c:pt>
                <c:pt idx="2690">
                  <c:v>05/31/2014 00:30 PDT</c:v>
                </c:pt>
                <c:pt idx="2691">
                  <c:v>05/31/2014 00:45 PDT</c:v>
                </c:pt>
                <c:pt idx="2692">
                  <c:v>05/31/2014 01:00 PDT</c:v>
                </c:pt>
                <c:pt idx="2693">
                  <c:v>05/31/2014 01:15 PDT</c:v>
                </c:pt>
                <c:pt idx="2694">
                  <c:v>05/31/2014 01:30 PDT</c:v>
                </c:pt>
                <c:pt idx="2695">
                  <c:v>05/31/2014 01:45 PDT</c:v>
                </c:pt>
                <c:pt idx="2696">
                  <c:v>05/31/2014 02:00 PDT</c:v>
                </c:pt>
                <c:pt idx="2697">
                  <c:v>05/31/2014 02:15 PDT</c:v>
                </c:pt>
                <c:pt idx="2698">
                  <c:v>05/31/2014 02:30 PDT</c:v>
                </c:pt>
                <c:pt idx="2699">
                  <c:v>05/31/2014 02:45 PDT</c:v>
                </c:pt>
                <c:pt idx="2700">
                  <c:v>05/31/2014 03:00 PDT</c:v>
                </c:pt>
                <c:pt idx="2701">
                  <c:v>05/31/2014 03:15 PDT</c:v>
                </c:pt>
                <c:pt idx="2702">
                  <c:v>05/31/2014 03:30 PDT</c:v>
                </c:pt>
                <c:pt idx="2703">
                  <c:v>05/31/2014 03:45 PDT</c:v>
                </c:pt>
                <c:pt idx="2704">
                  <c:v>05/31/2014 04:00 PDT</c:v>
                </c:pt>
                <c:pt idx="2705">
                  <c:v>05/31/2014 04:15 PDT</c:v>
                </c:pt>
                <c:pt idx="2706">
                  <c:v>05/31/2014 04:30 PDT</c:v>
                </c:pt>
                <c:pt idx="2707">
                  <c:v>05/31/2014 04:45 PDT</c:v>
                </c:pt>
                <c:pt idx="2708">
                  <c:v>05/31/2014 05:00 PDT</c:v>
                </c:pt>
                <c:pt idx="2709">
                  <c:v>05/31/2014 05:15 PDT</c:v>
                </c:pt>
                <c:pt idx="2710">
                  <c:v>05/31/2014 05:30 PDT</c:v>
                </c:pt>
                <c:pt idx="2711">
                  <c:v>05/31/2014 05:45 PDT</c:v>
                </c:pt>
                <c:pt idx="2712">
                  <c:v>05/31/2014 06:00 PDT</c:v>
                </c:pt>
                <c:pt idx="2713">
                  <c:v>05/31/2014 06:15 PDT</c:v>
                </c:pt>
                <c:pt idx="2714">
                  <c:v>05/31/2014 06:30 PDT</c:v>
                </c:pt>
                <c:pt idx="2715">
                  <c:v>05/31/2014 06:45 PDT</c:v>
                </c:pt>
                <c:pt idx="2716">
                  <c:v>05/31/2014 07:00 PDT</c:v>
                </c:pt>
                <c:pt idx="2717">
                  <c:v>05/31/2014 07:15 PDT</c:v>
                </c:pt>
                <c:pt idx="2718">
                  <c:v>05/31/2014 07:30 PDT</c:v>
                </c:pt>
                <c:pt idx="2719">
                  <c:v>05/31/2014 07:45 PDT</c:v>
                </c:pt>
                <c:pt idx="2720">
                  <c:v>05/31/2014 08:00 PDT</c:v>
                </c:pt>
                <c:pt idx="2721">
                  <c:v>05/31/2014 08:15 PDT</c:v>
                </c:pt>
                <c:pt idx="2722">
                  <c:v>05/31/2014 08:30 PDT</c:v>
                </c:pt>
                <c:pt idx="2723">
                  <c:v>05/31/2014 08:45 PDT</c:v>
                </c:pt>
                <c:pt idx="2724">
                  <c:v>05/31/2014 09:00 PDT</c:v>
                </c:pt>
                <c:pt idx="2725">
                  <c:v>05/31/2014 09:15 PDT</c:v>
                </c:pt>
                <c:pt idx="2726">
                  <c:v>05/31/2014 09:30 PDT</c:v>
                </c:pt>
                <c:pt idx="2727">
                  <c:v>05/31/2014 09:45 PDT</c:v>
                </c:pt>
                <c:pt idx="2728">
                  <c:v>05/31/2014 10:00 PDT</c:v>
                </c:pt>
                <c:pt idx="2729">
                  <c:v>05/31/2014 10:15 PDT</c:v>
                </c:pt>
                <c:pt idx="2730">
                  <c:v>05/31/2014 10:30 PDT</c:v>
                </c:pt>
                <c:pt idx="2731">
                  <c:v>05/31/2014 10:45 PDT</c:v>
                </c:pt>
                <c:pt idx="2732">
                  <c:v>05/31/2014 11:00 PDT</c:v>
                </c:pt>
                <c:pt idx="2733">
                  <c:v>05/31/2014 11:15 PDT</c:v>
                </c:pt>
                <c:pt idx="2734">
                  <c:v>05/31/2014 11:30 PDT</c:v>
                </c:pt>
                <c:pt idx="2735">
                  <c:v>05/31/2014 11:45 PDT</c:v>
                </c:pt>
                <c:pt idx="2736">
                  <c:v>05/31/2014 12:00 PDT</c:v>
                </c:pt>
                <c:pt idx="2737">
                  <c:v>05/31/2014 12:15 PDT</c:v>
                </c:pt>
                <c:pt idx="2738">
                  <c:v>05/31/2014 12:30 PDT</c:v>
                </c:pt>
                <c:pt idx="2739">
                  <c:v>05/31/2014 12:45 PDT</c:v>
                </c:pt>
                <c:pt idx="2740">
                  <c:v>05/31/2014 13:00 PDT</c:v>
                </c:pt>
                <c:pt idx="2741">
                  <c:v>05/31/2014 13:15 PDT</c:v>
                </c:pt>
                <c:pt idx="2742">
                  <c:v>05/31/2014 13:30 PDT</c:v>
                </c:pt>
                <c:pt idx="2743">
                  <c:v>05/31/2014 13:45 PDT</c:v>
                </c:pt>
                <c:pt idx="2744">
                  <c:v>05/31/2014 14:00 PDT</c:v>
                </c:pt>
                <c:pt idx="2745">
                  <c:v>05/31/2014 14:15 PDT</c:v>
                </c:pt>
                <c:pt idx="2746">
                  <c:v>05/31/2014 14:30 PDT</c:v>
                </c:pt>
                <c:pt idx="2747">
                  <c:v>05/31/2014 14:45 PDT</c:v>
                </c:pt>
                <c:pt idx="2748">
                  <c:v>05/31/2014 15:00 PDT</c:v>
                </c:pt>
                <c:pt idx="2749">
                  <c:v>05/31/2014 15:15 PDT</c:v>
                </c:pt>
                <c:pt idx="2750">
                  <c:v>05/31/2014 15:30 PDT</c:v>
                </c:pt>
                <c:pt idx="2751">
                  <c:v>05/31/2014 15:45 PDT</c:v>
                </c:pt>
                <c:pt idx="2752">
                  <c:v>05/31/2014 16:00 PDT</c:v>
                </c:pt>
                <c:pt idx="2753">
                  <c:v>05/31/2014 16:15 PDT</c:v>
                </c:pt>
                <c:pt idx="2754">
                  <c:v>05/31/2014 16:30 PDT</c:v>
                </c:pt>
                <c:pt idx="2755">
                  <c:v>05/31/2014 16:45 PDT</c:v>
                </c:pt>
                <c:pt idx="2756">
                  <c:v>05/31/2014 17:00 PDT</c:v>
                </c:pt>
                <c:pt idx="2757">
                  <c:v>05/31/2014 17:15 PDT</c:v>
                </c:pt>
                <c:pt idx="2758">
                  <c:v>05/31/2014 17:30 PDT</c:v>
                </c:pt>
                <c:pt idx="2759">
                  <c:v>05/31/2014 17:45 PDT</c:v>
                </c:pt>
                <c:pt idx="2760">
                  <c:v>05/31/2014 18:00 PDT</c:v>
                </c:pt>
                <c:pt idx="2761">
                  <c:v>05/31/2014 18:15 PDT</c:v>
                </c:pt>
                <c:pt idx="2762">
                  <c:v>05/31/2014 18:30 PDT</c:v>
                </c:pt>
                <c:pt idx="2763">
                  <c:v>05/31/2014 18:45 PDT</c:v>
                </c:pt>
                <c:pt idx="2764">
                  <c:v>05/31/2014 19:00 PDT</c:v>
                </c:pt>
                <c:pt idx="2765">
                  <c:v>05/31/2014 19:15 PDT</c:v>
                </c:pt>
                <c:pt idx="2766">
                  <c:v>05/31/2014 19:30 PDT</c:v>
                </c:pt>
                <c:pt idx="2767">
                  <c:v>05/31/2014 19:45 PDT</c:v>
                </c:pt>
                <c:pt idx="2768">
                  <c:v>05/31/2014 20:00 PDT</c:v>
                </c:pt>
                <c:pt idx="2769">
                  <c:v>05/31/2014 20:15 PDT</c:v>
                </c:pt>
                <c:pt idx="2770">
                  <c:v>05/31/2014 20:30 PDT</c:v>
                </c:pt>
                <c:pt idx="2771">
                  <c:v>05/31/2014 20:45 PDT</c:v>
                </c:pt>
                <c:pt idx="2772">
                  <c:v>05/31/2014 21:00 PDT</c:v>
                </c:pt>
                <c:pt idx="2773">
                  <c:v>05/31/2014 21:15 PDT</c:v>
                </c:pt>
                <c:pt idx="2774">
                  <c:v>05/31/2014 21:30 PDT</c:v>
                </c:pt>
                <c:pt idx="2775">
                  <c:v>05/31/2014 21:45 PDT</c:v>
                </c:pt>
                <c:pt idx="2776">
                  <c:v>05/31/2014 22:00 PDT</c:v>
                </c:pt>
                <c:pt idx="2777">
                  <c:v>05/31/2014 22:15 PDT</c:v>
                </c:pt>
                <c:pt idx="2778">
                  <c:v>05/31/2014 22:30 PDT</c:v>
                </c:pt>
                <c:pt idx="2779">
                  <c:v>05/31/2014 22:45 PDT</c:v>
                </c:pt>
                <c:pt idx="2780">
                  <c:v>05/31/2014 23:00 PDT</c:v>
                </c:pt>
                <c:pt idx="2781">
                  <c:v>05/31/2014 23:15 PDT</c:v>
                </c:pt>
                <c:pt idx="2782">
                  <c:v>05/31/2014 23:30 PDT</c:v>
                </c:pt>
                <c:pt idx="2783">
                  <c:v>05/31/2014 23:45 PDT</c:v>
                </c:pt>
                <c:pt idx="2784">
                  <c:v>06/01/2014 00:00 PDT</c:v>
                </c:pt>
                <c:pt idx="2785">
                  <c:v>06/01/2014 00:15 PDT</c:v>
                </c:pt>
                <c:pt idx="2786">
                  <c:v>06/01/2014 00:30 PDT</c:v>
                </c:pt>
                <c:pt idx="2787">
                  <c:v>06/01/2014 00:45 PDT</c:v>
                </c:pt>
                <c:pt idx="2788">
                  <c:v>06/01/2014 01:00 PDT</c:v>
                </c:pt>
                <c:pt idx="2789">
                  <c:v>06/01/2014 01:15 PDT</c:v>
                </c:pt>
                <c:pt idx="2790">
                  <c:v>06/01/2014 01:30 PDT</c:v>
                </c:pt>
                <c:pt idx="2791">
                  <c:v>06/01/2014 01:45 PDT</c:v>
                </c:pt>
                <c:pt idx="2792">
                  <c:v>06/01/2014 02:00 PDT</c:v>
                </c:pt>
                <c:pt idx="2793">
                  <c:v>06/01/2014 02:15 PDT</c:v>
                </c:pt>
                <c:pt idx="2794">
                  <c:v>06/01/2014 02:30 PDT</c:v>
                </c:pt>
                <c:pt idx="2795">
                  <c:v>06/01/2014 02:45 PDT</c:v>
                </c:pt>
                <c:pt idx="2796">
                  <c:v>06/01/2014 03:00 PDT</c:v>
                </c:pt>
                <c:pt idx="2797">
                  <c:v>06/01/2014 03:15 PDT</c:v>
                </c:pt>
                <c:pt idx="2798">
                  <c:v>06/01/2014 03:30 PDT</c:v>
                </c:pt>
                <c:pt idx="2799">
                  <c:v>06/01/2014 03:45 PDT</c:v>
                </c:pt>
                <c:pt idx="2800">
                  <c:v>06/01/2014 04:00 PDT</c:v>
                </c:pt>
                <c:pt idx="2801">
                  <c:v>06/01/2014 04:15 PDT</c:v>
                </c:pt>
                <c:pt idx="2802">
                  <c:v>06/01/2014 04:30 PDT</c:v>
                </c:pt>
                <c:pt idx="2803">
                  <c:v>06/01/2014 04:45 PDT</c:v>
                </c:pt>
                <c:pt idx="2804">
                  <c:v>06/01/2014 05:00 PDT</c:v>
                </c:pt>
                <c:pt idx="2805">
                  <c:v>06/01/2014 05:15 PDT</c:v>
                </c:pt>
                <c:pt idx="2806">
                  <c:v>06/01/2014 05:30 PDT</c:v>
                </c:pt>
                <c:pt idx="2807">
                  <c:v>06/01/2014 05:45 PDT</c:v>
                </c:pt>
                <c:pt idx="2808">
                  <c:v>06/01/2014 06:00 PDT</c:v>
                </c:pt>
                <c:pt idx="2809">
                  <c:v>06/01/2014 06:15 PDT</c:v>
                </c:pt>
                <c:pt idx="2810">
                  <c:v>06/01/2014 06:30 PDT</c:v>
                </c:pt>
                <c:pt idx="2811">
                  <c:v>06/01/2014 06:45 PDT</c:v>
                </c:pt>
                <c:pt idx="2812">
                  <c:v>06/01/2014 07:00 PDT</c:v>
                </c:pt>
                <c:pt idx="2813">
                  <c:v>06/01/2014 07:15 PDT</c:v>
                </c:pt>
                <c:pt idx="2814">
                  <c:v>06/01/2014 07:30 PDT</c:v>
                </c:pt>
                <c:pt idx="2815">
                  <c:v>06/01/2014 07:45 PDT</c:v>
                </c:pt>
                <c:pt idx="2816">
                  <c:v>06/01/2014 08:00 PDT</c:v>
                </c:pt>
                <c:pt idx="2817">
                  <c:v>06/01/2014 08:15 PDT</c:v>
                </c:pt>
                <c:pt idx="2818">
                  <c:v>06/01/2014 08:30 PDT</c:v>
                </c:pt>
                <c:pt idx="2819">
                  <c:v>06/01/2014 08:45 PDT</c:v>
                </c:pt>
                <c:pt idx="2820">
                  <c:v>06/01/2014 09:00 PDT</c:v>
                </c:pt>
                <c:pt idx="2821">
                  <c:v>06/01/2014 09:15 PDT</c:v>
                </c:pt>
                <c:pt idx="2822">
                  <c:v>06/01/2014 09:30 PDT</c:v>
                </c:pt>
                <c:pt idx="2823">
                  <c:v>06/01/2014 09:45 PDT</c:v>
                </c:pt>
                <c:pt idx="2824">
                  <c:v>06/01/2014 10:00 PDT</c:v>
                </c:pt>
                <c:pt idx="2825">
                  <c:v>06/01/2014 10:15 PDT</c:v>
                </c:pt>
                <c:pt idx="2826">
                  <c:v>06/01/2014 10:30 PDT</c:v>
                </c:pt>
                <c:pt idx="2827">
                  <c:v>06/01/2014 10:45 PDT</c:v>
                </c:pt>
                <c:pt idx="2828">
                  <c:v>06/01/2014 11:00 PDT</c:v>
                </c:pt>
                <c:pt idx="2829">
                  <c:v>06/01/2014 11:15 PDT</c:v>
                </c:pt>
                <c:pt idx="2830">
                  <c:v>06/01/2014 11:30 PDT</c:v>
                </c:pt>
                <c:pt idx="2831">
                  <c:v>06/01/2014 11:45 PDT</c:v>
                </c:pt>
                <c:pt idx="2832">
                  <c:v>06/01/2014 12:00 PDT</c:v>
                </c:pt>
                <c:pt idx="2833">
                  <c:v>06/01/2014 12:15 PDT</c:v>
                </c:pt>
                <c:pt idx="2834">
                  <c:v>06/01/2014 12:30 PDT</c:v>
                </c:pt>
                <c:pt idx="2835">
                  <c:v>06/01/2014 12:45 PDT</c:v>
                </c:pt>
                <c:pt idx="2836">
                  <c:v>06/01/2014 13:00 PDT</c:v>
                </c:pt>
                <c:pt idx="2837">
                  <c:v>06/01/2014 13:15 PDT</c:v>
                </c:pt>
                <c:pt idx="2838">
                  <c:v>06/01/2014 13:30 PDT</c:v>
                </c:pt>
                <c:pt idx="2839">
                  <c:v>06/01/2014 13:45 PDT</c:v>
                </c:pt>
                <c:pt idx="2840">
                  <c:v>06/01/2014 14:00 PDT</c:v>
                </c:pt>
                <c:pt idx="2841">
                  <c:v>06/01/2014 14:15 PDT</c:v>
                </c:pt>
                <c:pt idx="2842">
                  <c:v>06/01/2014 14:30 PDT</c:v>
                </c:pt>
                <c:pt idx="2843">
                  <c:v>06/01/2014 14:45 PDT</c:v>
                </c:pt>
                <c:pt idx="2844">
                  <c:v>06/01/2014 15:00 PDT</c:v>
                </c:pt>
                <c:pt idx="2845">
                  <c:v>06/01/2014 15:15 PDT</c:v>
                </c:pt>
                <c:pt idx="2846">
                  <c:v>06/01/2014 15:30 PDT</c:v>
                </c:pt>
                <c:pt idx="2847">
                  <c:v>06/01/2014 15:45 PDT</c:v>
                </c:pt>
                <c:pt idx="2848">
                  <c:v>06/01/2014 16:00 PDT</c:v>
                </c:pt>
                <c:pt idx="2849">
                  <c:v>06/01/2014 16:15 PDT</c:v>
                </c:pt>
                <c:pt idx="2850">
                  <c:v>06/01/2014 16:30 PDT</c:v>
                </c:pt>
                <c:pt idx="2851">
                  <c:v>06/01/2014 16:45 PDT</c:v>
                </c:pt>
                <c:pt idx="2852">
                  <c:v>06/01/2014 17:00 PDT</c:v>
                </c:pt>
                <c:pt idx="2853">
                  <c:v>06/01/2014 17:15 PDT</c:v>
                </c:pt>
                <c:pt idx="2854">
                  <c:v>06/01/2014 17:30 PDT</c:v>
                </c:pt>
                <c:pt idx="2855">
                  <c:v>06/01/2014 17:45 PDT</c:v>
                </c:pt>
                <c:pt idx="2856">
                  <c:v>06/01/2014 18:00 PDT</c:v>
                </c:pt>
                <c:pt idx="2857">
                  <c:v>06/01/2014 18:15 PDT</c:v>
                </c:pt>
                <c:pt idx="2858">
                  <c:v>06/01/2014 18:30 PDT</c:v>
                </c:pt>
                <c:pt idx="2859">
                  <c:v>06/01/2014 18:45 PDT</c:v>
                </c:pt>
                <c:pt idx="2860">
                  <c:v>06/01/2014 19:00 PDT</c:v>
                </c:pt>
                <c:pt idx="2861">
                  <c:v>06/01/2014 19:15 PDT</c:v>
                </c:pt>
                <c:pt idx="2862">
                  <c:v>06/01/2014 19:30 PDT</c:v>
                </c:pt>
                <c:pt idx="2863">
                  <c:v>06/01/2014 19:45 PDT</c:v>
                </c:pt>
                <c:pt idx="2864">
                  <c:v>06/01/2014 20:00 PDT</c:v>
                </c:pt>
                <c:pt idx="2865">
                  <c:v>06/01/2014 20:15 PDT</c:v>
                </c:pt>
                <c:pt idx="2866">
                  <c:v>06/01/2014 20:30 PDT</c:v>
                </c:pt>
                <c:pt idx="2867">
                  <c:v>06/01/2014 20:45 PDT</c:v>
                </c:pt>
                <c:pt idx="2868">
                  <c:v>06/01/2014 21:00 PDT</c:v>
                </c:pt>
                <c:pt idx="2869">
                  <c:v>06/01/2014 21:15 PDT</c:v>
                </c:pt>
                <c:pt idx="2870">
                  <c:v>06/01/2014 21:30 PDT</c:v>
                </c:pt>
                <c:pt idx="2871">
                  <c:v>06/01/2014 21:45 PDT</c:v>
                </c:pt>
                <c:pt idx="2872">
                  <c:v>06/01/2014 22:00 PDT</c:v>
                </c:pt>
                <c:pt idx="2873">
                  <c:v>06/01/2014 22:15 PDT</c:v>
                </c:pt>
                <c:pt idx="2874">
                  <c:v>06/01/2014 22:30 PDT</c:v>
                </c:pt>
                <c:pt idx="2875">
                  <c:v>06/01/2014 22:45 PDT</c:v>
                </c:pt>
                <c:pt idx="2876">
                  <c:v>06/01/2014 23:00 PDT</c:v>
                </c:pt>
                <c:pt idx="2877">
                  <c:v>06/01/2014 23:15 PDT</c:v>
                </c:pt>
                <c:pt idx="2878">
                  <c:v>06/01/2014 23:30 PDT</c:v>
                </c:pt>
                <c:pt idx="2879">
                  <c:v>06/01/2014 23:45 PDT</c:v>
                </c:pt>
                <c:pt idx="2880">
                  <c:v>06/02/2014 00:00 PDT</c:v>
                </c:pt>
                <c:pt idx="2881">
                  <c:v>06/02/2014 00:15 PDT</c:v>
                </c:pt>
                <c:pt idx="2882">
                  <c:v>06/02/2014 00:30 PDT</c:v>
                </c:pt>
                <c:pt idx="2883">
                  <c:v>06/02/2014 00:45 PDT</c:v>
                </c:pt>
                <c:pt idx="2884">
                  <c:v>06/02/2014 01:00 PDT</c:v>
                </c:pt>
                <c:pt idx="2885">
                  <c:v>06/02/2014 01:15 PDT</c:v>
                </c:pt>
                <c:pt idx="2886">
                  <c:v>06/02/2014 01:30 PDT</c:v>
                </c:pt>
                <c:pt idx="2887">
                  <c:v>06/02/2014 01:45 PDT</c:v>
                </c:pt>
                <c:pt idx="2888">
                  <c:v>06/02/2014 02:00 PDT</c:v>
                </c:pt>
                <c:pt idx="2889">
                  <c:v>06/02/2014 02:15 PDT</c:v>
                </c:pt>
                <c:pt idx="2890">
                  <c:v>06/02/2014 02:30 PDT</c:v>
                </c:pt>
                <c:pt idx="2891">
                  <c:v>06/02/2014 02:45 PDT</c:v>
                </c:pt>
                <c:pt idx="2892">
                  <c:v>06/02/2014 03:00 PDT</c:v>
                </c:pt>
                <c:pt idx="2893">
                  <c:v>06/02/2014 03:15 PDT</c:v>
                </c:pt>
                <c:pt idx="2894">
                  <c:v>06/02/2014 03:30 PDT</c:v>
                </c:pt>
                <c:pt idx="2895">
                  <c:v>06/02/2014 03:45 PDT</c:v>
                </c:pt>
                <c:pt idx="2896">
                  <c:v>06/02/2014 04:00 PDT</c:v>
                </c:pt>
                <c:pt idx="2897">
                  <c:v>06/02/2014 04:15 PDT</c:v>
                </c:pt>
                <c:pt idx="2898">
                  <c:v>06/02/2014 04:30 PDT</c:v>
                </c:pt>
                <c:pt idx="2899">
                  <c:v>06/02/2014 04:45 PDT</c:v>
                </c:pt>
                <c:pt idx="2900">
                  <c:v>06/02/2014 05:00 PDT</c:v>
                </c:pt>
                <c:pt idx="2901">
                  <c:v>06/02/2014 05:15 PDT</c:v>
                </c:pt>
                <c:pt idx="2902">
                  <c:v>06/02/2014 05:30 PDT</c:v>
                </c:pt>
                <c:pt idx="2903">
                  <c:v>06/02/2014 05:45 PDT</c:v>
                </c:pt>
                <c:pt idx="2904">
                  <c:v>06/02/2014 06:00 PDT</c:v>
                </c:pt>
                <c:pt idx="2905">
                  <c:v>06/02/2014 06:15 PDT</c:v>
                </c:pt>
                <c:pt idx="2906">
                  <c:v>06/02/2014 06:30 PDT</c:v>
                </c:pt>
                <c:pt idx="2907">
                  <c:v>06/02/2014 06:45 PDT</c:v>
                </c:pt>
                <c:pt idx="2908">
                  <c:v>06/02/2014 07:00 PDT</c:v>
                </c:pt>
                <c:pt idx="2909">
                  <c:v>06/02/2014 07:15 PDT</c:v>
                </c:pt>
                <c:pt idx="2910">
                  <c:v>06/02/2014 07:30 PDT</c:v>
                </c:pt>
                <c:pt idx="2911">
                  <c:v>06/02/2014 07:45 PDT</c:v>
                </c:pt>
                <c:pt idx="2912">
                  <c:v>06/02/2014 08:00 PDT</c:v>
                </c:pt>
                <c:pt idx="2913">
                  <c:v>06/02/2014 08:15 PDT</c:v>
                </c:pt>
                <c:pt idx="2914">
                  <c:v>06/02/2014 08:30 PDT</c:v>
                </c:pt>
                <c:pt idx="2915">
                  <c:v>06/02/2014 08:45 PDT</c:v>
                </c:pt>
                <c:pt idx="2916">
                  <c:v>06/02/2014 09:00 PDT</c:v>
                </c:pt>
                <c:pt idx="2917">
                  <c:v>06/02/2014 09:15 PDT</c:v>
                </c:pt>
                <c:pt idx="2918">
                  <c:v>06/02/2014 09:30 PDT</c:v>
                </c:pt>
                <c:pt idx="2919">
                  <c:v>06/02/2014 09:45 PDT</c:v>
                </c:pt>
                <c:pt idx="2920">
                  <c:v>06/02/2014 10:00 PDT</c:v>
                </c:pt>
                <c:pt idx="2921">
                  <c:v>06/02/2014 10:15 PDT</c:v>
                </c:pt>
                <c:pt idx="2922">
                  <c:v>06/02/2014 10:30 PDT</c:v>
                </c:pt>
                <c:pt idx="2923">
                  <c:v>06/02/2014 10:45 PDT</c:v>
                </c:pt>
                <c:pt idx="2924">
                  <c:v>06/02/2014 11:00 PDT</c:v>
                </c:pt>
                <c:pt idx="2925">
                  <c:v>06/02/2014 11:15 PDT</c:v>
                </c:pt>
                <c:pt idx="2926">
                  <c:v>06/02/2014 11:30 PDT</c:v>
                </c:pt>
                <c:pt idx="2927">
                  <c:v>06/02/2014 11:45 PDT</c:v>
                </c:pt>
                <c:pt idx="2928">
                  <c:v>06/02/2014 12:00 PDT</c:v>
                </c:pt>
                <c:pt idx="2929">
                  <c:v>06/02/2014 12:15 PDT</c:v>
                </c:pt>
                <c:pt idx="2930">
                  <c:v>06/02/2014 12:30 PDT</c:v>
                </c:pt>
                <c:pt idx="2931">
                  <c:v>06/02/2014 12:45 PDT</c:v>
                </c:pt>
                <c:pt idx="2932">
                  <c:v>06/02/2014 13:00 PDT</c:v>
                </c:pt>
                <c:pt idx="2933">
                  <c:v>06/02/2014 13:15 PDT</c:v>
                </c:pt>
                <c:pt idx="2934">
                  <c:v>06/02/2014 13:30 PDT</c:v>
                </c:pt>
                <c:pt idx="2935">
                  <c:v>06/02/2014 13:45 PDT</c:v>
                </c:pt>
                <c:pt idx="2936">
                  <c:v>06/02/2014 14:00 PDT</c:v>
                </c:pt>
                <c:pt idx="2937">
                  <c:v>06/02/2014 14:15 PDT</c:v>
                </c:pt>
                <c:pt idx="2938">
                  <c:v>06/02/2014 14:30 PDT</c:v>
                </c:pt>
                <c:pt idx="2939">
                  <c:v>06/02/2014 14:45 PDT</c:v>
                </c:pt>
                <c:pt idx="2940">
                  <c:v>06/02/2014 15:00 PDT</c:v>
                </c:pt>
                <c:pt idx="2941">
                  <c:v>06/02/2014 15:15 PDT</c:v>
                </c:pt>
                <c:pt idx="2942">
                  <c:v>06/02/2014 15:30 PDT</c:v>
                </c:pt>
                <c:pt idx="2943">
                  <c:v>06/02/2014 15:45 PDT</c:v>
                </c:pt>
                <c:pt idx="2944">
                  <c:v>06/02/2014 16:00 PDT</c:v>
                </c:pt>
                <c:pt idx="2945">
                  <c:v>06/02/2014 16:15 PDT</c:v>
                </c:pt>
                <c:pt idx="2946">
                  <c:v>06/02/2014 16:30 PDT</c:v>
                </c:pt>
                <c:pt idx="2947">
                  <c:v>06/02/2014 16:45 PDT</c:v>
                </c:pt>
                <c:pt idx="2948">
                  <c:v>06/02/2014 17:00 PDT</c:v>
                </c:pt>
                <c:pt idx="2949">
                  <c:v>06/02/2014 17:15 PDT</c:v>
                </c:pt>
                <c:pt idx="2950">
                  <c:v>06/02/2014 17:30 PDT</c:v>
                </c:pt>
                <c:pt idx="2951">
                  <c:v>06/02/2014 17:45 PDT</c:v>
                </c:pt>
                <c:pt idx="2952">
                  <c:v>06/02/2014 18:00 PDT</c:v>
                </c:pt>
                <c:pt idx="2953">
                  <c:v>06/02/2014 18:15 PDT</c:v>
                </c:pt>
                <c:pt idx="2954">
                  <c:v>06/02/2014 18:30 PDT</c:v>
                </c:pt>
                <c:pt idx="2955">
                  <c:v>06/02/2014 18:45 PDT</c:v>
                </c:pt>
                <c:pt idx="2956">
                  <c:v>06/02/2014 19:00 PDT</c:v>
                </c:pt>
                <c:pt idx="2957">
                  <c:v>06/02/2014 19:15 PDT</c:v>
                </c:pt>
                <c:pt idx="2958">
                  <c:v>06/02/2014 19:30 PDT</c:v>
                </c:pt>
                <c:pt idx="2959">
                  <c:v>06/02/2014 19:45 PDT</c:v>
                </c:pt>
                <c:pt idx="2960">
                  <c:v>06/02/2014 20:00 PDT</c:v>
                </c:pt>
                <c:pt idx="2961">
                  <c:v>06/02/2014 20:15 PDT</c:v>
                </c:pt>
                <c:pt idx="2962">
                  <c:v>06/02/2014 20:30 PDT</c:v>
                </c:pt>
                <c:pt idx="2963">
                  <c:v>06/02/2014 20:45 PDT</c:v>
                </c:pt>
                <c:pt idx="2964">
                  <c:v>06/02/2014 21:00 PDT</c:v>
                </c:pt>
                <c:pt idx="2965">
                  <c:v>06/02/2014 21:15 PDT</c:v>
                </c:pt>
                <c:pt idx="2966">
                  <c:v>06/02/2014 21:30 PDT</c:v>
                </c:pt>
                <c:pt idx="2967">
                  <c:v>06/02/2014 21:45 PDT</c:v>
                </c:pt>
                <c:pt idx="2968">
                  <c:v>06/02/2014 22:00 PDT</c:v>
                </c:pt>
                <c:pt idx="2969">
                  <c:v>06/02/2014 22:15 PDT</c:v>
                </c:pt>
                <c:pt idx="2970">
                  <c:v>06/02/2014 22:30 PDT</c:v>
                </c:pt>
                <c:pt idx="2971">
                  <c:v>06/02/2014 22:45 PDT</c:v>
                </c:pt>
                <c:pt idx="2972">
                  <c:v>06/02/2014 23:00 PDT</c:v>
                </c:pt>
                <c:pt idx="2973">
                  <c:v>06/02/2014 23:15 PDT</c:v>
                </c:pt>
                <c:pt idx="2974">
                  <c:v>06/02/2014 23:30 PDT</c:v>
                </c:pt>
                <c:pt idx="2975">
                  <c:v>06/02/2014 23:45 PDT</c:v>
                </c:pt>
                <c:pt idx="2976">
                  <c:v>06/03/2014 00:00 PDT</c:v>
                </c:pt>
                <c:pt idx="2977">
                  <c:v>06/03/2014 00:15 PDT</c:v>
                </c:pt>
                <c:pt idx="2978">
                  <c:v>06/03/2014 00:30 PDT</c:v>
                </c:pt>
                <c:pt idx="2979">
                  <c:v>06/03/2014 00:45 PDT</c:v>
                </c:pt>
                <c:pt idx="2980">
                  <c:v>06/03/2014 01:00 PDT</c:v>
                </c:pt>
                <c:pt idx="2981">
                  <c:v>06/03/2014 01:15 PDT</c:v>
                </c:pt>
                <c:pt idx="2982">
                  <c:v>06/03/2014 01:30 PDT</c:v>
                </c:pt>
                <c:pt idx="2983">
                  <c:v>06/03/2014 01:45 PDT</c:v>
                </c:pt>
                <c:pt idx="2984">
                  <c:v>06/03/2014 02:00 PDT</c:v>
                </c:pt>
                <c:pt idx="2985">
                  <c:v>06/03/2014 02:15 PDT</c:v>
                </c:pt>
                <c:pt idx="2986">
                  <c:v>06/03/2014 02:30 PDT</c:v>
                </c:pt>
                <c:pt idx="2987">
                  <c:v>06/03/2014 02:45 PDT</c:v>
                </c:pt>
                <c:pt idx="2988">
                  <c:v>06/03/2014 03:00 PDT</c:v>
                </c:pt>
                <c:pt idx="2989">
                  <c:v>06/03/2014 03:15 PDT</c:v>
                </c:pt>
                <c:pt idx="2990">
                  <c:v>06/03/2014 03:30 PDT</c:v>
                </c:pt>
                <c:pt idx="2991">
                  <c:v>06/03/2014 03:45 PDT</c:v>
                </c:pt>
                <c:pt idx="2992">
                  <c:v>06/03/2014 04:00 PDT</c:v>
                </c:pt>
                <c:pt idx="2993">
                  <c:v>06/03/2014 04:15 PDT</c:v>
                </c:pt>
                <c:pt idx="2994">
                  <c:v>06/03/2014 04:30 PDT</c:v>
                </c:pt>
                <c:pt idx="2995">
                  <c:v>06/03/2014 04:45 PDT</c:v>
                </c:pt>
                <c:pt idx="2996">
                  <c:v>06/03/2014 05:00 PDT</c:v>
                </c:pt>
                <c:pt idx="2997">
                  <c:v>06/03/2014 05:15 PDT</c:v>
                </c:pt>
                <c:pt idx="2998">
                  <c:v>06/03/2014 05:30 PDT</c:v>
                </c:pt>
                <c:pt idx="2999">
                  <c:v>06/03/2014 05:45 PDT</c:v>
                </c:pt>
                <c:pt idx="3000">
                  <c:v>06/03/2014 06:00 PDT</c:v>
                </c:pt>
                <c:pt idx="3001">
                  <c:v>06/03/2014 06:15 PDT</c:v>
                </c:pt>
                <c:pt idx="3002">
                  <c:v>06/03/2014 06:30 PDT</c:v>
                </c:pt>
                <c:pt idx="3003">
                  <c:v>06/03/2014 06:45 PDT</c:v>
                </c:pt>
                <c:pt idx="3004">
                  <c:v>06/03/2014 07:00 PDT</c:v>
                </c:pt>
                <c:pt idx="3005">
                  <c:v>06/03/2014 07:15 PDT</c:v>
                </c:pt>
                <c:pt idx="3006">
                  <c:v>06/03/2014 07:30 PDT</c:v>
                </c:pt>
                <c:pt idx="3007">
                  <c:v>06/03/2014 07:45 PDT</c:v>
                </c:pt>
                <c:pt idx="3008">
                  <c:v>06/03/2014 08:00 PDT</c:v>
                </c:pt>
                <c:pt idx="3009">
                  <c:v>06/03/2014 08:15 PDT</c:v>
                </c:pt>
                <c:pt idx="3010">
                  <c:v>06/03/2014 08:30 PDT</c:v>
                </c:pt>
                <c:pt idx="3011">
                  <c:v>06/03/2014 08:45 PDT</c:v>
                </c:pt>
                <c:pt idx="3012">
                  <c:v>06/03/2014 09:00 PDT</c:v>
                </c:pt>
                <c:pt idx="3013">
                  <c:v>06/03/2014 09:15 PDT</c:v>
                </c:pt>
                <c:pt idx="3014">
                  <c:v>06/03/2014 09:30 PDT</c:v>
                </c:pt>
                <c:pt idx="3015">
                  <c:v>06/03/2014 09:45 PDT</c:v>
                </c:pt>
                <c:pt idx="3016">
                  <c:v>06/03/2014 10:00 PDT</c:v>
                </c:pt>
                <c:pt idx="3017">
                  <c:v>06/03/2014 10:15 PDT</c:v>
                </c:pt>
                <c:pt idx="3018">
                  <c:v>06/03/2014 10:30 PDT</c:v>
                </c:pt>
                <c:pt idx="3019">
                  <c:v>06/03/2014 10:45 PDT</c:v>
                </c:pt>
                <c:pt idx="3020">
                  <c:v>06/03/2014 11:00 PDT</c:v>
                </c:pt>
                <c:pt idx="3021">
                  <c:v>06/03/2014 11:15 PDT</c:v>
                </c:pt>
                <c:pt idx="3022">
                  <c:v>06/03/2014 11:30 PDT</c:v>
                </c:pt>
                <c:pt idx="3023">
                  <c:v>06/03/2014 11:45 PDT</c:v>
                </c:pt>
                <c:pt idx="3024">
                  <c:v>06/03/2014 12:00 PDT</c:v>
                </c:pt>
                <c:pt idx="3025">
                  <c:v>06/03/2014 12:15 PDT</c:v>
                </c:pt>
                <c:pt idx="3026">
                  <c:v>06/03/2014 12:30 PDT</c:v>
                </c:pt>
                <c:pt idx="3027">
                  <c:v>06/03/2014 12:45 PDT</c:v>
                </c:pt>
                <c:pt idx="3028">
                  <c:v>06/03/2014 13:00 PDT</c:v>
                </c:pt>
                <c:pt idx="3029">
                  <c:v>06/03/2014 13:15 PDT</c:v>
                </c:pt>
                <c:pt idx="3030">
                  <c:v>06/03/2014 13:30 PDT</c:v>
                </c:pt>
                <c:pt idx="3031">
                  <c:v>06/03/2014 13:45 PDT</c:v>
                </c:pt>
                <c:pt idx="3032">
                  <c:v>06/03/2014 14:00 PDT</c:v>
                </c:pt>
                <c:pt idx="3033">
                  <c:v>06/03/2014 14:15 PDT</c:v>
                </c:pt>
                <c:pt idx="3034">
                  <c:v>06/03/2014 14:30 PDT</c:v>
                </c:pt>
                <c:pt idx="3035">
                  <c:v>06/03/2014 14:45 PDT</c:v>
                </c:pt>
                <c:pt idx="3036">
                  <c:v>06/03/2014 15:00 PDT</c:v>
                </c:pt>
                <c:pt idx="3037">
                  <c:v>06/03/2014 15:15 PDT</c:v>
                </c:pt>
                <c:pt idx="3038">
                  <c:v>06/03/2014 15:30 PDT</c:v>
                </c:pt>
                <c:pt idx="3039">
                  <c:v>06/03/2014 15:45 PDT</c:v>
                </c:pt>
                <c:pt idx="3040">
                  <c:v>06/03/2014 16:00 PDT</c:v>
                </c:pt>
                <c:pt idx="3041">
                  <c:v>06/03/2014 16:15 PDT</c:v>
                </c:pt>
                <c:pt idx="3042">
                  <c:v>06/03/2014 16:30 PDT</c:v>
                </c:pt>
                <c:pt idx="3043">
                  <c:v>06/03/2014 16:45 PDT</c:v>
                </c:pt>
                <c:pt idx="3044">
                  <c:v>06/03/2014 17:00 PDT</c:v>
                </c:pt>
                <c:pt idx="3045">
                  <c:v>06/03/2014 17:15 PDT</c:v>
                </c:pt>
                <c:pt idx="3046">
                  <c:v>06/03/2014 17:30 PDT</c:v>
                </c:pt>
                <c:pt idx="3047">
                  <c:v>06/03/2014 17:45 PDT</c:v>
                </c:pt>
                <c:pt idx="3048">
                  <c:v>06/03/2014 18:00 PDT</c:v>
                </c:pt>
                <c:pt idx="3049">
                  <c:v>06/03/2014 18:15 PDT</c:v>
                </c:pt>
                <c:pt idx="3050">
                  <c:v>06/03/2014 18:30 PDT</c:v>
                </c:pt>
                <c:pt idx="3051">
                  <c:v>06/03/2014 18:45 PDT</c:v>
                </c:pt>
                <c:pt idx="3052">
                  <c:v>06/03/2014 19:00 PDT</c:v>
                </c:pt>
                <c:pt idx="3053">
                  <c:v>06/03/2014 19:15 PDT</c:v>
                </c:pt>
                <c:pt idx="3054">
                  <c:v>06/03/2014 19:30 PDT</c:v>
                </c:pt>
                <c:pt idx="3055">
                  <c:v>06/03/2014 19:45 PDT</c:v>
                </c:pt>
                <c:pt idx="3056">
                  <c:v>06/03/2014 20:00 PDT</c:v>
                </c:pt>
                <c:pt idx="3057">
                  <c:v>06/03/2014 20:15 PDT</c:v>
                </c:pt>
                <c:pt idx="3058">
                  <c:v>06/03/2014 20:30 PDT</c:v>
                </c:pt>
                <c:pt idx="3059">
                  <c:v>06/03/2014 20:45 PDT</c:v>
                </c:pt>
                <c:pt idx="3060">
                  <c:v>06/03/2014 21:00 PDT</c:v>
                </c:pt>
                <c:pt idx="3061">
                  <c:v>06/03/2014 21:15 PDT</c:v>
                </c:pt>
                <c:pt idx="3062">
                  <c:v>06/03/2014 21:30 PDT</c:v>
                </c:pt>
                <c:pt idx="3063">
                  <c:v>06/03/2014 21:45 PDT</c:v>
                </c:pt>
                <c:pt idx="3064">
                  <c:v>06/03/2014 22:00 PDT</c:v>
                </c:pt>
                <c:pt idx="3065">
                  <c:v>06/03/2014 22:15 PDT</c:v>
                </c:pt>
                <c:pt idx="3066">
                  <c:v>06/03/2014 22:30 PDT</c:v>
                </c:pt>
                <c:pt idx="3067">
                  <c:v>06/03/2014 22:45 PDT</c:v>
                </c:pt>
                <c:pt idx="3068">
                  <c:v>06/03/2014 23:00 PDT</c:v>
                </c:pt>
                <c:pt idx="3069">
                  <c:v>06/03/2014 23:15 PDT</c:v>
                </c:pt>
                <c:pt idx="3070">
                  <c:v>06/03/2014 23:30 PDT</c:v>
                </c:pt>
                <c:pt idx="3071">
                  <c:v>06/03/2014 23:45 PDT</c:v>
                </c:pt>
                <c:pt idx="3072">
                  <c:v>06/04/2014 00:00 PDT</c:v>
                </c:pt>
                <c:pt idx="3073">
                  <c:v>06/04/2014 00:15 PDT</c:v>
                </c:pt>
                <c:pt idx="3074">
                  <c:v>06/04/2014 00:30 PDT</c:v>
                </c:pt>
                <c:pt idx="3075">
                  <c:v>06/04/2014 00:45 PDT</c:v>
                </c:pt>
                <c:pt idx="3076">
                  <c:v>06/04/2014 01:00 PDT</c:v>
                </c:pt>
                <c:pt idx="3077">
                  <c:v>06/04/2014 01:15 PDT</c:v>
                </c:pt>
                <c:pt idx="3078">
                  <c:v>06/04/2014 01:30 PDT</c:v>
                </c:pt>
                <c:pt idx="3079">
                  <c:v>06/04/2014 01:45 PDT</c:v>
                </c:pt>
                <c:pt idx="3080">
                  <c:v>06/04/2014 02:00 PDT</c:v>
                </c:pt>
                <c:pt idx="3081">
                  <c:v>06/04/2014 02:15 PDT</c:v>
                </c:pt>
                <c:pt idx="3082">
                  <c:v>06/04/2014 02:30 PDT</c:v>
                </c:pt>
                <c:pt idx="3083">
                  <c:v>06/04/2014 02:45 PDT</c:v>
                </c:pt>
                <c:pt idx="3084">
                  <c:v>06/04/2014 03:00 PDT</c:v>
                </c:pt>
                <c:pt idx="3085">
                  <c:v>06/04/2014 03:15 PDT</c:v>
                </c:pt>
                <c:pt idx="3086">
                  <c:v>06/04/2014 03:30 PDT</c:v>
                </c:pt>
                <c:pt idx="3087">
                  <c:v>06/04/2014 03:45 PDT</c:v>
                </c:pt>
                <c:pt idx="3088">
                  <c:v>06/04/2014 04:00 PDT</c:v>
                </c:pt>
                <c:pt idx="3089">
                  <c:v>06/04/2014 04:15 PDT</c:v>
                </c:pt>
                <c:pt idx="3090">
                  <c:v>06/04/2014 04:30 PDT</c:v>
                </c:pt>
                <c:pt idx="3091">
                  <c:v>06/04/2014 04:45 PDT</c:v>
                </c:pt>
                <c:pt idx="3092">
                  <c:v>06/04/2014 05:00 PDT</c:v>
                </c:pt>
                <c:pt idx="3093">
                  <c:v>06/04/2014 05:15 PDT</c:v>
                </c:pt>
                <c:pt idx="3094">
                  <c:v>06/04/2014 05:30 PDT</c:v>
                </c:pt>
                <c:pt idx="3095">
                  <c:v>06/04/2014 05:45 PDT</c:v>
                </c:pt>
                <c:pt idx="3096">
                  <c:v>06/04/2014 06:00 PDT</c:v>
                </c:pt>
                <c:pt idx="3097">
                  <c:v>06/04/2014 06:15 PDT</c:v>
                </c:pt>
                <c:pt idx="3098">
                  <c:v>06/04/2014 06:30 PDT</c:v>
                </c:pt>
                <c:pt idx="3099">
                  <c:v>06/04/2014 06:45 PDT</c:v>
                </c:pt>
                <c:pt idx="3100">
                  <c:v>06/04/2014 07:00 PDT</c:v>
                </c:pt>
                <c:pt idx="3101">
                  <c:v>06/04/2014 07:15 PDT</c:v>
                </c:pt>
                <c:pt idx="3102">
                  <c:v>06/04/2014 07:30 PDT</c:v>
                </c:pt>
                <c:pt idx="3103">
                  <c:v>06/04/2014 07:45 PDT</c:v>
                </c:pt>
                <c:pt idx="3104">
                  <c:v>06/04/2014 08:00 PDT</c:v>
                </c:pt>
                <c:pt idx="3105">
                  <c:v>06/04/2014 08:15 PDT</c:v>
                </c:pt>
                <c:pt idx="3106">
                  <c:v>06/04/2014 08:30 PDT</c:v>
                </c:pt>
                <c:pt idx="3107">
                  <c:v>06/04/2014 08:45 PDT</c:v>
                </c:pt>
                <c:pt idx="3108">
                  <c:v>06/04/2014 09:00 PDT</c:v>
                </c:pt>
                <c:pt idx="3109">
                  <c:v>06/04/2014 09:15 PDT</c:v>
                </c:pt>
                <c:pt idx="3110">
                  <c:v>06/04/2014 09:30 PDT</c:v>
                </c:pt>
                <c:pt idx="3111">
                  <c:v>06/04/2014 09:45 PDT</c:v>
                </c:pt>
                <c:pt idx="3112">
                  <c:v>06/04/2014 10:00 PDT</c:v>
                </c:pt>
                <c:pt idx="3113">
                  <c:v>06/04/2014 10:15 PDT</c:v>
                </c:pt>
                <c:pt idx="3114">
                  <c:v>06/04/2014 10:30 PDT</c:v>
                </c:pt>
                <c:pt idx="3115">
                  <c:v>06/04/2014 10:45 PDT</c:v>
                </c:pt>
                <c:pt idx="3116">
                  <c:v>06/04/2014 11:00 PDT</c:v>
                </c:pt>
                <c:pt idx="3117">
                  <c:v>06/04/2014 11:15 PDT</c:v>
                </c:pt>
                <c:pt idx="3118">
                  <c:v>06/04/2014 11:30 PDT</c:v>
                </c:pt>
                <c:pt idx="3119">
                  <c:v>06/04/2014 11:45 PDT</c:v>
                </c:pt>
                <c:pt idx="3120">
                  <c:v>06/04/2014 12:00 PDT</c:v>
                </c:pt>
                <c:pt idx="3121">
                  <c:v>06/04/2014 12:15 PDT</c:v>
                </c:pt>
                <c:pt idx="3122">
                  <c:v>06/04/2014 12:30 PDT</c:v>
                </c:pt>
                <c:pt idx="3123">
                  <c:v>06/04/2014 12:45 PDT</c:v>
                </c:pt>
                <c:pt idx="3124">
                  <c:v>06/04/2014 13:00 PDT</c:v>
                </c:pt>
                <c:pt idx="3125">
                  <c:v>06/04/2014 13:15 PDT</c:v>
                </c:pt>
                <c:pt idx="3126">
                  <c:v>06/04/2014 13:30 PDT</c:v>
                </c:pt>
                <c:pt idx="3127">
                  <c:v>06/04/2014 13:45 PDT</c:v>
                </c:pt>
                <c:pt idx="3128">
                  <c:v>06/04/2014 14:00 PDT</c:v>
                </c:pt>
                <c:pt idx="3129">
                  <c:v>06/04/2014 14:15 PDT</c:v>
                </c:pt>
                <c:pt idx="3130">
                  <c:v>06/04/2014 14:30 PDT</c:v>
                </c:pt>
                <c:pt idx="3131">
                  <c:v>06/04/2014 14:45 PDT</c:v>
                </c:pt>
                <c:pt idx="3132">
                  <c:v>06/04/2014 15:00 PDT</c:v>
                </c:pt>
                <c:pt idx="3133">
                  <c:v>06/04/2014 15:15 PDT</c:v>
                </c:pt>
                <c:pt idx="3134">
                  <c:v>06/04/2014 15:30 PDT</c:v>
                </c:pt>
                <c:pt idx="3135">
                  <c:v>06/04/2014 15:45 PDT</c:v>
                </c:pt>
                <c:pt idx="3136">
                  <c:v>06/04/2014 16:00 PDT</c:v>
                </c:pt>
                <c:pt idx="3137">
                  <c:v>06/04/2014 16:15 PDT</c:v>
                </c:pt>
                <c:pt idx="3138">
                  <c:v>06/04/2014 16:30 PDT</c:v>
                </c:pt>
                <c:pt idx="3139">
                  <c:v>06/04/2014 16:45 PDT</c:v>
                </c:pt>
                <c:pt idx="3140">
                  <c:v>06/04/2014 17:00 PDT</c:v>
                </c:pt>
                <c:pt idx="3141">
                  <c:v>06/04/2014 17:15 PDT</c:v>
                </c:pt>
                <c:pt idx="3142">
                  <c:v>06/04/2014 17:30 PDT</c:v>
                </c:pt>
                <c:pt idx="3143">
                  <c:v>06/04/2014 17:45 PDT</c:v>
                </c:pt>
                <c:pt idx="3144">
                  <c:v>06/04/2014 18:00 PDT</c:v>
                </c:pt>
                <c:pt idx="3145">
                  <c:v>06/04/2014 18:15 PDT</c:v>
                </c:pt>
                <c:pt idx="3146">
                  <c:v>06/04/2014 18:30 PDT</c:v>
                </c:pt>
                <c:pt idx="3147">
                  <c:v>06/04/2014 18:45 PDT</c:v>
                </c:pt>
                <c:pt idx="3148">
                  <c:v>06/04/2014 19:00 PDT</c:v>
                </c:pt>
                <c:pt idx="3149">
                  <c:v>06/04/2014 19:15 PDT</c:v>
                </c:pt>
                <c:pt idx="3150">
                  <c:v>06/04/2014 19:30 PDT</c:v>
                </c:pt>
                <c:pt idx="3151">
                  <c:v>06/04/2014 19:45 PDT</c:v>
                </c:pt>
                <c:pt idx="3152">
                  <c:v>06/04/2014 20:00 PDT</c:v>
                </c:pt>
                <c:pt idx="3153">
                  <c:v>06/04/2014 20:15 PDT</c:v>
                </c:pt>
                <c:pt idx="3154">
                  <c:v>06/04/2014 20:30 PDT</c:v>
                </c:pt>
                <c:pt idx="3155">
                  <c:v>06/04/2014 20:45 PDT</c:v>
                </c:pt>
                <c:pt idx="3156">
                  <c:v>06/04/2014 21:00 PDT</c:v>
                </c:pt>
                <c:pt idx="3157">
                  <c:v>06/04/2014 21:15 PDT</c:v>
                </c:pt>
                <c:pt idx="3158">
                  <c:v>06/04/2014 21:30 PDT</c:v>
                </c:pt>
                <c:pt idx="3159">
                  <c:v>06/04/2014 21:45 PDT</c:v>
                </c:pt>
                <c:pt idx="3160">
                  <c:v>06/04/2014 22:00 PDT</c:v>
                </c:pt>
                <c:pt idx="3161">
                  <c:v>06/04/2014 22:15 PDT</c:v>
                </c:pt>
                <c:pt idx="3162">
                  <c:v>06/04/2014 22:30 PDT</c:v>
                </c:pt>
                <c:pt idx="3163">
                  <c:v>06/04/2014 22:45 PDT</c:v>
                </c:pt>
                <c:pt idx="3164">
                  <c:v>06/04/2014 23:00 PDT</c:v>
                </c:pt>
                <c:pt idx="3165">
                  <c:v>06/04/2014 23:15 PDT</c:v>
                </c:pt>
                <c:pt idx="3166">
                  <c:v>06/04/2014 23:30 PDT</c:v>
                </c:pt>
                <c:pt idx="3167">
                  <c:v>06/04/2014 23:45 PDT</c:v>
                </c:pt>
                <c:pt idx="3168">
                  <c:v>06/05/2014 00:00 PDT</c:v>
                </c:pt>
                <c:pt idx="3169">
                  <c:v>06/05/2014 00:15 PDT</c:v>
                </c:pt>
                <c:pt idx="3170">
                  <c:v>06/05/2014 00:30 PDT</c:v>
                </c:pt>
                <c:pt idx="3171">
                  <c:v>06/05/2014 00:45 PDT</c:v>
                </c:pt>
                <c:pt idx="3172">
                  <c:v>06/05/2014 01:00 PDT</c:v>
                </c:pt>
                <c:pt idx="3173">
                  <c:v>06/05/2014 01:15 PDT</c:v>
                </c:pt>
                <c:pt idx="3174">
                  <c:v>06/05/2014 01:30 PDT</c:v>
                </c:pt>
                <c:pt idx="3175">
                  <c:v>06/05/2014 01:45 PDT</c:v>
                </c:pt>
                <c:pt idx="3176">
                  <c:v>06/05/2014 02:00 PDT</c:v>
                </c:pt>
                <c:pt idx="3177">
                  <c:v>06/05/2014 02:15 PDT</c:v>
                </c:pt>
                <c:pt idx="3178">
                  <c:v>06/05/2014 02:30 PDT</c:v>
                </c:pt>
                <c:pt idx="3179">
                  <c:v>06/05/2014 02:45 PDT</c:v>
                </c:pt>
                <c:pt idx="3180">
                  <c:v>06/05/2014 03:00 PDT</c:v>
                </c:pt>
                <c:pt idx="3181">
                  <c:v>06/05/2014 03:15 PDT</c:v>
                </c:pt>
                <c:pt idx="3182">
                  <c:v>06/05/2014 03:30 PDT</c:v>
                </c:pt>
                <c:pt idx="3183">
                  <c:v>06/05/2014 03:45 PDT</c:v>
                </c:pt>
                <c:pt idx="3184">
                  <c:v>06/05/2014 04:00 PDT</c:v>
                </c:pt>
                <c:pt idx="3185">
                  <c:v>06/05/2014 04:15 PDT</c:v>
                </c:pt>
                <c:pt idx="3186">
                  <c:v>06/05/2014 04:30 PDT</c:v>
                </c:pt>
                <c:pt idx="3187">
                  <c:v>06/05/2014 04:45 PDT</c:v>
                </c:pt>
                <c:pt idx="3188">
                  <c:v>06/05/2014 05:00 PDT</c:v>
                </c:pt>
                <c:pt idx="3189">
                  <c:v>06/05/2014 05:15 PDT</c:v>
                </c:pt>
                <c:pt idx="3190">
                  <c:v>06/05/2014 05:30 PDT</c:v>
                </c:pt>
                <c:pt idx="3191">
                  <c:v>06/05/2014 05:45 PDT</c:v>
                </c:pt>
                <c:pt idx="3192">
                  <c:v>06/05/2014 06:00 PDT</c:v>
                </c:pt>
                <c:pt idx="3193">
                  <c:v>06/05/2014 06:15 PDT</c:v>
                </c:pt>
                <c:pt idx="3194">
                  <c:v>06/05/2014 06:30 PDT</c:v>
                </c:pt>
                <c:pt idx="3195">
                  <c:v>06/05/2014 06:45 PDT</c:v>
                </c:pt>
                <c:pt idx="3196">
                  <c:v>06/05/2014 07:00 PDT</c:v>
                </c:pt>
                <c:pt idx="3197">
                  <c:v>06/05/2014 07:15 PDT</c:v>
                </c:pt>
                <c:pt idx="3198">
                  <c:v>06/05/2014 07:30 PDT</c:v>
                </c:pt>
                <c:pt idx="3199">
                  <c:v>06/05/2014 07:45 PDT</c:v>
                </c:pt>
                <c:pt idx="3200">
                  <c:v>06/05/2014 08:00 PDT</c:v>
                </c:pt>
                <c:pt idx="3201">
                  <c:v>06/05/2014 08:15 PDT</c:v>
                </c:pt>
                <c:pt idx="3202">
                  <c:v>06/05/2014 08:30 PDT</c:v>
                </c:pt>
                <c:pt idx="3203">
                  <c:v>06/05/2014 08:45 PDT</c:v>
                </c:pt>
                <c:pt idx="3204">
                  <c:v>06/05/2014 09:00 PDT</c:v>
                </c:pt>
                <c:pt idx="3205">
                  <c:v>06/05/2014 09:15 PDT</c:v>
                </c:pt>
                <c:pt idx="3206">
                  <c:v>06/05/2014 09:30 PDT</c:v>
                </c:pt>
                <c:pt idx="3207">
                  <c:v>06/05/2014 09:45 PDT</c:v>
                </c:pt>
                <c:pt idx="3208">
                  <c:v>06/05/2014 10:00 PDT</c:v>
                </c:pt>
                <c:pt idx="3209">
                  <c:v>06/05/2014 10:15 PDT</c:v>
                </c:pt>
                <c:pt idx="3210">
                  <c:v>06/05/2014 10:30 PDT</c:v>
                </c:pt>
                <c:pt idx="3211">
                  <c:v>06/05/2014 10:45 PDT</c:v>
                </c:pt>
                <c:pt idx="3212">
                  <c:v>06/05/2014 11:00 PDT</c:v>
                </c:pt>
                <c:pt idx="3213">
                  <c:v>06/05/2014 11:15 PDT</c:v>
                </c:pt>
                <c:pt idx="3214">
                  <c:v>06/05/2014 11:30 PDT</c:v>
                </c:pt>
                <c:pt idx="3215">
                  <c:v>06/05/2014 11:45 PDT</c:v>
                </c:pt>
                <c:pt idx="3216">
                  <c:v>06/05/2014 12:00 PDT</c:v>
                </c:pt>
                <c:pt idx="3217">
                  <c:v>06/05/2014 12:15 PDT</c:v>
                </c:pt>
                <c:pt idx="3218">
                  <c:v>06/05/2014 12:30 PDT</c:v>
                </c:pt>
                <c:pt idx="3219">
                  <c:v>06/05/2014 12:45 PDT</c:v>
                </c:pt>
                <c:pt idx="3220">
                  <c:v>06/05/2014 13:00 PDT</c:v>
                </c:pt>
                <c:pt idx="3221">
                  <c:v>06/05/2014 13:15 PDT</c:v>
                </c:pt>
                <c:pt idx="3222">
                  <c:v>06/05/2014 13:30 PDT</c:v>
                </c:pt>
                <c:pt idx="3223">
                  <c:v>06/05/2014 13:45 PDT</c:v>
                </c:pt>
                <c:pt idx="3224">
                  <c:v>06/05/2014 14:00 PDT</c:v>
                </c:pt>
                <c:pt idx="3225">
                  <c:v>06/05/2014 14:15 PDT</c:v>
                </c:pt>
                <c:pt idx="3226">
                  <c:v>06/05/2014 14:30 PDT</c:v>
                </c:pt>
                <c:pt idx="3227">
                  <c:v>06/05/2014 14:45 PDT</c:v>
                </c:pt>
                <c:pt idx="3228">
                  <c:v>06/05/2014 15:00 PDT</c:v>
                </c:pt>
                <c:pt idx="3229">
                  <c:v>06/05/2014 15:15 PDT</c:v>
                </c:pt>
                <c:pt idx="3230">
                  <c:v>06/05/2014 15:30 PDT</c:v>
                </c:pt>
                <c:pt idx="3231">
                  <c:v>06/05/2014 15:45 PDT</c:v>
                </c:pt>
                <c:pt idx="3232">
                  <c:v>06/05/2014 16:00 PDT</c:v>
                </c:pt>
                <c:pt idx="3233">
                  <c:v>06/05/2014 16:15 PDT</c:v>
                </c:pt>
                <c:pt idx="3234">
                  <c:v>06/05/2014 16:30 PDT</c:v>
                </c:pt>
                <c:pt idx="3235">
                  <c:v>06/05/2014 16:45 PDT</c:v>
                </c:pt>
                <c:pt idx="3236">
                  <c:v>06/05/2014 17:00 PDT</c:v>
                </c:pt>
                <c:pt idx="3237">
                  <c:v>06/05/2014 17:15 PDT</c:v>
                </c:pt>
                <c:pt idx="3238">
                  <c:v>06/05/2014 17:30 PDT</c:v>
                </c:pt>
                <c:pt idx="3239">
                  <c:v>06/05/2014 17:45 PDT</c:v>
                </c:pt>
                <c:pt idx="3240">
                  <c:v>06/05/2014 18:00 PDT</c:v>
                </c:pt>
                <c:pt idx="3241">
                  <c:v>06/05/2014 18:15 PDT</c:v>
                </c:pt>
                <c:pt idx="3242">
                  <c:v>06/05/2014 18:30 PDT</c:v>
                </c:pt>
                <c:pt idx="3243">
                  <c:v>06/05/2014 18:45 PDT</c:v>
                </c:pt>
                <c:pt idx="3244">
                  <c:v>06/05/2014 19:00 PDT</c:v>
                </c:pt>
                <c:pt idx="3245">
                  <c:v>06/05/2014 19:15 PDT</c:v>
                </c:pt>
                <c:pt idx="3246">
                  <c:v>06/05/2014 19:30 PDT</c:v>
                </c:pt>
                <c:pt idx="3247">
                  <c:v>06/05/2014 19:45 PDT</c:v>
                </c:pt>
                <c:pt idx="3248">
                  <c:v>06/05/2014 20:00 PDT</c:v>
                </c:pt>
                <c:pt idx="3249">
                  <c:v>06/05/2014 20:15 PDT</c:v>
                </c:pt>
                <c:pt idx="3250">
                  <c:v>06/05/2014 20:30 PDT</c:v>
                </c:pt>
                <c:pt idx="3251">
                  <c:v>06/05/2014 20:45 PDT</c:v>
                </c:pt>
                <c:pt idx="3252">
                  <c:v>06/05/2014 21:00 PDT</c:v>
                </c:pt>
                <c:pt idx="3253">
                  <c:v>06/05/2014 21:15 PDT</c:v>
                </c:pt>
                <c:pt idx="3254">
                  <c:v>06/05/2014 21:30 PDT</c:v>
                </c:pt>
                <c:pt idx="3255">
                  <c:v>06/05/2014 21:45 PDT</c:v>
                </c:pt>
                <c:pt idx="3256">
                  <c:v>06/05/2014 22:00 PDT</c:v>
                </c:pt>
                <c:pt idx="3257">
                  <c:v>06/05/2014 22:15 PDT</c:v>
                </c:pt>
                <c:pt idx="3258">
                  <c:v>06/05/2014 22:30 PDT</c:v>
                </c:pt>
                <c:pt idx="3259">
                  <c:v>06/05/2014 22:45 PDT</c:v>
                </c:pt>
                <c:pt idx="3260">
                  <c:v>06/05/2014 23:00 PDT</c:v>
                </c:pt>
                <c:pt idx="3261">
                  <c:v>06/05/2014 23:15 PDT</c:v>
                </c:pt>
                <c:pt idx="3262">
                  <c:v>06/05/2014 23:30 PDT</c:v>
                </c:pt>
                <c:pt idx="3263">
                  <c:v>06/05/2014 23:45 PDT</c:v>
                </c:pt>
                <c:pt idx="3264">
                  <c:v>06/06/2014 00:00 PDT</c:v>
                </c:pt>
                <c:pt idx="3265">
                  <c:v>06/06/2014 00:15 PDT</c:v>
                </c:pt>
                <c:pt idx="3266">
                  <c:v>06/06/2014 00:30 PDT</c:v>
                </c:pt>
                <c:pt idx="3267">
                  <c:v>06/06/2014 00:45 PDT</c:v>
                </c:pt>
                <c:pt idx="3268">
                  <c:v>06/06/2014 01:00 PDT</c:v>
                </c:pt>
                <c:pt idx="3269">
                  <c:v>06/06/2014 01:15 PDT</c:v>
                </c:pt>
                <c:pt idx="3270">
                  <c:v>06/06/2014 01:30 PDT</c:v>
                </c:pt>
                <c:pt idx="3271">
                  <c:v>06/06/2014 01:45 PDT</c:v>
                </c:pt>
                <c:pt idx="3272">
                  <c:v>06/06/2014 02:00 PDT</c:v>
                </c:pt>
                <c:pt idx="3273">
                  <c:v>06/06/2014 02:15 PDT</c:v>
                </c:pt>
                <c:pt idx="3274">
                  <c:v>06/06/2014 02:30 PDT</c:v>
                </c:pt>
                <c:pt idx="3275">
                  <c:v>06/06/2014 02:45 PDT</c:v>
                </c:pt>
                <c:pt idx="3276">
                  <c:v>06/06/2014 03:00 PDT</c:v>
                </c:pt>
                <c:pt idx="3277">
                  <c:v>06/06/2014 03:15 PDT</c:v>
                </c:pt>
                <c:pt idx="3278">
                  <c:v>06/06/2014 03:30 PDT</c:v>
                </c:pt>
                <c:pt idx="3279">
                  <c:v>06/06/2014 03:45 PDT</c:v>
                </c:pt>
                <c:pt idx="3280">
                  <c:v>06/06/2014 04:00 PDT</c:v>
                </c:pt>
                <c:pt idx="3281">
                  <c:v>06/06/2014 04:15 PDT</c:v>
                </c:pt>
                <c:pt idx="3282">
                  <c:v>06/06/2014 04:30 PDT</c:v>
                </c:pt>
                <c:pt idx="3283">
                  <c:v>06/06/2014 04:45 PDT</c:v>
                </c:pt>
                <c:pt idx="3284">
                  <c:v>06/06/2014 05:00 PDT</c:v>
                </c:pt>
                <c:pt idx="3285">
                  <c:v>06/06/2014 05:15 PDT</c:v>
                </c:pt>
                <c:pt idx="3286">
                  <c:v>06/06/2014 05:30 PDT</c:v>
                </c:pt>
                <c:pt idx="3287">
                  <c:v>06/06/2014 05:45 PDT</c:v>
                </c:pt>
                <c:pt idx="3288">
                  <c:v>06/06/2014 06:00 PDT</c:v>
                </c:pt>
                <c:pt idx="3289">
                  <c:v>06/06/2014 06:15 PDT</c:v>
                </c:pt>
                <c:pt idx="3290">
                  <c:v>06/06/2014 06:30 PDT</c:v>
                </c:pt>
                <c:pt idx="3291">
                  <c:v>06/06/2014 06:45 PDT</c:v>
                </c:pt>
                <c:pt idx="3292">
                  <c:v>06/06/2014 07:00 PDT</c:v>
                </c:pt>
                <c:pt idx="3293">
                  <c:v>06/06/2014 07:15 PDT</c:v>
                </c:pt>
                <c:pt idx="3294">
                  <c:v>06/06/2014 07:30 PDT</c:v>
                </c:pt>
                <c:pt idx="3295">
                  <c:v>06/06/2014 07:45 PDT</c:v>
                </c:pt>
                <c:pt idx="3296">
                  <c:v>06/06/2014 08:00 PDT</c:v>
                </c:pt>
                <c:pt idx="3297">
                  <c:v>06/06/2014 08:15 PDT</c:v>
                </c:pt>
                <c:pt idx="3298">
                  <c:v>06/06/2014 08:30 PDT</c:v>
                </c:pt>
                <c:pt idx="3299">
                  <c:v>06/06/2014 08:45 PDT</c:v>
                </c:pt>
                <c:pt idx="3300">
                  <c:v>06/06/2014 09:00 PDT</c:v>
                </c:pt>
                <c:pt idx="3301">
                  <c:v>06/06/2014 09:15 PDT</c:v>
                </c:pt>
                <c:pt idx="3302">
                  <c:v>06/06/2014 09:30 PDT</c:v>
                </c:pt>
                <c:pt idx="3303">
                  <c:v>06/06/2014 09:45 PDT</c:v>
                </c:pt>
                <c:pt idx="3304">
                  <c:v>06/06/2014 10:00 PDT</c:v>
                </c:pt>
                <c:pt idx="3305">
                  <c:v>06/06/2014 10:15 PDT</c:v>
                </c:pt>
                <c:pt idx="3306">
                  <c:v>06/06/2014 10:30 PDT</c:v>
                </c:pt>
                <c:pt idx="3307">
                  <c:v>06/06/2014 10:45 PDT</c:v>
                </c:pt>
                <c:pt idx="3308">
                  <c:v>06/06/2014 11:00 PDT</c:v>
                </c:pt>
                <c:pt idx="3309">
                  <c:v>06/06/2014 11:15 PDT</c:v>
                </c:pt>
                <c:pt idx="3310">
                  <c:v>06/06/2014 11:30 PDT</c:v>
                </c:pt>
                <c:pt idx="3311">
                  <c:v>06/06/2014 11:45 PDT</c:v>
                </c:pt>
                <c:pt idx="3312">
                  <c:v>06/06/2014 12:00 PDT</c:v>
                </c:pt>
                <c:pt idx="3313">
                  <c:v>06/06/2014 12:15 PDT</c:v>
                </c:pt>
                <c:pt idx="3314">
                  <c:v>06/06/2014 12:30 PDT</c:v>
                </c:pt>
                <c:pt idx="3315">
                  <c:v>06/06/2014 12:45 PDT</c:v>
                </c:pt>
                <c:pt idx="3316">
                  <c:v>06/06/2014 13:00 PDT</c:v>
                </c:pt>
                <c:pt idx="3317">
                  <c:v>06/06/2014 13:15 PDT</c:v>
                </c:pt>
                <c:pt idx="3318">
                  <c:v>06/06/2014 13:30 PDT</c:v>
                </c:pt>
                <c:pt idx="3319">
                  <c:v>06/06/2014 13:45 PDT</c:v>
                </c:pt>
                <c:pt idx="3320">
                  <c:v>06/06/2014 14:00 PDT</c:v>
                </c:pt>
                <c:pt idx="3321">
                  <c:v>06/06/2014 14:15 PDT</c:v>
                </c:pt>
                <c:pt idx="3322">
                  <c:v>06/06/2014 14:30 PDT</c:v>
                </c:pt>
                <c:pt idx="3323">
                  <c:v>06/06/2014 14:45 PDT</c:v>
                </c:pt>
                <c:pt idx="3324">
                  <c:v>06/06/2014 15:00 PDT</c:v>
                </c:pt>
                <c:pt idx="3325">
                  <c:v>06/06/2014 15:15 PDT</c:v>
                </c:pt>
                <c:pt idx="3326">
                  <c:v>06/06/2014 15:30 PDT</c:v>
                </c:pt>
                <c:pt idx="3327">
                  <c:v>06/06/2014 15:45 PDT</c:v>
                </c:pt>
                <c:pt idx="3328">
                  <c:v>06/06/2014 16:00 PDT</c:v>
                </c:pt>
                <c:pt idx="3329">
                  <c:v>06/06/2014 16:15 PDT</c:v>
                </c:pt>
                <c:pt idx="3330">
                  <c:v>06/06/2014 16:30 PDT</c:v>
                </c:pt>
                <c:pt idx="3331">
                  <c:v>06/06/2014 16:45 PDT</c:v>
                </c:pt>
                <c:pt idx="3332">
                  <c:v>06/06/2014 17:00 PDT</c:v>
                </c:pt>
                <c:pt idx="3333">
                  <c:v>06/06/2014 17:15 PDT</c:v>
                </c:pt>
                <c:pt idx="3334">
                  <c:v>06/06/2014 17:30 PDT</c:v>
                </c:pt>
                <c:pt idx="3335">
                  <c:v>06/06/2014 17:45 PDT</c:v>
                </c:pt>
                <c:pt idx="3336">
                  <c:v>06/06/2014 18:00 PDT</c:v>
                </c:pt>
                <c:pt idx="3337">
                  <c:v>06/06/2014 18:15 PDT</c:v>
                </c:pt>
                <c:pt idx="3338">
                  <c:v>06/06/2014 18:30 PDT</c:v>
                </c:pt>
                <c:pt idx="3339">
                  <c:v>06/06/2014 18:45 PDT</c:v>
                </c:pt>
                <c:pt idx="3340">
                  <c:v>06/06/2014 19:00 PDT</c:v>
                </c:pt>
                <c:pt idx="3341">
                  <c:v>06/06/2014 19:15 PDT</c:v>
                </c:pt>
                <c:pt idx="3342">
                  <c:v>06/06/2014 19:30 PDT</c:v>
                </c:pt>
                <c:pt idx="3343">
                  <c:v>06/06/2014 19:45 PDT</c:v>
                </c:pt>
                <c:pt idx="3344">
                  <c:v>06/06/2014 20:00 PDT</c:v>
                </c:pt>
                <c:pt idx="3345">
                  <c:v>06/06/2014 20:15 PDT</c:v>
                </c:pt>
                <c:pt idx="3346">
                  <c:v>06/06/2014 20:30 PDT</c:v>
                </c:pt>
                <c:pt idx="3347">
                  <c:v>06/06/2014 20:45 PDT</c:v>
                </c:pt>
                <c:pt idx="3348">
                  <c:v>06/06/2014 21:00 PDT</c:v>
                </c:pt>
                <c:pt idx="3349">
                  <c:v>06/06/2014 21:15 PDT</c:v>
                </c:pt>
                <c:pt idx="3350">
                  <c:v>06/06/2014 21:30 PDT</c:v>
                </c:pt>
                <c:pt idx="3351">
                  <c:v>06/06/2014 21:45 PDT</c:v>
                </c:pt>
                <c:pt idx="3352">
                  <c:v>06/06/2014 22:00 PDT</c:v>
                </c:pt>
                <c:pt idx="3353">
                  <c:v>06/06/2014 22:15 PDT</c:v>
                </c:pt>
                <c:pt idx="3354">
                  <c:v>06/06/2014 22:30 PDT</c:v>
                </c:pt>
                <c:pt idx="3355">
                  <c:v>06/06/2014 22:45 PDT</c:v>
                </c:pt>
                <c:pt idx="3356">
                  <c:v>06/06/2014 23:00 PDT</c:v>
                </c:pt>
                <c:pt idx="3357">
                  <c:v>06/06/2014 23:15 PDT</c:v>
                </c:pt>
                <c:pt idx="3358">
                  <c:v>06/06/2014 23:30 PDT</c:v>
                </c:pt>
                <c:pt idx="3359">
                  <c:v>06/06/2014 23:45 PDT</c:v>
                </c:pt>
                <c:pt idx="3360">
                  <c:v>06/07/2014 00:00 PDT</c:v>
                </c:pt>
                <c:pt idx="3361">
                  <c:v>06/07/2014 00:15 PDT</c:v>
                </c:pt>
                <c:pt idx="3362">
                  <c:v>06/07/2014 00:30 PDT</c:v>
                </c:pt>
                <c:pt idx="3363">
                  <c:v>06/07/2014 00:45 PDT</c:v>
                </c:pt>
                <c:pt idx="3364">
                  <c:v>06/07/2014 01:00 PDT</c:v>
                </c:pt>
                <c:pt idx="3365">
                  <c:v>06/07/2014 01:15 PDT</c:v>
                </c:pt>
                <c:pt idx="3366">
                  <c:v>06/07/2014 01:30 PDT</c:v>
                </c:pt>
                <c:pt idx="3367">
                  <c:v>06/07/2014 01:45 PDT</c:v>
                </c:pt>
                <c:pt idx="3368">
                  <c:v>06/07/2014 02:00 PDT</c:v>
                </c:pt>
                <c:pt idx="3369">
                  <c:v>06/07/2014 02:15 PDT</c:v>
                </c:pt>
                <c:pt idx="3370">
                  <c:v>06/07/2014 02:30 PDT</c:v>
                </c:pt>
                <c:pt idx="3371">
                  <c:v>06/07/2014 02:45 PDT</c:v>
                </c:pt>
                <c:pt idx="3372">
                  <c:v>06/07/2014 03:00 PDT</c:v>
                </c:pt>
                <c:pt idx="3373">
                  <c:v>06/07/2014 03:15 PDT</c:v>
                </c:pt>
                <c:pt idx="3374">
                  <c:v>06/07/2014 03:30 PDT</c:v>
                </c:pt>
                <c:pt idx="3375">
                  <c:v>06/07/2014 03:45 PDT</c:v>
                </c:pt>
                <c:pt idx="3376">
                  <c:v>06/07/2014 04:00 PDT</c:v>
                </c:pt>
                <c:pt idx="3377">
                  <c:v>06/07/2014 04:15 PDT</c:v>
                </c:pt>
                <c:pt idx="3378">
                  <c:v>06/07/2014 04:30 PDT</c:v>
                </c:pt>
                <c:pt idx="3379">
                  <c:v>06/07/2014 04:45 PDT</c:v>
                </c:pt>
                <c:pt idx="3380">
                  <c:v>06/07/2014 05:00 PDT</c:v>
                </c:pt>
                <c:pt idx="3381">
                  <c:v>06/07/2014 05:15 PDT</c:v>
                </c:pt>
                <c:pt idx="3382">
                  <c:v>06/07/2014 05:30 PDT</c:v>
                </c:pt>
                <c:pt idx="3383">
                  <c:v>06/07/2014 05:45 PDT</c:v>
                </c:pt>
                <c:pt idx="3384">
                  <c:v>06/07/2014 06:00 PDT</c:v>
                </c:pt>
                <c:pt idx="3385">
                  <c:v>06/07/2014 06:15 PDT</c:v>
                </c:pt>
                <c:pt idx="3386">
                  <c:v>06/07/2014 06:30 PDT</c:v>
                </c:pt>
                <c:pt idx="3387">
                  <c:v>06/07/2014 06:45 PDT</c:v>
                </c:pt>
                <c:pt idx="3388">
                  <c:v>06/07/2014 07:00 PDT</c:v>
                </c:pt>
                <c:pt idx="3389">
                  <c:v>06/07/2014 07:15 PDT</c:v>
                </c:pt>
                <c:pt idx="3390">
                  <c:v>06/07/2014 07:30 PDT</c:v>
                </c:pt>
                <c:pt idx="3391">
                  <c:v>06/07/2014 07:45 PDT</c:v>
                </c:pt>
                <c:pt idx="3392">
                  <c:v>06/07/2014 08:00 PDT</c:v>
                </c:pt>
                <c:pt idx="3393">
                  <c:v>06/07/2014 08:15 PDT</c:v>
                </c:pt>
                <c:pt idx="3394">
                  <c:v>06/07/2014 08:30 PDT</c:v>
                </c:pt>
                <c:pt idx="3395">
                  <c:v>06/07/2014 08:45 PDT</c:v>
                </c:pt>
                <c:pt idx="3396">
                  <c:v>06/07/2014 09:00 PDT</c:v>
                </c:pt>
                <c:pt idx="3397">
                  <c:v>06/07/2014 09:15 PDT</c:v>
                </c:pt>
                <c:pt idx="3398">
                  <c:v>06/07/2014 09:30 PDT</c:v>
                </c:pt>
                <c:pt idx="3399">
                  <c:v>06/07/2014 09:45 PDT</c:v>
                </c:pt>
                <c:pt idx="3400">
                  <c:v>06/07/2014 10:00 PDT</c:v>
                </c:pt>
                <c:pt idx="3401">
                  <c:v>06/07/2014 10:15 PDT</c:v>
                </c:pt>
                <c:pt idx="3402">
                  <c:v>06/07/2014 10:30 PDT</c:v>
                </c:pt>
                <c:pt idx="3403">
                  <c:v>06/07/2014 10:45 PDT</c:v>
                </c:pt>
                <c:pt idx="3404">
                  <c:v>06/07/2014 11:00 PDT</c:v>
                </c:pt>
                <c:pt idx="3405">
                  <c:v>06/07/2014 11:15 PDT</c:v>
                </c:pt>
                <c:pt idx="3406">
                  <c:v>06/07/2014 11:30 PDT</c:v>
                </c:pt>
                <c:pt idx="3407">
                  <c:v>06/07/2014 11:45 PDT</c:v>
                </c:pt>
                <c:pt idx="3408">
                  <c:v>06/07/2014 12:00 PDT</c:v>
                </c:pt>
                <c:pt idx="3409">
                  <c:v>06/07/2014 12:15 PDT</c:v>
                </c:pt>
                <c:pt idx="3410">
                  <c:v>06/07/2014 12:30 PDT</c:v>
                </c:pt>
                <c:pt idx="3411">
                  <c:v>06/07/2014 12:45 PDT</c:v>
                </c:pt>
                <c:pt idx="3412">
                  <c:v>06/07/2014 13:00 PDT</c:v>
                </c:pt>
                <c:pt idx="3413">
                  <c:v>06/07/2014 13:15 PDT</c:v>
                </c:pt>
                <c:pt idx="3414">
                  <c:v>06/07/2014 13:30 PDT</c:v>
                </c:pt>
                <c:pt idx="3415">
                  <c:v>06/07/2014 13:45 PDT</c:v>
                </c:pt>
                <c:pt idx="3416">
                  <c:v>06/07/2014 14:00 PDT</c:v>
                </c:pt>
                <c:pt idx="3417">
                  <c:v>06/07/2014 14:15 PDT</c:v>
                </c:pt>
                <c:pt idx="3418">
                  <c:v>06/07/2014 14:30 PDT</c:v>
                </c:pt>
                <c:pt idx="3419">
                  <c:v>06/07/2014 14:45 PDT</c:v>
                </c:pt>
                <c:pt idx="3420">
                  <c:v>06/07/2014 15:00 PDT</c:v>
                </c:pt>
                <c:pt idx="3421">
                  <c:v>06/07/2014 15:15 PDT</c:v>
                </c:pt>
                <c:pt idx="3422">
                  <c:v>06/07/2014 15:30 PDT</c:v>
                </c:pt>
                <c:pt idx="3423">
                  <c:v>06/07/2014 15:45 PDT</c:v>
                </c:pt>
                <c:pt idx="3424">
                  <c:v>06/07/2014 16:00 PDT</c:v>
                </c:pt>
                <c:pt idx="3425">
                  <c:v>06/07/2014 16:15 PDT</c:v>
                </c:pt>
                <c:pt idx="3426">
                  <c:v>06/07/2014 16:30 PDT</c:v>
                </c:pt>
                <c:pt idx="3427">
                  <c:v>06/07/2014 16:45 PDT</c:v>
                </c:pt>
                <c:pt idx="3428">
                  <c:v>06/07/2014 17:00 PDT</c:v>
                </c:pt>
                <c:pt idx="3429">
                  <c:v>06/07/2014 17:15 PDT</c:v>
                </c:pt>
                <c:pt idx="3430">
                  <c:v>06/07/2014 17:30 PDT</c:v>
                </c:pt>
                <c:pt idx="3431">
                  <c:v>06/07/2014 17:45 PDT</c:v>
                </c:pt>
                <c:pt idx="3432">
                  <c:v>06/07/2014 18:00 PDT</c:v>
                </c:pt>
                <c:pt idx="3433">
                  <c:v>06/07/2014 18:15 PDT</c:v>
                </c:pt>
                <c:pt idx="3434">
                  <c:v>06/07/2014 18:30 PDT</c:v>
                </c:pt>
                <c:pt idx="3435">
                  <c:v>06/07/2014 18:45 PDT</c:v>
                </c:pt>
                <c:pt idx="3436">
                  <c:v>06/07/2014 19:00 PDT</c:v>
                </c:pt>
                <c:pt idx="3437">
                  <c:v>06/07/2014 19:15 PDT</c:v>
                </c:pt>
                <c:pt idx="3438">
                  <c:v>06/07/2014 19:30 PDT</c:v>
                </c:pt>
                <c:pt idx="3439">
                  <c:v>06/07/2014 19:45 PDT</c:v>
                </c:pt>
                <c:pt idx="3440">
                  <c:v>06/07/2014 20:00 PDT</c:v>
                </c:pt>
                <c:pt idx="3441">
                  <c:v>06/07/2014 20:15 PDT</c:v>
                </c:pt>
                <c:pt idx="3442">
                  <c:v>06/07/2014 20:30 PDT</c:v>
                </c:pt>
                <c:pt idx="3443">
                  <c:v>06/07/2014 20:45 PDT</c:v>
                </c:pt>
                <c:pt idx="3444">
                  <c:v>06/07/2014 21:00 PDT</c:v>
                </c:pt>
                <c:pt idx="3445">
                  <c:v>06/07/2014 21:15 PDT</c:v>
                </c:pt>
                <c:pt idx="3446">
                  <c:v>06/07/2014 21:30 PDT</c:v>
                </c:pt>
                <c:pt idx="3447">
                  <c:v>06/07/2014 21:45 PDT</c:v>
                </c:pt>
                <c:pt idx="3448">
                  <c:v>06/07/2014 22:00 PDT</c:v>
                </c:pt>
                <c:pt idx="3449">
                  <c:v>06/07/2014 22:15 PDT</c:v>
                </c:pt>
                <c:pt idx="3450">
                  <c:v>06/07/2014 22:30 PDT</c:v>
                </c:pt>
                <c:pt idx="3451">
                  <c:v>06/07/2014 22:45 PDT</c:v>
                </c:pt>
                <c:pt idx="3452">
                  <c:v>06/07/2014 23:00 PDT</c:v>
                </c:pt>
                <c:pt idx="3453">
                  <c:v>06/07/2014 23:15 PDT</c:v>
                </c:pt>
                <c:pt idx="3454">
                  <c:v>06/07/2014 23:30 PDT</c:v>
                </c:pt>
                <c:pt idx="3455">
                  <c:v>06/07/2014 23:45 PDT</c:v>
                </c:pt>
                <c:pt idx="3456">
                  <c:v>06/08/2014 00:00 PDT</c:v>
                </c:pt>
                <c:pt idx="3457">
                  <c:v>06/08/2014 00:15 PDT</c:v>
                </c:pt>
                <c:pt idx="3458">
                  <c:v>06/08/2014 00:30 PDT</c:v>
                </c:pt>
                <c:pt idx="3459">
                  <c:v>06/08/2014 00:45 PDT</c:v>
                </c:pt>
                <c:pt idx="3460">
                  <c:v>06/08/2014 01:00 PDT</c:v>
                </c:pt>
                <c:pt idx="3461">
                  <c:v>06/08/2014 01:15 PDT</c:v>
                </c:pt>
                <c:pt idx="3462">
                  <c:v>06/08/2014 01:30 PDT</c:v>
                </c:pt>
                <c:pt idx="3463">
                  <c:v>06/08/2014 01:45 PDT</c:v>
                </c:pt>
                <c:pt idx="3464">
                  <c:v>06/08/2014 02:00 PDT</c:v>
                </c:pt>
                <c:pt idx="3465">
                  <c:v>06/08/2014 02:15 PDT</c:v>
                </c:pt>
                <c:pt idx="3466">
                  <c:v>06/08/2014 02:30 PDT</c:v>
                </c:pt>
                <c:pt idx="3467">
                  <c:v>06/08/2014 02:45 PDT</c:v>
                </c:pt>
                <c:pt idx="3468">
                  <c:v>06/08/2014 03:00 PDT</c:v>
                </c:pt>
                <c:pt idx="3469">
                  <c:v>06/08/2014 03:15 PDT</c:v>
                </c:pt>
                <c:pt idx="3470">
                  <c:v>06/08/2014 03:30 PDT</c:v>
                </c:pt>
                <c:pt idx="3471">
                  <c:v>06/08/2014 03:45 PDT</c:v>
                </c:pt>
                <c:pt idx="3472">
                  <c:v>06/08/2014 04:00 PDT</c:v>
                </c:pt>
                <c:pt idx="3473">
                  <c:v>06/08/2014 04:15 PDT</c:v>
                </c:pt>
                <c:pt idx="3474">
                  <c:v>06/08/2014 04:30 PDT</c:v>
                </c:pt>
                <c:pt idx="3475">
                  <c:v>06/08/2014 04:45 PDT</c:v>
                </c:pt>
                <c:pt idx="3476">
                  <c:v>06/08/2014 05:00 PDT</c:v>
                </c:pt>
                <c:pt idx="3477">
                  <c:v>06/08/2014 05:15 PDT</c:v>
                </c:pt>
                <c:pt idx="3478">
                  <c:v>06/08/2014 05:30 PDT</c:v>
                </c:pt>
                <c:pt idx="3479">
                  <c:v>06/08/2014 05:45 PDT</c:v>
                </c:pt>
                <c:pt idx="3480">
                  <c:v>06/08/2014 06:00 PDT</c:v>
                </c:pt>
                <c:pt idx="3481">
                  <c:v>06/08/2014 06:15 PDT</c:v>
                </c:pt>
                <c:pt idx="3482">
                  <c:v>06/08/2014 06:30 PDT</c:v>
                </c:pt>
                <c:pt idx="3483">
                  <c:v>06/08/2014 06:45 PDT</c:v>
                </c:pt>
                <c:pt idx="3484">
                  <c:v>06/08/2014 07:00 PDT</c:v>
                </c:pt>
                <c:pt idx="3485">
                  <c:v>06/08/2014 07:15 PDT</c:v>
                </c:pt>
                <c:pt idx="3486">
                  <c:v>06/08/2014 07:30 PDT</c:v>
                </c:pt>
                <c:pt idx="3487">
                  <c:v>06/08/2014 07:45 PDT</c:v>
                </c:pt>
                <c:pt idx="3488">
                  <c:v>06/08/2014 08:00 PDT</c:v>
                </c:pt>
                <c:pt idx="3489">
                  <c:v>06/08/2014 08:15 PDT</c:v>
                </c:pt>
                <c:pt idx="3490">
                  <c:v>06/08/2014 08:30 PDT</c:v>
                </c:pt>
                <c:pt idx="3491">
                  <c:v>06/08/2014 08:45 PDT</c:v>
                </c:pt>
                <c:pt idx="3492">
                  <c:v>06/08/2014 09:00 PDT</c:v>
                </c:pt>
                <c:pt idx="3493">
                  <c:v>06/08/2014 09:15 PDT</c:v>
                </c:pt>
                <c:pt idx="3494">
                  <c:v>06/08/2014 09:30 PDT</c:v>
                </c:pt>
                <c:pt idx="3495">
                  <c:v>06/08/2014 09:45 PDT</c:v>
                </c:pt>
                <c:pt idx="3496">
                  <c:v>06/08/2014 10:00 PDT</c:v>
                </c:pt>
                <c:pt idx="3497">
                  <c:v>06/08/2014 10:15 PDT</c:v>
                </c:pt>
                <c:pt idx="3498">
                  <c:v>06/08/2014 10:30 PDT</c:v>
                </c:pt>
                <c:pt idx="3499">
                  <c:v>06/08/2014 10:45 PDT</c:v>
                </c:pt>
                <c:pt idx="3500">
                  <c:v>06/08/2014 11:00 PDT</c:v>
                </c:pt>
                <c:pt idx="3501">
                  <c:v>06/08/2014 11:15 PDT</c:v>
                </c:pt>
                <c:pt idx="3502">
                  <c:v>06/08/2014 11:30 PDT</c:v>
                </c:pt>
                <c:pt idx="3503">
                  <c:v>06/08/2014 11:45 PDT</c:v>
                </c:pt>
                <c:pt idx="3504">
                  <c:v>06/08/2014 12:00 PDT</c:v>
                </c:pt>
                <c:pt idx="3505">
                  <c:v>06/08/2014 12:15 PDT</c:v>
                </c:pt>
                <c:pt idx="3506">
                  <c:v>06/08/2014 12:30 PDT</c:v>
                </c:pt>
                <c:pt idx="3507">
                  <c:v>06/08/2014 12:45 PDT</c:v>
                </c:pt>
                <c:pt idx="3508">
                  <c:v>06/08/2014 13:00 PDT</c:v>
                </c:pt>
                <c:pt idx="3509">
                  <c:v>06/08/2014 13:15 PDT</c:v>
                </c:pt>
                <c:pt idx="3510">
                  <c:v>06/08/2014 13:30 PDT</c:v>
                </c:pt>
                <c:pt idx="3511">
                  <c:v>06/08/2014 13:45 PDT</c:v>
                </c:pt>
                <c:pt idx="3512">
                  <c:v>06/08/2014 14:00 PDT</c:v>
                </c:pt>
                <c:pt idx="3513">
                  <c:v>06/08/2014 14:15 PDT</c:v>
                </c:pt>
                <c:pt idx="3514">
                  <c:v>06/08/2014 14:30 PDT</c:v>
                </c:pt>
                <c:pt idx="3515">
                  <c:v>06/08/2014 14:45 PDT</c:v>
                </c:pt>
                <c:pt idx="3516">
                  <c:v>06/08/2014 15:00 PDT</c:v>
                </c:pt>
                <c:pt idx="3517">
                  <c:v>06/08/2014 15:15 PDT</c:v>
                </c:pt>
                <c:pt idx="3518">
                  <c:v>06/08/2014 15:30 PDT</c:v>
                </c:pt>
                <c:pt idx="3519">
                  <c:v>06/08/2014 15:45 PDT</c:v>
                </c:pt>
                <c:pt idx="3520">
                  <c:v>06/08/2014 16:00 PDT</c:v>
                </c:pt>
                <c:pt idx="3521">
                  <c:v>06/08/2014 16:15 PDT</c:v>
                </c:pt>
                <c:pt idx="3522">
                  <c:v>06/08/2014 16:30 PDT</c:v>
                </c:pt>
                <c:pt idx="3523">
                  <c:v>06/08/2014 16:45 PDT</c:v>
                </c:pt>
                <c:pt idx="3524">
                  <c:v>06/08/2014 17:00 PDT</c:v>
                </c:pt>
                <c:pt idx="3525">
                  <c:v>06/08/2014 17:15 PDT</c:v>
                </c:pt>
                <c:pt idx="3526">
                  <c:v>06/08/2014 17:30 PDT</c:v>
                </c:pt>
                <c:pt idx="3527">
                  <c:v>06/08/2014 17:45 PDT</c:v>
                </c:pt>
                <c:pt idx="3528">
                  <c:v>06/08/2014 18:00 PDT</c:v>
                </c:pt>
                <c:pt idx="3529">
                  <c:v>06/08/2014 18:15 PDT</c:v>
                </c:pt>
                <c:pt idx="3530">
                  <c:v>06/08/2014 18:30 PDT</c:v>
                </c:pt>
                <c:pt idx="3531">
                  <c:v>06/08/2014 18:45 PDT</c:v>
                </c:pt>
                <c:pt idx="3532">
                  <c:v>06/08/2014 19:00 PDT</c:v>
                </c:pt>
                <c:pt idx="3533">
                  <c:v>06/08/2014 19:15 PDT</c:v>
                </c:pt>
                <c:pt idx="3534">
                  <c:v>06/08/2014 19:30 PDT</c:v>
                </c:pt>
                <c:pt idx="3535">
                  <c:v>06/08/2014 19:45 PDT</c:v>
                </c:pt>
                <c:pt idx="3536">
                  <c:v>06/08/2014 20:00 PDT</c:v>
                </c:pt>
                <c:pt idx="3537">
                  <c:v>06/08/2014 20:15 PDT</c:v>
                </c:pt>
                <c:pt idx="3538">
                  <c:v>06/08/2014 20:30 PDT</c:v>
                </c:pt>
                <c:pt idx="3539">
                  <c:v>06/08/2014 20:45 PDT</c:v>
                </c:pt>
                <c:pt idx="3540">
                  <c:v>06/08/2014 21:00 PDT</c:v>
                </c:pt>
                <c:pt idx="3541">
                  <c:v>06/08/2014 21:15 PDT</c:v>
                </c:pt>
                <c:pt idx="3542">
                  <c:v>06/08/2014 21:30 PDT</c:v>
                </c:pt>
                <c:pt idx="3543">
                  <c:v>06/08/2014 21:45 PDT</c:v>
                </c:pt>
                <c:pt idx="3544">
                  <c:v>06/08/2014 22:00 PDT</c:v>
                </c:pt>
                <c:pt idx="3545">
                  <c:v>06/08/2014 22:15 PDT</c:v>
                </c:pt>
                <c:pt idx="3546">
                  <c:v>06/08/2014 22:30 PDT</c:v>
                </c:pt>
                <c:pt idx="3547">
                  <c:v>06/08/2014 22:45 PDT</c:v>
                </c:pt>
                <c:pt idx="3548">
                  <c:v>06/08/2014 23:00 PDT</c:v>
                </c:pt>
                <c:pt idx="3549">
                  <c:v>06/08/2014 23:15 PDT</c:v>
                </c:pt>
                <c:pt idx="3550">
                  <c:v>06/08/2014 23:30 PDT</c:v>
                </c:pt>
                <c:pt idx="3551">
                  <c:v>06/08/2014 23:45 PDT</c:v>
                </c:pt>
                <c:pt idx="3552">
                  <c:v>06/09/2014 00:00 PDT</c:v>
                </c:pt>
                <c:pt idx="3553">
                  <c:v>06/09/2014 00:15 PDT</c:v>
                </c:pt>
                <c:pt idx="3554">
                  <c:v>06/09/2014 00:30 PDT</c:v>
                </c:pt>
                <c:pt idx="3555">
                  <c:v>06/09/2014 00:45 PDT</c:v>
                </c:pt>
                <c:pt idx="3556">
                  <c:v>06/09/2014 01:00 PDT</c:v>
                </c:pt>
                <c:pt idx="3557">
                  <c:v>06/09/2014 01:15 PDT</c:v>
                </c:pt>
                <c:pt idx="3558">
                  <c:v>06/09/2014 01:30 PDT</c:v>
                </c:pt>
                <c:pt idx="3559">
                  <c:v>06/09/2014 01:45 PDT</c:v>
                </c:pt>
                <c:pt idx="3560">
                  <c:v>06/09/2014 02:00 PDT</c:v>
                </c:pt>
                <c:pt idx="3561">
                  <c:v>06/09/2014 02:15 PDT</c:v>
                </c:pt>
                <c:pt idx="3562">
                  <c:v>06/09/2014 02:30 PDT</c:v>
                </c:pt>
                <c:pt idx="3563">
                  <c:v>06/09/2014 02:45 PDT</c:v>
                </c:pt>
                <c:pt idx="3564">
                  <c:v>06/09/2014 03:00 PDT</c:v>
                </c:pt>
                <c:pt idx="3565">
                  <c:v>06/09/2014 03:15 PDT</c:v>
                </c:pt>
                <c:pt idx="3566">
                  <c:v>06/09/2014 03:30 PDT</c:v>
                </c:pt>
                <c:pt idx="3567">
                  <c:v>06/09/2014 03:45 PDT</c:v>
                </c:pt>
                <c:pt idx="3568">
                  <c:v>06/09/2014 04:00 PDT</c:v>
                </c:pt>
                <c:pt idx="3569">
                  <c:v>06/09/2014 04:15 PDT</c:v>
                </c:pt>
                <c:pt idx="3570">
                  <c:v>06/09/2014 04:30 PDT</c:v>
                </c:pt>
                <c:pt idx="3571">
                  <c:v>06/09/2014 04:45 PDT</c:v>
                </c:pt>
                <c:pt idx="3572">
                  <c:v>06/09/2014 05:00 PDT</c:v>
                </c:pt>
                <c:pt idx="3573">
                  <c:v>06/09/2014 05:15 PDT</c:v>
                </c:pt>
                <c:pt idx="3574">
                  <c:v>06/09/2014 05:30 PDT</c:v>
                </c:pt>
                <c:pt idx="3575">
                  <c:v>06/09/2014 05:45 PDT</c:v>
                </c:pt>
                <c:pt idx="3576">
                  <c:v>06/09/2014 06:00 PDT</c:v>
                </c:pt>
                <c:pt idx="3577">
                  <c:v>06/09/2014 06:15 PDT</c:v>
                </c:pt>
                <c:pt idx="3578">
                  <c:v>06/09/2014 06:30 PDT</c:v>
                </c:pt>
                <c:pt idx="3579">
                  <c:v>06/09/2014 06:45 PDT</c:v>
                </c:pt>
                <c:pt idx="3580">
                  <c:v>06/09/2014 07:00 PDT</c:v>
                </c:pt>
                <c:pt idx="3581">
                  <c:v>06/09/2014 07:15 PDT</c:v>
                </c:pt>
                <c:pt idx="3582">
                  <c:v>06/09/2014 07:30 PDT</c:v>
                </c:pt>
                <c:pt idx="3583">
                  <c:v>06/09/2014 07:45 PDT</c:v>
                </c:pt>
                <c:pt idx="3584">
                  <c:v>06/09/2014 08:00 PDT</c:v>
                </c:pt>
                <c:pt idx="3585">
                  <c:v>06/09/2014 08:15 PDT</c:v>
                </c:pt>
                <c:pt idx="3586">
                  <c:v>06/09/2014 08:30 PDT</c:v>
                </c:pt>
                <c:pt idx="3587">
                  <c:v>06/09/2014 08:45 PDT</c:v>
                </c:pt>
                <c:pt idx="3588">
                  <c:v>06/09/2014 09:00 PDT</c:v>
                </c:pt>
                <c:pt idx="3589">
                  <c:v>06/09/2014 09:15 PDT</c:v>
                </c:pt>
                <c:pt idx="3590">
                  <c:v>06/09/2014 09:30 PDT</c:v>
                </c:pt>
                <c:pt idx="3591">
                  <c:v>06/09/2014 09:45 PDT</c:v>
                </c:pt>
                <c:pt idx="3592">
                  <c:v>06/09/2014 10:00 PDT</c:v>
                </c:pt>
                <c:pt idx="3593">
                  <c:v>06/09/2014 10:15 PDT</c:v>
                </c:pt>
                <c:pt idx="3594">
                  <c:v>06/09/2014 10:30 PDT</c:v>
                </c:pt>
                <c:pt idx="3595">
                  <c:v>06/09/2014 10:45 PDT</c:v>
                </c:pt>
                <c:pt idx="3596">
                  <c:v>06/09/2014 11:00 PDT</c:v>
                </c:pt>
                <c:pt idx="3597">
                  <c:v>06/09/2014 11:15 PDT</c:v>
                </c:pt>
                <c:pt idx="3598">
                  <c:v>06/09/2014 11:30 PDT</c:v>
                </c:pt>
                <c:pt idx="3599">
                  <c:v>06/09/2014 11:45 PDT</c:v>
                </c:pt>
                <c:pt idx="3600">
                  <c:v>06/09/2014 12:00 PDT</c:v>
                </c:pt>
                <c:pt idx="3601">
                  <c:v>06/09/2014 12:15 PDT</c:v>
                </c:pt>
                <c:pt idx="3602">
                  <c:v>06/09/2014 12:30 PDT</c:v>
                </c:pt>
                <c:pt idx="3603">
                  <c:v>06/09/2014 12:45 PDT</c:v>
                </c:pt>
                <c:pt idx="3604">
                  <c:v>06/09/2014 13:00 PDT</c:v>
                </c:pt>
                <c:pt idx="3605">
                  <c:v>06/09/2014 13:15 PDT</c:v>
                </c:pt>
                <c:pt idx="3606">
                  <c:v>06/09/2014 13:30 PDT</c:v>
                </c:pt>
                <c:pt idx="3607">
                  <c:v>06/09/2014 13:45 PDT</c:v>
                </c:pt>
                <c:pt idx="3608">
                  <c:v>06/09/2014 14:00 PDT</c:v>
                </c:pt>
                <c:pt idx="3609">
                  <c:v>06/09/2014 14:15 PDT</c:v>
                </c:pt>
                <c:pt idx="3610">
                  <c:v>06/09/2014 14:30 PDT</c:v>
                </c:pt>
                <c:pt idx="3611">
                  <c:v>06/09/2014 14:45 PDT</c:v>
                </c:pt>
                <c:pt idx="3612">
                  <c:v>06/09/2014 15:00 PDT</c:v>
                </c:pt>
                <c:pt idx="3613">
                  <c:v>06/09/2014 15:15 PDT</c:v>
                </c:pt>
                <c:pt idx="3614">
                  <c:v>06/09/2014 15:30 PDT</c:v>
                </c:pt>
                <c:pt idx="3615">
                  <c:v>06/09/2014 15:45 PDT</c:v>
                </c:pt>
                <c:pt idx="3616">
                  <c:v>06/09/2014 16:00 PDT</c:v>
                </c:pt>
                <c:pt idx="3617">
                  <c:v>06/09/2014 16:15 PDT</c:v>
                </c:pt>
                <c:pt idx="3618">
                  <c:v>06/09/2014 16:30 PDT</c:v>
                </c:pt>
                <c:pt idx="3619">
                  <c:v>06/09/2014 16:45 PDT</c:v>
                </c:pt>
                <c:pt idx="3620">
                  <c:v>06/09/2014 17:00 PDT</c:v>
                </c:pt>
                <c:pt idx="3621">
                  <c:v>06/09/2014 17:15 PDT</c:v>
                </c:pt>
                <c:pt idx="3622">
                  <c:v>06/09/2014 17:30 PDT</c:v>
                </c:pt>
                <c:pt idx="3623">
                  <c:v>06/09/2014 17:45 PDT</c:v>
                </c:pt>
                <c:pt idx="3624">
                  <c:v>06/09/2014 18:00 PDT</c:v>
                </c:pt>
                <c:pt idx="3625">
                  <c:v>06/09/2014 18:15 PDT</c:v>
                </c:pt>
                <c:pt idx="3626">
                  <c:v>06/09/2014 18:30 PDT</c:v>
                </c:pt>
                <c:pt idx="3627">
                  <c:v>06/09/2014 18:45 PDT</c:v>
                </c:pt>
                <c:pt idx="3628">
                  <c:v>06/09/2014 19:00 PDT</c:v>
                </c:pt>
                <c:pt idx="3629">
                  <c:v>06/09/2014 19:15 PDT</c:v>
                </c:pt>
                <c:pt idx="3630">
                  <c:v>06/09/2014 19:30 PDT</c:v>
                </c:pt>
                <c:pt idx="3631">
                  <c:v>06/09/2014 19:45 PDT</c:v>
                </c:pt>
                <c:pt idx="3632">
                  <c:v>06/09/2014 20:00 PDT</c:v>
                </c:pt>
                <c:pt idx="3633">
                  <c:v>06/09/2014 20:15 PDT</c:v>
                </c:pt>
                <c:pt idx="3634">
                  <c:v>06/09/2014 20:30 PDT</c:v>
                </c:pt>
                <c:pt idx="3635">
                  <c:v>06/09/2014 20:45 PDT</c:v>
                </c:pt>
                <c:pt idx="3636">
                  <c:v>06/09/2014 21:00 PDT</c:v>
                </c:pt>
                <c:pt idx="3637">
                  <c:v>06/09/2014 21:15 PDT</c:v>
                </c:pt>
                <c:pt idx="3638">
                  <c:v>06/09/2014 21:30 PDT</c:v>
                </c:pt>
                <c:pt idx="3639">
                  <c:v>06/09/2014 21:45 PDT</c:v>
                </c:pt>
                <c:pt idx="3640">
                  <c:v>06/09/2014 22:00 PDT</c:v>
                </c:pt>
                <c:pt idx="3641">
                  <c:v>06/09/2014 22:15 PDT</c:v>
                </c:pt>
                <c:pt idx="3642">
                  <c:v>06/09/2014 22:30 PDT</c:v>
                </c:pt>
                <c:pt idx="3643">
                  <c:v>06/09/2014 22:45 PDT</c:v>
                </c:pt>
                <c:pt idx="3644">
                  <c:v>06/09/2014 23:00 PDT</c:v>
                </c:pt>
                <c:pt idx="3645">
                  <c:v>06/09/2014 23:15 PDT</c:v>
                </c:pt>
                <c:pt idx="3646">
                  <c:v>06/09/2014 23:30 PDT</c:v>
                </c:pt>
                <c:pt idx="3647">
                  <c:v>06/09/2014 23:45 PDT</c:v>
                </c:pt>
                <c:pt idx="3648">
                  <c:v>06/10/2014 00:00 PDT</c:v>
                </c:pt>
                <c:pt idx="3649">
                  <c:v>06/10/2014 00:15 PDT</c:v>
                </c:pt>
                <c:pt idx="3650">
                  <c:v>06/10/2014 00:30 PDT</c:v>
                </c:pt>
                <c:pt idx="3651">
                  <c:v>06/10/2014 00:45 PDT</c:v>
                </c:pt>
                <c:pt idx="3652">
                  <c:v>06/10/2014 01:00 PDT</c:v>
                </c:pt>
                <c:pt idx="3653">
                  <c:v>06/10/2014 01:15 PDT</c:v>
                </c:pt>
                <c:pt idx="3654">
                  <c:v>06/10/2014 01:30 PDT</c:v>
                </c:pt>
                <c:pt idx="3655">
                  <c:v>06/10/2014 01:45 PDT</c:v>
                </c:pt>
                <c:pt idx="3656">
                  <c:v>06/10/2014 02:00 PDT</c:v>
                </c:pt>
                <c:pt idx="3657">
                  <c:v>06/10/2014 02:15 PDT</c:v>
                </c:pt>
                <c:pt idx="3658">
                  <c:v>06/10/2014 02:30 PDT</c:v>
                </c:pt>
                <c:pt idx="3659">
                  <c:v>06/10/2014 02:45 PDT</c:v>
                </c:pt>
                <c:pt idx="3660">
                  <c:v>06/10/2014 03:00 PDT</c:v>
                </c:pt>
                <c:pt idx="3661">
                  <c:v>06/10/2014 03:15 PDT</c:v>
                </c:pt>
                <c:pt idx="3662">
                  <c:v>06/10/2014 03:30 PDT</c:v>
                </c:pt>
                <c:pt idx="3663">
                  <c:v>06/10/2014 03:45 PDT</c:v>
                </c:pt>
                <c:pt idx="3664">
                  <c:v>06/10/2014 04:00 PDT</c:v>
                </c:pt>
                <c:pt idx="3665">
                  <c:v>06/10/2014 04:15 PDT</c:v>
                </c:pt>
                <c:pt idx="3666">
                  <c:v>06/10/2014 04:30 PDT</c:v>
                </c:pt>
                <c:pt idx="3667">
                  <c:v>06/10/2014 04:45 PDT</c:v>
                </c:pt>
                <c:pt idx="3668">
                  <c:v>06/10/2014 05:00 PDT</c:v>
                </c:pt>
                <c:pt idx="3669">
                  <c:v>06/10/2014 05:15 PDT</c:v>
                </c:pt>
                <c:pt idx="3670">
                  <c:v>06/10/2014 05:30 PDT</c:v>
                </c:pt>
                <c:pt idx="3671">
                  <c:v>06/10/2014 05:45 PDT</c:v>
                </c:pt>
                <c:pt idx="3672">
                  <c:v>06/10/2014 06:00 PDT</c:v>
                </c:pt>
                <c:pt idx="3673">
                  <c:v>06/10/2014 06:15 PDT</c:v>
                </c:pt>
                <c:pt idx="3674">
                  <c:v>06/10/2014 06:30 PDT</c:v>
                </c:pt>
                <c:pt idx="3675">
                  <c:v>06/10/2014 06:45 PDT</c:v>
                </c:pt>
                <c:pt idx="3676">
                  <c:v>06/10/2014 07:00 PDT</c:v>
                </c:pt>
                <c:pt idx="3677">
                  <c:v>06/10/2014 07:15 PDT</c:v>
                </c:pt>
                <c:pt idx="3678">
                  <c:v>06/10/2014 07:30 PDT</c:v>
                </c:pt>
                <c:pt idx="3679">
                  <c:v>06/10/2014 07:45 PDT</c:v>
                </c:pt>
                <c:pt idx="3680">
                  <c:v>06/10/2014 08:00 PDT</c:v>
                </c:pt>
                <c:pt idx="3681">
                  <c:v>06/10/2014 08:15 PDT</c:v>
                </c:pt>
                <c:pt idx="3682">
                  <c:v>06/10/2014 08:30 PDT</c:v>
                </c:pt>
                <c:pt idx="3683">
                  <c:v>06/10/2014 08:45 PDT</c:v>
                </c:pt>
                <c:pt idx="3684">
                  <c:v>06/10/2014 09:00 PDT</c:v>
                </c:pt>
                <c:pt idx="3685">
                  <c:v>06/10/2014 09:15 PDT</c:v>
                </c:pt>
                <c:pt idx="3686">
                  <c:v>06/10/2014 09:30 PDT</c:v>
                </c:pt>
                <c:pt idx="3687">
                  <c:v>06/10/2014 09:45 PDT</c:v>
                </c:pt>
                <c:pt idx="3688">
                  <c:v>06/10/2014 10:00 PDT</c:v>
                </c:pt>
                <c:pt idx="3689">
                  <c:v>06/10/2014 10:15 PDT</c:v>
                </c:pt>
                <c:pt idx="3690">
                  <c:v>06/10/2014 10:30 PDT</c:v>
                </c:pt>
                <c:pt idx="3691">
                  <c:v>06/10/2014 10:45 PDT</c:v>
                </c:pt>
                <c:pt idx="3692">
                  <c:v>06/10/2014 11:00 PDT</c:v>
                </c:pt>
                <c:pt idx="3693">
                  <c:v>06/10/2014 11:15 PDT</c:v>
                </c:pt>
                <c:pt idx="3694">
                  <c:v>06/10/2014 11:30 PDT</c:v>
                </c:pt>
                <c:pt idx="3695">
                  <c:v>06/10/2014 11:45 PDT</c:v>
                </c:pt>
                <c:pt idx="3696">
                  <c:v>06/10/2014 12:00 PDT</c:v>
                </c:pt>
                <c:pt idx="3697">
                  <c:v>06/10/2014 12:15 PDT</c:v>
                </c:pt>
                <c:pt idx="3698">
                  <c:v>06/10/2014 12:30 PDT</c:v>
                </c:pt>
                <c:pt idx="3699">
                  <c:v>06/10/2014 12:45 PDT</c:v>
                </c:pt>
                <c:pt idx="3700">
                  <c:v>06/10/2014 13:00 PDT</c:v>
                </c:pt>
                <c:pt idx="3701">
                  <c:v>06/10/2014 13:15 PDT</c:v>
                </c:pt>
                <c:pt idx="3702">
                  <c:v>06/10/2014 13:30 PDT</c:v>
                </c:pt>
                <c:pt idx="3703">
                  <c:v>06/10/2014 13:45 PDT</c:v>
                </c:pt>
                <c:pt idx="3704">
                  <c:v>06/10/2014 14:00 PDT</c:v>
                </c:pt>
                <c:pt idx="3705">
                  <c:v>06/10/2014 14:15 PDT</c:v>
                </c:pt>
                <c:pt idx="3706">
                  <c:v>06/10/2014 14:30 PDT</c:v>
                </c:pt>
                <c:pt idx="3707">
                  <c:v>06/10/2014 14:45 PDT</c:v>
                </c:pt>
                <c:pt idx="3708">
                  <c:v>06/10/2014 15:00 PDT</c:v>
                </c:pt>
                <c:pt idx="3709">
                  <c:v>06/10/2014 15:15 PDT</c:v>
                </c:pt>
                <c:pt idx="3710">
                  <c:v>06/10/2014 15:30 PDT</c:v>
                </c:pt>
                <c:pt idx="3711">
                  <c:v>06/10/2014 15:45 PDT</c:v>
                </c:pt>
                <c:pt idx="3712">
                  <c:v>06/10/2014 16:00 PDT</c:v>
                </c:pt>
                <c:pt idx="3713">
                  <c:v>06/10/2014 16:15 PDT</c:v>
                </c:pt>
                <c:pt idx="3714">
                  <c:v>06/10/2014 16:30 PDT</c:v>
                </c:pt>
                <c:pt idx="3715">
                  <c:v>06/10/2014 16:45 PDT</c:v>
                </c:pt>
                <c:pt idx="3716">
                  <c:v>06/10/2014 17:00 PDT</c:v>
                </c:pt>
                <c:pt idx="3717">
                  <c:v>06/10/2014 17:15 PDT</c:v>
                </c:pt>
                <c:pt idx="3718">
                  <c:v>06/10/2014 17:30 PDT</c:v>
                </c:pt>
                <c:pt idx="3719">
                  <c:v>06/10/2014 17:45 PDT</c:v>
                </c:pt>
                <c:pt idx="3720">
                  <c:v>06/10/2014 18:00 PDT</c:v>
                </c:pt>
                <c:pt idx="3721">
                  <c:v>06/10/2014 18:15 PDT</c:v>
                </c:pt>
                <c:pt idx="3722">
                  <c:v>06/10/2014 18:30 PDT</c:v>
                </c:pt>
                <c:pt idx="3723">
                  <c:v>06/10/2014 18:45 PDT</c:v>
                </c:pt>
                <c:pt idx="3724">
                  <c:v>06/10/2014 19:00 PDT</c:v>
                </c:pt>
                <c:pt idx="3725">
                  <c:v>06/10/2014 19:15 PDT</c:v>
                </c:pt>
                <c:pt idx="3726">
                  <c:v>06/10/2014 19:30 PDT</c:v>
                </c:pt>
                <c:pt idx="3727">
                  <c:v>06/10/2014 19:45 PDT</c:v>
                </c:pt>
                <c:pt idx="3728">
                  <c:v>06/10/2014 20:00 PDT</c:v>
                </c:pt>
                <c:pt idx="3729">
                  <c:v>06/10/2014 20:15 PDT</c:v>
                </c:pt>
                <c:pt idx="3730">
                  <c:v>06/10/2014 20:30 PDT</c:v>
                </c:pt>
                <c:pt idx="3731">
                  <c:v>06/10/2014 20:45 PDT</c:v>
                </c:pt>
                <c:pt idx="3732">
                  <c:v>06/10/2014 21:00 PDT</c:v>
                </c:pt>
                <c:pt idx="3733">
                  <c:v>06/10/2014 21:15 PDT</c:v>
                </c:pt>
                <c:pt idx="3734">
                  <c:v>06/10/2014 21:30 PDT</c:v>
                </c:pt>
                <c:pt idx="3735">
                  <c:v>06/10/2014 21:45 PDT</c:v>
                </c:pt>
                <c:pt idx="3736">
                  <c:v>06/10/2014 22:00 PDT</c:v>
                </c:pt>
                <c:pt idx="3737">
                  <c:v>06/10/2014 22:15 PDT</c:v>
                </c:pt>
                <c:pt idx="3738">
                  <c:v>06/10/2014 22:30 PDT</c:v>
                </c:pt>
                <c:pt idx="3739">
                  <c:v>06/10/2014 22:45 PDT</c:v>
                </c:pt>
                <c:pt idx="3740">
                  <c:v>06/10/2014 23:00 PDT</c:v>
                </c:pt>
                <c:pt idx="3741">
                  <c:v>06/10/2014 23:15 PDT</c:v>
                </c:pt>
                <c:pt idx="3742">
                  <c:v>06/10/2014 23:30 PDT</c:v>
                </c:pt>
                <c:pt idx="3743">
                  <c:v>06/10/2014 23:45 PDT</c:v>
                </c:pt>
                <c:pt idx="3744">
                  <c:v>06/11/2014 00:00 PDT</c:v>
                </c:pt>
                <c:pt idx="3745">
                  <c:v>06/11/2014 00:15 PDT</c:v>
                </c:pt>
                <c:pt idx="3746">
                  <c:v>06/11/2014 00:30 PDT</c:v>
                </c:pt>
                <c:pt idx="3747">
                  <c:v>06/11/2014 00:45 PDT</c:v>
                </c:pt>
                <c:pt idx="3748">
                  <c:v>06/11/2014 01:00 PDT</c:v>
                </c:pt>
                <c:pt idx="3749">
                  <c:v>06/11/2014 01:15 PDT</c:v>
                </c:pt>
                <c:pt idx="3750">
                  <c:v>06/11/2014 01:30 PDT</c:v>
                </c:pt>
                <c:pt idx="3751">
                  <c:v>06/11/2014 01:45 PDT</c:v>
                </c:pt>
                <c:pt idx="3752">
                  <c:v>06/11/2014 02:00 PDT</c:v>
                </c:pt>
                <c:pt idx="3753">
                  <c:v>06/11/2014 02:15 PDT</c:v>
                </c:pt>
                <c:pt idx="3754">
                  <c:v>06/11/2014 02:30 PDT</c:v>
                </c:pt>
                <c:pt idx="3755">
                  <c:v>06/11/2014 02:45 PDT</c:v>
                </c:pt>
                <c:pt idx="3756">
                  <c:v>06/11/2014 03:00 PDT</c:v>
                </c:pt>
                <c:pt idx="3757">
                  <c:v>06/11/2014 03:15 PDT</c:v>
                </c:pt>
                <c:pt idx="3758">
                  <c:v>06/11/2014 03:30 PDT</c:v>
                </c:pt>
                <c:pt idx="3759">
                  <c:v>06/11/2014 03:45 PDT</c:v>
                </c:pt>
                <c:pt idx="3760">
                  <c:v>06/11/2014 04:00 PDT</c:v>
                </c:pt>
                <c:pt idx="3761">
                  <c:v>06/11/2014 04:15 PDT</c:v>
                </c:pt>
                <c:pt idx="3762">
                  <c:v>06/11/2014 04:30 PDT</c:v>
                </c:pt>
                <c:pt idx="3763">
                  <c:v>06/11/2014 04:45 PDT</c:v>
                </c:pt>
                <c:pt idx="3764">
                  <c:v>06/11/2014 05:00 PDT</c:v>
                </c:pt>
                <c:pt idx="3765">
                  <c:v>06/11/2014 05:15 PDT</c:v>
                </c:pt>
                <c:pt idx="3766">
                  <c:v>06/11/2014 05:30 PDT</c:v>
                </c:pt>
                <c:pt idx="3767">
                  <c:v>06/11/2014 05:45 PDT</c:v>
                </c:pt>
                <c:pt idx="3768">
                  <c:v>06/11/2014 06:00 PDT</c:v>
                </c:pt>
                <c:pt idx="3769">
                  <c:v>06/11/2014 06:15 PDT</c:v>
                </c:pt>
                <c:pt idx="3770">
                  <c:v>06/11/2014 06:30 PDT</c:v>
                </c:pt>
                <c:pt idx="3771">
                  <c:v>06/11/2014 06:45 PDT</c:v>
                </c:pt>
                <c:pt idx="3772">
                  <c:v>06/11/2014 07:00 PDT</c:v>
                </c:pt>
                <c:pt idx="3773">
                  <c:v>06/11/2014 07:15 PDT</c:v>
                </c:pt>
                <c:pt idx="3774">
                  <c:v>06/11/2014 07:30 PDT</c:v>
                </c:pt>
                <c:pt idx="3775">
                  <c:v>06/11/2014 07:45 PDT</c:v>
                </c:pt>
                <c:pt idx="3776">
                  <c:v>06/11/2014 08:00 PDT</c:v>
                </c:pt>
                <c:pt idx="3777">
                  <c:v>06/11/2014 08:15 PDT</c:v>
                </c:pt>
                <c:pt idx="3778">
                  <c:v>06/11/2014 08:30 PDT</c:v>
                </c:pt>
                <c:pt idx="3779">
                  <c:v>06/11/2014 08:45 PDT</c:v>
                </c:pt>
                <c:pt idx="3780">
                  <c:v>06/11/2014 09:00 PDT</c:v>
                </c:pt>
                <c:pt idx="3781">
                  <c:v>06/11/2014 09:15 PDT</c:v>
                </c:pt>
                <c:pt idx="3782">
                  <c:v>06/11/2014 09:30 PDT</c:v>
                </c:pt>
                <c:pt idx="3783">
                  <c:v>06/11/2014 09:45 PDT</c:v>
                </c:pt>
                <c:pt idx="3784">
                  <c:v>06/11/2014 10:00 PDT</c:v>
                </c:pt>
                <c:pt idx="3785">
                  <c:v>06/11/2014 10:15 PDT</c:v>
                </c:pt>
                <c:pt idx="3786">
                  <c:v>06/11/2014 10:30 PDT</c:v>
                </c:pt>
                <c:pt idx="3787">
                  <c:v>06/11/2014 10:45 PDT</c:v>
                </c:pt>
                <c:pt idx="3788">
                  <c:v>06/11/2014 11:00 PDT</c:v>
                </c:pt>
                <c:pt idx="3789">
                  <c:v>06/11/2014 11:15 PDT</c:v>
                </c:pt>
                <c:pt idx="3790">
                  <c:v>06/11/2014 11:30 PDT</c:v>
                </c:pt>
                <c:pt idx="3791">
                  <c:v>06/11/2014 11:45 PDT</c:v>
                </c:pt>
                <c:pt idx="3792">
                  <c:v>06/11/2014 12:00 PDT</c:v>
                </c:pt>
                <c:pt idx="3793">
                  <c:v>06/11/2014 12:15 PDT</c:v>
                </c:pt>
                <c:pt idx="3794">
                  <c:v>06/11/2014 12:30 PDT</c:v>
                </c:pt>
                <c:pt idx="3795">
                  <c:v>06/11/2014 12:45 PDT</c:v>
                </c:pt>
                <c:pt idx="3796">
                  <c:v>06/11/2014 13:00 PDT</c:v>
                </c:pt>
                <c:pt idx="3797">
                  <c:v>06/11/2014 13:15 PDT</c:v>
                </c:pt>
                <c:pt idx="3798">
                  <c:v>06/11/2014 13:30 PDT</c:v>
                </c:pt>
                <c:pt idx="3799">
                  <c:v>06/11/2014 13:45 PDT</c:v>
                </c:pt>
                <c:pt idx="3800">
                  <c:v>06/11/2014 14:00 PDT</c:v>
                </c:pt>
                <c:pt idx="3801">
                  <c:v>06/11/2014 14:15 PDT</c:v>
                </c:pt>
                <c:pt idx="3802">
                  <c:v>06/11/2014 14:30 PDT</c:v>
                </c:pt>
                <c:pt idx="3803">
                  <c:v>06/11/2014 14:45 PDT</c:v>
                </c:pt>
                <c:pt idx="3804">
                  <c:v>06/11/2014 15:00 PDT</c:v>
                </c:pt>
                <c:pt idx="3805">
                  <c:v>06/11/2014 15:15 PDT</c:v>
                </c:pt>
                <c:pt idx="3806">
                  <c:v>06/11/2014 15:30 PDT</c:v>
                </c:pt>
                <c:pt idx="3807">
                  <c:v>06/11/2014 15:45 PDT</c:v>
                </c:pt>
                <c:pt idx="3808">
                  <c:v>06/11/2014 16:00 PDT</c:v>
                </c:pt>
                <c:pt idx="3809">
                  <c:v>06/11/2014 16:15 PDT</c:v>
                </c:pt>
                <c:pt idx="3810">
                  <c:v>06/11/2014 16:30 PDT</c:v>
                </c:pt>
                <c:pt idx="3811">
                  <c:v>06/11/2014 16:45 PDT</c:v>
                </c:pt>
                <c:pt idx="3812">
                  <c:v>06/11/2014 17:00 PDT</c:v>
                </c:pt>
                <c:pt idx="3813">
                  <c:v>06/11/2014 17:15 PDT</c:v>
                </c:pt>
                <c:pt idx="3814">
                  <c:v>06/11/2014 17:30 PDT</c:v>
                </c:pt>
                <c:pt idx="3815">
                  <c:v>06/11/2014 17:45 PDT</c:v>
                </c:pt>
                <c:pt idx="3816">
                  <c:v>06/11/2014 18:00 PDT</c:v>
                </c:pt>
                <c:pt idx="3817">
                  <c:v>06/11/2014 18:15 PDT</c:v>
                </c:pt>
                <c:pt idx="3818">
                  <c:v>06/11/2014 18:30 PDT</c:v>
                </c:pt>
                <c:pt idx="3819">
                  <c:v>06/11/2014 18:45 PDT</c:v>
                </c:pt>
                <c:pt idx="3820">
                  <c:v>06/11/2014 19:00 PDT</c:v>
                </c:pt>
                <c:pt idx="3821">
                  <c:v>06/11/2014 19:15 PDT</c:v>
                </c:pt>
                <c:pt idx="3822">
                  <c:v>06/11/2014 19:30 PDT</c:v>
                </c:pt>
                <c:pt idx="3823">
                  <c:v>06/11/2014 19:45 PDT</c:v>
                </c:pt>
                <c:pt idx="3824">
                  <c:v>06/11/2014 20:00 PDT</c:v>
                </c:pt>
                <c:pt idx="3825">
                  <c:v>06/11/2014 20:15 PDT</c:v>
                </c:pt>
                <c:pt idx="3826">
                  <c:v>06/11/2014 20:30 PDT</c:v>
                </c:pt>
                <c:pt idx="3827">
                  <c:v>06/11/2014 20:45 PDT</c:v>
                </c:pt>
                <c:pt idx="3828">
                  <c:v>06/11/2014 21:00 PDT</c:v>
                </c:pt>
                <c:pt idx="3829">
                  <c:v>06/11/2014 21:15 PDT</c:v>
                </c:pt>
                <c:pt idx="3830">
                  <c:v>06/11/2014 21:30 PDT</c:v>
                </c:pt>
                <c:pt idx="3831">
                  <c:v>06/11/2014 21:45 PDT</c:v>
                </c:pt>
                <c:pt idx="3832">
                  <c:v>06/11/2014 22:00 PDT</c:v>
                </c:pt>
                <c:pt idx="3833">
                  <c:v>06/11/2014 22:15 PDT</c:v>
                </c:pt>
                <c:pt idx="3834">
                  <c:v>06/11/2014 22:30 PDT</c:v>
                </c:pt>
                <c:pt idx="3835">
                  <c:v>06/11/2014 22:45 PDT</c:v>
                </c:pt>
                <c:pt idx="3836">
                  <c:v>06/11/2014 23:00 PDT</c:v>
                </c:pt>
                <c:pt idx="3837">
                  <c:v>06/11/2014 23:15 PDT</c:v>
                </c:pt>
                <c:pt idx="3838">
                  <c:v>06/11/2014 23:30 PDT</c:v>
                </c:pt>
                <c:pt idx="3839">
                  <c:v>06/11/2014 23:45 PDT</c:v>
                </c:pt>
                <c:pt idx="3840">
                  <c:v>06/12/2014 00:00 PDT</c:v>
                </c:pt>
                <c:pt idx="3841">
                  <c:v>06/12/2014 00:15 PDT</c:v>
                </c:pt>
                <c:pt idx="3842">
                  <c:v>06/12/2014 00:30 PDT</c:v>
                </c:pt>
                <c:pt idx="3843">
                  <c:v>06/12/2014 00:45 PDT</c:v>
                </c:pt>
                <c:pt idx="3844">
                  <c:v>06/12/2014 01:00 PDT</c:v>
                </c:pt>
                <c:pt idx="3845">
                  <c:v>06/12/2014 01:15 PDT</c:v>
                </c:pt>
                <c:pt idx="3846">
                  <c:v>06/12/2014 01:30 PDT</c:v>
                </c:pt>
                <c:pt idx="3847">
                  <c:v>06/12/2014 01:45 PDT</c:v>
                </c:pt>
                <c:pt idx="3848">
                  <c:v>06/12/2014 02:00 PDT</c:v>
                </c:pt>
                <c:pt idx="3849">
                  <c:v>06/12/2014 02:15 PDT</c:v>
                </c:pt>
                <c:pt idx="3850">
                  <c:v>06/12/2014 02:30 PDT</c:v>
                </c:pt>
                <c:pt idx="3851">
                  <c:v>06/12/2014 02:45 PDT</c:v>
                </c:pt>
                <c:pt idx="3852">
                  <c:v>06/12/2014 03:00 PDT</c:v>
                </c:pt>
                <c:pt idx="3853">
                  <c:v>06/12/2014 03:15 PDT</c:v>
                </c:pt>
                <c:pt idx="3854">
                  <c:v>06/12/2014 03:30 PDT</c:v>
                </c:pt>
                <c:pt idx="3855">
                  <c:v>06/12/2014 03:45 PDT</c:v>
                </c:pt>
                <c:pt idx="3856">
                  <c:v>06/12/2014 04:00 PDT</c:v>
                </c:pt>
                <c:pt idx="3857">
                  <c:v>06/12/2014 04:15 PDT</c:v>
                </c:pt>
                <c:pt idx="3858">
                  <c:v>06/12/2014 04:30 PDT</c:v>
                </c:pt>
                <c:pt idx="3859">
                  <c:v>06/12/2014 04:45 PDT</c:v>
                </c:pt>
                <c:pt idx="3860">
                  <c:v>06/12/2014 05:00 PDT</c:v>
                </c:pt>
                <c:pt idx="3861">
                  <c:v>06/12/2014 05:15 PDT</c:v>
                </c:pt>
                <c:pt idx="3862">
                  <c:v>06/12/2014 05:30 PDT</c:v>
                </c:pt>
                <c:pt idx="3863">
                  <c:v>06/12/2014 05:45 PDT</c:v>
                </c:pt>
                <c:pt idx="3864">
                  <c:v>06/12/2014 06:00 PDT</c:v>
                </c:pt>
                <c:pt idx="3865">
                  <c:v>06/12/2014 06:15 PDT</c:v>
                </c:pt>
                <c:pt idx="3866">
                  <c:v>06/12/2014 06:30 PDT</c:v>
                </c:pt>
                <c:pt idx="3867">
                  <c:v>06/12/2014 06:45 PDT</c:v>
                </c:pt>
                <c:pt idx="3868">
                  <c:v>06/12/2014 07:00 PDT</c:v>
                </c:pt>
                <c:pt idx="3869">
                  <c:v>06/12/2014 07:15 PDT</c:v>
                </c:pt>
                <c:pt idx="3870">
                  <c:v>06/12/2014 07:30 PDT</c:v>
                </c:pt>
                <c:pt idx="3871">
                  <c:v>06/12/2014 07:45 PDT</c:v>
                </c:pt>
                <c:pt idx="3872">
                  <c:v>06/12/2014 08:00 PDT</c:v>
                </c:pt>
                <c:pt idx="3873">
                  <c:v>06/12/2014 08:15 PDT</c:v>
                </c:pt>
                <c:pt idx="3874">
                  <c:v>06/12/2014 08:30 PDT</c:v>
                </c:pt>
                <c:pt idx="3875">
                  <c:v>06/12/2014 08:45 PDT</c:v>
                </c:pt>
                <c:pt idx="3876">
                  <c:v>06/12/2014 09:00 PDT</c:v>
                </c:pt>
                <c:pt idx="3877">
                  <c:v>06/12/2014 09:15 PDT</c:v>
                </c:pt>
                <c:pt idx="3878">
                  <c:v>06/12/2014 09:30 PDT</c:v>
                </c:pt>
                <c:pt idx="3879">
                  <c:v>06/12/2014 09:45 PDT</c:v>
                </c:pt>
                <c:pt idx="3880">
                  <c:v>06/12/2014 10:00 PDT</c:v>
                </c:pt>
                <c:pt idx="3881">
                  <c:v>06/12/2014 10:15 PDT</c:v>
                </c:pt>
                <c:pt idx="3882">
                  <c:v>06/12/2014 10:30 PDT</c:v>
                </c:pt>
                <c:pt idx="3883">
                  <c:v>06/12/2014 10:45 PDT</c:v>
                </c:pt>
                <c:pt idx="3884">
                  <c:v>06/12/2014 11:00 PDT</c:v>
                </c:pt>
                <c:pt idx="3885">
                  <c:v>06/12/2014 11:15 PDT</c:v>
                </c:pt>
                <c:pt idx="3886">
                  <c:v>06/12/2014 11:30 PDT</c:v>
                </c:pt>
                <c:pt idx="3887">
                  <c:v>06/12/2014 11:45 PDT</c:v>
                </c:pt>
                <c:pt idx="3888">
                  <c:v>06/12/2014 12:00 PDT</c:v>
                </c:pt>
                <c:pt idx="3889">
                  <c:v>06/12/2014 12:15 PDT</c:v>
                </c:pt>
                <c:pt idx="3890">
                  <c:v>06/12/2014 12:30 PDT</c:v>
                </c:pt>
                <c:pt idx="3891">
                  <c:v>06/12/2014 12:45 PDT</c:v>
                </c:pt>
                <c:pt idx="3892">
                  <c:v>06/12/2014 13:00 PDT</c:v>
                </c:pt>
                <c:pt idx="3893">
                  <c:v>06/12/2014 13:15 PDT</c:v>
                </c:pt>
                <c:pt idx="3894">
                  <c:v>06/12/2014 13:30 PDT</c:v>
                </c:pt>
                <c:pt idx="3895">
                  <c:v>06/12/2014 13:45 PDT</c:v>
                </c:pt>
                <c:pt idx="3896">
                  <c:v>06/12/2014 14:00 PDT</c:v>
                </c:pt>
                <c:pt idx="3897">
                  <c:v>06/12/2014 14:15 PDT</c:v>
                </c:pt>
                <c:pt idx="3898">
                  <c:v>06/12/2014 14:30 PDT</c:v>
                </c:pt>
                <c:pt idx="3899">
                  <c:v>06/12/2014 14:45 PDT</c:v>
                </c:pt>
                <c:pt idx="3900">
                  <c:v>06/12/2014 15:00 PDT</c:v>
                </c:pt>
                <c:pt idx="3901">
                  <c:v>06/12/2014 15:15 PDT</c:v>
                </c:pt>
                <c:pt idx="3902">
                  <c:v>06/12/2014 15:30 PDT</c:v>
                </c:pt>
                <c:pt idx="3903">
                  <c:v>06/12/2014 15:45 PDT</c:v>
                </c:pt>
                <c:pt idx="3904">
                  <c:v>06/12/2014 16:00 PDT</c:v>
                </c:pt>
                <c:pt idx="3905">
                  <c:v>06/12/2014 16:15 PDT</c:v>
                </c:pt>
                <c:pt idx="3906">
                  <c:v>06/12/2014 16:30 PDT</c:v>
                </c:pt>
                <c:pt idx="3907">
                  <c:v>06/12/2014 16:45 PDT</c:v>
                </c:pt>
                <c:pt idx="3908">
                  <c:v>06/12/2014 17:00 PDT</c:v>
                </c:pt>
                <c:pt idx="3909">
                  <c:v>06/12/2014 17:15 PDT</c:v>
                </c:pt>
                <c:pt idx="3910">
                  <c:v>06/12/2014 17:30 PDT</c:v>
                </c:pt>
                <c:pt idx="3911">
                  <c:v>06/12/2014 17:45 PDT</c:v>
                </c:pt>
                <c:pt idx="3912">
                  <c:v>06/12/2014 18:00 PDT</c:v>
                </c:pt>
                <c:pt idx="3913">
                  <c:v>06/12/2014 18:15 PDT</c:v>
                </c:pt>
                <c:pt idx="3914">
                  <c:v>06/12/2014 18:30 PDT</c:v>
                </c:pt>
                <c:pt idx="3915">
                  <c:v>06/12/2014 18:45 PDT</c:v>
                </c:pt>
                <c:pt idx="3916">
                  <c:v>06/12/2014 19:00 PDT</c:v>
                </c:pt>
                <c:pt idx="3917">
                  <c:v>06/12/2014 19:15 PDT</c:v>
                </c:pt>
                <c:pt idx="3918">
                  <c:v>06/12/2014 19:30 PDT</c:v>
                </c:pt>
                <c:pt idx="3919">
                  <c:v>06/12/2014 19:45 PDT</c:v>
                </c:pt>
                <c:pt idx="3920">
                  <c:v>06/12/2014 20:00 PDT</c:v>
                </c:pt>
                <c:pt idx="3921">
                  <c:v>06/12/2014 20:15 PDT</c:v>
                </c:pt>
                <c:pt idx="3922">
                  <c:v>06/12/2014 20:30 PDT</c:v>
                </c:pt>
                <c:pt idx="3923">
                  <c:v>06/12/2014 20:45 PDT</c:v>
                </c:pt>
                <c:pt idx="3924">
                  <c:v>06/12/2014 21:00 PDT</c:v>
                </c:pt>
                <c:pt idx="3925">
                  <c:v>06/12/2014 21:15 PDT</c:v>
                </c:pt>
                <c:pt idx="3926">
                  <c:v>06/12/2014 21:30 PDT</c:v>
                </c:pt>
                <c:pt idx="3927">
                  <c:v>06/12/2014 21:45 PDT</c:v>
                </c:pt>
                <c:pt idx="3928">
                  <c:v>06/12/2014 22:00 PDT</c:v>
                </c:pt>
                <c:pt idx="3929">
                  <c:v>06/12/2014 22:15 PDT</c:v>
                </c:pt>
                <c:pt idx="3930">
                  <c:v>06/12/2014 22:30 PDT</c:v>
                </c:pt>
                <c:pt idx="3931">
                  <c:v>06/12/2014 22:45 PDT</c:v>
                </c:pt>
                <c:pt idx="3932">
                  <c:v>06/12/2014 23:00 PDT</c:v>
                </c:pt>
                <c:pt idx="3933">
                  <c:v>06/12/2014 23:15 PDT</c:v>
                </c:pt>
                <c:pt idx="3934">
                  <c:v>06/12/2014 23:30 PDT</c:v>
                </c:pt>
                <c:pt idx="3935">
                  <c:v>06/12/2014 23:45 PDT</c:v>
                </c:pt>
                <c:pt idx="3936">
                  <c:v>06/13/2014 00:00 PDT</c:v>
                </c:pt>
                <c:pt idx="3937">
                  <c:v>06/13/2014 00:15 PDT</c:v>
                </c:pt>
                <c:pt idx="3938">
                  <c:v>06/13/2014 00:30 PDT</c:v>
                </c:pt>
                <c:pt idx="3939">
                  <c:v>06/13/2014 00:45 PDT</c:v>
                </c:pt>
                <c:pt idx="3940">
                  <c:v>06/13/2014 01:00 PDT</c:v>
                </c:pt>
                <c:pt idx="3941">
                  <c:v>06/13/2014 01:15 PDT</c:v>
                </c:pt>
                <c:pt idx="3942">
                  <c:v>06/13/2014 01:30 PDT</c:v>
                </c:pt>
                <c:pt idx="3943">
                  <c:v>06/13/2014 01:45 PDT</c:v>
                </c:pt>
                <c:pt idx="3944">
                  <c:v>06/13/2014 02:00 PDT</c:v>
                </c:pt>
                <c:pt idx="3945">
                  <c:v>06/13/2014 02:15 PDT</c:v>
                </c:pt>
                <c:pt idx="3946">
                  <c:v>06/13/2014 02:30 PDT</c:v>
                </c:pt>
                <c:pt idx="3947">
                  <c:v>06/13/2014 02:45 PDT</c:v>
                </c:pt>
                <c:pt idx="3948">
                  <c:v>06/13/2014 03:00 PDT</c:v>
                </c:pt>
                <c:pt idx="3949">
                  <c:v>06/13/2014 03:15 PDT</c:v>
                </c:pt>
                <c:pt idx="3950">
                  <c:v>06/13/2014 03:30 PDT</c:v>
                </c:pt>
                <c:pt idx="3951">
                  <c:v>06/13/2014 03:45 PDT</c:v>
                </c:pt>
                <c:pt idx="3952">
                  <c:v>06/13/2014 04:00 PDT</c:v>
                </c:pt>
                <c:pt idx="3953">
                  <c:v>06/13/2014 04:15 PDT</c:v>
                </c:pt>
                <c:pt idx="3954">
                  <c:v>06/13/2014 04:30 PDT</c:v>
                </c:pt>
                <c:pt idx="3955">
                  <c:v>06/13/2014 04:45 PDT</c:v>
                </c:pt>
                <c:pt idx="3956">
                  <c:v>06/13/2014 05:00 PDT</c:v>
                </c:pt>
                <c:pt idx="3957">
                  <c:v>06/13/2014 05:15 PDT</c:v>
                </c:pt>
                <c:pt idx="3958">
                  <c:v>06/13/2014 05:30 PDT</c:v>
                </c:pt>
                <c:pt idx="3959">
                  <c:v>06/13/2014 05:45 PDT</c:v>
                </c:pt>
                <c:pt idx="3960">
                  <c:v>06/13/2014 06:00 PDT</c:v>
                </c:pt>
                <c:pt idx="3961">
                  <c:v>06/13/2014 06:15 PDT</c:v>
                </c:pt>
                <c:pt idx="3962">
                  <c:v>06/13/2014 06:30 PDT</c:v>
                </c:pt>
                <c:pt idx="3963">
                  <c:v>06/13/2014 06:45 PDT</c:v>
                </c:pt>
                <c:pt idx="3964">
                  <c:v>06/13/2014 07:00 PDT</c:v>
                </c:pt>
                <c:pt idx="3965">
                  <c:v>06/13/2014 07:15 PDT</c:v>
                </c:pt>
                <c:pt idx="3966">
                  <c:v>06/13/2014 07:30 PDT</c:v>
                </c:pt>
                <c:pt idx="3967">
                  <c:v>06/13/2014 07:45 PDT</c:v>
                </c:pt>
                <c:pt idx="3968">
                  <c:v>06/13/2014 08:00 PDT</c:v>
                </c:pt>
                <c:pt idx="3969">
                  <c:v>06/13/2014 08:15 PDT</c:v>
                </c:pt>
                <c:pt idx="3970">
                  <c:v>06/13/2014 08:30 PDT</c:v>
                </c:pt>
                <c:pt idx="3971">
                  <c:v>06/13/2014 08:45 PDT</c:v>
                </c:pt>
                <c:pt idx="3972">
                  <c:v>06/13/2014 09:00 PDT</c:v>
                </c:pt>
                <c:pt idx="3973">
                  <c:v>06/13/2014 09:15 PDT</c:v>
                </c:pt>
                <c:pt idx="3974">
                  <c:v>06/13/2014 09:30 PDT</c:v>
                </c:pt>
                <c:pt idx="3975">
                  <c:v>06/13/2014 09:45 PDT</c:v>
                </c:pt>
                <c:pt idx="3976">
                  <c:v>06/13/2014 10:00 PDT</c:v>
                </c:pt>
                <c:pt idx="3977">
                  <c:v>06/13/2014 10:15 PDT</c:v>
                </c:pt>
                <c:pt idx="3978">
                  <c:v>06/13/2014 10:30 PDT</c:v>
                </c:pt>
                <c:pt idx="3979">
                  <c:v>06/13/2014 10:45 PDT</c:v>
                </c:pt>
                <c:pt idx="3980">
                  <c:v>06/13/2014 11:00 PDT</c:v>
                </c:pt>
                <c:pt idx="3981">
                  <c:v>06/13/2014 11:15 PDT</c:v>
                </c:pt>
                <c:pt idx="3982">
                  <c:v>06/13/2014 11:30 PDT</c:v>
                </c:pt>
                <c:pt idx="3983">
                  <c:v>06/13/2014 11:45 PDT</c:v>
                </c:pt>
                <c:pt idx="3984">
                  <c:v>06/13/2014 12:00 PDT</c:v>
                </c:pt>
                <c:pt idx="3985">
                  <c:v>06/13/2014 12:15 PDT</c:v>
                </c:pt>
                <c:pt idx="3986">
                  <c:v>06/13/2014 12:30 PDT</c:v>
                </c:pt>
                <c:pt idx="3987">
                  <c:v>06/13/2014 12:45 PDT</c:v>
                </c:pt>
                <c:pt idx="3988">
                  <c:v>06/13/2014 13:00 PDT</c:v>
                </c:pt>
                <c:pt idx="3989">
                  <c:v>06/13/2014 13:15 PDT</c:v>
                </c:pt>
                <c:pt idx="3990">
                  <c:v>06/13/2014 13:30 PDT</c:v>
                </c:pt>
                <c:pt idx="3991">
                  <c:v>06/13/2014 13:45 PDT</c:v>
                </c:pt>
                <c:pt idx="3992">
                  <c:v>06/13/2014 14:00 PDT</c:v>
                </c:pt>
                <c:pt idx="3993">
                  <c:v>06/13/2014 14:15 PDT</c:v>
                </c:pt>
                <c:pt idx="3994">
                  <c:v>06/13/2014 14:30 PDT</c:v>
                </c:pt>
                <c:pt idx="3995">
                  <c:v>06/13/2014 14:45 PDT</c:v>
                </c:pt>
                <c:pt idx="3996">
                  <c:v>06/13/2014 15:00 PDT</c:v>
                </c:pt>
                <c:pt idx="3997">
                  <c:v>06/13/2014 15:15 PDT</c:v>
                </c:pt>
                <c:pt idx="3998">
                  <c:v>06/13/2014 15:30 PDT</c:v>
                </c:pt>
                <c:pt idx="3999">
                  <c:v>06/13/2014 15:45 PDT</c:v>
                </c:pt>
                <c:pt idx="4000">
                  <c:v>06/13/2014 16:00 PDT</c:v>
                </c:pt>
                <c:pt idx="4001">
                  <c:v>06/13/2014 16:15 PDT</c:v>
                </c:pt>
                <c:pt idx="4002">
                  <c:v>06/13/2014 16:30 PDT</c:v>
                </c:pt>
                <c:pt idx="4003">
                  <c:v>06/13/2014 16:45 PDT</c:v>
                </c:pt>
                <c:pt idx="4004">
                  <c:v>06/13/2014 17:00 PDT</c:v>
                </c:pt>
                <c:pt idx="4005">
                  <c:v>06/13/2014 17:15 PDT</c:v>
                </c:pt>
                <c:pt idx="4006">
                  <c:v>06/13/2014 17:30 PDT</c:v>
                </c:pt>
                <c:pt idx="4007">
                  <c:v>06/13/2014 17:45 PDT</c:v>
                </c:pt>
                <c:pt idx="4008">
                  <c:v>06/13/2014 18:00 PDT</c:v>
                </c:pt>
                <c:pt idx="4009">
                  <c:v>06/13/2014 18:15 PDT</c:v>
                </c:pt>
                <c:pt idx="4010">
                  <c:v>06/13/2014 18:30 PDT</c:v>
                </c:pt>
                <c:pt idx="4011">
                  <c:v>06/13/2014 18:45 PDT</c:v>
                </c:pt>
                <c:pt idx="4012">
                  <c:v>06/13/2014 19:00 PDT</c:v>
                </c:pt>
                <c:pt idx="4013">
                  <c:v>06/13/2014 19:15 PDT</c:v>
                </c:pt>
                <c:pt idx="4014">
                  <c:v>06/13/2014 19:30 PDT</c:v>
                </c:pt>
                <c:pt idx="4015">
                  <c:v>06/13/2014 19:45 PDT</c:v>
                </c:pt>
                <c:pt idx="4016">
                  <c:v>06/13/2014 20:00 PDT</c:v>
                </c:pt>
                <c:pt idx="4017">
                  <c:v>06/13/2014 20:15 PDT</c:v>
                </c:pt>
                <c:pt idx="4018">
                  <c:v>06/13/2014 20:30 PDT</c:v>
                </c:pt>
                <c:pt idx="4019">
                  <c:v>06/13/2014 20:45 PDT</c:v>
                </c:pt>
                <c:pt idx="4020">
                  <c:v>06/13/2014 21:00 PDT</c:v>
                </c:pt>
                <c:pt idx="4021">
                  <c:v>06/13/2014 21:15 PDT</c:v>
                </c:pt>
                <c:pt idx="4022">
                  <c:v>06/13/2014 21:30 PDT</c:v>
                </c:pt>
                <c:pt idx="4023">
                  <c:v>06/13/2014 21:45 PDT</c:v>
                </c:pt>
                <c:pt idx="4024">
                  <c:v>06/13/2014 22:00 PDT</c:v>
                </c:pt>
                <c:pt idx="4025">
                  <c:v>06/13/2014 22:15 PDT</c:v>
                </c:pt>
                <c:pt idx="4026">
                  <c:v>06/13/2014 22:30 PDT</c:v>
                </c:pt>
                <c:pt idx="4027">
                  <c:v>06/13/2014 22:45 PDT</c:v>
                </c:pt>
                <c:pt idx="4028">
                  <c:v>06/13/2014 23:00 PDT</c:v>
                </c:pt>
                <c:pt idx="4029">
                  <c:v>06/13/2014 23:15 PDT</c:v>
                </c:pt>
                <c:pt idx="4030">
                  <c:v>06/13/2014 23:30 PDT</c:v>
                </c:pt>
                <c:pt idx="4031">
                  <c:v>06/13/2014 23:45 PDT</c:v>
                </c:pt>
                <c:pt idx="4032">
                  <c:v>06/14/2014 00:00 PDT</c:v>
                </c:pt>
                <c:pt idx="4033">
                  <c:v>06/14/2014 00:15 PDT</c:v>
                </c:pt>
                <c:pt idx="4034">
                  <c:v>06/14/2014 00:30 PDT</c:v>
                </c:pt>
                <c:pt idx="4035">
                  <c:v>06/14/2014 00:45 PDT</c:v>
                </c:pt>
                <c:pt idx="4036">
                  <c:v>06/14/2014 01:00 PDT</c:v>
                </c:pt>
                <c:pt idx="4037">
                  <c:v>06/14/2014 01:15 PDT</c:v>
                </c:pt>
                <c:pt idx="4038">
                  <c:v>06/14/2014 01:30 PDT</c:v>
                </c:pt>
                <c:pt idx="4039">
                  <c:v>06/14/2014 01:45 PDT</c:v>
                </c:pt>
                <c:pt idx="4040">
                  <c:v>06/14/2014 02:00 PDT</c:v>
                </c:pt>
                <c:pt idx="4041">
                  <c:v>06/14/2014 02:15 PDT</c:v>
                </c:pt>
                <c:pt idx="4042">
                  <c:v>06/14/2014 02:30 PDT</c:v>
                </c:pt>
                <c:pt idx="4043">
                  <c:v>06/14/2014 02:45 PDT</c:v>
                </c:pt>
                <c:pt idx="4044">
                  <c:v>06/14/2014 03:00 PDT</c:v>
                </c:pt>
                <c:pt idx="4045">
                  <c:v>06/14/2014 03:15 PDT</c:v>
                </c:pt>
                <c:pt idx="4046">
                  <c:v>06/14/2014 03:30 PDT</c:v>
                </c:pt>
                <c:pt idx="4047">
                  <c:v>06/14/2014 03:45 PDT</c:v>
                </c:pt>
                <c:pt idx="4048">
                  <c:v>06/14/2014 04:00 PDT</c:v>
                </c:pt>
                <c:pt idx="4049">
                  <c:v>06/14/2014 04:15 PDT</c:v>
                </c:pt>
                <c:pt idx="4050">
                  <c:v>06/14/2014 04:30 PDT</c:v>
                </c:pt>
                <c:pt idx="4051">
                  <c:v>06/14/2014 04:45 PDT</c:v>
                </c:pt>
                <c:pt idx="4052">
                  <c:v>06/14/2014 05:00 PDT</c:v>
                </c:pt>
                <c:pt idx="4053">
                  <c:v>06/14/2014 05:15 PDT</c:v>
                </c:pt>
                <c:pt idx="4054">
                  <c:v>06/14/2014 05:30 PDT</c:v>
                </c:pt>
                <c:pt idx="4055">
                  <c:v>06/14/2014 05:45 PDT</c:v>
                </c:pt>
                <c:pt idx="4056">
                  <c:v>06/14/2014 06:00 PDT</c:v>
                </c:pt>
                <c:pt idx="4057">
                  <c:v>06/14/2014 06:15 PDT</c:v>
                </c:pt>
                <c:pt idx="4058">
                  <c:v>06/14/2014 06:30 PDT</c:v>
                </c:pt>
                <c:pt idx="4059">
                  <c:v>06/14/2014 06:45 PDT</c:v>
                </c:pt>
                <c:pt idx="4060">
                  <c:v>06/14/2014 07:00 PDT</c:v>
                </c:pt>
                <c:pt idx="4061">
                  <c:v>06/14/2014 07:15 PDT</c:v>
                </c:pt>
                <c:pt idx="4062">
                  <c:v>06/14/2014 07:30 PDT</c:v>
                </c:pt>
                <c:pt idx="4063">
                  <c:v>06/14/2014 07:45 PDT</c:v>
                </c:pt>
                <c:pt idx="4064">
                  <c:v>06/14/2014 08:00 PDT</c:v>
                </c:pt>
                <c:pt idx="4065">
                  <c:v>06/14/2014 08:15 PDT</c:v>
                </c:pt>
                <c:pt idx="4066">
                  <c:v>06/14/2014 08:30 PDT</c:v>
                </c:pt>
                <c:pt idx="4067">
                  <c:v>06/14/2014 08:45 PDT</c:v>
                </c:pt>
                <c:pt idx="4068">
                  <c:v>06/14/2014 09:00 PDT</c:v>
                </c:pt>
                <c:pt idx="4069">
                  <c:v>06/14/2014 09:15 PDT</c:v>
                </c:pt>
                <c:pt idx="4070">
                  <c:v>06/14/2014 09:30 PDT</c:v>
                </c:pt>
                <c:pt idx="4071">
                  <c:v>06/14/2014 09:45 PDT</c:v>
                </c:pt>
                <c:pt idx="4072">
                  <c:v>06/14/2014 10:00 PDT</c:v>
                </c:pt>
                <c:pt idx="4073">
                  <c:v>06/14/2014 10:15 PDT</c:v>
                </c:pt>
                <c:pt idx="4074">
                  <c:v>06/14/2014 10:30 PDT</c:v>
                </c:pt>
                <c:pt idx="4075">
                  <c:v>06/14/2014 10:45 PDT</c:v>
                </c:pt>
                <c:pt idx="4076">
                  <c:v>06/14/2014 11:00 PDT</c:v>
                </c:pt>
                <c:pt idx="4077">
                  <c:v>06/14/2014 11:15 PDT</c:v>
                </c:pt>
                <c:pt idx="4078">
                  <c:v>06/14/2014 11:30 PDT</c:v>
                </c:pt>
                <c:pt idx="4079">
                  <c:v>06/14/2014 11:45 PDT</c:v>
                </c:pt>
                <c:pt idx="4080">
                  <c:v>06/14/2014 12:00 PDT</c:v>
                </c:pt>
                <c:pt idx="4081">
                  <c:v>06/14/2014 12:15 PDT</c:v>
                </c:pt>
                <c:pt idx="4082">
                  <c:v>06/14/2014 12:30 PDT</c:v>
                </c:pt>
                <c:pt idx="4083">
                  <c:v>06/14/2014 12:45 PDT</c:v>
                </c:pt>
                <c:pt idx="4084">
                  <c:v>06/14/2014 13:00 PDT</c:v>
                </c:pt>
                <c:pt idx="4085">
                  <c:v>06/14/2014 13:15 PDT</c:v>
                </c:pt>
                <c:pt idx="4086">
                  <c:v>06/14/2014 13:30 PDT</c:v>
                </c:pt>
                <c:pt idx="4087">
                  <c:v>06/14/2014 13:45 PDT</c:v>
                </c:pt>
                <c:pt idx="4088">
                  <c:v>06/14/2014 14:00 PDT</c:v>
                </c:pt>
                <c:pt idx="4089">
                  <c:v>06/14/2014 14:15 PDT</c:v>
                </c:pt>
                <c:pt idx="4090">
                  <c:v>06/14/2014 14:30 PDT</c:v>
                </c:pt>
                <c:pt idx="4091">
                  <c:v>06/14/2014 14:45 PDT</c:v>
                </c:pt>
                <c:pt idx="4092">
                  <c:v>06/14/2014 15:00 PDT</c:v>
                </c:pt>
                <c:pt idx="4093">
                  <c:v>06/14/2014 15:15 PDT</c:v>
                </c:pt>
                <c:pt idx="4094">
                  <c:v>06/14/2014 15:30 PDT</c:v>
                </c:pt>
                <c:pt idx="4095">
                  <c:v>06/14/2014 15:45 PDT</c:v>
                </c:pt>
                <c:pt idx="4096">
                  <c:v>06/14/2014 16:00 PDT</c:v>
                </c:pt>
                <c:pt idx="4097">
                  <c:v>06/14/2014 16:15 PDT</c:v>
                </c:pt>
                <c:pt idx="4098">
                  <c:v>06/14/2014 16:30 PDT</c:v>
                </c:pt>
                <c:pt idx="4099">
                  <c:v>06/14/2014 16:45 PDT</c:v>
                </c:pt>
                <c:pt idx="4100">
                  <c:v>06/14/2014 17:00 PDT</c:v>
                </c:pt>
                <c:pt idx="4101">
                  <c:v>06/14/2014 17:15 PDT</c:v>
                </c:pt>
                <c:pt idx="4102">
                  <c:v>06/14/2014 17:30 PDT</c:v>
                </c:pt>
                <c:pt idx="4103">
                  <c:v>06/14/2014 17:45 PDT</c:v>
                </c:pt>
                <c:pt idx="4104">
                  <c:v>06/14/2014 18:00 PDT</c:v>
                </c:pt>
                <c:pt idx="4105">
                  <c:v>06/14/2014 18:15 PDT</c:v>
                </c:pt>
                <c:pt idx="4106">
                  <c:v>06/14/2014 18:30 PDT</c:v>
                </c:pt>
                <c:pt idx="4107">
                  <c:v>06/14/2014 18:45 PDT</c:v>
                </c:pt>
                <c:pt idx="4108">
                  <c:v>06/14/2014 19:00 PDT</c:v>
                </c:pt>
                <c:pt idx="4109">
                  <c:v>06/14/2014 19:15 PDT</c:v>
                </c:pt>
                <c:pt idx="4110">
                  <c:v>06/14/2014 19:30 PDT</c:v>
                </c:pt>
                <c:pt idx="4111">
                  <c:v>06/14/2014 19:45 PDT</c:v>
                </c:pt>
                <c:pt idx="4112">
                  <c:v>06/14/2014 20:00 PDT</c:v>
                </c:pt>
                <c:pt idx="4113">
                  <c:v>06/14/2014 20:15 PDT</c:v>
                </c:pt>
                <c:pt idx="4114">
                  <c:v>06/14/2014 20:30 PDT</c:v>
                </c:pt>
                <c:pt idx="4115">
                  <c:v>06/14/2014 20:45 PDT</c:v>
                </c:pt>
                <c:pt idx="4116">
                  <c:v>06/14/2014 21:00 PDT</c:v>
                </c:pt>
                <c:pt idx="4117">
                  <c:v>06/14/2014 21:15 PDT</c:v>
                </c:pt>
                <c:pt idx="4118">
                  <c:v>06/14/2014 21:30 PDT</c:v>
                </c:pt>
                <c:pt idx="4119">
                  <c:v>06/14/2014 21:45 PDT</c:v>
                </c:pt>
                <c:pt idx="4120">
                  <c:v>06/14/2014 22:00 PDT</c:v>
                </c:pt>
                <c:pt idx="4121">
                  <c:v>06/14/2014 22:15 PDT</c:v>
                </c:pt>
                <c:pt idx="4122">
                  <c:v>06/14/2014 22:30 PDT</c:v>
                </c:pt>
                <c:pt idx="4123">
                  <c:v>06/14/2014 22:45 PDT</c:v>
                </c:pt>
                <c:pt idx="4124">
                  <c:v>06/14/2014 23:00 PDT</c:v>
                </c:pt>
                <c:pt idx="4125">
                  <c:v>06/14/2014 23:15 PDT</c:v>
                </c:pt>
                <c:pt idx="4126">
                  <c:v>06/14/2014 23:30 PDT</c:v>
                </c:pt>
                <c:pt idx="4127">
                  <c:v>06/14/2014 23:45 PDT</c:v>
                </c:pt>
                <c:pt idx="4128">
                  <c:v>06/15/2014 00:00 PDT</c:v>
                </c:pt>
                <c:pt idx="4129">
                  <c:v>06/15/2014 00:15 PDT</c:v>
                </c:pt>
                <c:pt idx="4130">
                  <c:v>06/15/2014 00:30 PDT</c:v>
                </c:pt>
                <c:pt idx="4131">
                  <c:v>06/15/2014 00:45 PDT</c:v>
                </c:pt>
                <c:pt idx="4132">
                  <c:v>06/15/2014 01:00 PDT</c:v>
                </c:pt>
                <c:pt idx="4133">
                  <c:v>06/15/2014 01:15 PDT</c:v>
                </c:pt>
                <c:pt idx="4134">
                  <c:v>06/15/2014 01:30 PDT</c:v>
                </c:pt>
                <c:pt idx="4135">
                  <c:v>06/15/2014 01:45 PDT</c:v>
                </c:pt>
                <c:pt idx="4136">
                  <c:v>06/15/2014 02:00 PDT</c:v>
                </c:pt>
                <c:pt idx="4137">
                  <c:v>06/15/2014 02:15 PDT</c:v>
                </c:pt>
                <c:pt idx="4138">
                  <c:v>06/15/2014 02:30 PDT</c:v>
                </c:pt>
                <c:pt idx="4139">
                  <c:v>06/15/2014 02:45 PDT</c:v>
                </c:pt>
                <c:pt idx="4140">
                  <c:v>06/15/2014 03:00 PDT</c:v>
                </c:pt>
                <c:pt idx="4141">
                  <c:v>06/15/2014 03:15 PDT</c:v>
                </c:pt>
                <c:pt idx="4142">
                  <c:v>06/15/2014 03:30 PDT</c:v>
                </c:pt>
                <c:pt idx="4143">
                  <c:v>06/15/2014 03:45 PDT</c:v>
                </c:pt>
                <c:pt idx="4144">
                  <c:v>06/15/2014 04:00 PDT</c:v>
                </c:pt>
                <c:pt idx="4145">
                  <c:v>06/15/2014 04:15 PDT</c:v>
                </c:pt>
                <c:pt idx="4146">
                  <c:v>06/15/2014 04:30 PDT</c:v>
                </c:pt>
                <c:pt idx="4147">
                  <c:v>06/15/2014 04:45 PDT</c:v>
                </c:pt>
                <c:pt idx="4148">
                  <c:v>06/15/2014 05:00 PDT</c:v>
                </c:pt>
                <c:pt idx="4149">
                  <c:v>06/15/2014 05:15 PDT</c:v>
                </c:pt>
                <c:pt idx="4150">
                  <c:v>06/15/2014 05:30 PDT</c:v>
                </c:pt>
                <c:pt idx="4151">
                  <c:v>06/15/2014 05:45 PDT</c:v>
                </c:pt>
                <c:pt idx="4152">
                  <c:v>06/15/2014 06:00 PDT</c:v>
                </c:pt>
                <c:pt idx="4153">
                  <c:v>06/15/2014 06:15 PDT</c:v>
                </c:pt>
                <c:pt idx="4154">
                  <c:v>06/15/2014 06:30 PDT</c:v>
                </c:pt>
                <c:pt idx="4155">
                  <c:v>06/15/2014 06:45 PDT</c:v>
                </c:pt>
                <c:pt idx="4156">
                  <c:v>06/15/2014 07:00 PDT</c:v>
                </c:pt>
                <c:pt idx="4157">
                  <c:v>06/15/2014 07:15 PDT</c:v>
                </c:pt>
                <c:pt idx="4158">
                  <c:v>06/15/2014 07:30 PDT</c:v>
                </c:pt>
                <c:pt idx="4159">
                  <c:v>06/15/2014 07:45 PDT</c:v>
                </c:pt>
                <c:pt idx="4160">
                  <c:v>06/15/2014 08:00 PDT</c:v>
                </c:pt>
                <c:pt idx="4161">
                  <c:v>06/15/2014 08:15 PDT</c:v>
                </c:pt>
                <c:pt idx="4162">
                  <c:v>06/15/2014 08:30 PDT</c:v>
                </c:pt>
                <c:pt idx="4163">
                  <c:v>06/15/2014 08:45 PDT</c:v>
                </c:pt>
                <c:pt idx="4164">
                  <c:v>06/15/2014 09:00 PDT</c:v>
                </c:pt>
                <c:pt idx="4165">
                  <c:v>06/15/2014 09:15 PDT</c:v>
                </c:pt>
                <c:pt idx="4166">
                  <c:v>06/15/2014 09:30 PDT</c:v>
                </c:pt>
                <c:pt idx="4167">
                  <c:v>06/15/2014 09:45 PDT</c:v>
                </c:pt>
                <c:pt idx="4168">
                  <c:v>06/15/2014 10:00 PDT</c:v>
                </c:pt>
                <c:pt idx="4169">
                  <c:v>06/15/2014 10:15 PDT</c:v>
                </c:pt>
                <c:pt idx="4170">
                  <c:v>06/15/2014 10:30 PDT</c:v>
                </c:pt>
                <c:pt idx="4171">
                  <c:v>06/15/2014 10:45 PDT</c:v>
                </c:pt>
                <c:pt idx="4172">
                  <c:v>06/15/2014 11:00 PDT</c:v>
                </c:pt>
                <c:pt idx="4173">
                  <c:v>06/15/2014 11:15 PDT</c:v>
                </c:pt>
                <c:pt idx="4174">
                  <c:v>06/15/2014 11:30 PDT</c:v>
                </c:pt>
                <c:pt idx="4175">
                  <c:v>06/15/2014 11:45 PDT</c:v>
                </c:pt>
                <c:pt idx="4176">
                  <c:v>06/15/2014 12:00 PDT</c:v>
                </c:pt>
                <c:pt idx="4177">
                  <c:v>06/15/2014 12:15 PDT</c:v>
                </c:pt>
                <c:pt idx="4178">
                  <c:v>06/15/2014 12:30 PDT</c:v>
                </c:pt>
                <c:pt idx="4179">
                  <c:v>06/15/2014 12:45 PDT</c:v>
                </c:pt>
                <c:pt idx="4180">
                  <c:v>06/15/2014 13:00 PDT</c:v>
                </c:pt>
                <c:pt idx="4181">
                  <c:v>06/15/2014 13:15 PDT</c:v>
                </c:pt>
                <c:pt idx="4182">
                  <c:v>06/15/2014 13:30 PDT</c:v>
                </c:pt>
                <c:pt idx="4183">
                  <c:v>06/15/2014 13:45 PDT</c:v>
                </c:pt>
                <c:pt idx="4184">
                  <c:v>06/15/2014 14:00 PDT</c:v>
                </c:pt>
                <c:pt idx="4185">
                  <c:v>06/15/2014 14:15 PDT</c:v>
                </c:pt>
                <c:pt idx="4186">
                  <c:v>06/15/2014 14:30 PDT</c:v>
                </c:pt>
                <c:pt idx="4187">
                  <c:v>06/15/2014 14:45 PDT</c:v>
                </c:pt>
                <c:pt idx="4188">
                  <c:v>06/15/2014 15:00 PDT</c:v>
                </c:pt>
                <c:pt idx="4189">
                  <c:v>06/15/2014 15:15 PDT</c:v>
                </c:pt>
                <c:pt idx="4190">
                  <c:v>06/15/2014 15:30 PDT</c:v>
                </c:pt>
                <c:pt idx="4191">
                  <c:v>06/15/2014 15:45 PDT</c:v>
                </c:pt>
                <c:pt idx="4192">
                  <c:v>06/15/2014 16:00 PDT</c:v>
                </c:pt>
                <c:pt idx="4193">
                  <c:v>06/15/2014 16:15 PDT</c:v>
                </c:pt>
                <c:pt idx="4194">
                  <c:v>06/15/2014 16:30 PDT</c:v>
                </c:pt>
                <c:pt idx="4195">
                  <c:v>06/15/2014 16:45 PDT</c:v>
                </c:pt>
                <c:pt idx="4196">
                  <c:v>06/15/2014 17:00 PDT</c:v>
                </c:pt>
                <c:pt idx="4197">
                  <c:v>06/15/2014 17:15 PDT</c:v>
                </c:pt>
                <c:pt idx="4198">
                  <c:v>06/15/2014 17:30 PDT</c:v>
                </c:pt>
                <c:pt idx="4199">
                  <c:v>06/15/2014 17:45 PDT</c:v>
                </c:pt>
                <c:pt idx="4200">
                  <c:v>06/15/2014 18:00 PDT</c:v>
                </c:pt>
                <c:pt idx="4201">
                  <c:v>06/15/2014 18:15 PDT</c:v>
                </c:pt>
                <c:pt idx="4202">
                  <c:v>06/15/2014 18:30 PDT</c:v>
                </c:pt>
                <c:pt idx="4203">
                  <c:v>06/15/2014 18:45 PDT</c:v>
                </c:pt>
                <c:pt idx="4204">
                  <c:v>06/15/2014 19:00 PDT</c:v>
                </c:pt>
                <c:pt idx="4205">
                  <c:v>06/15/2014 19:15 PDT</c:v>
                </c:pt>
                <c:pt idx="4206">
                  <c:v>06/15/2014 19:30 PDT</c:v>
                </c:pt>
                <c:pt idx="4207">
                  <c:v>06/15/2014 19:45 PDT</c:v>
                </c:pt>
                <c:pt idx="4208">
                  <c:v>06/15/2014 20:00 PDT</c:v>
                </c:pt>
                <c:pt idx="4209">
                  <c:v>06/15/2014 20:15 PDT</c:v>
                </c:pt>
                <c:pt idx="4210">
                  <c:v>06/15/2014 20:30 PDT</c:v>
                </c:pt>
                <c:pt idx="4211">
                  <c:v>06/15/2014 20:45 PDT</c:v>
                </c:pt>
                <c:pt idx="4212">
                  <c:v>06/15/2014 21:00 PDT</c:v>
                </c:pt>
                <c:pt idx="4213">
                  <c:v>06/15/2014 21:15 PDT</c:v>
                </c:pt>
                <c:pt idx="4214">
                  <c:v>06/15/2014 21:30 PDT</c:v>
                </c:pt>
                <c:pt idx="4215">
                  <c:v>06/15/2014 21:45 PDT</c:v>
                </c:pt>
                <c:pt idx="4216">
                  <c:v>06/15/2014 22:00 PDT</c:v>
                </c:pt>
                <c:pt idx="4217">
                  <c:v>06/15/2014 22:15 PDT</c:v>
                </c:pt>
                <c:pt idx="4218">
                  <c:v>06/15/2014 22:30 PDT</c:v>
                </c:pt>
                <c:pt idx="4219">
                  <c:v>06/15/2014 22:45 PDT</c:v>
                </c:pt>
                <c:pt idx="4220">
                  <c:v>06/15/2014 23:00 PDT</c:v>
                </c:pt>
                <c:pt idx="4221">
                  <c:v>06/15/2014 23:15 PDT</c:v>
                </c:pt>
                <c:pt idx="4222">
                  <c:v>06/15/2014 23:30 PDT</c:v>
                </c:pt>
                <c:pt idx="4223">
                  <c:v>06/15/2014 23:45 PDT</c:v>
                </c:pt>
              </c:strCache>
            </c:strRef>
          </c:cat>
          <c:val>
            <c:numRef>
              <c:f>Flow2!$C$4:$C$4227</c:f>
              <c:numCache>
                <c:formatCode>#,##0</c:formatCode>
                <c:ptCount val="4224"/>
                <c:pt idx="0">
                  <c:v>4500</c:v>
                </c:pt>
                <c:pt idx="1">
                  <c:v>4500</c:v>
                </c:pt>
                <c:pt idx="2">
                  <c:v>4510</c:v>
                </c:pt>
                <c:pt idx="3">
                  <c:v>4510</c:v>
                </c:pt>
                <c:pt idx="4">
                  <c:v>4510</c:v>
                </c:pt>
                <c:pt idx="5">
                  <c:v>4530</c:v>
                </c:pt>
                <c:pt idx="6">
                  <c:v>4530</c:v>
                </c:pt>
                <c:pt idx="7">
                  <c:v>4530</c:v>
                </c:pt>
                <c:pt idx="8">
                  <c:v>4530</c:v>
                </c:pt>
                <c:pt idx="9">
                  <c:v>4530</c:v>
                </c:pt>
                <c:pt idx="10">
                  <c:v>4530</c:v>
                </c:pt>
                <c:pt idx="11">
                  <c:v>4540</c:v>
                </c:pt>
                <c:pt idx="12">
                  <c:v>4540</c:v>
                </c:pt>
                <c:pt idx="13">
                  <c:v>4540</c:v>
                </c:pt>
                <c:pt idx="14">
                  <c:v>4560</c:v>
                </c:pt>
                <c:pt idx="15">
                  <c:v>4560</c:v>
                </c:pt>
                <c:pt idx="16">
                  <c:v>4570</c:v>
                </c:pt>
                <c:pt idx="17">
                  <c:v>4570</c:v>
                </c:pt>
                <c:pt idx="18">
                  <c:v>4580</c:v>
                </c:pt>
                <c:pt idx="19">
                  <c:v>4580</c:v>
                </c:pt>
                <c:pt idx="20">
                  <c:v>4600</c:v>
                </c:pt>
                <c:pt idx="21">
                  <c:v>4600</c:v>
                </c:pt>
                <c:pt idx="22">
                  <c:v>4610</c:v>
                </c:pt>
                <c:pt idx="23">
                  <c:v>4610</c:v>
                </c:pt>
                <c:pt idx="24">
                  <c:v>4620</c:v>
                </c:pt>
                <c:pt idx="25">
                  <c:v>4620</c:v>
                </c:pt>
                <c:pt idx="26">
                  <c:v>4640</c:v>
                </c:pt>
                <c:pt idx="27">
                  <c:v>4640</c:v>
                </c:pt>
                <c:pt idx="28">
                  <c:v>4650</c:v>
                </c:pt>
                <c:pt idx="29">
                  <c:v>4650</c:v>
                </c:pt>
                <c:pt idx="30">
                  <c:v>4670</c:v>
                </c:pt>
                <c:pt idx="31">
                  <c:v>4670</c:v>
                </c:pt>
                <c:pt idx="32">
                  <c:v>4680</c:v>
                </c:pt>
                <c:pt idx="33">
                  <c:v>4690</c:v>
                </c:pt>
                <c:pt idx="34">
                  <c:v>4710</c:v>
                </c:pt>
                <c:pt idx="35">
                  <c:v>4710</c:v>
                </c:pt>
                <c:pt idx="36">
                  <c:v>4720</c:v>
                </c:pt>
                <c:pt idx="37">
                  <c:v>4730</c:v>
                </c:pt>
                <c:pt idx="38">
                  <c:v>4750</c:v>
                </c:pt>
                <c:pt idx="39">
                  <c:v>4760</c:v>
                </c:pt>
                <c:pt idx="40">
                  <c:v>4780</c:v>
                </c:pt>
                <c:pt idx="41">
                  <c:v>4790</c:v>
                </c:pt>
                <c:pt idx="42">
                  <c:v>4800</c:v>
                </c:pt>
                <c:pt idx="43">
                  <c:v>4820</c:v>
                </c:pt>
                <c:pt idx="44">
                  <c:v>4830</c:v>
                </c:pt>
                <c:pt idx="45">
                  <c:v>4850</c:v>
                </c:pt>
                <c:pt idx="46">
                  <c:v>4860</c:v>
                </c:pt>
                <c:pt idx="47">
                  <c:v>4870</c:v>
                </c:pt>
                <c:pt idx="48">
                  <c:v>4890</c:v>
                </c:pt>
                <c:pt idx="49">
                  <c:v>4900</c:v>
                </c:pt>
                <c:pt idx="50">
                  <c:v>4920</c:v>
                </c:pt>
                <c:pt idx="51">
                  <c:v>4930</c:v>
                </c:pt>
                <c:pt idx="52">
                  <c:v>4950</c:v>
                </c:pt>
                <c:pt idx="53">
                  <c:v>4960</c:v>
                </c:pt>
                <c:pt idx="54">
                  <c:v>4970</c:v>
                </c:pt>
                <c:pt idx="55">
                  <c:v>4990</c:v>
                </c:pt>
                <c:pt idx="56">
                  <c:v>5000</c:v>
                </c:pt>
                <c:pt idx="57">
                  <c:v>5030</c:v>
                </c:pt>
                <c:pt idx="58">
                  <c:v>5040</c:v>
                </c:pt>
                <c:pt idx="59">
                  <c:v>5060</c:v>
                </c:pt>
                <c:pt idx="60">
                  <c:v>5090</c:v>
                </c:pt>
                <c:pt idx="61">
                  <c:v>5100</c:v>
                </c:pt>
                <c:pt idx="62">
                  <c:v>5120</c:v>
                </c:pt>
                <c:pt idx="63">
                  <c:v>5140</c:v>
                </c:pt>
                <c:pt idx="64">
                  <c:v>5160</c:v>
                </c:pt>
                <c:pt idx="65">
                  <c:v>5170</c:v>
                </c:pt>
                <c:pt idx="66">
                  <c:v>5200</c:v>
                </c:pt>
                <c:pt idx="67">
                  <c:v>5220</c:v>
                </c:pt>
                <c:pt idx="68">
                  <c:v>5230</c:v>
                </c:pt>
                <c:pt idx="69">
                  <c:v>5240</c:v>
                </c:pt>
                <c:pt idx="70">
                  <c:v>5260</c:v>
                </c:pt>
                <c:pt idx="71">
                  <c:v>5270</c:v>
                </c:pt>
                <c:pt idx="72">
                  <c:v>5290</c:v>
                </c:pt>
                <c:pt idx="73">
                  <c:v>5300</c:v>
                </c:pt>
                <c:pt idx="74">
                  <c:v>5320</c:v>
                </c:pt>
                <c:pt idx="75">
                  <c:v>5330</c:v>
                </c:pt>
                <c:pt idx="76">
                  <c:v>5350</c:v>
                </c:pt>
                <c:pt idx="77">
                  <c:v>5350</c:v>
                </c:pt>
                <c:pt idx="78">
                  <c:v>5360</c:v>
                </c:pt>
                <c:pt idx="79">
                  <c:v>5370</c:v>
                </c:pt>
                <c:pt idx="80">
                  <c:v>5370</c:v>
                </c:pt>
                <c:pt idx="81">
                  <c:v>5390</c:v>
                </c:pt>
                <c:pt idx="82">
                  <c:v>5400</c:v>
                </c:pt>
                <c:pt idx="83">
                  <c:v>5400</c:v>
                </c:pt>
                <c:pt idx="84">
                  <c:v>5420</c:v>
                </c:pt>
                <c:pt idx="85">
                  <c:v>5430</c:v>
                </c:pt>
                <c:pt idx="86">
                  <c:v>5430</c:v>
                </c:pt>
                <c:pt idx="87">
                  <c:v>5450</c:v>
                </c:pt>
                <c:pt idx="88">
                  <c:v>5450</c:v>
                </c:pt>
                <c:pt idx="89">
                  <c:v>5460</c:v>
                </c:pt>
                <c:pt idx="90">
                  <c:v>5460</c:v>
                </c:pt>
                <c:pt idx="91">
                  <c:v>5480</c:v>
                </c:pt>
                <c:pt idx="92">
                  <c:v>5480</c:v>
                </c:pt>
                <c:pt idx="93">
                  <c:v>5490</c:v>
                </c:pt>
                <c:pt idx="94">
                  <c:v>5490</c:v>
                </c:pt>
                <c:pt idx="95">
                  <c:v>5510</c:v>
                </c:pt>
                <c:pt idx="96">
                  <c:v>5510</c:v>
                </c:pt>
                <c:pt idx="97">
                  <c:v>5520</c:v>
                </c:pt>
                <c:pt idx="98">
                  <c:v>5520</c:v>
                </c:pt>
                <c:pt idx="99">
                  <c:v>5530</c:v>
                </c:pt>
                <c:pt idx="100">
                  <c:v>5550</c:v>
                </c:pt>
                <c:pt idx="101">
                  <c:v>5550</c:v>
                </c:pt>
                <c:pt idx="102">
                  <c:v>5560</c:v>
                </c:pt>
                <c:pt idx="103">
                  <c:v>5580</c:v>
                </c:pt>
                <c:pt idx="104">
                  <c:v>5580</c:v>
                </c:pt>
                <c:pt idx="105">
                  <c:v>5590</c:v>
                </c:pt>
                <c:pt idx="106">
                  <c:v>5610</c:v>
                </c:pt>
                <c:pt idx="107">
                  <c:v>5610</c:v>
                </c:pt>
                <c:pt idx="108">
                  <c:v>5610</c:v>
                </c:pt>
                <c:pt idx="109">
                  <c:v>5620</c:v>
                </c:pt>
                <c:pt idx="110">
                  <c:v>5640</c:v>
                </c:pt>
                <c:pt idx="111">
                  <c:v>5650</c:v>
                </c:pt>
                <c:pt idx="112">
                  <c:v>5650</c:v>
                </c:pt>
                <c:pt idx="113">
                  <c:v>5670</c:v>
                </c:pt>
                <c:pt idx="114">
                  <c:v>5680</c:v>
                </c:pt>
                <c:pt idx="115">
                  <c:v>5700</c:v>
                </c:pt>
                <c:pt idx="116">
                  <c:v>5700</c:v>
                </c:pt>
                <c:pt idx="117">
                  <c:v>5710</c:v>
                </c:pt>
                <c:pt idx="118">
                  <c:v>5730</c:v>
                </c:pt>
                <c:pt idx="119">
                  <c:v>5730</c:v>
                </c:pt>
                <c:pt idx="120">
                  <c:v>5740</c:v>
                </c:pt>
                <c:pt idx="121">
                  <c:v>5760</c:v>
                </c:pt>
                <c:pt idx="122">
                  <c:v>5770</c:v>
                </c:pt>
                <c:pt idx="123">
                  <c:v>5780</c:v>
                </c:pt>
                <c:pt idx="124">
                  <c:v>5780</c:v>
                </c:pt>
                <c:pt idx="125">
                  <c:v>5800</c:v>
                </c:pt>
                <c:pt idx="126">
                  <c:v>5810</c:v>
                </c:pt>
                <c:pt idx="127">
                  <c:v>5830</c:v>
                </c:pt>
                <c:pt idx="128">
                  <c:v>5840</c:v>
                </c:pt>
                <c:pt idx="129">
                  <c:v>5860</c:v>
                </c:pt>
                <c:pt idx="130">
                  <c:v>5870</c:v>
                </c:pt>
                <c:pt idx="131">
                  <c:v>5870</c:v>
                </c:pt>
                <c:pt idx="132">
                  <c:v>5890</c:v>
                </c:pt>
                <c:pt idx="133">
                  <c:v>5900</c:v>
                </c:pt>
                <c:pt idx="134">
                  <c:v>5900</c:v>
                </c:pt>
                <c:pt idx="135">
                  <c:v>5920</c:v>
                </c:pt>
                <c:pt idx="136">
                  <c:v>5930</c:v>
                </c:pt>
                <c:pt idx="137">
                  <c:v>5960</c:v>
                </c:pt>
                <c:pt idx="138">
                  <c:v>5960</c:v>
                </c:pt>
                <c:pt idx="139">
                  <c:v>5990</c:v>
                </c:pt>
                <c:pt idx="140">
                  <c:v>6010</c:v>
                </c:pt>
                <c:pt idx="141">
                  <c:v>6020</c:v>
                </c:pt>
                <c:pt idx="142">
                  <c:v>6040</c:v>
                </c:pt>
                <c:pt idx="143">
                  <c:v>6050</c:v>
                </c:pt>
                <c:pt idx="144">
                  <c:v>6070</c:v>
                </c:pt>
                <c:pt idx="145">
                  <c:v>6080</c:v>
                </c:pt>
                <c:pt idx="146">
                  <c:v>6100</c:v>
                </c:pt>
                <c:pt idx="147">
                  <c:v>6110</c:v>
                </c:pt>
                <c:pt idx="148">
                  <c:v>6130</c:v>
                </c:pt>
                <c:pt idx="149">
                  <c:v>6140</c:v>
                </c:pt>
                <c:pt idx="150">
                  <c:v>6160</c:v>
                </c:pt>
                <c:pt idx="151">
                  <c:v>6160</c:v>
                </c:pt>
                <c:pt idx="152">
                  <c:v>6170</c:v>
                </c:pt>
                <c:pt idx="153">
                  <c:v>6190</c:v>
                </c:pt>
                <c:pt idx="154">
                  <c:v>6210</c:v>
                </c:pt>
                <c:pt idx="155">
                  <c:v>6220</c:v>
                </c:pt>
                <c:pt idx="156">
                  <c:v>6240</c:v>
                </c:pt>
                <c:pt idx="157">
                  <c:v>6240</c:v>
                </c:pt>
                <c:pt idx="158">
                  <c:v>6250</c:v>
                </c:pt>
                <c:pt idx="159">
                  <c:v>6270</c:v>
                </c:pt>
                <c:pt idx="160">
                  <c:v>6280</c:v>
                </c:pt>
                <c:pt idx="161">
                  <c:v>6300</c:v>
                </c:pt>
                <c:pt idx="162">
                  <c:v>6310</c:v>
                </c:pt>
                <c:pt idx="163">
                  <c:v>6330</c:v>
                </c:pt>
                <c:pt idx="164">
                  <c:v>6330</c:v>
                </c:pt>
                <c:pt idx="165">
                  <c:v>6330</c:v>
                </c:pt>
                <c:pt idx="166">
                  <c:v>6340</c:v>
                </c:pt>
                <c:pt idx="167">
                  <c:v>6360</c:v>
                </c:pt>
                <c:pt idx="168">
                  <c:v>6360</c:v>
                </c:pt>
                <c:pt idx="169">
                  <c:v>6370</c:v>
                </c:pt>
                <c:pt idx="170">
                  <c:v>6390</c:v>
                </c:pt>
                <c:pt idx="171">
                  <c:v>6390</c:v>
                </c:pt>
                <c:pt idx="172">
                  <c:v>6400</c:v>
                </c:pt>
                <c:pt idx="173">
                  <c:v>6420</c:v>
                </c:pt>
                <c:pt idx="174">
                  <c:v>6420</c:v>
                </c:pt>
                <c:pt idx="175">
                  <c:v>6420</c:v>
                </c:pt>
                <c:pt idx="176">
                  <c:v>6420</c:v>
                </c:pt>
                <c:pt idx="177">
                  <c:v>6430</c:v>
                </c:pt>
                <c:pt idx="178">
                  <c:v>6430</c:v>
                </c:pt>
                <c:pt idx="179">
                  <c:v>6450</c:v>
                </c:pt>
                <c:pt idx="180">
                  <c:v>6450</c:v>
                </c:pt>
                <c:pt idx="181">
                  <c:v>6460</c:v>
                </c:pt>
                <c:pt idx="182">
                  <c:v>6460</c:v>
                </c:pt>
                <c:pt idx="183">
                  <c:v>6480</c:v>
                </c:pt>
                <c:pt idx="184">
                  <c:v>6480</c:v>
                </c:pt>
                <c:pt idx="185">
                  <c:v>6500</c:v>
                </c:pt>
                <c:pt idx="186">
                  <c:v>6500</c:v>
                </c:pt>
                <c:pt idx="187">
                  <c:v>6500</c:v>
                </c:pt>
                <c:pt idx="188">
                  <c:v>6510</c:v>
                </c:pt>
                <c:pt idx="189">
                  <c:v>6510</c:v>
                </c:pt>
                <c:pt idx="190">
                  <c:v>6510</c:v>
                </c:pt>
                <c:pt idx="191">
                  <c:v>6510</c:v>
                </c:pt>
                <c:pt idx="192">
                  <c:v>6510</c:v>
                </c:pt>
                <c:pt idx="193">
                  <c:v>6510</c:v>
                </c:pt>
                <c:pt idx="194">
                  <c:v>6510</c:v>
                </c:pt>
                <c:pt idx="195">
                  <c:v>6510</c:v>
                </c:pt>
                <c:pt idx="196">
                  <c:v>6510</c:v>
                </c:pt>
                <c:pt idx="197">
                  <c:v>6510</c:v>
                </c:pt>
                <c:pt idx="198">
                  <c:v>6530</c:v>
                </c:pt>
                <c:pt idx="199">
                  <c:v>6530</c:v>
                </c:pt>
                <c:pt idx="200">
                  <c:v>6530</c:v>
                </c:pt>
                <c:pt idx="201">
                  <c:v>6530</c:v>
                </c:pt>
                <c:pt idx="202">
                  <c:v>6530</c:v>
                </c:pt>
                <c:pt idx="203">
                  <c:v>6540</c:v>
                </c:pt>
                <c:pt idx="204">
                  <c:v>6540</c:v>
                </c:pt>
                <c:pt idx="205">
                  <c:v>6560</c:v>
                </c:pt>
                <c:pt idx="206">
                  <c:v>6560</c:v>
                </c:pt>
                <c:pt idx="207">
                  <c:v>6560</c:v>
                </c:pt>
                <c:pt idx="208">
                  <c:v>6570</c:v>
                </c:pt>
                <c:pt idx="209">
                  <c:v>6570</c:v>
                </c:pt>
                <c:pt idx="210">
                  <c:v>6570</c:v>
                </c:pt>
                <c:pt idx="211">
                  <c:v>6590</c:v>
                </c:pt>
                <c:pt idx="212">
                  <c:v>6590</c:v>
                </c:pt>
                <c:pt idx="213">
                  <c:v>6590</c:v>
                </c:pt>
                <c:pt idx="214">
                  <c:v>6600</c:v>
                </c:pt>
                <c:pt idx="215">
                  <c:v>6600</c:v>
                </c:pt>
                <c:pt idx="216">
                  <c:v>6600</c:v>
                </c:pt>
                <c:pt idx="217">
                  <c:v>6600</c:v>
                </c:pt>
                <c:pt idx="218">
                  <c:v>6600</c:v>
                </c:pt>
                <c:pt idx="219">
                  <c:v>6600</c:v>
                </c:pt>
                <c:pt idx="220">
                  <c:v>6600</c:v>
                </c:pt>
                <c:pt idx="221">
                  <c:v>6600</c:v>
                </c:pt>
                <c:pt idx="222">
                  <c:v>6600</c:v>
                </c:pt>
                <c:pt idx="223">
                  <c:v>6620</c:v>
                </c:pt>
                <c:pt idx="224">
                  <c:v>6620</c:v>
                </c:pt>
                <c:pt idx="225">
                  <c:v>6620</c:v>
                </c:pt>
                <c:pt idx="226">
                  <c:v>6620</c:v>
                </c:pt>
                <c:pt idx="227">
                  <c:v>6620</c:v>
                </c:pt>
                <c:pt idx="228">
                  <c:v>6630</c:v>
                </c:pt>
                <c:pt idx="229">
                  <c:v>6630</c:v>
                </c:pt>
                <c:pt idx="230">
                  <c:v>6630</c:v>
                </c:pt>
                <c:pt idx="231">
                  <c:v>6630</c:v>
                </c:pt>
                <c:pt idx="232">
                  <c:v>6630</c:v>
                </c:pt>
                <c:pt idx="233">
                  <c:v>6630</c:v>
                </c:pt>
                <c:pt idx="234">
                  <c:v>6630</c:v>
                </c:pt>
                <c:pt idx="235">
                  <c:v>6650</c:v>
                </c:pt>
                <c:pt idx="236">
                  <c:v>6650</c:v>
                </c:pt>
                <c:pt idx="237">
                  <c:v>6650</c:v>
                </c:pt>
                <c:pt idx="238">
                  <c:v>6650</c:v>
                </c:pt>
                <c:pt idx="239">
                  <c:v>6650</c:v>
                </c:pt>
                <c:pt idx="240">
                  <c:v>6670</c:v>
                </c:pt>
                <c:pt idx="241">
                  <c:v>6670</c:v>
                </c:pt>
                <c:pt idx="242">
                  <c:v>6670</c:v>
                </c:pt>
                <c:pt idx="243">
                  <c:v>6670</c:v>
                </c:pt>
                <c:pt idx="244">
                  <c:v>6670</c:v>
                </c:pt>
                <c:pt idx="245">
                  <c:v>6670</c:v>
                </c:pt>
                <c:pt idx="246">
                  <c:v>6670</c:v>
                </c:pt>
                <c:pt idx="247">
                  <c:v>6670</c:v>
                </c:pt>
                <c:pt idx="248">
                  <c:v>6680</c:v>
                </c:pt>
                <c:pt idx="249">
                  <c:v>6680</c:v>
                </c:pt>
                <c:pt idx="250">
                  <c:v>6680</c:v>
                </c:pt>
                <c:pt idx="251">
                  <c:v>6680</c:v>
                </c:pt>
                <c:pt idx="252">
                  <c:v>6680</c:v>
                </c:pt>
                <c:pt idx="253">
                  <c:v>6680</c:v>
                </c:pt>
                <c:pt idx="254">
                  <c:v>6680</c:v>
                </c:pt>
                <c:pt idx="255">
                  <c:v>6680</c:v>
                </c:pt>
                <c:pt idx="256">
                  <c:v>6680</c:v>
                </c:pt>
                <c:pt idx="257">
                  <c:v>6680</c:v>
                </c:pt>
                <c:pt idx="258">
                  <c:v>6680</c:v>
                </c:pt>
                <c:pt idx="259">
                  <c:v>6680</c:v>
                </c:pt>
                <c:pt idx="260">
                  <c:v>6680</c:v>
                </c:pt>
                <c:pt idx="261">
                  <c:v>6680</c:v>
                </c:pt>
                <c:pt idx="262">
                  <c:v>6670</c:v>
                </c:pt>
                <c:pt idx="263">
                  <c:v>6670</c:v>
                </c:pt>
                <c:pt idx="264">
                  <c:v>6670</c:v>
                </c:pt>
                <c:pt idx="265">
                  <c:v>6670</c:v>
                </c:pt>
                <c:pt idx="266">
                  <c:v>6670</c:v>
                </c:pt>
                <c:pt idx="267">
                  <c:v>6670</c:v>
                </c:pt>
                <c:pt idx="268">
                  <c:v>6650</c:v>
                </c:pt>
                <c:pt idx="269">
                  <c:v>6650</c:v>
                </c:pt>
                <c:pt idx="270">
                  <c:v>6650</c:v>
                </c:pt>
                <c:pt idx="271">
                  <c:v>6630</c:v>
                </c:pt>
                <c:pt idx="272">
                  <c:v>6630</c:v>
                </c:pt>
                <c:pt idx="273">
                  <c:v>6620</c:v>
                </c:pt>
                <c:pt idx="274">
                  <c:v>6620</c:v>
                </c:pt>
                <c:pt idx="275">
                  <c:v>6600</c:v>
                </c:pt>
                <c:pt idx="276">
                  <c:v>6600</c:v>
                </c:pt>
                <c:pt idx="277">
                  <c:v>6600</c:v>
                </c:pt>
                <c:pt idx="278">
                  <c:v>6590</c:v>
                </c:pt>
                <c:pt idx="279">
                  <c:v>6590</c:v>
                </c:pt>
                <c:pt idx="280">
                  <c:v>6590</c:v>
                </c:pt>
                <c:pt idx="281">
                  <c:v>6570</c:v>
                </c:pt>
                <c:pt idx="282">
                  <c:v>6570</c:v>
                </c:pt>
                <c:pt idx="283">
                  <c:v>6570</c:v>
                </c:pt>
                <c:pt idx="284">
                  <c:v>6570</c:v>
                </c:pt>
                <c:pt idx="285">
                  <c:v>6570</c:v>
                </c:pt>
                <c:pt idx="286">
                  <c:v>6560</c:v>
                </c:pt>
                <c:pt idx="287">
                  <c:v>6560</c:v>
                </c:pt>
                <c:pt idx="288">
                  <c:v>6560</c:v>
                </c:pt>
                <c:pt idx="289">
                  <c:v>6540</c:v>
                </c:pt>
                <c:pt idx="290">
                  <c:v>6540</c:v>
                </c:pt>
                <c:pt idx="291">
                  <c:v>6540</c:v>
                </c:pt>
                <c:pt idx="292">
                  <c:v>6540</c:v>
                </c:pt>
                <c:pt idx="293">
                  <c:v>6530</c:v>
                </c:pt>
                <c:pt idx="294">
                  <c:v>6530</c:v>
                </c:pt>
                <c:pt idx="295">
                  <c:v>6530</c:v>
                </c:pt>
                <c:pt idx="296">
                  <c:v>6530</c:v>
                </c:pt>
                <c:pt idx="297">
                  <c:v>6510</c:v>
                </c:pt>
                <c:pt idx="298">
                  <c:v>6510</c:v>
                </c:pt>
                <c:pt idx="299">
                  <c:v>6510</c:v>
                </c:pt>
                <c:pt idx="300">
                  <c:v>6510</c:v>
                </c:pt>
                <c:pt idx="301">
                  <c:v>6510</c:v>
                </c:pt>
                <c:pt idx="302">
                  <c:v>6510</c:v>
                </c:pt>
                <c:pt idx="303">
                  <c:v>6510</c:v>
                </c:pt>
                <c:pt idx="304">
                  <c:v>6510</c:v>
                </c:pt>
                <c:pt idx="305">
                  <c:v>6510</c:v>
                </c:pt>
                <c:pt idx="306">
                  <c:v>6510</c:v>
                </c:pt>
                <c:pt idx="307">
                  <c:v>6500</c:v>
                </c:pt>
                <c:pt idx="308">
                  <c:v>6500</c:v>
                </c:pt>
                <c:pt idx="309">
                  <c:v>6500</c:v>
                </c:pt>
                <c:pt idx="310">
                  <c:v>6500</c:v>
                </c:pt>
                <c:pt idx="311">
                  <c:v>6480</c:v>
                </c:pt>
                <c:pt idx="312">
                  <c:v>6480</c:v>
                </c:pt>
                <c:pt idx="313">
                  <c:v>6480</c:v>
                </c:pt>
                <c:pt idx="314">
                  <c:v>6480</c:v>
                </c:pt>
                <c:pt idx="315">
                  <c:v>6480</c:v>
                </c:pt>
                <c:pt idx="316">
                  <c:v>6460</c:v>
                </c:pt>
                <c:pt idx="317">
                  <c:v>6460</c:v>
                </c:pt>
                <c:pt idx="318">
                  <c:v>6460</c:v>
                </c:pt>
                <c:pt idx="319">
                  <c:v>6460</c:v>
                </c:pt>
                <c:pt idx="320">
                  <c:v>6460</c:v>
                </c:pt>
                <c:pt idx="321">
                  <c:v>6450</c:v>
                </c:pt>
                <c:pt idx="322">
                  <c:v>6450</c:v>
                </c:pt>
                <c:pt idx="323">
                  <c:v>6450</c:v>
                </c:pt>
                <c:pt idx="324">
                  <c:v>6450</c:v>
                </c:pt>
                <c:pt idx="325">
                  <c:v>6450</c:v>
                </c:pt>
                <c:pt idx="326">
                  <c:v>6430</c:v>
                </c:pt>
                <c:pt idx="327">
                  <c:v>6430</c:v>
                </c:pt>
                <c:pt idx="328">
                  <c:v>6430</c:v>
                </c:pt>
                <c:pt idx="329">
                  <c:v>6420</c:v>
                </c:pt>
                <c:pt idx="330">
                  <c:v>6420</c:v>
                </c:pt>
                <c:pt idx="331">
                  <c:v>6420</c:v>
                </c:pt>
                <c:pt idx="332">
                  <c:v>6420</c:v>
                </c:pt>
                <c:pt idx="333">
                  <c:v>6420</c:v>
                </c:pt>
                <c:pt idx="334">
                  <c:v>6420</c:v>
                </c:pt>
                <c:pt idx="335">
                  <c:v>6400</c:v>
                </c:pt>
                <c:pt idx="336">
                  <c:v>6400</c:v>
                </c:pt>
                <c:pt idx="337">
                  <c:v>6400</c:v>
                </c:pt>
                <c:pt idx="338">
                  <c:v>6390</c:v>
                </c:pt>
                <c:pt idx="339">
                  <c:v>6390</c:v>
                </c:pt>
                <c:pt idx="340">
                  <c:v>6390</c:v>
                </c:pt>
                <c:pt idx="341">
                  <c:v>6370</c:v>
                </c:pt>
                <c:pt idx="342">
                  <c:v>6370</c:v>
                </c:pt>
                <c:pt idx="343">
                  <c:v>6370</c:v>
                </c:pt>
                <c:pt idx="344">
                  <c:v>6370</c:v>
                </c:pt>
                <c:pt idx="345">
                  <c:v>6370</c:v>
                </c:pt>
                <c:pt idx="346">
                  <c:v>6370</c:v>
                </c:pt>
                <c:pt idx="347">
                  <c:v>6360</c:v>
                </c:pt>
                <c:pt idx="348">
                  <c:v>6360</c:v>
                </c:pt>
                <c:pt idx="349">
                  <c:v>6360</c:v>
                </c:pt>
                <c:pt idx="350">
                  <c:v>6340</c:v>
                </c:pt>
                <c:pt idx="351">
                  <c:v>6340</c:v>
                </c:pt>
                <c:pt idx="352">
                  <c:v>6340</c:v>
                </c:pt>
                <c:pt idx="353">
                  <c:v>6330</c:v>
                </c:pt>
                <c:pt idx="354">
                  <c:v>6330</c:v>
                </c:pt>
                <c:pt idx="355">
                  <c:v>6330</c:v>
                </c:pt>
                <c:pt idx="356">
                  <c:v>6330</c:v>
                </c:pt>
                <c:pt idx="357">
                  <c:v>6310</c:v>
                </c:pt>
                <c:pt idx="358">
                  <c:v>6310</c:v>
                </c:pt>
                <c:pt idx="359">
                  <c:v>6300</c:v>
                </c:pt>
                <c:pt idx="360">
                  <c:v>6300</c:v>
                </c:pt>
                <c:pt idx="361">
                  <c:v>6280</c:v>
                </c:pt>
                <c:pt idx="362">
                  <c:v>6270</c:v>
                </c:pt>
                <c:pt idx="363">
                  <c:v>6270</c:v>
                </c:pt>
                <c:pt idx="364">
                  <c:v>6270</c:v>
                </c:pt>
                <c:pt idx="365">
                  <c:v>6270</c:v>
                </c:pt>
                <c:pt idx="366">
                  <c:v>6250</c:v>
                </c:pt>
                <c:pt idx="367">
                  <c:v>6250</c:v>
                </c:pt>
                <c:pt idx="368">
                  <c:v>6250</c:v>
                </c:pt>
                <c:pt idx="369">
                  <c:v>6240</c:v>
                </c:pt>
                <c:pt idx="370">
                  <c:v>6240</c:v>
                </c:pt>
                <c:pt idx="371">
                  <c:v>6240</c:v>
                </c:pt>
                <c:pt idx="372">
                  <c:v>6220</c:v>
                </c:pt>
                <c:pt idx="373">
                  <c:v>6220</c:v>
                </c:pt>
                <c:pt idx="374">
                  <c:v>6210</c:v>
                </c:pt>
                <c:pt idx="375">
                  <c:v>6210</c:v>
                </c:pt>
                <c:pt idx="376">
                  <c:v>6190</c:v>
                </c:pt>
                <c:pt idx="377">
                  <c:v>6190</c:v>
                </c:pt>
                <c:pt idx="378">
                  <c:v>6190</c:v>
                </c:pt>
                <c:pt idx="379">
                  <c:v>6170</c:v>
                </c:pt>
                <c:pt idx="380">
                  <c:v>6170</c:v>
                </c:pt>
                <c:pt idx="381">
                  <c:v>6160</c:v>
                </c:pt>
                <c:pt idx="382">
                  <c:v>6160</c:v>
                </c:pt>
                <c:pt idx="383">
                  <c:v>6140</c:v>
                </c:pt>
                <c:pt idx="384">
                  <c:v>6140</c:v>
                </c:pt>
                <c:pt idx="385">
                  <c:v>6130</c:v>
                </c:pt>
                <c:pt idx="386">
                  <c:v>6110</c:v>
                </c:pt>
                <c:pt idx="387">
                  <c:v>6100</c:v>
                </c:pt>
                <c:pt idx="388">
                  <c:v>6080</c:v>
                </c:pt>
                <c:pt idx="389">
                  <c:v>6080</c:v>
                </c:pt>
                <c:pt idx="390">
                  <c:v>6070</c:v>
                </c:pt>
                <c:pt idx="391">
                  <c:v>6050</c:v>
                </c:pt>
                <c:pt idx="392">
                  <c:v>6050</c:v>
                </c:pt>
                <c:pt idx="393">
                  <c:v>6050</c:v>
                </c:pt>
                <c:pt idx="394">
                  <c:v>6040</c:v>
                </c:pt>
                <c:pt idx="395">
                  <c:v>6020</c:v>
                </c:pt>
                <c:pt idx="396">
                  <c:v>6010</c:v>
                </c:pt>
                <c:pt idx="397">
                  <c:v>6010</c:v>
                </c:pt>
                <c:pt idx="398">
                  <c:v>5990</c:v>
                </c:pt>
                <c:pt idx="399">
                  <c:v>5980</c:v>
                </c:pt>
                <c:pt idx="400">
                  <c:v>5960</c:v>
                </c:pt>
                <c:pt idx="401">
                  <c:v>5960</c:v>
                </c:pt>
                <c:pt idx="402">
                  <c:v>5960</c:v>
                </c:pt>
                <c:pt idx="403">
                  <c:v>5950</c:v>
                </c:pt>
                <c:pt idx="404">
                  <c:v>5950</c:v>
                </c:pt>
                <c:pt idx="405">
                  <c:v>5930</c:v>
                </c:pt>
                <c:pt idx="406">
                  <c:v>5930</c:v>
                </c:pt>
                <c:pt idx="407">
                  <c:v>5930</c:v>
                </c:pt>
                <c:pt idx="408">
                  <c:v>5920</c:v>
                </c:pt>
                <c:pt idx="409">
                  <c:v>5920</c:v>
                </c:pt>
                <c:pt idx="410">
                  <c:v>5920</c:v>
                </c:pt>
                <c:pt idx="411">
                  <c:v>5920</c:v>
                </c:pt>
                <c:pt idx="412">
                  <c:v>5920</c:v>
                </c:pt>
                <c:pt idx="413">
                  <c:v>5900</c:v>
                </c:pt>
                <c:pt idx="414">
                  <c:v>5900</c:v>
                </c:pt>
                <c:pt idx="415">
                  <c:v>5900</c:v>
                </c:pt>
                <c:pt idx="416">
                  <c:v>5900</c:v>
                </c:pt>
                <c:pt idx="417">
                  <c:v>5900</c:v>
                </c:pt>
                <c:pt idx="418">
                  <c:v>5890</c:v>
                </c:pt>
                <c:pt idx="419">
                  <c:v>5890</c:v>
                </c:pt>
                <c:pt idx="420">
                  <c:v>5890</c:v>
                </c:pt>
                <c:pt idx="421">
                  <c:v>5890</c:v>
                </c:pt>
                <c:pt idx="422">
                  <c:v>5890</c:v>
                </c:pt>
                <c:pt idx="423">
                  <c:v>5870</c:v>
                </c:pt>
                <c:pt idx="424">
                  <c:v>5870</c:v>
                </c:pt>
                <c:pt idx="425">
                  <c:v>5870</c:v>
                </c:pt>
                <c:pt idx="426">
                  <c:v>5870</c:v>
                </c:pt>
                <c:pt idx="427">
                  <c:v>5870</c:v>
                </c:pt>
                <c:pt idx="428">
                  <c:v>5870</c:v>
                </c:pt>
                <c:pt idx="429">
                  <c:v>5870</c:v>
                </c:pt>
                <c:pt idx="430">
                  <c:v>5870</c:v>
                </c:pt>
                <c:pt idx="431">
                  <c:v>5870</c:v>
                </c:pt>
                <c:pt idx="432">
                  <c:v>5870</c:v>
                </c:pt>
                <c:pt idx="433">
                  <c:v>5870</c:v>
                </c:pt>
                <c:pt idx="434">
                  <c:v>5860</c:v>
                </c:pt>
                <c:pt idx="435">
                  <c:v>5860</c:v>
                </c:pt>
                <c:pt idx="436">
                  <c:v>5860</c:v>
                </c:pt>
                <c:pt idx="437">
                  <c:v>5860</c:v>
                </c:pt>
                <c:pt idx="438">
                  <c:v>5860</c:v>
                </c:pt>
                <c:pt idx="439">
                  <c:v>5860</c:v>
                </c:pt>
                <c:pt idx="440">
                  <c:v>5860</c:v>
                </c:pt>
                <c:pt idx="441">
                  <c:v>5860</c:v>
                </c:pt>
                <c:pt idx="442">
                  <c:v>5860</c:v>
                </c:pt>
                <c:pt idx="443">
                  <c:v>5840</c:v>
                </c:pt>
                <c:pt idx="444">
                  <c:v>5840</c:v>
                </c:pt>
                <c:pt idx="445">
                  <c:v>5840</c:v>
                </c:pt>
                <c:pt idx="446">
                  <c:v>5840</c:v>
                </c:pt>
                <c:pt idx="447">
                  <c:v>5830</c:v>
                </c:pt>
                <c:pt idx="448">
                  <c:v>5830</c:v>
                </c:pt>
                <c:pt idx="449">
                  <c:v>5830</c:v>
                </c:pt>
                <c:pt idx="450">
                  <c:v>5830</c:v>
                </c:pt>
                <c:pt idx="451">
                  <c:v>5810</c:v>
                </c:pt>
                <c:pt idx="452">
                  <c:v>5810</c:v>
                </c:pt>
                <c:pt idx="453">
                  <c:v>5810</c:v>
                </c:pt>
                <c:pt idx="454">
                  <c:v>5800</c:v>
                </c:pt>
                <c:pt idx="455">
                  <c:v>5800</c:v>
                </c:pt>
                <c:pt idx="456">
                  <c:v>5800</c:v>
                </c:pt>
                <c:pt idx="457">
                  <c:v>5780</c:v>
                </c:pt>
                <c:pt idx="458">
                  <c:v>5780</c:v>
                </c:pt>
                <c:pt idx="459">
                  <c:v>5780</c:v>
                </c:pt>
                <c:pt idx="460">
                  <c:v>5770</c:v>
                </c:pt>
                <c:pt idx="461">
                  <c:v>5770</c:v>
                </c:pt>
                <c:pt idx="462">
                  <c:v>5760</c:v>
                </c:pt>
                <c:pt idx="463">
                  <c:v>5760</c:v>
                </c:pt>
                <c:pt idx="464">
                  <c:v>5740</c:v>
                </c:pt>
                <c:pt idx="465">
                  <c:v>5740</c:v>
                </c:pt>
                <c:pt idx="466">
                  <c:v>5730</c:v>
                </c:pt>
                <c:pt idx="467">
                  <c:v>5730</c:v>
                </c:pt>
                <c:pt idx="468">
                  <c:v>5710</c:v>
                </c:pt>
                <c:pt idx="469">
                  <c:v>5710</c:v>
                </c:pt>
                <c:pt idx="470">
                  <c:v>5700</c:v>
                </c:pt>
                <c:pt idx="471">
                  <c:v>5700</c:v>
                </c:pt>
                <c:pt idx="472">
                  <c:v>5700</c:v>
                </c:pt>
                <c:pt idx="473">
                  <c:v>5700</c:v>
                </c:pt>
                <c:pt idx="474">
                  <c:v>5700</c:v>
                </c:pt>
                <c:pt idx="475">
                  <c:v>5680</c:v>
                </c:pt>
                <c:pt idx="476">
                  <c:v>5680</c:v>
                </c:pt>
                <c:pt idx="477">
                  <c:v>5680</c:v>
                </c:pt>
                <c:pt idx="478">
                  <c:v>5680</c:v>
                </c:pt>
                <c:pt idx="479">
                  <c:v>5670</c:v>
                </c:pt>
                <c:pt idx="480">
                  <c:v>5670</c:v>
                </c:pt>
                <c:pt idx="481">
                  <c:v>5670</c:v>
                </c:pt>
                <c:pt idx="482">
                  <c:v>5650</c:v>
                </c:pt>
                <c:pt idx="483">
                  <c:v>5650</c:v>
                </c:pt>
                <c:pt idx="484">
                  <c:v>5650</c:v>
                </c:pt>
                <c:pt idx="485">
                  <c:v>5640</c:v>
                </c:pt>
                <c:pt idx="486">
                  <c:v>5640</c:v>
                </c:pt>
                <c:pt idx="487">
                  <c:v>5620</c:v>
                </c:pt>
                <c:pt idx="488">
                  <c:v>5620</c:v>
                </c:pt>
                <c:pt idx="489">
                  <c:v>5620</c:v>
                </c:pt>
                <c:pt idx="490">
                  <c:v>5610</c:v>
                </c:pt>
                <c:pt idx="491">
                  <c:v>5610</c:v>
                </c:pt>
                <c:pt idx="492">
                  <c:v>5610</c:v>
                </c:pt>
                <c:pt idx="493">
                  <c:v>5610</c:v>
                </c:pt>
                <c:pt idx="494">
                  <c:v>5610</c:v>
                </c:pt>
                <c:pt idx="495">
                  <c:v>5590</c:v>
                </c:pt>
                <c:pt idx="496">
                  <c:v>5590</c:v>
                </c:pt>
                <c:pt idx="497">
                  <c:v>5590</c:v>
                </c:pt>
                <c:pt idx="498">
                  <c:v>5590</c:v>
                </c:pt>
                <c:pt idx="499">
                  <c:v>5590</c:v>
                </c:pt>
                <c:pt idx="500">
                  <c:v>5590</c:v>
                </c:pt>
                <c:pt idx="501">
                  <c:v>5590</c:v>
                </c:pt>
                <c:pt idx="502">
                  <c:v>5580</c:v>
                </c:pt>
                <c:pt idx="503">
                  <c:v>5580</c:v>
                </c:pt>
                <c:pt idx="504">
                  <c:v>5580</c:v>
                </c:pt>
                <c:pt idx="505">
                  <c:v>5580</c:v>
                </c:pt>
                <c:pt idx="506">
                  <c:v>5580</c:v>
                </c:pt>
                <c:pt idx="507">
                  <c:v>5580</c:v>
                </c:pt>
                <c:pt idx="508">
                  <c:v>5580</c:v>
                </c:pt>
                <c:pt idx="509">
                  <c:v>5580</c:v>
                </c:pt>
                <c:pt idx="510">
                  <c:v>5580</c:v>
                </c:pt>
                <c:pt idx="511">
                  <c:v>5580</c:v>
                </c:pt>
                <c:pt idx="512">
                  <c:v>5580</c:v>
                </c:pt>
                <c:pt idx="513">
                  <c:v>5580</c:v>
                </c:pt>
                <c:pt idx="514">
                  <c:v>5580</c:v>
                </c:pt>
                <c:pt idx="515">
                  <c:v>5580</c:v>
                </c:pt>
                <c:pt idx="516">
                  <c:v>5580</c:v>
                </c:pt>
                <c:pt idx="517">
                  <c:v>5580</c:v>
                </c:pt>
                <c:pt idx="518">
                  <c:v>5560</c:v>
                </c:pt>
                <c:pt idx="519">
                  <c:v>5560</c:v>
                </c:pt>
                <c:pt idx="520">
                  <c:v>5560</c:v>
                </c:pt>
                <c:pt idx="521">
                  <c:v>5560</c:v>
                </c:pt>
                <c:pt idx="522">
                  <c:v>5560</c:v>
                </c:pt>
                <c:pt idx="523">
                  <c:v>5560</c:v>
                </c:pt>
                <c:pt idx="524">
                  <c:v>5560</c:v>
                </c:pt>
                <c:pt idx="525">
                  <c:v>5550</c:v>
                </c:pt>
                <c:pt idx="526">
                  <c:v>5550</c:v>
                </c:pt>
                <c:pt idx="527">
                  <c:v>5550</c:v>
                </c:pt>
                <c:pt idx="528">
                  <c:v>5550</c:v>
                </c:pt>
                <c:pt idx="529">
                  <c:v>5550</c:v>
                </c:pt>
                <c:pt idx="530">
                  <c:v>5550</c:v>
                </c:pt>
                <c:pt idx="531">
                  <c:v>5550</c:v>
                </c:pt>
                <c:pt idx="532">
                  <c:v>5550</c:v>
                </c:pt>
                <c:pt idx="533">
                  <c:v>5550</c:v>
                </c:pt>
                <c:pt idx="534">
                  <c:v>5550</c:v>
                </c:pt>
                <c:pt idx="535">
                  <c:v>5550</c:v>
                </c:pt>
                <c:pt idx="536">
                  <c:v>5530</c:v>
                </c:pt>
                <c:pt idx="537">
                  <c:v>5530</c:v>
                </c:pt>
                <c:pt idx="538">
                  <c:v>5530</c:v>
                </c:pt>
                <c:pt idx="539">
                  <c:v>5520</c:v>
                </c:pt>
                <c:pt idx="540">
                  <c:v>5520</c:v>
                </c:pt>
                <c:pt idx="541">
                  <c:v>5520</c:v>
                </c:pt>
                <c:pt idx="542">
                  <c:v>5520</c:v>
                </c:pt>
                <c:pt idx="543">
                  <c:v>5510</c:v>
                </c:pt>
                <c:pt idx="544">
                  <c:v>5510</c:v>
                </c:pt>
                <c:pt idx="545">
                  <c:v>5490</c:v>
                </c:pt>
                <c:pt idx="546">
                  <c:v>5490</c:v>
                </c:pt>
                <c:pt idx="547">
                  <c:v>5490</c:v>
                </c:pt>
                <c:pt idx="548">
                  <c:v>5490</c:v>
                </c:pt>
                <c:pt idx="549">
                  <c:v>5490</c:v>
                </c:pt>
                <c:pt idx="550">
                  <c:v>5480</c:v>
                </c:pt>
                <c:pt idx="551">
                  <c:v>5480</c:v>
                </c:pt>
                <c:pt idx="552">
                  <c:v>5480</c:v>
                </c:pt>
                <c:pt idx="553">
                  <c:v>5480</c:v>
                </c:pt>
                <c:pt idx="554">
                  <c:v>5480</c:v>
                </c:pt>
                <c:pt idx="555">
                  <c:v>5480</c:v>
                </c:pt>
                <c:pt idx="556">
                  <c:v>5480</c:v>
                </c:pt>
                <c:pt idx="557">
                  <c:v>5480</c:v>
                </c:pt>
                <c:pt idx="558">
                  <c:v>5480</c:v>
                </c:pt>
                <c:pt idx="559">
                  <c:v>5480</c:v>
                </c:pt>
                <c:pt idx="560">
                  <c:v>5480</c:v>
                </c:pt>
                <c:pt idx="561">
                  <c:v>5480</c:v>
                </c:pt>
                <c:pt idx="562">
                  <c:v>5460</c:v>
                </c:pt>
                <c:pt idx="563">
                  <c:v>5460</c:v>
                </c:pt>
                <c:pt idx="564">
                  <c:v>5450</c:v>
                </c:pt>
                <c:pt idx="565">
                  <c:v>5450</c:v>
                </c:pt>
                <c:pt idx="566">
                  <c:v>5450</c:v>
                </c:pt>
                <c:pt idx="567">
                  <c:v>5430</c:v>
                </c:pt>
                <c:pt idx="568">
                  <c:v>5430</c:v>
                </c:pt>
                <c:pt idx="569">
                  <c:v>5430</c:v>
                </c:pt>
                <c:pt idx="570">
                  <c:v>5430</c:v>
                </c:pt>
                <c:pt idx="571">
                  <c:v>5420</c:v>
                </c:pt>
                <c:pt idx="572">
                  <c:v>5420</c:v>
                </c:pt>
                <c:pt idx="573">
                  <c:v>5400</c:v>
                </c:pt>
                <c:pt idx="574">
                  <c:v>5400</c:v>
                </c:pt>
                <c:pt idx="575">
                  <c:v>5390</c:v>
                </c:pt>
                <c:pt idx="576">
                  <c:v>5370</c:v>
                </c:pt>
                <c:pt idx="577">
                  <c:v>5370</c:v>
                </c:pt>
                <c:pt idx="578">
                  <c:v>5370</c:v>
                </c:pt>
                <c:pt idx="579">
                  <c:v>5370</c:v>
                </c:pt>
                <c:pt idx="580">
                  <c:v>5360</c:v>
                </c:pt>
                <c:pt idx="581">
                  <c:v>5360</c:v>
                </c:pt>
                <c:pt idx="582">
                  <c:v>5360</c:v>
                </c:pt>
                <c:pt idx="583">
                  <c:v>5360</c:v>
                </c:pt>
                <c:pt idx="584">
                  <c:v>5360</c:v>
                </c:pt>
                <c:pt idx="585">
                  <c:v>5350</c:v>
                </c:pt>
                <c:pt idx="586">
                  <c:v>5350</c:v>
                </c:pt>
                <c:pt idx="587">
                  <c:v>5350</c:v>
                </c:pt>
                <c:pt idx="588">
                  <c:v>5350</c:v>
                </c:pt>
                <c:pt idx="589">
                  <c:v>5350</c:v>
                </c:pt>
                <c:pt idx="590">
                  <c:v>5350</c:v>
                </c:pt>
                <c:pt idx="591">
                  <c:v>5350</c:v>
                </c:pt>
                <c:pt idx="592">
                  <c:v>5350</c:v>
                </c:pt>
                <c:pt idx="593">
                  <c:v>5350</c:v>
                </c:pt>
                <c:pt idx="594">
                  <c:v>5350</c:v>
                </c:pt>
                <c:pt idx="595">
                  <c:v>5350</c:v>
                </c:pt>
                <c:pt idx="596">
                  <c:v>5330</c:v>
                </c:pt>
                <c:pt idx="597">
                  <c:v>5330</c:v>
                </c:pt>
                <c:pt idx="598">
                  <c:v>5330</c:v>
                </c:pt>
                <c:pt idx="599">
                  <c:v>5330</c:v>
                </c:pt>
                <c:pt idx="600">
                  <c:v>5330</c:v>
                </c:pt>
                <c:pt idx="601">
                  <c:v>5320</c:v>
                </c:pt>
                <c:pt idx="602">
                  <c:v>5320</c:v>
                </c:pt>
                <c:pt idx="603">
                  <c:v>5320</c:v>
                </c:pt>
                <c:pt idx="604">
                  <c:v>5320</c:v>
                </c:pt>
                <c:pt idx="605">
                  <c:v>5320</c:v>
                </c:pt>
                <c:pt idx="606">
                  <c:v>5320</c:v>
                </c:pt>
                <c:pt idx="607">
                  <c:v>5300</c:v>
                </c:pt>
                <c:pt idx="608">
                  <c:v>5300</c:v>
                </c:pt>
                <c:pt idx="609">
                  <c:v>5300</c:v>
                </c:pt>
                <c:pt idx="610">
                  <c:v>5300</c:v>
                </c:pt>
                <c:pt idx="611">
                  <c:v>5300</c:v>
                </c:pt>
                <c:pt idx="612">
                  <c:v>5300</c:v>
                </c:pt>
                <c:pt idx="613">
                  <c:v>5300</c:v>
                </c:pt>
                <c:pt idx="614">
                  <c:v>5300</c:v>
                </c:pt>
                <c:pt idx="615">
                  <c:v>5300</c:v>
                </c:pt>
                <c:pt idx="616">
                  <c:v>5300</c:v>
                </c:pt>
                <c:pt idx="617">
                  <c:v>5300</c:v>
                </c:pt>
                <c:pt idx="618">
                  <c:v>5300</c:v>
                </c:pt>
                <c:pt idx="619">
                  <c:v>5300</c:v>
                </c:pt>
                <c:pt idx="620">
                  <c:v>5300</c:v>
                </c:pt>
                <c:pt idx="621">
                  <c:v>5300</c:v>
                </c:pt>
                <c:pt idx="622">
                  <c:v>5300</c:v>
                </c:pt>
                <c:pt idx="623">
                  <c:v>5300</c:v>
                </c:pt>
                <c:pt idx="624">
                  <c:v>5300</c:v>
                </c:pt>
                <c:pt idx="625">
                  <c:v>5300</c:v>
                </c:pt>
                <c:pt idx="626">
                  <c:v>5300</c:v>
                </c:pt>
                <c:pt idx="627">
                  <c:v>5300</c:v>
                </c:pt>
                <c:pt idx="628">
                  <c:v>5300</c:v>
                </c:pt>
                <c:pt idx="629">
                  <c:v>5300</c:v>
                </c:pt>
                <c:pt idx="630">
                  <c:v>5300</c:v>
                </c:pt>
                <c:pt idx="631">
                  <c:v>5320</c:v>
                </c:pt>
                <c:pt idx="632">
                  <c:v>5320</c:v>
                </c:pt>
                <c:pt idx="633">
                  <c:v>5320</c:v>
                </c:pt>
                <c:pt idx="634">
                  <c:v>5320</c:v>
                </c:pt>
                <c:pt idx="635">
                  <c:v>5320</c:v>
                </c:pt>
                <c:pt idx="636">
                  <c:v>5320</c:v>
                </c:pt>
                <c:pt idx="637">
                  <c:v>5320</c:v>
                </c:pt>
                <c:pt idx="638">
                  <c:v>5320</c:v>
                </c:pt>
                <c:pt idx="639">
                  <c:v>5320</c:v>
                </c:pt>
                <c:pt idx="640">
                  <c:v>5320</c:v>
                </c:pt>
                <c:pt idx="641">
                  <c:v>5330</c:v>
                </c:pt>
                <c:pt idx="642">
                  <c:v>5330</c:v>
                </c:pt>
                <c:pt idx="643">
                  <c:v>5330</c:v>
                </c:pt>
                <c:pt idx="644">
                  <c:v>5330</c:v>
                </c:pt>
                <c:pt idx="645">
                  <c:v>5330</c:v>
                </c:pt>
                <c:pt idx="646">
                  <c:v>5350</c:v>
                </c:pt>
                <c:pt idx="647">
                  <c:v>5350</c:v>
                </c:pt>
                <c:pt idx="648">
                  <c:v>5350</c:v>
                </c:pt>
                <c:pt idx="649">
                  <c:v>5350</c:v>
                </c:pt>
                <c:pt idx="650">
                  <c:v>5350</c:v>
                </c:pt>
                <c:pt idx="651">
                  <c:v>5360</c:v>
                </c:pt>
                <c:pt idx="652">
                  <c:v>5360</c:v>
                </c:pt>
                <c:pt idx="653">
                  <c:v>5360</c:v>
                </c:pt>
                <c:pt idx="654">
                  <c:v>5360</c:v>
                </c:pt>
                <c:pt idx="655">
                  <c:v>5360</c:v>
                </c:pt>
                <c:pt idx="656">
                  <c:v>5360</c:v>
                </c:pt>
                <c:pt idx="657">
                  <c:v>5360</c:v>
                </c:pt>
                <c:pt idx="658">
                  <c:v>5360</c:v>
                </c:pt>
                <c:pt idx="659">
                  <c:v>5360</c:v>
                </c:pt>
                <c:pt idx="660">
                  <c:v>5360</c:v>
                </c:pt>
                <c:pt idx="661">
                  <c:v>5360</c:v>
                </c:pt>
                <c:pt idx="662">
                  <c:v>5360</c:v>
                </c:pt>
                <c:pt idx="663">
                  <c:v>5360</c:v>
                </c:pt>
                <c:pt idx="664">
                  <c:v>5360</c:v>
                </c:pt>
                <c:pt idx="665">
                  <c:v>5360</c:v>
                </c:pt>
                <c:pt idx="666">
                  <c:v>5360</c:v>
                </c:pt>
                <c:pt idx="667">
                  <c:v>5360</c:v>
                </c:pt>
                <c:pt idx="668">
                  <c:v>5360</c:v>
                </c:pt>
                <c:pt idx="669">
                  <c:v>5360</c:v>
                </c:pt>
                <c:pt idx="670">
                  <c:v>5360</c:v>
                </c:pt>
                <c:pt idx="671">
                  <c:v>5360</c:v>
                </c:pt>
                <c:pt idx="672">
                  <c:v>5360</c:v>
                </c:pt>
                <c:pt idx="673">
                  <c:v>5360</c:v>
                </c:pt>
                <c:pt idx="674">
                  <c:v>5360</c:v>
                </c:pt>
                <c:pt idx="675">
                  <c:v>5360</c:v>
                </c:pt>
                <c:pt idx="676">
                  <c:v>5360</c:v>
                </c:pt>
                <c:pt idx="677">
                  <c:v>5360</c:v>
                </c:pt>
                <c:pt idx="678">
                  <c:v>5360</c:v>
                </c:pt>
                <c:pt idx="679">
                  <c:v>5360</c:v>
                </c:pt>
                <c:pt idx="680">
                  <c:v>5370</c:v>
                </c:pt>
                <c:pt idx="681">
                  <c:v>5370</c:v>
                </c:pt>
                <c:pt idx="682">
                  <c:v>5370</c:v>
                </c:pt>
                <c:pt idx="683">
                  <c:v>5370</c:v>
                </c:pt>
                <c:pt idx="684">
                  <c:v>5370</c:v>
                </c:pt>
                <c:pt idx="685">
                  <c:v>5370</c:v>
                </c:pt>
                <c:pt idx="686">
                  <c:v>5370</c:v>
                </c:pt>
                <c:pt idx="687">
                  <c:v>5370</c:v>
                </c:pt>
                <c:pt idx="688">
                  <c:v>5370</c:v>
                </c:pt>
                <c:pt idx="689">
                  <c:v>5390</c:v>
                </c:pt>
                <c:pt idx="690">
                  <c:v>5390</c:v>
                </c:pt>
                <c:pt idx="691">
                  <c:v>5390</c:v>
                </c:pt>
                <c:pt idx="692">
                  <c:v>5390</c:v>
                </c:pt>
                <c:pt idx="693">
                  <c:v>5390</c:v>
                </c:pt>
                <c:pt idx="694">
                  <c:v>5400</c:v>
                </c:pt>
                <c:pt idx="695">
                  <c:v>5400</c:v>
                </c:pt>
                <c:pt idx="696">
                  <c:v>5400</c:v>
                </c:pt>
                <c:pt idx="697">
                  <c:v>5400</c:v>
                </c:pt>
                <c:pt idx="698">
                  <c:v>5400</c:v>
                </c:pt>
                <c:pt idx="699">
                  <c:v>5420</c:v>
                </c:pt>
                <c:pt idx="700">
                  <c:v>5420</c:v>
                </c:pt>
                <c:pt idx="701">
                  <c:v>5420</c:v>
                </c:pt>
                <c:pt idx="702">
                  <c:v>5430</c:v>
                </c:pt>
                <c:pt idx="703">
                  <c:v>5430</c:v>
                </c:pt>
                <c:pt idx="704">
                  <c:v>5430</c:v>
                </c:pt>
                <c:pt idx="705">
                  <c:v>5430</c:v>
                </c:pt>
                <c:pt idx="706">
                  <c:v>5450</c:v>
                </c:pt>
                <c:pt idx="707">
                  <c:v>5450</c:v>
                </c:pt>
                <c:pt idx="708">
                  <c:v>5450</c:v>
                </c:pt>
                <c:pt idx="709">
                  <c:v>5460</c:v>
                </c:pt>
                <c:pt idx="710">
                  <c:v>5460</c:v>
                </c:pt>
                <c:pt idx="711">
                  <c:v>5460</c:v>
                </c:pt>
                <c:pt idx="712">
                  <c:v>5460</c:v>
                </c:pt>
                <c:pt idx="713">
                  <c:v>5460</c:v>
                </c:pt>
                <c:pt idx="714">
                  <c:v>5480</c:v>
                </c:pt>
                <c:pt idx="715">
                  <c:v>5480</c:v>
                </c:pt>
                <c:pt idx="716">
                  <c:v>5480</c:v>
                </c:pt>
                <c:pt idx="717">
                  <c:v>5480</c:v>
                </c:pt>
                <c:pt idx="718">
                  <c:v>5490</c:v>
                </c:pt>
                <c:pt idx="719">
                  <c:v>5490</c:v>
                </c:pt>
                <c:pt idx="720">
                  <c:v>5490</c:v>
                </c:pt>
                <c:pt idx="721">
                  <c:v>5490</c:v>
                </c:pt>
                <c:pt idx="722">
                  <c:v>5490</c:v>
                </c:pt>
                <c:pt idx="723">
                  <c:v>5510</c:v>
                </c:pt>
                <c:pt idx="724">
                  <c:v>5510</c:v>
                </c:pt>
                <c:pt idx="725">
                  <c:v>5510</c:v>
                </c:pt>
                <c:pt idx="726">
                  <c:v>5510</c:v>
                </c:pt>
                <c:pt idx="727">
                  <c:v>5520</c:v>
                </c:pt>
                <c:pt idx="728">
                  <c:v>5520</c:v>
                </c:pt>
                <c:pt idx="729">
                  <c:v>5520</c:v>
                </c:pt>
                <c:pt idx="730">
                  <c:v>5520</c:v>
                </c:pt>
                <c:pt idx="731">
                  <c:v>5520</c:v>
                </c:pt>
                <c:pt idx="732">
                  <c:v>5530</c:v>
                </c:pt>
                <c:pt idx="733">
                  <c:v>5530</c:v>
                </c:pt>
                <c:pt idx="734">
                  <c:v>5530</c:v>
                </c:pt>
                <c:pt idx="735">
                  <c:v>5530</c:v>
                </c:pt>
                <c:pt idx="736">
                  <c:v>5550</c:v>
                </c:pt>
                <c:pt idx="737">
                  <c:v>5550</c:v>
                </c:pt>
                <c:pt idx="738">
                  <c:v>5550</c:v>
                </c:pt>
                <c:pt idx="739">
                  <c:v>5550</c:v>
                </c:pt>
                <c:pt idx="740">
                  <c:v>5550</c:v>
                </c:pt>
                <c:pt idx="741">
                  <c:v>5560</c:v>
                </c:pt>
                <c:pt idx="742">
                  <c:v>5560</c:v>
                </c:pt>
                <c:pt idx="743">
                  <c:v>5560</c:v>
                </c:pt>
                <c:pt idx="744">
                  <c:v>5560</c:v>
                </c:pt>
                <c:pt idx="745">
                  <c:v>5560</c:v>
                </c:pt>
                <c:pt idx="746">
                  <c:v>5580</c:v>
                </c:pt>
                <c:pt idx="747">
                  <c:v>5580</c:v>
                </c:pt>
                <c:pt idx="748">
                  <c:v>5580</c:v>
                </c:pt>
                <c:pt idx="749">
                  <c:v>5580</c:v>
                </c:pt>
                <c:pt idx="750">
                  <c:v>5580</c:v>
                </c:pt>
                <c:pt idx="751">
                  <c:v>5580</c:v>
                </c:pt>
                <c:pt idx="752">
                  <c:v>5580</c:v>
                </c:pt>
                <c:pt idx="753">
                  <c:v>5580</c:v>
                </c:pt>
                <c:pt idx="754">
                  <c:v>5580</c:v>
                </c:pt>
                <c:pt idx="755">
                  <c:v>5590</c:v>
                </c:pt>
                <c:pt idx="756">
                  <c:v>5590</c:v>
                </c:pt>
                <c:pt idx="757">
                  <c:v>5590</c:v>
                </c:pt>
                <c:pt idx="758">
                  <c:v>5590</c:v>
                </c:pt>
                <c:pt idx="759">
                  <c:v>5590</c:v>
                </c:pt>
                <c:pt idx="760">
                  <c:v>5590</c:v>
                </c:pt>
                <c:pt idx="761">
                  <c:v>5590</c:v>
                </c:pt>
                <c:pt idx="762">
                  <c:v>5590</c:v>
                </c:pt>
                <c:pt idx="763">
                  <c:v>5590</c:v>
                </c:pt>
                <c:pt idx="764">
                  <c:v>5590</c:v>
                </c:pt>
                <c:pt idx="765">
                  <c:v>5590</c:v>
                </c:pt>
                <c:pt idx="766">
                  <c:v>5590</c:v>
                </c:pt>
                <c:pt idx="767">
                  <c:v>5590</c:v>
                </c:pt>
                <c:pt idx="768">
                  <c:v>5590</c:v>
                </c:pt>
                <c:pt idx="769">
                  <c:v>5590</c:v>
                </c:pt>
                <c:pt idx="770">
                  <c:v>5590</c:v>
                </c:pt>
                <c:pt idx="771">
                  <c:v>5590</c:v>
                </c:pt>
                <c:pt idx="772">
                  <c:v>5590</c:v>
                </c:pt>
                <c:pt idx="773">
                  <c:v>5610</c:v>
                </c:pt>
                <c:pt idx="774">
                  <c:v>5610</c:v>
                </c:pt>
                <c:pt idx="775">
                  <c:v>5610</c:v>
                </c:pt>
                <c:pt idx="776">
                  <c:v>5610</c:v>
                </c:pt>
                <c:pt idx="777">
                  <c:v>5610</c:v>
                </c:pt>
                <c:pt idx="778">
                  <c:v>5610</c:v>
                </c:pt>
                <c:pt idx="779">
                  <c:v>5610</c:v>
                </c:pt>
                <c:pt idx="780">
                  <c:v>5610</c:v>
                </c:pt>
                <c:pt idx="781">
                  <c:v>5610</c:v>
                </c:pt>
                <c:pt idx="782">
                  <c:v>5610</c:v>
                </c:pt>
                <c:pt idx="783">
                  <c:v>5610</c:v>
                </c:pt>
                <c:pt idx="784">
                  <c:v>5610</c:v>
                </c:pt>
                <c:pt idx="785">
                  <c:v>5610</c:v>
                </c:pt>
                <c:pt idx="786">
                  <c:v>5610</c:v>
                </c:pt>
                <c:pt idx="787">
                  <c:v>5610</c:v>
                </c:pt>
                <c:pt idx="788">
                  <c:v>5590</c:v>
                </c:pt>
                <c:pt idx="789">
                  <c:v>5590</c:v>
                </c:pt>
                <c:pt idx="790">
                  <c:v>5590</c:v>
                </c:pt>
                <c:pt idx="791">
                  <c:v>5590</c:v>
                </c:pt>
                <c:pt idx="792">
                  <c:v>5590</c:v>
                </c:pt>
                <c:pt idx="793">
                  <c:v>5580</c:v>
                </c:pt>
                <c:pt idx="794">
                  <c:v>5580</c:v>
                </c:pt>
                <c:pt idx="795">
                  <c:v>5580</c:v>
                </c:pt>
                <c:pt idx="796">
                  <c:v>5580</c:v>
                </c:pt>
                <c:pt idx="797">
                  <c:v>5580</c:v>
                </c:pt>
                <c:pt idx="798">
                  <c:v>5580</c:v>
                </c:pt>
                <c:pt idx="799">
                  <c:v>5560</c:v>
                </c:pt>
                <c:pt idx="800">
                  <c:v>5560</c:v>
                </c:pt>
                <c:pt idx="801">
                  <c:v>5560</c:v>
                </c:pt>
                <c:pt idx="802">
                  <c:v>5560</c:v>
                </c:pt>
                <c:pt idx="803">
                  <c:v>5560</c:v>
                </c:pt>
                <c:pt idx="804">
                  <c:v>5560</c:v>
                </c:pt>
                <c:pt idx="805">
                  <c:v>5560</c:v>
                </c:pt>
                <c:pt idx="806">
                  <c:v>5560</c:v>
                </c:pt>
                <c:pt idx="807">
                  <c:v>5560</c:v>
                </c:pt>
                <c:pt idx="808">
                  <c:v>5560</c:v>
                </c:pt>
                <c:pt idx="809">
                  <c:v>5550</c:v>
                </c:pt>
                <c:pt idx="810">
                  <c:v>5550</c:v>
                </c:pt>
                <c:pt idx="811">
                  <c:v>5550</c:v>
                </c:pt>
                <c:pt idx="812">
                  <c:v>5550</c:v>
                </c:pt>
                <c:pt idx="813">
                  <c:v>5550</c:v>
                </c:pt>
                <c:pt idx="814">
                  <c:v>5550</c:v>
                </c:pt>
                <c:pt idx="815">
                  <c:v>5550</c:v>
                </c:pt>
                <c:pt idx="816">
                  <c:v>5550</c:v>
                </c:pt>
                <c:pt idx="817">
                  <c:v>5550</c:v>
                </c:pt>
                <c:pt idx="818">
                  <c:v>5550</c:v>
                </c:pt>
                <c:pt idx="819">
                  <c:v>5550</c:v>
                </c:pt>
                <c:pt idx="820">
                  <c:v>5550</c:v>
                </c:pt>
                <c:pt idx="821">
                  <c:v>5550</c:v>
                </c:pt>
                <c:pt idx="822">
                  <c:v>5550</c:v>
                </c:pt>
                <c:pt idx="823">
                  <c:v>5550</c:v>
                </c:pt>
                <c:pt idx="824">
                  <c:v>5550</c:v>
                </c:pt>
                <c:pt idx="825">
                  <c:v>5550</c:v>
                </c:pt>
                <c:pt idx="826">
                  <c:v>5550</c:v>
                </c:pt>
                <c:pt idx="827">
                  <c:v>5550</c:v>
                </c:pt>
                <c:pt idx="828">
                  <c:v>5550</c:v>
                </c:pt>
                <c:pt idx="829">
                  <c:v>5550</c:v>
                </c:pt>
                <c:pt idx="830">
                  <c:v>5550</c:v>
                </c:pt>
                <c:pt idx="831">
                  <c:v>5550</c:v>
                </c:pt>
                <c:pt idx="832">
                  <c:v>5550</c:v>
                </c:pt>
                <c:pt idx="833">
                  <c:v>5550</c:v>
                </c:pt>
                <c:pt idx="834">
                  <c:v>5550</c:v>
                </c:pt>
                <c:pt idx="835">
                  <c:v>5550</c:v>
                </c:pt>
                <c:pt idx="836">
                  <c:v>5550</c:v>
                </c:pt>
                <c:pt idx="837">
                  <c:v>5550</c:v>
                </c:pt>
                <c:pt idx="838">
                  <c:v>5550</c:v>
                </c:pt>
                <c:pt idx="839">
                  <c:v>5550</c:v>
                </c:pt>
                <c:pt idx="840">
                  <c:v>5550</c:v>
                </c:pt>
                <c:pt idx="841">
                  <c:v>5550</c:v>
                </c:pt>
                <c:pt idx="842">
                  <c:v>5530</c:v>
                </c:pt>
                <c:pt idx="843">
                  <c:v>5530</c:v>
                </c:pt>
                <c:pt idx="844">
                  <c:v>5530</c:v>
                </c:pt>
                <c:pt idx="845">
                  <c:v>5530</c:v>
                </c:pt>
                <c:pt idx="846">
                  <c:v>5530</c:v>
                </c:pt>
                <c:pt idx="847">
                  <c:v>5520</c:v>
                </c:pt>
                <c:pt idx="848">
                  <c:v>5520</c:v>
                </c:pt>
                <c:pt idx="849">
                  <c:v>5520</c:v>
                </c:pt>
                <c:pt idx="850">
                  <c:v>5520</c:v>
                </c:pt>
                <c:pt idx="851">
                  <c:v>5510</c:v>
                </c:pt>
                <c:pt idx="852">
                  <c:v>5510</c:v>
                </c:pt>
                <c:pt idx="853">
                  <c:v>5510</c:v>
                </c:pt>
                <c:pt idx="854">
                  <c:v>5490</c:v>
                </c:pt>
                <c:pt idx="855">
                  <c:v>5490</c:v>
                </c:pt>
                <c:pt idx="856">
                  <c:v>5490</c:v>
                </c:pt>
                <c:pt idx="857">
                  <c:v>5480</c:v>
                </c:pt>
                <c:pt idx="858">
                  <c:v>5480</c:v>
                </c:pt>
                <c:pt idx="859">
                  <c:v>5480</c:v>
                </c:pt>
                <c:pt idx="860">
                  <c:v>5460</c:v>
                </c:pt>
                <c:pt idx="861">
                  <c:v>5460</c:v>
                </c:pt>
                <c:pt idx="862">
                  <c:v>5460</c:v>
                </c:pt>
                <c:pt idx="863">
                  <c:v>5450</c:v>
                </c:pt>
                <c:pt idx="864">
                  <c:v>5450</c:v>
                </c:pt>
                <c:pt idx="865">
                  <c:v>5430</c:v>
                </c:pt>
                <c:pt idx="866">
                  <c:v>5430</c:v>
                </c:pt>
                <c:pt idx="867">
                  <c:v>5430</c:v>
                </c:pt>
                <c:pt idx="868">
                  <c:v>5430</c:v>
                </c:pt>
                <c:pt idx="869">
                  <c:v>5420</c:v>
                </c:pt>
                <c:pt idx="870">
                  <c:v>5420</c:v>
                </c:pt>
                <c:pt idx="871">
                  <c:v>5400</c:v>
                </c:pt>
                <c:pt idx="872">
                  <c:v>5400</c:v>
                </c:pt>
                <c:pt idx="873">
                  <c:v>5400</c:v>
                </c:pt>
                <c:pt idx="874">
                  <c:v>5400</c:v>
                </c:pt>
                <c:pt idx="875">
                  <c:v>5390</c:v>
                </c:pt>
                <c:pt idx="876">
                  <c:v>5390</c:v>
                </c:pt>
                <c:pt idx="877">
                  <c:v>5390</c:v>
                </c:pt>
                <c:pt idx="878">
                  <c:v>5370</c:v>
                </c:pt>
                <c:pt idx="879">
                  <c:v>5370</c:v>
                </c:pt>
                <c:pt idx="880">
                  <c:v>5370</c:v>
                </c:pt>
                <c:pt idx="881">
                  <c:v>5370</c:v>
                </c:pt>
                <c:pt idx="882">
                  <c:v>5370</c:v>
                </c:pt>
                <c:pt idx="883">
                  <c:v>5360</c:v>
                </c:pt>
                <c:pt idx="884">
                  <c:v>5360</c:v>
                </c:pt>
                <c:pt idx="885">
                  <c:v>5360</c:v>
                </c:pt>
                <c:pt idx="886">
                  <c:v>5360</c:v>
                </c:pt>
                <c:pt idx="887">
                  <c:v>5360</c:v>
                </c:pt>
                <c:pt idx="888">
                  <c:v>5350</c:v>
                </c:pt>
                <c:pt idx="889">
                  <c:v>5350</c:v>
                </c:pt>
                <c:pt idx="890">
                  <c:v>5350</c:v>
                </c:pt>
                <c:pt idx="891">
                  <c:v>5350</c:v>
                </c:pt>
                <c:pt idx="892">
                  <c:v>5350</c:v>
                </c:pt>
                <c:pt idx="893">
                  <c:v>5350</c:v>
                </c:pt>
                <c:pt idx="894">
                  <c:v>5330</c:v>
                </c:pt>
                <c:pt idx="895">
                  <c:v>5330</c:v>
                </c:pt>
                <c:pt idx="896">
                  <c:v>5330</c:v>
                </c:pt>
                <c:pt idx="897">
                  <c:v>5320</c:v>
                </c:pt>
                <c:pt idx="898">
                  <c:v>5320</c:v>
                </c:pt>
                <c:pt idx="899">
                  <c:v>5320</c:v>
                </c:pt>
                <c:pt idx="900">
                  <c:v>5320</c:v>
                </c:pt>
                <c:pt idx="901">
                  <c:v>5300</c:v>
                </c:pt>
                <c:pt idx="902">
                  <c:v>5300</c:v>
                </c:pt>
                <c:pt idx="903">
                  <c:v>5300</c:v>
                </c:pt>
                <c:pt idx="904">
                  <c:v>5300</c:v>
                </c:pt>
                <c:pt idx="905">
                  <c:v>5300</c:v>
                </c:pt>
                <c:pt idx="906">
                  <c:v>5300</c:v>
                </c:pt>
                <c:pt idx="907">
                  <c:v>5290</c:v>
                </c:pt>
                <c:pt idx="908">
                  <c:v>5290</c:v>
                </c:pt>
                <c:pt idx="909">
                  <c:v>5290</c:v>
                </c:pt>
                <c:pt idx="910">
                  <c:v>5290</c:v>
                </c:pt>
                <c:pt idx="911">
                  <c:v>5290</c:v>
                </c:pt>
                <c:pt idx="912">
                  <c:v>5290</c:v>
                </c:pt>
                <c:pt idx="913">
                  <c:v>5290</c:v>
                </c:pt>
                <c:pt idx="914">
                  <c:v>5270</c:v>
                </c:pt>
                <c:pt idx="915">
                  <c:v>5270</c:v>
                </c:pt>
                <c:pt idx="916">
                  <c:v>5270</c:v>
                </c:pt>
                <c:pt idx="917">
                  <c:v>5270</c:v>
                </c:pt>
                <c:pt idx="918">
                  <c:v>5270</c:v>
                </c:pt>
                <c:pt idx="919">
                  <c:v>5260</c:v>
                </c:pt>
                <c:pt idx="920">
                  <c:v>5260</c:v>
                </c:pt>
                <c:pt idx="921">
                  <c:v>5260</c:v>
                </c:pt>
                <c:pt idx="922">
                  <c:v>5260</c:v>
                </c:pt>
                <c:pt idx="923">
                  <c:v>5240</c:v>
                </c:pt>
                <c:pt idx="924">
                  <c:v>5240</c:v>
                </c:pt>
                <c:pt idx="925">
                  <c:v>5230</c:v>
                </c:pt>
                <c:pt idx="926">
                  <c:v>5230</c:v>
                </c:pt>
                <c:pt idx="927">
                  <c:v>5220</c:v>
                </c:pt>
                <c:pt idx="928">
                  <c:v>5200</c:v>
                </c:pt>
                <c:pt idx="929">
                  <c:v>5200</c:v>
                </c:pt>
                <c:pt idx="930">
                  <c:v>5190</c:v>
                </c:pt>
                <c:pt idx="931">
                  <c:v>5190</c:v>
                </c:pt>
                <c:pt idx="932">
                  <c:v>5170</c:v>
                </c:pt>
                <c:pt idx="933">
                  <c:v>5160</c:v>
                </c:pt>
                <c:pt idx="934">
                  <c:v>5160</c:v>
                </c:pt>
                <c:pt idx="935">
                  <c:v>5140</c:v>
                </c:pt>
                <c:pt idx="936">
                  <c:v>5140</c:v>
                </c:pt>
                <c:pt idx="937">
                  <c:v>5130</c:v>
                </c:pt>
                <c:pt idx="938">
                  <c:v>5130</c:v>
                </c:pt>
                <c:pt idx="939">
                  <c:v>5120</c:v>
                </c:pt>
                <c:pt idx="940">
                  <c:v>5120</c:v>
                </c:pt>
                <c:pt idx="941">
                  <c:v>5120</c:v>
                </c:pt>
                <c:pt idx="942">
                  <c:v>5100</c:v>
                </c:pt>
                <c:pt idx="943">
                  <c:v>5100</c:v>
                </c:pt>
                <c:pt idx="944">
                  <c:v>5100</c:v>
                </c:pt>
                <c:pt idx="945">
                  <c:v>5090</c:v>
                </c:pt>
                <c:pt idx="946">
                  <c:v>5090</c:v>
                </c:pt>
                <c:pt idx="947">
                  <c:v>5090</c:v>
                </c:pt>
                <c:pt idx="948">
                  <c:v>5070</c:v>
                </c:pt>
                <c:pt idx="949">
                  <c:v>5070</c:v>
                </c:pt>
                <c:pt idx="950">
                  <c:v>5060</c:v>
                </c:pt>
                <c:pt idx="951">
                  <c:v>5060</c:v>
                </c:pt>
                <c:pt idx="952">
                  <c:v>5060</c:v>
                </c:pt>
                <c:pt idx="953">
                  <c:v>5040</c:v>
                </c:pt>
                <c:pt idx="954">
                  <c:v>5040</c:v>
                </c:pt>
                <c:pt idx="955">
                  <c:v>5030</c:v>
                </c:pt>
                <c:pt idx="956">
                  <c:v>5030</c:v>
                </c:pt>
                <c:pt idx="957">
                  <c:v>5030</c:v>
                </c:pt>
                <c:pt idx="958">
                  <c:v>5020</c:v>
                </c:pt>
                <c:pt idx="959">
                  <c:v>5020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4990</c:v>
                </c:pt>
                <c:pt idx="964">
                  <c:v>4990</c:v>
                </c:pt>
                <c:pt idx="965">
                  <c:v>4990</c:v>
                </c:pt>
                <c:pt idx="966">
                  <c:v>4970</c:v>
                </c:pt>
                <c:pt idx="967">
                  <c:v>4970</c:v>
                </c:pt>
                <c:pt idx="968">
                  <c:v>4970</c:v>
                </c:pt>
                <c:pt idx="969">
                  <c:v>4970</c:v>
                </c:pt>
                <c:pt idx="970">
                  <c:v>4960</c:v>
                </c:pt>
                <c:pt idx="971">
                  <c:v>4960</c:v>
                </c:pt>
                <c:pt idx="972">
                  <c:v>4960</c:v>
                </c:pt>
                <c:pt idx="973">
                  <c:v>4950</c:v>
                </c:pt>
                <c:pt idx="974">
                  <c:v>4950</c:v>
                </c:pt>
                <c:pt idx="975">
                  <c:v>4950</c:v>
                </c:pt>
                <c:pt idx="976">
                  <c:v>4930</c:v>
                </c:pt>
                <c:pt idx="977">
                  <c:v>4930</c:v>
                </c:pt>
                <c:pt idx="978">
                  <c:v>4920</c:v>
                </c:pt>
                <c:pt idx="979">
                  <c:v>4920</c:v>
                </c:pt>
                <c:pt idx="980">
                  <c:v>4920</c:v>
                </c:pt>
                <c:pt idx="981">
                  <c:v>4900</c:v>
                </c:pt>
                <c:pt idx="982">
                  <c:v>4900</c:v>
                </c:pt>
                <c:pt idx="983">
                  <c:v>4890</c:v>
                </c:pt>
                <c:pt idx="984">
                  <c:v>4890</c:v>
                </c:pt>
                <c:pt idx="985">
                  <c:v>4890</c:v>
                </c:pt>
                <c:pt idx="986">
                  <c:v>4890</c:v>
                </c:pt>
                <c:pt idx="987">
                  <c:v>4870</c:v>
                </c:pt>
                <c:pt idx="988">
                  <c:v>4870</c:v>
                </c:pt>
                <c:pt idx="989">
                  <c:v>4870</c:v>
                </c:pt>
                <c:pt idx="990">
                  <c:v>4860</c:v>
                </c:pt>
                <c:pt idx="991">
                  <c:v>4860</c:v>
                </c:pt>
                <c:pt idx="992">
                  <c:v>4860</c:v>
                </c:pt>
                <c:pt idx="993">
                  <c:v>4850</c:v>
                </c:pt>
                <c:pt idx="994">
                  <c:v>4850</c:v>
                </c:pt>
                <c:pt idx="995">
                  <c:v>4850</c:v>
                </c:pt>
                <c:pt idx="996">
                  <c:v>4830</c:v>
                </c:pt>
                <c:pt idx="997">
                  <c:v>4830</c:v>
                </c:pt>
                <c:pt idx="998">
                  <c:v>4830</c:v>
                </c:pt>
                <c:pt idx="999">
                  <c:v>4830</c:v>
                </c:pt>
                <c:pt idx="1000">
                  <c:v>4830</c:v>
                </c:pt>
                <c:pt idx="1001">
                  <c:v>4830</c:v>
                </c:pt>
                <c:pt idx="1002">
                  <c:v>4820</c:v>
                </c:pt>
                <c:pt idx="1003">
                  <c:v>4820</c:v>
                </c:pt>
                <c:pt idx="1004">
                  <c:v>4820</c:v>
                </c:pt>
                <c:pt idx="1005">
                  <c:v>4820</c:v>
                </c:pt>
                <c:pt idx="1006">
                  <c:v>4820</c:v>
                </c:pt>
                <c:pt idx="1007">
                  <c:v>4820</c:v>
                </c:pt>
                <c:pt idx="1008">
                  <c:v>4820</c:v>
                </c:pt>
                <c:pt idx="1009">
                  <c:v>4820</c:v>
                </c:pt>
                <c:pt idx="1010">
                  <c:v>4820</c:v>
                </c:pt>
                <c:pt idx="1011">
                  <c:v>4800</c:v>
                </c:pt>
                <c:pt idx="1012">
                  <c:v>4800</c:v>
                </c:pt>
                <c:pt idx="1013">
                  <c:v>4800</c:v>
                </c:pt>
                <c:pt idx="1014">
                  <c:v>4800</c:v>
                </c:pt>
                <c:pt idx="1015">
                  <c:v>4790</c:v>
                </c:pt>
                <c:pt idx="1016">
                  <c:v>4790</c:v>
                </c:pt>
                <c:pt idx="1017">
                  <c:v>4790</c:v>
                </c:pt>
                <c:pt idx="1018">
                  <c:v>4780</c:v>
                </c:pt>
                <c:pt idx="1019">
                  <c:v>4780</c:v>
                </c:pt>
                <c:pt idx="1020">
                  <c:v>4780</c:v>
                </c:pt>
                <c:pt idx="1021">
                  <c:v>4780</c:v>
                </c:pt>
                <c:pt idx="1022">
                  <c:v>4760</c:v>
                </c:pt>
                <c:pt idx="1023">
                  <c:v>4760</c:v>
                </c:pt>
                <c:pt idx="1024">
                  <c:v>4750</c:v>
                </c:pt>
                <c:pt idx="1025">
                  <c:v>4750</c:v>
                </c:pt>
                <c:pt idx="1026">
                  <c:v>4730</c:v>
                </c:pt>
                <c:pt idx="1027">
                  <c:v>4730</c:v>
                </c:pt>
                <c:pt idx="1028">
                  <c:v>4730</c:v>
                </c:pt>
                <c:pt idx="1029">
                  <c:v>4720</c:v>
                </c:pt>
                <c:pt idx="1030">
                  <c:v>4720</c:v>
                </c:pt>
                <c:pt idx="1031">
                  <c:v>4710</c:v>
                </c:pt>
                <c:pt idx="1032">
                  <c:v>4710</c:v>
                </c:pt>
                <c:pt idx="1033">
                  <c:v>4690</c:v>
                </c:pt>
                <c:pt idx="1034">
                  <c:v>4690</c:v>
                </c:pt>
                <c:pt idx="1035">
                  <c:v>4680</c:v>
                </c:pt>
                <c:pt idx="1036">
                  <c:v>4680</c:v>
                </c:pt>
                <c:pt idx="1037">
                  <c:v>4670</c:v>
                </c:pt>
                <c:pt idx="1038">
                  <c:v>4670</c:v>
                </c:pt>
                <c:pt idx="1039">
                  <c:v>4670</c:v>
                </c:pt>
                <c:pt idx="1040">
                  <c:v>4650</c:v>
                </c:pt>
                <c:pt idx="1041">
                  <c:v>4650</c:v>
                </c:pt>
                <c:pt idx="1042">
                  <c:v>4650</c:v>
                </c:pt>
                <c:pt idx="1043">
                  <c:v>4640</c:v>
                </c:pt>
                <c:pt idx="1044">
                  <c:v>4640</c:v>
                </c:pt>
                <c:pt idx="1045">
                  <c:v>4620</c:v>
                </c:pt>
                <c:pt idx="1046">
                  <c:v>4620</c:v>
                </c:pt>
                <c:pt idx="1047">
                  <c:v>4610</c:v>
                </c:pt>
                <c:pt idx="1048">
                  <c:v>4610</c:v>
                </c:pt>
                <c:pt idx="1049">
                  <c:v>4600</c:v>
                </c:pt>
                <c:pt idx="1050">
                  <c:v>4580</c:v>
                </c:pt>
                <c:pt idx="1051">
                  <c:v>4580</c:v>
                </c:pt>
                <c:pt idx="1052">
                  <c:v>4570</c:v>
                </c:pt>
                <c:pt idx="1053">
                  <c:v>4560</c:v>
                </c:pt>
                <c:pt idx="1054">
                  <c:v>4560</c:v>
                </c:pt>
                <c:pt idx="1055">
                  <c:v>4540</c:v>
                </c:pt>
                <c:pt idx="1056">
                  <c:v>4540</c:v>
                </c:pt>
                <c:pt idx="1057">
                  <c:v>4530</c:v>
                </c:pt>
                <c:pt idx="1058">
                  <c:v>4530</c:v>
                </c:pt>
                <c:pt idx="1059">
                  <c:v>4510</c:v>
                </c:pt>
                <c:pt idx="1060">
                  <c:v>4500</c:v>
                </c:pt>
                <c:pt idx="1061">
                  <c:v>4500</c:v>
                </c:pt>
                <c:pt idx="1062">
                  <c:v>4490</c:v>
                </c:pt>
                <c:pt idx="1063">
                  <c:v>4490</c:v>
                </c:pt>
                <c:pt idx="1064">
                  <c:v>4470</c:v>
                </c:pt>
                <c:pt idx="1065">
                  <c:v>4470</c:v>
                </c:pt>
                <c:pt idx="1066">
                  <c:v>4470</c:v>
                </c:pt>
                <c:pt idx="1067">
                  <c:v>4460</c:v>
                </c:pt>
                <c:pt idx="1068">
                  <c:v>4460</c:v>
                </c:pt>
                <c:pt idx="1069">
                  <c:v>4450</c:v>
                </c:pt>
                <c:pt idx="1070">
                  <c:v>4450</c:v>
                </c:pt>
                <c:pt idx="1071">
                  <c:v>4450</c:v>
                </c:pt>
                <c:pt idx="1072">
                  <c:v>4430</c:v>
                </c:pt>
                <c:pt idx="1073">
                  <c:v>4430</c:v>
                </c:pt>
                <c:pt idx="1074">
                  <c:v>4430</c:v>
                </c:pt>
                <c:pt idx="1075">
                  <c:v>4420</c:v>
                </c:pt>
                <c:pt idx="1076">
                  <c:v>4420</c:v>
                </c:pt>
                <c:pt idx="1077">
                  <c:v>4420</c:v>
                </c:pt>
                <c:pt idx="1078">
                  <c:v>4420</c:v>
                </c:pt>
                <c:pt idx="1079">
                  <c:v>4420</c:v>
                </c:pt>
                <c:pt idx="1080">
                  <c:v>4420</c:v>
                </c:pt>
                <c:pt idx="1081">
                  <c:v>4400</c:v>
                </c:pt>
                <c:pt idx="1082">
                  <c:v>4400</c:v>
                </c:pt>
                <c:pt idx="1083">
                  <c:v>4400</c:v>
                </c:pt>
                <c:pt idx="1084">
                  <c:v>4400</c:v>
                </c:pt>
                <c:pt idx="1085">
                  <c:v>4400</c:v>
                </c:pt>
                <c:pt idx="1086">
                  <c:v>4400</c:v>
                </c:pt>
                <c:pt idx="1087">
                  <c:v>4390</c:v>
                </c:pt>
                <c:pt idx="1088">
                  <c:v>4390</c:v>
                </c:pt>
                <c:pt idx="1089">
                  <c:v>4390</c:v>
                </c:pt>
                <c:pt idx="1090">
                  <c:v>4390</c:v>
                </c:pt>
                <c:pt idx="1091">
                  <c:v>4390</c:v>
                </c:pt>
                <c:pt idx="1092">
                  <c:v>4390</c:v>
                </c:pt>
                <c:pt idx="1093">
                  <c:v>4390</c:v>
                </c:pt>
                <c:pt idx="1094">
                  <c:v>4380</c:v>
                </c:pt>
                <c:pt idx="1095">
                  <c:v>4380</c:v>
                </c:pt>
                <c:pt idx="1096">
                  <c:v>4380</c:v>
                </c:pt>
                <c:pt idx="1097">
                  <c:v>4380</c:v>
                </c:pt>
                <c:pt idx="1098">
                  <c:v>4380</c:v>
                </c:pt>
                <c:pt idx="1099">
                  <c:v>4380</c:v>
                </c:pt>
                <c:pt idx="1100">
                  <c:v>4380</c:v>
                </c:pt>
                <c:pt idx="1101">
                  <c:v>4380</c:v>
                </c:pt>
                <c:pt idx="1102">
                  <c:v>4360</c:v>
                </c:pt>
                <c:pt idx="1103">
                  <c:v>4360</c:v>
                </c:pt>
                <c:pt idx="1104">
                  <c:v>4360</c:v>
                </c:pt>
                <c:pt idx="1105">
                  <c:v>4360</c:v>
                </c:pt>
                <c:pt idx="1106">
                  <c:v>4360</c:v>
                </c:pt>
                <c:pt idx="1107">
                  <c:v>4360</c:v>
                </c:pt>
                <c:pt idx="1108">
                  <c:v>4360</c:v>
                </c:pt>
                <c:pt idx="1109">
                  <c:v>4360</c:v>
                </c:pt>
                <c:pt idx="1110">
                  <c:v>4350</c:v>
                </c:pt>
                <c:pt idx="1111">
                  <c:v>4350</c:v>
                </c:pt>
                <c:pt idx="1112">
                  <c:v>4350</c:v>
                </c:pt>
                <c:pt idx="1113">
                  <c:v>4350</c:v>
                </c:pt>
                <c:pt idx="1114">
                  <c:v>4350</c:v>
                </c:pt>
                <c:pt idx="1115">
                  <c:v>4350</c:v>
                </c:pt>
                <c:pt idx="1116">
                  <c:v>4350</c:v>
                </c:pt>
                <c:pt idx="1117">
                  <c:v>4350</c:v>
                </c:pt>
                <c:pt idx="1118">
                  <c:v>4350</c:v>
                </c:pt>
                <c:pt idx="1119">
                  <c:v>4350</c:v>
                </c:pt>
                <c:pt idx="1120">
                  <c:v>4340</c:v>
                </c:pt>
                <c:pt idx="1121">
                  <c:v>4340</c:v>
                </c:pt>
                <c:pt idx="1122">
                  <c:v>4340</c:v>
                </c:pt>
                <c:pt idx="1123">
                  <c:v>4340</c:v>
                </c:pt>
                <c:pt idx="1124">
                  <c:v>4320</c:v>
                </c:pt>
                <c:pt idx="1125">
                  <c:v>4320</c:v>
                </c:pt>
                <c:pt idx="1126">
                  <c:v>4320</c:v>
                </c:pt>
                <c:pt idx="1127">
                  <c:v>4320</c:v>
                </c:pt>
                <c:pt idx="1128">
                  <c:v>4310</c:v>
                </c:pt>
                <c:pt idx="1129">
                  <c:v>4310</c:v>
                </c:pt>
                <c:pt idx="1130">
                  <c:v>4310</c:v>
                </c:pt>
                <c:pt idx="1131">
                  <c:v>4310</c:v>
                </c:pt>
                <c:pt idx="1132">
                  <c:v>4300</c:v>
                </c:pt>
                <c:pt idx="1133">
                  <c:v>4300</c:v>
                </c:pt>
                <c:pt idx="1134">
                  <c:v>4300</c:v>
                </c:pt>
                <c:pt idx="1135">
                  <c:v>4280</c:v>
                </c:pt>
                <c:pt idx="1136">
                  <c:v>4280</c:v>
                </c:pt>
                <c:pt idx="1137">
                  <c:v>4280</c:v>
                </c:pt>
                <c:pt idx="1138">
                  <c:v>4270</c:v>
                </c:pt>
                <c:pt idx="1139">
                  <c:v>4270</c:v>
                </c:pt>
                <c:pt idx="1140">
                  <c:v>4270</c:v>
                </c:pt>
                <c:pt idx="1141">
                  <c:v>4260</c:v>
                </c:pt>
                <c:pt idx="1142">
                  <c:v>4260</c:v>
                </c:pt>
                <c:pt idx="1143">
                  <c:v>4260</c:v>
                </c:pt>
                <c:pt idx="1144">
                  <c:v>4240</c:v>
                </c:pt>
                <c:pt idx="1145">
                  <c:v>4240</c:v>
                </c:pt>
                <c:pt idx="1146">
                  <c:v>4240</c:v>
                </c:pt>
                <c:pt idx="1147">
                  <c:v>4230</c:v>
                </c:pt>
                <c:pt idx="1148">
                  <c:v>4230</c:v>
                </c:pt>
                <c:pt idx="1149">
                  <c:v>4230</c:v>
                </c:pt>
                <c:pt idx="1150">
                  <c:v>4220</c:v>
                </c:pt>
                <c:pt idx="1151">
                  <c:v>4220</c:v>
                </c:pt>
                <c:pt idx="1152">
                  <c:v>4200</c:v>
                </c:pt>
                <c:pt idx="1153">
                  <c:v>4200</c:v>
                </c:pt>
                <c:pt idx="1154">
                  <c:v>4200</c:v>
                </c:pt>
                <c:pt idx="1155">
                  <c:v>4190</c:v>
                </c:pt>
                <c:pt idx="1156">
                  <c:v>4190</c:v>
                </c:pt>
                <c:pt idx="1157">
                  <c:v>4190</c:v>
                </c:pt>
                <c:pt idx="1158">
                  <c:v>4180</c:v>
                </c:pt>
                <c:pt idx="1159">
                  <c:v>4180</c:v>
                </c:pt>
                <c:pt idx="1160">
                  <c:v>4180</c:v>
                </c:pt>
                <c:pt idx="1161">
                  <c:v>4180</c:v>
                </c:pt>
                <c:pt idx="1162">
                  <c:v>4160</c:v>
                </c:pt>
                <c:pt idx="1163">
                  <c:v>4160</c:v>
                </c:pt>
                <c:pt idx="1164">
                  <c:v>4160</c:v>
                </c:pt>
                <c:pt idx="1165">
                  <c:v>4160</c:v>
                </c:pt>
                <c:pt idx="1166">
                  <c:v>4160</c:v>
                </c:pt>
                <c:pt idx="1167">
                  <c:v>4160</c:v>
                </c:pt>
                <c:pt idx="1168">
                  <c:v>4160</c:v>
                </c:pt>
                <c:pt idx="1169">
                  <c:v>4160</c:v>
                </c:pt>
                <c:pt idx="1170">
                  <c:v>4150</c:v>
                </c:pt>
                <c:pt idx="1171">
                  <c:v>4150</c:v>
                </c:pt>
                <c:pt idx="1172">
                  <c:v>4150</c:v>
                </c:pt>
                <c:pt idx="1173">
                  <c:v>4150</c:v>
                </c:pt>
                <c:pt idx="1174">
                  <c:v>4150</c:v>
                </c:pt>
                <c:pt idx="1175">
                  <c:v>4150</c:v>
                </c:pt>
                <c:pt idx="1176">
                  <c:v>4150</c:v>
                </c:pt>
                <c:pt idx="1177">
                  <c:v>4150</c:v>
                </c:pt>
                <c:pt idx="1178">
                  <c:v>4150</c:v>
                </c:pt>
                <c:pt idx="1179">
                  <c:v>4150</c:v>
                </c:pt>
                <c:pt idx="1180">
                  <c:v>4150</c:v>
                </c:pt>
                <c:pt idx="1181">
                  <c:v>4150</c:v>
                </c:pt>
                <c:pt idx="1182">
                  <c:v>4150</c:v>
                </c:pt>
                <c:pt idx="1183">
                  <c:v>4150</c:v>
                </c:pt>
                <c:pt idx="1184">
                  <c:v>4150</c:v>
                </c:pt>
                <c:pt idx="1185">
                  <c:v>4150</c:v>
                </c:pt>
                <c:pt idx="1186">
                  <c:v>4150</c:v>
                </c:pt>
                <c:pt idx="1187">
                  <c:v>4150</c:v>
                </c:pt>
                <c:pt idx="1188">
                  <c:v>4150</c:v>
                </c:pt>
                <c:pt idx="1189">
                  <c:v>4150</c:v>
                </c:pt>
                <c:pt idx="1190">
                  <c:v>4150</c:v>
                </c:pt>
                <c:pt idx="1191">
                  <c:v>4150</c:v>
                </c:pt>
                <c:pt idx="1192">
                  <c:v>4160</c:v>
                </c:pt>
                <c:pt idx="1193">
                  <c:v>4160</c:v>
                </c:pt>
                <c:pt idx="1194">
                  <c:v>4160</c:v>
                </c:pt>
                <c:pt idx="1195">
                  <c:v>4160</c:v>
                </c:pt>
                <c:pt idx="1196">
                  <c:v>4160</c:v>
                </c:pt>
                <c:pt idx="1197">
                  <c:v>4160</c:v>
                </c:pt>
                <c:pt idx="1198">
                  <c:v>4160</c:v>
                </c:pt>
                <c:pt idx="1199">
                  <c:v>4160</c:v>
                </c:pt>
                <c:pt idx="1200">
                  <c:v>4160</c:v>
                </c:pt>
                <c:pt idx="1201">
                  <c:v>4180</c:v>
                </c:pt>
                <c:pt idx="1202">
                  <c:v>4180</c:v>
                </c:pt>
                <c:pt idx="1203">
                  <c:v>4180</c:v>
                </c:pt>
                <c:pt idx="1204">
                  <c:v>4180</c:v>
                </c:pt>
                <c:pt idx="1205">
                  <c:v>4180</c:v>
                </c:pt>
                <c:pt idx="1206">
                  <c:v>4180</c:v>
                </c:pt>
                <c:pt idx="1207">
                  <c:v>4190</c:v>
                </c:pt>
                <c:pt idx="1208">
                  <c:v>4190</c:v>
                </c:pt>
                <c:pt idx="1209">
                  <c:v>4190</c:v>
                </c:pt>
                <c:pt idx="1210">
                  <c:v>4190</c:v>
                </c:pt>
                <c:pt idx="1211">
                  <c:v>4200</c:v>
                </c:pt>
                <c:pt idx="1212">
                  <c:v>4200</c:v>
                </c:pt>
                <c:pt idx="1213">
                  <c:v>4200</c:v>
                </c:pt>
                <c:pt idx="1214">
                  <c:v>4200</c:v>
                </c:pt>
                <c:pt idx="1215">
                  <c:v>4200</c:v>
                </c:pt>
                <c:pt idx="1216">
                  <c:v>4220</c:v>
                </c:pt>
                <c:pt idx="1217">
                  <c:v>4220</c:v>
                </c:pt>
                <c:pt idx="1218">
                  <c:v>4220</c:v>
                </c:pt>
                <c:pt idx="1219">
                  <c:v>4220</c:v>
                </c:pt>
                <c:pt idx="1220">
                  <c:v>4230</c:v>
                </c:pt>
                <c:pt idx="1221">
                  <c:v>4230</c:v>
                </c:pt>
                <c:pt idx="1222">
                  <c:v>4230</c:v>
                </c:pt>
                <c:pt idx="1223">
                  <c:v>4230</c:v>
                </c:pt>
                <c:pt idx="1224">
                  <c:v>4230</c:v>
                </c:pt>
                <c:pt idx="1225">
                  <c:v>4230</c:v>
                </c:pt>
                <c:pt idx="1226">
                  <c:v>4230</c:v>
                </c:pt>
                <c:pt idx="1227">
                  <c:v>4240</c:v>
                </c:pt>
                <c:pt idx="1228">
                  <c:v>4240</c:v>
                </c:pt>
                <c:pt idx="1229">
                  <c:v>4240</c:v>
                </c:pt>
                <c:pt idx="1230">
                  <c:v>4240</c:v>
                </c:pt>
                <c:pt idx="1231">
                  <c:v>4240</c:v>
                </c:pt>
                <c:pt idx="1232">
                  <c:v>4240</c:v>
                </c:pt>
                <c:pt idx="1233">
                  <c:v>4260</c:v>
                </c:pt>
                <c:pt idx="1234">
                  <c:v>4260</c:v>
                </c:pt>
                <c:pt idx="1235">
                  <c:v>4260</c:v>
                </c:pt>
                <c:pt idx="1236">
                  <c:v>4260</c:v>
                </c:pt>
                <c:pt idx="1237">
                  <c:v>4260</c:v>
                </c:pt>
                <c:pt idx="1238">
                  <c:v>4260</c:v>
                </c:pt>
                <c:pt idx="1239">
                  <c:v>4260</c:v>
                </c:pt>
                <c:pt idx="1240">
                  <c:v>4260</c:v>
                </c:pt>
                <c:pt idx="1241">
                  <c:v>4260</c:v>
                </c:pt>
                <c:pt idx="1242">
                  <c:v>4270</c:v>
                </c:pt>
                <c:pt idx="1243">
                  <c:v>4270</c:v>
                </c:pt>
                <c:pt idx="1244">
                  <c:v>4270</c:v>
                </c:pt>
                <c:pt idx="1245">
                  <c:v>4270</c:v>
                </c:pt>
                <c:pt idx="1246">
                  <c:v>4270</c:v>
                </c:pt>
                <c:pt idx="1247">
                  <c:v>4270</c:v>
                </c:pt>
                <c:pt idx="1248">
                  <c:v>4280</c:v>
                </c:pt>
                <c:pt idx="1249">
                  <c:v>4280</c:v>
                </c:pt>
                <c:pt idx="1250">
                  <c:v>4280</c:v>
                </c:pt>
                <c:pt idx="1251">
                  <c:v>4280</c:v>
                </c:pt>
                <c:pt idx="1252">
                  <c:v>4280</c:v>
                </c:pt>
                <c:pt idx="1253">
                  <c:v>4300</c:v>
                </c:pt>
                <c:pt idx="1254">
                  <c:v>4300</c:v>
                </c:pt>
                <c:pt idx="1255">
                  <c:v>4300</c:v>
                </c:pt>
                <c:pt idx="1256">
                  <c:v>4300</c:v>
                </c:pt>
                <c:pt idx="1257">
                  <c:v>4310</c:v>
                </c:pt>
                <c:pt idx="1258">
                  <c:v>4310</c:v>
                </c:pt>
                <c:pt idx="1259">
                  <c:v>4310</c:v>
                </c:pt>
                <c:pt idx="1260">
                  <c:v>4310</c:v>
                </c:pt>
                <c:pt idx="1261">
                  <c:v>4320</c:v>
                </c:pt>
                <c:pt idx="1262">
                  <c:v>4320</c:v>
                </c:pt>
                <c:pt idx="1263">
                  <c:v>4320</c:v>
                </c:pt>
                <c:pt idx="1264">
                  <c:v>4340</c:v>
                </c:pt>
                <c:pt idx="1265">
                  <c:v>4340</c:v>
                </c:pt>
                <c:pt idx="1266">
                  <c:v>4340</c:v>
                </c:pt>
                <c:pt idx="1267">
                  <c:v>4350</c:v>
                </c:pt>
                <c:pt idx="1268">
                  <c:v>4350</c:v>
                </c:pt>
                <c:pt idx="1269">
                  <c:v>4360</c:v>
                </c:pt>
                <c:pt idx="1270">
                  <c:v>4360</c:v>
                </c:pt>
                <c:pt idx="1271">
                  <c:v>4380</c:v>
                </c:pt>
                <c:pt idx="1272">
                  <c:v>4380</c:v>
                </c:pt>
                <c:pt idx="1273">
                  <c:v>4390</c:v>
                </c:pt>
                <c:pt idx="1274">
                  <c:v>4400</c:v>
                </c:pt>
                <c:pt idx="1275">
                  <c:v>4420</c:v>
                </c:pt>
                <c:pt idx="1276">
                  <c:v>4420</c:v>
                </c:pt>
                <c:pt idx="1277">
                  <c:v>4420</c:v>
                </c:pt>
                <c:pt idx="1278">
                  <c:v>4430</c:v>
                </c:pt>
                <c:pt idx="1279">
                  <c:v>4450</c:v>
                </c:pt>
                <c:pt idx="1280">
                  <c:v>4450</c:v>
                </c:pt>
                <c:pt idx="1281">
                  <c:v>4460</c:v>
                </c:pt>
                <c:pt idx="1282">
                  <c:v>4470</c:v>
                </c:pt>
                <c:pt idx="1283">
                  <c:v>4470</c:v>
                </c:pt>
                <c:pt idx="1284">
                  <c:v>4490</c:v>
                </c:pt>
                <c:pt idx="1285">
                  <c:v>4500</c:v>
                </c:pt>
                <c:pt idx="1286">
                  <c:v>4510</c:v>
                </c:pt>
                <c:pt idx="1287">
                  <c:v>4510</c:v>
                </c:pt>
                <c:pt idx="1288">
                  <c:v>4530</c:v>
                </c:pt>
                <c:pt idx="1289">
                  <c:v>4540</c:v>
                </c:pt>
                <c:pt idx="1290">
                  <c:v>4560</c:v>
                </c:pt>
                <c:pt idx="1291">
                  <c:v>4560</c:v>
                </c:pt>
                <c:pt idx="1292">
                  <c:v>4570</c:v>
                </c:pt>
                <c:pt idx="1293">
                  <c:v>4580</c:v>
                </c:pt>
                <c:pt idx="1294">
                  <c:v>4600</c:v>
                </c:pt>
                <c:pt idx="1295">
                  <c:v>4610</c:v>
                </c:pt>
                <c:pt idx="1296">
                  <c:v>4620</c:v>
                </c:pt>
                <c:pt idx="1297">
                  <c:v>4640</c:v>
                </c:pt>
                <c:pt idx="1298">
                  <c:v>4640</c:v>
                </c:pt>
                <c:pt idx="1299">
                  <c:v>4650</c:v>
                </c:pt>
                <c:pt idx="1300">
                  <c:v>4670</c:v>
                </c:pt>
                <c:pt idx="1301">
                  <c:v>4680</c:v>
                </c:pt>
                <c:pt idx="1302">
                  <c:v>4690</c:v>
                </c:pt>
                <c:pt idx="1303">
                  <c:v>4710</c:v>
                </c:pt>
                <c:pt idx="1304">
                  <c:v>4720</c:v>
                </c:pt>
                <c:pt idx="1305">
                  <c:v>4730</c:v>
                </c:pt>
                <c:pt idx="1306">
                  <c:v>4750</c:v>
                </c:pt>
                <c:pt idx="1307">
                  <c:v>4750</c:v>
                </c:pt>
                <c:pt idx="1308">
                  <c:v>4780</c:v>
                </c:pt>
                <c:pt idx="1309">
                  <c:v>4790</c:v>
                </c:pt>
                <c:pt idx="1310">
                  <c:v>4800</c:v>
                </c:pt>
                <c:pt idx="1311">
                  <c:v>4830</c:v>
                </c:pt>
                <c:pt idx="1312">
                  <c:v>4850</c:v>
                </c:pt>
                <c:pt idx="1313">
                  <c:v>4860</c:v>
                </c:pt>
                <c:pt idx="1314">
                  <c:v>4870</c:v>
                </c:pt>
                <c:pt idx="1315">
                  <c:v>4890</c:v>
                </c:pt>
                <c:pt idx="1316">
                  <c:v>4900</c:v>
                </c:pt>
                <c:pt idx="1317">
                  <c:v>4920</c:v>
                </c:pt>
                <c:pt idx="1318">
                  <c:v>4950</c:v>
                </c:pt>
                <c:pt idx="1319">
                  <c:v>4960</c:v>
                </c:pt>
                <c:pt idx="1320">
                  <c:v>4970</c:v>
                </c:pt>
                <c:pt idx="1321">
                  <c:v>4990</c:v>
                </c:pt>
                <c:pt idx="1322">
                  <c:v>5000</c:v>
                </c:pt>
                <c:pt idx="1323">
                  <c:v>5020</c:v>
                </c:pt>
                <c:pt idx="1324">
                  <c:v>5030</c:v>
                </c:pt>
                <c:pt idx="1325">
                  <c:v>5040</c:v>
                </c:pt>
                <c:pt idx="1326">
                  <c:v>5060</c:v>
                </c:pt>
                <c:pt idx="1327">
                  <c:v>5070</c:v>
                </c:pt>
                <c:pt idx="1328">
                  <c:v>5090</c:v>
                </c:pt>
                <c:pt idx="1329">
                  <c:v>5100</c:v>
                </c:pt>
                <c:pt idx="1330">
                  <c:v>5120</c:v>
                </c:pt>
                <c:pt idx="1331">
                  <c:v>5120</c:v>
                </c:pt>
                <c:pt idx="1332">
                  <c:v>5130</c:v>
                </c:pt>
                <c:pt idx="1333">
                  <c:v>5140</c:v>
                </c:pt>
                <c:pt idx="1334">
                  <c:v>5160</c:v>
                </c:pt>
                <c:pt idx="1335">
                  <c:v>5170</c:v>
                </c:pt>
                <c:pt idx="1336">
                  <c:v>5190</c:v>
                </c:pt>
                <c:pt idx="1337">
                  <c:v>5200</c:v>
                </c:pt>
                <c:pt idx="1338">
                  <c:v>5220</c:v>
                </c:pt>
                <c:pt idx="1339">
                  <c:v>5230</c:v>
                </c:pt>
                <c:pt idx="1340">
                  <c:v>5260</c:v>
                </c:pt>
                <c:pt idx="1341">
                  <c:v>5260</c:v>
                </c:pt>
                <c:pt idx="1342">
                  <c:v>5290</c:v>
                </c:pt>
                <c:pt idx="1343">
                  <c:v>5290</c:v>
                </c:pt>
                <c:pt idx="1344">
                  <c:v>5320</c:v>
                </c:pt>
                <c:pt idx="1345">
                  <c:v>5320</c:v>
                </c:pt>
                <c:pt idx="1346">
                  <c:v>5330</c:v>
                </c:pt>
                <c:pt idx="1347">
                  <c:v>5350</c:v>
                </c:pt>
                <c:pt idx="1348">
                  <c:v>5360</c:v>
                </c:pt>
                <c:pt idx="1349">
                  <c:v>5370</c:v>
                </c:pt>
                <c:pt idx="1350">
                  <c:v>5390</c:v>
                </c:pt>
                <c:pt idx="1351">
                  <c:v>5400</c:v>
                </c:pt>
                <c:pt idx="1352">
                  <c:v>5420</c:v>
                </c:pt>
                <c:pt idx="1353">
                  <c:v>5430</c:v>
                </c:pt>
                <c:pt idx="1354">
                  <c:v>5450</c:v>
                </c:pt>
                <c:pt idx="1355">
                  <c:v>5460</c:v>
                </c:pt>
                <c:pt idx="1356">
                  <c:v>5480</c:v>
                </c:pt>
                <c:pt idx="1357">
                  <c:v>5490</c:v>
                </c:pt>
                <c:pt idx="1358">
                  <c:v>5510</c:v>
                </c:pt>
                <c:pt idx="1359">
                  <c:v>5520</c:v>
                </c:pt>
                <c:pt idx="1360">
                  <c:v>5530</c:v>
                </c:pt>
                <c:pt idx="1361">
                  <c:v>5550</c:v>
                </c:pt>
                <c:pt idx="1362">
                  <c:v>5550</c:v>
                </c:pt>
                <c:pt idx="1363">
                  <c:v>5560</c:v>
                </c:pt>
                <c:pt idx="1364">
                  <c:v>5580</c:v>
                </c:pt>
                <c:pt idx="1365">
                  <c:v>5590</c:v>
                </c:pt>
                <c:pt idx="1366">
                  <c:v>5610</c:v>
                </c:pt>
                <c:pt idx="1367">
                  <c:v>5610</c:v>
                </c:pt>
                <c:pt idx="1368">
                  <c:v>5620</c:v>
                </c:pt>
                <c:pt idx="1369">
                  <c:v>5650</c:v>
                </c:pt>
                <c:pt idx="1370">
                  <c:v>5650</c:v>
                </c:pt>
                <c:pt idx="1371">
                  <c:v>5670</c:v>
                </c:pt>
                <c:pt idx="1372">
                  <c:v>5700</c:v>
                </c:pt>
                <c:pt idx="1373">
                  <c:v>5700</c:v>
                </c:pt>
                <c:pt idx="1374">
                  <c:v>5710</c:v>
                </c:pt>
                <c:pt idx="1375">
                  <c:v>5740</c:v>
                </c:pt>
                <c:pt idx="1376">
                  <c:v>5760</c:v>
                </c:pt>
                <c:pt idx="1377">
                  <c:v>5780</c:v>
                </c:pt>
                <c:pt idx="1378">
                  <c:v>5800</c:v>
                </c:pt>
                <c:pt idx="1379">
                  <c:v>5830</c:v>
                </c:pt>
                <c:pt idx="1380">
                  <c:v>5860</c:v>
                </c:pt>
                <c:pt idx="1381">
                  <c:v>5890</c:v>
                </c:pt>
                <c:pt idx="1382">
                  <c:v>5920</c:v>
                </c:pt>
                <c:pt idx="1383">
                  <c:v>5950</c:v>
                </c:pt>
                <c:pt idx="1384">
                  <c:v>5960</c:v>
                </c:pt>
                <c:pt idx="1385">
                  <c:v>5980</c:v>
                </c:pt>
                <c:pt idx="1386">
                  <c:v>6010</c:v>
                </c:pt>
                <c:pt idx="1387">
                  <c:v>6020</c:v>
                </c:pt>
                <c:pt idx="1388">
                  <c:v>6050</c:v>
                </c:pt>
                <c:pt idx="1389">
                  <c:v>6050</c:v>
                </c:pt>
                <c:pt idx="1390">
                  <c:v>6070</c:v>
                </c:pt>
                <c:pt idx="1391">
                  <c:v>6100</c:v>
                </c:pt>
                <c:pt idx="1392">
                  <c:v>6110</c:v>
                </c:pt>
                <c:pt idx="1393">
                  <c:v>6130</c:v>
                </c:pt>
                <c:pt idx="1394">
                  <c:v>6140</c:v>
                </c:pt>
                <c:pt idx="1395">
                  <c:v>6140</c:v>
                </c:pt>
                <c:pt idx="1396">
                  <c:v>6170</c:v>
                </c:pt>
                <c:pt idx="1397">
                  <c:v>6190</c:v>
                </c:pt>
                <c:pt idx="1398">
                  <c:v>6210</c:v>
                </c:pt>
                <c:pt idx="1399">
                  <c:v>6220</c:v>
                </c:pt>
                <c:pt idx="1400">
                  <c:v>6240</c:v>
                </c:pt>
                <c:pt idx="1401">
                  <c:v>6240</c:v>
                </c:pt>
                <c:pt idx="1402">
                  <c:v>6250</c:v>
                </c:pt>
                <c:pt idx="1403">
                  <c:v>6270</c:v>
                </c:pt>
                <c:pt idx="1404">
                  <c:v>6300</c:v>
                </c:pt>
                <c:pt idx="1405">
                  <c:v>6310</c:v>
                </c:pt>
                <c:pt idx="1406">
                  <c:v>6330</c:v>
                </c:pt>
                <c:pt idx="1407">
                  <c:v>6330</c:v>
                </c:pt>
                <c:pt idx="1408">
                  <c:v>6340</c:v>
                </c:pt>
                <c:pt idx="1409">
                  <c:v>6340</c:v>
                </c:pt>
                <c:pt idx="1410">
                  <c:v>6370</c:v>
                </c:pt>
                <c:pt idx="1411">
                  <c:v>6370</c:v>
                </c:pt>
                <c:pt idx="1412">
                  <c:v>6390</c:v>
                </c:pt>
                <c:pt idx="1413">
                  <c:v>6400</c:v>
                </c:pt>
                <c:pt idx="1414">
                  <c:v>6420</c:v>
                </c:pt>
                <c:pt idx="1415">
                  <c:v>6430</c:v>
                </c:pt>
                <c:pt idx="1416">
                  <c:v>6450</c:v>
                </c:pt>
                <c:pt idx="1417">
                  <c:v>6460</c:v>
                </c:pt>
                <c:pt idx="1418">
                  <c:v>6480</c:v>
                </c:pt>
                <c:pt idx="1419">
                  <c:v>6500</c:v>
                </c:pt>
                <c:pt idx="1420">
                  <c:v>6510</c:v>
                </c:pt>
                <c:pt idx="1421">
                  <c:v>6510</c:v>
                </c:pt>
                <c:pt idx="1422">
                  <c:v>6530</c:v>
                </c:pt>
                <c:pt idx="1423">
                  <c:v>6530</c:v>
                </c:pt>
                <c:pt idx="1424">
                  <c:v>6540</c:v>
                </c:pt>
                <c:pt idx="1425">
                  <c:v>6560</c:v>
                </c:pt>
                <c:pt idx="1426">
                  <c:v>6570</c:v>
                </c:pt>
                <c:pt idx="1427">
                  <c:v>6590</c:v>
                </c:pt>
                <c:pt idx="1428">
                  <c:v>6600</c:v>
                </c:pt>
                <c:pt idx="1429">
                  <c:v>6600</c:v>
                </c:pt>
                <c:pt idx="1430">
                  <c:v>6600</c:v>
                </c:pt>
                <c:pt idx="1431">
                  <c:v>6620</c:v>
                </c:pt>
                <c:pt idx="1432">
                  <c:v>6630</c:v>
                </c:pt>
                <c:pt idx="1433">
                  <c:v>6650</c:v>
                </c:pt>
                <c:pt idx="1434">
                  <c:v>6670</c:v>
                </c:pt>
                <c:pt idx="1435">
                  <c:v>6670</c:v>
                </c:pt>
                <c:pt idx="1436">
                  <c:v>6700</c:v>
                </c:pt>
                <c:pt idx="1437">
                  <c:v>6700</c:v>
                </c:pt>
                <c:pt idx="1438">
                  <c:v>6700</c:v>
                </c:pt>
                <c:pt idx="1439">
                  <c:v>6710</c:v>
                </c:pt>
                <c:pt idx="1440">
                  <c:v>6740</c:v>
                </c:pt>
                <c:pt idx="1441">
                  <c:v>6760</c:v>
                </c:pt>
                <c:pt idx="1442">
                  <c:v>6780</c:v>
                </c:pt>
                <c:pt idx="1443">
                  <c:v>6790</c:v>
                </c:pt>
                <c:pt idx="1444">
                  <c:v>6790</c:v>
                </c:pt>
                <c:pt idx="1445">
                  <c:v>6790</c:v>
                </c:pt>
                <c:pt idx="1446">
                  <c:v>6820</c:v>
                </c:pt>
                <c:pt idx="1447">
                  <c:v>6840</c:v>
                </c:pt>
                <c:pt idx="1448">
                  <c:v>6850</c:v>
                </c:pt>
                <c:pt idx="1449">
                  <c:v>6870</c:v>
                </c:pt>
                <c:pt idx="1450">
                  <c:v>6880</c:v>
                </c:pt>
                <c:pt idx="1451">
                  <c:v>6900</c:v>
                </c:pt>
                <c:pt idx="1452">
                  <c:v>6920</c:v>
                </c:pt>
                <c:pt idx="1453">
                  <c:v>6930</c:v>
                </c:pt>
                <c:pt idx="1454">
                  <c:v>6950</c:v>
                </c:pt>
                <c:pt idx="1455">
                  <c:v>6960</c:v>
                </c:pt>
                <c:pt idx="1456">
                  <c:v>6980</c:v>
                </c:pt>
                <c:pt idx="1457">
                  <c:v>6980</c:v>
                </c:pt>
                <c:pt idx="1458">
                  <c:v>6990</c:v>
                </c:pt>
                <c:pt idx="1459">
                  <c:v>7010</c:v>
                </c:pt>
                <c:pt idx="1460">
                  <c:v>7030</c:v>
                </c:pt>
                <c:pt idx="1461">
                  <c:v>7040</c:v>
                </c:pt>
                <c:pt idx="1462">
                  <c:v>7040</c:v>
                </c:pt>
                <c:pt idx="1463">
                  <c:v>7060</c:v>
                </c:pt>
                <c:pt idx="1464">
                  <c:v>7070</c:v>
                </c:pt>
                <c:pt idx="1465">
                  <c:v>7070</c:v>
                </c:pt>
                <c:pt idx="1466">
                  <c:v>7070</c:v>
                </c:pt>
                <c:pt idx="1467">
                  <c:v>7090</c:v>
                </c:pt>
                <c:pt idx="1468">
                  <c:v>7090</c:v>
                </c:pt>
                <c:pt idx="1469">
                  <c:v>7110</c:v>
                </c:pt>
                <c:pt idx="1470">
                  <c:v>7120</c:v>
                </c:pt>
                <c:pt idx="1471">
                  <c:v>7120</c:v>
                </c:pt>
                <c:pt idx="1472">
                  <c:v>7140</c:v>
                </c:pt>
                <c:pt idx="1473">
                  <c:v>7150</c:v>
                </c:pt>
                <c:pt idx="1474">
                  <c:v>7170</c:v>
                </c:pt>
                <c:pt idx="1475">
                  <c:v>7170</c:v>
                </c:pt>
                <c:pt idx="1476">
                  <c:v>7190</c:v>
                </c:pt>
                <c:pt idx="1477">
                  <c:v>7200</c:v>
                </c:pt>
                <c:pt idx="1478">
                  <c:v>7220</c:v>
                </c:pt>
                <c:pt idx="1479">
                  <c:v>7230</c:v>
                </c:pt>
                <c:pt idx="1480">
                  <c:v>7250</c:v>
                </c:pt>
                <c:pt idx="1481">
                  <c:v>7260</c:v>
                </c:pt>
                <c:pt idx="1482">
                  <c:v>7260</c:v>
                </c:pt>
                <c:pt idx="1483">
                  <c:v>7280</c:v>
                </c:pt>
                <c:pt idx="1484">
                  <c:v>7280</c:v>
                </c:pt>
                <c:pt idx="1485">
                  <c:v>7300</c:v>
                </c:pt>
                <c:pt idx="1486">
                  <c:v>7310</c:v>
                </c:pt>
                <c:pt idx="1487">
                  <c:v>7310</c:v>
                </c:pt>
                <c:pt idx="1488">
                  <c:v>7330</c:v>
                </c:pt>
                <c:pt idx="1489">
                  <c:v>7340</c:v>
                </c:pt>
                <c:pt idx="1490">
                  <c:v>7340</c:v>
                </c:pt>
                <c:pt idx="1491">
                  <c:v>7360</c:v>
                </c:pt>
                <c:pt idx="1492">
                  <c:v>7360</c:v>
                </c:pt>
                <c:pt idx="1493">
                  <c:v>7360</c:v>
                </c:pt>
                <c:pt idx="1494">
                  <c:v>7380</c:v>
                </c:pt>
                <c:pt idx="1495">
                  <c:v>7390</c:v>
                </c:pt>
                <c:pt idx="1496">
                  <c:v>7390</c:v>
                </c:pt>
                <c:pt idx="1497">
                  <c:v>7410</c:v>
                </c:pt>
                <c:pt idx="1498">
                  <c:v>7430</c:v>
                </c:pt>
                <c:pt idx="1499">
                  <c:v>7430</c:v>
                </c:pt>
                <c:pt idx="1500">
                  <c:v>7440</c:v>
                </c:pt>
                <c:pt idx="1501">
                  <c:v>7440</c:v>
                </c:pt>
                <c:pt idx="1502">
                  <c:v>7440</c:v>
                </c:pt>
                <c:pt idx="1503">
                  <c:v>7460</c:v>
                </c:pt>
                <c:pt idx="1504">
                  <c:v>7460</c:v>
                </c:pt>
                <c:pt idx="1505">
                  <c:v>7470</c:v>
                </c:pt>
                <c:pt idx="1506">
                  <c:v>7490</c:v>
                </c:pt>
                <c:pt idx="1507">
                  <c:v>7490</c:v>
                </c:pt>
                <c:pt idx="1508">
                  <c:v>7510</c:v>
                </c:pt>
                <c:pt idx="1509">
                  <c:v>7510</c:v>
                </c:pt>
                <c:pt idx="1510">
                  <c:v>7510</c:v>
                </c:pt>
                <c:pt idx="1511">
                  <c:v>7520</c:v>
                </c:pt>
                <c:pt idx="1512">
                  <c:v>7520</c:v>
                </c:pt>
                <c:pt idx="1513">
                  <c:v>7540</c:v>
                </c:pt>
                <c:pt idx="1514">
                  <c:v>7540</c:v>
                </c:pt>
                <c:pt idx="1515">
                  <c:v>7540</c:v>
                </c:pt>
                <c:pt idx="1516">
                  <c:v>7540</c:v>
                </c:pt>
                <c:pt idx="1517">
                  <c:v>7540</c:v>
                </c:pt>
                <c:pt idx="1518">
                  <c:v>7550</c:v>
                </c:pt>
                <c:pt idx="1519">
                  <c:v>7550</c:v>
                </c:pt>
                <c:pt idx="1520">
                  <c:v>7550</c:v>
                </c:pt>
                <c:pt idx="1521">
                  <c:v>7570</c:v>
                </c:pt>
                <c:pt idx="1522">
                  <c:v>7570</c:v>
                </c:pt>
                <c:pt idx="1523">
                  <c:v>7590</c:v>
                </c:pt>
                <c:pt idx="1524">
                  <c:v>7590</c:v>
                </c:pt>
                <c:pt idx="1525">
                  <c:v>7590</c:v>
                </c:pt>
                <c:pt idx="1526">
                  <c:v>7600</c:v>
                </c:pt>
                <c:pt idx="1527">
                  <c:v>7600</c:v>
                </c:pt>
                <c:pt idx="1528">
                  <c:v>7620</c:v>
                </c:pt>
                <c:pt idx="1529">
                  <c:v>7620</c:v>
                </c:pt>
                <c:pt idx="1530">
                  <c:v>7620</c:v>
                </c:pt>
                <c:pt idx="1531">
                  <c:v>7620</c:v>
                </c:pt>
                <c:pt idx="1532">
                  <c:v>7640</c:v>
                </c:pt>
                <c:pt idx="1533">
                  <c:v>7640</c:v>
                </c:pt>
                <c:pt idx="1534">
                  <c:v>7640</c:v>
                </c:pt>
                <c:pt idx="1535">
                  <c:v>7640</c:v>
                </c:pt>
                <c:pt idx="1536">
                  <c:v>7640</c:v>
                </c:pt>
                <c:pt idx="1537">
                  <c:v>7640</c:v>
                </c:pt>
                <c:pt idx="1538">
                  <c:v>7650</c:v>
                </c:pt>
                <c:pt idx="1539">
                  <c:v>7650</c:v>
                </c:pt>
                <c:pt idx="1540">
                  <c:v>7650</c:v>
                </c:pt>
                <c:pt idx="1541">
                  <c:v>7670</c:v>
                </c:pt>
                <c:pt idx="1542">
                  <c:v>7670</c:v>
                </c:pt>
                <c:pt idx="1543">
                  <c:v>7670</c:v>
                </c:pt>
                <c:pt idx="1544">
                  <c:v>7670</c:v>
                </c:pt>
                <c:pt idx="1545">
                  <c:v>7680</c:v>
                </c:pt>
                <c:pt idx="1546">
                  <c:v>7680</c:v>
                </c:pt>
                <c:pt idx="1547">
                  <c:v>7680</c:v>
                </c:pt>
                <c:pt idx="1548">
                  <c:v>7680</c:v>
                </c:pt>
                <c:pt idx="1549">
                  <c:v>7700</c:v>
                </c:pt>
                <c:pt idx="1550">
                  <c:v>7700</c:v>
                </c:pt>
                <c:pt idx="1551">
                  <c:v>7700</c:v>
                </c:pt>
                <c:pt idx="1552">
                  <c:v>7700</c:v>
                </c:pt>
                <c:pt idx="1553">
                  <c:v>7720</c:v>
                </c:pt>
                <c:pt idx="1554">
                  <c:v>7720</c:v>
                </c:pt>
                <c:pt idx="1555">
                  <c:v>7720</c:v>
                </c:pt>
                <c:pt idx="1556">
                  <c:v>7720</c:v>
                </c:pt>
                <c:pt idx="1557">
                  <c:v>7730</c:v>
                </c:pt>
                <c:pt idx="1558">
                  <c:v>7730</c:v>
                </c:pt>
                <c:pt idx="1559">
                  <c:v>7730</c:v>
                </c:pt>
                <c:pt idx="1560">
                  <c:v>7730</c:v>
                </c:pt>
                <c:pt idx="1561">
                  <c:v>7730</c:v>
                </c:pt>
                <c:pt idx="1562">
                  <c:v>7730</c:v>
                </c:pt>
                <c:pt idx="1563">
                  <c:v>7730</c:v>
                </c:pt>
                <c:pt idx="1564">
                  <c:v>7730</c:v>
                </c:pt>
                <c:pt idx="1565">
                  <c:v>7730</c:v>
                </c:pt>
                <c:pt idx="1566">
                  <c:v>7750</c:v>
                </c:pt>
                <c:pt idx="1567">
                  <c:v>7750</c:v>
                </c:pt>
                <c:pt idx="1568">
                  <c:v>7750</c:v>
                </c:pt>
                <c:pt idx="1569">
                  <c:v>7750</c:v>
                </c:pt>
                <c:pt idx="1570">
                  <c:v>7750</c:v>
                </c:pt>
                <c:pt idx="1571">
                  <c:v>7770</c:v>
                </c:pt>
                <c:pt idx="1572">
                  <c:v>7770</c:v>
                </c:pt>
                <c:pt idx="1573">
                  <c:v>7770</c:v>
                </c:pt>
                <c:pt idx="1574">
                  <c:v>7770</c:v>
                </c:pt>
                <c:pt idx="1575">
                  <c:v>7770</c:v>
                </c:pt>
                <c:pt idx="1576">
                  <c:v>7770</c:v>
                </c:pt>
                <c:pt idx="1577">
                  <c:v>7780</c:v>
                </c:pt>
                <c:pt idx="1578">
                  <c:v>7780</c:v>
                </c:pt>
                <c:pt idx="1579">
                  <c:v>7780</c:v>
                </c:pt>
                <c:pt idx="1580">
                  <c:v>7780</c:v>
                </c:pt>
                <c:pt idx="1581">
                  <c:v>7780</c:v>
                </c:pt>
                <c:pt idx="1582">
                  <c:v>7780</c:v>
                </c:pt>
                <c:pt idx="1583">
                  <c:v>7780</c:v>
                </c:pt>
                <c:pt idx="1584">
                  <c:v>7780</c:v>
                </c:pt>
                <c:pt idx="1585">
                  <c:v>7780</c:v>
                </c:pt>
                <c:pt idx="1586">
                  <c:v>7800</c:v>
                </c:pt>
                <c:pt idx="1587">
                  <c:v>7800</c:v>
                </c:pt>
                <c:pt idx="1588">
                  <c:v>7800</c:v>
                </c:pt>
                <c:pt idx="1589">
                  <c:v>7800</c:v>
                </c:pt>
                <c:pt idx="1590">
                  <c:v>7800</c:v>
                </c:pt>
                <c:pt idx="1591">
                  <c:v>7800</c:v>
                </c:pt>
                <c:pt idx="1592">
                  <c:v>7800</c:v>
                </c:pt>
                <c:pt idx="1593">
                  <c:v>7800</c:v>
                </c:pt>
                <c:pt idx="1594">
                  <c:v>7800</c:v>
                </c:pt>
                <c:pt idx="1595">
                  <c:v>7800</c:v>
                </c:pt>
                <c:pt idx="1596">
                  <c:v>7800</c:v>
                </c:pt>
                <c:pt idx="1597">
                  <c:v>7800</c:v>
                </c:pt>
                <c:pt idx="1598">
                  <c:v>7810</c:v>
                </c:pt>
                <c:pt idx="1599">
                  <c:v>7810</c:v>
                </c:pt>
                <c:pt idx="1600">
                  <c:v>7810</c:v>
                </c:pt>
                <c:pt idx="1601">
                  <c:v>7810</c:v>
                </c:pt>
                <c:pt idx="1602">
                  <c:v>7810</c:v>
                </c:pt>
                <c:pt idx="1603">
                  <c:v>7810</c:v>
                </c:pt>
                <c:pt idx="1604">
                  <c:v>7810</c:v>
                </c:pt>
                <c:pt idx="1605">
                  <c:v>7810</c:v>
                </c:pt>
                <c:pt idx="1606">
                  <c:v>7810</c:v>
                </c:pt>
                <c:pt idx="1607">
                  <c:v>7800</c:v>
                </c:pt>
                <c:pt idx="1608">
                  <c:v>7800</c:v>
                </c:pt>
                <c:pt idx="1609">
                  <c:v>7800</c:v>
                </c:pt>
                <c:pt idx="1610">
                  <c:v>7780</c:v>
                </c:pt>
                <c:pt idx="1611">
                  <c:v>7780</c:v>
                </c:pt>
                <c:pt idx="1612">
                  <c:v>7780</c:v>
                </c:pt>
                <c:pt idx="1613">
                  <c:v>7770</c:v>
                </c:pt>
                <c:pt idx="1614">
                  <c:v>7770</c:v>
                </c:pt>
                <c:pt idx="1615">
                  <c:v>7770</c:v>
                </c:pt>
                <c:pt idx="1616">
                  <c:v>7750</c:v>
                </c:pt>
                <c:pt idx="1617">
                  <c:v>7750</c:v>
                </c:pt>
                <c:pt idx="1618">
                  <c:v>7750</c:v>
                </c:pt>
                <c:pt idx="1619">
                  <c:v>7730</c:v>
                </c:pt>
                <c:pt idx="1620">
                  <c:v>7730</c:v>
                </c:pt>
                <c:pt idx="1621">
                  <c:v>7730</c:v>
                </c:pt>
                <c:pt idx="1622">
                  <c:v>7730</c:v>
                </c:pt>
                <c:pt idx="1623">
                  <c:v>7720</c:v>
                </c:pt>
                <c:pt idx="1624">
                  <c:v>7700</c:v>
                </c:pt>
                <c:pt idx="1625">
                  <c:v>7700</c:v>
                </c:pt>
                <c:pt idx="1626">
                  <c:v>7680</c:v>
                </c:pt>
                <c:pt idx="1627">
                  <c:v>7680</c:v>
                </c:pt>
                <c:pt idx="1628">
                  <c:v>7670</c:v>
                </c:pt>
                <c:pt idx="1629">
                  <c:v>7670</c:v>
                </c:pt>
                <c:pt idx="1630">
                  <c:v>7670</c:v>
                </c:pt>
                <c:pt idx="1631">
                  <c:v>7650</c:v>
                </c:pt>
                <c:pt idx="1632">
                  <c:v>7650</c:v>
                </c:pt>
                <c:pt idx="1633">
                  <c:v>7640</c:v>
                </c:pt>
                <c:pt idx="1634">
                  <c:v>7640</c:v>
                </c:pt>
                <c:pt idx="1635">
                  <c:v>7640</c:v>
                </c:pt>
                <c:pt idx="1636">
                  <c:v>7640</c:v>
                </c:pt>
                <c:pt idx="1637">
                  <c:v>7620</c:v>
                </c:pt>
                <c:pt idx="1638">
                  <c:v>7620</c:v>
                </c:pt>
                <c:pt idx="1639">
                  <c:v>7600</c:v>
                </c:pt>
                <c:pt idx="1640">
                  <c:v>7600</c:v>
                </c:pt>
                <c:pt idx="1641">
                  <c:v>7590</c:v>
                </c:pt>
                <c:pt idx="1642">
                  <c:v>7590</c:v>
                </c:pt>
                <c:pt idx="1643">
                  <c:v>7590</c:v>
                </c:pt>
                <c:pt idx="1644">
                  <c:v>7570</c:v>
                </c:pt>
                <c:pt idx="1645">
                  <c:v>7570</c:v>
                </c:pt>
                <c:pt idx="1646">
                  <c:v>7570</c:v>
                </c:pt>
                <c:pt idx="1647">
                  <c:v>7550</c:v>
                </c:pt>
                <c:pt idx="1648">
                  <c:v>7550</c:v>
                </c:pt>
                <c:pt idx="1649">
                  <c:v>7550</c:v>
                </c:pt>
                <c:pt idx="1650">
                  <c:v>7550</c:v>
                </c:pt>
                <c:pt idx="1651">
                  <c:v>7540</c:v>
                </c:pt>
                <c:pt idx="1652">
                  <c:v>7540</c:v>
                </c:pt>
                <c:pt idx="1653">
                  <c:v>7540</c:v>
                </c:pt>
                <c:pt idx="1654">
                  <c:v>7540</c:v>
                </c:pt>
                <c:pt idx="1655">
                  <c:v>7540</c:v>
                </c:pt>
                <c:pt idx="1656">
                  <c:v>7540</c:v>
                </c:pt>
                <c:pt idx="1657">
                  <c:v>7540</c:v>
                </c:pt>
                <c:pt idx="1658">
                  <c:v>7540</c:v>
                </c:pt>
                <c:pt idx="1659">
                  <c:v>7540</c:v>
                </c:pt>
                <c:pt idx="1660">
                  <c:v>7540</c:v>
                </c:pt>
                <c:pt idx="1661">
                  <c:v>7520</c:v>
                </c:pt>
                <c:pt idx="1662">
                  <c:v>7520</c:v>
                </c:pt>
                <c:pt idx="1663">
                  <c:v>7510</c:v>
                </c:pt>
                <c:pt idx="1664">
                  <c:v>7510</c:v>
                </c:pt>
                <c:pt idx="1665">
                  <c:v>7510</c:v>
                </c:pt>
                <c:pt idx="1666">
                  <c:v>7510</c:v>
                </c:pt>
                <c:pt idx="1667">
                  <c:v>7510</c:v>
                </c:pt>
                <c:pt idx="1668">
                  <c:v>7510</c:v>
                </c:pt>
                <c:pt idx="1669">
                  <c:v>7490</c:v>
                </c:pt>
                <c:pt idx="1670">
                  <c:v>7490</c:v>
                </c:pt>
                <c:pt idx="1671">
                  <c:v>7490</c:v>
                </c:pt>
                <c:pt idx="1672">
                  <c:v>7490</c:v>
                </c:pt>
                <c:pt idx="1673">
                  <c:v>7470</c:v>
                </c:pt>
                <c:pt idx="1674">
                  <c:v>7470</c:v>
                </c:pt>
                <c:pt idx="1675">
                  <c:v>7470</c:v>
                </c:pt>
                <c:pt idx="1676">
                  <c:v>7470</c:v>
                </c:pt>
                <c:pt idx="1677">
                  <c:v>7460</c:v>
                </c:pt>
                <c:pt idx="1678">
                  <c:v>7460</c:v>
                </c:pt>
                <c:pt idx="1679">
                  <c:v>7460</c:v>
                </c:pt>
                <c:pt idx="1680">
                  <c:v>7440</c:v>
                </c:pt>
                <c:pt idx="1681">
                  <c:v>7440</c:v>
                </c:pt>
                <c:pt idx="1682">
                  <c:v>7440</c:v>
                </c:pt>
                <c:pt idx="1683">
                  <c:v>7440</c:v>
                </c:pt>
                <c:pt idx="1684">
                  <c:v>7440</c:v>
                </c:pt>
                <c:pt idx="1685">
                  <c:v>7440</c:v>
                </c:pt>
                <c:pt idx="1686">
                  <c:v>7440</c:v>
                </c:pt>
                <c:pt idx="1687">
                  <c:v>7430</c:v>
                </c:pt>
                <c:pt idx="1688">
                  <c:v>7430</c:v>
                </c:pt>
                <c:pt idx="1689">
                  <c:v>7430</c:v>
                </c:pt>
                <c:pt idx="1690">
                  <c:v>7410</c:v>
                </c:pt>
                <c:pt idx="1691">
                  <c:v>7410</c:v>
                </c:pt>
                <c:pt idx="1692">
                  <c:v>7390</c:v>
                </c:pt>
                <c:pt idx="1693">
                  <c:v>7390</c:v>
                </c:pt>
                <c:pt idx="1694">
                  <c:v>7380</c:v>
                </c:pt>
                <c:pt idx="1695">
                  <c:v>7380</c:v>
                </c:pt>
                <c:pt idx="1696">
                  <c:v>7360</c:v>
                </c:pt>
                <c:pt idx="1697">
                  <c:v>7360</c:v>
                </c:pt>
                <c:pt idx="1698">
                  <c:v>7360</c:v>
                </c:pt>
                <c:pt idx="1699">
                  <c:v>7340</c:v>
                </c:pt>
                <c:pt idx="1700">
                  <c:v>7340</c:v>
                </c:pt>
                <c:pt idx="1701">
                  <c:v>7330</c:v>
                </c:pt>
                <c:pt idx="1702">
                  <c:v>7330</c:v>
                </c:pt>
                <c:pt idx="1703">
                  <c:v>7310</c:v>
                </c:pt>
                <c:pt idx="1704">
                  <c:v>7310</c:v>
                </c:pt>
                <c:pt idx="1705">
                  <c:v>7300</c:v>
                </c:pt>
                <c:pt idx="1706">
                  <c:v>7280</c:v>
                </c:pt>
                <c:pt idx="1707">
                  <c:v>7280</c:v>
                </c:pt>
                <c:pt idx="1708">
                  <c:v>7260</c:v>
                </c:pt>
                <c:pt idx="1709">
                  <c:v>7260</c:v>
                </c:pt>
                <c:pt idx="1710">
                  <c:v>7260</c:v>
                </c:pt>
                <c:pt idx="1711">
                  <c:v>7250</c:v>
                </c:pt>
                <c:pt idx="1712">
                  <c:v>7250</c:v>
                </c:pt>
                <c:pt idx="1713">
                  <c:v>7230</c:v>
                </c:pt>
                <c:pt idx="1714">
                  <c:v>7220</c:v>
                </c:pt>
                <c:pt idx="1715">
                  <c:v>7220</c:v>
                </c:pt>
                <c:pt idx="1716">
                  <c:v>7200</c:v>
                </c:pt>
                <c:pt idx="1717">
                  <c:v>7190</c:v>
                </c:pt>
                <c:pt idx="1718">
                  <c:v>7190</c:v>
                </c:pt>
                <c:pt idx="1719">
                  <c:v>7170</c:v>
                </c:pt>
                <c:pt idx="1720">
                  <c:v>7170</c:v>
                </c:pt>
                <c:pt idx="1721">
                  <c:v>7170</c:v>
                </c:pt>
                <c:pt idx="1722">
                  <c:v>7150</c:v>
                </c:pt>
                <c:pt idx="1723">
                  <c:v>7140</c:v>
                </c:pt>
                <c:pt idx="1724">
                  <c:v>7140</c:v>
                </c:pt>
                <c:pt idx="1725">
                  <c:v>7120</c:v>
                </c:pt>
                <c:pt idx="1726">
                  <c:v>7120</c:v>
                </c:pt>
                <c:pt idx="1727">
                  <c:v>7110</c:v>
                </c:pt>
                <c:pt idx="1728">
                  <c:v>7090</c:v>
                </c:pt>
                <c:pt idx="1729">
                  <c:v>7090</c:v>
                </c:pt>
                <c:pt idx="1730">
                  <c:v>7070</c:v>
                </c:pt>
                <c:pt idx="1731">
                  <c:v>7070</c:v>
                </c:pt>
                <c:pt idx="1732">
                  <c:v>7070</c:v>
                </c:pt>
                <c:pt idx="1733">
                  <c:v>7070</c:v>
                </c:pt>
                <c:pt idx="1734">
                  <c:v>7070</c:v>
                </c:pt>
                <c:pt idx="1735">
                  <c:v>7060</c:v>
                </c:pt>
                <c:pt idx="1736">
                  <c:v>7060</c:v>
                </c:pt>
                <c:pt idx="1737">
                  <c:v>7060</c:v>
                </c:pt>
                <c:pt idx="1738">
                  <c:v>7040</c:v>
                </c:pt>
                <c:pt idx="1739">
                  <c:v>7040</c:v>
                </c:pt>
                <c:pt idx="1740">
                  <c:v>7040</c:v>
                </c:pt>
                <c:pt idx="1741">
                  <c:v>7040</c:v>
                </c:pt>
                <c:pt idx="1742">
                  <c:v>7030</c:v>
                </c:pt>
                <c:pt idx="1743">
                  <c:v>7030</c:v>
                </c:pt>
                <c:pt idx="1744">
                  <c:v>7030</c:v>
                </c:pt>
                <c:pt idx="1745">
                  <c:v>7030</c:v>
                </c:pt>
                <c:pt idx="1746">
                  <c:v>7010</c:v>
                </c:pt>
                <c:pt idx="1747">
                  <c:v>7010</c:v>
                </c:pt>
                <c:pt idx="1748">
                  <c:v>7010</c:v>
                </c:pt>
                <c:pt idx="1749">
                  <c:v>7010</c:v>
                </c:pt>
                <c:pt idx="1750">
                  <c:v>6990</c:v>
                </c:pt>
                <c:pt idx="1751">
                  <c:v>6990</c:v>
                </c:pt>
                <c:pt idx="1752">
                  <c:v>6990</c:v>
                </c:pt>
                <c:pt idx="1753">
                  <c:v>6980</c:v>
                </c:pt>
                <c:pt idx="1754">
                  <c:v>6980</c:v>
                </c:pt>
                <c:pt idx="1755">
                  <c:v>6980</c:v>
                </c:pt>
                <c:pt idx="1756">
                  <c:v>6980</c:v>
                </c:pt>
                <c:pt idx="1757">
                  <c:v>6980</c:v>
                </c:pt>
                <c:pt idx="1758">
                  <c:v>6960</c:v>
                </c:pt>
                <c:pt idx="1759">
                  <c:v>6960</c:v>
                </c:pt>
                <c:pt idx="1760">
                  <c:v>6950</c:v>
                </c:pt>
                <c:pt idx="1761">
                  <c:v>6950</c:v>
                </c:pt>
                <c:pt idx="1762">
                  <c:v>6950</c:v>
                </c:pt>
                <c:pt idx="1763">
                  <c:v>6950</c:v>
                </c:pt>
                <c:pt idx="1764">
                  <c:v>6930</c:v>
                </c:pt>
                <c:pt idx="1765">
                  <c:v>6930</c:v>
                </c:pt>
                <c:pt idx="1766">
                  <c:v>6930</c:v>
                </c:pt>
                <c:pt idx="1767">
                  <c:v>6930</c:v>
                </c:pt>
                <c:pt idx="1768">
                  <c:v>6920</c:v>
                </c:pt>
                <c:pt idx="1769">
                  <c:v>6920</c:v>
                </c:pt>
                <c:pt idx="1770">
                  <c:v>6920</c:v>
                </c:pt>
                <c:pt idx="1771">
                  <c:v>6920</c:v>
                </c:pt>
                <c:pt idx="1772">
                  <c:v>6900</c:v>
                </c:pt>
                <c:pt idx="1773">
                  <c:v>6900</c:v>
                </c:pt>
                <c:pt idx="1774">
                  <c:v>6900</c:v>
                </c:pt>
                <c:pt idx="1775">
                  <c:v>6900</c:v>
                </c:pt>
                <c:pt idx="1776">
                  <c:v>6900</c:v>
                </c:pt>
                <c:pt idx="1777">
                  <c:v>6900</c:v>
                </c:pt>
                <c:pt idx="1778">
                  <c:v>6900</c:v>
                </c:pt>
                <c:pt idx="1779">
                  <c:v>6900</c:v>
                </c:pt>
                <c:pt idx="1780">
                  <c:v>6880</c:v>
                </c:pt>
                <c:pt idx="1781">
                  <c:v>6880</c:v>
                </c:pt>
                <c:pt idx="1782">
                  <c:v>6880</c:v>
                </c:pt>
                <c:pt idx="1783">
                  <c:v>6880</c:v>
                </c:pt>
                <c:pt idx="1784">
                  <c:v>6880</c:v>
                </c:pt>
                <c:pt idx="1785">
                  <c:v>6880</c:v>
                </c:pt>
                <c:pt idx="1786">
                  <c:v>6880</c:v>
                </c:pt>
                <c:pt idx="1787">
                  <c:v>6870</c:v>
                </c:pt>
                <c:pt idx="1788">
                  <c:v>6870</c:v>
                </c:pt>
                <c:pt idx="1789">
                  <c:v>6850</c:v>
                </c:pt>
                <c:pt idx="1790">
                  <c:v>6850</c:v>
                </c:pt>
                <c:pt idx="1791">
                  <c:v>6850</c:v>
                </c:pt>
                <c:pt idx="1792">
                  <c:v>6840</c:v>
                </c:pt>
                <c:pt idx="1793">
                  <c:v>6820</c:v>
                </c:pt>
                <c:pt idx="1794">
                  <c:v>6820</c:v>
                </c:pt>
                <c:pt idx="1795">
                  <c:v>6810</c:v>
                </c:pt>
                <c:pt idx="1796">
                  <c:v>6790</c:v>
                </c:pt>
                <c:pt idx="1797">
                  <c:v>6790</c:v>
                </c:pt>
                <c:pt idx="1798">
                  <c:v>6790</c:v>
                </c:pt>
                <c:pt idx="1799">
                  <c:v>6780</c:v>
                </c:pt>
                <c:pt idx="1800">
                  <c:v>6760</c:v>
                </c:pt>
                <c:pt idx="1801">
                  <c:v>6760</c:v>
                </c:pt>
                <c:pt idx="1802">
                  <c:v>6740</c:v>
                </c:pt>
                <c:pt idx="1803">
                  <c:v>6730</c:v>
                </c:pt>
                <c:pt idx="1804">
                  <c:v>6730</c:v>
                </c:pt>
                <c:pt idx="1805">
                  <c:v>6710</c:v>
                </c:pt>
                <c:pt idx="1806">
                  <c:v>6700</c:v>
                </c:pt>
                <c:pt idx="1807">
                  <c:v>6700</c:v>
                </c:pt>
                <c:pt idx="1808">
                  <c:v>6700</c:v>
                </c:pt>
                <c:pt idx="1809">
                  <c:v>6680</c:v>
                </c:pt>
                <c:pt idx="1810">
                  <c:v>6670</c:v>
                </c:pt>
                <c:pt idx="1811">
                  <c:v>6670</c:v>
                </c:pt>
                <c:pt idx="1812">
                  <c:v>6630</c:v>
                </c:pt>
                <c:pt idx="1813">
                  <c:v>6630</c:v>
                </c:pt>
                <c:pt idx="1814">
                  <c:v>6620</c:v>
                </c:pt>
                <c:pt idx="1815">
                  <c:v>6600</c:v>
                </c:pt>
                <c:pt idx="1816">
                  <c:v>6600</c:v>
                </c:pt>
                <c:pt idx="1817">
                  <c:v>6590</c:v>
                </c:pt>
                <c:pt idx="1818">
                  <c:v>6570</c:v>
                </c:pt>
                <c:pt idx="1819">
                  <c:v>6560</c:v>
                </c:pt>
                <c:pt idx="1820">
                  <c:v>6560</c:v>
                </c:pt>
                <c:pt idx="1821">
                  <c:v>6540</c:v>
                </c:pt>
                <c:pt idx="1822">
                  <c:v>6530</c:v>
                </c:pt>
                <c:pt idx="1823">
                  <c:v>6530</c:v>
                </c:pt>
                <c:pt idx="1824">
                  <c:v>6510</c:v>
                </c:pt>
                <c:pt idx="1825">
                  <c:v>6510</c:v>
                </c:pt>
                <c:pt idx="1826">
                  <c:v>6510</c:v>
                </c:pt>
                <c:pt idx="1827">
                  <c:v>6500</c:v>
                </c:pt>
                <c:pt idx="1828">
                  <c:v>6480</c:v>
                </c:pt>
                <c:pt idx="1829">
                  <c:v>6480</c:v>
                </c:pt>
                <c:pt idx="1830">
                  <c:v>6460</c:v>
                </c:pt>
                <c:pt idx="1831">
                  <c:v>6450</c:v>
                </c:pt>
                <c:pt idx="1832">
                  <c:v>6430</c:v>
                </c:pt>
                <c:pt idx="1833">
                  <c:v>6420</c:v>
                </c:pt>
                <c:pt idx="1834">
                  <c:v>6420</c:v>
                </c:pt>
                <c:pt idx="1835">
                  <c:v>6420</c:v>
                </c:pt>
                <c:pt idx="1836">
                  <c:v>6400</c:v>
                </c:pt>
                <c:pt idx="1837">
                  <c:v>6400</c:v>
                </c:pt>
                <c:pt idx="1838">
                  <c:v>6390</c:v>
                </c:pt>
                <c:pt idx="1839">
                  <c:v>6370</c:v>
                </c:pt>
                <c:pt idx="1840">
                  <c:v>6370</c:v>
                </c:pt>
                <c:pt idx="1841">
                  <c:v>6370</c:v>
                </c:pt>
                <c:pt idx="1842">
                  <c:v>6360</c:v>
                </c:pt>
                <c:pt idx="1843">
                  <c:v>6360</c:v>
                </c:pt>
                <c:pt idx="1844">
                  <c:v>6340</c:v>
                </c:pt>
                <c:pt idx="1845">
                  <c:v>6340</c:v>
                </c:pt>
                <c:pt idx="1846">
                  <c:v>6340</c:v>
                </c:pt>
                <c:pt idx="1847">
                  <c:v>6330</c:v>
                </c:pt>
                <c:pt idx="1848">
                  <c:v>6330</c:v>
                </c:pt>
                <c:pt idx="1849">
                  <c:v>6330</c:v>
                </c:pt>
                <c:pt idx="1850">
                  <c:v>6330</c:v>
                </c:pt>
                <c:pt idx="1851">
                  <c:v>6330</c:v>
                </c:pt>
                <c:pt idx="1852">
                  <c:v>6330</c:v>
                </c:pt>
                <c:pt idx="1853">
                  <c:v>6330</c:v>
                </c:pt>
                <c:pt idx="1854">
                  <c:v>6330</c:v>
                </c:pt>
                <c:pt idx="1855">
                  <c:v>6330</c:v>
                </c:pt>
                <c:pt idx="1856">
                  <c:v>6310</c:v>
                </c:pt>
                <c:pt idx="1857">
                  <c:v>6310</c:v>
                </c:pt>
                <c:pt idx="1858">
                  <c:v>6310</c:v>
                </c:pt>
                <c:pt idx="1859">
                  <c:v>6310</c:v>
                </c:pt>
                <c:pt idx="1860">
                  <c:v>6310</c:v>
                </c:pt>
                <c:pt idx="1861">
                  <c:v>6310</c:v>
                </c:pt>
                <c:pt idx="1862">
                  <c:v>6310</c:v>
                </c:pt>
                <c:pt idx="1863">
                  <c:v>6310</c:v>
                </c:pt>
                <c:pt idx="1864">
                  <c:v>6310</c:v>
                </c:pt>
                <c:pt idx="1865">
                  <c:v>6310</c:v>
                </c:pt>
                <c:pt idx="1866">
                  <c:v>6310</c:v>
                </c:pt>
                <c:pt idx="1867">
                  <c:v>6310</c:v>
                </c:pt>
                <c:pt idx="1868">
                  <c:v>6310</c:v>
                </c:pt>
                <c:pt idx="1869">
                  <c:v>6300</c:v>
                </c:pt>
                <c:pt idx="1870">
                  <c:v>6300</c:v>
                </c:pt>
                <c:pt idx="1871">
                  <c:v>6300</c:v>
                </c:pt>
                <c:pt idx="1872">
                  <c:v>6300</c:v>
                </c:pt>
                <c:pt idx="1873">
                  <c:v>6300</c:v>
                </c:pt>
                <c:pt idx="1874">
                  <c:v>6300</c:v>
                </c:pt>
                <c:pt idx="1875">
                  <c:v>6300</c:v>
                </c:pt>
                <c:pt idx="1876">
                  <c:v>6300</c:v>
                </c:pt>
                <c:pt idx="1877">
                  <c:v>6300</c:v>
                </c:pt>
                <c:pt idx="1878">
                  <c:v>6280</c:v>
                </c:pt>
                <c:pt idx="1879">
                  <c:v>6280</c:v>
                </c:pt>
                <c:pt idx="1880">
                  <c:v>6280</c:v>
                </c:pt>
                <c:pt idx="1881">
                  <c:v>6280</c:v>
                </c:pt>
                <c:pt idx="1882">
                  <c:v>6280</c:v>
                </c:pt>
                <c:pt idx="1883">
                  <c:v>6280</c:v>
                </c:pt>
                <c:pt idx="1884">
                  <c:v>6270</c:v>
                </c:pt>
                <c:pt idx="1885">
                  <c:v>6270</c:v>
                </c:pt>
                <c:pt idx="1886">
                  <c:v>6270</c:v>
                </c:pt>
                <c:pt idx="1887">
                  <c:v>6250</c:v>
                </c:pt>
                <c:pt idx="1888">
                  <c:v>6250</c:v>
                </c:pt>
                <c:pt idx="1889">
                  <c:v>6250</c:v>
                </c:pt>
                <c:pt idx="1890">
                  <c:v>6240</c:v>
                </c:pt>
                <c:pt idx="1891">
                  <c:v>6240</c:v>
                </c:pt>
                <c:pt idx="1892">
                  <c:v>6240</c:v>
                </c:pt>
                <c:pt idx="1893">
                  <c:v>6240</c:v>
                </c:pt>
                <c:pt idx="1894">
                  <c:v>6240</c:v>
                </c:pt>
                <c:pt idx="1895">
                  <c:v>6220</c:v>
                </c:pt>
                <c:pt idx="1896">
                  <c:v>6220</c:v>
                </c:pt>
                <c:pt idx="1897">
                  <c:v>6210</c:v>
                </c:pt>
                <c:pt idx="1898">
                  <c:v>6210</c:v>
                </c:pt>
                <c:pt idx="1899">
                  <c:v>6210</c:v>
                </c:pt>
                <c:pt idx="1900">
                  <c:v>6190</c:v>
                </c:pt>
                <c:pt idx="1901">
                  <c:v>6190</c:v>
                </c:pt>
                <c:pt idx="1902">
                  <c:v>6190</c:v>
                </c:pt>
                <c:pt idx="1903">
                  <c:v>6170</c:v>
                </c:pt>
                <c:pt idx="1904">
                  <c:v>6170</c:v>
                </c:pt>
                <c:pt idx="1905">
                  <c:v>6170</c:v>
                </c:pt>
                <c:pt idx="1906">
                  <c:v>6160</c:v>
                </c:pt>
                <c:pt idx="1907">
                  <c:v>6160</c:v>
                </c:pt>
                <c:pt idx="1908">
                  <c:v>6160</c:v>
                </c:pt>
                <c:pt idx="1909">
                  <c:v>6140</c:v>
                </c:pt>
                <c:pt idx="1910">
                  <c:v>6140</c:v>
                </c:pt>
                <c:pt idx="1911">
                  <c:v>6140</c:v>
                </c:pt>
                <c:pt idx="1912">
                  <c:v>6140</c:v>
                </c:pt>
                <c:pt idx="1913">
                  <c:v>6140</c:v>
                </c:pt>
                <c:pt idx="1914">
                  <c:v>6130</c:v>
                </c:pt>
                <c:pt idx="1915">
                  <c:v>6130</c:v>
                </c:pt>
                <c:pt idx="1916">
                  <c:v>6110</c:v>
                </c:pt>
                <c:pt idx="1917">
                  <c:v>6110</c:v>
                </c:pt>
                <c:pt idx="1918">
                  <c:v>6110</c:v>
                </c:pt>
                <c:pt idx="1919">
                  <c:v>6100</c:v>
                </c:pt>
                <c:pt idx="1920">
                  <c:v>6100</c:v>
                </c:pt>
                <c:pt idx="1921">
                  <c:v>6100</c:v>
                </c:pt>
                <c:pt idx="1922">
                  <c:v>6080</c:v>
                </c:pt>
                <c:pt idx="1923">
                  <c:v>6080</c:v>
                </c:pt>
                <c:pt idx="1924">
                  <c:v>6080</c:v>
                </c:pt>
                <c:pt idx="1925">
                  <c:v>6070</c:v>
                </c:pt>
                <c:pt idx="1926">
                  <c:v>6070</c:v>
                </c:pt>
                <c:pt idx="1927">
                  <c:v>6070</c:v>
                </c:pt>
                <c:pt idx="1928">
                  <c:v>6070</c:v>
                </c:pt>
                <c:pt idx="1929">
                  <c:v>6070</c:v>
                </c:pt>
                <c:pt idx="1930">
                  <c:v>6050</c:v>
                </c:pt>
                <c:pt idx="1931">
                  <c:v>6050</c:v>
                </c:pt>
                <c:pt idx="1932">
                  <c:v>6050</c:v>
                </c:pt>
                <c:pt idx="1933">
                  <c:v>6050</c:v>
                </c:pt>
                <c:pt idx="1934">
                  <c:v>6050</c:v>
                </c:pt>
                <c:pt idx="1935">
                  <c:v>6050</c:v>
                </c:pt>
                <c:pt idx="1936">
                  <c:v>6050</c:v>
                </c:pt>
                <c:pt idx="1937">
                  <c:v>6050</c:v>
                </c:pt>
                <c:pt idx="1938">
                  <c:v>6050</c:v>
                </c:pt>
                <c:pt idx="1939">
                  <c:v>6050</c:v>
                </c:pt>
                <c:pt idx="1940">
                  <c:v>6050</c:v>
                </c:pt>
                <c:pt idx="1941">
                  <c:v>6050</c:v>
                </c:pt>
                <c:pt idx="1942">
                  <c:v>6050</c:v>
                </c:pt>
                <c:pt idx="1943">
                  <c:v>6050</c:v>
                </c:pt>
                <c:pt idx="1944">
                  <c:v>6050</c:v>
                </c:pt>
                <c:pt idx="1945">
                  <c:v>6050</c:v>
                </c:pt>
                <c:pt idx="1946">
                  <c:v>6050</c:v>
                </c:pt>
                <c:pt idx="1947">
                  <c:v>6050</c:v>
                </c:pt>
                <c:pt idx="1948">
                  <c:v>6050</c:v>
                </c:pt>
                <c:pt idx="1949">
                  <c:v>6050</c:v>
                </c:pt>
                <c:pt idx="1950">
                  <c:v>6050</c:v>
                </c:pt>
                <c:pt idx="1951">
                  <c:v>6050</c:v>
                </c:pt>
                <c:pt idx="1952">
                  <c:v>6050</c:v>
                </c:pt>
                <c:pt idx="1953">
                  <c:v>6050</c:v>
                </c:pt>
                <c:pt idx="1954">
                  <c:v>6050</c:v>
                </c:pt>
                <c:pt idx="1955">
                  <c:v>6050</c:v>
                </c:pt>
                <c:pt idx="1956">
                  <c:v>6050</c:v>
                </c:pt>
                <c:pt idx="1957">
                  <c:v>6050</c:v>
                </c:pt>
                <c:pt idx="1958">
                  <c:v>6050</c:v>
                </c:pt>
                <c:pt idx="1959">
                  <c:v>6050</c:v>
                </c:pt>
                <c:pt idx="1960">
                  <c:v>6050</c:v>
                </c:pt>
                <c:pt idx="1961">
                  <c:v>6050</c:v>
                </c:pt>
                <c:pt idx="1962">
                  <c:v>6050</c:v>
                </c:pt>
                <c:pt idx="1963">
                  <c:v>6050</c:v>
                </c:pt>
                <c:pt idx="1964">
                  <c:v>6050</c:v>
                </c:pt>
                <c:pt idx="1965">
                  <c:v>6050</c:v>
                </c:pt>
                <c:pt idx="1966">
                  <c:v>6050</c:v>
                </c:pt>
                <c:pt idx="1967">
                  <c:v>6050</c:v>
                </c:pt>
                <c:pt idx="1968">
                  <c:v>6050</c:v>
                </c:pt>
                <c:pt idx="1969">
                  <c:v>6050</c:v>
                </c:pt>
                <c:pt idx="1970">
                  <c:v>6050</c:v>
                </c:pt>
                <c:pt idx="1971">
                  <c:v>6050</c:v>
                </c:pt>
                <c:pt idx="1972">
                  <c:v>6050</c:v>
                </c:pt>
                <c:pt idx="1973">
                  <c:v>6070</c:v>
                </c:pt>
                <c:pt idx="1974">
                  <c:v>6070</c:v>
                </c:pt>
                <c:pt idx="1975">
                  <c:v>6070</c:v>
                </c:pt>
                <c:pt idx="1976">
                  <c:v>6070</c:v>
                </c:pt>
                <c:pt idx="1977">
                  <c:v>6070</c:v>
                </c:pt>
                <c:pt idx="1978">
                  <c:v>6070</c:v>
                </c:pt>
                <c:pt idx="1979">
                  <c:v>6070</c:v>
                </c:pt>
                <c:pt idx="1980">
                  <c:v>6070</c:v>
                </c:pt>
                <c:pt idx="1981">
                  <c:v>6070</c:v>
                </c:pt>
                <c:pt idx="1982">
                  <c:v>6070</c:v>
                </c:pt>
                <c:pt idx="1983">
                  <c:v>6080</c:v>
                </c:pt>
                <c:pt idx="1984">
                  <c:v>6080</c:v>
                </c:pt>
                <c:pt idx="1985">
                  <c:v>6080</c:v>
                </c:pt>
                <c:pt idx="1986">
                  <c:v>6080</c:v>
                </c:pt>
                <c:pt idx="1987">
                  <c:v>6080</c:v>
                </c:pt>
                <c:pt idx="1988">
                  <c:v>6080</c:v>
                </c:pt>
                <c:pt idx="1989">
                  <c:v>6080</c:v>
                </c:pt>
                <c:pt idx="1990">
                  <c:v>6080</c:v>
                </c:pt>
                <c:pt idx="1991">
                  <c:v>6080</c:v>
                </c:pt>
                <c:pt idx="1992">
                  <c:v>6080</c:v>
                </c:pt>
                <c:pt idx="1993">
                  <c:v>6080</c:v>
                </c:pt>
                <c:pt idx="1994">
                  <c:v>6100</c:v>
                </c:pt>
                <c:pt idx="1995">
                  <c:v>6100</c:v>
                </c:pt>
                <c:pt idx="1996">
                  <c:v>6100</c:v>
                </c:pt>
                <c:pt idx="1997">
                  <c:v>6100</c:v>
                </c:pt>
                <c:pt idx="1998">
                  <c:v>6100</c:v>
                </c:pt>
                <c:pt idx="1999">
                  <c:v>6100</c:v>
                </c:pt>
                <c:pt idx="2000">
                  <c:v>6100</c:v>
                </c:pt>
                <c:pt idx="2001">
                  <c:v>6100</c:v>
                </c:pt>
                <c:pt idx="2002">
                  <c:v>6100</c:v>
                </c:pt>
                <c:pt idx="2003">
                  <c:v>6100</c:v>
                </c:pt>
                <c:pt idx="2004">
                  <c:v>6100</c:v>
                </c:pt>
                <c:pt idx="2005">
                  <c:v>6100</c:v>
                </c:pt>
                <c:pt idx="2006">
                  <c:v>6100</c:v>
                </c:pt>
                <c:pt idx="2007">
                  <c:v>6100</c:v>
                </c:pt>
                <c:pt idx="2008">
                  <c:v>6100</c:v>
                </c:pt>
                <c:pt idx="2009">
                  <c:v>6100</c:v>
                </c:pt>
                <c:pt idx="2010">
                  <c:v>6100</c:v>
                </c:pt>
                <c:pt idx="2011">
                  <c:v>6100</c:v>
                </c:pt>
                <c:pt idx="2012">
                  <c:v>6100</c:v>
                </c:pt>
                <c:pt idx="2013">
                  <c:v>6100</c:v>
                </c:pt>
                <c:pt idx="2014">
                  <c:v>6100</c:v>
                </c:pt>
                <c:pt idx="2015">
                  <c:v>6100</c:v>
                </c:pt>
                <c:pt idx="2016">
                  <c:v>6100</c:v>
                </c:pt>
                <c:pt idx="2017">
                  <c:v>6100</c:v>
                </c:pt>
                <c:pt idx="2018">
                  <c:v>6100</c:v>
                </c:pt>
                <c:pt idx="2019">
                  <c:v>6100</c:v>
                </c:pt>
                <c:pt idx="2020">
                  <c:v>6100</c:v>
                </c:pt>
                <c:pt idx="2021">
                  <c:v>6100</c:v>
                </c:pt>
                <c:pt idx="2022">
                  <c:v>6110</c:v>
                </c:pt>
                <c:pt idx="2023">
                  <c:v>6110</c:v>
                </c:pt>
                <c:pt idx="2024">
                  <c:v>6110</c:v>
                </c:pt>
                <c:pt idx="2025">
                  <c:v>6110</c:v>
                </c:pt>
                <c:pt idx="2026">
                  <c:v>6110</c:v>
                </c:pt>
                <c:pt idx="2027">
                  <c:v>6110</c:v>
                </c:pt>
                <c:pt idx="2028">
                  <c:v>6110</c:v>
                </c:pt>
                <c:pt idx="2029">
                  <c:v>6110</c:v>
                </c:pt>
                <c:pt idx="2030">
                  <c:v>6130</c:v>
                </c:pt>
                <c:pt idx="2031">
                  <c:v>6130</c:v>
                </c:pt>
                <c:pt idx="2032">
                  <c:v>6130</c:v>
                </c:pt>
                <c:pt idx="2033">
                  <c:v>6130</c:v>
                </c:pt>
                <c:pt idx="2034">
                  <c:v>6130</c:v>
                </c:pt>
                <c:pt idx="2035">
                  <c:v>6140</c:v>
                </c:pt>
                <c:pt idx="2036">
                  <c:v>6140</c:v>
                </c:pt>
                <c:pt idx="2037">
                  <c:v>6140</c:v>
                </c:pt>
                <c:pt idx="2038">
                  <c:v>6140</c:v>
                </c:pt>
                <c:pt idx="2039">
                  <c:v>6140</c:v>
                </c:pt>
                <c:pt idx="2040">
                  <c:v>6140</c:v>
                </c:pt>
                <c:pt idx="2041">
                  <c:v>6140</c:v>
                </c:pt>
                <c:pt idx="2042">
                  <c:v>6160</c:v>
                </c:pt>
                <c:pt idx="2043">
                  <c:v>6160</c:v>
                </c:pt>
                <c:pt idx="2044">
                  <c:v>6160</c:v>
                </c:pt>
                <c:pt idx="2045">
                  <c:v>6170</c:v>
                </c:pt>
                <c:pt idx="2046">
                  <c:v>6170</c:v>
                </c:pt>
                <c:pt idx="2047">
                  <c:v>6170</c:v>
                </c:pt>
                <c:pt idx="2048">
                  <c:v>6190</c:v>
                </c:pt>
                <c:pt idx="2049">
                  <c:v>6190</c:v>
                </c:pt>
                <c:pt idx="2050">
                  <c:v>6190</c:v>
                </c:pt>
                <c:pt idx="2051">
                  <c:v>6210</c:v>
                </c:pt>
                <c:pt idx="2052">
                  <c:v>6210</c:v>
                </c:pt>
                <c:pt idx="2053">
                  <c:v>6220</c:v>
                </c:pt>
                <c:pt idx="2054">
                  <c:v>6220</c:v>
                </c:pt>
                <c:pt idx="2055">
                  <c:v>6220</c:v>
                </c:pt>
                <c:pt idx="2056">
                  <c:v>6240</c:v>
                </c:pt>
                <c:pt idx="2057">
                  <c:v>6240</c:v>
                </c:pt>
                <c:pt idx="2058">
                  <c:v>6240</c:v>
                </c:pt>
                <c:pt idx="2059">
                  <c:v>6240</c:v>
                </c:pt>
                <c:pt idx="2060">
                  <c:v>6240</c:v>
                </c:pt>
                <c:pt idx="2061">
                  <c:v>6250</c:v>
                </c:pt>
                <c:pt idx="2062">
                  <c:v>6250</c:v>
                </c:pt>
                <c:pt idx="2063">
                  <c:v>6270</c:v>
                </c:pt>
                <c:pt idx="2064">
                  <c:v>6270</c:v>
                </c:pt>
                <c:pt idx="2065">
                  <c:v>6270</c:v>
                </c:pt>
                <c:pt idx="2066">
                  <c:v>6280</c:v>
                </c:pt>
                <c:pt idx="2067">
                  <c:v>6280</c:v>
                </c:pt>
                <c:pt idx="2068">
                  <c:v>6300</c:v>
                </c:pt>
                <c:pt idx="2069">
                  <c:v>6300</c:v>
                </c:pt>
                <c:pt idx="2070">
                  <c:v>6300</c:v>
                </c:pt>
                <c:pt idx="2071">
                  <c:v>6310</c:v>
                </c:pt>
                <c:pt idx="2072">
                  <c:v>6310</c:v>
                </c:pt>
                <c:pt idx="2073">
                  <c:v>6330</c:v>
                </c:pt>
                <c:pt idx="2074">
                  <c:v>6330</c:v>
                </c:pt>
                <c:pt idx="2075">
                  <c:v>6330</c:v>
                </c:pt>
                <c:pt idx="2076">
                  <c:v>6330</c:v>
                </c:pt>
                <c:pt idx="2077">
                  <c:v>6330</c:v>
                </c:pt>
                <c:pt idx="2078">
                  <c:v>6330</c:v>
                </c:pt>
                <c:pt idx="2079">
                  <c:v>6340</c:v>
                </c:pt>
                <c:pt idx="2080">
                  <c:v>6340</c:v>
                </c:pt>
                <c:pt idx="2081">
                  <c:v>6340</c:v>
                </c:pt>
                <c:pt idx="2082">
                  <c:v>6360</c:v>
                </c:pt>
                <c:pt idx="2083">
                  <c:v>6360</c:v>
                </c:pt>
                <c:pt idx="2084">
                  <c:v>6360</c:v>
                </c:pt>
                <c:pt idx="2085">
                  <c:v>6370</c:v>
                </c:pt>
                <c:pt idx="2086">
                  <c:v>6370</c:v>
                </c:pt>
                <c:pt idx="2087">
                  <c:v>6370</c:v>
                </c:pt>
                <c:pt idx="2088">
                  <c:v>6390</c:v>
                </c:pt>
                <c:pt idx="2089">
                  <c:v>6390</c:v>
                </c:pt>
                <c:pt idx="2090">
                  <c:v>6400</c:v>
                </c:pt>
                <c:pt idx="2091">
                  <c:v>6400</c:v>
                </c:pt>
                <c:pt idx="2092">
                  <c:v>6400</c:v>
                </c:pt>
                <c:pt idx="2093">
                  <c:v>6420</c:v>
                </c:pt>
                <c:pt idx="2094">
                  <c:v>6420</c:v>
                </c:pt>
                <c:pt idx="2095">
                  <c:v>6420</c:v>
                </c:pt>
                <c:pt idx="2096">
                  <c:v>6420</c:v>
                </c:pt>
                <c:pt idx="2097">
                  <c:v>6420</c:v>
                </c:pt>
                <c:pt idx="2098">
                  <c:v>6420</c:v>
                </c:pt>
                <c:pt idx="2099">
                  <c:v>6430</c:v>
                </c:pt>
                <c:pt idx="2100">
                  <c:v>6430</c:v>
                </c:pt>
                <c:pt idx="2101">
                  <c:v>6430</c:v>
                </c:pt>
                <c:pt idx="2102">
                  <c:v>6450</c:v>
                </c:pt>
                <c:pt idx="2103">
                  <c:v>6450</c:v>
                </c:pt>
                <c:pt idx="2104">
                  <c:v>6450</c:v>
                </c:pt>
                <c:pt idx="2105">
                  <c:v>6460</c:v>
                </c:pt>
                <c:pt idx="2106">
                  <c:v>6460</c:v>
                </c:pt>
                <c:pt idx="2107">
                  <c:v>6480</c:v>
                </c:pt>
                <c:pt idx="2108">
                  <c:v>6480</c:v>
                </c:pt>
                <c:pt idx="2109">
                  <c:v>6480</c:v>
                </c:pt>
                <c:pt idx="2110">
                  <c:v>6480</c:v>
                </c:pt>
                <c:pt idx="2111">
                  <c:v>6500</c:v>
                </c:pt>
                <c:pt idx="2112">
                  <c:v>6500</c:v>
                </c:pt>
                <c:pt idx="2113">
                  <c:v>6510</c:v>
                </c:pt>
                <c:pt idx="2114">
                  <c:v>6510</c:v>
                </c:pt>
                <c:pt idx="2115">
                  <c:v>6510</c:v>
                </c:pt>
                <c:pt idx="2116">
                  <c:v>6510</c:v>
                </c:pt>
                <c:pt idx="2117">
                  <c:v>6510</c:v>
                </c:pt>
                <c:pt idx="2118">
                  <c:v>6510</c:v>
                </c:pt>
                <c:pt idx="2119">
                  <c:v>6510</c:v>
                </c:pt>
                <c:pt idx="2120">
                  <c:v>6510</c:v>
                </c:pt>
                <c:pt idx="2121">
                  <c:v>6530</c:v>
                </c:pt>
                <c:pt idx="2122">
                  <c:v>6530</c:v>
                </c:pt>
                <c:pt idx="2123">
                  <c:v>6530</c:v>
                </c:pt>
                <c:pt idx="2124">
                  <c:v>6530</c:v>
                </c:pt>
                <c:pt idx="2125">
                  <c:v>6530</c:v>
                </c:pt>
                <c:pt idx="2126">
                  <c:v>6540</c:v>
                </c:pt>
                <c:pt idx="2127">
                  <c:v>6540</c:v>
                </c:pt>
                <c:pt idx="2128">
                  <c:v>6540</c:v>
                </c:pt>
                <c:pt idx="2129">
                  <c:v>6560</c:v>
                </c:pt>
                <c:pt idx="2130">
                  <c:v>6560</c:v>
                </c:pt>
                <c:pt idx="2131">
                  <c:v>6560</c:v>
                </c:pt>
                <c:pt idx="2132">
                  <c:v>6560</c:v>
                </c:pt>
                <c:pt idx="2133">
                  <c:v>6560</c:v>
                </c:pt>
                <c:pt idx="2134">
                  <c:v>6570</c:v>
                </c:pt>
                <c:pt idx="2135">
                  <c:v>6570</c:v>
                </c:pt>
                <c:pt idx="2136">
                  <c:v>6570</c:v>
                </c:pt>
                <c:pt idx="2137">
                  <c:v>6570</c:v>
                </c:pt>
                <c:pt idx="2138">
                  <c:v>6590</c:v>
                </c:pt>
                <c:pt idx="2139">
                  <c:v>6590</c:v>
                </c:pt>
                <c:pt idx="2140">
                  <c:v>6590</c:v>
                </c:pt>
                <c:pt idx="2141">
                  <c:v>6590</c:v>
                </c:pt>
                <c:pt idx="2142">
                  <c:v>6590</c:v>
                </c:pt>
                <c:pt idx="2143">
                  <c:v>6600</c:v>
                </c:pt>
                <c:pt idx="2144">
                  <c:v>6600</c:v>
                </c:pt>
                <c:pt idx="2145">
                  <c:v>6600</c:v>
                </c:pt>
                <c:pt idx="2146">
                  <c:v>6600</c:v>
                </c:pt>
                <c:pt idx="2147">
                  <c:v>6600</c:v>
                </c:pt>
                <c:pt idx="2148">
                  <c:v>6600</c:v>
                </c:pt>
                <c:pt idx="2149">
                  <c:v>6600</c:v>
                </c:pt>
                <c:pt idx="2150">
                  <c:v>6620</c:v>
                </c:pt>
                <c:pt idx="2151">
                  <c:v>6620</c:v>
                </c:pt>
                <c:pt idx="2152">
                  <c:v>6620</c:v>
                </c:pt>
                <c:pt idx="2153">
                  <c:v>6620</c:v>
                </c:pt>
                <c:pt idx="2154">
                  <c:v>6630</c:v>
                </c:pt>
                <c:pt idx="2155">
                  <c:v>6630</c:v>
                </c:pt>
                <c:pt idx="2156">
                  <c:v>6630</c:v>
                </c:pt>
                <c:pt idx="2157">
                  <c:v>6650</c:v>
                </c:pt>
                <c:pt idx="2158">
                  <c:v>6650</c:v>
                </c:pt>
                <c:pt idx="2159">
                  <c:v>6650</c:v>
                </c:pt>
                <c:pt idx="2160">
                  <c:v>6670</c:v>
                </c:pt>
                <c:pt idx="2161">
                  <c:v>6670</c:v>
                </c:pt>
                <c:pt idx="2162">
                  <c:v>6670</c:v>
                </c:pt>
                <c:pt idx="2163">
                  <c:v>6670</c:v>
                </c:pt>
                <c:pt idx="2164">
                  <c:v>6680</c:v>
                </c:pt>
                <c:pt idx="2165">
                  <c:v>6680</c:v>
                </c:pt>
                <c:pt idx="2166">
                  <c:v>6680</c:v>
                </c:pt>
                <c:pt idx="2167">
                  <c:v>6680</c:v>
                </c:pt>
                <c:pt idx="2168">
                  <c:v>6700</c:v>
                </c:pt>
                <c:pt idx="2169">
                  <c:v>6700</c:v>
                </c:pt>
                <c:pt idx="2170">
                  <c:v>6700</c:v>
                </c:pt>
                <c:pt idx="2171">
                  <c:v>6700</c:v>
                </c:pt>
                <c:pt idx="2172">
                  <c:v>6700</c:v>
                </c:pt>
                <c:pt idx="2173">
                  <c:v>6700</c:v>
                </c:pt>
                <c:pt idx="2174">
                  <c:v>6700</c:v>
                </c:pt>
                <c:pt idx="2175">
                  <c:v>6700</c:v>
                </c:pt>
                <c:pt idx="2176">
                  <c:v>6710</c:v>
                </c:pt>
                <c:pt idx="2177">
                  <c:v>6710</c:v>
                </c:pt>
                <c:pt idx="2178">
                  <c:v>6710</c:v>
                </c:pt>
                <c:pt idx="2179">
                  <c:v>6710</c:v>
                </c:pt>
                <c:pt idx="2180">
                  <c:v>6730</c:v>
                </c:pt>
                <c:pt idx="2181">
                  <c:v>6730</c:v>
                </c:pt>
                <c:pt idx="2182">
                  <c:v>6730</c:v>
                </c:pt>
                <c:pt idx="2183">
                  <c:v>6740</c:v>
                </c:pt>
                <c:pt idx="2184">
                  <c:v>6740</c:v>
                </c:pt>
                <c:pt idx="2185">
                  <c:v>6740</c:v>
                </c:pt>
                <c:pt idx="2186">
                  <c:v>6740</c:v>
                </c:pt>
                <c:pt idx="2187">
                  <c:v>6760</c:v>
                </c:pt>
                <c:pt idx="2188">
                  <c:v>6760</c:v>
                </c:pt>
                <c:pt idx="2189">
                  <c:v>6760</c:v>
                </c:pt>
                <c:pt idx="2190">
                  <c:v>6780</c:v>
                </c:pt>
                <c:pt idx="2191">
                  <c:v>6780</c:v>
                </c:pt>
                <c:pt idx="2192">
                  <c:v>6780</c:v>
                </c:pt>
                <c:pt idx="2193">
                  <c:v>6780</c:v>
                </c:pt>
                <c:pt idx="2194">
                  <c:v>6780</c:v>
                </c:pt>
                <c:pt idx="2195">
                  <c:v>6790</c:v>
                </c:pt>
                <c:pt idx="2196">
                  <c:v>6790</c:v>
                </c:pt>
                <c:pt idx="2197">
                  <c:v>6790</c:v>
                </c:pt>
                <c:pt idx="2198">
                  <c:v>6790</c:v>
                </c:pt>
                <c:pt idx="2199">
                  <c:v>6790</c:v>
                </c:pt>
                <c:pt idx="2200">
                  <c:v>6790</c:v>
                </c:pt>
                <c:pt idx="2201">
                  <c:v>6790</c:v>
                </c:pt>
                <c:pt idx="2202">
                  <c:v>6790</c:v>
                </c:pt>
                <c:pt idx="2203">
                  <c:v>6790</c:v>
                </c:pt>
                <c:pt idx="2204">
                  <c:v>6790</c:v>
                </c:pt>
                <c:pt idx="2205">
                  <c:v>6790</c:v>
                </c:pt>
                <c:pt idx="2206">
                  <c:v>6790</c:v>
                </c:pt>
                <c:pt idx="2207">
                  <c:v>6790</c:v>
                </c:pt>
                <c:pt idx="2208">
                  <c:v>6810</c:v>
                </c:pt>
                <c:pt idx="2209">
                  <c:v>6810</c:v>
                </c:pt>
                <c:pt idx="2210">
                  <c:v>6810</c:v>
                </c:pt>
                <c:pt idx="2211">
                  <c:v>6810</c:v>
                </c:pt>
                <c:pt idx="2212">
                  <c:v>6810</c:v>
                </c:pt>
                <c:pt idx="2213">
                  <c:v>6810</c:v>
                </c:pt>
                <c:pt idx="2214">
                  <c:v>6810</c:v>
                </c:pt>
                <c:pt idx="2215">
                  <c:v>6820</c:v>
                </c:pt>
                <c:pt idx="2216">
                  <c:v>6820</c:v>
                </c:pt>
                <c:pt idx="2217">
                  <c:v>6820</c:v>
                </c:pt>
                <c:pt idx="2218">
                  <c:v>6820</c:v>
                </c:pt>
                <c:pt idx="2219">
                  <c:v>6820</c:v>
                </c:pt>
                <c:pt idx="2220">
                  <c:v>6820</c:v>
                </c:pt>
                <c:pt idx="2221">
                  <c:v>6820</c:v>
                </c:pt>
                <c:pt idx="2222">
                  <c:v>6820</c:v>
                </c:pt>
                <c:pt idx="2223">
                  <c:v>6840</c:v>
                </c:pt>
                <c:pt idx="2224">
                  <c:v>6840</c:v>
                </c:pt>
                <c:pt idx="2225">
                  <c:v>6840</c:v>
                </c:pt>
                <c:pt idx="2226">
                  <c:v>6840</c:v>
                </c:pt>
                <c:pt idx="2227">
                  <c:v>6840</c:v>
                </c:pt>
                <c:pt idx="2228">
                  <c:v>6840</c:v>
                </c:pt>
                <c:pt idx="2229">
                  <c:v>6840</c:v>
                </c:pt>
                <c:pt idx="2230">
                  <c:v>6840</c:v>
                </c:pt>
                <c:pt idx="2231">
                  <c:v>6840</c:v>
                </c:pt>
                <c:pt idx="2232">
                  <c:v>6850</c:v>
                </c:pt>
                <c:pt idx="2233">
                  <c:v>6850</c:v>
                </c:pt>
                <c:pt idx="2234">
                  <c:v>6850</c:v>
                </c:pt>
                <c:pt idx="2235">
                  <c:v>6850</c:v>
                </c:pt>
                <c:pt idx="2236">
                  <c:v>6850</c:v>
                </c:pt>
                <c:pt idx="2237">
                  <c:v>6850</c:v>
                </c:pt>
                <c:pt idx="2238">
                  <c:v>6850</c:v>
                </c:pt>
                <c:pt idx="2239">
                  <c:v>6850</c:v>
                </c:pt>
                <c:pt idx="2240">
                  <c:v>6850</c:v>
                </c:pt>
                <c:pt idx="2241">
                  <c:v>6870</c:v>
                </c:pt>
                <c:pt idx="2242">
                  <c:v>6870</c:v>
                </c:pt>
                <c:pt idx="2243">
                  <c:v>6870</c:v>
                </c:pt>
                <c:pt idx="2244">
                  <c:v>6870</c:v>
                </c:pt>
                <c:pt idx="2245">
                  <c:v>6870</c:v>
                </c:pt>
                <c:pt idx="2246">
                  <c:v>6870</c:v>
                </c:pt>
                <c:pt idx="2247">
                  <c:v>6870</c:v>
                </c:pt>
                <c:pt idx="2248">
                  <c:v>6870</c:v>
                </c:pt>
                <c:pt idx="2249">
                  <c:v>6880</c:v>
                </c:pt>
                <c:pt idx="2250">
                  <c:v>6880</c:v>
                </c:pt>
                <c:pt idx="2251">
                  <c:v>6880</c:v>
                </c:pt>
                <c:pt idx="2252">
                  <c:v>6880</c:v>
                </c:pt>
                <c:pt idx="2253">
                  <c:v>6880</c:v>
                </c:pt>
                <c:pt idx="2254">
                  <c:v>6880</c:v>
                </c:pt>
                <c:pt idx="2255">
                  <c:v>6880</c:v>
                </c:pt>
                <c:pt idx="2256">
                  <c:v>6880</c:v>
                </c:pt>
                <c:pt idx="2257">
                  <c:v>6880</c:v>
                </c:pt>
                <c:pt idx="2258">
                  <c:v>6880</c:v>
                </c:pt>
                <c:pt idx="2259">
                  <c:v>6880</c:v>
                </c:pt>
                <c:pt idx="2260">
                  <c:v>6880</c:v>
                </c:pt>
                <c:pt idx="2261">
                  <c:v>6880</c:v>
                </c:pt>
                <c:pt idx="2262">
                  <c:v>6900</c:v>
                </c:pt>
                <c:pt idx="2263">
                  <c:v>6900</c:v>
                </c:pt>
                <c:pt idx="2264">
                  <c:v>6900</c:v>
                </c:pt>
                <c:pt idx="2265">
                  <c:v>6900</c:v>
                </c:pt>
                <c:pt idx="2266">
                  <c:v>6900</c:v>
                </c:pt>
                <c:pt idx="2267">
                  <c:v>6900</c:v>
                </c:pt>
                <c:pt idx="2268">
                  <c:v>6900</c:v>
                </c:pt>
                <c:pt idx="2269">
                  <c:v>6900</c:v>
                </c:pt>
                <c:pt idx="2270">
                  <c:v>6900</c:v>
                </c:pt>
                <c:pt idx="2271">
                  <c:v>6900</c:v>
                </c:pt>
                <c:pt idx="2272">
                  <c:v>6900</c:v>
                </c:pt>
                <c:pt idx="2273">
                  <c:v>6900</c:v>
                </c:pt>
                <c:pt idx="2274">
                  <c:v>6920</c:v>
                </c:pt>
                <c:pt idx="2275">
                  <c:v>6920</c:v>
                </c:pt>
                <c:pt idx="2276">
                  <c:v>6920</c:v>
                </c:pt>
                <c:pt idx="2277">
                  <c:v>6920</c:v>
                </c:pt>
                <c:pt idx="2278">
                  <c:v>6920</c:v>
                </c:pt>
                <c:pt idx="2279">
                  <c:v>6920</c:v>
                </c:pt>
                <c:pt idx="2280">
                  <c:v>6920</c:v>
                </c:pt>
                <c:pt idx="2281">
                  <c:v>6920</c:v>
                </c:pt>
                <c:pt idx="2282">
                  <c:v>6920</c:v>
                </c:pt>
                <c:pt idx="2283">
                  <c:v>6920</c:v>
                </c:pt>
                <c:pt idx="2284">
                  <c:v>6920</c:v>
                </c:pt>
                <c:pt idx="2285">
                  <c:v>6920</c:v>
                </c:pt>
                <c:pt idx="2286">
                  <c:v>6920</c:v>
                </c:pt>
                <c:pt idx="2287">
                  <c:v>6900</c:v>
                </c:pt>
                <c:pt idx="2288">
                  <c:v>6900</c:v>
                </c:pt>
                <c:pt idx="2289">
                  <c:v>6900</c:v>
                </c:pt>
                <c:pt idx="2290">
                  <c:v>6900</c:v>
                </c:pt>
                <c:pt idx="2291">
                  <c:v>6900</c:v>
                </c:pt>
                <c:pt idx="2292">
                  <c:v>6880</c:v>
                </c:pt>
                <c:pt idx="2293">
                  <c:v>6880</c:v>
                </c:pt>
                <c:pt idx="2294">
                  <c:v>6880</c:v>
                </c:pt>
                <c:pt idx="2295">
                  <c:v>6880</c:v>
                </c:pt>
                <c:pt idx="2296">
                  <c:v>6870</c:v>
                </c:pt>
                <c:pt idx="2297">
                  <c:v>6870</c:v>
                </c:pt>
                <c:pt idx="2298">
                  <c:v>6850</c:v>
                </c:pt>
                <c:pt idx="2299">
                  <c:v>6850</c:v>
                </c:pt>
                <c:pt idx="2300">
                  <c:v>6850</c:v>
                </c:pt>
                <c:pt idx="2301">
                  <c:v>6840</c:v>
                </c:pt>
                <c:pt idx="2302">
                  <c:v>6840</c:v>
                </c:pt>
                <c:pt idx="2303">
                  <c:v>6840</c:v>
                </c:pt>
                <c:pt idx="2304">
                  <c:v>6820</c:v>
                </c:pt>
                <c:pt idx="2305">
                  <c:v>6810</c:v>
                </c:pt>
                <c:pt idx="2306">
                  <c:v>6810</c:v>
                </c:pt>
                <c:pt idx="2307">
                  <c:v>6790</c:v>
                </c:pt>
                <c:pt idx="2308">
                  <c:v>6790</c:v>
                </c:pt>
                <c:pt idx="2309">
                  <c:v>6790</c:v>
                </c:pt>
                <c:pt idx="2310">
                  <c:v>6790</c:v>
                </c:pt>
                <c:pt idx="2311">
                  <c:v>6790</c:v>
                </c:pt>
                <c:pt idx="2312">
                  <c:v>6780</c:v>
                </c:pt>
                <c:pt idx="2313">
                  <c:v>6780</c:v>
                </c:pt>
                <c:pt idx="2314">
                  <c:v>6780</c:v>
                </c:pt>
                <c:pt idx="2315">
                  <c:v>6760</c:v>
                </c:pt>
                <c:pt idx="2316">
                  <c:v>6760</c:v>
                </c:pt>
                <c:pt idx="2317">
                  <c:v>6740</c:v>
                </c:pt>
                <c:pt idx="2318">
                  <c:v>6740</c:v>
                </c:pt>
                <c:pt idx="2319">
                  <c:v>6730</c:v>
                </c:pt>
                <c:pt idx="2320">
                  <c:v>6730</c:v>
                </c:pt>
                <c:pt idx="2321">
                  <c:v>6710</c:v>
                </c:pt>
                <c:pt idx="2322">
                  <c:v>6710</c:v>
                </c:pt>
                <c:pt idx="2323">
                  <c:v>6710</c:v>
                </c:pt>
                <c:pt idx="2324">
                  <c:v>6700</c:v>
                </c:pt>
                <c:pt idx="2325">
                  <c:v>6700</c:v>
                </c:pt>
                <c:pt idx="2326">
                  <c:v>6700</c:v>
                </c:pt>
                <c:pt idx="2327">
                  <c:v>6700</c:v>
                </c:pt>
                <c:pt idx="2328">
                  <c:v>6700</c:v>
                </c:pt>
                <c:pt idx="2329">
                  <c:v>6700</c:v>
                </c:pt>
                <c:pt idx="2330">
                  <c:v>6680</c:v>
                </c:pt>
                <c:pt idx="2331">
                  <c:v>6680</c:v>
                </c:pt>
                <c:pt idx="2332">
                  <c:v>6680</c:v>
                </c:pt>
                <c:pt idx="2333">
                  <c:v>6670</c:v>
                </c:pt>
                <c:pt idx="2334">
                  <c:v>6670</c:v>
                </c:pt>
                <c:pt idx="2335">
                  <c:v>6670</c:v>
                </c:pt>
                <c:pt idx="2336">
                  <c:v>6670</c:v>
                </c:pt>
                <c:pt idx="2337">
                  <c:v>6670</c:v>
                </c:pt>
                <c:pt idx="2338">
                  <c:v>6650</c:v>
                </c:pt>
                <c:pt idx="2339">
                  <c:v>6650</c:v>
                </c:pt>
                <c:pt idx="2340">
                  <c:v>6650</c:v>
                </c:pt>
                <c:pt idx="2341">
                  <c:v>6650</c:v>
                </c:pt>
                <c:pt idx="2342">
                  <c:v>6650</c:v>
                </c:pt>
                <c:pt idx="2343">
                  <c:v>6630</c:v>
                </c:pt>
                <c:pt idx="2344">
                  <c:v>6630</c:v>
                </c:pt>
                <c:pt idx="2345">
                  <c:v>6630</c:v>
                </c:pt>
                <c:pt idx="2346">
                  <c:v>6630</c:v>
                </c:pt>
                <c:pt idx="2347">
                  <c:v>6630</c:v>
                </c:pt>
                <c:pt idx="2348">
                  <c:v>6630</c:v>
                </c:pt>
                <c:pt idx="2349">
                  <c:v>6630</c:v>
                </c:pt>
                <c:pt idx="2350">
                  <c:v>6620</c:v>
                </c:pt>
                <c:pt idx="2351">
                  <c:v>6620</c:v>
                </c:pt>
                <c:pt idx="2352">
                  <c:v>6620</c:v>
                </c:pt>
                <c:pt idx="2353">
                  <c:v>6620</c:v>
                </c:pt>
                <c:pt idx="2354">
                  <c:v>6620</c:v>
                </c:pt>
                <c:pt idx="2355">
                  <c:v>6600</c:v>
                </c:pt>
                <c:pt idx="2356">
                  <c:v>6600</c:v>
                </c:pt>
                <c:pt idx="2357">
                  <c:v>6600</c:v>
                </c:pt>
                <c:pt idx="2358">
                  <c:v>6600</c:v>
                </c:pt>
                <c:pt idx="2359">
                  <c:v>6600</c:v>
                </c:pt>
                <c:pt idx="2360">
                  <c:v>6600</c:v>
                </c:pt>
                <c:pt idx="2361">
                  <c:v>6600</c:v>
                </c:pt>
                <c:pt idx="2362">
                  <c:v>6600</c:v>
                </c:pt>
                <c:pt idx="2363">
                  <c:v>6590</c:v>
                </c:pt>
                <c:pt idx="2364">
                  <c:v>6590</c:v>
                </c:pt>
                <c:pt idx="2365">
                  <c:v>6590</c:v>
                </c:pt>
                <c:pt idx="2366">
                  <c:v>6570</c:v>
                </c:pt>
                <c:pt idx="2367">
                  <c:v>6570</c:v>
                </c:pt>
                <c:pt idx="2368">
                  <c:v>6570</c:v>
                </c:pt>
                <c:pt idx="2369">
                  <c:v>6560</c:v>
                </c:pt>
                <c:pt idx="2370">
                  <c:v>6560</c:v>
                </c:pt>
                <c:pt idx="2371">
                  <c:v>6540</c:v>
                </c:pt>
                <c:pt idx="2372">
                  <c:v>6540</c:v>
                </c:pt>
                <c:pt idx="2373">
                  <c:v>6540</c:v>
                </c:pt>
                <c:pt idx="2374">
                  <c:v>6530</c:v>
                </c:pt>
                <c:pt idx="2375">
                  <c:v>6530</c:v>
                </c:pt>
                <c:pt idx="2376">
                  <c:v>6530</c:v>
                </c:pt>
                <c:pt idx="2377">
                  <c:v>6510</c:v>
                </c:pt>
                <c:pt idx="2378">
                  <c:v>6510</c:v>
                </c:pt>
                <c:pt idx="2379">
                  <c:v>6510</c:v>
                </c:pt>
                <c:pt idx="2380">
                  <c:v>6510</c:v>
                </c:pt>
                <c:pt idx="2381">
                  <c:v>6510</c:v>
                </c:pt>
                <c:pt idx="2382">
                  <c:v>6500</c:v>
                </c:pt>
                <c:pt idx="2383">
                  <c:v>6500</c:v>
                </c:pt>
                <c:pt idx="2384">
                  <c:v>6480</c:v>
                </c:pt>
                <c:pt idx="2385">
                  <c:v>6480</c:v>
                </c:pt>
                <c:pt idx="2386">
                  <c:v>6480</c:v>
                </c:pt>
                <c:pt idx="2387">
                  <c:v>6460</c:v>
                </c:pt>
                <c:pt idx="2388">
                  <c:v>6460</c:v>
                </c:pt>
                <c:pt idx="2389">
                  <c:v>6450</c:v>
                </c:pt>
                <c:pt idx="2390">
                  <c:v>6450</c:v>
                </c:pt>
                <c:pt idx="2391">
                  <c:v>6450</c:v>
                </c:pt>
                <c:pt idx="2392">
                  <c:v>6430</c:v>
                </c:pt>
                <c:pt idx="2393">
                  <c:v>6430</c:v>
                </c:pt>
                <c:pt idx="2394">
                  <c:v>6420</c:v>
                </c:pt>
                <c:pt idx="2395">
                  <c:v>6420</c:v>
                </c:pt>
                <c:pt idx="2396">
                  <c:v>6420</c:v>
                </c:pt>
                <c:pt idx="2397">
                  <c:v>6420</c:v>
                </c:pt>
                <c:pt idx="2398">
                  <c:v>6420</c:v>
                </c:pt>
                <c:pt idx="2399">
                  <c:v>6400</c:v>
                </c:pt>
                <c:pt idx="2400">
                  <c:v>6400</c:v>
                </c:pt>
                <c:pt idx="2401">
                  <c:v>6390</c:v>
                </c:pt>
                <c:pt idx="2402">
                  <c:v>6390</c:v>
                </c:pt>
                <c:pt idx="2403">
                  <c:v>6370</c:v>
                </c:pt>
                <c:pt idx="2404">
                  <c:v>6370</c:v>
                </c:pt>
                <c:pt idx="2405">
                  <c:v>6370</c:v>
                </c:pt>
                <c:pt idx="2406">
                  <c:v>6360</c:v>
                </c:pt>
                <c:pt idx="2407">
                  <c:v>6360</c:v>
                </c:pt>
                <c:pt idx="2408">
                  <c:v>6360</c:v>
                </c:pt>
                <c:pt idx="2409">
                  <c:v>6340</c:v>
                </c:pt>
                <c:pt idx="2410">
                  <c:v>6340</c:v>
                </c:pt>
                <c:pt idx="2411">
                  <c:v>6340</c:v>
                </c:pt>
                <c:pt idx="2412">
                  <c:v>6340</c:v>
                </c:pt>
                <c:pt idx="2413">
                  <c:v>6330</c:v>
                </c:pt>
                <c:pt idx="2414">
                  <c:v>6330</c:v>
                </c:pt>
                <c:pt idx="2415">
                  <c:v>6330</c:v>
                </c:pt>
                <c:pt idx="2416">
                  <c:v>6330</c:v>
                </c:pt>
                <c:pt idx="2417">
                  <c:v>6330</c:v>
                </c:pt>
                <c:pt idx="2418">
                  <c:v>6330</c:v>
                </c:pt>
                <c:pt idx="2419">
                  <c:v>6330</c:v>
                </c:pt>
                <c:pt idx="2420">
                  <c:v>6310</c:v>
                </c:pt>
                <c:pt idx="2421">
                  <c:v>6310</c:v>
                </c:pt>
                <c:pt idx="2422">
                  <c:v>6310</c:v>
                </c:pt>
                <c:pt idx="2423">
                  <c:v>6300</c:v>
                </c:pt>
                <c:pt idx="2424">
                  <c:v>6300</c:v>
                </c:pt>
                <c:pt idx="2425">
                  <c:v>6300</c:v>
                </c:pt>
                <c:pt idx="2426">
                  <c:v>6300</c:v>
                </c:pt>
                <c:pt idx="2427">
                  <c:v>6280</c:v>
                </c:pt>
                <c:pt idx="2428">
                  <c:v>6280</c:v>
                </c:pt>
                <c:pt idx="2429">
                  <c:v>6280</c:v>
                </c:pt>
                <c:pt idx="2430">
                  <c:v>6270</c:v>
                </c:pt>
                <c:pt idx="2431">
                  <c:v>6270</c:v>
                </c:pt>
                <c:pt idx="2432">
                  <c:v>6270</c:v>
                </c:pt>
                <c:pt idx="2433">
                  <c:v>6270</c:v>
                </c:pt>
                <c:pt idx="2434">
                  <c:v>6250</c:v>
                </c:pt>
                <c:pt idx="2435">
                  <c:v>6250</c:v>
                </c:pt>
                <c:pt idx="2436">
                  <c:v>6250</c:v>
                </c:pt>
                <c:pt idx="2437">
                  <c:v>6240</c:v>
                </c:pt>
                <c:pt idx="2438">
                  <c:v>6240</c:v>
                </c:pt>
                <c:pt idx="2439">
                  <c:v>6240</c:v>
                </c:pt>
                <c:pt idx="2440">
                  <c:v>6240</c:v>
                </c:pt>
                <c:pt idx="2441">
                  <c:v>6240</c:v>
                </c:pt>
                <c:pt idx="2442">
                  <c:v>6240</c:v>
                </c:pt>
                <c:pt idx="2443">
                  <c:v>6240</c:v>
                </c:pt>
                <c:pt idx="2444">
                  <c:v>6240</c:v>
                </c:pt>
                <c:pt idx="2445">
                  <c:v>6240</c:v>
                </c:pt>
                <c:pt idx="2446">
                  <c:v>6220</c:v>
                </c:pt>
                <c:pt idx="2447">
                  <c:v>6220</c:v>
                </c:pt>
                <c:pt idx="2448">
                  <c:v>6220</c:v>
                </c:pt>
                <c:pt idx="2449">
                  <c:v>6220</c:v>
                </c:pt>
                <c:pt idx="2450">
                  <c:v>6220</c:v>
                </c:pt>
                <c:pt idx="2451">
                  <c:v>6210</c:v>
                </c:pt>
                <c:pt idx="2452">
                  <c:v>6210</c:v>
                </c:pt>
                <c:pt idx="2453">
                  <c:v>6210</c:v>
                </c:pt>
                <c:pt idx="2454">
                  <c:v>6210</c:v>
                </c:pt>
                <c:pt idx="2455">
                  <c:v>6210</c:v>
                </c:pt>
                <c:pt idx="2456">
                  <c:v>6190</c:v>
                </c:pt>
                <c:pt idx="2457">
                  <c:v>6190</c:v>
                </c:pt>
                <c:pt idx="2458">
                  <c:v>6190</c:v>
                </c:pt>
                <c:pt idx="2459">
                  <c:v>6190</c:v>
                </c:pt>
                <c:pt idx="2460">
                  <c:v>6170</c:v>
                </c:pt>
                <c:pt idx="2461">
                  <c:v>6170</c:v>
                </c:pt>
                <c:pt idx="2462">
                  <c:v>6170</c:v>
                </c:pt>
                <c:pt idx="2463">
                  <c:v>6170</c:v>
                </c:pt>
                <c:pt idx="2464">
                  <c:v>6160</c:v>
                </c:pt>
                <c:pt idx="2465">
                  <c:v>6160</c:v>
                </c:pt>
                <c:pt idx="2466">
                  <c:v>6160</c:v>
                </c:pt>
                <c:pt idx="2467">
                  <c:v>6160</c:v>
                </c:pt>
                <c:pt idx="2468">
                  <c:v>6140</c:v>
                </c:pt>
                <c:pt idx="2469">
                  <c:v>6140</c:v>
                </c:pt>
                <c:pt idx="2470">
                  <c:v>6140</c:v>
                </c:pt>
                <c:pt idx="2471">
                  <c:v>6140</c:v>
                </c:pt>
                <c:pt idx="2472">
                  <c:v>6140</c:v>
                </c:pt>
                <c:pt idx="2473">
                  <c:v>6130</c:v>
                </c:pt>
                <c:pt idx="2474">
                  <c:v>6130</c:v>
                </c:pt>
                <c:pt idx="2475">
                  <c:v>6110</c:v>
                </c:pt>
                <c:pt idx="2476">
                  <c:v>6110</c:v>
                </c:pt>
                <c:pt idx="2477">
                  <c:v>6110</c:v>
                </c:pt>
                <c:pt idx="2478">
                  <c:v>6100</c:v>
                </c:pt>
                <c:pt idx="2479">
                  <c:v>6100</c:v>
                </c:pt>
                <c:pt idx="2480">
                  <c:v>6080</c:v>
                </c:pt>
                <c:pt idx="2481">
                  <c:v>6080</c:v>
                </c:pt>
                <c:pt idx="2482">
                  <c:v>6080</c:v>
                </c:pt>
                <c:pt idx="2483">
                  <c:v>6070</c:v>
                </c:pt>
                <c:pt idx="2484">
                  <c:v>6070</c:v>
                </c:pt>
                <c:pt idx="2485">
                  <c:v>6050</c:v>
                </c:pt>
                <c:pt idx="2486">
                  <c:v>6050</c:v>
                </c:pt>
                <c:pt idx="2487">
                  <c:v>6050</c:v>
                </c:pt>
                <c:pt idx="2488">
                  <c:v>6050</c:v>
                </c:pt>
                <c:pt idx="2489">
                  <c:v>6040</c:v>
                </c:pt>
                <c:pt idx="2490">
                  <c:v>6040</c:v>
                </c:pt>
                <c:pt idx="2491">
                  <c:v>6020</c:v>
                </c:pt>
                <c:pt idx="2492">
                  <c:v>6020</c:v>
                </c:pt>
                <c:pt idx="2493">
                  <c:v>6010</c:v>
                </c:pt>
                <c:pt idx="2494">
                  <c:v>6010</c:v>
                </c:pt>
                <c:pt idx="2495">
                  <c:v>5990</c:v>
                </c:pt>
                <c:pt idx="2496">
                  <c:v>5990</c:v>
                </c:pt>
                <c:pt idx="2497">
                  <c:v>5990</c:v>
                </c:pt>
                <c:pt idx="2498">
                  <c:v>5980</c:v>
                </c:pt>
                <c:pt idx="2499">
                  <c:v>5980</c:v>
                </c:pt>
                <c:pt idx="2500">
                  <c:v>5980</c:v>
                </c:pt>
                <c:pt idx="2501">
                  <c:v>5960</c:v>
                </c:pt>
                <c:pt idx="2502">
                  <c:v>5960</c:v>
                </c:pt>
                <c:pt idx="2503">
                  <c:v>5960</c:v>
                </c:pt>
                <c:pt idx="2504">
                  <c:v>5960</c:v>
                </c:pt>
                <c:pt idx="2505">
                  <c:v>5960</c:v>
                </c:pt>
                <c:pt idx="2506">
                  <c:v>5960</c:v>
                </c:pt>
                <c:pt idx="2507">
                  <c:v>5960</c:v>
                </c:pt>
                <c:pt idx="2508">
                  <c:v>5950</c:v>
                </c:pt>
                <c:pt idx="2509">
                  <c:v>5950</c:v>
                </c:pt>
                <c:pt idx="2510">
                  <c:v>5950</c:v>
                </c:pt>
                <c:pt idx="2511">
                  <c:v>5930</c:v>
                </c:pt>
                <c:pt idx="2512">
                  <c:v>5930</c:v>
                </c:pt>
                <c:pt idx="2513">
                  <c:v>5930</c:v>
                </c:pt>
                <c:pt idx="2514">
                  <c:v>5930</c:v>
                </c:pt>
                <c:pt idx="2515">
                  <c:v>5930</c:v>
                </c:pt>
                <c:pt idx="2516">
                  <c:v>5930</c:v>
                </c:pt>
                <c:pt idx="2517">
                  <c:v>5920</c:v>
                </c:pt>
                <c:pt idx="2518">
                  <c:v>5920</c:v>
                </c:pt>
                <c:pt idx="2519">
                  <c:v>5920</c:v>
                </c:pt>
                <c:pt idx="2520">
                  <c:v>5920</c:v>
                </c:pt>
                <c:pt idx="2521">
                  <c:v>5920</c:v>
                </c:pt>
                <c:pt idx="2522">
                  <c:v>5900</c:v>
                </c:pt>
                <c:pt idx="2523">
                  <c:v>5900</c:v>
                </c:pt>
                <c:pt idx="2524">
                  <c:v>5900</c:v>
                </c:pt>
                <c:pt idx="2525">
                  <c:v>5900</c:v>
                </c:pt>
                <c:pt idx="2526">
                  <c:v>5900</c:v>
                </c:pt>
                <c:pt idx="2527">
                  <c:v>5900</c:v>
                </c:pt>
                <c:pt idx="2528">
                  <c:v>5890</c:v>
                </c:pt>
                <c:pt idx="2529">
                  <c:v>5890</c:v>
                </c:pt>
                <c:pt idx="2530">
                  <c:v>5890</c:v>
                </c:pt>
                <c:pt idx="2531">
                  <c:v>5890</c:v>
                </c:pt>
                <c:pt idx="2532">
                  <c:v>5890</c:v>
                </c:pt>
                <c:pt idx="2533">
                  <c:v>5890</c:v>
                </c:pt>
                <c:pt idx="2534">
                  <c:v>5870</c:v>
                </c:pt>
                <c:pt idx="2535">
                  <c:v>5870</c:v>
                </c:pt>
                <c:pt idx="2536">
                  <c:v>5870</c:v>
                </c:pt>
                <c:pt idx="2537">
                  <c:v>5870</c:v>
                </c:pt>
                <c:pt idx="2538">
                  <c:v>5870</c:v>
                </c:pt>
                <c:pt idx="2539">
                  <c:v>5870</c:v>
                </c:pt>
                <c:pt idx="2540">
                  <c:v>5870</c:v>
                </c:pt>
                <c:pt idx="2541">
                  <c:v>5870</c:v>
                </c:pt>
                <c:pt idx="2542">
                  <c:v>5870</c:v>
                </c:pt>
                <c:pt idx="2543">
                  <c:v>5870</c:v>
                </c:pt>
                <c:pt idx="2544">
                  <c:v>5870</c:v>
                </c:pt>
                <c:pt idx="2545">
                  <c:v>5870</c:v>
                </c:pt>
                <c:pt idx="2546">
                  <c:v>5870</c:v>
                </c:pt>
                <c:pt idx="2547">
                  <c:v>5860</c:v>
                </c:pt>
                <c:pt idx="2548">
                  <c:v>5860</c:v>
                </c:pt>
                <c:pt idx="2549">
                  <c:v>5860</c:v>
                </c:pt>
                <c:pt idx="2550">
                  <c:v>5860</c:v>
                </c:pt>
                <c:pt idx="2551">
                  <c:v>5860</c:v>
                </c:pt>
                <c:pt idx="2552">
                  <c:v>5860</c:v>
                </c:pt>
                <c:pt idx="2553">
                  <c:v>5840</c:v>
                </c:pt>
                <c:pt idx="2554">
                  <c:v>5840</c:v>
                </c:pt>
                <c:pt idx="2555">
                  <c:v>5840</c:v>
                </c:pt>
                <c:pt idx="2556">
                  <c:v>5840</c:v>
                </c:pt>
                <c:pt idx="2557">
                  <c:v>5840</c:v>
                </c:pt>
                <c:pt idx="2558">
                  <c:v>5830</c:v>
                </c:pt>
                <c:pt idx="2559">
                  <c:v>5830</c:v>
                </c:pt>
                <c:pt idx="2560">
                  <c:v>5830</c:v>
                </c:pt>
                <c:pt idx="2561">
                  <c:v>5830</c:v>
                </c:pt>
                <c:pt idx="2562">
                  <c:v>5810</c:v>
                </c:pt>
                <c:pt idx="2563">
                  <c:v>5810</c:v>
                </c:pt>
                <c:pt idx="2564">
                  <c:v>5810</c:v>
                </c:pt>
                <c:pt idx="2565">
                  <c:v>5800</c:v>
                </c:pt>
                <c:pt idx="2566">
                  <c:v>5800</c:v>
                </c:pt>
                <c:pt idx="2567">
                  <c:v>5800</c:v>
                </c:pt>
                <c:pt idx="2568">
                  <c:v>5800</c:v>
                </c:pt>
                <c:pt idx="2569">
                  <c:v>5780</c:v>
                </c:pt>
                <c:pt idx="2570">
                  <c:v>5780</c:v>
                </c:pt>
                <c:pt idx="2571">
                  <c:v>5780</c:v>
                </c:pt>
                <c:pt idx="2572">
                  <c:v>5780</c:v>
                </c:pt>
                <c:pt idx="2573">
                  <c:v>5780</c:v>
                </c:pt>
                <c:pt idx="2574">
                  <c:v>5780</c:v>
                </c:pt>
                <c:pt idx="2575">
                  <c:v>5780</c:v>
                </c:pt>
                <c:pt idx="2576">
                  <c:v>5780</c:v>
                </c:pt>
                <c:pt idx="2577">
                  <c:v>5780</c:v>
                </c:pt>
                <c:pt idx="2578">
                  <c:v>5770</c:v>
                </c:pt>
                <c:pt idx="2579">
                  <c:v>5770</c:v>
                </c:pt>
                <c:pt idx="2580">
                  <c:v>5760</c:v>
                </c:pt>
                <c:pt idx="2581">
                  <c:v>5760</c:v>
                </c:pt>
                <c:pt idx="2582">
                  <c:v>5760</c:v>
                </c:pt>
                <c:pt idx="2583">
                  <c:v>5740</c:v>
                </c:pt>
                <c:pt idx="2584">
                  <c:v>5740</c:v>
                </c:pt>
                <c:pt idx="2585">
                  <c:v>5730</c:v>
                </c:pt>
                <c:pt idx="2586">
                  <c:v>5730</c:v>
                </c:pt>
                <c:pt idx="2587">
                  <c:v>5730</c:v>
                </c:pt>
                <c:pt idx="2588">
                  <c:v>5710</c:v>
                </c:pt>
                <c:pt idx="2589">
                  <c:v>5710</c:v>
                </c:pt>
                <c:pt idx="2590">
                  <c:v>5700</c:v>
                </c:pt>
                <c:pt idx="2591">
                  <c:v>5700</c:v>
                </c:pt>
                <c:pt idx="2592">
                  <c:v>5700</c:v>
                </c:pt>
                <c:pt idx="2593">
                  <c:v>5680</c:v>
                </c:pt>
                <c:pt idx="2594">
                  <c:v>5680</c:v>
                </c:pt>
                <c:pt idx="2595">
                  <c:v>5670</c:v>
                </c:pt>
                <c:pt idx="2596">
                  <c:v>5670</c:v>
                </c:pt>
                <c:pt idx="2597">
                  <c:v>5650</c:v>
                </c:pt>
                <c:pt idx="2598">
                  <c:v>5650</c:v>
                </c:pt>
                <c:pt idx="2599">
                  <c:v>5640</c:v>
                </c:pt>
                <c:pt idx="2600">
                  <c:v>5640</c:v>
                </c:pt>
                <c:pt idx="2601">
                  <c:v>5620</c:v>
                </c:pt>
                <c:pt idx="2602">
                  <c:v>5620</c:v>
                </c:pt>
                <c:pt idx="2603">
                  <c:v>5620</c:v>
                </c:pt>
                <c:pt idx="2604">
                  <c:v>5610</c:v>
                </c:pt>
                <c:pt idx="2605">
                  <c:v>5610</c:v>
                </c:pt>
                <c:pt idx="2606">
                  <c:v>5610</c:v>
                </c:pt>
                <c:pt idx="2607">
                  <c:v>5610</c:v>
                </c:pt>
                <c:pt idx="2608">
                  <c:v>5590</c:v>
                </c:pt>
                <c:pt idx="2609">
                  <c:v>5590</c:v>
                </c:pt>
                <c:pt idx="2610">
                  <c:v>5580</c:v>
                </c:pt>
                <c:pt idx="2611">
                  <c:v>5580</c:v>
                </c:pt>
                <c:pt idx="2612">
                  <c:v>5580</c:v>
                </c:pt>
                <c:pt idx="2613">
                  <c:v>5560</c:v>
                </c:pt>
                <c:pt idx="2614">
                  <c:v>5560</c:v>
                </c:pt>
                <c:pt idx="2615">
                  <c:v>5560</c:v>
                </c:pt>
                <c:pt idx="2616">
                  <c:v>5550</c:v>
                </c:pt>
                <c:pt idx="2617">
                  <c:v>5550</c:v>
                </c:pt>
                <c:pt idx="2618">
                  <c:v>5550</c:v>
                </c:pt>
                <c:pt idx="2619">
                  <c:v>5530</c:v>
                </c:pt>
                <c:pt idx="2620">
                  <c:v>5530</c:v>
                </c:pt>
                <c:pt idx="2621">
                  <c:v>5530</c:v>
                </c:pt>
                <c:pt idx="2622">
                  <c:v>5520</c:v>
                </c:pt>
                <c:pt idx="2623">
                  <c:v>5520</c:v>
                </c:pt>
                <c:pt idx="2624">
                  <c:v>5520</c:v>
                </c:pt>
                <c:pt idx="2625">
                  <c:v>5510</c:v>
                </c:pt>
                <c:pt idx="2626">
                  <c:v>5510</c:v>
                </c:pt>
                <c:pt idx="2627">
                  <c:v>5490</c:v>
                </c:pt>
                <c:pt idx="2628">
                  <c:v>5490</c:v>
                </c:pt>
                <c:pt idx="2629">
                  <c:v>5490</c:v>
                </c:pt>
                <c:pt idx="2630">
                  <c:v>5480</c:v>
                </c:pt>
                <c:pt idx="2631">
                  <c:v>5480</c:v>
                </c:pt>
                <c:pt idx="2632">
                  <c:v>5460</c:v>
                </c:pt>
                <c:pt idx="2633">
                  <c:v>5460</c:v>
                </c:pt>
                <c:pt idx="2634">
                  <c:v>5460</c:v>
                </c:pt>
                <c:pt idx="2635">
                  <c:v>5450</c:v>
                </c:pt>
                <c:pt idx="2636">
                  <c:v>5450</c:v>
                </c:pt>
                <c:pt idx="2637">
                  <c:v>5450</c:v>
                </c:pt>
                <c:pt idx="2638">
                  <c:v>5430</c:v>
                </c:pt>
                <c:pt idx="2639">
                  <c:v>5430</c:v>
                </c:pt>
                <c:pt idx="2640">
                  <c:v>5430</c:v>
                </c:pt>
                <c:pt idx="2641">
                  <c:v>5430</c:v>
                </c:pt>
                <c:pt idx="2642">
                  <c:v>5420</c:v>
                </c:pt>
                <c:pt idx="2643">
                  <c:v>5420</c:v>
                </c:pt>
                <c:pt idx="2644">
                  <c:v>5420</c:v>
                </c:pt>
                <c:pt idx="2645">
                  <c:v>5400</c:v>
                </c:pt>
                <c:pt idx="2646">
                  <c:v>5400</c:v>
                </c:pt>
                <c:pt idx="2647">
                  <c:v>5400</c:v>
                </c:pt>
                <c:pt idx="2648">
                  <c:v>5390</c:v>
                </c:pt>
                <c:pt idx="2649">
                  <c:v>5390</c:v>
                </c:pt>
                <c:pt idx="2650">
                  <c:v>5390</c:v>
                </c:pt>
                <c:pt idx="2651">
                  <c:v>5370</c:v>
                </c:pt>
                <c:pt idx="2652">
                  <c:v>5370</c:v>
                </c:pt>
                <c:pt idx="2653">
                  <c:v>5370</c:v>
                </c:pt>
                <c:pt idx="2654">
                  <c:v>5360</c:v>
                </c:pt>
                <c:pt idx="2655">
                  <c:v>5360</c:v>
                </c:pt>
                <c:pt idx="2656">
                  <c:v>5350</c:v>
                </c:pt>
                <c:pt idx="2657">
                  <c:v>5350</c:v>
                </c:pt>
                <c:pt idx="2658">
                  <c:v>5350</c:v>
                </c:pt>
                <c:pt idx="2659">
                  <c:v>5330</c:v>
                </c:pt>
                <c:pt idx="2660">
                  <c:v>5330</c:v>
                </c:pt>
                <c:pt idx="2661">
                  <c:v>5320</c:v>
                </c:pt>
                <c:pt idx="2662">
                  <c:v>5320</c:v>
                </c:pt>
                <c:pt idx="2663">
                  <c:v>5320</c:v>
                </c:pt>
                <c:pt idx="2664">
                  <c:v>5300</c:v>
                </c:pt>
                <c:pt idx="2665">
                  <c:v>5300</c:v>
                </c:pt>
                <c:pt idx="2666">
                  <c:v>5290</c:v>
                </c:pt>
                <c:pt idx="2667">
                  <c:v>5290</c:v>
                </c:pt>
                <c:pt idx="2668">
                  <c:v>5270</c:v>
                </c:pt>
                <c:pt idx="2669">
                  <c:v>5270</c:v>
                </c:pt>
                <c:pt idx="2670">
                  <c:v>5260</c:v>
                </c:pt>
                <c:pt idx="2671">
                  <c:v>5260</c:v>
                </c:pt>
                <c:pt idx="2672">
                  <c:v>5260</c:v>
                </c:pt>
                <c:pt idx="2673">
                  <c:v>5240</c:v>
                </c:pt>
                <c:pt idx="2674">
                  <c:v>5230</c:v>
                </c:pt>
                <c:pt idx="2675">
                  <c:v>5230</c:v>
                </c:pt>
                <c:pt idx="2676">
                  <c:v>5220</c:v>
                </c:pt>
                <c:pt idx="2677">
                  <c:v>5220</c:v>
                </c:pt>
                <c:pt idx="2678">
                  <c:v>5200</c:v>
                </c:pt>
                <c:pt idx="2679">
                  <c:v>5190</c:v>
                </c:pt>
                <c:pt idx="2680">
                  <c:v>5190</c:v>
                </c:pt>
                <c:pt idx="2681">
                  <c:v>5170</c:v>
                </c:pt>
                <c:pt idx="2682">
                  <c:v>5170</c:v>
                </c:pt>
                <c:pt idx="2683">
                  <c:v>5160</c:v>
                </c:pt>
                <c:pt idx="2684">
                  <c:v>5160</c:v>
                </c:pt>
                <c:pt idx="2685">
                  <c:v>5140</c:v>
                </c:pt>
                <c:pt idx="2686">
                  <c:v>5140</c:v>
                </c:pt>
                <c:pt idx="2687">
                  <c:v>5130</c:v>
                </c:pt>
                <c:pt idx="2688">
                  <c:v>5130</c:v>
                </c:pt>
                <c:pt idx="2689">
                  <c:v>5120</c:v>
                </c:pt>
                <c:pt idx="2690">
                  <c:v>5120</c:v>
                </c:pt>
                <c:pt idx="2691">
                  <c:v>5120</c:v>
                </c:pt>
                <c:pt idx="2692">
                  <c:v>5100</c:v>
                </c:pt>
                <c:pt idx="2693">
                  <c:v>5100</c:v>
                </c:pt>
                <c:pt idx="2694">
                  <c:v>5090</c:v>
                </c:pt>
                <c:pt idx="2695">
                  <c:v>5090</c:v>
                </c:pt>
                <c:pt idx="2696">
                  <c:v>5090</c:v>
                </c:pt>
                <c:pt idx="2697">
                  <c:v>5070</c:v>
                </c:pt>
                <c:pt idx="2698">
                  <c:v>5070</c:v>
                </c:pt>
                <c:pt idx="2699">
                  <c:v>5070</c:v>
                </c:pt>
                <c:pt idx="2700">
                  <c:v>5060</c:v>
                </c:pt>
                <c:pt idx="2701">
                  <c:v>5060</c:v>
                </c:pt>
                <c:pt idx="2702">
                  <c:v>5040</c:v>
                </c:pt>
                <c:pt idx="2703">
                  <c:v>5040</c:v>
                </c:pt>
                <c:pt idx="2704">
                  <c:v>5030</c:v>
                </c:pt>
                <c:pt idx="2705">
                  <c:v>5030</c:v>
                </c:pt>
                <c:pt idx="2706">
                  <c:v>5030</c:v>
                </c:pt>
                <c:pt idx="2707">
                  <c:v>5020</c:v>
                </c:pt>
                <c:pt idx="2708">
                  <c:v>5020</c:v>
                </c:pt>
                <c:pt idx="2709">
                  <c:v>5000</c:v>
                </c:pt>
                <c:pt idx="2710">
                  <c:v>5000</c:v>
                </c:pt>
                <c:pt idx="2711">
                  <c:v>5000</c:v>
                </c:pt>
                <c:pt idx="2712">
                  <c:v>4990</c:v>
                </c:pt>
                <c:pt idx="2713">
                  <c:v>4990</c:v>
                </c:pt>
                <c:pt idx="2714">
                  <c:v>4990</c:v>
                </c:pt>
                <c:pt idx="2715">
                  <c:v>4970</c:v>
                </c:pt>
                <c:pt idx="2716">
                  <c:v>4970</c:v>
                </c:pt>
                <c:pt idx="2717">
                  <c:v>4970</c:v>
                </c:pt>
                <c:pt idx="2718">
                  <c:v>4970</c:v>
                </c:pt>
                <c:pt idx="2719">
                  <c:v>4960</c:v>
                </c:pt>
                <c:pt idx="2720">
                  <c:v>4960</c:v>
                </c:pt>
                <c:pt idx="2721">
                  <c:v>4960</c:v>
                </c:pt>
                <c:pt idx="2722">
                  <c:v>4960</c:v>
                </c:pt>
                <c:pt idx="2723">
                  <c:v>4960</c:v>
                </c:pt>
                <c:pt idx="2724">
                  <c:v>4950</c:v>
                </c:pt>
                <c:pt idx="2725">
                  <c:v>4950</c:v>
                </c:pt>
                <c:pt idx="2726">
                  <c:v>4950</c:v>
                </c:pt>
                <c:pt idx="2727">
                  <c:v>4950</c:v>
                </c:pt>
                <c:pt idx="2728">
                  <c:v>4950</c:v>
                </c:pt>
                <c:pt idx="2729">
                  <c:v>4930</c:v>
                </c:pt>
                <c:pt idx="2730">
                  <c:v>4930</c:v>
                </c:pt>
                <c:pt idx="2731">
                  <c:v>4930</c:v>
                </c:pt>
                <c:pt idx="2732">
                  <c:v>4930</c:v>
                </c:pt>
                <c:pt idx="2733">
                  <c:v>4930</c:v>
                </c:pt>
                <c:pt idx="2734">
                  <c:v>4930</c:v>
                </c:pt>
                <c:pt idx="2735">
                  <c:v>4930</c:v>
                </c:pt>
                <c:pt idx="2736">
                  <c:v>4930</c:v>
                </c:pt>
                <c:pt idx="2737">
                  <c:v>4920</c:v>
                </c:pt>
                <c:pt idx="2738">
                  <c:v>4920</c:v>
                </c:pt>
                <c:pt idx="2739">
                  <c:v>4920</c:v>
                </c:pt>
                <c:pt idx="2740">
                  <c:v>4920</c:v>
                </c:pt>
                <c:pt idx="2741">
                  <c:v>4920</c:v>
                </c:pt>
                <c:pt idx="2742">
                  <c:v>4920</c:v>
                </c:pt>
                <c:pt idx="2743">
                  <c:v>4920</c:v>
                </c:pt>
                <c:pt idx="2744">
                  <c:v>4920</c:v>
                </c:pt>
                <c:pt idx="2745">
                  <c:v>4920</c:v>
                </c:pt>
                <c:pt idx="2746">
                  <c:v>4920</c:v>
                </c:pt>
                <c:pt idx="2747">
                  <c:v>4920</c:v>
                </c:pt>
                <c:pt idx="2748">
                  <c:v>4920</c:v>
                </c:pt>
                <c:pt idx="2749">
                  <c:v>4920</c:v>
                </c:pt>
                <c:pt idx="2750">
                  <c:v>4920</c:v>
                </c:pt>
                <c:pt idx="2751">
                  <c:v>4920</c:v>
                </c:pt>
                <c:pt idx="2752">
                  <c:v>4920</c:v>
                </c:pt>
                <c:pt idx="2753">
                  <c:v>4920</c:v>
                </c:pt>
                <c:pt idx="2754">
                  <c:v>4920</c:v>
                </c:pt>
                <c:pt idx="2755">
                  <c:v>4920</c:v>
                </c:pt>
                <c:pt idx="2756">
                  <c:v>4920</c:v>
                </c:pt>
                <c:pt idx="2757">
                  <c:v>4900</c:v>
                </c:pt>
                <c:pt idx="2758">
                  <c:v>4900</c:v>
                </c:pt>
                <c:pt idx="2759">
                  <c:v>4900</c:v>
                </c:pt>
                <c:pt idx="2760">
                  <c:v>4900</c:v>
                </c:pt>
                <c:pt idx="2761">
                  <c:v>4900</c:v>
                </c:pt>
                <c:pt idx="2762">
                  <c:v>4890</c:v>
                </c:pt>
                <c:pt idx="2763">
                  <c:v>4890</c:v>
                </c:pt>
                <c:pt idx="2764">
                  <c:v>4890</c:v>
                </c:pt>
                <c:pt idx="2765">
                  <c:v>4870</c:v>
                </c:pt>
                <c:pt idx="2766">
                  <c:v>4870</c:v>
                </c:pt>
                <c:pt idx="2767">
                  <c:v>4870</c:v>
                </c:pt>
                <c:pt idx="2768">
                  <c:v>4860</c:v>
                </c:pt>
                <c:pt idx="2769">
                  <c:v>4860</c:v>
                </c:pt>
                <c:pt idx="2770">
                  <c:v>4860</c:v>
                </c:pt>
                <c:pt idx="2771">
                  <c:v>4850</c:v>
                </c:pt>
                <c:pt idx="2772">
                  <c:v>4850</c:v>
                </c:pt>
                <c:pt idx="2773">
                  <c:v>4850</c:v>
                </c:pt>
                <c:pt idx="2774">
                  <c:v>4830</c:v>
                </c:pt>
                <c:pt idx="2775">
                  <c:v>4830</c:v>
                </c:pt>
                <c:pt idx="2776">
                  <c:v>4830</c:v>
                </c:pt>
                <c:pt idx="2777">
                  <c:v>4820</c:v>
                </c:pt>
                <c:pt idx="2778">
                  <c:v>4820</c:v>
                </c:pt>
                <c:pt idx="2779">
                  <c:v>4820</c:v>
                </c:pt>
                <c:pt idx="2780">
                  <c:v>4800</c:v>
                </c:pt>
                <c:pt idx="2781">
                  <c:v>4800</c:v>
                </c:pt>
                <c:pt idx="2782">
                  <c:v>4800</c:v>
                </c:pt>
                <c:pt idx="2783">
                  <c:v>4800</c:v>
                </c:pt>
                <c:pt idx="2784">
                  <c:v>4800</c:v>
                </c:pt>
                <c:pt idx="2785">
                  <c:v>4800</c:v>
                </c:pt>
                <c:pt idx="2786">
                  <c:v>4800</c:v>
                </c:pt>
                <c:pt idx="2787">
                  <c:v>4790</c:v>
                </c:pt>
                <c:pt idx="2788">
                  <c:v>4790</c:v>
                </c:pt>
                <c:pt idx="2789">
                  <c:v>4790</c:v>
                </c:pt>
                <c:pt idx="2790">
                  <c:v>4790</c:v>
                </c:pt>
                <c:pt idx="2791">
                  <c:v>4780</c:v>
                </c:pt>
                <c:pt idx="2792">
                  <c:v>4780</c:v>
                </c:pt>
                <c:pt idx="2793">
                  <c:v>4780</c:v>
                </c:pt>
                <c:pt idx="2794">
                  <c:v>4760</c:v>
                </c:pt>
                <c:pt idx="2795">
                  <c:v>4760</c:v>
                </c:pt>
                <c:pt idx="2796">
                  <c:v>4760</c:v>
                </c:pt>
                <c:pt idx="2797">
                  <c:v>4750</c:v>
                </c:pt>
                <c:pt idx="2798">
                  <c:v>4750</c:v>
                </c:pt>
                <c:pt idx="2799">
                  <c:v>4750</c:v>
                </c:pt>
                <c:pt idx="2800">
                  <c:v>4750</c:v>
                </c:pt>
                <c:pt idx="2801">
                  <c:v>4750</c:v>
                </c:pt>
                <c:pt idx="2802">
                  <c:v>4750</c:v>
                </c:pt>
                <c:pt idx="2803">
                  <c:v>4750</c:v>
                </c:pt>
                <c:pt idx="2804">
                  <c:v>4730</c:v>
                </c:pt>
                <c:pt idx="2805">
                  <c:v>4730</c:v>
                </c:pt>
                <c:pt idx="2806">
                  <c:v>4730</c:v>
                </c:pt>
                <c:pt idx="2807">
                  <c:v>4730</c:v>
                </c:pt>
                <c:pt idx="2808">
                  <c:v>4730</c:v>
                </c:pt>
                <c:pt idx="2809">
                  <c:v>4730</c:v>
                </c:pt>
                <c:pt idx="2810">
                  <c:v>4720</c:v>
                </c:pt>
                <c:pt idx="2811">
                  <c:v>4720</c:v>
                </c:pt>
                <c:pt idx="2812">
                  <c:v>4720</c:v>
                </c:pt>
                <c:pt idx="2813">
                  <c:v>4720</c:v>
                </c:pt>
                <c:pt idx="2814">
                  <c:v>4720</c:v>
                </c:pt>
                <c:pt idx="2815">
                  <c:v>4720</c:v>
                </c:pt>
                <c:pt idx="2816">
                  <c:v>4720</c:v>
                </c:pt>
                <c:pt idx="2817">
                  <c:v>4720</c:v>
                </c:pt>
                <c:pt idx="2818">
                  <c:v>4720</c:v>
                </c:pt>
                <c:pt idx="2819">
                  <c:v>4710</c:v>
                </c:pt>
                <c:pt idx="2820">
                  <c:v>4710</c:v>
                </c:pt>
                <c:pt idx="2821">
                  <c:v>4710</c:v>
                </c:pt>
                <c:pt idx="2822">
                  <c:v>4710</c:v>
                </c:pt>
                <c:pt idx="2823">
                  <c:v>4710</c:v>
                </c:pt>
                <c:pt idx="2824">
                  <c:v>4710</c:v>
                </c:pt>
                <c:pt idx="2825">
                  <c:v>4710</c:v>
                </c:pt>
                <c:pt idx="2826">
                  <c:v>4710</c:v>
                </c:pt>
                <c:pt idx="2827">
                  <c:v>4710</c:v>
                </c:pt>
                <c:pt idx="2828">
                  <c:v>4710</c:v>
                </c:pt>
                <c:pt idx="2829">
                  <c:v>4710</c:v>
                </c:pt>
                <c:pt idx="2830">
                  <c:v>4710</c:v>
                </c:pt>
                <c:pt idx="2831">
                  <c:v>4710</c:v>
                </c:pt>
                <c:pt idx="2832">
                  <c:v>4710</c:v>
                </c:pt>
                <c:pt idx="2833">
                  <c:v>4710</c:v>
                </c:pt>
                <c:pt idx="2834">
                  <c:v>4710</c:v>
                </c:pt>
                <c:pt idx="2835">
                  <c:v>4710</c:v>
                </c:pt>
                <c:pt idx="2836">
                  <c:v>4720</c:v>
                </c:pt>
                <c:pt idx="2837">
                  <c:v>4720</c:v>
                </c:pt>
                <c:pt idx="2838">
                  <c:v>4720</c:v>
                </c:pt>
                <c:pt idx="2839">
                  <c:v>4720</c:v>
                </c:pt>
                <c:pt idx="2840">
                  <c:v>4720</c:v>
                </c:pt>
                <c:pt idx="2841">
                  <c:v>4720</c:v>
                </c:pt>
                <c:pt idx="2842">
                  <c:v>4720</c:v>
                </c:pt>
                <c:pt idx="2843">
                  <c:v>4720</c:v>
                </c:pt>
                <c:pt idx="2844">
                  <c:v>4720</c:v>
                </c:pt>
                <c:pt idx="2845">
                  <c:v>4720</c:v>
                </c:pt>
                <c:pt idx="2846">
                  <c:v>4720</c:v>
                </c:pt>
                <c:pt idx="2847">
                  <c:v>4720</c:v>
                </c:pt>
                <c:pt idx="2848">
                  <c:v>4720</c:v>
                </c:pt>
                <c:pt idx="2849">
                  <c:v>4720</c:v>
                </c:pt>
                <c:pt idx="2850">
                  <c:v>4720</c:v>
                </c:pt>
                <c:pt idx="2851">
                  <c:v>4720</c:v>
                </c:pt>
                <c:pt idx="2852">
                  <c:v>4720</c:v>
                </c:pt>
                <c:pt idx="2853">
                  <c:v>4720</c:v>
                </c:pt>
                <c:pt idx="2854">
                  <c:v>4720</c:v>
                </c:pt>
                <c:pt idx="2855">
                  <c:v>4720</c:v>
                </c:pt>
                <c:pt idx="2856">
                  <c:v>4720</c:v>
                </c:pt>
                <c:pt idx="2857">
                  <c:v>4720</c:v>
                </c:pt>
                <c:pt idx="2858">
                  <c:v>4720</c:v>
                </c:pt>
                <c:pt idx="2859">
                  <c:v>4710</c:v>
                </c:pt>
                <c:pt idx="2860">
                  <c:v>4710</c:v>
                </c:pt>
                <c:pt idx="2861">
                  <c:v>4710</c:v>
                </c:pt>
                <c:pt idx="2862">
                  <c:v>4710</c:v>
                </c:pt>
                <c:pt idx="2863">
                  <c:v>4710</c:v>
                </c:pt>
                <c:pt idx="2864">
                  <c:v>4710</c:v>
                </c:pt>
                <c:pt idx="2865">
                  <c:v>4690</c:v>
                </c:pt>
                <c:pt idx="2866">
                  <c:v>4690</c:v>
                </c:pt>
                <c:pt idx="2867">
                  <c:v>4690</c:v>
                </c:pt>
                <c:pt idx="2868">
                  <c:v>4690</c:v>
                </c:pt>
                <c:pt idx="2869">
                  <c:v>4690</c:v>
                </c:pt>
                <c:pt idx="2870">
                  <c:v>4680</c:v>
                </c:pt>
                <c:pt idx="2871">
                  <c:v>4680</c:v>
                </c:pt>
                <c:pt idx="2872">
                  <c:v>4680</c:v>
                </c:pt>
                <c:pt idx="2873">
                  <c:v>4670</c:v>
                </c:pt>
                <c:pt idx="2874">
                  <c:v>4670</c:v>
                </c:pt>
                <c:pt idx="2875">
                  <c:v>4650</c:v>
                </c:pt>
                <c:pt idx="2876">
                  <c:v>4650</c:v>
                </c:pt>
                <c:pt idx="2877">
                  <c:v>4640</c:v>
                </c:pt>
                <c:pt idx="2878">
                  <c:v>4640</c:v>
                </c:pt>
                <c:pt idx="2879">
                  <c:v>4620</c:v>
                </c:pt>
                <c:pt idx="2880">
                  <c:v>4620</c:v>
                </c:pt>
                <c:pt idx="2881">
                  <c:v>4610</c:v>
                </c:pt>
                <c:pt idx="2882">
                  <c:v>4610</c:v>
                </c:pt>
                <c:pt idx="2883">
                  <c:v>4610</c:v>
                </c:pt>
                <c:pt idx="2884">
                  <c:v>4600</c:v>
                </c:pt>
                <c:pt idx="2885">
                  <c:v>4600</c:v>
                </c:pt>
                <c:pt idx="2886">
                  <c:v>4600</c:v>
                </c:pt>
                <c:pt idx="2887">
                  <c:v>4580</c:v>
                </c:pt>
                <c:pt idx="2888">
                  <c:v>4580</c:v>
                </c:pt>
                <c:pt idx="2889">
                  <c:v>4580</c:v>
                </c:pt>
                <c:pt idx="2890">
                  <c:v>4580</c:v>
                </c:pt>
                <c:pt idx="2891">
                  <c:v>4570</c:v>
                </c:pt>
                <c:pt idx="2892">
                  <c:v>4570</c:v>
                </c:pt>
                <c:pt idx="2893">
                  <c:v>4570</c:v>
                </c:pt>
                <c:pt idx="2894">
                  <c:v>4560</c:v>
                </c:pt>
                <c:pt idx="2895">
                  <c:v>4560</c:v>
                </c:pt>
                <c:pt idx="2896">
                  <c:v>4560</c:v>
                </c:pt>
                <c:pt idx="2897">
                  <c:v>4560</c:v>
                </c:pt>
                <c:pt idx="2898">
                  <c:v>4560</c:v>
                </c:pt>
                <c:pt idx="2899">
                  <c:v>4540</c:v>
                </c:pt>
                <c:pt idx="2900">
                  <c:v>4540</c:v>
                </c:pt>
                <c:pt idx="2901">
                  <c:v>4540</c:v>
                </c:pt>
                <c:pt idx="2902">
                  <c:v>4530</c:v>
                </c:pt>
                <c:pt idx="2903">
                  <c:v>4530</c:v>
                </c:pt>
                <c:pt idx="2904">
                  <c:v>4530</c:v>
                </c:pt>
                <c:pt idx="2905">
                  <c:v>4530</c:v>
                </c:pt>
                <c:pt idx="2906">
                  <c:v>4510</c:v>
                </c:pt>
                <c:pt idx="2907">
                  <c:v>4510</c:v>
                </c:pt>
                <c:pt idx="2908">
                  <c:v>4510</c:v>
                </c:pt>
                <c:pt idx="2909">
                  <c:v>4510</c:v>
                </c:pt>
                <c:pt idx="2910">
                  <c:v>4510</c:v>
                </c:pt>
                <c:pt idx="2911">
                  <c:v>4510</c:v>
                </c:pt>
                <c:pt idx="2912">
                  <c:v>4510</c:v>
                </c:pt>
                <c:pt idx="2913">
                  <c:v>4500</c:v>
                </c:pt>
                <c:pt idx="2914">
                  <c:v>4500</c:v>
                </c:pt>
                <c:pt idx="2915">
                  <c:v>4500</c:v>
                </c:pt>
                <c:pt idx="2916">
                  <c:v>4500</c:v>
                </c:pt>
                <c:pt idx="2917">
                  <c:v>4500</c:v>
                </c:pt>
                <c:pt idx="2918">
                  <c:v>4500</c:v>
                </c:pt>
                <c:pt idx="2919">
                  <c:v>4500</c:v>
                </c:pt>
                <c:pt idx="2920">
                  <c:v>4500</c:v>
                </c:pt>
                <c:pt idx="2921">
                  <c:v>4510</c:v>
                </c:pt>
                <c:pt idx="2922">
                  <c:v>4510</c:v>
                </c:pt>
                <c:pt idx="2923">
                  <c:v>4510</c:v>
                </c:pt>
                <c:pt idx="2924">
                  <c:v>4510</c:v>
                </c:pt>
                <c:pt idx="2925">
                  <c:v>4510</c:v>
                </c:pt>
                <c:pt idx="2926">
                  <c:v>4510</c:v>
                </c:pt>
                <c:pt idx="2927">
                  <c:v>4510</c:v>
                </c:pt>
                <c:pt idx="2928">
                  <c:v>4510</c:v>
                </c:pt>
                <c:pt idx="2929">
                  <c:v>4510</c:v>
                </c:pt>
                <c:pt idx="2930">
                  <c:v>4510</c:v>
                </c:pt>
                <c:pt idx="2931">
                  <c:v>4530</c:v>
                </c:pt>
                <c:pt idx="2932">
                  <c:v>4530</c:v>
                </c:pt>
                <c:pt idx="2933">
                  <c:v>4530</c:v>
                </c:pt>
                <c:pt idx="2934">
                  <c:v>4530</c:v>
                </c:pt>
                <c:pt idx="2935">
                  <c:v>4530</c:v>
                </c:pt>
                <c:pt idx="2936">
                  <c:v>4530</c:v>
                </c:pt>
                <c:pt idx="2937">
                  <c:v>4530</c:v>
                </c:pt>
                <c:pt idx="2938">
                  <c:v>4540</c:v>
                </c:pt>
                <c:pt idx="2939">
                  <c:v>4540</c:v>
                </c:pt>
                <c:pt idx="2940">
                  <c:v>4540</c:v>
                </c:pt>
                <c:pt idx="2941">
                  <c:v>4540</c:v>
                </c:pt>
                <c:pt idx="2942">
                  <c:v>4540</c:v>
                </c:pt>
                <c:pt idx="2943">
                  <c:v>4540</c:v>
                </c:pt>
                <c:pt idx="2944">
                  <c:v>4560</c:v>
                </c:pt>
                <c:pt idx="2945">
                  <c:v>4560</c:v>
                </c:pt>
                <c:pt idx="2946">
                  <c:v>4560</c:v>
                </c:pt>
                <c:pt idx="2947">
                  <c:v>4560</c:v>
                </c:pt>
                <c:pt idx="2948">
                  <c:v>4560</c:v>
                </c:pt>
                <c:pt idx="2949">
                  <c:v>4560</c:v>
                </c:pt>
                <c:pt idx="2950">
                  <c:v>4560</c:v>
                </c:pt>
                <c:pt idx="2951">
                  <c:v>4560</c:v>
                </c:pt>
                <c:pt idx="2952">
                  <c:v>4560</c:v>
                </c:pt>
                <c:pt idx="2953">
                  <c:v>4560</c:v>
                </c:pt>
                <c:pt idx="2954">
                  <c:v>4560</c:v>
                </c:pt>
                <c:pt idx="2955">
                  <c:v>4560</c:v>
                </c:pt>
                <c:pt idx="2956">
                  <c:v>4560</c:v>
                </c:pt>
                <c:pt idx="2957">
                  <c:v>4560</c:v>
                </c:pt>
                <c:pt idx="2958">
                  <c:v>4560</c:v>
                </c:pt>
                <c:pt idx="2959">
                  <c:v>4560</c:v>
                </c:pt>
                <c:pt idx="2960">
                  <c:v>4560</c:v>
                </c:pt>
                <c:pt idx="2961">
                  <c:v>4560</c:v>
                </c:pt>
                <c:pt idx="2962">
                  <c:v>4560</c:v>
                </c:pt>
                <c:pt idx="2963">
                  <c:v>4560</c:v>
                </c:pt>
                <c:pt idx="2964">
                  <c:v>4560</c:v>
                </c:pt>
                <c:pt idx="2965">
                  <c:v>4560</c:v>
                </c:pt>
                <c:pt idx="2966">
                  <c:v>4560</c:v>
                </c:pt>
                <c:pt idx="2967">
                  <c:v>4540</c:v>
                </c:pt>
                <c:pt idx="2968">
                  <c:v>4540</c:v>
                </c:pt>
                <c:pt idx="2969">
                  <c:v>4540</c:v>
                </c:pt>
                <c:pt idx="2970">
                  <c:v>4540</c:v>
                </c:pt>
                <c:pt idx="2971">
                  <c:v>4530</c:v>
                </c:pt>
                <c:pt idx="2972">
                  <c:v>4530</c:v>
                </c:pt>
                <c:pt idx="2973">
                  <c:v>4530</c:v>
                </c:pt>
                <c:pt idx="2974">
                  <c:v>4530</c:v>
                </c:pt>
                <c:pt idx="2975">
                  <c:v>4530</c:v>
                </c:pt>
                <c:pt idx="2976">
                  <c:v>4510</c:v>
                </c:pt>
                <c:pt idx="2977">
                  <c:v>4510</c:v>
                </c:pt>
                <c:pt idx="2978">
                  <c:v>4510</c:v>
                </c:pt>
                <c:pt idx="2979">
                  <c:v>4500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4500</c:v>
                </c:pt>
                <c:pt idx="2984">
                  <c:v>4500</c:v>
                </c:pt>
                <c:pt idx="2985">
                  <c:v>4500</c:v>
                </c:pt>
                <c:pt idx="2986">
                  <c:v>4500</c:v>
                </c:pt>
                <c:pt idx="2987">
                  <c:v>4490</c:v>
                </c:pt>
                <c:pt idx="2988">
                  <c:v>4490</c:v>
                </c:pt>
                <c:pt idx="2989">
                  <c:v>4490</c:v>
                </c:pt>
                <c:pt idx="2990">
                  <c:v>4490</c:v>
                </c:pt>
                <c:pt idx="2991">
                  <c:v>4490</c:v>
                </c:pt>
                <c:pt idx="2992">
                  <c:v>4490</c:v>
                </c:pt>
                <c:pt idx="2993">
                  <c:v>4470</c:v>
                </c:pt>
                <c:pt idx="2994">
                  <c:v>4470</c:v>
                </c:pt>
                <c:pt idx="2995">
                  <c:v>4470</c:v>
                </c:pt>
                <c:pt idx="2996">
                  <c:v>4470</c:v>
                </c:pt>
                <c:pt idx="2997">
                  <c:v>4470</c:v>
                </c:pt>
                <c:pt idx="2998">
                  <c:v>4470</c:v>
                </c:pt>
                <c:pt idx="2999">
                  <c:v>4460</c:v>
                </c:pt>
                <c:pt idx="3000">
                  <c:v>4460</c:v>
                </c:pt>
                <c:pt idx="3001">
                  <c:v>4460</c:v>
                </c:pt>
                <c:pt idx="3002">
                  <c:v>4460</c:v>
                </c:pt>
                <c:pt idx="3003">
                  <c:v>4460</c:v>
                </c:pt>
                <c:pt idx="3004">
                  <c:v>4450</c:v>
                </c:pt>
                <c:pt idx="3005">
                  <c:v>4450</c:v>
                </c:pt>
                <c:pt idx="3006">
                  <c:v>4450</c:v>
                </c:pt>
                <c:pt idx="3007">
                  <c:v>4450</c:v>
                </c:pt>
                <c:pt idx="3008">
                  <c:v>4450</c:v>
                </c:pt>
                <c:pt idx="3009">
                  <c:v>4450</c:v>
                </c:pt>
                <c:pt idx="3010">
                  <c:v>4450</c:v>
                </c:pt>
                <c:pt idx="3011">
                  <c:v>4450</c:v>
                </c:pt>
                <c:pt idx="3012">
                  <c:v>4450</c:v>
                </c:pt>
                <c:pt idx="3013">
                  <c:v>4450</c:v>
                </c:pt>
                <c:pt idx="3014">
                  <c:v>4450</c:v>
                </c:pt>
                <c:pt idx="3015">
                  <c:v>4450</c:v>
                </c:pt>
                <c:pt idx="3016">
                  <c:v>4450</c:v>
                </c:pt>
                <c:pt idx="3017">
                  <c:v>4450</c:v>
                </c:pt>
                <c:pt idx="3018">
                  <c:v>4450</c:v>
                </c:pt>
                <c:pt idx="3019">
                  <c:v>4450</c:v>
                </c:pt>
                <c:pt idx="3020">
                  <c:v>4450</c:v>
                </c:pt>
                <c:pt idx="3021">
                  <c:v>4450</c:v>
                </c:pt>
                <c:pt idx="3022">
                  <c:v>4450</c:v>
                </c:pt>
                <c:pt idx="3023">
                  <c:v>4450</c:v>
                </c:pt>
                <c:pt idx="3024">
                  <c:v>4450</c:v>
                </c:pt>
                <c:pt idx="3025">
                  <c:v>4450</c:v>
                </c:pt>
                <c:pt idx="3026">
                  <c:v>4450</c:v>
                </c:pt>
                <c:pt idx="3027">
                  <c:v>4450</c:v>
                </c:pt>
                <c:pt idx="3028">
                  <c:v>4450</c:v>
                </c:pt>
                <c:pt idx="3029">
                  <c:v>4450</c:v>
                </c:pt>
                <c:pt idx="3030">
                  <c:v>4450</c:v>
                </c:pt>
                <c:pt idx="3031">
                  <c:v>4460</c:v>
                </c:pt>
                <c:pt idx="3032">
                  <c:v>4460</c:v>
                </c:pt>
                <c:pt idx="3033">
                  <c:v>4460</c:v>
                </c:pt>
                <c:pt idx="3034">
                  <c:v>4460</c:v>
                </c:pt>
                <c:pt idx="3035">
                  <c:v>4460</c:v>
                </c:pt>
                <c:pt idx="3036">
                  <c:v>4460</c:v>
                </c:pt>
                <c:pt idx="3037">
                  <c:v>4460</c:v>
                </c:pt>
                <c:pt idx="3038">
                  <c:v>4460</c:v>
                </c:pt>
                <c:pt idx="3039">
                  <c:v>4460</c:v>
                </c:pt>
                <c:pt idx="3040">
                  <c:v>4460</c:v>
                </c:pt>
                <c:pt idx="3041">
                  <c:v>4460</c:v>
                </c:pt>
                <c:pt idx="3042">
                  <c:v>4460</c:v>
                </c:pt>
                <c:pt idx="3043">
                  <c:v>4460</c:v>
                </c:pt>
                <c:pt idx="3044">
                  <c:v>4460</c:v>
                </c:pt>
                <c:pt idx="3045">
                  <c:v>4460</c:v>
                </c:pt>
                <c:pt idx="3046">
                  <c:v>4460</c:v>
                </c:pt>
                <c:pt idx="3047">
                  <c:v>4460</c:v>
                </c:pt>
                <c:pt idx="3048">
                  <c:v>4460</c:v>
                </c:pt>
                <c:pt idx="3049">
                  <c:v>4460</c:v>
                </c:pt>
                <c:pt idx="3050">
                  <c:v>4460</c:v>
                </c:pt>
                <c:pt idx="3051">
                  <c:v>4460</c:v>
                </c:pt>
                <c:pt idx="3052">
                  <c:v>4460</c:v>
                </c:pt>
                <c:pt idx="3053">
                  <c:v>4460</c:v>
                </c:pt>
                <c:pt idx="3054">
                  <c:v>4460</c:v>
                </c:pt>
                <c:pt idx="3055">
                  <c:v>4460</c:v>
                </c:pt>
                <c:pt idx="3056">
                  <c:v>4460</c:v>
                </c:pt>
                <c:pt idx="3057">
                  <c:v>4460</c:v>
                </c:pt>
                <c:pt idx="3058">
                  <c:v>4460</c:v>
                </c:pt>
                <c:pt idx="3059">
                  <c:v>4450</c:v>
                </c:pt>
                <c:pt idx="3060">
                  <c:v>4450</c:v>
                </c:pt>
                <c:pt idx="3061">
                  <c:v>4450</c:v>
                </c:pt>
                <c:pt idx="3062">
                  <c:v>4450</c:v>
                </c:pt>
                <c:pt idx="3063">
                  <c:v>4450</c:v>
                </c:pt>
                <c:pt idx="3064">
                  <c:v>4450</c:v>
                </c:pt>
                <c:pt idx="3065">
                  <c:v>4450</c:v>
                </c:pt>
                <c:pt idx="3066">
                  <c:v>4450</c:v>
                </c:pt>
                <c:pt idx="3067">
                  <c:v>4450</c:v>
                </c:pt>
                <c:pt idx="3068">
                  <c:v>4450</c:v>
                </c:pt>
                <c:pt idx="3069">
                  <c:v>4450</c:v>
                </c:pt>
                <c:pt idx="3070">
                  <c:v>4450</c:v>
                </c:pt>
                <c:pt idx="3071">
                  <c:v>4450</c:v>
                </c:pt>
                <c:pt idx="3072">
                  <c:v>4450</c:v>
                </c:pt>
                <c:pt idx="3073">
                  <c:v>4450</c:v>
                </c:pt>
                <c:pt idx="3074">
                  <c:v>4460</c:v>
                </c:pt>
                <c:pt idx="3075">
                  <c:v>4460</c:v>
                </c:pt>
                <c:pt idx="3076">
                  <c:v>4460</c:v>
                </c:pt>
                <c:pt idx="3077">
                  <c:v>4460</c:v>
                </c:pt>
                <c:pt idx="3078">
                  <c:v>4460</c:v>
                </c:pt>
                <c:pt idx="3079">
                  <c:v>4460</c:v>
                </c:pt>
                <c:pt idx="3080">
                  <c:v>4460</c:v>
                </c:pt>
                <c:pt idx="3081">
                  <c:v>4460</c:v>
                </c:pt>
                <c:pt idx="3082">
                  <c:v>4460</c:v>
                </c:pt>
                <c:pt idx="3083">
                  <c:v>4460</c:v>
                </c:pt>
                <c:pt idx="3084">
                  <c:v>4460</c:v>
                </c:pt>
                <c:pt idx="3085">
                  <c:v>4470</c:v>
                </c:pt>
                <c:pt idx="3086">
                  <c:v>4470</c:v>
                </c:pt>
                <c:pt idx="3087">
                  <c:v>4470</c:v>
                </c:pt>
                <c:pt idx="3088">
                  <c:v>4470</c:v>
                </c:pt>
                <c:pt idx="3089">
                  <c:v>4490</c:v>
                </c:pt>
                <c:pt idx="3090">
                  <c:v>4490</c:v>
                </c:pt>
                <c:pt idx="3091">
                  <c:v>4490</c:v>
                </c:pt>
                <c:pt idx="3092">
                  <c:v>4490</c:v>
                </c:pt>
                <c:pt idx="3093">
                  <c:v>4500</c:v>
                </c:pt>
                <c:pt idx="3094">
                  <c:v>4500</c:v>
                </c:pt>
                <c:pt idx="3095">
                  <c:v>4500</c:v>
                </c:pt>
                <c:pt idx="3096">
                  <c:v>4510</c:v>
                </c:pt>
                <c:pt idx="3097">
                  <c:v>4510</c:v>
                </c:pt>
                <c:pt idx="3098">
                  <c:v>4510</c:v>
                </c:pt>
                <c:pt idx="3099">
                  <c:v>4530</c:v>
                </c:pt>
                <c:pt idx="3100">
                  <c:v>4530</c:v>
                </c:pt>
                <c:pt idx="3101">
                  <c:v>4540</c:v>
                </c:pt>
                <c:pt idx="3102">
                  <c:v>4540</c:v>
                </c:pt>
                <c:pt idx="3103">
                  <c:v>4540</c:v>
                </c:pt>
                <c:pt idx="3104">
                  <c:v>4560</c:v>
                </c:pt>
                <c:pt idx="3105">
                  <c:v>4560</c:v>
                </c:pt>
                <c:pt idx="3106">
                  <c:v>4570</c:v>
                </c:pt>
                <c:pt idx="3107">
                  <c:v>4570</c:v>
                </c:pt>
                <c:pt idx="3108">
                  <c:v>4580</c:v>
                </c:pt>
                <c:pt idx="3109">
                  <c:v>4580</c:v>
                </c:pt>
                <c:pt idx="3110">
                  <c:v>4580</c:v>
                </c:pt>
                <c:pt idx="3111">
                  <c:v>4600</c:v>
                </c:pt>
                <c:pt idx="3112">
                  <c:v>4600</c:v>
                </c:pt>
                <c:pt idx="3113">
                  <c:v>4610</c:v>
                </c:pt>
                <c:pt idx="3114">
                  <c:v>4610</c:v>
                </c:pt>
                <c:pt idx="3115">
                  <c:v>4620</c:v>
                </c:pt>
                <c:pt idx="3116">
                  <c:v>4620</c:v>
                </c:pt>
                <c:pt idx="3117">
                  <c:v>4640</c:v>
                </c:pt>
                <c:pt idx="3118">
                  <c:v>4640</c:v>
                </c:pt>
                <c:pt idx="3119">
                  <c:v>4650</c:v>
                </c:pt>
                <c:pt idx="3120">
                  <c:v>4650</c:v>
                </c:pt>
                <c:pt idx="3121">
                  <c:v>4670</c:v>
                </c:pt>
                <c:pt idx="3122">
                  <c:v>4680</c:v>
                </c:pt>
                <c:pt idx="3123">
                  <c:v>4680</c:v>
                </c:pt>
                <c:pt idx="3124">
                  <c:v>4690</c:v>
                </c:pt>
                <c:pt idx="3125">
                  <c:v>4710</c:v>
                </c:pt>
                <c:pt idx="3126">
                  <c:v>4710</c:v>
                </c:pt>
                <c:pt idx="3127">
                  <c:v>4720</c:v>
                </c:pt>
                <c:pt idx="3128">
                  <c:v>4720</c:v>
                </c:pt>
                <c:pt idx="3129">
                  <c:v>4730</c:v>
                </c:pt>
                <c:pt idx="3130">
                  <c:v>4730</c:v>
                </c:pt>
                <c:pt idx="3131">
                  <c:v>4750</c:v>
                </c:pt>
                <c:pt idx="3132">
                  <c:v>4760</c:v>
                </c:pt>
                <c:pt idx="3133">
                  <c:v>4760</c:v>
                </c:pt>
                <c:pt idx="3134">
                  <c:v>4780</c:v>
                </c:pt>
                <c:pt idx="3135">
                  <c:v>4780</c:v>
                </c:pt>
                <c:pt idx="3136">
                  <c:v>4790</c:v>
                </c:pt>
                <c:pt idx="3137">
                  <c:v>4800</c:v>
                </c:pt>
                <c:pt idx="3138">
                  <c:v>4800</c:v>
                </c:pt>
                <c:pt idx="3139">
                  <c:v>4820</c:v>
                </c:pt>
                <c:pt idx="3140">
                  <c:v>4820</c:v>
                </c:pt>
                <c:pt idx="3141">
                  <c:v>4830</c:v>
                </c:pt>
                <c:pt idx="3142">
                  <c:v>4830</c:v>
                </c:pt>
                <c:pt idx="3143">
                  <c:v>4850</c:v>
                </c:pt>
                <c:pt idx="3144">
                  <c:v>4850</c:v>
                </c:pt>
                <c:pt idx="3145">
                  <c:v>4860</c:v>
                </c:pt>
                <c:pt idx="3146">
                  <c:v>4860</c:v>
                </c:pt>
                <c:pt idx="3147">
                  <c:v>4870</c:v>
                </c:pt>
                <c:pt idx="3148">
                  <c:v>4870</c:v>
                </c:pt>
                <c:pt idx="3149">
                  <c:v>4890</c:v>
                </c:pt>
                <c:pt idx="3150">
                  <c:v>4900</c:v>
                </c:pt>
                <c:pt idx="3151">
                  <c:v>4900</c:v>
                </c:pt>
                <c:pt idx="3152">
                  <c:v>4920</c:v>
                </c:pt>
                <c:pt idx="3153">
                  <c:v>4920</c:v>
                </c:pt>
                <c:pt idx="3154">
                  <c:v>4930</c:v>
                </c:pt>
                <c:pt idx="3155">
                  <c:v>4950</c:v>
                </c:pt>
                <c:pt idx="3156">
                  <c:v>4950</c:v>
                </c:pt>
                <c:pt idx="3157">
                  <c:v>4950</c:v>
                </c:pt>
                <c:pt idx="3158">
                  <c:v>4960</c:v>
                </c:pt>
                <c:pt idx="3159">
                  <c:v>4970</c:v>
                </c:pt>
                <c:pt idx="3160">
                  <c:v>4970</c:v>
                </c:pt>
                <c:pt idx="3161">
                  <c:v>4990</c:v>
                </c:pt>
                <c:pt idx="3162">
                  <c:v>4990</c:v>
                </c:pt>
                <c:pt idx="3163">
                  <c:v>5000</c:v>
                </c:pt>
                <c:pt idx="3164">
                  <c:v>5000</c:v>
                </c:pt>
                <c:pt idx="3165">
                  <c:v>5020</c:v>
                </c:pt>
                <c:pt idx="3166">
                  <c:v>5030</c:v>
                </c:pt>
                <c:pt idx="3167">
                  <c:v>5030</c:v>
                </c:pt>
                <c:pt idx="3168">
                  <c:v>5040</c:v>
                </c:pt>
                <c:pt idx="3169">
                  <c:v>5060</c:v>
                </c:pt>
                <c:pt idx="3170">
                  <c:v>5060</c:v>
                </c:pt>
                <c:pt idx="3171">
                  <c:v>5070</c:v>
                </c:pt>
                <c:pt idx="3172">
                  <c:v>5090</c:v>
                </c:pt>
                <c:pt idx="3173">
                  <c:v>5090</c:v>
                </c:pt>
                <c:pt idx="3174">
                  <c:v>5100</c:v>
                </c:pt>
                <c:pt idx="3175">
                  <c:v>5120</c:v>
                </c:pt>
                <c:pt idx="3176">
                  <c:v>5120</c:v>
                </c:pt>
                <c:pt idx="3177">
                  <c:v>5130</c:v>
                </c:pt>
                <c:pt idx="3178">
                  <c:v>5140</c:v>
                </c:pt>
                <c:pt idx="3179">
                  <c:v>5140</c:v>
                </c:pt>
                <c:pt idx="3180">
                  <c:v>5160</c:v>
                </c:pt>
                <c:pt idx="3181">
                  <c:v>5170</c:v>
                </c:pt>
                <c:pt idx="3182">
                  <c:v>5170</c:v>
                </c:pt>
                <c:pt idx="3183">
                  <c:v>5190</c:v>
                </c:pt>
                <c:pt idx="3184">
                  <c:v>5200</c:v>
                </c:pt>
                <c:pt idx="3185">
                  <c:v>5220</c:v>
                </c:pt>
                <c:pt idx="3186">
                  <c:v>5230</c:v>
                </c:pt>
                <c:pt idx="3187">
                  <c:v>5230</c:v>
                </c:pt>
                <c:pt idx="3188">
                  <c:v>5240</c:v>
                </c:pt>
                <c:pt idx="3189">
                  <c:v>5260</c:v>
                </c:pt>
                <c:pt idx="3190">
                  <c:v>5260</c:v>
                </c:pt>
                <c:pt idx="3191">
                  <c:v>5270</c:v>
                </c:pt>
                <c:pt idx="3192">
                  <c:v>5290</c:v>
                </c:pt>
                <c:pt idx="3193">
                  <c:v>5290</c:v>
                </c:pt>
                <c:pt idx="3194">
                  <c:v>5320</c:v>
                </c:pt>
                <c:pt idx="3195">
                  <c:v>5320</c:v>
                </c:pt>
                <c:pt idx="3196">
                  <c:v>5330</c:v>
                </c:pt>
                <c:pt idx="3197">
                  <c:v>5350</c:v>
                </c:pt>
                <c:pt idx="3198">
                  <c:v>5350</c:v>
                </c:pt>
                <c:pt idx="3199">
                  <c:v>5360</c:v>
                </c:pt>
                <c:pt idx="3200">
                  <c:v>5370</c:v>
                </c:pt>
                <c:pt idx="3201">
                  <c:v>5370</c:v>
                </c:pt>
                <c:pt idx="3202">
                  <c:v>5390</c:v>
                </c:pt>
                <c:pt idx="3203">
                  <c:v>5400</c:v>
                </c:pt>
                <c:pt idx="3204">
                  <c:v>5400</c:v>
                </c:pt>
                <c:pt idx="3205">
                  <c:v>5420</c:v>
                </c:pt>
                <c:pt idx="3206">
                  <c:v>5430</c:v>
                </c:pt>
                <c:pt idx="3207">
                  <c:v>5450</c:v>
                </c:pt>
                <c:pt idx="3208">
                  <c:v>5450</c:v>
                </c:pt>
                <c:pt idx="3209">
                  <c:v>5460</c:v>
                </c:pt>
                <c:pt idx="3210">
                  <c:v>5480</c:v>
                </c:pt>
                <c:pt idx="3211">
                  <c:v>5490</c:v>
                </c:pt>
                <c:pt idx="3212">
                  <c:v>5490</c:v>
                </c:pt>
                <c:pt idx="3213">
                  <c:v>5510</c:v>
                </c:pt>
                <c:pt idx="3214">
                  <c:v>5520</c:v>
                </c:pt>
                <c:pt idx="3215">
                  <c:v>5520</c:v>
                </c:pt>
                <c:pt idx="3216">
                  <c:v>5530</c:v>
                </c:pt>
                <c:pt idx="3217">
                  <c:v>5550</c:v>
                </c:pt>
                <c:pt idx="3218">
                  <c:v>5550</c:v>
                </c:pt>
                <c:pt idx="3219">
                  <c:v>5560</c:v>
                </c:pt>
                <c:pt idx="3220">
                  <c:v>5580</c:v>
                </c:pt>
                <c:pt idx="3221">
                  <c:v>5580</c:v>
                </c:pt>
                <c:pt idx="3222">
                  <c:v>5590</c:v>
                </c:pt>
                <c:pt idx="3223">
                  <c:v>5610</c:v>
                </c:pt>
                <c:pt idx="3224">
                  <c:v>5610</c:v>
                </c:pt>
                <c:pt idx="3225">
                  <c:v>5610</c:v>
                </c:pt>
                <c:pt idx="3226">
                  <c:v>5620</c:v>
                </c:pt>
                <c:pt idx="3227">
                  <c:v>5620</c:v>
                </c:pt>
                <c:pt idx="3228">
                  <c:v>5640</c:v>
                </c:pt>
                <c:pt idx="3229">
                  <c:v>5650</c:v>
                </c:pt>
                <c:pt idx="3230">
                  <c:v>5650</c:v>
                </c:pt>
                <c:pt idx="3231">
                  <c:v>5670</c:v>
                </c:pt>
                <c:pt idx="3232">
                  <c:v>5680</c:v>
                </c:pt>
                <c:pt idx="3233">
                  <c:v>5680</c:v>
                </c:pt>
                <c:pt idx="3234">
                  <c:v>5700</c:v>
                </c:pt>
                <c:pt idx="3235">
                  <c:v>5700</c:v>
                </c:pt>
                <c:pt idx="3236">
                  <c:v>5700</c:v>
                </c:pt>
                <c:pt idx="3237">
                  <c:v>5710</c:v>
                </c:pt>
                <c:pt idx="3238">
                  <c:v>5730</c:v>
                </c:pt>
                <c:pt idx="3239">
                  <c:v>5730</c:v>
                </c:pt>
                <c:pt idx="3240">
                  <c:v>5740</c:v>
                </c:pt>
                <c:pt idx="3241">
                  <c:v>5760</c:v>
                </c:pt>
                <c:pt idx="3242">
                  <c:v>5760</c:v>
                </c:pt>
                <c:pt idx="3243">
                  <c:v>5770</c:v>
                </c:pt>
                <c:pt idx="3244">
                  <c:v>5770</c:v>
                </c:pt>
                <c:pt idx="3245">
                  <c:v>5780</c:v>
                </c:pt>
                <c:pt idx="3246">
                  <c:v>5780</c:v>
                </c:pt>
                <c:pt idx="3247">
                  <c:v>5780</c:v>
                </c:pt>
                <c:pt idx="3248">
                  <c:v>5780</c:v>
                </c:pt>
                <c:pt idx="3249">
                  <c:v>5800</c:v>
                </c:pt>
                <c:pt idx="3250">
                  <c:v>5800</c:v>
                </c:pt>
                <c:pt idx="3251">
                  <c:v>5810</c:v>
                </c:pt>
                <c:pt idx="3252">
                  <c:v>5810</c:v>
                </c:pt>
                <c:pt idx="3253">
                  <c:v>5810</c:v>
                </c:pt>
                <c:pt idx="3254">
                  <c:v>5830</c:v>
                </c:pt>
                <c:pt idx="3255">
                  <c:v>5830</c:v>
                </c:pt>
                <c:pt idx="3256">
                  <c:v>5830</c:v>
                </c:pt>
                <c:pt idx="3257">
                  <c:v>5840</c:v>
                </c:pt>
                <c:pt idx="3258">
                  <c:v>5840</c:v>
                </c:pt>
                <c:pt idx="3259">
                  <c:v>5860</c:v>
                </c:pt>
                <c:pt idx="3260">
                  <c:v>5860</c:v>
                </c:pt>
                <c:pt idx="3261">
                  <c:v>5860</c:v>
                </c:pt>
                <c:pt idx="3262">
                  <c:v>5860</c:v>
                </c:pt>
                <c:pt idx="3263">
                  <c:v>5860</c:v>
                </c:pt>
                <c:pt idx="3264">
                  <c:v>5870</c:v>
                </c:pt>
                <c:pt idx="3265">
                  <c:v>5870</c:v>
                </c:pt>
                <c:pt idx="3266">
                  <c:v>5870</c:v>
                </c:pt>
                <c:pt idx="3267">
                  <c:v>5870</c:v>
                </c:pt>
                <c:pt idx="3268">
                  <c:v>5870</c:v>
                </c:pt>
                <c:pt idx="3269">
                  <c:v>5870</c:v>
                </c:pt>
                <c:pt idx="3270">
                  <c:v>5870</c:v>
                </c:pt>
                <c:pt idx="3271">
                  <c:v>5870</c:v>
                </c:pt>
                <c:pt idx="3272">
                  <c:v>5870</c:v>
                </c:pt>
                <c:pt idx="3273">
                  <c:v>5890</c:v>
                </c:pt>
                <c:pt idx="3274">
                  <c:v>5890</c:v>
                </c:pt>
                <c:pt idx="3275">
                  <c:v>5890</c:v>
                </c:pt>
                <c:pt idx="3276">
                  <c:v>5890</c:v>
                </c:pt>
                <c:pt idx="3277">
                  <c:v>5900</c:v>
                </c:pt>
                <c:pt idx="3278">
                  <c:v>5900</c:v>
                </c:pt>
                <c:pt idx="3279">
                  <c:v>5900</c:v>
                </c:pt>
                <c:pt idx="3280">
                  <c:v>5900</c:v>
                </c:pt>
                <c:pt idx="3281">
                  <c:v>5900</c:v>
                </c:pt>
                <c:pt idx="3282">
                  <c:v>5900</c:v>
                </c:pt>
                <c:pt idx="3283">
                  <c:v>5920</c:v>
                </c:pt>
                <c:pt idx="3284">
                  <c:v>5920</c:v>
                </c:pt>
                <c:pt idx="3285">
                  <c:v>5920</c:v>
                </c:pt>
                <c:pt idx="3286">
                  <c:v>5920</c:v>
                </c:pt>
                <c:pt idx="3287">
                  <c:v>5920</c:v>
                </c:pt>
                <c:pt idx="3288">
                  <c:v>5930</c:v>
                </c:pt>
                <c:pt idx="3289">
                  <c:v>5930</c:v>
                </c:pt>
                <c:pt idx="3290">
                  <c:v>5930</c:v>
                </c:pt>
                <c:pt idx="3291">
                  <c:v>5930</c:v>
                </c:pt>
                <c:pt idx="3292">
                  <c:v>5930</c:v>
                </c:pt>
                <c:pt idx="3293">
                  <c:v>5930</c:v>
                </c:pt>
                <c:pt idx="3294">
                  <c:v>5950</c:v>
                </c:pt>
                <c:pt idx="3295">
                  <c:v>5950</c:v>
                </c:pt>
                <c:pt idx="3296">
                  <c:v>5950</c:v>
                </c:pt>
                <c:pt idx="3297">
                  <c:v>5950</c:v>
                </c:pt>
                <c:pt idx="3298">
                  <c:v>5960</c:v>
                </c:pt>
                <c:pt idx="3299">
                  <c:v>5960</c:v>
                </c:pt>
                <c:pt idx="3300">
                  <c:v>5960</c:v>
                </c:pt>
                <c:pt idx="3301">
                  <c:v>5960</c:v>
                </c:pt>
                <c:pt idx="3302">
                  <c:v>5960</c:v>
                </c:pt>
                <c:pt idx="3303">
                  <c:v>5960</c:v>
                </c:pt>
                <c:pt idx="3304">
                  <c:v>5960</c:v>
                </c:pt>
                <c:pt idx="3305">
                  <c:v>5960</c:v>
                </c:pt>
                <c:pt idx="3306">
                  <c:v>5960</c:v>
                </c:pt>
                <c:pt idx="3307">
                  <c:v>5960</c:v>
                </c:pt>
                <c:pt idx="3308">
                  <c:v>5980</c:v>
                </c:pt>
                <c:pt idx="3309">
                  <c:v>5980</c:v>
                </c:pt>
                <c:pt idx="3310">
                  <c:v>5980</c:v>
                </c:pt>
                <c:pt idx="3311">
                  <c:v>5980</c:v>
                </c:pt>
                <c:pt idx="3312">
                  <c:v>5990</c:v>
                </c:pt>
                <c:pt idx="3313">
                  <c:v>5990</c:v>
                </c:pt>
                <c:pt idx="3314">
                  <c:v>5990</c:v>
                </c:pt>
                <c:pt idx="3315">
                  <c:v>5990</c:v>
                </c:pt>
                <c:pt idx="3316">
                  <c:v>6010</c:v>
                </c:pt>
                <c:pt idx="3317">
                  <c:v>6010</c:v>
                </c:pt>
                <c:pt idx="3318">
                  <c:v>6010</c:v>
                </c:pt>
                <c:pt idx="3319">
                  <c:v>6010</c:v>
                </c:pt>
                <c:pt idx="3320">
                  <c:v>6010</c:v>
                </c:pt>
                <c:pt idx="3321">
                  <c:v>6020</c:v>
                </c:pt>
                <c:pt idx="3322">
                  <c:v>6020</c:v>
                </c:pt>
                <c:pt idx="3323">
                  <c:v>6020</c:v>
                </c:pt>
                <c:pt idx="3324">
                  <c:v>6020</c:v>
                </c:pt>
                <c:pt idx="3325">
                  <c:v>6020</c:v>
                </c:pt>
                <c:pt idx="3326">
                  <c:v>6040</c:v>
                </c:pt>
                <c:pt idx="3327">
                  <c:v>6040</c:v>
                </c:pt>
                <c:pt idx="3328">
                  <c:v>6040</c:v>
                </c:pt>
                <c:pt idx="3329">
                  <c:v>6040</c:v>
                </c:pt>
                <c:pt idx="3330">
                  <c:v>6040</c:v>
                </c:pt>
                <c:pt idx="3331">
                  <c:v>6040</c:v>
                </c:pt>
                <c:pt idx="3332">
                  <c:v>6040</c:v>
                </c:pt>
                <c:pt idx="3333">
                  <c:v>6040</c:v>
                </c:pt>
                <c:pt idx="3334">
                  <c:v>6040</c:v>
                </c:pt>
                <c:pt idx="3335">
                  <c:v>6040</c:v>
                </c:pt>
                <c:pt idx="3336">
                  <c:v>6040</c:v>
                </c:pt>
                <c:pt idx="3337">
                  <c:v>6040</c:v>
                </c:pt>
                <c:pt idx="3338">
                  <c:v>6040</c:v>
                </c:pt>
                <c:pt idx="3339">
                  <c:v>6040</c:v>
                </c:pt>
                <c:pt idx="3340">
                  <c:v>6040</c:v>
                </c:pt>
                <c:pt idx="3341">
                  <c:v>6040</c:v>
                </c:pt>
                <c:pt idx="3342">
                  <c:v>6020</c:v>
                </c:pt>
                <c:pt idx="3343">
                  <c:v>6020</c:v>
                </c:pt>
                <c:pt idx="3344">
                  <c:v>6020</c:v>
                </c:pt>
                <c:pt idx="3345">
                  <c:v>6010</c:v>
                </c:pt>
                <c:pt idx="3346">
                  <c:v>6010</c:v>
                </c:pt>
                <c:pt idx="3347">
                  <c:v>5990</c:v>
                </c:pt>
                <c:pt idx="3348">
                  <c:v>5990</c:v>
                </c:pt>
                <c:pt idx="3349">
                  <c:v>5980</c:v>
                </c:pt>
                <c:pt idx="3350">
                  <c:v>5980</c:v>
                </c:pt>
                <c:pt idx="3351">
                  <c:v>5960</c:v>
                </c:pt>
                <c:pt idx="3352">
                  <c:v>5960</c:v>
                </c:pt>
                <c:pt idx="3353">
                  <c:v>5960</c:v>
                </c:pt>
                <c:pt idx="3354">
                  <c:v>5960</c:v>
                </c:pt>
                <c:pt idx="3355">
                  <c:v>5950</c:v>
                </c:pt>
                <c:pt idx="3356">
                  <c:v>5930</c:v>
                </c:pt>
                <c:pt idx="3357">
                  <c:v>5920</c:v>
                </c:pt>
                <c:pt idx="3358">
                  <c:v>5900</c:v>
                </c:pt>
                <c:pt idx="3359">
                  <c:v>5900</c:v>
                </c:pt>
                <c:pt idx="3360">
                  <c:v>5890</c:v>
                </c:pt>
                <c:pt idx="3361">
                  <c:v>5870</c:v>
                </c:pt>
                <c:pt idx="3362">
                  <c:v>5870</c:v>
                </c:pt>
                <c:pt idx="3363">
                  <c:v>5860</c:v>
                </c:pt>
                <c:pt idx="3364">
                  <c:v>5840</c:v>
                </c:pt>
                <c:pt idx="3365">
                  <c:v>5830</c:v>
                </c:pt>
                <c:pt idx="3366">
                  <c:v>5810</c:v>
                </c:pt>
                <c:pt idx="3367">
                  <c:v>5800</c:v>
                </c:pt>
                <c:pt idx="3368">
                  <c:v>5780</c:v>
                </c:pt>
                <c:pt idx="3369">
                  <c:v>5780</c:v>
                </c:pt>
                <c:pt idx="3370">
                  <c:v>5770</c:v>
                </c:pt>
                <c:pt idx="3371">
                  <c:v>5760</c:v>
                </c:pt>
                <c:pt idx="3372">
                  <c:v>5740</c:v>
                </c:pt>
                <c:pt idx="3373">
                  <c:v>5730</c:v>
                </c:pt>
                <c:pt idx="3374">
                  <c:v>5710</c:v>
                </c:pt>
                <c:pt idx="3375">
                  <c:v>5700</c:v>
                </c:pt>
                <c:pt idx="3376">
                  <c:v>5700</c:v>
                </c:pt>
                <c:pt idx="3377">
                  <c:v>5700</c:v>
                </c:pt>
                <c:pt idx="3378">
                  <c:v>5680</c:v>
                </c:pt>
                <c:pt idx="3379">
                  <c:v>5670</c:v>
                </c:pt>
                <c:pt idx="3380">
                  <c:v>5650</c:v>
                </c:pt>
                <c:pt idx="3381">
                  <c:v>5650</c:v>
                </c:pt>
                <c:pt idx="3382">
                  <c:v>5640</c:v>
                </c:pt>
                <c:pt idx="3383">
                  <c:v>5620</c:v>
                </c:pt>
                <c:pt idx="3384">
                  <c:v>5610</c:v>
                </c:pt>
                <c:pt idx="3385">
                  <c:v>5610</c:v>
                </c:pt>
                <c:pt idx="3386">
                  <c:v>5610</c:v>
                </c:pt>
                <c:pt idx="3387">
                  <c:v>5590</c:v>
                </c:pt>
                <c:pt idx="3388">
                  <c:v>5580</c:v>
                </c:pt>
                <c:pt idx="3389">
                  <c:v>5580</c:v>
                </c:pt>
                <c:pt idx="3390">
                  <c:v>5560</c:v>
                </c:pt>
                <c:pt idx="3391">
                  <c:v>5560</c:v>
                </c:pt>
                <c:pt idx="3392">
                  <c:v>5550</c:v>
                </c:pt>
                <c:pt idx="3393">
                  <c:v>5550</c:v>
                </c:pt>
                <c:pt idx="3394">
                  <c:v>5530</c:v>
                </c:pt>
                <c:pt idx="3395">
                  <c:v>5530</c:v>
                </c:pt>
                <c:pt idx="3396">
                  <c:v>5520</c:v>
                </c:pt>
                <c:pt idx="3397">
                  <c:v>5520</c:v>
                </c:pt>
                <c:pt idx="3398">
                  <c:v>5510</c:v>
                </c:pt>
                <c:pt idx="3399">
                  <c:v>5510</c:v>
                </c:pt>
                <c:pt idx="3400">
                  <c:v>5490</c:v>
                </c:pt>
                <c:pt idx="3401">
                  <c:v>5490</c:v>
                </c:pt>
                <c:pt idx="3402">
                  <c:v>5480</c:v>
                </c:pt>
                <c:pt idx="3403">
                  <c:v>5480</c:v>
                </c:pt>
                <c:pt idx="3404">
                  <c:v>5460</c:v>
                </c:pt>
                <c:pt idx="3405">
                  <c:v>5460</c:v>
                </c:pt>
                <c:pt idx="3406">
                  <c:v>5450</c:v>
                </c:pt>
                <c:pt idx="3407">
                  <c:v>5450</c:v>
                </c:pt>
                <c:pt idx="3408">
                  <c:v>5450</c:v>
                </c:pt>
                <c:pt idx="3409">
                  <c:v>5430</c:v>
                </c:pt>
                <c:pt idx="3410">
                  <c:v>5430</c:v>
                </c:pt>
                <c:pt idx="3411">
                  <c:v>5430</c:v>
                </c:pt>
                <c:pt idx="3412">
                  <c:v>5420</c:v>
                </c:pt>
                <c:pt idx="3413">
                  <c:v>5420</c:v>
                </c:pt>
                <c:pt idx="3414">
                  <c:v>5420</c:v>
                </c:pt>
                <c:pt idx="3415">
                  <c:v>5400</c:v>
                </c:pt>
                <c:pt idx="3416">
                  <c:v>5400</c:v>
                </c:pt>
                <c:pt idx="3417">
                  <c:v>5400</c:v>
                </c:pt>
                <c:pt idx="3418">
                  <c:v>5390</c:v>
                </c:pt>
                <c:pt idx="3419">
                  <c:v>5390</c:v>
                </c:pt>
                <c:pt idx="3420">
                  <c:v>5390</c:v>
                </c:pt>
                <c:pt idx="3421">
                  <c:v>5370</c:v>
                </c:pt>
                <c:pt idx="3422">
                  <c:v>5370</c:v>
                </c:pt>
                <c:pt idx="3423">
                  <c:v>5370</c:v>
                </c:pt>
                <c:pt idx="3424">
                  <c:v>5360</c:v>
                </c:pt>
                <c:pt idx="3425">
                  <c:v>5360</c:v>
                </c:pt>
                <c:pt idx="3426">
                  <c:v>5360</c:v>
                </c:pt>
                <c:pt idx="3427">
                  <c:v>5350</c:v>
                </c:pt>
                <c:pt idx="3428">
                  <c:v>5350</c:v>
                </c:pt>
                <c:pt idx="3429">
                  <c:v>5330</c:v>
                </c:pt>
                <c:pt idx="3430">
                  <c:v>5330</c:v>
                </c:pt>
                <c:pt idx="3431">
                  <c:v>5320</c:v>
                </c:pt>
                <c:pt idx="3432">
                  <c:v>5320</c:v>
                </c:pt>
                <c:pt idx="3433">
                  <c:v>5320</c:v>
                </c:pt>
                <c:pt idx="3434">
                  <c:v>5300</c:v>
                </c:pt>
                <c:pt idx="3435">
                  <c:v>5300</c:v>
                </c:pt>
                <c:pt idx="3436">
                  <c:v>5290</c:v>
                </c:pt>
                <c:pt idx="3437">
                  <c:v>5290</c:v>
                </c:pt>
                <c:pt idx="3438">
                  <c:v>5270</c:v>
                </c:pt>
                <c:pt idx="3439">
                  <c:v>5260</c:v>
                </c:pt>
                <c:pt idx="3440">
                  <c:v>5260</c:v>
                </c:pt>
                <c:pt idx="3441">
                  <c:v>5260</c:v>
                </c:pt>
                <c:pt idx="3442">
                  <c:v>5240</c:v>
                </c:pt>
                <c:pt idx="3443">
                  <c:v>5230</c:v>
                </c:pt>
                <c:pt idx="3444">
                  <c:v>5230</c:v>
                </c:pt>
                <c:pt idx="3445">
                  <c:v>5220</c:v>
                </c:pt>
                <c:pt idx="3446">
                  <c:v>5200</c:v>
                </c:pt>
                <c:pt idx="3447">
                  <c:v>5190</c:v>
                </c:pt>
                <c:pt idx="3448">
                  <c:v>5170</c:v>
                </c:pt>
                <c:pt idx="3449">
                  <c:v>5170</c:v>
                </c:pt>
                <c:pt idx="3450">
                  <c:v>5160</c:v>
                </c:pt>
                <c:pt idx="3451">
                  <c:v>5140</c:v>
                </c:pt>
                <c:pt idx="3452">
                  <c:v>5130</c:v>
                </c:pt>
                <c:pt idx="3453">
                  <c:v>5120</c:v>
                </c:pt>
                <c:pt idx="3454">
                  <c:v>5120</c:v>
                </c:pt>
                <c:pt idx="3455">
                  <c:v>5100</c:v>
                </c:pt>
                <c:pt idx="3456">
                  <c:v>5090</c:v>
                </c:pt>
                <c:pt idx="3457">
                  <c:v>5070</c:v>
                </c:pt>
                <c:pt idx="3458">
                  <c:v>5060</c:v>
                </c:pt>
                <c:pt idx="3459">
                  <c:v>5040</c:v>
                </c:pt>
                <c:pt idx="3460">
                  <c:v>5030</c:v>
                </c:pt>
                <c:pt idx="3461">
                  <c:v>5020</c:v>
                </c:pt>
                <c:pt idx="3462">
                  <c:v>5000</c:v>
                </c:pt>
                <c:pt idx="3463">
                  <c:v>5000</c:v>
                </c:pt>
                <c:pt idx="3464">
                  <c:v>4990</c:v>
                </c:pt>
                <c:pt idx="3465">
                  <c:v>4970</c:v>
                </c:pt>
                <c:pt idx="3466">
                  <c:v>4960</c:v>
                </c:pt>
                <c:pt idx="3467">
                  <c:v>4950</c:v>
                </c:pt>
                <c:pt idx="3468">
                  <c:v>4930</c:v>
                </c:pt>
                <c:pt idx="3469">
                  <c:v>4920</c:v>
                </c:pt>
                <c:pt idx="3470">
                  <c:v>4900</c:v>
                </c:pt>
                <c:pt idx="3471">
                  <c:v>4890</c:v>
                </c:pt>
                <c:pt idx="3472">
                  <c:v>4890</c:v>
                </c:pt>
                <c:pt idx="3473">
                  <c:v>4870</c:v>
                </c:pt>
                <c:pt idx="3474">
                  <c:v>4860</c:v>
                </c:pt>
                <c:pt idx="3475">
                  <c:v>4850</c:v>
                </c:pt>
                <c:pt idx="3476">
                  <c:v>4830</c:v>
                </c:pt>
                <c:pt idx="3477">
                  <c:v>4820</c:v>
                </c:pt>
                <c:pt idx="3478">
                  <c:v>4800</c:v>
                </c:pt>
                <c:pt idx="3479">
                  <c:v>4800</c:v>
                </c:pt>
                <c:pt idx="3480">
                  <c:v>4790</c:v>
                </c:pt>
                <c:pt idx="3481">
                  <c:v>4780</c:v>
                </c:pt>
                <c:pt idx="3482">
                  <c:v>4780</c:v>
                </c:pt>
                <c:pt idx="3483">
                  <c:v>4760</c:v>
                </c:pt>
                <c:pt idx="3484">
                  <c:v>4750</c:v>
                </c:pt>
                <c:pt idx="3485">
                  <c:v>4750</c:v>
                </c:pt>
                <c:pt idx="3486">
                  <c:v>4730</c:v>
                </c:pt>
                <c:pt idx="3487">
                  <c:v>4720</c:v>
                </c:pt>
                <c:pt idx="3488">
                  <c:v>4720</c:v>
                </c:pt>
                <c:pt idx="3489">
                  <c:v>4710</c:v>
                </c:pt>
                <c:pt idx="3490">
                  <c:v>4710</c:v>
                </c:pt>
                <c:pt idx="3491">
                  <c:v>4690</c:v>
                </c:pt>
                <c:pt idx="3492">
                  <c:v>4690</c:v>
                </c:pt>
                <c:pt idx="3493">
                  <c:v>4690</c:v>
                </c:pt>
                <c:pt idx="3494">
                  <c:v>4680</c:v>
                </c:pt>
                <c:pt idx="3495">
                  <c:v>4680</c:v>
                </c:pt>
                <c:pt idx="3496">
                  <c:v>4680</c:v>
                </c:pt>
                <c:pt idx="3497">
                  <c:v>4670</c:v>
                </c:pt>
                <c:pt idx="3498">
                  <c:v>4670</c:v>
                </c:pt>
                <c:pt idx="3499">
                  <c:v>4670</c:v>
                </c:pt>
                <c:pt idx="3500">
                  <c:v>4670</c:v>
                </c:pt>
                <c:pt idx="3501">
                  <c:v>4670</c:v>
                </c:pt>
                <c:pt idx="3502">
                  <c:v>4650</c:v>
                </c:pt>
                <c:pt idx="3503">
                  <c:v>4650</c:v>
                </c:pt>
                <c:pt idx="3504">
                  <c:v>4650</c:v>
                </c:pt>
                <c:pt idx="3505">
                  <c:v>4650</c:v>
                </c:pt>
                <c:pt idx="3506">
                  <c:v>4650</c:v>
                </c:pt>
                <c:pt idx="3507">
                  <c:v>4650</c:v>
                </c:pt>
                <c:pt idx="3508">
                  <c:v>4650</c:v>
                </c:pt>
                <c:pt idx="3509">
                  <c:v>4650</c:v>
                </c:pt>
                <c:pt idx="3510">
                  <c:v>4640</c:v>
                </c:pt>
                <c:pt idx="3511">
                  <c:v>4640</c:v>
                </c:pt>
                <c:pt idx="3512">
                  <c:v>4640</c:v>
                </c:pt>
                <c:pt idx="3513">
                  <c:v>4640</c:v>
                </c:pt>
                <c:pt idx="3514">
                  <c:v>4640</c:v>
                </c:pt>
                <c:pt idx="3515">
                  <c:v>4640</c:v>
                </c:pt>
                <c:pt idx="3516">
                  <c:v>4640</c:v>
                </c:pt>
                <c:pt idx="3517">
                  <c:v>4640</c:v>
                </c:pt>
                <c:pt idx="3518">
                  <c:v>4640</c:v>
                </c:pt>
                <c:pt idx="3519">
                  <c:v>4620</c:v>
                </c:pt>
                <c:pt idx="3520">
                  <c:v>4620</c:v>
                </c:pt>
                <c:pt idx="3521">
                  <c:v>4620</c:v>
                </c:pt>
                <c:pt idx="3522">
                  <c:v>4610</c:v>
                </c:pt>
                <c:pt idx="3523">
                  <c:v>4610</c:v>
                </c:pt>
                <c:pt idx="3524">
                  <c:v>4610</c:v>
                </c:pt>
                <c:pt idx="3525">
                  <c:v>4600</c:v>
                </c:pt>
                <c:pt idx="3526">
                  <c:v>4600</c:v>
                </c:pt>
                <c:pt idx="3527">
                  <c:v>4600</c:v>
                </c:pt>
                <c:pt idx="3528">
                  <c:v>4580</c:v>
                </c:pt>
                <c:pt idx="3529">
                  <c:v>4580</c:v>
                </c:pt>
                <c:pt idx="3530">
                  <c:v>4570</c:v>
                </c:pt>
                <c:pt idx="3531">
                  <c:v>4570</c:v>
                </c:pt>
                <c:pt idx="3532">
                  <c:v>4560</c:v>
                </c:pt>
                <c:pt idx="3533">
                  <c:v>4560</c:v>
                </c:pt>
                <c:pt idx="3534">
                  <c:v>4560</c:v>
                </c:pt>
                <c:pt idx="3535">
                  <c:v>4540</c:v>
                </c:pt>
                <c:pt idx="3536">
                  <c:v>4540</c:v>
                </c:pt>
                <c:pt idx="3537">
                  <c:v>4530</c:v>
                </c:pt>
                <c:pt idx="3538">
                  <c:v>4530</c:v>
                </c:pt>
                <c:pt idx="3539">
                  <c:v>4530</c:v>
                </c:pt>
                <c:pt idx="3540">
                  <c:v>4510</c:v>
                </c:pt>
                <c:pt idx="3541">
                  <c:v>4510</c:v>
                </c:pt>
                <c:pt idx="3542">
                  <c:v>4500</c:v>
                </c:pt>
                <c:pt idx="3543">
                  <c:v>4500</c:v>
                </c:pt>
                <c:pt idx="3544">
                  <c:v>4490</c:v>
                </c:pt>
                <c:pt idx="3545">
                  <c:v>4490</c:v>
                </c:pt>
                <c:pt idx="3546">
                  <c:v>4470</c:v>
                </c:pt>
                <c:pt idx="3547">
                  <c:v>4470</c:v>
                </c:pt>
                <c:pt idx="3548">
                  <c:v>4460</c:v>
                </c:pt>
                <c:pt idx="3549">
                  <c:v>4460</c:v>
                </c:pt>
                <c:pt idx="3550">
                  <c:v>4450</c:v>
                </c:pt>
                <c:pt idx="3551">
                  <c:v>4450</c:v>
                </c:pt>
                <c:pt idx="3552">
                  <c:v>4430</c:v>
                </c:pt>
                <c:pt idx="3553">
                  <c:v>4430</c:v>
                </c:pt>
                <c:pt idx="3554">
                  <c:v>4420</c:v>
                </c:pt>
                <c:pt idx="3555">
                  <c:v>4420</c:v>
                </c:pt>
                <c:pt idx="3556">
                  <c:v>4400</c:v>
                </c:pt>
                <c:pt idx="3557">
                  <c:v>4400</c:v>
                </c:pt>
                <c:pt idx="3558">
                  <c:v>4390</c:v>
                </c:pt>
                <c:pt idx="3559">
                  <c:v>4390</c:v>
                </c:pt>
                <c:pt idx="3560">
                  <c:v>4380</c:v>
                </c:pt>
                <c:pt idx="3561">
                  <c:v>4360</c:v>
                </c:pt>
                <c:pt idx="3562">
                  <c:v>4360</c:v>
                </c:pt>
                <c:pt idx="3563">
                  <c:v>4360</c:v>
                </c:pt>
                <c:pt idx="3564">
                  <c:v>4350</c:v>
                </c:pt>
                <c:pt idx="3565">
                  <c:v>4350</c:v>
                </c:pt>
                <c:pt idx="3566">
                  <c:v>4340</c:v>
                </c:pt>
                <c:pt idx="3567">
                  <c:v>4340</c:v>
                </c:pt>
                <c:pt idx="3568">
                  <c:v>4320</c:v>
                </c:pt>
                <c:pt idx="3569">
                  <c:v>4320</c:v>
                </c:pt>
                <c:pt idx="3570">
                  <c:v>4310</c:v>
                </c:pt>
                <c:pt idx="3571">
                  <c:v>4310</c:v>
                </c:pt>
                <c:pt idx="3572">
                  <c:v>4300</c:v>
                </c:pt>
                <c:pt idx="3573">
                  <c:v>4300</c:v>
                </c:pt>
                <c:pt idx="3574">
                  <c:v>4280</c:v>
                </c:pt>
                <c:pt idx="3575">
                  <c:v>4280</c:v>
                </c:pt>
                <c:pt idx="3576">
                  <c:v>4270</c:v>
                </c:pt>
                <c:pt idx="3577">
                  <c:v>4270</c:v>
                </c:pt>
                <c:pt idx="3578">
                  <c:v>4270</c:v>
                </c:pt>
                <c:pt idx="3579">
                  <c:v>4260</c:v>
                </c:pt>
                <c:pt idx="3580">
                  <c:v>4260</c:v>
                </c:pt>
                <c:pt idx="3581">
                  <c:v>4240</c:v>
                </c:pt>
                <c:pt idx="3582">
                  <c:v>4240</c:v>
                </c:pt>
                <c:pt idx="3583">
                  <c:v>4240</c:v>
                </c:pt>
                <c:pt idx="3584">
                  <c:v>4230</c:v>
                </c:pt>
                <c:pt idx="3585">
                  <c:v>4230</c:v>
                </c:pt>
                <c:pt idx="3586">
                  <c:v>4230</c:v>
                </c:pt>
                <c:pt idx="3587">
                  <c:v>4230</c:v>
                </c:pt>
                <c:pt idx="3588">
                  <c:v>4220</c:v>
                </c:pt>
                <c:pt idx="3589">
                  <c:v>4220</c:v>
                </c:pt>
                <c:pt idx="3590">
                  <c:v>4220</c:v>
                </c:pt>
                <c:pt idx="3591">
                  <c:v>4220</c:v>
                </c:pt>
                <c:pt idx="3592">
                  <c:v>4200</c:v>
                </c:pt>
                <c:pt idx="3593">
                  <c:v>4200</c:v>
                </c:pt>
                <c:pt idx="3594">
                  <c:v>4200</c:v>
                </c:pt>
                <c:pt idx="3595">
                  <c:v>4200</c:v>
                </c:pt>
                <c:pt idx="3596">
                  <c:v>4200</c:v>
                </c:pt>
                <c:pt idx="3597">
                  <c:v>4200</c:v>
                </c:pt>
                <c:pt idx="3598">
                  <c:v>4200</c:v>
                </c:pt>
                <c:pt idx="3599">
                  <c:v>4200</c:v>
                </c:pt>
                <c:pt idx="3600">
                  <c:v>4200</c:v>
                </c:pt>
                <c:pt idx="3601">
                  <c:v>4200</c:v>
                </c:pt>
                <c:pt idx="3602">
                  <c:v>4200</c:v>
                </c:pt>
                <c:pt idx="3603">
                  <c:v>4200</c:v>
                </c:pt>
                <c:pt idx="3604">
                  <c:v>4200</c:v>
                </c:pt>
                <c:pt idx="3605">
                  <c:v>4190</c:v>
                </c:pt>
                <c:pt idx="3606">
                  <c:v>4190</c:v>
                </c:pt>
                <c:pt idx="3607">
                  <c:v>4190</c:v>
                </c:pt>
                <c:pt idx="3608">
                  <c:v>4190</c:v>
                </c:pt>
                <c:pt idx="3609">
                  <c:v>4190</c:v>
                </c:pt>
                <c:pt idx="3610">
                  <c:v>4190</c:v>
                </c:pt>
                <c:pt idx="3611">
                  <c:v>4190</c:v>
                </c:pt>
                <c:pt idx="3612">
                  <c:v>4190</c:v>
                </c:pt>
                <c:pt idx="3613">
                  <c:v>4180</c:v>
                </c:pt>
                <c:pt idx="3614">
                  <c:v>4180</c:v>
                </c:pt>
                <c:pt idx="3615">
                  <c:v>4180</c:v>
                </c:pt>
                <c:pt idx="3616">
                  <c:v>4180</c:v>
                </c:pt>
                <c:pt idx="3617">
                  <c:v>4180</c:v>
                </c:pt>
                <c:pt idx="3618">
                  <c:v>4180</c:v>
                </c:pt>
                <c:pt idx="3619">
                  <c:v>4180</c:v>
                </c:pt>
                <c:pt idx="3620">
                  <c:v>4180</c:v>
                </c:pt>
                <c:pt idx="3621">
                  <c:v>4180</c:v>
                </c:pt>
                <c:pt idx="3622">
                  <c:v>4180</c:v>
                </c:pt>
                <c:pt idx="3623">
                  <c:v>4180</c:v>
                </c:pt>
                <c:pt idx="3624">
                  <c:v>4180</c:v>
                </c:pt>
                <c:pt idx="3625">
                  <c:v>4180</c:v>
                </c:pt>
                <c:pt idx="3626">
                  <c:v>4180</c:v>
                </c:pt>
                <c:pt idx="3627">
                  <c:v>4180</c:v>
                </c:pt>
                <c:pt idx="3628">
                  <c:v>4180</c:v>
                </c:pt>
                <c:pt idx="3629">
                  <c:v>4180</c:v>
                </c:pt>
                <c:pt idx="3630">
                  <c:v>4180</c:v>
                </c:pt>
                <c:pt idx="3631">
                  <c:v>4180</c:v>
                </c:pt>
                <c:pt idx="3632">
                  <c:v>4180</c:v>
                </c:pt>
                <c:pt idx="3633">
                  <c:v>4180</c:v>
                </c:pt>
                <c:pt idx="3634">
                  <c:v>4160</c:v>
                </c:pt>
                <c:pt idx="3635">
                  <c:v>4160</c:v>
                </c:pt>
                <c:pt idx="3636">
                  <c:v>4160</c:v>
                </c:pt>
                <c:pt idx="3637">
                  <c:v>4160</c:v>
                </c:pt>
                <c:pt idx="3638">
                  <c:v>4160</c:v>
                </c:pt>
                <c:pt idx="3639">
                  <c:v>4150</c:v>
                </c:pt>
                <c:pt idx="3640">
                  <c:v>4150</c:v>
                </c:pt>
                <c:pt idx="3641">
                  <c:v>4150</c:v>
                </c:pt>
                <c:pt idx="3642">
                  <c:v>4150</c:v>
                </c:pt>
                <c:pt idx="3643">
                  <c:v>4150</c:v>
                </c:pt>
                <c:pt idx="3644">
                  <c:v>4150</c:v>
                </c:pt>
                <c:pt idx="3645">
                  <c:v>4140</c:v>
                </c:pt>
                <c:pt idx="3646">
                  <c:v>4140</c:v>
                </c:pt>
                <c:pt idx="3647">
                  <c:v>4140</c:v>
                </c:pt>
                <c:pt idx="3648">
                  <c:v>4140</c:v>
                </c:pt>
                <c:pt idx="3649">
                  <c:v>4140</c:v>
                </c:pt>
                <c:pt idx="3650">
                  <c:v>4140</c:v>
                </c:pt>
                <c:pt idx="3651">
                  <c:v>4140</c:v>
                </c:pt>
                <c:pt idx="3652">
                  <c:v>4140</c:v>
                </c:pt>
                <c:pt idx="3653">
                  <c:v>4140</c:v>
                </c:pt>
                <c:pt idx="3654">
                  <c:v>4140</c:v>
                </c:pt>
                <c:pt idx="3655">
                  <c:v>4140</c:v>
                </c:pt>
                <c:pt idx="3656">
                  <c:v>4140</c:v>
                </c:pt>
                <c:pt idx="3657">
                  <c:v>4140</c:v>
                </c:pt>
                <c:pt idx="3658">
                  <c:v>4140</c:v>
                </c:pt>
                <c:pt idx="3659">
                  <c:v>4140</c:v>
                </c:pt>
                <c:pt idx="3660">
                  <c:v>4140</c:v>
                </c:pt>
                <c:pt idx="3661">
                  <c:v>4140</c:v>
                </c:pt>
                <c:pt idx="3662">
                  <c:v>4140</c:v>
                </c:pt>
                <c:pt idx="3663">
                  <c:v>4140</c:v>
                </c:pt>
                <c:pt idx="3664">
                  <c:v>4140</c:v>
                </c:pt>
                <c:pt idx="3665">
                  <c:v>4140</c:v>
                </c:pt>
                <c:pt idx="3666">
                  <c:v>4140</c:v>
                </c:pt>
                <c:pt idx="3667">
                  <c:v>4140</c:v>
                </c:pt>
                <c:pt idx="3668">
                  <c:v>4140</c:v>
                </c:pt>
                <c:pt idx="3669">
                  <c:v>4150</c:v>
                </c:pt>
                <c:pt idx="3670">
                  <c:v>4150</c:v>
                </c:pt>
                <c:pt idx="3671">
                  <c:v>4150</c:v>
                </c:pt>
                <c:pt idx="3672">
                  <c:v>4150</c:v>
                </c:pt>
                <c:pt idx="3673">
                  <c:v>4150</c:v>
                </c:pt>
                <c:pt idx="3674">
                  <c:v>4150</c:v>
                </c:pt>
                <c:pt idx="3675">
                  <c:v>4150</c:v>
                </c:pt>
                <c:pt idx="3676">
                  <c:v>4150</c:v>
                </c:pt>
                <c:pt idx="3677">
                  <c:v>4150</c:v>
                </c:pt>
                <c:pt idx="3678">
                  <c:v>4150</c:v>
                </c:pt>
                <c:pt idx="3679">
                  <c:v>4150</c:v>
                </c:pt>
                <c:pt idx="3680">
                  <c:v>4150</c:v>
                </c:pt>
                <c:pt idx="3681">
                  <c:v>4150</c:v>
                </c:pt>
                <c:pt idx="3682">
                  <c:v>4150</c:v>
                </c:pt>
                <c:pt idx="3683">
                  <c:v>4150</c:v>
                </c:pt>
                <c:pt idx="3684">
                  <c:v>4150</c:v>
                </c:pt>
                <c:pt idx="3685">
                  <c:v>4150</c:v>
                </c:pt>
                <c:pt idx="3686">
                  <c:v>4150</c:v>
                </c:pt>
                <c:pt idx="3687">
                  <c:v>4150</c:v>
                </c:pt>
                <c:pt idx="3688">
                  <c:v>4150</c:v>
                </c:pt>
                <c:pt idx="3689">
                  <c:v>4160</c:v>
                </c:pt>
                <c:pt idx="3690">
                  <c:v>4160</c:v>
                </c:pt>
                <c:pt idx="3691">
                  <c:v>4160</c:v>
                </c:pt>
                <c:pt idx="3692">
                  <c:v>4160</c:v>
                </c:pt>
                <c:pt idx="3693">
                  <c:v>4160</c:v>
                </c:pt>
                <c:pt idx="3694">
                  <c:v>4180</c:v>
                </c:pt>
                <c:pt idx="3695">
                  <c:v>4180</c:v>
                </c:pt>
                <c:pt idx="3696">
                  <c:v>4180</c:v>
                </c:pt>
                <c:pt idx="3697">
                  <c:v>4180</c:v>
                </c:pt>
                <c:pt idx="3698">
                  <c:v>4180</c:v>
                </c:pt>
                <c:pt idx="3699">
                  <c:v>4190</c:v>
                </c:pt>
                <c:pt idx="3700">
                  <c:v>4190</c:v>
                </c:pt>
                <c:pt idx="3701">
                  <c:v>4190</c:v>
                </c:pt>
                <c:pt idx="3702">
                  <c:v>4190</c:v>
                </c:pt>
                <c:pt idx="3703">
                  <c:v>4200</c:v>
                </c:pt>
                <c:pt idx="3704">
                  <c:v>4200</c:v>
                </c:pt>
                <c:pt idx="3705">
                  <c:v>4200</c:v>
                </c:pt>
                <c:pt idx="3706">
                  <c:v>4200</c:v>
                </c:pt>
                <c:pt idx="3707">
                  <c:v>4200</c:v>
                </c:pt>
                <c:pt idx="3708">
                  <c:v>4220</c:v>
                </c:pt>
                <c:pt idx="3709">
                  <c:v>4220</c:v>
                </c:pt>
                <c:pt idx="3710">
                  <c:v>4220</c:v>
                </c:pt>
                <c:pt idx="3711">
                  <c:v>4230</c:v>
                </c:pt>
                <c:pt idx="3712">
                  <c:v>4230</c:v>
                </c:pt>
                <c:pt idx="3713">
                  <c:v>4230</c:v>
                </c:pt>
                <c:pt idx="3714">
                  <c:v>4230</c:v>
                </c:pt>
                <c:pt idx="3715">
                  <c:v>4240</c:v>
                </c:pt>
                <c:pt idx="3716">
                  <c:v>4240</c:v>
                </c:pt>
                <c:pt idx="3717">
                  <c:v>4240</c:v>
                </c:pt>
                <c:pt idx="3718">
                  <c:v>4240</c:v>
                </c:pt>
                <c:pt idx="3719">
                  <c:v>4260</c:v>
                </c:pt>
                <c:pt idx="3720">
                  <c:v>4260</c:v>
                </c:pt>
                <c:pt idx="3721">
                  <c:v>4260</c:v>
                </c:pt>
                <c:pt idx="3722">
                  <c:v>4260</c:v>
                </c:pt>
                <c:pt idx="3723">
                  <c:v>4270</c:v>
                </c:pt>
                <c:pt idx="3724">
                  <c:v>4270</c:v>
                </c:pt>
                <c:pt idx="3725">
                  <c:v>4270</c:v>
                </c:pt>
                <c:pt idx="3726">
                  <c:v>4270</c:v>
                </c:pt>
                <c:pt idx="3727">
                  <c:v>4270</c:v>
                </c:pt>
                <c:pt idx="3728">
                  <c:v>4280</c:v>
                </c:pt>
                <c:pt idx="3729">
                  <c:v>4280</c:v>
                </c:pt>
                <c:pt idx="3730">
                  <c:v>4280</c:v>
                </c:pt>
                <c:pt idx="3731">
                  <c:v>4280</c:v>
                </c:pt>
                <c:pt idx="3732">
                  <c:v>4280</c:v>
                </c:pt>
                <c:pt idx="3733">
                  <c:v>4280</c:v>
                </c:pt>
                <c:pt idx="3734">
                  <c:v>4300</c:v>
                </c:pt>
                <c:pt idx="3735">
                  <c:v>4300</c:v>
                </c:pt>
                <c:pt idx="3736">
                  <c:v>4300</c:v>
                </c:pt>
                <c:pt idx="3737">
                  <c:v>4300</c:v>
                </c:pt>
                <c:pt idx="3738">
                  <c:v>4300</c:v>
                </c:pt>
                <c:pt idx="3739">
                  <c:v>4310</c:v>
                </c:pt>
                <c:pt idx="3740">
                  <c:v>4310</c:v>
                </c:pt>
                <c:pt idx="3741">
                  <c:v>4310</c:v>
                </c:pt>
                <c:pt idx="3742">
                  <c:v>4310</c:v>
                </c:pt>
                <c:pt idx="3743">
                  <c:v>4310</c:v>
                </c:pt>
                <c:pt idx="3744">
                  <c:v>4310</c:v>
                </c:pt>
                <c:pt idx="3745">
                  <c:v>4320</c:v>
                </c:pt>
                <c:pt idx="3746">
                  <c:v>4320</c:v>
                </c:pt>
                <c:pt idx="3747">
                  <c:v>4320</c:v>
                </c:pt>
                <c:pt idx="3748">
                  <c:v>4320</c:v>
                </c:pt>
                <c:pt idx="3749">
                  <c:v>4320</c:v>
                </c:pt>
                <c:pt idx="3750">
                  <c:v>4320</c:v>
                </c:pt>
                <c:pt idx="3751">
                  <c:v>4320</c:v>
                </c:pt>
                <c:pt idx="3752">
                  <c:v>4320</c:v>
                </c:pt>
                <c:pt idx="3753">
                  <c:v>4320</c:v>
                </c:pt>
                <c:pt idx="3754">
                  <c:v>4340</c:v>
                </c:pt>
                <c:pt idx="3755">
                  <c:v>4340</c:v>
                </c:pt>
                <c:pt idx="3756">
                  <c:v>4340</c:v>
                </c:pt>
                <c:pt idx="3757">
                  <c:v>4340</c:v>
                </c:pt>
                <c:pt idx="3758">
                  <c:v>4340</c:v>
                </c:pt>
                <c:pt idx="3759">
                  <c:v>4340</c:v>
                </c:pt>
                <c:pt idx="3760">
                  <c:v>4340</c:v>
                </c:pt>
                <c:pt idx="3761">
                  <c:v>4340</c:v>
                </c:pt>
                <c:pt idx="3762">
                  <c:v>4340</c:v>
                </c:pt>
                <c:pt idx="3763">
                  <c:v>4340</c:v>
                </c:pt>
                <c:pt idx="3764">
                  <c:v>4340</c:v>
                </c:pt>
                <c:pt idx="3765">
                  <c:v>4340</c:v>
                </c:pt>
                <c:pt idx="3766">
                  <c:v>4350</c:v>
                </c:pt>
                <c:pt idx="3767">
                  <c:v>4350</c:v>
                </c:pt>
                <c:pt idx="3768">
                  <c:v>4350</c:v>
                </c:pt>
                <c:pt idx="3769">
                  <c:v>4350</c:v>
                </c:pt>
                <c:pt idx="3770">
                  <c:v>4350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4360</c:v>
                </c:pt>
                <c:pt idx="3775">
                  <c:v>4360</c:v>
                </c:pt>
                <c:pt idx="3776">
                  <c:v>4360</c:v>
                </c:pt>
                <c:pt idx="3777">
                  <c:v>4360</c:v>
                </c:pt>
                <c:pt idx="3778">
                  <c:v>4360</c:v>
                </c:pt>
                <c:pt idx="3779">
                  <c:v>4380</c:v>
                </c:pt>
                <c:pt idx="3780">
                  <c:v>4380</c:v>
                </c:pt>
                <c:pt idx="3781">
                  <c:v>4380</c:v>
                </c:pt>
                <c:pt idx="3782">
                  <c:v>4380</c:v>
                </c:pt>
                <c:pt idx="3783">
                  <c:v>4380</c:v>
                </c:pt>
                <c:pt idx="3784">
                  <c:v>4390</c:v>
                </c:pt>
                <c:pt idx="3785">
                  <c:v>4390</c:v>
                </c:pt>
                <c:pt idx="3786">
                  <c:v>4390</c:v>
                </c:pt>
                <c:pt idx="3787">
                  <c:v>4390</c:v>
                </c:pt>
                <c:pt idx="3788">
                  <c:v>4400</c:v>
                </c:pt>
                <c:pt idx="3789">
                  <c:v>4400</c:v>
                </c:pt>
                <c:pt idx="3790">
                  <c:v>4400</c:v>
                </c:pt>
                <c:pt idx="3791">
                  <c:v>4420</c:v>
                </c:pt>
                <c:pt idx="3792">
                  <c:v>4420</c:v>
                </c:pt>
                <c:pt idx="3793">
                  <c:v>4420</c:v>
                </c:pt>
                <c:pt idx="3794">
                  <c:v>4420</c:v>
                </c:pt>
                <c:pt idx="3795">
                  <c:v>4420</c:v>
                </c:pt>
                <c:pt idx="3796">
                  <c:v>4430</c:v>
                </c:pt>
                <c:pt idx="3797">
                  <c:v>4430</c:v>
                </c:pt>
                <c:pt idx="3798">
                  <c:v>4430</c:v>
                </c:pt>
                <c:pt idx="3799">
                  <c:v>4430</c:v>
                </c:pt>
                <c:pt idx="3800">
                  <c:v>4450</c:v>
                </c:pt>
                <c:pt idx="3801">
                  <c:v>4450</c:v>
                </c:pt>
                <c:pt idx="3802">
                  <c:v>4450</c:v>
                </c:pt>
                <c:pt idx="3803">
                  <c:v>4450</c:v>
                </c:pt>
                <c:pt idx="3804">
                  <c:v>4450</c:v>
                </c:pt>
                <c:pt idx="3805">
                  <c:v>4460</c:v>
                </c:pt>
                <c:pt idx="3806">
                  <c:v>4460</c:v>
                </c:pt>
                <c:pt idx="3807">
                  <c:v>4460</c:v>
                </c:pt>
                <c:pt idx="3808">
                  <c:v>4460</c:v>
                </c:pt>
                <c:pt idx="3809">
                  <c:v>4470</c:v>
                </c:pt>
                <c:pt idx="3810">
                  <c:v>4470</c:v>
                </c:pt>
                <c:pt idx="3811">
                  <c:v>4470</c:v>
                </c:pt>
                <c:pt idx="3812">
                  <c:v>4470</c:v>
                </c:pt>
                <c:pt idx="3813">
                  <c:v>4470</c:v>
                </c:pt>
                <c:pt idx="3814">
                  <c:v>4470</c:v>
                </c:pt>
                <c:pt idx="3815">
                  <c:v>4490</c:v>
                </c:pt>
                <c:pt idx="3816">
                  <c:v>4490</c:v>
                </c:pt>
                <c:pt idx="3817">
                  <c:v>4490</c:v>
                </c:pt>
                <c:pt idx="3818">
                  <c:v>4490</c:v>
                </c:pt>
                <c:pt idx="3819">
                  <c:v>4490</c:v>
                </c:pt>
                <c:pt idx="3820">
                  <c:v>4490</c:v>
                </c:pt>
                <c:pt idx="3821">
                  <c:v>4490</c:v>
                </c:pt>
                <c:pt idx="3822">
                  <c:v>4500</c:v>
                </c:pt>
                <c:pt idx="3823">
                  <c:v>4500</c:v>
                </c:pt>
                <c:pt idx="3824">
                  <c:v>4500</c:v>
                </c:pt>
                <c:pt idx="3825">
                  <c:v>4500</c:v>
                </c:pt>
                <c:pt idx="3826">
                  <c:v>4500</c:v>
                </c:pt>
                <c:pt idx="3827">
                  <c:v>4500</c:v>
                </c:pt>
                <c:pt idx="3828">
                  <c:v>4500</c:v>
                </c:pt>
                <c:pt idx="3829">
                  <c:v>4500</c:v>
                </c:pt>
                <c:pt idx="3830">
                  <c:v>4500</c:v>
                </c:pt>
                <c:pt idx="3831">
                  <c:v>4500</c:v>
                </c:pt>
                <c:pt idx="3832">
                  <c:v>4500</c:v>
                </c:pt>
                <c:pt idx="3833">
                  <c:v>4500</c:v>
                </c:pt>
                <c:pt idx="3834">
                  <c:v>4500</c:v>
                </c:pt>
                <c:pt idx="3835">
                  <c:v>4500</c:v>
                </c:pt>
                <c:pt idx="3836">
                  <c:v>4500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4500</c:v>
                </c:pt>
                <c:pt idx="3841">
                  <c:v>4500</c:v>
                </c:pt>
                <c:pt idx="3842">
                  <c:v>4500</c:v>
                </c:pt>
                <c:pt idx="3843">
                  <c:v>4500</c:v>
                </c:pt>
                <c:pt idx="3844">
                  <c:v>4500</c:v>
                </c:pt>
                <c:pt idx="3845">
                  <c:v>4500</c:v>
                </c:pt>
                <c:pt idx="3846">
                  <c:v>4500</c:v>
                </c:pt>
                <c:pt idx="3847">
                  <c:v>4490</c:v>
                </c:pt>
                <c:pt idx="3848">
                  <c:v>4490</c:v>
                </c:pt>
                <c:pt idx="3849">
                  <c:v>4490</c:v>
                </c:pt>
                <c:pt idx="3850">
                  <c:v>4490</c:v>
                </c:pt>
                <c:pt idx="3851">
                  <c:v>4490</c:v>
                </c:pt>
                <c:pt idx="3852">
                  <c:v>4470</c:v>
                </c:pt>
                <c:pt idx="3853">
                  <c:v>4470</c:v>
                </c:pt>
                <c:pt idx="3854">
                  <c:v>4470</c:v>
                </c:pt>
                <c:pt idx="3855">
                  <c:v>4460</c:v>
                </c:pt>
                <c:pt idx="3856">
                  <c:v>4460</c:v>
                </c:pt>
                <c:pt idx="3857">
                  <c:v>4460</c:v>
                </c:pt>
                <c:pt idx="3858">
                  <c:v>4450</c:v>
                </c:pt>
                <c:pt idx="3859">
                  <c:v>4450</c:v>
                </c:pt>
                <c:pt idx="3860">
                  <c:v>4430</c:v>
                </c:pt>
                <c:pt idx="3861">
                  <c:v>4430</c:v>
                </c:pt>
                <c:pt idx="3862">
                  <c:v>4430</c:v>
                </c:pt>
                <c:pt idx="3863">
                  <c:v>4420</c:v>
                </c:pt>
                <c:pt idx="3864">
                  <c:v>4420</c:v>
                </c:pt>
                <c:pt idx="3865">
                  <c:v>4420</c:v>
                </c:pt>
                <c:pt idx="3866">
                  <c:v>4400</c:v>
                </c:pt>
                <c:pt idx="3867">
                  <c:v>4400</c:v>
                </c:pt>
                <c:pt idx="3868">
                  <c:v>4400</c:v>
                </c:pt>
                <c:pt idx="3869">
                  <c:v>4390</c:v>
                </c:pt>
                <c:pt idx="3870">
                  <c:v>4390</c:v>
                </c:pt>
                <c:pt idx="3871">
                  <c:v>4380</c:v>
                </c:pt>
                <c:pt idx="3872">
                  <c:v>4380</c:v>
                </c:pt>
                <c:pt idx="3873">
                  <c:v>4360</c:v>
                </c:pt>
                <c:pt idx="3874">
                  <c:v>4360</c:v>
                </c:pt>
                <c:pt idx="3875">
                  <c:v>4360</c:v>
                </c:pt>
                <c:pt idx="3876">
                  <c:v>4350</c:v>
                </c:pt>
                <c:pt idx="3877">
                  <c:v>4350</c:v>
                </c:pt>
                <c:pt idx="3878">
                  <c:v>4340</c:v>
                </c:pt>
                <c:pt idx="3879">
                  <c:v>4340</c:v>
                </c:pt>
                <c:pt idx="3880">
                  <c:v>4320</c:v>
                </c:pt>
                <c:pt idx="3881">
                  <c:v>4320</c:v>
                </c:pt>
                <c:pt idx="3882">
                  <c:v>4310</c:v>
                </c:pt>
                <c:pt idx="3883">
                  <c:v>4310</c:v>
                </c:pt>
                <c:pt idx="3884">
                  <c:v>4310</c:v>
                </c:pt>
                <c:pt idx="3885">
                  <c:v>4300</c:v>
                </c:pt>
                <c:pt idx="3886">
                  <c:v>4300</c:v>
                </c:pt>
                <c:pt idx="3887">
                  <c:v>4300</c:v>
                </c:pt>
                <c:pt idx="3888">
                  <c:v>4280</c:v>
                </c:pt>
                <c:pt idx="3889">
                  <c:v>4280</c:v>
                </c:pt>
                <c:pt idx="3890">
                  <c:v>4280</c:v>
                </c:pt>
                <c:pt idx="3891">
                  <c:v>4270</c:v>
                </c:pt>
                <c:pt idx="3892">
                  <c:v>4270</c:v>
                </c:pt>
                <c:pt idx="3893">
                  <c:v>4260</c:v>
                </c:pt>
                <c:pt idx="3894">
                  <c:v>4260</c:v>
                </c:pt>
                <c:pt idx="3895">
                  <c:v>4240</c:v>
                </c:pt>
                <c:pt idx="3896">
                  <c:v>4240</c:v>
                </c:pt>
                <c:pt idx="3897">
                  <c:v>4230</c:v>
                </c:pt>
                <c:pt idx="3898">
                  <c:v>4230</c:v>
                </c:pt>
                <c:pt idx="3899">
                  <c:v>4230</c:v>
                </c:pt>
                <c:pt idx="3900">
                  <c:v>4220</c:v>
                </c:pt>
                <c:pt idx="3901">
                  <c:v>4220</c:v>
                </c:pt>
                <c:pt idx="3902">
                  <c:v>4220</c:v>
                </c:pt>
                <c:pt idx="3903">
                  <c:v>4220</c:v>
                </c:pt>
                <c:pt idx="3904">
                  <c:v>4200</c:v>
                </c:pt>
                <c:pt idx="3905">
                  <c:v>4200</c:v>
                </c:pt>
                <c:pt idx="3906">
                  <c:v>4200</c:v>
                </c:pt>
                <c:pt idx="3907">
                  <c:v>4200</c:v>
                </c:pt>
                <c:pt idx="3908">
                  <c:v>4200</c:v>
                </c:pt>
                <c:pt idx="3909">
                  <c:v>4190</c:v>
                </c:pt>
                <c:pt idx="3910">
                  <c:v>4190</c:v>
                </c:pt>
                <c:pt idx="3911">
                  <c:v>4190</c:v>
                </c:pt>
                <c:pt idx="3912">
                  <c:v>4180</c:v>
                </c:pt>
                <c:pt idx="3913">
                  <c:v>4180</c:v>
                </c:pt>
                <c:pt idx="3914">
                  <c:v>4180</c:v>
                </c:pt>
                <c:pt idx="3915">
                  <c:v>4180</c:v>
                </c:pt>
                <c:pt idx="3916">
                  <c:v>4160</c:v>
                </c:pt>
                <c:pt idx="3917">
                  <c:v>4160</c:v>
                </c:pt>
                <c:pt idx="3918">
                  <c:v>4160</c:v>
                </c:pt>
                <c:pt idx="3919">
                  <c:v>4150</c:v>
                </c:pt>
                <c:pt idx="3920">
                  <c:v>4150</c:v>
                </c:pt>
                <c:pt idx="3921">
                  <c:v>4150</c:v>
                </c:pt>
                <c:pt idx="3922">
                  <c:v>4150</c:v>
                </c:pt>
                <c:pt idx="3923">
                  <c:v>4150</c:v>
                </c:pt>
                <c:pt idx="3924">
                  <c:v>4140</c:v>
                </c:pt>
                <c:pt idx="3925">
                  <c:v>4140</c:v>
                </c:pt>
                <c:pt idx="3926">
                  <c:v>4140</c:v>
                </c:pt>
                <c:pt idx="3927">
                  <c:v>4120</c:v>
                </c:pt>
                <c:pt idx="3928">
                  <c:v>4120</c:v>
                </c:pt>
                <c:pt idx="3929">
                  <c:v>4110</c:v>
                </c:pt>
                <c:pt idx="3930">
                  <c:v>4110</c:v>
                </c:pt>
                <c:pt idx="3931">
                  <c:v>4100</c:v>
                </c:pt>
                <c:pt idx="3932">
                  <c:v>4100</c:v>
                </c:pt>
                <c:pt idx="3933">
                  <c:v>4080</c:v>
                </c:pt>
                <c:pt idx="3934">
                  <c:v>4070</c:v>
                </c:pt>
                <c:pt idx="3935">
                  <c:v>4070</c:v>
                </c:pt>
                <c:pt idx="3936">
                  <c:v>4060</c:v>
                </c:pt>
                <c:pt idx="3937">
                  <c:v>4040</c:v>
                </c:pt>
                <c:pt idx="3938">
                  <c:v>4040</c:v>
                </c:pt>
                <c:pt idx="3939">
                  <c:v>4030</c:v>
                </c:pt>
                <c:pt idx="3940">
                  <c:v>4020</c:v>
                </c:pt>
                <c:pt idx="3941">
                  <c:v>4000</c:v>
                </c:pt>
                <c:pt idx="3942">
                  <c:v>3990</c:v>
                </c:pt>
                <c:pt idx="3943">
                  <c:v>3960</c:v>
                </c:pt>
                <c:pt idx="3944">
                  <c:v>3950</c:v>
                </c:pt>
                <c:pt idx="3945">
                  <c:v>3940</c:v>
                </c:pt>
                <c:pt idx="3946">
                  <c:v>3910</c:v>
                </c:pt>
                <c:pt idx="3947">
                  <c:v>3890</c:v>
                </c:pt>
                <c:pt idx="3948">
                  <c:v>3870</c:v>
                </c:pt>
                <c:pt idx="3949">
                  <c:v>3860</c:v>
                </c:pt>
                <c:pt idx="3950">
                  <c:v>3830</c:v>
                </c:pt>
                <c:pt idx="3951">
                  <c:v>3810</c:v>
                </c:pt>
                <c:pt idx="3952">
                  <c:v>3790</c:v>
                </c:pt>
                <c:pt idx="3953">
                  <c:v>3780</c:v>
                </c:pt>
                <c:pt idx="3954">
                  <c:v>3760</c:v>
                </c:pt>
                <c:pt idx="3955">
                  <c:v>3740</c:v>
                </c:pt>
                <c:pt idx="3956">
                  <c:v>3720</c:v>
                </c:pt>
                <c:pt idx="3957">
                  <c:v>3700</c:v>
                </c:pt>
                <c:pt idx="3958">
                  <c:v>3690</c:v>
                </c:pt>
                <c:pt idx="3959">
                  <c:v>3670</c:v>
                </c:pt>
                <c:pt idx="3960">
                  <c:v>3650</c:v>
                </c:pt>
                <c:pt idx="3961">
                  <c:v>3640</c:v>
                </c:pt>
                <c:pt idx="3962">
                  <c:v>3630</c:v>
                </c:pt>
                <c:pt idx="3963">
                  <c:v>3610</c:v>
                </c:pt>
                <c:pt idx="3964">
                  <c:v>3600</c:v>
                </c:pt>
                <c:pt idx="3965">
                  <c:v>3590</c:v>
                </c:pt>
                <c:pt idx="3966">
                  <c:v>3580</c:v>
                </c:pt>
                <c:pt idx="3967">
                  <c:v>3560</c:v>
                </c:pt>
                <c:pt idx="3968">
                  <c:v>3550</c:v>
                </c:pt>
                <c:pt idx="3969">
                  <c:v>3550</c:v>
                </c:pt>
                <c:pt idx="3970">
                  <c:v>3540</c:v>
                </c:pt>
                <c:pt idx="3971">
                  <c:v>3540</c:v>
                </c:pt>
                <c:pt idx="3972">
                  <c:v>3530</c:v>
                </c:pt>
                <c:pt idx="3973">
                  <c:v>3510</c:v>
                </c:pt>
                <c:pt idx="3974">
                  <c:v>3510</c:v>
                </c:pt>
                <c:pt idx="3975">
                  <c:v>3500</c:v>
                </c:pt>
                <c:pt idx="3976">
                  <c:v>3500</c:v>
                </c:pt>
                <c:pt idx="3977">
                  <c:v>3490</c:v>
                </c:pt>
                <c:pt idx="3978">
                  <c:v>3490</c:v>
                </c:pt>
                <c:pt idx="3979">
                  <c:v>3480</c:v>
                </c:pt>
                <c:pt idx="3980">
                  <c:v>3480</c:v>
                </c:pt>
                <c:pt idx="3981">
                  <c:v>3460</c:v>
                </c:pt>
                <c:pt idx="3982">
                  <c:v>3460</c:v>
                </c:pt>
                <c:pt idx="3983">
                  <c:v>3450</c:v>
                </c:pt>
                <c:pt idx="3984">
                  <c:v>3450</c:v>
                </c:pt>
                <c:pt idx="3985">
                  <c:v>3450</c:v>
                </c:pt>
                <c:pt idx="3986">
                  <c:v>3450</c:v>
                </c:pt>
                <c:pt idx="3987">
                  <c:v>3450</c:v>
                </c:pt>
                <c:pt idx="3988">
                  <c:v>3450</c:v>
                </c:pt>
                <c:pt idx="3989">
                  <c:v>3440</c:v>
                </c:pt>
                <c:pt idx="3990">
                  <c:v>3440</c:v>
                </c:pt>
                <c:pt idx="3991">
                  <c:v>3440</c:v>
                </c:pt>
                <c:pt idx="3992">
                  <c:v>3440</c:v>
                </c:pt>
                <c:pt idx="3993">
                  <c:v>3440</c:v>
                </c:pt>
                <c:pt idx="3994">
                  <c:v>3440</c:v>
                </c:pt>
                <c:pt idx="3995">
                  <c:v>3440</c:v>
                </c:pt>
                <c:pt idx="3996">
                  <c:v>3440</c:v>
                </c:pt>
                <c:pt idx="3997">
                  <c:v>3440</c:v>
                </c:pt>
                <c:pt idx="3998">
                  <c:v>3440</c:v>
                </c:pt>
                <c:pt idx="3999">
                  <c:v>3440</c:v>
                </c:pt>
                <c:pt idx="4000">
                  <c:v>3450</c:v>
                </c:pt>
                <c:pt idx="4001">
                  <c:v>3450</c:v>
                </c:pt>
                <c:pt idx="4002">
                  <c:v>3450</c:v>
                </c:pt>
                <c:pt idx="4003">
                  <c:v>3450</c:v>
                </c:pt>
                <c:pt idx="4004">
                  <c:v>3450</c:v>
                </c:pt>
                <c:pt idx="4005">
                  <c:v>3450</c:v>
                </c:pt>
                <c:pt idx="4006">
                  <c:v>3450</c:v>
                </c:pt>
                <c:pt idx="4007">
                  <c:v>3450</c:v>
                </c:pt>
                <c:pt idx="4008">
                  <c:v>3450</c:v>
                </c:pt>
                <c:pt idx="4009">
                  <c:v>3450</c:v>
                </c:pt>
                <c:pt idx="4010">
                  <c:v>3450</c:v>
                </c:pt>
                <c:pt idx="4011">
                  <c:v>3450</c:v>
                </c:pt>
                <c:pt idx="4012">
                  <c:v>3450</c:v>
                </c:pt>
                <c:pt idx="4013">
                  <c:v>3460</c:v>
                </c:pt>
                <c:pt idx="4014">
                  <c:v>3460</c:v>
                </c:pt>
                <c:pt idx="4015">
                  <c:v>3460</c:v>
                </c:pt>
                <c:pt idx="4016">
                  <c:v>3460</c:v>
                </c:pt>
                <c:pt idx="4017">
                  <c:v>3460</c:v>
                </c:pt>
                <c:pt idx="4018">
                  <c:v>3460</c:v>
                </c:pt>
                <c:pt idx="4019">
                  <c:v>3460</c:v>
                </c:pt>
                <c:pt idx="4020">
                  <c:v>3460</c:v>
                </c:pt>
                <c:pt idx="4021">
                  <c:v>3460</c:v>
                </c:pt>
                <c:pt idx="4022">
                  <c:v>3460</c:v>
                </c:pt>
                <c:pt idx="4023">
                  <c:v>3460</c:v>
                </c:pt>
                <c:pt idx="4024">
                  <c:v>3460</c:v>
                </c:pt>
                <c:pt idx="4025">
                  <c:v>3460</c:v>
                </c:pt>
                <c:pt idx="4026">
                  <c:v>3460</c:v>
                </c:pt>
                <c:pt idx="4027">
                  <c:v>3460</c:v>
                </c:pt>
                <c:pt idx="4028">
                  <c:v>3460</c:v>
                </c:pt>
                <c:pt idx="4029">
                  <c:v>3460</c:v>
                </c:pt>
                <c:pt idx="4030">
                  <c:v>3460</c:v>
                </c:pt>
                <c:pt idx="4031">
                  <c:v>3460</c:v>
                </c:pt>
                <c:pt idx="4032">
                  <c:v>3460</c:v>
                </c:pt>
                <c:pt idx="4033">
                  <c:v>3460</c:v>
                </c:pt>
                <c:pt idx="4034">
                  <c:v>3460</c:v>
                </c:pt>
                <c:pt idx="4035">
                  <c:v>3460</c:v>
                </c:pt>
                <c:pt idx="4036">
                  <c:v>3460</c:v>
                </c:pt>
                <c:pt idx="4037">
                  <c:v>3460</c:v>
                </c:pt>
                <c:pt idx="4038">
                  <c:v>3460</c:v>
                </c:pt>
                <c:pt idx="4039">
                  <c:v>3460</c:v>
                </c:pt>
                <c:pt idx="4040">
                  <c:v>3460</c:v>
                </c:pt>
                <c:pt idx="4041">
                  <c:v>3460</c:v>
                </c:pt>
                <c:pt idx="4042">
                  <c:v>3460</c:v>
                </c:pt>
                <c:pt idx="4043">
                  <c:v>3460</c:v>
                </c:pt>
                <c:pt idx="4044">
                  <c:v>3460</c:v>
                </c:pt>
                <c:pt idx="4045">
                  <c:v>3460</c:v>
                </c:pt>
                <c:pt idx="4046">
                  <c:v>3460</c:v>
                </c:pt>
                <c:pt idx="4047">
                  <c:v>3460</c:v>
                </c:pt>
                <c:pt idx="4048">
                  <c:v>3460</c:v>
                </c:pt>
                <c:pt idx="4049">
                  <c:v>3460</c:v>
                </c:pt>
                <c:pt idx="4050">
                  <c:v>3460</c:v>
                </c:pt>
                <c:pt idx="4051">
                  <c:v>3460</c:v>
                </c:pt>
                <c:pt idx="4052">
                  <c:v>3460</c:v>
                </c:pt>
                <c:pt idx="4053">
                  <c:v>3460</c:v>
                </c:pt>
                <c:pt idx="4054">
                  <c:v>3460</c:v>
                </c:pt>
                <c:pt idx="4055">
                  <c:v>3460</c:v>
                </c:pt>
                <c:pt idx="4056">
                  <c:v>3460</c:v>
                </c:pt>
                <c:pt idx="4057">
                  <c:v>3460</c:v>
                </c:pt>
                <c:pt idx="4058">
                  <c:v>3460</c:v>
                </c:pt>
                <c:pt idx="4059">
                  <c:v>3460</c:v>
                </c:pt>
                <c:pt idx="4060">
                  <c:v>3460</c:v>
                </c:pt>
                <c:pt idx="4061">
                  <c:v>3460</c:v>
                </c:pt>
                <c:pt idx="4062">
                  <c:v>3460</c:v>
                </c:pt>
                <c:pt idx="4063">
                  <c:v>3460</c:v>
                </c:pt>
                <c:pt idx="4064">
                  <c:v>3460</c:v>
                </c:pt>
                <c:pt idx="4065">
                  <c:v>3460</c:v>
                </c:pt>
                <c:pt idx="4066">
                  <c:v>3460</c:v>
                </c:pt>
                <c:pt idx="4067">
                  <c:v>3460</c:v>
                </c:pt>
                <c:pt idx="4068">
                  <c:v>3460</c:v>
                </c:pt>
                <c:pt idx="4069">
                  <c:v>3460</c:v>
                </c:pt>
                <c:pt idx="4070">
                  <c:v>3460</c:v>
                </c:pt>
                <c:pt idx="4071">
                  <c:v>3460</c:v>
                </c:pt>
                <c:pt idx="4072">
                  <c:v>3460</c:v>
                </c:pt>
                <c:pt idx="4073">
                  <c:v>3460</c:v>
                </c:pt>
                <c:pt idx="4074">
                  <c:v>3460</c:v>
                </c:pt>
                <c:pt idx="4075">
                  <c:v>3460</c:v>
                </c:pt>
                <c:pt idx="4076">
                  <c:v>3460</c:v>
                </c:pt>
                <c:pt idx="4077">
                  <c:v>3460</c:v>
                </c:pt>
                <c:pt idx="4078">
                  <c:v>3460</c:v>
                </c:pt>
                <c:pt idx="4079">
                  <c:v>3460</c:v>
                </c:pt>
                <c:pt idx="4080">
                  <c:v>3460</c:v>
                </c:pt>
                <c:pt idx="4081">
                  <c:v>3460</c:v>
                </c:pt>
                <c:pt idx="4082">
                  <c:v>3460</c:v>
                </c:pt>
                <c:pt idx="4083">
                  <c:v>3460</c:v>
                </c:pt>
                <c:pt idx="4084">
                  <c:v>3460</c:v>
                </c:pt>
                <c:pt idx="4085">
                  <c:v>3460</c:v>
                </c:pt>
                <c:pt idx="4086">
                  <c:v>3460</c:v>
                </c:pt>
                <c:pt idx="4087">
                  <c:v>3460</c:v>
                </c:pt>
                <c:pt idx="4088">
                  <c:v>3460</c:v>
                </c:pt>
                <c:pt idx="4089">
                  <c:v>3460</c:v>
                </c:pt>
                <c:pt idx="4090">
                  <c:v>3480</c:v>
                </c:pt>
                <c:pt idx="4091">
                  <c:v>3480</c:v>
                </c:pt>
                <c:pt idx="4092">
                  <c:v>3480</c:v>
                </c:pt>
                <c:pt idx="4093">
                  <c:v>3480</c:v>
                </c:pt>
                <c:pt idx="4094">
                  <c:v>3480</c:v>
                </c:pt>
                <c:pt idx="4095">
                  <c:v>3480</c:v>
                </c:pt>
                <c:pt idx="4096">
                  <c:v>3480</c:v>
                </c:pt>
                <c:pt idx="4097">
                  <c:v>3480</c:v>
                </c:pt>
                <c:pt idx="4098">
                  <c:v>3490</c:v>
                </c:pt>
                <c:pt idx="4099">
                  <c:v>3490</c:v>
                </c:pt>
                <c:pt idx="4100">
                  <c:v>3490</c:v>
                </c:pt>
                <c:pt idx="4101">
                  <c:v>3490</c:v>
                </c:pt>
                <c:pt idx="4102">
                  <c:v>3490</c:v>
                </c:pt>
                <c:pt idx="4103">
                  <c:v>3490</c:v>
                </c:pt>
                <c:pt idx="4104">
                  <c:v>3490</c:v>
                </c:pt>
                <c:pt idx="4105">
                  <c:v>3500</c:v>
                </c:pt>
                <c:pt idx="4106">
                  <c:v>3500</c:v>
                </c:pt>
                <c:pt idx="4107">
                  <c:v>3500</c:v>
                </c:pt>
                <c:pt idx="4108">
                  <c:v>3500</c:v>
                </c:pt>
                <c:pt idx="4109">
                  <c:v>3500</c:v>
                </c:pt>
                <c:pt idx="4110">
                  <c:v>3500</c:v>
                </c:pt>
                <c:pt idx="4111">
                  <c:v>3500</c:v>
                </c:pt>
                <c:pt idx="4112">
                  <c:v>3500</c:v>
                </c:pt>
                <c:pt idx="4113">
                  <c:v>3500</c:v>
                </c:pt>
                <c:pt idx="4114">
                  <c:v>3510</c:v>
                </c:pt>
                <c:pt idx="4115">
                  <c:v>3510</c:v>
                </c:pt>
                <c:pt idx="4116">
                  <c:v>3510</c:v>
                </c:pt>
                <c:pt idx="4117">
                  <c:v>3510</c:v>
                </c:pt>
                <c:pt idx="4118">
                  <c:v>3510</c:v>
                </c:pt>
                <c:pt idx="4119">
                  <c:v>3510</c:v>
                </c:pt>
                <c:pt idx="4120">
                  <c:v>3510</c:v>
                </c:pt>
                <c:pt idx="4121">
                  <c:v>3500</c:v>
                </c:pt>
                <c:pt idx="4122">
                  <c:v>3500</c:v>
                </c:pt>
                <c:pt idx="4123">
                  <c:v>3500</c:v>
                </c:pt>
                <c:pt idx="4124">
                  <c:v>3500</c:v>
                </c:pt>
                <c:pt idx="4125">
                  <c:v>3500</c:v>
                </c:pt>
                <c:pt idx="4126">
                  <c:v>3500</c:v>
                </c:pt>
                <c:pt idx="4127">
                  <c:v>3500</c:v>
                </c:pt>
                <c:pt idx="4128">
                  <c:v>3500</c:v>
                </c:pt>
                <c:pt idx="4129">
                  <c:v>3500</c:v>
                </c:pt>
                <c:pt idx="4130">
                  <c:v>3500</c:v>
                </c:pt>
                <c:pt idx="4131">
                  <c:v>3490</c:v>
                </c:pt>
                <c:pt idx="4132">
                  <c:v>3490</c:v>
                </c:pt>
                <c:pt idx="4133">
                  <c:v>3490</c:v>
                </c:pt>
                <c:pt idx="4134">
                  <c:v>3490</c:v>
                </c:pt>
                <c:pt idx="4135">
                  <c:v>3490</c:v>
                </c:pt>
                <c:pt idx="4136">
                  <c:v>3490</c:v>
                </c:pt>
                <c:pt idx="4137">
                  <c:v>3490</c:v>
                </c:pt>
                <c:pt idx="4138">
                  <c:v>3480</c:v>
                </c:pt>
                <c:pt idx="4139">
                  <c:v>3480</c:v>
                </c:pt>
                <c:pt idx="4140">
                  <c:v>3480</c:v>
                </c:pt>
                <c:pt idx="4141">
                  <c:v>3480</c:v>
                </c:pt>
                <c:pt idx="4142">
                  <c:v>3460</c:v>
                </c:pt>
                <c:pt idx="4143">
                  <c:v>3460</c:v>
                </c:pt>
                <c:pt idx="4144">
                  <c:v>3450</c:v>
                </c:pt>
                <c:pt idx="4145">
                  <c:v>3450</c:v>
                </c:pt>
                <c:pt idx="4146">
                  <c:v>3440</c:v>
                </c:pt>
                <c:pt idx="4147">
                  <c:v>3440</c:v>
                </c:pt>
                <c:pt idx="4148">
                  <c:v>3440</c:v>
                </c:pt>
                <c:pt idx="4149">
                  <c:v>3420</c:v>
                </c:pt>
                <c:pt idx="4150">
                  <c:v>3410</c:v>
                </c:pt>
                <c:pt idx="4151">
                  <c:v>3410</c:v>
                </c:pt>
                <c:pt idx="4152">
                  <c:v>3400</c:v>
                </c:pt>
                <c:pt idx="4153">
                  <c:v>3400</c:v>
                </c:pt>
                <c:pt idx="4154">
                  <c:v>3390</c:v>
                </c:pt>
                <c:pt idx="4155">
                  <c:v>3370</c:v>
                </c:pt>
                <c:pt idx="4156">
                  <c:v>3370</c:v>
                </c:pt>
                <c:pt idx="4157">
                  <c:v>3370</c:v>
                </c:pt>
                <c:pt idx="4158">
                  <c:v>3360</c:v>
                </c:pt>
                <c:pt idx="4159">
                  <c:v>3360</c:v>
                </c:pt>
                <c:pt idx="4160">
                  <c:v>3350</c:v>
                </c:pt>
                <c:pt idx="4161">
                  <c:v>3350</c:v>
                </c:pt>
                <c:pt idx="4162">
                  <c:v>3340</c:v>
                </c:pt>
                <c:pt idx="4163">
                  <c:v>3340</c:v>
                </c:pt>
                <c:pt idx="4164">
                  <c:v>3330</c:v>
                </c:pt>
                <c:pt idx="4165">
                  <c:v>3330</c:v>
                </c:pt>
                <c:pt idx="4166">
                  <c:v>3310</c:v>
                </c:pt>
                <c:pt idx="4167">
                  <c:v>3310</c:v>
                </c:pt>
                <c:pt idx="4168">
                  <c:v>3300</c:v>
                </c:pt>
                <c:pt idx="4169">
                  <c:v>3300</c:v>
                </c:pt>
                <c:pt idx="4170">
                  <c:v>3290</c:v>
                </c:pt>
                <c:pt idx="4171">
                  <c:v>3290</c:v>
                </c:pt>
                <c:pt idx="4172">
                  <c:v>3280</c:v>
                </c:pt>
                <c:pt idx="4173">
                  <c:v>3280</c:v>
                </c:pt>
                <c:pt idx="4174">
                  <c:v>3280</c:v>
                </c:pt>
                <c:pt idx="4175">
                  <c:v>3280</c:v>
                </c:pt>
                <c:pt idx="4176">
                  <c:v>3260</c:v>
                </c:pt>
                <c:pt idx="4177">
                  <c:v>3260</c:v>
                </c:pt>
                <c:pt idx="4178">
                  <c:v>3260</c:v>
                </c:pt>
                <c:pt idx="4179">
                  <c:v>3260</c:v>
                </c:pt>
                <c:pt idx="4180">
                  <c:v>3260</c:v>
                </c:pt>
                <c:pt idx="4181">
                  <c:v>3250</c:v>
                </c:pt>
                <c:pt idx="4182">
                  <c:v>3250</c:v>
                </c:pt>
                <c:pt idx="4183">
                  <c:v>3250</c:v>
                </c:pt>
                <c:pt idx="4184">
                  <c:v>3250</c:v>
                </c:pt>
                <c:pt idx="4185">
                  <c:v>3250</c:v>
                </c:pt>
                <c:pt idx="4186">
                  <c:v>3250</c:v>
                </c:pt>
                <c:pt idx="4187">
                  <c:v>3240</c:v>
                </c:pt>
                <c:pt idx="4188">
                  <c:v>3240</c:v>
                </c:pt>
                <c:pt idx="4189">
                  <c:v>3240</c:v>
                </c:pt>
                <c:pt idx="4190">
                  <c:v>3240</c:v>
                </c:pt>
                <c:pt idx="4191">
                  <c:v>3240</c:v>
                </c:pt>
                <c:pt idx="4192">
                  <c:v>3240</c:v>
                </c:pt>
                <c:pt idx="4193">
                  <c:v>3240</c:v>
                </c:pt>
                <c:pt idx="4194">
                  <c:v>3240</c:v>
                </c:pt>
                <c:pt idx="4195">
                  <c:v>3230</c:v>
                </c:pt>
                <c:pt idx="4196">
                  <c:v>3230</c:v>
                </c:pt>
                <c:pt idx="4197">
                  <c:v>3230</c:v>
                </c:pt>
                <c:pt idx="4198">
                  <c:v>3230</c:v>
                </c:pt>
                <c:pt idx="4199">
                  <c:v>3230</c:v>
                </c:pt>
                <c:pt idx="4200">
                  <c:v>3230</c:v>
                </c:pt>
                <c:pt idx="4201">
                  <c:v>3230</c:v>
                </c:pt>
                <c:pt idx="4202">
                  <c:v>3230</c:v>
                </c:pt>
                <c:pt idx="4203">
                  <c:v>3210</c:v>
                </c:pt>
                <c:pt idx="4204">
                  <c:v>3210</c:v>
                </c:pt>
                <c:pt idx="4205">
                  <c:v>3210</c:v>
                </c:pt>
                <c:pt idx="4206">
                  <c:v>3210</c:v>
                </c:pt>
                <c:pt idx="4207">
                  <c:v>3210</c:v>
                </c:pt>
                <c:pt idx="4208">
                  <c:v>3210</c:v>
                </c:pt>
                <c:pt idx="4209">
                  <c:v>3210</c:v>
                </c:pt>
                <c:pt idx="4210">
                  <c:v>3200</c:v>
                </c:pt>
                <c:pt idx="4211">
                  <c:v>3200</c:v>
                </c:pt>
                <c:pt idx="4212">
                  <c:v>3200</c:v>
                </c:pt>
                <c:pt idx="4213">
                  <c:v>3200</c:v>
                </c:pt>
                <c:pt idx="4214">
                  <c:v>3200</c:v>
                </c:pt>
                <c:pt idx="4215">
                  <c:v>3200</c:v>
                </c:pt>
                <c:pt idx="4216">
                  <c:v>3200</c:v>
                </c:pt>
                <c:pt idx="4217">
                  <c:v>3200</c:v>
                </c:pt>
                <c:pt idx="4218">
                  <c:v>3190</c:v>
                </c:pt>
                <c:pt idx="4219">
                  <c:v>3190</c:v>
                </c:pt>
                <c:pt idx="4220">
                  <c:v>3190</c:v>
                </c:pt>
                <c:pt idx="4221">
                  <c:v>3190</c:v>
                </c:pt>
                <c:pt idx="4222">
                  <c:v>3190</c:v>
                </c:pt>
                <c:pt idx="4223">
                  <c:v>3190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9-47AE-939E-956521348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82304"/>
        <c:axId val="117658368"/>
      </c:lineChart>
      <c:catAx>
        <c:axId val="11568230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17658368"/>
        <c:crosses val="autoZero"/>
        <c:auto val="1"/>
        <c:lblAlgn val="ctr"/>
        <c:lblOffset val="100"/>
        <c:tickLblSkip val="1000"/>
        <c:noMultiLvlLbl val="0"/>
      </c:catAx>
      <c:valAx>
        <c:axId val="1176583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5682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18883336404464"/>
          <c:y val="5.1400554097404488E-2"/>
          <c:w val="0.81633072149599883"/>
          <c:h val="0.8413072800289104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</c:spPr>
          </c:marker>
          <c:cat>
            <c:numRef>
              <c:f>Flow2!$F$4:$F$47</c:f>
              <c:numCache>
                <c:formatCode>m/d/yyyy</c:formatCode>
                <c:ptCount val="44"/>
                <c:pt idx="0">
                  <c:v>41762</c:v>
                </c:pt>
                <c:pt idx="1">
                  <c:v>41763</c:v>
                </c:pt>
                <c:pt idx="2">
                  <c:v>41764</c:v>
                </c:pt>
                <c:pt idx="3">
                  <c:v>41765</c:v>
                </c:pt>
                <c:pt idx="4">
                  <c:v>41766</c:v>
                </c:pt>
                <c:pt idx="5">
                  <c:v>41767</c:v>
                </c:pt>
                <c:pt idx="6">
                  <c:v>41768</c:v>
                </c:pt>
                <c:pt idx="7">
                  <c:v>41769</c:v>
                </c:pt>
                <c:pt idx="8">
                  <c:v>41770</c:v>
                </c:pt>
                <c:pt idx="9">
                  <c:v>41771</c:v>
                </c:pt>
                <c:pt idx="10">
                  <c:v>41772</c:v>
                </c:pt>
                <c:pt idx="11">
                  <c:v>41773</c:v>
                </c:pt>
                <c:pt idx="12">
                  <c:v>41774</c:v>
                </c:pt>
                <c:pt idx="13">
                  <c:v>41775</c:v>
                </c:pt>
                <c:pt idx="14">
                  <c:v>41776</c:v>
                </c:pt>
                <c:pt idx="15">
                  <c:v>41777</c:v>
                </c:pt>
                <c:pt idx="16">
                  <c:v>41778</c:v>
                </c:pt>
                <c:pt idx="17">
                  <c:v>41779</c:v>
                </c:pt>
                <c:pt idx="18">
                  <c:v>41780</c:v>
                </c:pt>
                <c:pt idx="19">
                  <c:v>41781</c:v>
                </c:pt>
                <c:pt idx="20">
                  <c:v>41782</c:v>
                </c:pt>
                <c:pt idx="21">
                  <c:v>41783</c:v>
                </c:pt>
                <c:pt idx="22">
                  <c:v>41784</c:v>
                </c:pt>
                <c:pt idx="23">
                  <c:v>41785</c:v>
                </c:pt>
                <c:pt idx="24">
                  <c:v>41786</c:v>
                </c:pt>
                <c:pt idx="25">
                  <c:v>41787</c:v>
                </c:pt>
                <c:pt idx="26">
                  <c:v>41788</c:v>
                </c:pt>
                <c:pt idx="27">
                  <c:v>41789</c:v>
                </c:pt>
                <c:pt idx="28">
                  <c:v>41790</c:v>
                </c:pt>
                <c:pt idx="29">
                  <c:v>41791</c:v>
                </c:pt>
                <c:pt idx="30">
                  <c:v>41792</c:v>
                </c:pt>
                <c:pt idx="31">
                  <c:v>41793</c:v>
                </c:pt>
                <c:pt idx="32">
                  <c:v>41794</c:v>
                </c:pt>
                <c:pt idx="33">
                  <c:v>41795</c:v>
                </c:pt>
                <c:pt idx="34">
                  <c:v>41796</c:v>
                </c:pt>
                <c:pt idx="35">
                  <c:v>41797</c:v>
                </c:pt>
                <c:pt idx="36">
                  <c:v>41798</c:v>
                </c:pt>
                <c:pt idx="37">
                  <c:v>41799</c:v>
                </c:pt>
                <c:pt idx="38">
                  <c:v>41800</c:v>
                </c:pt>
                <c:pt idx="39">
                  <c:v>41801</c:v>
                </c:pt>
                <c:pt idx="40">
                  <c:v>41802</c:v>
                </c:pt>
                <c:pt idx="41">
                  <c:v>41803</c:v>
                </c:pt>
                <c:pt idx="42">
                  <c:v>41804</c:v>
                </c:pt>
                <c:pt idx="43">
                  <c:v>41805</c:v>
                </c:pt>
              </c:numCache>
            </c:numRef>
          </c:cat>
          <c:val>
            <c:numRef>
              <c:f>Flow2!$G$4:$G$47</c:f>
              <c:numCache>
                <c:formatCode>#,##0</c:formatCode>
                <c:ptCount val="44"/>
                <c:pt idx="0">
                  <c:v>4950</c:v>
                </c:pt>
                <c:pt idx="1">
                  <c:v>6050</c:v>
                </c:pt>
                <c:pt idx="2">
                  <c:v>6620</c:v>
                </c:pt>
                <c:pt idx="3">
                  <c:v>6380</c:v>
                </c:pt>
                <c:pt idx="4">
                  <c:v>5870</c:v>
                </c:pt>
                <c:pt idx="5">
                  <c:v>5540</c:v>
                </c:pt>
                <c:pt idx="6">
                  <c:v>5330</c:v>
                </c:pt>
                <c:pt idx="7">
                  <c:v>5480</c:v>
                </c:pt>
                <c:pt idx="8">
                  <c:v>5550</c:v>
                </c:pt>
                <c:pt idx="9">
                  <c:v>5250</c:v>
                </c:pt>
                <c:pt idx="10">
                  <c:v>4800</c:v>
                </c:pt>
                <c:pt idx="11">
                  <c:v>4370</c:v>
                </c:pt>
                <c:pt idx="12">
                  <c:v>4190</c:v>
                </c:pt>
                <c:pt idx="13">
                  <c:v>4680</c:v>
                </c:pt>
                <c:pt idx="14">
                  <c:v>6050</c:v>
                </c:pt>
                <c:pt idx="15">
                  <c:v>7280</c:v>
                </c:pt>
                <c:pt idx="16">
                  <c:v>7750</c:v>
                </c:pt>
                <c:pt idx="17">
                  <c:v>7420</c:v>
                </c:pt>
                <c:pt idx="18">
                  <c:v>6870</c:v>
                </c:pt>
                <c:pt idx="19">
                  <c:v>6290</c:v>
                </c:pt>
                <c:pt idx="20">
                  <c:v>6070</c:v>
                </c:pt>
                <c:pt idx="21">
                  <c:v>6270</c:v>
                </c:pt>
                <c:pt idx="22">
                  <c:v>6660</c:v>
                </c:pt>
                <c:pt idx="23">
                  <c:v>6870</c:v>
                </c:pt>
                <c:pt idx="24">
                  <c:v>6610</c:v>
                </c:pt>
                <c:pt idx="25">
                  <c:v>6210</c:v>
                </c:pt>
                <c:pt idx="26">
                  <c:v>5860</c:v>
                </c:pt>
                <c:pt idx="27">
                  <c:v>5420</c:v>
                </c:pt>
                <c:pt idx="28">
                  <c:v>4940</c:v>
                </c:pt>
                <c:pt idx="29">
                  <c:v>4720</c:v>
                </c:pt>
                <c:pt idx="30">
                  <c:v>4540</c:v>
                </c:pt>
                <c:pt idx="31">
                  <c:v>4460</c:v>
                </c:pt>
                <c:pt idx="32">
                  <c:v>4690</c:v>
                </c:pt>
                <c:pt idx="33">
                  <c:v>5510</c:v>
                </c:pt>
                <c:pt idx="34">
                  <c:v>5970</c:v>
                </c:pt>
                <c:pt idx="35">
                  <c:v>5470</c:v>
                </c:pt>
                <c:pt idx="36">
                  <c:v>4690</c:v>
                </c:pt>
                <c:pt idx="37">
                  <c:v>4230</c:v>
                </c:pt>
                <c:pt idx="38">
                  <c:v>4200</c:v>
                </c:pt>
                <c:pt idx="39">
                  <c:v>4410</c:v>
                </c:pt>
                <c:pt idx="40">
                  <c:v>4300</c:v>
                </c:pt>
                <c:pt idx="41">
                  <c:v>3580</c:v>
                </c:pt>
                <c:pt idx="42">
                  <c:v>3480</c:v>
                </c:pt>
                <c:pt idx="43">
                  <c:v>3310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414B-9098-881282EA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20352"/>
        <c:axId val="116021504"/>
      </c:lineChart>
      <c:dateAx>
        <c:axId val="116020352"/>
        <c:scaling>
          <c:orientation val="minMax"/>
        </c:scaling>
        <c:delete val="0"/>
        <c:axPos val="b"/>
        <c:numFmt formatCode="mmm\ dd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21504"/>
        <c:crosses val="autoZero"/>
        <c:auto val="1"/>
        <c:lblOffset val="100"/>
        <c:baseTimeUnit val="days"/>
        <c:majorUnit val="7"/>
        <c:majorTimeUnit val="days"/>
      </c:dateAx>
      <c:valAx>
        <c:axId val="1160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Yakima River Flow (cfs)</a:t>
                </a:r>
              </a:p>
            </c:rich>
          </c:tx>
          <c:layout>
            <c:manualLayout>
              <c:xMode val="edge"/>
              <c:yMode val="edge"/>
              <c:x val="1.8954184035819052E-2"/>
              <c:y val="0.165084568048903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203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6</xdr:row>
      <xdr:rowOff>104775</xdr:rowOff>
    </xdr:from>
    <xdr:to>
      <xdr:col>22</xdr:col>
      <xdr:colOff>495299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4208</xdr:row>
      <xdr:rowOff>19050</xdr:rowOff>
    </xdr:from>
    <xdr:to>
      <xdr:col>13</xdr:col>
      <xdr:colOff>228600</xdr:colOff>
      <xdr:row>4222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2</xdr:row>
      <xdr:rowOff>9525</xdr:rowOff>
    </xdr:from>
    <xdr:to>
      <xdr:col>18</xdr:col>
      <xdr:colOff>586739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 La Cruz, Brenda (DFW)" id="{DBED1097-E721-45B2-979B-F059E4687151}" userId="S::Brenda.Delacruz@dfw.wa.gov::c2d71f52-fe06-49c8-840c-8c605d192ad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ler, Todd L (DFW)" refreshedDate="46044.38145763889" createdVersion="8" refreshedVersion="8" minRefreshableVersion="3" recordCount="128" xr:uid="{286E31F6-AF5C-447E-8548-B3C3789C6F40}">
  <cacheSource type="worksheet">
    <worksheetSource ref="A1:AR1048576" sheet="Sheet1"/>
  </cacheSource>
  <cacheFields count="44">
    <cacheField name="Survey_Date" numFmtId="0">
      <sharedItems containsNonDate="0" containsDate="1" containsString="0" containsBlank="1" minDate="2025-09-28T00:00:00" maxDate="2025-11-03T00:00:00"/>
    </cacheField>
    <cacheField name="Return_Yr" numFmtId="0">
      <sharedItems containsString="0" containsBlank="1" containsNumber="1" containsInteger="1" minValue="2025" maxValue="2025"/>
    </cacheField>
    <cacheField name="GEAR_TYPE_LUT_Id" numFmtId="0">
      <sharedItems containsBlank="1"/>
    </cacheField>
    <cacheField name="STREAM_LUT_Id" numFmtId="0">
      <sharedItems containsBlank="1"/>
    </cacheField>
    <cacheField name="POINT_LOCATIONS_LUT_Id" numFmtId="0">
      <sharedItems containsBlank="1"/>
    </cacheField>
    <cacheField name="POINT_LOCATIONS_Description" numFmtId="0">
      <sharedItems containsBlank="1"/>
    </cacheField>
    <cacheField name="STREAM_REACH_Id" numFmtId="0">
      <sharedItems containsNonDate="0" containsString="0" containsBlank="1"/>
    </cacheField>
    <cacheField name="Samplers_Txt" numFmtId="0">
      <sharedItems containsBlank="1"/>
    </cacheField>
    <cacheField name="HeaderComments" numFmtId="0">
      <sharedItems containsNonDate="0" containsString="0" containsBlank="1"/>
    </cacheField>
    <cacheField name="Disposition" numFmtId="0">
      <sharedItems containsBlank="1"/>
    </cacheField>
    <cacheField name="Scale_Card_Num_Txt" numFmtId="0">
      <sharedItems containsString="0" containsBlank="1" containsNumber="1" containsInteger="1" minValue="27301" maxValue="27494"/>
    </cacheField>
    <cacheField name="Position_Pos" numFmtId="0">
      <sharedItems containsString="0" containsBlank="1" containsNumber="1" containsInteger="1" minValue="1" maxValue="20"/>
    </cacheField>
    <cacheField name="Scale_Card_Front_Autonumber_Serial" numFmtId="0">
      <sharedItems containsString="0" containsBlank="1" containsNumber="1" containsInteger="1" minValue="9290" maxValue="9570"/>
    </cacheField>
    <cacheField name="SPECIES_Id" numFmtId="0">
      <sharedItems containsBlank="1"/>
    </cacheField>
    <cacheField name="RUN_LUT_Id" numFmtId="0">
      <sharedItems containsBlank="1"/>
    </cacheField>
    <cacheField name="TAG_TYPE_SAMPLE_LUT_Id" numFmtId="0">
      <sharedItems containsBlank="1"/>
    </cacheField>
    <cacheField name="FISH_STATUS_LUT_Id" numFmtId="0">
      <sharedItems containsBlank="1"/>
    </cacheField>
    <cacheField name="Sample_Rate_Num" numFmtId="0">
      <sharedItems containsString="0" containsBlank="1" containsNumber="1" containsInteger="1" minValue="1" maxValue="1"/>
    </cacheField>
    <cacheField name="CWT_Sample_Size_Qty" numFmtId="0">
      <sharedItems containsString="0" containsBlank="1" containsNumber="1" containsInteger="1" minValue="7" maxValue="20"/>
    </cacheField>
    <cacheField name="Plus_Count_Qty" numFmtId="0">
      <sharedItems containsString="0" containsBlank="1" containsNumber="1" containsInteger="1" minValue="0" maxValue="0"/>
    </cacheField>
    <cacheField name="Number_CWT_Qty" numFmtId="0">
      <sharedItems containsString="0" containsBlank="1" containsNumber="1" containsInteger="1" minValue="0" maxValue="8"/>
    </cacheField>
    <cacheField name="ScaleCardComments" numFmtId="0">
      <sharedItems containsBlank="1"/>
    </cacheField>
    <cacheField name="Scale_Age_Code" numFmtId="0">
      <sharedItems containsString="0" containsBlank="1" containsNumber="1" containsInteger="1" minValue="21" maxValue="88" count="8">
        <n v="41"/>
        <n v="88"/>
        <n v="31"/>
        <n v="42"/>
        <n v="52"/>
        <n v="51"/>
        <n v="21"/>
        <m/>
      </sharedItems>
    </cacheField>
    <cacheField name="Fork_Length_Meas" numFmtId="0">
      <sharedItems containsString="0" containsBlank="1" containsNumber="1" containsInteger="1" minValue="40" maxValue="95"/>
    </cacheField>
    <cacheField name="POHP" numFmtId="0">
      <sharedItems containsNonDate="0" containsString="0" containsBlank="1"/>
    </cacheField>
    <cacheField name="CWT_Tag_Code" numFmtId="0">
      <sharedItems containsString="0" containsBlank="1" containsNumber="1" containsInteger="1" minValue="91504" maxValue="92075"/>
    </cacheField>
    <cacheField name="CWT_Age_Code" numFmtId="0">
      <sharedItems containsString="0" containsBlank="1" containsNumber="1" containsInteger="1" minValue="41" maxValue="62"/>
    </cacheField>
    <cacheField name="CWT_Status_Code" numFmtId="0">
      <sharedItems containsBlank="1"/>
    </cacheField>
    <cacheField name="SEX_TYPE_LUT_Id" numFmtId="0">
      <sharedItems containsBlank="1"/>
    </cacheField>
    <cacheField name="MARK_TYPE_LUT_Id" numFmtId="0">
      <sharedItems containsBlank="1"/>
    </cacheField>
    <cacheField name="SAMPLE_TYPE_CATEGORY_LUT_Id" numFmtId="0">
      <sharedItems containsBlank="1" containsMixedTypes="1" containsNumber="1" containsInteger="1" minValue="0" maxValue="0"/>
    </cacheField>
    <cacheField name="Snout_Collection_Identification_Code" numFmtId="0">
      <sharedItems containsString="0" containsBlank="1" containsNumber="1" containsInteger="1" minValue="127734" maxValue="133191"/>
    </cacheField>
    <cacheField name="FISH_REPRODUCTIVE_CONDITION_TYPE_LUT_Id" numFmtId="0">
      <sharedItems containsNonDate="0" containsString="0" containsBlank="1"/>
    </cacheField>
    <cacheField name="DNA_Sample_Code" numFmtId="0">
      <sharedItems containsNonDate="0" containsString="0" containsBlank="1"/>
    </cacheField>
    <cacheField name="Carcass_Condition" numFmtId="0">
      <sharedItems containsNonDate="0" containsString="0" containsBlank="1"/>
    </cacheField>
    <cacheField name="Otolith_Sample_Code" numFmtId="0">
      <sharedItems containsNonDate="0" containsString="0" containsBlank="1"/>
    </cacheField>
    <cacheField name="Otolith_Age_Code" numFmtId="0">
      <sharedItems containsNonDate="0" containsString="0" containsBlank="1"/>
    </cacheField>
    <cacheField name="OTOLITH_ORIGIN_TYPE_LUT_Id" numFmtId="0">
      <sharedItems containsNonDate="0" containsString="0" containsBlank="1"/>
    </cacheField>
    <cacheField name="Total_Fecundity" numFmtId="0">
      <sharedItems containsNonDate="0" containsString="0" containsBlank="1"/>
    </cacheField>
    <cacheField name="Fecundity_EggsSampled" numFmtId="0">
      <sharedItems containsNonDate="0" containsString="0" containsBlank="1"/>
    </cacheField>
    <cacheField name="Fecundity_SampleEggWeight" numFmtId="0">
      <sharedItems containsNonDate="0" containsString="0" containsBlank="1"/>
    </cacheField>
    <cacheField name="Fecundity_TotalEggWeight" numFmtId="0">
      <sharedItems containsNonDate="0" containsString="0" containsBlank="1"/>
    </cacheField>
    <cacheField name="Scales_Taken_Ind" numFmtId="0">
      <sharedItems containsBlank="1"/>
    </cacheField>
    <cacheField name="CWT_ORIGIN_TYPE_LUT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1"/>
    <n v="9365"/>
    <s v="Chinook salmon"/>
    <s v="Fall"/>
    <s v="CWT and PIT Sample"/>
    <s v="LIVE"/>
    <n v="1"/>
    <n v="8"/>
    <n v="0"/>
    <n v="2"/>
    <m/>
    <x v="0"/>
    <n v="75"/>
    <m/>
    <m/>
    <m/>
    <m/>
    <s v="Female"/>
    <s v="UM"/>
    <s v="blank"/>
    <m/>
    <m/>
    <m/>
    <m/>
    <m/>
    <m/>
    <m/>
    <m/>
    <m/>
    <m/>
    <m/>
    <s v="Yes"/>
    <m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2"/>
    <n v="9366"/>
    <s v="Chinook salmon"/>
    <s v="Fall"/>
    <s v="CWT and PIT Sample"/>
    <s v="LIVE"/>
    <n v="1"/>
    <n v="8"/>
    <n v="0"/>
    <n v="2"/>
    <m/>
    <x v="1"/>
    <n v="81"/>
    <m/>
    <n v="91670"/>
    <n v="52"/>
    <s v="Decoded"/>
    <s v="Female"/>
    <s v="AD"/>
    <n v="0"/>
    <n v="128923"/>
    <m/>
    <m/>
    <m/>
    <m/>
    <m/>
    <m/>
    <m/>
    <m/>
    <m/>
    <m/>
    <s v="Yes"/>
    <s v="Hatchery unknown"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3"/>
    <n v="9367"/>
    <s v="Chinook salmon"/>
    <s v="Fall"/>
    <s v="CWT and PIT Sample"/>
    <s v="LIVE"/>
    <n v="1"/>
    <n v="8"/>
    <n v="0"/>
    <n v="2"/>
    <m/>
    <x v="0"/>
    <n v="66"/>
    <m/>
    <m/>
    <m/>
    <m/>
    <s v="Female"/>
    <s v="UM"/>
    <s v="blank"/>
    <m/>
    <m/>
    <m/>
    <m/>
    <m/>
    <m/>
    <m/>
    <m/>
    <m/>
    <m/>
    <m/>
    <s v="Yes"/>
    <m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4"/>
    <n v="9368"/>
    <s v="Chinook salmon"/>
    <s v="Fall"/>
    <s v="CWT and PIT Sample"/>
    <s v="LIVE"/>
    <n v="1"/>
    <n v="8"/>
    <n v="0"/>
    <n v="2"/>
    <m/>
    <x v="1"/>
    <n v="51"/>
    <m/>
    <m/>
    <m/>
    <m/>
    <s v="Female"/>
    <s v="UM"/>
    <s v="blank"/>
    <m/>
    <m/>
    <m/>
    <m/>
    <m/>
    <m/>
    <m/>
    <m/>
    <m/>
    <m/>
    <m/>
    <s v="Yes"/>
    <m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5"/>
    <n v="9369"/>
    <s v="Chinook salmon"/>
    <s v="Fall"/>
    <s v="CWT and PIT Sample"/>
    <s v="LIVE"/>
    <n v="1"/>
    <n v="8"/>
    <n v="0"/>
    <n v="2"/>
    <m/>
    <x v="2"/>
    <n v="62"/>
    <m/>
    <m/>
    <m/>
    <m/>
    <s v="Female"/>
    <s v="UM"/>
    <s v="blank"/>
    <m/>
    <m/>
    <m/>
    <m/>
    <m/>
    <m/>
    <m/>
    <m/>
    <m/>
    <m/>
    <m/>
    <s v="Yes"/>
    <m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6"/>
    <n v="9370"/>
    <s v="Chinook salmon"/>
    <s v="Fall"/>
    <s v="CWT and PIT Sample"/>
    <s v="LIVE"/>
    <n v="1"/>
    <n v="8"/>
    <n v="0"/>
    <n v="2"/>
    <m/>
    <x v="0"/>
    <n v="69"/>
    <m/>
    <m/>
    <m/>
    <m/>
    <s v="Female"/>
    <s v="UM"/>
    <s v="blank"/>
    <m/>
    <m/>
    <m/>
    <m/>
    <m/>
    <m/>
    <m/>
    <m/>
    <m/>
    <m/>
    <m/>
    <s v="Yes"/>
    <m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7"/>
    <n v="9371"/>
    <s v="Chinook salmon"/>
    <s v="Fall"/>
    <s v="CWT and PIT Sample"/>
    <s v="LIVE"/>
    <n v="1"/>
    <n v="8"/>
    <n v="0"/>
    <n v="2"/>
    <m/>
    <x v="2"/>
    <n v="67"/>
    <m/>
    <m/>
    <m/>
    <m/>
    <s v="Female"/>
    <s v="AD"/>
    <s v="blank"/>
    <m/>
    <m/>
    <m/>
    <m/>
    <m/>
    <m/>
    <m/>
    <m/>
    <m/>
    <m/>
    <m/>
    <s v="Yes"/>
    <m/>
  </r>
  <r>
    <d v="2025-09-28T00:00:00"/>
    <n v="2025"/>
    <s v="Freshwater Sport"/>
    <s v="Yakima River"/>
    <s v="Yakima River Sport Fishery"/>
    <s v="Yakima River Sport Fishery"/>
    <m/>
    <s v="Schumacher,E;Clark,D "/>
    <m/>
    <s v="Harvested"/>
    <n v="27494"/>
    <n v="8"/>
    <n v="9372"/>
    <s v="Chinook salmon"/>
    <s v="Fall"/>
    <s v="CWT and PIT Sample"/>
    <s v="LIVE"/>
    <n v="1"/>
    <n v="8"/>
    <n v="0"/>
    <n v="2"/>
    <m/>
    <x v="3"/>
    <n v="66"/>
    <m/>
    <n v="92075"/>
    <n v="42"/>
    <s v="Decoded"/>
    <s v="Female"/>
    <s v="AD"/>
    <n v="0"/>
    <n v="128924"/>
    <m/>
    <m/>
    <m/>
    <m/>
    <m/>
    <m/>
    <m/>
    <m/>
    <m/>
    <m/>
    <s v="Yes"/>
    <s v="Hatchery unknown"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1"/>
    <n v="9355"/>
    <s v="Chinook salmon"/>
    <s v="Fall"/>
    <s v="CWT and PIT Sample"/>
    <s v="LIVE"/>
    <n v="1"/>
    <n v="10"/>
    <n v="0"/>
    <n v="4"/>
    <m/>
    <x v="1"/>
    <n v="49"/>
    <m/>
    <m/>
    <m/>
    <m/>
    <s v="Female"/>
    <s v="UM"/>
    <s v="blank"/>
    <m/>
    <m/>
    <m/>
    <m/>
    <m/>
    <m/>
    <m/>
    <m/>
    <m/>
    <m/>
    <m/>
    <s v="Yes"/>
    <m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2"/>
    <n v="9356"/>
    <s v="Chinook salmon"/>
    <s v="Fall"/>
    <s v="CWT and PIT Sample"/>
    <s v="LIVE"/>
    <n v="1"/>
    <n v="10"/>
    <n v="0"/>
    <n v="4"/>
    <m/>
    <x v="0"/>
    <n v="77"/>
    <m/>
    <m/>
    <m/>
    <m/>
    <s v="Female"/>
    <s v="AD"/>
    <s v="blank"/>
    <m/>
    <m/>
    <m/>
    <m/>
    <m/>
    <m/>
    <m/>
    <m/>
    <m/>
    <m/>
    <m/>
    <s v="Yes"/>
    <m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3"/>
    <n v="9357"/>
    <s v="Chinook salmon"/>
    <s v="Fall"/>
    <s v="CWT and PIT Sample"/>
    <s v="LIVE"/>
    <n v="1"/>
    <n v="10"/>
    <n v="0"/>
    <n v="4"/>
    <m/>
    <x v="2"/>
    <n v="67"/>
    <m/>
    <n v="92075"/>
    <n v="42"/>
    <s v="Decoded"/>
    <s v="Female"/>
    <s v="AD"/>
    <n v="0"/>
    <n v="128941"/>
    <m/>
    <m/>
    <m/>
    <m/>
    <m/>
    <m/>
    <m/>
    <m/>
    <m/>
    <m/>
    <s v="Yes"/>
    <s v="Hatchery unknown"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4"/>
    <n v="9358"/>
    <s v="Chinook salmon"/>
    <s v="Fall"/>
    <s v="CWT and PIT Sample"/>
    <s v="LIVE"/>
    <n v="1"/>
    <n v="10"/>
    <n v="0"/>
    <n v="4"/>
    <m/>
    <x v="2"/>
    <n v="70"/>
    <m/>
    <m/>
    <m/>
    <m/>
    <s v="Female"/>
    <s v="UM"/>
    <s v="blank"/>
    <m/>
    <m/>
    <m/>
    <m/>
    <m/>
    <m/>
    <m/>
    <m/>
    <m/>
    <m/>
    <m/>
    <s v="Yes"/>
    <m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5"/>
    <n v="9359"/>
    <s v="Chinook salmon"/>
    <s v="Fall"/>
    <s v="CWT and PIT Sample"/>
    <s v="LIVE"/>
    <n v="1"/>
    <n v="10"/>
    <n v="0"/>
    <n v="4"/>
    <m/>
    <x v="1"/>
    <n v="72"/>
    <m/>
    <m/>
    <m/>
    <m/>
    <s v="Female"/>
    <s v="AD"/>
    <s v="blank"/>
    <m/>
    <m/>
    <m/>
    <m/>
    <m/>
    <m/>
    <m/>
    <m/>
    <m/>
    <m/>
    <m/>
    <s v="Yes"/>
    <m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6"/>
    <n v="9360"/>
    <s v="Chinook salmon"/>
    <s v="Fall"/>
    <s v="CWT and PIT Sample"/>
    <s v="LIVE"/>
    <n v="1"/>
    <n v="10"/>
    <n v="0"/>
    <n v="4"/>
    <m/>
    <x v="3"/>
    <n v="74"/>
    <m/>
    <n v="92075"/>
    <n v="42"/>
    <s v="Decoded"/>
    <s v="Female"/>
    <s v="AD"/>
    <n v="0"/>
    <n v="128940"/>
    <m/>
    <m/>
    <m/>
    <m/>
    <m/>
    <m/>
    <m/>
    <m/>
    <m/>
    <m/>
    <s v="Yes"/>
    <s v="Hatchery unknown"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7"/>
    <n v="9361"/>
    <s v="Chinook salmon"/>
    <s v="Fall"/>
    <s v="CWT and PIT Sample"/>
    <s v="LIVE"/>
    <n v="1"/>
    <n v="10"/>
    <n v="0"/>
    <n v="4"/>
    <m/>
    <x v="3"/>
    <n v="71"/>
    <m/>
    <n v="92075"/>
    <n v="42"/>
    <s v="Decoded"/>
    <s v="Female"/>
    <s v="AD"/>
    <n v="0"/>
    <n v="128925"/>
    <m/>
    <m/>
    <m/>
    <m/>
    <m/>
    <m/>
    <m/>
    <m/>
    <m/>
    <m/>
    <s v="Yes"/>
    <s v="Hatchery unknown"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8"/>
    <n v="9362"/>
    <s v="Chinook salmon"/>
    <s v="Fall"/>
    <s v="CWT and PIT Sample"/>
    <s v="LIVE"/>
    <n v="1"/>
    <n v="10"/>
    <n v="0"/>
    <n v="4"/>
    <m/>
    <x v="3"/>
    <n v="72"/>
    <m/>
    <n v="92075"/>
    <n v="42"/>
    <s v="Decoded"/>
    <s v="Female"/>
    <s v="UM"/>
    <n v="0"/>
    <n v="128926"/>
    <m/>
    <m/>
    <m/>
    <m/>
    <m/>
    <m/>
    <m/>
    <m/>
    <m/>
    <m/>
    <s v="Yes"/>
    <s v="Hatchery unknown"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9"/>
    <n v="9363"/>
    <s v="Chinook salmon"/>
    <s v="Fall"/>
    <s v="CWT and PIT Sample"/>
    <s v="LIVE"/>
    <n v="1"/>
    <n v="10"/>
    <n v="0"/>
    <n v="4"/>
    <m/>
    <x v="0"/>
    <n v="75"/>
    <m/>
    <m/>
    <m/>
    <m/>
    <s v="Female"/>
    <s v="AD"/>
    <s v="blank"/>
    <m/>
    <m/>
    <m/>
    <m/>
    <m/>
    <m/>
    <m/>
    <m/>
    <m/>
    <m/>
    <m/>
    <s v="Yes"/>
    <m/>
  </r>
  <r>
    <d v="2025-10-05T00:00:00"/>
    <n v="2025"/>
    <s v="Freshwater Sport"/>
    <s v="Yakima River"/>
    <s v="Yakima River Sport Fishery"/>
    <s v="Yakima River Sport Fishery"/>
    <m/>
    <s v="Clark,D "/>
    <m/>
    <s v="Harvested"/>
    <n v="27446"/>
    <n v="10"/>
    <n v="9364"/>
    <s v="Chinook salmon"/>
    <s v="Fall"/>
    <s v="CWT and PIT Sample"/>
    <s v="LIVE"/>
    <n v="1"/>
    <n v="10"/>
    <n v="0"/>
    <n v="4"/>
    <m/>
    <x v="1"/>
    <n v="73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"/>
    <n v="9335"/>
    <s v="Chinook salmon"/>
    <s v="Fall"/>
    <s v="CWT and PIT Sample"/>
    <s v="LIVE"/>
    <n v="1"/>
    <n v="20"/>
    <n v="0"/>
    <n v="6"/>
    <m/>
    <x v="1"/>
    <n v="52"/>
    <m/>
    <m/>
    <m/>
    <m/>
    <s v="Unknown"/>
    <s v="UNK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2"/>
    <n v="9336"/>
    <s v="Chinook salmon"/>
    <s v="Fall"/>
    <s v="CWT and PIT Sample"/>
    <s v="LIVE"/>
    <n v="1"/>
    <n v="20"/>
    <n v="0"/>
    <n v="6"/>
    <m/>
    <x v="2"/>
    <n v="67"/>
    <m/>
    <m/>
    <m/>
    <m/>
    <s v="Unknown"/>
    <s v="UNK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3"/>
    <n v="9337"/>
    <s v="Chinook salmon"/>
    <s v="Fall"/>
    <s v="CWT and PIT Sample"/>
    <s v="LIVE"/>
    <n v="1"/>
    <n v="20"/>
    <n v="0"/>
    <n v="6"/>
    <m/>
    <x v="3"/>
    <n v="77"/>
    <m/>
    <m/>
    <m/>
    <m/>
    <s v="Unknown"/>
    <s v="UNK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4"/>
    <n v="9338"/>
    <s v="Chinook salmon"/>
    <s v="Fall"/>
    <s v="CWT and PIT Sample"/>
    <s v="LIVE"/>
    <n v="1"/>
    <n v="20"/>
    <n v="0"/>
    <n v="6"/>
    <m/>
    <x v="3"/>
    <n v="72"/>
    <m/>
    <n v="92075"/>
    <n v="42"/>
    <s v="Decoded"/>
    <s v="Female"/>
    <s v="AD"/>
    <n v="0"/>
    <n v="128939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5"/>
    <n v="9339"/>
    <s v="Chinook salmon"/>
    <s v="Fall"/>
    <s v="CWT and PIT Sample"/>
    <s v="LIVE"/>
    <n v="1"/>
    <n v="20"/>
    <n v="0"/>
    <n v="6"/>
    <m/>
    <x v="1"/>
    <n v="65"/>
    <m/>
    <n v="92075"/>
    <n v="42"/>
    <s v="Decoded"/>
    <s v="Female"/>
    <s v="AD"/>
    <n v="0"/>
    <n v="128938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6"/>
    <n v="9340"/>
    <s v="Chinook salmon"/>
    <s v="Fall"/>
    <s v="CWT and PIT Sample"/>
    <s v="LIVE"/>
    <n v="1"/>
    <n v="20"/>
    <n v="0"/>
    <n v="6"/>
    <m/>
    <x v="3"/>
    <n v="70"/>
    <m/>
    <n v="92075"/>
    <n v="42"/>
    <s v="Decoded"/>
    <s v="Female"/>
    <s v="AD"/>
    <n v="0"/>
    <n v="128937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7"/>
    <n v="9341"/>
    <s v="Chinook salmon"/>
    <s v="Fall"/>
    <s v="CWT and PIT Sample"/>
    <s v="LIVE"/>
    <n v="1"/>
    <n v="20"/>
    <n v="0"/>
    <n v="6"/>
    <m/>
    <x v="4"/>
    <n v="73"/>
    <m/>
    <n v="92075"/>
    <n v="42"/>
    <s v="Decoded"/>
    <s v="Female"/>
    <s v="AD"/>
    <n v="0"/>
    <n v="128936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8"/>
    <n v="9342"/>
    <s v="Chinook salmon"/>
    <s v="Fall"/>
    <s v="CWT and PIT Sample"/>
    <s v="LIVE"/>
    <n v="1"/>
    <n v="20"/>
    <n v="0"/>
    <n v="6"/>
    <m/>
    <x v="3"/>
    <n v="82"/>
    <m/>
    <n v="92075"/>
    <n v="42"/>
    <s v="Decoded"/>
    <s v="Female"/>
    <s v="AD"/>
    <n v="0"/>
    <n v="128935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9"/>
    <n v="9343"/>
    <s v="Chinook salmon"/>
    <s v="Fall"/>
    <s v="CWT and PIT Sample"/>
    <s v="LIVE"/>
    <n v="1"/>
    <n v="20"/>
    <n v="0"/>
    <n v="6"/>
    <m/>
    <x v="2"/>
    <n v="65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0"/>
    <n v="9344"/>
    <s v="Chinook salmon"/>
    <s v="Fall"/>
    <s v="CWT and PIT Sample"/>
    <s v="LIVE"/>
    <n v="1"/>
    <n v="20"/>
    <n v="0"/>
    <n v="6"/>
    <m/>
    <x v="0"/>
    <n v="73"/>
    <m/>
    <m/>
    <m/>
    <m/>
    <s v="Fe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1"/>
    <n v="9345"/>
    <s v="Chinook salmon"/>
    <s v="Fall"/>
    <s v="CWT and PIT Sample"/>
    <s v="LIVE"/>
    <n v="1"/>
    <n v="20"/>
    <n v="0"/>
    <n v="6"/>
    <m/>
    <x v="1"/>
    <n v="74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2"/>
    <n v="9346"/>
    <s v="Chinook salmon"/>
    <s v="Fall"/>
    <s v="CWT and PIT Sample"/>
    <s v="LIVE"/>
    <n v="1"/>
    <n v="20"/>
    <n v="0"/>
    <n v="6"/>
    <m/>
    <x v="2"/>
    <n v="68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3"/>
    <n v="9347"/>
    <s v="Chinook salmon"/>
    <s v="Fall"/>
    <s v="CWT and PIT Sample"/>
    <s v="LIVE"/>
    <n v="1"/>
    <n v="20"/>
    <n v="0"/>
    <n v="6"/>
    <m/>
    <x v="0"/>
    <n v="83"/>
    <m/>
    <m/>
    <m/>
    <m/>
    <s v="Fe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4"/>
    <n v="9348"/>
    <s v="Chinook salmon"/>
    <s v="Fall"/>
    <s v="CWT and PIT Sample"/>
    <s v="LIVE"/>
    <n v="1"/>
    <n v="20"/>
    <n v="0"/>
    <n v="6"/>
    <m/>
    <x v="5"/>
    <n v="80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5"/>
    <n v="9349"/>
    <s v="Chinook salmon"/>
    <s v="Fall"/>
    <s v="CWT and PIT Sample"/>
    <s v="LIVE"/>
    <n v="1"/>
    <n v="20"/>
    <n v="0"/>
    <n v="6"/>
    <m/>
    <x v="0"/>
    <n v="89"/>
    <m/>
    <m/>
    <m/>
    <m/>
    <s v="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6"/>
    <n v="9350"/>
    <s v="Chinook salmon"/>
    <s v="Fall"/>
    <s v="CWT and PIT Sample"/>
    <s v="LIVE"/>
    <n v="1"/>
    <n v="20"/>
    <n v="0"/>
    <n v="6"/>
    <m/>
    <x v="6"/>
    <n v="40"/>
    <m/>
    <m/>
    <m/>
    <m/>
    <s v="Jack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7"/>
    <n v="9351"/>
    <s v="Chinook salmon"/>
    <s v="Fall"/>
    <s v="CWT and PIT Sample"/>
    <s v="LIVE"/>
    <n v="1"/>
    <n v="20"/>
    <n v="0"/>
    <n v="6"/>
    <m/>
    <x v="3"/>
    <n v="71"/>
    <m/>
    <n v="92075"/>
    <n v="42"/>
    <s v="Decoded"/>
    <s v="Female"/>
    <s v="AD"/>
    <n v="0"/>
    <n v="128959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8"/>
    <n v="9352"/>
    <s v="Chinook salmon"/>
    <s v="Fall"/>
    <s v="CWT and PIT Sample"/>
    <s v="LIVE"/>
    <n v="1"/>
    <n v="20"/>
    <n v="0"/>
    <n v="6"/>
    <m/>
    <x v="5"/>
    <n v="95"/>
    <m/>
    <m/>
    <m/>
    <m/>
    <s v="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19"/>
    <n v="9353"/>
    <s v="Chinook salmon"/>
    <s v="Fall"/>
    <s v="CWT and PIT Sample"/>
    <s v="LIVE"/>
    <n v="1"/>
    <n v="20"/>
    <n v="0"/>
    <n v="6"/>
    <m/>
    <x v="5"/>
    <n v="80"/>
    <m/>
    <m/>
    <m/>
    <m/>
    <s v="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47"/>
    <n v="20"/>
    <n v="9354"/>
    <s v="Chinook salmon"/>
    <s v="Fall"/>
    <s v="CWT and PIT Sample"/>
    <s v="LIVE"/>
    <n v="1"/>
    <n v="20"/>
    <n v="0"/>
    <n v="6"/>
    <m/>
    <x v="5"/>
    <n v="77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"/>
    <n v="9319"/>
    <s v="Chinook salmon"/>
    <s v="Fall"/>
    <s v="CWT and PIT Sample"/>
    <s v="LIVE"/>
    <n v="1"/>
    <n v="16"/>
    <n v="0"/>
    <n v="8"/>
    <m/>
    <x v="3"/>
    <n v="72"/>
    <m/>
    <n v="92075"/>
    <n v="42"/>
    <s v="Decoded"/>
    <s v="Female"/>
    <s v="AD"/>
    <n v="0"/>
    <n v="128934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2"/>
    <n v="9320"/>
    <s v="Chinook salmon"/>
    <s v="Fall"/>
    <s v="CWT and PIT Sample"/>
    <s v="LIVE"/>
    <n v="1"/>
    <n v="16"/>
    <n v="0"/>
    <n v="8"/>
    <m/>
    <x v="3"/>
    <n v="75"/>
    <m/>
    <n v="92075"/>
    <n v="42"/>
    <s v="Decoded"/>
    <s v="Female"/>
    <s v="AD"/>
    <n v="0"/>
    <n v="128933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3"/>
    <n v="9321"/>
    <s v="Chinook salmon"/>
    <s v="Fall"/>
    <s v="CWT and PIT Sample"/>
    <s v="LIVE"/>
    <n v="1"/>
    <n v="16"/>
    <n v="0"/>
    <n v="8"/>
    <m/>
    <x v="5"/>
    <n v="86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4"/>
    <n v="9322"/>
    <s v="Chinook salmon"/>
    <s v="Fall"/>
    <s v="CWT and PIT Sample"/>
    <s v="LIVE"/>
    <n v="1"/>
    <n v="16"/>
    <n v="0"/>
    <n v="8"/>
    <m/>
    <x v="1"/>
    <n v="67"/>
    <m/>
    <m/>
    <m/>
    <m/>
    <s v="Fe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5"/>
    <n v="9323"/>
    <s v="Chinook salmon"/>
    <s v="Fall"/>
    <s v="CWT and PIT Sample"/>
    <s v="LIVE"/>
    <n v="1"/>
    <n v="16"/>
    <n v="0"/>
    <n v="8"/>
    <m/>
    <x v="0"/>
    <n v="82"/>
    <m/>
    <n v="92064"/>
    <n v="41"/>
    <s v="Decoded"/>
    <s v="Female"/>
    <s v="AD"/>
    <n v="0"/>
    <n v="128932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6"/>
    <n v="9324"/>
    <s v="Chinook salmon"/>
    <s v="Fall"/>
    <s v="CWT and PIT Sample"/>
    <s v="LIVE"/>
    <n v="1"/>
    <n v="16"/>
    <n v="0"/>
    <n v="8"/>
    <m/>
    <x v="3"/>
    <n v="60"/>
    <m/>
    <n v="92075"/>
    <n v="42"/>
    <s v="Decoded"/>
    <s v="Female"/>
    <s v="AD"/>
    <n v="0"/>
    <n v="128931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7"/>
    <n v="9325"/>
    <s v="Chinook salmon"/>
    <s v="Fall"/>
    <s v="CWT and PIT Sample"/>
    <s v="LIVE"/>
    <n v="1"/>
    <n v="16"/>
    <n v="0"/>
    <n v="8"/>
    <m/>
    <x v="1"/>
    <n v="61"/>
    <m/>
    <n v="92075"/>
    <n v="42"/>
    <s v="Decoded"/>
    <s v="Male"/>
    <s v="AD"/>
    <n v="0"/>
    <n v="128927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8"/>
    <n v="9326"/>
    <s v="Chinook salmon"/>
    <s v="Fall"/>
    <s v="CWT and PIT Sample"/>
    <s v="LIVE"/>
    <n v="1"/>
    <n v="16"/>
    <n v="0"/>
    <n v="8"/>
    <m/>
    <x v="0"/>
    <n v="80"/>
    <m/>
    <m/>
    <m/>
    <m/>
    <s v="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9"/>
    <n v="9327"/>
    <s v="Chinook salmon"/>
    <s v="Fall"/>
    <s v="CWT and PIT Sample"/>
    <s v="LIVE"/>
    <n v="1"/>
    <n v="16"/>
    <n v="0"/>
    <n v="8"/>
    <m/>
    <x v="0"/>
    <n v="87"/>
    <m/>
    <m/>
    <m/>
    <m/>
    <s v="Fe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0"/>
    <n v="9328"/>
    <s v="Chinook salmon"/>
    <s v="Fall"/>
    <s v="CWT and PIT Sample"/>
    <s v="LIVE"/>
    <n v="1"/>
    <n v="16"/>
    <n v="0"/>
    <n v="8"/>
    <m/>
    <x v="3"/>
    <n v="72"/>
    <m/>
    <n v="92075"/>
    <n v="42"/>
    <s v="Decoded"/>
    <s v="Female"/>
    <s v="AD"/>
    <n v="0"/>
    <n v="128928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1"/>
    <n v="9329"/>
    <s v="Chinook salmon"/>
    <s v="Fall"/>
    <s v="CWT and PIT Sample"/>
    <s v="LIVE"/>
    <n v="1"/>
    <n v="16"/>
    <n v="0"/>
    <n v="8"/>
    <m/>
    <x v="0"/>
    <n v="68"/>
    <m/>
    <m/>
    <m/>
    <m/>
    <s v="Fe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2"/>
    <n v="9330"/>
    <s v="Chinook salmon"/>
    <s v="Fall"/>
    <s v="CWT and PIT Sample"/>
    <s v="LIVE"/>
    <n v="1"/>
    <n v="16"/>
    <n v="0"/>
    <n v="8"/>
    <m/>
    <x v="3"/>
    <n v="70"/>
    <m/>
    <n v="92075"/>
    <n v="42"/>
    <s v="Decoded"/>
    <s v="Female"/>
    <s v="AD"/>
    <n v="0"/>
    <n v="128930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3"/>
    <n v="9331"/>
    <s v="Chinook salmon"/>
    <s v="Fall"/>
    <s v="CWT and PIT Sample"/>
    <s v="LIVE"/>
    <n v="1"/>
    <n v="16"/>
    <n v="0"/>
    <n v="8"/>
    <m/>
    <x v="1"/>
    <n v="88"/>
    <m/>
    <n v="91670"/>
    <n v="52"/>
    <s v="Decoded"/>
    <s v="Female"/>
    <s v="AD"/>
    <n v="0"/>
    <n v="128929"/>
    <m/>
    <m/>
    <m/>
    <m/>
    <m/>
    <m/>
    <m/>
    <m/>
    <m/>
    <m/>
    <s v="Yes"/>
    <s v="Hatchery unknown"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4"/>
    <n v="9332"/>
    <s v="Chinook salmon"/>
    <s v="Fall"/>
    <s v="CWT and PIT Sample"/>
    <s v="LIVE"/>
    <n v="1"/>
    <n v="16"/>
    <n v="0"/>
    <n v="8"/>
    <m/>
    <x v="1"/>
    <n v="73"/>
    <m/>
    <m/>
    <m/>
    <m/>
    <s v="Female"/>
    <s v="AD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5"/>
    <n v="9333"/>
    <s v="Chinook salmon"/>
    <s v="Fall"/>
    <s v="CWT and PIT Sample"/>
    <s v="LIVE"/>
    <n v="1"/>
    <n v="16"/>
    <n v="0"/>
    <n v="8"/>
    <m/>
    <x v="0"/>
    <n v="81"/>
    <m/>
    <m/>
    <m/>
    <m/>
    <s v="Female"/>
    <s v="UM"/>
    <s v="blank"/>
    <m/>
    <m/>
    <m/>
    <m/>
    <m/>
    <m/>
    <m/>
    <m/>
    <m/>
    <m/>
    <m/>
    <s v="Yes"/>
    <m/>
  </r>
  <r>
    <d v="2025-10-12T00:00:00"/>
    <n v="2025"/>
    <s v="Freshwater Sport"/>
    <s v="Yakima River"/>
    <s v="Yakima River Sport Fishery"/>
    <s v="Yakima River Sport Fishery"/>
    <m/>
    <s v="Clark,D "/>
    <m/>
    <s v="Harvested"/>
    <n v="27452"/>
    <n v="16"/>
    <n v="9334"/>
    <s v="Chinook salmon"/>
    <s v="Fall"/>
    <s v="CWT and PIT Sample"/>
    <s v="LIVE"/>
    <n v="1"/>
    <n v="16"/>
    <n v="0"/>
    <n v="8"/>
    <m/>
    <x v="3"/>
    <n v="82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1"/>
    <n v="9310"/>
    <s v="Chinook salmon"/>
    <s v="Fall"/>
    <s v="CWT and PIT Sample"/>
    <s v="LIVE"/>
    <n v="1"/>
    <n v="7"/>
    <n v="0"/>
    <n v="0"/>
    <m/>
    <x v="0"/>
    <n v="77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2"/>
    <n v="9311"/>
    <s v="Chinook salmon"/>
    <s v="Fall"/>
    <s v="CWT and PIT Sample"/>
    <s v="LIVE"/>
    <n v="1"/>
    <n v="7"/>
    <n v="0"/>
    <n v="0"/>
    <m/>
    <x v="0"/>
    <n v="75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3"/>
    <n v="9312"/>
    <s v="Chinook salmon"/>
    <s v="Fall"/>
    <s v="CWT and PIT Sample"/>
    <s v="LIVE"/>
    <n v="1"/>
    <n v="7"/>
    <n v="0"/>
    <n v="0"/>
    <m/>
    <x v="0"/>
    <n v="73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4"/>
    <n v="9313"/>
    <s v="Chinook salmon"/>
    <s v="Fall"/>
    <s v="CWT and PIT Sample"/>
    <s v="LIVE"/>
    <n v="1"/>
    <n v="7"/>
    <n v="0"/>
    <n v="0"/>
    <m/>
    <x v="0"/>
    <n v="74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5"/>
    <n v="9314"/>
    <s v="Chinook salmon"/>
    <s v="Fall"/>
    <s v="CWT and PIT Sample"/>
    <s v="LIVE"/>
    <n v="1"/>
    <n v="7"/>
    <n v="0"/>
    <n v="0"/>
    <m/>
    <x v="2"/>
    <n v="63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6"/>
    <n v="9315"/>
    <s v="Chinook salmon"/>
    <s v="Fall"/>
    <s v="CWT and PIT Sample"/>
    <s v="LIVE"/>
    <n v="1"/>
    <n v="7"/>
    <n v="0"/>
    <n v="0"/>
    <m/>
    <x v="2"/>
    <n v="68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49"/>
    <n v="7"/>
    <n v="9316"/>
    <s v="Chinook salmon"/>
    <s v="Fall"/>
    <s v="CWT and PIT Sample"/>
    <s v="LIVE"/>
    <n v="1"/>
    <n v="7"/>
    <n v="0"/>
    <n v="0"/>
    <m/>
    <x v="0"/>
    <n v="77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"/>
    <n v="9290"/>
    <s v="Chinook salmon"/>
    <s v="Fall"/>
    <s v="CWT and PIT Sample"/>
    <s v="LIVE"/>
    <n v="1"/>
    <n v="20"/>
    <n v="0"/>
    <n v="4"/>
    <m/>
    <x v="0"/>
    <n v="85"/>
    <m/>
    <m/>
    <m/>
    <m/>
    <s v="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2"/>
    <n v="9291"/>
    <s v="Chinook salmon"/>
    <s v="Fall"/>
    <s v="CWT and PIT Sample"/>
    <s v="LIVE"/>
    <n v="1"/>
    <n v="20"/>
    <n v="0"/>
    <n v="4"/>
    <m/>
    <x v="0"/>
    <n v="76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3"/>
    <n v="9292"/>
    <s v="Chinook salmon"/>
    <s v="Fall"/>
    <s v="CWT and PIT Sample"/>
    <s v="LIVE"/>
    <n v="1"/>
    <n v="20"/>
    <n v="0"/>
    <n v="4"/>
    <m/>
    <x v="1"/>
    <n v="58"/>
    <m/>
    <m/>
    <m/>
    <m/>
    <s v="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4"/>
    <n v="9293"/>
    <s v="Chinook salmon"/>
    <s v="Fall"/>
    <s v="CWT and PIT Sample"/>
    <s v="LIVE"/>
    <n v="1"/>
    <n v="20"/>
    <n v="0"/>
    <n v="4"/>
    <m/>
    <x v="0"/>
    <n v="73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5"/>
    <n v="9294"/>
    <s v="Chinook salmon"/>
    <s v="Fall"/>
    <s v="CWT and PIT Sample"/>
    <s v="LIVE"/>
    <n v="1"/>
    <n v="20"/>
    <n v="0"/>
    <n v="4"/>
    <m/>
    <x v="1"/>
    <n v="72"/>
    <m/>
    <n v="91504"/>
    <n v="62"/>
    <s v="Decoded"/>
    <s v="Male"/>
    <s v="AD"/>
    <n v="0"/>
    <n v="133191"/>
    <m/>
    <m/>
    <m/>
    <m/>
    <m/>
    <m/>
    <m/>
    <m/>
    <m/>
    <m/>
    <s v="Yes"/>
    <s v="Hatchery unknown"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6"/>
    <n v="9295"/>
    <s v="Chinook salmon"/>
    <s v="Fall"/>
    <s v="CWT and PIT Sample"/>
    <s v="LIVE"/>
    <n v="1"/>
    <n v="20"/>
    <n v="0"/>
    <n v="4"/>
    <m/>
    <x v="0"/>
    <n v="82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7"/>
    <n v="9296"/>
    <s v="Chinook salmon"/>
    <s v="Fall"/>
    <s v="CWT and PIT Sample"/>
    <s v="LIVE"/>
    <n v="1"/>
    <n v="20"/>
    <n v="0"/>
    <n v="4"/>
    <m/>
    <x v="0"/>
    <n v="83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8"/>
    <n v="9297"/>
    <s v="Chinook salmon"/>
    <s v="Fall"/>
    <s v="CWT and PIT Sample"/>
    <s v="LIVE"/>
    <n v="1"/>
    <n v="20"/>
    <n v="0"/>
    <n v="4"/>
    <m/>
    <x v="3"/>
    <n v="75"/>
    <m/>
    <n v="92075"/>
    <n v="42"/>
    <s v="Decoded"/>
    <s v="Female"/>
    <s v="AD"/>
    <n v="0"/>
    <n v="127734"/>
    <m/>
    <m/>
    <m/>
    <m/>
    <m/>
    <m/>
    <m/>
    <m/>
    <m/>
    <m/>
    <s v="Yes"/>
    <s v="Hatchery unknown"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9"/>
    <n v="9298"/>
    <s v="Chinook salmon"/>
    <s v="Fall"/>
    <s v="CWT and PIT Sample"/>
    <s v="LIVE"/>
    <n v="1"/>
    <n v="20"/>
    <n v="0"/>
    <n v="4"/>
    <m/>
    <x v="0"/>
    <n v="73"/>
    <m/>
    <m/>
    <m/>
    <m/>
    <s v="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0"/>
    <n v="9299"/>
    <s v="Chinook salmon"/>
    <s v="Fall"/>
    <s v="CWT and PIT Sample"/>
    <s v="LIVE"/>
    <n v="1"/>
    <n v="20"/>
    <n v="0"/>
    <n v="4"/>
    <m/>
    <x v="2"/>
    <n v="70"/>
    <m/>
    <m/>
    <m/>
    <m/>
    <s v="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1"/>
    <n v="9300"/>
    <s v="Chinook salmon"/>
    <s v="Fall"/>
    <s v="CWT and PIT Sample"/>
    <s v="LIVE"/>
    <n v="1"/>
    <n v="20"/>
    <n v="0"/>
    <n v="4"/>
    <m/>
    <x v="2"/>
    <n v="65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2"/>
    <n v="9301"/>
    <s v="Chinook salmon"/>
    <s v="Fall"/>
    <s v="CWT and PIT Sample"/>
    <s v="LIVE"/>
    <n v="1"/>
    <n v="20"/>
    <n v="0"/>
    <n v="4"/>
    <m/>
    <x v="3"/>
    <n v="79"/>
    <m/>
    <n v="92075"/>
    <n v="42"/>
    <s v="Decoded"/>
    <s v="Female"/>
    <s v="AD"/>
    <n v="0"/>
    <n v="130813"/>
    <m/>
    <m/>
    <m/>
    <m/>
    <m/>
    <m/>
    <m/>
    <m/>
    <m/>
    <m/>
    <s v="Yes"/>
    <s v="Hatchery unknown"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3"/>
    <n v="9302"/>
    <s v="Chinook salmon"/>
    <s v="Fall"/>
    <s v="CWT and PIT Sample"/>
    <s v="LIVE"/>
    <n v="1"/>
    <n v="20"/>
    <n v="0"/>
    <n v="4"/>
    <m/>
    <x v="0"/>
    <n v="81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4"/>
    <n v="9303"/>
    <s v="Chinook salmon"/>
    <s v="Fall"/>
    <s v="CWT and PIT Sample"/>
    <s v="LIVE"/>
    <n v="1"/>
    <n v="20"/>
    <n v="0"/>
    <n v="4"/>
    <m/>
    <x v="0"/>
    <n v="78"/>
    <m/>
    <m/>
    <m/>
    <m/>
    <s v="Fe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5"/>
    <n v="9304"/>
    <s v="Chinook salmon"/>
    <s v="Fall"/>
    <s v="CWT and PIT Sample"/>
    <s v="LIVE"/>
    <n v="1"/>
    <n v="20"/>
    <n v="0"/>
    <n v="4"/>
    <m/>
    <x v="3"/>
    <n v="83"/>
    <m/>
    <n v="92075"/>
    <n v="42"/>
    <s v="Decoded"/>
    <s v="Female"/>
    <s v="AD"/>
    <n v="0"/>
    <n v="130768"/>
    <m/>
    <m/>
    <m/>
    <m/>
    <m/>
    <m/>
    <m/>
    <m/>
    <m/>
    <m/>
    <s v="Yes"/>
    <s v="Hatchery unknown"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6"/>
    <n v="9305"/>
    <s v="Chinook salmon"/>
    <s v="Fall"/>
    <s v="CWT and PIT Sample"/>
    <s v="LIVE"/>
    <n v="1"/>
    <n v="20"/>
    <n v="0"/>
    <n v="4"/>
    <m/>
    <x v="4"/>
    <n v="84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7"/>
    <n v="9306"/>
    <s v="Chinook salmon"/>
    <s v="Fall"/>
    <s v="CWT and PIT Sample"/>
    <s v="LIVE"/>
    <n v="1"/>
    <n v="20"/>
    <n v="0"/>
    <n v="4"/>
    <m/>
    <x v="3"/>
    <n v="77"/>
    <m/>
    <m/>
    <m/>
    <m/>
    <s v="Female"/>
    <s v="AD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8"/>
    <n v="9307"/>
    <s v="Chinook salmon"/>
    <s v="Fall"/>
    <s v="CWT and PIT Sample"/>
    <s v="LIVE"/>
    <n v="1"/>
    <n v="20"/>
    <n v="0"/>
    <n v="4"/>
    <m/>
    <x v="0"/>
    <n v="68"/>
    <m/>
    <m/>
    <m/>
    <m/>
    <s v="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19"/>
    <n v="9308"/>
    <s v="Chinook salmon"/>
    <s v="Fall"/>
    <s v="CWT and PIT Sample"/>
    <s v="LIVE"/>
    <n v="1"/>
    <n v="20"/>
    <n v="0"/>
    <n v="4"/>
    <m/>
    <x v="0"/>
    <n v="85"/>
    <m/>
    <m/>
    <m/>
    <m/>
    <s v="Male"/>
    <s v="UM"/>
    <s v="blank"/>
    <m/>
    <m/>
    <m/>
    <m/>
    <m/>
    <m/>
    <m/>
    <m/>
    <m/>
    <m/>
    <m/>
    <s v="Yes"/>
    <m/>
  </r>
  <r>
    <d v="2025-10-19T00:00:00"/>
    <n v="2025"/>
    <s v="Freshwater Sport"/>
    <s v="Yakima River"/>
    <s v="Yakima River Sport Fishery"/>
    <s v="Yakima River Sport Fishery"/>
    <m/>
    <s v="Clark,D "/>
    <m/>
    <s v="Harvested"/>
    <n v="27450"/>
    <n v="20"/>
    <n v="9309"/>
    <s v="Chinook salmon"/>
    <s v="Fall"/>
    <s v="CWT and PIT Sample"/>
    <s v="LIVE"/>
    <n v="1"/>
    <n v="20"/>
    <n v="0"/>
    <n v="4"/>
    <m/>
    <x v="0"/>
    <n v="67"/>
    <m/>
    <m/>
    <m/>
    <m/>
    <s v="Male"/>
    <s v="UM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1"/>
    <n v="9557"/>
    <s v="Chinook salmon"/>
    <s v="Fall"/>
    <s v="CWT and PIT Sample"/>
    <s v="LIVE"/>
    <n v="1"/>
    <n v="14"/>
    <n v="0"/>
    <n v="2"/>
    <m/>
    <x v="0"/>
    <n v="80"/>
    <m/>
    <m/>
    <m/>
    <m/>
    <s v="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2"/>
    <n v="9558"/>
    <s v="Chinook salmon"/>
    <s v="Fall"/>
    <s v="CWT and PIT Sample"/>
    <s v="LIVE"/>
    <n v="1"/>
    <n v="14"/>
    <n v="0"/>
    <n v="2"/>
    <m/>
    <x v="2"/>
    <n v="65"/>
    <m/>
    <m/>
    <m/>
    <m/>
    <s v="Fe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3"/>
    <n v="9559"/>
    <s v="Chinook salmon"/>
    <s v="Fall"/>
    <s v="CWT and PIT Sample"/>
    <s v="LIVE"/>
    <n v="1"/>
    <n v="14"/>
    <n v="0"/>
    <n v="2"/>
    <m/>
    <x v="2"/>
    <n v="60"/>
    <m/>
    <m/>
    <m/>
    <m/>
    <s v="Fe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4"/>
    <n v="9560"/>
    <s v="Chinook salmon"/>
    <s v="Fall"/>
    <s v="CWT and PIT Sample"/>
    <s v="LIVE"/>
    <n v="1"/>
    <n v="14"/>
    <n v="0"/>
    <n v="2"/>
    <m/>
    <x v="6"/>
    <n v="48"/>
    <m/>
    <m/>
    <m/>
    <m/>
    <s v="Fe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5"/>
    <n v="9561"/>
    <s v="Chinook salmon"/>
    <s v="Fall"/>
    <s v="CWT and PIT Sample"/>
    <s v="LIVE"/>
    <n v="1"/>
    <n v="14"/>
    <n v="0"/>
    <n v="2"/>
    <m/>
    <x v="5"/>
    <n v="80"/>
    <m/>
    <m/>
    <m/>
    <m/>
    <s v="Fe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6"/>
    <n v="9562"/>
    <s v="Chinook salmon"/>
    <s v="Fall"/>
    <s v="CWT and PIT Sample"/>
    <s v="LIVE"/>
    <n v="1"/>
    <n v="14"/>
    <n v="0"/>
    <n v="2"/>
    <m/>
    <x v="5"/>
    <n v="80"/>
    <m/>
    <m/>
    <m/>
    <m/>
    <s v="Female"/>
    <s v="UM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7"/>
    <n v="9563"/>
    <s v="Chinook salmon"/>
    <s v="Fall"/>
    <s v="CWT and PIT Sample"/>
    <s v="LIVE"/>
    <n v="1"/>
    <n v="14"/>
    <n v="0"/>
    <n v="2"/>
    <m/>
    <x v="0"/>
    <n v="74"/>
    <m/>
    <m/>
    <m/>
    <m/>
    <s v="Female"/>
    <s v="UM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8"/>
    <n v="9564"/>
    <s v="Chinook salmon"/>
    <s v="Fall"/>
    <s v="CWT and PIT Sample"/>
    <s v="LIVE"/>
    <n v="1"/>
    <n v="14"/>
    <n v="0"/>
    <n v="2"/>
    <m/>
    <x v="3"/>
    <n v="74"/>
    <m/>
    <n v="92075"/>
    <n v="42"/>
    <s v="Decoded"/>
    <s v="Female"/>
    <s v="AD"/>
    <n v="0"/>
    <n v="130809"/>
    <m/>
    <m/>
    <m/>
    <m/>
    <m/>
    <m/>
    <m/>
    <m/>
    <m/>
    <m/>
    <s v="Yes"/>
    <s v="Hatchery unknown"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9"/>
    <n v="9565"/>
    <s v="Chinook salmon"/>
    <s v="Fall"/>
    <s v="CWT and PIT Sample"/>
    <s v="LIVE"/>
    <n v="1"/>
    <n v="14"/>
    <n v="0"/>
    <n v="2"/>
    <m/>
    <x v="1"/>
    <n v="75"/>
    <m/>
    <m/>
    <m/>
    <m/>
    <s v="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10"/>
    <n v="9566"/>
    <s v="Chinook salmon"/>
    <s v="Fall"/>
    <s v="CWT and PIT Sample"/>
    <s v="LIVE"/>
    <n v="1"/>
    <n v="14"/>
    <n v="0"/>
    <n v="2"/>
    <m/>
    <x v="2"/>
    <n v="71"/>
    <m/>
    <m/>
    <m/>
    <m/>
    <s v="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11"/>
    <n v="9567"/>
    <s v="Chinook salmon"/>
    <s v="Fall"/>
    <s v="CWT and PIT Sample"/>
    <s v="LIVE"/>
    <n v="1"/>
    <n v="14"/>
    <n v="0"/>
    <n v="2"/>
    <m/>
    <x v="3"/>
    <n v="73"/>
    <m/>
    <n v="92075"/>
    <n v="42"/>
    <s v="Decoded"/>
    <s v="Female"/>
    <s v="AD"/>
    <n v="0"/>
    <n v="130812"/>
    <m/>
    <m/>
    <m/>
    <m/>
    <m/>
    <m/>
    <m/>
    <m/>
    <m/>
    <m/>
    <s v="Yes"/>
    <s v="Hatchery unknown"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12"/>
    <n v="9568"/>
    <s v="Chinook salmon"/>
    <s v="Fall"/>
    <s v="CWT and PIT Sample"/>
    <s v="LIVE"/>
    <n v="1"/>
    <n v="14"/>
    <n v="0"/>
    <n v="2"/>
    <m/>
    <x v="1"/>
    <n v="74"/>
    <m/>
    <m/>
    <m/>
    <m/>
    <s v="Female"/>
    <s v="UM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13"/>
    <n v="9569"/>
    <s v="Chinook salmon"/>
    <s v="Fall"/>
    <s v="CWT and PIT Sample"/>
    <s v="LIVE"/>
    <n v="1"/>
    <n v="14"/>
    <n v="0"/>
    <n v="2"/>
    <m/>
    <x v="0"/>
    <n v="63"/>
    <m/>
    <m/>
    <m/>
    <m/>
    <s v="Female"/>
    <s v="AD"/>
    <s v="blank"/>
    <m/>
    <m/>
    <m/>
    <m/>
    <m/>
    <m/>
    <m/>
    <m/>
    <m/>
    <m/>
    <m/>
    <s v="Yes"/>
    <m/>
  </r>
  <r>
    <d v="2025-10-26T00:00:00"/>
    <n v="2025"/>
    <s v="Freshwater Sport"/>
    <s v="Yakima River"/>
    <s v="Yakima River Sport Fishery"/>
    <s v="Yakima River Sport Fishery"/>
    <m/>
    <s v="Clark,D "/>
    <m/>
    <s v="Harvested"/>
    <n v="27301"/>
    <n v="14"/>
    <n v="9570"/>
    <s v="Chinook salmon"/>
    <s v="Fall"/>
    <s v="CWT and PIT Sample"/>
    <s v="LIVE"/>
    <n v="1"/>
    <n v="14"/>
    <n v="0"/>
    <n v="2"/>
    <m/>
    <x v="0"/>
    <n v="83"/>
    <m/>
    <m/>
    <m/>
    <m/>
    <s v="Female"/>
    <s v="UM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3"/>
    <n v="9532"/>
    <s v="Chinook salmon"/>
    <s v="Fall"/>
    <s v="CWT and PIT Sample"/>
    <s v="LIVE"/>
    <n v="1"/>
    <n v="10"/>
    <n v="0"/>
    <n v="4"/>
    <s v="moved pos 1 and 2 to sc 27303a was coho"/>
    <x v="7"/>
    <n v="72"/>
    <m/>
    <n v="92075"/>
    <n v="42"/>
    <s v="Decoded"/>
    <s v="Female"/>
    <s v="AD"/>
    <n v="0"/>
    <n v="128811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4"/>
    <n v="9533"/>
    <s v="Chinook salmon"/>
    <s v="Fall"/>
    <s v="CWT and PIT Sample"/>
    <s v="LIVE"/>
    <n v="1"/>
    <n v="10"/>
    <n v="0"/>
    <n v="4"/>
    <s v="moved pos 1 and 2 to sc 27303a was coho"/>
    <x v="7"/>
    <n v="63"/>
    <m/>
    <m/>
    <m/>
    <m/>
    <s v="Fe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5"/>
    <n v="9534"/>
    <s v="Chinook salmon"/>
    <s v="Fall"/>
    <s v="CWT and PIT Sample"/>
    <s v="LIVE"/>
    <n v="1"/>
    <n v="10"/>
    <n v="0"/>
    <n v="4"/>
    <s v="moved pos 1 and 2 to sc 27303a was coho"/>
    <x v="7"/>
    <n v="55"/>
    <m/>
    <m/>
    <m/>
    <m/>
    <s v="Fe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6"/>
    <n v="9535"/>
    <s v="Chinook salmon"/>
    <s v="Fall"/>
    <s v="CWT and PIT Sample"/>
    <s v="LIVE"/>
    <n v="1"/>
    <n v="10"/>
    <n v="0"/>
    <n v="4"/>
    <s v="moved pos 1 and 2 to sc 27303a was coho"/>
    <x v="7"/>
    <n v="79"/>
    <m/>
    <n v="91670"/>
    <n v="52"/>
    <s v="Decoded"/>
    <s v="Female"/>
    <s v="AD"/>
    <n v="0"/>
    <n v="130810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7"/>
    <n v="9536"/>
    <s v="Chinook salmon"/>
    <s v="Fall"/>
    <s v="CWT and PIT Sample"/>
    <s v="LIVE"/>
    <n v="1"/>
    <n v="10"/>
    <n v="0"/>
    <n v="4"/>
    <s v="moved pos 1 and 2 to sc 27303a was coho"/>
    <x v="7"/>
    <n v="70"/>
    <m/>
    <n v="92075"/>
    <n v="42"/>
    <s v="Decoded"/>
    <s v="Male"/>
    <s v="AD"/>
    <n v="0"/>
    <n v="130811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8"/>
    <n v="9537"/>
    <s v="Chinook salmon"/>
    <s v="Fall"/>
    <s v="CWT and PIT Sample"/>
    <s v="LIVE"/>
    <n v="1"/>
    <n v="10"/>
    <n v="0"/>
    <n v="4"/>
    <s v="moved pos 1 and 2 to sc 27303a was coho"/>
    <x v="7"/>
    <n v="76"/>
    <m/>
    <n v="92075"/>
    <n v="42"/>
    <s v="Decoded"/>
    <s v="Male"/>
    <s v="AD"/>
    <n v="0"/>
    <n v="128813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9"/>
    <n v="9538"/>
    <s v="Chinook salmon"/>
    <s v="Fall"/>
    <s v="CWT and PIT Sample"/>
    <s v="LIVE"/>
    <n v="1"/>
    <n v="10"/>
    <n v="0"/>
    <n v="4"/>
    <s v="moved pos 1 and 2 to sc 27303a was coho"/>
    <x v="7"/>
    <n v="62"/>
    <m/>
    <m/>
    <m/>
    <m/>
    <s v="Fe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03"/>
    <n v="10"/>
    <n v="9539"/>
    <s v="Chinook salmon"/>
    <s v="Fall"/>
    <s v="CWT and PIT Sample"/>
    <s v="LIVE"/>
    <n v="1"/>
    <n v="10"/>
    <n v="0"/>
    <n v="4"/>
    <s v="moved pos 1 and 2 to sc 27303a was coho"/>
    <x v="7"/>
    <n v="71"/>
    <m/>
    <m/>
    <m/>
    <m/>
    <s v="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"/>
    <n v="9540"/>
    <s v="Chinook salmon"/>
    <s v="Fall"/>
    <s v="CWT and PIT Sample"/>
    <s v="LIVE"/>
    <n v="1"/>
    <n v="15"/>
    <n v="0"/>
    <n v="7"/>
    <m/>
    <x v="3"/>
    <n v="75"/>
    <m/>
    <m/>
    <m/>
    <m/>
    <s v="Fe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2"/>
    <n v="9541"/>
    <s v="Chinook salmon"/>
    <s v="Fall"/>
    <s v="CWT and PIT Sample"/>
    <s v="LIVE"/>
    <n v="1"/>
    <n v="15"/>
    <n v="0"/>
    <n v="7"/>
    <m/>
    <x v="3"/>
    <n v="73"/>
    <m/>
    <n v="92075"/>
    <n v="42"/>
    <s v="Decoded"/>
    <s v="Male"/>
    <s v="AD"/>
    <n v="0"/>
    <n v="127735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3"/>
    <n v="9542"/>
    <s v="Chinook salmon"/>
    <s v="Fall"/>
    <s v="CWT and PIT Sample"/>
    <s v="LIVE"/>
    <n v="1"/>
    <n v="15"/>
    <n v="0"/>
    <n v="7"/>
    <m/>
    <x v="0"/>
    <n v="79"/>
    <m/>
    <m/>
    <m/>
    <m/>
    <s v="Fe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4"/>
    <n v="9543"/>
    <s v="Chinook salmon"/>
    <s v="Fall"/>
    <s v="CWT and PIT Sample"/>
    <s v="LIVE"/>
    <n v="1"/>
    <n v="15"/>
    <n v="0"/>
    <n v="7"/>
    <m/>
    <x v="3"/>
    <n v="80"/>
    <m/>
    <n v="92075"/>
    <n v="42"/>
    <s v="Decoded"/>
    <s v="Female"/>
    <s v="AD"/>
    <n v="0"/>
    <n v="127736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5"/>
    <n v="9544"/>
    <s v="Chinook salmon"/>
    <s v="Fall"/>
    <s v="CWT and PIT Sample"/>
    <s v="LIVE"/>
    <n v="1"/>
    <n v="15"/>
    <n v="0"/>
    <n v="7"/>
    <m/>
    <x v="4"/>
    <n v="74"/>
    <m/>
    <n v="91670"/>
    <n v="52"/>
    <s v="Decoded"/>
    <s v="Female"/>
    <s v="AD"/>
    <n v="0"/>
    <n v="130769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6"/>
    <n v="9545"/>
    <s v="Chinook salmon"/>
    <s v="Fall"/>
    <s v="CWT and PIT Sample"/>
    <s v="LIVE"/>
    <n v="1"/>
    <n v="15"/>
    <n v="0"/>
    <n v="7"/>
    <m/>
    <x v="3"/>
    <n v="74"/>
    <m/>
    <m/>
    <m/>
    <m/>
    <s v="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7"/>
    <n v="9546"/>
    <s v="Chinook salmon"/>
    <s v="Fall"/>
    <s v="CWT and PIT Sample"/>
    <s v="LIVE"/>
    <n v="1"/>
    <n v="15"/>
    <n v="0"/>
    <n v="7"/>
    <m/>
    <x v="0"/>
    <n v="76"/>
    <m/>
    <m/>
    <m/>
    <m/>
    <s v="Female"/>
    <s v="AD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8"/>
    <n v="9547"/>
    <s v="Chinook salmon"/>
    <s v="Fall"/>
    <s v="CWT and PIT Sample"/>
    <s v="LIVE"/>
    <n v="1"/>
    <n v="15"/>
    <n v="0"/>
    <n v="7"/>
    <m/>
    <x v="0"/>
    <n v="76"/>
    <m/>
    <n v="92075"/>
    <n v="42"/>
    <s v="Decoded"/>
    <s v="Male"/>
    <s v="AD"/>
    <n v="0"/>
    <n v="130771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9"/>
    <n v="9548"/>
    <s v="Chinook salmon"/>
    <s v="Fall"/>
    <s v="CWT and PIT Sample"/>
    <s v="LIVE"/>
    <n v="1"/>
    <n v="15"/>
    <n v="0"/>
    <n v="7"/>
    <m/>
    <x v="0"/>
    <n v="80"/>
    <m/>
    <m/>
    <m/>
    <m/>
    <s v="Male"/>
    <s v="UM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0"/>
    <n v="9549"/>
    <s v="Chinook salmon"/>
    <s v="Fall"/>
    <s v="CWT and PIT Sample"/>
    <s v="LIVE"/>
    <n v="1"/>
    <n v="15"/>
    <n v="0"/>
    <n v="7"/>
    <m/>
    <x v="3"/>
    <n v="67"/>
    <m/>
    <n v="92075"/>
    <n v="42"/>
    <s v="Decoded"/>
    <s v="Male"/>
    <s v="AD"/>
    <n v="0"/>
    <n v="128812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1"/>
    <n v="9550"/>
    <s v="Chinook salmon"/>
    <s v="Fall"/>
    <s v="CWT and PIT Sample"/>
    <s v="LIVE"/>
    <n v="1"/>
    <n v="15"/>
    <n v="0"/>
    <n v="7"/>
    <m/>
    <x v="1"/>
    <n v="72"/>
    <m/>
    <m/>
    <m/>
    <m/>
    <s v="Male"/>
    <s v="UM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2"/>
    <n v="9551"/>
    <s v="Chinook salmon"/>
    <s v="Fall"/>
    <s v="CWT and PIT Sample"/>
    <s v="LIVE"/>
    <n v="1"/>
    <n v="15"/>
    <n v="0"/>
    <n v="7"/>
    <m/>
    <x v="0"/>
    <n v="76"/>
    <m/>
    <m/>
    <m/>
    <m/>
    <s v="Female"/>
    <s v="UM"/>
    <s v="blank"/>
    <m/>
    <m/>
    <m/>
    <m/>
    <m/>
    <m/>
    <m/>
    <m/>
    <m/>
    <m/>
    <m/>
    <s v="Yes"/>
    <m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3"/>
    <n v="9552"/>
    <s v="Chinook salmon"/>
    <s v="Fall"/>
    <s v="CWT and PIT Sample"/>
    <s v="LIVE"/>
    <n v="1"/>
    <n v="15"/>
    <n v="0"/>
    <n v="7"/>
    <m/>
    <x v="3"/>
    <n v="65"/>
    <m/>
    <n v="92075"/>
    <n v="42"/>
    <s v="Decoded"/>
    <s v="Male"/>
    <s v="AD"/>
    <n v="0"/>
    <n v="128841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4"/>
    <n v="9553"/>
    <s v="Chinook salmon"/>
    <s v="Fall"/>
    <s v="CWT and PIT Sample"/>
    <s v="LIVE"/>
    <n v="1"/>
    <n v="15"/>
    <n v="0"/>
    <n v="7"/>
    <m/>
    <x v="3"/>
    <n v="71"/>
    <m/>
    <n v="91670"/>
    <n v="52"/>
    <s v="Decoded"/>
    <s v="Male"/>
    <s v="AD"/>
    <n v="0"/>
    <n v="128840"/>
    <m/>
    <m/>
    <m/>
    <m/>
    <m/>
    <m/>
    <m/>
    <m/>
    <m/>
    <m/>
    <s v="Yes"/>
    <s v="Hatchery unknown"/>
  </r>
  <r>
    <d v="2025-11-02T00:00:00"/>
    <n v="2025"/>
    <s v="Freshwater Sport"/>
    <s v="Yakima River"/>
    <s v="Yakima River Sport Fishery"/>
    <s v="Yakima River Sport Fishery"/>
    <m/>
    <s v="Schumacher,E;Clark,D "/>
    <m/>
    <s v="Harvested"/>
    <n v="27311"/>
    <n v="15"/>
    <n v="9554"/>
    <s v="Chinook salmon"/>
    <s v="Fall"/>
    <s v="CWT and PIT Sample"/>
    <s v="LIVE"/>
    <n v="1"/>
    <n v="15"/>
    <n v="0"/>
    <n v="7"/>
    <m/>
    <x v="2"/>
    <n v="71"/>
    <m/>
    <m/>
    <m/>
    <m/>
    <s v="Male"/>
    <s v="AD"/>
    <s v="blank"/>
    <m/>
    <m/>
    <m/>
    <m/>
    <m/>
    <m/>
    <m/>
    <m/>
    <m/>
    <m/>
    <m/>
    <s v="Yes"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A7A6A-6CCB-4A04-A57C-93D22BE19F0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2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6"/>
        <item x="2"/>
        <item x="0"/>
        <item x="3"/>
        <item x="5"/>
        <item x="4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cale_Age_Code" fld="22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73" dT="2025-11-19T20:46:20.76" personId="{DBED1097-E721-45B2-979B-F059E4687151}" id="{7ECB3CB8-0AFF-46CC-BB28-2ABB83BD7AA5}">
    <text>Steelhead HARVESTED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A236"/>
  <sheetViews>
    <sheetView tabSelected="1" topLeftCell="Z1" zoomScale="95" zoomScaleNormal="95" workbookViewId="0">
      <selection activeCell="AM18" sqref="AM18:AN18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5" width="8.83203125" style="15" customWidth="1"/>
    <col min="26" max="26" width="10.6640625" style="15" customWidth="1"/>
    <col min="27" max="27" width="10.33203125" style="15" customWidth="1"/>
    <col min="28" max="28" width="18.33203125" style="20" customWidth="1"/>
    <col min="29" max="29" width="25" style="15" bestFit="1" customWidth="1"/>
    <col min="30" max="30" width="12.83203125" style="15" customWidth="1"/>
    <col min="31" max="31" width="14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">
        <v>5258</v>
      </c>
      <c r="D2" s="16"/>
      <c r="E2" s="16"/>
      <c r="L2" s="366" t="s">
        <v>5252</v>
      </c>
    </row>
    <row r="3" spans="3:52" ht="16.5" thickBot="1" x14ac:dyDescent="0.3">
      <c r="C3" s="16"/>
      <c r="D3" s="16"/>
      <c r="E3" s="16"/>
      <c r="L3" s="13"/>
      <c r="AB3" s="214" t="s">
        <v>5230</v>
      </c>
    </row>
    <row r="4" spans="3:52" ht="16.5" thickBot="1" x14ac:dyDescent="0.3">
      <c r="D4" s="16"/>
      <c r="E4" s="415" t="s">
        <v>596</v>
      </c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4"/>
      <c r="AC4" s="415" t="s">
        <v>5220</v>
      </c>
      <c r="AD4" s="413"/>
      <c r="AE4" s="414"/>
      <c r="AG4" s="411" t="s">
        <v>5224</v>
      </c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3"/>
      <c r="AT4" s="413"/>
      <c r="AU4" s="413"/>
      <c r="AV4" s="413"/>
      <c r="AW4" s="413"/>
      <c r="AX4" s="413"/>
      <c r="AY4" s="413"/>
      <c r="AZ4" s="414"/>
    </row>
    <row r="5" spans="3:52" ht="16.5" thickBot="1" x14ac:dyDescent="0.3">
      <c r="E5" s="165"/>
      <c r="F5" s="22"/>
      <c r="G5" s="337"/>
      <c r="H5" s="434" t="s">
        <v>5245</v>
      </c>
      <c r="I5" s="428"/>
      <c r="J5" s="428"/>
      <c r="K5" s="428"/>
      <c r="L5" s="428"/>
      <c r="M5" s="429"/>
      <c r="N5" s="428" t="s">
        <v>10</v>
      </c>
      <c r="O5" s="428"/>
      <c r="P5" s="428"/>
      <c r="Q5" s="428"/>
      <c r="R5" s="428"/>
      <c r="S5" s="428"/>
      <c r="T5" s="441" t="s">
        <v>6</v>
      </c>
      <c r="U5" s="449"/>
      <c r="V5" s="417" t="s">
        <v>33</v>
      </c>
      <c r="W5" s="417"/>
      <c r="X5" s="417"/>
      <c r="Y5" s="417"/>
      <c r="Z5" s="417"/>
      <c r="AA5" s="418"/>
      <c r="AG5" s="444" t="s">
        <v>5245</v>
      </c>
      <c r="AH5" s="445"/>
      <c r="AI5" s="445"/>
      <c r="AJ5" s="445"/>
      <c r="AK5" s="445"/>
      <c r="AL5" s="446"/>
      <c r="AM5" s="444" t="s">
        <v>10</v>
      </c>
      <c r="AN5" s="445"/>
      <c r="AO5" s="445"/>
      <c r="AP5" s="445"/>
      <c r="AQ5" s="445"/>
      <c r="AR5" s="446"/>
      <c r="AS5" s="424" t="s">
        <v>6</v>
      </c>
      <c r="AT5" s="424"/>
      <c r="AU5" s="434" t="s">
        <v>33</v>
      </c>
      <c r="AV5" s="428"/>
      <c r="AW5" s="428"/>
      <c r="AX5" s="428"/>
      <c r="AY5" s="428"/>
      <c r="AZ5" s="429"/>
    </row>
    <row r="6" spans="3:52" ht="16.5" thickBot="1" x14ac:dyDescent="0.3">
      <c r="C6" s="16"/>
      <c r="D6" s="16"/>
      <c r="E6" s="416" t="s">
        <v>596</v>
      </c>
      <c r="F6" s="417"/>
      <c r="G6" s="418"/>
      <c r="H6" s="419" t="s">
        <v>4</v>
      </c>
      <c r="I6" s="420"/>
      <c r="J6" s="421" t="s">
        <v>9</v>
      </c>
      <c r="K6" s="422"/>
      <c r="L6" s="421" t="s">
        <v>5246</v>
      </c>
      <c r="M6" s="438"/>
      <c r="N6" s="420" t="s">
        <v>4</v>
      </c>
      <c r="O6" s="420"/>
      <c r="P6" s="421" t="s">
        <v>9</v>
      </c>
      <c r="Q6" s="422"/>
      <c r="R6" s="421" t="s">
        <v>5246</v>
      </c>
      <c r="S6" s="420"/>
      <c r="T6" s="443" t="s">
        <v>34</v>
      </c>
      <c r="U6" s="450"/>
      <c r="V6" s="437" t="s">
        <v>646</v>
      </c>
      <c r="W6" s="431"/>
      <c r="X6" s="432" t="s">
        <v>5229</v>
      </c>
      <c r="Y6" s="431"/>
      <c r="Z6" s="432" t="s">
        <v>5253</v>
      </c>
      <c r="AA6" s="433"/>
      <c r="AC6" s="158" t="s">
        <v>643</v>
      </c>
      <c r="AD6" s="147" t="s">
        <v>5220</v>
      </c>
      <c r="AE6" s="147" t="s">
        <v>596</v>
      </c>
      <c r="AG6" s="442" t="s">
        <v>4</v>
      </c>
      <c r="AH6" s="440"/>
      <c r="AI6" s="440" t="s">
        <v>9</v>
      </c>
      <c r="AJ6" s="440"/>
      <c r="AK6" s="440" t="s">
        <v>5246</v>
      </c>
      <c r="AL6" s="447"/>
      <c r="AM6" s="442" t="s">
        <v>4</v>
      </c>
      <c r="AN6" s="440"/>
      <c r="AO6" s="440" t="s">
        <v>9</v>
      </c>
      <c r="AP6" s="440"/>
      <c r="AQ6" s="440" t="s">
        <v>5246</v>
      </c>
      <c r="AR6" s="447"/>
      <c r="AS6" s="423" t="s">
        <v>34</v>
      </c>
      <c r="AT6" s="423"/>
      <c r="AU6" s="430" t="s">
        <v>646</v>
      </c>
      <c r="AV6" s="431"/>
      <c r="AW6" s="432" t="s">
        <v>5229</v>
      </c>
      <c r="AX6" s="431"/>
      <c r="AY6" s="432" t="s">
        <v>5253</v>
      </c>
      <c r="AZ6" s="433"/>
    </row>
    <row r="7" spans="3:52" ht="19.5" thickBot="1" x14ac:dyDescent="0.35">
      <c r="C7" s="270" t="s">
        <v>5219</v>
      </c>
      <c r="D7" s="331"/>
      <c r="E7" s="232" t="s">
        <v>30</v>
      </c>
      <c r="F7" s="35" t="s">
        <v>1</v>
      </c>
      <c r="G7" s="338" t="s">
        <v>3</v>
      </c>
      <c r="H7" s="93" t="s">
        <v>5243</v>
      </c>
      <c r="I7" s="36" t="s">
        <v>5244</v>
      </c>
      <c r="J7" s="36" t="s">
        <v>5243</v>
      </c>
      <c r="K7" s="36" t="s">
        <v>5244</v>
      </c>
      <c r="L7" s="36" t="s">
        <v>24</v>
      </c>
      <c r="M7" s="57" t="s">
        <v>9</v>
      </c>
      <c r="N7" s="18" t="s">
        <v>5243</v>
      </c>
      <c r="O7" s="36" t="s">
        <v>5244</v>
      </c>
      <c r="P7" s="36" t="s">
        <v>5243</v>
      </c>
      <c r="Q7" s="36" t="s">
        <v>5244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5221</v>
      </c>
      <c r="AE7" s="162" t="s">
        <v>5225</v>
      </c>
      <c r="AG7" s="93" t="s">
        <v>5243</v>
      </c>
      <c r="AH7" s="36" t="s">
        <v>5244</v>
      </c>
      <c r="AI7" s="36" t="s">
        <v>5243</v>
      </c>
      <c r="AJ7" s="36" t="s">
        <v>5244</v>
      </c>
      <c r="AK7" s="36" t="s">
        <v>24</v>
      </c>
      <c r="AL7" s="57" t="s">
        <v>9</v>
      </c>
      <c r="AM7" s="93" t="s">
        <v>5243</v>
      </c>
      <c r="AN7" s="36" t="s">
        <v>5244</v>
      </c>
      <c r="AO7" s="36" t="s">
        <v>5243</v>
      </c>
      <c r="AP7" s="36" t="s">
        <v>5244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368" t="s">
        <v>5270</v>
      </c>
      <c r="D8" s="332"/>
      <c r="E8" s="339">
        <f t="shared" ref="E8:M8" si="0">E22+E36</f>
        <v>0</v>
      </c>
      <c r="F8" s="122">
        <f t="shared" si="0"/>
        <v>0</v>
      </c>
      <c r="G8" s="340">
        <f t="shared" si="0"/>
        <v>0</v>
      </c>
      <c r="H8" s="330">
        <f t="shared" si="0"/>
        <v>0</v>
      </c>
      <c r="I8" s="268">
        <f t="shared" si="0"/>
        <v>0</v>
      </c>
      <c r="J8" s="268">
        <f t="shared" si="0"/>
        <v>0</v>
      </c>
      <c r="K8" s="268">
        <f t="shared" si="0"/>
        <v>0</v>
      </c>
      <c r="L8" s="268">
        <f t="shared" si="0"/>
        <v>0</v>
      </c>
      <c r="M8" s="269">
        <f t="shared" si="0"/>
        <v>0</v>
      </c>
      <c r="N8" s="326">
        <f t="shared" ref="N8:S8" si="1">N22+N36</f>
        <v>0</v>
      </c>
      <c r="O8" s="268">
        <f t="shared" si="1"/>
        <v>0</v>
      </c>
      <c r="P8" s="268">
        <f t="shared" si="1"/>
        <v>0</v>
      </c>
      <c r="Q8" s="268">
        <f t="shared" si="1"/>
        <v>0</v>
      </c>
      <c r="R8" s="268">
        <f t="shared" si="1"/>
        <v>0</v>
      </c>
      <c r="S8" s="346">
        <f t="shared" si="1"/>
        <v>0</v>
      </c>
      <c r="T8" s="330">
        <f t="shared" ref="T8:AA9" si="2">T22+T36</f>
        <v>0</v>
      </c>
      <c r="U8" s="269">
        <f t="shared" si="2"/>
        <v>0</v>
      </c>
      <c r="V8" s="326">
        <f t="shared" si="2"/>
        <v>0</v>
      </c>
      <c r="W8" s="268">
        <f t="shared" si="2"/>
        <v>0</v>
      </c>
      <c r="X8" s="268">
        <f t="shared" si="2"/>
        <v>0</v>
      </c>
      <c r="Y8" s="268">
        <f t="shared" si="2"/>
        <v>0</v>
      </c>
      <c r="Z8" s="268">
        <f t="shared" si="2"/>
        <v>0</v>
      </c>
      <c r="AA8" s="269">
        <f t="shared" si="2"/>
        <v>0</v>
      </c>
      <c r="AB8" s="215"/>
      <c r="AC8" s="183"/>
      <c r="AD8" s="101"/>
      <c r="AE8" s="295"/>
      <c r="AG8" s="155"/>
      <c r="AH8" s="94"/>
      <c r="AI8" s="94"/>
      <c r="AJ8" s="94"/>
      <c r="AK8" s="94"/>
      <c r="AL8" s="103"/>
      <c r="AM8" s="155"/>
      <c r="AN8" s="94"/>
      <c r="AO8" s="94"/>
      <c r="AP8" s="94"/>
      <c r="AQ8" s="94"/>
      <c r="AR8" s="103"/>
      <c r="AS8" s="327"/>
      <c r="AT8" s="347"/>
      <c r="AU8" s="155"/>
      <c r="AV8" s="94"/>
      <c r="AW8" s="94"/>
      <c r="AX8" s="94"/>
      <c r="AY8" s="94"/>
      <c r="AZ8" s="103"/>
    </row>
    <row r="9" spans="3:52" x14ac:dyDescent="0.25">
      <c r="C9" s="227" t="s">
        <v>5260</v>
      </c>
      <c r="D9" s="333"/>
      <c r="E9" s="341">
        <f t="shared" ref="E9:M9" si="3">E23+E37</f>
        <v>0</v>
      </c>
      <c r="F9" s="63">
        <f t="shared" si="3"/>
        <v>56</v>
      </c>
      <c r="G9" s="342">
        <f t="shared" si="3"/>
        <v>120.88</v>
      </c>
      <c r="H9" s="155">
        <f t="shared" si="3"/>
        <v>0</v>
      </c>
      <c r="I9" s="94">
        <f t="shared" si="3"/>
        <v>0</v>
      </c>
      <c r="J9" s="94">
        <f t="shared" si="3"/>
        <v>0</v>
      </c>
      <c r="K9" s="94">
        <f t="shared" si="3"/>
        <v>0</v>
      </c>
      <c r="L9" s="94">
        <f t="shared" si="3"/>
        <v>0</v>
      </c>
      <c r="M9" s="103">
        <f t="shared" si="3"/>
        <v>0</v>
      </c>
      <c r="N9" s="327">
        <f t="shared" ref="N9:S9" si="4">N23+N37</f>
        <v>0</v>
      </c>
      <c r="O9" s="94">
        <f t="shared" si="4"/>
        <v>0</v>
      </c>
      <c r="P9" s="94">
        <f t="shared" si="4"/>
        <v>0</v>
      </c>
      <c r="Q9" s="94">
        <f t="shared" si="4"/>
        <v>0</v>
      </c>
      <c r="R9" s="94">
        <f t="shared" si="4"/>
        <v>0</v>
      </c>
      <c r="S9" s="347">
        <f t="shared" si="4"/>
        <v>0</v>
      </c>
      <c r="T9" s="155">
        <f t="shared" si="2"/>
        <v>0</v>
      </c>
      <c r="U9" s="103">
        <f t="shared" si="2"/>
        <v>0</v>
      </c>
      <c r="V9" s="327">
        <f t="shared" si="2"/>
        <v>2</v>
      </c>
      <c r="W9" s="94">
        <f t="shared" si="2"/>
        <v>0</v>
      </c>
      <c r="X9" s="94">
        <f t="shared" si="2"/>
        <v>0</v>
      </c>
      <c r="Y9" s="94">
        <f t="shared" si="2"/>
        <v>0</v>
      </c>
      <c r="Z9" s="94">
        <f t="shared" si="2"/>
        <v>0</v>
      </c>
      <c r="AA9" s="103">
        <f t="shared" si="2"/>
        <v>0</v>
      </c>
      <c r="AB9" s="391">
        <v>0</v>
      </c>
      <c r="AC9" s="183">
        <f t="shared" ref="AC9:AD9" si="5">AC23+AC37</f>
        <v>219.73705067015919</v>
      </c>
      <c r="AD9" s="94">
        <f t="shared" si="5"/>
        <v>436.36842105263156</v>
      </c>
      <c r="AE9" s="166">
        <f t="shared" ref="AE9:AE18" si="6">G9/AD9</f>
        <v>0.27701362923652151</v>
      </c>
      <c r="AG9" s="155">
        <f t="shared" ref="AG9:AN9" si="7">AG23</f>
        <v>0</v>
      </c>
      <c r="AH9" s="94">
        <f t="shared" si="7"/>
        <v>0</v>
      </c>
      <c r="AI9" s="94">
        <f t="shared" si="7"/>
        <v>0</v>
      </c>
      <c r="AJ9" s="94">
        <f t="shared" si="7"/>
        <v>0</v>
      </c>
      <c r="AK9" s="94">
        <f t="shared" si="7"/>
        <v>0</v>
      </c>
      <c r="AL9" s="103">
        <f t="shared" si="7"/>
        <v>0</v>
      </c>
      <c r="AM9" s="155">
        <f t="shared" si="7"/>
        <v>0</v>
      </c>
      <c r="AN9" s="155">
        <f t="shared" si="7"/>
        <v>0</v>
      </c>
      <c r="AO9" s="155">
        <f t="shared" ref="AO9:AR9" si="8">AO23</f>
        <v>0</v>
      </c>
      <c r="AP9" s="155">
        <f t="shared" si="8"/>
        <v>0</v>
      </c>
      <c r="AQ9" s="155">
        <f t="shared" si="8"/>
        <v>0</v>
      </c>
      <c r="AR9" s="155">
        <f t="shared" si="8"/>
        <v>0</v>
      </c>
      <c r="AS9" s="327">
        <f>AS23</f>
        <v>0</v>
      </c>
      <c r="AT9" s="327">
        <f t="shared" ref="AT9:AZ9" si="9">AT23</f>
        <v>0</v>
      </c>
      <c r="AU9" s="327">
        <f t="shared" si="9"/>
        <v>17.110505347032923</v>
      </c>
      <c r="AV9" s="327">
        <f t="shared" si="9"/>
        <v>0</v>
      </c>
      <c r="AW9" s="327">
        <f t="shared" si="9"/>
        <v>0</v>
      </c>
      <c r="AX9" s="327">
        <f t="shared" si="9"/>
        <v>0</v>
      </c>
      <c r="AY9" s="327">
        <f t="shared" si="9"/>
        <v>0</v>
      </c>
      <c r="AZ9" s="103">
        <f t="shared" si="9"/>
        <v>0</v>
      </c>
    </row>
    <row r="10" spans="3:52" x14ac:dyDescent="0.25">
      <c r="C10" s="227" t="s">
        <v>5261</v>
      </c>
      <c r="D10" s="333"/>
      <c r="E10" s="341">
        <f t="shared" ref="E10:AA10" si="10">E24+E38</f>
        <v>0</v>
      </c>
      <c r="F10" s="63">
        <f t="shared" si="10"/>
        <v>78</v>
      </c>
      <c r="G10" s="342">
        <f t="shared" si="10"/>
        <v>161.47</v>
      </c>
      <c r="H10" s="155">
        <f t="shared" si="10"/>
        <v>4</v>
      </c>
      <c r="I10" s="94">
        <f t="shared" si="10"/>
        <v>3</v>
      </c>
      <c r="J10" s="94">
        <f t="shared" si="10"/>
        <v>1</v>
      </c>
      <c r="K10" s="94">
        <f t="shared" si="10"/>
        <v>0</v>
      </c>
      <c r="L10" s="94">
        <f t="shared" si="10"/>
        <v>1</v>
      </c>
      <c r="M10" s="103">
        <f t="shared" si="10"/>
        <v>0</v>
      </c>
      <c r="N10" s="327">
        <f t="shared" ref="N10:S10" si="11">N24+N38</f>
        <v>0</v>
      </c>
      <c r="O10" s="94">
        <f t="shared" si="11"/>
        <v>0</v>
      </c>
      <c r="P10" s="94">
        <f t="shared" si="11"/>
        <v>0</v>
      </c>
      <c r="Q10" s="94">
        <f t="shared" si="11"/>
        <v>0</v>
      </c>
      <c r="R10" s="94">
        <f t="shared" si="11"/>
        <v>0</v>
      </c>
      <c r="S10" s="347">
        <f t="shared" si="11"/>
        <v>0</v>
      </c>
      <c r="T10" s="155">
        <f t="shared" si="10"/>
        <v>0</v>
      </c>
      <c r="U10" s="103">
        <f t="shared" si="10"/>
        <v>0</v>
      </c>
      <c r="V10" s="327">
        <f t="shared" si="10"/>
        <v>0</v>
      </c>
      <c r="W10" s="94">
        <f t="shared" si="10"/>
        <v>0</v>
      </c>
      <c r="X10" s="94">
        <f t="shared" si="10"/>
        <v>0</v>
      </c>
      <c r="Y10" s="94">
        <f t="shared" si="10"/>
        <v>0</v>
      </c>
      <c r="Z10" s="94">
        <f t="shared" si="10"/>
        <v>0</v>
      </c>
      <c r="AA10" s="103">
        <f t="shared" si="10"/>
        <v>0</v>
      </c>
      <c r="AB10" s="215">
        <f>SUM(G10)/SUM(H10:M10)</f>
        <v>17.941111111111113</v>
      </c>
      <c r="AC10" s="183">
        <f t="shared" ref="AC10:AD10" si="12">AC24+AC38</f>
        <v>378.40154611431467</v>
      </c>
      <c r="AD10" s="94">
        <f t="shared" si="12"/>
        <v>698.84210526315792</v>
      </c>
      <c r="AE10" s="166">
        <f t="shared" ref="AE10:AE15" si="13">G10/AD10</f>
        <v>0.23105362253351408</v>
      </c>
      <c r="AG10" s="155">
        <f t="shared" ref="AG10:AM15" si="14">AG24</f>
        <v>29.391418154622791</v>
      </c>
      <c r="AH10" s="94">
        <f t="shared" si="14"/>
        <v>12.770653715927583</v>
      </c>
      <c r="AI10" s="94">
        <f t="shared" si="14"/>
        <v>7.3478545386556977</v>
      </c>
      <c r="AJ10" s="94">
        <f t="shared" si="14"/>
        <v>0</v>
      </c>
      <c r="AK10" s="94">
        <f t="shared" si="14"/>
        <v>2.7113995886359432</v>
      </c>
      <c r="AL10" s="103">
        <f t="shared" si="14"/>
        <v>0</v>
      </c>
      <c r="AM10" s="155">
        <f t="shared" si="14"/>
        <v>0</v>
      </c>
      <c r="AN10" s="155">
        <f t="shared" ref="AN10:AR10" si="15">AN24</f>
        <v>0</v>
      </c>
      <c r="AO10" s="155">
        <f t="shared" si="15"/>
        <v>0</v>
      </c>
      <c r="AP10" s="155">
        <f t="shared" si="15"/>
        <v>0</v>
      </c>
      <c r="AQ10" s="155">
        <f t="shared" si="15"/>
        <v>0</v>
      </c>
      <c r="AR10" s="155">
        <f t="shared" si="15"/>
        <v>0</v>
      </c>
      <c r="AS10" s="327">
        <f t="shared" ref="AS10:AZ15" si="16">AS24</f>
        <v>0</v>
      </c>
      <c r="AT10" s="327">
        <f t="shared" si="16"/>
        <v>0</v>
      </c>
      <c r="AU10" s="327">
        <f t="shared" si="16"/>
        <v>0</v>
      </c>
      <c r="AV10" s="327">
        <f t="shared" si="16"/>
        <v>0</v>
      </c>
      <c r="AW10" s="327">
        <f t="shared" si="16"/>
        <v>0</v>
      </c>
      <c r="AX10" s="327">
        <f t="shared" si="16"/>
        <v>0</v>
      </c>
      <c r="AY10" s="327">
        <f t="shared" si="16"/>
        <v>0</v>
      </c>
      <c r="AZ10" s="103">
        <f t="shared" si="16"/>
        <v>0</v>
      </c>
    </row>
    <row r="11" spans="3:52" x14ac:dyDescent="0.25">
      <c r="C11" s="227" t="s">
        <v>5262</v>
      </c>
      <c r="D11" s="333"/>
      <c r="E11" s="341">
        <f t="shared" ref="E11:AA11" si="17">E25+E39</f>
        <v>1</v>
      </c>
      <c r="F11" s="63">
        <f t="shared" si="17"/>
        <v>98</v>
      </c>
      <c r="G11" s="342">
        <f t="shared" si="17"/>
        <v>163.55000000000001</v>
      </c>
      <c r="H11" s="155">
        <f t="shared" si="17"/>
        <v>3</v>
      </c>
      <c r="I11" s="94">
        <f t="shared" si="17"/>
        <v>10</v>
      </c>
      <c r="J11" s="94">
        <f t="shared" si="17"/>
        <v>1</v>
      </c>
      <c r="K11" s="94">
        <f t="shared" si="17"/>
        <v>0</v>
      </c>
      <c r="L11" s="94">
        <f t="shared" si="17"/>
        <v>0</v>
      </c>
      <c r="M11" s="103">
        <f t="shared" si="17"/>
        <v>0</v>
      </c>
      <c r="N11" s="327">
        <f t="shared" ref="N11:S11" si="18">N25+N39</f>
        <v>0</v>
      </c>
      <c r="O11" s="94">
        <f t="shared" si="18"/>
        <v>0</v>
      </c>
      <c r="P11" s="94">
        <f t="shared" si="18"/>
        <v>0</v>
      </c>
      <c r="Q11" s="94">
        <f t="shared" si="18"/>
        <v>0</v>
      </c>
      <c r="R11" s="94">
        <f t="shared" si="18"/>
        <v>0</v>
      </c>
      <c r="S11" s="347">
        <f t="shared" si="18"/>
        <v>0</v>
      </c>
      <c r="T11" s="155">
        <f t="shared" si="17"/>
        <v>0</v>
      </c>
      <c r="U11" s="103">
        <f t="shared" si="17"/>
        <v>0</v>
      </c>
      <c r="V11" s="327">
        <f t="shared" si="17"/>
        <v>5</v>
      </c>
      <c r="W11" s="94">
        <f t="shared" si="17"/>
        <v>0</v>
      </c>
      <c r="X11" s="94">
        <f t="shared" si="17"/>
        <v>0</v>
      </c>
      <c r="Y11" s="94">
        <f t="shared" si="17"/>
        <v>0</v>
      </c>
      <c r="Z11" s="94">
        <f t="shared" si="17"/>
        <v>0</v>
      </c>
      <c r="AA11" s="103">
        <f t="shared" si="17"/>
        <v>0</v>
      </c>
      <c r="AB11" s="215">
        <f>SUM(G11)/SUM(H11:M11)</f>
        <v>11.682142857142859</v>
      </c>
      <c r="AC11" s="183">
        <f t="shared" ref="AC11:AD11" si="19">AC25+AC39</f>
        <v>886.35987427947896</v>
      </c>
      <c r="AD11" s="94">
        <f t="shared" si="19"/>
        <v>798.94736842105272</v>
      </c>
      <c r="AE11" s="166">
        <f t="shared" si="13"/>
        <v>0.20470685111989459</v>
      </c>
      <c r="AG11" s="155">
        <f t="shared" si="14"/>
        <v>5.8263740532142165</v>
      </c>
      <c r="AH11" s="94">
        <f t="shared" si="14"/>
        <v>20.392309186249758</v>
      </c>
      <c r="AI11" s="94">
        <f t="shared" si="14"/>
        <v>2.9131870266071083</v>
      </c>
      <c r="AJ11" s="94">
        <f t="shared" si="14"/>
        <v>0</v>
      </c>
      <c r="AK11" s="94">
        <f t="shared" si="14"/>
        <v>0</v>
      </c>
      <c r="AL11" s="103">
        <f t="shared" si="14"/>
        <v>0</v>
      </c>
      <c r="AM11" s="155">
        <f t="shared" si="14"/>
        <v>0</v>
      </c>
      <c r="AN11" s="155">
        <f t="shared" ref="AN11:AR11" si="20">AN25</f>
        <v>0</v>
      </c>
      <c r="AO11" s="155">
        <f t="shared" si="20"/>
        <v>0</v>
      </c>
      <c r="AP11" s="155">
        <f t="shared" si="20"/>
        <v>0</v>
      </c>
      <c r="AQ11" s="155">
        <f t="shared" si="20"/>
        <v>0</v>
      </c>
      <c r="AR11" s="155">
        <f t="shared" si="20"/>
        <v>0</v>
      </c>
      <c r="AS11" s="327">
        <f t="shared" si="16"/>
        <v>0</v>
      </c>
      <c r="AT11" s="327">
        <f t="shared" si="16"/>
        <v>0</v>
      </c>
      <c r="AU11" s="327">
        <f t="shared" si="16"/>
        <v>14.565935133035541</v>
      </c>
      <c r="AV11" s="327">
        <f t="shared" si="16"/>
        <v>0</v>
      </c>
      <c r="AW11" s="327">
        <f t="shared" si="16"/>
        <v>0</v>
      </c>
      <c r="AX11" s="327">
        <f t="shared" si="16"/>
        <v>0</v>
      </c>
      <c r="AY11" s="327">
        <f t="shared" si="16"/>
        <v>0</v>
      </c>
      <c r="AZ11" s="103">
        <f t="shared" si="16"/>
        <v>0</v>
      </c>
    </row>
    <row r="12" spans="3:52" x14ac:dyDescent="0.25">
      <c r="C12" s="227" t="s">
        <v>5263</v>
      </c>
      <c r="D12" s="333"/>
      <c r="E12" s="341">
        <f t="shared" ref="E12:AA12" si="21">E26+E40</f>
        <v>0</v>
      </c>
      <c r="F12" s="63">
        <f t="shared" si="21"/>
        <v>169</v>
      </c>
      <c r="G12" s="342">
        <f t="shared" si="21"/>
        <v>385.46</v>
      </c>
      <c r="H12" s="155">
        <f t="shared" si="21"/>
        <v>12</v>
      </c>
      <c r="I12" s="94">
        <f t="shared" si="21"/>
        <v>22</v>
      </c>
      <c r="J12" s="94">
        <f t="shared" si="21"/>
        <v>1</v>
      </c>
      <c r="K12" s="94">
        <f t="shared" si="21"/>
        <v>1</v>
      </c>
      <c r="L12" s="94">
        <f t="shared" si="21"/>
        <v>0</v>
      </c>
      <c r="M12" s="103">
        <f t="shared" si="21"/>
        <v>0</v>
      </c>
      <c r="N12" s="327">
        <f t="shared" ref="N12:S12" si="22">N26+N40</f>
        <v>1</v>
      </c>
      <c r="O12" s="94">
        <f t="shared" si="22"/>
        <v>0</v>
      </c>
      <c r="P12" s="94">
        <f t="shared" si="22"/>
        <v>0</v>
      </c>
      <c r="Q12" s="94">
        <f t="shared" si="22"/>
        <v>0</v>
      </c>
      <c r="R12" s="94">
        <f t="shared" si="22"/>
        <v>0</v>
      </c>
      <c r="S12" s="347">
        <f t="shared" si="22"/>
        <v>0</v>
      </c>
      <c r="T12" s="155">
        <f t="shared" si="21"/>
        <v>0</v>
      </c>
      <c r="U12" s="103">
        <f t="shared" si="21"/>
        <v>1</v>
      </c>
      <c r="V12" s="327">
        <f t="shared" si="21"/>
        <v>2</v>
      </c>
      <c r="W12" s="94">
        <f t="shared" si="21"/>
        <v>0</v>
      </c>
      <c r="X12" s="94">
        <f t="shared" si="21"/>
        <v>0</v>
      </c>
      <c r="Y12" s="94">
        <f t="shared" si="21"/>
        <v>0</v>
      </c>
      <c r="Z12" s="94">
        <f t="shared" si="21"/>
        <v>0</v>
      </c>
      <c r="AA12" s="103">
        <f t="shared" si="21"/>
        <v>1</v>
      </c>
      <c r="AB12" s="215">
        <f t="shared" ref="AB12:AB13" si="23">SUM(G12)/SUM(H12:M12)</f>
        <v>10.707222222222221</v>
      </c>
      <c r="AC12" s="183">
        <f t="shared" ref="AC12:AD12" si="24">AC26+AC40</f>
        <v>608.38442687759425</v>
      </c>
      <c r="AD12" s="94">
        <f t="shared" si="24"/>
        <v>1387.3684210526317</v>
      </c>
      <c r="AE12" s="166">
        <f t="shared" si="13"/>
        <v>0.27783535660091041</v>
      </c>
      <c r="AG12" s="155">
        <f t="shared" si="14"/>
        <v>43.398289682285075</v>
      </c>
      <c r="AH12" s="94">
        <f t="shared" si="14"/>
        <v>81.215385681005387</v>
      </c>
      <c r="AI12" s="94">
        <f t="shared" si="14"/>
        <v>4.7728223579616778</v>
      </c>
      <c r="AJ12" s="94">
        <f t="shared" si="14"/>
        <v>4.7728223579616778</v>
      </c>
      <c r="AK12" s="94">
        <f t="shared" si="14"/>
        <v>0</v>
      </c>
      <c r="AL12" s="103">
        <f t="shared" si="14"/>
        <v>0</v>
      </c>
      <c r="AM12" s="155">
        <f t="shared" si="14"/>
        <v>2.7905968417823841</v>
      </c>
      <c r="AN12" s="155">
        <f t="shared" ref="AN12:AR12" si="25">AN26</f>
        <v>0</v>
      </c>
      <c r="AO12" s="155">
        <f t="shared" si="25"/>
        <v>0</v>
      </c>
      <c r="AP12" s="155">
        <f t="shared" si="25"/>
        <v>0</v>
      </c>
      <c r="AQ12" s="155">
        <f t="shared" si="25"/>
        <v>0</v>
      </c>
      <c r="AR12" s="155">
        <f t="shared" si="25"/>
        <v>0</v>
      </c>
      <c r="AS12" s="327">
        <f t="shared" si="16"/>
        <v>0</v>
      </c>
      <c r="AT12" s="327">
        <f t="shared" si="16"/>
        <v>4.7728223579616778</v>
      </c>
      <c r="AU12" s="327">
        <f t="shared" si="16"/>
        <v>9.5456447159233555</v>
      </c>
      <c r="AV12" s="327">
        <f t="shared" si="16"/>
        <v>0</v>
      </c>
      <c r="AW12" s="327">
        <f t="shared" si="16"/>
        <v>0</v>
      </c>
      <c r="AX12" s="327">
        <f t="shared" si="16"/>
        <v>0</v>
      </c>
      <c r="AY12" s="327">
        <f t="shared" si="16"/>
        <v>0</v>
      </c>
      <c r="AZ12" s="103">
        <f t="shared" si="16"/>
        <v>4.7728223579616778</v>
      </c>
    </row>
    <row r="13" spans="3:52" x14ac:dyDescent="0.25">
      <c r="C13" s="227" t="s">
        <v>5264</v>
      </c>
      <c r="D13" s="333"/>
      <c r="E13" s="341">
        <f t="shared" ref="E13:M13" si="26">E27+E41</f>
        <v>0</v>
      </c>
      <c r="F13" s="63">
        <f t="shared" si="26"/>
        <v>149</v>
      </c>
      <c r="G13" s="342">
        <f t="shared" si="26"/>
        <v>341.13</v>
      </c>
      <c r="H13" s="155">
        <f t="shared" si="26"/>
        <v>12</v>
      </c>
      <c r="I13" s="94">
        <f t="shared" si="26"/>
        <v>14</v>
      </c>
      <c r="J13" s="94">
        <f t="shared" si="26"/>
        <v>1</v>
      </c>
      <c r="K13" s="94">
        <f t="shared" si="26"/>
        <v>0</v>
      </c>
      <c r="L13" s="94">
        <f t="shared" si="26"/>
        <v>0</v>
      </c>
      <c r="M13" s="103">
        <f t="shared" si="26"/>
        <v>0</v>
      </c>
      <c r="N13" s="327">
        <f t="shared" ref="N13:S17" si="27">N27+N41</f>
        <v>2</v>
      </c>
      <c r="O13" s="94">
        <f t="shared" si="27"/>
        <v>0</v>
      </c>
      <c r="P13" s="94">
        <f t="shared" si="27"/>
        <v>0</v>
      </c>
      <c r="Q13" s="94">
        <f t="shared" si="27"/>
        <v>0</v>
      </c>
      <c r="R13" s="94">
        <f t="shared" si="27"/>
        <v>0</v>
      </c>
      <c r="S13" s="347">
        <f t="shared" si="27"/>
        <v>0</v>
      </c>
      <c r="T13" s="155">
        <f t="shared" ref="T13:AA17" si="28">T27+T41</f>
        <v>0</v>
      </c>
      <c r="U13" s="103">
        <f t="shared" si="28"/>
        <v>0</v>
      </c>
      <c r="V13" s="327">
        <f t="shared" si="28"/>
        <v>0</v>
      </c>
      <c r="W13" s="94">
        <f t="shared" si="28"/>
        <v>0</v>
      </c>
      <c r="X13" s="94">
        <f t="shared" si="28"/>
        <v>0</v>
      </c>
      <c r="Y13" s="94">
        <f t="shared" si="28"/>
        <v>0</v>
      </c>
      <c r="Z13" s="94">
        <f t="shared" si="28"/>
        <v>0</v>
      </c>
      <c r="AA13" s="103">
        <f t="shared" si="28"/>
        <v>0</v>
      </c>
      <c r="AB13" s="215">
        <f t="shared" si="23"/>
        <v>12.634444444444444</v>
      </c>
      <c r="AC13" s="183">
        <f t="shared" ref="AC13:AD13" si="29">AC27+AC41</f>
        <v>710.32090978982978</v>
      </c>
      <c r="AD13" s="94">
        <f t="shared" si="29"/>
        <v>1204.3333333333333</v>
      </c>
      <c r="AE13" s="166">
        <f t="shared" si="13"/>
        <v>0.28325214503182949</v>
      </c>
      <c r="AG13" s="155">
        <f t="shared" si="14"/>
        <v>36.118671476658093</v>
      </c>
      <c r="AH13" s="94">
        <f t="shared" si="14"/>
        <v>46.278329986873047</v>
      </c>
      <c r="AI13" s="94">
        <f t="shared" si="14"/>
        <v>8.1847392031864334</v>
      </c>
      <c r="AJ13" s="94">
        <f t="shared" si="14"/>
        <v>0</v>
      </c>
      <c r="AK13" s="94">
        <f t="shared" si="14"/>
        <v>0</v>
      </c>
      <c r="AL13" s="103">
        <f t="shared" si="14"/>
        <v>0</v>
      </c>
      <c r="AM13" s="155">
        <f t="shared" si="14"/>
        <v>3.9498386140570454</v>
      </c>
      <c r="AN13" s="155">
        <f t="shared" ref="AN13:AR13" si="30">AN27</f>
        <v>0</v>
      </c>
      <c r="AO13" s="155">
        <f t="shared" si="30"/>
        <v>0</v>
      </c>
      <c r="AP13" s="155">
        <f t="shared" si="30"/>
        <v>0</v>
      </c>
      <c r="AQ13" s="155">
        <f t="shared" si="30"/>
        <v>0</v>
      </c>
      <c r="AR13" s="155">
        <f t="shared" si="30"/>
        <v>0</v>
      </c>
      <c r="AS13" s="327">
        <f t="shared" si="16"/>
        <v>0</v>
      </c>
      <c r="AT13" s="327">
        <f t="shared" si="16"/>
        <v>0</v>
      </c>
      <c r="AU13" s="327">
        <f t="shared" si="16"/>
        <v>0</v>
      </c>
      <c r="AV13" s="327">
        <f t="shared" si="16"/>
        <v>0</v>
      </c>
      <c r="AW13" s="327">
        <f t="shared" si="16"/>
        <v>0</v>
      </c>
      <c r="AX13" s="327">
        <f t="shared" si="16"/>
        <v>0</v>
      </c>
      <c r="AY13" s="327">
        <f t="shared" si="16"/>
        <v>0</v>
      </c>
      <c r="AZ13" s="103">
        <f t="shared" si="16"/>
        <v>0</v>
      </c>
    </row>
    <row r="14" spans="3:52" x14ac:dyDescent="0.25">
      <c r="C14" s="227" t="s">
        <v>5265</v>
      </c>
      <c r="D14" s="334"/>
      <c r="E14" s="341">
        <f t="shared" ref="E14:M14" si="31">E28+E42</f>
        <v>0</v>
      </c>
      <c r="F14" s="63">
        <f t="shared" si="31"/>
        <v>128</v>
      </c>
      <c r="G14" s="342">
        <f t="shared" si="31"/>
        <v>383.7</v>
      </c>
      <c r="H14" s="155">
        <f t="shared" si="31"/>
        <v>4</v>
      </c>
      <c r="I14" s="94">
        <f t="shared" si="31"/>
        <v>10</v>
      </c>
      <c r="J14" s="94">
        <f t="shared" si="31"/>
        <v>0</v>
      </c>
      <c r="K14" s="94">
        <f t="shared" si="31"/>
        <v>0</v>
      </c>
      <c r="L14" s="94">
        <f t="shared" si="31"/>
        <v>1</v>
      </c>
      <c r="M14" s="103">
        <f t="shared" si="31"/>
        <v>0</v>
      </c>
      <c r="N14" s="327">
        <f t="shared" si="27"/>
        <v>1</v>
      </c>
      <c r="O14" s="94">
        <f t="shared" si="27"/>
        <v>0</v>
      </c>
      <c r="P14" s="94">
        <f t="shared" si="27"/>
        <v>0</v>
      </c>
      <c r="Q14" s="94">
        <f t="shared" si="27"/>
        <v>0</v>
      </c>
      <c r="R14" s="94">
        <f t="shared" si="27"/>
        <v>0</v>
      </c>
      <c r="S14" s="347">
        <f t="shared" si="27"/>
        <v>0</v>
      </c>
      <c r="T14" s="155">
        <f t="shared" si="28"/>
        <v>0</v>
      </c>
      <c r="U14" s="103">
        <f t="shared" si="28"/>
        <v>0</v>
      </c>
      <c r="V14" s="327">
        <f t="shared" si="28"/>
        <v>0</v>
      </c>
      <c r="W14" s="94">
        <f t="shared" si="28"/>
        <v>0</v>
      </c>
      <c r="X14" s="94">
        <f t="shared" si="28"/>
        <v>0</v>
      </c>
      <c r="Y14" s="94">
        <f t="shared" si="28"/>
        <v>0</v>
      </c>
      <c r="Z14" s="94">
        <f t="shared" si="28"/>
        <v>0</v>
      </c>
      <c r="AA14" s="103">
        <f t="shared" si="28"/>
        <v>0</v>
      </c>
      <c r="AB14" s="215">
        <f t="shared" ref="AB14:AB18" si="32">SUM(G14)/SUM(H14:M14)</f>
        <v>25.58</v>
      </c>
      <c r="AC14" s="183">
        <f t="shared" ref="AC14:AD14" si="33">AC28+AC42</f>
        <v>353.28058307934475</v>
      </c>
      <c r="AD14" s="94">
        <f t="shared" si="33"/>
        <v>985.35087719298258</v>
      </c>
      <c r="AE14" s="166">
        <f t="shared" si="13"/>
        <v>0.38940443336597519</v>
      </c>
      <c r="AG14" s="155">
        <f t="shared" si="14"/>
        <v>16.761406235090451</v>
      </c>
      <c r="AH14" s="94">
        <f t="shared" si="14"/>
        <v>41.903515587726126</v>
      </c>
      <c r="AI14" s="94">
        <f t="shared" si="14"/>
        <v>0</v>
      </c>
      <c r="AJ14" s="94">
        <f t="shared" si="14"/>
        <v>0</v>
      </c>
      <c r="AK14" s="94">
        <f t="shared" si="14"/>
        <v>4.1903515587726128</v>
      </c>
      <c r="AL14" s="103">
        <f t="shared" si="14"/>
        <v>0</v>
      </c>
      <c r="AM14" s="155">
        <f t="shared" si="14"/>
        <v>4.1903515587726128</v>
      </c>
      <c r="AN14" s="155">
        <f t="shared" ref="AN14:AR14" si="34">AN28</f>
        <v>0</v>
      </c>
      <c r="AO14" s="155">
        <f t="shared" si="34"/>
        <v>0</v>
      </c>
      <c r="AP14" s="155">
        <f t="shared" si="34"/>
        <v>0</v>
      </c>
      <c r="AQ14" s="155">
        <f t="shared" si="34"/>
        <v>0</v>
      </c>
      <c r="AR14" s="155">
        <f t="shared" si="34"/>
        <v>0</v>
      </c>
      <c r="AS14" s="327">
        <f t="shared" si="16"/>
        <v>0</v>
      </c>
      <c r="AT14" s="327">
        <f t="shared" si="16"/>
        <v>0</v>
      </c>
      <c r="AU14" s="327">
        <f t="shared" si="16"/>
        <v>0</v>
      </c>
      <c r="AV14" s="327">
        <f t="shared" si="16"/>
        <v>0</v>
      </c>
      <c r="AW14" s="327">
        <f t="shared" si="16"/>
        <v>0</v>
      </c>
      <c r="AX14" s="327">
        <f t="shared" si="16"/>
        <v>0</v>
      </c>
      <c r="AY14" s="327">
        <f t="shared" si="16"/>
        <v>0</v>
      </c>
      <c r="AZ14" s="103">
        <f t="shared" si="16"/>
        <v>0</v>
      </c>
    </row>
    <row r="15" spans="3:52" x14ac:dyDescent="0.25">
      <c r="C15" s="227" t="s">
        <v>5266</v>
      </c>
      <c r="D15" s="334"/>
      <c r="E15" s="341">
        <f t="shared" ref="E15:M15" si="35">E29+E43</f>
        <v>0</v>
      </c>
      <c r="F15" s="63">
        <f t="shared" si="35"/>
        <v>111</v>
      </c>
      <c r="G15" s="342">
        <f t="shared" si="35"/>
        <v>210.16000000000003</v>
      </c>
      <c r="H15" s="155">
        <f t="shared" si="35"/>
        <v>3</v>
      </c>
      <c r="I15" s="94">
        <f t="shared" si="35"/>
        <v>12</v>
      </c>
      <c r="J15" s="94">
        <f t="shared" si="35"/>
        <v>0</v>
      </c>
      <c r="K15" s="94">
        <f t="shared" si="35"/>
        <v>0</v>
      </c>
      <c r="L15" s="94">
        <f t="shared" si="35"/>
        <v>8</v>
      </c>
      <c r="M15" s="103">
        <f t="shared" si="35"/>
        <v>0</v>
      </c>
      <c r="N15" s="327">
        <f t="shared" si="27"/>
        <v>0</v>
      </c>
      <c r="O15" s="94">
        <f t="shared" si="27"/>
        <v>10</v>
      </c>
      <c r="P15" s="94">
        <f t="shared" si="27"/>
        <v>0</v>
      </c>
      <c r="Q15" s="94">
        <f t="shared" si="27"/>
        <v>0</v>
      </c>
      <c r="R15" s="94">
        <f t="shared" si="27"/>
        <v>0</v>
      </c>
      <c r="S15" s="347">
        <f t="shared" si="27"/>
        <v>0</v>
      </c>
      <c r="T15" s="155">
        <f t="shared" si="28"/>
        <v>0</v>
      </c>
      <c r="U15" s="103">
        <f t="shared" si="28"/>
        <v>0</v>
      </c>
      <c r="V15" s="327">
        <f t="shared" si="28"/>
        <v>0</v>
      </c>
      <c r="W15" s="94">
        <f t="shared" si="28"/>
        <v>1</v>
      </c>
      <c r="X15" s="94">
        <f t="shared" si="28"/>
        <v>0</v>
      </c>
      <c r="Y15" s="94">
        <f t="shared" si="28"/>
        <v>0</v>
      </c>
      <c r="Z15" s="94">
        <f t="shared" si="28"/>
        <v>0</v>
      </c>
      <c r="AA15" s="103">
        <f t="shared" si="28"/>
        <v>0</v>
      </c>
      <c r="AB15" s="215">
        <f t="shared" si="32"/>
        <v>9.1373913043478279</v>
      </c>
      <c r="AC15" s="183">
        <f t="shared" ref="AC15:AD15" si="36">AC29+AC43</f>
        <v>518.82392056659182</v>
      </c>
      <c r="AD15" s="94">
        <f t="shared" si="36"/>
        <v>917.01754385964921</v>
      </c>
      <c r="AE15" s="166">
        <f t="shared" si="13"/>
        <v>0.2291777310120528</v>
      </c>
      <c r="AG15" s="155">
        <f t="shared" si="14"/>
        <v>11.042333811602976</v>
      </c>
      <c r="AH15" s="94">
        <f t="shared" si="14"/>
        <v>61.952814204037985</v>
      </c>
      <c r="AI15" s="94">
        <f t="shared" si="14"/>
        <v>0</v>
      </c>
      <c r="AJ15" s="94">
        <f t="shared" si="14"/>
        <v>0</v>
      </c>
      <c r="AK15" s="94">
        <f t="shared" si="14"/>
        <v>37.745180344500106</v>
      </c>
      <c r="AL15" s="103">
        <f t="shared" si="14"/>
        <v>0</v>
      </c>
      <c r="AM15" s="155">
        <f t="shared" si="14"/>
        <v>0</v>
      </c>
      <c r="AN15" s="155">
        <f t="shared" ref="AN15:AR15" si="37">AN29</f>
        <v>35.62221410816818</v>
      </c>
      <c r="AO15" s="155">
        <f t="shared" si="37"/>
        <v>0</v>
      </c>
      <c r="AP15" s="155">
        <f t="shared" si="37"/>
        <v>0</v>
      </c>
      <c r="AQ15" s="155">
        <f t="shared" si="37"/>
        <v>0</v>
      </c>
      <c r="AR15" s="155">
        <f t="shared" si="37"/>
        <v>0</v>
      </c>
      <c r="AS15" s="327">
        <f t="shared" si="16"/>
        <v>0</v>
      </c>
      <c r="AT15" s="327">
        <f t="shared" si="16"/>
        <v>0</v>
      </c>
      <c r="AU15" s="327">
        <f t="shared" si="16"/>
        <v>0</v>
      </c>
      <c r="AV15" s="327">
        <f t="shared" si="16"/>
        <v>6.0519084648844697</v>
      </c>
      <c r="AW15" s="327">
        <f t="shared" si="16"/>
        <v>0</v>
      </c>
      <c r="AX15" s="327">
        <f t="shared" si="16"/>
        <v>0</v>
      </c>
      <c r="AY15" s="327">
        <f t="shared" si="16"/>
        <v>0</v>
      </c>
      <c r="AZ15" s="103">
        <f t="shared" si="16"/>
        <v>0</v>
      </c>
    </row>
    <row r="16" spans="3:52" x14ac:dyDescent="0.25">
      <c r="C16" s="227" t="s">
        <v>5267</v>
      </c>
      <c r="D16" s="334"/>
      <c r="E16" s="341">
        <f t="shared" ref="E16:M17" si="38">E30+E44</f>
        <v>0</v>
      </c>
      <c r="F16" s="63">
        <f t="shared" si="38"/>
        <v>0</v>
      </c>
      <c r="G16" s="342">
        <f t="shared" si="38"/>
        <v>0</v>
      </c>
      <c r="H16" s="155">
        <f t="shared" si="38"/>
        <v>0</v>
      </c>
      <c r="I16" s="94">
        <f t="shared" si="38"/>
        <v>0</v>
      </c>
      <c r="J16" s="94">
        <f t="shared" si="38"/>
        <v>0</v>
      </c>
      <c r="K16" s="94">
        <f t="shared" si="38"/>
        <v>0</v>
      </c>
      <c r="L16" s="94">
        <f t="shared" si="38"/>
        <v>0</v>
      </c>
      <c r="M16" s="103">
        <f t="shared" si="38"/>
        <v>0</v>
      </c>
      <c r="N16" s="327">
        <f t="shared" si="27"/>
        <v>0</v>
      </c>
      <c r="O16" s="94">
        <f t="shared" si="27"/>
        <v>0</v>
      </c>
      <c r="P16" s="94">
        <f t="shared" si="27"/>
        <v>0</v>
      </c>
      <c r="Q16" s="94">
        <f t="shared" si="27"/>
        <v>0</v>
      </c>
      <c r="R16" s="94">
        <f t="shared" si="27"/>
        <v>0</v>
      </c>
      <c r="S16" s="347">
        <f t="shared" si="27"/>
        <v>0</v>
      </c>
      <c r="T16" s="155">
        <f t="shared" si="28"/>
        <v>0</v>
      </c>
      <c r="U16" s="103">
        <f t="shared" si="28"/>
        <v>0</v>
      </c>
      <c r="V16" s="327">
        <f t="shared" si="28"/>
        <v>0</v>
      </c>
      <c r="W16" s="94">
        <f t="shared" si="28"/>
        <v>0</v>
      </c>
      <c r="X16" s="94">
        <f t="shared" si="28"/>
        <v>0</v>
      </c>
      <c r="Y16" s="94">
        <f t="shared" si="28"/>
        <v>0</v>
      </c>
      <c r="Z16" s="94">
        <f t="shared" si="28"/>
        <v>0</v>
      </c>
      <c r="AA16" s="103">
        <f t="shared" si="28"/>
        <v>0</v>
      </c>
      <c r="AB16" s="215"/>
      <c r="AC16" s="183"/>
      <c r="AD16" s="94"/>
      <c r="AE16" s="166"/>
      <c r="AG16" s="155"/>
      <c r="AH16" s="94"/>
      <c r="AI16" s="94"/>
      <c r="AJ16" s="94"/>
      <c r="AK16" s="94"/>
      <c r="AL16" s="103"/>
      <c r="AM16" s="155"/>
      <c r="AN16" s="155"/>
      <c r="AO16" s="155"/>
      <c r="AP16" s="155"/>
      <c r="AQ16" s="155"/>
      <c r="AR16" s="155"/>
      <c r="AS16" s="327"/>
      <c r="AT16" s="327"/>
      <c r="AU16" s="327"/>
      <c r="AV16" s="327"/>
      <c r="AW16" s="327"/>
      <c r="AX16" s="327"/>
      <c r="AY16" s="327"/>
      <c r="AZ16" s="103"/>
    </row>
    <row r="17" spans="3:79" ht="16.5" thickBot="1" x14ac:dyDescent="0.3">
      <c r="C17" s="114" t="s">
        <v>5268</v>
      </c>
      <c r="D17" s="335"/>
      <c r="E17" s="371">
        <f t="shared" si="38"/>
        <v>0</v>
      </c>
      <c r="F17" s="372">
        <f t="shared" si="38"/>
        <v>0</v>
      </c>
      <c r="G17" s="373">
        <f t="shared" si="38"/>
        <v>0</v>
      </c>
      <c r="H17" s="156">
        <f t="shared" si="38"/>
        <v>0</v>
      </c>
      <c r="I17" s="95">
        <f t="shared" si="38"/>
        <v>0</v>
      </c>
      <c r="J17" s="95">
        <f t="shared" si="38"/>
        <v>0</v>
      </c>
      <c r="K17" s="95">
        <f t="shared" si="38"/>
        <v>0</v>
      </c>
      <c r="L17" s="95">
        <f t="shared" si="38"/>
        <v>0</v>
      </c>
      <c r="M17" s="104">
        <f t="shared" si="38"/>
        <v>0</v>
      </c>
      <c r="N17" s="328">
        <f t="shared" si="27"/>
        <v>0</v>
      </c>
      <c r="O17" s="95">
        <f t="shared" si="27"/>
        <v>0</v>
      </c>
      <c r="P17" s="95">
        <f t="shared" si="27"/>
        <v>0</v>
      </c>
      <c r="Q17" s="95">
        <f t="shared" si="27"/>
        <v>0</v>
      </c>
      <c r="R17" s="95">
        <f t="shared" si="27"/>
        <v>0</v>
      </c>
      <c r="S17" s="348">
        <f t="shared" si="27"/>
        <v>0</v>
      </c>
      <c r="T17" s="156">
        <f t="shared" si="28"/>
        <v>0</v>
      </c>
      <c r="U17" s="104">
        <f t="shared" si="28"/>
        <v>0</v>
      </c>
      <c r="V17" s="328">
        <f t="shared" si="28"/>
        <v>0</v>
      </c>
      <c r="W17" s="95">
        <f t="shared" si="28"/>
        <v>0</v>
      </c>
      <c r="X17" s="95">
        <f t="shared" si="28"/>
        <v>0</v>
      </c>
      <c r="Y17" s="95">
        <f t="shared" si="28"/>
        <v>0</v>
      </c>
      <c r="Z17" s="95">
        <f t="shared" si="28"/>
        <v>0</v>
      </c>
      <c r="AA17" s="104">
        <f t="shared" si="28"/>
        <v>0</v>
      </c>
      <c r="AB17" s="215"/>
      <c r="AC17" s="184"/>
      <c r="AD17" s="95"/>
      <c r="AE17" s="296"/>
      <c r="AG17" s="156"/>
      <c r="AH17" s="95"/>
      <c r="AI17" s="95"/>
      <c r="AJ17" s="95"/>
      <c r="AK17" s="95"/>
      <c r="AL17" s="104"/>
      <c r="AM17" s="156"/>
      <c r="AN17" s="156"/>
      <c r="AO17" s="156"/>
      <c r="AP17" s="156"/>
      <c r="AQ17" s="156"/>
      <c r="AR17" s="156"/>
      <c r="AS17" s="328"/>
      <c r="AT17" s="328"/>
      <c r="AU17" s="328"/>
      <c r="AV17" s="328"/>
      <c r="AW17" s="328"/>
      <c r="AX17" s="328"/>
      <c r="AY17" s="328"/>
      <c r="AZ17" s="104"/>
    </row>
    <row r="18" spans="3:79" ht="17.25" thickTop="1" thickBot="1" x14ac:dyDescent="0.3">
      <c r="C18" s="112"/>
      <c r="D18" s="336"/>
      <c r="E18" s="344">
        <f t="shared" ref="E18" si="39">SUM(E8:E17)</f>
        <v>1</v>
      </c>
      <c r="F18" s="98">
        <f t="shared" ref="F18:AA18" si="40">SUM(F8:F17)</f>
        <v>789</v>
      </c>
      <c r="G18" s="345">
        <f t="shared" si="40"/>
        <v>1766.3500000000001</v>
      </c>
      <c r="H18" s="157">
        <f t="shared" si="40"/>
        <v>38</v>
      </c>
      <c r="I18" s="105">
        <f t="shared" si="40"/>
        <v>71</v>
      </c>
      <c r="J18" s="105">
        <f t="shared" si="40"/>
        <v>4</v>
      </c>
      <c r="K18" s="105">
        <f t="shared" si="40"/>
        <v>1</v>
      </c>
      <c r="L18" s="105">
        <f t="shared" si="40"/>
        <v>10</v>
      </c>
      <c r="M18" s="107">
        <f t="shared" si="40"/>
        <v>0</v>
      </c>
      <c r="N18" s="329">
        <f t="shared" ref="N18:S18" si="41">SUM(N8:N17)</f>
        <v>4</v>
      </c>
      <c r="O18" s="105">
        <f t="shared" si="41"/>
        <v>10</v>
      </c>
      <c r="P18" s="105">
        <f t="shared" si="41"/>
        <v>0</v>
      </c>
      <c r="Q18" s="105">
        <f t="shared" si="41"/>
        <v>0</v>
      </c>
      <c r="R18" s="105">
        <f t="shared" si="41"/>
        <v>0</v>
      </c>
      <c r="S18" s="349">
        <f t="shared" si="41"/>
        <v>0</v>
      </c>
      <c r="T18" s="157">
        <f t="shared" si="40"/>
        <v>0</v>
      </c>
      <c r="U18" s="107">
        <f t="shared" si="40"/>
        <v>1</v>
      </c>
      <c r="V18" s="329">
        <f t="shared" si="40"/>
        <v>9</v>
      </c>
      <c r="W18" s="105">
        <f t="shared" si="40"/>
        <v>1</v>
      </c>
      <c r="X18" s="105">
        <f t="shared" si="40"/>
        <v>0</v>
      </c>
      <c r="Y18" s="105">
        <f t="shared" si="40"/>
        <v>0</v>
      </c>
      <c r="Z18" s="105">
        <f t="shared" si="40"/>
        <v>0</v>
      </c>
      <c r="AA18" s="107">
        <f t="shared" si="40"/>
        <v>1</v>
      </c>
      <c r="AB18" s="215">
        <f t="shared" si="32"/>
        <v>14.24475806451613</v>
      </c>
      <c r="AC18" s="161">
        <f t="shared" ref="AC18:AD18" si="42">SUM(AC8:AC17)</f>
        <v>3675.3083113773132</v>
      </c>
      <c r="AD18" s="161">
        <f t="shared" si="42"/>
        <v>6428.2280701754389</v>
      </c>
      <c r="AE18" s="167">
        <f t="shared" si="6"/>
        <v>0.27478023192661755</v>
      </c>
      <c r="AG18" s="157">
        <f t="shared" ref="AG18:AZ18" si="43">SUM(AG8:AG17)</f>
        <v>142.53849341347362</v>
      </c>
      <c r="AH18" s="105">
        <f t="shared" si="43"/>
        <v>264.51300836181986</v>
      </c>
      <c r="AI18" s="105">
        <f t="shared" si="43"/>
        <v>23.218603126410919</v>
      </c>
      <c r="AJ18" s="105">
        <f t="shared" si="43"/>
        <v>4.7728223579616778</v>
      </c>
      <c r="AK18" s="105">
        <f t="shared" si="43"/>
        <v>44.64693149190866</v>
      </c>
      <c r="AL18" s="107">
        <f t="shared" si="43"/>
        <v>0</v>
      </c>
      <c r="AM18" s="157">
        <f t="shared" ref="AM18:AR18" si="44">SUM(AM8:AM17)</f>
        <v>10.930787014612044</v>
      </c>
      <c r="AN18" s="105">
        <f t="shared" si="44"/>
        <v>35.62221410816818</v>
      </c>
      <c r="AO18" s="105">
        <f t="shared" si="44"/>
        <v>0</v>
      </c>
      <c r="AP18" s="105">
        <f t="shared" si="44"/>
        <v>0</v>
      </c>
      <c r="AQ18" s="105">
        <f t="shared" si="44"/>
        <v>0</v>
      </c>
      <c r="AR18" s="107">
        <f t="shared" si="44"/>
        <v>0</v>
      </c>
      <c r="AS18" s="329">
        <f t="shared" si="43"/>
        <v>0</v>
      </c>
      <c r="AT18" s="349">
        <f t="shared" si="43"/>
        <v>4.7728223579616778</v>
      </c>
      <c r="AU18" s="157">
        <f t="shared" si="43"/>
        <v>41.222085195991824</v>
      </c>
      <c r="AV18" s="105">
        <f t="shared" si="43"/>
        <v>6.0519084648844697</v>
      </c>
      <c r="AW18" s="105">
        <f t="shared" si="43"/>
        <v>0</v>
      </c>
      <c r="AX18" s="105">
        <f t="shared" si="43"/>
        <v>0</v>
      </c>
      <c r="AY18" s="105">
        <f t="shared" si="43"/>
        <v>0</v>
      </c>
      <c r="AZ18" s="107">
        <f t="shared" si="43"/>
        <v>4.7728223579616778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>
        <f>SUM(AG18:AL18)</f>
        <v>479.68985875157472</v>
      </c>
      <c r="AH19" s="191" t="s">
        <v>5232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5222</v>
      </c>
      <c r="D21" s="230"/>
      <c r="E21" s="415" t="s">
        <v>596</v>
      </c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  <c r="Y21" s="413"/>
      <c r="Z21" s="413"/>
      <c r="AA21" s="414"/>
      <c r="AB21" s="215"/>
      <c r="AC21" s="415" t="s">
        <v>5220</v>
      </c>
      <c r="AD21" s="413"/>
      <c r="AE21" s="414"/>
      <c r="AG21" s="415" t="s">
        <v>5224</v>
      </c>
      <c r="AH21" s="413"/>
      <c r="AI21" s="413"/>
      <c r="AJ21" s="413"/>
      <c r="AK21" s="413"/>
      <c r="AL21" s="413"/>
      <c r="AM21" s="413"/>
      <c r="AN21" s="413"/>
      <c r="AO21" s="413"/>
      <c r="AP21" s="413"/>
      <c r="AQ21" s="413"/>
      <c r="AR21" s="413"/>
      <c r="AS21" s="413"/>
      <c r="AT21" s="413"/>
      <c r="AU21" s="413"/>
      <c r="AV21" s="413"/>
      <c r="AW21" s="413"/>
      <c r="AX21" s="413"/>
      <c r="AY21" s="413"/>
      <c r="AZ21" s="414"/>
    </row>
    <row r="22" spans="3:79" x14ac:dyDescent="0.25">
      <c r="C22" s="227" t="str">
        <f t="shared" ref="C22:C31" si="45">C8</f>
        <v>0</v>
      </c>
      <c r="D22" s="71"/>
      <c r="E22" s="97"/>
      <c r="F22" s="63">
        <f t="shared" ref="F22:AA22" si="46">SUM(F52:F56)</f>
        <v>0</v>
      </c>
      <c r="G22" s="111">
        <f t="shared" si="46"/>
        <v>0</v>
      </c>
      <c r="H22" s="94">
        <f t="shared" si="46"/>
        <v>0</v>
      </c>
      <c r="I22" s="94">
        <f t="shared" si="46"/>
        <v>0</v>
      </c>
      <c r="J22" s="94">
        <f t="shared" si="46"/>
        <v>0</v>
      </c>
      <c r="K22" s="94">
        <f t="shared" si="46"/>
        <v>0</v>
      </c>
      <c r="L22" s="94">
        <f t="shared" si="46"/>
        <v>0</v>
      </c>
      <c r="M22" s="94">
        <f t="shared" si="46"/>
        <v>0</v>
      </c>
      <c r="N22" s="94">
        <f t="shared" ref="N22:S22" si="47">SUM(N52:N56)</f>
        <v>0</v>
      </c>
      <c r="O22" s="94">
        <f t="shared" si="47"/>
        <v>0</v>
      </c>
      <c r="P22" s="94">
        <f t="shared" si="47"/>
        <v>0</v>
      </c>
      <c r="Q22" s="94">
        <f t="shared" si="47"/>
        <v>0</v>
      </c>
      <c r="R22" s="94">
        <f t="shared" si="47"/>
        <v>0</v>
      </c>
      <c r="S22" s="94">
        <f t="shared" si="47"/>
        <v>0</v>
      </c>
      <c r="T22" s="94">
        <f t="shared" si="46"/>
        <v>0</v>
      </c>
      <c r="U22" s="94">
        <f t="shared" si="46"/>
        <v>0</v>
      </c>
      <c r="V22" s="94">
        <f t="shared" si="46"/>
        <v>0</v>
      </c>
      <c r="W22" s="94">
        <f t="shared" si="46"/>
        <v>0</v>
      </c>
      <c r="X22" s="94">
        <f t="shared" si="46"/>
        <v>0</v>
      </c>
      <c r="Y22" s="94">
        <f t="shared" si="46"/>
        <v>0</v>
      </c>
      <c r="Z22" s="94">
        <f t="shared" si="46"/>
        <v>0</v>
      </c>
      <c r="AA22" s="103">
        <f t="shared" si="46"/>
        <v>0</v>
      </c>
      <c r="AB22" s="215"/>
      <c r="AC22" s="183" t="e">
        <f>AK52+AK36</f>
        <v>#DIV/0!</v>
      </c>
      <c r="AD22" s="101">
        <f>AJ52+AJ55</f>
        <v>0</v>
      </c>
      <c r="AE22" s="295" t="e">
        <f t="shared" ref="AE22" si="48">G22/AD22</f>
        <v>#DIV/0!</v>
      </c>
      <c r="AG22" s="155" t="e">
        <f t="shared" ref="AG22:AR22" si="49">BG52+BG55</f>
        <v>#DIV/0!</v>
      </c>
      <c r="AH22" s="94" t="e">
        <f t="shared" si="49"/>
        <v>#DIV/0!</v>
      </c>
      <c r="AI22" s="94" t="e">
        <f t="shared" si="49"/>
        <v>#DIV/0!</v>
      </c>
      <c r="AJ22" s="94" t="e">
        <f t="shared" si="49"/>
        <v>#DIV/0!</v>
      </c>
      <c r="AK22" s="94" t="e">
        <f t="shared" si="49"/>
        <v>#DIV/0!</v>
      </c>
      <c r="AL22" s="94" t="e">
        <f t="shared" si="49"/>
        <v>#DIV/0!</v>
      </c>
      <c r="AM22" s="94" t="e">
        <f t="shared" si="49"/>
        <v>#DIV/0!</v>
      </c>
      <c r="AN22" s="94" t="e">
        <f t="shared" si="49"/>
        <v>#DIV/0!</v>
      </c>
      <c r="AO22" s="94" t="e">
        <f t="shared" si="49"/>
        <v>#DIV/0!</v>
      </c>
      <c r="AP22" s="94" t="e">
        <f t="shared" si="49"/>
        <v>#DIV/0!</v>
      </c>
      <c r="AQ22" s="94" t="e">
        <f t="shared" si="49"/>
        <v>#DIV/0!</v>
      </c>
      <c r="AR22" s="94" t="e">
        <f t="shared" si="49"/>
        <v>#DIV/0!</v>
      </c>
      <c r="AS22" s="94" t="e">
        <f t="shared" ref="AS22:AZ22" si="50">BS52+BS55</f>
        <v>#DIV/0!</v>
      </c>
      <c r="AT22" s="94" t="e">
        <f t="shared" si="50"/>
        <v>#DIV/0!</v>
      </c>
      <c r="AU22" s="94" t="e">
        <f t="shared" si="50"/>
        <v>#DIV/0!</v>
      </c>
      <c r="AV22" s="94" t="e">
        <f t="shared" si="50"/>
        <v>#DIV/0!</v>
      </c>
      <c r="AW22" s="94" t="e">
        <f t="shared" si="50"/>
        <v>#DIV/0!</v>
      </c>
      <c r="AX22" s="94" t="e">
        <f t="shared" si="50"/>
        <v>#DIV/0!</v>
      </c>
      <c r="AY22" s="94" t="e">
        <f t="shared" si="50"/>
        <v>#DIV/0!</v>
      </c>
      <c r="AZ22" s="103" t="e">
        <f t="shared" si="50"/>
        <v>#DIV/0!</v>
      </c>
    </row>
    <row r="23" spans="3:79" x14ac:dyDescent="0.25">
      <c r="C23" s="227" t="str">
        <f t="shared" si="45"/>
        <v>Sept 15-21</v>
      </c>
      <c r="D23" s="96"/>
      <c r="E23" s="96"/>
      <c r="F23" s="63">
        <f t="shared" ref="F23:AA23" si="51">SUM(F57:F61)</f>
        <v>56</v>
      </c>
      <c r="G23" s="111">
        <f t="shared" si="51"/>
        <v>120.88</v>
      </c>
      <c r="H23" s="94">
        <f t="shared" si="51"/>
        <v>0</v>
      </c>
      <c r="I23" s="94">
        <f t="shared" si="51"/>
        <v>0</v>
      </c>
      <c r="J23" s="94">
        <f t="shared" si="51"/>
        <v>0</v>
      </c>
      <c r="K23" s="94">
        <f t="shared" si="51"/>
        <v>0</v>
      </c>
      <c r="L23" s="94">
        <f t="shared" si="51"/>
        <v>0</v>
      </c>
      <c r="M23" s="94">
        <f t="shared" si="51"/>
        <v>0</v>
      </c>
      <c r="N23" s="94">
        <f t="shared" ref="N23:S23" si="52">SUM(N57:N61)</f>
        <v>0</v>
      </c>
      <c r="O23" s="94">
        <f t="shared" si="52"/>
        <v>0</v>
      </c>
      <c r="P23" s="94">
        <f t="shared" si="52"/>
        <v>0</v>
      </c>
      <c r="Q23" s="94">
        <f t="shared" si="52"/>
        <v>0</v>
      </c>
      <c r="R23" s="94">
        <f t="shared" si="52"/>
        <v>0</v>
      </c>
      <c r="S23" s="94">
        <f t="shared" si="52"/>
        <v>0</v>
      </c>
      <c r="T23" s="94">
        <f t="shared" si="51"/>
        <v>0</v>
      </c>
      <c r="U23" s="94">
        <f t="shared" si="51"/>
        <v>0</v>
      </c>
      <c r="V23" s="94">
        <f t="shared" si="51"/>
        <v>2</v>
      </c>
      <c r="W23" s="94">
        <f t="shared" si="51"/>
        <v>0</v>
      </c>
      <c r="X23" s="94">
        <f t="shared" si="51"/>
        <v>0</v>
      </c>
      <c r="Y23" s="94">
        <f t="shared" si="51"/>
        <v>0</v>
      </c>
      <c r="Z23" s="94">
        <f t="shared" si="51"/>
        <v>0</v>
      </c>
      <c r="AA23" s="103">
        <f t="shared" si="51"/>
        <v>0</v>
      </c>
      <c r="AB23" s="215">
        <v>0</v>
      </c>
      <c r="AC23" s="183">
        <f>AK57+AK60</f>
        <v>219.73705067015919</v>
      </c>
      <c r="AD23" s="94">
        <f>AJ57+AJ60</f>
        <v>436.36842105263156</v>
      </c>
      <c r="AE23" s="166">
        <f t="shared" ref="AE23:AE32" si="53">G23/AD23</f>
        <v>0.27701362923652151</v>
      </c>
      <c r="AG23" s="155">
        <f t="shared" ref="AG23:AR23" si="54">BG57+BG60</f>
        <v>0</v>
      </c>
      <c r="AH23" s="94">
        <f t="shared" si="54"/>
        <v>0</v>
      </c>
      <c r="AI23" s="94">
        <f t="shared" si="54"/>
        <v>0</v>
      </c>
      <c r="AJ23" s="94">
        <f t="shared" si="54"/>
        <v>0</v>
      </c>
      <c r="AK23" s="94">
        <f t="shared" si="54"/>
        <v>0</v>
      </c>
      <c r="AL23" s="94">
        <f t="shared" si="54"/>
        <v>0</v>
      </c>
      <c r="AM23" s="94">
        <f t="shared" si="54"/>
        <v>0</v>
      </c>
      <c r="AN23" s="94">
        <f t="shared" si="54"/>
        <v>0</v>
      </c>
      <c r="AO23" s="94">
        <f t="shared" si="54"/>
        <v>0</v>
      </c>
      <c r="AP23" s="94">
        <f t="shared" si="54"/>
        <v>0</v>
      </c>
      <c r="AQ23" s="94">
        <f t="shared" si="54"/>
        <v>0</v>
      </c>
      <c r="AR23" s="94">
        <f t="shared" si="54"/>
        <v>0</v>
      </c>
      <c r="AS23" s="94">
        <f t="shared" ref="AS23:AZ23" si="55">BS57+BS60</f>
        <v>0</v>
      </c>
      <c r="AT23" s="94">
        <f t="shared" si="55"/>
        <v>0</v>
      </c>
      <c r="AU23" s="94">
        <f t="shared" si="55"/>
        <v>17.110505347032923</v>
      </c>
      <c r="AV23" s="94">
        <f t="shared" si="55"/>
        <v>0</v>
      </c>
      <c r="AW23" s="94">
        <f t="shared" si="55"/>
        <v>0</v>
      </c>
      <c r="AX23" s="94">
        <f t="shared" si="55"/>
        <v>0</v>
      </c>
      <c r="AY23" s="94">
        <f t="shared" si="55"/>
        <v>0</v>
      </c>
      <c r="AZ23" s="103">
        <f t="shared" si="55"/>
        <v>0</v>
      </c>
    </row>
    <row r="24" spans="3:79" x14ac:dyDescent="0.25">
      <c r="C24" s="227" t="str">
        <f t="shared" si="45"/>
        <v>Sept 21-28</v>
      </c>
      <c r="D24" s="96"/>
      <c r="E24" s="96"/>
      <c r="F24" s="63">
        <f t="shared" ref="F24:AA24" si="56">SUM(F62:F66)</f>
        <v>78</v>
      </c>
      <c r="G24" s="111">
        <f t="shared" si="56"/>
        <v>161.47</v>
      </c>
      <c r="H24" s="94">
        <f t="shared" si="56"/>
        <v>4</v>
      </c>
      <c r="I24" s="94">
        <f t="shared" si="56"/>
        <v>3</v>
      </c>
      <c r="J24" s="94">
        <f t="shared" si="56"/>
        <v>1</v>
      </c>
      <c r="K24" s="94">
        <f t="shared" si="56"/>
        <v>0</v>
      </c>
      <c r="L24" s="94">
        <f t="shared" si="56"/>
        <v>1</v>
      </c>
      <c r="M24" s="94">
        <f t="shared" si="56"/>
        <v>0</v>
      </c>
      <c r="N24" s="94">
        <f t="shared" ref="N24:S24" si="57">SUM(N62:N66)</f>
        <v>0</v>
      </c>
      <c r="O24" s="94">
        <f t="shared" si="57"/>
        <v>0</v>
      </c>
      <c r="P24" s="94">
        <f t="shared" si="57"/>
        <v>0</v>
      </c>
      <c r="Q24" s="94">
        <f t="shared" si="57"/>
        <v>0</v>
      </c>
      <c r="R24" s="94">
        <f t="shared" si="57"/>
        <v>0</v>
      </c>
      <c r="S24" s="94">
        <f t="shared" si="57"/>
        <v>0</v>
      </c>
      <c r="T24" s="94">
        <f t="shared" si="56"/>
        <v>0</v>
      </c>
      <c r="U24" s="94">
        <f t="shared" si="56"/>
        <v>0</v>
      </c>
      <c r="V24" s="94">
        <f t="shared" si="56"/>
        <v>0</v>
      </c>
      <c r="W24" s="94">
        <f t="shared" si="56"/>
        <v>0</v>
      </c>
      <c r="X24" s="94">
        <f t="shared" si="56"/>
        <v>0</v>
      </c>
      <c r="Y24" s="94">
        <f t="shared" si="56"/>
        <v>0</v>
      </c>
      <c r="Z24" s="94">
        <f t="shared" si="56"/>
        <v>0</v>
      </c>
      <c r="AA24" s="103">
        <f t="shared" si="56"/>
        <v>0</v>
      </c>
      <c r="AB24" s="215">
        <f t="shared" ref="AB24:AB29" si="58">SUM(G24)/SUM(H24:M24)</f>
        <v>17.941111111111113</v>
      </c>
      <c r="AC24" s="183">
        <f>AK62+AK65</f>
        <v>378.40154611431467</v>
      </c>
      <c r="AD24" s="94">
        <f>AJ62+AJ65</f>
        <v>698.84210526315792</v>
      </c>
      <c r="AE24" s="166">
        <f t="shared" si="53"/>
        <v>0.23105362253351408</v>
      </c>
      <c r="AG24" s="155">
        <f t="shared" ref="AG24:AR24" si="59">BG62+BG65</f>
        <v>29.391418154622791</v>
      </c>
      <c r="AH24" s="94">
        <f t="shared" si="59"/>
        <v>12.770653715927583</v>
      </c>
      <c r="AI24" s="94">
        <f t="shared" si="59"/>
        <v>7.3478545386556977</v>
      </c>
      <c r="AJ24" s="94">
        <f t="shared" si="59"/>
        <v>0</v>
      </c>
      <c r="AK24" s="94">
        <f t="shared" si="59"/>
        <v>2.7113995886359432</v>
      </c>
      <c r="AL24" s="94">
        <f t="shared" si="59"/>
        <v>0</v>
      </c>
      <c r="AM24" s="94">
        <f t="shared" si="59"/>
        <v>0</v>
      </c>
      <c r="AN24" s="94">
        <f t="shared" si="59"/>
        <v>0</v>
      </c>
      <c r="AO24" s="94">
        <f t="shared" si="59"/>
        <v>0</v>
      </c>
      <c r="AP24" s="94">
        <f t="shared" si="59"/>
        <v>0</v>
      </c>
      <c r="AQ24" s="94">
        <f t="shared" si="59"/>
        <v>0</v>
      </c>
      <c r="AR24" s="94">
        <f t="shared" si="59"/>
        <v>0</v>
      </c>
      <c r="AS24" s="94">
        <f t="shared" ref="AS24:AZ24" si="60">BS62+BS65</f>
        <v>0</v>
      </c>
      <c r="AT24" s="94">
        <f t="shared" si="60"/>
        <v>0</v>
      </c>
      <c r="AU24" s="94">
        <f t="shared" si="60"/>
        <v>0</v>
      </c>
      <c r="AV24" s="94">
        <f t="shared" si="60"/>
        <v>0</v>
      </c>
      <c r="AW24" s="94">
        <f t="shared" si="60"/>
        <v>0</v>
      </c>
      <c r="AX24" s="94">
        <f t="shared" si="60"/>
        <v>0</v>
      </c>
      <c r="AY24" s="94">
        <f t="shared" si="60"/>
        <v>0</v>
      </c>
      <c r="AZ24" s="103">
        <f t="shared" si="60"/>
        <v>0</v>
      </c>
    </row>
    <row r="25" spans="3:79" x14ac:dyDescent="0.25">
      <c r="C25" s="227" t="str">
        <f t="shared" si="45"/>
        <v>Sept 29-Oct 5</v>
      </c>
      <c r="D25" s="96"/>
      <c r="E25" s="96"/>
      <c r="F25" s="63">
        <f t="shared" ref="F25:AA25" si="61">SUM(F67:F71)</f>
        <v>96</v>
      </c>
      <c r="G25" s="111">
        <f t="shared" si="61"/>
        <v>155.95000000000002</v>
      </c>
      <c r="H25" s="94">
        <f t="shared" si="61"/>
        <v>2</v>
      </c>
      <c r="I25" s="94">
        <f t="shared" si="61"/>
        <v>7</v>
      </c>
      <c r="J25" s="94">
        <f t="shared" si="61"/>
        <v>1</v>
      </c>
      <c r="K25" s="94">
        <f t="shared" si="61"/>
        <v>0</v>
      </c>
      <c r="L25" s="94">
        <f t="shared" si="61"/>
        <v>0</v>
      </c>
      <c r="M25" s="94">
        <f t="shared" si="61"/>
        <v>0</v>
      </c>
      <c r="N25" s="94">
        <f t="shared" ref="N25:S25" si="62">SUM(N67:N71)</f>
        <v>0</v>
      </c>
      <c r="O25" s="94">
        <f t="shared" si="62"/>
        <v>0</v>
      </c>
      <c r="P25" s="94">
        <f t="shared" si="62"/>
        <v>0</v>
      </c>
      <c r="Q25" s="94">
        <f t="shared" si="62"/>
        <v>0</v>
      </c>
      <c r="R25" s="94">
        <f t="shared" si="62"/>
        <v>0</v>
      </c>
      <c r="S25" s="94">
        <f t="shared" si="62"/>
        <v>0</v>
      </c>
      <c r="T25" s="94">
        <f t="shared" si="61"/>
        <v>0</v>
      </c>
      <c r="U25" s="94">
        <f t="shared" si="61"/>
        <v>0</v>
      </c>
      <c r="V25" s="94">
        <f t="shared" si="61"/>
        <v>5</v>
      </c>
      <c r="W25" s="94">
        <f t="shared" si="61"/>
        <v>0</v>
      </c>
      <c r="X25" s="94">
        <f t="shared" si="61"/>
        <v>0</v>
      </c>
      <c r="Y25" s="94">
        <f t="shared" si="61"/>
        <v>0</v>
      </c>
      <c r="Z25" s="94">
        <f t="shared" si="61"/>
        <v>0</v>
      </c>
      <c r="AA25" s="103">
        <f t="shared" si="61"/>
        <v>0</v>
      </c>
      <c r="AB25" s="215">
        <f t="shared" si="58"/>
        <v>15.595000000000002</v>
      </c>
      <c r="AC25" s="183">
        <f>AK67+AK70</f>
        <v>886.35987427947896</v>
      </c>
      <c r="AD25" s="94">
        <f>AJ67+AJ70</f>
        <v>798.94736842105272</v>
      </c>
      <c r="AE25" s="166">
        <f t="shared" si="53"/>
        <v>0.19519433465085639</v>
      </c>
      <c r="AG25" s="155">
        <f t="shared" ref="AG25:AR25" si="63">BG67+BG70</f>
        <v>5.8263740532142165</v>
      </c>
      <c r="AH25" s="94">
        <f t="shared" si="63"/>
        <v>20.392309186249758</v>
      </c>
      <c r="AI25" s="94">
        <f t="shared" si="63"/>
        <v>2.9131870266071083</v>
      </c>
      <c r="AJ25" s="94">
        <f t="shared" si="63"/>
        <v>0</v>
      </c>
      <c r="AK25" s="94">
        <f t="shared" si="63"/>
        <v>0</v>
      </c>
      <c r="AL25" s="94">
        <f t="shared" si="63"/>
        <v>0</v>
      </c>
      <c r="AM25" s="94">
        <f t="shared" si="63"/>
        <v>0</v>
      </c>
      <c r="AN25" s="94">
        <f t="shared" si="63"/>
        <v>0</v>
      </c>
      <c r="AO25" s="94">
        <f t="shared" si="63"/>
        <v>0</v>
      </c>
      <c r="AP25" s="94">
        <f t="shared" si="63"/>
        <v>0</v>
      </c>
      <c r="AQ25" s="94">
        <f t="shared" si="63"/>
        <v>0</v>
      </c>
      <c r="AR25" s="94">
        <f t="shared" si="63"/>
        <v>0</v>
      </c>
      <c r="AS25" s="94">
        <f t="shared" ref="AS25:AZ25" si="64">BS67+BS70</f>
        <v>0</v>
      </c>
      <c r="AT25" s="94">
        <f t="shared" si="64"/>
        <v>0</v>
      </c>
      <c r="AU25" s="94">
        <f t="shared" si="64"/>
        <v>14.565935133035541</v>
      </c>
      <c r="AV25" s="94">
        <f t="shared" si="64"/>
        <v>0</v>
      </c>
      <c r="AW25" s="94">
        <f t="shared" si="64"/>
        <v>0</v>
      </c>
      <c r="AX25" s="94">
        <f t="shared" si="64"/>
        <v>0</v>
      </c>
      <c r="AY25" s="94">
        <f t="shared" si="64"/>
        <v>0</v>
      </c>
      <c r="AZ25" s="103">
        <f t="shared" si="64"/>
        <v>0</v>
      </c>
    </row>
    <row r="26" spans="3:79" x14ac:dyDescent="0.25">
      <c r="C26" s="227" t="str">
        <f t="shared" si="45"/>
        <v>Oct 6-Oct 12</v>
      </c>
      <c r="D26" s="96"/>
      <c r="E26" s="96"/>
      <c r="F26" s="63">
        <f t="shared" ref="F26:AA26" si="65">SUM(F72:F76)</f>
        <v>169</v>
      </c>
      <c r="G26" s="111">
        <f t="shared" si="65"/>
        <v>385.46</v>
      </c>
      <c r="H26" s="94">
        <f t="shared" si="65"/>
        <v>12</v>
      </c>
      <c r="I26" s="94">
        <f t="shared" si="65"/>
        <v>22</v>
      </c>
      <c r="J26" s="94">
        <f t="shared" si="65"/>
        <v>1</v>
      </c>
      <c r="K26" s="94">
        <f t="shared" si="65"/>
        <v>1</v>
      </c>
      <c r="L26" s="94">
        <f t="shared" si="65"/>
        <v>0</v>
      </c>
      <c r="M26" s="94">
        <f t="shared" si="65"/>
        <v>0</v>
      </c>
      <c r="N26" s="94">
        <f t="shared" ref="N26:S26" si="66">SUM(N72:N76)</f>
        <v>1</v>
      </c>
      <c r="O26" s="94">
        <f t="shared" si="66"/>
        <v>0</v>
      </c>
      <c r="P26" s="94">
        <f t="shared" si="66"/>
        <v>0</v>
      </c>
      <c r="Q26" s="94">
        <f t="shared" si="66"/>
        <v>0</v>
      </c>
      <c r="R26" s="94">
        <f t="shared" si="66"/>
        <v>0</v>
      </c>
      <c r="S26" s="94">
        <f t="shared" si="66"/>
        <v>0</v>
      </c>
      <c r="T26" s="94">
        <f t="shared" si="65"/>
        <v>0</v>
      </c>
      <c r="U26" s="94">
        <f t="shared" si="65"/>
        <v>1</v>
      </c>
      <c r="V26" s="94">
        <f t="shared" si="65"/>
        <v>2</v>
      </c>
      <c r="W26" s="94">
        <f t="shared" si="65"/>
        <v>0</v>
      </c>
      <c r="X26" s="94">
        <f t="shared" si="65"/>
        <v>0</v>
      </c>
      <c r="Y26" s="94">
        <f t="shared" si="65"/>
        <v>0</v>
      </c>
      <c r="Z26" s="94">
        <f t="shared" si="65"/>
        <v>0</v>
      </c>
      <c r="AA26" s="103">
        <f t="shared" si="65"/>
        <v>1</v>
      </c>
      <c r="AB26" s="215">
        <f t="shared" si="58"/>
        <v>10.707222222222221</v>
      </c>
      <c r="AC26" s="183">
        <f>AK72+AK75</f>
        <v>608.38442687759425</v>
      </c>
      <c r="AD26" s="94">
        <f>AJ72+AJ75</f>
        <v>1387.3684210526317</v>
      </c>
      <c r="AE26" s="166">
        <f t="shared" si="53"/>
        <v>0.27783535660091041</v>
      </c>
      <c r="AG26" s="155">
        <f t="shared" ref="AG26:AR26" si="67">BG72+BG75</f>
        <v>43.398289682285075</v>
      </c>
      <c r="AH26" s="94">
        <f t="shared" si="67"/>
        <v>81.215385681005387</v>
      </c>
      <c r="AI26" s="94">
        <f t="shared" si="67"/>
        <v>4.7728223579616778</v>
      </c>
      <c r="AJ26" s="94">
        <f t="shared" si="67"/>
        <v>4.7728223579616778</v>
      </c>
      <c r="AK26" s="94">
        <f t="shared" si="67"/>
        <v>0</v>
      </c>
      <c r="AL26" s="94">
        <f t="shared" si="67"/>
        <v>0</v>
      </c>
      <c r="AM26" s="94">
        <f t="shared" si="67"/>
        <v>2.7905968417823841</v>
      </c>
      <c r="AN26" s="94">
        <f t="shared" si="67"/>
        <v>0</v>
      </c>
      <c r="AO26" s="94">
        <f t="shared" si="67"/>
        <v>0</v>
      </c>
      <c r="AP26" s="94">
        <f t="shared" si="67"/>
        <v>0</v>
      </c>
      <c r="AQ26" s="94">
        <f t="shared" si="67"/>
        <v>0</v>
      </c>
      <c r="AR26" s="94">
        <f t="shared" si="67"/>
        <v>0</v>
      </c>
      <c r="AS26" s="94">
        <f t="shared" ref="AS26:AZ26" si="68">BS72+BS75</f>
        <v>0</v>
      </c>
      <c r="AT26" s="94">
        <f t="shared" si="68"/>
        <v>4.7728223579616778</v>
      </c>
      <c r="AU26" s="94">
        <f t="shared" si="68"/>
        <v>9.5456447159233555</v>
      </c>
      <c r="AV26" s="94">
        <f t="shared" si="68"/>
        <v>0</v>
      </c>
      <c r="AW26" s="94">
        <f t="shared" si="68"/>
        <v>0</v>
      </c>
      <c r="AX26" s="94">
        <f t="shared" si="68"/>
        <v>0</v>
      </c>
      <c r="AY26" s="94">
        <f t="shared" si="68"/>
        <v>0</v>
      </c>
      <c r="AZ26" s="103">
        <f t="shared" si="68"/>
        <v>4.7728223579616778</v>
      </c>
    </row>
    <row r="27" spans="3:79" x14ac:dyDescent="0.25">
      <c r="C27" s="227" t="str">
        <f t="shared" si="45"/>
        <v>Oct 13-19</v>
      </c>
      <c r="D27" s="96"/>
      <c r="E27" s="96"/>
      <c r="F27" s="63">
        <f t="shared" ref="F27:AA27" si="69">SUM(F77:F81)</f>
        <v>149</v>
      </c>
      <c r="G27" s="111">
        <f t="shared" si="69"/>
        <v>341.13</v>
      </c>
      <c r="H27" s="94">
        <f t="shared" si="69"/>
        <v>12</v>
      </c>
      <c r="I27" s="94">
        <f t="shared" si="69"/>
        <v>14</v>
      </c>
      <c r="J27" s="94">
        <f t="shared" si="69"/>
        <v>1</v>
      </c>
      <c r="K27" s="94">
        <f t="shared" si="69"/>
        <v>0</v>
      </c>
      <c r="L27" s="94">
        <f t="shared" si="69"/>
        <v>0</v>
      </c>
      <c r="M27" s="94">
        <f t="shared" si="69"/>
        <v>0</v>
      </c>
      <c r="N27" s="94">
        <f t="shared" ref="N27:S27" si="70">SUM(N77:N81)</f>
        <v>2</v>
      </c>
      <c r="O27" s="94">
        <f t="shared" si="70"/>
        <v>0</v>
      </c>
      <c r="P27" s="94">
        <f t="shared" si="70"/>
        <v>0</v>
      </c>
      <c r="Q27" s="94">
        <f t="shared" si="70"/>
        <v>0</v>
      </c>
      <c r="R27" s="94">
        <f t="shared" si="70"/>
        <v>0</v>
      </c>
      <c r="S27" s="94">
        <f t="shared" si="70"/>
        <v>0</v>
      </c>
      <c r="T27" s="94">
        <f t="shared" si="69"/>
        <v>0</v>
      </c>
      <c r="U27" s="94">
        <f t="shared" si="69"/>
        <v>0</v>
      </c>
      <c r="V27" s="94">
        <f t="shared" si="69"/>
        <v>0</v>
      </c>
      <c r="W27" s="94">
        <f t="shared" si="69"/>
        <v>0</v>
      </c>
      <c r="X27" s="94">
        <f t="shared" si="69"/>
        <v>0</v>
      </c>
      <c r="Y27" s="94">
        <f t="shared" si="69"/>
        <v>0</v>
      </c>
      <c r="Z27" s="94">
        <f t="shared" si="69"/>
        <v>0</v>
      </c>
      <c r="AA27" s="103">
        <f t="shared" si="69"/>
        <v>0</v>
      </c>
      <c r="AB27" s="215">
        <f t="shared" si="58"/>
        <v>12.634444444444444</v>
      </c>
      <c r="AC27" s="183">
        <f>AK77+AK80</f>
        <v>710.32090978982978</v>
      </c>
      <c r="AD27" s="94">
        <f>AJ77+AJ80</f>
        <v>1204.3333333333333</v>
      </c>
      <c r="AE27" s="166">
        <f t="shared" si="53"/>
        <v>0.28325214503182949</v>
      </c>
      <c r="AG27" s="155">
        <f t="shared" ref="AG27:AR27" si="71">BG77+BG80</f>
        <v>36.118671476658093</v>
      </c>
      <c r="AH27" s="94">
        <f t="shared" si="71"/>
        <v>46.278329986873047</v>
      </c>
      <c r="AI27" s="94">
        <f t="shared" si="71"/>
        <v>8.1847392031864334</v>
      </c>
      <c r="AJ27" s="94">
        <f t="shared" si="71"/>
        <v>0</v>
      </c>
      <c r="AK27" s="94">
        <f t="shared" si="71"/>
        <v>0</v>
      </c>
      <c r="AL27" s="94">
        <f t="shared" si="71"/>
        <v>0</v>
      </c>
      <c r="AM27" s="94">
        <f t="shared" si="71"/>
        <v>3.9498386140570454</v>
      </c>
      <c r="AN27" s="94">
        <f t="shared" si="71"/>
        <v>0</v>
      </c>
      <c r="AO27" s="94">
        <f t="shared" si="71"/>
        <v>0</v>
      </c>
      <c r="AP27" s="94">
        <f t="shared" si="71"/>
        <v>0</v>
      </c>
      <c r="AQ27" s="94">
        <f t="shared" si="71"/>
        <v>0</v>
      </c>
      <c r="AR27" s="94">
        <f t="shared" si="71"/>
        <v>0</v>
      </c>
      <c r="AS27" s="94">
        <f t="shared" ref="AS27:AZ27" si="72">BS77+BS80</f>
        <v>0</v>
      </c>
      <c r="AT27" s="94">
        <f t="shared" si="72"/>
        <v>0</v>
      </c>
      <c r="AU27" s="94">
        <f t="shared" si="72"/>
        <v>0</v>
      </c>
      <c r="AV27" s="94">
        <f t="shared" si="72"/>
        <v>0</v>
      </c>
      <c r="AW27" s="94">
        <f t="shared" si="72"/>
        <v>0</v>
      </c>
      <c r="AX27" s="94">
        <f t="shared" si="72"/>
        <v>0</v>
      </c>
      <c r="AY27" s="94">
        <f t="shared" si="72"/>
        <v>0</v>
      </c>
      <c r="AZ27" s="103">
        <f t="shared" si="72"/>
        <v>0</v>
      </c>
    </row>
    <row r="28" spans="3:79" x14ac:dyDescent="0.25">
      <c r="C28" s="227" t="str">
        <f t="shared" si="45"/>
        <v>Oct 20-26</v>
      </c>
      <c r="D28" s="179"/>
      <c r="E28" s="179"/>
      <c r="F28" s="63">
        <f t="shared" ref="F28:AA28" si="73">SUM(F82:F86)</f>
        <v>128</v>
      </c>
      <c r="G28" s="111">
        <f t="shared" si="73"/>
        <v>383.7</v>
      </c>
      <c r="H28" s="94">
        <f t="shared" si="73"/>
        <v>4</v>
      </c>
      <c r="I28" s="94">
        <f t="shared" si="73"/>
        <v>10</v>
      </c>
      <c r="J28" s="94">
        <f t="shared" si="73"/>
        <v>0</v>
      </c>
      <c r="K28" s="94">
        <f t="shared" si="73"/>
        <v>0</v>
      </c>
      <c r="L28" s="94">
        <f t="shared" si="73"/>
        <v>1</v>
      </c>
      <c r="M28" s="94">
        <f t="shared" si="73"/>
        <v>0</v>
      </c>
      <c r="N28" s="94">
        <f t="shared" ref="N28:S28" si="74">SUM(N82:N86)</f>
        <v>1</v>
      </c>
      <c r="O28" s="94">
        <f t="shared" si="74"/>
        <v>0</v>
      </c>
      <c r="P28" s="94">
        <f t="shared" si="74"/>
        <v>0</v>
      </c>
      <c r="Q28" s="94">
        <f t="shared" si="74"/>
        <v>0</v>
      </c>
      <c r="R28" s="94">
        <f t="shared" si="74"/>
        <v>0</v>
      </c>
      <c r="S28" s="94">
        <f t="shared" si="74"/>
        <v>0</v>
      </c>
      <c r="T28" s="94">
        <f t="shared" si="73"/>
        <v>0</v>
      </c>
      <c r="U28" s="94">
        <f t="shared" si="73"/>
        <v>0</v>
      </c>
      <c r="V28" s="94">
        <f t="shared" si="73"/>
        <v>0</v>
      </c>
      <c r="W28" s="94">
        <f t="shared" si="73"/>
        <v>0</v>
      </c>
      <c r="X28" s="94">
        <f t="shared" si="73"/>
        <v>0</v>
      </c>
      <c r="Y28" s="94">
        <f t="shared" si="73"/>
        <v>0</v>
      </c>
      <c r="Z28" s="94">
        <f t="shared" si="73"/>
        <v>0</v>
      </c>
      <c r="AA28" s="103">
        <f t="shared" si="73"/>
        <v>0</v>
      </c>
      <c r="AB28" s="215">
        <f t="shared" si="58"/>
        <v>25.58</v>
      </c>
      <c r="AC28" s="183">
        <f>AK82+AK85</f>
        <v>353.28058307934475</v>
      </c>
      <c r="AD28" s="94">
        <f>AJ82+AJ85</f>
        <v>985.35087719298258</v>
      </c>
      <c r="AE28" s="166">
        <f t="shared" si="53"/>
        <v>0.38940443336597519</v>
      </c>
      <c r="AG28" s="155">
        <f t="shared" ref="AG28:AR28" si="75">BG82+BG85</f>
        <v>16.761406235090451</v>
      </c>
      <c r="AH28" s="94">
        <f t="shared" si="75"/>
        <v>41.903515587726126</v>
      </c>
      <c r="AI28" s="94">
        <f t="shared" si="75"/>
        <v>0</v>
      </c>
      <c r="AJ28" s="94">
        <f t="shared" si="75"/>
        <v>0</v>
      </c>
      <c r="AK28" s="94">
        <f t="shared" si="75"/>
        <v>4.1903515587726128</v>
      </c>
      <c r="AL28" s="94">
        <f t="shared" si="75"/>
        <v>0</v>
      </c>
      <c r="AM28" s="94">
        <f t="shared" si="75"/>
        <v>4.1903515587726128</v>
      </c>
      <c r="AN28" s="94">
        <f t="shared" si="75"/>
        <v>0</v>
      </c>
      <c r="AO28" s="94">
        <f t="shared" si="75"/>
        <v>0</v>
      </c>
      <c r="AP28" s="94">
        <f t="shared" si="75"/>
        <v>0</v>
      </c>
      <c r="AQ28" s="94">
        <f t="shared" si="75"/>
        <v>0</v>
      </c>
      <c r="AR28" s="94">
        <f t="shared" si="75"/>
        <v>0</v>
      </c>
      <c r="AS28" s="94">
        <f t="shared" ref="AS28:AZ28" si="76">BS82+BS85</f>
        <v>0</v>
      </c>
      <c r="AT28" s="94">
        <f t="shared" si="76"/>
        <v>0</v>
      </c>
      <c r="AU28" s="94">
        <f t="shared" si="76"/>
        <v>0</v>
      </c>
      <c r="AV28" s="94">
        <f t="shared" si="76"/>
        <v>0</v>
      </c>
      <c r="AW28" s="94">
        <f t="shared" si="76"/>
        <v>0</v>
      </c>
      <c r="AX28" s="94">
        <f t="shared" si="76"/>
        <v>0</v>
      </c>
      <c r="AY28" s="94">
        <f t="shared" si="76"/>
        <v>0</v>
      </c>
      <c r="AZ28" s="103">
        <f t="shared" si="76"/>
        <v>0</v>
      </c>
    </row>
    <row r="29" spans="3:79" x14ac:dyDescent="0.25">
      <c r="C29" s="227" t="str">
        <f t="shared" si="45"/>
        <v>Oct 27-Nov 2</v>
      </c>
      <c r="D29" s="179"/>
      <c r="E29" s="179"/>
      <c r="F29" s="63">
        <f>SUM(F87:F91)</f>
        <v>111</v>
      </c>
      <c r="G29" s="63">
        <f t="shared" ref="G29:AA29" si="77">SUM(G87:G91)</f>
        <v>210.16000000000003</v>
      </c>
      <c r="H29" s="63">
        <f t="shared" si="77"/>
        <v>3</v>
      </c>
      <c r="I29" s="63">
        <f t="shared" si="77"/>
        <v>12</v>
      </c>
      <c r="J29" s="63">
        <f t="shared" si="77"/>
        <v>0</v>
      </c>
      <c r="K29" s="63">
        <f t="shared" si="77"/>
        <v>0</v>
      </c>
      <c r="L29" s="63">
        <f t="shared" si="77"/>
        <v>8</v>
      </c>
      <c r="M29" s="63">
        <f t="shared" si="77"/>
        <v>0</v>
      </c>
      <c r="N29" s="63">
        <f t="shared" si="77"/>
        <v>0</v>
      </c>
      <c r="O29" s="63">
        <f t="shared" si="77"/>
        <v>10</v>
      </c>
      <c r="P29" s="63">
        <f t="shared" si="77"/>
        <v>0</v>
      </c>
      <c r="Q29" s="63">
        <f t="shared" si="77"/>
        <v>0</v>
      </c>
      <c r="R29" s="63">
        <f t="shared" si="77"/>
        <v>0</v>
      </c>
      <c r="S29" s="63">
        <f t="shared" si="77"/>
        <v>0</v>
      </c>
      <c r="T29" s="63">
        <f t="shared" si="77"/>
        <v>0</v>
      </c>
      <c r="U29" s="63">
        <f t="shared" si="77"/>
        <v>0</v>
      </c>
      <c r="V29" s="63">
        <f t="shared" si="77"/>
        <v>0</v>
      </c>
      <c r="W29" s="63">
        <f t="shared" si="77"/>
        <v>1</v>
      </c>
      <c r="X29" s="63">
        <f t="shared" si="77"/>
        <v>0</v>
      </c>
      <c r="Y29" s="63">
        <f t="shared" si="77"/>
        <v>0</v>
      </c>
      <c r="Z29" s="63">
        <f t="shared" si="77"/>
        <v>0</v>
      </c>
      <c r="AA29" s="63">
        <f t="shared" si="77"/>
        <v>0</v>
      </c>
      <c r="AB29" s="215">
        <f t="shared" si="58"/>
        <v>9.1373913043478279</v>
      </c>
      <c r="AC29" s="294">
        <f>AK87+AK90</f>
        <v>518.82392056659182</v>
      </c>
      <c r="AD29" s="293">
        <f>AJ87+AJ90</f>
        <v>917.01754385964921</v>
      </c>
      <c r="AE29" s="166">
        <f t="shared" si="53"/>
        <v>0.2291777310120528</v>
      </c>
      <c r="AG29" s="155">
        <f>BG87+BG90</f>
        <v>11.042333811602976</v>
      </c>
      <c r="AH29" s="94">
        <f t="shared" ref="AH29:AZ29" si="78">BH87+BH90</f>
        <v>61.952814204037985</v>
      </c>
      <c r="AI29" s="94">
        <f t="shared" si="78"/>
        <v>0</v>
      </c>
      <c r="AJ29" s="94">
        <f t="shared" si="78"/>
        <v>0</v>
      </c>
      <c r="AK29" s="94">
        <f t="shared" si="78"/>
        <v>37.745180344500106</v>
      </c>
      <c r="AL29" s="94">
        <f t="shared" si="78"/>
        <v>0</v>
      </c>
      <c r="AM29" s="94">
        <f t="shared" si="78"/>
        <v>0</v>
      </c>
      <c r="AN29" s="94">
        <f t="shared" si="78"/>
        <v>35.62221410816818</v>
      </c>
      <c r="AO29" s="94">
        <f t="shared" si="78"/>
        <v>0</v>
      </c>
      <c r="AP29" s="94">
        <f t="shared" si="78"/>
        <v>0</v>
      </c>
      <c r="AQ29" s="94">
        <f t="shared" si="78"/>
        <v>0</v>
      </c>
      <c r="AR29" s="94">
        <f t="shared" si="78"/>
        <v>0</v>
      </c>
      <c r="AS29" s="94">
        <f t="shared" si="78"/>
        <v>0</v>
      </c>
      <c r="AT29" s="94">
        <f t="shared" si="78"/>
        <v>0</v>
      </c>
      <c r="AU29" s="94">
        <f t="shared" si="78"/>
        <v>0</v>
      </c>
      <c r="AV29" s="94">
        <f t="shared" si="78"/>
        <v>6.0519084648844697</v>
      </c>
      <c r="AW29" s="94">
        <f t="shared" si="78"/>
        <v>0</v>
      </c>
      <c r="AX29" s="94">
        <f t="shared" si="78"/>
        <v>0</v>
      </c>
      <c r="AY29" s="94">
        <f t="shared" si="78"/>
        <v>0</v>
      </c>
      <c r="AZ29" s="103">
        <f t="shared" si="78"/>
        <v>0</v>
      </c>
    </row>
    <row r="30" spans="3:79" x14ac:dyDescent="0.25">
      <c r="C30" s="227" t="str">
        <f t="shared" si="45"/>
        <v>Nov 3-9</v>
      </c>
      <c r="D30" s="179"/>
      <c r="E30" s="179"/>
      <c r="F30" s="63">
        <f>SUM(F92:F96)</f>
        <v>0</v>
      </c>
      <c r="G30" s="63">
        <f>SUM(G92:G96)</f>
        <v>0</v>
      </c>
      <c r="H30" s="63">
        <f t="shared" ref="H30:AA30" si="79">SUM(H92:H96)</f>
        <v>0</v>
      </c>
      <c r="I30" s="63">
        <f t="shared" si="79"/>
        <v>0</v>
      </c>
      <c r="J30" s="63">
        <f t="shared" si="79"/>
        <v>0</v>
      </c>
      <c r="K30" s="63">
        <f t="shared" si="79"/>
        <v>0</v>
      </c>
      <c r="L30" s="63">
        <f t="shared" si="79"/>
        <v>0</v>
      </c>
      <c r="M30" s="63">
        <f t="shared" si="79"/>
        <v>0</v>
      </c>
      <c r="N30" s="63">
        <f t="shared" si="79"/>
        <v>0</v>
      </c>
      <c r="O30" s="63">
        <f t="shared" si="79"/>
        <v>0</v>
      </c>
      <c r="P30" s="63">
        <f t="shared" si="79"/>
        <v>0</v>
      </c>
      <c r="Q30" s="63">
        <f t="shared" si="79"/>
        <v>0</v>
      </c>
      <c r="R30" s="63">
        <f t="shared" si="79"/>
        <v>0</v>
      </c>
      <c r="S30" s="63">
        <f t="shared" si="79"/>
        <v>0</v>
      </c>
      <c r="T30" s="63">
        <f t="shared" si="79"/>
        <v>0</v>
      </c>
      <c r="U30" s="63">
        <f t="shared" si="79"/>
        <v>0</v>
      </c>
      <c r="V30" s="63">
        <f t="shared" si="79"/>
        <v>0</v>
      </c>
      <c r="W30" s="63">
        <f t="shared" si="79"/>
        <v>0</v>
      </c>
      <c r="X30" s="63">
        <f t="shared" si="79"/>
        <v>0</v>
      </c>
      <c r="Y30" s="63">
        <f t="shared" si="79"/>
        <v>0</v>
      </c>
      <c r="Z30" s="63">
        <f t="shared" si="79"/>
        <v>0</v>
      </c>
      <c r="AA30" s="63">
        <f t="shared" si="79"/>
        <v>0</v>
      </c>
      <c r="AB30" s="215"/>
      <c r="AC30" s="294" t="e">
        <f>AK97+AK100</f>
        <v>#DIV/0!</v>
      </c>
      <c r="AD30" s="293">
        <f>AJ97+AJ100</f>
        <v>0</v>
      </c>
      <c r="AE30" s="166" t="e">
        <f t="shared" si="53"/>
        <v>#DIV/0!</v>
      </c>
      <c r="AG30" s="155" t="e">
        <f>BG92+BG95</f>
        <v>#DIV/0!</v>
      </c>
      <c r="AH30" s="94" t="e">
        <f t="shared" ref="AH30:AZ30" si="80">BH92+BH95</f>
        <v>#DIV/0!</v>
      </c>
      <c r="AI30" s="94" t="e">
        <f t="shared" si="80"/>
        <v>#DIV/0!</v>
      </c>
      <c r="AJ30" s="94" t="e">
        <f t="shared" si="80"/>
        <v>#DIV/0!</v>
      </c>
      <c r="AK30" s="94" t="e">
        <f t="shared" si="80"/>
        <v>#DIV/0!</v>
      </c>
      <c r="AL30" s="94" t="e">
        <f t="shared" si="80"/>
        <v>#DIV/0!</v>
      </c>
      <c r="AM30" s="94" t="e">
        <f t="shared" si="80"/>
        <v>#DIV/0!</v>
      </c>
      <c r="AN30" s="94" t="e">
        <f t="shared" si="80"/>
        <v>#DIV/0!</v>
      </c>
      <c r="AO30" s="94" t="e">
        <f t="shared" si="80"/>
        <v>#DIV/0!</v>
      </c>
      <c r="AP30" s="94" t="e">
        <f t="shared" si="80"/>
        <v>#DIV/0!</v>
      </c>
      <c r="AQ30" s="94" t="e">
        <f t="shared" si="80"/>
        <v>#DIV/0!</v>
      </c>
      <c r="AR30" s="94" t="e">
        <f t="shared" si="80"/>
        <v>#DIV/0!</v>
      </c>
      <c r="AS30" s="94" t="e">
        <f t="shared" si="80"/>
        <v>#DIV/0!</v>
      </c>
      <c r="AT30" s="94" t="e">
        <f t="shared" si="80"/>
        <v>#DIV/0!</v>
      </c>
      <c r="AU30" s="94" t="e">
        <f t="shared" si="80"/>
        <v>#DIV/0!</v>
      </c>
      <c r="AV30" s="94" t="e">
        <f t="shared" si="80"/>
        <v>#DIV/0!</v>
      </c>
      <c r="AW30" s="94" t="e">
        <f t="shared" si="80"/>
        <v>#DIV/0!</v>
      </c>
      <c r="AX30" s="94" t="e">
        <f t="shared" si="80"/>
        <v>#DIV/0!</v>
      </c>
      <c r="AY30" s="94" t="e">
        <f t="shared" si="80"/>
        <v>#DIV/0!</v>
      </c>
      <c r="AZ30" s="103" t="e">
        <f t="shared" si="80"/>
        <v>#DIV/0!</v>
      </c>
    </row>
    <row r="31" spans="3:79" ht="16.5" thickBot="1" x14ac:dyDescent="0.3">
      <c r="C31" s="114" t="str">
        <f t="shared" si="45"/>
        <v>Nov 10-16</v>
      </c>
      <c r="D31" s="115"/>
      <c r="E31" s="115"/>
      <c r="F31" s="372">
        <f>SUM(F97:F101)</f>
        <v>0</v>
      </c>
      <c r="G31" s="372">
        <f>SUM(G97:G101)</f>
        <v>0</v>
      </c>
      <c r="H31" s="372">
        <f t="shared" ref="H31:AA31" si="81">SUM(H97:H101)</f>
        <v>0</v>
      </c>
      <c r="I31" s="372">
        <f t="shared" si="81"/>
        <v>0</v>
      </c>
      <c r="J31" s="372">
        <f t="shared" si="81"/>
        <v>0</v>
      </c>
      <c r="K31" s="372">
        <f t="shared" si="81"/>
        <v>0</v>
      </c>
      <c r="L31" s="372">
        <f t="shared" si="81"/>
        <v>0</v>
      </c>
      <c r="M31" s="372">
        <f t="shared" si="81"/>
        <v>0</v>
      </c>
      <c r="N31" s="372">
        <f t="shared" si="81"/>
        <v>0</v>
      </c>
      <c r="O31" s="372">
        <f t="shared" si="81"/>
        <v>0</v>
      </c>
      <c r="P31" s="372">
        <f t="shared" si="81"/>
        <v>0</v>
      </c>
      <c r="Q31" s="372">
        <f t="shared" si="81"/>
        <v>0</v>
      </c>
      <c r="R31" s="372">
        <f t="shared" si="81"/>
        <v>0</v>
      </c>
      <c r="S31" s="372">
        <f t="shared" si="81"/>
        <v>0</v>
      </c>
      <c r="T31" s="372">
        <f t="shared" si="81"/>
        <v>0</v>
      </c>
      <c r="U31" s="372">
        <f t="shared" si="81"/>
        <v>0</v>
      </c>
      <c r="V31" s="372">
        <f t="shared" si="81"/>
        <v>0</v>
      </c>
      <c r="W31" s="372">
        <f t="shared" si="81"/>
        <v>0</v>
      </c>
      <c r="X31" s="372">
        <f t="shared" si="81"/>
        <v>0</v>
      </c>
      <c r="Y31" s="372">
        <f t="shared" si="81"/>
        <v>0</v>
      </c>
      <c r="Z31" s="372">
        <f t="shared" si="81"/>
        <v>0</v>
      </c>
      <c r="AA31" s="372">
        <f t="shared" si="81"/>
        <v>0</v>
      </c>
      <c r="AB31" s="215"/>
      <c r="AC31" s="294">
        <f>AK98+AK101</f>
        <v>0</v>
      </c>
      <c r="AD31" s="293">
        <f>AJ98+AJ101</f>
        <v>0</v>
      </c>
      <c r="AE31" s="166">
        <v>0</v>
      </c>
      <c r="AG31" s="156" t="e">
        <f>BG97</f>
        <v>#DIV/0!</v>
      </c>
      <c r="AH31" s="95" t="e">
        <f t="shared" ref="AH31:AZ31" si="82">BH97</f>
        <v>#DIV/0!</v>
      </c>
      <c r="AI31" s="95" t="e">
        <f t="shared" si="82"/>
        <v>#DIV/0!</v>
      </c>
      <c r="AJ31" s="95" t="e">
        <f t="shared" si="82"/>
        <v>#DIV/0!</v>
      </c>
      <c r="AK31" s="95" t="e">
        <f t="shared" si="82"/>
        <v>#DIV/0!</v>
      </c>
      <c r="AL31" s="95" t="e">
        <f t="shared" si="82"/>
        <v>#DIV/0!</v>
      </c>
      <c r="AM31" s="95" t="e">
        <f t="shared" si="82"/>
        <v>#DIV/0!</v>
      </c>
      <c r="AN31" s="95" t="e">
        <f t="shared" si="82"/>
        <v>#DIV/0!</v>
      </c>
      <c r="AO31" s="95" t="e">
        <f t="shared" si="82"/>
        <v>#DIV/0!</v>
      </c>
      <c r="AP31" s="95" t="e">
        <f t="shared" si="82"/>
        <v>#DIV/0!</v>
      </c>
      <c r="AQ31" s="95" t="e">
        <f t="shared" si="82"/>
        <v>#DIV/0!</v>
      </c>
      <c r="AR31" s="95" t="e">
        <f t="shared" si="82"/>
        <v>#DIV/0!</v>
      </c>
      <c r="AS31" s="95" t="e">
        <f t="shared" si="82"/>
        <v>#DIV/0!</v>
      </c>
      <c r="AT31" s="95" t="e">
        <f t="shared" si="82"/>
        <v>#DIV/0!</v>
      </c>
      <c r="AU31" s="95" t="e">
        <f t="shared" si="82"/>
        <v>#DIV/0!</v>
      </c>
      <c r="AV31" s="95" t="e">
        <f t="shared" si="82"/>
        <v>#DIV/0!</v>
      </c>
      <c r="AW31" s="95" t="e">
        <f t="shared" si="82"/>
        <v>#DIV/0!</v>
      </c>
      <c r="AX31" s="95" t="e">
        <f t="shared" si="82"/>
        <v>#DIV/0!</v>
      </c>
      <c r="AY31" s="95" t="e">
        <f t="shared" si="82"/>
        <v>#DIV/0!</v>
      </c>
      <c r="AZ31" s="104" t="e">
        <f t="shared" si="82"/>
        <v>#DIV/0!</v>
      </c>
      <c r="CA31" s="85"/>
    </row>
    <row r="32" spans="3:79" ht="17.25" thickTop="1" thickBot="1" x14ac:dyDescent="0.3">
      <c r="C32" s="112"/>
      <c r="D32" s="113"/>
      <c r="E32" s="113"/>
      <c r="F32" s="98">
        <f t="shared" ref="F32:AC32" si="83">SUM(F22:F31)</f>
        <v>787</v>
      </c>
      <c r="G32" s="135">
        <f t="shared" si="83"/>
        <v>1758.75</v>
      </c>
      <c r="H32" s="105">
        <f t="shared" si="83"/>
        <v>37</v>
      </c>
      <c r="I32" s="105">
        <f t="shared" si="83"/>
        <v>68</v>
      </c>
      <c r="J32" s="105">
        <f t="shared" si="83"/>
        <v>4</v>
      </c>
      <c r="K32" s="105">
        <f t="shared" si="83"/>
        <v>1</v>
      </c>
      <c r="L32" s="105">
        <f t="shared" si="83"/>
        <v>10</v>
      </c>
      <c r="M32" s="105">
        <f t="shared" si="83"/>
        <v>0</v>
      </c>
      <c r="N32" s="105">
        <f t="shared" ref="N32:S32" si="84">SUM(N22:N31)</f>
        <v>4</v>
      </c>
      <c r="O32" s="105">
        <f t="shared" si="84"/>
        <v>10</v>
      </c>
      <c r="P32" s="105">
        <f t="shared" si="84"/>
        <v>0</v>
      </c>
      <c r="Q32" s="105">
        <f t="shared" si="84"/>
        <v>0</v>
      </c>
      <c r="R32" s="105">
        <f t="shared" si="84"/>
        <v>0</v>
      </c>
      <c r="S32" s="105">
        <f t="shared" si="84"/>
        <v>0</v>
      </c>
      <c r="T32" s="105">
        <f t="shared" si="83"/>
        <v>0</v>
      </c>
      <c r="U32" s="105">
        <f t="shared" si="83"/>
        <v>1</v>
      </c>
      <c r="V32" s="105">
        <f t="shared" si="83"/>
        <v>9</v>
      </c>
      <c r="W32" s="105">
        <f t="shared" si="83"/>
        <v>1</v>
      </c>
      <c r="X32" s="105">
        <f t="shared" si="83"/>
        <v>0</v>
      </c>
      <c r="Y32" s="105">
        <f t="shared" si="83"/>
        <v>0</v>
      </c>
      <c r="Z32" s="105">
        <f t="shared" si="83"/>
        <v>0</v>
      </c>
      <c r="AA32" s="107">
        <f t="shared" si="83"/>
        <v>1</v>
      </c>
      <c r="AB32" s="215">
        <f>SUM(G32)/SUM(H32:M32)</f>
        <v>14.65625</v>
      </c>
      <c r="AC32" s="185" t="e">
        <f t="shared" si="83"/>
        <v>#DIV/0!</v>
      </c>
      <c r="AD32" s="297">
        <f>SUM(AD22:AD31)</f>
        <v>6428.2280701754389</v>
      </c>
      <c r="AE32" s="167">
        <f t="shared" si="53"/>
        <v>0.2735979465569896</v>
      </c>
      <c r="AG32" s="157" t="e">
        <f t="shared" ref="AG32" si="85">SUM(AG22:AG31)</f>
        <v>#DIV/0!</v>
      </c>
      <c r="AH32" s="105" t="e">
        <f t="shared" ref="AH32:AZ32" si="86">SUM(AH22:AH31)</f>
        <v>#DIV/0!</v>
      </c>
      <c r="AI32" s="105" t="e">
        <f t="shared" si="86"/>
        <v>#DIV/0!</v>
      </c>
      <c r="AJ32" s="105" t="e">
        <f t="shared" si="86"/>
        <v>#DIV/0!</v>
      </c>
      <c r="AK32" s="105" t="e">
        <f t="shared" si="86"/>
        <v>#DIV/0!</v>
      </c>
      <c r="AL32" s="105" t="e">
        <f t="shared" si="86"/>
        <v>#DIV/0!</v>
      </c>
      <c r="AM32" s="105" t="e">
        <f t="shared" ref="AM32:AR32" si="87">SUM(AM22:AM31)</f>
        <v>#DIV/0!</v>
      </c>
      <c r="AN32" s="105" t="e">
        <f t="shared" si="87"/>
        <v>#DIV/0!</v>
      </c>
      <c r="AO32" s="105" t="e">
        <f t="shared" si="87"/>
        <v>#DIV/0!</v>
      </c>
      <c r="AP32" s="105" t="e">
        <f t="shared" si="87"/>
        <v>#DIV/0!</v>
      </c>
      <c r="AQ32" s="105" t="e">
        <f t="shared" si="87"/>
        <v>#DIV/0!</v>
      </c>
      <c r="AR32" s="105" t="e">
        <f t="shared" si="87"/>
        <v>#DIV/0!</v>
      </c>
      <c r="AS32" s="105" t="e">
        <f t="shared" si="86"/>
        <v>#DIV/0!</v>
      </c>
      <c r="AT32" s="105" t="e">
        <f t="shared" si="86"/>
        <v>#DIV/0!</v>
      </c>
      <c r="AU32" s="105" t="e">
        <f t="shared" si="86"/>
        <v>#DIV/0!</v>
      </c>
      <c r="AV32" s="105" t="e">
        <f t="shared" si="86"/>
        <v>#DIV/0!</v>
      </c>
      <c r="AW32" s="105" t="e">
        <f t="shared" si="86"/>
        <v>#DIV/0!</v>
      </c>
      <c r="AX32" s="105" t="e">
        <f t="shared" si="86"/>
        <v>#DIV/0!</v>
      </c>
      <c r="AY32" s="105" t="e">
        <f t="shared" si="86"/>
        <v>#DIV/0!</v>
      </c>
      <c r="AZ32" s="107" t="e">
        <f t="shared" si="86"/>
        <v>#DIV/0!</v>
      </c>
      <c r="CA32" s="13"/>
    </row>
    <row r="33" spans="3:78" x14ac:dyDescent="0.25">
      <c r="AB33" s="215"/>
      <c r="AI33" s="15"/>
      <c r="AJ33" s="15"/>
    </row>
    <row r="34" spans="3:78" ht="16.5" thickBot="1" x14ac:dyDescent="0.3">
      <c r="AB34" s="215"/>
      <c r="AI34" s="15"/>
      <c r="AJ34" s="15"/>
    </row>
    <row r="35" spans="3:78" ht="19.5" thickBot="1" x14ac:dyDescent="0.35">
      <c r="C35" s="229" t="s">
        <v>5223</v>
      </c>
      <c r="D35" s="231"/>
      <c r="E35" s="415" t="s">
        <v>596</v>
      </c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4"/>
      <c r="AB35" s="215"/>
      <c r="AC35" s="415" t="s">
        <v>5220</v>
      </c>
      <c r="AD35" s="413"/>
      <c r="AE35" s="414"/>
      <c r="AG35" s="415" t="s">
        <v>5224</v>
      </c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4"/>
    </row>
    <row r="36" spans="3:78" x14ac:dyDescent="0.25">
      <c r="C36" s="227" t="str">
        <f t="shared" ref="C36:C45" si="88">C8</f>
        <v>0</v>
      </c>
      <c r="D36" s="71"/>
      <c r="E36" s="63">
        <f t="shared" ref="E36:AA36" si="89">SUM(E109:E113)</f>
        <v>0</v>
      </c>
      <c r="F36" s="63">
        <f t="shared" si="89"/>
        <v>0</v>
      </c>
      <c r="G36" s="111">
        <f t="shared" si="89"/>
        <v>0</v>
      </c>
      <c r="H36" s="94">
        <f t="shared" si="89"/>
        <v>0</v>
      </c>
      <c r="I36" s="94">
        <f t="shared" si="89"/>
        <v>0</v>
      </c>
      <c r="J36" s="94">
        <f t="shared" si="89"/>
        <v>0</v>
      </c>
      <c r="K36" s="94">
        <f t="shared" si="89"/>
        <v>0</v>
      </c>
      <c r="L36" s="94">
        <f t="shared" si="89"/>
        <v>0</v>
      </c>
      <c r="M36" s="94">
        <f t="shared" si="89"/>
        <v>0</v>
      </c>
      <c r="N36" s="94">
        <f t="shared" ref="N36:S36" si="90">SUM(N109:N113)</f>
        <v>0</v>
      </c>
      <c r="O36" s="94">
        <f t="shared" si="90"/>
        <v>0</v>
      </c>
      <c r="P36" s="94">
        <f t="shared" si="90"/>
        <v>0</v>
      </c>
      <c r="Q36" s="94">
        <f t="shared" si="90"/>
        <v>0</v>
      </c>
      <c r="R36" s="94">
        <f t="shared" si="90"/>
        <v>0</v>
      </c>
      <c r="S36" s="94">
        <f t="shared" si="90"/>
        <v>0</v>
      </c>
      <c r="T36" s="94">
        <f t="shared" si="89"/>
        <v>0</v>
      </c>
      <c r="U36" s="94">
        <f t="shared" si="89"/>
        <v>0</v>
      </c>
      <c r="V36" s="94">
        <f t="shared" si="89"/>
        <v>0</v>
      </c>
      <c r="W36" s="94">
        <f t="shared" si="89"/>
        <v>0</v>
      </c>
      <c r="X36" s="94">
        <f t="shared" si="89"/>
        <v>0</v>
      </c>
      <c r="Y36" s="94">
        <f t="shared" si="89"/>
        <v>0</v>
      </c>
      <c r="Z36" s="94">
        <f t="shared" si="89"/>
        <v>0</v>
      </c>
      <c r="AA36" s="103">
        <f t="shared" si="89"/>
        <v>0</v>
      </c>
      <c r="AB36" s="215"/>
      <c r="AC36" s="183">
        <f>AK109+AK112</f>
        <v>0</v>
      </c>
      <c r="AD36" s="94" t="e">
        <f>AJ109+AJ112</f>
        <v>#DIV/0!</v>
      </c>
      <c r="AE36" s="166" t="e">
        <f t="shared" ref="AE36" si="91">G36/AD36</f>
        <v>#DIV/0!</v>
      </c>
      <c r="AG36" s="155">
        <f t="shared" ref="AG36:AR36" si="92">BG109+BG112</f>
        <v>0</v>
      </c>
      <c r="AH36" s="94" t="e">
        <f t="shared" si="92"/>
        <v>#DIV/0!</v>
      </c>
      <c r="AI36" s="94" t="e">
        <f t="shared" si="92"/>
        <v>#DIV/0!</v>
      </c>
      <c r="AJ36" s="94" t="e">
        <f t="shared" si="92"/>
        <v>#DIV/0!</v>
      </c>
      <c r="AK36" s="94" t="e">
        <f t="shared" si="92"/>
        <v>#DIV/0!</v>
      </c>
      <c r="AL36" s="94" t="e">
        <f t="shared" si="92"/>
        <v>#DIV/0!</v>
      </c>
      <c r="AM36" s="94" t="e">
        <f t="shared" si="92"/>
        <v>#DIV/0!</v>
      </c>
      <c r="AN36" s="94" t="e">
        <f t="shared" si="92"/>
        <v>#DIV/0!</v>
      </c>
      <c r="AO36" s="94" t="e">
        <f t="shared" si="92"/>
        <v>#DIV/0!</v>
      </c>
      <c r="AP36" s="94" t="e">
        <f t="shared" si="92"/>
        <v>#DIV/0!</v>
      </c>
      <c r="AQ36" s="94" t="e">
        <f t="shared" si="92"/>
        <v>#DIV/0!</v>
      </c>
      <c r="AR36" s="94" t="e">
        <f t="shared" si="92"/>
        <v>#DIV/0!</v>
      </c>
      <c r="AS36" s="94" t="e">
        <f t="shared" ref="AS36:AZ36" si="93">BS109+BS112</f>
        <v>#DIV/0!</v>
      </c>
      <c r="AT36" s="94" t="e">
        <f t="shared" si="93"/>
        <v>#DIV/0!</v>
      </c>
      <c r="AU36" s="94" t="e">
        <f t="shared" si="93"/>
        <v>#DIV/0!</v>
      </c>
      <c r="AV36" s="94" t="e">
        <f t="shared" si="93"/>
        <v>#DIV/0!</v>
      </c>
      <c r="AW36" s="94" t="e">
        <f t="shared" si="93"/>
        <v>#DIV/0!</v>
      </c>
      <c r="AX36" s="94" t="e">
        <f t="shared" si="93"/>
        <v>#DIV/0!</v>
      </c>
      <c r="AY36" s="94" t="e">
        <f t="shared" si="93"/>
        <v>#DIV/0!</v>
      </c>
      <c r="AZ36" s="103" t="e">
        <f t="shared" si="93"/>
        <v>#DIV/0!</v>
      </c>
    </row>
    <row r="37" spans="3:78" x14ac:dyDescent="0.25">
      <c r="C37" s="227" t="str">
        <f t="shared" si="88"/>
        <v>Sept 15-21</v>
      </c>
      <c r="D37" s="96"/>
      <c r="E37" s="63">
        <f t="shared" ref="E37:AA37" si="94">SUM(E114:E118)</f>
        <v>0</v>
      </c>
      <c r="F37" s="63">
        <f t="shared" si="94"/>
        <v>0</v>
      </c>
      <c r="G37" s="111">
        <f t="shared" si="94"/>
        <v>0</v>
      </c>
      <c r="H37" s="94">
        <f t="shared" si="94"/>
        <v>0</v>
      </c>
      <c r="I37" s="94">
        <f t="shared" si="94"/>
        <v>0</v>
      </c>
      <c r="J37" s="94">
        <f t="shared" si="94"/>
        <v>0</v>
      </c>
      <c r="K37" s="94">
        <f t="shared" si="94"/>
        <v>0</v>
      </c>
      <c r="L37" s="94">
        <f t="shared" si="94"/>
        <v>0</v>
      </c>
      <c r="M37" s="94">
        <f t="shared" si="94"/>
        <v>0</v>
      </c>
      <c r="N37" s="94">
        <f t="shared" ref="N37:S37" si="95">SUM(N114:N118)</f>
        <v>0</v>
      </c>
      <c r="O37" s="94">
        <f t="shared" si="95"/>
        <v>0</v>
      </c>
      <c r="P37" s="94">
        <f t="shared" si="95"/>
        <v>0</v>
      </c>
      <c r="Q37" s="94">
        <f t="shared" si="95"/>
        <v>0</v>
      </c>
      <c r="R37" s="94">
        <f t="shared" si="95"/>
        <v>0</v>
      </c>
      <c r="S37" s="94">
        <f t="shared" si="95"/>
        <v>0</v>
      </c>
      <c r="T37" s="94">
        <f t="shared" si="94"/>
        <v>0</v>
      </c>
      <c r="U37" s="94">
        <f t="shared" si="94"/>
        <v>0</v>
      </c>
      <c r="V37" s="94">
        <f t="shared" si="94"/>
        <v>0</v>
      </c>
      <c r="W37" s="94">
        <f t="shared" si="94"/>
        <v>0</v>
      </c>
      <c r="X37" s="94">
        <f t="shared" si="94"/>
        <v>0</v>
      </c>
      <c r="Y37" s="94">
        <f t="shared" si="94"/>
        <v>0</v>
      </c>
      <c r="Z37" s="94">
        <f t="shared" si="94"/>
        <v>0</v>
      </c>
      <c r="AA37" s="103">
        <f t="shared" si="94"/>
        <v>0</v>
      </c>
      <c r="AB37" s="215"/>
      <c r="AC37" s="183">
        <v>0</v>
      </c>
      <c r="AD37" s="94">
        <v>0</v>
      </c>
      <c r="AE37" s="166" t="e">
        <f t="shared" ref="AE37:AE46" si="96">G37/AD37</f>
        <v>#DIV/0!</v>
      </c>
      <c r="AG37" s="155" t="e">
        <f t="shared" ref="AG37:AR37" si="97">BG114+BG117</f>
        <v>#DIV/0!</v>
      </c>
      <c r="AH37" s="94" t="e">
        <f t="shared" si="97"/>
        <v>#DIV/0!</v>
      </c>
      <c r="AI37" s="94" t="e">
        <f t="shared" si="97"/>
        <v>#DIV/0!</v>
      </c>
      <c r="AJ37" s="94" t="e">
        <f t="shared" si="97"/>
        <v>#DIV/0!</v>
      </c>
      <c r="AK37" s="94" t="e">
        <f t="shared" si="97"/>
        <v>#DIV/0!</v>
      </c>
      <c r="AL37" s="94" t="e">
        <f t="shared" si="97"/>
        <v>#DIV/0!</v>
      </c>
      <c r="AM37" s="94" t="e">
        <f t="shared" si="97"/>
        <v>#DIV/0!</v>
      </c>
      <c r="AN37" s="94" t="e">
        <f t="shared" si="97"/>
        <v>#DIV/0!</v>
      </c>
      <c r="AO37" s="94" t="e">
        <f t="shared" si="97"/>
        <v>#DIV/0!</v>
      </c>
      <c r="AP37" s="94" t="e">
        <f t="shared" si="97"/>
        <v>#DIV/0!</v>
      </c>
      <c r="AQ37" s="94" t="e">
        <f t="shared" si="97"/>
        <v>#DIV/0!</v>
      </c>
      <c r="AR37" s="94" t="e">
        <f t="shared" si="97"/>
        <v>#DIV/0!</v>
      </c>
      <c r="AS37" s="94" t="e">
        <f t="shared" ref="AS37:AZ37" si="98">BS114+BS117</f>
        <v>#DIV/0!</v>
      </c>
      <c r="AT37" s="94" t="e">
        <f t="shared" si="98"/>
        <v>#DIV/0!</v>
      </c>
      <c r="AU37" s="94" t="e">
        <f t="shared" si="98"/>
        <v>#DIV/0!</v>
      </c>
      <c r="AV37" s="94" t="e">
        <f t="shared" si="98"/>
        <v>#DIV/0!</v>
      </c>
      <c r="AW37" s="94" t="e">
        <f t="shared" si="98"/>
        <v>#DIV/0!</v>
      </c>
      <c r="AX37" s="94" t="e">
        <f t="shared" si="98"/>
        <v>#DIV/0!</v>
      </c>
      <c r="AY37" s="94" t="e">
        <f t="shared" si="98"/>
        <v>#DIV/0!</v>
      </c>
      <c r="AZ37" s="103" t="e">
        <f t="shared" si="98"/>
        <v>#DIV/0!</v>
      </c>
    </row>
    <row r="38" spans="3:78" x14ac:dyDescent="0.25">
      <c r="C38" s="227" t="str">
        <f t="shared" si="88"/>
        <v>Sept 21-28</v>
      </c>
      <c r="D38" s="96"/>
      <c r="E38" s="63">
        <f t="shared" ref="E38:AA38" si="99">SUM(E119:E123)</f>
        <v>0</v>
      </c>
      <c r="F38" s="63">
        <f t="shared" si="99"/>
        <v>0</v>
      </c>
      <c r="G38" s="111">
        <f t="shared" si="99"/>
        <v>0</v>
      </c>
      <c r="H38" s="94">
        <f t="shared" si="99"/>
        <v>0</v>
      </c>
      <c r="I38" s="94">
        <f t="shared" si="99"/>
        <v>0</v>
      </c>
      <c r="J38" s="94">
        <f t="shared" si="99"/>
        <v>0</v>
      </c>
      <c r="K38" s="94">
        <f t="shared" si="99"/>
        <v>0</v>
      </c>
      <c r="L38" s="94">
        <f t="shared" si="99"/>
        <v>0</v>
      </c>
      <c r="M38" s="94">
        <f t="shared" si="99"/>
        <v>0</v>
      </c>
      <c r="N38" s="94">
        <f t="shared" ref="N38:S38" si="100">SUM(N119:N123)</f>
        <v>0</v>
      </c>
      <c r="O38" s="94">
        <f t="shared" si="100"/>
        <v>0</v>
      </c>
      <c r="P38" s="94">
        <f t="shared" si="100"/>
        <v>0</v>
      </c>
      <c r="Q38" s="94">
        <f t="shared" si="100"/>
        <v>0</v>
      </c>
      <c r="R38" s="94">
        <f t="shared" si="100"/>
        <v>0</v>
      </c>
      <c r="S38" s="94">
        <f t="shared" si="100"/>
        <v>0</v>
      </c>
      <c r="T38" s="94">
        <f t="shared" si="99"/>
        <v>0</v>
      </c>
      <c r="U38" s="94">
        <f t="shared" si="99"/>
        <v>0</v>
      </c>
      <c r="V38" s="94">
        <f t="shared" si="99"/>
        <v>0</v>
      </c>
      <c r="W38" s="94">
        <f t="shared" si="99"/>
        <v>0</v>
      </c>
      <c r="X38" s="94">
        <f t="shared" si="99"/>
        <v>0</v>
      </c>
      <c r="Y38" s="94">
        <f t="shared" si="99"/>
        <v>0</v>
      </c>
      <c r="Z38" s="94">
        <f t="shared" si="99"/>
        <v>0</v>
      </c>
      <c r="AA38" s="103">
        <f t="shared" si="99"/>
        <v>0</v>
      </c>
      <c r="AB38" s="215"/>
      <c r="AC38" s="183">
        <v>0</v>
      </c>
      <c r="AD38" s="94">
        <v>0</v>
      </c>
      <c r="AE38" s="166" t="e">
        <f t="shared" si="96"/>
        <v>#DIV/0!</v>
      </c>
      <c r="AG38" s="155" t="e">
        <f t="shared" ref="AG38:AR38" si="101">BG119+BG122</f>
        <v>#DIV/0!</v>
      </c>
      <c r="AH38" s="94" t="e">
        <f t="shared" si="101"/>
        <v>#DIV/0!</v>
      </c>
      <c r="AI38" s="94" t="e">
        <f t="shared" si="101"/>
        <v>#DIV/0!</v>
      </c>
      <c r="AJ38" s="94" t="e">
        <f t="shared" si="101"/>
        <v>#DIV/0!</v>
      </c>
      <c r="AK38" s="94" t="e">
        <f t="shared" si="101"/>
        <v>#DIV/0!</v>
      </c>
      <c r="AL38" s="94" t="e">
        <f t="shared" si="101"/>
        <v>#DIV/0!</v>
      </c>
      <c r="AM38" s="94" t="e">
        <f t="shared" si="101"/>
        <v>#DIV/0!</v>
      </c>
      <c r="AN38" s="94" t="e">
        <f t="shared" si="101"/>
        <v>#DIV/0!</v>
      </c>
      <c r="AO38" s="94" t="e">
        <f t="shared" si="101"/>
        <v>#DIV/0!</v>
      </c>
      <c r="AP38" s="94" t="e">
        <f t="shared" si="101"/>
        <v>#DIV/0!</v>
      </c>
      <c r="AQ38" s="94" t="e">
        <f t="shared" si="101"/>
        <v>#DIV/0!</v>
      </c>
      <c r="AR38" s="94" t="e">
        <f t="shared" si="101"/>
        <v>#DIV/0!</v>
      </c>
      <c r="AS38" s="94" t="e">
        <f t="shared" ref="AS38:AZ38" si="102">BS119+BS122</f>
        <v>#DIV/0!</v>
      </c>
      <c r="AT38" s="94" t="e">
        <f t="shared" si="102"/>
        <v>#DIV/0!</v>
      </c>
      <c r="AU38" s="94" t="e">
        <f t="shared" si="102"/>
        <v>#DIV/0!</v>
      </c>
      <c r="AV38" s="94" t="e">
        <f t="shared" si="102"/>
        <v>#DIV/0!</v>
      </c>
      <c r="AW38" s="94" t="e">
        <f t="shared" si="102"/>
        <v>#DIV/0!</v>
      </c>
      <c r="AX38" s="94" t="e">
        <f t="shared" si="102"/>
        <v>#DIV/0!</v>
      </c>
      <c r="AY38" s="94" t="e">
        <f t="shared" si="102"/>
        <v>#DIV/0!</v>
      </c>
      <c r="AZ38" s="103" t="e">
        <f t="shared" si="102"/>
        <v>#DIV/0!</v>
      </c>
    </row>
    <row r="39" spans="3:78" x14ac:dyDescent="0.25">
      <c r="C39" s="227" t="str">
        <f t="shared" si="88"/>
        <v>Sept 29-Oct 5</v>
      </c>
      <c r="D39" s="96"/>
      <c r="E39" s="63">
        <f t="shared" ref="E39:AA39" si="103">SUM(E124:E128)</f>
        <v>1</v>
      </c>
      <c r="F39" s="63">
        <f t="shared" si="103"/>
        <v>2</v>
      </c>
      <c r="G39" s="111">
        <f t="shared" si="103"/>
        <v>7.6</v>
      </c>
      <c r="H39" s="94">
        <f t="shared" si="103"/>
        <v>1</v>
      </c>
      <c r="I39" s="94">
        <f t="shared" si="103"/>
        <v>3</v>
      </c>
      <c r="J39" s="94">
        <f t="shared" si="103"/>
        <v>0</v>
      </c>
      <c r="K39" s="94">
        <f t="shared" si="103"/>
        <v>0</v>
      </c>
      <c r="L39" s="94">
        <f t="shared" si="103"/>
        <v>0</v>
      </c>
      <c r="M39" s="94">
        <f t="shared" si="103"/>
        <v>0</v>
      </c>
      <c r="N39" s="94">
        <f t="shared" ref="N39:S39" si="104">SUM(N124:N128)</f>
        <v>0</v>
      </c>
      <c r="O39" s="94">
        <f t="shared" si="104"/>
        <v>0</v>
      </c>
      <c r="P39" s="94">
        <f t="shared" si="104"/>
        <v>0</v>
      </c>
      <c r="Q39" s="94">
        <f t="shared" si="104"/>
        <v>0</v>
      </c>
      <c r="R39" s="94">
        <f t="shared" si="104"/>
        <v>0</v>
      </c>
      <c r="S39" s="94">
        <f t="shared" si="104"/>
        <v>0</v>
      </c>
      <c r="T39" s="94">
        <f t="shared" si="103"/>
        <v>0</v>
      </c>
      <c r="U39" s="94">
        <f t="shared" si="103"/>
        <v>0</v>
      </c>
      <c r="V39" s="94">
        <f t="shared" si="103"/>
        <v>0</v>
      </c>
      <c r="W39" s="94">
        <f t="shared" si="103"/>
        <v>0</v>
      </c>
      <c r="X39" s="94">
        <f t="shared" si="103"/>
        <v>0</v>
      </c>
      <c r="Y39" s="94">
        <f t="shared" si="103"/>
        <v>0</v>
      </c>
      <c r="Z39" s="94">
        <f t="shared" si="103"/>
        <v>0</v>
      </c>
      <c r="AA39" s="103">
        <f t="shared" si="103"/>
        <v>0</v>
      </c>
      <c r="AB39" s="215">
        <f t="shared" ref="AB39" si="105">SUM(G39)/SUM(H39:M39)</f>
        <v>1.9</v>
      </c>
      <c r="AC39" s="183">
        <v>0</v>
      </c>
      <c r="AD39" s="94">
        <v>0</v>
      </c>
      <c r="AE39" s="166" t="e">
        <f t="shared" si="96"/>
        <v>#DIV/0!</v>
      </c>
      <c r="AG39" s="155" t="e">
        <f t="shared" ref="AG39:AR39" si="106">BG124+BG127</f>
        <v>#DIV/0!</v>
      </c>
      <c r="AH39" s="94" t="e">
        <f t="shared" si="106"/>
        <v>#DIV/0!</v>
      </c>
      <c r="AI39" s="94" t="e">
        <f t="shared" si="106"/>
        <v>#DIV/0!</v>
      </c>
      <c r="AJ39" s="94" t="e">
        <f t="shared" si="106"/>
        <v>#DIV/0!</v>
      </c>
      <c r="AK39" s="94" t="e">
        <f t="shared" si="106"/>
        <v>#DIV/0!</v>
      </c>
      <c r="AL39" s="94" t="e">
        <f t="shared" si="106"/>
        <v>#DIV/0!</v>
      </c>
      <c r="AM39" s="94" t="e">
        <f t="shared" si="106"/>
        <v>#DIV/0!</v>
      </c>
      <c r="AN39" s="94" t="e">
        <f t="shared" si="106"/>
        <v>#DIV/0!</v>
      </c>
      <c r="AO39" s="94" t="e">
        <f t="shared" si="106"/>
        <v>#DIV/0!</v>
      </c>
      <c r="AP39" s="94" t="e">
        <f t="shared" si="106"/>
        <v>#DIV/0!</v>
      </c>
      <c r="AQ39" s="94" t="e">
        <f t="shared" si="106"/>
        <v>#DIV/0!</v>
      </c>
      <c r="AR39" s="94" t="e">
        <f t="shared" si="106"/>
        <v>#DIV/0!</v>
      </c>
      <c r="AS39" s="94" t="e">
        <f t="shared" ref="AS39:AZ39" si="107">BS124+BS127</f>
        <v>#DIV/0!</v>
      </c>
      <c r="AT39" s="94" t="e">
        <f t="shared" si="107"/>
        <v>#DIV/0!</v>
      </c>
      <c r="AU39" s="94" t="e">
        <f t="shared" si="107"/>
        <v>#DIV/0!</v>
      </c>
      <c r="AV39" s="94" t="e">
        <f t="shared" si="107"/>
        <v>#DIV/0!</v>
      </c>
      <c r="AW39" s="94" t="e">
        <f t="shared" si="107"/>
        <v>#DIV/0!</v>
      </c>
      <c r="AX39" s="94" t="e">
        <f t="shared" si="107"/>
        <v>#DIV/0!</v>
      </c>
      <c r="AY39" s="94" t="e">
        <f t="shared" si="107"/>
        <v>#DIV/0!</v>
      </c>
      <c r="AZ39" s="103" t="e">
        <f t="shared" si="107"/>
        <v>#DIV/0!</v>
      </c>
    </row>
    <row r="40" spans="3:78" x14ac:dyDescent="0.25">
      <c r="C40" s="227" t="str">
        <f t="shared" si="88"/>
        <v>Oct 6-Oct 12</v>
      </c>
      <c r="D40" s="96"/>
      <c r="E40" s="63">
        <f t="shared" ref="E40:AA40" si="108">SUM(E129:E133)</f>
        <v>0</v>
      </c>
      <c r="F40" s="63">
        <f t="shared" si="108"/>
        <v>0</v>
      </c>
      <c r="G40" s="111">
        <f t="shared" si="108"/>
        <v>0</v>
      </c>
      <c r="H40" s="94">
        <f t="shared" si="108"/>
        <v>0</v>
      </c>
      <c r="I40" s="94">
        <f t="shared" si="108"/>
        <v>0</v>
      </c>
      <c r="J40" s="94">
        <f t="shared" si="108"/>
        <v>0</v>
      </c>
      <c r="K40" s="94">
        <f t="shared" si="108"/>
        <v>0</v>
      </c>
      <c r="L40" s="94">
        <f t="shared" si="108"/>
        <v>0</v>
      </c>
      <c r="M40" s="94">
        <f t="shared" si="108"/>
        <v>0</v>
      </c>
      <c r="N40" s="94">
        <f t="shared" ref="N40:S40" si="109">SUM(N129:N133)</f>
        <v>0</v>
      </c>
      <c r="O40" s="94">
        <f t="shared" si="109"/>
        <v>0</v>
      </c>
      <c r="P40" s="94">
        <f t="shared" si="109"/>
        <v>0</v>
      </c>
      <c r="Q40" s="94">
        <f t="shared" si="109"/>
        <v>0</v>
      </c>
      <c r="R40" s="94">
        <f t="shared" si="109"/>
        <v>0</v>
      </c>
      <c r="S40" s="94">
        <f t="shared" si="109"/>
        <v>0</v>
      </c>
      <c r="T40" s="94">
        <f t="shared" si="108"/>
        <v>0</v>
      </c>
      <c r="U40" s="94">
        <f t="shared" si="108"/>
        <v>0</v>
      </c>
      <c r="V40" s="94">
        <f t="shared" si="108"/>
        <v>0</v>
      </c>
      <c r="W40" s="94">
        <f t="shared" si="108"/>
        <v>0</v>
      </c>
      <c r="X40" s="94">
        <f t="shared" si="108"/>
        <v>0</v>
      </c>
      <c r="Y40" s="94">
        <f t="shared" si="108"/>
        <v>0</v>
      </c>
      <c r="Z40" s="94">
        <f t="shared" si="108"/>
        <v>0</v>
      </c>
      <c r="AA40" s="103">
        <f t="shared" si="108"/>
        <v>0</v>
      </c>
      <c r="AB40" s="215"/>
      <c r="AC40" s="183">
        <v>0</v>
      </c>
      <c r="AD40" s="94">
        <v>0</v>
      </c>
      <c r="AE40" s="166" t="e">
        <f t="shared" si="96"/>
        <v>#DIV/0!</v>
      </c>
      <c r="AG40" s="155" t="e">
        <f t="shared" ref="AG40:AR40" si="110">BG129+BG132</f>
        <v>#DIV/0!</v>
      </c>
      <c r="AH40" s="94" t="e">
        <f t="shared" si="110"/>
        <v>#DIV/0!</v>
      </c>
      <c r="AI40" s="94" t="e">
        <f t="shared" si="110"/>
        <v>#DIV/0!</v>
      </c>
      <c r="AJ40" s="94" t="e">
        <f t="shared" si="110"/>
        <v>#DIV/0!</v>
      </c>
      <c r="AK40" s="94" t="e">
        <f t="shared" si="110"/>
        <v>#DIV/0!</v>
      </c>
      <c r="AL40" s="94" t="e">
        <f t="shared" si="110"/>
        <v>#DIV/0!</v>
      </c>
      <c r="AM40" s="94" t="e">
        <f t="shared" si="110"/>
        <v>#DIV/0!</v>
      </c>
      <c r="AN40" s="94" t="e">
        <f t="shared" si="110"/>
        <v>#DIV/0!</v>
      </c>
      <c r="AO40" s="94" t="e">
        <f t="shared" si="110"/>
        <v>#DIV/0!</v>
      </c>
      <c r="AP40" s="94" t="e">
        <f t="shared" si="110"/>
        <v>#DIV/0!</v>
      </c>
      <c r="AQ40" s="94" t="e">
        <f t="shared" si="110"/>
        <v>#DIV/0!</v>
      </c>
      <c r="AR40" s="94" t="e">
        <f t="shared" si="110"/>
        <v>#DIV/0!</v>
      </c>
      <c r="AS40" s="94" t="e">
        <f t="shared" ref="AS40:AZ40" si="111">BS129+BS132</f>
        <v>#DIV/0!</v>
      </c>
      <c r="AT40" s="94" t="e">
        <f t="shared" si="111"/>
        <v>#DIV/0!</v>
      </c>
      <c r="AU40" s="94" t="e">
        <f t="shared" si="111"/>
        <v>#DIV/0!</v>
      </c>
      <c r="AV40" s="94" t="e">
        <f t="shared" si="111"/>
        <v>#DIV/0!</v>
      </c>
      <c r="AW40" s="94" t="e">
        <f t="shared" si="111"/>
        <v>#DIV/0!</v>
      </c>
      <c r="AX40" s="94" t="e">
        <f t="shared" si="111"/>
        <v>#DIV/0!</v>
      </c>
      <c r="AY40" s="94" t="e">
        <f t="shared" si="111"/>
        <v>#DIV/0!</v>
      </c>
      <c r="AZ40" s="103" t="e">
        <f t="shared" si="111"/>
        <v>#DIV/0!</v>
      </c>
    </row>
    <row r="41" spans="3:78" x14ac:dyDescent="0.25">
      <c r="C41" s="227" t="str">
        <f t="shared" si="88"/>
        <v>Oct 13-19</v>
      </c>
      <c r="D41" s="96"/>
      <c r="E41" s="63">
        <f t="shared" ref="E41:AA41" si="112">SUM(E134:E138)</f>
        <v>0</v>
      </c>
      <c r="F41" s="63">
        <f t="shared" si="112"/>
        <v>0</v>
      </c>
      <c r="G41" s="111">
        <f t="shared" si="112"/>
        <v>0</v>
      </c>
      <c r="H41" s="94">
        <f t="shared" si="112"/>
        <v>0</v>
      </c>
      <c r="I41" s="94">
        <f t="shared" si="112"/>
        <v>0</v>
      </c>
      <c r="J41" s="94">
        <f t="shared" si="112"/>
        <v>0</v>
      </c>
      <c r="K41" s="94">
        <f t="shared" si="112"/>
        <v>0</v>
      </c>
      <c r="L41" s="94">
        <f t="shared" si="112"/>
        <v>0</v>
      </c>
      <c r="M41" s="94">
        <f t="shared" si="112"/>
        <v>0</v>
      </c>
      <c r="N41" s="94">
        <f t="shared" ref="N41:S41" si="113">SUM(N134:N138)</f>
        <v>0</v>
      </c>
      <c r="O41" s="94">
        <f t="shared" si="113"/>
        <v>0</v>
      </c>
      <c r="P41" s="94">
        <f t="shared" si="113"/>
        <v>0</v>
      </c>
      <c r="Q41" s="94">
        <f t="shared" si="113"/>
        <v>0</v>
      </c>
      <c r="R41" s="94">
        <f t="shared" si="113"/>
        <v>0</v>
      </c>
      <c r="S41" s="94">
        <f t="shared" si="113"/>
        <v>0</v>
      </c>
      <c r="T41" s="94">
        <f t="shared" si="112"/>
        <v>0</v>
      </c>
      <c r="U41" s="94">
        <f t="shared" si="112"/>
        <v>0</v>
      </c>
      <c r="V41" s="94">
        <f t="shared" si="112"/>
        <v>0</v>
      </c>
      <c r="W41" s="94">
        <f t="shared" si="112"/>
        <v>0</v>
      </c>
      <c r="X41" s="94">
        <f t="shared" si="112"/>
        <v>0</v>
      </c>
      <c r="Y41" s="94">
        <f t="shared" si="112"/>
        <v>0</v>
      </c>
      <c r="Z41" s="94">
        <f t="shared" si="112"/>
        <v>0</v>
      </c>
      <c r="AA41" s="103">
        <f t="shared" si="112"/>
        <v>0</v>
      </c>
      <c r="AB41" s="215"/>
      <c r="AC41" s="183">
        <v>0</v>
      </c>
      <c r="AD41" s="94">
        <v>0</v>
      </c>
      <c r="AE41" s="166" t="e">
        <f t="shared" si="96"/>
        <v>#DIV/0!</v>
      </c>
      <c r="AG41" s="155" t="e">
        <f t="shared" ref="AG41:AR41" si="114">BG134+BG137</f>
        <v>#DIV/0!</v>
      </c>
      <c r="AH41" s="94" t="e">
        <f t="shared" si="114"/>
        <v>#DIV/0!</v>
      </c>
      <c r="AI41" s="94" t="e">
        <f t="shared" si="114"/>
        <v>#DIV/0!</v>
      </c>
      <c r="AJ41" s="94" t="e">
        <f t="shared" si="114"/>
        <v>#DIV/0!</v>
      </c>
      <c r="AK41" s="94" t="e">
        <f t="shared" si="114"/>
        <v>#DIV/0!</v>
      </c>
      <c r="AL41" s="94" t="e">
        <f t="shared" si="114"/>
        <v>#DIV/0!</v>
      </c>
      <c r="AM41" s="94" t="e">
        <f t="shared" si="114"/>
        <v>#DIV/0!</v>
      </c>
      <c r="AN41" s="94" t="e">
        <f t="shared" si="114"/>
        <v>#DIV/0!</v>
      </c>
      <c r="AO41" s="94" t="e">
        <f t="shared" si="114"/>
        <v>#DIV/0!</v>
      </c>
      <c r="AP41" s="94" t="e">
        <f t="shared" si="114"/>
        <v>#DIV/0!</v>
      </c>
      <c r="AQ41" s="94" t="e">
        <f t="shared" si="114"/>
        <v>#DIV/0!</v>
      </c>
      <c r="AR41" s="94" t="e">
        <f t="shared" si="114"/>
        <v>#DIV/0!</v>
      </c>
      <c r="AS41" s="94" t="e">
        <f t="shared" ref="AS41:AZ41" si="115">BS134+BS137</f>
        <v>#DIV/0!</v>
      </c>
      <c r="AT41" s="94" t="e">
        <f t="shared" si="115"/>
        <v>#DIV/0!</v>
      </c>
      <c r="AU41" s="94" t="e">
        <f t="shared" si="115"/>
        <v>#DIV/0!</v>
      </c>
      <c r="AV41" s="94" t="e">
        <f t="shared" si="115"/>
        <v>#DIV/0!</v>
      </c>
      <c r="AW41" s="94" t="e">
        <f t="shared" si="115"/>
        <v>#DIV/0!</v>
      </c>
      <c r="AX41" s="94" t="e">
        <f t="shared" si="115"/>
        <v>#DIV/0!</v>
      </c>
      <c r="AY41" s="94" t="e">
        <f t="shared" si="115"/>
        <v>#DIV/0!</v>
      </c>
      <c r="AZ41" s="103" t="e">
        <f t="shared" si="115"/>
        <v>#DIV/0!</v>
      </c>
    </row>
    <row r="42" spans="3:78" x14ac:dyDescent="0.25">
      <c r="C42" s="227" t="str">
        <f t="shared" si="88"/>
        <v>Oct 20-26</v>
      </c>
      <c r="D42" s="179"/>
      <c r="E42" s="63">
        <f t="shared" ref="E42:AA42" si="116">SUM(E139:E143)</f>
        <v>0</v>
      </c>
      <c r="F42" s="63">
        <f t="shared" si="116"/>
        <v>0</v>
      </c>
      <c r="G42" s="111">
        <f t="shared" si="116"/>
        <v>0</v>
      </c>
      <c r="H42" s="94">
        <f t="shared" si="116"/>
        <v>0</v>
      </c>
      <c r="I42" s="94">
        <f t="shared" si="116"/>
        <v>0</v>
      </c>
      <c r="J42" s="94">
        <f t="shared" si="116"/>
        <v>0</v>
      </c>
      <c r="K42" s="94">
        <f t="shared" si="116"/>
        <v>0</v>
      </c>
      <c r="L42" s="94">
        <f t="shared" si="116"/>
        <v>0</v>
      </c>
      <c r="M42" s="94">
        <f t="shared" si="116"/>
        <v>0</v>
      </c>
      <c r="N42" s="94">
        <f t="shared" ref="N42:S42" si="117">SUM(N139:N143)</f>
        <v>0</v>
      </c>
      <c r="O42" s="94">
        <f t="shared" si="117"/>
        <v>0</v>
      </c>
      <c r="P42" s="94">
        <f t="shared" si="117"/>
        <v>0</v>
      </c>
      <c r="Q42" s="94">
        <f t="shared" si="117"/>
        <v>0</v>
      </c>
      <c r="R42" s="94">
        <f t="shared" si="117"/>
        <v>0</v>
      </c>
      <c r="S42" s="94">
        <f t="shared" si="117"/>
        <v>0</v>
      </c>
      <c r="T42" s="94">
        <f t="shared" si="116"/>
        <v>0</v>
      </c>
      <c r="U42" s="94">
        <f t="shared" si="116"/>
        <v>0</v>
      </c>
      <c r="V42" s="94">
        <f t="shared" si="116"/>
        <v>0</v>
      </c>
      <c r="W42" s="94">
        <f t="shared" si="116"/>
        <v>0</v>
      </c>
      <c r="X42" s="94">
        <f t="shared" si="116"/>
        <v>0</v>
      </c>
      <c r="Y42" s="94">
        <f t="shared" si="116"/>
        <v>0</v>
      </c>
      <c r="Z42" s="94">
        <f t="shared" si="116"/>
        <v>0</v>
      </c>
      <c r="AA42" s="103">
        <f t="shared" si="116"/>
        <v>0</v>
      </c>
      <c r="AB42" s="215"/>
      <c r="AC42" s="183">
        <v>0</v>
      </c>
      <c r="AD42" s="94">
        <v>0</v>
      </c>
      <c r="AE42" s="166" t="e">
        <f t="shared" si="96"/>
        <v>#DIV/0!</v>
      </c>
      <c r="AG42" s="155" t="e">
        <f t="shared" ref="AG42:AR42" si="118">BG139+BG142</f>
        <v>#DIV/0!</v>
      </c>
      <c r="AH42" s="94" t="e">
        <f t="shared" si="118"/>
        <v>#DIV/0!</v>
      </c>
      <c r="AI42" s="94" t="e">
        <f t="shared" si="118"/>
        <v>#DIV/0!</v>
      </c>
      <c r="AJ42" s="94" t="e">
        <f t="shared" si="118"/>
        <v>#DIV/0!</v>
      </c>
      <c r="AK42" s="94" t="e">
        <f t="shared" si="118"/>
        <v>#DIV/0!</v>
      </c>
      <c r="AL42" s="94" t="e">
        <f t="shared" si="118"/>
        <v>#DIV/0!</v>
      </c>
      <c r="AM42" s="94" t="e">
        <f t="shared" si="118"/>
        <v>#DIV/0!</v>
      </c>
      <c r="AN42" s="94" t="e">
        <f t="shared" si="118"/>
        <v>#DIV/0!</v>
      </c>
      <c r="AO42" s="94" t="e">
        <f t="shared" si="118"/>
        <v>#DIV/0!</v>
      </c>
      <c r="AP42" s="94" t="e">
        <f t="shared" si="118"/>
        <v>#DIV/0!</v>
      </c>
      <c r="AQ42" s="94" t="e">
        <f t="shared" si="118"/>
        <v>#DIV/0!</v>
      </c>
      <c r="AR42" s="94" t="e">
        <f t="shared" si="118"/>
        <v>#DIV/0!</v>
      </c>
      <c r="AS42" s="94" t="e">
        <f t="shared" ref="AS42:AZ42" si="119">BS139+BS142</f>
        <v>#DIV/0!</v>
      </c>
      <c r="AT42" s="94" t="e">
        <f t="shared" si="119"/>
        <v>#DIV/0!</v>
      </c>
      <c r="AU42" s="94" t="e">
        <f t="shared" si="119"/>
        <v>#DIV/0!</v>
      </c>
      <c r="AV42" s="94" t="e">
        <f t="shared" si="119"/>
        <v>#DIV/0!</v>
      </c>
      <c r="AW42" s="94" t="e">
        <f t="shared" si="119"/>
        <v>#DIV/0!</v>
      </c>
      <c r="AX42" s="94" t="e">
        <f t="shared" si="119"/>
        <v>#DIV/0!</v>
      </c>
      <c r="AY42" s="94" t="e">
        <f t="shared" si="119"/>
        <v>#DIV/0!</v>
      </c>
      <c r="AZ42" s="103" t="e">
        <f t="shared" si="119"/>
        <v>#DIV/0!</v>
      </c>
    </row>
    <row r="43" spans="3:78" x14ac:dyDescent="0.25">
      <c r="C43" s="227" t="str">
        <f t="shared" si="88"/>
        <v>Oct 27-Nov 2</v>
      </c>
      <c r="D43" s="179"/>
      <c r="E43" s="63">
        <f>SUM(E144:E148)</f>
        <v>0</v>
      </c>
      <c r="F43" s="63">
        <f t="shared" ref="F43:AA43" si="120">SUM(F144:F148)</f>
        <v>0</v>
      </c>
      <c r="G43" s="63">
        <f t="shared" si="120"/>
        <v>0</v>
      </c>
      <c r="H43" s="63">
        <f t="shared" si="120"/>
        <v>0</v>
      </c>
      <c r="I43" s="63">
        <f t="shared" si="120"/>
        <v>0</v>
      </c>
      <c r="J43" s="63">
        <f t="shared" si="120"/>
        <v>0</v>
      </c>
      <c r="K43" s="63">
        <f t="shared" si="120"/>
        <v>0</v>
      </c>
      <c r="L43" s="63">
        <f t="shared" si="120"/>
        <v>0</v>
      </c>
      <c r="M43" s="63">
        <f t="shared" si="120"/>
        <v>0</v>
      </c>
      <c r="N43" s="63">
        <f t="shared" si="120"/>
        <v>0</v>
      </c>
      <c r="O43" s="63">
        <f t="shared" si="120"/>
        <v>0</v>
      </c>
      <c r="P43" s="63">
        <f t="shared" si="120"/>
        <v>0</v>
      </c>
      <c r="Q43" s="63">
        <f t="shared" si="120"/>
        <v>0</v>
      </c>
      <c r="R43" s="63">
        <f t="shared" si="120"/>
        <v>0</v>
      </c>
      <c r="S43" s="63">
        <f t="shared" si="120"/>
        <v>0</v>
      </c>
      <c r="T43" s="63">
        <f t="shared" si="120"/>
        <v>0</v>
      </c>
      <c r="U43" s="63">
        <f t="shared" si="120"/>
        <v>0</v>
      </c>
      <c r="V43" s="63">
        <f t="shared" si="120"/>
        <v>0</v>
      </c>
      <c r="W43" s="63">
        <f t="shared" si="120"/>
        <v>0</v>
      </c>
      <c r="X43" s="63">
        <f t="shared" si="120"/>
        <v>0</v>
      </c>
      <c r="Y43" s="63">
        <f t="shared" si="120"/>
        <v>0</v>
      </c>
      <c r="Z43" s="63">
        <f t="shared" si="120"/>
        <v>0</v>
      </c>
      <c r="AA43" s="63">
        <f t="shared" si="120"/>
        <v>0</v>
      </c>
      <c r="AB43" s="215"/>
      <c r="AC43" s="183">
        <v>0</v>
      </c>
      <c r="AD43" s="94">
        <v>0</v>
      </c>
      <c r="AE43" s="166" t="e">
        <f t="shared" ref="AE43:AE44" si="121">G43/AD43</f>
        <v>#DIV/0!</v>
      </c>
      <c r="AG43" s="155" t="e">
        <f>BG144+BG147</f>
        <v>#DIV/0!</v>
      </c>
      <c r="AH43" s="94" t="e">
        <f t="shared" ref="AH43:AZ43" si="122">BH144+BH147</f>
        <v>#DIV/0!</v>
      </c>
      <c r="AI43" s="94" t="e">
        <f t="shared" si="122"/>
        <v>#DIV/0!</v>
      </c>
      <c r="AJ43" s="94" t="e">
        <f t="shared" si="122"/>
        <v>#DIV/0!</v>
      </c>
      <c r="AK43" s="94" t="e">
        <f t="shared" si="122"/>
        <v>#DIV/0!</v>
      </c>
      <c r="AL43" s="94" t="e">
        <f t="shared" si="122"/>
        <v>#DIV/0!</v>
      </c>
      <c r="AM43" s="94" t="e">
        <f t="shared" si="122"/>
        <v>#DIV/0!</v>
      </c>
      <c r="AN43" s="94" t="e">
        <f t="shared" si="122"/>
        <v>#DIV/0!</v>
      </c>
      <c r="AO43" s="94" t="e">
        <f t="shared" si="122"/>
        <v>#DIV/0!</v>
      </c>
      <c r="AP43" s="94" t="e">
        <f t="shared" si="122"/>
        <v>#DIV/0!</v>
      </c>
      <c r="AQ43" s="94" t="e">
        <f t="shared" si="122"/>
        <v>#DIV/0!</v>
      </c>
      <c r="AR43" s="94" t="e">
        <f t="shared" si="122"/>
        <v>#DIV/0!</v>
      </c>
      <c r="AS43" s="94" t="e">
        <f t="shared" si="122"/>
        <v>#DIV/0!</v>
      </c>
      <c r="AT43" s="94" t="e">
        <f t="shared" si="122"/>
        <v>#DIV/0!</v>
      </c>
      <c r="AU43" s="94" t="e">
        <f t="shared" si="122"/>
        <v>#DIV/0!</v>
      </c>
      <c r="AV43" s="94" t="e">
        <f t="shared" si="122"/>
        <v>#DIV/0!</v>
      </c>
      <c r="AW43" s="94" t="e">
        <f t="shared" si="122"/>
        <v>#DIV/0!</v>
      </c>
      <c r="AX43" s="94" t="e">
        <f t="shared" si="122"/>
        <v>#DIV/0!</v>
      </c>
      <c r="AY43" s="94" t="e">
        <f t="shared" si="122"/>
        <v>#DIV/0!</v>
      </c>
      <c r="AZ43" s="103" t="e">
        <f t="shared" si="122"/>
        <v>#DIV/0!</v>
      </c>
    </row>
    <row r="44" spans="3:78" x14ac:dyDescent="0.25">
      <c r="C44" s="227" t="str">
        <f t="shared" si="88"/>
        <v>Nov 3-9</v>
      </c>
      <c r="D44" s="179"/>
      <c r="E44" s="63">
        <f>SUM(E149:E153)</f>
        <v>0</v>
      </c>
      <c r="F44" s="63">
        <f t="shared" ref="F44:AA44" si="123">SUM(F149:F153)</f>
        <v>0</v>
      </c>
      <c r="G44" s="63">
        <f t="shared" si="123"/>
        <v>0</v>
      </c>
      <c r="H44" s="63">
        <f t="shared" si="123"/>
        <v>0</v>
      </c>
      <c r="I44" s="63">
        <f t="shared" si="123"/>
        <v>0</v>
      </c>
      <c r="J44" s="63">
        <f t="shared" si="123"/>
        <v>0</v>
      </c>
      <c r="K44" s="63">
        <f t="shared" si="123"/>
        <v>0</v>
      </c>
      <c r="L44" s="63">
        <f t="shared" si="123"/>
        <v>0</v>
      </c>
      <c r="M44" s="63">
        <f t="shared" si="123"/>
        <v>0</v>
      </c>
      <c r="N44" s="63">
        <f t="shared" si="123"/>
        <v>0</v>
      </c>
      <c r="O44" s="63">
        <f t="shared" si="123"/>
        <v>0</v>
      </c>
      <c r="P44" s="63">
        <f t="shared" si="123"/>
        <v>0</v>
      </c>
      <c r="Q44" s="63">
        <f t="shared" si="123"/>
        <v>0</v>
      </c>
      <c r="R44" s="63">
        <f t="shared" si="123"/>
        <v>0</v>
      </c>
      <c r="S44" s="63">
        <f t="shared" si="123"/>
        <v>0</v>
      </c>
      <c r="T44" s="63">
        <f t="shared" si="123"/>
        <v>0</v>
      </c>
      <c r="U44" s="63">
        <f t="shared" si="123"/>
        <v>0</v>
      </c>
      <c r="V44" s="63">
        <f t="shared" si="123"/>
        <v>0</v>
      </c>
      <c r="W44" s="63">
        <f t="shared" si="123"/>
        <v>0</v>
      </c>
      <c r="X44" s="63">
        <f t="shared" si="123"/>
        <v>0</v>
      </c>
      <c r="Y44" s="63">
        <f t="shared" si="123"/>
        <v>0</v>
      </c>
      <c r="Z44" s="63">
        <f t="shared" si="123"/>
        <v>0</v>
      </c>
      <c r="AA44" s="63">
        <f t="shared" si="123"/>
        <v>0</v>
      </c>
      <c r="AB44" s="215"/>
      <c r="AC44" s="183">
        <v>0</v>
      </c>
      <c r="AD44" s="94">
        <v>0</v>
      </c>
      <c r="AE44" s="166" t="e">
        <f t="shared" si="121"/>
        <v>#DIV/0!</v>
      </c>
      <c r="AG44" s="155" t="e">
        <f>BG149+BG152</f>
        <v>#DIV/0!</v>
      </c>
      <c r="AH44" s="94" t="e">
        <f t="shared" ref="AH44:AZ44" si="124">BH149+BH152</f>
        <v>#DIV/0!</v>
      </c>
      <c r="AI44" s="94" t="e">
        <f t="shared" si="124"/>
        <v>#DIV/0!</v>
      </c>
      <c r="AJ44" s="94" t="e">
        <f t="shared" si="124"/>
        <v>#DIV/0!</v>
      </c>
      <c r="AK44" s="94" t="e">
        <f t="shared" si="124"/>
        <v>#DIV/0!</v>
      </c>
      <c r="AL44" s="94" t="e">
        <f t="shared" si="124"/>
        <v>#DIV/0!</v>
      </c>
      <c r="AM44" s="94" t="e">
        <f t="shared" si="124"/>
        <v>#DIV/0!</v>
      </c>
      <c r="AN44" s="94" t="e">
        <f t="shared" si="124"/>
        <v>#DIV/0!</v>
      </c>
      <c r="AO44" s="94" t="e">
        <f t="shared" si="124"/>
        <v>#DIV/0!</v>
      </c>
      <c r="AP44" s="94" t="e">
        <f t="shared" si="124"/>
        <v>#DIV/0!</v>
      </c>
      <c r="AQ44" s="94" t="e">
        <f t="shared" si="124"/>
        <v>#DIV/0!</v>
      </c>
      <c r="AR44" s="94" t="e">
        <f t="shared" si="124"/>
        <v>#DIV/0!</v>
      </c>
      <c r="AS44" s="94" t="e">
        <f t="shared" si="124"/>
        <v>#DIV/0!</v>
      </c>
      <c r="AT44" s="94" t="e">
        <f t="shared" si="124"/>
        <v>#DIV/0!</v>
      </c>
      <c r="AU44" s="94" t="e">
        <f t="shared" si="124"/>
        <v>#DIV/0!</v>
      </c>
      <c r="AV44" s="94" t="e">
        <f t="shared" si="124"/>
        <v>#DIV/0!</v>
      </c>
      <c r="AW44" s="94" t="e">
        <f t="shared" si="124"/>
        <v>#DIV/0!</v>
      </c>
      <c r="AX44" s="94" t="e">
        <f t="shared" si="124"/>
        <v>#DIV/0!</v>
      </c>
      <c r="AY44" s="94" t="e">
        <f t="shared" si="124"/>
        <v>#DIV/0!</v>
      </c>
      <c r="AZ44" s="103" t="e">
        <f t="shared" si="124"/>
        <v>#DIV/0!</v>
      </c>
    </row>
    <row r="45" spans="3:78" ht="16.5" thickBot="1" x14ac:dyDescent="0.3">
      <c r="C45" s="114" t="str">
        <f t="shared" si="88"/>
        <v>Nov 10-16</v>
      </c>
      <c r="D45" s="115"/>
      <c r="E45" s="137"/>
      <c r="F45" s="137"/>
      <c r="G45" s="149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104"/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78" ht="17.25" thickTop="1" thickBot="1" x14ac:dyDescent="0.3">
      <c r="C46" s="112"/>
      <c r="D46" s="113"/>
      <c r="E46" s="98">
        <f t="shared" ref="E46" si="125">SUM(E36:E45)</f>
        <v>1</v>
      </c>
      <c r="F46" s="98">
        <f t="shared" ref="F46:AA46" si="126">SUM(F36:F45)</f>
        <v>2</v>
      </c>
      <c r="G46" s="135">
        <f t="shared" si="126"/>
        <v>7.6</v>
      </c>
      <c r="H46" s="105">
        <f t="shared" si="126"/>
        <v>1</v>
      </c>
      <c r="I46" s="105">
        <f t="shared" si="126"/>
        <v>3</v>
      </c>
      <c r="J46" s="105">
        <f t="shared" si="126"/>
        <v>0</v>
      </c>
      <c r="K46" s="105">
        <f t="shared" si="126"/>
        <v>0</v>
      </c>
      <c r="L46" s="105">
        <f t="shared" si="126"/>
        <v>0</v>
      </c>
      <c r="M46" s="105">
        <f t="shared" si="126"/>
        <v>0</v>
      </c>
      <c r="N46" s="105">
        <f t="shared" ref="N46:S46" si="127">SUM(N36:N45)</f>
        <v>0</v>
      </c>
      <c r="O46" s="105">
        <f t="shared" si="127"/>
        <v>0</v>
      </c>
      <c r="P46" s="105">
        <f t="shared" si="127"/>
        <v>0</v>
      </c>
      <c r="Q46" s="105">
        <f t="shared" si="127"/>
        <v>0</v>
      </c>
      <c r="R46" s="105">
        <f t="shared" si="127"/>
        <v>0</v>
      </c>
      <c r="S46" s="105">
        <f t="shared" si="127"/>
        <v>0</v>
      </c>
      <c r="T46" s="105">
        <f t="shared" si="126"/>
        <v>0</v>
      </c>
      <c r="U46" s="105">
        <f t="shared" si="126"/>
        <v>0</v>
      </c>
      <c r="V46" s="105">
        <f t="shared" si="126"/>
        <v>0</v>
      </c>
      <c r="W46" s="105">
        <f t="shared" si="126"/>
        <v>0</v>
      </c>
      <c r="X46" s="105">
        <f t="shared" si="126"/>
        <v>0</v>
      </c>
      <c r="Y46" s="105">
        <f t="shared" si="126"/>
        <v>0</v>
      </c>
      <c r="Z46" s="105">
        <f t="shared" si="126"/>
        <v>0</v>
      </c>
      <c r="AA46" s="107">
        <f t="shared" si="126"/>
        <v>0</v>
      </c>
      <c r="AB46" s="215">
        <f>SUM(G46)/SUM(H46:M46)</f>
        <v>1.9</v>
      </c>
      <c r="AC46" s="185">
        <f t="shared" ref="AC46" si="128">SUM(AC36:AC45)</f>
        <v>0</v>
      </c>
      <c r="AD46" s="107" t="e">
        <f>SUM(AD36:AD45)</f>
        <v>#DIV/0!</v>
      </c>
      <c r="AE46" s="167" t="e">
        <f t="shared" si="96"/>
        <v>#DIV/0!</v>
      </c>
      <c r="AG46" s="157" t="e">
        <f t="shared" ref="AG46:AZ46" si="129">SUM(AG36:AG45)</f>
        <v>#DIV/0!</v>
      </c>
      <c r="AH46" s="105" t="e">
        <f t="shared" si="129"/>
        <v>#DIV/0!</v>
      </c>
      <c r="AI46" s="105" t="e">
        <f t="shared" si="129"/>
        <v>#DIV/0!</v>
      </c>
      <c r="AJ46" s="105" t="e">
        <f t="shared" si="129"/>
        <v>#DIV/0!</v>
      </c>
      <c r="AK46" s="105" t="e">
        <f t="shared" si="129"/>
        <v>#DIV/0!</v>
      </c>
      <c r="AL46" s="105" t="e">
        <f t="shared" si="129"/>
        <v>#DIV/0!</v>
      </c>
      <c r="AM46" s="105" t="e">
        <f t="shared" ref="AM46:AR46" si="130">SUM(AM36:AM45)</f>
        <v>#DIV/0!</v>
      </c>
      <c r="AN46" s="105" t="e">
        <f t="shared" si="130"/>
        <v>#DIV/0!</v>
      </c>
      <c r="AO46" s="105" t="e">
        <f t="shared" si="130"/>
        <v>#DIV/0!</v>
      </c>
      <c r="AP46" s="105" t="e">
        <f t="shared" si="130"/>
        <v>#DIV/0!</v>
      </c>
      <c r="AQ46" s="105" t="e">
        <f t="shared" si="130"/>
        <v>#DIV/0!</v>
      </c>
      <c r="AR46" s="105" t="e">
        <f t="shared" si="130"/>
        <v>#DIV/0!</v>
      </c>
      <c r="AS46" s="105" t="e">
        <f t="shared" si="129"/>
        <v>#DIV/0!</v>
      </c>
      <c r="AT46" s="105" t="e">
        <f t="shared" si="129"/>
        <v>#DIV/0!</v>
      </c>
      <c r="AU46" s="105" t="e">
        <f t="shared" si="129"/>
        <v>#DIV/0!</v>
      </c>
      <c r="AV46" s="105" t="e">
        <f t="shared" si="129"/>
        <v>#DIV/0!</v>
      </c>
      <c r="AW46" s="105" t="e">
        <f t="shared" si="129"/>
        <v>#DIV/0!</v>
      </c>
      <c r="AX46" s="105" t="e">
        <f t="shared" si="129"/>
        <v>#DIV/0!</v>
      </c>
      <c r="AY46" s="105" t="e">
        <f t="shared" si="129"/>
        <v>#DIV/0!</v>
      </c>
      <c r="AZ46" s="107" t="e">
        <f t="shared" si="129"/>
        <v>#DIV/0!</v>
      </c>
    </row>
    <row r="47" spans="3:78" ht="16.5" thickBot="1" x14ac:dyDescent="0.3">
      <c r="AB47" s="215"/>
    </row>
    <row r="48" spans="3:78" ht="16.5" thickBot="1" x14ac:dyDescent="0.3">
      <c r="AB48" s="215"/>
      <c r="AL48" s="454" t="s">
        <v>5227</v>
      </c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6"/>
      <c r="BG48" s="454" t="s">
        <v>5228</v>
      </c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  <c r="BR48" s="455"/>
      <c r="BS48" s="455"/>
      <c r="BT48" s="455"/>
      <c r="BU48" s="455"/>
      <c r="BV48" s="455"/>
      <c r="BW48" s="455"/>
      <c r="BX48" s="455"/>
      <c r="BY48" s="455"/>
      <c r="BZ48" s="456"/>
    </row>
    <row r="49" spans="1:78" ht="18.75" x14ac:dyDescent="0.3">
      <c r="C49" s="163" t="s">
        <v>597</v>
      </c>
      <c r="D49" s="21"/>
      <c r="E49" s="21"/>
      <c r="F49" s="22"/>
      <c r="G49" s="22"/>
      <c r="H49" s="434" t="s">
        <v>5245</v>
      </c>
      <c r="I49" s="428"/>
      <c r="J49" s="428"/>
      <c r="K49" s="428"/>
      <c r="L49" s="428"/>
      <c r="M49" s="429"/>
      <c r="N49" s="434" t="s">
        <v>10</v>
      </c>
      <c r="O49" s="428"/>
      <c r="P49" s="428"/>
      <c r="Q49" s="428"/>
      <c r="R49" s="428"/>
      <c r="S49" s="429"/>
      <c r="T49" s="424" t="s">
        <v>6</v>
      </c>
      <c r="U49" s="424"/>
      <c r="V49" s="434" t="s">
        <v>33</v>
      </c>
      <c r="W49" s="428"/>
      <c r="X49" s="428"/>
      <c r="Y49" s="428"/>
      <c r="Z49" s="428"/>
      <c r="AA49" s="429"/>
      <c r="AB49" s="451" t="s">
        <v>5247</v>
      </c>
      <c r="AC49" s="9" t="s">
        <v>37</v>
      </c>
      <c r="AD49" s="25"/>
      <c r="AE49" s="26"/>
      <c r="AF49" s="25"/>
      <c r="AG49" s="27"/>
      <c r="AH49" s="27"/>
      <c r="AI49" s="28"/>
      <c r="AJ49" s="28"/>
      <c r="AK49" s="170"/>
      <c r="AL49" s="444" t="s">
        <v>5245</v>
      </c>
      <c r="AM49" s="445"/>
      <c r="AN49" s="445"/>
      <c r="AO49" s="445"/>
      <c r="AP49" s="445"/>
      <c r="AQ49" s="446"/>
      <c r="AR49" s="444" t="s">
        <v>10</v>
      </c>
      <c r="AS49" s="445"/>
      <c r="AT49" s="445"/>
      <c r="AU49" s="445"/>
      <c r="AV49" s="445"/>
      <c r="AW49" s="446"/>
      <c r="AX49" s="441" t="s">
        <v>6</v>
      </c>
      <c r="AY49" s="424"/>
      <c r="AZ49" s="434" t="s">
        <v>33</v>
      </c>
      <c r="BA49" s="428"/>
      <c r="BB49" s="428"/>
      <c r="BC49" s="428"/>
      <c r="BD49" s="428"/>
      <c r="BE49" s="429"/>
      <c r="BG49" s="444" t="s">
        <v>5245</v>
      </c>
      <c r="BH49" s="445"/>
      <c r="BI49" s="445"/>
      <c r="BJ49" s="445"/>
      <c r="BK49" s="445"/>
      <c r="BL49" s="446"/>
      <c r="BM49" s="444" t="s">
        <v>10</v>
      </c>
      <c r="BN49" s="445"/>
      <c r="BO49" s="445"/>
      <c r="BP49" s="445"/>
      <c r="BQ49" s="445"/>
      <c r="BR49" s="446"/>
      <c r="BS49" s="441" t="s">
        <v>6</v>
      </c>
      <c r="BT49" s="424"/>
      <c r="BU49" s="434" t="s">
        <v>33</v>
      </c>
      <c r="BV49" s="428"/>
      <c r="BW49" s="428"/>
      <c r="BX49" s="428"/>
      <c r="BY49" s="428"/>
      <c r="BZ49" s="429"/>
    </row>
    <row r="50" spans="1:78" x14ac:dyDescent="0.25">
      <c r="C50" s="409" t="s">
        <v>0</v>
      </c>
      <c r="D50" s="54" t="s">
        <v>41</v>
      </c>
      <c r="E50" s="30"/>
      <c r="F50" s="30"/>
      <c r="G50" s="54" t="s">
        <v>2</v>
      </c>
      <c r="H50" s="419" t="s">
        <v>4</v>
      </c>
      <c r="I50" s="420"/>
      <c r="J50" s="421" t="s">
        <v>9</v>
      </c>
      <c r="K50" s="422"/>
      <c r="L50" s="421" t="s">
        <v>5246</v>
      </c>
      <c r="M50" s="438"/>
      <c r="N50" s="419" t="s">
        <v>4</v>
      </c>
      <c r="O50" s="420"/>
      <c r="P50" s="421" t="s">
        <v>9</v>
      </c>
      <c r="Q50" s="422"/>
      <c r="R50" s="421" t="s">
        <v>5246</v>
      </c>
      <c r="S50" s="438"/>
      <c r="T50" s="423" t="s">
        <v>34</v>
      </c>
      <c r="U50" s="423"/>
      <c r="V50" s="430" t="s">
        <v>5269</v>
      </c>
      <c r="W50" s="431"/>
      <c r="X50" s="432" t="s">
        <v>5229</v>
      </c>
      <c r="Y50" s="431"/>
      <c r="Z50" s="432" t="s">
        <v>5231</v>
      </c>
      <c r="AA50" s="433"/>
      <c r="AB50" s="452"/>
      <c r="AC50" s="10" t="s">
        <v>15</v>
      </c>
      <c r="AD50" s="32" t="s">
        <v>16</v>
      </c>
      <c r="AE50" s="174"/>
      <c r="AF50" s="175"/>
      <c r="AG50" s="3" t="s">
        <v>21</v>
      </c>
      <c r="AH50" s="176" t="s">
        <v>2</v>
      </c>
      <c r="AI50" s="32" t="s">
        <v>23</v>
      </c>
      <c r="AJ50" s="168" t="s">
        <v>5226</v>
      </c>
      <c r="AK50" s="171" t="s">
        <v>643</v>
      </c>
      <c r="AL50" s="442" t="s">
        <v>4</v>
      </c>
      <c r="AM50" s="440"/>
      <c r="AN50" s="440" t="s">
        <v>9</v>
      </c>
      <c r="AO50" s="440"/>
      <c r="AP50" s="440" t="s">
        <v>5246</v>
      </c>
      <c r="AQ50" s="447"/>
      <c r="AR50" s="442" t="s">
        <v>4</v>
      </c>
      <c r="AS50" s="440"/>
      <c r="AT50" s="440" t="s">
        <v>9</v>
      </c>
      <c r="AU50" s="440"/>
      <c r="AV50" s="440" t="s">
        <v>5246</v>
      </c>
      <c r="AW50" s="447"/>
      <c r="AX50" s="443" t="s">
        <v>34</v>
      </c>
      <c r="AY50" s="423"/>
      <c r="AZ50" s="430"/>
      <c r="BA50" s="431"/>
      <c r="BB50" s="432"/>
      <c r="BC50" s="431"/>
      <c r="BD50" s="432"/>
      <c r="BE50" s="433"/>
      <c r="BG50" s="442" t="s">
        <v>4</v>
      </c>
      <c r="BH50" s="440"/>
      <c r="BI50" s="440" t="s">
        <v>9</v>
      </c>
      <c r="BJ50" s="440"/>
      <c r="BK50" s="440" t="s">
        <v>5246</v>
      </c>
      <c r="BL50" s="447"/>
      <c r="BM50" s="442" t="s">
        <v>4</v>
      </c>
      <c r="BN50" s="440"/>
      <c r="BO50" s="440" t="s">
        <v>9</v>
      </c>
      <c r="BP50" s="440"/>
      <c r="BQ50" s="440" t="s">
        <v>5246</v>
      </c>
      <c r="BR50" s="447"/>
      <c r="BS50" s="443" t="s">
        <v>34</v>
      </c>
      <c r="BT50" s="423"/>
      <c r="BU50" s="430"/>
      <c r="BV50" s="431"/>
      <c r="BW50" s="432"/>
      <c r="BX50" s="431"/>
      <c r="BY50" s="432"/>
      <c r="BZ50" s="433"/>
    </row>
    <row r="51" spans="1:78" ht="16.5" thickBot="1" x14ac:dyDescent="0.3">
      <c r="C51" s="410"/>
      <c r="D51" s="53" t="s">
        <v>40</v>
      </c>
      <c r="E51" s="35" t="s">
        <v>1</v>
      </c>
      <c r="F51" s="35" t="s">
        <v>5248</v>
      </c>
      <c r="G51" s="53" t="s">
        <v>3</v>
      </c>
      <c r="H51" s="93" t="s">
        <v>5243</v>
      </c>
      <c r="I51" s="36" t="s">
        <v>5244</v>
      </c>
      <c r="J51" s="36" t="s">
        <v>5243</v>
      </c>
      <c r="K51" s="36" t="s">
        <v>5244</v>
      </c>
      <c r="L51" s="36" t="s">
        <v>24</v>
      </c>
      <c r="M51" s="57" t="s">
        <v>9</v>
      </c>
      <c r="N51" s="93" t="s">
        <v>5243</v>
      </c>
      <c r="O51" s="36" t="s">
        <v>5244</v>
      </c>
      <c r="P51" s="36" t="s">
        <v>5243</v>
      </c>
      <c r="Q51" s="36" t="s">
        <v>5244</v>
      </c>
      <c r="R51" s="36" t="s">
        <v>24</v>
      </c>
      <c r="S51" s="57" t="s">
        <v>9</v>
      </c>
      <c r="T51" s="18" t="s">
        <v>7</v>
      </c>
      <c r="U51" s="17" t="s">
        <v>8</v>
      </c>
      <c r="V51" s="93" t="s">
        <v>36</v>
      </c>
      <c r="W51" s="36" t="s">
        <v>31</v>
      </c>
      <c r="X51" s="36" t="s">
        <v>36</v>
      </c>
      <c r="Y51" s="36" t="s">
        <v>31</v>
      </c>
      <c r="Z51" s="36" t="s">
        <v>36</v>
      </c>
      <c r="AA51" s="57" t="s">
        <v>31</v>
      </c>
      <c r="AB51" s="453"/>
      <c r="AC51" s="11" t="s">
        <v>18</v>
      </c>
      <c r="AD51" s="6" t="s">
        <v>19</v>
      </c>
      <c r="AE51" s="5" t="s">
        <v>20</v>
      </c>
      <c r="AF51" s="177"/>
      <c r="AG51" s="178" t="s">
        <v>5249</v>
      </c>
      <c r="AH51" s="7" t="s">
        <v>22</v>
      </c>
      <c r="AI51" s="164">
        <v>0.95</v>
      </c>
      <c r="AJ51" s="169" t="s">
        <v>3</v>
      </c>
      <c r="AK51" s="159" t="s">
        <v>644</v>
      </c>
      <c r="AL51" s="93" t="s">
        <v>5243</v>
      </c>
      <c r="AM51" s="36" t="s">
        <v>5244</v>
      </c>
      <c r="AN51" s="36" t="s">
        <v>5243</v>
      </c>
      <c r="AO51" s="36" t="s">
        <v>5244</v>
      </c>
      <c r="AP51" s="36" t="s">
        <v>24</v>
      </c>
      <c r="AQ51" s="57" t="s">
        <v>9</v>
      </c>
      <c r="AR51" s="93" t="s">
        <v>5243</v>
      </c>
      <c r="AS51" s="36" t="s">
        <v>5244</v>
      </c>
      <c r="AT51" s="36" t="s">
        <v>5243</v>
      </c>
      <c r="AU51" s="36" t="s">
        <v>5244</v>
      </c>
      <c r="AV51" s="36" t="s">
        <v>24</v>
      </c>
      <c r="AW51" s="57" t="s">
        <v>9</v>
      </c>
      <c r="AX51" s="93" t="s">
        <v>7</v>
      </c>
      <c r="AY51" s="17" t="s">
        <v>8</v>
      </c>
      <c r="AZ51" s="276" t="s">
        <v>36</v>
      </c>
      <c r="BA51" s="18" t="s">
        <v>31</v>
      </c>
      <c r="BB51" s="36" t="s">
        <v>36</v>
      </c>
      <c r="BC51" s="36" t="s">
        <v>31</v>
      </c>
      <c r="BD51" s="36" t="s">
        <v>36</v>
      </c>
      <c r="BE51" s="57" t="s">
        <v>31</v>
      </c>
      <c r="BG51" s="93" t="s">
        <v>5243</v>
      </c>
      <c r="BH51" s="36" t="s">
        <v>5244</v>
      </c>
      <c r="BI51" s="36" t="s">
        <v>5243</v>
      </c>
      <c r="BJ51" s="36" t="s">
        <v>5244</v>
      </c>
      <c r="BK51" s="36" t="s">
        <v>24</v>
      </c>
      <c r="BL51" s="57" t="s">
        <v>9</v>
      </c>
      <c r="BM51" s="93" t="s">
        <v>5243</v>
      </c>
      <c r="BN51" s="36" t="s">
        <v>5244</v>
      </c>
      <c r="BO51" s="36" t="s">
        <v>5243</v>
      </c>
      <c r="BP51" s="36" t="s">
        <v>5244</v>
      </c>
      <c r="BQ51" s="36" t="s">
        <v>24</v>
      </c>
      <c r="BR51" s="57" t="s">
        <v>9</v>
      </c>
      <c r="BS51" s="93" t="s">
        <v>7</v>
      </c>
      <c r="BT51" s="17" t="s">
        <v>8</v>
      </c>
      <c r="BU51" s="93" t="s">
        <v>36</v>
      </c>
      <c r="BV51" s="36" t="s">
        <v>31</v>
      </c>
      <c r="BW51" s="36" t="s">
        <v>36</v>
      </c>
      <c r="BX51" s="36" t="s">
        <v>31</v>
      </c>
      <c r="BY51" s="36" t="s">
        <v>36</v>
      </c>
      <c r="BZ51" s="57" t="s">
        <v>31</v>
      </c>
    </row>
    <row r="52" spans="1:78" ht="15.75" customHeight="1" x14ac:dyDescent="0.25">
      <c r="A52" s="15">
        <v>1</v>
      </c>
      <c r="B52" s="401" t="str">
        <f>C8</f>
        <v>0</v>
      </c>
      <c r="C52" s="120"/>
      <c r="D52" s="55" t="s">
        <v>39</v>
      </c>
      <c r="E52" s="3"/>
      <c r="F52" s="39"/>
      <c r="G52" s="272"/>
      <c r="H52" s="277"/>
      <c r="I52" s="40"/>
      <c r="J52" s="41"/>
      <c r="K52" s="42"/>
      <c r="L52" s="40"/>
      <c r="M52" s="58"/>
      <c r="N52" s="277"/>
      <c r="O52" s="40"/>
      <c r="P52" s="41"/>
      <c r="Q52" s="40"/>
      <c r="R52" s="41"/>
      <c r="S52" s="58"/>
      <c r="T52" s="40"/>
      <c r="U52" s="40"/>
      <c r="V52" s="277"/>
      <c r="W52" s="40"/>
      <c r="X52" s="40"/>
      <c r="Y52" s="40"/>
      <c r="Z52" s="40"/>
      <c r="AA52" s="58"/>
      <c r="AB52" s="396"/>
      <c r="AC52" s="193"/>
      <c r="AD52" s="193"/>
      <c r="AE52" s="200"/>
      <c r="AF52" s="194"/>
      <c r="AG52" s="210"/>
      <c r="AH52" s="196"/>
      <c r="AI52" s="197"/>
      <c r="AJ52" s="197"/>
      <c r="AK52" s="181"/>
      <c r="AL52" s="281"/>
      <c r="AM52" s="48"/>
      <c r="AN52" s="47"/>
      <c r="AO52" s="48"/>
      <c r="AP52" s="47"/>
      <c r="AQ52" s="282"/>
      <c r="AR52" s="281"/>
      <c r="AS52" s="48"/>
      <c r="AT52" s="47"/>
      <c r="AU52" s="48"/>
      <c r="AV52" s="47"/>
      <c r="AW52" s="282"/>
      <c r="AX52" s="279"/>
      <c r="AY52" s="129"/>
      <c r="AZ52" s="279"/>
      <c r="BA52" s="130"/>
      <c r="BB52" s="128"/>
      <c r="BC52" s="130"/>
      <c r="BD52" s="128"/>
      <c r="BE52" s="280"/>
      <c r="BG52" s="285"/>
      <c r="BH52" s="49"/>
      <c r="BI52" s="49"/>
      <c r="BJ52" s="49"/>
      <c r="BK52" s="49"/>
      <c r="BL52" s="286"/>
      <c r="BM52" s="285"/>
      <c r="BN52" s="49"/>
      <c r="BO52" s="49"/>
      <c r="BP52" s="49"/>
      <c r="BQ52" s="49"/>
      <c r="BR52" s="286"/>
      <c r="BS52" s="285"/>
      <c r="BT52" s="20"/>
      <c r="BU52" s="285"/>
      <c r="BV52" s="20"/>
      <c r="BW52" s="20"/>
      <c r="BX52" s="20"/>
      <c r="BY52" s="20"/>
      <c r="BZ52" s="249"/>
    </row>
    <row r="53" spans="1:78" x14ac:dyDescent="0.25">
      <c r="A53" s="15">
        <v>2</v>
      </c>
      <c r="B53" s="407"/>
      <c r="C53" s="50"/>
      <c r="D53" s="56" t="s">
        <v>39</v>
      </c>
      <c r="E53" s="34"/>
      <c r="F53" s="31"/>
      <c r="G53" s="273"/>
      <c r="H53" s="267"/>
      <c r="J53" s="45"/>
      <c r="K53" s="46"/>
      <c r="M53" s="52"/>
      <c r="N53" s="267"/>
      <c r="P53" s="45"/>
      <c r="R53" s="45"/>
      <c r="S53" s="52"/>
      <c r="V53" s="267"/>
      <c r="AA53" s="52"/>
      <c r="AB53" s="396"/>
      <c r="AC53" s="199"/>
      <c r="AD53" s="199"/>
      <c r="AE53" s="200"/>
      <c r="AF53" s="201"/>
      <c r="AG53" s="211"/>
      <c r="AH53" s="202"/>
      <c r="AI53" s="202"/>
      <c r="AJ53" s="203"/>
      <c r="AK53" s="172"/>
      <c r="AL53" s="281"/>
      <c r="AM53" s="48"/>
      <c r="AN53" s="47"/>
      <c r="AO53" s="48"/>
      <c r="AP53" s="47"/>
      <c r="AQ53" s="282"/>
      <c r="AR53" s="281"/>
      <c r="AS53" s="48"/>
      <c r="AT53" s="47"/>
      <c r="AU53" s="48"/>
      <c r="AV53" s="47"/>
      <c r="AW53" s="282"/>
      <c r="AX53" s="281"/>
      <c r="AY53" s="48"/>
      <c r="AZ53" s="281"/>
      <c r="BA53" s="51"/>
      <c r="BB53" s="47"/>
      <c r="BC53" s="51"/>
      <c r="BD53" s="47"/>
      <c r="BE53" s="282"/>
      <c r="BG53" s="285"/>
      <c r="BH53" s="49"/>
      <c r="BI53" s="49"/>
      <c r="BJ53" s="49"/>
      <c r="BK53" s="49"/>
      <c r="BL53" s="286"/>
      <c r="BM53" s="285"/>
      <c r="BN53" s="49"/>
      <c r="BO53" s="49"/>
      <c r="BP53" s="49"/>
      <c r="BQ53" s="49"/>
      <c r="BR53" s="286"/>
      <c r="BS53" s="285"/>
      <c r="BT53" s="20"/>
      <c r="BU53" s="285"/>
      <c r="BV53" s="20"/>
      <c r="BW53" s="20"/>
      <c r="BX53" s="20"/>
      <c r="BY53" s="20"/>
      <c r="BZ53" s="249"/>
    </row>
    <row r="54" spans="1:78" x14ac:dyDescent="0.25">
      <c r="A54" s="15">
        <v>3</v>
      </c>
      <c r="B54" s="407"/>
      <c r="C54" s="50"/>
      <c r="D54" s="56" t="s">
        <v>39</v>
      </c>
      <c r="E54" s="34"/>
      <c r="F54" s="31"/>
      <c r="G54" s="273"/>
      <c r="H54" s="267"/>
      <c r="J54" s="45"/>
      <c r="K54" s="46"/>
      <c r="M54" s="52"/>
      <c r="N54" s="267"/>
      <c r="P54" s="45"/>
      <c r="R54" s="45"/>
      <c r="S54" s="52"/>
      <c r="V54" s="267"/>
      <c r="AA54" s="52"/>
      <c r="AB54" s="396"/>
      <c r="AC54" s="199"/>
      <c r="AD54" s="199"/>
      <c r="AE54" s="200"/>
      <c r="AF54" s="201"/>
      <c r="AG54" s="211"/>
      <c r="AH54" s="202"/>
      <c r="AI54" s="202"/>
      <c r="AJ54" s="203"/>
      <c r="AK54" s="172"/>
      <c r="AL54" s="281"/>
      <c r="AM54" s="48"/>
      <c r="AN54" s="47"/>
      <c r="AO54" s="48"/>
      <c r="AP54" s="47"/>
      <c r="AQ54" s="282"/>
      <c r="AR54" s="281"/>
      <c r="AS54" s="48"/>
      <c r="AT54" s="47"/>
      <c r="AU54" s="48"/>
      <c r="AV54" s="47"/>
      <c r="AW54" s="282"/>
      <c r="AX54" s="281"/>
      <c r="AY54" s="48"/>
      <c r="AZ54" s="281"/>
      <c r="BA54" s="51"/>
      <c r="BB54" s="47"/>
      <c r="BC54" s="51"/>
      <c r="BD54" s="47"/>
      <c r="BE54" s="282"/>
      <c r="BG54" s="285"/>
      <c r="BH54" s="49"/>
      <c r="BI54" s="49"/>
      <c r="BJ54" s="49"/>
      <c r="BK54" s="49"/>
      <c r="BL54" s="286"/>
      <c r="BM54" s="285"/>
      <c r="BN54" s="49"/>
      <c r="BO54" s="49"/>
      <c r="BP54" s="49"/>
      <c r="BQ54" s="49"/>
      <c r="BR54" s="286"/>
      <c r="BS54" s="285"/>
      <c r="BT54" s="20"/>
      <c r="BU54" s="285"/>
      <c r="BV54" s="20"/>
      <c r="BW54" s="20"/>
      <c r="BX54" s="20"/>
      <c r="BY54" s="20"/>
      <c r="BZ54" s="249"/>
    </row>
    <row r="55" spans="1:78" x14ac:dyDescent="0.25">
      <c r="A55" s="15">
        <v>4</v>
      </c>
      <c r="B55" s="407"/>
      <c r="C55" s="50"/>
      <c r="D55" s="56" t="s">
        <v>40</v>
      </c>
      <c r="E55" s="34"/>
      <c r="F55" s="31"/>
      <c r="G55" s="273"/>
      <c r="H55" s="267"/>
      <c r="J55" s="45"/>
      <c r="K55" s="46"/>
      <c r="M55" s="52"/>
      <c r="N55" s="267"/>
      <c r="P55" s="45"/>
      <c r="R55" s="45"/>
      <c r="S55" s="52"/>
      <c r="V55" s="267"/>
      <c r="AA55" s="52"/>
      <c r="AB55" s="396" t="e">
        <f>SUM(G55+G56)/SUM(F55+F56)</f>
        <v>#DIV/0!</v>
      </c>
      <c r="AC55" s="199"/>
      <c r="AD55" s="199"/>
      <c r="AE55" s="200">
        <f>SUM(AC55:AC56)/SUM(AD55:AD56)</f>
        <v>0</v>
      </c>
      <c r="AF55" s="201"/>
      <c r="AG55" s="211"/>
      <c r="AH55" s="202">
        <f>AE55*AG55</f>
        <v>0</v>
      </c>
      <c r="AI55" s="203">
        <f t="shared" ref="AI55" si="131">AH55/AI$51</f>
        <v>0</v>
      </c>
      <c r="AJ55" s="318">
        <f>AI55*2</f>
        <v>0</v>
      </c>
      <c r="AK55" s="181" t="e">
        <f>SUM(F55:F56)/(SUM(G55:G56)/SUM(AJ55))</f>
        <v>#DIV/0!</v>
      </c>
      <c r="AL55" s="281" t="e">
        <f t="shared" ref="AL55:BE55" si="132">SUM(H55:H56)/SUM($G55:$G56)</f>
        <v>#DIV/0!</v>
      </c>
      <c r="AM55" s="48" t="e">
        <f t="shared" si="132"/>
        <v>#DIV/0!</v>
      </c>
      <c r="AN55" s="47" t="e">
        <f t="shared" si="132"/>
        <v>#DIV/0!</v>
      </c>
      <c r="AO55" s="48" t="e">
        <f t="shared" si="132"/>
        <v>#DIV/0!</v>
      </c>
      <c r="AP55" s="47" t="e">
        <f t="shared" si="132"/>
        <v>#DIV/0!</v>
      </c>
      <c r="AQ55" s="282" t="e">
        <f t="shared" si="132"/>
        <v>#DIV/0!</v>
      </c>
      <c r="AR55" s="281" t="e">
        <f t="shared" si="132"/>
        <v>#DIV/0!</v>
      </c>
      <c r="AS55" s="48" t="e">
        <f t="shared" si="132"/>
        <v>#DIV/0!</v>
      </c>
      <c r="AT55" s="47" t="e">
        <f t="shared" si="132"/>
        <v>#DIV/0!</v>
      </c>
      <c r="AU55" s="48" t="e">
        <f t="shared" si="132"/>
        <v>#DIV/0!</v>
      </c>
      <c r="AV55" s="47" t="e">
        <f t="shared" si="132"/>
        <v>#DIV/0!</v>
      </c>
      <c r="AW55" s="282" t="e">
        <f t="shared" si="132"/>
        <v>#DIV/0!</v>
      </c>
      <c r="AX55" s="281" t="e">
        <f t="shared" si="132"/>
        <v>#DIV/0!</v>
      </c>
      <c r="AY55" s="48" t="e">
        <f t="shared" si="132"/>
        <v>#DIV/0!</v>
      </c>
      <c r="AZ55" s="281" t="e">
        <f t="shared" si="132"/>
        <v>#DIV/0!</v>
      </c>
      <c r="BA55" s="51" t="e">
        <f t="shared" si="132"/>
        <v>#DIV/0!</v>
      </c>
      <c r="BB55" s="47" t="e">
        <f t="shared" si="132"/>
        <v>#DIV/0!</v>
      </c>
      <c r="BC55" s="51" t="e">
        <f t="shared" si="132"/>
        <v>#DIV/0!</v>
      </c>
      <c r="BD55" s="47" t="e">
        <f t="shared" si="132"/>
        <v>#DIV/0!</v>
      </c>
      <c r="BE55" s="282" t="e">
        <f t="shared" si="132"/>
        <v>#DIV/0!</v>
      </c>
      <c r="BG55" s="285" t="e">
        <f t="shared" ref="BG55:BZ55" si="133">AL55*$AJ55</f>
        <v>#DIV/0!</v>
      </c>
      <c r="BH55" s="49" t="e">
        <f t="shared" si="133"/>
        <v>#DIV/0!</v>
      </c>
      <c r="BI55" s="49" t="e">
        <f t="shared" si="133"/>
        <v>#DIV/0!</v>
      </c>
      <c r="BJ55" s="49" t="e">
        <f t="shared" si="133"/>
        <v>#DIV/0!</v>
      </c>
      <c r="BK55" s="49" t="e">
        <f t="shared" si="133"/>
        <v>#DIV/0!</v>
      </c>
      <c r="BL55" s="286" t="e">
        <f t="shared" si="133"/>
        <v>#DIV/0!</v>
      </c>
      <c r="BM55" s="285" t="e">
        <f t="shared" si="133"/>
        <v>#DIV/0!</v>
      </c>
      <c r="BN55" s="49" t="e">
        <f t="shared" si="133"/>
        <v>#DIV/0!</v>
      </c>
      <c r="BO55" s="49" t="e">
        <f t="shared" si="133"/>
        <v>#DIV/0!</v>
      </c>
      <c r="BP55" s="49" t="e">
        <f t="shared" si="133"/>
        <v>#DIV/0!</v>
      </c>
      <c r="BQ55" s="49" t="e">
        <f t="shared" si="133"/>
        <v>#DIV/0!</v>
      </c>
      <c r="BR55" s="286" t="e">
        <f t="shared" si="133"/>
        <v>#DIV/0!</v>
      </c>
      <c r="BS55" s="285" t="e">
        <f t="shared" si="133"/>
        <v>#DIV/0!</v>
      </c>
      <c r="BT55" s="20" t="e">
        <f t="shared" si="133"/>
        <v>#DIV/0!</v>
      </c>
      <c r="BU55" s="285" t="e">
        <f t="shared" si="133"/>
        <v>#DIV/0!</v>
      </c>
      <c r="BV55" s="20" t="e">
        <f t="shared" si="133"/>
        <v>#DIV/0!</v>
      </c>
      <c r="BW55" s="20" t="e">
        <f t="shared" si="133"/>
        <v>#DIV/0!</v>
      </c>
      <c r="BX55" s="20" t="e">
        <f t="shared" si="133"/>
        <v>#DIV/0!</v>
      </c>
      <c r="BY55" s="20" t="e">
        <f t="shared" si="133"/>
        <v>#DIV/0!</v>
      </c>
      <c r="BZ55" s="249" t="e">
        <f t="shared" si="133"/>
        <v>#DIV/0!</v>
      </c>
    </row>
    <row r="56" spans="1:78" ht="16.5" thickBot="1" x14ac:dyDescent="0.3">
      <c r="A56" s="15">
        <v>5</v>
      </c>
      <c r="B56" s="408"/>
      <c r="C56" s="139"/>
      <c r="D56" s="121" t="s">
        <v>40</v>
      </c>
      <c r="E56" s="4"/>
      <c r="F56" s="122"/>
      <c r="G56" s="274"/>
      <c r="H56" s="278"/>
      <c r="I56" s="124"/>
      <c r="J56" s="125"/>
      <c r="K56" s="126"/>
      <c r="L56" s="124"/>
      <c r="M56" s="140"/>
      <c r="N56" s="278"/>
      <c r="O56" s="124"/>
      <c r="P56" s="125"/>
      <c r="Q56" s="124"/>
      <c r="R56" s="125"/>
      <c r="S56" s="140"/>
      <c r="T56" s="124"/>
      <c r="U56" s="124"/>
      <c r="V56" s="278"/>
      <c r="W56" s="124"/>
      <c r="X56" s="124"/>
      <c r="Y56" s="124"/>
      <c r="Z56" s="124"/>
      <c r="AA56" s="140"/>
      <c r="AB56" s="370"/>
      <c r="AC56" s="205"/>
      <c r="AD56" s="205">
        <v>2</v>
      </c>
      <c r="AE56" s="206"/>
      <c r="AF56" s="207"/>
      <c r="AG56" s="212"/>
      <c r="AH56" s="208"/>
      <c r="AI56" s="208"/>
      <c r="AJ56" s="209"/>
      <c r="AK56" s="173"/>
      <c r="AL56" s="283"/>
      <c r="AM56" s="132"/>
      <c r="AN56" s="131"/>
      <c r="AO56" s="132"/>
      <c r="AP56" s="131"/>
      <c r="AQ56" s="284"/>
      <c r="AR56" s="283"/>
      <c r="AS56" s="132"/>
      <c r="AT56" s="131"/>
      <c r="AU56" s="132"/>
      <c r="AV56" s="131"/>
      <c r="AW56" s="284"/>
      <c r="AX56" s="283"/>
      <c r="AY56" s="132"/>
      <c r="AZ56" s="283"/>
      <c r="BA56" s="133"/>
      <c r="BB56" s="131"/>
      <c r="BC56" s="133"/>
      <c r="BD56" s="131"/>
      <c r="BE56" s="284"/>
      <c r="BG56" s="287"/>
      <c r="BH56" s="64"/>
      <c r="BI56" s="64"/>
      <c r="BJ56" s="64"/>
      <c r="BK56" s="64"/>
      <c r="BL56" s="288"/>
      <c r="BM56" s="287"/>
      <c r="BN56" s="64"/>
      <c r="BO56" s="64"/>
      <c r="BP56" s="64"/>
      <c r="BQ56" s="64"/>
      <c r="BR56" s="288"/>
      <c r="BS56" s="287"/>
      <c r="BT56" s="127"/>
      <c r="BU56" s="287"/>
      <c r="BV56" s="127"/>
      <c r="BW56" s="127"/>
      <c r="BX56" s="127"/>
      <c r="BY56" s="127"/>
      <c r="BZ56" s="289"/>
    </row>
    <row r="57" spans="1:78" x14ac:dyDescent="0.25">
      <c r="A57" s="15">
        <v>6</v>
      </c>
      <c r="B57" s="401" t="str">
        <f>C9</f>
        <v>Sept 15-21</v>
      </c>
      <c r="C57" s="120">
        <v>45915</v>
      </c>
      <c r="D57" s="55" t="s">
        <v>39</v>
      </c>
      <c r="E57" s="3">
        <v>4</v>
      </c>
      <c r="F57" s="39">
        <v>4</v>
      </c>
      <c r="G57" s="272">
        <v>9.77</v>
      </c>
      <c r="H57" s="277"/>
      <c r="I57" s="40"/>
      <c r="J57" s="41"/>
      <c r="K57" s="42"/>
      <c r="L57" s="40"/>
      <c r="M57" s="58"/>
      <c r="N57" s="277"/>
      <c r="O57" s="40"/>
      <c r="P57" s="41"/>
      <c r="Q57" s="40"/>
      <c r="R57" s="41"/>
      <c r="S57" s="58"/>
      <c r="T57" s="40"/>
      <c r="U57" s="40"/>
      <c r="V57" s="277">
        <v>2</v>
      </c>
      <c r="W57" s="40"/>
      <c r="X57" s="40"/>
      <c r="Y57" s="40"/>
      <c r="Z57" s="40"/>
      <c r="AA57" s="58"/>
      <c r="AB57" s="396">
        <f>SUM(G57:G59)/SUM(F57:F59)</f>
        <v>1.3944444444444444</v>
      </c>
      <c r="AC57" s="193">
        <v>4</v>
      </c>
      <c r="AD57" s="193">
        <v>2</v>
      </c>
      <c r="AE57" s="195">
        <f>SUM(AC57:AC59)/SUM(AD57:AD59)</f>
        <v>1.5</v>
      </c>
      <c r="AF57" s="194"/>
      <c r="AG57" s="210">
        <v>13.6</v>
      </c>
      <c r="AH57" s="196">
        <f>AE57*AG57</f>
        <v>20.399999999999999</v>
      </c>
      <c r="AI57" s="197">
        <f t="shared" ref="AI57" si="134">AH57/AI$51</f>
        <v>21.473684210526315</v>
      </c>
      <c r="AJ57" s="197">
        <f>AI57*5</f>
        <v>107.36842105263158</v>
      </c>
      <c r="AK57" s="181">
        <f>SUM(F57:F59)/(SUM(G57:G59)/SUM(AJ57))</f>
        <v>76.997274061648142</v>
      </c>
      <c r="AL57" s="279">
        <f t="shared" ref="AL57:BE57" si="135">SUM(H57:H59)/SUM($G57:$G59)</f>
        <v>0</v>
      </c>
      <c r="AM57" s="129">
        <f t="shared" si="135"/>
        <v>0</v>
      </c>
      <c r="AN57" s="128">
        <f t="shared" si="135"/>
        <v>0</v>
      </c>
      <c r="AO57" s="129">
        <f t="shared" si="135"/>
        <v>0</v>
      </c>
      <c r="AP57" s="128">
        <f t="shared" si="135"/>
        <v>0</v>
      </c>
      <c r="AQ57" s="280">
        <f t="shared" si="135"/>
        <v>0</v>
      </c>
      <c r="AR57" s="279">
        <f t="shared" si="135"/>
        <v>0</v>
      </c>
      <c r="AS57" s="129">
        <f t="shared" si="135"/>
        <v>0</v>
      </c>
      <c r="AT57" s="128">
        <f t="shared" si="135"/>
        <v>0</v>
      </c>
      <c r="AU57" s="129">
        <f t="shared" si="135"/>
        <v>0</v>
      </c>
      <c r="AV57" s="128">
        <f t="shared" si="135"/>
        <v>0</v>
      </c>
      <c r="AW57" s="280">
        <f t="shared" si="135"/>
        <v>0</v>
      </c>
      <c r="AX57" s="279">
        <f t="shared" si="135"/>
        <v>0</v>
      </c>
      <c r="AY57" s="129">
        <f t="shared" si="135"/>
        <v>0</v>
      </c>
      <c r="AZ57" s="279">
        <f t="shared" si="135"/>
        <v>0.15936254980079684</v>
      </c>
      <c r="BA57" s="130">
        <f t="shared" si="135"/>
        <v>0</v>
      </c>
      <c r="BB57" s="128">
        <f t="shared" si="135"/>
        <v>0</v>
      </c>
      <c r="BC57" s="130">
        <f t="shared" si="135"/>
        <v>0</v>
      </c>
      <c r="BD57" s="128">
        <f t="shared" si="135"/>
        <v>0</v>
      </c>
      <c r="BE57" s="280">
        <f t="shared" si="135"/>
        <v>0</v>
      </c>
      <c r="BG57" s="285">
        <f t="shared" ref="BG57:BR57" si="136">AL57*$AJ57</f>
        <v>0</v>
      </c>
      <c r="BH57" s="49">
        <f t="shared" si="136"/>
        <v>0</v>
      </c>
      <c r="BI57" s="49">
        <f t="shared" si="136"/>
        <v>0</v>
      </c>
      <c r="BJ57" s="49">
        <f t="shared" si="136"/>
        <v>0</v>
      </c>
      <c r="BK57" s="49">
        <f t="shared" si="136"/>
        <v>0</v>
      </c>
      <c r="BL57" s="286">
        <f t="shared" si="136"/>
        <v>0</v>
      </c>
      <c r="BM57" s="285">
        <f t="shared" si="136"/>
        <v>0</v>
      </c>
      <c r="BN57" s="49">
        <f t="shared" si="136"/>
        <v>0</v>
      </c>
      <c r="BO57" s="49">
        <f t="shared" si="136"/>
        <v>0</v>
      </c>
      <c r="BP57" s="49">
        <f t="shared" si="136"/>
        <v>0</v>
      </c>
      <c r="BQ57" s="49">
        <f t="shared" si="136"/>
        <v>0</v>
      </c>
      <c r="BR57" s="286">
        <f t="shared" si="136"/>
        <v>0</v>
      </c>
      <c r="BS57" s="285">
        <f t="shared" ref="BS57" si="137">AX57*$AJ57</f>
        <v>0</v>
      </c>
      <c r="BT57" s="20">
        <f t="shared" ref="BT57" si="138">AY57*$AJ57</f>
        <v>0</v>
      </c>
      <c r="BU57" s="285">
        <f t="shared" ref="BU57" si="139">AZ57*$AJ57</f>
        <v>17.110505347032923</v>
      </c>
      <c r="BV57" s="20">
        <f t="shared" ref="BV57" si="140">BA57*$AJ57</f>
        <v>0</v>
      </c>
      <c r="BW57" s="20">
        <f t="shared" ref="BW57" si="141">BB57*$AJ57</f>
        <v>0</v>
      </c>
      <c r="BX57" s="20">
        <f t="shared" ref="BX57" si="142">BC57*$AJ57</f>
        <v>0</v>
      </c>
      <c r="BY57" s="20">
        <f t="shared" ref="BY57" si="143">BD57*$AJ57</f>
        <v>0</v>
      </c>
      <c r="BZ57" s="249">
        <f t="shared" ref="BZ57" si="144">BE57*$AJ57</f>
        <v>0</v>
      </c>
    </row>
    <row r="58" spans="1:78" x14ac:dyDescent="0.25">
      <c r="A58" s="15">
        <v>7</v>
      </c>
      <c r="B58" s="402"/>
      <c r="C58" s="50">
        <v>45916</v>
      </c>
      <c r="D58" s="56" t="s">
        <v>39</v>
      </c>
      <c r="E58" s="34">
        <v>2</v>
      </c>
      <c r="F58" s="31">
        <v>2</v>
      </c>
      <c r="G58" s="273">
        <v>2.78</v>
      </c>
      <c r="H58" s="267"/>
      <c r="J58" s="45"/>
      <c r="K58" s="46"/>
      <c r="M58" s="52"/>
      <c r="N58" s="267"/>
      <c r="P58" s="45"/>
      <c r="R58" s="45"/>
      <c r="S58" s="52"/>
      <c r="V58" s="267"/>
      <c r="AA58" s="52"/>
      <c r="AB58" s="396"/>
      <c r="AC58" s="199">
        <v>2</v>
      </c>
      <c r="AD58" s="199">
        <v>2</v>
      </c>
      <c r="AE58" s="195"/>
      <c r="AF58" s="201"/>
      <c r="AG58" s="211">
        <v>13.5</v>
      </c>
      <c r="AH58" s="202"/>
      <c r="AI58" s="202"/>
      <c r="AJ58" s="203"/>
      <c r="AK58" s="172"/>
      <c r="AL58" s="281"/>
      <c r="AM58" s="48"/>
      <c r="AN58" s="47"/>
      <c r="AO58" s="48"/>
      <c r="AP58" s="47"/>
      <c r="AQ58" s="282"/>
      <c r="AR58" s="281"/>
      <c r="AS58" s="48"/>
      <c r="AT58" s="47"/>
      <c r="AU58" s="48"/>
      <c r="AV58" s="47"/>
      <c r="AW58" s="282"/>
      <c r="AX58" s="281"/>
      <c r="AY58" s="48"/>
      <c r="AZ58" s="281"/>
      <c r="BA58" s="51"/>
      <c r="BB58" s="47"/>
      <c r="BC58" s="51"/>
      <c r="BD58" s="47"/>
      <c r="BE58" s="282"/>
      <c r="BG58" s="285"/>
      <c r="BH58" s="49"/>
      <c r="BI58" s="49"/>
      <c r="BJ58" s="49"/>
      <c r="BK58" s="49"/>
      <c r="BL58" s="286"/>
      <c r="BM58" s="285"/>
      <c r="BN58" s="49"/>
      <c r="BO58" s="49"/>
      <c r="BP58" s="49"/>
      <c r="BQ58" s="49"/>
      <c r="BR58" s="286"/>
      <c r="BS58" s="285"/>
      <c r="BT58" s="20"/>
      <c r="BU58" s="285"/>
      <c r="BV58" s="20"/>
      <c r="BW58" s="20"/>
      <c r="BX58" s="20"/>
      <c r="BY58" s="20"/>
      <c r="BZ58" s="249"/>
    </row>
    <row r="59" spans="1:78" x14ac:dyDescent="0.25">
      <c r="A59" s="15">
        <v>8</v>
      </c>
      <c r="B59" s="402"/>
      <c r="C59" s="50"/>
      <c r="D59" s="56" t="s">
        <v>39</v>
      </c>
      <c r="E59" s="374">
        <v>3</v>
      </c>
      <c r="F59" s="375">
        <v>3</v>
      </c>
      <c r="G59" s="273"/>
      <c r="H59" s="267"/>
      <c r="J59" s="45"/>
      <c r="K59" s="46"/>
      <c r="M59" s="52"/>
      <c r="N59" s="267"/>
      <c r="P59" s="45"/>
      <c r="R59" s="45"/>
      <c r="S59" s="52"/>
      <c r="V59" s="267"/>
      <c r="AA59" s="52"/>
      <c r="AB59" s="396"/>
      <c r="AC59" s="398">
        <v>3</v>
      </c>
      <c r="AD59" s="199">
        <v>2</v>
      </c>
      <c r="AE59" s="200"/>
      <c r="AF59" s="201"/>
      <c r="AG59" s="211">
        <v>13.5</v>
      </c>
      <c r="AH59" s="202"/>
      <c r="AI59" s="202"/>
      <c r="AJ59" s="203"/>
      <c r="AK59" s="172"/>
      <c r="AL59" s="281"/>
      <c r="AM59" s="48"/>
      <c r="AN59" s="47"/>
      <c r="AO59" s="48"/>
      <c r="AP59" s="47"/>
      <c r="AQ59" s="282"/>
      <c r="AR59" s="281"/>
      <c r="AS59" s="48"/>
      <c r="AT59" s="47"/>
      <c r="AU59" s="48"/>
      <c r="AV59" s="47"/>
      <c r="AW59" s="282"/>
      <c r="AX59" s="281"/>
      <c r="AY59" s="48"/>
      <c r="AZ59" s="281"/>
      <c r="BA59" s="51"/>
      <c r="BB59" s="47"/>
      <c r="BC59" s="51"/>
      <c r="BD59" s="47"/>
      <c r="BE59" s="282"/>
      <c r="BG59" s="285"/>
      <c r="BH59" s="49"/>
      <c r="BI59" s="49"/>
      <c r="BJ59" s="49"/>
      <c r="BK59" s="49"/>
      <c r="BL59" s="286"/>
      <c r="BM59" s="285"/>
      <c r="BN59" s="49"/>
      <c r="BO59" s="49"/>
      <c r="BP59" s="49"/>
      <c r="BQ59" s="49"/>
      <c r="BR59" s="286"/>
      <c r="BS59" s="285"/>
      <c r="BT59" s="20"/>
      <c r="BU59" s="285"/>
      <c r="BV59" s="20"/>
      <c r="BW59" s="20"/>
      <c r="BX59" s="20"/>
      <c r="BY59" s="20"/>
      <c r="BZ59" s="249"/>
    </row>
    <row r="60" spans="1:78" x14ac:dyDescent="0.25">
      <c r="A60" s="15">
        <v>9</v>
      </c>
      <c r="B60" s="402"/>
      <c r="C60" s="50">
        <v>45920</v>
      </c>
      <c r="D60" s="56" t="s">
        <v>40</v>
      </c>
      <c r="E60" s="34">
        <v>17</v>
      </c>
      <c r="F60" s="31">
        <v>18</v>
      </c>
      <c r="G60" s="273">
        <v>48.11</v>
      </c>
      <c r="H60" s="267"/>
      <c r="J60" s="45"/>
      <c r="K60" s="46"/>
      <c r="M60" s="52"/>
      <c r="N60" s="267"/>
      <c r="P60" s="45"/>
      <c r="R60" s="45"/>
      <c r="S60" s="52"/>
      <c r="V60" s="267"/>
      <c r="AA60" s="52"/>
      <c r="AB60" s="396">
        <f>SUM(G60+G61)/SUM(F60+F61)</f>
        <v>2.3048936170212766</v>
      </c>
      <c r="AC60" s="199">
        <v>18</v>
      </c>
      <c r="AD60" s="199">
        <v>2</v>
      </c>
      <c r="AE60" s="200">
        <f>SUM(AC60:AC61)/SUM(AD60:AD61)</f>
        <v>11.75</v>
      </c>
      <c r="AF60" s="201"/>
      <c r="AG60" s="211">
        <v>13.3</v>
      </c>
      <c r="AH60" s="202">
        <f>AE60*AG60</f>
        <v>156.27500000000001</v>
      </c>
      <c r="AI60" s="203">
        <f t="shared" ref="AI60" si="145">AH60/AI$51</f>
        <v>164.5</v>
      </c>
      <c r="AJ60" s="203">
        <f>AI60*2</f>
        <v>329</v>
      </c>
      <c r="AK60" s="181">
        <f>SUM(F60:F61)/(SUM(G60:G61)/SUM(AJ60))</f>
        <v>142.73977660851105</v>
      </c>
      <c r="AL60" s="281">
        <f t="shared" ref="AL60:AW60" si="146">SUM(H60:H61)/SUM($G60:$G61)</f>
        <v>0</v>
      </c>
      <c r="AM60" s="48">
        <f t="shared" si="146"/>
        <v>0</v>
      </c>
      <c r="AN60" s="47">
        <f t="shared" si="146"/>
        <v>0</v>
      </c>
      <c r="AO60" s="48">
        <f t="shared" si="146"/>
        <v>0</v>
      </c>
      <c r="AP60" s="47">
        <f t="shared" si="146"/>
        <v>0</v>
      </c>
      <c r="AQ60" s="282">
        <f t="shared" si="146"/>
        <v>0</v>
      </c>
      <c r="AR60" s="281">
        <f t="shared" si="146"/>
        <v>0</v>
      </c>
      <c r="AS60" s="48">
        <f t="shared" si="146"/>
        <v>0</v>
      </c>
      <c r="AT60" s="47">
        <f t="shared" si="146"/>
        <v>0</v>
      </c>
      <c r="AU60" s="48">
        <f t="shared" si="146"/>
        <v>0</v>
      </c>
      <c r="AV60" s="47">
        <f t="shared" si="146"/>
        <v>0</v>
      </c>
      <c r="AW60" s="282">
        <f t="shared" si="146"/>
        <v>0</v>
      </c>
      <c r="AX60" s="281">
        <f t="shared" ref="AX60" si="147">SUM(T60:T61)/SUM($G60:$G61)</f>
        <v>0</v>
      </c>
      <c r="AY60" s="48">
        <f t="shared" ref="AY60" si="148">SUM(U60:U61)/SUM($G60:$G61)</f>
        <v>0</v>
      </c>
      <c r="AZ60" s="281">
        <f t="shared" ref="AZ60" si="149">SUM(V60:V61)/SUM($G60:$G61)</f>
        <v>0</v>
      </c>
      <c r="BA60" s="51">
        <f t="shared" ref="BA60" si="150">SUM(W60:W61)/SUM($G60:$G61)</f>
        <v>0</v>
      </c>
      <c r="BB60" s="47">
        <f t="shared" ref="BB60" si="151">SUM(X60:X61)/SUM($G60:$G61)</f>
        <v>0</v>
      </c>
      <c r="BC60" s="51">
        <f t="shared" ref="BC60" si="152">SUM(Y60:Y61)/SUM($G60:$G61)</f>
        <v>0</v>
      </c>
      <c r="BD60" s="47">
        <f t="shared" ref="BD60" si="153">SUM(Z60:Z61)/SUM($G60:$G61)</f>
        <v>0</v>
      </c>
      <c r="BE60" s="282">
        <f t="shared" ref="BE60" si="154">SUM(AA60:AA61)/SUM($G60:$G61)</f>
        <v>0</v>
      </c>
      <c r="BG60" s="285">
        <f t="shared" ref="BG60:BZ60" si="155">AL60*$AJ60</f>
        <v>0</v>
      </c>
      <c r="BH60" s="49">
        <f t="shared" si="155"/>
        <v>0</v>
      </c>
      <c r="BI60" s="49">
        <f t="shared" si="155"/>
        <v>0</v>
      </c>
      <c r="BJ60" s="49">
        <f t="shared" si="155"/>
        <v>0</v>
      </c>
      <c r="BK60" s="49">
        <f t="shared" si="155"/>
        <v>0</v>
      </c>
      <c r="BL60" s="286">
        <f t="shared" si="155"/>
        <v>0</v>
      </c>
      <c r="BM60" s="285">
        <f t="shared" si="155"/>
        <v>0</v>
      </c>
      <c r="BN60" s="49">
        <f t="shared" si="155"/>
        <v>0</v>
      </c>
      <c r="BO60" s="49">
        <f t="shared" si="155"/>
        <v>0</v>
      </c>
      <c r="BP60" s="49">
        <f t="shared" si="155"/>
        <v>0</v>
      </c>
      <c r="BQ60" s="49">
        <f t="shared" si="155"/>
        <v>0</v>
      </c>
      <c r="BR60" s="286">
        <f t="shared" si="155"/>
        <v>0</v>
      </c>
      <c r="BS60" s="285">
        <f t="shared" si="155"/>
        <v>0</v>
      </c>
      <c r="BT60" s="20">
        <f t="shared" si="155"/>
        <v>0</v>
      </c>
      <c r="BU60" s="285">
        <f t="shared" si="155"/>
        <v>0</v>
      </c>
      <c r="BV60" s="20">
        <f t="shared" si="155"/>
        <v>0</v>
      </c>
      <c r="BW60" s="20">
        <f t="shared" si="155"/>
        <v>0</v>
      </c>
      <c r="BX60" s="20">
        <f t="shared" si="155"/>
        <v>0</v>
      </c>
      <c r="BY60" s="20">
        <f t="shared" si="155"/>
        <v>0</v>
      </c>
      <c r="BZ60" s="249">
        <f t="shared" si="155"/>
        <v>0</v>
      </c>
    </row>
    <row r="61" spans="1:78" ht="16.5" thickBot="1" x14ac:dyDescent="0.3">
      <c r="A61" s="15">
        <v>10</v>
      </c>
      <c r="B61" s="403"/>
      <c r="C61" s="50">
        <v>45921</v>
      </c>
      <c r="D61" s="121" t="s">
        <v>40</v>
      </c>
      <c r="E61" s="4">
        <v>29</v>
      </c>
      <c r="F61" s="122">
        <v>29</v>
      </c>
      <c r="G61" s="274">
        <v>60.22</v>
      </c>
      <c r="H61" s="278"/>
      <c r="I61" s="124"/>
      <c r="J61" s="125"/>
      <c r="K61" s="126"/>
      <c r="L61" s="124"/>
      <c r="M61" s="140"/>
      <c r="N61" s="278"/>
      <c r="O61" s="124"/>
      <c r="P61" s="125"/>
      <c r="Q61" s="124"/>
      <c r="R61" s="125"/>
      <c r="S61" s="140"/>
      <c r="T61" s="124"/>
      <c r="U61" s="124"/>
      <c r="V61" s="278"/>
      <c r="W61" s="124"/>
      <c r="X61" s="124"/>
      <c r="Y61" s="124"/>
      <c r="Z61" s="124"/>
      <c r="AA61" s="140"/>
      <c r="AB61" s="370"/>
      <c r="AC61" s="205">
        <v>29</v>
      </c>
      <c r="AD61" s="205">
        <v>2</v>
      </c>
      <c r="AE61" s="206"/>
      <c r="AF61" s="207"/>
      <c r="AG61" s="212">
        <v>13.2</v>
      </c>
      <c r="AH61" s="208"/>
      <c r="AI61" s="208"/>
      <c r="AJ61" s="209"/>
      <c r="AK61" s="173"/>
      <c r="AL61" s="283"/>
      <c r="AM61" s="132"/>
      <c r="AN61" s="131"/>
      <c r="AO61" s="132"/>
      <c r="AP61" s="131"/>
      <c r="AQ61" s="284"/>
      <c r="AR61" s="283"/>
      <c r="AS61" s="132"/>
      <c r="AT61" s="131"/>
      <c r="AU61" s="132"/>
      <c r="AV61" s="131"/>
      <c r="AW61" s="284"/>
      <c r="AX61" s="283"/>
      <c r="AY61" s="132"/>
      <c r="AZ61" s="283"/>
      <c r="BA61" s="133"/>
      <c r="BB61" s="131"/>
      <c r="BC61" s="133"/>
      <c r="BD61" s="131"/>
      <c r="BE61" s="284"/>
      <c r="BG61" s="287"/>
      <c r="BH61" s="64"/>
      <c r="BI61" s="64"/>
      <c r="BJ61" s="64"/>
      <c r="BK61" s="64"/>
      <c r="BL61" s="288"/>
      <c r="BM61" s="287"/>
      <c r="BN61" s="64"/>
      <c r="BO61" s="64"/>
      <c r="BP61" s="64"/>
      <c r="BQ61" s="64"/>
      <c r="BR61" s="288"/>
      <c r="BS61" s="287"/>
      <c r="BT61" s="127"/>
      <c r="BU61" s="287"/>
      <c r="BV61" s="127"/>
      <c r="BW61" s="127"/>
      <c r="BX61" s="127"/>
      <c r="BY61" s="127"/>
      <c r="BZ61" s="289"/>
    </row>
    <row r="62" spans="1:78" x14ac:dyDescent="0.25">
      <c r="A62" s="15">
        <v>11</v>
      </c>
      <c r="B62" s="401" t="str">
        <f>C10</f>
        <v>Sept 21-28</v>
      </c>
      <c r="C62" s="120">
        <v>45923</v>
      </c>
      <c r="D62" s="55" t="s">
        <v>39</v>
      </c>
      <c r="E62" s="3">
        <v>14</v>
      </c>
      <c r="F62" s="39">
        <v>14</v>
      </c>
      <c r="G62" s="272">
        <v>21.4</v>
      </c>
      <c r="H62" s="277">
        <v>1</v>
      </c>
      <c r="I62" s="40"/>
      <c r="J62" s="41"/>
      <c r="K62" s="42"/>
      <c r="L62" s="40"/>
      <c r="M62" s="58"/>
      <c r="N62" s="277"/>
      <c r="O62" s="40"/>
      <c r="P62" s="41"/>
      <c r="Q62" s="40"/>
      <c r="R62" s="41"/>
      <c r="S62" s="58"/>
      <c r="T62" s="40"/>
      <c r="U62" s="40"/>
      <c r="V62" s="277"/>
      <c r="W62" s="40"/>
      <c r="X62" s="40"/>
      <c r="Y62" s="40"/>
      <c r="Z62" s="40"/>
      <c r="AA62" s="58"/>
      <c r="AB62" s="396">
        <f>SUM(G62:G64)/SUM(F62:F64)</f>
        <v>1.5638888888888889</v>
      </c>
      <c r="AC62" s="193">
        <v>14</v>
      </c>
      <c r="AD62" s="193">
        <v>2</v>
      </c>
      <c r="AE62" s="195">
        <f>SUM(AC62:AC64)/SUM(AD62:AD64)</f>
        <v>6</v>
      </c>
      <c r="AF62" s="194"/>
      <c r="AG62" s="210">
        <v>13.1</v>
      </c>
      <c r="AH62" s="196">
        <f>AE62*AG62</f>
        <v>78.599999999999994</v>
      </c>
      <c r="AI62" s="197">
        <f t="shared" ref="AI62" si="156">AH62/AI$51</f>
        <v>82.73684210526315</v>
      </c>
      <c r="AJ62" s="197">
        <f>AI62*5</f>
        <v>413.68421052631572</v>
      </c>
      <c r="AK62" s="181">
        <f>SUM(F62:F64)/(SUM(G62:G64)/SUM(AJ62))</f>
        <v>264.52276339160505</v>
      </c>
      <c r="AL62" s="279">
        <f t="shared" ref="AL62:BE62" si="157">SUM(H62:H64)/SUM($G62:$G64)</f>
        <v>7.1047957371225587E-2</v>
      </c>
      <c r="AM62" s="129">
        <f t="shared" si="157"/>
        <v>1.7761989342806397E-2</v>
      </c>
      <c r="AN62" s="128">
        <f t="shared" si="157"/>
        <v>1.7761989342806397E-2</v>
      </c>
      <c r="AO62" s="129">
        <f t="shared" si="157"/>
        <v>0</v>
      </c>
      <c r="AP62" s="128">
        <f t="shared" si="157"/>
        <v>0</v>
      </c>
      <c r="AQ62" s="280">
        <f t="shared" si="157"/>
        <v>0</v>
      </c>
      <c r="AR62" s="279">
        <f t="shared" si="157"/>
        <v>0</v>
      </c>
      <c r="AS62" s="129">
        <f t="shared" si="157"/>
        <v>0</v>
      </c>
      <c r="AT62" s="128">
        <f t="shared" si="157"/>
        <v>0</v>
      </c>
      <c r="AU62" s="129">
        <f t="shared" si="157"/>
        <v>0</v>
      </c>
      <c r="AV62" s="128">
        <f t="shared" si="157"/>
        <v>0</v>
      </c>
      <c r="AW62" s="280">
        <f t="shared" si="157"/>
        <v>0</v>
      </c>
      <c r="AX62" s="279">
        <f t="shared" si="157"/>
        <v>0</v>
      </c>
      <c r="AY62" s="129">
        <f t="shared" si="157"/>
        <v>0</v>
      </c>
      <c r="AZ62" s="279">
        <f t="shared" si="157"/>
        <v>0</v>
      </c>
      <c r="BA62" s="130">
        <f t="shared" si="157"/>
        <v>0</v>
      </c>
      <c r="BB62" s="128">
        <f t="shared" si="157"/>
        <v>0</v>
      </c>
      <c r="BC62" s="130">
        <f t="shared" si="157"/>
        <v>0</v>
      </c>
      <c r="BD62" s="128">
        <f t="shared" si="157"/>
        <v>0</v>
      </c>
      <c r="BE62" s="280">
        <f t="shared" si="157"/>
        <v>0</v>
      </c>
      <c r="BG62" s="285">
        <f t="shared" ref="BG62:BR62" si="158">AL62*$AJ62</f>
        <v>29.391418154622791</v>
      </c>
      <c r="BH62" s="49">
        <f t="shared" si="158"/>
        <v>7.3478545386556977</v>
      </c>
      <c r="BI62" s="49">
        <f t="shared" si="158"/>
        <v>7.3478545386556977</v>
      </c>
      <c r="BJ62" s="49">
        <f t="shared" si="158"/>
        <v>0</v>
      </c>
      <c r="BK62" s="49">
        <f t="shared" si="158"/>
        <v>0</v>
      </c>
      <c r="BL62" s="286">
        <f t="shared" si="158"/>
        <v>0</v>
      </c>
      <c r="BM62" s="285">
        <f t="shared" si="158"/>
        <v>0</v>
      </c>
      <c r="BN62" s="49">
        <f t="shared" si="158"/>
        <v>0</v>
      </c>
      <c r="BO62" s="49">
        <f t="shared" si="158"/>
        <v>0</v>
      </c>
      <c r="BP62" s="49">
        <f t="shared" si="158"/>
        <v>0</v>
      </c>
      <c r="BQ62" s="49">
        <f t="shared" si="158"/>
        <v>0</v>
      </c>
      <c r="BR62" s="286">
        <f t="shared" si="158"/>
        <v>0</v>
      </c>
      <c r="BS62" s="285">
        <f t="shared" ref="BS62" si="159">AX62*$AJ62</f>
        <v>0</v>
      </c>
      <c r="BT62" s="20">
        <f t="shared" ref="BT62" si="160">AY62*$AJ62</f>
        <v>0</v>
      </c>
      <c r="BU62" s="285">
        <f t="shared" ref="BU62" si="161">AZ62*$AJ62</f>
        <v>0</v>
      </c>
      <c r="BV62" s="20">
        <f t="shared" ref="BV62" si="162">BA62*$AJ62</f>
        <v>0</v>
      </c>
      <c r="BW62" s="20">
        <f t="shared" ref="BW62" si="163">BB62*$AJ62</f>
        <v>0</v>
      </c>
      <c r="BX62" s="20">
        <f t="shared" ref="BX62" si="164">BC62*$AJ62</f>
        <v>0</v>
      </c>
      <c r="BY62" s="20">
        <f t="shared" ref="BY62" si="165">BD62*$AJ62</f>
        <v>0</v>
      </c>
      <c r="BZ62" s="249">
        <f t="shared" ref="BZ62" si="166">BE62*$AJ62</f>
        <v>0</v>
      </c>
    </row>
    <row r="63" spans="1:78" x14ac:dyDescent="0.25">
      <c r="A63" s="15">
        <v>12</v>
      </c>
      <c r="B63" s="402"/>
      <c r="C63" s="50">
        <v>45924</v>
      </c>
      <c r="D63" s="56" t="s">
        <v>39</v>
      </c>
      <c r="E63" s="34">
        <v>13</v>
      </c>
      <c r="F63" s="31">
        <v>13</v>
      </c>
      <c r="G63" s="273">
        <v>34.9</v>
      </c>
      <c r="H63" s="267">
        <v>3</v>
      </c>
      <c r="I63" s="15">
        <v>1</v>
      </c>
      <c r="J63" s="45">
        <v>1</v>
      </c>
      <c r="K63" s="46"/>
      <c r="M63" s="52"/>
      <c r="N63" s="267"/>
      <c r="P63" s="45"/>
      <c r="R63" s="45"/>
      <c r="S63" s="52"/>
      <c r="V63" s="267"/>
      <c r="AA63" s="52"/>
      <c r="AB63" s="396"/>
      <c r="AC63" s="199">
        <v>13</v>
      </c>
      <c r="AD63" s="199">
        <v>2</v>
      </c>
      <c r="AE63" s="200"/>
      <c r="AF63" s="201"/>
      <c r="AG63" s="211">
        <v>13.1</v>
      </c>
      <c r="AH63" s="202"/>
      <c r="AI63" s="202"/>
      <c r="AJ63" s="203"/>
      <c r="AK63" s="172"/>
      <c r="AL63" s="279"/>
      <c r="AM63" s="48"/>
      <c r="AN63" s="47"/>
      <c r="AO63" s="48"/>
      <c r="AP63" s="47"/>
      <c r="AQ63" s="282"/>
      <c r="AR63" s="281"/>
      <c r="AS63" s="48"/>
      <c r="AT63" s="47"/>
      <c r="AU63" s="48"/>
      <c r="AV63" s="47"/>
      <c r="AW63" s="282"/>
      <c r="AX63" s="281"/>
      <c r="AY63" s="48"/>
      <c r="AZ63" s="281"/>
      <c r="BA63" s="51"/>
      <c r="BB63" s="47"/>
      <c r="BC63" s="51"/>
      <c r="BD63" s="47"/>
      <c r="BE63" s="282"/>
      <c r="BG63" s="285"/>
      <c r="BH63" s="49"/>
      <c r="BI63" s="49"/>
      <c r="BJ63" s="49"/>
      <c r="BK63" s="49"/>
      <c r="BL63" s="286"/>
      <c r="BM63" s="285"/>
      <c r="BN63" s="49"/>
      <c r="BO63" s="49"/>
      <c r="BP63" s="49"/>
      <c r="BQ63" s="49"/>
      <c r="BR63" s="286"/>
      <c r="BS63" s="285"/>
      <c r="BT63" s="20"/>
      <c r="BU63" s="285"/>
      <c r="BV63" s="20"/>
      <c r="BW63" s="20"/>
      <c r="BX63" s="20"/>
      <c r="BY63" s="20"/>
      <c r="BZ63" s="249"/>
    </row>
    <row r="64" spans="1:78" x14ac:dyDescent="0.25">
      <c r="A64" s="15">
        <v>13</v>
      </c>
      <c r="B64" s="402"/>
      <c r="C64" s="50">
        <v>45925</v>
      </c>
      <c r="D64" s="56" t="s">
        <v>39</v>
      </c>
      <c r="E64" s="374">
        <v>9</v>
      </c>
      <c r="F64" s="375">
        <v>9</v>
      </c>
      <c r="G64" s="273"/>
      <c r="H64" s="267"/>
      <c r="J64" s="45"/>
      <c r="K64" s="46"/>
      <c r="M64" s="52"/>
      <c r="N64" s="267"/>
      <c r="P64" s="45"/>
      <c r="R64" s="45"/>
      <c r="S64" s="52"/>
      <c r="V64" s="267"/>
      <c r="AA64" s="52"/>
      <c r="AB64" s="396"/>
      <c r="AC64" s="398">
        <v>9</v>
      </c>
      <c r="AD64" s="199">
        <v>2</v>
      </c>
      <c r="AE64" s="200"/>
      <c r="AF64" s="201"/>
      <c r="AG64" s="211">
        <v>13</v>
      </c>
      <c r="AH64" s="202"/>
      <c r="AI64" s="202"/>
      <c r="AJ64" s="203"/>
      <c r="AK64" s="172"/>
      <c r="AL64" s="279"/>
      <c r="AM64" s="48"/>
      <c r="AN64" s="47"/>
      <c r="AO64" s="48"/>
      <c r="AP64" s="47"/>
      <c r="AQ64" s="282"/>
      <c r="AR64" s="281"/>
      <c r="AS64" s="48"/>
      <c r="AT64" s="47"/>
      <c r="AU64" s="48"/>
      <c r="AV64" s="47"/>
      <c r="AW64" s="282"/>
      <c r="AX64" s="281"/>
      <c r="AY64" s="48"/>
      <c r="AZ64" s="281"/>
      <c r="BA64" s="51"/>
      <c r="BB64" s="47"/>
      <c r="BC64" s="51"/>
      <c r="BD64" s="47"/>
      <c r="BE64" s="282"/>
      <c r="BG64" s="285"/>
      <c r="BH64" s="49"/>
      <c r="BI64" s="49"/>
      <c r="BJ64" s="49"/>
      <c r="BK64" s="49"/>
      <c r="BL64" s="286"/>
      <c r="BM64" s="285"/>
      <c r="BN64" s="49"/>
      <c r="BO64" s="49"/>
      <c r="BP64" s="49"/>
      <c r="BQ64" s="49"/>
      <c r="BR64" s="286"/>
      <c r="BS64" s="285"/>
      <c r="BT64" s="20"/>
      <c r="BU64" s="285"/>
      <c r="BV64" s="20"/>
      <c r="BW64" s="20"/>
      <c r="BX64" s="20"/>
      <c r="BY64" s="20"/>
      <c r="BZ64" s="249"/>
    </row>
    <row r="65" spans="1:78" x14ac:dyDescent="0.25">
      <c r="A65" s="15">
        <v>14</v>
      </c>
      <c r="B65" s="402"/>
      <c r="C65" s="50">
        <v>45927</v>
      </c>
      <c r="D65" s="56" t="s">
        <v>40</v>
      </c>
      <c r="E65" s="34">
        <v>22</v>
      </c>
      <c r="F65" s="31">
        <v>22</v>
      </c>
      <c r="G65" s="273">
        <v>44.13</v>
      </c>
      <c r="H65" s="267"/>
      <c r="I65" s="15">
        <v>1</v>
      </c>
      <c r="J65" s="45"/>
      <c r="K65" s="46"/>
      <c r="L65" s="15">
        <v>1</v>
      </c>
      <c r="M65" s="52"/>
      <c r="N65" s="267"/>
      <c r="P65" s="45"/>
      <c r="R65" s="45"/>
      <c r="S65" s="52"/>
      <c r="V65" s="267"/>
      <c r="AA65" s="52"/>
      <c r="AB65" s="396">
        <f>SUM(G65+G66)/SUM(F65+F66)</f>
        <v>2.5040476190476193</v>
      </c>
      <c r="AC65" s="199">
        <v>22</v>
      </c>
      <c r="AD65" s="199">
        <v>2</v>
      </c>
      <c r="AE65" s="200">
        <f>SUM(AC65:AC66)/SUM(AD65:AD66)</f>
        <v>10.5</v>
      </c>
      <c r="AF65" s="201"/>
      <c r="AG65" s="211">
        <v>12.9</v>
      </c>
      <c r="AH65" s="202">
        <f>AE65*AG65</f>
        <v>135.45000000000002</v>
      </c>
      <c r="AI65" s="203">
        <f t="shared" ref="AI65" si="167">AH65/AI$51</f>
        <v>142.57894736842107</v>
      </c>
      <c r="AJ65" s="203">
        <f>AI65*2</f>
        <v>285.15789473684214</v>
      </c>
      <c r="AK65" s="181">
        <f>SUM(F65:F66)/(SUM(G65:G66)/SUM(AJ65))</f>
        <v>113.8787827227096</v>
      </c>
      <c r="AL65" s="281">
        <f t="shared" ref="AL65:AW65" si="168">SUM(H65:H66)/SUM($G65:$G66)</f>
        <v>0</v>
      </c>
      <c r="AM65" s="48">
        <f t="shared" si="168"/>
        <v>1.9016829894456595E-2</v>
      </c>
      <c r="AN65" s="47">
        <f t="shared" si="168"/>
        <v>0</v>
      </c>
      <c r="AO65" s="48">
        <f t="shared" si="168"/>
        <v>0</v>
      </c>
      <c r="AP65" s="47">
        <f t="shared" si="168"/>
        <v>9.5084149472282973E-3</v>
      </c>
      <c r="AQ65" s="282">
        <f t="shared" si="168"/>
        <v>0</v>
      </c>
      <c r="AR65" s="281">
        <f t="shared" si="168"/>
        <v>0</v>
      </c>
      <c r="AS65" s="48">
        <f t="shared" si="168"/>
        <v>0</v>
      </c>
      <c r="AT65" s="47">
        <f t="shared" si="168"/>
        <v>0</v>
      </c>
      <c r="AU65" s="48">
        <f t="shared" si="168"/>
        <v>0</v>
      </c>
      <c r="AV65" s="47">
        <f t="shared" si="168"/>
        <v>0</v>
      </c>
      <c r="AW65" s="282">
        <f t="shared" si="168"/>
        <v>0</v>
      </c>
      <c r="AX65" s="281">
        <f t="shared" ref="AX65" si="169">SUM(T65:T66)/SUM($G65:$G66)</f>
        <v>0</v>
      </c>
      <c r="AY65" s="48">
        <f t="shared" ref="AY65" si="170">SUM(U65:U66)/SUM($G65:$G66)</f>
        <v>0</v>
      </c>
      <c r="AZ65" s="281">
        <f t="shared" ref="AZ65" si="171">SUM(V65:V66)/SUM($G65:$G66)</f>
        <v>0</v>
      </c>
      <c r="BA65" s="51">
        <f t="shared" ref="BA65" si="172">SUM(W65:W66)/SUM($G65:$G66)</f>
        <v>0</v>
      </c>
      <c r="BB65" s="47">
        <f t="shared" ref="BB65" si="173">SUM(X65:X66)/SUM($G65:$G66)</f>
        <v>0</v>
      </c>
      <c r="BC65" s="51">
        <f t="shared" ref="BC65" si="174">SUM(Y65:Y66)/SUM($G65:$G66)</f>
        <v>0</v>
      </c>
      <c r="BD65" s="47">
        <f t="shared" ref="BD65" si="175">SUM(Z65:Z66)/SUM($G65:$G66)</f>
        <v>0</v>
      </c>
      <c r="BE65" s="282">
        <f t="shared" ref="BE65" si="176">SUM(AA65:AA66)/SUM($G65:$G66)</f>
        <v>0</v>
      </c>
      <c r="BG65" s="285">
        <f t="shared" ref="BG65:BZ65" si="177">AL65*$AJ65</f>
        <v>0</v>
      </c>
      <c r="BH65" s="49">
        <f t="shared" si="177"/>
        <v>5.4227991772718864</v>
      </c>
      <c r="BI65" s="49">
        <f t="shared" si="177"/>
        <v>0</v>
      </c>
      <c r="BJ65" s="49">
        <f t="shared" si="177"/>
        <v>0</v>
      </c>
      <c r="BK65" s="49">
        <f t="shared" si="177"/>
        <v>2.7113995886359432</v>
      </c>
      <c r="BL65" s="286">
        <f t="shared" si="177"/>
        <v>0</v>
      </c>
      <c r="BM65" s="285">
        <f t="shared" si="177"/>
        <v>0</v>
      </c>
      <c r="BN65" s="49">
        <f t="shared" si="177"/>
        <v>0</v>
      </c>
      <c r="BO65" s="49">
        <f t="shared" si="177"/>
        <v>0</v>
      </c>
      <c r="BP65" s="49">
        <f t="shared" si="177"/>
        <v>0</v>
      </c>
      <c r="BQ65" s="49">
        <f t="shared" si="177"/>
        <v>0</v>
      </c>
      <c r="BR65" s="286">
        <f t="shared" si="177"/>
        <v>0</v>
      </c>
      <c r="BS65" s="285">
        <f t="shared" si="177"/>
        <v>0</v>
      </c>
      <c r="BT65" s="20">
        <f t="shared" si="177"/>
        <v>0</v>
      </c>
      <c r="BU65" s="285">
        <f t="shared" si="177"/>
        <v>0</v>
      </c>
      <c r="BV65" s="20">
        <f t="shared" si="177"/>
        <v>0</v>
      </c>
      <c r="BW65" s="20">
        <f t="shared" si="177"/>
        <v>0</v>
      </c>
      <c r="BX65" s="20">
        <f t="shared" si="177"/>
        <v>0</v>
      </c>
      <c r="BY65" s="20">
        <f t="shared" si="177"/>
        <v>0</v>
      </c>
      <c r="BZ65" s="249">
        <f t="shared" si="177"/>
        <v>0</v>
      </c>
    </row>
    <row r="66" spans="1:78" ht="16.5" thickBot="1" x14ac:dyDescent="0.3">
      <c r="A66" s="15">
        <v>15</v>
      </c>
      <c r="B66" s="403"/>
      <c r="C66" s="139">
        <v>45928</v>
      </c>
      <c r="D66" s="121" t="s">
        <v>40</v>
      </c>
      <c r="E66" s="4">
        <v>20</v>
      </c>
      <c r="F66" s="122">
        <v>20</v>
      </c>
      <c r="G66" s="274">
        <v>61.04</v>
      </c>
      <c r="H66" s="278"/>
      <c r="I66" s="124">
        <v>1</v>
      </c>
      <c r="J66" s="125"/>
      <c r="K66" s="126"/>
      <c r="L66" s="124"/>
      <c r="M66" s="140"/>
      <c r="N66" s="278"/>
      <c r="O66" s="124"/>
      <c r="P66" s="125"/>
      <c r="Q66" s="124"/>
      <c r="R66" s="125"/>
      <c r="S66" s="140"/>
      <c r="T66" s="124"/>
      <c r="U66" s="124"/>
      <c r="V66" s="278"/>
      <c r="W66" s="124"/>
      <c r="X66" s="124"/>
      <c r="Y66" s="124"/>
      <c r="Z66" s="124"/>
      <c r="AA66" s="140"/>
      <c r="AB66" s="370"/>
      <c r="AC66" s="205">
        <v>20</v>
      </c>
      <c r="AD66" s="205">
        <v>2</v>
      </c>
      <c r="AE66" s="206"/>
      <c r="AF66" s="207"/>
      <c r="AG66" s="212">
        <v>12.8</v>
      </c>
      <c r="AH66" s="208"/>
      <c r="AI66" s="208"/>
      <c r="AJ66" s="209"/>
      <c r="AK66" s="173"/>
      <c r="AL66" s="283"/>
      <c r="AM66" s="132"/>
      <c r="AN66" s="131"/>
      <c r="AO66" s="132"/>
      <c r="AP66" s="131"/>
      <c r="AQ66" s="284"/>
      <c r="AR66" s="283"/>
      <c r="AS66" s="132"/>
      <c r="AT66" s="131"/>
      <c r="AU66" s="132"/>
      <c r="AV66" s="131"/>
      <c r="AW66" s="284"/>
      <c r="AX66" s="283"/>
      <c r="AY66" s="132"/>
      <c r="AZ66" s="283"/>
      <c r="BA66" s="133"/>
      <c r="BB66" s="131"/>
      <c r="BC66" s="133"/>
      <c r="BD66" s="131"/>
      <c r="BE66" s="284"/>
      <c r="BG66" s="287"/>
      <c r="BH66" s="64"/>
      <c r="BI66" s="64"/>
      <c r="BJ66" s="64"/>
      <c r="BK66" s="64"/>
      <c r="BL66" s="288"/>
      <c r="BM66" s="287"/>
      <c r="BN66" s="64"/>
      <c r="BO66" s="64"/>
      <c r="BP66" s="64"/>
      <c r="BQ66" s="64"/>
      <c r="BR66" s="288"/>
      <c r="BS66" s="287"/>
      <c r="BT66" s="127"/>
      <c r="BU66" s="287"/>
      <c r="BV66" s="127"/>
      <c r="BW66" s="127"/>
      <c r="BX66" s="127"/>
      <c r="BY66" s="127"/>
      <c r="BZ66" s="289"/>
    </row>
    <row r="67" spans="1:78" x14ac:dyDescent="0.25">
      <c r="A67" s="15">
        <v>16</v>
      </c>
      <c r="B67" s="401" t="str">
        <f>C11</f>
        <v>Sept 29-Oct 5</v>
      </c>
      <c r="C67" s="120">
        <v>45929</v>
      </c>
      <c r="D67" s="55" t="s">
        <v>39</v>
      </c>
      <c r="E67" s="3"/>
      <c r="F67" s="39"/>
      <c r="G67" s="272"/>
      <c r="H67" s="277"/>
      <c r="I67" s="40"/>
      <c r="J67" s="41"/>
      <c r="K67" s="42"/>
      <c r="L67" s="40"/>
      <c r="M67" s="58"/>
      <c r="N67" s="277"/>
      <c r="O67" s="40"/>
      <c r="P67" s="41"/>
      <c r="Q67" s="40"/>
      <c r="R67" s="41"/>
      <c r="S67" s="58"/>
      <c r="T67" s="40"/>
      <c r="U67" s="40"/>
      <c r="V67" s="277"/>
      <c r="W67" s="40"/>
      <c r="X67" s="40"/>
      <c r="Y67" s="40"/>
      <c r="Z67" s="40"/>
      <c r="AA67" s="58"/>
      <c r="AB67" s="396">
        <f>SUM(G67:G69)/SUM(F67:F69)</f>
        <v>0.56805555555555554</v>
      </c>
      <c r="AC67" s="193"/>
      <c r="AD67" s="193">
        <v>2</v>
      </c>
      <c r="AE67" s="195">
        <f>SUM(AC67:AC69)/SUM(AD67:AD69)</f>
        <v>6</v>
      </c>
      <c r="AF67" s="194"/>
      <c r="AG67" s="210">
        <v>12.8</v>
      </c>
      <c r="AH67" s="196">
        <f>AE67*AG67</f>
        <v>76.800000000000011</v>
      </c>
      <c r="AI67" s="197">
        <f t="shared" ref="AI67" si="178">AH67/AI$51</f>
        <v>80.842105263157904</v>
      </c>
      <c r="AJ67" s="197">
        <f>AI67*5</f>
        <v>404.21052631578954</v>
      </c>
      <c r="AK67" s="181">
        <f>SUM(F67:F69)/(SUM(G67:G69)/SUM(AJ67))</f>
        <v>711.56865268305251</v>
      </c>
      <c r="AL67" s="279">
        <f t="shared" ref="AL67:BE67" si="179">SUM(H67:H69)/SUM($G67:$G69)</f>
        <v>0</v>
      </c>
      <c r="AM67" s="129">
        <f t="shared" si="179"/>
        <v>0</v>
      </c>
      <c r="AN67" s="128">
        <f t="shared" si="179"/>
        <v>0</v>
      </c>
      <c r="AO67" s="129">
        <f t="shared" si="179"/>
        <v>0</v>
      </c>
      <c r="AP67" s="128">
        <f t="shared" si="179"/>
        <v>0</v>
      </c>
      <c r="AQ67" s="280">
        <f t="shared" si="179"/>
        <v>0</v>
      </c>
      <c r="AR67" s="279">
        <f t="shared" si="179"/>
        <v>0</v>
      </c>
      <c r="AS67" s="129">
        <f t="shared" si="179"/>
        <v>0</v>
      </c>
      <c r="AT67" s="128">
        <f t="shared" si="179"/>
        <v>0</v>
      </c>
      <c r="AU67" s="129">
        <f t="shared" si="179"/>
        <v>0</v>
      </c>
      <c r="AV67" s="128">
        <f t="shared" si="179"/>
        <v>0</v>
      </c>
      <c r="AW67" s="280">
        <f t="shared" si="179"/>
        <v>0</v>
      </c>
      <c r="AX67" s="279">
        <f t="shared" si="179"/>
        <v>0</v>
      </c>
      <c r="AY67" s="129">
        <f t="shared" si="179"/>
        <v>0</v>
      </c>
      <c r="AZ67" s="279">
        <f t="shared" si="179"/>
        <v>0</v>
      </c>
      <c r="BA67" s="130">
        <f t="shared" si="179"/>
        <v>0</v>
      </c>
      <c r="BB67" s="128">
        <f t="shared" si="179"/>
        <v>0</v>
      </c>
      <c r="BC67" s="130">
        <f t="shared" si="179"/>
        <v>0</v>
      </c>
      <c r="BD67" s="128">
        <f t="shared" si="179"/>
        <v>0</v>
      </c>
      <c r="BE67" s="280">
        <f t="shared" si="179"/>
        <v>0</v>
      </c>
      <c r="BG67" s="285">
        <f t="shared" ref="BG67:BR67" si="180">AL67*$AJ67</f>
        <v>0</v>
      </c>
      <c r="BH67" s="49">
        <f t="shared" si="180"/>
        <v>0</v>
      </c>
      <c r="BI67" s="49">
        <f t="shared" si="180"/>
        <v>0</v>
      </c>
      <c r="BJ67" s="49">
        <f t="shared" si="180"/>
        <v>0</v>
      </c>
      <c r="BK67" s="49">
        <f t="shared" si="180"/>
        <v>0</v>
      </c>
      <c r="BL67" s="286">
        <f t="shared" si="180"/>
        <v>0</v>
      </c>
      <c r="BM67" s="285">
        <f t="shared" si="180"/>
        <v>0</v>
      </c>
      <c r="BN67" s="49">
        <f t="shared" si="180"/>
        <v>0</v>
      </c>
      <c r="BO67" s="49">
        <f t="shared" si="180"/>
        <v>0</v>
      </c>
      <c r="BP67" s="49">
        <f t="shared" si="180"/>
        <v>0</v>
      </c>
      <c r="BQ67" s="49">
        <f t="shared" si="180"/>
        <v>0</v>
      </c>
      <c r="BR67" s="286">
        <f t="shared" si="180"/>
        <v>0</v>
      </c>
      <c r="BS67" s="285">
        <f t="shared" ref="BS67" si="181">AX67*$AJ67</f>
        <v>0</v>
      </c>
      <c r="BT67" s="20">
        <f t="shared" ref="BT67" si="182">AY67*$AJ67</f>
        <v>0</v>
      </c>
      <c r="BU67" s="285">
        <f t="shared" ref="BU67" si="183">AZ67*$AJ67</f>
        <v>0</v>
      </c>
      <c r="BV67" s="20">
        <f t="shared" ref="BV67" si="184">BA67*$AJ67</f>
        <v>0</v>
      </c>
      <c r="BW67" s="20">
        <f t="shared" ref="BW67" si="185">BB67*$AJ67</f>
        <v>0</v>
      </c>
      <c r="BX67" s="20">
        <f t="shared" ref="BX67" si="186">BC67*$AJ67</f>
        <v>0</v>
      </c>
      <c r="BY67" s="20">
        <f t="shared" ref="BY67" si="187">BD67*$AJ67</f>
        <v>0</v>
      </c>
      <c r="BZ67" s="249">
        <f t="shared" ref="BZ67" si="188">BE67*$AJ67</f>
        <v>0</v>
      </c>
    </row>
    <row r="68" spans="1:78" x14ac:dyDescent="0.25">
      <c r="A68" s="15">
        <v>17</v>
      </c>
      <c r="B68" s="402"/>
      <c r="C68" s="50">
        <v>45930</v>
      </c>
      <c r="D68" s="56" t="s">
        <v>39</v>
      </c>
      <c r="E68" s="34">
        <v>15</v>
      </c>
      <c r="F68" s="31">
        <v>16</v>
      </c>
      <c r="G68" s="273">
        <v>20.45</v>
      </c>
      <c r="H68" s="267"/>
      <c r="J68" s="45"/>
      <c r="K68" s="46"/>
      <c r="M68" s="52"/>
      <c r="N68" s="267"/>
      <c r="P68" s="45"/>
      <c r="R68" s="45"/>
      <c r="S68" s="52"/>
      <c r="V68" s="267"/>
      <c r="AA68" s="52"/>
      <c r="AB68" s="396"/>
      <c r="AC68" s="199">
        <v>16</v>
      </c>
      <c r="AD68" s="199">
        <v>2</v>
      </c>
      <c r="AE68" s="200"/>
      <c r="AF68" s="201"/>
      <c r="AG68" s="211">
        <v>12.7</v>
      </c>
      <c r="AH68" s="202"/>
      <c r="AI68" s="202"/>
      <c r="AJ68" s="203"/>
      <c r="AK68" s="172"/>
      <c r="AL68" s="281"/>
      <c r="AM68" s="48"/>
      <c r="AN68" s="47"/>
      <c r="AO68" s="48"/>
      <c r="AP68" s="47"/>
      <c r="AQ68" s="282"/>
      <c r="AR68" s="281"/>
      <c r="AS68" s="48"/>
      <c r="AT68" s="47"/>
      <c r="AU68" s="48"/>
      <c r="AV68" s="47"/>
      <c r="AW68" s="282"/>
      <c r="AX68" s="281"/>
      <c r="AY68" s="48"/>
      <c r="AZ68" s="281"/>
      <c r="BA68" s="51"/>
      <c r="BB68" s="47"/>
      <c r="BC68" s="51"/>
      <c r="BD68" s="47"/>
      <c r="BE68" s="282"/>
      <c r="BG68" s="285"/>
      <c r="BH68" s="49"/>
      <c r="BI68" s="49"/>
      <c r="BJ68" s="49"/>
      <c r="BK68" s="49"/>
      <c r="BL68" s="286"/>
      <c r="BM68" s="285"/>
      <c r="BN68" s="49"/>
      <c r="BO68" s="49"/>
      <c r="BP68" s="49"/>
      <c r="BQ68" s="49"/>
      <c r="BR68" s="286"/>
      <c r="BS68" s="285"/>
      <c r="BT68" s="20"/>
      <c r="BU68" s="285"/>
      <c r="BV68" s="20"/>
      <c r="BW68" s="20"/>
      <c r="BX68" s="20"/>
      <c r="BY68" s="20"/>
      <c r="BZ68" s="249"/>
    </row>
    <row r="69" spans="1:78" x14ac:dyDescent="0.25">
      <c r="A69" s="15">
        <v>18</v>
      </c>
      <c r="B69" s="402"/>
      <c r="C69" s="50">
        <v>45931</v>
      </c>
      <c r="D69" s="56" t="s">
        <v>39</v>
      </c>
      <c r="E69" s="374">
        <v>20</v>
      </c>
      <c r="F69" s="375">
        <v>20</v>
      </c>
      <c r="G69" s="273"/>
      <c r="H69" s="267"/>
      <c r="J69" s="45"/>
      <c r="K69" s="46"/>
      <c r="M69" s="52"/>
      <c r="N69" s="267"/>
      <c r="P69" s="45"/>
      <c r="R69" s="45"/>
      <c r="S69" s="52"/>
      <c r="V69" s="267"/>
      <c r="AA69" s="52"/>
      <c r="AB69" s="396"/>
      <c r="AC69" s="398">
        <v>20</v>
      </c>
      <c r="AD69" s="199">
        <v>2</v>
      </c>
      <c r="AE69" s="200"/>
      <c r="AF69" s="201"/>
      <c r="AG69" s="211">
        <v>12.6</v>
      </c>
      <c r="AH69" s="202"/>
      <c r="AI69" s="202"/>
      <c r="AJ69" s="203"/>
      <c r="AK69" s="172"/>
      <c r="AL69" s="281"/>
      <c r="AM69" s="48"/>
      <c r="AN69" s="47"/>
      <c r="AO69" s="48"/>
      <c r="AP69" s="47"/>
      <c r="AQ69" s="282"/>
      <c r="AR69" s="281"/>
      <c r="AS69" s="48"/>
      <c r="AT69" s="47"/>
      <c r="AU69" s="48"/>
      <c r="AV69" s="47"/>
      <c r="AW69" s="282"/>
      <c r="AX69" s="281"/>
      <c r="AY69" s="48"/>
      <c r="AZ69" s="281"/>
      <c r="BA69" s="51"/>
      <c r="BB69" s="47"/>
      <c r="BC69" s="51"/>
      <c r="BD69" s="47"/>
      <c r="BE69" s="282"/>
      <c r="BG69" s="285"/>
      <c r="BH69" s="49"/>
      <c r="BI69" s="49"/>
      <c r="BJ69" s="49"/>
      <c r="BK69" s="49"/>
      <c r="BL69" s="286"/>
      <c r="BM69" s="285"/>
      <c r="BN69" s="49"/>
      <c r="BO69" s="49"/>
      <c r="BP69" s="49"/>
      <c r="BQ69" s="49"/>
      <c r="BR69" s="286"/>
      <c r="BS69" s="285"/>
      <c r="BT69" s="20"/>
      <c r="BU69" s="285"/>
      <c r="BV69" s="20"/>
      <c r="BW69" s="20"/>
      <c r="BX69" s="20"/>
      <c r="BY69" s="20"/>
      <c r="BZ69" s="249"/>
    </row>
    <row r="70" spans="1:78" x14ac:dyDescent="0.25">
      <c r="A70" s="15">
        <v>19</v>
      </c>
      <c r="B70" s="402"/>
      <c r="C70" s="50">
        <v>45934</v>
      </c>
      <c r="D70" s="56" t="s">
        <v>40</v>
      </c>
      <c r="E70" s="34">
        <v>32</v>
      </c>
      <c r="F70" s="31">
        <v>32</v>
      </c>
      <c r="G70" s="273">
        <v>77.290000000000006</v>
      </c>
      <c r="H70" s="267"/>
      <c r="I70" s="15">
        <v>1</v>
      </c>
      <c r="J70" s="45">
        <v>1</v>
      </c>
      <c r="K70" s="46"/>
      <c r="M70" s="52"/>
      <c r="N70" s="267"/>
      <c r="P70" s="45"/>
      <c r="R70" s="45"/>
      <c r="S70" s="52"/>
      <c r="V70" s="267">
        <v>5</v>
      </c>
      <c r="AA70" s="52"/>
      <c r="AB70" s="396">
        <f>(G70+G71)/(F70+F71)</f>
        <v>2.2583333333333333</v>
      </c>
      <c r="AC70" s="199">
        <v>32</v>
      </c>
      <c r="AD70" s="199">
        <v>2</v>
      </c>
      <c r="AE70" s="200">
        <f>SUM(AC70:AC71)/SUM(AD70:AD71)</f>
        <v>15</v>
      </c>
      <c r="AF70" s="201"/>
      <c r="AG70" s="211">
        <v>12.5</v>
      </c>
      <c r="AH70" s="202">
        <f>AE70*AG70</f>
        <v>187.5</v>
      </c>
      <c r="AI70" s="203">
        <f t="shared" ref="AI70" si="189">AH70/AI$51</f>
        <v>197.36842105263159</v>
      </c>
      <c r="AJ70" s="203">
        <f>AI70*2</f>
        <v>394.73684210526318</v>
      </c>
      <c r="AK70" s="181">
        <f>SUM(F70:F71)/(SUM(G70:G71)/SUM(AJ70))</f>
        <v>174.79122159642648</v>
      </c>
      <c r="AL70" s="281">
        <f t="shared" ref="AL70:AW70" si="190">SUM(H70:H71)/SUM($G70:$G71)</f>
        <v>1.4760147601476014E-2</v>
      </c>
      <c r="AM70" s="48">
        <f t="shared" si="190"/>
        <v>5.1660516605166053E-2</v>
      </c>
      <c r="AN70" s="47">
        <f t="shared" si="190"/>
        <v>7.3800738007380072E-3</v>
      </c>
      <c r="AO70" s="48">
        <f t="shared" si="190"/>
        <v>0</v>
      </c>
      <c r="AP70" s="47">
        <f t="shared" si="190"/>
        <v>0</v>
      </c>
      <c r="AQ70" s="282">
        <f t="shared" si="190"/>
        <v>0</v>
      </c>
      <c r="AR70" s="281">
        <f t="shared" si="190"/>
        <v>0</v>
      </c>
      <c r="AS70" s="48">
        <f t="shared" si="190"/>
        <v>0</v>
      </c>
      <c r="AT70" s="47">
        <f t="shared" si="190"/>
        <v>0</v>
      </c>
      <c r="AU70" s="48">
        <f t="shared" si="190"/>
        <v>0</v>
      </c>
      <c r="AV70" s="47">
        <f t="shared" si="190"/>
        <v>0</v>
      </c>
      <c r="AW70" s="282">
        <f t="shared" si="190"/>
        <v>0</v>
      </c>
      <c r="AX70" s="281">
        <f t="shared" ref="AX70" si="191">SUM(T70:T71)/SUM($G70:$G71)</f>
        <v>0</v>
      </c>
      <c r="AY70" s="48">
        <f t="shared" ref="AY70" si="192">SUM(U70:U71)/SUM($G70:$G71)</f>
        <v>0</v>
      </c>
      <c r="AZ70" s="281">
        <f t="shared" ref="AZ70" si="193">SUM(V70:V71)/SUM($G70:$G71)</f>
        <v>3.6900369003690037E-2</v>
      </c>
      <c r="BA70" s="51">
        <f t="shared" ref="BA70" si="194">SUM(W70:W71)/SUM($G70:$G71)</f>
        <v>0</v>
      </c>
      <c r="BB70" s="47">
        <f t="shared" ref="BB70" si="195">SUM(X70:X71)/SUM($G70:$G71)</f>
        <v>0</v>
      </c>
      <c r="BC70" s="51">
        <f t="shared" ref="BC70" si="196">SUM(Y70:Y71)/SUM($G70:$G71)</f>
        <v>0</v>
      </c>
      <c r="BD70" s="47">
        <f t="shared" ref="BD70" si="197">SUM(Z70:Z71)/SUM($G70:$G71)</f>
        <v>0</v>
      </c>
      <c r="BE70" s="282">
        <f t="shared" ref="BE70" si="198">SUM(AA70:AA71)/SUM($G70:$G71)</f>
        <v>0</v>
      </c>
      <c r="BG70" s="285">
        <f t="shared" ref="BG70:BZ70" si="199">AL70*$AJ70</f>
        <v>5.8263740532142165</v>
      </c>
      <c r="BH70" s="49">
        <f t="shared" si="199"/>
        <v>20.392309186249758</v>
      </c>
      <c r="BI70" s="49">
        <f t="shared" si="199"/>
        <v>2.9131870266071083</v>
      </c>
      <c r="BJ70" s="49">
        <f t="shared" si="199"/>
        <v>0</v>
      </c>
      <c r="BK70" s="49">
        <f t="shared" si="199"/>
        <v>0</v>
      </c>
      <c r="BL70" s="286">
        <f t="shared" si="199"/>
        <v>0</v>
      </c>
      <c r="BM70" s="285">
        <f t="shared" si="199"/>
        <v>0</v>
      </c>
      <c r="BN70" s="49">
        <f t="shared" si="199"/>
        <v>0</v>
      </c>
      <c r="BO70" s="49">
        <f t="shared" si="199"/>
        <v>0</v>
      </c>
      <c r="BP70" s="49">
        <f t="shared" si="199"/>
        <v>0</v>
      </c>
      <c r="BQ70" s="49">
        <f t="shared" si="199"/>
        <v>0</v>
      </c>
      <c r="BR70" s="286">
        <f t="shared" si="199"/>
        <v>0</v>
      </c>
      <c r="BS70" s="285">
        <f t="shared" si="199"/>
        <v>0</v>
      </c>
      <c r="BT70" s="20">
        <f t="shared" si="199"/>
        <v>0</v>
      </c>
      <c r="BU70" s="285">
        <f t="shared" si="199"/>
        <v>14.565935133035541</v>
      </c>
      <c r="BV70" s="20">
        <f t="shared" si="199"/>
        <v>0</v>
      </c>
      <c r="BW70" s="20">
        <f t="shared" si="199"/>
        <v>0</v>
      </c>
      <c r="BX70" s="20">
        <f t="shared" si="199"/>
        <v>0</v>
      </c>
      <c r="BY70" s="20">
        <f t="shared" si="199"/>
        <v>0</v>
      </c>
      <c r="BZ70" s="249">
        <f t="shared" si="199"/>
        <v>0</v>
      </c>
    </row>
    <row r="71" spans="1:78" ht="16.5" thickBot="1" x14ac:dyDescent="0.3">
      <c r="A71" s="15">
        <v>20</v>
      </c>
      <c r="B71" s="403"/>
      <c r="C71" s="139">
        <v>45935</v>
      </c>
      <c r="D71" s="121" t="s">
        <v>40</v>
      </c>
      <c r="E71" s="4">
        <v>28</v>
      </c>
      <c r="F71" s="122">
        <v>28</v>
      </c>
      <c r="G71" s="274">
        <v>58.21</v>
      </c>
      <c r="H71" s="278">
        <v>2</v>
      </c>
      <c r="I71" s="124">
        <v>6</v>
      </c>
      <c r="J71" s="125"/>
      <c r="K71" s="126"/>
      <c r="L71" s="124"/>
      <c r="M71" s="140"/>
      <c r="N71" s="278"/>
      <c r="O71" s="124"/>
      <c r="P71" s="125"/>
      <c r="Q71" s="124"/>
      <c r="R71" s="125"/>
      <c r="S71" s="140"/>
      <c r="T71" s="124"/>
      <c r="U71" s="124"/>
      <c r="V71" s="278"/>
      <c r="W71" s="124"/>
      <c r="X71" s="124"/>
      <c r="Y71" s="124"/>
      <c r="Z71" s="124"/>
      <c r="AA71" s="140"/>
      <c r="AB71" s="370"/>
      <c r="AC71" s="205">
        <v>28</v>
      </c>
      <c r="AD71" s="205">
        <v>2</v>
      </c>
      <c r="AE71" s="206"/>
      <c r="AF71" s="207"/>
      <c r="AG71" s="212">
        <v>12.4</v>
      </c>
      <c r="AH71" s="208"/>
      <c r="AI71" s="208"/>
      <c r="AJ71" s="209"/>
      <c r="AK71" s="173"/>
      <c r="AL71" s="283"/>
      <c r="AM71" s="132"/>
      <c r="AN71" s="131"/>
      <c r="AO71" s="132"/>
      <c r="AP71" s="131"/>
      <c r="AQ71" s="284"/>
      <c r="AR71" s="283"/>
      <c r="AS71" s="132"/>
      <c r="AT71" s="131"/>
      <c r="AU71" s="132"/>
      <c r="AV71" s="131"/>
      <c r="AW71" s="284"/>
      <c r="AX71" s="283"/>
      <c r="AY71" s="132"/>
      <c r="AZ71" s="283"/>
      <c r="BA71" s="133"/>
      <c r="BB71" s="131"/>
      <c r="BC71" s="133"/>
      <c r="BD71" s="131"/>
      <c r="BE71" s="284"/>
      <c r="BG71" s="287"/>
      <c r="BH71" s="64"/>
      <c r="BI71" s="64"/>
      <c r="BJ71" s="64"/>
      <c r="BK71" s="64"/>
      <c r="BL71" s="288"/>
      <c r="BM71" s="287"/>
      <c r="BN71" s="64"/>
      <c r="BO71" s="64"/>
      <c r="BP71" s="64"/>
      <c r="BQ71" s="64"/>
      <c r="BR71" s="288"/>
      <c r="BS71" s="287"/>
      <c r="BT71" s="127"/>
      <c r="BU71" s="287"/>
      <c r="BV71" s="127"/>
      <c r="BW71" s="127"/>
      <c r="BX71" s="127"/>
      <c r="BY71" s="127"/>
      <c r="BZ71" s="289"/>
    </row>
    <row r="72" spans="1:78" x14ac:dyDescent="0.25">
      <c r="A72" s="15">
        <v>21</v>
      </c>
      <c r="B72" s="401" t="str">
        <f>C12</f>
        <v>Oct 6-Oct 12</v>
      </c>
      <c r="C72" s="120">
        <v>45936</v>
      </c>
      <c r="D72" s="55" t="s">
        <v>39</v>
      </c>
      <c r="E72" s="3">
        <v>19</v>
      </c>
      <c r="F72" s="39">
        <v>19</v>
      </c>
      <c r="G72" s="272">
        <v>43.48</v>
      </c>
      <c r="H72" s="277">
        <v>2</v>
      </c>
      <c r="I72" s="40">
        <v>3</v>
      </c>
      <c r="J72" s="41">
        <v>1</v>
      </c>
      <c r="K72" s="42"/>
      <c r="L72" s="40"/>
      <c r="M72" s="58"/>
      <c r="N72" s="277"/>
      <c r="O72" s="40"/>
      <c r="P72" s="41"/>
      <c r="Q72" s="40"/>
      <c r="R72" s="41"/>
      <c r="S72" s="58"/>
      <c r="T72" s="40"/>
      <c r="U72" s="40"/>
      <c r="V72" s="277"/>
      <c r="W72" s="40"/>
      <c r="X72" s="40"/>
      <c r="Y72" s="40"/>
      <c r="Z72" s="40"/>
      <c r="AA72" s="58"/>
      <c r="AB72" s="396">
        <f>SUM(G72:G74)/SUM(F72:F74)</f>
        <v>2.2789855072463769</v>
      </c>
      <c r="AC72" s="193">
        <v>19</v>
      </c>
      <c r="AD72" s="193">
        <v>2</v>
      </c>
      <c r="AE72" s="195">
        <f>SUM(AC72:AC74)/SUM(AD72:AD74)</f>
        <v>11.5</v>
      </c>
      <c r="AF72" s="194"/>
      <c r="AG72" s="210">
        <v>12.4</v>
      </c>
      <c r="AH72" s="196">
        <f>AE72*AG72</f>
        <v>142.6</v>
      </c>
      <c r="AI72" s="197">
        <f t="shared" ref="AI72" si="200">AH72/AI$51</f>
        <v>150.10526315789474</v>
      </c>
      <c r="AJ72" s="197">
        <f>AI72*5</f>
        <v>750.52631578947376</v>
      </c>
      <c r="AK72" s="181">
        <f>SUM(F72:F74)/(SUM(G72:G74)/SUM(AJ72))</f>
        <v>329.32474269935574</v>
      </c>
      <c r="AL72" s="279">
        <f t="shared" ref="AL72:BE72" si="201">SUM(H72:H74)/SUM($G72:$G74)</f>
        <v>3.1796502384737677E-2</v>
      </c>
      <c r="AM72" s="129">
        <f t="shared" si="201"/>
        <v>6.3593004769475353E-2</v>
      </c>
      <c r="AN72" s="128">
        <f t="shared" si="201"/>
        <v>6.3593004769475362E-3</v>
      </c>
      <c r="AO72" s="129">
        <f t="shared" si="201"/>
        <v>6.3593004769475362E-3</v>
      </c>
      <c r="AP72" s="128">
        <f t="shared" si="201"/>
        <v>0</v>
      </c>
      <c r="AQ72" s="280">
        <f t="shared" si="201"/>
        <v>0</v>
      </c>
      <c r="AR72" s="279">
        <f t="shared" si="201"/>
        <v>0</v>
      </c>
      <c r="AS72" s="129">
        <f t="shared" si="201"/>
        <v>0</v>
      </c>
      <c r="AT72" s="128">
        <f t="shared" si="201"/>
        <v>0</v>
      </c>
      <c r="AU72" s="129">
        <f t="shared" si="201"/>
        <v>0</v>
      </c>
      <c r="AV72" s="128">
        <f t="shared" si="201"/>
        <v>0</v>
      </c>
      <c r="AW72" s="280">
        <f t="shared" si="201"/>
        <v>0</v>
      </c>
      <c r="AX72" s="279">
        <f t="shared" si="201"/>
        <v>0</v>
      </c>
      <c r="AY72" s="129">
        <f t="shared" si="201"/>
        <v>6.3593004769475362E-3</v>
      </c>
      <c r="AZ72" s="279">
        <f t="shared" si="201"/>
        <v>1.2718600953895072E-2</v>
      </c>
      <c r="BA72" s="130">
        <f t="shared" si="201"/>
        <v>0</v>
      </c>
      <c r="BB72" s="128">
        <f t="shared" si="201"/>
        <v>0</v>
      </c>
      <c r="BC72" s="130">
        <f t="shared" si="201"/>
        <v>0</v>
      </c>
      <c r="BD72" s="128">
        <f t="shared" si="201"/>
        <v>0</v>
      </c>
      <c r="BE72" s="280">
        <f t="shared" si="201"/>
        <v>6.3593004769475362E-3</v>
      </c>
      <c r="BG72" s="285">
        <f t="shared" ref="BG72:BR72" si="202">AL72*$AJ72</f>
        <v>23.864111789808383</v>
      </c>
      <c r="BH72" s="49">
        <f t="shared" si="202"/>
        <v>47.728223579616767</v>
      </c>
      <c r="BI72" s="49">
        <f t="shared" si="202"/>
        <v>4.7728223579616778</v>
      </c>
      <c r="BJ72" s="49">
        <f t="shared" si="202"/>
        <v>4.7728223579616778</v>
      </c>
      <c r="BK72" s="49">
        <f t="shared" si="202"/>
        <v>0</v>
      </c>
      <c r="BL72" s="286">
        <f t="shared" si="202"/>
        <v>0</v>
      </c>
      <c r="BM72" s="285">
        <f t="shared" si="202"/>
        <v>0</v>
      </c>
      <c r="BN72" s="49">
        <f t="shared" si="202"/>
        <v>0</v>
      </c>
      <c r="BO72" s="49">
        <f t="shared" si="202"/>
        <v>0</v>
      </c>
      <c r="BP72" s="49">
        <f t="shared" si="202"/>
        <v>0</v>
      </c>
      <c r="BQ72" s="49">
        <f t="shared" si="202"/>
        <v>0</v>
      </c>
      <c r="BR72" s="286">
        <f t="shared" si="202"/>
        <v>0</v>
      </c>
      <c r="BS72" s="285">
        <f t="shared" ref="BS72" si="203">AX72*$AJ72</f>
        <v>0</v>
      </c>
      <c r="BT72" s="20">
        <f t="shared" ref="BT72" si="204">AY72*$AJ72</f>
        <v>4.7728223579616778</v>
      </c>
      <c r="BU72" s="285">
        <f t="shared" ref="BU72" si="205">AZ72*$AJ72</f>
        <v>9.5456447159233555</v>
      </c>
      <c r="BV72" s="20">
        <f t="shared" ref="BV72" si="206">BA72*$AJ72</f>
        <v>0</v>
      </c>
      <c r="BW72" s="20">
        <f t="shared" ref="BW72" si="207">BB72*$AJ72</f>
        <v>0</v>
      </c>
      <c r="BX72" s="20">
        <f t="shared" ref="BX72" si="208">BC72*$AJ72</f>
        <v>0</v>
      </c>
      <c r="BY72" s="20">
        <f t="shared" ref="BY72" si="209">BD72*$AJ72</f>
        <v>0</v>
      </c>
      <c r="BZ72" s="249">
        <f t="shared" ref="BZ72" si="210">BE72*$AJ72</f>
        <v>4.7728223579616778</v>
      </c>
    </row>
    <row r="73" spans="1:78" x14ac:dyDescent="0.25">
      <c r="A73" s="15">
        <v>22</v>
      </c>
      <c r="B73" s="402"/>
      <c r="C73" s="50">
        <v>45937</v>
      </c>
      <c r="D73" s="56" t="s">
        <v>39</v>
      </c>
      <c r="E73" s="34">
        <v>28</v>
      </c>
      <c r="F73" s="31">
        <v>28</v>
      </c>
      <c r="G73" s="273">
        <v>49.51</v>
      </c>
      <c r="H73" s="267">
        <v>1</v>
      </c>
      <c r="I73" s="15">
        <v>5</v>
      </c>
      <c r="J73" s="45"/>
      <c r="K73" s="46"/>
      <c r="M73" s="52"/>
      <c r="N73" s="267"/>
      <c r="P73" s="45"/>
      <c r="R73" s="45"/>
      <c r="S73" s="52"/>
      <c r="U73" s="386">
        <v>1</v>
      </c>
      <c r="V73" s="267"/>
      <c r="AA73" s="52"/>
      <c r="AB73" s="396"/>
      <c r="AC73" s="199">
        <v>28</v>
      </c>
      <c r="AD73" s="199">
        <v>2</v>
      </c>
      <c r="AE73" s="200"/>
      <c r="AF73" s="201"/>
      <c r="AG73" s="211">
        <v>12.3</v>
      </c>
      <c r="AH73" s="202"/>
      <c r="AI73" s="202"/>
      <c r="AJ73" s="203"/>
      <c r="AK73" s="172"/>
      <c r="AL73" s="281"/>
      <c r="AM73" s="48"/>
      <c r="AN73" s="47"/>
      <c r="AO73" s="48"/>
      <c r="AP73" s="47"/>
      <c r="AQ73" s="282"/>
      <c r="AR73" s="281"/>
      <c r="AS73" s="48"/>
      <c r="AT73" s="47"/>
      <c r="AU73" s="48"/>
      <c r="AV73" s="47"/>
      <c r="AW73" s="282"/>
      <c r="AX73" s="281"/>
      <c r="AY73" s="48"/>
      <c r="AZ73" s="281"/>
      <c r="BA73" s="51"/>
      <c r="BB73" s="47"/>
      <c r="BC73" s="51"/>
      <c r="BD73" s="47"/>
      <c r="BE73" s="282"/>
      <c r="BG73" s="285"/>
      <c r="BH73" s="49"/>
      <c r="BI73" s="49"/>
      <c r="BJ73" s="49"/>
      <c r="BK73" s="49"/>
      <c r="BL73" s="286"/>
      <c r="BM73" s="285"/>
      <c r="BN73" s="49"/>
      <c r="BO73" s="49"/>
      <c r="BP73" s="49"/>
      <c r="BQ73" s="49"/>
      <c r="BR73" s="286"/>
      <c r="BS73" s="285"/>
      <c r="BT73" s="20"/>
      <c r="BU73" s="285"/>
      <c r="BV73" s="20"/>
      <c r="BW73" s="20"/>
      <c r="BX73" s="20"/>
      <c r="BY73" s="20"/>
      <c r="BZ73" s="249"/>
    </row>
    <row r="74" spans="1:78" x14ac:dyDescent="0.25">
      <c r="A74" s="15">
        <v>23</v>
      </c>
      <c r="B74" s="402"/>
      <c r="C74" s="50">
        <v>45940</v>
      </c>
      <c r="D74" s="56" t="s">
        <v>39</v>
      </c>
      <c r="E74" s="34">
        <v>22</v>
      </c>
      <c r="F74" s="31">
        <v>22</v>
      </c>
      <c r="G74" s="273">
        <v>64.260000000000005</v>
      </c>
      <c r="H74" s="267">
        <v>2</v>
      </c>
      <c r="I74" s="15">
        <v>2</v>
      </c>
      <c r="J74" s="45"/>
      <c r="K74" s="46">
        <v>1</v>
      </c>
      <c r="M74" s="52"/>
      <c r="N74" s="267"/>
      <c r="P74" s="45"/>
      <c r="R74" s="45"/>
      <c r="S74" s="52"/>
      <c r="V74" s="267">
        <v>2</v>
      </c>
      <c r="AA74" s="52">
        <v>1</v>
      </c>
      <c r="AB74" s="396"/>
      <c r="AC74" s="199">
        <v>22</v>
      </c>
      <c r="AD74" s="199">
        <v>2</v>
      </c>
      <c r="AE74" s="200"/>
      <c r="AF74" s="201"/>
      <c r="AG74" s="211">
        <v>12.1</v>
      </c>
      <c r="AH74" s="202"/>
      <c r="AI74" s="202"/>
      <c r="AJ74" s="203"/>
      <c r="AK74" s="172"/>
      <c r="AL74" s="281"/>
      <c r="AM74" s="48"/>
      <c r="AN74" s="47"/>
      <c r="AO74" s="48"/>
      <c r="AP74" s="47"/>
      <c r="AQ74" s="282"/>
      <c r="AR74" s="281"/>
      <c r="AS74" s="48"/>
      <c r="AT74" s="47"/>
      <c r="AU74" s="48"/>
      <c r="AV74" s="47"/>
      <c r="AW74" s="282"/>
      <c r="AX74" s="281"/>
      <c r="AY74" s="48"/>
      <c r="AZ74" s="281"/>
      <c r="BA74" s="51"/>
      <c r="BB74" s="47"/>
      <c r="BC74" s="51"/>
      <c r="BD74" s="47"/>
      <c r="BE74" s="282"/>
      <c r="BG74" s="285"/>
      <c r="BH74" s="49"/>
      <c r="BI74" s="49"/>
      <c r="BJ74" s="49"/>
      <c r="BK74" s="49"/>
      <c r="BL74" s="286"/>
      <c r="BM74" s="285"/>
      <c r="BN74" s="49"/>
      <c r="BO74" s="49"/>
      <c r="BP74" s="49"/>
      <c r="BQ74" s="49"/>
      <c r="BR74" s="286"/>
      <c r="BS74" s="285"/>
      <c r="BT74" s="20"/>
      <c r="BU74" s="285"/>
      <c r="BV74" s="20"/>
      <c r="BW74" s="20"/>
      <c r="BX74" s="20"/>
      <c r="BY74" s="20"/>
      <c r="BZ74" s="249"/>
    </row>
    <row r="75" spans="1:78" x14ac:dyDescent="0.25">
      <c r="A75" s="15">
        <v>24</v>
      </c>
      <c r="B75" s="402"/>
      <c r="C75" s="50">
        <v>45941</v>
      </c>
      <c r="D75" s="56" t="s">
        <v>40</v>
      </c>
      <c r="E75" s="34">
        <v>66</v>
      </c>
      <c r="F75" s="31">
        <v>66</v>
      </c>
      <c r="G75" s="273">
        <v>149.63999999999999</v>
      </c>
      <c r="H75" s="267">
        <v>6</v>
      </c>
      <c r="I75" s="15">
        <v>11</v>
      </c>
      <c r="J75" s="45"/>
      <c r="K75" s="46"/>
      <c r="M75" s="52"/>
      <c r="N75" s="267">
        <v>1</v>
      </c>
      <c r="P75" s="45"/>
      <c r="R75" s="45"/>
      <c r="S75" s="52"/>
      <c r="V75" s="267"/>
      <c r="AA75" s="52"/>
      <c r="AB75" s="396">
        <f>(G75+G76)/(F75+F76)</f>
        <v>2.2820999999999998</v>
      </c>
      <c r="AC75" s="199">
        <v>66</v>
      </c>
      <c r="AD75" s="199">
        <v>2</v>
      </c>
      <c r="AE75" s="200">
        <f>SUM(AC75:AC76)/SUM(AD75:AD76)</f>
        <v>25</v>
      </c>
      <c r="AF75" s="201"/>
      <c r="AG75" s="211">
        <v>12.1</v>
      </c>
      <c r="AH75" s="202">
        <f>AE75*AG75</f>
        <v>302.5</v>
      </c>
      <c r="AI75" s="203">
        <f t="shared" ref="AI75" si="211">AH75/AI$51</f>
        <v>318.42105263157896</v>
      </c>
      <c r="AJ75" s="203">
        <f>AI75*2</f>
        <v>636.84210526315792</v>
      </c>
      <c r="AK75" s="181">
        <f>SUM(F75:F76)/(SUM(G75:G76)/SUM(AJ75))</f>
        <v>279.05968417823846</v>
      </c>
      <c r="AL75" s="281">
        <f t="shared" ref="AL75:AW75" si="212">SUM(H75:H76)/SUM($G75:$G76)</f>
        <v>3.0673502475789847E-2</v>
      </c>
      <c r="AM75" s="48">
        <f t="shared" si="212"/>
        <v>5.2583147101354019E-2</v>
      </c>
      <c r="AN75" s="47">
        <f t="shared" si="212"/>
        <v>0</v>
      </c>
      <c r="AO75" s="48">
        <f t="shared" si="212"/>
        <v>0</v>
      </c>
      <c r="AP75" s="47">
        <f t="shared" si="212"/>
        <v>0</v>
      </c>
      <c r="AQ75" s="282">
        <f t="shared" si="212"/>
        <v>0</v>
      </c>
      <c r="AR75" s="281">
        <f t="shared" si="212"/>
        <v>4.3819289251128346E-3</v>
      </c>
      <c r="AS75" s="48">
        <f t="shared" si="212"/>
        <v>0</v>
      </c>
      <c r="AT75" s="47">
        <f t="shared" si="212"/>
        <v>0</v>
      </c>
      <c r="AU75" s="48">
        <f t="shared" si="212"/>
        <v>0</v>
      </c>
      <c r="AV75" s="47">
        <f t="shared" si="212"/>
        <v>0</v>
      </c>
      <c r="AW75" s="282">
        <f t="shared" si="212"/>
        <v>0</v>
      </c>
      <c r="AX75" s="281">
        <f t="shared" ref="AX75" si="213">SUM(T75:T76)/SUM($G75:$G76)</f>
        <v>0</v>
      </c>
      <c r="AY75" s="48">
        <f t="shared" ref="AY75" si="214">SUM(U75:U76)/SUM($G75:$G76)</f>
        <v>0</v>
      </c>
      <c r="AZ75" s="281">
        <f t="shared" ref="AZ75" si="215">SUM(V75:V76)/SUM($G75:$G76)</f>
        <v>0</v>
      </c>
      <c r="BA75" s="51">
        <f t="shared" ref="BA75" si="216">SUM(W75:W76)/SUM($G75:$G76)</f>
        <v>0</v>
      </c>
      <c r="BB75" s="47">
        <f t="shared" ref="BB75" si="217">SUM(X75:X76)/SUM($G75:$G76)</f>
        <v>0</v>
      </c>
      <c r="BC75" s="51">
        <f t="shared" ref="BC75" si="218">SUM(Y75:Y76)/SUM($G75:$G76)</f>
        <v>0</v>
      </c>
      <c r="BD75" s="47">
        <f t="shared" ref="BD75" si="219">SUM(Z75:Z76)/SUM($G75:$G76)</f>
        <v>0</v>
      </c>
      <c r="BE75" s="282">
        <f t="shared" ref="BE75" si="220">SUM(AA75:AA76)/SUM($G75:$G76)</f>
        <v>0</v>
      </c>
      <c r="BG75" s="285">
        <f t="shared" ref="BG75:BZ75" si="221">AL75*$AJ75</f>
        <v>19.534177892476691</v>
      </c>
      <c r="BH75" s="49">
        <f t="shared" si="221"/>
        <v>33.487162101388613</v>
      </c>
      <c r="BI75" s="49">
        <f t="shared" si="221"/>
        <v>0</v>
      </c>
      <c r="BJ75" s="49">
        <f t="shared" si="221"/>
        <v>0</v>
      </c>
      <c r="BK75" s="49">
        <f t="shared" si="221"/>
        <v>0</v>
      </c>
      <c r="BL75" s="286">
        <f t="shared" si="221"/>
        <v>0</v>
      </c>
      <c r="BM75" s="285">
        <f t="shared" si="221"/>
        <v>2.7905968417823841</v>
      </c>
      <c r="BN75" s="49">
        <f t="shared" si="221"/>
        <v>0</v>
      </c>
      <c r="BO75" s="49">
        <f t="shared" si="221"/>
        <v>0</v>
      </c>
      <c r="BP75" s="49">
        <f t="shared" si="221"/>
        <v>0</v>
      </c>
      <c r="BQ75" s="49">
        <f t="shared" si="221"/>
        <v>0</v>
      </c>
      <c r="BR75" s="286">
        <f t="shared" si="221"/>
        <v>0</v>
      </c>
      <c r="BS75" s="285">
        <f t="shared" si="221"/>
        <v>0</v>
      </c>
      <c r="BT75" s="20">
        <f t="shared" si="221"/>
        <v>0</v>
      </c>
      <c r="BU75" s="285">
        <f t="shared" si="221"/>
        <v>0</v>
      </c>
      <c r="BV75" s="20">
        <f t="shared" si="221"/>
        <v>0</v>
      </c>
      <c r="BW75" s="20">
        <f t="shared" si="221"/>
        <v>0</v>
      </c>
      <c r="BX75" s="20">
        <f t="shared" si="221"/>
        <v>0</v>
      </c>
      <c r="BY75" s="20">
        <f t="shared" si="221"/>
        <v>0</v>
      </c>
      <c r="BZ75" s="249">
        <f t="shared" si="221"/>
        <v>0</v>
      </c>
    </row>
    <row r="76" spans="1:78" ht="16.5" thickBot="1" x14ac:dyDescent="0.3">
      <c r="A76" s="15">
        <v>25</v>
      </c>
      <c r="B76" s="403"/>
      <c r="C76" s="139">
        <v>45942</v>
      </c>
      <c r="D76" s="121" t="s">
        <v>40</v>
      </c>
      <c r="E76" s="4">
        <v>34</v>
      </c>
      <c r="F76" s="122">
        <v>34</v>
      </c>
      <c r="G76" s="274">
        <v>78.569999999999993</v>
      </c>
      <c r="H76" s="278">
        <v>1</v>
      </c>
      <c r="I76" s="124">
        <v>1</v>
      </c>
      <c r="J76" s="125"/>
      <c r="K76" s="126"/>
      <c r="L76" s="124"/>
      <c r="M76" s="140"/>
      <c r="N76" s="278"/>
      <c r="O76" s="124"/>
      <c r="P76" s="125"/>
      <c r="Q76" s="124"/>
      <c r="R76" s="125"/>
      <c r="S76" s="140"/>
      <c r="T76" s="124"/>
      <c r="U76" s="124"/>
      <c r="V76" s="278"/>
      <c r="W76" s="124"/>
      <c r="X76" s="124"/>
      <c r="Y76" s="124"/>
      <c r="Z76" s="124"/>
      <c r="AA76" s="140"/>
      <c r="AB76" s="370"/>
      <c r="AC76" s="205">
        <v>34</v>
      </c>
      <c r="AD76" s="205">
        <v>2</v>
      </c>
      <c r="AE76" s="206"/>
      <c r="AF76" s="207"/>
      <c r="AG76" s="212">
        <v>12</v>
      </c>
      <c r="AH76" s="208"/>
      <c r="AI76" s="208"/>
      <c r="AJ76" s="209"/>
      <c r="AK76" s="173"/>
      <c r="AL76" s="283"/>
      <c r="AM76" s="132"/>
      <c r="AN76" s="131"/>
      <c r="AO76" s="132"/>
      <c r="AP76" s="131"/>
      <c r="AQ76" s="284"/>
      <c r="AR76" s="283"/>
      <c r="AS76" s="132"/>
      <c r="AT76" s="131"/>
      <c r="AU76" s="132"/>
      <c r="AV76" s="131"/>
      <c r="AW76" s="284"/>
      <c r="AX76" s="283"/>
      <c r="AY76" s="132"/>
      <c r="AZ76" s="283"/>
      <c r="BA76" s="133"/>
      <c r="BB76" s="131"/>
      <c r="BC76" s="133"/>
      <c r="BD76" s="131"/>
      <c r="BE76" s="284"/>
      <c r="BG76" s="287"/>
      <c r="BH76" s="64"/>
      <c r="BI76" s="64"/>
      <c r="BJ76" s="64"/>
      <c r="BK76" s="64"/>
      <c r="BL76" s="288"/>
      <c r="BM76" s="287"/>
      <c r="BN76" s="64"/>
      <c r="BO76" s="64"/>
      <c r="BP76" s="64"/>
      <c r="BQ76" s="64"/>
      <c r="BR76" s="288"/>
      <c r="BS76" s="287"/>
      <c r="BT76" s="127"/>
      <c r="BU76" s="287"/>
      <c r="BV76" s="127"/>
      <c r="BW76" s="127"/>
      <c r="BX76" s="127"/>
      <c r="BY76" s="127"/>
      <c r="BZ76" s="289"/>
    </row>
    <row r="77" spans="1:78" x14ac:dyDescent="0.25">
      <c r="A77" s="15">
        <v>26</v>
      </c>
      <c r="B77" s="401" t="str">
        <f>C13</f>
        <v>Oct 13-19</v>
      </c>
      <c r="C77" s="50">
        <v>45944</v>
      </c>
      <c r="D77" s="55" t="s">
        <v>39</v>
      </c>
      <c r="E77" s="3">
        <v>20</v>
      </c>
      <c r="F77" s="39">
        <v>20</v>
      </c>
      <c r="G77" s="272">
        <v>35.159999999999997</v>
      </c>
      <c r="H77" s="277"/>
      <c r="I77" s="40"/>
      <c r="J77" s="41"/>
      <c r="K77" s="42"/>
      <c r="L77" s="40"/>
      <c r="M77" s="58"/>
      <c r="N77" s="277"/>
      <c r="O77" s="40"/>
      <c r="P77" s="41"/>
      <c r="Q77" s="40"/>
      <c r="R77" s="41"/>
      <c r="S77" s="58"/>
      <c r="T77" s="40"/>
      <c r="U77" s="40"/>
      <c r="V77" s="277"/>
      <c r="W77" s="40"/>
      <c r="X77" s="40"/>
      <c r="Y77" s="40"/>
      <c r="Z77" s="40"/>
      <c r="AA77" s="58"/>
      <c r="AB77" s="396">
        <f>SUM(G77:G79)/SUM(F77:F79)</f>
        <v>1.2753731343283581</v>
      </c>
      <c r="AC77" s="193">
        <v>20</v>
      </c>
      <c r="AD77" s="193">
        <v>2</v>
      </c>
      <c r="AE77" s="195">
        <f>SUM(AC77:AC79)/SUM(AD77:AD79)</f>
        <v>11.166666666666666</v>
      </c>
      <c r="AF77" s="194"/>
      <c r="AG77" s="210">
        <v>11.9</v>
      </c>
      <c r="AH77" s="196">
        <f>AE77*AG77</f>
        <v>132.88333333333333</v>
      </c>
      <c r="AI77" s="197">
        <f t="shared" ref="AI77" si="222">AH77/AI$51</f>
        <v>139.87719298245614</v>
      </c>
      <c r="AJ77" s="197">
        <f>AI77*5</f>
        <v>699.38596491228066</v>
      </c>
      <c r="AK77" s="181">
        <f>SUM(F77:F79)/(SUM(G77:G79)/SUM(AJ77))</f>
        <v>548.377526613491</v>
      </c>
      <c r="AL77" s="279">
        <f t="shared" ref="AL77:BE77" si="223">SUM(H77:H79)/SUM($G77:$G79)</f>
        <v>2.3405500292568757E-2</v>
      </c>
      <c r="AM77" s="129">
        <f t="shared" si="223"/>
        <v>3.5108250438853135E-2</v>
      </c>
      <c r="AN77" s="128">
        <f t="shared" si="223"/>
        <v>1.1702750146284378E-2</v>
      </c>
      <c r="AO77" s="129">
        <f t="shared" si="223"/>
        <v>0</v>
      </c>
      <c r="AP77" s="128">
        <f t="shared" si="223"/>
        <v>0</v>
      </c>
      <c r="AQ77" s="280">
        <f t="shared" si="223"/>
        <v>0</v>
      </c>
      <c r="AR77" s="279">
        <f t="shared" si="223"/>
        <v>0</v>
      </c>
      <c r="AS77" s="129">
        <f t="shared" si="223"/>
        <v>0</v>
      </c>
      <c r="AT77" s="128">
        <f t="shared" si="223"/>
        <v>0</v>
      </c>
      <c r="AU77" s="129">
        <f t="shared" si="223"/>
        <v>0</v>
      </c>
      <c r="AV77" s="128">
        <f t="shared" si="223"/>
        <v>0</v>
      </c>
      <c r="AW77" s="280">
        <f t="shared" si="223"/>
        <v>0</v>
      </c>
      <c r="AX77" s="279">
        <f t="shared" si="223"/>
        <v>0</v>
      </c>
      <c r="AY77" s="129">
        <f t="shared" si="223"/>
        <v>0</v>
      </c>
      <c r="AZ77" s="279">
        <f t="shared" si="223"/>
        <v>0</v>
      </c>
      <c r="BA77" s="130">
        <f t="shared" si="223"/>
        <v>0</v>
      </c>
      <c r="BB77" s="128">
        <f t="shared" si="223"/>
        <v>0</v>
      </c>
      <c r="BC77" s="130">
        <f t="shared" si="223"/>
        <v>0</v>
      </c>
      <c r="BD77" s="128">
        <f t="shared" si="223"/>
        <v>0</v>
      </c>
      <c r="BE77" s="280">
        <f t="shared" si="223"/>
        <v>0</v>
      </c>
      <c r="BG77" s="285">
        <f t="shared" ref="BG77:BR77" si="224">AL77*$AJ77</f>
        <v>16.369478406372867</v>
      </c>
      <c r="BH77" s="49">
        <f t="shared" si="224"/>
        <v>24.554217609559302</v>
      </c>
      <c r="BI77" s="49">
        <f t="shared" si="224"/>
        <v>8.1847392031864334</v>
      </c>
      <c r="BJ77" s="49">
        <f t="shared" si="224"/>
        <v>0</v>
      </c>
      <c r="BK77" s="49">
        <f t="shared" si="224"/>
        <v>0</v>
      </c>
      <c r="BL77" s="286">
        <f t="shared" si="224"/>
        <v>0</v>
      </c>
      <c r="BM77" s="285">
        <f t="shared" si="224"/>
        <v>0</v>
      </c>
      <c r="BN77" s="49">
        <f t="shared" si="224"/>
        <v>0</v>
      </c>
      <c r="BO77" s="49">
        <f t="shared" si="224"/>
        <v>0</v>
      </c>
      <c r="BP77" s="49">
        <f t="shared" si="224"/>
        <v>0</v>
      </c>
      <c r="BQ77" s="49">
        <f t="shared" si="224"/>
        <v>0</v>
      </c>
      <c r="BR77" s="286">
        <f t="shared" si="224"/>
        <v>0</v>
      </c>
      <c r="BS77" s="285">
        <f t="shared" ref="BS77" si="225">AX77*$AJ77</f>
        <v>0</v>
      </c>
      <c r="BT77" s="20">
        <f t="shared" ref="BT77" si="226">AY77*$AJ77</f>
        <v>0</v>
      </c>
      <c r="BU77" s="285">
        <f t="shared" ref="BU77" si="227">AZ77*$AJ77</f>
        <v>0</v>
      </c>
      <c r="BV77" s="20">
        <f t="shared" ref="BV77" si="228">BA77*$AJ77</f>
        <v>0</v>
      </c>
      <c r="BW77" s="20">
        <f t="shared" ref="BW77" si="229">BB77*$AJ77</f>
        <v>0</v>
      </c>
      <c r="BX77" s="20">
        <f t="shared" ref="BX77" si="230">BC77*$AJ77</f>
        <v>0</v>
      </c>
      <c r="BY77" s="20">
        <f t="shared" ref="BY77" si="231">BD77*$AJ77</f>
        <v>0</v>
      </c>
      <c r="BZ77" s="249">
        <f t="shared" ref="BZ77" si="232">BE77*$AJ77</f>
        <v>0</v>
      </c>
    </row>
    <row r="78" spans="1:78" x14ac:dyDescent="0.25">
      <c r="A78" s="15">
        <v>27</v>
      </c>
      <c r="B78" s="402"/>
      <c r="C78" s="50">
        <v>45945</v>
      </c>
      <c r="D78" s="56" t="s">
        <v>39</v>
      </c>
      <c r="E78" s="34">
        <v>22</v>
      </c>
      <c r="F78" s="31">
        <v>22</v>
      </c>
      <c r="G78" s="273">
        <v>50.29</v>
      </c>
      <c r="H78" s="267">
        <v>2</v>
      </c>
      <c r="I78" s="15">
        <v>3</v>
      </c>
      <c r="J78" s="45">
        <v>1</v>
      </c>
      <c r="K78" s="46"/>
      <c r="M78" s="52"/>
      <c r="N78" s="267"/>
      <c r="P78" s="45"/>
      <c r="R78" s="45"/>
      <c r="S78" s="52"/>
      <c r="V78" s="267"/>
      <c r="AA78" s="52"/>
      <c r="AB78" s="396"/>
      <c r="AC78" s="199">
        <v>22</v>
      </c>
      <c r="AD78" s="199">
        <v>2</v>
      </c>
      <c r="AE78" s="200"/>
      <c r="AF78" s="201"/>
      <c r="AG78" s="211">
        <v>11.8</v>
      </c>
      <c r="AH78" s="202"/>
      <c r="AI78" s="202"/>
      <c r="AJ78" s="203"/>
      <c r="AK78" s="172"/>
      <c r="AL78" s="281"/>
      <c r="AM78" s="48"/>
      <c r="AN78" s="47"/>
      <c r="AO78" s="48"/>
      <c r="AP78" s="47"/>
      <c r="AQ78" s="282"/>
      <c r="AR78" s="281"/>
      <c r="AS78" s="48"/>
      <c r="AT78" s="47"/>
      <c r="AU78" s="48"/>
      <c r="AV78" s="47"/>
      <c r="AW78" s="282"/>
      <c r="AX78" s="281"/>
      <c r="AY78" s="48"/>
      <c r="AZ78" s="281"/>
      <c r="BA78" s="51"/>
      <c r="BB78" s="47"/>
      <c r="BC78" s="51"/>
      <c r="BD78" s="47"/>
      <c r="BE78" s="282"/>
      <c r="BG78" s="285"/>
      <c r="BH78" s="49"/>
      <c r="BI78" s="49"/>
      <c r="BJ78" s="49"/>
      <c r="BK78" s="49"/>
      <c r="BL78" s="286"/>
      <c r="BM78" s="285"/>
      <c r="BN78" s="49"/>
      <c r="BO78" s="49"/>
      <c r="BP78" s="49"/>
      <c r="BQ78" s="49"/>
      <c r="BR78" s="286"/>
      <c r="BS78" s="285"/>
      <c r="BT78" s="20"/>
      <c r="BU78" s="285"/>
      <c r="BV78" s="20"/>
      <c r="BW78" s="20"/>
      <c r="BX78" s="20"/>
      <c r="BY78" s="20"/>
      <c r="BZ78" s="249"/>
    </row>
    <row r="79" spans="1:78" x14ac:dyDescent="0.25">
      <c r="A79" s="15">
        <v>28</v>
      </c>
      <c r="B79" s="402"/>
      <c r="C79" s="50">
        <v>45946</v>
      </c>
      <c r="D79" s="56" t="s">
        <v>39</v>
      </c>
      <c r="E79" s="374">
        <v>25</v>
      </c>
      <c r="F79" s="375">
        <v>25</v>
      </c>
      <c r="G79" s="273"/>
      <c r="H79" s="267"/>
      <c r="J79" s="45"/>
      <c r="K79" s="46"/>
      <c r="M79" s="52"/>
      <c r="N79" s="267"/>
      <c r="P79" s="45"/>
      <c r="R79" s="45"/>
      <c r="S79" s="52"/>
      <c r="V79" s="267"/>
      <c r="AA79" s="52"/>
      <c r="AB79" s="396"/>
      <c r="AC79" s="398">
        <v>25</v>
      </c>
      <c r="AD79" s="199">
        <v>2</v>
      </c>
      <c r="AE79" s="200"/>
      <c r="AF79" s="201"/>
      <c r="AG79" s="211">
        <v>11.8</v>
      </c>
      <c r="AH79" s="202"/>
      <c r="AI79" s="202"/>
      <c r="AJ79" s="203"/>
      <c r="AK79" s="172"/>
      <c r="AL79" s="281"/>
      <c r="AM79" s="48"/>
      <c r="AN79" s="47"/>
      <c r="AO79" s="48"/>
      <c r="AP79" s="47"/>
      <c r="AQ79" s="282"/>
      <c r="AR79" s="281"/>
      <c r="AS79" s="48"/>
      <c r="AT79" s="47"/>
      <c r="AU79" s="48"/>
      <c r="AV79" s="47"/>
      <c r="AW79" s="282"/>
      <c r="AX79" s="281"/>
      <c r="AY79" s="48"/>
      <c r="AZ79" s="281"/>
      <c r="BA79" s="51"/>
      <c r="BB79" s="47"/>
      <c r="BC79" s="51"/>
      <c r="BD79" s="47"/>
      <c r="BE79" s="282"/>
      <c r="BG79" s="285"/>
      <c r="BH79" s="49"/>
      <c r="BI79" s="49"/>
      <c r="BJ79" s="49"/>
      <c r="BK79" s="49"/>
      <c r="BL79" s="286"/>
      <c r="BM79" s="285"/>
      <c r="BN79" s="49"/>
      <c r="BO79" s="49"/>
      <c r="BP79" s="49"/>
      <c r="BQ79" s="49"/>
      <c r="BR79" s="286"/>
      <c r="BS79" s="285"/>
      <c r="BT79" s="20"/>
      <c r="BU79" s="285"/>
      <c r="BV79" s="20"/>
      <c r="BW79" s="20"/>
      <c r="BX79" s="20"/>
      <c r="BY79" s="20"/>
      <c r="BZ79" s="249"/>
    </row>
    <row r="80" spans="1:78" x14ac:dyDescent="0.25">
      <c r="A80" s="15">
        <v>29</v>
      </c>
      <c r="B80" s="402"/>
      <c r="C80" s="50">
        <v>45948</v>
      </c>
      <c r="D80" s="56" t="s">
        <v>40</v>
      </c>
      <c r="E80" s="34">
        <v>40</v>
      </c>
      <c r="F80" s="31">
        <v>40</v>
      </c>
      <c r="G80" s="273">
        <v>101.47</v>
      </c>
      <c r="H80" s="267">
        <v>3</v>
      </c>
      <c r="I80" s="15">
        <v>5</v>
      </c>
      <c r="J80" s="45"/>
      <c r="K80" s="46"/>
      <c r="M80" s="52"/>
      <c r="N80" s="267">
        <v>1</v>
      </c>
      <c r="P80" s="45"/>
      <c r="R80" s="45"/>
      <c r="S80" s="52"/>
      <c r="V80" s="267"/>
      <c r="AA80" s="52"/>
      <c r="AB80" s="396">
        <f>(G80+G81)/(F81)</f>
        <v>6.0876190476190475</v>
      </c>
      <c r="AC80" s="199">
        <v>40</v>
      </c>
      <c r="AD80" s="199">
        <v>2</v>
      </c>
      <c r="AE80" s="200">
        <f>SUM(AC80:AC81)/SUM(AD80:AD81)</f>
        <v>20.5</v>
      </c>
      <c r="AF80" s="201"/>
      <c r="AG80" s="211">
        <v>11.7</v>
      </c>
      <c r="AH80" s="202">
        <f>AE80*AG80</f>
        <v>239.85</v>
      </c>
      <c r="AI80" s="203">
        <f t="shared" ref="AI80" si="233">AH80/AI$51</f>
        <v>252.47368421052633</v>
      </c>
      <c r="AJ80" s="203">
        <f>AI80*2</f>
        <v>504.94736842105266</v>
      </c>
      <c r="AK80" s="181">
        <f>SUM(F80:F81)/(SUM(G80:G81)/SUM(AJ80))</f>
        <v>161.94338317633884</v>
      </c>
      <c r="AL80" s="281">
        <f t="shared" ref="AL80:AW80" si="234">SUM(H80:H81)/SUM($G80:$G81)</f>
        <v>3.9111389236545682E-2</v>
      </c>
      <c r="AM80" s="48">
        <f t="shared" si="234"/>
        <v>4.3022528160200246E-2</v>
      </c>
      <c r="AN80" s="47">
        <f t="shared" si="234"/>
        <v>0</v>
      </c>
      <c r="AO80" s="48">
        <f t="shared" si="234"/>
        <v>0</v>
      </c>
      <c r="AP80" s="47">
        <f t="shared" si="234"/>
        <v>0</v>
      </c>
      <c r="AQ80" s="282">
        <f t="shared" si="234"/>
        <v>0</v>
      </c>
      <c r="AR80" s="281">
        <f t="shared" si="234"/>
        <v>7.8222778473091368E-3</v>
      </c>
      <c r="AS80" s="48">
        <f t="shared" si="234"/>
        <v>0</v>
      </c>
      <c r="AT80" s="47">
        <f t="shared" si="234"/>
        <v>0</v>
      </c>
      <c r="AU80" s="48">
        <f t="shared" si="234"/>
        <v>0</v>
      </c>
      <c r="AV80" s="47">
        <f t="shared" si="234"/>
        <v>0</v>
      </c>
      <c r="AW80" s="282">
        <f t="shared" si="234"/>
        <v>0</v>
      </c>
      <c r="AX80" s="281">
        <f t="shared" ref="AX80" si="235">SUM(T80:T81)/SUM($G80:$G81)</f>
        <v>0</v>
      </c>
      <c r="AY80" s="48">
        <f t="shared" ref="AY80" si="236">SUM(U80:U81)/SUM($G80:$G81)</f>
        <v>0</v>
      </c>
      <c r="AZ80" s="281">
        <f t="shared" ref="AZ80" si="237">SUM(V80:V81)/SUM($G80:$G81)</f>
        <v>0</v>
      </c>
      <c r="BA80" s="51">
        <f t="shared" ref="BA80" si="238">SUM(W80:W81)/SUM($G80:$G81)</f>
        <v>0</v>
      </c>
      <c r="BB80" s="47">
        <f t="shared" ref="BB80" si="239">SUM(X80:X81)/SUM($G80:$G81)</f>
        <v>0</v>
      </c>
      <c r="BC80" s="51">
        <f t="shared" ref="BC80" si="240">SUM(Y80:Y81)/SUM($G80:$G81)</f>
        <v>0</v>
      </c>
      <c r="BD80" s="47">
        <f t="shared" ref="BD80" si="241">SUM(Z80:Z81)/SUM($G80:$G81)</f>
        <v>0</v>
      </c>
      <c r="BE80" s="282">
        <f t="shared" ref="BE80" si="242">SUM(AA80:AA81)/SUM($G80:$G81)</f>
        <v>0</v>
      </c>
      <c r="BG80" s="285">
        <f t="shared" ref="BG80:BZ80" si="243">AL80*$AJ80</f>
        <v>19.749193070285227</v>
      </c>
      <c r="BH80" s="49">
        <f t="shared" si="243"/>
        <v>21.724112377313748</v>
      </c>
      <c r="BI80" s="49">
        <f t="shared" si="243"/>
        <v>0</v>
      </c>
      <c r="BJ80" s="49">
        <f t="shared" si="243"/>
        <v>0</v>
      </c>
      <c r="BK80" s="49">
        <f t="shared" si="243"/>
        <v>0</v>
      </c>
      <c r="BL80" s="286">
        <f t="shared" si="243"/>
        <v>0</v>
      </c>
      <c r="BM80" s="285">
        <f t="shared" si="243"/>
        <v>3.9498386140570454</v>
      </c>
      <c r="BN80" s="49">
        <f t="shared" si="243"/>
        <v>0</v>
      </c>
      <c r="BO80" s="49">
        <f t="shared" si="243"/>
        <v>0</v>
      </c>
      <c r="BP80" s="49">
        <f t="shared" si="243"/>
        <v>0</v>
      </c>
      <c r="BQ80" s="49">
        <f t="shared" si="243"/>
        <v>0</v>
      </c>
      <c r="BR80" s="286">
        <f t="shared" si="243"/>
        <v>0</v>
      </c>
      <c r="BS80" s="285">
        <f t="shared" si="243"/>
        <v>0</v>
      </c>
      <c r="BT80" s="20">
        <f t="shared" si="243"/>
        <v>0</v>
      </c>
      <c r="BU80" s="285">
        <f t="shared" si="243"/>
        <v>0</v>
      </c>
      <c r="BV80" s="20">
        <f t="shared" si="243"/>
        <v>0</v>
      </c>
      <c r="BW80" s="20">
        <f t="shared" si="243"/>
        <v>0</v>
      </c>
      <c r="BX80" s="20">
        <f t="shared" si="243"/>
        <v>0</v>
      </c>
      <c r="BY80" s="20">
        <f t="shared" si="243"/>
        <v>0</v>
      </c>
      <c r="BZ80" s="249">
        <f t="shared" si="243"/>
        <v>0</v>
      </c>
    </row>
    <row r="81" spans="1:78" ht="16.5" thickBot="1" x14ac:dyDescent="0.3">
      <c r="A81" s="15">
        <v>30</v>
      </c>
      <c r="B81" s="403"/>
      <c r="C81" s="139">
        <v>45949</v>
      </c>
      <c r="D81" s="121" t="s">
        <v>40</v>
      </c>
      <c r="E81" s="4">
        <v>42</v>
      </c>
      <c r="F81" s="122">
        <v>42</v>
      </c>
      <c r="G81" s="274">
        <v>154.21</v>
      </c>
      <c r="H81" s="278">
        <v>7</v>
      </c>
      <c r="I81" s="124">
        <v>6</v>
      </c>
      <c r="J81" s="125"/>
      <c r="K81" s="126"/>
      <c r="L81" s="124"/>
      <c r="M81" s="140"/>
      <c r="N81" s="278">
        <v>1</v>
      </c>
      <c r="O81" s="124"/>
      <c r="P81" s="125"/>
      <c r="Q81" s="124"/>
      <c r="R81" s="125"/>
      <c r="S81" s="140"/>
      <c r="T81" s="124"/>
      <c r="U81" s="124"/>
      <c r="V81" s="278"/>
      <c r="W81" s="124"/>
      <c r="X81" s="124"/>
      <c r="Y81" s="124"/>
      <c r="Z81" s="124"/>
      <c r="AA81" s="140"/>
      <c r="AB81" s="370"/>
      <c r="AC81" s="205">
        <v>42</v>
      </c>
      <c r="AD81" s="205">
        <v>2</v>
      </c>
      <c r="AE81" s="206"/>
      <c r="AF81" s="207"/>
      <c r="AG81" s="212">
        <v>11.6</v>
      </c>
      <c r="AH81" s="208"/>
      <c r="AI81" s="208"/>
      <c r="AJ81" s="209"/>
      <c r="AK81" s="173"/>
      <c r="AL81" s="283"/>
      <c r="AM81" s="132"/>
      <c r="AN81" s="131"/>
      <c r="AO81" s="132"/>
      <c r="AP81" s="131"/>
      <c r="AQ81" s="284"/>
      <c r="AR81" s="283"/>
      <c r="AS81" s="132"/>
      <c r="AT81" s="131"/>
      <c r="AU81" s="132"/>
      <c r="AV81" s="131"/>
      <c r="AW81" s="284"/>
      <c r="AX81" s="283"/>
      <c r="AY81" s="132"/>
      <c r="AZ81" s="283"/>
      <c r="BA81" s="133"/>
      <c r="BB81" s="131"/>
      <c r="BC81" s="133"/>
      <c r="BD81" s="131"/>
      <c r="BE81" s="284"/>
      <c r="BG81" s="287"/>
      <c r="BH81" s="64"/>
      <c r="BI81" s="64"/>
      <c r="BJ81" s="64"/>
      <c r="BK81" s="64"/>
      <c r="BL81" s="288"/>
      <c r="BM81" s="287"/>
      <c r="BN81" s="64"/>
      <c r="BO81" s="64"/>
      <c r="BP81" s="64"/>
      <c r="BQ81" s="64"/>
      <c r="BR81" s="288"/>
      <c r="BS81" s="287"/>
      <c r="BT81" s="127"/>
      <c r="BU81" s="287"/>
      <c r="BV81" s="127"/>
      <c r="BW81" s="127"/>
      <c r="BX81" s="127"/>
      <c r="BY81" s="127"/>
      <c r="BZ81" s="289"/>
    </row>
    <row r="82" spans="1:78" x14ac:dyDescent="0.25">
      <c r="A82" s="15">
        <v>31</v>
      </c>
      <c r="B82" s="401" t="s">
        <v>5254</v>
      </c>
      <c r="C82" s="120">
        <v>45585</v>
      </c>
      <c r="D82" s="55" t="s">
        <v>39</v>
      </c>
      <c r="E82" s="3">
        <v>29</v>
      </c>
      <c r="F82" s="39">
        <v>29</v>
      </c>
      <c r="G82" s="272">
        <v>85.37</v>
      </c>
      <c r="H82" s="277">
        <v>2</v>
      </c>
      <c r="I82" s="40">
        <v>6</v>
      </c>
      <c r="J82" s="41"/>
      <c r="K82" s="42"/>
      <c r="L82" s="40"/>
      <c r="M82" s="58"/>
      <c r="N82" s="277">
        <v>1</v>
      </c>
      <c r="O82" s="40"/>
      <c r="P82" s="41"/>
      <c r="Q82" s="40"/>
      <c r="R82" s="41"/>
      <c r="S82" s="58"/>
      <c r="T82" s="40"/>
      <c r="U82" s="40"/>
      <c r="V82" s="277"/>
      <c r="W82" s="40"/>
      <c r="X82" s="40"/>
      <c r="Y82" s="40"/>
      <c r="Z82" s="40"/>
      <c r="AA82" s="58"/>
      <c r="AB82" s="396">
        <f>SUM(G82:G84)/SUM(F82:F84)</f>
        <v>2.4283018867924526</v>
      </c>
      <c r="AC82" s="193">
        <v>29</v>
      </c>
      <c r="AD82" s="193">
        <v>2</v>
      </c>
      <c r="AE82" s="195">
        <f>SUM(AC82:AC84)/SUM(AD82:AD84)</f>
        <v>8.8333333333333339</v>
      </c>
      <c r="AF82" s="194"/>
      <c r="AG82" s="210">
        <v>11.6</v>
      </c>
      <c r="AH82" s="196">
        <f>AE82*AG82</f>
        <v>102.46666666666667</v>
      </c>
      <c r="AI82" s="197">
        <f t="shared" ref="AI82" si="244">AH82/AI$51</f>
        <v>107.85964912280703</v>
      </c>
      <c r="AJ82" s="197">
        <f>AI82*5</f>
        <v>539.29824561403518</v>
      </c>
      <c r="AK82" s="181">
        <f>SUM(F82:F84)/(SUM(G82:G84)/SUM(AJ82))</f>
        <v>222.08863261494847</v>
      </c>
      <c r="AL82" s="279">
        <f t="shared" ref="AL82" si="245">SUM(H82:H84)/SUM($G82:$G84)</f>
        <v>3.1080031080031083E-2</v>
      </c>
      <c r="AM82" s="129">
        <f t="shared" ref="AM82" si="246">SUM(I82:I84)/SUM($G82:$G84)</f>
        <v>7.770007770007771E-2</v>
      </c>
      <c r="AN82" s="128">
        <f t="shared" ref="AN82" si="247">SUM(J82:J84)/SUM($G82:$G84)</f>
        <v>0</v>
      </c>
      <c r="AO82" s="129">
        <f t="shared" ref="AO82" si="248">SUM(K82:K84)/SUM($G82:$G84)</f>
        <v>0</v>
      </c>
      <c r="AP82" s="128">
        <f t="shared" ref="AP82" si="249">SUM(L82:L84)/SUM($G82:$G84)</f>
        <v>7.7700077700077709E-3</v>
      </c>
      <c r="AQ82" s="280">
        <f t="shared" ref="AQ82" si="250">SUM(M82:M84)/SUM($G82:$G84)</f>
        <v>0</v>
      </c>
      <c r="AR82" s="279">
        <f t="shared" ref="AR82" si="251">SUM(N82:N84)/SUM($G82:$G84)</f>
        <v>7.7700077700077709E-3</v>
      </c>
      <c r="AS82" s="129">
        <f t="shared" ref="AS82" si="252">SUM(O82:O84)/SUM($G82:$G84)</f>
        <v>0</v>
      </c>
      <c r="AT82" s="128">
        <f t="shared" ref="AT82" si="253">SUM(P82:P84)/SUM($G82:$G84)</f>
        <v>0</v>
      </c>
      <c r="AU82" s="129">
        <f t="shared" ref="AU82" si="254">SUM(Q82:Q84)/SUM($G82:$G84)</f>
        <v>0</v>
      </c>
      <c r="AV82" s="128">
        <f t="shared" ref="AV82" si="255">SUM(R82:R84)/SUM($G82:$G84)</f>
        <v>0</v>
      </c>
      <c r="AW82" s="280">
        <f t="shared" ref="AW82" si="256">SUM(S82:S84)/SUM($G82:$G84)</f>
        <v>0</v>
      </c>
      <c r="AX82" s="279">
        <f t="shared" ref="AX82" si="257">SUM(T82:T84)/SUM($G82:$G84)</f>
        <v>0</v>
      </c>
      <c r="AY82" s="129">
        <f t="shared" ref="AY82" si="258">SUM(U82:U84)/SUM($G82:$G84)</f>
        <v>0</v>
      </c>
      <c r="AZ82" s="279">
        <f t="shared" ref="AZ82" si="259">SUM(V82:V84)/SUM($G82:$G84)</f>
        <v>0</v>
      </c>
      <c r="BA82" s="130">
        <f t="shared" ref="BA82" si="260">SUM(W82:W84)/SUM($G82:$G84)</f>
        <v>0</v>
      </c>
      <c r="BB82" s="128">
        <f t="shared" ref="BB82" si="261">SUM(X82:X84)/SUM($G82:$G84)</f>
        <v>0</v>
      </c>
      <c r="BC82" s="130">
        <f t="shared" ref="BC82" si="262">SUM(Y82:Y84)/SUM($G82:$G84)</f>
        <v>0</v>
      </c>
      <c r="BD82" s="128">
        <f t="shared" ref="BD82" si="263">SUM(Z82:Z84)/SUM($G82:$G84)</f>
        <v>0</v>
      </c>
      <c r="BE82" s="280">
        <f t="shared" ref="BE82" si="264">SUM(AA82:AA84)/SUM($G82:$G84)</f>
        <v>0</v>
      </c>
      <c r="BG82" s="285">
        <f t="shared" ref="BG82" si="265">AL82*$AJ82</f>
        <v>16.761406235090451</v>
      </c>
      <c r="BH82" s="49">
        <f t="shared" ref="BH82" si="266">AM82*$AJ82</f>
        <v>41.903515587726126</v>
      </c>
      <c r="BI82" s="49">
        <f t="shared" ref="BI82" si="267">AN82*$AJ82</f>
        <v>0</v>
      </c>
      <c r="BJ82" s="49">
        <f t="shared" ref="BJ82" si="268">AO82*$AJ82</f>
        <v>0</v>
      </c>
      <c r="BK82" s="49">
        <f t="shared" ref="BK82" si="269">AP82*$AJ82</f>
        <v>4.1903515587726128</v>
      </c>
      <c r="BL82" s="286">
        <f t="shared" ref="BL82" si="270">AQ82*$AJ82</f>
        <v>0</v>
      </c>
      <c r="BM82" s="285">
        <f t="shared" ref="BM82" si="271">AR82*$AJ82</f>
        <v>4.1903515587726128</v>
      </c>
      <c r="BN82" s="49">
        <f t="shared" ref="BN82" si="272">AS82*$AJ82</f>
        <v>0</v>
      </c>
      <c r="BO82" s="49">
        <f t="shared" ref="BO82" si="273">AT82*$AJ82</f>
        <v>0</v>
      </c>
      <c r="BP82" s="49">
        <f t="shared" ref="BP82" si="274">AU82*$AJ82</f>
        <v>0</v>
      </c>
      <c r="BQ82" s="49">
        <f t="shared" ref="BQ82" si="275">AV82*$AJ82</f>
        <v>0</v>
      </c>
      <c r="BR82" s="286">
        <f t="shared" ref="BR82" si="276">AW82*$AJ82</f>
        <v>0</v>
      </c>
      <c r="BS82" s="285">
        <f t="shared" ref="BS82" si="277">AX82*$AJ82</f>
        <v>0</v>
      </c>
      <c r="BT82" s="20">
        <f t="shared" ref="BT82" si="278">AY82*$AJ82</f>
        <v>0</v>
      </c>
      <c r="BU82" s="285">
        <f t="shared" ref="BU82" si="279">AZ82*$AJ82</f>
        <v>0</v>
      </c>
      <c r="BV82" s="20">
        <f t="shared" ref="BV82" si="280">BA82*$AJ82</f>
        <v>0</v>
      </c>
      <c r="BW82" s="20">
        <f t="shared" ref="BW82" si="281">BB82*$AJ82</f>
        <v>0</v>
      </c>
      <c r="BX82" s="20">
        <f t="shared" ref="BX82" si="282">BC82*$AJ82</f>
        <v>0</v>
      </c>
      <c r="BY82" s="20">
        <f t="shared" ref="BY82" si="283">BD82*$AJ82</f>
        <v>0</v>
      </c>
      <c r="BZ82" s="249">
        <f t="shared" ref="BZ82" si="284">BE82*$AJ82</f>
        <v>0</v>
      </c>
    </row>
    <row r="83" spans="1:78" x14ac:dyDescent="0.25">
      <c r="A83" s="15">
        <v>32</v>
      </c>
      <c r="B83" s="402"/>
      <c r="C83" s="50">
        <v>45587</v>
      </c>
      <c r="D83" s="56" t="s">
        <v>39</v>
      </c>
      <c r="E83" s="34"/>
      <c r="F83" s="31"/>
      <c r="G83" s="273"/>
      <c r="H83" s="267"/>
      <c r="J83" s="45"/>
      <c r="K83" s="46"/>
      <c r="M83" s="52"/>
      <c r="N83" s="267"/>
      <c r="P83" s="45"/>
      <c r="R83" s="45"/>
      <c r="S83" s="52"/>
      <c r="V83" s="267"/>
      <c r="AA83" s="52"/>
      <c r="AB83" s="396"/>
      <c r="AC83" s="199"/>
      <c r="AD83" s="199">
        <v>2</v>
      </c>
      <c r="AE83" s="200"/>
      <c r="AF83" s="201"/>
      <c r="AG83" s="211">
        <v>11.5</v>
      </c>
      <c r="AH83" s="202"/>
      <c r="AI83" s="202"/>
      <c r="AJ83" s="203"/>
      <c r="AK83" s="172"/>
      <c r="AL83" s="281"/>
      <c r="AM83" s="48"/>
      <c r="AN83" s="47"/>
      <c r="AO83" s="48"/>
      <c r="AP83" s="47"/>
      <c r="AQ83" s="282"/>
      <c r="AR83" s="281"/>
      <c r="AS83" s="48"/>
      <c r="AT83" s="47"/>
      <c r="AU83" s="48"/>
      <c r="AV83" s="47"/>
      <c r="AW83" s="282"/>
      <c r="AX83" s="281"/>
      <c r="AY83" s="48"/>
      <c r="AZ83" s="281"/>
      <c r="BA83" s="51"/>
      <c r="BB83" s="47"/>
      <c r="BC83" s="51"/>
      <c r="BD83" s="47"/>
      <c r="BE83" s="282"/>
      <c r="BG83" s="285"/>
      <c r="BH83" s="49"/>
      <c r="BI83" s="49"/>
      <c r="BJ83" s="49"/>
      <c r="BK83" s="49"/>
      <c r="BL83" s="286"/>
      <c r="BM83" s="285"/>
      <c r="BN83" s="49"/>
      <c r="BO83" s="49"/>
      <c r="BP83" s="49"/>
      <c r="BQ83" s="49"/>
      <c r="BR83" s="286"/>
      <c r="BS83" s="285"/>
      <c r="BT83" s="20"/>
      <c r="BU83" s="285"/>
      <c r="BV83" s="20"/>
      <c r="BW83" s="20"/>
      <c r="BX83" s="20"/>
      <c r="BY83" s="20"/>
      <c r="BZ83" s="249"/>
    </row>
    <row r="84" spans="1:78" x14ac:dyDescent="0.25">
      <c r="A84" s="15">
        <v>33</v>
      </c>
      <c r="B84" s="402"/>
      <c r="C84" s="50">
        <v>44857</v>
      </c>
      <c r="D84" s="56" t="s">
        <v>39</v>
      </c>
      <c r="E84" s="34">
        <v>24</v>
      </c>
      <c r="F84" s="31">
        <v>24</v>
      </c>
      <c r="G84" s="376">
        <v>43.33</v>
      </c>
      <c r="H84" s="387">
        <v>2</v>
      </c>
      <c r="I84" s="388">
        <v>4</v>
      </c>
      <c r="J84" s="354"/>
      <c r="K84" s="1"/>
      <c r="L84" s="354">
        <v>1</v>
      </c>
      <c r="M84" s="355"/>
      <c r="N84" s="267"/>
      <c r="P84" s="45"/>
      <c r="R84" s="45"/>
      <c r="S84" s="52"/>
      <c r="V84" s="267"/>
      <c r="AA84" s="52"/>
      <c r="AB84" s="396"/>
      <c r="AC84">
        <v>24</v>
      </c>
      <c r="AD84">
        <v>2</v>
      </c>
      <c r="AE84" s="200"/>
      <c r="AF84" s="201"/>
      <c r="AG84" s="211">
        <v>11.4</v>
      </c>
      <c r="AH84" s="202"/>
      <c r="AI84" s="202"/>
      <c r="AJ84" s="203"/>
      <c r="AK84" s="172"/>
      <c r="AL84" s="281"/>
      <c r="AM84" s="48"/>
      <c r="AN84" s="47"/>
      <c r="AO84" s="48"/>
      <c r="AP84" s="47"/>
      <c r="AQ84" s="282"/>
      <c r="AR84" s="281"/>
      <c r="AS84" s="48"/>
      <c r="AT84" s="47"/>
      <c r="AU84" s="48"/>
      <c r="AV84" s="47"/>
      <c r="AW84" s="282"/>
      <c r="AX84" s="281"/>
      <c r="AY84" s="48"/>
      <c r="AZ84" s="281"/>
      <c r="BA84" s="51"/>
      <c r="BB84" s="47"/>
      <c r="BC84" s="51"/>
      <c r="BD84" s="47"/>
      <c r="BE84" s="282"/>
      <c r="BG84" s="285"/>
      <c r="BH84" s="49"/>
      <c r="BI84" s="49"/>
      <c r="BJ84" s="49"/>
      <c r="BK84" s="49"/>
      <c r="BL84" s="286"/>
      <c r="BM84" s="285"/>
      <c r="BN84" s="49"/>
      <c r="BO84" s="49"/>
      <c r="BP84" s="49"/>
      <c r="BQ84" s="49"/>
      <c r="BR84" s="286"/>
      <c r="BS84" s="285"/>
      <c r="BT84" s="20"/>
      <c r="BU84" s="285"/>
      <c r="BV84" s="20"/>
      <c r="BW84" s="20"/>
      <c r="BX84" s="20"/>
      <c r="BY84" s="20"/>
      <c r="BZ84" s="249"/>
    </row>
    <row r="85" spans="1:78" x14ac:dyDescent="0.25">
      <c r="A85" s="15">
        <v>34</v>
      </c>
      <c r="B85" s="402"/>
      <c r="C85" s="50">
        <v>45590</v>
      </c>
      <c r="D85" s="56" t="s">
        <v>40</v>
      </c>
      <c r="E85" s="374">
        <v>40</v>
      </c>
      <c r="F85" s="375">
        <v>40</v>
      </c>
      <c r="G85" s="389">
        <v>101</v>
      </c>
      <c r="H85" s="359"/>
      <c r="I85" s="356"/>
      <c r="J85" s="354"/>
      <c r="K85" s="1"/>
      <c r="L85" s="354"/>
      <c r="M85" s="355"/>
      <c r="N85" s="267"/>
      <c r="P85" s="45"/>
      <c r="R85" s="45"/>
      <c r="S85" s="52"/>
      <c r="V85" s="267"/>
      <c r="AA85" s="52"/>
      <c r="AB85" s="396">
        <f>(G85+G86)/(F85+F86)</f>
        <v>3.4</v>
      </c>
      <c r="AC85" s="399">
        <v>40</v>
      </c>
      <c r="AD85">
        <v>2</v>
      </c>
      <c r="AE85" s="200">
        <f>SUM(AC85:AC86)/SUM(AD85:AD86)</f>
        <v>18.75</v>
      </c>
      <c r="AF85" s="201"/>
      <c r="AG85" s="211">
        <v>11.3</v>
      </c>
      <c r="AH85" s="202">
        <f>AE85*AG85</f>
        <v>211.875</v>
      </c>
      <c r="AI85" s="203">
        <f t="shared" ref="AI85" si="285">AH85/AI$51</f>
        <v>223.0263157894737</v>
      </c>
      <c r="AJ85" s="203">
        <f>AI85*2</f>
        <v>446.0526315789474</v>
      </c>
      <c r="AK85" s="181">
        <f>SUM(F85:F86)/(SUM(G85:G86)/SUM(AJ85))</f>
        <v>131.19195046439629</v>
      </c>
      <c r="AL85" s="281">
        <f t="shared" ref="AL85" si="286">SUM(H85:H86)/SUM($G85:$G86)</f>
        <v>0</v>
      </c>
      <c r="AM85" s="48">
        <f t="shared" ref="AM85" si="287">SUM(I85:I86)/SUM($G85:$G86)</f>
        <v>0</v>
      </c>
      <c r="AN85" s="47">
        <f t="shared" ref="AN85" si="288">SUM(J85:J86)/SUM($G85:$G86)</f>
        <v>0</v>
      </c>
      <c r="AO85" s="48">
        <f t="shared" ref="AO85" si="289">SUM(K85:K86)/SUM($G85:$G86)</f>
        <v>0</v>
      </c>
      <c r="AP85" s="47">
        <f t="shared" ref="AP85" si="290">SUM(L85:L86)/SUM($G85:$G86)</f>
        <v>0</v>
      </c>
      <c r="AQ85" s="282">
        <f t="shared" ref="AQ85" si="291">SUM(M85:M86)/SUM($G85:$G86)</f>
        <v>0</v>
      </c>
      <c r="AR85" s="281">
        <f t="shared" ref="AR85" si="292">SUM(N85:N86)/SUM($G85:$G86)</f>
        <v>0</v>
      </c>
      <c r="AS85" s="48">
        <f t="shared" ref="AS85" si="293">SUM(O85:O86)/SUM($G85:$G86)</f>
        <v>0</v>
      </c>
      <c r="AT85" s="47">
        <f t="shared" ref="AT85" si="294">SUM(P85:P86)/SUM($G85:$G86)</f>
        <v>0</v>
      </c>
      <c r="AU85" s="48">
        <f t="shared" ref="AU85" si="295">SUM(Q85:Q86)/SUM($G85:$G86)</f>
        <v>0</v>
      </c>
      <c r="AV85" s="47">
        <f t="shared" ref="AV85" si="296">SUM(R85:R86)/SUM($G85:$G86)</f>
        <v>0</v>
      </c>
      <c r="AW85" s="282">
        <f t="shared" ref="AW85" si="297">SUM(S85:S86)/SUM($G85:$G86)</f>
        <v>0</v>
      </c>
      <c r="AX85" s="281">
        <f t="shared" ref="AX85" si="298">SUM(T85:T86)/SUM($G85:$G86)</f>
        <v>0</v>
      </c>
      <c r="AY85" s="48">
        <f t="shared" ref="AY85" si="299">SUM(U85:U86)/SUM($G85:$G86)</f>
        <v>0</v>
      </c>
      <c r="AZ85" s="281">
        <f t="shared" ref="AZ85" si="300">SUM(V85:V86)/SUM($G85:$G86)</f>
        <v>0</v>
      </c>
      <c r="BA85" s="51">
        <f t="shared" ref="BA85" si="301">SUM(W85:W86)/SUM($G85:$G86)</f>
        <v>0</v>
      </c>
      <c r="BB85" s="47">
        <f t="shared" ref="BB85" si="302">SUM(X85:X86)/SUM($G85:$G86)</f>
        <v>0</v>
      </c>
      <c r="BC85" s="51">
        <f t="shared" ref="BC85" si="303">SUM(Y85:Y86)/SUM($G85:$G86)</f>
        <v>0</v>
      </c>
      <c r="BD85" s="47">
        <f t="shared" ref="BD85" si="304">SUM(Z85:Z86)/SUM($G85:$G86)</f>
        <v>0</v>
      </c>
      <c r="BE85" s="282">
        <f t="shared" ref="BE85" si="305">SUM(AA85:AA86)/SUM($G85:$G86)</f>
        <v>0</v>
      </c>
      <c r="BG85" s="285">
        <f t="shared" ref="BG85" si="306">AL85*$AJ85</f>
        <v>0</v>
      </c>
      <c r="BH85" s="49">
        <f t="shared" ref="BH85" si="307">AM85*$AJ85</f>
        <v>0</v>
      </c>
      <c r="BI85" s="49">
        <f t="shared" ref="BI85" si="308">AN85*$AJ85</f>
        <v>0</v>
      </c>
      <c r="BJ85" s="49">
        <f t="shared" ref="BJ85" si="309">AO85*$AJ85</f>
        <v>0</v>
      </c>
      <c r="BK85" s="49">
        <f t="shared" ref="BK85" si="310">AP85*$AJ85</f>
        <v>0</v>
      </c>
      <c r="BL85" s="286">
        <f t="shared" ref="BL85" si="311">AQ85*$AJ85</f>
        <v>0</v>
      </c>
      <c r="BM85" s="285">
        <f t="shared" ref="BM85" si="312">AR85*$AJ85</f>
        <v>0</v>
      </c>
      <c r="BN85" s="49">
        <f t="shared" ref="BN85" si="313">AS85*$AJ85</f>
        <v>0</v>
      </c>
      <c r="BO85" s="49">
        <f t="shared" ref="BO85" si="314">AT85*$AJ85</f>
        <v>0</v>
      </c>
      <c r="BP85" s="49">
        <f t="shared" ref="BP85" si="315">AU85*$AJ85</f>
        <v>0</v>
      </c>
      <c r="BQ85" s="49">
        <f t="shared" ref="BQ85" si="316">AV85*$AJ85</f>
        <v>0</v>
      </c>
      <c r="BR85" s="286">
        <f t="shared" ref="BR85" si="317">AW85*$AJ85</f>
        <v>0</v>
      </c>
      <c r="BS85" s="285">
        <f t="shared" ref="BS85" si="318">AX85*$AJ85</f>
        <v>0</v>
      </c>
      <c r="BT85" s="20">
        <f t="shared" ref="BT85" si="319">AY85*$AJ85</f>
        <v>0</v>
      </c>
      <c r="BU85" s="285">
        <f t="shared" ref="BU85" si="320">AZ85*$AJ85</f>
        <v>0</v>
      </c>
      <c r="BV85" s="20">
        <f t="shared" ref="BV85" si="321">BA85*$AJ85</f>
        <v>0</v>
      </c>
      <c r="BW85" s="20">
        <f t="shared" ref="BW85" si="322">BB85*$AJ85</f>
        <v>0</v>
      </c>
      <c r="BX85" s="20">
        <f t="shared" ref="BX85" si="323">BC85*$AJ85</f>
        <v>0</v>
      </c>
      <c r="BY85" s="20">
        <f t="shared" ref="BY85" si="324">BD85*$AJ85</f>
        <v>0</v>
      </c>
      <c r="BZ85" s="249">
        <f t="shared" ref="BZ85" si="325">BE85*$AJ85</f>
        <v>0</v>
      </c>
    </row>
    <row r="86" spans="1:78" ht="16.5" thickBot="1" x14ac:dyDescent="0.3">
      <c r="A86" s="15">
        <v>35</v>
      </c>
      <c r="B86" s="403"/>
      <c r="C86" s="139">
        <v>45591</v>
      </c>
      <c r="D86" s="121" t="s">
        <v>40</v>
      </c>
      <c r="E86" s="383">
        <v>35</v>
      </c>
      <c r="F86" s="384">
        <v>35</v>
      </c>
      <c r="G86" s="390">
        <v>154</v>
      </c>
      <c r="H86" s="360"/>
      <c r="I86" s="357"/>
      <c r="J86" s="358"/>
      <c r="K86" s="357"/>
      <c r="L86" s="358"/>
      <c r="M86" s="363"/>
      <c r="N86" s="278"/>
      <c r="O86" s="124"/>
      <c r="P86" s="125"/>
      <c r="Q86" s="124"/>
      <c r="R86" s="125"/>
      <c r="S86" s="140"/>
      <c r="T86" s="124"/>
      <c r="U86" s="124"/>
      <c r="V86" s="278"/>
      <c r="W86" s="124"/>
      <c r="X86" s="124"/>
      <c r="Y86" s="124"/>
      <c r="Z86" s="124"/>
      <c r="AA86" s="140"/>
      <c r="AB86" s="370"/>
      <c r="AC86" s="400">
        <v>35</v>
      </c>
      <c r="AD86" s="395">
        <v>2</v>
      </c>
      <c r="AE86" s="206"/>
      <c r="AF86" s="207"/>
      <c r="AG86" s="212">
        <v>11.2</v>
      </c>
      <c r="AH86" s="208"/>
      <c r="AI86" s="208"/>
      <c r="AJ86" s="209"/>
      <c r="AK86" s="173"/>
      <c r="AL86" s="283"/>
      <c r="AM86" s="132"/>
      <c r="AN86" s="131"/>
      <c r="AO86" s="132"/>
      <c r="AP86" s="131"/>
      <c r="AQ86" s="284"/>
      <c r="AR86" s="283"/>
      <c r="AS86" s="132"/>
      <c r="AT86" s="131"/>
      <c r="AU86" s="132"/>
      <c r="AV86" s="131"/>
      <c r="AW86" s="284"/>
      <c r="AX86" s="283"/>
      <c r="AY86" s="132"/>
      <c r="AZ86" s="283"/>
      <c r="BA86" s="133"/>
      <c r="BB86" s="131"/>
      <c r="BC86" s="133"/>
      <c r="BD86" s="131"/>
      <c r="BE86" s="284"/>
      <c r="BG86" s="287"/>
      <c r="BH86" s="64"/>
      <c r="BI86" s="64"/>
      <c r="BJ86" s="64"/>
      <c r="BK86" s="64"/>
      <c r="BL86" s="288"/>
      <c r="BM86" s="287"/>
      <c r="BN86" s="64"/>
      <c r="BO86" s="64"/>
      <c r="BP86" s="64"/>
      <c r="BQ86" s="64"/>
      <c r="BR86" s="288"/>
      <c r="BS86" s="287"/>
      <c r="BT86" s="127"/>
      <c r="BU86" s="287"/>
      <c r="BV86" s="127"/>
      <c r="BW86" s="127"/>
      <c r="BX86" s="127"/>
      <c r="BY86" s="127"/>
      <c r="BZ86" s="289"/>
    </row>
    <row r="87" spans="1:78" ht="15.75" customHeight="1" x14ac:dyDescent="0.25">
      <c r="A87" s="15">
        <v>36</v>
      </c>
      <c r="B87" s="401" t="str">
        <f>C15</f>
        <v>Oct 27-Nov 2</v>
      </c>
      <c r="C87" s="120">
        <v>45592</v>
      </c>
      <c r="D87" s="55" t="s">
        <v>39</v>
      </c>
      <c r="E87" s="34">
        <v>20</v>
      </c>
      <c r="F87" s="377">
        <v>20</v>
      </c>
      <c r="G87" s="378">
        <v>53.31</v>
      </c>
      <c r="H87" s="365"/>
      <c r="I87" s="361">
        <v>6</v>
      </c>
      <c r="J87" s="362"/>
      <c r="K87" s="361"/>
      <c r="L87" s="362">
        <v>3</v>
      </c>
      <c r="M87" s="364"/>
      <c r="N87" s="1"/>
      <c r="O87" s="1">
        <v>1</v>
      </c>
      <c r="P87" s="354"/>
      <c r="Q87" s="1"/>
      <c r="R87" s="354"/>
      <c r="S87" s="355"/>
      <c r="T87" s="40"/>
      <c r="U87" s="40"/>
      <c r="V87" s="277"/>
      <c r="W87" s="40"/>
      <c r="X87" s="40"/>
      <c r="Y87" s="40"/>
      <c r="Z87" s="40"/>
      <c r="AA87" s="58"/>
      <c r="AB87" s="396">
        <f>SUM(G87:G89)/SUM(F87:F89)</f>
        <v>1.6233823529411764</v>
      </c>
      <c r="AC87">
        <v>20</v>
      </c>
      <c r="AD87">
        <v>2</v>
      </c>
      <c r="AE87" s="195">
        <f>SUM(AC87:AC89)/SUM(AD87:AD89)</f>
        <v>11.333333333333334</v>
      </c>
      <c r="AF87" s="194"/>
      <c r="AG87" s="210">
        <v>11.2</v>
      </c>
      <c r="AH87" s="196">
        <f>AE87*AG87</f>
        <v>126.93333333333334</v>
      </c>
      <c r="AI87" s="197">
        <f t="shared" ref="AI87" si="326">AH87/AI$51</f>
        <v>133.61403508771932</v>
      </c>
      <c r="AJ87" s="197">
        <f>AI87*5</f>
        <v>668.07017543859661</v>
      </c>
      <c r="AK87" s="181">
        <f>SUM(F87:F89)/(SUM(G87:G89)/SUM(AJ87))</f>
        <v>411.52977561214391</v>
      </c>
      <c r="AL87" s="279">
        <f t="shared" ref="AL87" si="327">SUM(H87:H89)/SUM($G87:$G89)</f>
        <v>9.058791557206269E-3</v>
      </c>
      <c r="AM87" s="129">
        <f t="shared" ref="AM87" si="328">SUM(I87:I89)/SUM($G87:$G89)</f>
        <v>8.1529124014856416E-2</v>
      </c>
      <c r="AN87" s="128">
        <f t="shared" ref="AN87" si="329">SUM(J87:J89)/SUM($G87:$G89)</f>
        <v>0</v>
      </c>
      <c r="AO87" s="129">
        <f t="shared" ref="AO87" si="330">SUM(K87:K89)/SUM($G87:$G89)</f>
        <v>0</v>
      </c>
      <c r="AP87" s="128">
        <f t="shared" ref="AP87" si="331">SUM(L87:L89)/SUM($G87:$G89)</f>
        <v>4.529395778603134E-2</v>
      </c>
      <c r="AQ87" s="280">
        <f t="shared" ref="AQ87" si="332">SUM(M87:M89)/SUM($G87:$G89)</f>
        <v>0</v>
      </c>
      <c r="AR87" s="279">
        <f t="shared" ref="AR87" si="333">SUM(N87:N89)/SUM($G87:$G89)</f>
        <v>0</v>
      </c>
      <c r="AS87" s="129">
        <f t="shared" ref="AS87" si="334">SUM(O87:O89)/SUM($G87:$G89)</f>
        <v>2.7176374671618805E-2</v>
      </c>
      <c r="AT87" s="128">
        <f t="shared" ref="AT87" si="335">SUM(P87:P89)/SUM($G87:$G89)</f>
        <v>0</v>
      </c>
      <c r="AU87" s="129">
        <f t="shared" ref="AU87" si="336">SUM(Q87:Q89)/SUM($G87:$G89)</f>
        <v>0</v>
      </c>
      <c r="AV87" s="128">
        <f t="shared" ref="AV87" si="337">SUM(R87:R89)/SUM($G87:$G89)</f>
        <v>0</v>
      </c>
      <c r="AW87" s="280">
        <f t="shared" ref="AW87" si="338">SUM(S87:S89)/SUM($G87:$G89)</f>
        <v>0</v>
      </c>
      <c r="AX87" s="279">
        <f t="shared" ref="AX87" si="339">SUM(T87:T89)/SUM($G87:$G89)</f>
        <v>0</v>
      </c>
      <c r="AY87" s="129">
        <f t="shared" ref="AY87" si="340">SUM(U87:U89)/SUM($G87:$G89)</f>
        <v>0</v>
      </c>
      <c r="AZ87" s="279">
        <f t="shared" ref="AZ87" si="341">SUM(V87:V89)/SUM($G87:$G89)</f>
        <v>0</v>
      </c>
      <c r="BA87" s="130">
        <f t="shared" ref="BA87" si="342">SUM(W87:W89)/SUM($G87:$G89)</f>
        <v>9.058791557206269E-3</v>
      </c>
      <c r="BB87" s="128">
        <f t="shared" ref="BB87" si="343">SUM(X87:X89)/SUM($G87:$G89)</f>
        <v>0</v>
      </c>
      <c r="BC87" s="130">
        <f t="shared" ref="BC87" si="344">SUM(Y87:Y89)/SUM($G87:$G89)</f>
        <v>0</v>
      </c>
      <c r="BD87" s="128">
        <f t="shared" ref="BD87" si="345">SUM(Z87:Z89)/SUM($G87:$G89)</f>
        <v>0</v>
      </c>
      <c r="BE87" s="280">
        <f t="shared" ref="BE87" si="346">SUM(AA87:AA89)/SUM($G87:$G89)</f>
        <v>0</v>
      </c>
      <c r="BG87" s="285">
        <f t="shared" ref="BG87" si="347">AL87*$AJ87</f>
        <v>6.0519084648844697</v>
      </c>
      <c r="BH87" s="49">
        <f t="shared" ref="BH87" si="348">AM87*$AJ87</f>
        <v>54.467176183960227</v>
      </c>
      <c r="BI87" s="49">
        <f t="shared" ref="BI87" si="349">AN87*$AJ87</f>
        <v>0</v>
      </c>
      <c r="BJ87" s="49">
        <f t="shared" ref="BJ87" si="350">AO87*$AJ87</f>
        <v>0</v>
      </c>
      <c r="BK87" s="49">
        <f t="shared" ref="BK87" si="351">AP87*$AJ87</f>
        <v>30.259542324422345</v>
      </c>
      <c r="BL87" s="286">
        <f t="shared" ref="BL87" si="352">AQ87*$AJ87</f>
        <v>0</v>
      </c>
      <c r="BM87" s="285">
        <f t="shared" ref="BM87" si="353">AR87*$AJ87</f>
        <v>0</v>
      </c>
      <c r="BN87" s="49">
        <f t="shared" ref="BN87" si="354">AS87*$AJ87</f>
        <v>18.155725394653409</v>
      </c>
      <c r="BO87" s="49">
        <f t="shared" ref="BO87" si="355">AT87*$AJ87</f>
        <v>0</v>
      </c>
      <c r="BP87" s="49">
        <f t="shared" ref="BP87" si="356">AU87*$AJ87</f>
        <v>0</v>
      </c>
      <c r="BQ87" s="49">
        <f t="shared" ref="BQ87" si="357">AV87*$AJ87</f>
        <v>0</v>
      </c>
      <c r="BR87" s="286">
        <f t="shared" ref="BR87" si="358">AW87*$AJ87</f>
        <v>0</v>
      </c>
      <c r="BS87" s="285">
        <f t="shared" ref="BS87" si="359">AX87*$AJ87</f>
        <v>0</v>
      </c>
      <c r="BT87" s="20">
        <f t="shared" ref="BT87" si="360">AY87*$AJ87</f>
        <v>0</v>
      </c>
      <c r="BU87" s="285">
        <f t="shared" ref="BU87" si="361">AZ87*$AJ87</f>
        <v>0</v>
      </c>
      <c r="BV87" s="20">
        <f t="shared" ref="BV87" si="362">BA87*$AJ87</f>
        <v>6.0519084648844697</v>
      </c>
      <c r="BW87" s="20">
        <f t="shared" ref="BW87" si="363">BB87*$AJ87</f>
        <v>0</v>
      </c>
      <c r="BX87" s="20">
        <f t="shared" ref="BX87" si="364">BC87*$AJ87</f>
        <v>0</v>
      </c>
      <c r="BY87" s="20">
        <f t="shared" ref="BY87" si="365">BD87*$AJ87</f>
        <v>0</v>
      </c>
      <c r="BZ87" s="249">
        <f t="shared" ref="BZ87" si="366">BE87*$AJ87</f>
        <v>0</v>
      </c>
    </row>
    <row r="88" spans="1:78" x14ac:dyDescent="0.25">
      <c r="A88" s="15">
        <v>37</v>
      </c>
      <c r="B88" s="402"/>
      <c r="C88" s="50">
        <v>45593</v>
      </c>
      <c r="D88" s="56" t="s">
        <v>39</v>
      </c>
      <c r="E88" s="34">
        <v>26</v>
      </c>
      <c r="F88" s="377">
        <v>26</v>
      </c>
      <c r="G88" s="376">
        <v>57.08</v>
      </c>
      <c r="H88" s="359"/>
      <c r="I88" s="356"/>
      <c r="J88" s="354"/>
      <c r="K88" s="1"/>
      <c r="L88" s="354"/>
      <c r="M88" s="355"/>
      <c r="N88" s="1"/>
      <c r="O88" s="1"/>
      <c r="P88" s="354"/>
      <c r="Q88" s="1"/>
      <c r="R88" s="354"/>
      <c r="S88" s="355"/>
      <c r="V88" s="267"/>
      <c r="AA88" s="52"/>
      <c r="AB88" s="396"/>
      <c r="AC88">
        <v>26</v>
      </c>
      <c r="AD88">
        <v>2</v>
      </c>
      <c r="AE88" s="200"/>
      <c r="AF88" s="201"/>
      <c r="AG88" s="211">
        <v>11.1</v>
      </c>
      <c r="AH88" s="202"/>
      <c r="AI88" s="202"/>
      <c r="AJ88" s="203"/>
      <c r="AK88" s="172"/>
      <c r="AL88" s="281"/>
      <c r="AM88" s="48"/>
      <c r="AN88" s="47"/>
      <c r="AO88" s="48"/>
      <c r="AP88" s="47"/>
      <c r="AQ88" s="282"/>
      <c r="AR88" s="281"/>
      <c r="AS88" s="48"/>
      <c r="AT88" s="47"/>
      <c r="AU88" s="48"/>
      <c r="AV88" s="47"/>
      <c r="AW88" s="282"/>
      <c r="AX88" s="281"/>
      <c r="AY88" s="48"/>
      <c r="AZ88" s="281"/>
      <c r="BA88" s="51"/>
      <c r="BB88" s="47"/>
      <c r="BC88" s="51"/>
      <c r="BD88" s="47"/>
      <c r="BE88" s="282"/>
      <c r="BG88" s="285"/>
      <c r="BH88" s="49"/>
      <c r="BI88" s="49"/>
      <c r="BJ88" s="49"/>
      <c r="BK88" s="49"/>
      <c r="BL88" s="286"/>
      <c r="BM88" s="285"/>
      <c r="BN88" s="49"/>
      <c r="BO88" s="49"/>
      <c r="BP88" s="49"/>
      <c r="BQ88" s="49"/>
      <c r="BR88" s="286"/>
      <c r="BS88" s="285"/>
      <c r="BT88" s="20"/>
      <c r="BU88" s="285"/>
      <c r="BV88" s="20"/>
      <c r="BW88" s="20"/>
      <c r="BX88" s="20"/>
      <c r="BY88" s="20"/>
      <c r="BZ88" s="249"/>
    </row>
    <row r="89" spans="1:78" x14ac:dyDescent="0.25">
      <c r="A89" s="15">
        <v>38</v>
      </c>
      <c r="B89" s="402"/>
      <c r="C89" s="50">
        <v>45594</v>
      </c>
      <c r="D89" s="56" t="s">
        <v>39</v>
      </c>
      <c r="E89" s="374">
        <v>22</v>
      </c>
      <c r="F89" s="385">
        <v>22</v>
      </c>
      <c r="G89" s="376"/>
      <c r="H89" s="359">
        <v>1</v>
      </c>
      <c r="I89" s="356">
        <v>3</v>
      </c>
      <c r="J89" s="354"/>
      <c r="K89" s="1"/>
      <c r="L89" s="354">
        <v>2</v>
      </c>
      <c r="M89" s="355"/>
      <c r="N89" s="1"/>
      <c r="O89" s="1">
        <v>2</v>
      </c>
      <c r="P89" s="354"/>
      <c r="Q89" s="1"/>
      <c r="R89" s="354"/>
      <c r="S89" s="355"/>
      <c r="V89" s="267"/>
      <c r="W89" s="15">
        <v>1</v>
      </c>
      <c r="AA89" s="52"/>
      <c r="AB89" s="396"/>
      <c r="AC89" s="399">
        <v>22</v>
      </c>
      <c r="AD89">
        <v>2</v>
      </c>
      <c r="AE89" s="200"/>
      <c r="AF89" s="201"/>
      <c r="AG89" s="211">
        <v>11.1</v>
      </c>
      <c r="AH89" s="202"/>
      <c r="AI89" s="202"/>
      <c r="AJ89" s="203"/>
      <c r="AK89" s="172"/>
      <c r="AL89" s="281"/>
      <c r="AM89" s="48"/>
      <c r="AN89" s="47"/>
      <c r="AO89" s="48"/>
      <c r="AP89" s="47"/>
      <c r="AQ89" s="282"/>
      <c r="AR89" s="281"/>
      <c r="AS89" s="48"/>
      <c r="AT89" s="47"/>
      <c r="AU89" s="48"/>
      <c r="AV89" s="47"/>
      <c r="AW89" s="282"/>
      <c r="AX89" s="281"/>
      <c r="AY89" s="48"/>
      <c r="AZ89" s="281"/>
      <c r="BA89" s="51"/>
      <c r="BB89" s="47"/>
      <c r="BC89" s="51"/>
      <c r="BD89" s="47"/>
      <c r="BE89" s="282"/>
      <c r="BG89" s="285"/>
      <c r="BH89" s="49"/>
      <c r="BI89" s="49"/>
      <c r="BJ89" s="49"/>
      <c r="BK89" s="49"/>
      <c r="BL89" s="286"/>
      <c r="BM89" s="285"/>
      <c r="BN89" s="49"/>
      <c r="BO89" s="49"/>
      <c r="BP89" s="49"/>
      <c r="BQ89" s="49"/>
      <c r="BR89" s="286"/>
      <c r="BS89" s="285"/>
      <c r="BT89" s="20"/>
      <c r="BU89" s="285"/>
      <c r="BV89" s="20"/>
      <c r="BW89" s="20"/>
      <c r="BX89" s="20"/>
      <c r="BY89" s="20"/>
      <c r="BZ89" s="249"/>
    </row>
    <row r="90" spans="1:78" x14ac:dyDescent="0.25">
      <c r="A90" s="15">
        <v>39</v>
      </c>
      <c r="B90" s="402"/>
      <c r="C90" s="50">
        <v>45595</v>
      </c>
      <c r="D90" s="56" t="s">
        <v>40</v>
      </c>
      <c r="E90" s="34">
        <v>23</v>
      </c>
      <c r="F90" s="377">
        <v>23</v>
      </c>
      <c r="G90" s="376">
        <v>47.91</v>
      </c>
      <c r="H90" s="359">
        <v>2</v>
      </c>
      <c r="I90" s="356">
        <v>2</v>
      </c>
      <c r="J90" s="354"/>
      <c r="K90" s="1"/>
      <c r="L90" s="354">
        <v>2</v>
      </c>
      <c r="M90" s="355"/>
      <c r="N90" s="1"/>
      <c r="O90" s="1">
        <v>2</v>
      </c>
      <c r="P90" s="354"/>
      <c r="Q90" s="1"/>
      <c r="R90" s="354"/>
      <c r="S90" s="355"/>
      <c r="V90" s="267"/>
      <c r="AA90" s="52"/>
      <c r="AB90" s="396">
        <f>(G90+G91)/(F90+F91)</f>
        <v>2.3202325581395349</v>
      </c>
      <c r="AC90">
        <v>23</v>
      </c>
      <c r="AD90">
        <v>2</v>
      </c>
      <c r="AE90" s="200">
        <f>SUM(AC90:AC91)/SUM(AD90:AD91)</f>
        <v>10.75</v>
      </c>
      <c r="AF90" s="201"/>
      <c r="AG90" s="211">
        <v>11</v>
      </c>
      <c r="AH90" s="202">
        <f>AE90*AG90</f>
        <v>118.25</v>
      </c>
      <c r="AI90" s="203">
        <f t="shared" ref="AI90" si="367">AH90/AI$51</f>
        <v>124.47368421052632</v>
      </c>
      <c r="AJ90" s="203">
        <f>AI90*2</f>
        <v>248.94736842105263</v>
      </c>
      <c r="AK90" s="181">
        <f>SUM(F90:F91)/(SUM(G90:G91)/SUM(AJ90))</f>
        <v>107.29414495444787</v>
      </c>
      <c r="AL90" s="281">
        <f t="shared" ref="AL90" si="368">SUM(H90:H91)/SUM($G90:$G91)</f>
        <v>2.0046106043900974E-2</v>
      </c>
      <c r="AM90" s="48">
        <f t="shared" ref="AM90" si="369">SUM(I90:I91)/SUM($G90:$G91)</f>
        <v>3.0069159065851461E-2</v>
      </c>
      <c r="AN90" s="47">
        <f t="shared" ref="AN90" si="370">SUM(J90:J91)/SUM($G90:$G91)</f>
        <v>0</v>
      </c>
      <c r="AO90" s="48">
        <f t="shared" ref="AO90" si="371">SUM(K90:K91)/SUM($G90:$G91)</f>
        <v>0</v>
      </c>
      <c r="AP90" s="47">
        <f t="shared" ref="AP90" si="372">SUM(L90:L91)/SUM($G90:$G91)</f>
        <v>3.0069159065851461E-2</v>
      </c>
      <c r="AQ90" s="282">
        <f t="shared" ref="AQ90" si="373">SUM(M90:M91)/SUM($G90:$G91)</f>
        <v>0</v>
      </c>
      <c r="AR90" s="281">
        <f t="shared" ref="AR90" si="374">SUM(N90:N91)/SUM($G90:$G91)</f>
        <v>0</v>
      </c>
      <c r="AS90" s="48">
        <f t="shared" ref="AS90" si="375">SUM(O90:O91)/SUM($G90:$G91)</f>
        <v>7.016137115365341E-2</v>
      </c>
      <c r="AT90" s="47">
        <f t="shared" ref="AT90" si="376">SUM(P90:P91)/SUM($G90:$G91)</f>
        <v>0</v>
      </c>
      <c r="AU90" s="48">
        <f t="shared" ref="AU90" si="377">SUM(Q90:Q91)/SUM($G90:$G91)</f>
        <v>0</v>
      </c>
      <c r="AV90" s="47">
        <f t="shared" ref="AV90" si="378">SUM(R90:R91)/SUM($G90:$G91)</f>
        <v>0</v>
      </c>
      <c r="AW90" s="282">
        <f t="shared" ref="AW90" si="379">SUM(S90:S91)/SUM($G90:$G91)</f>
        <v>0</v>
      </c>
      <c r="AX90" s="281">
        <f t="shared" ref="AX90" si="380">SUM(T90:T91)/SUM($G90:$G91)</f>
        <v>0</v>
      </c>
      <c r="AY90" s="48">
        <f t="shared" ref="AY90" si="381">SUM(U90:U91)/SUM($G90:$G91)</f>
        <v>0</v>
      </c>
      <c r="AZ90" s="281">
        <f t="shared" ref="AZ90" si="382">SUM(V90:V91)/SUM($G90:$G91)</f>
        <v>0</v>
      </c>
      <c r="BA90" s="51">
        <f t="shared" ref="BA90" si="383">SUM(W90:W91)/SUM($G90:$G91)</f>
        <v>0</v>
      </c>
      <c r="BB90" s="47">
        <f t="shared" ref="BB90" si="384">SUM(X90:X91)/SUM($G90:$G91)</f>
        <v>0</v>
      </c>
      <c r="BC90" s="51">
        <f t="shared" ref="BC90" si="385">SUM(Y90:Y91)/SUM($G90:$G91)</f>
        <v>0</v>
      </c>
      <c r="BD90" s="47">
        <f t="shared" ref="BD90" si="386">SUM(Z90:Z91)/SUM($G90:$G91)</f>
        <v>0</v>
      </c>
      <c r="BE90" s="282">
        <f t="shared" ref="BE90" si="387">SUM(AA90:AA91)/SUM($G90:$G91)</f>
        <v>0</v>
      </c>
      <c r="BG90" s="285">
        <f t="shared" ref="BG90" si="388">AL90*$AJ90</f>
        <v>4.9904253467185056</v>
      </c>
      <c r="BH90" s="49">
        <f t="shared" ref="BH90" si="389">AM90*$AJ90</f>
        <v>7.4856380200777588</v>
      </c>
      <c r="BI90" s="49">
        <f t="shared" ref="BI90" si="390">AN90*$AJ90</f>
        <v>0</v>
      </c>
      <c r="BJ90" s="49">
        <f t="shared" ref="BJ90" si="391">AO90*$AJ90</f>
        <v>0</v>
      </c>
      <c r="BK90" s="49">
        <f t="shared" ref="BK90" si="392">AP90*$AJ90</f>
        <v>7.4856380200777588</v>
      </c>
      <c r="BL90" s="286">
        <f t="shared" ref="BL90" si="393">AQ90*$AJ90</f>
        <v>0</v>
      </c>
      <c r="BM90" s="285">
        <f t="shared" ref="BM90" si="394">AR90*$AJ90</f>
        <v>0</v>
      </c>
      <c r="BN90" s="49">
        <f t="shared" ref="BN90" si="395">AS90*$AJ90</f>
        <v>17.466488713514771</v>
      </c>
      <c r="BO90" s="49">
        <f t="shared" ref="BO90" si="396">AT90*$AJ90</f>
        <v>0</v>
      </c>
      <c r="BP90" s="49">
        <f t="shared" ref="BP90" si="397">AU90*$AJ90</f>
        <v>0</v>
      </c>
      <c r="BQ90" s="49">
        <f t="shared" ref="BQ90" si="398">AV90*$AJ90</f>
        <v>0</v>
      </c>
      <c r="BR90" s="286">
        <f t="shared" ref="BR90" si="399">AW90*$AJ90</f>
        <v>0</v>
      </c>
      <c r="BS90" s="285">
        <f t="shared" ref="BS90" si="400">AX90*$AJ90</f>
        <v>0</v>
      </c>
      <c r="BT90" s="20">
        <f t="shared" ref="BT90" si="401">AY90*$AJ90</f>
        <v>0</v>
      </c>
      <c r="BU90" s="285">
        <f t="shared" ref="BU90" si="402">AZ90*$AJ90</f>
        <v>0</v>
      </c>
      <c r="BV90" s="20">
        <f t="shared" ref="BV90" si="403">BA90*$AJ90</f>
        <v>0</v>
      </c>
      <c r="BW90" s="20">
        <f t="shared" ref="BW90" si="404">BB90*$AJ90</f>
        <v>0</v>
      </c>
      <c r="BX90" s="20">
        <f t="shared" ref="BX90" si="405">BC90*$AJ90</f>
        <v>0</v>
      </c>
      <c r="BY90" s="20">
        <f t="shared" ref="BY90" si="406">BD90*$AJ90</f>
        <v>0</v>
      </c>
      <c r="BZ90" s="249">
        <f t="shared" ref="BZ90" si="407">BE90*$AJ90</f>
        <v>0</v>
      </c>
    </row>
    <row r="91" spans="1:78" ht="16.5" thickBot="1" x14ac:dyDescent="0.3">
      <c r="A91" s="15">
        <v>40</v>
      </c>
      <c r="B91" s="403"/>
      <c r="C91" s="141">
        <v>45596</v>
      </c>
      <c r="D91" s="142" t="s">
        <v>40</v>
      </c>
      <c r="E91" s="213">
        <v>20</v>
      </c>
      <c r="F91" s="379">
        <v>20</v>
      </c>
      <c r="G91" s="380">
        <v>51.86</v>
      </c>
      <c r="H91" s="360"/>
      <c r="I91" s="357">
        <v>1</v>
      </c>
      <c r="J91" s="358"/>
      <c r="K91" s="369"/>
      <c r="L91" s="358">
        <v>1</v>
      </c>
      <c r="M91" s="363"/>
      <c r="N91" s="369"/>
      <c r="O91" s="369">
        <v>5</v>
      </c>
      <c r="P91" s="358"/>
      <c r="Q91" s="369"/>
      <c r="R91" s="358"/>
      <c r="S91" s="363"/>
      <c r="T91" s="124"/>
      <c r="U91" s="124"/>
      <c r="V91" s="278"/>
      <c r="W91" s="124"/>
      <c r="X91" s="124"/>
      <c r="Y91" s="124"/>
      <c r="Z91" s="124"/>
      <c r="AA91" s="140"/>
      <c r="AB91" s="370"/>
      <c r="AC91" s="395">
        <v>20</v>
      </c>
      <c r="AD91" s="395">
        <v>2</v>
      </c>
      <c r="AE91" s="206"/>
      <c r="AF91" s="207"/>
      <c r="AG91" s="212">
        <v>11</v>
      </c>
      <c r="AH91" s="208"/>
      <c r="AI91" s="208"/>
      <c r="AJ91" s="209"/>
      <c r="AK91" s="173"/>
      <c r="AL91" s="283"/>
      <c r="AM91" s="132"/>
      <c r="AN91" s="131"/>
      <c r="AO91" s="132"/>
      <c r="AP91" s="131"/>
      <c r="AQ91" s="284"/>
      <c r="AR91" s="283"/>
      <c r="AS91" s="132"/>
      <c r="AT91" s="131"/>
      <c r="AU91" s="132"/>
      <c r="AV91" s="131"/>
      <c r="AW91" s="284"/>
      <c r="AX91" s="283"/>
      <c r="AY91" s="132"/>
      <c r="AZ91" s="283"/>
      <c r="BA91" s="133"/>
      <c r="BB91" s="131"/>
      <c r="BC91" s="133"/>
      <c r="BD91" s="131"/>
      <c r="BE91" s="284"/>
      <c r="BG91" s="287"/>
      <c r="BH91" s="64"/>
      <c r="BI91" s="64"/>
      <c r="BJ91" s="64"/>
      <c r="BK91" s="64"/>
      <c r="BL91" s="288"/>
      <c r="BM91" s="287"/>
      <c r="BN91" s="64"/>
      <c r="BO91" s="64"/>
      <c r="BP91" s="64"/>
      <c r="BQ91" s="64"/>
      <c r="BR91" s="288"/>
      <c r="BS91" s="287"/>
      <c r="BT91" s="127"/>
      <c r="BU91" s="287"/>
      <c r="BV91" s="127"/>
      <c r="BW91" s="127"/>
      <c r="BX91" s="127"/>
      <c r="BY91" s="127"/>
      <c r="BZ91" s="289"/>
    </row>
    <row r="92" spans="1:78" x14ac:dyDescent="0.25">
      <c r="B92" s="404" t="str">
        <f>C44</f>
        <v>Nov 3-9</v>
      </c>
      <c r="C92" s="50">
        <v>45602</v>
      </c>
      <c r="D92" s="56" t="s">
        <v>39</v>
      </c>
      <c r="E92" s="34"/>
      <c r="F92" s="381"/>
      <c r="G92" s="273"/>
      <c r="H92" s="359"/>
      <c r="I92" s="1"/>
      <c r="J92" s="354"/>
      <c r="K92" s="361"/>
      <c r="L92" s="1"/>
      <c r="M92" s="355"/>
      <c r="N92" s="1"/>
      <c r="O92" s="1"/>
      <c r="P92" s="354"/>
      <c r="Q92" s="1"/>
      <c r="R92" s="354"/>
      <c r="S92" s="355"/>
      <c r="V92" s="267"/>
      <c r="AA92" s="52"/>
      <c r="AB92" s="396" t="e">
        <f>SUM(G92:G94)/SUM(F92:F94)</f>
        <v>#DIV/0!</v>
      </c>
      <c r="AC92"/>
      <c r="AD92">
        <v>2</v>
      </c>
      <c r="AE92" s="195">
        <f>SUM(AC92:AC94)/SUM(AD92:AD94)</f>
        <v>0</v>
      </c>
      <c r="AF92" s="201"/>
      <c r="AG92" s="211"/>
      <c r="AH92" s="196">
        <f>AE92*AG92</f>
        <v>0</v>
      </c>
      <c r="AI92" s="197">
        <f t="shared" ref="AI92" si="408">AH92/AI$51</f>
        <v>0</v>
      </c>
      <c r="AJ92" s="197">
        <f>AI92*5</f>
        <v>0</v>
      </c>
      <c r="AK92" s="181" t="e">
        <f>SUM(F92:F94)/(SUM(G92:G94)/SUM(AJ92))</f>
        <v>#DIV/0!</v>
      </c>
      <c r="AL92" s="279" t="e">
        <f t="shared" ref="AL92" si="409">SUM(H92:H94)/SUM($G92:$G94)</f>
        <v>#DIV/0!</v>
      </c>
      <c r="AM92" s="129" t="e">
        <f t="shared" ref="AM92" si="410">SUM(I92:I94)/SUM($G92:$G94)</f>
        <v>#DIV/0!</v>
      </c>
      <c r="AN92" s="128" t="e">
        <f t="shared" ref="AN92" si="411">SUM(J92:J94)/SUM($G92:$G94)</f>
        <v>#DIV/0!</v>
      </c>
      <c r="AO92" s="129" t="e">
        <f t="shared" ref="AO92" si="412">SUM(K92:K94)/SUM($G92:$G94)</f>
        <v>#DIV/0!</v>
      </c>
      <c r="AP92" s="128" t="e">
        <f t="shared" ref="AP92" si="413">SUM(L92:L94)/SUM($G92:$G94)</f>
        <v>#DIV/0!</v>
      </c>
      <c r="AQ92" s="280" t="e">
        <f t="shared" ref="AQ92" si="414">SUM(M92:M94)/SUM($G92:$G94)</f>
        <v>#DIV/0!</v>
      </c>
      <c r="AR92" s="279" t="e">
        <f t="shared" ref="AR92" si="415">SUM(N92:N94)/SUM($G92:$G94)</f>
        <v>#DIV/0!</v>
      </c>
      <c r="AS92" s="129" t="e">
        <f t="shared" ref="AS92" si="416">SUM(O92:O94)/SUM($G92:$G94)</f>
        <v>#DIV/0!</v>
      </c>
      <c r="AT92" s="128" t="e">
        <f t="shared" ref="AT92" si="417">SUM(P92:P94)/SUM($G92:$G94)</f>
        <v>#DIV/0!</v>
      </c>
      <c r="AU92" s="129" t="e">
        <f t="shared" ref="AU92" si="418">SUM(Q92:Q94)/SUM($G92:$G94)</f>
        <v>#DIV/0!</v>
      </c>
      <c r="AV92" s="128" t="e">
        <f t="shared" ref="AV92" si="419">SUM(R92:R94)/SUM($G92:$G94)</f>
        <v>#DIV/0!</v>
      </c>
      <c r="AW92" s="280" t="e">
        <f t="shared" ref="AW92" si="420">SUM(S92:S94)/SUM($G92:$G94)</f>
        <v>#DIV/0!</v>
      </c>
      <c r="AX92" s="279" t="e">
        <f t="shared" ref="AX92" si="421">SUM(T92:T94)/SUM($G92:$G94)</f>
        <v>#DIV/0!</v>
      </c>
      <c r="AY92" s="129" t="e">
        <f t="shared" ref="AY92" si="422">SUM(U92:U94)/SUM($G92:$G94)</f>
        <v>#DIV/0!</v>
      </c>
      <c r="AZ92" s="279" t="e">
        <f t="shared" ref="AZ92" si="423">SUM(V92:V94)/SUM($G92:$G94)</f>
        <v>#DIV/0!</v>
      </c>
      <c r="BA92" s="130" t="e">
        <f t="shared" ref="BA92" si="424">SUM(W92:W94)/SUM($G92:$G94)</f>
        <v>#DIV/0!</v>
      </c>
      <c r="BB92" s="128" t="e">
        <f t="shared" ref="BB92" si="425">SUM(X92:X94)/SUM($G92:$G94)</f>
        <v>#DIV/0!</v>
      </c>
      <c r="BC92" s="130" t="e">
        <f t="shared" ref="BC92" si="426">SUM(Y92:Y94)/SUM($G92:$G94)</f>
        <v>#DIV/0!</v>
      </c>
      <c r="BD92" s="128" t="e">
        <f t="shared" ref="BD92" si="427">SUM(Z92:Z94)/SUM($G92:$G94)</f>
        <v>#DIV/0!</v>
      </c>
      <c r="BE92" s="280" t="e">
        <f t="shared" ref="BE92" si="428">SUM(AA92:AA94)/SUM($G92:$G94)</f>
        <v>#DIV/0!</v>
      </c>
      <c r="BG92" s="285" t="e">
        <f t="shared" ref="BG92" si="429">AL92*$AJ92</f>
        <v>#DIV/0!</v>
      </c>
      <c r="BH92" s="49" t="e">
        <f t="shared" ref="BH92" si="430">AM92*$AJ92</f>
        <v>#DIV/0!</v>
      </c>
      <c r="BI92" s="49" t="e">
        <f t="shared" ref="BI92" si="431">AN92*$AJ92</f>
        <v>#DIV/0!</v>
      </c>
      <c r="BJ92" s="49" t="e">
        <f t="shared" ref="BJ92" si="432">AO92*$AJ92</f>
        <v>#DIV/0!</v>
      </c>
      <c r="BK92" s="49" t="e">
        <f t="shared" ref="BK92" si="433">AP92*$AJ92</f>
        <v>#DIV/0!</v>
      </c>
      <c r="BL92" s="286" t="e">
        <f t="shared" ref="BL92" si="434">AQ92*$AJ92</f>
        <v>#DIV/0!</v>
      </c>
      <c r="BM92" s="285" t="e">
        <f t="shared" ref="BM92" si="435">AR92*$AJ92</f>
        <v>#DIV/0!</v>
      </c>
      <c r="BN92" s="49" t="e">
        <f t="shared" ref="BN92" si="436">AS92*$AJ92</f>
        <v>#DIV/0!</v>
      </c>
      <c r="BO92" s="49" t="e">
        <f t="shared" ref="BO92" si="437">AT92*$AJ92</f>
        <v>#DIV/0!</v>
      </c>
      <c r="BP92" s="49" t="e">
        <f t="shared" ref="BP92" si="438">AU92*$AJ92</f>
        <v>#DIV/0!</v>
      </c>
      <c r="BQ92" s="49" t="e">
        <f t="shared" ref="BQ92" si="439">AV92*$AJ92</f>
        <v>#DIV/0!</v>
      </c>
      <c r="BR92" s="286" t="e">
        <f t="shared" ref="BR92" si="440">AW92*$AJ92</f>
        <v>#DIV/0!</v>
      </c>
      <c r="BS92" s="285" t="e">
        <f t="shared" ref="BS92" si="441">AX92*$AJ92</f>
        <v>#DIV/0!</v>
      </c>
      <c r="BT92" s="20" t="e">
        <f t="shared" ref="BT92" si="442">AY92*$AJ92</f>
        <v>#DIV/0!</v>
      </c>
      <c r="BU92" s="285" t="e">
        <f t="shared" ref="BU92" si="443">AZ92*$AJ92</f>
        <v>#DIV/0!</v>
      </c>
      <c r="BV92" s="20" t="e">
        <f t="shared" ref="BV92" si="444">BA92*$AJ92</f>
        <v>#DIV/0!</v>
      </c>
      <c r="BW92" s="20" t="e">
        <f t="shared" ref="BW92" si="445">BB92*$AJ92</f>
        <v>#DIV/0!</v>
      </c>
      <c r="BX92" s="20" t="e">
        <f t="shared" ref="BX92" si="446">BC92*$AJ92</f>
        <v>#DIV/0!</v>
      </c>
      <c r="BY92" s="20" t="e">
        <f t="shared" ref="BY92" si="447">BD92*$AJ92</f>
        <v>#DIV/0!</v>
      </c>
      <c r="BZ92" s="249" t="e">
        <f t="shared" ref="BZ92" si="448">BE92*$AJ92</f>
        <v>#DIV/0!</v>
      </c>
    </row>
    <row r="93" spans="1:78" x14ac:dyDescent="0.25">
      <c r="B93" s="405"/>
      <c r="C93" s="50">
        <v>45603</v>
      </c>
      <c r="D93" s="56" t="s">
        <v>39</v>
      </c>
      <c r="E93" s="34"/>
      <c r="F93" s="381"/>
      <c r="G93" s="273"/>
      <c r="H93" s="359"/>
      <c r="I93" s="1"/>
      <c r="J93" s="354"/>
      <c r="K93" s="356"/>
      <c r="L93" s="1"/>
      <c r="M93" s="355"/>
      <c r="N93" s="1"/>
      <c r="O93" s="1"/>
      <c r="P93" s="354"/>
      <c r="Q93" s="1"/>
      <c r="R93" s="354"/>
      <c r="S93" s="355"/>
      <c r="V93" s="267"/>
      <c r="AA93" s="52"/>
      <c r="AB93" s="396"/>
      <c r="AC93"/>
      <c r="AD93">
        <v>2</v>
      </c>
      <c r="AE93" s="200"/>
      <c r="AF93" s="201"/>
      <c r="AG93" s="211"/>
      <c r="AH93" s="202"/>
      <c r="AI93" s="202"/>
      <c r="AJ93" s="203"/>
      <c r="AK93" s="172"/>
      <c r="AL93" s="281"/>
      <c r="AM93" s="48"/>
      <c r="AN93" s="47"/>
      <c r="AO93" s="48"/>
      <c r="AP93" s="47"/>
      <c r="AQ93" s="282"/>
      <c r="AR93" s="281"/>
      <c r="AS93" s="48"/>
      <c r="AT93" s="47"/>
      <c r="AU93" s="48"/>
      <c r="AV93" s="47"/>
      <c r="AW93" s="282"/>
      <c r="AX93" s="281"/>
      <c r="AY93" s="48"/>
      <c r="AZ93" s="281"/>
      <c r="BA93" s="51"/>
      <c r="BB93" s="47"/>
      <c r="BC93" s="51"/>
      <c r="BD93" s="47"/>
      <c r="BE93" s="282"/>
      <c r="BG93" s="285"/>
      <c r="BH93" s="49"/>
      <c r="BI93" s="49"/>
      <c r="BJ93" s="49"/>
      <c r="BK93" s="49"/>
      <c r="BL93" s="286"/>
      <c r="BM93" s="285"/>
      <c r="BN93" s="49"/>
      <c r="BO93" s="49"/>
      <c r="BP93" s="49"/>
      <c r="BQ93" s="49"/>
      <c r="BR93" s="286"/>
      <c r="BS93" s="285"/>
      <c r="BT93" s="20"/>
      <c r="BU93" s="285"/>
      <c r="BV93" s="20"/>
      <c r="BW93" s="20"/>
      <c r="BX93" s="20"/>
      <c r="BY93" s="20"/>
      <c r="BZ93" s="249"/>
    </row>
    <row r="94" spans="1:78" x14ac:dyDescent="0.25">
      <c r="B94" s="405"/>
      <c r="C94" s="50">
        <v>45604</v>
      </c>
      <c r="D94" s="56" t="s">
        <v>39</v>
      </c>
      <c r="E94" s="34"/>
      <c r="F94" s="381"/>
      <c r="G94" s="273"/>
      <c r="H94" s="359"/>
      <c r="I94" s="1"/>
      <c r="J94" s="354"/>
      <c r="K94" s="356"/>
      <c r="L94" s="1"/>
      <c r="M94" s="355"/>
      <c r="N94" s="1"/>
      <c r="O94" s="1"/>
      <c r="P94" s="354"/>
      <c r="Q94" s="1"/>
      <c r="R94" s="354"/>
      <c r="S94" s="355"/>
      <c r="V94" s="267"/>
      <c r="AA94" s="52"/>
      <c r="AB94" s="396"/>
      <c r="AC94"/>
      <c r="AD94">
        <v>2</v>
      </c>
      <c r="AE94" s="200"/>
      <c r="AF94" s="201"/>
      <c r="AG94" s="211"/>
      <c r="AH94" s="202"/>
      <c r="AI94" s="202"/>
      <c r="AJ94" s="203"/>
      <c r="AK94" s="172"/>
      <c r="AL94" s="281"/>
      <c r="AM94" s="48"/>
      <c r="AN94" s="47"/>
      <c r="AO94" s="48"/>
      <c r="AP94" s="47"/>
      <c r="AQ94" s="282"/>
      <c r="AR94" s="281"/>
      <c r="AS94" s="48"/>
      <c r="AT94" s="47"/>
      <c r="AU94" s="48"/>
      <c r="AV94" s="47"/>
      <c r="AW94" s="282"/>
      <c r="AX94" s="281"/>
      <c r="AY94" s="48"/>
      <c r="AZ94" s="281"/>
      <c r="BA94" s="51"/>
      <c r="BB94" s="47"/>
      <c r="BC94" s="51"/>
      <c r="BD94" s="47"/>
      <c r="BE94" s="282"/>
      <c r="BG94" s="285"/>
      <c r="BH94" s="49"/>
      <c r="BI94" s="49"/>
      <c r="BJ94" s="49"/>
      <c r="BK94" s="49"/>
      <c r="BL94" s="286"/>
      <c r="BM94" s="285"/>
      <c r="BN94" s="49"/>
      <c r="BO94" s="49"/>
      <c r="BP94" s="49"/>
      <c r="BQ94" s="49"/>
      <c r="BR94" s="286"/>
      <c r="BS94" s="285"/>
      <c r="BT94" s="20"/>
      <c r="BU94" s="285"/>
      <c r="BV94" s="20"/>
      <c r="BW94" s="20"/>
      <c r="BX94" s="20"/>
      <c r="BY94" s="20"/>
      <c r="BZ94" s="249"/>
    </row>
    <row r="95" spans="1:78" x14ac:dyDescent="0.25">
      <c r="B95" s="405"/>
      <c r="C95" s="50">
        <v>45605</v>
      </c>
      <c r="D95" s="56" t="s">
        <v>40</v>
      </c>
      <c r="E95" s="34"/>
      <c r="F95" s="381"/>
      <c r="G95" s="273"/>
      <c r="H95" s="359"/>
      <c r="I95" s="1"/>
      <c r="J95" s="354"/>
      <c r="K95" s="356"/>
      <c r="L95" s="1"/>
      <c r="M95" s="355"/>
      <c r="N95" s="1"/>
      <c r="O95" s="1"/>
      <c r="P95" s="354"/>
      <c r="Q95" s="1"/>
      <c r="R95" s="354"/>
      <c r="S95" s="355"/>
      <c r="V95" s="267"/>
      <c r="AA95" s="52"/>
      <c r="AB95" s="396" t="e">
        <f>(G95+G96)/(F95+F96)</f>
        <v>#DIV/0!</v>
      </c>
      <c r="AC95"/>
      <c r="AD95">
        <v>2</v>
      </c>
      <c r="AE95" s="200">
        <f>SUM(AC95:AC96)/SUM(AD95:AD96)</f>
        <v>0</v>
      </c>
      <c r="AF95" s="201"/>
      <c r="AG95" s="211"/>
      <c r="AH95" s="202">
        <f>AE95*AG95</f>
        <v>0</v>
      </c>
      <c r="AI95" s="203">
        <f t="shared" ref="AI95" si="449">AH95/AI$51</f>
        <v>0</v>
      </c>
      <c r="AJ95" s="203">
        <f>AI95*2</f>
        <v>0</v>
      </c>
      <c r="AK95" s="181" t="e">
        <f>SUM(F95:F96)/(SUM(G95:G96)/SUM(AJ95))</f>
        <v>#DIV/0!</v>
      </c>
      <c r="AL95" s="281" t="e">
        <f t="shared" ref="AL95" si="450">SUM(H95:H96)/SUM($G95:$G96)</f>
        <v>#DIV/0!</v>
      </c>
      <c r="AM95" s="48" t="e">
        <f t="shared" ref="AM95" si="451">SUM(I95:I96)/SUM($G95:$G96)</f>
        <v>#DIV/0!</v>
      </c>
      <c r="AN95" s="47" t="e">
        <f t="shared" ref="AN95" si="452">SUM(J95:J96)/SUM($G95:$G96)</f>
        <v>#DIV/0!</v>
      </c>
      <c r="AO95" s="48" t="e">
        <f t="shared" ref="AO95" si="453">SUM(K95:K96)/SUM($G95:$G96)</f>
        <v>#DIV/0!</v>
      </c>
      <c r="AP95" s="47" t="e">
        <f t="shared" ref="AP95" si="454">SUM(L95:L96)/SUM($G95:$G96)</f>
        <v>#DIV/0!</v>
      </c>
      <c r="AQ95" s="282" t="e">
        <f t="shared" ref="AQ95" si="455">SUM(M95:M96)/SUM($G95:$G96)</f>
        <v>#DIV/0!</v>
      </c>
      <c r="AR95" s="281" t="e">
        <f t="shared" ref="AR95" si="456">SUM(N95:N96)/SUM($G95:$G96)</f>
        <v>#DIV/0!</v>
      </c>
      <c r="AS95" s="48" t="e">
        <f t="shared" ref="AS95" si="457">SUM(O95:O96)/SUM($G95:$G96)</f>
        <v>#DIV/0!</v>
      </c>
      <c r="AT95" s="47" t="e">
        <f t="shared" ref="AT95" si="458">SUM(P95:P96)/SUM($G95:$G96)</f>
        <v>#DIV/0!</v>
      </c>
      <c r="AU95" s="48" t="e">
        <f t="shared" ref="AU95" si="459">SUM(Q95:Q96)/SUM($G95:$G96)</f>
        <v>#DIV/0!</v>
      </c>
      <c r="AV95" s="47" t="e">
        <f t="shared" ref="AV95" si="460">SUM(R95:R96)/SUM($G95:$G96)</f>
        <v>#DIV/0!</v>
      </c>
      <c r="AW95" s="282" t="e">
        <f t="shared" ref="AW95" si="461">SUM(S95:S96)/SUM($G95:$G96)</f>
        <v>#DIV/0!</v>
      </c>
      <c r="AX95" s="281" t="e">
        <f t="shared" ref="AX95" si="462">SUM(T95:T96)/SUM($G95:$G96)</f>
        <v>#DIV/0!</v>
      </c>
      <c r="AY95" s="48" t="e">
        <f t="shared" ref="AY95" si="463">SUM(U95:U96)/SUM($G95:$G96)</f>
        <v>#DIV/0!</v>
      </c>
      <c r="AZ95" s="281" t="e">
        <f t="shared" ref="AZ95" si="464">SUM(V95:V96)/SUM($G95:$G96)</f>
        <v>#DIV/0!</v>
      </c>
      <c r="BA95" s="51" t="e">
        <f t="shared" ref="BA95" si="465">SUM(W95:W96)/SUM($G95:$G96)</f>
        <v>#DIV/0!</v>
      </c>
      <c r="BB95" s="47" t="e">
        <f t="shared" ref="BB95" si="466">SUM(X95:X96)/SUM($G95:$G96)</f>
        <v>#DIV/0!</v>
      </c>
      <c r="BC95" s="51" t="e">
        <f t="shared" ref="BC95" si="467">SUM(Y95:Y96)/SUM($G95:$G96)</f>
        <v>#DIV/0!</v>
      </c>
      <c r="BD95" s="47" t="e">
        <f t="shared" ref="BD95" si="468">SUM(Z95:Z96)/SUM($G95:$G96)</f>
        <v>#DIV/0!</v>
      </c>
      <c r="BE95" s="282" t="e">
        <f t="shared" ref="BE95" si="469">SUM(AA95:AA96)/SUM($G95:$G96)</f>
        <v>#DIV/0!</v>
      </c>
      <c r="BG95" s="285" t="e">
        <f t="shared" ref="BG95" si="470">AL95*$AJ95</f>
        <v>#DIV/0!</v>
      </c>
      <c r="BH95" s="49" t="e">
        <f t="shared" ref="BH95" si="471">AM95*$AJ95</f>
        <v>#DIV/0!</v>
      </c>
      <c r="BI95" s="49" t="e">
        <f t="shared" ref="BI95" si="472">AN95*$AJ95</f>
        <v>#DIV/0!</v>
      </c>
      <c r="BJ95" s="49" t="e">
        <f t="shared" ref="BJ95" si="473">AO95*$AJ95</f>
        <v>#DIV/0!</v>
      </c>
      <c r="BK95" s="49" t="e">
        <f t="shared" ref="BK95" si="474">AP95*$AJ95</f>
        <v>#DIV/0!</v>
      </c>
      <c r="BL95" s="286" t="e">
        <f t="shared" ref="BL95" si="475">AQ95*$AJ95</f>
        <v>#DIV/0!</v>
      </c>
      <c r="BM95" s="285" t="e">
        <f t="shared" ref="BM95" si="476">AR95*$AJ95</f>
        <v>#DIV/0!</v>
      </c>
      <c r="BN95" s="49" t="e">
        <f t="shared" ref="BN95" si="477">AS95*$AJ95</f>
        <v>#DIV/0!</v>
      </c>
      <c r="BO95" s="49" t="e">
        <f t="shared" ref="BO95" si="478">AT95*$AJ95</f>
        <v>#DIV/0!</v>
      </c>
      <c r="BP95" s="49" t="e">
        <f t="shared" ref="BP95" si="479">AU95*$AJ95</f>
        <v>#DIV/0!</v>
      </c>
      <c r="BQ95" s="49" t="e">
        <f t="shared" ref="BQ95" si="480">AV95*$AJ95</f>
        <v>#DIV/0!</v>
      </c>
      <c r="BR95" s="286" t="e">
        <f t="shared" ref="BR95" si="481">AW95*$AJ95</f>
        <v>#DIV/0!</v>
      </c>
      <c r="BS95" s="285" t="e">
        <f t="shared" ref="BS95" si="482">AX95*$AJ95</f>
        <v>#DIV/0!</v>
      </c>
      <c r="BT95" s="20" t="e">
        <f t="shared" ref="BT95" si="483">AY95*$AJ95</f>
        <v>#DIV/0!</v>
      </c>
      <c r="BU95" s="285" t="e">
        <f t="shared" ref="BU95" si="484">AZ95*$AJ95</f>
        <v>#DIV/0!</v>
      </c>
      <c r="BV95" s="20" t="e">
        <f t="shared" ref="BV95" si="485">BA95*$AJ95</f>
        <v>#DIV/0!</v>
      </c>
      <c r="BW95" s="20" t="e">
        <f t="shared" ref="BW95" si="486">BB95*$AJ95</f>
        <v>#DIV/0!</v>
      </c>
      <c r="BX95" s="20" t="e">
        <f t="shared" ref="BX95" si="487">BC95*$AJ95</f>
        <v>#DIV/0!</v>
      </c>
      <c r="BY95" s="20" t="e">
        <f t="shared" ref="BY95" si="488">BD95*$AJ95</f>
        <v>#DIV/0!</v>
      </c>
      <c r="BZ95" s="249" t="e">
        <f t="shared" ref="BZ95" si="489">BE95*$AJ95</f>
        <v>#DIV/0!</v>
      </c>
    </row>
    <row r="96" spans="1:78" ht="16.5" thickBot="1" x14ac:dyDescent="0.3">
      <c r="B96" s="406"/>
      <c r="C96" s="50">
        <v>45606</v>
      </c>
      <c r="D96" s="56" t="s">
        <v>40</v>
      </c>
      <c r="E96" s="4"/>
      <c r="F96" s="228"/>
      <c r="G96" s="273"/>
      <c r="H96" s="359"/>
      <c r="I96" s="1"/>
      <c r="J96" s="354"/>
      <c r="K96" s="357"/>
      <c r="L96" s="1"/>
      <c r="M96" s="355"/>
      <c r="N96" s="1"/>
      <c r="O96" s="1"/>
      <c r="P96" s="354"/>
      <c r="Q96" s="1"/>
      <c r="R96" s="354"/>
      <c r="S96" s="355"/>
      <c r="V96" s="267"/>
      <c r="AA96" s="52"/>
      <c r="AB96" s="370"/>
      <c r="AC96" s="395"/>
      <c r="AD96" s="395">
        <v>2</v>
      </c>
      <c r="AE96" s="200"/>
      <c r="AF96" s="201"/>
      <c r="AG96" s="211"/>
      <c r="AH96" s="202"/>
      <c r="AI96" s="202"/>
      <c r="AJ96" s="203"/>
      <c r="AK96" s="172"/>
      <c r="AL96" s="281"/>
      <c r="AM96" s="48"/>
      <c r="AN96" s="47"/>
      <c r="AO96" s="48"/>
      <c r="AP96" s="47"/>
      <c r="AQ96" s="282"/>
      <c r="AR96" s="281"/>
      <c r="AS96" s="48"/>
      <c r="AT96" s="47"/>
      <c r="AU96" s="48"/>
      <c r="AV96" s="47"/>
      <c r="AW96" s="282"/>
      <c r="AX96" s="281"/>
      <c r="AY96" s="48"/>
      <c r="AZ96" s="281"/>
      <c r="BA96" s="51"/>
      <c r="BB96" s="47"/>
      <c r="BC96" s="51"/>
      <c r="BD96" s="47"/>
      <c r="BE96" s="282"/>
      <c r="BG96" s="285"/>
      <c r="BH96" s="49"/>
      <c r="BI96" s="49"/>
      <c r="BJ96" s="49"/>
      <c r="BK96" s="49"/>
      <c r="BL96" s="286"/>
      <c r="BM96" s="285"/>
      <c r="BN96" s="49"/>
      <c r="BO96" s="49"/>
      <c r="BP96" s="49"/>
      <c r="BQ96" s="49"/>
      <c r="BR96" s="286"/>
      <c r="BS96" s="285"/>
      <c r="BT96" s="20"/>
      <c r="BU96" s="285"/>
      <c r="BV96" s="20"/>
      <c r="BW96" s="20"/>
      <c r="BX96" s="20"/>
      <c r="BY96" s="20"/>
      <c r="BZ96" s="249"/>
    </row>
    <row r="97" spans="2:78" x14ac:dyDescent="0.25">
      <c r="B97" s="401" t="s">
        <v>5257</v>
      </c>
      <c r="C97" s="120">
        <v>45607</v>
      </c>
      <c r="D97" s="55" t="s">
        <v>39</v>
      </c>
      <c r="E97" s="34"/>
      <c r="F97" s="31"/>
      <c r="G97" s="272"/>
      <c r="H97" s="277"/>
      <c r="I97" s="40"/>
      <c r="J97" s="41"/>
      <c r="K97" s="42"/>
      <c r="L97" s="40"/>
      <c r="M97" s="58"/>
      <c r="N97" s="277"/>
      <c r="O97" s="40"/>
      <c r="P97" s="41"/>
      <c r="Q97" s="40"/>
      <c r="R97" s="41"/>
      <c r="S97" s="58"/>
      <c r="T97" s="40"/>
      <c r="U97" s="40"/>
      <c r="V97" s="277"/>
      <c r="W97" s="40"/>
      <c r="X97" s="40"/>
      <c r="Y97" s="40"/>
      <c r="Z97" s="40"/>
      <c r="AA97" s="58"/>
      <c r="AB97" s="396" t="e">
        <f>SUM(G97:G99)/SUM(F97:F99)</f>
        <v>#DIV/0!</v>
      </c>
      <c r="AC97" s="199"/>
      <c r="AD97" s="199">
        <v>2</v>
      </c>
      <c r="AE97" s="195">
        <f>SUM(AC97:AC99)/SUM(AD97:AD99)</f>
        <v>0</v>
      </c>
      <c r="AF97" s="194"/>
      <c r="AG97" s="210"/>
      <c r="AH97" s="196">
        <f>AE97*AG97</f>
        <v>0</v>
      </c>
      <c r="AI97" s="197">
        <f t="shared" ref="AI97" si="490">AH97/AI$51</f>
        <v>0</v>
      </c>
      <c r="AJ97" s="197">
        <f>AI97*5</f>
        <v>0</v>
      </c>
      <c r="AK97" s="181" t="e">
        <f>SUM(F97:F99)/(SUM(G97:G99)/SUM(AJ97))</f>
        <v>#DIV/0!</v>
      </c>
      <c r="AL97" s="279" t="e">
        <f t="shared" ref="AL97" si="491">SUM(H97:H99)/SUM($G97:$G99)</f>
        <v>#DIV/0!</v>
      </c>
      <c r="AM97" s="129" t="e">
        <f t="shared" ref="AM97" si="492">SUM(I97:I99)/SUM($G97:$G99)</f>
        <v>#DIV/0!</v>
      </c>
      <c r="AN97" s="128" t="e">
        <f t="shared" ref="AN97" si="493">SUM(J97:J99)/SUM($G97:$G99)</f>
        <v>#DIV/0!</v>
      </c>
      <c r="AO97" s="129" t="e">
        <f t="shared" ref="AO97" si="494">SUM(K97:K99)/SUM($G97:$G99)</f>
        <v>#DIV/0!</v>
      </c>
      <c r="AP97" s="128" t="e">
        <f t="shared" ref="AP97" si="495">SUM(L97:L99)/SUM($G97:$G99)</f>
        <v>#DIV/0!</v>
      </c>
      <c r="AQ97" s="280" t="e">
        <f t="shared" ref="AQ97" si="496">SUM(M97:M99)/SUM($G97:$G99)</f>
        <v>#DIV/0!</v>
      </c>
      <c r="AR97" s="279" t="e">
        <f t="shared" ref="AR97" si="497">SUM(N97:N99)/SUM($G97:$G99)</f>
        <v>#DIV/0!</v>
      </c>
      <c r="AS97" s="129" t="e">
        <f t="shared" ref="AS97" si="498">SUM(O97:O99)/SUM($G97:$G99)</f>
        <v>#DIV/0!</v>
      </c>
      <c r="AT97" s="128" t="e">
        <f t="shared" ref="AT97" si="499">SUM(P97:P99)/SUM($G97:$G99)</f>
        <v>#DIV/0!</v>
      </c>
      <c r="AU97" s="129" t="e">
        <f t="shared" ref="AU97" si="500">SUM(Q97:Q99)/SUM($G97:$G99)</f>
        <v>#DIV/0!</v>
      </c>
      <c r="AV97" s="128" t="e">
        <f t="shared" ref="AV97" si="501">SUM(R97:R99)/SUM($G97:$G99)</f>
        <v>#DIV/0!</v>
      </c>
      <c r="AW97" s="280" t="e">
        <f t="shared" ref="AW97" si="502">SUM(S97:S99)/SUM($G97:$G99)</f>
        <v>#DIV/0!</v>
      </c>
      <c r="AX97" s="279" t="e">
        <f t="shared" ref="AX97" si="503">SUM(T97:T99)/SUM($G97:$G99)</f>
        <v>#DIV/0!</v>
      </c>
      <c r="AY97" s="129" t="e">
        <f t="shared" ref="AY97" si="504">SUM(U97:U99)/SUM($G97:$G99)</f>
        <v>#DIV/0!</v>
      </c>
      <c r="AZ97" s="279" t="e">
        <f t="shared" ref="AZ97" si="505">SUM(V97:V99)/SUM($G97:$G99)</f>
        <v>#DIV/0!</v>
      </c>
      <c r="BA97" s="130" t="e">
        <f t="shared" ref="BA97" si="506">SUM(W97:W99)/SUM($G97:$G99)</f>
        <v>#DIV/0!</v>
      </c>
      <c r="BB97" s="128" t="e">
        <f t="shared" ref="BB97" si="507">SUM(X97:X99)/SUM($G97:$G99)</f>
        <v>#DIV/0!</v>
      </c>
      <c r="BC97" s="130" t="e">
        <f t="shared" ref="BC97" si="508">SUM(Y97:Y99)/SUM($G97:$G99)</f>
        <v>#DIV/0!</v>
      </c>
      <c r="BD97" s="128" t="e">
        <f t="shared" ref="BD97" si="509">SUM(Z97:Z99)/SUM($G97:$G99)</f>
        <v>#DIV/0!</v>
      </c>
      <c r="BE97" s="280" t="e">
        <f t="shared" ref="BE97" si="510">SUM(AA97:AA99)/SUM($G97:$G99)</f>
        <v>#DIV/0!</v>
      </c>
      <c r="BG97" s="285" t="e">
        <f t="shared" ref="BG97" si="511">AL97*$AJ97</f>
        <v>#DIV/0!</v>
      </c>
      <c r="BH97" s="49" t="e">
        <f t="shared" ref="BH97" si="512">AM97*$AJ97</f>
        <v>#DIV/0!</v>
      </c>
      <c r="BI97" s="49" t="e">
        <f t="shared" ref="BI97" si="513">AN97*$AJ97</f>
        <v>#DIV/0!</v>
      </c>
      <c r="BJ97" s="49" t="e">
        <f t="shared" ref="BJ97" si="514">AO97*$AJ97</f>
        <v>#DIV/0!</v>
      </c>
      <c r="BK97" s="49" t="e">
        <f t="shared" ref="BK97" si="515">AP97*$AJ97</f>
        <v>#DIV/0!</v>
      </c>
      <c r="BL97" s="286" t="e">
        <f t="shared" ref="BL97" si="516">AQ97*$AJ97</f>
        <v>#DIV/0!</v>
      </c>
      <c r="BM97" s="285" t="e">
        <f t="shared" ref="BM97" si="517">AR97*$AJ97</f>
        <v>#DIV/0!</v>
      </c>
      <c r="BN97" s="49" t="e">
        <f t="shared" ref="BN97" si="518">AS97*$AJ97</f>
        <v>#DIV/0!</v>
      </c>
      <c r="BO97" s="49" t="e">
        <f t="shared" ref="BO97" si="519">AT97*$AJ97</f>
        <v>#DIV/0!</v>
      </c>
      <c r="BP97" s="49" t="e">
        <f t="shared" ref="BP97" si="520">AU97*$AJ97</f>
        <v>#DIV/0!</v>
      </c>
      <c r="BQ97" s="49" t="e">
        <f t="shared" ref="BQ97" si="521">AV97*$AJ97</f>
        <v>#DIV/0!</v>
      </c>
      <c r="BR97" s="286" t="e">
        <f t="shared" ref="BR97" si="522">AW97*$AJ97</f>
        <v>#DIV/0!</v>
      </c>
      <c r="BS97" s="285" t="e">
        <f t="shared" ref="BS97" si="523">AX97*$AJ97</f>
        <v>#DIV/0!</v>
      </c>
      <c r="BT97" s="20" t="e">
        <f t="shared" ref="BT97" si="524">AY97*$AJ97</f>
        <v>#DIV/0!</v>
      </c>
      <c r="BU97" s="285" t="e">
        <f t="shared" ref="BU97" si="525">AZ97*$AJ97</f>
        <v>#DIV/0!</v>
      </c>
      <c r="BV97" s="20" t="e">
        <f t="shared" ref="BV97" si="526">BA97*$AJ97</f>
        <v>#DIV/0!</v>
      </c>
      <c r="BW97" s="20" t="e">
        <f t="shared" ref="BW97" si="527">BB97*$AJ97</f>
        <v>#DIV/0!</v>
      </c>
      <c r="BX97" s="20" t="e">
        <f t="shared" ref="BX97" si="528">BC97*$AJ97</f>
        <v>#DIV/0!</v>
      </c>
      <c r="BY97" s="20" t="e">
        <f t="shared" ref="BY97" si="529">BD97*$AJ97</f>
        <v>#DIV/0!</v>
      </c>
      <c r="BZ97" s="249" t="e">
        <f t="shared" ref="BZ97" si="530">BE97*$AJ97</f>
        <v>#DIV/0!</v>
      </c>
    </row>
    <row r="98" spans="2:78" x14ac:dyDescent="0.25">
      <c r="B98" s="402"/>
      <c r="C98" s="50">
        <v>45609</v>
      </c>
      <c r="D98" s="56" t="s">
        <v>39</v>
      </c>
      <c r="E98" s="34"/>
      <c r="F98" s="31"/>
      <c r="G98" s="273"/>
      <c r="H98" s="267"/>
      <c r="J98" s="45"/>
      <c r="K98" s="46"/>
      <c r="M98" s="52"/>
      <c r="N98" s="267"/>
      <c r="P98" s="45"/>
      <c r="R98" s="45"/>
      <c r="S98" s="52"/>
      <c r="V98" s="267"/>
      <c r="AA98" s="52"/>
      <c r="AB98" s="396"/>
      <c r="AC98" s="199"/>
      <c r="AD98" s="199">
        <v>2</v>
      </c>
      <c r="AE98" s="200"/>
      <c r="AF98" s="201"/>
      <c r="AG98" s="211"/>
      <c r="AH98" s="202"/>
      <c r="AI98" s="202"/>
      <c r="AJ98" s="203"/>
      <c r="AK98" s="172"/>
      <c r="AL98" s="281"/>
      <c r="AM98" s="48"/>
      <c r="AN98" s="47"/>
      <c r="AO98" s="48"/>
      <c r="AP98" s="47"/>
      <c r="AQ98" s="282"/>
      <c r="AR98" s="281"/>
      <c r="AS98" s="48"/>
      <c r="AT98" s="47"/>
      <c r="AU98" s="48"/>
      <c r="AV98" s="47"/>
      <c r="AW98" s="282"/>
      <c r="AX98" s="281"/>
      <c r="AY98" s="48"/>
      <c r="AZ98" s="281"/>
      <c r="BA98" s="51"/>
      <c r="BB98" s="47"/>
      <c r="BC98" s="51"/>
      <c r="BD98" s="47"/>
      <c r="BE98" s="282"/>
      <c r="BG98" s="285"/>
      <c r="BH98" s="49"/>
      <c r="BI98" s="49"/>
      <c r="BJ98" s="49"/>
      <c r="BK98" s="49"/>
      <c r="BL98" s="286"/>
      <c r="BM98" s="285"/>
      <c r="BN98" s="49"/>
      <c r="BO98" s="49"/>
      <c r="BP98" s="49"/>
      <c r="BQ98" s="49"/>
      <c r="BR98" s="286"/>
      <c r="BS98" s="285"/>
      <c r="BT98" s="20"/>
      <c r="BU98" s="285"/>
      <c r="BV98" s="20"/>
      <c r="BW98" s="20"/>
      <c r="BX98" s="20"/>
      <c r="BY98" s="20"/>
      <c r="BZ98" s="249"/>
    </row>
    <row r="99" spans="2:78" x14ac:dyDescent="0.25">
      <c r="B99" s="402"/>
      <c r="C99" s="50">
        <v>45610</v>
      </c>
      <c r="D99" s="56" t="s">
        <v>39</v>
      </c>
      <c r="E99" s="34"/>
      <c r="F99" s="31"/>
      <c r="G99" s="273"/>
      <c r="H99" s="267"/>
      <c r="J99" s="45"/>
      <c r="K99" s="46"/>
      <c r="M99" s="52"/>
      <c r="N99" s="267"/>
      <c r="P99" s="45"/>
      <c r="R99" s="45"/>
      <c r="S99" s="52"/>
      <c r="V99" s="267"/>
      <c r="AA99" s="52"/>
      <c r="AB99" s="396"/>
      <c r="AC99" s="199"/>
      <c r="AD99" s="199">
        <v>2</v>
      </c>
      <c r="AE99" s="200"/>
      <c r="AF99" s="201"/>
      <c r="AG99" s="211"/>
      <c r="AH99" s="202"/>
      <c r="AI99" s="202"/>
      <c r="AJ99" s="203"/>
      <c r="AK99" s="172"/>
      <c r="AL99" s="281"/>
      <c r="AM99" s="48"/>
      <c r="AN99" s="47"/>
      <c r="AO99" s="48"/>
      <c r="AP99" s="47"/>
      <c r="AQ99" s="282"/>
      <c r="AR99" s="281"/>
      <c r="AS99" s="48"/>
      <c r="AT99" s="47"/>
      <c r="AU99" s="48"/>
      <c r="AV99" s="47"/>
      <c r="AW99" s="282"/>
      <c r="AX99" s="281"/>
      <c r="AY99" s="48"/>
      <c r="AZ99" s="281"/>
      <c r="BA99" s="51"/>
      <c r="BB99" s="47"/>
      <c r="BC99" s="51"/>
      <c r="BD99" s="47"/>
      <c r="BE99" s="282"/>
      <c r="BG99" s="285"/>
      <c r="BH99" s="49"/>
      <c r="BI99" s="49"/>
      <c r="BJ99" s="49"/>
      <c r="BK99" s="49"/>
      <c r="BL99" s="286"/>
      <c r="BM99" s="285"/>
      <c r="BN99" s="49"/>
      <c r="BO99" s="49"/>
      <c r="BP99" s="49"/>
      <c r="BQ99" s="49"/>
      <c r="BR99" s="286"/>
      <c r="BS99" s="285"/>
      <c r="BT99" s="20"/>
      <c r="BU99" s="285"/>
      <c r="BV99" s="20"/>
      <c r="BW99" s="20"/>
      <c r="BX99" s="20"/>
      <c r="BY99" s="20"/>
      <c r="BZ99" s="249"/>
    </row>
    <row r="100" spans="2:78" x14ac:dyDescent="0.25">
      <c r="B100" s="402"/>
      <c r="C100" s="50">
        <v>45611</v>
      </c>
      <c r="D100" s="56" t="s">
        <v>40</v>
      </c>
      <c r="E100" s="34"/>
      <c r="F100" s="31"/>
      <c r="G100" s="273"/>
      <c r="H100" s="267"/>
      <c r="J100" s="45"/>
      <c r="K100" s="46"/>
      <c r="M100" s="52"/>
      <c r="N100" s="267"/>
      <c r="P100" s="45"/>
      <c r="R100" s="45"/>
      <c r="S100" s="52"/>
      <c r="V100" s="267"/>
      <c r="AA100" s="52"/>
      <c r="AB100" s="396">
        <v>0</v>
      </c>
      <c r="AC100" s="199"/>
      <c r="AD100" s="199"/>
      <c r="AE100" s="200"/>
      <c r="AF100" s="201"/>
      <c r="AG100" s="211"/>
      <c r="AH100" s="202"/>
      <c r="AI100" s="203"/>
      <c r="AJ100" s="203"/>
      <c r="AK100" s="181"/>
      <c r="AL100" s="281"/>
      <c r="AM100" s="48"/>
      <c r="AN100" s="47"/>
      <c r="AO100" s="48"/>
      <c r="AP100" s="47"/>
      <c r="AQ100" s="282"/>
      <c r="AR100" s="281"/>
      <c r="AS100" s="48"/>
      <c r="AT100" s="47"/>
      <c r="AU100" s="48"/>
      <c r="AV100" s="47"/>
      <c r="AW100" s="282"/>
      <c r="AX100" s="281"/>
      <c r="AY100" s="48"/>
      <c r="AZ100" s="281"/>
      <c r="BA100" s="51"/>
      <c r="BB100" s="47"/>
      <c r="BC100" s="51"/>
      <c r="BD100" s="47"/>
      <c r="BE100" s="282"/>
      <c r="BG100" s="285"/>
      <c r="BH100" s="49"/>
      <c r="BI100" s="49"/>
      <c r="BJ100" s="49"/>
      <c r="BK100" s="49"/>
      <c r="BL100" s="286"/>
      <c r="BM100" s="285"/>
      <c r="BN100" s="49"/>
      <c r="BO100" s="49"/>
      <c r="BP100" s="49"/>
      <c r="BQ100" s="49"/>
      <c r="BR100" s="286"/>
      <c r="BS100" s="285"/>
      <c r="BT100" s="20"/>
      <c r="BU100" s="285"/>
      <c r="BV100" s="20"/>
      <c r="BW100" s="20"/>
      <c r="BX100" s="20"/>
      <c r="BY100" s="20"/>
      <c r="BZ100" s="249"/>
    </row>
    <row r="101" spans="2:78" ht="16.5" thickBot="1" x14ac:dyDescent="0.3">
      <c r="B101" s="403"/>
      <c r="C101" s="141">
        <v>45612</v>
      </c>
      <c r="D101" s="142" t="s">
        <v>40</v>
      </c>
      <c r="E101" s="213"/>
      <c r="F101" s="143"/>
      <c r="G101" s="275"/>
      <c r="H101" s="251"/>
      <c r="I101" s="119"/>
      <c r="J101" s="144"/>
      <c r="K101" s="145"/>
      <c r="L101" s="119"/>
      <c r="M101" s="146"/>
      <c r="N101" s="251"/>
      <c r="O101" s="119"/>
      <c r="P101" s="144"/>
      <c r="Q101" s="119"/>
      <c r="R101" s="144"/>
      <c r="S101" s="146"/>
      <c r="T101" s="119"/>
      <c r="U101" s="119"/>
      <c r="V101" s="251"/>
      <c r="W101" s="119"/>
      <c r="X101" s="119"/>
      <c r="Y101" s="119"/>
      <c r="Z101" s="119"/>
      <c r="AA101" s="146"/>
      <c r="AB101" s="397"/>
      <c r="AC101" s="205"/>
      <c r="AD101" s="205"/>
      <c r="AE101" s="206"/>
      <c r="AF101" s="207"/>
      <c r="AG101" s="212"/>
      <c r="AH101" s="208"/>
      <c r="AI101" s="208"/>
      <c r="AJ101" s="209"/>
      <c r="AK101" s="173"/>
      <c r="AL101" s="313"/>
      <c r="AM101" s="314"/>
      <c r="AN101" s="315"/>
      <c r="AO101" s="314"/>
      <c r="AP101" s="315"/>
      <c r="AQ101" s="316"/>
      <c r="AR101" s="313"/>
      <c r="AS101" s="314"/>
      <c r="AT101" s="315"/>
      <c r="AU101" s="314"/>
      <c r="AV101" s="315"/>
      <c r="AW101" s="316"/>
      <c r="AX101" s="313"/>
      <c r="AY101" s="314"/>
      <c r="AZ101" s="313"/>
      <c r="BA101" s="317"/>
      <c r="BB101" s="315"/>
      <c r="BC101" s="317"/>
      <c r="BD101" s="315"/>
      <c r="BE101" s="316"/>
      <c r="BG101" s="287"/>
      <c r="BH101" s="64"/>
      <c r="BI101" s="64"/>
      <c r="BJ101" s="64"/>
      <c r="BK101" s="64"/>
      <c r="BL101" s="288"/>
      <c r="BM101" s="287"/>
      <c r="BN101" s="64"/>
      <c r="BO101" s="64"/>
      <c r="BP101" s="64"/>
      <c r="BQ101" s="64"/>
      <c r="BR101" s="288"/>
      <c r="BS101" s="287"/>
      <c r="BT101" s="127"/>
      <c r="BU101" s="287"/>
      <c r="BV101" s="127"/>
      <c r="BW101" s="127"/>
      <c r="BX101" s="127"/>
      <c r="BY101" s="127"/>
      <c r="BZ101" s="289"/>
    </row>
    <row r="102" spans="2:78" x14ac:dyDescent="0.25">
      <c r="B102" s="290"/>
      <c r="C102" s="291"/>
      <c r="D102" s="56"/>
      <c r="E102" s="56"/>
      <c r="G102" s="150"/>
      <c r="AB102" s="215"/>
      <c r="AC102" s="199"/>
      <c r="AD102" s="199"/>
      <c r="AE102" s="200"/>
      <c r="AF102" s="201"/>
      <c r="AG102" s="211"/>
      <c r="AH102" s="202"/>
      <c r="AI102" s="202"/>
      <c r="AJ102" s="203"/>
      <c r="AK102" s="292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</row>
    <row r="103" spans="2:78" x14ac:dyDescent="0.25">
      <c r="C103" s="15"/>
      <c r="D103" s="15"/>
      <c r="E103" s="15"/>
      <c r="AB103" s="215"/>
      <c r="AE103" s="20"/>
      <c r="AG103" s="56"/>
      <c r="AI103" s="15"/>
      <c r="AJ103" s="15"/>
    </row>
    <row r="104" spans="2:78" ht="16.5" thickBot="1" x14ac:dyDescent="0.3">
      <c r="C104" s="15"/>
      <c r="D104" s="15"/>
      <c r="E104" s="15"/>
      <c r="AB104" s="215"/>
      <c r="AE104" s="20"/>
      <c r="AG104" s="56"/>
      <c r="AI104" s="15"/>
      <c r="AJ104" s="15"/>
    </row>
    <row r="105" spans="2:78" ht="16.5" thickBot="1" x14ac:dyDescent="0.3">
      <c r="D105" s="15"/>
      <c r="E105" s="15"/>
      <c r="AB105" s="215"/>
      <c r="AE105" s="20"/>
      <c r="AG105" s="56"/>
      <c r="AH105" s="85"/>
      <c r="AI105" s="85"/>
      <c r="AJ105" s="85"/>
      <c r="AL105" s="454" t="s">
        <v>5227</v>
      </c>
      <c r="AM105" s="455"/>
      <c r="AN105" s="455"/>
      <c r="AO105" s="455"/>
      <c r="AP105" s="455"/>
      <c r="AQ105" s="455"/>
      <c r="AR105" s="455"/>
      <c r="AS105" s="455"/>
      <c r="AT105" s="455"/>
      <c r="AU105" s="455"/>
      <c r="AV105" s="455"/>
      <c r="AW105" s="455"/>
      <c r="AX105" s="455"/>
      <c r="AY105" s="455"/>
      <c r="AZ105" s="455"/>
      <c r="BA105" s="455"/>
      <c r="BB105" s="455"/>
      <c r="BC105" s="455"/>
      <c r="BD105" s="455"/>
      <c r="BE105" s="456"/>
      <c r="BG105" s="454" t="s">
        <v>5228</v>
      </c>
      <c r="BH105" s="455"/>
      <c r="BI105" s="455"/>
      <c r="BJ105" s="455"/>
      <c r="BK105" s="455"/>
      <c r="BL105" s="455"/>
      <c r="BM105" s="455"/>
      <c r="BN105" s="455"/>
      <c r="BO105" s="455"/>
      <c r="BP105" s="455"/>
      <c r="BQ105" s="455"/>
      <c r="BR105" s="455"/>
      <c r="BS105" s="455"/>
      <c r="BT105" s="455"/>
      <c r="BU105" s="455"/>
      <c r="BV105" s="455"/>
      <c r="BW105" s="455"/>
      <c r="BX105" s="455"/>
      <c r="BY105" s="455"/>
      <c r="BZ105" s="456"/>
    </row>
    <row r="106" spans="2:78" ht="18.75" x14ac:dyDescent="0.3">
      <c r="C106" s="163" t="s">
        <v>25</v>
      </c>
      <c r="D106" s="22"/>
      <c r="E106" s="22"/>
      <c r="F106" s="22"/>
      <c r="G106" s="23"/>
      <c r="H106" s="427" t="s">
        <v>5245</v>
      </c>
      <c r="I106" s="428"/>
      <c r="J106" s="428"/>
      <c r="K106" s="428"/>
      <c r="L106" s="428"/>
      <c r="M106" s="439"/>
      <c r="N106" s="427" t="s">
        <v>10</v>
      </c>
      <c r="O106" s="428"/>
      <c r="P106" s="428"/>
      <c r="Q106" s="428"/>
      <c r="R106" s="428"/>
      <c r="S106" s="439"/>
      <c r="T106" s="425" t="s">
        <v>6</v>
      </c>
      <c r="U106" s="426"/>
      <c r="V106" s="427" t="s">
        <v>33</v>
      </c>
      <c r="W106" s="428"/>
      <c r="X106" s="428"/>
      <c r="Y106" s="428"/>
      <c r="Z106" s="428"/>
      <c r="AA106" s="429"/>
      <c r="AB106" s="27"/>
      <c r="AC106" s="116" t="s">
        <v>37</v>
      </c>
      <c r="AD106" s="25"/>
      <c r="AE106" s="190"/>
      <c r="AF106" s="25"/>
      <c r="AG106" s="27"/>
      <c r="AH106" s="151"/>
      <c r="AI106" s="152"/>
      <c r="AJ106" s="244"/>
      <c r="AK106" s="170"/>
      <c r="AL106" s="427" t="s">
        <v>5245</v>
      </c>
      <c r="AM106" s="428"/>
      <c r="AN106" s="428"/>
      <c r="AO106" s="428"/>
      <c r="AP106" s="428"/>
      <c r="AQ106" s="439"/>
      <c r="AR106" s="427" t="s">
        <v>10</v>
      </c>
      <c r="AS106" s="428"/>
      <c r="AT106" s="428"/>
      <c r="AU106" s="428"/>
      <c r="AV106" s="428"/>
      <c r="AW106" s="439"/>
      <c r="AX106" s="425" t="s">
        <v>6</v>
      </c>
      <c r="AY106" s="424"/>
      <c r="AZ106" s="434" t="s">
        <v>33</v>
      </c>
      <c r="BA106" s="428"/>
      <c r="BB106" s="428"/>
      <c r="BC106" s="428"/>
      <c r="BD106" s="428"/>
      <c r="BE106" s="429"/>
      <c r="BF106" s="238"/>
      <c r="BG106" s="448" t="s">
        <v>5245</v>
      </c>
      <c r="BH106" s="448"/>
      <c r="BI106" s="448"/>
      <c r="BJ106" s="448"/>
      <c r="BK106" s="448"/>
      <c r="BL106" s="448"/>
      <c r="BM106" s="448" t="s">
        <v>10</v>
      </c>
      <c r="BN106" s="448"/>
      <c r="BO106" s="448"/>
      <c r="BP106" s="448"/>
      <c r="BQ106" s="448"/>
      <c r="BR106" s="448"/>
      <c r="BS106" s="425" t="s">
        <v>6</v>
      </c>
      <c r="BT106" s="424"/>
      <c r="BU106" s="427" t="s">
        <v>33</v>
      </c>
      <c r="BV106" s="428"/>
      <c r="BW106" s="428"/>
      <c r="BX106" s="428"/>
      <c r="BY106" s="428"/>
      <c r="BZ106" s="439"/>
    </row>
    <row r="107" spans="2:78" x14ac:dyDescent="0.25">
      <c r="C107" s="409" t="s">
        <v>0</v>
      </c>
      <c r="D107" s="54" t="s">
        <v>41</v>
      </c>
      <c r="E107" s="39"/>
      <c r="F107" s="38"/>
      <c r="G107" s="38" t="s">
        <v>2</v>
      </c>
      <c r="H107" s="420" t="s">
        <v>4</v>
      </c>
      <c r="I107" s="420"/>
      <c r="J107" s="421" t="s">
        <v>9</v>
      </c>
      <c r="K107" s="422"/>
      <c r="L107" s="421" t="s">
        <v>5246</v>
      </c>
      <c r="M107" s="422"/>
      <c r="N107" s="420" t="s">
        <v>4</v>
      </c>
      <c r="O107" s="420"/>
      <c r="P107" s="421" t="s">
        <v>9</v>
      </c>
      <c r="Q107" s="422"/>
      <c r="R107" s="421" t="s">
        <v>5246</v>
      </c>
      <c r="S107" s="422"/>
      <c r="T107" s="435" t="s">
        <v>34</v>
      </c>
      <c r="U107" s="436"/>
      <c r="V107" s="432"/>
      <c r="W107" s="437"/>
      <c r="X107" s="432"/>
      <c r="Y107" s="431"/>
      <c r="Z107" s="437"/>
      <c r="AA107" s="433"/>
      <c r="AB107" s="215"/>
      <c r="AC107" s="117" t="s">
        <v>15</v>
      </c>
      <c r="AD107" s="32" t="s">
        <v>16</v>
      </c>
      <c r="AE107" s="79"/>
      <c r="AF107" s="32" t="s">
        <v>26</v>
      </c>
      <c r="AG107" s="350" t="s">
        <v>5249</v>
      </c>
      <c r="AH107" s="153" t="s">
        <v>2</v>
      </c>
      <c r="AI107" s="32" t="s">
        <v>23</v>
      </c>
      <c r="AJ107" s="298" t="s">
        <v>5226</v>
      </c>
      <c r="AK107" s="171" t="s">
        <v>643</v>
      </c>
      <c r="AL107" s="420" t="s">
        <v>4</v>
      </c>
      <c r="AM107" s="420"/>
      <c r="AN107" s="421" t="s">
        <v>9</v>
      </c>
      <c r="AO107" s="422"/>
      <c r="AP107" s="421" t="s">
        <v>5246</v>
      </c>
      <c r="AQ107" s="422"/>
      <c r="AR107" s="420" t="s">
        <v>4</v>
      </c>
      <c r="AS107" s="420"/>
      <c r="AT107" s="421" t="s">
        <v>9</v>
      </c>
      <c r="AU107" s="422"/>
      <c r="AV107" s="421" t="s">
        <v>5246</v>
      </c>
      <c r="AW107" s="422"/>
      <c r="AX107" s="435" t="s">
        <v>34</v>
      </c>
      <c r="AY107" s="423"/>
      <c r="AZ107" s="430"/>
      <c r="BA107" s="431"/>
      <c r="BB107" s="432"/>
      <c r="BC107" s="431"/>
      <c r="BD107" s="432"/>
      <c r="BE107" s="433"/>
      <c r="BF107" s="46"/>
      <c r="BG107" s="440" t="s">
        <v>4</v>
      </c>
      <c r="BH107" s="440"/>
      <c r="BI107" s="440" t="s">
        <v>9</v>
      </c>
      <c r="BJ107" s="440"/>
      <c r="BK107" s="440" t="s">
        <v>5246</v>
      </c>
      <c r="BL107" s="440"/>
      <c r="BM107" s="440" t="s">
        <v>4</v>
      </c>
      <c r="BN107" s="440"/>
      <c r="BO107" s="440" t="s">
        <v>9</v>
      </c>
      <c r="BP107" s="440"/>
      <c r="BQ107" s="440" t="s">
        <v>5246</v>
      </c>
      <c r="BR107" s="440"/>
      <c r="BS107" s="435" t="s">
        <v>34</v>
      </c>
      <c r="BT107" s="423"/>
      <c r="BU107" s="432"/>
      <c r="BV107" s="431"/>
      <c r="BW107" s="432"/>
      <c r="BX107" s="431"/>
      <c r="BY107" s="432"/>
      <c r="BZ107" s="431"/>
    </row>
    <row r="108" spans="2:78" ht="16.5" thickBot="1" x14ac:dyDescent="0.3">
      <c r="C108" s="410"/>
      <c r="D108" s="53" t="s">
        <v>40</v>
      </c>
      <c r="E108" s="35" t="s">
        <v>30</v>
      </c>
      <c r="F108" s="35" t="s">
        <v>1</v>
      </c>
      <c r="G108" s="35" t="s">
        <v>3</v>
      </c>
      <c r="H108" s="36" t="s">
        <v>5243</v>
      </c>
      <c r="I108" s="36" t="s">
        <v>5244</v>
      </c>
      <c r="J108" s="36" t="s">
        <v>5243</v>
      </c>
      <c r="K108" s="36" t="s">
        <v>5244</v>
      </c>
      <c r="L108" s="36" t="s">
        <v>24</v>
      </c>
      <c r="M108" s="36" t="s">
        <v>9</v>
      </c>
      <c r="N108" s="36" t="s">
        <v>5243</v>
      </c>
      <c r="O108" s="36" t="s">
        <v>5244</v>
      </c>
      <c r="P108" s="36" t="s">
        <v>5243</v>
      </c>
      <c r="Q108" s="36" t="s">
        <v>5244</v>
      </c>
      <c r="R108" s="36" t="s">
        <v>24</v>
      </c>
      <c r="S108" s="36" t="s">
        <v>9</v>
      </c>
      <c r="T108" s="36" t="s">
        <v>7</v>
      </c>
      <c r="U108" s="36" t="s">
        <v>8</v>
      </c>
      <c r="V108" s="36" t="s">
        <v>36</v>
      </c>
      <c r="W108" s="17" t="s">
        <v>31</v>
      </c>
      <c r="X108" s="36" t="s">
        <v>36</v>
      </c>
      <c r="Y108" s="36" t="s">
        <v>31</v>
      </c>
      <c r="Z108" s="18" t="s">
        <v>36</v>
      </c>
      <c r="AA108" s="57" t="s">
        <v>31</v>
      </c>
      <c r="AB108" s="215"/>
      <c r="AC108" s="118" t="s">
        <v>18</v>
      </c>
      <c r="AD108" s="5" t="s">
        <v>19</v>
      </c>
      <c r="AE108" s="217" t="s">
        <v>20</v>
      </c>
      <c r="AF108" s="5" t="s">
        <v>25</v>
      </c>
      <c r="AG108" s="4" t="s">
        <v>21</v>
      </c>
      <c r="AH108" s="154" t="s">
        <v>22</v>
      </c>
      <c r="AI108" s="164">
        <v>0.95</v>
      </c>
      <c r="AJ108" s="299" t="s">
        <v>3</v>
      </c>
      <c r="AK108" s="159" t="s">
        <v>644</v>
      </c>
      <c r="AL108" s="36" t="s">
        <v>5243</v>
      </c>
      <c r="AM108" s="36" t="s">
        <v>5244</v>
      </c>
      <c r="AN108" s="36" t="s">
        <v>5243</v>
      </c>
      <c r="AO108" s="36" t="s">
        <v>5244</v>
      </c>
      <c r="AP108" s="36" t="s">
        <v>24</v>
      </c>
      <c r="AQ108" s="36" t="s">
        <v>9</v>
      </c>
      <c r="AR108" s="36" t="s">
        <v>5243</v>
      </c>
      <c r="AS108" s="36" t="s">
        <v>5244</v>
      </c>
      <c r="AT108" s="36" t="s">
        <v>5243</v>
      </c>
      <c r="AU108" s="36" t="s">
        <v>5244</v>
      </c>
      <c r="AV108" s="36" t="s">
        <v>24</v>
      </c>
      <c r="AW108" s="36" t="s">
        <v>9</v>
      </c>
      <c r="AX108" s="36" t="s">
        <v>7</v>
      </c>
      <c r="AY108" s="17" t="s">
        <v>8</v>
      </c>
      <c r="AZ108" s="276" t="s">
        <v>36</v>
      </c>
      <c r="BA108" s="18" t="s">
        <v>31</v>
      </c>
      <c r="BB108" s="36" t="s">
        <v>36</v>
      </c>
      <c r="BC108" s="36" t="s">
        <v>31</v>
      </c>
      <c r="BD108" s="36" t="s">
        <v>36</v>
      </c>
      <c r="BE108" s="57" t="s">
        <v>31</v>
      </c>
      <c r="BF108" s="46"/>
      <c r="BG108" s="36" t="s">
        <v>5243</v>
      </c>
      <c r="BH108" s="36" t="s">
        <v>5244</v>
      </c>
      <c r="BI108" s="36" t="s">
        <v>5243</v>
      </c>
      <c r="BJ108" s="36" t="s">
        <v>5244</v>
      </c>
      <c r="BK108" s="36" t="s">
        <v>24</v>
      </c>
      <c r="BL108" s="36" t="s">
        <v>9</v>
      </c>
      <c r="BM108" s="36" t="s">
        <v>5243</v>
      </c>
      <c r="BN108" s="36" t="s">
        <v>5244</v>
      </c>
      <c r="BO108" s="36" t="s">
        <v>5243</v>
      </c>
      <c r="BP108" s="36" t="s">
        <v>5244</v>
      </c>
      <c r="BQ108" s="36" t="s">
        <v>24</v>
      </c>
      <c r="BR108" s="36" t="s">
        <v>9</v>
      </c>
      <c r="BS108" s="36" t="s">
        <v>7</v>
      </c>
      <c r="BT108" s="17" t="s">
        <v>8</v>
      </c>
      <c r="BU108" s="36" t="s">
        <v>36</v>
      </c>
      <c r="BV108" s="36" t="s">
        <v>31</v>
      </c>
      <c r="BW108" s="36" t="s">
        <v>36</v>
      </c>
      <c r="BX108" s="36" t="s">
        <v>31</v>
      </c>
      <c r="BY108" s="36" t="s">
        <v>36</v>
      </c>
      <c r="BZ108" s="36" t="s">
        <v>31</v>
      </c>
    </row>
    <row r="109" spans="2:78" x14ac:dyDescent="0.25">
      <c r="B109" s="401" t="str">
        <f>B52</f>
        <v>0</v>
      </c>
      <c r="C109" s="120"/>
      <c r="D109" s="55" t="s">
        <v>39</v>
      </c>
      <c r="E109" s="3"/>
      <c r="F109" s="39"/>
      <c r="G109" s="272"/>
      <c r="H109" s="277"/>
      <c r="I109" s="40"/>
      <c r="J109" s="41"/>
      <c r="K109" s="42"/>
      <c r="L109" s="40"/>
      <c r="M109" s="58"/>
      <c r="N109" s="277"/>
      <c r="O109" s="40"/>
      <c r="P109" s="41"/>
      <c r="Q109" s="40"/>
      <c r="R109" s="41"/>
      <c r="S109" s="58"/>
      <c r="T109" s="40"/>
      <c r="U109" s="40"/>
      <c r="V109" s="277"/>
      <c r="W109" s="40"/>
      <c r="X109" s="41"/>
      <c r="Y109" s="42"/>
      <c r="Z109" s="40"/>
      <c r="AA109" s="58"/>
      <c r="AB109" s="215"/>
      <c r="AC109" s="300"/>
      <c r="AD109" s="193"/>
      <c r="AE109" s="195"/>
      <c r="AF109" s="195"/>
      <c r="AG109" s="210"/>
      <c r="AH109" s="196"/>
      <c r="AI109" s="197"/>
      <c r="AJ109" s="301"/>
      <c r="AK109" s="181"/>
      <c r="AL109" s="281"/>
      <c r="AM109" s="48"/>
      <c r="AN109" s="47"/>
      <c r="AO109" s="48"/>
      <c r="AP109" s="47"/>
      <c r="AQ109" s="282"/>
      <c r="AR109" s="281"/>
      <c r="AS109" s="48"/>
      <c r="AT109" s="47"/>
      <c r="AU109" s="48"/>
      <c r="AV109" s="47"/>
      <c r="AW109" s="282"/>
      <c r="AX109" s="279"/>
      <c r="AY109" s="129"/>
      <c r="AZ109" s="279"/>
      <c r="BA109" s="130"/>
      <c r="BB109" s="128"/>
      <c r="BC109" s="130"/>
      <c r="BD109" s="128"/>
      <c r="BE109" s="280"/>
      <c r="BF109" s="46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20"/>
      <c r="BT109" s="20"/>
      <c r="BU109" s="49"/>
      <c r="BV109" s="20"/>
      <c r="BW109" s="20"/>
      <c r="BX109" s="20"/>
      <c r="BY109" s="20"/>
      <c r="BZ109" s="99"/>
    </row>
    <row r="110" spans="2:78" x14ac:dyDescent="0.25">
      <c r="B110" s="402"/>
      <c r="C110" s="50"/>
      <c r="D110" s="56" t="s">
        <v>39</v>
      </c>
      <c r="E110" s="34"/>
      <c r="F110" s="31"/>
      <c r="G110" s="273"/>
      <c r="H110" s="267"/>
      <c r="J110" s="45"/>
      <c r="K110" s="46"/>
      <c r="M110" s="52"/>
      <c r="N110" s="267"/>
      <c r="P110" s="45"/>
      <c r="R110" s="45"/>
      <c r="S110" s="52"/>
      <c r="V110" s="267"/>
      <c r="X110" s="45"/>
      <c r="Y110" s="46"/>
      <c r="AA110" s="52"/>
      <c r="AB110" s="215"/>
      <c r="AC110" s="302"/>
      <c r="AD110" s="199"/>
      <c r="AE110" s="200"/>
      <c r="AF110" s="201"/>
      <c r="AG110" s="211"/>
      <c r="AH110" s="202"/>
      <c r="AI110" s="202"/>
      <c r="AJ110" s="303"/>
      <c r="AK110" s="172"/>
      <c r="AL110" s="281"/>
      <c r="AM110" s="48"/>
      <c r="AN110" s="47"/>
      <c r="AO110" s="48"/>
      <c r="AP110" s="47"/>
      <c r="AQ110" s="282"/>
      <c r="AR110" s="281"/>
      <c r="AS110" s="48"/>
      <c r="AT110" s="47"/>
      <c r="AU110" s="48"/>
      <c r="AV110" s="47"/>
      <c r="AW110" s="282"/>
      <c r="AX110" s="281"/>
      <c r="AY110" s="48"/>
      <c r="AZ110" s="281"/>
      <c r="BA110" s="51"/>
      <c r="BB110" s="47"/>
      <c r="BC110" s="51"/>
      <c r="BD110" s="47"/>
      <c r="BE110" s="282"/>
      <c r="BF110" s="46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20"/>
      <c r="BT110" s="20"/>
      <c r="BU110" s="49"/>
      <c r="BV110" s="20"/>
      <c r="BW110" s="20"/>
      <c r="BX110" s="20"/>
      <c r="BY110" s="20"/>
      <c r="BZ110" s="99"/>
    </row>
    <row r="111" spans="2:78" x14ac:dyDescent="0.25">
      <c r="B111" s="402"/>
      <c r="C111" s="50"/>
      <c r="D111" s="56" t="s">
        <v>39</v>
      </c>
      <c r="E111" s="34"/>
      <c r="F111" s="31"/>
      <c r="G111" s="273"/>
      <c r="H111" s="267"/>
      <c r="J111" s="45"/>
      <c r="K111" s="46"/>
      <c r="M111" s="52"/>
      <c r="N111" s="267"/>
      <c r="P111" s="45"/>
      <c r="R111" s="45"/>
      <c r="S111" s="52"/>
      <c r="V111" s="267"/>
      <c r="X111" s="45"/>
      <c r="Y111" s="46"/>
      <c r="AA111" s="52"/>
      <c r="AB111" s="215"/>
      <c r="AC111" s="302"/>
      <c r="AD111" s="199"/>
      <c r="AE111" s="200"/>
      <c r="AF111" s="201"/>
      <c r="AG111" s="211"/>
      <c r="AH111" s="202"/>
      <c r="AI111" s="202"/>
      <c r="AJ111" s="303"/>
      <c r="AK111" s="172"/>
      <c r="AL111" s="281"/>
      <c r="AM111" s="48"/>
      <c r="AN111" s="47"/>
      <c r="AO111" s="48"/>
      <c r="AP111" s="47"/>
      <c r="AQ111" s="282"/>
      <c r="AR111" s="281"/>
      <c r="AS111" s="48"/>
      <c r="AT111" s="47"/>
      <c r="AU111" s="48"/>
      <c r="AV111" s="47"/>
      <c r="AW111" s="282"/>
      <c r="AX111" s="281"/>
      <c r="AY111" s="48"/>
      <c r="AZ111" s="281"/>
      <c r="BA111" s="51"/>
      <c r="BB111" s="47"/>
      <c r="BC111" s="51"/>
      <c r="BD111" s="47"/>
      <c r="BE111" s="282"/>
      <c r="BF111" s="46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20"/>
      <c r="BT111" s="20"/>
      <c r="BU111" s="49"/>
      <c r="BV111" s="20"/>
      <c r="BW111" s="20"/>
      <c r="BX111" s="20"/>
      <c r="BY111" s="20"/>
      <c r="BZ111" s="99"/>
    </row>
    <row r="112" spans="2:78" x14ac:dyDescent="0.25">
      <c r="B112" s="402"/>
      <c r="C112" s="50"/>
      <c r="D112" s="56" t="s">
        <v>40</v>
      </c>
      <c r="E112" s="34"/>
      <c r="F112" s="31"/>
      <c r="G112" s="273"/>
      <c r="H112" s="267"/>
      <c r="J112" s="45"/>
      <c r="K112" s="46"/>
      <c r="M112" s="52"/>
      <c r="N112" s="267"/>
      <c r="P112" s="45"/>
      <c r="R112" s="45"/>
      <c r="S112" s="52"/>
      <c r="V112" s="267"/>
      <c r="X112" s="45"/>
      <c r="Y112" s="46"/>
      <c r="AA112" s="52"/>
      <c r="AB112" s="215"/>
      <c r="AC112" s="302"/>
      <c r="AD112" s="199"/>
      <c r="AE112" s="200" t="e">
        <f>SUM(AC112:AC113)/SUM(AD112:AD113)</f>
        <v>#DIV/0!</v>
      </c>
      <c r="AF112" s="200"/>
      <c r="AG112" s="211"/>
      <c r="AH112" s="202" t="e">
        <f>AE112*AF112*AG112</f>
        <v>#DIV/0!</v>
      </c>
      <c r="AI112" s="203" t="e">
        <f t="shared" ref="AI112" si="531">AH112/AI$51</f>
        <v>#DIV/0!</v>
      </c>
      <c r="AJ112" s="319" t="e">
        <f>AI112*3</f>
        <v>#DIV/0!</v>
      </c>
      <c r="AK112" s="320">
        <v>0</v>
      </c>
      <c r="AL112" s="321">
        <v>0</v>
      </c>
      <c r="AM112" s="322">
        <v>0</v>
      </c>
      <c r="AN112" s="323">
        <v>0</v>
      </c>
      <c r="AO112" s="322">
        <v>0</v>
      </c>
      <c r="AP112" s="323">
        <v>0</v>
      </c>
      <c r="AQ112" s="324">
        <v>0</v>
      </c>
      <c r="AR112" s="321">
        <v>0</v>
      </c>
      <c r="AS112" s="322">
        <v>0</v>
      </c>
      <c r="AT112" s="323">
        <v>0</v>
      </c>
      <c r="AU112" s="322">
        <v>0</v>
      </c>
      <c r="AV112" s="323">
        <v>0</v>
      </c>
      <c r="AW112" s="324">
        <v>0</v>
      </c>
      <c r="AX112" s="321">
        <v>0</v>
      </c>
      <c r="AY112" s="322">
        <v>0</v>
      </c>
      <c r="AZ112" s="321">
        <v>0</v>
      </c>
      <c r="BA112" s="325">
        <v>0</v>
      </c>
      <c r="BB112" s="323">
        <v>0</v>
      </c>
      <c r="BC112" s="325">
        <v>0</v>
      </c>
      <c r="BD112" s="323">
        <v>0</v>
      </c>
      <c r="BE112" s="324">
        <v>0</v>
      </c>
      <c r="BF112" s="46"/>
      <c r="BG112" s="49">
        <v>0</v>
      </c>
      <c r="BH112" s="49" t="e">
        <f t="shared" ref="BH112:BZ112" si="532">AM112*$AJ112</f>
        <v>#DIV/0!</v>
      </c>
      <c r="BI112" s="49" t="e">
        <f t="shared" si="532"/>
        <v>#DIV/0!</v>
      </c>
      <c r="BJ112" s="49" t="e">
        <f t="shared" si="532"/>
        <v>#DIV/0!</v>
      </c>
      <c r="BK112" s="49" t="e">
        <f t="shared" si="532"/>
        <v>#DIV/0!</v>
      </c>
      <c r="BL112" s="49" t="e">
        <f t="shared" si="532"/>
        <v>#DIV/0!</v>
      </c>
      <c r="BM112" s="49" t="e">
        <f t="shared" si="532"/>
        <v>#DIV/0!</v>
      </c>
      <c r="BN112" s="49" t="e">
        <f t="shared" si="532"/>
        <v>#DIV/0!</v>
      </c>
      <c r="BO112" s="49" t="e">
        <f t="shared" si="532"/>
        <v>#DIV/0!</v>
      </c>
      <c r="BP112" s="49" t="e">
        <f t="shared" si="532"/>
        <v>#DIV/0!</v>
      </c>
      <c r="BQ112" s="49" t="e">
        <f t="shared" si="532"/>
        <v>#DIV/0!</v>
      </c>
      <c r="BR112" s="49" t="e">
        <f t="shared" si="532"/>
        <v>#DIV/0!</v>
      </c>
      <c r="BS112" s="20" t="e">
        <f t="shared" si="532"/>
        <v>#DIV/0!</v>
      </c>
      <c r="BT112" s="20" t="e">
        <f t="shared" si="532"/>
        <v>#DIV/0!</v>
      </c>
      <c r="BU112" s="49" t="e">
        <f t="shared" si="532"/>
        <v>#DIV/0!</v>
      </c>
      <c r="BV112" s="20" t="e">
        <f t="shared" si="532"/>
        <v>#DIV/0!</v>
      </c>
      <c r="BW112" s="20" t="e">
        <f t="shared" si="532"/>
        <v>#DIV/0!</v>
      </c>
      <c r="BX112" s="20" t="e">
        <f t="shared" si="532"/>
        <v>#DIV/0!</v>
      </c>
      <c r="BY112" s="20" t="e">
        <f t="shared" si="532"/>
        <v>#DIV/0!</v>
      </c>
      <c r="BZ112" s="99" t="e">
        <f t="shared" si="532"/>
        <v>#DIV/0!</v>
      </c>
    </row>
    <row r="113" spans="2:78" ht="16.5" thickBot="1" x14ac:dyDescent="0.3">
      <c r="B113" s="403"/>
      <c r="C113" s="139"/>
      <c r="D113" s="121" t="s">
        <v>40</v>
      </c>
      <c r="E113" s="4"/>
      <c r="F113" s="122"/>
      <c r="G113" s="274"/>
      <c r="H113" s="278"/>
      <c r="I113" s="124"/>
      <c r="J113" s="125"/>
      <c r="K113" s="126"/>
      <c r="L113" s="124"/>
      <c r="M113" s="140"/>
      <c r="N113" s="278"/>
      <c r="O113" s="124"/>
      <c r="P113" s="125"/>
      <c r="Q113" s="124"/>
      <c r="R113" s="125"/>
      <c r="S113" s="140"/>
      <c r="T113" s="124"/>
      <c r="U113" s="124"/>
      <c r="V113" s="278"/>
      <c r="W113" s="124"/>
      <c r="X113" s="125"/>
      <c r="Y113" s="126"/>
      <c r="Z113" s="124"/>
      <c r="AA113" s="140"/>
      <c r="AB113" s="215"/>
      <c r="AC113" s="304"/>
      <c r="AD113" s="205"/>
      <c r="AE113" s="206"/>
      <c r="AF113" s="207"/>
      <c r="AG113" s="212"/>
      <c r="AH113" s="208"/>
      <c r="AI113" s="208"/>
      <c r="AJ113" s="305"/>
      <c r="AK113" s="173"/>
      <c r="AL113" s="283"/>
      <c r="AM113" s="132"/>
      <c r="AN113" s="131"/>
      <c r="AO113" s="132"/>
      <c r="AP113" s="131"/>
      <c r="AQ113" s="284"/>
      <c r="AR113" s="283"/>
      <c r="AS113" s="132"/>
      <c r="AT113" s="131"/>
      <c r="AU113" s="132"/>
      <c r="AV113" s="131"/>
      <c r="AW113" s="284"/>
      <c r="AX113" s="283"/>
      <c r="AY113" s="132"/>
      <c r="AZ113" s="283"/>
      <c r="BA113" s="133"/>
      <c r="BB113" s="131"/>
      <c r="BC113" s="133"/>
      <c r="BD113" s="131"/>
      <c r="BE113" s="284"/>
      <c r="BF113" s="46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127"/>
      <c r="BT113" s="127"/>
      <c r="BU113" s="64"/>
      <c r="BV113" s="127"/>
      <c r="BW113" s="127"/>
      <c r="BX113" s="127"/>
      <c r="BY113" s="127"/>
      <c r="BZ113" s="100"/>
    </row>
    <row r="114" spans="2:78" x14ac:dyDescent="0.25">
      <c r="B114" s="401" t="str">
        <f t="shared" ref="B114" si="533">B57</f>
        <v>Sept 15-21</v>
      </c>
      <c r="C114" s="120">
        <v>45915</v>
      </c>
      <c r="D114" s="55" t="s">
        <v>39</v>
      </c>
      <c r="E114" s="3"/>
      <c r="F114" s="39"/>
      <c r="G114" s="272"/>
      <c r="H114" s="277"/>
      <c r="I114" s="40"/>
      <c r="J114" s="41"/>
      <c r="K114" s="42"/>
      <c r="L114" s="40"/>
      <c r="M114" s="58"/>
      <c r="N114" s="277"/>
      <c r="O114" s="40"/>
      <c r="P114" s="41"/>
      <c r="Q114" s="40"/>
      <c r="R114" s="41"/>
      <c r="S114" s="58"/>
      <c r="T114" s="40"/>
      <c r="U114" s="40"/>
      <c r="V114" s="277"/>
      <c r="W114" s="40"/>
      <c r="X114" s="41"/>
      <c r="Y114" s="42"/>
      <c r="Z114" s="40"/>
      <c r="AA114" s="58"/>
      <c r="AB114" s="215"/>
      <c r="AC114" s="300">
        <v>0</v>
      </c>
      <c r="AD114" s="193">
        <v>1</v>
      </c>
      <c r="AE114" s="195">
        <f>SUM(AC114:AC116)/SUM(AD114:AD116)</f>
        <v>0</v>
      </c>
      <c r="AF114" s="195" t="e">
        <f>SUM(F114:F116)/SUM(E114:E116)</f>
        <v>#DIV/0!</v>
      </c>
      <c r="AG114" s="210">
        <v>13.6</v>
      </c>
      <c r="AH114" s="196" t="e">
        <f>AE114*AF114*AG114</f>
        <v>#DIV/0!</v>
      </c>
      <c r="AI114" s="197" t="e">
        <f>AH114/AI$51</f>
        <v>#DIV/0!</v>
      </c>
      <c r="AJ114" s="301" t="e">
        <f>AI114*5</f>
        <v>#DIV/0!</v>
      </c>
      <c r="AK114" s="181">
        <v>0</v>
      </c>
      <c r="AL114" s="279">
        <v>0</v>
      </c>
      <c r="AM114" s="129">
        <v>0</v>
      </c>
      <c r="AN114" s="128">
        <v>0</v>
      </c>
      <c r="AO114" s="129">
        <v>0</v>
      </c>
      <c r="AP114" s="128">
        <v>0</v>
      </c>
      <c r="AQ114" s="280">
        <v>0</v>
      </c>
      <c r="AR114" s="279">
        <v>0</v>
      </c>
      <c r="AS114" s="129">
        <v>0</v>
      </c>
      <c r="AT114" s="128">
        <v>0</v>
      </c>
      <c r="AU114" s="129">
        <v>0</v>
      </c>
      <c r="AV114" s="128">
        <v>0</v>
      </c>
      <c r="AW114" s="280">
        <v>0</v>
      </c>
      <c r="AX114" s="279">
        <v>0</v>
      </c>
      <c r="AY114" s="129">
        <v>0</v>
      </c>
      <c r="AZ114" s="279">
        <v>0</v>
      </c>
      <c r="BA114" s="130">
        <v>0</v>
      </c>
      <c r="BB114" s="128">
        <v>0</v>
      </c>
      <c r="BC114" s="130">
        <v>0</v>
      </c>
      <c r="BD114" s="128">
        <v>0</v>
      </c>
      <c r="BE114" s="280">
        <v>0</v>
      </c>
      <c r="BF114" s="46"/>
      <c r="BG114" s="49" t="e">
        <f t="shared" ref="BG114:BR114" si="534">AL114*$AJ114</f>
        <v>#DIV/0!</v>
      </c>
      <c r="BH114" s="49" t="e">
        <f t="shared" si="534"/>
        <v>#DIV/0!</v>
      </c>
      <c r="BI114" s="49" t="e">
        <f t="shared" si="534"/>
        <v>#DIV/0!</v>
      </c>
      <c r="BJ114" s="49" t="e">
        <f t="shared" si="534"/>
        <v>#DIV/0!</v>
      </c>
      <c r="BK114" s="49" t="e">
        <f t="shared" si="534"/>
        <v>#DIV/0!</v>
      </c>
      <c r="BL114" s="49" t="e">
        <f t="shared" si="534"/>
        <v>#DIV/0!</v>
      </c>
      <c r="BM114" s="49" t="e">
        <f t="shared" si="534"/>
        <v>#DIV/0!</v>
      </c>
      <c r="BN114" s="49" t="e">
        <f t="shared" si="534"/>
        <v>#DIV/0!</v>
      </c>
      <c r="BO114" s="49" t="e">
        <f t="shared" si="534"/>
        <v>#DIV/0!</v>
      </c>
      <c r="BP114" s="49" t="e">
        <f t="shared" si="534"/>
        <v>#DIV/0!</v>
      </c>
      <c r="BQ114" s="49" t="e">
        <f t="shared" si="534"/>
        <v>#DIV/0!</v>
      </c>
      <c r="BR114" s="49" t="e">
        <f t="shared" si="534"/>
        <v>#DIV/0!</v>
      </c>
      <c r="BS114" s="20" t="e">
        <f t="shared" ref="BS114" si="535">AX114*$AJ114</f>
        <v>#DIV/0!</v>
      </c>
      <c r="BT114" s="20" t="e">
        <f t="shared" ref="BT114" si="536">AY114*$AJ114</f>
        <v>#DIV/0!</v>
      </c>
      <c r="BU114" s="49" t="e">
        <f t="shared" ref="BU114" si="537">AZ114*$AJ114</f>
        <v>#DIV/0!</v>
      </c>
      <c r="BV114" s="20" t="e">
        <f t="shared" ref="BV114" si="538">BA114*$AJ114</f>
        <v>#DIV/0!</v>
      </c>
      <c r="BW114" s="20" t="e">
        <f t="shared" ref="BW114" si="539">BB114*$AJ114</f>
        <v>#DIV/0!</v>
      </c>
      <c r="BX114" s="20" t="e">
        <f t="shared" ref="BX114" si="540">BC114*$AJ114</f>
        <v>#DIV/0!</v>
      </c>
      <c r="BY114" s="20" t="e">
        <f t="shared" ref="BY114" si="541">BD114*$AJ114</f>
        <v>#DIV/0!</v>
      </c>
      <c r="BZ114" s="99" t="e">
        <f t="shared" ref="BZ114" si="542">BE114*$AJ114</f>
        <v>#DIV/0!</v>
      </c>
    </row>
    <row r="115" spans="2:78" x14ac:dyDescent="0.25">
      <c r="B115" s="402"/>
      <c r="C115" s="50">
        <v>45916</v>
      </c>
      <c r="D115" s="56" t="s">
        <v>39</v>
      </c>
      <c r="E115" s="34"/>
      <c r="F115" s="31"/>
      <c r="G115" s="273"/>
      <c r="H115" s="267"/>
      <c r="J115" s="45"/>
      <c r="K115" s="46"/>
      <c r="M115" s="52"/>
      <c r="N115" s="267"/>
      <c r="P115" s="45"/>
      <c r="R115" s="45"/>
      <c r="S115" s="52"/>
      <c r="V115" s="267"/>
      <c r="X115" s="45"/>
      <c r="Y115" s="46"/>
      <c r="AA115" s="52"/>
      <c r="AB115" s="215"/>
      <c r="AC115" s="302">
        <v>0</v>
      </c>
      <c r="AD115" s="199">
        <v>1</v>
      </c>
      <c r="AE115" s="200"/>
      <c r="AF115" s="201"/>
      <c r="AG115" s="211"/>
      <c r="AH115" s="202"/>
      <c r="AI115" s="202"/>
      <c r="AJ115" s="303"/>
      <c r="AK115" s="172"/>
      <c r="AL115" s="281"/>
      <c r="AM115" s="48"/>
      <c r="AN115" s="47"/>
      <c r="AO115" s="48"/>
      <c r="AP115" s="47"/>
      <c r="AQ115" s="282"/>
      <c r="AR115" s="281"/>
      <c r="AS115" s="48"/>
      <c r="AT115" s="47"/>
      <c r="AU115" s="48"/>
      <c r="AV115" s="47"/>
      <c r="AW115" s="282"/>
      <c r="AX115" s="281"/>
      <c r="AY115" s="48"/>
      <c r="AZ115" s="281"/>
      <c r="BA115" s="51"/>
      <c r="BB115" s="47"/>
      <c r="BC115" s="51"/>
      <c r="BD115" s="47"/>
      <c r="BE115" s="282"/>
      <c r="BF115" s="46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20"/>
      <c r="BT115" s="20"/>
      <c r="BU115" s="49"/>
      <c r="BV115" s="20"/>
      <c r="BW115" s="20"/>
      <c r="BX115" s="20"/>
      <c r="BY115" s="20"/>
      <c r="BZ115" s="99"/>
    </row>
    <row r="116" spans="2:78" x14ac:dyDescent="0.25">
      <c r="B116" s="402"/>
      <c r="C116" s="382"/>
      <c r="D116" s="56" t="s">
        <v>39</v>
      </c>
      <c r="E116" s="34"/>
      <c r="F116" s="31"/>
      <c r="G116" s="273"/>
      <c r="H116" s="267"/>
      <c r="J116" s="45"/>
      <c r="K116" s="46"/>
      <c r="M116" s="52"/>
      <c r="N116" s="267"/>
      <c r="P116" s="45"/>
      <c r="R116" s="45"/>
      <c r="S116" s="52"/>
      <c r="V116" s="267"/>
      <c r="X116" s="45"/>
      <c r="Y116" s="46"/>
      <c r="AA116" s="52"/>
      <c r="AB116" s="215"/>
      <c r="AC116" s="302">
        <v>0</v>
      </c>
      <c r="AD116" s="199">
        <v>0</v>
      </c>
      <c r="AE116" s="200"/>
      <c r="AF116" s="201"/>
      <c r="AG116" s="211"/>
      <c r="AH116" s="202"/>
      <c r="AI116" s="202"/>
      <c r="AJ116" s="303"/>
      <c r="AK116" s="172"/>
      <c r="AL116" s="281"/>
      <c r="AM116" s="48"/>
      <c r="AN116" s="47"/>
      <c r="AO116" s="48"/>
      <c r="AP116" s="47"/>
      <c r="AQ116" s="282"/>
      <c r="AR116" s="281"/>
      <c r="AS116" s="48"/>
      <c r="AT116" s="47"/>
      <c r="AU116" s="48"/>
      <c r="AV116" s="47"/>
      <c r="AW116" s="282"/>
      <c r="AX116" s="281"/>
      <c r="AY116" s="48"/>
      <c r="AZ116" s="281"/>
      <c r="BA116" s="51"/>
      <c r="BB116" s="47"/>
      <c r="BC116" s="51"/>
      <c r="BD116" s="47"/>
      <c r="BE116" s="282"/>
      <c r="BF116" s="46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20"/>
      <c r="BT116" s="20"/>
      <c r="BU116" s="49"/>
      <c r="BV116" s="20"/>
      <c r="BW116" s="20"/>
      <c r="BX116" s="20"/>
      <c r="BY116" s="20"/>
      <c r="BZ116" s="99"/>
    </row>
    <row r="117" spans="2:78" x14ac:dyDescent="0.25">
      <c r="B117" s="402"/>
      <c r="C117" s="50">
        <v>45920</v>
      </c>
      <c r="D117" s="56" t="s">
        <v>40</v>
      </c>
      <c r="E117" s="34"/>
      <c r="F117" s="31"/>
      <c r="G117" s="273"/>
      <c r="H117" s="267"/>
      <c r="J117" s="45"/>
      <c r="K117" s="46"/>
      <c r="M117" s="52"/>
      <c r="N117" s="267"/>
      <c r="P117" s="45"/>
      <c r="R117" s="45"/>
      <c r="S117" s="52"/>
      <c r="V117" s="267"/>
      <c r="X117" s="45"/>
      <c r="Y117" s="46"/>
      <c r="AA117" s="52"/>
      <c r="AB117" s="215"/>
      <c r="AC117" s="302">
        <v>0</v>
      </c>
      <c r="AD117" s="199">
        <v>1</v>
      </c>
      <c r="AE117" s="200">
        <f>SUM(AC117:AC118)/SUM(AD117:AD118)</f>
        <v>0</v>
      </c>
      <c r="AF117" s="200" t="e">
        <f>SUM(F117:F118)/SUM(E117:E118)</f>
        <v>#DIV/0!</v>
      </c>
      <c r="AG117" s="211">
        <v>15.6</v>
      </c>
      <c r="AH117" s="202" t="e">
        <f>AE117*AF117*AG117</f>
        <v>#DIV/0!</v>
      </c>
      <c r="AI117" s="203" t="e">
        <f t="shared" ref="AI117" si="543">AH117/AI$51</f>
        <v>#DIV/0!</v>
      </c>
      <c r="AJ117" s="303" t="e">
        <f>AI117*2</f>
        <v>#DIV/0!</v>
      </c>
      <c r="AK117" s="181" t="e">
        <f>AJ117/AB60</f>
        <v>#DIV/0!</v>
      </c>
      <c r="AL117" s="281">
        <f t="shared" ref="AL117:AW117" si="544">AL60</f>
        <v>0</v>
      </c>
      <c r="AM117" s="48">
        <f t="shared" si="544"/>
        <v>0</v>
      </c>
      <c r="AN117" s="47">
        <f t="shared" si="544"/>
        <v>0</v>
      </c>
      <c r="AO117" s="48">
        <f t="shared" si="544"/>
        <v>0</v>
      </c>
      <c r="AP117" s="47">
        <f t="shared" si="544"/>
        <v>0</v>
      </c>
      <c r="AQ117" s="282">
        <f t="shared" si="544"/>
        <v>0</v>
      </c>
      <c r="AR117" s="281">
        <f t="shared" si="544"/>
        <v>0</v>
      </c>
      <c r="AS117" s="48">
        <f t="shared" si="544"/>
        <v>0</v>
      </c>
      <c r="AT117" s="47">
        <f t="shared" si="544"/>
        <v>0</v>
      </c>
      <c r="AU117" s="48">
        <f t="shared" si="544"/>
        <v>0</v>
      </c>
      <c r="AV117" s="47">
        <f t="shared" si="544"/>
        <v>0</v>
      </c>
      <c r="AW117" s="282">
        <f t="shared" si="544"/>
        <v>0</v>
      </c>
      <c r="AX117" s="281">
        <f t="shared" ref="AX117:BE117" si="545">AX60</f>
        <v>0</v>
      </c>
      <c r="AY117" s="48">
        <f t="shared" si="545"/>
        <v>0</v>
      </c>
      <c r="AZ117" s="281">
        <f t="shared" si="545"/>
        <v>0</v>
      </c>
      <c r="BA117" s="51">
        <f t="shared" si="545"/>
        <v>0</v>
      </c>
      <c r="BB117" s="47">
        <f t="shared" si="545"/>
        <v>0</v>
      </c>
      <c r="BC117" s="51">
        <f t="shared" si="545"/>
        <v>0</v>
      </c>
      <c r="BD117" s="47">
        <f t="shared" si="545"/>
        <v>0</v>
      </c>
      <c r="BE117" s="282">
        <f t="shared" si="545"/>
        <v>0</v>
      </c>
      <c r="BF117" s="46"/>
      <c r="BG117" s="49" t="e">
        <f t="shared" ref="BG117:BZ117" si="546">AL117*$AJ117</f>
        <v>#DIV/0!</v>
      </c>
      <c r="BH117" s="49" t="e">
        <f t="shared" si="546"/>
        <v>#DIV/0!</v>
      </c>
      <c r="BI117" s="49" t="e">
        <f t="shared" si="546"/>
        <v>#DIV/0!</v>
      </c>
      <c r="BJ117" s="49" t="e">
        <f t="shared" si="546"/>
        <v>#DIV/0!</v>
      </c>
      <c r="BK117" s="49" t="e">
        <f t="shared" si="546"/>
        <v>#DIV/0!</v>
      </c>
      <c r="BL117" s="49" t="e">
        <f t="shared" si="546"/>
        <v>#DIV/0!</v>
      </c>
      <c r="BM117" s="49" t="e">
        <f t="shared" si="546"/>
        <v>#DIV/0!</v>
      </c>
      <c r="BN117" s="49" t="e">
        <f t="shared" si="546"/>
        <v>#DIV/0!</v>
      </c>
      <c r="BO117" s="49" t="e">
        <f t="shared" si="546"/>
        <v>#DIV/0!</v>
      </c>
      <c r="BP117" s="49" t="e">
        <f t="shared" si="546"/>
        <v>#DIV/0!</v>
      </c>
      <c r="BQ117" s="49" t="e">
        <f t="shared" si="546"/>
        <v>#DIV/0!</v>
      </c>
      <c r="BR117" s="49" t="e">
        <f t="shared" si="546"/>
        <v>#DIV/0!</v>
      </c>
      <c r="BS117" s="20" t="e">
        <f t="shared" si="546"/>
        <v>#DIV/0!</v>
      </c>
      <c r="BT117" s="20" t="e">
        <f t="shared" si="546"/>
        <v>#DIV/0!</v>
      </c>
      <c r="BU117" s="49" t="e">
        <f t="shared" si="546"/>
        <v>#DIV/0!</v>
      </c>
      <c r="BV117" s="20" t="e">
        <f t="shared" si="546"/>
        <v>#DIV/0!</v>
      </c>
      <c r="BW117" s="20" t="e">
        <f t="shared" si="546"/>
        <v>#DIV/0!</v>
      </c>
      <c r="BX117" s="20" t="e">
        <f t="shared" si="546"/>
        <v>#DIV/0!</v>
      </c>
      <c r="BY117" s="20" t="e">
        <f t="shared" si="546"/>
        <v>#DIV/0!</v>
      </c>
      <c r="BZ117" s="99" t="e">
        <f t="shared" si="546"/>
        <v>#DIV/0!</v>
      </c>
    </row>
    <row r="118" spans="2:78" ht="16.5" thickBot="1" x14ac:dyDescent="0.3">
      <c r="B118" s="403"/>
      <c r="C118" s="139">
        <v>45921</v>
      </c>
      <c r="D118" s="121" t="s">
        <v>40</v>
      </c>
      <c r="E118" s="4"/>
      <c r="F118" s="122"/>
      <c r="G118" s="274"/>
      <c r="H118" s="278"/>
      <c r="I118" s="124"/>
      <c r="J118" s="125"/>
      <c r="K118" s="126"/>
      <c r="L118" s="124"/>
      <c r="M118" s="140"/>
      <c r="N118" s="278"/>
      <c r="O118" s="124"/>
      <c r="P118" s="125"/>
      <c r="Q118" s="124"/>
      <c r="R118" s="125"/>
      <c r="S118" s="140"/>
      <c r="T118" s="124"/>
      <c r="U118" s="124"/>
      <c r="V118" s="278"/>
      <c r="W118" s="124"/>
      <c r="X118" s="125"/>
      <c r="Y118" s="126"/>
      <c r="Z118" s="124"/>
      <c r="AA118" s="140"/>
      <c r="AB118" s="215"/>
      <c r="AC118" s="304">
        <v>0</v>
      </c>
      <c r="AD118" s="205">
        <v>1</v>
      </c>
      <c r="AE118" s="206"/>
      <c r="AF118" s="207"/>
      <c r="AG118" s="212"/>
      <c r="AH118" s="208"/>
      <c r="AI118" s="208"/>
      <c r="AJ118" s="305"/>
      <c r="AK118" s="173"/>
      <c r="AL118" s="283"/>
      <c r="AM118" s="132"/>
      <c r="AN118" s="131"/>
      <c r="AO118" s="132"/>
      <c r="AP118" s="131"/>
      <c r="AQ118" s="284"/>
      <c r="AR118" s="283"/>
      <c r="AS118" s="132"/>
      <c r="AT118" s="131"/>
      <c r="AU118" s="132"/>
      <c r="AV118" s="131"/>
      <c r="AW118" s="284"/>
      <c r="AX118" s="283"/>
      <c r="AY118" s="132"/>
      <c r="AZ118" s="283"/>
      <c r="BA118" s="133"/>
      <c r="BB118" s="131"/>
      <c r="BC118" s="133"/>
      <c r="BD118" s="131"/>
      <c r="BE118" s="284"/>
      <c r="BF118" s="46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127"/>
      <c r="BT118" s="127"/>
      <c r="BU118" s="64"/>
      <c r="BV118" s="127"/>
      <c r="BW118" s="127"/>
      <c r="BX118" s="127"/>
      <c r="BY118" s="127"/>
      <c r="BZ118" s="100"/>
    </row>
    <row r="119" spans="2:78" x14ac:dyDescent="0.25">
      <c r="B119" s="401" t="str">
        <f t="shared" ref="B119" si="547">B62</f>
        <v>Sept 21-28</v>
      </c>
      <c r="C119" s="120">
        <v>45923</v>
      </c>
      <c r="D119" s="55" t="s">
        <v>39</v>
      </c>
      <c r="E119" s="3"/>
      <c r="F119" s="39"/>
      <c r="G119" s="272"/>
      <c r="H119" s="277"/>
      <c r="I119" s="40"/>
      <c r="J119" s="41"/>
      <c r="K119" s="42"/>
      <c r="L119" s="40"/>
      <c r="M119" s="58"/>
      <c r="N119" s="277"/>
      <c r="O119" s="40"/>
      <c r="P119" s="41"/>
      <c r="Q119" s="40"/>
      <c r="R119" s="41"/>
      <c r="S119" s="58"/>
      <c r="T119" s="40"/>
      <c r="U119" s="40"/>
      <c r="V119" s="277"/>
      <c r="W119" s="40"/>
      <c r="X119" s="41"/>
      <c r="Y119" s="42"/>
      <c r="Z119" s="40"/>
      <c r="AA119" s="58"/>
      <c r="AB119" s="215"/>
      <c r="AC119" s="300"/>
      <c r="AD119" s="193"/>
      <c r="AE119" s="195" t="e">
        <f>SUM(AC119:AC121)/SUM(AD119:AD121)</f>
        <v>#DIV/0!</v>
      </c>
      <c r="AF119" s="195" t="e">
        <f>SUM(F119:F121)/SUM(E119:E121)</f>
        <v>#DIV/0!</v>
      </c>
      <c r="AG119" s="210">
        <v>15.7</v>
      </c>
      <c r="AH119" s="196" t="e">
        <f>AE119*AF119*AG119</f>
        <v>#DIV/0!</v>
      </c>
      <c r="AI119" s="197" t="e">
        <f>AH119/AI$51</f>
        <v>#DIV/0!</v>
      </c>
      <c r="AJ119" s="301" t="e">
        <f>AI119*5</f>
        <v>#DIV/0!</v>
      </c>
      <c r="AK119" s="181" t="e">
        <f>SUM(F119:F121)/(SUM(G119:G121)/SUM(AJ119))</f>
        <v>#DIV/0!</v>
      </c>
      <c r="AL119" s="279">
        <f t="shared" ref="AL119:AW119" si="548">AL62</f>
        <v>7.1047957371225587E-2</v>
      </c>
      <c r="AM119" s="129">
        <f t="shared" si="548"/>
        <v>1.7761989342806397E-2</v>
      </c>
      <c r="AN119" s="128">
        <f t="shared" si="548"/>
        <v>1.7761989342806397E-2</v>
      </c>
      <c r="AO119" s="129">
        <f t="shared" si="548"/>
        <v>0</v>
      </c>
      <c r="AP119" s="128">
        <f t="shared" si="548"/>
        <v>0</v>
      </c>
      <c r="AQ119" s="280">
        <f t="shared" si="548"/>
        <v>0</v>
      </c>
      <c r="AR119" s="279">
        <f t="shared" si="548"/>
        <v>0</v>
      </c>
      <c r="AS119" s="129">
        <f t="shared" si="548"/>
        <v>0</v>
      </c>
      <c r="AT119" s="128">
        <f t="shared" si="548"/>
        <v>0</v>
      </c>
      <c r="AU119" s="129">
        <f t="shared" si="548"/>
        <v>0</v>
      </c>
      <c r="AV119" s="128">
        <f t="shared" si="548"/>
        <v>0</v>
      </c>
      <c r="AW119" s="280">
        <f t="shared" si="548"/>
        <v>0</v>
      </c>
      <c r="AX119" s="279">
        <f t="shared" ref="AX119:BE119" si="549">AX62</f>
        <v>0</v>
      </c>
      <c r="AY119" s="129">
        <f t="shared" si="549"/>
        <v>0</v>
      </c>
      <c r="AZ119" s="279">
        <f t="shared" si="549"/>
        <v>0</v>
      </c>
      <c r="BA119" s="130">
        <f t="shared" si="549"/>
        <v>0</v>
      </c>
      <c r="BB119" s="128">
        <f t="shared" si="549"/>
        <v>0</v>
      </c>
      <c r="BC119" s="130">
        <f t="shared" si="549"/>
        <v>0</v>
      </c>
      <c r="BD119" s="128">
        <f t="shared" si="549"/>
        <v>0</v>
      </c>
      <c r="BE119" s="280">
        <f t="shared" si="549"/>
        <v>0</v>
      </c>
      <c r="BF119" s="46"/>
      <c r="BG119" s="49" t="e">
        <f t="shared" ref="BG119:BR119" si="550">AL119*$AJ119</f>
        <v>#DIV/0!</v>
      </c>
      <c r="BH119" s="49" t="e">
        <f t="shared" si="550"/>
        <v>#DIV/0!</v>
      </c>
      <c r="BI119" s="49" t="e">
        <f t="shared" si="550"/>
        <v>#DIV/0!</v>
      </c>
      <c r="BJ119" s="49" t="e">
        <f t="shared" si="550"/>
        <v>#DIV/0!</v>
      </c>
      <c r="BK119" s="49" t="e">
        <f t="shared" si="550"/>
        <v>#DIV/0!</v>
      </c>
      <c r="BL119" s="49" t="e">
        <f t="shared" si="550"/>
        <v>#DIV/0!</v>
      </c>
      <c r="BM119" s="49" t="e">
        <f t="shared" si="550"/>
        <v>#DIV/0!</v>
      </c>
      <c r="BN119" s="49" t="e">
        <f t="shared" si="550"/>
        <v>#DIV/0!</v>
      </c>
      <c r="BO119" s="49" t="e">
        <f t="shared" si="550"/>
        <v>#DIV/0!</v>
      </c>
      <c r="BP119" s="49" t="e">
        <f t="shared" si="550"/>
        <v>#DIV/0!</v>
      </c>
      <c r="BQ119" s="49" t="e">
        <f t="shared" si="550"/>
        <v>#DIV/0!</v>
      </c>
      <c r="BR119" s="49" t="e">
        <f t="shared" si="550"/>
        <v>#DIV/0!</v>
      </c>
      <c r="BS119" s="20" t="e">
        <f t="shared" ref="BS119" si="551">AX119*$AJ119</f>
        <v>#DIV/0!</v>
      </c>
      <c r="BT119" s="20" t="e">
        <f t="shared" ref="BT119" si="552">AY119*$AJ119</f>
        <v>#DIV/0!</v>
      </c>
      <c r="BU119" s="49" t="e">
        <f t="shared" ref="BU119" si="553">AZ119*$AJ119</f>
        <v>#DIV/0!</v>
      </c>
      <c r="BV119" s="20" t="e">
        <f t="shared" ref="BV119" si="554">BA119*$AJ119</f>
        <v>#DIV/0!</v>
      </c>
      <c r="BW119" s="20" t="e">
        <f t="shared" ref="BW119" si="555">BB119*$AJ119</f>
        <v>#DIV/0!</v>
      </c>
      <c r="BX119" s="20" t="e">
        <f t="shared" ref="BX119" si="556">BC119*$AJ119</f>
        <v>#DIV/0!</v>
      </c>
      <c r="BY119" s="20" t="e">
        <f t="shared" ref="BY119" si="557">BD119*$AJ119</f>
        <v>#DIV/0!</v>
      </c>
      <c r="BZ119" s="99" t="e">
        <f t="shared" ref="BZ119" si="558">BE119*$AJ119</f>
        <v>#DIV/0!</v>
      </c>
    </row>
    <row r="120" spans="2:78" x14ac:dyDescent="0.25">
      <c r="B120" s="402"/>
      <c r="C120" s="50"/>
      <c r="D120" s="56" t="s">
        <v>39</v>
      </c>
      <c r="E120" s="34"/>
      <c r="F120" s="31"/>
      <c r="G120" s="273"/>
      <c r="H120" s="267"/>
      <c r="J120" s="45"/>
      <c r="K120" s="46"/>
      <c r="M120" s="52"/>
      <c r="N120" s="267"/>
      <c r="P120" s="45"/>
      <c r="R120" s="45"/>
      <c r="S120" s="52"/>
      <c r="V120" s="267"/>
      <c r="X120" s="45"/>
      <c r="Y120" s="46"/>
      <c r="AA120" s="52"/>
      <c r="AB120" s="215"/>
      <c r="AC120" s="302"/>
      <c r="AD120" s="199"/>
      <c r="AE120" s="200"/>
      <c r="AF120" s="201"/>
      <c r="AG120" s="211"/>
      <c r="AH120" s="202"/>
      <c r="AI120" s="202"/>
      <c r="AJ120" s="303"/>
      <c r="AK120" s="172"/>
      <c r="AL120" s="281"/>
      <c r="AM120" s="48"/>
      <c r="AN120" s="47"/>
      <c r="AO120" s="48"/>
      <c r="AP120" s="47"/>
      <c r="AQ120" s="282"/>
      <c r="AR120" s="281"/>
      <c r="AS120" s="48"/>
      <c r="AT120" s="47"/>
      <c r="AU120" s="48"/>
      <c r="AV120" s="47"/>
      <c r="AW120" s="282"/>
      <c r="AX120" s="281"/>
      <c r="AY120" s="48"/>
      <c r="AZ120" s="281"/>
      <c r="BA120" s="51"/>
      <c r="BB120" s="47"/>
      <c r="BC120" s="51"/>
      <c r="BD120" s="47"/>
      <c r="BE120" s="282"/>
      <c r="BF120" s="46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20"/>
      <c r="BT120" s="20"/>
      <c r="BU120" s="49"/>
      <c r="BV120" s="20"/>
      <c r="BW120" s="20"/>
      <c r="BX120" s="20"/>
      <c r="BY120" s="20"/>
      <c r="BZ120" s="99"/>
    </row>
    <row r="121" spans="2:78" x14ac:dyDescent="0.25">
      <c r="B121" s="402"/>
      <c r="C121" s="50"/>
      <c r="D121" s="56" t="s">
        <v>39</v>
      </c>
      <c r="E121" s="34"/>
      <c r="F121" s="31"/>
      <c r="G121" s="273"/>
      <c r="H121" s="267"/>
      <c r="J121" s="45"/>
      <c r="K121" s="46"/>
      <c r="M121" s="52"/>
      <c r="N121" s="267"/>
      <c r="P121" s="45"/>
      <c r="R121" s="45"/>
      <c r="S121" s="52"/>
      <c r="V121" s="267"/>
      <c r="X121" s="45"/>
      <c r="Y121" s="46"/>
      <c r="AA121" s="52"/>
      <c r="AB121" s="215"/>
      <c r="AC121" s="302"/>
      <c r="AD121" s="199"/>
      <c r="AE121" s="200"/>
      <c r="AF121" s="201"/>
      <c r="AG121" s="211"/>
      <c r="AH121" s="202"/>
      <c r="AI121" s="202"/>
      <c r="AJ121" s="303"/>
      <c r="AK121" s="172"/>
      <c r="AL121" s="281"/>
      <c r="AM121" s="48"/>
      <c r="AN121" s="47"/>
      <c r="AO121" s="48"/>
      <c r="AP121" s="47"/>
      <c r="AQ121" s="282"/>
      <c r="AR121" s="281"/>
      <c r="AS121" s="48"/>
      <c r="AT121" s="47"/>
      <c r="AU121" s="48"/>
      <c r="AV121" s="47"/>
      <c r="AW121" s="282"/>
      <c r="AX121" s="281"/>
      <c r="AY121" s="48"/>
      <c r="AZ121" s="281"/>
      <c r="BA121" s="51"/>
      <c r="BB121" s="47"/>
      <c r="BC121" s="51"/>
      <c r="BD121" s="47"/>
      <c r="BE121" s="282"/>
      <c r="BF121" s="46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20"/>
      <c r="BT121" s="20"/>
      <c r="BU121" s="49"/>
      <c r="BV121" s="20"/>
      <c r="BW121" s="20"/>
      <c r="BX121" s="20"/>
      <c r="BY121" s="20"/>
      <c r="BZ121" s="99"/>
    </row>
    <row r="122" spans="2:78" x14ac:dyDescent="0.25">
      <c r="B122" s="402"/>
      <c r="C122" s="50">
        <v>45927</v>
      </c>
      <c r="D122" s="56" t="s">
        <v>40</v>
      </c>
      <c r="E122" s="34"/>
      <c r="F122" s="31"/>
      <c r="G122" s="273"/>
      <c r="H122" s="267"/>
      <c r="J122" s="45"/>
      <c r="K122" s="46"/>
      <c r="M122" s="52"/>
      <c r="N122" s="267"/>
      <c r="P122" s="45"/>
      <c r="R122" s="45"/>
      <c r="S122" s="52"/>
      <c r="V122" s="267"/>
      <c r="X122" s="45"/>
      <c r="Y122" s="46"/>
      <c r="AA122" s="52"/>
      <c r="AB122" s="215"/>
      <c r="AC122" s="302"/>
      <c r="AD122" s="199"/>
      <c r="AE122" s="200" t="e">
        <f>SUM(AC122:AC123)/SUM(AD122:AD123)</f>
        <v>#DIV/0!</v>
      </c>
      <c r="AF122" s="200" t="e">
        <f>SUM(F122:F123)/SUM(E122:E123)</f>
        <v>#DIV/0!</v>
      </c>
      <c r="AG122" s="211">
        <v>16</v>
      </c>
      <c r="AH122" s="202" t="e">
        <f>AE122*AF122*AG122</f>
        <v>#DIV/0!</v>
      </c>
      <c r="AI122" s="203" t="e">
        <f t="shared" ref="AI122" si="559">AH122/AI$51</f>
        <v>#DIV/0!</v>
      </c>
      <c r="AJ122" s="303" t="e">
        <f>AI122*2</f>
        <v>#DIV/0!</v>
      </c>
      <c r="AK122" s="181" t="e">
        <f>AJ122/AB65</f>
        <v>#DIV/0!</v>
      </c>
      <c r="AL122" s="281">
        <f t="shared" ref="AL122:AW122" si="560">AL65</f>
        <v>0</v>
      </c>
      <c r="AM122" s="48">
        <f t="shared" si="560"/>
        <v>1.9016829894456595E-2</v>
      </c>
      <c r="AN122" s="47">
        <f t="shared" si="560"/>
        <v>0</v>
      </c>
      <c r="AO122" s="48">
        <f t="shared" si="560"/>
        <v>0</v>
      </c>
      <c r="AP122" s="47">
        <f t="shared" si="560"/>
        <v>9.5084149472282973E-3</v>
      </c>
      <c r="AQ122" s="282">
        <f t="shared" si="560"/>
        <v>0</v>
      </c>
      <c r="AR122" s="281">
        <f t="shared" si="560"/>
        <v>0</v>
      </c>
      <c r="AS122" s="48">
        <f t="shared" si="560"/>
        <v>0</v>
      </c>
      <c r="AT122" s="47">
        <f t="shared" si="560"/>
        <v>0</v>
      </c>
      <c r="AU122" s="48">
        <f t="shared" si="560"/>
        <v>0</v>
      </c>
      <c r="AV122" s="47">
        <f t="shared" si="560"/>
        <v>0</v>
      </c>
      <c r="AW122" s="282">
        <f t="shared" si="560"/>
        <v>0</v>
      </c>
      <c r="AX122" s="281">
        <f t="shared" ref="AX122:BE122" si="561">AX65</f>
        <v>0</v>
      </c>
      <c r="AY122" s="48">
        <f t="shared" si="561"/>
        <v>0</v>
      </c>
      <c r="AZ122" s="281">
        <f t="shared" si="561"/>
        <v>0</v>
      </c>
      <c r="BA122" s="51">
        <f t="shared" si="561"/>
        <v>0</v>
      </c>
      <c r="BB122" s="47">
        <f t="shared" si="561"/>
        <v>0</v>
      </c>
      <c r="BC122" s="51">
        <f t="shared" si="561"/>
        <v>0</v>
      </c>
      <c r="BD122" s="47">
        <f t="shared" si="561"/>
        <v>0</v>
      </c>
      <c r="BE122" s="282">
        <f t="shared" si="561"/>
        <v>0</v>
      </c>
      <c r="BF122" s="46"/>
      <c r="BG122" s="49" t="e">
        <f t="shared" ref="BG122:BZ122" si="562">AL122*$AJ122</f>
        <v>#DIV/0!</v>
      </c>
      <c r="BH122" s="49" t="e">
        <f t="shared" si="562"/>
        <v>#DIV/0!</v>
      </c>
      <c r="BI122" s="49" t="e">
        <f t="shared" si="562"/>
        <v>#DIV/0!</v>
      </c>
      <c r="BJ122" s="49" t="e">
        <f t="shared" si="562"/>
        <v>#DIV/0!</v>
      </c>
      <c r="BK122" s="49" t="e">
        <f t="shared" si="562"/>
        <v>#DIV/0!</v>
      </c>
      <c r="BL122" s="49" t="e">
        <f t="shared" si="562"/>
        <v>#DIV/0!</v>
      </c>
      <c r="BM122" s="49" t="e">
        <f t="shared" si="562"/>
        <v>#DIV/0!</v>
      </c>
      <c r="BN122" s="49" t="e">
        <f t="shared" si="562"/>
        <v>#DIV/0!</v>
      </c>
      <c r="BO122" s="49" t="e">
        <f t="shared" si="562"/>
        <v>#DIV/0!</v>
      </c>
      <c r="BP122" s="49" t="e">
        <f t="shared" si="562"/>
        <v>#DIV/0!</v>
      </c>
      <c r="BQ122" s="49" t="e">
        <f t="shared" si="562"/>
        <v>#DIV/0!</v>
      </c>
      <c r="BR122" s="49" t="e">
        <f t="shared" si="562"/>
        <v>#DIV/0!</v>
      </c>
      <c r="BS122" s="20" t="e">
        <f t="shared" si="562"/>
        <v>#DIV/0!</v>
      </c>
      <c r="BT122" s="20" t="e">
        <f t="shared" si="562"/>
        <v>#DIV/0!</v>
      </c>
      <c r="BU122" s="49" t="e">
        <f t="shared" si="562"/>
        <v>#DIV/0!</v>
      </c>
      <c r="BV122" s="20" t="e">
        <f t="shared" si="562"/>
        <v>#DIV/0!</v>
      </c>
      <c r="BW122" s="20" t="e">
        <f t="shared" si="562"/>
        <v>#DIV/0!</v>
      </c>
      <c r="BX122" s="20" t="e">
        <f t="shared" si="562"/>
        <v>#DIV/0!</v>
      </c>
      <c r="BY122" s="20" t="e">
        <f t="shared" si="562"/>
        <v>#DIV/0!</v>
      </c>
      <c r="BZ122" s="99" t="e">
        <f t="shared" si="562"/>
        <v>#DIV/0!</v>
      </c>
    </row>
    <row r="123" spans="2:78" ht="16.5" thickBot="1" x14ac:dyDescent="0.3">
      <c r="B123" s="403"/>
      <c r="C123" s="139">
        <v>45928</v>
      </c>
      <c r="D123" s="121" t="s">
        <v>40</v>
      </c>
      <c r="E123" s="4"/>
      <c r="F123" s="122"/>
      <c r="G123" s="274"/>
      <c r="H123" s="278"/>
      <c r="I123" s="124"/>
      <c r="J123" s="125"/>
      <c r="K123" s="126"/>
      <c r="L123" s="124"/>
      <c r="M123" s="140"/>
      <c r="N123" s="278"/>
      <c r="O123" s="124"/>
      <c r="P123" s="125"/>
      <c r="Q123" s="124"/>
      <c r="R123" s="125"/>
      <c r="S123" s="140"/>
      <c r="T123" s="124"/>
      <c r="U123" s="124"/>
      <c r="V123" s="278"/>
      <c r="W123" s="124"/>
      <c r="X123" s="125"/>
      <c r="Y123" s="126"/>
      <c r="Z123" s="124"/>
      <c r="AA123" s="140"/>
      <c r="AB123" s="215"/>
      <c r="AC123" s="304"/>
      <c r="AD123" s="205"/>
      <c r="AE123" s="206"/>
      <c r="AF123" s="207"/>
      <c r="AG123" s="212"/>
      <c r="AH123" s="208"/>
      <c r="AI123" s="208"/>
      <c r="AJ123" s="305"/>
      <c r="AK123" s="173"/>
      <c r="AL123" s="283"/>
      <c r="AM123" s="132"/>
      <c r="AN123" s="131"/>
      <c r="AO123" s="132"/>
      <c r="AP123" s="131"/>
      <c r="AQ123" s="284"/>
      <c r="AR123" s="283"/>
      <c r="AS123" s="132"/>
      <c r="AT123" s="131"/>
      <c r="AU123" s="132"/>
      <c r="AV123" s="131"/>
      <c r="AW123" s="284"/>
      <c r="AX123" s="283"/>
      <c r="AY123" s="132"/>
      <c r="AZ123" s="283"/>
      <c r="BA123" s="133"/>
      <c r="BB123" s="131"/>
      <c r="BC123" s="133"/>
      <c r="BD123" s="131"/>
      <c r="BE123" s="284"/>
      <c r="BF123" s="46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127"/>
      <c r="BT123" s="127"/>
      <c r="BU123" s="64"/>
      <c r="BV123" s="127"/>
      <c r="BW123" s="127"/>
      <c r="BX123" s="127"/>
      <c r="BY123" s="127"/>
      <c r="BZ123" s="100"/>
    </row>
    <row r="124" spans="2:78" ht="15.75" customHeight="1" x14ac:dyDescent="0.25">
      <c r="B124" s="401" t="str">
        <f t="shared" ref="B124" si="563">B67</f>
        <v>Sept 29-Oct 5</v>
      </c>
      <c r="C124" s="120"/>
      <c r="D124" s="55" t="s">
        <v>39</v>
      </c>
      <c r="E124" s="3"/>
      <c r="F124" s="39"/>
      <c r="G124" s="272"/>
      <c r="H124" s="277"/>
      <c r="I124" s="40"/>
      <c r="J124" s="41"/>
      <c r="K124" s="42"/>
      <c r="L124" s="40"/>
      <c r="M124" s="58"/>
      <c r="N124" s="277"/>
      <c r="O124" s="40"/>
      <c r="P124" s="41"/>
      <c r="Q124" s="40"/>
      <c r="R124" s="41"/>
      <c r="S124" s="58"/>
      <c r="T124" s="40"/>
      <c r="U124" s="40"/>
      <c r="V124" s="277"/>
      <c r="W124" s="40"/>
      <c r="X124" s="41"/>
      <c r="Y124" s="42"/>
      <c r="Z124" s="40"/>
      <c r="AA124" s="58"/>
      <c r="AB124" s="215"/>
      <c r="AC124" s="302"/>
      <c r="AD124" s="199"/>
      <c r="AE124" s="195" t="e">
        <f>SUM(AC124:AC126)/SUM(AD124:AD126)</f>
        <v>#DIV/0!</v>
      </c>
      <c r="AF124" s="195" t="e">
        <f>SUM(F124:F126)/SUM(E124:E126)</f>
        <v>#DIV/0!</v>
      </c>
      <c r="AG124" s="210">
        <v>16</v>
      </c>
      <c r="AH124" s="196" t="e">
        <f>AE124*AF124*AG124</f>
        <v>#DIV/0!</v>
      </c>
      <c r="AI124" s="197" t="e">
        <f>AH124/AI$51</f>
        <v>#DIV/0!</v>
      </c>
      <c r="AJ124" s="301" t="e">
        <f>AI124*5</f>
        <v>#DIV/0!</v>
      </c>
      <c r="AK124" s="181" t="e">
        <f>SUM(F124:F126)/(SUM(G124:G126)/SUM(AJ124))</f>
        <v>#DIV/0!</v>
      </c>
      <c r="AL124" s="279">
        <f t="shared" ref="AL124:AW124" si="564">AL67</f>
        <v>0</v>
      </c>
      <c r="AM124" s="129">
        <f t="shared" si="564"/>
        <v>0</v>
      </c>
      <c r="AN124" s="128">
        <f t="shared" si="564"/>
        <v>0</v>
      </c>
      <c r="AO124" s="129">
        <f t="shared" si="564"/>
        <v>0</v>
      </c>
      <c r="AP124" s="128">
        <f t="shared" si="564"/>
        <v>0</v>
      </c>
      <c r="AQ124" s="280">
        <f t="shared" si="564"/>
        <v>0</v>
      </c>
      <c r="AR124" s="279">
        <f t="shared" si="564"/>
        <v>0</v>
      </c>
      <c r="AS124" s="129">
        <f t="shared" si="564"/>
        <v>0</v>
      </c>
      <c r="AT124" s="128">
        <f t="shared" si="564"/>
        <v>0</v>
      </c>
      <c r="AU124" s="129">
        <f t="shared" si="564"/>
        <v>0</v>
      </c>
      <c r="AV124" s="128">
        <f t="shared" si="564"/>
        <v>0</v>
      </c>
      <c r="AW124" s="280">
        <f t="shared" si="564"/>
        <v>0</v>
      </c>
      <c r="AX124" s="279">
        <f t="shared" ref="AX124:BE124" si="565">AX67</f>
        <v>0</v>
      </c>
      <c r="AY124" s="129">
        <f t="shared" si="565"/>
        <v>0</v>
      </c>
      <c r="AZ124" s="279">
        <f t="shared" si="565"/>
        <v>0</v>
      </c>
      <c r="BA124" s="130">
        <f t="shared" si="565"/>
        <v>0</v>
      </c>
      <c r="BB124" s="128">
        <f t="shared" si="565"/>
        <v>0</v>
      </c>
      <c r="BC124" s="130">
        <f t="shared" si="565"/>
        <v>0</v>
      </c>
      <c r="BD124" s="128">
        <f t="shared" si="565"/>
        <v>0</v>
      </c>
      <c r="BE124" s="280">
        <f t="shared" si="565"/>
        <v>0</v>
      </c>
      <c r="BF124" s="46"/>
      <c r="BG124" s="49" t="e">
        <f t="shared" ref="BG124:BR124" si="566">AL124*$AJ124</f>
        <v>#DIV/0!</v>
      </c>
      <c r="BH124" s="49" t="e">
        <f t="shared" si="566"/>
        <v>#DIV/0!</v>
      </c>
      <c r="BI124" s="49" t="e">
        <f t="shared" si="566"/>
        <v>#DIV/0!</v>
      </c>
      <c r="BJ124" s="49" t="e">
        <f t="shared" si="566"/>
        <v>#DIV/0!</v>
      </c>
      <c r="BK124" s="49" t="e">
        <f t="shared" si="566"/>
        <v>#DIV/0!</v>
      </c>
      <c r="BL124" s="49" t="e">
        <f t="shared" si="566"/>
        <v>#DIV/0!</v>
      </c>
      <c r="BM124" s="49" t="e">
        <f t="shared" si="566"/>
        <v>#DIV/0!</v>
      </c>
      <c r="BN124" s="49" t="e">
        <f t="shared" si="566"/>
        <v>#DIV/0!</v>
      </c>
      <c r="BO124" s="49" t="e">
        <f t="shared" si="566"/>
        <v>#DIV/0!</v>
      </c>
      <c r="BP124" s="49" t="e">
        <f t="shared" si="566"/>
        <v>#DIV/0!</v>
      </c>
      <c r="BQ124" s="49" t="e">
        <f t="shared" si="566"/>
        <v>#DIV/0!</v>
      </c>
      <c r="BR124" s="49" t="e">
        <f t="shared" si="566"/>
        <v>#DIV/0!</v>
      </c>
      <c r="BS124" s="20" t="e">
        <f t="shared" ref="BS124" si="567">AX124*$AJ124</f>
        <v>#DIV/0!</v>
      </c>
      <c r="BT124" s="20" t="e">
        <f t="shared" ref="BT124" si="568">AY124*$AJ124</f>
        <v>#DIV/0!</v>
      </c>
      <c r="BU124" s="49" t="e">
        <f t="shared" ref="BU124" si="569">AZ124*$AJ124</f>
        <v>#DIV/0!</v>
      </c>
      <c r="BV124" s="20" t="e">
        <f t="shared" ref="BV124" si="570">BA124*$AJ124</f>
        <v>#DIV/0!</v>
      </c>
      <c r="BW124" s="20" t="e">
        <f t="shared" ref="BW124" si="571">BB124*$AJ124</f>
        <v>#DIV/0!</v>
      </c>
      <c r="BX124" s="20" t="e">
        <f t="shared" ref="BX124" si="572">BC124*$AJ124</f>
        <v>#DIV/0!</v>
      </c>
      <c r="BY124" s="20" t="e">
        <f t="shared" ref="BY124" si="573">BD124*$AJ124</f>
        <v>#DIV/0!</v>
      </c>
      <c r="BZ124" s="99" t="e">
        <f t="shared" ref="BZ124" si="574">BE124*$AJ124</f>
        <v>#DIV/0!</v>
      </c>
    </row>
    <row r="125" spans="2:78" x14ac:dyDescent="0.25">
      <c r="B125" s="402"/>
      <c r="C125" s="50"/>
      <c r="D125" s="56" t="s">
        <v>39</v>
      </c>
      <c r="E125" s="34"/>
      <c r="F125" s="31"/>
      <c r="G125" s="273"/>
      <c r="H125" s="267"/>
      <c r="J125" s="45"/>
      <c r="K125" s="46"/>
      <c r="M125" s="52"/>
      <c r="N125" s="267"/>
      <c r="P125" s="45"/>
      <c r="R125" s="45"/>
      <c r="S125" s="52"/>
      <c r="V125" s="267"/>
      <c r="X125" s="45"/>
      <c r="Y125" s="46"/>
      <c r="AA125" s="52"/>
      <c r="AB125" s="215"/>
      <c r="AC125" s="302"/>
      <c r="AD125" s="199"/>
      <c r="AE125" s="200"/>
      <c r="AF125" s="201"/>
      <c r="AG125" s="211"/>
      <c r="AH125" s="202"/>
      <c r="AI125" s="202"/>
      <c r="AJ125" s="303"/>
      <c r="AK125" s="172"/>
      <c r="AL125" s="281"/>
      <c r="AM125" s="48"/>
      <c r="AN125" s="47"/>
      <c r="AO125" s="48"/>
      <c r="AP125" s="47"/>
      <c r="AQ125" s="282"/>
      <c r="AR125" s="281"/>
      <c r="AS125" s="48"/>
      <c r="AT125" s="47"/>
      <c r="AU125" s="48"/>
      <c r="AV125" s="47"/>
      <c r="AW125" s="282"/>
      <c r="AX125" s="281"/>
      <c r="AY125" s="48"/>
      <c r="AZ125" s="281"/>
      <c r="BA125" s="51"/>
      <c r="BB125" s="47"/>
      <c r="BC125" s="51"/>
      <c r="BD125" s="47"/>
      <c r="BE125" s="282"/>
      <c r="BF125" s="46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20"/>
      <c r="BT125" s="20"/>
      <c r="BU125" s="49"/>
      <c r="BV125" s="20"/>
      <c r="BW125" s="20"/>
      <c r="BX125" s="20"/>
      <c r="BY125" s="20"/>
      <c r="BZ125" s="99"/>
    </row>
    <row r="126" spans="2:78" x14ac:dyDescent="0.25">
      <c r="B126" s="402"/>
      <c r="C126" s="50"/>
      <c r="D126" s="56" t="s">
        <v>39</v>
      </c>
      <c r="E126" s="34"/>
      <c r="F126" s="31"/>
      <c r="G126" s="273"/>
      <c r="H126" s="267"/>
      <c r="J126" s="45"/>
      <c r="K126" s="46"/>
      <c r="M126" s="52"/>
      <c r="N126" s="267"/>
      <c r="P126" s="45"/>
      <c r="R126" s="45"/>
      <c r="S126" s="52"/>
      <c r="V126" s="267"/>
      <c r="X126" s="45"/>
      <c r="Y126" s="46"/>
      <c r="AA126" s="52"/>
      <c r="AB126" s="215"/>
      <c r="AC126" s="302"/>
      <c r="AD126" s="199"/>
      <c r="AE126" s="200"/>
      <c r="AF126" s="201"/>
      <c r="AG126" s="211"/>
      <c r="AH126" s="202"/>
      <c r="AI126" s="202"/>
      <c r="AJ126" s="303"/>
      <c r="AK126" s="172"/>
      <c r="AL126" s="281"/>
      <c r="AM126" s="48"/>
      <c r="AN126" s="47"/>
      <c r="AO126" s="48"/>
      <c r="AP126" s="47"/>
      <c r="AQ126" s="282"/>
      <c r="AR126" s="281"/>
      <c r="AS126" s="48"/>
      <c r="AT126" s="47"/>
      <c r="AU126" s="48"/>
      <c r="AV126" s="47"/>
      <c r="AW126" s="282"/>
      <c r="AX126" s="281"/>
      <c r="AY126" s="48"/>
      <c r="AZ126" s="281"/>
      <c r="BA126" s="51"/>
      <c r="BB126" s="47"/>
      <c r="BC126" s="51"/>
      <c r="BD126" s="47"/>
      <c r="BE126" s="282"/>
      <c r="BF126" s="46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20"/>
      <c r="BT126" s="20"/>
      <c r="BU126" s="49"/>
      <c r="BV126" s="20"/>
      <c r="BW126" s="20"/>
      <c r="BX126" s="20"/>
      <c r="BY126" s="20"/>
      <c r="BZ126" s="99"/>
    </row>
    <row r="127" spans="2:78" x14ac:dyDescent="0.25">
      <c r="B127" s="402"/>
      <c r="C127" s="50">
        <v>45934</v>
      </c>
      <c r="D127" s="56" t="s">
        <v>40</v>
      </c>
      <c r="E127" s="34"/>
      <c r="F127" s="31"/>
      <c r="G127" s="273"/>
      <c r="H127" s="267"/>
      <c r="J127" s="45"/>
      <c r="K127" s="46"/>
      <c r="M127" s="52"/>
      <c r="N127" s="267"/>
      <c r="P127" s="45"/>
      <c r="R127" s="45"/>
      <c r="S127" s="52"/>
      <c r="V127" s="267"/>
      <c r="X127" s="45"/>
      <c r="Y127" s="46"/>
      <c r="AA127" s="52"/>
      <c r="AB127" s="215"/>
      <c r="AC127" s="302"/>
      <c r="AD127" s="199"/>
      <c r="AE127" s="200">
        <f>SUM(AC127:AC128)/SUM(AD127:AD128)</f>
        <v>2</v>
      </c>
      <c r="AF127" s="200">
        <f>SUM(F127:F128)/SUM(E127:E128)</f>
        <v>2</v>
      </c>
      <c r="AG127" s="211">
        <v>16</v>
      </c>
      <c r="AH127" s="202">
        <f>AE127*AF127*AG127</f>
        <v>64</v>
      </c>
      <c r="AI127" s="203">
        <f t="shared" ref="AI127" si="575">AH127/AI$51</f>
        <v>67.368421052631575</v>
      </c>
      <c r="AJ127" s="303">
        <f>AI127*2</f>
        <v>134.73684210526315</v>
      </c>
      <c r="AK127" s="181">
        <f>AJ127/AB70</f>
        <v>59.66207030491357</v>
      </c>
      <c r="AL127" s="281">
        <f t="shared" ref="AL127:AW127" si="576">AL70</f>
        <v>1.4760147601476014E-2</v>
      </c>
      <c r="AM127" s="48">
        <f t="shared" si="576"/>
        <v>5.1660516605166053E-2</v>
      </c>
      <c r="AN127" s="47">
        <f t="shared" si="576"/>
        <v>7.3800738007380072E-3</v>
      </c>
      <c r="AO127" s="48">
        <f t="shared" si="576"/>
        <v>0</v>
      </c>
      <c r="AP127" s="47">
        <f t="shared" si="576"/>
        <v>0</v>
      </c>
      <c r="AQ127" s="282">
        <f t="shared" si="576"/>
        <v>0</v>
      </c>
      <c r="AR127" s="281">
        <f t="shared" si="576"/>
        <v>0</v>
      </c>
      <c r="AS127" s="48">
        <f t="shared" si="576"/>
        <v>0</v>
      </c>
      <c r="AT127" s="47">
        <f t="shared" si="576"/>
        <v>0</v>
      </c>
      <c r="AU127" s="48">
        <f t="shared" si="576"/>
        <v>0</v>
      </c>
      <c r="AV127" s="47">
        <f t="shared" si="576"/>
        <v>0</v>
      </c>
      <c r="AW127" s="282">
        <f t="shared" si="576"/>
        <v>0</v>
      </c>
      <c r="AX127" s="281">
        <f t="shared" ref="AX127:BE127" si="577">AX70</f>
        <v>0</v>
      </c>
      <c r="AY127" s="48">
        <f t="shared" si="577"/>
        <v>0</v>
      </c>
      <c r="AZ127" s="281">
        <f t="shared" si="577"/>
        <v>3.6900369003690037E-2</v>
      </c>
      <c r="BA127" s="51">
        <f t="shared" si="577"/>
        <v>0</v>
      </c>
      <c r="BB127" s="47">
        <f t="shared" si="577"/>
        <v>0</v>
      </c>
      <c r="BC127" s="51">
        <f t="shared" si="577"/>
        <v>0</v>
      </c>
      <c r="BD127" s="47">
        <f t="shared" si="577"/>
        <v>0</v>
      </c>
      <c r="BE127" s="282">
        <f t="shared" si="577"/>
        <v>0</v>
      </c>
      <c r="BF127" s="46"/>
      <c r="BG127" s="49">
        <f t="shared" ref="BG127:BZ127" si="578">AL127*$AJ127</f>
        <v>1.9887356768304523</v>
      </c>
      <c r="BH127" s="49">
        <f t="shared" si="578"/>
        <v>6.9605748689065834</v>
      </c>
      <c r="BI127" s="49">
        <f t="shared" si="578"/>
        <v>0.99436783841522614</v>
      </c>
      <c r="BJ127" s="49">
        <f t="shared" si="578"/>
        <v>0</v>
      </c>
      <c r="BK127" s="49">
        <f t="shared" si="578"/>
        <v>0</v>
      </c>
      <c r="BL127" s="49">
        <f t="shared" si="578"/>
        <v>0</v>
      </c>
      <c r="BM127" s="49">
        <f t="shared" si="578"/>
        <v>0</v>
      </c>
      <c r="BN127" s="49">
        <f t="shared" si="578"/>
        <v>0</v>
      </c>
      <c r="BO127" s="49">
        <f t="shared" si="578"/>
        <v>0</v>
      </c>
      <c r="BP127" s="49">
        <f t="shared" si="578"/>
        <v>0</v>
      </c>
      <c r="BQ127" s="49">
        <f t="shared" si="578"/>
        <v>0</v>
      </c>
      <c r="BR127" s="49">
        <f t="shared" si="578"/>
        <v>0</v>
      </c>
      <c r="BS127" s="20">
        <f t="shared" si="578"/>
        <v>0</v>
      </c>
      <c r="BT127" s="20">
        <f t="shared" si="578"/>
        <v>0</v>
      </c>
      <c r="BU127" s="49">
        <f t="shared" si="578"/>
        <v>4.9718391920761311</v>
      </c>
      <c r="BV127" s="20">
        <f t="shared" si="578"/>
        <v>0</v>
      </c>
      <c r="BW127" s="20">
        <f t="shared" si="578"/>
        <v>0</v>
      </c>
      <c r="BX127" s="20">
        <f t="shared" si="578"/>
        <v>0</v>
      </c>
      <c r="BY127" s="20">
        <f t="shared" si="578"/>
        <v>0</v>
      </c>
      <c r="BZ127" s="99">
        <f t="shared" si="578"/>
        <v>0</v>
      </c>
    </row>
    <row r="128" spans="2:78" ht="16.5" thickBot="1" x14ac:dyDescent="0.3">
      <c r="B128" s="403"/>
      <c r="C128" s="139">
        <v>45935</v>
      </c>
      <c r="D128" s="121" t="s">
        <v>40</v>
      </c>
      <c r="E128" s="228">
        <v>1</v>
      </c>
      <c r="F128" s="122">
        <v>2</v>
      </c>
      <c r="G128" s="274">
        <v>7.6</v>
      </c>
      <c r="H128" s="278">
        <v>1</v>
      </c>
      <c r="I128" s="124">
        <v>3</v>
      </c>
      <c r="J128" s="125"/>
      <c r="K128" s="126"/>
      <c r="L128" s="124"/>
      <c r="M128" s="140"/>
      <c r="N128" s="278"/>
      <c r="O128" s="124"/>
      <c r="P128" s="125"/>
      <c r="Q128" s="124"/>
      <c r="R128" s="125"/>
      <c r="S128" s="140"/>
      <c r="T128" s="124"/>
      <c r="U128" s="124"/>
      <c r="V128" s="278"/>
      <c r="W128" s="124"/>
      <c r="X128" s="125"/>
      <c r="Y128" s="126"/>
      <c r="Z128" s="124"/>
      <c r="AA128" s="140"/>
      <c r="AB128" s="215"/>
      <c r="AC128" s="304">
        <v>2</v>
      </c>
      <c r="AD128" s="205">
        <v>1</v>
      </c>
      <c r="AE128" s="206"/>
      <c r="AF128" s="207"/>
      <c r="AG128" s="212"/>
      <c r="AH128" s="208"/>
      <c r="AI128" s="208"/>
      <c r="AJ128" s="305"/>
      <c r="AK128" s="173"/>
      <c r="AL128" s="283"/>
      <c r="AM128" s="132"/>
      <c r="AN128" s="131"/>
      <c r="AO128" s="132"/>
      <c r="AP128" s="131"/>
      <c r="AQ128" s="284"/>
      <c r="AR128" s="283"/>
      <c r="AS128" s="132"/>
      <c r="AT128" s="131"/>
      <c r="AU128" s="132"/>
      <c r="AV128" s="131"/>
      <c r="AW128" s="284"/>
      <c r="AX128" s="283"/>
      <c r="AY128" s="132"/>
      <c r="AZ128" s="283"/>
      <c r="BA128" s="133"/>
      <c r="BB128" s="131"/>
      <c r="BC128" s="133"/>
      <c r="BD128" s="131"/>
      <c r="BE128" s="284"/>
      <c r="BF128" s="46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127"/>
      <c r="BT128" s="127"/>
      <c r="BU128" s="64"/>
      <c r="BV128" s="127"/>
      <c r="BW128" s="127"/>
      <c r="BX128" s="127"/>
      <c r="BY128" s="127"/>
      <c r="BZ128" s="100"/>
    </row>
    <row r="129" spans="2:78" x14ac:dyDescent="0.25">
      <c r="B129" s="401" t="str">
        <f t="shared" ref="B129" si="579">B72</f>
        <v>Oct 6-Oct 12</v>
      </c>
      <c r="C129" s="120"/>
      <c r="D129" s="55" t="s">
        <v>39</v>
      </c>
      <c r="E129" s="3"/>
      <c r="F129" s="39"/>
      <c r="G129" s="272"/>
      <c r="H129" s="277"/>
      <c r="I129" s="40"/>
      <c r="J129" s="41"/>
      <c r="K129" s="42"/>
      <c r="L129" s="40"/>
      <c r="M129" s="58"/>
      <c r="N129" s="277"/>
      <c r="O129" s="40"/>
      <c r="P129" s="41"/>
      <c r="Q129" s="40"/>
      <c r="R129" s="41"/>
      <c r="S129" s="58"/>
      <c r="T129" s="40"/>
      <c r="U129" s="40"/>
      <c r="V129" s="277"/>
      <c r="W129" s="40"/>
      <c r="X129" s="41"/>
      <c r="Y129" s="42"/>
      <c r="Z129" s="40"/>
      <c r="AA129" s="58"/>
      <c r="AB129" s="215"/>
      <c r="AC129" s="302"/>
      <c r="AD129" s="193"/>
      <c r="AE129" s="195" t="e">
        <f>SUM(AC129:AC131)/SUM(AD129:AD131)</f>
        <v>#DIV/0!</v>
      </c>
      <c r="AF129" s="195" t="e">
        <f>SUM(F129:F131)/SUM(E129:E131)</f>
        <v>#DIV/0!</v>
      </c>
      <c r="AG129" s="210">
        <v>16</v>
      </c>
      <c r="AH129" s="196" t="e">
        <f>AE129*AF129*AG129</f>
        <v>#DIV/0!</v>
      </c>
      <c r="AI129" s="197" t="e">
        <f>AH129/AI$51</f>
        <v>#DIV/0!</v>
      </c>
      <c r="AJ129" s="301" t="e">
        <f>AI129*5</f>
        <v>#DIV/0!</v>
      </c>
      <c r="AK129" s="181" t="e">
        <f>AJ129/AB72</f>
        <v>#DIV/0!</v>
      </c>
      <c r="AL129" s="279">
        <f t="shared" ref="AL129:AW129" si="580">AL72</f>
        <v>3.1796502384737677E-2</v>
      </c>
      <c r="AM129" s="129">
        <f t="shared" si="580"/>
        <v>6.3593004769475353E-2</v>
      </c>
      <c r="AN129" s="128">
        <f t="shared" si="580"/>
        <v>6.3593004769475362E-3</v>
      </c>
      <c r="AO129" s="129">
        <f t="shared" si="580"/>
        <v>6.3593004769475362E-3</v>
      </c>
      <c r="AP129" s="128">
        <f t="shared" si="580"/>
        <v>0</v>
      </c>
      <c r="AQ129" s="280">
        <f t="shared" si="580"/>
        <v>0</v>
      </c>
      <c r="AR129" s="279">
        <f t="shared" si="580"/>
        <v>0</v>
      </c>
      <c r="AS129" s="129">
        <f t="shared" si="580"/>
        <v>0</v>
      </c>
      <c r="AT129" s="128">
        <f t="shared" si="580"/>
        <v>0</v>
      </c>
      <c r="AU129" s="129">
        <f t="shared" si="580"/>
        <v>0</v>
      </c>
      <c r="AV129" s="128">
        <f t="shared" si="580"/>
        <v>0</v>
      </c>
      <c r="AW129" s="280">
        <f t="shared" si="580"/>
        <v>0</v>
      </c>
      <c r="AX129" s="279">
        <f t="shared" ref="AX129:BE129" si="581">AX72</f>
        <v>0</v>
      </c>
      <c r="AY129" s="129">
        <f t="shared" si="581"/>
        <v>6.3593004769475362E-3</v>
      </c>
      <c r="AZ129" s="279">
        <f t="shared" si="581"/>
        <v>1.2718600953895072E-2</v>
      </c>
      <c r="BA129" s="130">
        <f t="shared" si="581"/>
        <v>0</v>
      </c>
      <c r="BB129" s="128">
        <f t="shared" si="581"/>
        <v>0</v>
      </c>
      <c r="BC129" s="130">
        <f t="shared" si="581"/>
        <v>0</v>
      </c>
      <c r="BD129" s="128">
        <f t="shared" si="581"/>
        <v>0</v>
      </c>
      <c r="BE129" s="280">
        <f t="shared" si="581"/>
        <v>6.3593004769475362E-3</v>
      </c>
      <c r="BF129" s="46"/>
      <c r="BG129" s="49" t="e">
        <f t="shared" ref="BG129:BR129" si="582">AL129*$AJ129</f>
        <v>#DIV/0!</v>
      </c>
      <c r="BH129" s="49" t="e">
        <f t="shared" si="582"/>
        <v>#DIV/0!</v>
      </c>
      <c r="BI129" s="49" t="e">
        <f t="shared" si="582"/>
        <v>#DIV/0!</v>
      </c>
      <c r="BJ129" s="49" t="e">
        <f t="shared" si="582"/>
        <v>#DIV/0!</v>
      </c>
      <c r="BK129" s="49" t="e">
        <f t="shared" si="582"/>
        <v>#DIV/0!</v>
      </c>
      <c r="BL129" s="49" t="e">
        <f t="shared" si="582"/>
        <v>#DIV/0!</v>
      </c>
      <c r="BM129" s="49" t="e">
        <f t="shared" si="582"/>
        <v>#DIV/0!</v>
      </c>
      <c r="BN129" s="49" t="e">
        <f t="shared" si="582"/>
        <v>#DIV/0!</v>
      </c>
      <c r="BO129" s="49" t="e">
        <f t="shared" si="582"/>
        <v>#DIV/0!</v>
      </c>
      <c r="BP129" s="49" t="e">
        <f t="shared" si="582"/>
        <v>#DIV/0!</v>
      </c>
      <c r="BQ129" s="49" t="e">
        <f t="shared" si="582"/>
        <v>#DIV/0!</v>
      </c>
      <c r="BR129" s="49" t="e">
        <f t="shared" si="582"/>
        <v>#DIV/0!</v>
      </c>
      <c r="BS129" s="20" t="e">
        <f t="shared" ref="BS129" si="583">AX129*$AJ129</f>
        <v>#DIV/0!</v>
      </c>
      <c r="BT129" s="20" t="e">
        <f t="shared" ref="BT129" si="584">AY129*$AJ129</f>
        <v>#DIV/0!</v>
      </c>
      <c r="BU129" s="49" t="e">
        <f t="shared" ref="BU129" si="585">AZ129*$AJ129</f>
        <v>#DIV/0!</v>
      </c>
      <c r="BV129" s="20" t="e">
        <f t="shared" ref="BV129" si="586">BA129*$AJ129</f>
        <v>#DIV/0!</v>
      </c>
      <c r="BW129" s="20" t="e">
        <f t="shared" ref="BW129" si="587">BB129*$AJ129</f>
        <v>#DIV/0!</v>
      </c>
      <c r="BX129" s="20" t="e">
        <f t="shared" ref="BX129" si="588">BC129*$AJ129</f>
        <v>#DIV/0!</v>
      </c>
      <c r="BY129" s="20" t="e">
        <f t="shared" ref="BY129" si="589">BD129*$AJ129</f>
        <v>#DIV/0!</v>
      </c>
      <c r="BZ129" s="99" t="e">
        <f t="shared" ref="BZ129" si="590">BE129*$AJ129</f>
        <v>#DIV/0!</v>
      </c>
    </row>
    <row r="130" spans="2:78" x14ac:dyDescent="0.25">
      <c r="B130" s="402"/>
      <c r="C130" s="50"/>
      <c r="D130" s="56" t="s">
        <v>39</v>
      </c>
      <c r="E130" s="34"/>
      <c r="F130" s="31"/>
      <c r="G130" s="273"/>
      <c r="H130" s="267"/>
      <c r="J130" s="45"/>
      <c r="K130" s="46"/>
      <c r="M130" s="52"/>
      <c r="N130" s="267"/>
      <c r="P130" s="45"/>
      <c r="R130" s="45"/>
      <c r="S130" s="52"/>
      <c r="V130" s="267"/>
      <c r="X130" s="45"/>
      <c r="Y130" s="46"/>
      <c r="AA130" s="52"/>
      <c r="AB130" s="215"/>
      <c r="AC130" s="302"/>
      <c r="AD130" s="199"/>
      <c r="AE130" s="200"/>
      <c r="AF130" s="201"/>
      <c r="AG130" s="211"/>
      <c r="AH130" s="202"/>
      <c r="AI130" s="202"/>
      <c r="AJ130" s="303"/>
      <c r="AK130" s="172"/>
      <c r="AL130" s="281"/>
      <c r="AM130" s="48"/>
      <c r="AN130" s="47"/>
      <c r="AO130" s="48"/>
      <c r="AP130" s="47"/>
      <c r="AQ130" s="282"/>
      <c r="AR130" s="281"/>
      <c r="AS130" s="48"/>
      <c r="AT130" s="47"/>
      <c r="AU130" s="48"/>
      <c r="AV130" s="47"/>
      <c r="AW130" s="282"/>
      <c r="AX130" s="281"/>
      <c r="AY130" s="48"/>
      <c r="AZ130" s="281"/>
      <c r="BA130" s="51"/>
      <c r="BB130" s="47"/>
      <c r="BC130" s="51"/>
      <c r="BD130" s="47"/>
      <c r="BE130" s="282"/>
      <c r="BF130" s="46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20"/>
      <c r="BT130" s="20"/>
      <c r="BU130" s="49"/>
      <c r="BV130" s="20"/>
      <c r="BW130" s="20"/>
      <c r="BX130" s="20"/>
      <c r="BY130" s="20"/>
      <c r="BZ130" s="99"/>
    </row>
    <row r="131" spans="2:78" x14ac:dyDescent="0.25">
      <c r="B131" s="402"/>
      <c r="C131" s="50"/>
      <c r="D131" s="56" t="s">
        <v>39</v>
      </c>
      <c r="E131" s="34"/>
      <c r="F131" s="31"/>
      <c r="G131" s="273"/>
      <c r="H131" s="267"/>
      <c r="J131" s="45"/>
      <c r="K131" s="46"/>
      <c r="M131" s="52"/>
      <c r="N131" s="267"/>
      <c r="P131" s="45"/>
      <c r="R131" s="45"/>
      <c r="S131" s="52"/>
      <c r="V131" s="267"/>
      <c r="X131" s="45"/>
      <c r="Y131" s="46"/>
      <c r="AA131" s="52"/>
      <c r="AB131" s="215"/>
      <c r="AC131" s="302"/>
      <c r="AD131" s="199"/>
      <c r="AE131" s="200"/>
      <c r="AF131" s="201"/>
      <c r="AG131" s="211"/>
      <c r="AH131" s="202"/>
      <c r="AI131" s="202"/>
      <c r="AJ131" s="303"/>
      <c r="AK131" s="172"/>
      <c r="AL131" s="281"/>
      <c r="AM131" s="48"/>
      <c r="AN131" s="47"/>
      <c r="AO131" s="48"/>
      <c r="AP131" s="47"/>
      <c r="AQ131" s="282"/>
      <c r="AR131" s="281"/>
      <c r="AS131" s="48"/>
      <c r="AT131" s="47"/>
      <c r="AU131" s="48"/>
      <c r="AV131" s="47"/>
      <c r="AW131" s="282"/>
      <c r="AX131" s="281"/>
      <c r="AY131" s="48"/>
      <c r="AZ131" s="281"/>
      <c r="BA131" s="51"/>
      <c r="BB131" s="47"/>
      <c r="BC131" s="51"/>
      <c r="BD131" s="47"/>
      <c r="BE131" s="282"/>
      <c r="BF131" s="46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20"/>
      <c r="BT131" s="20"/>
      <c r="BU131" s="49"/>
      <c r="BV131" s="20"/>
      <c r="BW131" s="20"/>
      <c r="BX131" s="20"/>
      <c r="BY131" s="20"/>
      <c r="BZ131" s="99"/>
    </row>
    <row r="132" spans="2:78" x14ac:dyDescent="0.25">
      <c r="B132" s="402"/>
      <c r="C132" s="50">
        <v>45941</v>
      </c>
      <c r="D132" s="56" t="s">
        <v>40</v>
      </c>
      <c r="E132" s="34"/>
      <c r="F132" s="31"/>
      <c r="G132" s="273"/>
      <c r="H132" s="267"/>
      <c r="J132" s="45"/>
      <c r="K132" s="46"/>
      <c r="M132" s="52"/>
      <c r="N132" s="267"/>
      <c r="P132" s="45"/>
      <c r="R132" s="45"/>
      <c r="S132" s="52"/>
      <c r="V132" s="267"/>
      <c r="X132" s="45"/>
      <c r="Y132" s="46"/>
      <c r="AA132" s="52"/>
      <c r="AB132" s="215"/>
      <c r="AC132" s="302"/>
      <c r="AD132" s="199"/>
      <c r="AE132" s="200" t="e">
        <f>SUM(AC132:AC133)/SUM(AD132:AD133)</f>
        <v>#DIV/0!</v>
      </c>
      <c r="AF132" s="200" t="e">
        <f>SUM(F132:F133)/SUM(E132:E133)</f>
        <v>#DIV/0!</v>
      </c>
      <c r="AG132" s="211">
        <v>16</v>
      </c>
      <c r="AH132" s="202" t="e">
        <f>AE132*AF132*AG132</f>
        <v>#DIV/0!</v>
      </c>
      <c r="AI132" s="203" t="e">
        <f t="shared" ref="AI132" si="591">AH132/AI$51</f>
        <v>#DIV/0!</v>
      </c>
      <c r="AJ132" s="303" t="e">
        <f>AI132*2</f>
        <v>#DIV/0!</v>
      </c>
      <c r="AK132" s="181" t="e">
        <f>AJ132/AB75</f>
        <v>#DIV/0!</v>
      </c>
      <c r="AL132" s="281">
        <f t="shared" ref="AL132:AW132" si="592">AL75</f>
        <v>3.0673502475789847E-2</v>
      </c>
      <c r="AM132" s="48">
        <f t="shared" si="592"/>
        <v>5.2583147101354019E-2</v>
      </c>
      <c r="AN132" s="47">
        <f t="shared" si="592"/>
        <v>0</v>
      </c>
      <c r="AO132" s="48">
        <f t="shared" si="592"/>
        <v>0</v>
      </c>
      <c r="AP132" s="47">
        <f t="shared" si="592"/>
        <v>0</v>
      </c>
      <c r="AQ132" s="282">
        <f t="shared" si="592"/>
        <v>0</v>
      </c>
      <c r="AR132" s="281">
        <f t="shared" si="592"/>
        <v>4.3819289251128346E-3</v>
      </c>
      <c r="AS132" s="48">
        <f t="shared" si="592"/>
        <v>0</v>
      </c>
      <c r="AT132" s="47">
        <f t="shared" si="592"/>
        <v>0</v>
      </c>
      <c r="AU132" s="48">
        <f t="shared" si="592"/>
        <v>0</v>
      </c>
      <c r="AV132" s="47">
        <f t="shared" si="592"/>
        <v>0</v>
      </c>
      <c r="AW132" s="282">
        <f t="shared" si="592"/>
        <v>0</v>
      </c>
      <c r="AX132" s="281">
        <f t="shared" ref="AX132:BE132" si="593">AX75</f>
        <v>0</v>
      </c>
      <c r="AY132" s="48">
        <f t="shared" si="593"/>
        <v>0</v>
      </c>
      <c r="AZ132" s="281">
        <f t="shared" si="593"/>
        <v>0</v>
      </c>
      <c r="BA132" s="51">
        <f t="shared" si="593"/>
        <v>0</v>
      </c>
      <c r="BB132" s="47">
        <f t="shared" si="593"/>
        <v>0</v>
      </c>
      <c r="BC132" s="51">
        <f t="shared" si="593"/>
        <v>0</v>
      </c>
      <c r="BD132" s="47">
        <f t="shared" si="593"/>
        <v>0</v>
      </c>
      <c r="BE132" s="282">
        <f t="shared" si="593"/>
        <v>0</v>
      </c>
      <c r="BF132" s="46"/>
      <c r="BG132" s="49" t="e">
        <f t="shared" ref="BG132:BZ132" si="594">AL132*$AJ132</f>
        <v>#DIV/0!</v>
      </c>
      <c r="BH132" s="49" t="e">
        <f t="shared" si="594"/>
        <v>#DIV/0!</v>
      </c>
      <c r="BI132" s="49" t="e">
        <f t="shared" si="594"/>
        <v>#DIV/0!</v>
      </c>
      <c r="BJ132" s="49" t="e">
        <f t="shared" si="594"/>
        <v>#DIV/0!</v>
      </c>
      <c r="BK132" s="49" t="e">
        <f t="shared" si="594"/>
        <v>#DIV/0!</v>
      </c>
      <c r="BL132" s="49" t="e">
        <f t="shared" si="594"/>
        <v>#DIV/0!</v>
      </c>
      <c r="BM132" s="49" t="e">
        <f t="shared" si="594"/>
        <v>#DIV/0!</v>
      </c>
      <c r="BN132" s="49" t="e">
        <f t="shared" si="594"/>
        <v>#DIV/0!</v>
      </c>
      <c r="BO132" s="49" t="e">
        <f t="shared" si="594"/>
        <v>#DIV/0!</v>
      </c>
      <c r="BP132" s="49" t="e">
        <f t="shared" si="594"/>
        <v>#DIV/0!</v>
      </c>
      <c r="BQ132" s="49" t="e">
        <f t="shared" si="594"/>
        <v>#DIV/0!</v>
      </c>
      <c r="BR132" s="49" t="e">
        <f t="shared" si="594"/>
        <v>#DIV/0!</v>
      </c>
      <c r="BS132" s="20" t="e">
        <f t="shared" si="594"/>
        <v>#DIV/0!</v>
      </c>
      <c r="BT132" s="20" t="e">
        <f t="shared" si="594"/>
        <v>#DIV/0!</v>
      </c>
      <c r="BU132" s="49" t="e">
        <f t="shared" si="594"/>
        <v>#DIV/0!</v>
      </c>
      <c r="BV132" s="20" t="e">
        <f t="shared" si="594"/>
        <v>#DIV/0!</v>
      </c>
      <c r="BW132" s="20" t="e">
        <f t="shared" si="594"/>
        <v>#DIV/0!</v>
      </c>
      <c r="BX132" s="20" t="e">
        <f t="shared" si="594"/>
        <v>#DIV/0!</v>
      </c>
      <c r="BY132" s="20" t="e">
        <f t="shared" si="594"/>
        <v>#DIV/0!</v>
      </c>
      <c r="BZ132" s="99" t="e">
        <f t="shared" si="594"/>
        <v>#DIV/0!</v>
      </c>
    </row>
    <row r="133" spans="2:78" ht="16.5" thickBot="1" x14ac:dyDescent="0.3">
      <c r="B133" s="403"/>
      <c r="C133" s="139">
        <v>45942</v>
      </c>
      <c r="D133" s="121" t="s">
        <v>40</v>
      </c>
      <c r="E133" s="4"/>
      <c r="F133" s="122"/>
      <c r="G133" s="274"/>
      <c r="H133" s="278"/>
      <c r="I133" s="124"/>
      <c r="J133" s="125"/>
      <c r="K133" s="126"/>
      <c r="L133" s="124"/>
      <c r="M133" s="140"/>
      <c r="N133" s="278"/>
      <c r="O133" s="124"/>
      <c r="P133" s="125"/>
      <c r="Q133" s="124"/>
      <c r="R133" s="125"/>
      <c r="S133" s="140"/>
      <c r="T133" s="124"/>
      <c r="U133" s="124"/>
      <c r="V133" s="278"/>
      <c r="W133" s="124"/>
      <c r="X133" s="125"/>
      <c r="Y133" s="126"/>
      <c r="Z133" s="124"/>
      <c r="AA133" s="140"/>
      <c r="AB133" s="215"/>
      <c r="AC133" s="304"/>
      <c r="AD133" s="205"/>
      <c r="AE133" s="206"/>
      <c r="AF133" s="207"/>
      <c r="AG133" s="212"/>
      <c r="AH133" s="208"/>
      <c r="AI133" s="208"/>
      <c r="AJ133" s="305"/>
      <c r="AK133" s="173"/>
      <c r="AL133" s="283"/>
      <c r="AM133" s="132"/>
      <c r="AN133" s="131"/>
      <c r="AO133" s="132"/>
      <c r="AP133" s="131"/>
      <c r="AQ133" s="284"/>
      <c r="AR133" s="283"/>
      <c r="AS133" s="132"/>
      <c r="AT133" s="131"/>
      <c r="AU133" s="132"/>
      <c r="AV133" s="131"/>
      <c r="AW133" s="284"/>
      <c r="AX133" s="283"/>
      <c r="AY133" s="132"/>
      <c r="AZ133" s="283"/>
      <c r="BA133" s="133"/>
      <c r="BB133" s="131"/>
      <c r="BC133" s="133"/>
      <c r="BD133" s="131"/>
      <c r="BE133" s="284"/>
      <c r="BF133" s="46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127"/>
      <c r="BT133" s="127"/>
      <c r="BU133" s="64"/>
      <c r="BV133" s="127"/>
      <c r="BW133" s="127"/>
      <c r="BX133" s="127"/>
      <c r="BY133" s="127"/>
      <c r="BZ133" s="100"/>
    </row>
    <row r="134" spans="2:78" x14ac:dyDescent="0.25">
      <c r="B134" s="401" t="str">
        <f t="shared" ref="B134" si="595">B77</f>
        <v>Oct 13-19</v>
      </c>
      <c r="C134" s="120"/>
      <c r="D134" s="55" t="s">
        <v>39</v>
      </c>
      <c r="E134" s="3"/>
      <c r="F134" s="39"/>
      <c r="G134" s="272"/>
      <c r="H134" s="277"/>
      <c r="I134" s="40"/>
      <c r="J134" s="41"/>
      <c r="K134" s="42"/>
      <c r="L134" s="40"/>
      <c r="M134" s="58"/>
      <c r="N134" s="277"/>
      <c r="O134" s="40"/>
      <c r="P134" s="41"/>
      <c r="Q134" s="40"/>
      <c r="R134" s="41"/>
      <c r="S134" s="58"/>
      <c r="T134" s="40"/>
      <c r="U134" s="40"/>
      <c r="V134" s="277"/>
      <c r="W134" s="40"/>
      <c r="X134" s="41"/>
      <c r="Y134" s="42"/>
      <c r="Z134" s="40"/>
      <c r="AA134" s="58"/>
      <c r="AB134" s="215"/>
      <c r="AC134" s="300"/>
      <c r="AD134" s="193"/>
      <c r="AE134" s="195" t="e">
        <f>SUM(AC134:AC136)/SUM(AD134:AD136)</f>
        <v>#DIV/0!</v>
      </c>
      <c r="AF134" s="195" t="e">
        <f>SUM(F134:F136)/SUM(E134:E136)</f>
        <v>#DIV/0!</v>
      </c>
      <c r="AG134" s="210">
        <v>16.100000000000001</v>
      </c>
      <c r="AH134" s="196" t="e">
        <f>AE134*AF134*AG134</f>
        <v>#DIV/0!</v>
      </c>
      <c r="AI134" s="197" t="e">
        <f>AH134/AI$51</f>
        <v>#DIV/0!</v>
      </c>
      <c r="AJ134" s="301" t="e">
        <f>AI134*5</f>
        <v>#DIV/0!</v>
      </c>
      <c r="AK134" s="181" t="e">
        <f>AJ134/AB77</f>
        <v>#DIV/0!</v>
      </c>
      <c r="AL134" s="279">
        <f t="shared" ref="AL134:AW134" si="596">AL77</f>
        <v>2.3405500292568757E-2</v>
      </c>
      <c r="AM134" s="129">
        <f t="shared" si="596"/>
        <v>3.5108250438853135E-2</v>
      </c>
      <c r="AN134" s="128">
        <f t="shared" si="596"/>
        <v>1.1702750146284378E-2</v>
      </c>
      <c r="AO134" s="129">
        <f t="shared" si="596"/>
        <v>0</v>
      </c>
      <c r="AP134" s="128">
        <f t="shared" si="596"/>
        <v>0</v>
      </c>
      <c r="AQ134" s="280">
        <f t="shared" si="596"/>
        <v>0</v>
      </c>
      <c r="AR134" s="279">
        <f t="shared" si="596"/>
        <v>0</v>
      </c>
      <c r="AS134" s="129">
        <f t="shared" si="596"/>
        <v>0</v>
      </c>
      <c r="AT134" s="128">
        <f t="shared" si="596"/>
        <v>0</v>
      </c>
      <c r="AU134" s="129">
        <f t="shared" si="596"/>
        <v>0</v>
      </c>
      <c r="AV134" s="128">
        <f t="shared" si="596"/>
        <v>0</v>
      </c>
      <c r="AW134" s="280">
        <f t="shared" si="596"/>
        <v>0</v>
      </c>
      <c r="AX134" s="279">
        <f t="shared" ref="AX134:BE134" si="597">AX77</f>
        <v>0</v>
      </c>
      <c r="AY134" s="129">
        <f t="shared" si="597"/>
        <v>0</v>
      </c>
      <c r="AZ134" s="279">
        <f t="shared" si="597"/>
        <v>0</v>
      </c>
      <c r="BA134" s="130">
        <f t="shared" si="597"/>
        <v>0</v>
      </c>
      <c r="BB134" s="128">
        <f t="shared" si="597"/>
        <v>0</v>
      </c>
      <c r="BC134" s="130">
        <f t="shared" si="597"/>
        <v>0</v>
      </c>
      <c r="BD134" s="128">
        <f t="shared" si="597"/>
        <v>0</v>
      </c>
      <c r="BE134" s="280">
        <f t="shared" si="597"/>
        <v>0</v>
      </c>
      <c r="BF134" s="46"/>
      <c r="BG134" s="49" t="e">
        <f t="shared" ref="BG134:BR134" si="598">AL134*$AJ134</f>
        <v>#DIV/0!</v>
      </c>
      <c r="BH134" s="49" t="e">
        <f t="shared" si="598"/>
        <v>#DIV/0!</v>
      </c>
      <c r="BI134" s="49" t="e">
        <f t="shared" si="598"/>
        <v>#DIV/0!</v>
      </c>
      <c r="BJ134" s="49" t="e">
        <f t="shared" si="598"/>
        <v>#DIV/0!</v>
      </c>
      <c r="BK134" s="49" t="e">
        <f t="shared" si="598"/>
        <v>#DIV/0!</v>
      </c>
      <c r="BL134" s="49" t="e">
        <f t="shared" si="598"/>
        <v>#DIV/0!</v>
      </c>
      <c r="BM134" s="49" t="e">
        <f t="shared" si="598"/>
        <v>#DIV/0!</v>
      </c>
      <c r="BN134" s="49" t="e">
        <f t="shared" si="598"/>
        <v>#DIV/0!</v>
      </c>
      <c r="BO134" s="49" t="e">
        <f t="shared" si="598"/>
        <v>#DIV/0!</v>
      </c>
      <c r="BP134" s="49" t="e">
        <f t="shared" si="598"/>
        <v>#DIV/0!</v>
      </c>
      <c r="BQ134" s="49" t="e">
        <f t="shared" si="598"/>
        <v>#DIV/0!</v>
      </c>
      <c r="BR134" s="49" t="e">
        <f t="shared" si="598"/>
        <v>#DIV/0!</v>
      </c>
      <c r="BS134" s="20" t="e">
        <f t="shared" ref="BS134" si="599">AX134*$AJ134</f>
        <v>#DIV/0!</v>
      </c>
      <c r="BT134" s="20" t="e">
        <f t="shared" ref="BT134" si="600">AY134*$AJ134</f>
        <v>#DIV/0!</v>
      </c>
      <c r="BU134" s="49" t="e">
        <f t="shared" ref="BU134" si="601">AZ134*$AJ134</f>
        <v>#DIV/0!</v>
      </c>
      <c r="BV134" s="20" t="e">
        <f t="shared" ref="BV134" si="602">BA134*$AJ134</f>
        <v>#DIV/0!</v>
      </c>
      <c r="BW134" s="20" t="e">
        <f t="shared" ref="BW134" si="603">BB134*$AJ134</f>
        <v>#DIV/0!</v>
      </c>
      <c r="BX134" s="20" t="e">
        <f t="shared" ref="BX134" si="604">BC134*$AJ134</f>
        <v>#DIV/0!</v>
      </c>
      <c r="BY134" s="20" t="e">
        <f t="shared" ref="BY134" si="605">BD134*$AJ134</f>
        <v>#DIV/0!</v>
      </c>
      <c r="BZ134" s="99" t="e">
        <f t="shared" ref="BZ134" si="606">BE134*$AJ134</f>
        <v>#DIV/0!</v>
      </c>
    </row>
    <row r="135" spans="2:78" x14ac:dyDescent="0.25">
      <c r="B135" s="402"/>
      <c r="C135" s="50"/>
      <c r="D135" s="56" t="s">
        <v>39</v>
      </c>
      <c r="E135" s="34"/>
      <c r="F135" s="31"/>
      <c r="G135" s="273"/>
      <c r="H135" s="267"/>
      <c r="J135" s="45"/>
      <c r="K135" s="46"/>
      <c r="M135" s="52"/>
      <c r="N135" s="267"/>
      <c r="P135" s="45"/>
      <c r="R135" s="45"/>
      <c r="S135" s="52"/>
      <c r="V135" s="267"/>
      <c r="X135" s="45"/>
      <c r="Y135" s="46"/>
      <c r="AA135" s="52"/>
      <c r="AB135" s="215"/>
      <c r="AC135" s="302"/>
      <c r="AD135" s="199"/>
      <c r="AE135" s="200"/>
      <c r="AF135" s="201"/>
      <c r="AG135" s="211"/>
      <c r="AH135" s="202"/>
      <c r="AI135" s="202"/>
      <c r="AJ135" s="303"/>
      <c r="AK135" s="172"/>
      <c r="AL135" s="281"/>
      <c r="AM135" s="48"/>
      <c r="AN135" s="47"/>
      <c r="AO135" s="48"/>
      <c r="AP135" s="47"/>
      <c r="AQ135" s="282"/>
      <c r="AR135" s="281"/>
      <c r="AS135" s="48"/>
      <c r="AT135" s="47"/>
      <c r="AU135" s="48"/>
      <c r="AV135" s="47"/>
      <c r="AW135" s="282"/>
      <c r="AX135" s="281"/>
      <c r="AY135" s="48"/>
      <c r="AZ135" s="281"/>
      <c r="BA135" s="51"/>
      <c r="BB135" s="47"/>
      <c r="BC135" s="51"/>
      <c r="BD135" s="47"/>
      <c r="BE135" s="282"/>
      <c r="BF135" s="46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20"/>
      <c r="BT135" s="20"/>
      <c r="BU135" s="49"/>
      <c r="BV135" s="20"/>
      <c r="BW135" s="20"/>
      <c r="BX135" s="20"/>
      <c r="BY135" s="20"/>
      <c r="BZ135" s="99"/>
    </row>
    <row r="136" spans="2:78" x14ac:dyDescent="0.25">
      <c r="B136" s="402"/>
      <c r="C136" s="50"/>
      <c r="D136" s="56" t="s">
        <v>39</v>
      </c>
      <c r="E136" s="34"/>
      <c r="F136" s="31"/>
      <c r="G136" s="273"/>
      <c r="H136" s="267"/>
      <c r="J136" s="45"/>
      <c r="K136" s="46"/>
      <c r="M136" s="52"/>
      <c r="N136" s="267"/>
      <c r="P136" s="45"/>
      <c r="R136" s="45"/>
      <c r="S136" s="52"/>
      <c r="V136" s="267"/>
      <c r="X136" s="45"/>
      <c r="Y136" s="46"/>
      <c r="AA136" s="52"/>
      <c r="AB136" s="215"/>
      <c r="AC136" s="302"/>
      <c r="AD136" s="199"/>
      <c r="AE136" s="200"/>
      <c r="AF136" s="201"/>
      <c r="AG136" s="211"/>
      <c r="AH136" s="202"/>
      <c r="AI136" s="202"/>
      <c r="AJ136" s="303"/>
      <c r="AK136" s="172"/>
      <c r="AL136" s="281"/>
      <c r="AM136" s="48"/>
      <c r="AN136" s="47"/>
      <c r="AO136" s="48"/>
      <c r="AP136" s="47"/>
      <c r="AQ136" s="282"/>
      <c r="AR136" s="281"/>
      <c r="AS136" s="48"/>
      <c r="AT136" s="47"/>
      <c r="AU136" s="48"/>
      <c r="AV136" s="47"/>
      <c r="AW136" s="282"/>
      <c r="AX136" s="281"/>
      <c r="AY136" s="48"/>
      <c r="AZ136" s="281"/>
      <c r="BA136" s="51"/>
      <c r="BB136" s="47"/>
      <c r="BC136" s="51"/>
      <c r="BD136" s="47"/>
      <c r="BE136" s="282"/>
      <c r="BF136" s="46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20"/>
      <c r="BT136" s="20"/>
      <c r="BU136" s="49"/>
      <c r="BV136" s="20"/>
      <c r="BW136" s="20"/>
      <c r="BX136" s="20"/>
      <c r="BY136" s="20"/>
      <c r="BZ136" s="99"/>
    </row>
    <row r="137" spans="2:78" x14ac:dyDescent="0.25">
      <c r="B137" s="402"/>
      <c r="C137" s="50">
        <v>45948</v>
      </c>
      <c r="D137" s="56" t="s">
        <v>40</v>
      </c>
      <c r="E137" s="34"/>
      <c r="F137" s="31"/>
      <c r="G137" s="273"/>
      <c r="H137" s="267"/>
      <c r="J137" s="45"/>
      <c r="K137" s="46"/>
      <c r="M137" s="52"/>
      <c r="N137" s="267"/>
      <c r="P137" s="45"/>
      <c r="R137" s="45"/>
      <c r="S137" s="52"/>
      <c r="V137" s="267"/>
      <c r="X137" s="45"/>
      <c r="Y137" s="46"/>
      <c r="AA137" s="52"/>
      <c r="AB137" s="215"/>
      <c r="AC137" s="302"/>
      <c r="AD137" s="199"/>
      <c r="AE137" s="200" t="e">
        <f>SUM(AC137:AC138)/SUM(AD137:AD138)</f>
        <v>#DIV/0!</v>
      </c>
      <c r="AF137" s="200" t="e">
        <f>SUM(F137:F138)/SUM(E137:E138)</f>
        <v>#DIV/0!</v>
      </c>
      <c r="AG137" s="211">
        <v>16.100000000000001</v>
      </c>
      <c r="AH137" s="202" t="e">
        <f>AE137*AF137*AG137</f>
        <v>#DIV/0!</v>
      </c>
      <c r="AI137" s="203" t="e">
        <f t="shared" ref="AI137" si="607">AH137/AI$51</f>
        <v>#DIV/0!</v>
      </c>
      <c r="AJ137" s="303" t="e">
        <f>AI137*2</f>
        <v>#DIV/0!</v>
      </c>
      <c r="AK137" s="181" t="e">
        <f>AJ137/AB80</f>
        <v>#DIV/0!</v>
      </c>
      <c r="AL137" s="281">
        <f t="shared" ref="AL137:AW137" si="608">AL80</f>
        <v>3.9111389236545682E-2</v>
      </c>
      <c r="AM137" s="48">
        <f t="shared" si="608"/>
        <v>4.3022528160200246E-2</v>
      </c>
      <c r="AN137" s="47">
        <f t="shared" si="608"/>
        <v>0</v>
      </c>
      <c r="AO137" s="48">
        <f t="shared" si="608"/>
        <v>0</v>
      </c>
      <c r="AP137" s="47">
        <f t="shared" si="608"/>
        <v>0</v>
      </c>
      <c r="AQ137" s="282">
        <f t="shared" si="608"/>
        <v>0</v>
      </c>
      <c r="AR137" s="281">
        <f t="shared" si="608"/>
        <v>7.8222778473091368E-3</v>
      </c>
      <c r="AS137" s="48">
        <f t="shared" si="608"/>
        <v>0</v>
      </c>
      <c r="AT137" s="47">
        <f t="shared" si="608"/>
        <v>0</v>
      </c>
      <c r="AU137" s="48">
        <f t="shared" si="608"/>
        <v>0</v>
      </c>
      <c r="AV137" s="47">
        <f t="shared" si="608"/>
        <v>0</v>
      </c>
      <c r="AW137" s="282">
        <f t="shared" si="608"/>
        <v>0</v>
      </c>
      <c r="AX137" s="281">
        <f t="shared" ref="AX137:BE137" si="609">AX80</f>
        <v>0</v>
      </c>
      <c r="AY137" s="48">
        <f t="shared" si="609"/>
        <v>0</v>
      </c>
      <c r="AZ137" s="281">
        <f t="shared" si="609"/>
        <v>0</v>
      </c>
      <c r="BA137" s="51">
        <f t="shared" si="609"/>
        <v>0</v>
      </c>
      <c r="BB137" s="47">
        <f t="shared" si="609"/>
        <v>0</v>
      </c>
      <c r="BC137" s="51">
        <f t="shared" si="609"/>
        <v>0</v>
      </c>
      <c r="BD137" s="47">
        <f t="shared" si="609"/>
        <v>0</v>
      </c>
      <c r="BE137" s="282">
        <f t="shared" si="609"/>
        <v>0</v>
      </c>
      <c r="BF137" s="46"/>
      <c r="BG137" s="49" t="e">
        <f t="shared" ref="BG137:BZ137" si="610">AL137*$AJ137</f>
        <v>#DIV/0!</v>
      </c>
      <c r="BH137" s="49" t="e">
        <f t="shared" si="610"/>
        <v>#DIV/0!</v>
      </c>
      <c r="BI137" s="49" t="e">
        <f t="shared" si="610"/>
        <v>#DIV/0!</v>
      </c>
      <c r="BJ137" s="49" t="e">
        <f t="shared" si="610"/>
        <v>#DIV/0!</v>
      </c>
      <c r="BK137" s="49" t="e">
        <f t="shared" si="610"/>
        <v>#DIV/0!</v>
      </c>
      <c r="BL137" s="49" t="e">
        <f t="shared" si="610"/>
        <v>#DIV/0!</v>
      </c>
      <c r="BM137" s="49" t="e">
        <f t="shared" si="610"/>
        <v>#DIV/0!</v>
      </c>
      <c r="BN137" s="49" t="e">
        <f t="shared" si="610"/>
        <v>#DIV/0!</v>
      </c>
      <c r="BO137" s="49" t="e">
        <f t="shared" si="610"/>
        <v>#DIV/0!</v>
      </c>
      <c r="BP137" s="49" t="e">
        <f t="shared" si="610"/>
        <v>#DIV/0!</v>
      </c>
      <c r="BQ137" s="49" t="e">
        <f t="shared" si="610"/>
        <v>#DIV/0!</v>
      </c>
      <c r="BR137" s="49" t="e">
        <f t="shared" si="610"/>
        <v>#DIV/0!</v>
      </c>
      <c r="BS137" s="20" t="e">
        <f t="shared" si="610"/>
        <v>#DIV/0!</v>
      </c>
      <c r="BT137" s="20" t="e">
        <f t="shared" si="610"/>
        <v>#DIV/0!</v>
      </c>
      <c r="BU137" s="49" t="e">
        <f t="shared" si="610"/>
        <v>#DIV/0!</v>
      </c>
      <c r="BV137" s="20" t="e">
        <f t="shared" si="610"/>
        <v>#DIV/0!</v>
      </c>
      <c r="BW137" s="20" t="e">
        <f t="shared" si="610"/>
        <v>#DIV/0!</v>
      </c>
      <c r="BX137" s="20" t="e">
        <f t="shared" si="610"/>
        <v>#DIV/0!</v>
      </c>
      <c r="BY137" s="20" t="e">
        <f t="shared" si="610"/>
        <v>#DIV/0!</v>
      </c>
      <c r="BZ137" s="99" t="e">
        <f t="shared" si="610"/>
        <v>#DIV/0!</v>
      </c>
    </row>
    <row r="138" spans="2:78" ht="16.5" thickBot="1" x14ac:dyDescent="0.3">
      <c r="B138" s="403"/>
      <c r="C138" s="139">
        <v>45949</v>
      </c>
      <c r="D138" s="121" t="s">
        <v>40</v>
      </c>
      <c r="E138" s="4"/>
      <c r="F138" s="122"/>
      <c r="G138" s="274"/>
      <c r="H138" s="278"/>
      <c r="I138" s="124"/>
      <c r="J138" s="125"/>
      <c r="K138" s="126"/>
      <c r="L138" s="124"/>
      <c r="M138" s="140"/>
      <c r="N138" s="278"/>
      <c r="O138" s="124"/>
      <c r="P138" s="125"/>
      <c r="Q138" s="124"/>
      <c r="R138" s="125"/>
      <c r="S138" s="140"/>
      <c r="T138" s="124"/>
      <c r="U138" s="124"/>
      <c r="V138" s="278"/>
      <c r="W138" s="124"/>
      <c r="X138" s="125"/>
      <c r="Y138" s="126"/>
      <c r="Z138" s="124"/>
      <c r="AA138" s="140"/>
      <c r="AB138" s="215"/>
      <c r="AC138" s="304"/>
      <c r="AD138" s="205"/>
      <c r="AE138" s="206"/>
      <c r="AF138" s="207"/>
      <c r="AG138" s="212"/>
      <c r="AH138" s="208"/>
      <c r="AI138" s="208"/>
      <c r="AJ138" s="305"/>
      <c r="AK138" s="173"/>
      <c r="AL138" s="283"/>
      <c r="AM138" s="132"/>
      <c r="AN138" s="131"/>
      <c r="AO138" s="132"/>
      <c r="AP138" s="131"/>
      <c r="AQ138" s="284"/>
      <c r="AR138" s="283"/>
      <c r="AS138" s="132"/>
      <c r="AT138" s="131"/>
      <c r="AU138" s="132"/>
      <c r="AV138" s="131"/>
      <c r="AW138" s="284"/>
      <c r="AX138" s="283"/>
      <c r="AY138" s="132"/>
      <c r="AZ138" s="283"/>
      <c r="BA138" s="133"/>
      <c r="BB138" s="131"/>
      <c r="BC138" s="133"/>
      <c r="BD138" s="131"/>
      <c r="BE138" s="284"/>
      <c r="BF138" s="46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127"/>
      <c r="BT138" s="127"/>
      <c r="BU138" s="64"/>
      <c r="BV138" s="127"/>
      <c r="BW138" s="127"/>
      <c r="BX138" s="127"/>
      <c r="BY138" s="127"/>
      <c r="BZ138" s="100"/>
    </row>
    <row r="139" spans="2:78" x14ac:dyDescent="0.25">
      <c r="B139" s="401" t="str">
        <f t="shared" ref="B139" si="611">B82</f>
        <v>Oct 21-27</v>
      </c>
      <c r="C139" s="120"/>
      <c r="D139" s="55" t="s">
        <v>39</v>
      </c>
      <c r="E139" s="3"/>
      <c r="F139" s="39"/>
      <c r="G139" s="272"/>
      <c r="H139" s="277"/>
      <c r="I139" s="40"/>
      <c r="J139" s="41"/>
      <c r="K139" s="42"/>
      <c r="L139" s="40"/>
      <c r="M139" s="58"/>
      <c r="N139" s="277"/>
      <c r="O139" s="40"/>
      <c r="P139" s="41"/>
      <c r="Q139" s="40"/>
      <c r="R139" s="41"/>
      <c r="S139" s="58"/>
      <c r="T139" s="40"/>
      <c r="U139" s="40"/>
      <c r="V139" s="277"/>
      <c r="W139" s="40"/>
      <c r="X139" s="41"/>
      <c r="Y139" s="42"/>
      <c r="Z139" s="40"/>
      <c r="AA139" s="58"/>
      <c r="AB139" s="215"/>
      <c r="AC139" s="300"/>
      <c r="AD139" s="193"/>
      <c r="AE139" s="195" t="e">
        <f>SUM(AC139:AC141)/SUM(AD139:AD141)</f>
        <v>#DIV/0!</v>
      </c>
      <c r="AF139" s="195" t="e">
        <f>SUM(F139:F141)/SUM(E139:E141)</f>
        <v>#DIV/0!</v>
      </c>
      <c r="AG139" s="210">
        <v>16.100000000000001</v>
      </c>
      <c r="AH139" s="196" t="e">
        <f>AE139*AF139*AG139</f>
        <v>#DIV/0!</v>
      </c>
      <c r="AI139" s="197" t="e">
        <f>AH139/AI$51</f>
        <v>#DIV/0!</v>
      </c>
      <c r="AJ139" s="301" t="e">
        <f>AI139*5</f>
        <v>#DIV/0!</v>
      </c>
      <c r="AK139" s="181" t="e">
        <f>AJ139/AB82</f>
        <v>#DIV/0!</v>
      </c>
      <c r="AL139" s="279">
        <f t="shared" ref="AL139:AW139" si="612">AL82</f>
        <v>3.1080031080031083E-2</v>
      </c>
      <c r="AM139" s="129">
        <f t="shared" si="612"/>
        <v>7.770007770007771E-2</v>
      </c>
      <c r="AN139" s="128">
        <f t="shared" si="612"/>
        <v>0</v>
      </c>
      <c r="AO139" s="129">
        <f t="shared" si="612"/>
        <v>0</v>
      </c>
      <c r="AP139" s="128">
        <f t="shared" si="612"/>
        <v>7.7700077700077709E-3</v>
      </c>
      <c r="AQ139" s="280">
        <f t="shared" si="612"/>
        <v>0</v>
      </c>
      <c r="AR139" s="279">
        <f t="shared" si="612"/>
        <v>7.7700077700077709E-3</v>
      </c>
      <c r="AS139" s="129">
        <f t="shared" si="612"/>
        <v>0</v>
      </c>
      <c r="AT139" s="128">
        <f t="shared" si="612"/>
        <v>0</v>
      </c>
      <c r="AU139" s="129">
        <f t="shared" si="612"/>
        <v>0</v>
      </c>
      <c r="AV139" s="128">
        <f t="shared" si="612"/>
        <v>0</v>
      </c>
      <c r="AW139" s="280">
        <f t="shared" si="612"/>
        <v>0</v>
      </c>
      <c r="AX139" s="279">
        <f t="shared" ref="AX139:BE139" si="613">AX82</f>
        <v>0</v>
      </c>
      <c r="AY139" s="129">
        <f t="shared" si="613"/>
        <v>0</v>
      </c>
      <c r="AZ139" s="279">
        <f t="shared" si="613"/>
        <v>0</v>
      </c>
      <c r="BA139" s="130">
        <f t="shared" si="613"/>
        <v>0</v>
      </c>
      <c r="BB139" s="128">
        <f t="shared" si="613"/>
        <v>0</v>
      </c>
      <c r="BC139" s="130">
        <f t="shared" si="613"/>
        <v>0</v>
      </c>
      <c r="BD139" s="128">
        <f t="shared" si="613"/>
        <v>0</v>
      </c>
      <c r="BE139" s="280">
        <f t="shared" si="613"/>
        <v>0</v>
      </c>
      <c r="BF139" s="46"/>
      <c r="BG139" s="49" t="e">
        <f t="shared" ref="BG139" si="614">AL139*$AJ139</f>
        <v>#DIV/0!</v>
      </c>
      <c r="BH139" s="49" t="e">
        <f t="shared" ref="BH139" si="615">AM139*$AJ139</f>
        <v>#DIV/0!</v>
      </c>
      <c r="BI139" s="49" t="e">
        <f t="shared" ref="BI139" si="616">AN139*$AJ139</f>
        <v>#DIV/0!</v>
      </c>
      <c r="BJ139" s="49" t="e">
        <f t="shared" ref="BJ139" si="617">AO139*$AJ139</f>
        <v>#DIV/0!</v>
      </c>
      <c r="BK139" s="49" t="e">
        <f t="shared" ref="BK139" si="618">AP139*$AJ139</f>
        <v>#DIV/0!</v>
      </c>
      <c r="BL139" s="49" t="e">
        <f t="shared" ref="BL139" si="619">AQ139*$AJ139</f>
        <v>#DIV/0!</v>
      </c>
      <c r="BM139" s="49" t="e">
        <f t="shared" ref="BM139" si="620">AR139*$AJ139</f>
        <v>#DIV/0!</v>
      </c>
      <c r="BN139" s="49" t="e">
        <f t="shared" ref="BN139" si="621">AS139*$AJ139</f>
        <v>#DIV/0!</v>
      </c>
      <c r="BO139" s="49" t="e">
        <f t="shared" ref="BO139" si="622">AT139*$AJ139</f>
        <v>#DIV/0!</v>
      </c>
      <c r="BP139" s="49" t="e">
        <f t="shared" ref="BP139" si="623">AU139*$AJ139</f>
        <v>#DIV/0!</v>
      </c>
      <c r="BQ139" s="49" t="e">
        <f t="shared" ref="BQ139" si="624">AV139*$AJ139</f>
        <v>#DIV/0!</v>
      </c>
      <c r="BR139" s="49" t="e">
        <f t="shared" ref="BR139" si="625">AW139*$AJ139</f>
        <v>#DIV/0!</v>
      </c>
      <c r="BS139" s="20" t="e">
        <f t="shared" ref="BS139" si="626">AX139*$AJ139</f>
        <v>#DIV/0!</v>
      </c>
      <c r="BT139" s="20" t="e">
        <f t="shared" ref="BT139" si="627">AY139*$AJ139</f>
        <v>#DIV/0!</v>
      </c>
      <c r="BU139" s="49" t="e">
        <f t="shared" ref="BU139" si="628">AZ139*$AJ139</f>
        <v>#DIV/0!</v>
      </c>
      <c r="BV139" s="20" t="e">
        <f t="shared" ref="BV139" si="629">BA139*$AJ139</f>
        <v>#DIV/0!</v>
      </c>
      <c r="BW139" s="20" t="e">
        <f t="shared" ref="BW139" si="630">BB139*$AJ139</f>
        <v>#DIV/0!</v>
      </c>
      <c r="BX139" s="20" t="e">
        <f t="shared" ref="BX139" si="631">BC139*$AJ139</f>
        <v>#DIV/0!</v>
      </c>
      <c r="BY139" s="20" t="e">
        <f t="shared" ref="BY139" si="632">BD139*$AJ139</f>
        <v>#DIV/0!</v>
      </c>
      <c r="BZ139" s="99" t="e">
        <f t="shared" ref="BZ139" si="633">BE139*$AJ139</f>
        <v>#DIV/0!</v>
      </c>
    </row>
    <row r="140" spans="2:78" x14ac:dyDescent="0.25">
      <c r="B140" s="402"/>
      <c r="C140" s="50"/>
      <c r="D140" s="56" t="s">
        <v>39</v>
      </c>
      <c r="E140" s="34"/>
      <c r="F140" s="31"/>
      <c r="G140" s="273"/>
      <c r="H140" s="267"/>
      <c r="J140" s="45"/>
      <c r="K140" s="46"/>
      <c r="M140" s="52"/>
      <c r="N140" s="267"/>
      <c r="P140" s="45"/>
      <c r="R140" s="45"/>
      <c r="S140" s="52"/>
      <c r="V140" s="267"/>
      <c r="X140" s="45"/>
      <c r="Y140" s="46"/>
      <c r="AA140" s="52"/>
      <c r="AB140" s="215"/>
      <c r="AC140" s="302"/>
      <c r="AD140" s="199"/>
      <c r="AE140" s="200"/>
      <c r="AF140" s="201"/>
      <c r="AG140" s="211"/>
      <c r="AH140" s="202"/>
      <c r="AI140" s="202"/>
      <c r="AJ140" s="303"/>
      <c r="AK140" s="172"/>
      <c r="AL140" s="281"/>
      <c r="AM140" s="48"/>
      <c r="AN140" s="47"/>
      <c r="AO140" s="48"/>
      <c r="AP140" s="47"/>
      <c r="AQ140" s="282"/>
      <c r="AR140" s="281"/>
      <c r="AS140" s="48"/>
      <c r="AT140" s="47"/>
      <c r="AU140" s="48"/>
      <c r="AV140" s="47"/>
      <c r="AW140" s="282"/>
      <c r="AX140" s="281"/>
      <c r="AY140" s="48"/>
      <c r="AZ140" s="281"/>
      <c r="BA140" s="51"/>
      <c r="BB140" s="47"/>
      <c r="BC140" s="51"/>
      <c r="BD140" s="47"/>
      <c r="BE140" s="282"/>
      <c r="BF140" s="46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20"/>
      <c r="BT140" s="20"/>
      <c r="BU140" s="49"/>
      <c r="BV140" s="20"/>
      <c r="BW140" s="20"/>
      <c r="BX140" s="20"/>
      <c r="BY140" s="20"/>
      <c r="BZ140" s="99"/>
    </row>
    <row r="141" spans="2:78" x14ac:dyDescent="0.25">
      <c r="B141" s="402"/>
      <c r="C141" s="50"/>
      <c r="D141" s="56" t="s">
        <v>39</v>
      </c>
      <c r="E141" s="34"/>
      <c r="F141" s="31"/>
      <c r="G141" s="273"/>
      <c r="H141" s="267"/>
      <c r="J141" s="45"/>
      <c r="K141" s="46"/>
      <c r="M141" s="52"/>
      <c r="N141" s="267"/>
      <c r="P141" s="45"/>
      <c r="R141" s="45"/>
      <c r="S141" s="52"/>
      <c r="V141" s="267"/>
      <c r="X141" s="45"/>
      <c r="Y141" s="46"/>
      <c r="AA141" s="52"/>
      <c r="AB141" s="215"/>
      <c r="AC141" s="302"/>
      <c r="AD141" s="199"/>
      <c r="AE141" s="200"/>
      <c r="AF141" s="201"/>
      <c r="AG141" s="211"/>
      <c r="AH141" s="202"/>
      <c r="AI141" s="202"/>
      <c r="AJ141" s="303"/>
      <c r="AK141" s="172"/>
      <c r="AL141" s="281"/>
      <c r="AM141" s="48"/>
      <c r="AN141" s="47"/>
      <c r="AO141" s="48"/>
      <c r="AP141" s="47"/>
      <c r="AQ141" s="282"/>
      <c r="AR141" s="281"/>
      <c r="AS141" s="48"/>
      <c r="AT141" s="47"/>
      <c r="AU141" s="48"/>
      <c r="AV141" s="47"/>
      <c r="AW141" s="282"/>
      <c r="AX141" s="281"/>
      <c r="AY141" s="48"/>
      <c r="AZ141" s="281"/>
      <c r="BA141" s="51"/>
      <c r="BB141" s="47"/>
      <c r="BC141" s="51"/>
      <c r="BD141" s="47"/>
      <c r="BE141" s="282"/>
      <c r="BF141" s="46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20"/>
      <c r="BT141" s="20"/>
      <c r="BU141" s="49"/>
      <c r="BV141" s="20"/>
      <c r="BW141" s="20"/>
      <c r="BX141" s="20"/>
      <c r="BY141" s="20"/>
      <c r="BZ141" s="99"/>
    </row>
    <row r="142" spans="2:78" x14ac:dyDescent="0.25">
      <c r="B142" s="402"/>
      <c r="C142" s="50">
        <v>45956</v>
      </c>
      <c r="D142" s="56" t="s">
        <v>40</v>
      </c>
      <c r="E142" s="34"/>
      <c r="F142" s="31"/>
      <c r="G142" s="273"/>
      <c r="H142" s="267"/>
      <c r="J142" s="45"/>
      <c r="K142" s="46"/>
      <c r="M142" s="52"/>
      <c r="N142" s="267"/>
      <c r="P142" s="45"/>
      <c r="R142" s="45"/>
      <c r="S142" s="52"/>
      <c r="V142" s="267"/>
      <c r="X142" s="45"/>
      <c r="Y142" s="46"/>
      <c r="AA142" s="52"/>
      <c r="AB142" s="215"/>
      <c r="AC142" s="302"/>
      <c r="AD142" s="199"/>
      <c r="AE142" s="200" t="e">
        <f>SUM(AC142:AC143)/SUM(AD142:AD143)</f>
        <v>#DIV/0!</v>
      </c>
      <c r="AF142" s="200" t="e">
        <f>SUM(F142:F143)/SUM(E142:E143)</f>
        <v>#DIV/0!</v>
      </c>
      <c r="AG142" s="211">
        <v>16.100000000000001</v>
      </c>
      <c r="AH142" s="202" t="e">
        <f>AE142*AF142*AG142</f>
        <v>#DIV/0!</v>
      </c>
      <c r="AI142" s="203" t="e">
        <f t="shared" ref="AI142" si="634">AH142/AI$51</f>
        <v>#DIV/0!</v>
      </c>
      <c r="AJ142" s="303" t="e">
        <f>AI142*2</f>
        <v>#DIV/0!</v>
      </c>
      <c r="AK142" s="181" t="e">
        <f>AJ142/AB85</f>
        <v>#DIV/0!</v>
      </c>
      <c r="AL142" s="281">
        <f t="shared" ref="AL142:AW142" si="635">AL85</f>
        <v>0</v>
      </c>
      <c r="AM142" s="48">
        <f t="shared" si="635"/>
        <v>0</v>
      </c>
      <c r="AN142" s="47">
        <f t="shared" si="635"/>
        <v>0</v>
      </c>
      <c r="AO142" s="48">
        <f t="shared" si="635"/>
        <v>0</v>
      </c>
      <c r="AP142" s="47">
        <f t="shared" si="635"/>
        <v>0</v>
      </c>
      <c r="AQ142" s="282">
        <f t="shared" si="635"/>
        <v>0</v>
      </c>
      <c r="AR142" s="281">
        <f t="shared" si="635"/>
        <v>0</v>
      </c>
      <c r="AS142" s="48">
        <f t="shared" si="635"/>
        <v>0</v>
      </c>
      <c r="AT142" s="47">
        <f t="shared" si="635"/>
        <v>0</v>
      </c>
      <c r="AU142" s="48">
        <f t="shared" si="635"/>
        <v>0</v>
      </c>
      <c r="AV142" s="47">
        <f t="shared" si="635"/>
        <v>0</v>
      </c>
      <c r="AW142" s="282">
        <f t="shared" si="635"/>
        <v>0</v>
      </c>
      <c r="AX142" s="281">
        <f t="shared" ref="AX142:BE142" si="636">AX85</f>
        <v>0</v>
      </c>
      <c r="AY142" s="48">
        <f t="shared" si="636"/>
        <v>0</v>
      </c>
      <c r="AZ142" s="281">
        <f t="shared" si="636"/>
        <v>0</v>
      </c>
      <c r="BA142" s="51">
        <f t="shared" si="636"/>
        <v>0</v>
      </c>
      <c r="BB142" s="47">
        <f t="shared" si="636"/>
        <v>0</v>
      </c>
      <c r="BC142" s="51">
        <f t="shared" si="636"/>
        <v>0</v>
      </c>
      <c r="BD142" s="47">
        <f t="shared" si="636"/>
        <v>0</v>
      </c>
      <c r="BE142" s="282">
        <f t="shared" si="636"/>
        <v>0</v>
      </c>
      <c r="BF142" s="46"/>
      <c r="BG142" s="49" t="e">
        <f t="shared" ref="BG142" si="637">AL142*$AJ142</f>
        <v>#DIV/0!</v>
      </c>
      <c r="BH142" s="49" t="e">
        <f t="shared" ref="BH142" si="638">AM142*$AJ142</f>
        <v>#DIV/0!</v>
      </c>
      <c r="BI142" s="49" t="e">
        <f t="shared" ref="BI142" si="639">AN142*$AJ142</f>
        <v>#DIV/0!</v>
      </c>
      <c r="BJ142" s="49" t="e">
        <f t="shared" ref="BJ142" si="640">AO142*$AJ142</f>
        <v>#DIV/0!</v>
      </c>
      <c r="BK142" s="49" t="e">
        <f t="shared" ref="BK142" si="641">AP142*$AJ142</f>
        <v>#DIV/0!</v>
      </c>
      <c r="BL142" s="49" t="e">
        <f t="shared" ref="BL142" si="642">AQ142*$AJ142</f>
        <v>#DIV/0!</v>
      </c>
      <c r="BM142" s="49" t="e">
        <f t="shared" ref="BM142" si="643">AR142*$AJ142</f>
        <v>#DIV/0!</v>
      </c>
      <c r="BN142" s="49" t="e">
        <f t="shared" ref="BN142" si="644">AS142*$AJ142</f>
        <v>#DIV/0!</v>
      </c>
      <c r="BO142" s="49" t="e">
        <f t="shared" ref="BO142" si="645">AT142*$AJ142</f>
        <v>#DIV/0!</v>
      </c>
      <c r="BP142" s="49" t="e">
        <f t="shared" ref="BP142" si="646">AU142*$AJ142</f>
        <v>#DIV/0!</v>
      </c>
      <c r="BQ142" s="49" t="e">
        <f t="shared" ref="BQ142" si="647">AV142*$AJ142</f>
        <v>#DIV/0!</v>
      </c>
      <c r="BR142" s="49" t="e">
        <f t="shared" ref="BR142" si="648">AW142*$AJ142</f>
        <v>#DIV/0!</v>
      </c>
      <c r="BS142" s="20" t="e">
        <f t="shared" ref="BS142" si="649">AX142*$AJ142</f>
        <v>#DIV/0!</v>
      </c>
      <c r="BT142" s="20" t="e">
        <f t="shared" ref="BT142" si="650">AY142*$AJ142</f>
        <v>#DIV/0!</v>
      </c>
      <c r="BU142" s="49" t="e">
        <f t="shared" ref="BU142" si="651">AZ142*$AJ142</f>
        <v>#DIV/0!</v>
      </c>
      <c r="BV142" s="20" t="e">
        <f t="shared" ref="BV142" si="652">BA142*$AJ142</f>
        <v>#DIV/0!</v>
      </c>
      <c r="BW142" s="20" t="e">
        <f t="shared" ref="BW142" si="653">BB142*$AJ142</f>
        <v>#DIV/0!</v>
      </c>
      <c r="BX142" s="20" t="e">
        <f t="shared" ref="BX142" si="654">BC142*$AJ142</f>
        <v>#DIV/0!</v>
      </c>
      <c r="BY142" s="20" t="e">
        <f t="shared" ref="BY142" si="655">BD142*$AJ142</f>
        <v>#DIV/0!</v>
      </c>
      <c r="BZ142" s="99" t="e">
        <f t="shared" ref="BZ142" si="656">BE142*$AJ142</f>
        <v>#DIV/0!</v>
      </c>
    </row>
    <row r="143" spans="2:78" ht="16.5" thickBot="1" x14ac:dyDescent="0.3">
      <c r="B143" s="403"/>
      <c r="C143" s="139">
        <v>45592</v>
      </c>
      <c r="D143" s="121" t="s">
        <v>40</v>
      </c>
      <c r="E143" s="4"/>
      <c r="F143" s="122"/>
      <c r="G143" s="274"/>
      <c r="H143" s="278"/>
      <c r="I143" s="124"/>
      <c r="J143" s="125"/>
      <c r="K143" s="126"/>
      <c r="L143" s="124"/>
      <c r="M143" s="140"/>
      <c r="N143" s="278"/>
      <c r="O143" s="124"/>
      <c r="P143" s="125"/>
      <c r="Q143" s="124"/>
      <c r="R143" s="125"/>
      <c r="S143" s="140"/>
      <c r="T143" s="124"/>
      <c r="U143" s="124"/>
      <c r="V143" s="278"/>
      <c r="W143" s="124"/>
      <c r="X143" s="125"/>
      <c r="Y143" s="126"/>
      <c r="Z143" s="124"/>
      <c r="AA143" s="140"/>
      <c r="AB143" s="215"/>
      <c r="AC143" s="304"/>
      <c r="AD143" s="205"/>
      <c r="AE143" s="206"/>
      <c r="AF143" s="207"/>
      <c r="AG143" s="212"/>
      <c r="AH143" s="208"/>
      <c r="AI143" s="208"/>
      <c r="AJ143" s="305"/>
      <c r="AK143" s="173"/>
      <c r="AL143" s="283"/>
      <c r="AM143" s="132"/>
      <c r="AN143" s="131"/>
      <c r="AO143" s="132"/>
      <c r="AP143" s="131"/>
      <c r="AQ143" s="284"/>
      <c r="AR143" s="283"/>
      <c r="AS143" s="132"/>
      <c r="AT143" s="131"/>
      <c r="AU143" s="132"/>
      <c r="AV143" s="131"/>
      <c r="AW143" s="284"/>
      <c r="AX143" s="283"/>
      <c r="AY143" s="132"/>
      <c r="AZ143" s="283"/>
      <c r="BA143" s="133"/>
      <c r="BB143" s="131"/>
      <c r="BC143" s="133"/>
      <c r="BD143" s="131"/>
      <c r="BE143" s="284"/>
      <c r="BF143" s="46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127"/>
      <c r="BT143" s="127"/>
      <c r="BU143" s="64"/>
      <c r="BV143" s="127"/>
      <c r="BW143" s="127"/>
      <c r="BX143" s="127"/>
      <c r="BY143" s="127"/>
      <c r="BZ143" s="100"/>
    </row>
    <row r="144" spans="2:78" x14ac:dyDescent="0.25">
      <c r="B144" s="401" t="str">
        <f t="shared" ref="B144" si="657">B87</f>
        <v>Oct 27-Nov 2</v>
      </c>
      <c r="C144" s="120"/>
      <c r="D144" s="55" t="s">
        <v>39</v>
      </c>
      <c r="E144" s="3"/>
      <c r="F144" s="39"/>
      <c r="G144" s="272"/>
      <c r="H144" s="277"/>
      <c r="I144" s="40"/>
      <c r="J144" s="41"/>
      <c r="K144" s="42"/>
      <c r="L144" s="40"/>
      <c r="M144" s="58"/>
      <c r="N144" s="277"/>
      <c r="O144" s="40"/>
      <c r="P144" s="41"/>
      <c r="Q144" s="40"/>
      <c r="R144" s="41"/>
      <c r="S144" s="58"/>
      <c r="T144" s="40"/>
      <c r="U144" s="40"/>
      <c r="V144" s="277"/>
      <c r="W144" s="40"/>
      <c r="X144" s="41"/>
      <c r="Y144" s="42"/>
      <c r="Z144" s="40"/>
      <c r="AA144" s="58"/>
      <c r="AB144" s="215"/>
      <c r="AC144" s="300"/>
      <c r="AD144" s="193"/>
      <c r="AE144" s="195" t="e">
        <f>SUM(AC144:AC146)/SUM(AD144:AD146)</f>
        <v>#DIV/0!</v>
      </c>
      <c r="AF144" s="195" t="e">
        <f>SUM(F144:F146)/SUM(E144:E146)</f>
        <v>#DIV/0!</v>
      </c>
      <c r="AG144" s="210">
        <v>16.100000000000001</v>
      </c>
      <c r="AH144" s="196" t="e">
        <f>AE144*AF144*AG144</f>
        <v>#DIV/0!</v>
      </c>
      <c r="AI144" s="197" t="e">
        <f>AH144/AI$51</f>
        <v>#DIV/0!</v>
      </c>
      <c r="AJ144" s="301" t="e">
        <f>AI144*5</f>
        <v>#DIV/0!</v>
      </c>
      <c r="AK144" s="181" t="e">
        <f>AJ144/AB87</f>
        <v>#DIV/0!</v>
      </c>
      <c r="AL144" s="279">
        <f t="shared" ref="AL144:AW144" si="658">AL87</f>
        <v>9.058791557206269E-3</v>
      </c>
      <c r="AM144" s="129">
        <f t="shared" si="658"/>
        <v>8.1529124014856416E-2</v>
      </c>
      <c r="AN144" s="128">
        <f t="shared" si="658"/>
        <v>0</v>
      </c>
      <c r="AO144" s="129">
        <f t="shared" si="658"/>
        <v>0</v>
      </c>
      <c r="AP144" s="128">
        <f t="shared" si="658"/>
        <v>4.529395778603134E-2</v>
      </c>
      <c r="AQ144" s="280">
        <f t="shared" si="658"/>
        <v>0</v>
      </c>
      <c r="AR144" s="279">
        <f t="shared" si="658"/>
        <v>0</v>
      </c>
      <c r="AS144" s="129">
        <f t="shared" si="658"/>
        <v>2.7176374671618805E-2</v>
      </c>
      <c r="AT144" s="128">
        <f t="shared" si="658"/>
        <v>0</v>
      </c>
      <c r="AU144" s="129">
        <f t="shared" si="658"/>
        <v>0</v>
      </c>
      <c r="AV144" s="128">
        <f t="shared" si="658"/>
        <v>0</v>
      </c>
      <c r="AW144" s="280">
        <f t="shared" si="658"/>
        <v>0</v>
      </c>
      <c r="AX144" s="279">
        <f t="shared" ref="AX144:BE144" si="659">AX87</f>
        <v>0</v>
      </c>
      <c r="AY144" s="129">
        <f t="shared" si="659"/>
        <v>0</v>
      </c>
      <c r="AZ144" s="279">
        <f t="shared" si="659"/>
        <v>0</v>
      </c>
      <c r="BA144" s="130">
        <f t="shared" si="659"/>
        <v>9.058791557206269E-3</v>
      </c>
      <c r="BB144" s="128">
        <f t="shared" si="659"/>
        <v>0</v>
      </c>
      <c r="BC144" s="130">
        <f t="shared" si="659"/>
        <v>0</v>
      </c>
      <c r="BD144" s="128">
        <f t="shared" si="659"/>
        <v>0</v>
      </c>
      <c r="BE144" s="280">
        <f t="shared" si="659"/>
        <v>0</v>
      </c>
      <c r="BF144" s="46"/>
      <c r="BG144" s="49" t="e">
        <f t="shared" ref="BG144" si="660">AL144*$AJ144</f>
        <v>#DIV/0!</v>
      </c>
      <c r="BH144" s="49" t="e">
        <f t="shared" ref="BH144" si="661">AM144*$AJ144</f>
        <v>#DIV/0!</v>
      </c>
      <c r="BI144" s="49" t="e">
        <f t="shared" ref="BI144" si="662">AN144*$AJ144</f>
        <v>#DIV/0!</v>
      </c>
      <c r="BJ144" s="49" t="e">
        <f t="shared" ref="BJ144" si="663">AO144*$AJ144</f>
        <v>#DIV/0!</v>
      </c>
      <c r="BK144" s="49" t="e">
        <f t="shared" ref="BK144" si="664">AP144*$AJ144</f>
        <v>#DIV/0!</v>
      </c>
      <c r="BL144" s="49" t="e">
        <f t="shared" ref="BL144" si="665">AQ144*$AJ144</f>
        <v>#DIV/0!</v>
      </c>
      <c r="BM144" s="49" t="e">
        <f t="shared" ref="BM144" si="666">AR144*$AJ144</f>
        <v>#DIV/0!</v>
      </c>
      <c r="BN144" s="49" t="e">
        <f t="shared" ref="BN144" si="667">AS144*$AJ144</f>
        <v>#DIV/0!</v>
      </c>
      <c r="BO144" s="49" t="e">
        <f t="shared" ref="BO144" si="668">AT144*$AJ144</f>
        <v>#DIV/0!</v>
      </c>
      <c r="BP144" s="49" t="e">
        <f t="shared" ref="BP144" si="669">AU144*$AJ144</f>
        <v>#DIV/0!</v>
      </c>
      <c r="BQ144" s="49" t="e">
        <f t="shared" ref="BQ144" si="670">AV144*$AJ144</f>
        <v>#DIV/0!</v>
      </c>
      <c r="BR144" s="49" t="e">
        <f t="shared" ref="BR144" si="671">AW144*$AJ144</f>
        <v>#DIV/0!</v>
      </c>
      <c r="BS144" s="20" t="e">
        <f t="shared" ref="BS144" si="672">AX144*$AJ144</f>
        <v>#DIV/0!</v>
      </c>
      <c r="BT144" s="20" t="e">
        <f t="shared" ref="BT144" si="673">AY144*$AJ144</f>
        <v>#DIV/0!</v>
      </c>
      <c r="BU144" s="49" t="e">
        <f t="shared" ref="BU144" si="674">AZ144*$AJ144</f>
        <v>#DIV/0!</v>
      </c>
      <c r="BV144" s="20" t="e">
        <f t="shared" ref="BV144" si="675">BA144*$AJ144</f>
        <v>#DIV/0!</v>
      </c>
      <c r="BW144" s="20" t="e">
        <f t="shared" ref="BW144" si="676">BB144*$AJ144</f>
        <v>#DIV/0!</v>
      </c>
      <c r="BX144" s="20" t="e">
        <f t="shared" ref="BX144" si="677">BC144*$AJ144</f>
        <v>#DIV/0!</v>
      </c>
      <c r="BY144" s="20" t="e">
        <f t="shared" ref="BY144" si="678">BD144*$AJ144</f>
        <v>#DIV/0!</v>
      </c>
      <c r="BZ144" s="99" t="e">
        <f t="shared" ref="BZ144" si="679">BE144*$AJ144</f>
        <v>#DIV/0!</v>
      </c>
    </row>
    <row r="145" spans="2:78" x14ac:dyDescent="0.25">
      <c r="B145" s="402"/>
      <c r="C145" s="50"/>
      <c r="D145" s="56" t="s">
        <v>39</v>
      </c>
      <c r="E145" s="34"/>
      <c r="F145" s="31"/>
      <c r="G145" s="273"/>
      <c r="H145" s="267"/>
      <c r="J145" s="45"/>
      <c r="K145" s="46"/>
      <c r="M145" s="52"/>
      <c r="N145" s="267"/>
      <c r="P145" s="45"/>
      <c r="R145" s="45"/>
      <c r="S145" s="52"/>
      <c r="V145" s="267"/>
      <c r="X145" s="45"/>
      <c r="Y145" s="46"/>
      <c r="AA145" s="52"/>
      <c r="AB145" s="215"/>
      <c r="AC145" s="302"/>
      <c r="AD145" s="199"/>
      <c r="AE145" s="200"/>
      <c r="AF145" s="201"/>
      <c r="AG145" s="211"/>
      <c r="AH145" s="202"/>
      <c r="AI145" s="202"/>
      <c r="AJ145" s="303"/>
      <c r="AK145" s="172"/>
      <c r="AL145" s="281"/>
      <c r="AM145" s="48"/>
      <c r="AN145" s="47"/>
      <c r="AO145" s="48"/>
      <c r="AP145" s="47"/>
      <c r="AQ145" s="282"/>
      <c r="AR145" s="281"/>
      <c r="AS145" s="48"/>
      <c r="AT145" s="47"/>
      <c r="AU145" s="48"/>
      <c r="AV145" s="47"/>
      <c r="AW145" s="282"/>
      <c r="AX145" s="281"/>
      <c r="AY145" s="48"/>
      <c r="AZ145" s="281"/>
      <c r="BA145" s="51"/>
      <c r="BB145" s="47"/>
      <c r="BC145" s="51"/>
      <c r="BD145" s="47"/>
      <c r="BE145" s="282"/>
      <c r="BF145" s="46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20"/>
      <c r="BT145" s="20"/>
      <c r="BU145" s="49"/>
      <c r="BV145" s="20"/>
      <c r="BW145" s="20"/>
      <c r="BX145" s="20"/>
      <c r="BY145" s="20"/>
      <c r="BZ145" s="99"/>
    </row>
    <row r="146" spans="2:78" x14ac:dyDescent="0.25">
      <c r="B146" s="402"/>
      <c r="C146" s="50"/>
      <c r="D146" s="56" t="s">
        <v>39</v>
      </c>
      <c r="E146" s="34"/>
      <c r="F146" s="31"/>
      <c r="G146" s="273"/>
      <c r="H146" s="267"/>
      <c r="J146" s="45"/>
      <c r="K146" s="46"/>
      <c r="M146" s="52"/>
      <c r="N146" s="267"/>
      <c r="P146" s="45"/>
      <c r="R146" s="45"/>
      <c r="S146" s="52"/>
      <c r="V146" s="267"/>
      <c r="X146" s="45"/>
      <c r="Y146" s="46"/>
      <c r="AA146" s="52"/>
      <c r="AB146" s="215"/>
      <c r="AC146" s="302"/>
      <c r="AD146" s="199"/>
      <c r="AE146" s="200"/>
      <c r="AF146" s="201"/>
      <c r="AG146" s="211"/>
      <c r="AH146" s="202"/>
      <c r="AI146" s="202"/>
      <c r="AJ146" s="303"/>
      <c r="AK146" s="172"/>
      <c r="AL146" s="281"/>
      <c r="AM146" s="48"/>
      <c r="AN146" s="47"/>
      <c r="AO146" s="48"/>
      <c r="AP146" s="47"/>
      <c r="AQ146" s="282"/>
      <c r="AR146" s="281"/>
      <c r="AS146" s="48"/>
      <c r="AT146" s="47"/>
      <c r="AU146" s="48"/>
      <c r="AV146" s="47"/>
      <c r="AW146" s="282"/>
      <c r="AX146" s="281"/>
      <c r="AY146" s="48"/>
      <c r="AZ146" s="281"/>
      <c r="BA146" s="51"/>
      <c r="BB146" s="47"/>
      <c r="BC146" s="51"/>
      <c r="BD146" s="47"/>
      <c r="BE146" s="282"/>
      <c r="BF146" s="46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20"/>
      <c r="BT146" s="20"/>
      <c r="BU146" s="49"/>
      <c r="BV146" s="20"/>
      <c r="BW146" s="20"/>
      <c r="BX146" s="20"/>
      <c r="BY146" s="20"/>
      <c r="BZ146" s="99"/>
    </row>
    <row r="147" spans="2:78" x14ac:dyDescent="0.25">
      <c r="B147" s="402"/>
      <c r="C147" s="50">
        <v>45962</v>
      </c>
      <c r="D147" s="56" t="s">
        <v>40</v>
      </c>
      <c r="E147" s="34"/>
      <c r="F147" s="31"/>
      <c r="G147" s="273"/>
      <c r="H147" s="267"/>
      <c r="J147" s="45"/>
      <c r="K147" s="46"/>
      <c r="M147" s="52"/>
      <c r="N147" s="267"/>
      <c r="P147" s="45"/>
      <c r="R147" s="45"/>
      <c r="S147" s="52"/>
      <c r="V147" s="267"/>
      <c r="X147" s="45"/>
      <c r="Y147" s="46"/>
      <c r="AA147" s="52"/>
      <c r="AB147" s="215"/>
      <c r="AC147" s="302"/>
      <c r="AD147" s="199"/>
      <c r="AE147" s="200" t="e">
        <f>SUM(AC147:AC148)/SUM(AD147:AD148)</f>
        <v>#DIV/0!</v>
      </c>
      <c r="AF147" s="200" t="e">
        <f>SUM(F147:F148)/SUM(E147:E148)</f>
        <v>#DIV/0!</v>
      </c>
      <c r="AG147" s="211">
        <v>16.100000000000001</v>
      </c>
      <c r="AH147" s="202" t="e">
        <f>AE147*AF147*AG147</f>
        <v>#DIV/0!</v>
      </c>
      <c r="AI147" s="203" t="e">
        <f t="shared" ref="AI147" si="680">AH147/AI$51</f>
        <v>#DIV/0!</v>
      </c>
      <c r="AJ147" s="303" t="e">
        <f>AI147*2</f>
        <v>#DIV/0!</v>
      </c>
      <c r="AK147" s="181" t="e">
        <f>AJ147/AB90</f>
        <v>#DIV/0!</v>
      </c>
      <c r="AL147" s="281">
        <f t="shared" ref="AL147:AW147" si="681">AL90</f>
        <v>2.0046106043900974E-2</v>
      </c>
      <c r="AM147" s="48">
        <f t="shared" si="681"/>
        <v>3.0069159065851461E-2</v>
      </c>
      <c r="AN147" s="47">
        <f t="shared" si="681"/>
        <v>0</v>
      </c>
      <c r="AO147" s="48">
        <f t="shared" si="681"/>
        <v>0</v>
      </c>
      <c r="AP147" s="47">
        <f t="shared" si="681"/>
        <v>3.0069159065851461E-2</v>
      </c>
      <c r="AQ147" s="282">
        <f t="shared" si="681"/>
        <v>0</v>
      </c>
      <c r="AR147" s="281">
        <f t="shared" si="681"/>
        <v>0</v>
      </c>
      <c r="AS147" s="48">
        <f t="shared" si="681"/>
        <v>7.016137115365341E-2</v>
      </c>
      <c r="AT147" s="47">
        <f t="shared" si="681"/>
        <v>0</v>
      </c>
      <c r="AU147" s="48">
        <f t="shared" si="681"/>
        <v>0</v>
      </c>
      <c r="AV147" s="47">
        <f t="shared" si="681"/>
        <v>0</v>
      </c>
      <c r="AW147" s="282">
        <f t="shared" si="681"/>
        <v>0</v>
      </c>
      <c r="AX147" s="281">
        <f t="shared" ref="AX147:BE147" si="682">AX90</f>
        <v>0</v>
      </c>
      <c r="AY147" s="48">
        <f t="shared" si="682"/>
        <v>0</v>
      </c>
      <c r="AZ147" s="281">
        <f t="shared" si="682"/>
        <v>0</v>
      </c>
      <c r="BA147" s="51">
        <f t="shared" si="682"/>
        <v>0</v>
      </c>
      <c r="BB147" s="47">
        <f t="shared" si="682"/>
        <v>0</v>
      </c>
      <c r="BC147" s="51">
        <f t="shared" si="682"/>
        <v>0</v>
      </c>
      <c r="BD147" s="47">
        <f t="shared" si="682"/>
        <v>0</v>
      </c>
      <c r="BE147" s="282">
        <f t="shared" si="682"/>
        <v>0</v>
      </c>
      <c r="BF147" s="46"/>
      <c r="BG147" s="49" t="e">
        <f t="shared" ref="BG147" si="683">AL147*$AJ147</f>
        <v>#DIV/0!</v>
      </c>
      <c r="BH147" s="49" t="e">
        <f t="shared" ref="BH147" si="684">AM147*$AJ147</f>
        <v>#DIV/0!</v>
      </c>
      <c r="BI147" s="49" t="e">
        <f t="shared" ref="BI147" si="685">AN147*$AJ147</f>
        <v>#DIV/0!</v>
      </c>
      <c r="BJ147" s="49" t="e">
        <f t="shared" ref="BJ147" si="686">AO147*$AJ147</f>
        <v>#DIV/0!</v>
      </c>
      <c r="BK147" s="49" t="e">
        <f t="shared" ref="BK147" si="687">AP147*$AJ147</f>
        <v>#DIV/0!</v>
      </c>
      <c r="BL147" s="49" t="e">
        <f t="shared" ref="BL147" si="688">AQ147*$AJ147</f>
        <v>#DIV/0!</v>
      </c>
      <c r="BM147" s="49" t="e">
        <f t="shared" ref="BM147" si="689">AR147*$AJ147</f>
        <v>#DIV/0!</v>
      </c>
      <c r="BN147" s="49" t="e">
        <f t="shared" ref="BN147" si="690">AS147*$AJ147</f>
        <v>#DIV/0!</v>
      </c>
      <c r="BO147" s="49" t="e">
        <f t="shared" ref="BO147" si="691">AT147*$AJ147</f>
        <v>#DIV/0!</v>
      </c>
      <c r="BP147" s="49" t="e">
        <f t="shared" ref="BP147" si="692">AU147*$AJ147</f>
        <v>#DIV/0!</v>
      </c>
      <c r="BQ147" s="49" t="e">
        <f t="shared" ref="BQ147" si="693">AV147*$AJ147</f>
        <v>#DIV/0!</v>
      </c>
      <c r="BR147" s="49" t="e">
        <f t="shared" ref="BR147" si="694">AW147*$AJ147</f>
        <v>#DIV/0!</v>
      </c>
      <c r="BS147" s="20" t="e">
        <f t="shared" ref="BS147" si="695">AX147*$AJ147</f>
        <v>#DIV/0!</v>
      </c>
      <c r="BT147" s="20" t="e">
        <f t="shared" ref="BT147" si="696">AY147*$AJ147</f>
        <v>#DIV/0!</v>
      </c>
      <c r="BU147" s="49" t="e">
        <f t="shared" ref="BU147" si="697">AZ147*$AJ147</f>
        <v>#DIV/0!</v>
      </c>
      <c r="BV147" s="20" t="e">
        <f t="shared" ref="BV147" si="698">BA147*$AJ147</f>
        <v>#DIV/0!</v>
      </c>
      <c r="BW147" s="20" t="e">
        <f t="shared" ref="BW147" si="699">BB147*$AJ147</f>
        <v>#DIV/0!</v>
      </c>
      <c r="BX147" s="20" t="e">
        <f t="shared" ref="BX147" si="700">BC147*$AJ147</f>
        <v>#DIV/0!</v>
      </c>
      <c r="BY147" s="20" t="e">
        <f t="shared" ref="BY147" si="701">BD147*$AJ147</f>
        <v>#DIV/0!</v>
      </c>
      <c r="BZ147" s="99" t="e">
        <f t="shared" ref="BZ147" si="702">BE147*$AJ147</f>
        <v>#DIV/0!</v>
      </c>
    </row>
    <row r="148" spans="2:78" ht="16.5" thickBot="1" x14ac:dyDescent="0.3">
      <c r="B148" s="403"/>
      <c r="C148" s="141">
        <v>45963</v>
      </c>
      <c r="D148" s="142" t="s">
        <v>40</v>
      </c>
      <c r="E148" s="213"/>
      <c r="F148" s="143"/>
      <c r="G148" s="275"/>
      <c r="H148" s="251"/>
      <c r="I148" s="119"/>
      <c r="J148" s="144"/>
      <c r="K148" s="145"/>
      <c r="L148" s="119"/>
      <c r="M148" s="146"/>
      <c r="N148" s="251"/>
      <c r="O148" s="119"/>
      <c r="P148" s="144"/>
      <c r="Q148" s="119"/>
      <c r="R148" s="144"/>
      <c r="S148" s="146"/>
      <c r="T148" s="119"/>
      <c r="U148" s="119"/>
      <c r="V148" s="251"/>
      <c r="W148" s="119"/>
      <c r="X148" s="144"/>
      <c r="Y148" s="145"/>
      <c r="Z148" s="119"/>
      <c r="AA148" s="146"/>
      <c r="AB148" s="215"/>
      <c r="AC148" s="304"/>
      <c r="AD148" s="205"/>
      <c r="AE148" s="206"/>
      <c r="AF148" s="207"/>
      <c r="AG148" s="212"/>
      <c r="AH148" s="208"/>
      <c r="AI148" s="208"/>
      <c r="AJ148" s="305"/>
      <c r="AK148" s="173"/>
      <c r="AL148" s="283"/>
      <c r="AM148" s="132"/>
      <c r="AN148" s="131"/>
      <c r="AO148" s="132"/>
      <c r="AP148" s="131"/>
      <c r="AQ148" s="284"/>
      <c r="AR148" s="283"/>
      <c r="AS148" s="132"/>
      <c r="AT148" s="131"/>
      <c r="AU148" s="132"/>
      <c r="AV148" s="131"/>
      <c r="AW148" s="284"/>
      <c r="AX148" s="283"/>
      <c r="AY148" s="132"/>
      <c r="AZ148" s="283"/>
      <c r="BA148" s="133"/>
      <c r="BB148" s="131"/>
      <c r="BC148" s="133"/>
      <c r="BD148" s="131"/>
      <c r="BE148" s="284"/>
      <c r="BF148" s="46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27"/>
      <c r="BT148" s="127"/>
      <c r="BU148" s="64"/>
      <c r="BV148" s="127"/>
      <c r="BW148" s="127"/>
      <c r="BX148" s="127"/>
      <c r="BY148" s="127"/>
      <c r="BZ148" s="100"/>
    </row>
    <row r="149" spans="2:78" x14ac:dyDescent="0.25">
      <c r="B149" s="401" t="s">
        <v>5255</v>
      </c>
      <c r="C149" s="50"/>
      <c r="D149" s="55" t="s">
        <v>39</v>
      </c>
      <c r="E149" s="3"/>
      <c r="F149" s="39"/>
      <c r="G149" s="272"/>
      <c r="H149" s="277"/>
      <c r="I149" s="40"/>
      <c r="J149" s="41"/>
      <c r="K149" s="42"/>
      <c r="L149" s="40"/>
      <c r="M149" s="58"/>
      <c r="N149" s="277"/>
      <c r="O149" s="40"/>
      <c r="P149" s="41"/>
      <c r="Q149" s="40"/>
      <c r="R149" s="41"/>
      <c r="S149" s="58"/>
      <c r="T149" s="40"/>
      <c r="U149" s="40"/>
      <c r="V149" s="277"/>
      <c r="W149" s="40"/>
      <c r="X149" s="41"/>
      <c r="Y149" s="42"/>
      <c r="Z149" s="40"/>
      <c r="AA149" s="58"/>
      <c r="AB149" s="215"/>
      <c r="AC149" s="300"/>
      <c r="AD149" s="193"/>
      <c r="AE149" s="195" t="e">
        <f>SUM(AC149:AC151)/SUM(AD149:AD151)</f>
        <v>#DIV/0!</v>
      </c>
      <c r="AF149" s="195" t="e">
        <f>SUM(F149:F151)/SUM(E149:E151)</f>
        <v>#DIV/0!</v>
      </c>
      <c r="AG149" s="210">
        <v>16.100000000000001</v>
      </c>
      <c r="AH149" s="196" t="e">
        <f>AE149*AF149*AG149</f>
        <v>#DIV/0!</v>
      </c>
      <c r="AI149" s="197" t="e">
        <f>AH149/AI$51</f>
        <v>#DIV/0!</v>
      </c>
      <c r="AJ149" s="301" t="e">
        <f>AI149*5</f>
        <v>#DIV/0!</v>
      </c>
      <c r="AK149" s="181" t="e">
        <f>AJ149/AB97</f>
        <v>#DIV/0!</v>
      </c>
      <c r="AL149" s="279" t="e">
        <f t="shared" ref="AL149:AW149" si="703">AL97</f>
        <v>#DIV/0!</v>
      </c>
      <c r="AM149" s="129" t="e">
        <f t="shared" si="703"/>
        <v>#DIV/0!</v>
      </c>
      <c r="AN149" s="128" t="e">
        <f t="shared" si="703"/>
        <v>#DIV/0!</v>
      </c>
      <c r="AO149" s="129" t="e">
        <f t="shared" si="703"/>
        <v>#DIV/0!</v>
      </c>
      <c r="AP149" s="128" t="e">
        <f t="shared" si="703"/>
        <v>#DIV/0!</v>
      </c>
      <c r="AQ149" s="280" t="e">
        <f t="shared" si="703"/>
        <v>#DIV/0!</v>
      </c>
      <c r="AR149" s="279" t="e">
        <f t="shared" si="703"/>
        <v>#DIV/0!</v>
      </c>
      <c r="AS149" s="129" t="e">
        <f t="shared" si="703"/>
        <v>#DIV/0!</v>
      </c>
      <c r="AT149" s="128" t="e">
        <f t="shared" si="703"/>
        <v>#DIV/0!</v>
      </c>
      <c r="AU149" s="129" t="e">
        <f t="shared" si="703"/>
        <v>#DIV/0!</v>
      </c>
      <c r="AV149" s="128" t="e">
        <f t="shared" si="703"/>
        <v>#DIV/0!</v>
      </c>
      <c r="AW149" s="280" t="e">
        <f t="shared" si="703"/>
        <v>#DIV/0!</v>
      </c>
      <c r="AX149" s="279" t="e">
        <f t="shared" ref="AX149:BE149" si="704">AX97</f>
        <v>#DIV/0!</v>
      </c>
      <c r="AY149" s="129" t="e">
        <f t="shared" si="704"/>
        <v>#DIV/0!</v>
      </c>
      <c r="AZ149" s="279" t="e">
        <f t="shared" si="704"/>
        <v>#DIV/0!</v>
      </c>
      <c r="BA149" s="130" t="e">
        <f t="shared" si="704"/>
        <v>#DIV/0!</v>
      </c>
      <c r="BB149" s="128" t="e">
        <f t="shared" si="704"/>
        <v>#DIV/0!</v>
      </c>
      <c r="BC149" s="130" t="e">
        <f t="shared" si="704"/>
        <v>#DIV/0!</v>
      </c>
      <c r="BD149" s="128" t="e">
        <f t="shared" si="704"/>
        <v>#DIV/0!</v>
      </c>
      <c r="BE149" s="280" t="e">
        <f t="shared" si="704"/>
        <v>#DIV/0!</v>
      </c>
      <c r="BF149" s="46"/>
      <c r="BG149" s="49" t="e">
        <f t="shared" ref="BG149" si="705">AL149*$AJ149</f>
        <v>#DIV/0!</v>
      </c>
      <c r="BH149" s="49" t="e">
        <f t="shared" ref="BH149" si="706">AM149*$AJ149</f>
        <v>#DIV/0!</v>
      </c>
      <c r="BI149" s="49" t="e">
        <f t="shared" ref="BI149" si="707">AN149*$AJ149</f>
        <v>#DIV/0!</v>
      </c>
      <c r="BJ149" s="49" t="e">
        <f t="shared" ref="BJ149" si="708">AO149*$AJ149</f>
        <v>#DIV/0!</v>
      </c>
      <c r="BK149" s="49" t="e">
        <f t="shared" ref="BK149" si="709">AP149*$AJ149</f>
        <v>#DIV/0!</v>
      </c>
      <c r="BL149" s="49" t="e">
        <f t="shared" ref="BL149" si="710">AQ149*$AJ149</f>
        <v>#DIV/0!</v>
      </c>
      <c r="BM149" s="49" t="e">
        <f t="shared" ref="BM149" si="711">AR149*$AJ149</f>
        <v>#DIV/0!</v>
      </c>
      <c r="BN149" s="49" t="e">
        <f t="shared" ref="BN149" si="712">AS149*$AJ149</f>
        <v>#DIV/0!</v>
      </c>
      <c r="BO149" s="49" t="e">
        <f t="shared" ref="BO149" si="713">AT149*$AJ149</f>
        <v>#DIV/0!</v>
      </c>
      <c r="BP149" s="49" t="e">
        <f t="shared" ref="BP149" si="714">AU149*$AJ149</f>
        <v>#DIV/0!</v>
      </c>
      <c r="BQ149" s="49" t="e">
        <f t="shared" ref="BQ149" si="715">AV149*$AJ149</f>
        <v>#DIV/0!</v>
      </c>
      <c r="BR149" s="49" t="e">
        <f t="shared" ref="BR149" si="716">AW149*$AJ149</f>
        <v>#DIV/0!</v>
      </c>
      <c r="BS149" s="20" t="e">
        <f t="shared" ref="BS149" si="717">AX149*$AJ149</f>
        <v>#DIV/0!</v>
      </c>
      <c r="BT149" s="20" t="e">
        <f t="shared" ref="BT149" si="718">AY149*$AJ149</f>
        <v>#DIV/0!</v>
      </c>
      <c r="BU149" s="49" t="e">
        <f t="shared" ref="BU149" si="719">AZ149*$AJ149</f>
        <v>#DIV/0!</v>
      </c>
      <c r="BV149" s="20" t="e">
        <f t="shared" ref="BV149" si="720">BA149*$AJ149</f>
        <v>#DIV/0!</v>
      </c>
      <c r="BW149" s="20" t="e">
        <f t="shared" ref="BW149" si="721">BB149*$AJ149</f>
        <v>#DIV/0!</v>
      </c>
      <c r="BX149" s="20" t="e">
        <f t="shared" ref="BX149" si="722">BC149*$AJ149</f>
        <v>#DIV/0!</v>
      </c>
      <c r="BY149" s="20" t="e">
        <f t="shared" ref="BY149" si="723">BD149*$AJ149</f>
        <v>#DIV/0!</v>
      </c>
      <c r="BZ149" s="99" t="e">
        <f t="shared" ref="BZ149" si="724">BE149*$AJ149</f>
        <v>#DIV/0!</v>
      </c>
    </row>
    <row r="150" spans="2:78" x14ac:dyDescent="0.25">
      <c r="B150" s="402"/>
      <c r="C150" s="50"/>
      <c r="D150" s="56" t="s">
        <v>39</v>
      </c>
      <c r="E150" s="34"/>
      <c r="F150" s="31"/>
      <c r="G150" s="273"/>
      <c r="H150" s="267"/>
      <c r="J150" s="45"/>
      <c r="K150" s="46"/>
      <c r="M150" s="52"/>
      <c r="N150" s="267"/>
      <c r="P150" s="45"/>
      <c r="R150" s="45"/>
      <c r="S150" s="52"/>
      <c r="V150" s="267"/>
      <c r="X150" s="45"/>
      <c r="Y150" s="46"/>
      <c r="AA150" s="52"/>
      <c r="AB150" s="215"/>
      <c r="AC150" s="302"/>
      <c r="AD150" s="199"/>
      <c r="AE150" s="200"/>
      <c r="AF150" s="201"/>
      <c r="AG150" s="211"/>
      <c r="AH150" s="202"/>
      <c r="AI150" s="202"/>
      <c r="AJ150" s="303"/>
      <c r="AK150" s="172"/>
      <c r="AL150" s="281"/>
      <c r="AM150" s="48"/>
      <c r="AN150" s="47"/>
      <c r="AO150" s="48"/>
      <c r="AP150" s="47"/>
      <c r="AQ150" s="282"/>
      <c r="AR150" s="281"/>
      <c r="AS150" s="48"/>
      <c r="AT150" s="47"/>
      <c r="AU150" s="48"/>
      <c r="AV150" s="47"/>
      <c r="AW150" s="282"/>
      <c r="AX150" s="281"/>
      <c r="AY150" s="48"/>
      <c r="AZ150" s="281"/>
      <c r="BA150" s="51"/>
      <c r="BB150" s="47"/>
      <c r="BC150" s="51"/>
      <c r="BD150" s="47"/>
      <c r="BE150" s="282"/>
      <c r="BF150" s="46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20"/>
      <c r="BT150" s="20"/>
      <c r="BU150" s="49"/>
      <c r="BV150" s="20"/>
      <c r="BW150" s="20"/>
      <c r="BX150" s="20"/>
      <c r="BY150" s="20"/>
      <c r="BZ150" s="99"/>
    </row>
    <row r="151" spans="2:78" x14ac:dyDescent="0.25">
      <c r="B151" s="402"/>
      <c r="C151" s="50"/>
      <c r="D151" s="56" t="s">
        <v>39</v>
      </c>
      <c r="E151" s="34"/>
      <c r="F151" s="31"/>
      <c r="G151" s="273"/>
      <c r="H151" s="267"/>
      <c r="J151" s="45"/>
      <c r="K151" s="46"/>
      <c r="M151" s="52"/>
      <c r="N151" s="267"/>
      <c r="P151" s="45"/>
      <c r="R151" s="45"/>
      <c r="S151" s="52"/>
      <c r="V151" s="267"/>
      <c r="X151" s="45"/>
      <c r="Y151" s="46"/>
      <c r="AA151" s="52"/>
      <c r="AB151" s="215"/>
      <c r="AC151" s="302"/>
      <c r="AD151" s="199"/>
      <c r="AE151" s="200"/>
      <c r="AF151" s="201"/>
      <c r="AG151" s="211"/>
      <c r="AH151" s="202"/>
      <c r="AI151" s="202"/>
      <c r="AJ151" s="303"/>
      <c r="AK151" s="172"/>
      <c r="AL151" s="281"/>
      <c r="AM151" s="48"/>
      <c r="AN151" s="47"/>
      <c r="AO151" s="48"/>
      <c r="AP151" s="47"/>
      <c r="AQ151" s="282"/>
      <c r="AR151" s="281"/>
      <c r="AS151" s="48"/>
      <c r="AT151" s="47"/>
      <c r="AU151" s="48"/>
      <c r="AV151" s="47"/>
      <c r="AW151" s="282"/>
      <c r="AX151" s="281"/>
      <c r="AY151" s="48"/>
      <c r="AZ151" s="281"/>
      <c r="BA151" s="51"/>
      <c r="BB151" s="47"/>
      <c r="BC151" s="51"/>
      <c r="BD151" s="47"/>
      <c r="BE151" s="282"/>
      <c r="BF151" s="46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20"/>
      <c r="BT151" s="20"/>
      <c r="BU151" s="49"/>
      <c r="BV151" s="20"/>
      <c r="BW151" s="20"/>
      <c r="BX151" s="20"/>
      <c r="BY151" s="20"/>
      <c r="BZ151" s="99"/>
    </row>
    <row r="152" spans="2:78" x14ac:dyDescent="0.25">
      <c r="B152" s="402"/>
      <c r="C152" s="50"/>
      <c r="D152" s="56" t="s">
        <v>40</v>
      </c>
      <c r="E152" s="34"/>
      <c r="F152" s="31"/>
      <c r="G152" s="273"/>
      <c r="H152" s="267"/>
      <c r="J152" s="45"/>
      <c r="K152" s="46"/>
      <c r="M152" s="52"/>
      <c r="N152" s="267"/>
      <c r="P152" s="45"/>
      <c r="R152" s="45"/>
      <c r="S152" s="52"/>
      <c r="V152" s="267"/>
      <c r="X152" s="45"/>
      <c r="Y152" s="46"/>
      <c r="AA152" s="52"/>
      <c r="AB152" s="215"/>
      <c r="AC152" s="302"/>
      <c r="AD152" s="199"/>
      <c r="AE152" s="200" t="e">
        <f>SUM(AC152:AC153)/SUM(AD152:AD153)</f>
        <v>#DIV/0!</v>
      </c>
      <c r="AF152" s="200" t="e">
        <f>SUM(F152:F153)/SUM(E152:E153)</f>
        <v>#DIV/0!</v>
      </c>
      <c r="AG152" s="211">
        <v>16.100000000000001</v>
      </c>
      <c r="AH152" s="202" t="e">
        <f>AE152*AF152*AG152</f>
        <v>#DIV/0!</v>
      </c>
      <c r="AI152" s="203" t="e">
        <f t="shared" ref="AI152" si="725">AH152/AI$51</f>
        <v>#DIV/0!</v>
      </c>
      <c r="AJ152" s="303" t="e">
        <f>AI152*2</f>
        <v>#DIV/0!</v>
      </c>
      <c r="AK152" s="181" t="e">
        <f>AJ152/AB100</f>
        <v>#DIV/0!</v>
      </c>
      <c r="AL152" s="281">
        <f t="shared" ref="AL152:AW152" si="726">AL100</f>
        <v>0</v>
      </c>
      <c r="AM152" s="48">
        <f t="shared" si="726"/>
        <v>0</v>
      </c>
      <c r="AN152" s="47">
        <f t="shared" si="726"/>
        <v>0</v>
      </c>
      <c r="AO152" s="48">
        <f t="shared" si="726"/>
        <v>0</v>
      </c>
      <c r="AP152" s="47">
        <f t="shared" si="726"/>
        <v>0</v>
      </c>
      <c r="AQ152" s="282">
        <f t="shared" si="726"/>
        <v>0</v>
      </c>
      <c r="AR152" s="281">
        <f t="shared" si="726"/>
        <v>0</v>
      </c>
      <c r="AS152" s="48">
        <f t="shared" si="726"/>
        <v>0</v>
      </c>
      <c r="AT152" s="47">
        <f t="shared" si="726"/>
        <v>0</v>
      </c>
      <c r="AU152" s="48">
        <f t="shared" si="726"/>
        <v>0</v>
      </c>
      <c r="AV152" s="47">
        <f t="shared" si="726"/>
        <v>0</v>
      </c>
      <c r="AW152" s="282">
        <f t="shared" si="726"/>
        <v>0</v>
      </c>
      <c r="AX152" s="281">
        <f t="shared" ref="AX152:BE152" si="727">AX100</f>
        <v>0</v>
      </c>
      <c r="AY152" s="48">
        <f t="shared" si="727"/>
        <v>0</v>
      </c>
      <c r="AZ152" s="281">
        <f t="shared" si="727"/>
        <v>0</v>
      </c>
      <c r="BA152" s="51">
        <f t="shared" si="727"/>
        <v>0</v>
      </c>
      <c r="BB152" s="47">
        <f t="shared" si="727"/>
        <v>0</v>
      </c>
      <c r="BC152" s="51">
        <f t="shared" si="727"/>
        <v>0</v>
      </c>
      <c r="BD152" s="47">
        <f t="shared" si="727"/>
        <v>0</v>
      </c>
      <c r="BE152" s="282">
        <f t="shared" si="727"/>
        <v>0</v>
      </c>
      <c r="BF152" s="46"/>
      <c r="BG152" s="49" t="e">
        <f t="shared" ref="BG152" si="728">AL152*$AJ152</f>
        <v>#DIV/0!</v>
      </c>
      <c r="BH152" s="49" t="e">
        <f t="shared" ref="BH152" si="729">AM152*$AJ152</f>
        <v>#DIV/0!</v>
      </c>
      <c r="BI152" s="49" t="e">
        <f t="shared" ref="BI152" si="730">AN152*$AJ152</f>
        <v>#DIV/0!</v>
      </c>
      <c r="BJ152" s="49" t="e">
        <f t="shared" ref="BJ152" si="731">AO152*$AJ152</f>
        <v>#DIV/0!</v>
      </c>
      <c r="BK152" s="49" t="e">
        <f t="shared" ref="BK152" si="732">AP152*$AJ152</f>
        <v>#DIV/0!</v>
      </c>
      <c r="BL152" s="49" t="e">
        <f t="shared" ref="BL152" si="733">AQ152*$AJ152</f>
        <v>#DIV/0!</v>
      </c>
      <c r="BM152" s="49" t="e">
        <f t="shared" ref="BM152" si="734">AR152*$AJ152</f>
        <v>#DIV/0!</v>
      </c>
      <c r="BN152" s="49" t="e">
        <f t="shared" ref="BN152" si="735">AS152*$AJ152</f>
        <v>#DIV/0!</v>
      </c>
      <c r="BO152" s="49" t="e">
        <f t="shared" ref="BO152" si="736">AT152*$AJ152</f>
        <v>#DIV/0!</v>
      </c>
      <c r="BP152" s="49" t="e">
        <f t="shared" ref="BP152" si="737">AU152*$AJ152</f>
        <v>#DIV/0!</v>
      </c>
      <c r="BQ152" s="49" t="e">
        <f t="shared" ref="BQ152" si="738">AV152*$AJ152</f>
        <v>#DIV/0!</v>
      </c>
      <c r="BR152" s="49" t="e">
        <f t="shared" ref="BR152" si="739">AW152*$AJ152</f>
        <v>#DIV/0!</v>
      </c>
      <c r="BS152" s="20" t="e">
        <f t="shared" ref="BS152" si="740">AX152*$AJ152</f>
        <v>#DIV/0!</v>
      </c>
      <c r="BT152" s="20" t="e">
        <f t="shared" ref="BT152" si="741">AY152*$AJ152</f>
        <v>#DIV/0!</v>
      </c>
      <c r="BU152" s="49" t="e">
        <f t="shared" ref="BU152" si="742">AZ152*$AJ152</f>
        <v>#DIV/0!</v>
      </c>
      <c r="BV152" s="20" t="e">
        <f t="shared" ref="BV152" si="743">BA152*$AJ152</f>
        <v>#DIV/0!</v>
      </c>
      <c r="BW152" s="20" t="e">
        <f t="shared" ref="BW152" si="744">BB152*$AJ152</f>
        <v>#DIV/0!</v>
      </c>
      <c r="BX152" s="20" t="e">
        <f t="shared" ref="BX152" si="745">BC152*$AJ152</f>
        <v>#DIV/0!</v>
      </c>
      <c r="BY152" s="20" t="e">
        <f t="shared" ref="BY152" si="746">BD152*$AJ152</f>
        <v>#DIV/0!</v>
      </c>
      <c r="BZ152" s="99" t="e">
        <f t="shared" ref="BZ152" si="747">BE152*$AJ152</f>
        <v>#DIV/0!</v>
      </c>
    </row>
    <row r="153" spans="2:78" ht="16.5" thickBot="1" x14ac:dyDescent="0.3">
      <c r="B153" s="403"/>
      <c r="C153" s="50"/>
      <c r="D153" s="142" t="s">
        <v>40</v>
      </c>
      <c r="E153" s="213"/>
      <c r="F153" s="143"/>
      <c r="G153" s="275"/>
      <c r="H153" s="251"/>
      <c r="I153" s="119"/>
      <c r="J153" s="144"/>
      <c r="K153" s="145"/>
      <c r="L153" s="119"/>
      <c r="M153" s="146"/>
      <c r="N153" s="251"/>
      <c r="O153" s="119"/>
      <c r="P153" s="144"/>
      <c r="Q153" s="119"/>
      <c r="R153" s="144"/>
      <c r="S153" s="146"/>
      <c r="T153" s="119"/>
      <c r="U153" s="119"/>
      <c r="V153" s="251"/>
      <c r="W153" s="119"/>
      <c r="X153" s="125"/>
      <c r="Y153" s="126"/>
      <c r="Z153" s="119"/>
      <c r="AA153" s="146"/>
      <c r="AB153" s="215"/>
      <c r="AC153" s="306"/>
      <c r="AD153" s="307"/>
      <c r="AE153" s="308"/>
      <c r="AF153" s="309"/>
      <c r="AG153" s="310"/>
      <c r="AH153" s="311"/>
      <c r="AI153" s="311"/>
      <c r="AJ153" s="312"/>
      <c r="AK153" s="173"/>
      <c r="AL153" s="313"/>
      <c r="AM153" s="314"/>
      <c r="AN153" s="315"/>
      <c r="AO153" s="314"/>
      <c r="AP153" s="315"/>
      <c r="AQ153" s="316"/>
      <c r="AR153" s="313"/>
      <c r="AS153" s="314"/>
      <c r="AT153" s="315"/>
      <c r="AU153" s="314"/>
      <c r="AV153" s="315"/>
      <c r="AW153" s="316"/>
      <c r="AX153" s="313"/>
      <c r="AY153" s="314"/>
      <c r="AZ153" s="313"/>
      <c r="BA153" s="317"/>
      <c r="BB153" s="315"/>
      <c r="BC153" s="317"/>
      <c r="BD153" s="315"/>
      <c r="BE153" s="316"/>
      <c r="BF153" s="46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127"/>
      <c r="BT153" s="127"/>
      <c r="BU153" s="64"/>
      <c r="BV153" s="127"/>
      <c r="BW153" s="127"/>
      <c r="BX153" s="127"/>
      <c r="BY153" s="127"/>
      <c r="BZ153" s="100"/>
    </row>
    <row r="154" spans="2:78" x14ac:dyDescent="0.25">
      <c r="D154" s="15"/>
      <c r="E154" s="15"/>
    </row>
    <row r="155" spans="2:78" x14ac:dyDescent="0.25">
      <c r="D155" s="15"/>
      <c r="E155" s="15"/>
    </row>
    <row r="156" spans="2:78" x14ac:dyDescent="0.25">
      <c r="D156" s="15"/>
      <c r="E156" s="15"/>
    </row>
    <row r="157" spans="2:78" x14ac:dyDescent="0.25">
      <c r="D157" s="15"/>
      <c r="E157" s="15"/>
    </row>
    <row r="158" spans="2:78" x14ac:dyDescent="0.25">
      <c r="D158" s="15"/>
      <c r="E158" s="15"/>
    </row>
    <row r="159" spans="2:78" x14ac:dyDescent="0.25">
      <c r="D159" s="15"/>
      <c r="E159" s="15"/>
    </row>
    <row r="160" spans="2:78" x14ac:dyDescent="0.25">
      <c r="D160" s="15"/>
      <c r="E160" s="15"/>
    </row>
    <row r="161" spans="4:5" x14ac:dyDescent="0.25">
      <c r="D161" s="15"/>
      <c r="E161" s="15"/>
    </row>
    <row r="162" spans="4:5" x14ac:dyDescent="0.25">
      <c r="D162" s="15"/>
      <c r="E162" s="15"/>
    </row>
    <row r="163" spans="4:5" x14ac:dyDescent="0.25">
      <c r="D163" s="15"/>
      <c r="E163" s="15"/>
    </row>
    <row r="164" spans="4:5" x14ac:dyDescent="0.25">
      <c r="D164" s="15"/>
      <c r="E164" s="15"/>
    </row>
    <row r="165" spans="4:5" x14ac:dyDescent="0.25">
      <c r="D165" s="15"/>
      <c r="E165" s="15"/>
    </row>
    <row r="166" spans="4:5" x14ac:dyDescent="0.25">
      <c r="D166" s="15"/>
      <c r="E166" s="15"/>
    </row>
    <row r="167" spans="4:5" x14ac:dyDescent="0.25">
      <c r="D167" s="15"/>
      <c r="E167" s="15"/>
    </row>
    <row r="168" spans="4:5" x14ac:dyDescent="0.25">
      <c r="D168" s="15"/>
      <c r="E168" s="15"/>
    </row>
    <row r="169" spans="4:5" x14ac:dyDescent="0.25">
      <c r="D169" s="15"/>
      <c r="E169" s="15"/>
    </row>
    <row r="170" spans="4:5" x14ac:dyDescent="0.25">
      <c r="D170" s="15"/>
      <c r="E170" s="15"/>
    </row>
    <row r="171" spans="4:5" x14ac:dyDescent="0.25">
      <c r="D171" s="15"/>
      <c r="E171" s="15"/>
    </row>
    <row r="172" spans="4:5" x14ac:dyDescent="0.25">
      <c r="D172" s="15"/>
      <c r="E172" s="15"/>
    </row>
    <row r="173" spans="4:5" x14ac:dyDescent="0.25">
      <c r="D173" s="15"/>
      <c r="E173" s="15"/>
    </row>
    <row r="174" spans="4:5" x14ac:dyDescent="0.25">
      <c r="D174" s="15"/>
      <c r="E174" s="15"/>
    </row>
    <row r="175" spans="4:5" x14ac:dyDescent="0.25">
      <c r="D175" s="15"/>
      <c r="E175" s="15"/>
    </row>
    <row r="176" spans="4:5" x14ac:dyDescent="0.25">
      <c r="D176" s="15"/>
      <c r="E176" s="15"/>
    </row>
    <row r="177" spans="4:5" x14ac:dyDescent="0.25">
      <c r="D177" s="15"/>
      <c r="E177" s="15"/>
    </row>
    <row r="178" spans="4:5" x14ac:dyDescent="0.25">
      <c r="D178" s="15"/>
      <c r="E178" s="15"/>
    </row>
    <row r="179" spans="4:5" x14ac:dyDescent="0.25">
      <c r="D179" s="15"/>
      <c r="E179" s="15"/>
    </row>
    <row r="180" spans="4:5" x14ac:dyDescent="0.25">
      <c r="D180" s="15"/>
      <c r="E180" s="15"/>
    </row>
    <row r="181" spans="4:5" x14ac:dyDescent="0.25">
      <c r="D181" s="15"/>
      <c r="E181" s="15"/>
    </row>
    <row r="182" spans="4:5" x14ac:dyDescent="0.25">
      <c r="D182" s="15"/>
      <c r="E182" s="15"/>
    </row>
    <row r="183" spans="4:5" x14ac:dyDescent="0.25">
      <c r="D183" s="15"/>
      <c r="E183" s="15"/>
    </row>
    <row r="184" spans="4:5" x14ac:dyDescent="0.25">
      <c r="D184" s="15"/>
      <c r="E184" s="15"/>
    </row>
    <row r="185" spans="4:5" x14ac:dyDescent="0.25">
      <c r="D185" s="15"/>
      <c r="E185" s="15"/>
    </row>
    <row r="186" spans="4:5" x14ac:dyDescent="0.25">
      <c r="D186" s="15"/>
      <c r="E186" s="15"/>
    </row>
    <row r="187" spans="4:5" x14ac:dyDescent="0.25">
      <c r="D187" s="15"/>
      <c r="E187" s="15"/>
    </row>
    <row r="188" spans="4:5" x14ac:dyDescent="0.25">
      <c r="D188" s="15"/>
      <c r="E188" s="15"/>
    </row>
    <row r="189" spans="4:5" x14ac:dyDescent="0.25">
      <c r="D189" s="15"/>
      <c r="E189" s="15"/>
    </row>
    <row r="190" spans="4:5" x14ac:dyDescent="0.25">
      <c r="D190" s="15"/>
      <c r="E190" s="15"/>
    </row>
    <row r="191" spans="4:5" x14ac:dyDescent="0.25">
      <c r="D191" s="15"/>
      <c r="E191" s="15"/>
    </row>
    <row r="192" spans="4:5" x14ac:dyDescent="0.25">
      <c r="D192" s="15"/>
      <c r="E192" s="15"/>
    </row>
    <row r="193" spans="4:5" x14ac:dyDescent="0.25">
      <c r="D193" s="15"/>
      <c r="E193" s="15"/>
    </row>
    <row r="194" spans="4:5" x14ac:dyDescent="0.25">
      <c r="D194" s="15"/>
      <c r="E194" s="15"/>
    </row>
    <row r="195" spans="4:5" x14ac:dyDescent="0.25">
      <c r="D195" s="15"/>
      <c r="E195" s="15"/>
    </row>
    <row r="196" spans="4:5" x14ac:dyDescent="0.25">
      <c r="D196" s="15"/>
      <c r="E196" s="15"/>
    </row>
    <row r="197" spans="4:5" x14ac:dyDescent="0.25">
      <c r="D197" s="15"/>
      <c r="E197" s="15"/>
    </row>
    <row r="198" spans="4:5" x14ac:dyDescent="0.25">
      <c r="D198" s="15"/>
      <c r="E198" s="15"/>
    </row>
    <row r="199" spans="4:5" x14ac:dyDescent="0.25">
      <c r="D199" s="15"/>
      <c r="E199" s="15"/>
    </row>
    <row r="200" spans="4:5" x14ac:dyDescent="0.25">
      <c r="D200" s="15"/>
      <c r="E200" s="15"/>
    </row>
    <row r="201" spans="4:5" x14ac:dyDescent="0.25">
      <c r="D201" s="15"/>
      <c r="E201" s="15"/>
    </row>
    <row r="202" spans="4:5" x14ac:dyDescent="0.25">
      <c r="D202" s="15"/>
      <c r="E202" s="15"/>
    </row>
    <row r="203" spans="4:5" x14ac:dyDescent="0.25">
      <c r="D203" s="15"/>
      <c r="E203" s="15"/>
    </row>
    <row r="204" spans="4:5" x14ac:dyDescent="0.25">
      <c r="D204" s="15"/>
      <c r="E204" s="15"/>
    </row>
    <row r="205" spans="4:5" x14ac:dyDescent="0.25">
      <c r="D205" s="15"/>
      <c r="E205" s="15"/>
    </row>
    <row r="206" spans="4:5" x14ac:dyDescent="0.25">
      <c r="D206" s="15"/>
      <c r="E206" s="15"/>
    </row>
    <row r="207" spans="4:5" x14ac:dyDescent="0.25">
      <c r="D207" s="15"/>
      <c r="E207" s="15"/>
    </row>
    <row r="208" spans="4:5" x14ac:dyDescent="0.25">
      <c r="D208" s="15"/>
      <c r="E208" s="15"/>
    </row>
    <row r="209" spans="4:5" x14ac:dyDescent="0.25">
      <c r="D209" s="15"/>
      <c r="E209" s="15"/>
    </row>
    <row r="210" spans="4:5" x14ac:dyDescent="0.25">
      <c r="D210" s="15"/>
      <c r="E210" s="15"/>
    </row>
    <row r="211" spans="4:5" x14ac:dyDescent="0.25">
      <c r="D211" s="15"/>
      <c r="E211" s="15"/>
    </row>
    <row r="212" spans="4:5" x14ac:dyDescent="0.25">
      <c r="D212" s="15"/>
      <c r="E212" s="15"/>
    </row>
    <row r="213" spans="4:5" x14ac:dyDescent="0.25">
      <c r="D213" s="15"/>
      <c r="E213" s="15"/>
    </row>
    <row r="214" spans="4:5" x14ac:dyDescent="0.25">
      <c r="D214" s="15"/>
      <c r="E214" s="15"/>
    </row>
    <row r="215" spans="4:5" x14ac:dyDescent="0.25">
      <c r="D215" s="15"/>
      <c r="E215" s="15"/>
    </row>
    <row r="216" spans="4:5" x14ac:dyDescent="0.25">
      <c r="D216" s="15"/>
      <c r="E216" s="15"/>
    </row>
    <row r="217" spans="4:5" x14ac:dyDescent="0.25">
      <c r="D217" s="15"/>
      <c r="E217" s="15"/>
    </row>
    <row r="218" spans="4:5" x14ac:dyDescent="0.25">
      <c r="D218" s="15"/>
      <c r="E218" s="15"/>
    </row>
    <row r="219" spans="4:5" x14ac:dyDescent="0.25">
      <c r="D219" s="15"/>
      <c r="E219" s="15"/>
    </row>
    <row r="220" spans="4:5" x14ac:dyDescent="0.25">
      <c r="D220" s="15"/>
      <c r="E220" s="15"/>
    </row>
    <row r="221" spans="4:5" x14ac:dyDescent="0.25">
      <c r="D221" s="15"/>
      <c r="E221" s="15"/>
    </row>
    <row r="222" spans="4:5" x14ac:dyDescent="0.25">
      <c r="D222" s="15"/>
      <c r="E222" s="15"/>
    </row>
    <row r="223" spans="4:5" x14ac:dyDescent="0.25">
      <c r="D223" s="15"/>
      <c r="E223" s="15"/>
    </row>
    <row r="224" spans="4:5" x14ac:dyDescent="0.25">
      <c r="D224" s="15"/>
      <c r="E224" s="15"/>
    </row>
    <row r="225" spans="4:5" x14ac:dyDescent="0.25">
      <c r="D225" s="15"/>
      <c r="E225" s="15"/>
    </row>
    <row r="226" spans="4:5" x14ac:dyDescent="0.25">
      <c r="D226" s="15"/>
      <c r="E226" s="15"/>
    </row>
    <row r="227" spans="4:5" x14ac:dyDescent="0.25">
      <c r="D227" s="15"/>
      <c r="E227" s="15"/>
    </row>
    <row r="228" spans="4:5" x14ac:dyDescent="0.25">
      <c r="D228" s="15"/>
      <c r="E228" s="15"/>
    </row>
    <row r="229" spans="4:5" x14ac:dyDescent="0.25">
      <c r="D229" s="15"/>
      <c r="E229" s="15"/>
    </row>
    <row r="230" spans="4:5" x14ac:dyDescent="0.25">
      <c r="D230" s="15"/>
      <c r="E230" s="15"/>
    </row>
    <row r="231" spans="4:5" x14ac:dyDescent="0.25">
      <c r="D231" s="15"/>
      <c r="E231" s="15"/>
    </row>
    <row r="232" spans="4:5" x14ac:dyDescent="0.25">
      <c r="D232" s="15"/>
      <c r="E232" s="15"/>
    </row>
    <row r="233" spans="4:5" x14ac:dyDescent="0.25">
      <c r="D233" s="15"/>
      <c r="E233" s="15"/>
    </row>
    <row r="234" spans="4:5" x14ac:dyDescent="0.25">
      <c r="D234" s="15"/>
      <c r="E234" s="15"/>
    </row>
    <row r="235" spans="4:5" x14ac:dyDescent="0.25">
      <c r="D235" s="15"/>
      <c r="E235" s="15"/>
    </row>
    <row r="236" spans="4:5" x14ac:dyDescent="0.25">
      <c r="D236" s="15"/>
      <c r="E236" s="15"/>
    </row>
  </sheetData>
  <dataConsolidate/>
  <mergeCells count="148">
    <mergeCell ref="AB49:AB51"/>
    <mergeCell ref="BG48:BZ48"/>
    <mergeCell ref="AL105:BE105"/>
    <mergeCell ref="BG105:BZ105"/>
    <mergeCell ref="AC4:AE4"/>
    <mergeCell ref="AC21:AE21"/>
    <mergeCell ref="AC35:AE35"/>
    <mergeCell ref="AY6:AZ6"/>
    <mergeCell ref="AG6:AH6"/>
    <mergeCell ref="AI6:AJ6"/>
    <mergeCell ref="AS6:AT6"/>
    <mergeCell ref="AU6:AV6"/>
    <mergeCell ref="AW6:AX6"/>
    <mergeCell ref="AU5:AZ5"/>
    <mergeCell ref="AG5:AL5"/>
    <mergeCell ref="AM5:AR5"/>
    <mergeCell ref="AK6:AL6"/>
    <mergeCell ref="AM6:AN6"/>
    <mergeCell ref="AO6:AP6"/>
    <mergeCell ref="AQ6:AR6"/>
    <mergeCell ref="AL49:AQ49"/>
    <mergeCell ref="AR49:AW49"/>
    <mergeCell ref="AL48:BE48"/>
    <mergeCell ref="AX49:AY49"/>
    <mergeCell ref="T5:U5"/>
    <mergeCell ref="V5:AA5"/>
    <mergeCell ref="AS5:AT5"/>
    <mergeCell ref="H6:I6"/>
    <mergeCell ref="J6:K6"/>
    <mergeCell ref="T6:U6"/>
    <mergeCell ref="V6:W6"/>
    <mergeCell ref="X6:Y6"/>
    <mergeCell ref="L6:M6"/>
    <mergeCell ref="N6:O6"/>
    <mergeCell ref="P6:Q6"/>
    <mergeCell ref="R6:S6"/>
    <mergeCell ref="H5:M5"/>
    <mergeCell ref="N5:S5"/>
    <mergeCell ref="AT50:AU50"/>
    <mergeCell ref="AZ49:BE49"/>
    <mergeCell ref="AX106:AY106"/>
    <mergeCell ref="AX50:AY50"/>
    <mergeCell ref="AZ106:BE106"/>
    <mergeCell ref="BB50:BC50"/>
    <mergeCell ref="BD50:BE50"/>
    <mergeCell ref="AZ50:BA50"/>
    <mergeCell ref="AL106:AQ106"/>
    <mergeCell ref="AR106:AW106"/>
    <mergeCell ref="AL50:AM50"/>
    <mergeCell ref="AN50:AO50"/>
    <mergeCell ref="AP50:AQ50"/>
    <mergeCell ref="AR50:AS50"/>
    <mergeCell ref="AV50:AW50"/>
    <mergeCell ref="BU106:BZ106"/>
    <mergeCell ref="BS49:BT49"/>
    <mergeCell ref="BI50:BJ50"/>
    <mergeCell ref="BY50:BZ50"/>
    <mergeCell ref="BU49:BZ49"/>
    <mergeCell ref="BU50:BV50"/>
    <mergeCell ref="BW50:BX50"/>
    <mergeCell ref="BS106:BT106"/>
    <mergeCell ref="BG50:BH50"/>
    <mergeCell ref="BS50:BT50"/>
    <mergeCell ref="BG49:BL49"/>
    <mergeCell ref="BM49:BR49"/>
    <mergeCell ref="BK50:BL50"/>
    <mergeCell ref="BM50:BN50"/>
    <mergeCell ref="BO50:BP50"/>
    <mergeCell ref="BQ50:BR50"/>
    <mergeCell ref="BG106:BL106"/>
    <mergeCell ref="BM106:BR106"/>
    <mergeCell ref="BY107:BZ107"/>
    <mergeCell ref="AT107:AU107"/>
    <mergeCell ref="AX107:AY107"/>
    <mergeCell ref="AZ107:BA107"/>
    <mergeCell ref="BB107:BC107"/>
    <mergeCell ref="BD107:BE107"/>
    <mergeCell ref="BW107:BX107"/>
    <mergeCell ref="BI107:BJ107"/>
    <mergeCell ref="BS107:BT107"/>
    <mergeCell ref="BU107:BV107"/>
    <mergeCell ref="BG107:BH107"/>
    <mergeCell ref="AL107:AM107"/>
    <mergeCell ref="AN107:AO107"/>
    <mergeCell ref="AP107:AQ107"/>
    <mergeCell ref="AR107:AS107"/>
    <mergeCell ref="AV107:AW107"/>
    <mergeCell ref="BK107:BL107"/>
    <mergeCell ref="BM107:BN107"/>
    <mergeCell ref="BO107:BP107"/>
    <mergeCell ref="BQ107:BR107"/>
    <mergeCell ref="Z50:AA50"/>
    <mergeCell ref="H107:I107"/>
    <mergeCell ref="J107:K107"/>
    <mergeCell ref="T107:U107"/>
    <mergeCell ref="V107:W107"/>
    <mergeCell ref="X107:Y107"/>
    <mergeCell ref="Z107:AA107"/>
    <mergeCell ref="H49:M49"/>
    <mergeCell ref="N49:S49"/>
    <mergeCell ref="L50:M50"/>
    <mergeCell ref="N50:O50"/>
    <mergeCell ref="P50:Q50"/>
    <mergeCell ref="R50:S50"/>
    <mergeCell ref="H106:M106"/>
    <mergeCell ref="N106:S106"/>
    <mergeCell ref="L107:M107"/>
    <mergeCell ref="N107:O107"/>
    <mergeCell ref="P107:Q107"/>
    <mergeCell ref="R107:S107"/>
    <mergeCell ref="B52:B56"/>
    <mergeCell ref="B57:B61"/>
    <mergeCell ref="B62:B66"/>
    <mergeCell ref="B67:B71"/>
    <mergeCell ref="B72:B76"/>
    <mergeCell ref="C107:C108"/>
    <mergeCell ref="AG4:AZ4"/>
    <mergeCell ref="AG21:AZ21"/>
    <mergeCell ref="AG35:AZ35"/>
    <mergeCell ref="E4:AA4"/>
    <mergeCell ref="E6:G6"/>
    <mergeCell ref="E21:AA21"/>
    <mergeCell ref="E35:AA35"/>
    <mergeCell ref="C50:C51"/>
    <mergeCell ref="H50:I50"/>
    <mergeCell ref="J50:K50"/>
    <mergeCell ref="T50:U50"/>
    <mergeCell ref="T49:U49"/>
    <mergeCell ref="T106:U106"/>
    <mergeCell ref="V106:AA106"/>
    <mergeCell ref="V50:W50"/>
    <mergeCell ref="Z6:AA6"/>
    <mergeCell ref="V49:AA49"/>
    <mergeCell ref="X50:Y50"/>
    <mergeCell ref="B149:B153"/>
    <mergeCell ref="B144:B148"/>
    <mergeCell ref="B119:B123"/>
    <mergeCell ref="B124:B128"/>
    <mergeCell ref="B129:B133"/>
    <mergeCell ref="B134:B138"/>
    <mergeCell ref="B139:B143"/>
    <mergeCell ref="B77:B81"/>
    <mergeCell ref="B82:B86"/>
    <mergeCell ref="B87:B91"/>
    <mergeCell ref="B109:B113"/>
    <mergeCell ref="B114:B118"/>
    <mergeCell ref="B97:B101"/>
    <mergeCell ref="B92:B96"/>
  </mergeCells>
  <phoneticPr fontId="0" type="noConversion"/>
  <pageMargins left="0.75" right="0.75" top="1" bottom="1" header="0.5" footer="0.5"/>
  <pageSetup scale="23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EAF-5A38-4D5B-8F2D-FC679700C255}">
  <dimension ref="A2:CA231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17" sqref="D17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7" width="8.8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1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tr">
        <f>Prosser!C2</f>
        <v>2025 Yakima River Fall Salmon Creel Survey (Sept 15 - October 31)</v>
      </c>
      <c r="D2" s="16"/>
      <c r="E2" s="16"/>
      <c r="L2" s="13"/>
    </row>
    <row r="3" spans="3:52" ht="16.5" thickBot="1" x14ac:dyDescent="0.3">
      <c r="C3" s="16"/>
      <c r="D3" s="16"/>
      <c r="E3" s="16"/>
      <c r="L3" s="13"/>
      <c r="AB3" s="214" t="s">
        <v>5230</v>
      </c>
    </row>
    <row r="4" spans="3:52" ht="16.5" thickBot="1" x14ac:dyDescent="0.3">
      <c r="D4" s="16"/>
      <c r="E4" s="415" t="s">
        <v>596</v>
      </c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4"/>
      <c r="AC4" s="415" t="s">
        <v>5220</v>
      </c>
      <c r="AD4" s="413"/>
      <c r="AE4" s="414"/>
      <c r="AG4" s="411" t="s">
        <v>5224</v>
      </c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3"/>
      <c r="AT4" s="413"/>
      <c r="AU4" s="413"/>
      <c r="AV4" s="413"/>
      <c r="AW4" s="413"/>
      <c r="AX4" s="413"/>
      <c r="AY4" s="413"/>
      <c r="AZ4" s="414"/>
    </row>
    <row r="5" spans="3:52" ht="16.5" thickBot="1" x14ac:dyDescent="0.3">
      <c r="E5" s="165"/>
      <c r="F5" s="22"/>
      <c r="G5" s="337"/>
      <c r="H5" s="434" t="s">
        <v>5245</v>
      </c>
      <c r="I5" s="428"/>
      <c r="J5" s="428"/>
      <c r="K5" s="428"/>
      <c r="L5" s="428"/>
      <c r="M5" s="429"/>
      <c r="N5" s="428" t="s">
        <v>10</v>
      </c>
      <c r="O5" s="428"/>
      <c r="P5" s="428"/>
      <c r="Q5" s="428"/>
      <c r="R5" s="428"/>
      <c r="S5" s="428"/>
      <c r="T5" s="441" t="s">
        <v>6</v>
      </c>
      <c r="U5" s="449"/>
      <c r="V5" s="417" t="s">
        <v>33</v>
      </c>
      <c r="W5" s="417"/>
      <c r="X5" s="417"/>
      <c r="Y5" s="417"/>
      <c r="Z5" s="417"/>
      <c r="AA5" s="418"/>
      <c r="AG5" s="444" t="s">
        <v>5245</v>
      </c>
      <c r="AH5" s="445"/>
      <c r="AI5" s="445"/>
      <c r="AJ5" s="445"/>
      <c r="AK5" s="445"/>
      <c r="AL5" s="446"/>
      <c r="AM5" s="444" t="s">
        <v>10</v>
      </c>
      <c r="AN5" s="445"/>
      <c r="AO5" s="445"/>
      <c r="AP5" s="445"/>
      <c r="AQ5" s="445"/>
      <c r="AR5" s="446"/>
      <c r="AS5" s="424" t="s">
        <v>6</v>
      </c>
      <c r="AT5" s="424"/>
      <c r="AU5" s="434" t="s">
        <v>33</v>
      </c>
      <c r="AV5" s="428"/>
      <c r="AW5" s="428"/>
      <c r="AX5" s="428"/>
      <c r="AY5" s="428"/>
      <c r="AZ5" s="429"/>
    </row>
    <row r="6" spans="3:52" ht="16.5" thickBot="1" x14ac:dyDescent="0.3">
      <c r="C6" s="16"/>
      <c r="D6" s="16"/>
      <c r="E6" s="416" t="s">
        <v>596</v>
      </c>
      <c r="F6" s="417"/>
      <c r="G6" s="418"/>
      <c r="H6" s="419" t="s">
        <v>4</v>
      </c>
      <c r="I6" s="420"/>
      <c r="J6" s="421" t="s">
        <v>9</v>
      </c>
      <c r="K6" s="422"/>
      <c r="L6" s="421" t="s">
        <v>5246</v>
      </c>
      <c r="M6" s="438"/>
      <c r="N6" s="420" t="s">
        <v>4</v>
      </c>
      <c r="O6" s="420"/>
      <c r="P6" s="421" t="s">
        <v>9</v>
      </c>
      <c r="Q6" s="422"/>
      <c r="R6" s="421" t="s">
        <v>5246</v>
      </c>
      <c r="S6" s="420"/>
      <c r="T6" s="443" t="s">
        <v>34</v>
      </c>
      <c r="U6" s="450"/>
      <c r="V6" s="437" t="s">
        <v>646</v>
      </c>
      <c r="W6" s="431"/>
      <c r="X6" s="432" t="s">
        <v>5229</v>
      </c>
      <c r="Y6" s="431"/>
      <c r="Z6" s="432"/>
      <c r="AA6" s="433"/>
      <c r="AC6" s="158" t="s">
        <v>643</v>
      </c>
      <c r="AD6" s="147" t="s">
        <v>5220</v>
      </c>
      <c r="AE6" s="147" t="s">
        <v>596</v>
      </c>
      <c r="AG6" s="442" t="s">
        <v>4</v>
      </c>
      <c r="AH6" s="440"/>
      <c r="AI6" s="440" t="s">
        <v>9</v>
      </c>
      <c r="AJ6" s="440"/>
      <c r="AK6" s="440" t="s">
        <v>5246</v>
      </c>
      <c r="AL6" s="447"/>
      <c r="AM6" s="442" t="s">
        <v>4</v>
      </c>
      <c r="AN6" s="440"/>
      <c r="AO6" s="440" t="s">
        <v>9</v>
      </c>
      <c r="AP6" s="440"/>
      <c r="AQ6" s="440" t="s">
        <v>5246</v>
      </c>
      <c r="AR6" s="447"/>
      <c r="AS6" s="423" t="s">
        <v>34</v>
      </c>
      <c r="AT6" s="423"/>
      <c r="AU6" s="430" t="s">
        <v>646</v>
      </c>
      <c r="AV6" s="431"/>
      <c r="AW6" s="432" t="s">
        <v>5229</v>
      </c>
      <c r="AX6" s="431"/>
      <c r="AY6" s="432"/>
      <c r="AZ6" s="433"/>
    </row>
    <row r="7" spans="3:52" ht="19.5" thickBot="1" x14ac:dyDescent="0.35">
      <c r="C7" s="270" t="s">
        <v>5219</v>
      </c>
      <c r="D7" s="271"/>
      <c r="E7" s="232" t="s">
        <v>30</v>
      </c>
      <c r="F7" s="35" t="s">
        <v>1</v>
      </c>
      <c r="G7" s="338" t="s">
        <v>3</v>
      </c>
      <c r="H7" s="93" t="s">
        <v>5243</v>
      </c>
      <c r="I7" s="36" t="s">
        <v>5244</v>
      </c>
      <c r="J7" s="36" t="s">
        <v>5243</v>
      </c>
      <c r="K7" s="36" t="s">
        <v>5244</v>
      </c>
      <c r="L7" s="36" t="s">
        <v>24</v>
      </c>
      <c r="M7" s="57" t="s">
        <v>9</v>
      </c>
      <c r="N7" s="18" t="s">
        <v>5243</v>
      </c>
      <c r="O7" s="36" t="s">
        <v>5244</v>
      </c>
      <c r="P7" s="36" t="s">
        <v>5243</v>
      </c>
      <c r="Q7" s="36" t="s">
        <v>5244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5221</v>
      </c>
      <c r="AE7" s="162" t="s">
        <v>5225</v>
      </c>
      <c r="AG7" s="93" t="s">
        <v>5243</v>
      </c>
      <c r="AH7" s="36" t="s">
        <v>5244</v>
      </c>
      <c r="AI7" s="36" t="s">
        <v>5243</v>
      </c>
      <c r="AJ7" s="36" t="s">
        <v>5244</v>
      </c>
      <c r="AK7" s="36" t="s">
        <v>24</v>
      </c>
      <c r="AL7" s="57" t="s">
        <v>9</v>
      </c>
      <c r="AM7" s="93" t="s">
        <v>5243</v>
      </c>
      <c r="AN7" s="36" t="s">
        <v>5244</v>
      </c>
      <c r="AO7" s="36" t="s">
        <v>5243</v>
      </c>
      <c r="AP7" s="36" t="s">
        <v>5244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367" t="str">
        <f>Prosser!C8</f>
        <v>0</v>
      </c>
      <c r="D8" s="228"/>
      <c r="E8" s="339">
        <f t="shared" ref="E8:AA16" si="0">E22+E36</f>
        <v>0</v>
      </c>
      <c r="F8" s="122">
        <f t="shared" si="0"/>
        <v>0</v>
      </c>
      <c r="G8" s="340">
        <f t="shared" si="0"/>
        <v>0</v>
      </c>
      <c r="H8" s="330">
        <f t="shared" si="0"/>
        <v>0</v>
      </c>
      <c r="I8" s="268">
        <f t="shared" si="0"/>
        <v>0</v>
      </c>
      <c r="J8" s="268">
        <f t="shared" si="0"/>
        <v>0</v>
      </c>
      <c r="K8" s="268">
        <f t="shared" si="0"/>
        <v>0</v>
      </c>
      <c r="L8" s="268">
        <f t="shared" si="0"/>
        <v>0</v>
      </c>
      <c r="M8" s="269">
        <f t="shared" si="0"/>
        <v>0</v>
      </c>
      <c r="N8" s="326">
        <f t="shared" si="0"/>
        <v>0</v>
      </c>
      <c r="O8" s="268">
        <f t="shared" si="0"/>
        <v>0</v>
      </c>
      <c r="P8" s="268">
        <f t="shared" si="0"/>
        <v>0</v>
      </c>
      <c r="Q8" s="268">
        <f t="shared" si="0"/>
        <v>0</v>
      </c>
      <c r="R8" s="268">
        <f t="shared" si="0"/>
        <v>0</v>
      </c>
      <c r="S8" s="346">
        <f t="shared" si="0"/>
        <v>0</v>
      </c>
      <c r="T8" s="330">
        <f t="shared" si="0"/>
        <v>0</v>
      </c>
      <c r="U8" s="269">
        <f t="shared" si="0"/>
        <v>0</v>
      </c>
      <c r="V8" s="326">
        <f t="shared" si="0"/>
        <v>0</v>
      </c>
      <c r="W8" s="268">
        <f t="shared" si="0"/>
        <v>0</v>
      </c>
      <c r="X8" s="268">
        <f t="shared" si="0"/>
        <v>0</v>
      </c>
      <c r="Y8" s="268">
        <f t="shared" si="0"/>
        <v>0</v>
      </c>
      <c r="Z8" s="268">
        <f t="shared" si="0"/>
        <v>0</v>
      </c>
      <c r="AA8" s="269">
        <f t="shared" si="0"/>
        <v>0</v>
      </c>
      <c r="AB8" s="215" t="e">
        <f>SUM(G8)/SUM(H8:M8)</f>
        <v>#DIV/0!</v>
      </c>
      <c r="AC8" s="183" t="e">
        <f t="shared" ref="AC8:AD16" si="1">AC22+AC36</f>
        <v>#DIV/0!</v>
      </c>
      <c r="AD8" s="101" t="e">
        <f t="shared" si="1"/>
        <v>#DIV/0!</v>
      </c>
      <c r="AE8" s="295" t="e">
        <f t="shared" ref="AE8:AE18" si="2">G8/AD8</f>
        <v>#DIV/0!</v>
      </c>
      <c r="AG8" s="155" t="e">
        <f t="shared" ref="AG8:AZ16" si="3">AG22+AG36</f>
        <v>#DIV/0!</v>
      </c>
      <c r="AH8" s="94" t="e">
        <f t="shared" si="3"/>
        <v>#DIV/0!</v>
      </c>
      <c r="AI8" s="94" t="e">
        <f t="shared" si="3"/>
        <v>#DIV/0!</v>
      </c>
      <c r="AJ8" s="94" t="e">
        <f t="shared" si="3"/>
        <v>#DIV/0!</v>
      </c>
      <c r="AK8" s="94" t="e">
        <f t="shared" si="3"/>
        <v>#DIV/0!</v>
      </c>
      <c r="AL8" s="103" t="e">
        <f t="shared" si="3"/>
        <v>#DIV/0!</v>
      </c>
      <c r="AM8" s="155" t="e">
        <f t="shared" si="3"/>
        <v>#DIV/0!</v>
      </c>
      <c r="AN8" s="94" t="e">
        <f t="shared" si="3"/>
        <v>#DIV/0!</v>
      </c>
      <c r="AO8" s="94" t="e">
        <f t="shared" si="3"/>
        <v>#DIV/0!</v>
      </c>
      <c r="AP8" s="94" t="e">
        <f t="shared" si="3"/>
        <v>#DIV/0!</v>
      </c>
      <c r="AQ8" s="94" t="e">
        <f t="shared" si="3"/>
        <v>#DIV/0!</v>
      </c>
      <c r="AR8" s="103" t="e">
        <f t="shared" si="3"/>
        <v>#DIV/0!</v>
      </c>
      <c r="AS8" s="327" t="e">
        <f t="shared" si="3"/>
        <v>#DIV/0!</v>
      </c>
      <c r="AT8" s="347" t="e">
        <f t="shared" si="3"/>
        <v>#DIV/0!</v>
      </c>
      <c r="AU8" s="155" t="e">
        <f t="shared" si="3"/>
        <v>#DIV/0!</v>
      </c>
      <c r="AV8" s="94" t="e">
        <f t="shared" si="3"/>
        <v>#DIV/0!</v>
      </c>
      <c r="AW8" s="94" t="e">
        <f t="shared" si="3"/>
        <v>#DIV/0!</v>
      </c>
      <c r="AX8" s="94" t="e">
        <f t="shared" si="3"/>
        <v>#DIV/0!</v>
      </c>
      <c r="AY8" s="94" t="e">
        <f t="shared" si="3"/>
        <v>#DIV/0!</v>
      </c>
      <c r="AZ8" s="103" t="e">
        <f t="shared" si="3"/>
        <v>#DIV/0!</v>
      </c>
    </row>
    <row r="9" spans="3:52" x14ac:dyDescent="0.25">
      <c r="C9" s="367" t="str">
        <f>Prosser!C9</f>
        <v>Sept 15-21</v>
      </c>
      <c r="D9" s="136"/>
      <c r="E9" s="341">
        <f t="shared" si="0"/>
        <v>0</v>
      </c>
      <c r="F9" s="63">
        <f t="shared" si="0"/>
        <v>0</v>
      </c>
      <c r="G9" s="342">
        <f t="shared" si="0"/>
        <v>0</v>
      </c>
      <c r="H9" s="155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103">
        <f t="shared" si="0"/>
        <v>0</v>
      </c>
      <c r="N9" s="327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347">
        <f t="shared" si="0"/>
        <v>0</v>
      </c>
      <c r="T9" s="155">
        <f t="shared" si="0"/>
        <v>0</v>
      </c>
      <c r="U9" s="103">
        <f t="shared" si="0"/>
        <v>0</v>
      </c>
      <c r="V9" s="327">
        <f t="shared" si="0"/>
        <v>0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103">
        <f t="shared" si="0"/>
        <v>0</v>
      </c>
      <c r="AB9" s="215" t="e">
        <f>SUM(G9)/SUM(H9:M9)</f>
        <v>#DIV/0!</v>
      </c>
      <c r="AC9" s="183" t="e">
        <f t="shared" si="1"/>
        <v>#DIV/0!</v>
      </c>
      <c r="AD9" s="94" t="e">
        <f t="shared" si="1"/>
        <v>#DIV/0!</v>
      </c>
      <c r="AE9" s="166" t="e">
        <f t="shared" si="2"/>
        <v>#DIV/0!</v>
      </c>
      <c r="AG9" s="155" t="e">
        <f t="shared" si="3"/>
        <v>#DIV/0!</v>
      </c>
      <c r="AH9" s="94" t="e">
        <f t="shared" si="3"/>
        <v>#DIV/0!</v>
      </c>
      <c r="AI9" s="94" t="e">
        <f t="shared" si="3"/>
        <v>#DIV/0!</v>
      </c>
      <c r="AJ9" s="94" t="e">
        <f t="shared" si="3"/>
        <v>#DIV/0!</v>
      </c>
      <c r="AK9" s="94" t="e">
        <f t="shared" si="3"/>
        <v>#DIV/0!</v>
      </c>
      <c r="AL9" s="103" t="e">
        <f t="shared" si="3"/>
        <v>#DIV/0!</v>
      </c>
      <c r="AM9" s="155" t="e">
        <f t="shared" si="3"/>
        <v>#DIV/0!</v>
      </c>
      <c r="AN9" s="94" t="e">
        <f t="shared" si="3"/>
        <v>#DIV/0!</v>
      </c>
      <c r="AO9" s="94" t="e">
        <f t="shared" si="3"/>
        <v>#DIV/0!</v>
      </c>
      <c r="AP9" s="94" t="e">
        <f t="shared" si="3"/>
        <v>#DIV/0!</v>
      </c>
      <c r="AQ9" s="94" t="e">
        <f t="shared" si="3"/>
        <v>#DIV/0!</v>
      </c>
      <c r="AR9" s="103" t="e">
        <f t="shared" si="3"/>
        <v>#DIV/0!</v>
      </c>
      <c r="AS9" s="327" t="e">
        <f t="shared" si="3"/>
        <v>#DIV/0!</v>
      </c>
      <c r="AT9" s="347" t="e">
        <f t="shared" si="3"/>
        <v>#DIV/0!</v>
      </c>
      <c r="AU9" s="155" t="e">
        <f t="shared" si="3"/>
        <v>#DIV/0!</v>
      </c>
      <c r="AV9" s="94" t="e">
        <f t="shared" si="3"/>
        <v>#DIV/0!</v>
      </c>
      <c r="AW9" s="94" t="e">
        <f t="shared" si="3"/>
        <v>#DIV/0!</v>
      </c>
      <c r="AX9" s="94" t="e">
        <f t="shared" si="3"/>
        <v>#DIV/0!</v>
      </c>
      <c r="AY9" s="94" t="e">
        <f t="shared" si="3"/>
        <v>#DIV/0!</v>
      </c>
      <c r="AZ9" s="103" t="e">
        <f t="shared" si="3"/>
        <v>#DIV/0!</v>
      </c>
    </row>
    <row r="10" spans="3:52" x14ac:dyDescent="0.25">
      <c r="C10" s="367" t="str">
        <f>Prosser!C10</f>
        <v>Sept 21-28</v>
      </c>
      <c r="D10" s="136"/>
      <c r="E10" s="341">
        <f t="shared" si="0"/>
        <v>0</v>
      </c>
      <c r="F10" s="63">
        <f t="shared" si="0"/>
        <v>0</v>
      </c>
      <c r="G10" s="342">
        <f t="shared" si="0"/>
        <v>0</v>
      </c>
      <c r="H10" s="155">
        <f t="shared" si="0"/>
        <v>0</v>
      </c>
      <c r="I10" s="94">
        <f t="shared" si="0"/>
        <v>0</v>
      </c>
      <c r="J10" s="94">
        <f t="shared" si="0"/>
        <v>0</v>
      </c>
      <c r="K10" s="94">
        <f t="shared" si="0"/>
        <v>0</v>
      </c>
      <c r="L10" s="94">
        <f t="shared" si="0"/>
        <v>0</v>
      </c>
      <c r="M10" s="103">
        <f t="shared" si="0"/>
        <v>0</v>
      </c>
      <c r="N10" s="327">
        <f t="shared" si="0"/>
        <v>0</v>
      </c>
      <c r="O10" s="94">
        <f t="shared" si="0"/>
        <v>0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347">
        <f t="shared" si="0"/>
        <v>0</v>
      </c>
      <c r="T10" s="155">
        <f t="shared" si="0"/>
        <v>0</v>
      </c>
      <c r="U10" s="103">
        <f t="shared" si="0"/>
        <v>0</v>
      </c>
      <c r="V10" s="327">
        <f t="shared" si="0"/>
        <v>0</v>
      </c>
      <c r="W10" s="94">
        <f t="shared" si="0"/>
        <v>0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103">
        <f t="shared" si="0"/>
        <v>0</v>
      </c>
      <c r="AB10" s="215" t="e">
        <f>SUM(G10)/SUM(H10:M10)</f>
        <v>#DIV/0!</v>
      </c>
      <c r="AC10" s="183" t="e">
        <f t="shared" si="1"/>
        <v>#DIV/0!</v>
      </c>
      <c r="AD10" s="94" t="e">
        <f t="shared" si="1"/>
        <v>#DIV/0!</v>
      </c>
      <c r="AE10" s="166" t="e">
        <f t="shared" si="2"/>
        <v>#DIV/0!</v>
      </c>
      <c r="AG10" s="155" t="e">
        <f t="shared" si="3"/>
        <v>#DIV/0!</v>
      </c>
      <c r="AH10" s="94" t="e">
        <f t="shared" si="3"/>
        <v>#DIV/0!</v>
      </c>
      <c r="AI10" s="94" t="e">
        <f t="shared" si="3"/>
        <v>#DIV/0!</v>
      </c>
      <c r="AJ10" s="94" t="e">
        <f t="shared" si="3"/>
        <v>#DIV/0!</v>
      </c>
      <c r="AK10" s="94" t="e">
        <f t="shared" si="3"/>
        <v>#DIV/0!</v>
      </c>
      <c r="AL10" s="103" t="e">
        <f t="shared" si="3"/>
        <v>#DIV/0!</v>
      </c>
      <c r="AM10" s="155" t="e">
        <f t="shared" si="3"/>
        <v>#DIV/0!</v>
      </c>
      <c r="AN10" s="94" t="e">
        <f t="shared" si="3"/>
        <v>#DIV/0!</v>
      </c>
      <c r="AO10" s="94" t="e">
        <f t="shared" si="3"/>
        <v>#DIV/0!</v>
      </c>
      <c r="AP10" s="94" t="e">
        <f t="shared" si="3"/>
        <v>#DIV/0!</v>
      </c>
      <c r="AQ10" s="94" t="e">
        <f t="shared" si="3"/>
        <v>#DIV/0!</v>
      </c>
      <c r="AR10" s="103" t="e">
        <f t="shared" si="3"/>
        <v>#DIV/0!</v>
      </c>
      <c r="AS10" s="327" t="e">
        <f t="shared" si="3"/>
        <v>#DIV/0!</v>
      </c>
      <c r="AT10" s="347" t="e">
        <f t="shared" si="3"/>
        <v>#DIV/0!</v>
      </c>
      <c r="AU10" s="155" t="e">
        <f t="shared" si="3"/>
        <v>#DIV/0!</v>
      </c>
      <c r="AV10" s="94" t="e">
        <f t="shared" si="3"/>
        <v>#DIV/0!</v>
      </c>
      <c r="AW10" s="94" t="e">
        <f t="shared" si="3"/>
        <v>#DIV/0!</v>
      </c>
      <c r="AX10" s="94" t="e">
        <f t="shared" si="3"/>
        <v>#DIV/0!</v>
      </c>
      <c r="AY10" s="94" t="e">
        <f t="shared" si="3"/>
        <v>#DIV/0!</v>
      </c>
      <c r="AZ10" s="103" t="e">
        <f t="shared" si="3"/>
        <v>#DIV/0!</v>
      </c>
    </row>
    <row r="11" spans="3:52" x14ac:dyDescent="0.25">
      <c r="C11" s="367" t="str">
        <f>Prosser!C11</f>
        <v>Sept 29-Oct 5</v>
      </c>
      <c r="D11" s="136"/>
      <c r="E11" s="341">
        <f t="shared" si="0"/>
        <v>0</v>
      </c>
      <c r="F11" s="63">
        <f t="shared" si="0"/>
        <v>0</v>
      </c>
      <c r="G11" s="342">
        <f t="shared" si="0"/>
        <v>0</v>
      </c>
      <c r="H11" s="155">
        <f t="shared" si="0"/>
        <v>0</v>
      </c>
      <c r="I11" s="94">
        <f t="shared" si="0"/>
        <v>0</v>
      </c>
      <c r="J11" s="94">
        <f t="shared" si="0"/>
        <v>0</v>
      </c>
      <c r="K11" s="94">
        <f t="shared" si="0"/>
        <v>0</v>
      </c>
      <c r="L11" s="94">
        <f t="shared" si="0"/>
        <v>0</v>
      </c>
      <c r="M11" s="103">
        <f t="shared" si="0"/>
        <v>0</v>
      </c>
      <c r="N11" s="327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347">
        <f t="shared" si="0"/>
        <v>0</v>
      </c>
      <c r="T11" s="155">
        <f t="shared" si="0"/>
        <v>0</v>
      </c>
      <c r="U11" s="103">
        <f t="shared" si="0"/>
        <v>0</v>
      </c>
      <c r="V11" s="327">
        <f t="shared" si="0"/>
        <v>0</v>
      </c>
      <c r="W11" s="94">
        <f t="shared" si="0"/>
        <v>0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103">
        <f t="shared" si="0"/>
        <v>0</v>
      </c>
      <c r="AB11" s="215" t="e">
        <f>SUM(G11)/SUM(H11:M11)</f>
        <v>#DIV/0!</v>
      </c>
      <c r="AC11" s="183" t="e">
        <f t="shared" si="1"/>
        <v>#DIV/0!</v>
      </c>
      <c r="AD11" s="94" t="e">
        <f t="shared" si="1"/>
        <v>#DIV/0!</v>
      </c>
      <c r="AE11" s="166" t="e">
        <f t="shared" si="2"/>
        <v>#DIV/0!</v>
      </c>
      <c r="AG11" s="155" t="e">
        <f t="shared" si="3"/>
        <v>#DIV/0!</v>
      </c>
      <c r="AH11" s="94" t="e">
        <f t="shared" si="3"/>
        <v>#DIV/0!</v>
      </c>
      <c r="AI11" s="94" t="e">
        <f t="shared" si="3"/>
        <v>#DIV/0!</v>
      </c>
      <c r="AJ11" s="94" t="e">
        <f t="shared" si="3"/>
        <v>#DIV/0!</v>
      </c>
      <c r="AK11" s="94" t="e">
        <f t="shared" si="3"/>
        <v>#DIV/0!</v>
      </c>
      <c r="AL11" s="103" t="e">
        <f t="shared" si="3"/>
        <v>#DIV/0!</v>
      </c>
      <c r="AM11" s="155" t="e">
        <f t="shared" si="3"/>
        <v>#DIV/0!</v>
      </c>
      <c r="AN11" s="94" t="e">
        <f t="shared" si="3"/>
        <v>#DIV/0!</v>
      </c>
      <c r="AO11" s="94" t="e">
        <f t="shared" si="3"/>
        <v>#DIV/0!</v>
      </c>
      <c r="AP11" s="94" t="e">
        <f t="shared" si="3"/>
        <v>#DIV/0!</v>
      </c>
      <c r="AQ11" s="94" t="e">
        <f t="shared" si="3"/>
        <v>#DIV/0!</v>
      </c>
      <c r="AR11" s="103" t="e">
        <f t="shared" si="3"/>
        <v>#DIV/0!</v>
      </c>
      <c r="AS11" s="327" t="e">
        <f t="shared" si="3"/>
        <v>#DIV/0!</v>
      </c>
      <c r="AT11" s="347" t="e">
        <f t="shared" si="3"/>
        <v>#DIV/0!</v>
      </c>
      <c r="AU11" s="155" t="e">
        <f t="shared" si="3"/>
        <v>#DIV/0!</v>
      </c>
      <c r="AV11" s="94" t="e">
        <f t="shared" si="3"/>
        <v>#DIV/0!</v>
      </c>
      <c r="AW11" s="94" t="e">
        <f t="shared" si="3"/>
        <v>#DIV/0!</v>
      </c>
      <c r="AX11" s="94" t="e">
        <f t="shared" si="3"/>
        <v>#DIV/0!</v>
      </c>
      <c r="AY11" s="94" t="e">
        <f t="shared" si="3"/>
        <v>#DIV/0!</v>
      </c>
      <c r="AZ11" s="103" t="e">
        <f t="shared" si="3"/>
        <v>#DIV/0!</v>
      </c>
    </row>
    <row r="12" spans="3:52" x14ac:dyDescent="0.25">
      <c r="C12" s="367" t="str">
        <f>Prosser!C12</f>
        <v>Oct 6-Oct 12</v>
      </c>
      <c r="D12" s="136"/>
      <c r="E12" s="341">
        <f t="shared" si="0"/>
        <v>0</v>
      </c>
      <c r="F12" s="63">
        <f t="shared" si="0"/>
        <v>0</v>
      </c>
      <c r="G12" s="342">
        <f t="shared" si="0"/>
        <v>0</v>
      </c>
      <c r="H12" s="155">
        <f t="shared" si="0"/>
        <v>0</v>
      </c>
      <c r="I12" s="94">
        <f t="shared" si="0"/>
        <v>0</v>
      </c>
      <c r="J12" s="94">
        <f t="shared" si="0"/>
        <v>0</v>
      </c>
      <c r="K12" s="94">
        <f t="shared" si="0"/>
        <v>0</v>
      </c>
      <c r="L12" s="94">
        <f t="shared" si="0"/>
        <v>0</v>
      </c>
      <c r="M12" s="103">
        <f t="shared" si="0"/>
        <v>0</v>
      </c>
      <c r="N12" s="327">
        <f t="shared" si="0"/>
        <v>0</v>
      </c>
      <c r="O12" s="94">
        <f t="shared" si="0"/>
        <v>0</v>
      </c>
      <c r="P12" s="94">
        <f t="shared" si="0"/>
        <v>0</v>
      </c>
      <c r="Q12" s="94">
        <f t="shared" si="0"/>
        <v>0</v>
      </c>
      <c r="R12" s="94">
        <f t="shared" si="0"/>
        <v>0</v>
      </c>
      <c r="S12" s="347">
        <f t="shared" si="0"/>
        <v>0</v>
      </c>
      <c r="T12" s="155">
        <f t="shared" si="0"/>
        <v>0</v>
      </c>
      <c r="U12" s="103">
        <f t="shared" si="0"/>
        <v>0</v>
      </c>
      <c r="V12" s="327">
        <f t="shared" si="0"/>
        <v>0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0</v>
      </c>
      <c r="AA12" s="103">
        <f t="shared" si="0"/>
        <v>0</v>
      </c>
      <c r="AB12" s="215" t="e">
        <f t="shared" ref="AB12:AB16" si="4">SUM(G12)/SUM(H12:M12)</f>
        <v>#DIV/0!</v>
      </c>
      <c r="AC12" s="183" t="e">
        <f t="shared" si="1"/>
        <v>#DIV/0!</v>
      </c>
      <c r="AD12" s="94" t="e">
        <f t="shared" si="1"/>
        <v>#DIV/0!</v>
      </c>
      <c r="AE12" s="166" t="e">
        <f t="shared" si="2"/>
        <v>#DIV/0!</v>
      </c>
      <c r="AG12" s="155" t="e">
        <f t="shared" si="3"/>
        <v>#DIV/0!</v>
      </c>
      <c r="AH12" s="94" t="e">
        <f t="shared" si="3"/>
        <v>#DIV/0!</v>
      </c>
      <c r="AI12" s="94" t="e">
        <f t="shared" si="3"/>
        <v>#DIV/0!</v>
      </c>
      <c r="AJ12" s="94" t="e">
        <f t="shared" si="3"/>
        <v>#DIV/0!</v>
      </c>
      <c r="AK12" s="94" t="e">
        <f t="shared" si="3"/>
        <v>#DIV/0!</v>
      </c>
      <c r="AL12" s="103" t="e">
        <f t="shared" si="3"/>
        <v>#DIV/0!</v>
      </c>
      <c r="AM12" s="155" t="e">
        <f t="shared" si="3"/>
        <v>#DIV/0!</v>
      </c>
      <c r="AN12" s="94" t="e">
        <f t="shared" si="3"/>
        <v>#DIV/0!</v>
      </c>
      <c r="AO12" s="94" t="e">
        <f t="shared" si="3"/>
        <v>#DIV/0!</v>
      </c>
      <c r="AP12" s="94" t="e">
        <f t="shared" si="3"/>
        <v>#DIV/0!</v>
      </c>
      <c r="AQ12" s="94" t="e">
        <f t="shared" si="3"/>
        <v>#DIV/0!</v>
      </c>
      <c r="AR12" s="103" t="e">
        <f t="shared" si="3"/>
        <v>#DIV/0!</v>
      </c>
      <c r="AS12" s="327" t="e">
        <f t="shared" si="3"/>
        <v>#DIV/0!</v>
      </c>
      <c r="AT12" s="347" t="e">
        <f t="shared" si="3"/>
        <v>#DIV/0!</v>
      </c>
      <c r="AU12" s="155" t="e">
        <f t="shared" si="3"/>
        <v>#DIV/0!</v>
      </c>
      <c r="AV12" s="94" t="e">
        <f t="shared" si="3"/>
        <v>#DIV/0!</v>
      </c>
      <c r="AW12" s="94" t="e">
        <f t="shared" si="3"/>
        <v>#DIV/0!</v>
      </c>
      <c r="AX12" s="94" t="e">
        <f t="shared" si="3"/>
        <v>#DIV/0!</v>
      </c>
      <c r="AY12" s="94" t="e">
        <f t="shared" si="3"/>
        <v>#DIV/0!</v>
      </c>
      <c r="AZ12" s="103" t="e">
        <f t="shared" si="3"/>
        <v>#DIV/0!</v>
      </c>
    </row>
    <row r="13" spans="3:52" x14ac:dyDescent="0.25">
      <c r="C13" s="367" t="str">
        <f>Prosser!C13</f>
        <v>Oct 13-19</v>
      </c>
      <c r="D13" s="136"/>
      <c r="E13" s="341">
        <f t="shared" si="0"/>
        <v>0</v>
      </c>
      <c r="F13" s="63">
        <f t="shared" si="0"/>
        <v>0</v>
      </c>
      <c r="G13" s="342">
        <f t="shared" si="0"/>
        <v>0</v>
      </c>
      <c r="H13" s="155">
        <f t="shared" si="0"/>
        <v>0</v>
      </c>
      <c r="I13" s="94">
        <f t="shared" si="0"/>
        <v>0</v>
      </c>
      <c r="J13" s="94">
        <f t="shared" si="0"/>
        <v>0</v>
      </c>
      <c r="K13" s="94">
        <f t="shared" si="0"/>
        <v>0</v>
      </c>
      <c r="L13" s="94">
        <f t="shared" si="0"/>
        <v>0</v>
      </c>
      <c r="M13" s="103">
        <f t="shared" si="0"/>
        <v>0</v>
      </c>
      <c r="N13" s="327">
        <f t="shared" si="0"/>
        <v>0</v>
      </c>
      <c r="O13" s="94">
        <f t="shared" si="0"/>
        <v>0</v>
      </c>
      <c r="P13" s="94">
        <f t="shared" si="0"/>
        <v>0</v>
      </c>
      <c r="Q13" s="94">
        <f t="shared" si="0"/>
        <v>0</v>
      </c>
      <c r="R13" s="94">
        <f t="shared" si="0"/>
        <v>0</v>
      </c>
      <c r="S13" s="347">
        <f t="shared" si="0"/>
        <v>0</v>
      </c>
      <c r="T13" s="155">
        <f t="shared" si="0"/>
        <v>0</v>
      </c>
      <c r="U13" s="103">
        <f t="shared" si="0"/>
        <v>0</v>
      </c>
      <c r="V13" s="327">
        <f t="shared" si="0"/>
        <v>0</v>
      </c>
      <c r="W13" s="94">
        <f t="shared" si="0"/>
        <v>0</v>
      </c>
      <c r="X13" s="94">
        <f t="shared" si="0"/>
        <v>0</v>
      </c>
      <c r="Y13" s="94">
        <f t="shared" si="0"/>
        <v>0</v>
      </c>
      <c r="Z13" s="94">
        <f t="shared" si="0"/>
        <v>0</v>
      </c>
      <c r="AA13" s="103">
        <f t="shared" si="0"/>
        <v>0</v>
      </c>
      <c r="AB13" s="215" t="e">
        <f t="shared" si="4"/>
        <v>#DIV/0!</v>
      </c>
      <c r="AC13" s="183" t="e">
        <f t="shared" si="1"/>
        <v>#DIV/0!</v>
      </c>
      <c r="AD13" s="94" t="e">
        <f t="shared" si="1"/>
        <v>#DIV/0!</v>
      </c>
      <c r="AE13" s="166" t="e">
        <f t="shared" si="2"/>
        <v>#DIV/0!</v>
      </c>
      <c r="AG13" s="155" t="e">
        <f t="shared" si="3"/>
        <v>#DIV/0!</v>
      </c>
      <c r="AH13" s="94" t="e">
        <f t="shared" si="3"/>
        <v>#DIV/0!</v>
      </c>
      <c r="AI13" s="94" t="e">
        <f t="shared" si="3"/>
        <v>#DIV/0!</v>
      </c>
      <c r="AJ13" s="94" t="e">
        <f t="shared" si="3"/>
        <v>#DIV/0!</v>
      </c>
      <c r="AK13" s="94" t="e">
        <f t="shared" si="3"/>
        <v>#DIV/0!</v>
      </c>
      <c r="AL13" s="103" t="e">
        <f t="shared" si="3"/>
        <v>#DIV/0!</v>
      </c>
      <c r="AM13" s="155" t="e">
        <f t="shared" si="3"/>
        <v>#DIV/0!</v>
      </c>
      <c r="AN13" s="94" t="e">
        <f t="shared" si="3"/>
        <v>#DIV/0!</v>
      </c>
      <c r="AO13" s="94" t="e">
        <f t="shared" si="3"/>
        <v>#DIV/0!</v>
      </c>
      <c r="AP13" s="94" t="e">
        <f t="shared" si="3"/>
        <v>#DIV/0!</v>
      </c>
      <c r="AQ13" s="94" t="e">
        <f t="shared" si="3"/>
        <v>#DIV/0!</v>
      </c>
      <c r="AR13" s="103" t="e">
        <f t="shared" si="3"/>
        <v>#DIV/0!</v>
      </c>
      <c r="AS13" s="327" t="e">
        <f t="shared" si="3"/>
        <v>#DIV/0!</v>
      </c>
      <c r="AT13" s="347" t="e">
        <f t="shared" si="3"/>
        <v>#DIV/0!</v>
      </c>
      <c r="AU13" s="155" t="e">
        <f t="shared" si="3"/>
        <v>#DIV/0!</v>
      </c>
      <c r="AV13" s="94" t="e">
        <f t="shared" si="3"/>
        <v>#DIV/0!</v>
      </c>
      <c r="AW13" s="94" t="e">
        <f t="shared" si="3"/>
        <v>#DIV/0!</v>
      </c>
      <c r="AX13" s="94" t="e">
        <f t="shared" si="3"/>
        <v>#DIV/0!</v>
      </c>
      <c r="AY13" s="94" t="e">
        <f t="shared" si="3"/>
        <v>#DIV/0!</v>
      </c>
      <c r="AZ13" s="103" t="e">
        <f t="shared" si="3"/>
        <v>#DIV/0!</v>
      </c>
    </row>
    <row r="14" spans="3:52" x14ac:dyDescent="0.25">
      <c r="C14" s="367" t="str">
        <f>Prosser!C14</f>
        <v>Oct 20-26</v>
      </c>
      <c r="D14" s="180"/>
      <c r="E14" s="341">
        <f t="shared" si="0"/>
        <v>0</v>
      </c>
      <c r="F14" s="63">
        <f t="shared" si="0"/>
        <v>0</v>
      </c>
      <c r="G14" s="342">
        <f t="shared" si="0"/>
        <v>0</v>
      </c>
      <c r="H14" s="155">
        <f t="shared" si="0"/>
        <v>0</v>
      </c>
      <c r="I14" s="94">
        <f t="shared" si="0"/>
        <v>0</v>
      </c>
      <c r="J14" s="94">
        <f t="shared" si="0"/>
        <v>0</v>
      </c>
      <c r="K14" s="94">
        <f t="shared" si="0"/>
        <v>0</v>
      </c>
      <c r="L14" s="94">
        <f t="shared" si="0"/>
        <v>0</v>
      </c>
      <c r="M14" s="103">
        <f t="shared" si="0"/>
        <v>0</v>
      </c>
      <c r="N14" s="327">
        <f t="shared" si="0"/>
        <v>0</v>
      </c>
      <c r="O14" s="94">
        <f t="shared" si="0"/>
        <v>0</v>
      </c>
      <c r="P14" s="94">
        <f t="shared" si="0"/>
        <v>0</v>
      </c>
      <c r="Q14" s="94">
        <f t="shared" si="0"/>
        <v>0</v>
      </c>
      <c r="R14" s="94">
        <f t="shared" si="0"/>
        <v>0</v>
      </c>
      <c r="S14" s="347">
        <f t="shared" si="0"/>
        <v>0</v>
      </c>
      <c r="T14" s="155">
        <f t="shared" si="0"/>
        <v>0</v>
      </c>
      <c r="U14" s="103">
        <f t="shared" si="0"/>
        <v>0</v>
      </c>
      <c r="V14" s="327">
        <f t="shared" si="0"/>
        <v>0</v>
      </c>
      <c r="W14" s="94">
        <f t="shared" si="0"/>
        <v>0</v>
      </c>
      <c r="X14" s="94">
        <f t="shared" si="0"/>
        <v>0</v>
      </c>
      <c r="Y14" s="94">
        <f t="shared" si="0"/>
        <v>0</v>
      </c>
      <c r="Z14" s="94">
        <f t="shared" si="0"/>
        <v>0</v>
      </c>
      <c r="AA14" s="103">
        <f t="shared" si="0"/>
        <v>0</v>
      </c>
      <c r="AB14" s="215" t="e">
        <f t="shared" si="4"/>
        <v>#DIV/0!</v>
      </c>
      <c r="AC14" s="183" t="e">
        <f t="shared" si="1"/>
        <v>#DIV/0!</v>
      </c>
      <c r="AD14" s="94" t="e">
        <f t="shared" si="1"/>
        <v>#DIV/0!</v>
      </c>
      <c r="AE14" s="166" t="e">
        <f t="shared" si="2"/>
        <v>#DIV/0!</v>
      </c>
      <c r="AG14" s="155" t="e">
        <f t="shared" si="3"/>
        <v>#DIV/0!</v>
      </c>
      <c r="AH14" s="94" t="e">
        <f t="shared" si="3"/>
        <v>#DIV/0!</v>
      </c>
      <c r="AI14" s="94" t="e">
        <f t="shared" si="3"/>
        <v>#DIV/0!</v>
      </c>
      <c r="AJ14" s="94" t="e">
        <f t="shared" si="3"/>
        <v>#DIV/0!</v>
      </c>
      <c r="AK14" s="94" t="e">
        <f t="shared" si="3"/>
        <v>#DIV/0!</v>
      </c>
      <c r="AL14" s="103" t="e">
        <f t="shared" si="3"/>
        <v>#DIV/0!</v>
      </c>
      <c r="AM14" s="155" t="e">
        <f t="shared" si="3"/>
        <v>#DIV/0!</v>
      </c>
      <c r="AN14" s="94" t="e">
        <f t="shared" si="3"/>
        <v>#DIV/0!</v>
      </c>
      <c r="AO14" s="94" t="e">
        <f t="shared" si="3"/>
        <v>#DIV/0!</v>
      </c>
      <c r="AP14" s="94" t="e">
        <f t="shared" si="3"/>
        <v>#DIV/0!</v>
      </c>
      <c r="AQ14" s="94" t="e">
        <f t="shared" si="3"/>
        <v>#DIV/0!</v>
      </c>
      <c r="AR14" s="103" t="e">
        <f t="shared" si="3"/>
        <v>#DIV/0!</v>
      </c>
      <c r="AS14" s="327" t="e">
        <f t="shared" si="3"/>
        <v>#DIV/0!</v>
      </c>
      <c r="AT14" s="347" t="e">
        <f t="shared" si="3"/>
        <v>#DIV/0!</v>
      </c>
      <c r="AU14" s="155" t="e">
        <f t="shared" si="3"/>
        <v>#DIV/0!</v>
      </c>
      <c r="AV14" s="94" t="e">
        <f t="shared" si="3"/>
        <v>#DIV/0!</v>
      </c>
      <c r="AW14" s="94" t="e">
        <f t="shared" si="3"/>
        <v>#DIV/0!</v>
      </c>
      <c r="AX14" s="94" t="e">
        <f t="shared" si="3"/>
        <v>#DIV/0!</v>
      </c>
      <c r="AY14" s="94" t="e">
        <f t="shared" si="3"/>
        <v>#DIV/0!</v>
      </c>
      <c r="AZ14" s="103" t="e">
        <f t="shared" si="3"/>
        <v>#DIV/0!</v>
      </c>
    </row>
    <row r="15" spans="3:52" x14ac:dyDescent="0.25">
      <c r="C15" s="367" t="str">
        <f>Prosser!C15</f>
        <v>Oct 27-Nov 2</v>
      </c>
      <c r="D15" s="180"/>
      <c r="E15" s="341">
        <f t="shared" si="0"/>
        <v>0</v>
      </c>
      <c r="F15" s="63">
        <f t="shared" si="0"/>
        <v>0</v>
      </c>
      <c r="G15" s="342">
        <f t="shared" si="0"/>
        <v>0</v>
      </c>
      <c r="H15" s="155">
        <f t="shared" si="0"/>
        <v>0</v>
      </c>
      <c r="I15" s="94">
        <f t="shared" si="0"/>
        <v>0</v>
      </c>
      <c r="J15" s="94">
        <f t="shared" si="0"/>
        <v>0</v>
      </c>
      <c r="K15" s="94">
        <f t="shared" si="0"/>
        <v>0</v>
      </c>
      <c r="L15" s="94">
        <f t="shared" si="0"/>
        <v>0</v>
      </c>
      <c r="M15" s="103">
        <f t="shared" si="0"/>
        <v>0</v>
      </c>
      <c r="N15" s="327">
        <f t="shared" si="0"/>
        <v>0</v>
      </c>
      <c r="O15" s="94">
        <f t="shared" si="0"/>
        <v>0</v>
      </c>
      <c r="P15" s="94">
        <f t="shared" si="0"/>
        <v>0</v>
      </c>
      <c r="Q15" s="94">
        <f t="shared" si="0"/>
        <v>0</v>
      </c>
      <c r="R15" s="94">
        <f t="shared" si="0"/>
        <v>0</v>
      </c>
      <c r="S15" s="347">
        <f t="shared" si="0"/>
        <v>0</v>
      </c>
      <c r="T15" s="155">
        <f t="shared" si="0"/>
        <v>0</v>
      </c>
      <c r="U15" s="103">
        <f t="shared" si="0"/>
        <v>0</v>
      </c>
      <c r="V15" s="327">
        <f t="shared" si="0"/>
        <v>0</v>
      </c>
      <c r="W15" s="94">
        <f t="shared" si="0"/>
        <v>0</v>
      </c>
      <c r="X15" s="94">
        <f t="shared" si="0"/>
        <v>0</v>
      </c>
      <c r="Y15" s="94">
        <f t="shared" si="0"/>
        <v>0</v>
      </c>
      <c r="Z15" s="94">
        <f t="shared" si="0"/>
        <v>0</v>
      </c>
      <c r="AA15" s="103">
        <f t="shared" si="0"/>
        <v>0</v>
      </c>
      <c r="AB15" s="215" t="e">
        <f t="shared" si="4"/>
        <v>#DIV/0!</v>
      </c>
      <c r="AC15" s="294" t="e">
        <f t="shared" si="1"/>
        <v>#DIV/0!</v>
      </c>
      <c r="AD15" s="293" t="e">
        <f t="shared" si="1"/>
        <v>#DIV/0!</v>
      </c>
      <c r="AE15" s="166" t="e">
        <f t="shared" si="2"/>
        <v>#DIV/0!</v>
      </c>
      <c r="AG15" s="155" t="e">
        <f t="shared" si="3"/>
        <v>#DIV/0!</v>
      </c>
      <c r="AH15" s="94" t="e">
        <f t="shared" si="3"/>
        <v>#DIV/0!</v>
      </c>
      <c r="AI15" s="94" t="e">
        <f t="shared" si="3"/>
        <v>#DIV/0!</v>
      </c>
      <c r="AJ15" s="94" t="e">
        <f t="shared" si="3"/>
        <v>#DIV/0!</v>
      </c>
      <c r="AK15" s="94" t="e">
        <f t="shared" si="3"/>
        <v>#DIV/0!</v>
      </c>
      <c r="AL15" s="103" t="e">
        <f t="shared" si="3"/>
        <v>#DIV/0!</v>
      </c>
      <c r="AM15" s="155" t="e">
        <f t="shared" si="3"/>
        <v>#DIV/0!</v>
      </c>
      <c r="AN15" s="94" t="e">
        <f t="shared" si="3"/>
        <v>#DIV/0!</v>
      </c>
      <c r="AO15" s="94" t="e">
        <f t="shared" si="3"/>
        <v>#DIV/0!</v>
      </c>
      <c r="AP15" s="94" t="e">
        <f t="shared" si="3"/>
        <v>#DIV/0!</v>
      </c>
      <c r="AQ15" s="94" t="e">
        <f t="shared" si="3"/>
        <v>#DIV/0!</v>
      </c>
      <c r="AR15" s="103" t="e">
        <f t="shared" si="3"/>
        <v>#DIV/0!</v>
      </c>
      <c r="AS15" s="327" t="e">
        <f t="shared" si="3"/>
        <v>#DIV/0!</v>
      </c>
      <c r="AT15" s="347" t="e">
        <f t="shared" si="3"/>
        <v>#DIV/0!</v>
      </c>
      <c r="AU15" s="155" t="e">
        <f t="shared" si="3"/>
        <v>#DIV/0!</v>
      </c>
      <c r="AV15" s="94" t="e">
        <f t="shared" si="3"/>
        <v>#DIV/0!</v>
      </c>
      <c r="AW15" s="94" t="e">
        <f t="shared" si="3"/>
        <v>#DIV/0!</v>
      </c>
      <c r="AX15" s="94" t="e">
        <f t="shared" si="3"/>
        <v>#DIV/0!</v>
      </c>
      <c r="AY15" s="94" t="e">
        <f t="shared" si="3"/>
        <v>#DIV/0!</v>
      </c>
      <c r="AZ15" s="103" t="e">
        <f t="shared" si="3"/>
        <v>#DIV/0!</v>
      </c>
    </row>
    <row r="16" spans="3:52" x14ac:dyDescent="0.25">
      <c r="C16" s="367" t="str">
        <f>Prosser!C16</f>
        <v>Nov 3-9</v>
      </c>
      <c r="D16" s="180"/>
      <c r="E16" s="341">
        <f t="shared" si="0"/>
        <v>0</v>
      </c>
      <c r="F16" s="63">
        <f t="shared" si="0"/>
        <v>0</v>
      </c>
      <c r="G16" s="342">
        <f t="shared" si="0"/>
        <v>0</v>
      </c>
      <c r="H16" s="155">
        <f t="shared" si="0"/>
        <v>0</v>
      </c>
      <c r="I16" s="94">
        <f t="shared" si="0"/>
        <v>0</v>
      </c>
      <c r="J16" s="94">
        <f t="shared" si="0"/>
        <v>0</v>
      </c>
      <c r="K16" s="94">
        <f t="shared" si="0"/>
        <v>0</v>
      </c>
      <c r="L16" s="94">
        <f t="shared" si="0"/>
        <v>0</v>
      </c>
      <c r="M16" s="103">
        <f t="shared" si="0"/>
        <v>0</v>
      </c>
      <c r="N16" s="327">
        <f t="shared" si="0"/>
        <v>0</v>
      </c>
      <c r="O16" s="94">
        <f t="shared" si="0"/>
        <v>0</v>
      </c>
      <c r="P16" s="94">
        <f t="shared" si="0"/>
        <v>0</v>
      </c>
      <c r="Q16" s="94">
        <f t="shared" si="0"/>
        <v>0</v>
      </c>
      <c r="R16" s="94">
        <f t="shared" si="0"/>
        <v>0</v>
      </c>
      <c r="S16" s="347">
        <f t="shared" si="0"/>
        <v>0</v>
      </c>
      <c r="T16" s="155">
        <f t="shared" si="0"/>
        <v>0</v>
      </c>
      <c r="U16" s="103">
        <f t="shared" si="0"/>
        <v>0</v>
      </c>
      <c r="V16" s="327">
        <f t="shared" si="0"/>
        <v>0</v>
      </c>
      <c r="W16" s="94">
        <f t="shared" si="0"/>
        <v>0</v>
      </c>
      <c r="X16" s="94">
        <f t="shared" si="0"/>
        <v>0</v>
      </c>
      <c r="Y16" s="94">
        <f t="shared" si="0"/>
        <v>0</v>
      </c>
      <c r="Z16" s="94">
        <f t="shared" si="0"/>
        <v>0</v>
      </c>
      <c r="AA16" s="103">
        <f t="shared" si="0"/>
        <v>0</v>
      </c>
      <c r="AB16" s="215" t="e">
        <f t="shared" si="4"/>
        <v>#DIV/0!</v>
      </c>
      <c r="AC16" s="294" t="e">
        <f t="shared" si="1"/>
        <v>#DIV/0!</v>
      </c>
      <c r="AD16" s="293" t="e">
        <f t="shared" si="1"/>
        <v>#DIV/0!</v>
      </c>
      <c r="AE16" s="166" t="e">
        <f t="shared" si="2"/>
        <v>#DIV/0!</v>
      </c>
      <c r="AG16" s="155" t="e">
        <f t="shared" si="3"/>
        <v>#DIV/0!</v>
      </c>
      <c r="AH16" s="94" t="e">
        <f t="shared" si="3"/>
        <v>#DIV/0!</v>
      </c>
      <c r="AI16" s="94" t="e">
        <f t="shared" si="3"/>
        <v>#DIV/0!</v>
      </c>
      <c r="AJ16" s="94" t="e">
        <f t="shared" si="3"/>
        <v>#DIV/0!</v>
      </c>
      <c r="AK16" s="94" t="e">
        <f t="shared" si="3"/>
        <v>#DIV/0!</v>
      </c>
      <c r="AL16" s="103" t="e">
        <f t="shared" si="3"/>
        <v>#DIV/0!</v>
      </c>
      <c r="AM16" s="155" t="e">
        <f t="shared" si="3"/>
        <v>#DIV/0!</v>
      </c>
      <c r="AN16" s="94" t="e">
        <f t="shared" si="3"/>
        <v>#DIV/0!</v>
      </c>
      <c r="AO16" s="94" t="e">
        <f t="shared" si="3"/>
        <v>#DIV/0!</v>
      </c>
      <c r="AP16" s="94" t="e">
        <f t="shared" si="3"/>
        <v>#DIV/0!</v>
      </c>
      <c r="AQ16" s="94" t="e">
        <f t="shared" si="3"/>
        <v>#DIV/0!</v>
      </c>
      <c r="AR16" s="103" t="e">
        <f t="shared" si="3"/>
        <v>#DIV/0!</v>
      </c>
      <c r="AS16" s="327" t="e">
        <f t="shared" si="3"/>
        <v>#DIV/0!</v>
      </c>
      <c r="AT16" s="347" t="e">
        <f t="shared" si="3"/>
        <v>#DIV/0!</v>
      </c>
      <c r="AU16" s="155" t="e">
        <f t="shared" si="3"/>
        <v>#DIV/0!</v>
      </c>
      <c r="AV16" s="94" t="e">
        <f t="shared" si="3"/>
        <v>#DIV/0!</v>
      </c>
      <c r="AW16" s="94" t="e">
        <f t="shared" si="3"/>
        <v>#DIV/0!</v>
      </c>
      <c r="AX16" s="94" t="e">
        <f t="shared" si="3"/>
        <v>#DIV/0!</v>
      </c>
      <c r="AY16" s="94" t="e">
        <f t="shared" si="3"/>
        <v>#DIV/0!</v>
      </c>
      <c r="AZ16" s="103" t="e">
        <f t="shared" si="3"/>
        <v>#DIV/0!</v>
      </c>
    </row>
    <row r="17" spans="3:79" ht="16.5" thickBot="1" x14ac:dyDescent="0.3">
      <c r="C17" s="367" t="str">
        <f>Prosser!C17</f>
        <v>Nov 10-16</v>
      </c>
      <c r="D17" s="137"/>
      <c r="E17" s="156"/>
      <c r="F17" s="95"/>
      <c r="G17" s="343"/>
      <c r="H17" s="156"/>
      <c r="I17" s="95"/>
      <c r="J17" s="95"/>
      <c r="K17" s="95"/>
      <c r="L17" s="95"/>
      <c r="M17" s="104"/>
      <c r="N17" s="328"/>
      <c r="O17" s="95"/>
      <c r="P17" s="95"/>
      <c r="Q17" s="95"/>
      <c r="R17" s="95"/>
      <c r="S17" s="348"/>
      <c r="T17" s="156"/>
      <c r="U17" s="104"/>
      <c r="V17" s="328"/>
      <c r="W17" s="95"/>
      <c r="X17" s="95"/>
      <c r="Y17" s="95"/>
      <c r="Z17" s="95"/>
      <c r="AA17" s="104"/>
      <c r="AB17" s="215"/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28"/>
      <c r="AT17" s="348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138"/>
      <c r="E18" s="344">
        <f t="shared" ref="E18:AA18" si="5">SUM(E8:E17)</f>
        <v>0</v>
      </c>
      <c r="F18" s="98">
        <f t="shared" si="5"/>
        <v>0</v>
      </c>
      <c r="G18" s="345">
        <f t="shared" si="5"/>
        <v>0</v>
      </c>
      <c r="H18" s="157">
        <f t="shared" si="5"/>
        <v>0</v>
      </c>
      <c r="I18" s="105">
        <f t="shared" si="5"/>
        <v>0</v>
      </c>
      <c r="J18" s="105">
        <f t="shared" si="5"/>
        <v>0</v>
      </c>
      <c r="K18" s="105">
        <f t="shared" si="5"/>
        <v>0</v>
      </c>
      <c r="L18" s="105">
        <f t="shared" si="5"/>
        <v>0</v>
      </c>
      <c r="M18" s="107">
        <f t="shared" si="5"/>
        <v>0</v>
      </c>
      <c r="N18" s="329">
        <f t="shared" si="5"/>
        <v>0</v>
      </c>
      <c r="O18" s="105">
        <f t="shared" si="5"/>
        <v>0</v>
      </c>
      <c r="P18" s="105">
        <f t="shared" si="5"/>
        <v>0</v>
      </c>
      <c r="Q18" s="105">
        <f t="shared" si="5"/>
        <v>0</v>
      </c>
      <c r="R18" s="105">
        <f t="shared" si="5"/>
        <v>0</v>
      </c>
      <c r="S18" s="349">
        <f t="shared" si="5"/>
        <v>0</v>
      </c>
      <c r="T18" s="157">
        <f t="shared" si="5"/>
        <v>0</v>
      </c>
      <c r="U18" s="107">
        <f t="shared" si="5"/>
        <v>0</v>
      </c>
      <c r="V18" s="329">
        <f t="shared" si="5"/>
        <v>0</v>
      </c>
      <c r="W18" s="105">
        <f t="shared" si="5"/>
        <v>0</v>
      </c>
      <c r="X18" s="105">
        <f t="shared" si="5"/>
        <v>0</v>
      </c>
      <c r="Y18" s="105">
        <f t="shared" si="5"/>
        <v>0</v>
      </c>
      <c r="Z18" s="105">
        <f t="shared" si="5"/>
        <v>0</v>
      </c>
      <c r="AA18" s="107">
        <f t="shared" si="5"/>
        <v>0</v>
      </c>
      <c r="AB18" s="215" t="e">
        <f>SUM(G18)/SUM(H18:M18)</f>
        <v>#DIV/0!</v>
      </c>
      <c r="AC18" s="161" t="e">
        <f t="shared" ref="AC18:AD18" si="6">SUM(AC8:AC17)</f>
        <v>#DIV/0!</v>
      </c>
      <c r="AD18" s="161" t="e">
        <f t="shared" si="6"/>
        <v>#DIV/0!</v>
      </c>
      <c r="AE18" s="167" t="e">
        <f t="shared" si="2"/>
        <v>#DIV/0!</v>
      </c>
      <c r="AG18" s="157" t="e">
        <f t="shared" ref="AG18:AZ18" si="7">SUM(AG8:AG17)</f>
        <v>#DIV/0!</v>
      </c>
      <c r="AH18" s="105" t="e">
        <f t="shared" si="7"/>
        <v>#DIV/0!</v>
      </c>
      <c r="AI18" s="105" t="e">
        <f t="shared" si="7"/>
        <v>#DIV/0!</v>
      </c>
      <c r="AJ18" s="105" t="e">
        <f t="shared" si="7"/>
        <v>#DIV/0!</v>
      </c>
      <c r="AK18" s="105" t="e">
        <f t="shared" si="7"/>
        <v>#DIV/0!</v>
      </c>
      <c r="AL18" s="107" t="e">
        <f t="shared" si="7"/>
        <v>#DIV/0!</v>
      </c>
      <c r="AM18" s="157" t="e">
        <f t="shared" si="7"/>
        <v>#DIV/0!</v>
      </c>
      <c r="AN18" s="105" t="e">
        <f t="shared" si="7"/>
        <v>#DIV/0!</v>
      </c>
      <c r="AO18" s="105" t="e">
        <f t="shared" si="7"/>
        <v>#DIV/0!</v>
      </c>
      <c r="AP18" s="105" t="e">
        <f t="shared" si="7"/>
        <v>#DIV/0!</v>
      </c>
      <c r="AQ18" s="105" t="e">
        <f t="shared" si="7"/>
        <v>#DIV/0!</v>
      </c>
      <c r="AR18" s="107" t="e">
        <f t="shared" si="7"/>
        <v>#DIV/0!</v>
      </c>
      <c r="AS18" s="329" t="e">
        <f t="shared" si="7"/>
        <v>#DIV/0!</v>
      </c>
      <c r="AT18" s="349" t="e">
        <f t="shared" si="7"/>
        <v>#DIV/0!</v>
      </c>
      <c r="AU18" s="157" t="e">
        <f t="shared" si="7"/>
        <v>#DIV/0!</v>
      </c>
      <c r="AV18" s="105" t="e">
        <f t="shared" si="7"/>
        <v>#DIV/0!</v>
      </c>
      <c r="AW18" s="105" t="e">
        <f t="shared" si="7"/>
        <v>#DIV/0!</v>
      </c>
      <c r="AX18" s="105" t="e">
        <f t="shared" si="7"/>
        <v>#DIV/0!</v>
      </c>
      <c r="AY18" s="105" t="e">
        <f t="shared" si="7"/>
        <v>#DIV/0!</v>
      </c>
      <c r="AZ18" s="107" t="e">
        <f t="shared" si="7"/>
        <v>#DIV/0!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 t="e">
        <f>SUM(AG18:AL18)</f>
        <v>#DIV/0!</v>
      </c>
      <c r="AH19" s="191" t="s">
        <v>5232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5222</v>
      </c>
      <c r="D21" s="230"/>
      <c r="E21" s="415" t="s">
        <v>596</v>
      </c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  <c r="Y21" s="413"/>
      <c r="Z21" s="413"/>
      <c r="AA21" s="414"/>
      <c r="AB21" s="215"/>
      <c r="AC21" s="415" t="s">
        <v>5220</v>
      </c>
      <c r="AD21" s="413"/>
      <c r="AE21" s="414"/>
      <c r="AG21" s="415" t="s">
        <v>5224</v>
      </c>
      <c r="AH21" s="413"/>
      <c r="AI21" s="413"/>
      <c r="AJ21" s="413"/>
      <c r="AK21" s="413"/>
      <c r="AL21" s="413"/>
      <c r="AM21" s="413"/>
      <c r="AN21" s="413"/>
      <c r="AO21" s="413"/>
      <c r="AP21" s="413"/>
      <c r="AQ21" s="413"/>
      <c r="AR21" s="413"/>
      <c r="AS21" s="413"/>
      <c r="AT21" s="413"/>
      <c r="AU21" s="413"/>
      <c r="AV21" s="413"/>
      <c r="AW21" s="413"/>
      <c r="AX21" s="413"/>
      <c r="AY21" s="413"/>
      <c r="AZ21" s="414"/>
    </row>
    <row r="22" spans="3:79" x14ac:dyDescent="0.25">
      <c r="C22" s="227" t="str">
        <f t="shared" ref="C22:C31" si="8">C8</f>
        <v>0</v>
      </c>
      <c r="D22" s="71"/>
      <c r="E22" s="97"/>
      <c r="F22" s="63">
        <f t="shared" ref="F22:AA22" si="9">SUM(F52:F56)</f>
        <v>0</v>
      </c>
      <c r="G22" s="111">
        <f t="shared" si="9"/>
        <v>0</v>
      </c>
      <c r="H22" s="94">
        <f t="shared" si="9"/>
        <v>0</v>
      </c>
      <c r="I22" s="94">
        <f t="shared" si="9"/>
        <v>0</v>
      </c>
      <c r="J22" s="94">
        <f t="shared" si="9"/>
        <v>0</v>
      </c>
      <c r="K22" s="94">
        <f t="shared" si="9"/>
        <v>0</v>
      </c>
      <c r="L22" s="94">
        <f t="shared" si="9"/>
        <v>0</v>
      </c>
      <c r="M22" s="94">
        <f t="shared" si="9"/>
        <v>0</v>
      </c>
      <c r="N22" s="94">
        <f t="shared" si="9"/>
        <v>0</v>
      </c>
      <c r="O22" s="94">
        <f t="shared" si="9"/>
        <v>0</v>
      </c>
      <c r="P22" s="94">
        <f t="shared" si="9"/>
        <v>0</v>
      </c>
      <c r="Q22" s="94">
        <f t="shared" si="9"/>
        <v>0</v>
      </c>
      <c r="R22" s="94">
        <f t="shared" si="9"/>
        <v>0</v>
      </c>
      <c r="S22" s="94">
        <f t="shared" si="9"/>
        <v>0</v>
      </c>
      <c r="T22" s="94">
        <f t="shared" si="9"/>
        <v>0</v>
      </c>
      <c r="U22" s="94">
        <f t="shared" si="9"/>
        <v>0</v>
      </c>
      <c r="V22" s="94">
        <f t="shared" si="9"/>
        <v>0</v>
      </c>
      <c r="W22" s="94">
        <f t="shared" si="9"/>
        <v>0</v>
      </c>
      <c r="X22" s="94">
        <f t="shared" si="9"/>
        <v>0</v>
      </c>
      <c r="Y22" s="94">
        <f t="shared" si="9"/>
        <v>0</v>
      </c>
      <c r="Z22" s="94">
        <f t="shared" si="9"/>
        <v>0</v>
      </c>
      <c r="AA22" s="103">
        <f t="shared" si="9"/>
        <v>0</v>
      </c>
      <c r="AB22" s="215" t="e">
        <f t="shared" ref="AB22:AB30" si="10">SUM(G22)/SUM(H22:M22)</f>
        <v>#DIV/0!</v>
      </c>
      <c r="AC22" s="183" t="e">
        <f>AK52+AK55</f>
        <v>#DIV/0!</v>
      </c>
      <c r="AD22" s="101" t="e">
        <f>AJ52+AJ55</f>
        <v>#DIV/0!</v>
      </c>
      <c r="AE22" s="295" t="e">
        <f t="shared" ref="AE22:AE32" si="11">G22/AD22</f>
        <v>#DIV/0!</v>
      </c>
      <c r="AG22" s="155" t="e">
        <f t="shared" ref="AG22:AZ22" si="12">BG52+BG55</f>
        <v>#DIV/0!</v>
      </c>
      <c r="AH22" s="94" t="e">
        <f t="shared" si="12"/>
        <v>#DIV/0!</v>
      </c>
      <c r="AI22" s="94" t="e">
        <f t="shared" si="12"/>
        <v>#DIV/0!</v>
      </c>
      <c r="AJ22" s="94" t="e">
        <f t="shared" si="12"/>
        <v>#DIV/0!</v>
      </c>
      <c r="AK22" s="94" t="e">
        <f t="shared" si="12"/>
        <v>#DIV/0!</v>
      </c>
      <c r="AL22" s="94" t="e">
        <f t="shared" si="12"/>
        <v>#DIV/0!</v>
      </c>
      <c r="AM22" s="94" t="e">
        <f t="shared" si="12"/>
        <v>#DIV/0!</v>
      </c>
      <c r="AN22" s="94" t="e">
        <f t="shared" si="12"/>
        <v>#DIV/0!</v>
      </c>
      <c r="AO22" s="94" t="e">
        <f t="shared" si="12"/>
        <v>#DIV/0!</v>
      </c>
      <c r="AP22" s="94" t="e">
        <f t="shared" si="12"/>
        <v>#DIV/0!</v>
      </c>
      <c r="AQ22" s="94" t="e">
        <f t="shared" si="12"/>
        <v>#DIV/0!</v>
      </c>
      <c r="AR22" s="94" t="e">
        <f t="shared" si="12"/>
        <v>#DIV/0!</v>
      </c>
      <c r="AS22" s="94" t="e">
        <f t="shared" si="12"/>
        <v>#DIV/0!</v>
      </c>
      <c r="AT22" s="94" t="e">
        <f t="shared" si="12"/>
        <v>#DIV/0!</v>
      </c>
      <c r="AU22" s="94" t="e">
        <f t="shared" si="12"/>
        <v>#DIV/0!</v>
      </c>
      <c r="AV22" s="94" t="e">
        <f t="shared" si="12"/>
        <v>#DIV/0!</v>
      </c>
      <c r="AW22" s="94" t="e">
        <f t="shared" si="12"/>
        <v>#DIV/0!</v>
      </c>
      <c r="AX22" s="94" t="e">
        <f t="shared" si="12"/>
        <v>#DIV/0!</v>
      </c>
      <c r="AY22" s="94" t="e">
        <f t="shared" si="12"/>
        <v>#DIV/0!</v>
      </c>
      <c r="AZ22" s="103" t="e">
        <f t="shared" si="12"/>
        <v>#DIV/0!</v>
      </c>
    </row>
    <row r="23" spans="3:79" x14ac:dyDescent="0.25">
      <c r="C23" s="227" t="str">
        <f t="shared" si="8"/>
        <v>Sept 15-21</v>
      </c>
      <c r="D23" s="96"/>
      <c r="E23" s="96"/>
      <c r="F23" s="63">
        <f t="shared" ref="F23:AA23" si="13">SUM(F57:F61)</f>
        <v>0</v>
      </c>
      <c r="G23" s="111">
        <f t="shared" si="13"/>
        <v>0</v>
      </c>
      <c r="H23" s="94">
        <f t="shared" si="13"/>
        <v>0</v>
      </c>
      <c r="I23" s="94">
        <f t="shared" si="13"/>
        <v>0</v>
      </c>
      <c r="J23" s="94">
        <f t="shared" si="13"/>
        <v>0</v>
      </c>
      <c r="K23" s="94">
        <f t="shared" si="13"/>
        <v>0</v>
      </c>
      <c r="L23" s="94">
        <f t="shared" si="13"/>
        <v>0</v>
      </c>
      <c r="M23" s="94">
        <f t="shared" si="13"/>
        <v>0</v>
      </c>
      <c r="N23" s="94">
        <f t="shared" si="13"/>
        <v>0</v>
      </c>
      <c r="O23" s="94">
        <f t="shared" si="13"/>
        <v>0</v>
      </c>
      <c r="P23" s="94">
        <f t="shared" si="13"/>
        <v>0</v>
      </c>
      <c r="Q23" s="94">
        <f t="shared" si="13"/>
        <v>0</v>
      </c>
      <c r="R23" s="94">
        <f t="shared" si="13"/>
        <v>0</v>
      </c>
      <c r="S23" s="94">
        <f t="shared" si="13"/>
        <v>0</v>
      </c>
      <c r="T23" s="94">
        <f t="shared" si="13"/>
        <v>0</v>
      </c>
      <c r="U23" s="94">
        <f t="shared" si="13"/>
        <v>0</v>
      </c>
      <c r="V23" s="94">
        <f t="shared" si="13"/>
        <v>0</v>
      </c>
      <c r="W23" s="94">
        <f t="shared" si="13"/>
        <v>0</v>
      </c>
      <c r="X23" s="94">
        <f t="shared" si="13"/>
        <v>0</v>
      </c>
      <c r="Y23" s="94">
        <f t="shared" si="13"/>
        <v>0</v>
      </c>
      <c r="Z23" s="94">
        <f t="shared" si="13"/>
        <v>0</v>
      </c>
      <c r="AA23" s="103">
        <f t="shared" si="13"/>
        <v>0</v>
      </c>
      <c r="AB23" s="215" t="e">
        <f t="shared" si="10"/>
        <v>#DIV/0!</v>
      </c>
      <c r="AC23" s="183" t="e">
        <f>AK57+AK60</f>
        <v>#DIV/0!</v>
      </c>
      <c r="AD23" s="94" t="e">
        <f>AJ57+AJ60</f>
        <v>#DIV/0!</v>
      </c>
      <c r="AE23" s="166" t="e">
        <f t="shared" si="11"/>
        <v>#DIV/0!</v>
      </c>
      <c r="AG23" s="155" t="e">
        <f t="shared" ref="AG23:AZ23" si="14">BG57+BG60</f>
        <v>#DIV/0!</v>
      </c>
      <c r="AH23" s="94" t="e">
        <f t="shared" si="14"/>
        <v>#DIV/0!</v>
      </c>
      <c r="AI23" s="94" t="e">
        <f t="shared" si="14"/>
        <v>#DIV/0!</v>
      </c>
      <c r="AJ23" s="94" t="e">
        <f t="shared" si="14"/>
        <v>#DIV/0!</v>
      </c>
      <c r="AK23" s="94" t="e">
        <f t="shared" si="14"/>
        <v>#DIV/0!</v>
      </c>
      <c r="AL23" s="94" t="e">
        <f t="shared" si="14"/>
        <v>#DIV/0!</v>
      </c>
      <c r="AM23" s="94" t="e">
        <f t="shared" si="14"/>
        <v>#DIV/0!</v>
      </c>
      <c r="AN23" s="94" t="e">
        <f t="shared" si="14"/>
        <v>#DIV/0!</v>
      </c>
      <c r="AO23" s="94" t="e">
        <f t="shared" si="14"/>
        <v>#DIV/0!</v>
      </c>
      <c r="AP23" s="94" t="e">
        <f t="shared" si="14"/>
        <v>#DIV/0!</v>
      </c>
      <c r="AQ23" s="94" t="e">
        <f t="shared" si="14"/>
        <v>#DIV/0!</v>
      </c>
      <c r="AR23" s="94" t="e">
        <f t="shared" si="14"/>
        <v>#DIV/0!</v>
      </c>
      <c r="AS23" s="94" t="e">
        <f t="shared" si="14"/>
        <v>#DIV/0!</v>
      </c>
      <c r="AT23" s="94" t="e">
        <f t="shared" si="14"/>
        <v>#DIV/0!</v>
      </c>
      <c r="AU23" s="94" t="e">
        <f t="shared" si="14"/>
        <v>#DIV/0!</v>
      </c>
      <c r="AV23" s="94" t="e">
        <f t="shared" si="14"/>
        <v>#DIV/0!</v>
      </c>
      <c r="AW23" s="94" t="e">
        <f t="shared" si="14"/>
        <v>#DIV/0!</v>
      </c>
      <c r="AX23" s="94" t="e">
        <f t="shared" si="14"/>
        <v>#DIV/0!</v>
      </c>
      <c r="AY23" s="94" t="e">
        <f t="shared" si="14"/>
        <v>#DIV/0!</v>
      </c>
      <c r="AZ23" s="103" t="e">
        <f t="shared" si="14"/>
        <v>#DIV/0!</v>
      </c>
    </row>
    <row r="24" spans="3:79" x14ac:dyDescent="0.25">
      <c r="C24" s="227" t="str">
        <f t="shared" si="8"/>
        <v>Sept 21-28</v>
      </c>
      <c r="D24" s="96"/>
      <c r="E24" s="96"/>
      <c r="F24" s="63">
        <f t="shared" ref="F24:AA24" si="15">SUM(F62:F66)</f>
        <v>0</v>
      </c>
      <c r="G24" s="111">
        <f t="shared" si="15"/>
        <v>0</v>
      </c>
      <c r="H24" s="94">
        <f t="shared" si="15"/>
        <v>0</v>
      </c>
      <c r="I24" s="94">
        <f t="shared" si="15"/>
        <v>0</v>
      </c>
      <c r="J24" s="94">
        <f t="shared" si="15"/>
        <v>0</v>
      </c>
      <c r="K24" s="94">
        <f t="shared" si="15"/>
        <v>0</v>
      </c>
      <c r="L24" s="94">
        <f t="shared" si="15"/>
        <v>0</v>
      </c>
      <c r="M24" s="94">
        <f t="shared" si="15"/>
        <v>0</v>
      </c>
      <c r="N24" s="94">
        <f t="shared" si="15"/>
        <v>0</v>
      </c>
      <c r="O24" s="94">
        <f t="shared" si="15"/>
        <v>0</v>
      </c>
      <c r="P24" s="94">
        <f t="shared" si="15"/>
        <v>0</v>
      </c>
      <c r="Q24" s="94">
        <f t="shared" si="15"/>
        <v>0</v>
      </c>
      <c r="R24" s="94">
        <f t="shared" si="15"/>
        <v>0</v>
      </c>
      <c r="S24" s="94">
        <f t="shared" si="15"/>
        <v>0</v>
      </c>
      <c r="T24" s="94">
        <f t="shared" si="15"/>
        <v>0</v>
      </c>
      <c r="U24" s="94">
        <f t="shared" si="15"/>
        <v>0</v>
      </c>
      <c r="V24" s="94">
        <f t="shared" si="15"/>
        <v>0</v>
      </c>
      <c r="W24" s="94">
        <f t="shared" si="15"/>
        <v>0</v>
      </c>
      <c r="X24" s="94">
        <f t="shared" si="15"/>
        <v>0</v>
      </c>
      <c r="Y24" s="94">
        <f t="shared" si="15"/>
        <v>0</v>
      </c>
      <c r="Z24" s="94">
        <f t="shared" si="15"/>
        <v>0</v>
      </c>
      <c r="AA24" s="103">
        <f t="shared" si="15"/>
        <v>0</v>
      </c>
      <c r="AB24" s="215" t="e">
        <f t="shared" si="10"/>
        <v>#DIV/0!</v>
      </c>
      <c r="AC24" s="183" t="e">
        <f>AK62+AK65</f>
        <v>#DIV/0!</v>
      </c>
      <c r="AD24" s="94" t="e">
        <f>AJ62+AJ65</f>
        <v>#DIV/0!</v>
      </c>
      <c r="AE24" s="166" t="e">
        <f t="shared" si="11"/>
        <v>#DIV/0!</v>
      </c>
      <c r="AG24" s="155" t="e">
        <f t="shared" ref="AG24:AZ24" si="16">BG62+BG65</f>
        <v>#DIV/0!</v>
      </c>
      <c r="AH24" s="94" t="e">
        <f t="shared" si="16"/>
        <v>#DIV/0!</v>
      </c>
      <c r="AI24" s="94" t="e">
        <f t="shared" si="16"/>
        <v>#DIV/0!</v>
      </c>
      <c r="AJ24" s="94" t="e">
        <f t="shared" si="16"/>
        <v>#DIV/0!</v>
      </c>
      <c r="AK24" s="94" t="e">
        <f t="shared" si="16"/>
        <v>#DIV/0!</v>
      </c>
      <c r="AL24" s="94" t="e">
        <f t="shared" si="16"/>
        <v>#DIV/0!</v>
      </c>
      <c r="AM24" s="94" t="e">
        <f t="shared" si="16"/>
        <v>#DIV/0!</v>
      </c>
      <c r="AN24" s="94" t="e">
        <f t="shared" si="16"/>
        <v>#DIV/0!</v>
      </c>
      <c r="AO24" s="94" t="e">
        <f t="shared" si="16"/>
        <v>#DIV/0!</v>
      </c>
      <c r="AP24" s="94" t="e">
        <f t="shared" si="16"/>
        <v>#DIV/0!</v>
      </c>
      <c r="AQ24" s="94" t="e">
        <f t="shared" si="16"/>
        <v>#DIV/0!</v>
      </c>
      <c r="AR24" s="94" t="e">
        <f t="shared" si="16"/>
        <v>#DIV/0!</v>
      </c>
      <c r="AS24" s="94" t="e">
        <f t="shared" si="16"/>
        <v>#DIV/0!</v>
      </c>
      <c r="AT24" s="94" t="e">
        <f t="shared" si="16"/>
        <v>#DIV/0!</v>
      </c>
      <c r="AU24" s="94" t="e">
        <f t="shared" si="16"/>
        <v>#DIV/0!</v>
      </c>
      <c r="AV24" s="94" t="e">
        <f t="shared" si="16"/>
        <v>#DIV/0!</v>
      </c>
      <c r="AW24" s="94" t="e">
        <f t="shared" si="16"/>
        <v>#DIV/0!</v>
      </c>
      <c r="AX24" s="94" t="e">
        <f t="shared" si="16"/>
        <v>#DIV/0!</v>
      </c>
      <c r="AY24" s="94" t="e">
        <f t="shared" si="16"/>
        <v>#DIV/0!</v>
      </c>
      <c r="AZ24" s="103" t="e">
        <f t="shared" si="16"/>
        <v>#DIV/0!</v>
      </c>
    </row>
    <row r="25" spans="3:79" x14ac:dyDescent="0.25">
      <c r="C25" s="227" t="str">
        <f t="shared" si="8"/>
        <v>Sept 29-Oct 5</v>
      </c>
      <c r="D25" s="96"/>
      <c r="E25" s="96"/>
      <c r="F25" s="63">
        <f t="shared" ref="F25:AA25" si="17">SUM(F67:F71)</f>
        <v>0</v>
      </c>
      <c r="G25" s="111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103">
        <f t="shared" si="17"/>
        <v>0</v>
      </c>
      <c r="AB25" s="215" t="e">
        <f t="shared" si="10"/>
        <v>#DIV/0!</v>
      </c>
      <c r="AC25" s="183" t="e">
        <f>AK67+AK70</f>
        <v>#DIV/0!</v>
      </c>
      <c r="AD25" s="94" t="e">
        <f>AJ67+AJ70</f>
        <v>#DIV/0!</v>
      </c>
      <c r="AE25" s="166" t="e">
        <f t="shared" si="11"/>
        <v>#DIV/0!</v>
      </c>
      <c r="AG25" s="155" t="e">
        <f t="shared" ref="AG25:AZ25" si="18">BG67+BG70</f>
        <v>#DIV/0!</v>
      </c>
      <c r="AH25" s="94" t="e">
        <f t="shared" si="18"/>
        <v>#DIV/0!</v>
      </c>
      <c r="AI25" s="94" t="e">
        <f t="shared" si="18"/>
        <v>#DIV/0!</v>
      </c>
      <c r="AJ25" s="94" t="e">
        <f t="shared" si="18"/>
        <v>#DIV/0!</v>
      </c>
      <c r="AK25" s="94" t="e">
        <f t="shared" si="18"/>
        <v>#DIV/0!</v>
      </c>
      <c r="AL25" s="94" t="e">
        <f t="shared" si="18"/>
        <v>#DIV/0!</v>
      </c>
      <c r="AM25" s="94" t="e">
        <f t="shared" si="18"/>
        <v>#DIV/0!</v>
      </c>
      <c r="AN25" s="94" t="e">
        <f t="shared" si="18"/>
        <v>#DIV/0!</v>
      </c>
      <c r="AO25" s="94" t="e">
        <f t="shared" si="18"/>
        <v>#DIV/0!</v>
      </c>
      <c r="AP25" s="94" t="e">
        <f t="shared" si="18"/>
        <v>#DIV/0!</v>
      </c>
      <c r="AQ25" s="94" t="e">
        <f t="shared" si="18"/>
        <v>#DIV/0!</v>
      </c>
      <c r="AR25" s="94" t="e">
        <f t="shared" si="18"/>
        <v>#DIV/0!</v>
      </c>
      <c r="AS25" s="94" t="e">
        <f t="shared" si="18"/>
        <v>#DIV/0!</v>
      </c>
      <c r="AT25" s="94" t="e">
        <f t="shared" si="18"/>
        <v>#DIV/0!</v>
      </c>
      <c r="AU25" s="94" t="e">
        <f t="shared" si="18"/>
        <v>#DIV/0!</v>
      </c>
      <c r="AV25" s="94" t="e">
        <f t="shared" si="18"/>
        <v>#DIV/0!</v>
      </c>
      <c r="AW25" s="94" t="e">
        <f t="shared" si="18"/>
        <v>#DIV/0!</v>
      </c>
      <c r="AX25" s="94" t="e">
        <f t="shared" si="18"/>
        <v>#DIV/0!</v>
      </c>
      <c r="AY25" s="94" t="e">
        <f t="shared" si="18"/>
        <v>#DIV/0!</v>
      </c>
      <c r="AZ25" s="103" t="e">
        <f t="shared" si="18"/>
        <v>#DIV/0!</v>
      </c>
    </row>
    <row r="26" spans="3:79" x14ac:dyDescent="0.25">
      <c r="C26" s="227" t="str">
        <f t="shared" si="8"/>
        <v>Oct 6-Oct 12</v>
      </c>
      <c r="D26" s="96"/>
      <c r="E26" s="96"/>
      <c r="F26" s="63">
        <f t="shared" ref="F26:AA26" si="19">SUM(F72:F76)</f>
        <v>0</v>
      </c>
      <c r="G26" s="111">
        <f t="shared" si="19"/>
        <v>0</v>
      </c>
      <c r="H26" s="94">
        <f t="shared" si="19"/>
        <v>0</v>
      </c>
      <c r="I26" s="94">
        <f t="shared" si="19"/>
        <v>0</v>
      </c>
      <c r="J26" s="94">
        <f t="shared" si="19"/>
        <v>0</v>
      </c>
      <c r="K26" s="94">
        <f t="shared" si="19"/>
        <v>0</v>
      </c>
      <c r="L26" s="94">
        <f t="shared" si="19"/>
        <v>0</v>
      </c>
      <c r="M26" s="94">
        <f t="shared" si="19"/>
        <v>0</v>
      </c>
      <c r="N26" s="94">
        <f t="shared" si="19"/>
        <v>0</v>
      </c>
      <c r="O26" s="94">
        <f t="shared" si="19"/>
        <v>0</v>
      </c>
      <c r="P26" s="94">
        <f t="shared" si="19"/>
        <v>0</v>
      </c>
      <c r="Q26" s="94">
        <f t="shared" si="19"/>
        <v>0</v>
      </c>
      <c r="R26" s="94">
        <f t="shared" si="19"/>
        <v>0</v>
      </c>
      <c r="S26" s="94">
        <f t="shared" si="19"/>
        <v>0</v>
      </c>
      <c r="T26" s="94">
        <f t="shared" si="19"/>
        <v>0</v>
      </c>
      <c r="U26" s="94">
        <f t="shared" si="19"/>
        <v>0</v>
      </c>
      <c r="V26" s="94">
        <f t="shared" si="19"/>
        <v>0</v>
      </c>
      <c r="W26" s="94">
        <f t="shared" si="19"/>
        <v>0</v>
      </c>
      <c r="X26" s="94">
        <f t="shared" si="19"/>
        <v>0</v>
      </c>
      <c r="Y26" s="94">
        <f t="shared" si="19"/>
        <v>0</v>
      </c>
      <c r="Z26" s="94">
        <f t="shared" si="19"/>
        <v>0</v>
      </c>
      <c r="AA26" s="103">
        <f t="shared" si="19"/>
        <v>0</v>
      </c>
      <c r="AB26" s="215" t="e">
        <f t="shared" si="10"/>
        <v>#DIV/0!</v>
      </c>
      <c r="AC26" s="183" t="e">
        <f>AK72+AK75</f>
        <v>#DIV/0!</v>
      </c>
      <c r="AD26" s="94" t="e">
        <f>AJ72+AJ75</f>
        <v>#DIV/0!</v>
      </c>
      <c r="AE26" s="166" t="e">
        <f t="shared" si="11"/>
        <v>#DIV/0!</v>
      </c>
      <c r="AG26" s="155" t="e">
        <f t="shared" ref="AG26:AZ26" si="20">BG72+BG75</f>
        <v>#DIV/0!</v>
      </c>
      <c r="AH26" s="94" t="e">
        <f t="shared" si="20"/>
        <v>#DIV/0!</v>
      </c>
      <c r="AI26" s="94" t="e">
        <f t="shared" si="20"/>
        <v>#DIV/0!</v>
      </c>
      <c r="AJ26" s="94" t="e">
        <f t="shared" si="20"/>
        <v>#DIV/0!</v>
      </c>
      <c r="AK26" s="94" t="e">
        <f t="shared" si="20"/>
        <v>#DIV/0!</v>
      </c>
      <c r="AL26" s="94" t="e">
        <f t="shared" si="20"/>
        <v>#DIV/0!</v>
      </c>
      <c r="AM26" s="94" t="e">
        <f t="shared" si="20"/>
        <v>#DIV/0!</v>
      </c>
      <c r="AN26" s="94" t="e">
        <f t="shared" si="20"/>
        <v>#DIV/0!</v>
      </c>
      <c r="AO26" s="94" t="e">
        <f t="shared" si="20"/>
        <v>#DIV/0!</v>
      </c>
      <c r="AP26" s="94" t="e">
        <f t="shared" si="20"/>
        <v>#DIV/0!</v>
      </c>
      <c r="AQ26" s="94" t="e">
        <f t="shared" si="20"/>
        <v>#DIV/0!</v>
      </c>
      <c r="AR26" s="94" t="e">
        <f t="shared" si="20"/>
        <v>#DIV/0!</v>
      </c>
      <c r="AS26" s="94" t="e">
        <f t="shared" si="20"/>
        <v>#DIV/0!</v>
      </c>
      <c r="AT26" s="94" t="e">
        <f t="shared" si="20"/>
        <v>#DIV/0!</v>
      </c>
      <c r="AU26" s="94" t="e">
        <f t="shared" si="20"/>
        <v>#DIV/0!</v>
      </c>
      <c r="AV26" s="94" t="e">
        <f t="shared" si="20"/>
        <v>#DIV/0!</v>
      </c>
      <c r="AW26" s="94" t="e">
        <f t="shared" si="20"/>
        <v>#DIV/0!</v>
      </c>
      <c r="AX26" s="94" t="e">
        <f t="shared" si="20"/>
        <v>#DIV/0!</v>
      </c>
      <c r="AY26" s="94" t="e">
        <f t="shared" si="20"/>
        <v>#DIV/0!</v>
      </c>
      <c r="AZ26" s="103" t="e">
        <f t="shared" si="20"/>
        <v>#DIV/0!</v>
      </c>
    </row>
    <row r="27" spans="3:79" x14ac:dyDescent="0.25">
      <c r="C27" s="227" t="str">
        <f t="shared" si="8"/>
        <v>Oct 13-19</v>
      </c>
      <c r="D27" s="96"/>
      <c r="E27" s="96"/>
      <c r="F27" s="63">
        <f t="shared" ref="F27:AA27" si="21">SUM(F77:F81)</f>
        <v>0</v>
      </c>
      <c r="G27" s="111">
        <f t="shared" si="21"/>
        <v>0</v>
      </c>
      <c r="H27" s="94">
        <f t="shared" si="21"/>
        <v>0</v>
      </c>
      <c r="I27" s="94">
        <f t="shared" si="21"/>
        <v>0</v>
      </c>
      <c r="J27" s="94">
        <f t="shared" si="21"/>
        <v>0</v>
      </c>
      <c r="K27" s="94">
        <f t="shared" si="21"/>
        <v>0</v>
      </c>
      <c r="L27" s="94">
        <f t="shared" si="21"/>
        <v>0</v>
      </c>
      <c r="M27" s="94">
        <f t="shared" si="21"/>
        <v>0</v>
      </c>
      <c r="N27" s="94">
        <f t="shared" si="21"/>
        <v>0</v>
      </c>
      <c r="O27" s="94">
        <f t="shared" si="21"/>
        <v>0</v>
      </c>
      <c r="P27" s="94">
        <f t="shared" si="21"/>
        <v>0</v>
      </c>
      <c r="Q27" s="94">
        <f t="shared" si="21"/>
        <v>0</v>
      </c>
      <c r="R27" s="94">
        <f t="shared" si="21"/>
        <v>0</v>
      </c>
      <c r="S27" s="94">
        <f t="shared" si="21"/>
        <v>0</v>
      </c>
      <c r="T27" s="94">
        <f t="shared" si="21"/>
        <v>0</v>
      </c>
      <c r="U27" s="94">
        <f t="shared" si="21"/>
        <v>0</v>
      </c>
      <c r="V27" s="94">
        <f t="shared" si="21"/>
        <v>0</v>
      </c>
      <c r="W27" s="94">
        <f t="shared" si="21"/>
        <v>0</v>
      </c>
      <c r="X27" s="94">
        <f t="shared" si="21"/>
        <v>0</v>
      </c>
      <c r="Y27" s="94">
        <f t="shared" si="21"/>
        <v>0</v>
      </c>
      <c r="Z27" s="94">
        <f t="shared" si="21"/>
        <v>0</v>
      </c>
      <c r="AA27" s="103">
        <f t="shared" si="21"/>
        <v>0</v>
      </c>
      <c r="AB27" s="215" t="e">
        <f t="shared" si="10"/>
        <v>#DIV/0!</v>
      </c>
      <c r="AC27" s="183" t="e">
        <f>AK77+AK80</f>
        <v>#DIV/0!</v>
      </c>
      <c r="AD27" s="94" t="e">
        <f>AJ77+AJ80</f>
        <v>#DIV/0!</v>
      </c>
      <c r="AE27" s="166" t="e">
        <f t="shared" si="11"/>
        <v>#DIV/0!</v>
      </c>
      <c r="AG27" s="155" t="e">
        <f t="shared" ref="AG27:AZ27" si="22">BG77+BG80</f>
        <v>#DIV/0!</v>
      </c>
      <c r="AH27" s="94" t="e">
        <f t="shared" si="22"/>
        <v>#DIV/0!</v>
      </c>
      <c r="AI27" s="94" t="e">
        <f t="shared" si="22"/>
        <v>#DIV/0!</v>
      </c>
      <c r="AJ27" s="94" t="e">
        <f t="shared" si="22"/>
        <v>#DIV/0!</v>
      </c>
      <c r="AK27" s="94" t="e">
        <f t="shared" si="22"/>
        <v>#DIV/0!</v>
      </c>
      <c r="AL27" s="94" t="e">
        <f t="shared" si="22"/>
        <v>#DIV/0!</v>
      </c>
      <c r="AM27" s="94" t="e">
        <f t="shared" si="22"/>
        <v>#DIV/0!</v>
      </c>
      <c r="AN27" s="94" t="e">
        <f t="shared" si="22"/>
        <v>#DIV/0!</v>
      </c>
      <c r="AO27" s="94" t="e">
        <f t="shared" si="22"/>
        <v>#DIV/0!</v>
      </c>
      <c r="AP27" s="94" t="e">
        <f t="shared" si="22"/>
        <v>#DIV/0!</v>
      </c>
      <c r="AQ27" s="94" t="e">
        <f t="shared" si="22"/>
        <v>#DIV/0!</v>
      </c>
      <c r="AR27" s="94" t="e">
        <f t="shared" si="22"/>
        <v>#DIV/0!</v>
      </c>
      <c r="AS27" s="94" t="e">
        <f t="shared" si="22"/>
        <v>#DIV/0!</v>
      </c>
      <c r="AT27" s="94" t="e">
        <f t="shared" si="22"/>
        <v>#DIV/0!</v>
      </c>
      <c r="AU27" s="94" t="e">
        <f t="shared" si="22"/>
        <v>#DIV/0!</v>
      </c>
      <c r="AV27" s="94" t="e">
        <f t="shared" si="22"/>
        <v>#DIV/0!</v>
      </c>
      <c r="AW27" s="94" t="e">
        <f t="shared" si="22"/>
        <v>#DIV/0!</v>
      </c>
      <c r="AX27" s="94" t="e">
        <f t="shared" si="22"/>
        <v>#DIV/0!</v>
      </c>
      <c r="AY27" s="94" t="e">
        <f t="shared" si="22"/>
        <v>#DIV/0!</v>
      </c>
      <c r="AZ27" s="103" t="e">
        <f t="shared" si="22"/>
        <v>#DIV/0!</v>
      </c>
    </row>
    <row r="28" spans="3:79" x14ac:dyDescent="0.25">
      <c r="C28" s="227" t="str">
        <f t="shared" si="8"/>
        <v>Oct 20-26</v>
      </c>
      <c r="D28" s="179"/>
      <c r="E28" s="179"/>
      <c r="F28" s="63">
        <f t="shared" ref="F28:AA28" si="23">SUM(F82:F86)</f>
        <v>0</v>
      </c>
      <c r="G28" s="111">
        <f t="shared" si="23"/>
        <v>0</v>
      </c>
      <c r="H28" s="94">
        <f t="shared" si="23"/>
        <v>0</v>
      </c>
      <c r="I28" s="94">
        <f t="shared" si="23"/>
        <v>0</v>
      </c>
      <c r="J28" s="94">
        <f t="shared" si="23"/>
        <v>0</v>
      </c>
      <c r="K28" s="94">
        <f t="shared" si="23"/>
        <v>0</v>
      </c>
      <c r="L28" s="94">
        <f t="shared" si="23"/>
        <v>0</v>
      </c>
      <c r="M28" s="94">
        <f t="shared" si="23"/>
        <v>0</v>
      </c>
      <c r="N28" s="94">
        <f t="shared" si="23"/>
        <v>0</v>
      </c>
      <c r="O28" s="94">
        <f t="shared" si="23"/>
        <v>0</v>
      </c>
      <c r="P28" s="94">
        <f t="shared" si="23"/>
        <v>0</v>
      </c>
      <c r="Q28" s="94">
        <f t="shared" si="23"/>
        <v>0</v>
      </c>
      <c r="R28" s="94">
        <f t="shared" si="23"/>
        <v>0</v>
      </c>
      <c r="S28" s="94">
        <f t="shared" si="23"/>
        <v>0</v>
      </c>
      <c r="T28" s="94">
        <f t="shared" si="23"/>
        <v>0</v>
      </c>
      <c r="U28" s="94">
        <f t="shared" si="23"/>
        <v>0</v>
      </c>
      <c r="V28" s="94">
        <f t="shared" si="23"/>
        <v>0</v>
      </c>
      <c r="W28" s="94">
        <f t="shared" si="23"/>
        <v>0</v>
      </c>
      <c r="X28" s="94">
        <f t="shared" si="23"/>
        <v>0</v>
      </c>
      <c r="Y28" s="94">
        <f t="shared" si="23"/>
        <v>0</v>
      </c>
      <c r="Z28" s="94">
        <f t="shared" si="23"/>
        <v>0</v>
      </c>
      <c r="AA28" s="103">
        <f t="shared" si="23"/>
        <v>0</v>
      </c>
      <c r="AB28" s="215" t="e">
        <f t="shared" si="10"/>
        <v>#DIV/0!</v>
      </c>
      <c r="AC28" s="183" t="e">
        <f>AK82+AK85</f>
        <v>#DIV/0!</v>
      </c>
      <c r="AD28" s="94" t="e">
        <f>AJ82+AJ85</f>
        <v>#DIV/0!</v>
      </c>
      <c r="AE28" s="166" t="e">
        <f t="shared" si="11"/>
        <v>#DIV/0!</v>
      </c>
      <c r="AG28" s="155" t="e">
        <f t="shared" ref="AG28:AZ28" si="24">BG82+BG85</f>
        <v>#DIV/0!</v>
      </c>
      <c r="AH28" s="94" t="e">
        <f t="shared" si="24"/>
        <v>#DIV/0!</v>
      </c>
      <c r="AI28" s="94" t="e">
        <f t="shared" si="24"/>
        <v>#DIV/0!</v>
      </c>
      <c r="AJ28" s="94" t="e">
        <f t="shared" si="24"/>
        <v>#DIV/0!</v>
      </c>
      <c r="AK28" s="94" t="e">
        <f t="shared" si="24"/>
        <v>#DIV/0!</v>
      </c>
      <c r="AL28" s="94" t="e">
        <f t="shared" si="24"/>
        <v>#DIV/0!</v>
      </c>
      <c r="AM28" s="94" t="e">
        <f t="shared" si="24"/>
        <v>#DIV/0!</v>
      </c>
      <c r="AN28" s="94" t="e">
        <f t="shared" si="24"/>
        <v>#DIV/0!</v>
      </c>
      <c r="AO28" s="94" t="e">
        <f t="shared" si="24"/>
        <v>#DIV/0!</v>
      </c>
      <c r="AP28" s="94" t="e">
        <f t="shared" si="24"/>
        <v>#DIV/0!</v>
      </c>
      <c r="AQ28" s="94" t="e">
        <f t="shared" si="24"/>
        <v>#DIV/0!</v>
      </c>
      <c r="AR28" s="94" t="e">
        <f t="shared" si="24"/>
        <v>#DIV/0!</v>
      </c>
      <c r="AS28" s="94" t="e">
        <f t="shared" si="24"/>
        <v>#DIV/0!</v>
      </c>
      <c r="AT28" s="94" t="e">
        <f t="shared" si="24"/>
        <v>#DIV/0!</v>
      </c>
      <c r="AU28" s="94" t="e">
        <f t="shared" si="24"/>
        <v>#DIV/0!</v>
      </c>
      <c r="AV28" s="94" t="e">
        <f t="shared" si="24"/>
        <v>#DIV/0!</v>
      </c>
      <c r="AW28" s="94" t="e">
        <f t="shared" si="24"/>
        <v>#DIV/0!</v>
      </c>
      <c r="AX28" s="94" t="e">
        <f t="shared" si="24"/>
        <v>#DIV/0!</v>
      </c>
      <c r="AY28" s="94" t="e">
        <f t="shared" si="24"/>
        <v>#DIV/0!</v>
      </c>
      <c r="AZ28" s="103" t="e">
        <f t="shared" si="24"/>
        <v>#DIV/0!</v>
      </c>
    </row>
    <row r="29" spans="3:79" x14ac:dyDescent="0.25">
      <c r="C29" s="227" t="str">
        <f t="shared" si="8"/>
        <v>Oct 27-Nov 2</v>
      </c>
      <c r="D29" s="179"/>
      <c r="E29" s="179"/>
      <c r="F29" s="63">
        <f>SUM(F87:F91)</f>
        <v>0</v>
      </c>
      <c r="G29" s="63">
        <f t="shared" ref="G29:AA29" si="25">SUM(G87:G91)</f>
        <v>0</v>
      </c>
      <c r="H29" s="63">
        <f t="shared" si="25"/>
        <v>0</v>
      </c>
      <c r="I29" s="63">
        <f t="shared" si="25"/>
        <v>0</v>
      </c>
      <c r="J29" s="63">
        <f t="shared" si="25"/>
        <v>0</v>
      </c>
      <c r="K29" s="63">
        <f t="shared" si="25"/>
        <v>0</v>
      </c>
      <c r="L29" s="63">
        <f t="shared" si="25"/>
        <v>0</v>
      </c>
      <c r="M29" s="63">
        <f t="shared" si="25"/>
        <v>0</v>
      </c>
      <c r="N29" s="63">
        <f t="shared" si="25"/>
        <v>0</v>
      </c>
      <c r="O29" s="63">
        <f t="shared" si="25"/>
        <v>0</v>
      </c>
      <c r="P29" s="63">
        <f t="shared" si="25"/>
        <v>0</v>
      </c>
      <c r="Q29" s="63">
        <f t="shared" si="25"/>
        <v>0</v>
      </c>
      <c r="R29" s="63">
        <f t="shared" si="25"/>
        <v>0</v>
      </c>
      <c r="S29" s="63">
        <f t="shared" si="25"/>
        <v>0</v>
      </c>
      <c r="T29" s="63">
        <f t="shared" si="25"/>
        <v>0</v>
      </c>
      <c r="U29" s="63">
        <f t="shared" si="25"/>
        <v>0</v>
      </c>
      <c r="V29" s="63">
        <f t="shared" si="25"/>
        <v>0</v>
      </c>
      <c r="W29" s="63">
        <f t="shared" si="25"/>
        <v>0</v>
      </c>
      <c r="X29" s="63">
        <f t="shared" si="25"/>
        <v>0</v>
      </c>
      <c r="Y29" s="63">
        <f t="shared" si="25"/>
        <v>0</v>
      </c>
      <c r="Z29" s="63">
        <f t="shared" si="25"/>
        <v>0</v>
      </c>
      <c r="AA29" s="63">
        <f t="shared" si="25"/>
        <v>0</v>
      </c>
      <c r="AB29" s="215" t="e">
        <f t="shared" si="10"/>
        <v>#DIV/0!</v>
      </c>
      <c r="AC29" s="294" t="e">
        <f>AK87+AK90</f>
        <v>#DIV/0!</v>
      </c>
      <c r="AD29" s="293" t="e">
        <f>AJ87+AJ90</f>
        <v>#DIV/0!</v>
      </c>
      <c r="AE29" s="166" t="e">
        <f t="shared" si="11"/>
        <v>#DIV/0!</v>
      </c>
      <c r="AG29" s="155" t="e">
        <f>BG87+BG90</f>
        <v>#DIV/0!</v>
      </c>
      <c r="AH29" s="94" t="e">
        <f t="shared" ref="AH29:AZ29" si="26">BH87+BH90</f>
        <v>#DIV/0!</v>
      </c>
      <c r="AI29" s="94" t="e">
        <f t="shared" si="26"/>
        <v>#DIV/0!</v>
      </c>
      <c r="AJ29" s="94" t="e">
        <f t="shared" si="26"/>
        <v>#DIV/0!</v>
      </c>
      <c r="AK29" s="94" t="e">
        <f t="shared" si="26"/>
        <v>#DIV/0!</v>
      </c>
      <c r="AL29" s="94" t="e">
        <f t="shared" si="26"/>
        <v>#DIV/0!</v>
      </c>
      <c r="AM29" s="94" t="e">
        <f t="shared" si="26"/>
        <v>#DIV/0!</v>
      </c>
      <c r="AN29" s="94" t="e">
        <f t="shared" si="26"/>
        <v>#DIV/0!</v>
      </c>
      <c r="AO29" s="94" t="e">
        <f t="shared" si="26"/>
        <v>#DIV/0!</v>
      </c>
      <c r="AP29" s="94" t="e">
        <f t="shared" si="26"/>
        <v>#DIV/0!</v>
      </c>
      <c r="AQ29" s="94" t="e">
        <f t="shared" si="26"/>
        <v>#DIV/0!</v>
      </c>
      <c r="AR29" s="94" t="e">
        <f t="shared" si="26"/>
        <v>#DIV/0!</v>
      </c>
      <c r="AS29" s="94" t="e">
        <f t="shared" si="26"/>
        <v>#DIV/0!</v>
      </c>
      <c r="AT29" s="94" t="e">
        <f t="shared" si="26"/>
        <v>#DIV/0!</v>
      </c>
      <c r="AU29" s="94" t="e">
        <f t="shared" si="26"/>
        <v>#DIV/0!</v>
      </c>
      <c r="AV29" s="94" t="e">
        <f t="shared" si="26"/>
        <v>#DIV/0!</v>
      </c>
      <c r="AW29" s="94" t="e">
        <f t="shared" si="26"/>
        <v>#DIV/0!</v>
      </c>
      <c r="AX29" s="94" t="e">
        <f t="shared" si="26"/>
        <v>#DIV/0!</v>
      </c>
      <c r="AY29" s="94" t="e">
        <f t="shared" si="26"/>
        <v>#DIV/0!</v>
      </c>
      <c r="AZ29" s="103" t="e">
        <f t="shared" si="26"/>
        <v>#DIV/0!</v>
      </c>
    </row>
    <row r="30" spans="3:79" x14ac:dyDescent="0.25">
      <c r="C30" s="227" t="str">
        <f t="shared" si="8"/>
        <v>Nov 3-9</v>
      </c>
      <c r="D30" s="179"/>
      <c r="E30" s="179"/>
      <c r="F30" s="63">
        <f>SUM(F92:F96)</f>
        <v>0</v>
      </c>
      <c r="G30" s="63">
        <f t="shared" ref="G30:AA30" si="27">SUM(G92:G96)</f>
        <v>0</v>
      </c>
      <c r="H30" s="63">
        <f t="shared" si="27"/>
        <v>0</v>
      </c>
      <c r="I30" s="63">
        <f t="shared" si="27"/>
        <v>0</v>
      </c>
      <c r="J30" s="63">
        <f t="shared" si="27"/>
        <v>0</v>
      </c>
      <c r="K30" s="63">
        <f t="shared" si="27"/>
        <v>0</v>
      </c>
      <c r="L30" s="63">
        <f t="shared" si="27"/>
        <v>0</v>
      </c>
      <c r="M30" s="63">
        <f t="shared" si="27"/>
        <v>0</v>
      </c>
      <c r="N30" s="63">
        <f t="shared" si="27"/>
        <v>0</v>
      </c>
      <c r="O30" s="63">
        <f t="shared" si="27"/>
        <v>0</v>
      </c>
      <c r="P30" s="63">
        <f t="shared" si="27"/>
        <v>0</v>
      </c>
      <c r="Q30" s="63">
        <f t="shared" si="27"/>
        <v>0</v>
      </c>
      <c r="R30" s="63">
        <f t="shared" si="27"/>
        <v>0</v>
      </c>
      <c r="S30" s="63">
        <f t="shared" si="27"/>
        <v>0</v>
      </c>
      <c r="T30" s="63">
        <f t="shared" si="27"/>
        <v>0</v>
      </c>
      <c r="U30" s="63">
        <f t="shared" si="27"/>
        <v>0</v>
      </c>
      <c r="V30" s="63">
        <f t="shared" si="27"/>
        <v>0</v>
      </c>
      <c r="W30" s="63">
        <f t="shared" si="27"/>
        <v>0</v>
      </c>
      <c r="X30" s="63">
        <f t="shared" si="27"/>
        <v>0</v>
      </c>
      <c r="Y30" s="63">
        <f t="shared" si="27"/>
        <v>0</v>
      </c>
      <c r="Z30" s="63">
        <f t="shared" si="27"/>
        <v>0</v>
      </c>
      <c r="AA30" s="63">
        <f t="shared" si="27"/>
        <v>0</v>
      </c>
      <c r="AB30" s="215" t="e">
        <f t="shared" si="10"/>
        <v>#DIV/0!</v>
      </c>
      <c r="AC30" s="294" t="e">
        <f>AK92+AK95</f>
        <v>#DIV/0!</v>
      </c>
      <c r="AD30" s="293" t="e">
        <f>AL92+AL95</f>
        <v>#DIV/0!</v>
      </c>
      <c r="AE30" s="166" t="e">
        <f t="shared" si="11"/>
        <v>#DIV/0!</v>
      </c>
      <c r="AG30" s="155" t="e">
        <f>BG92+BG95</f>
        <v>#DIV/0!</v>
      </c>
      <c r="AH30" s="94" t="e">
        <f t="shared" ref="AH30:AZ30" si="28">BH92+BH95</f>
        <v>#DIV/0!</v>
      </c>
      <c r="AI30" s="94" t="e">
        <f t="shared" si="28"/>
        <v>#DIV/0!</v>
      </c>
      <c r="AJ30" s="94" t="e">
        <f t="shared" si="28"/>
        <v>#DIV/0!</v>
      </c>
      <c r="AK30" s="94" t="e">
        <f t="shared" si="28"/>
        <v>#DIV/0!</v>
      </c>
      <c r="AL30" s="94" t="e">
        <f t="shared" si="28"/>
        <v>#DIV/0!</v>
      </c>
      <c r="AM30" s="94" t="e">
        <f t="shared" si="28"/>
        <v>#DIV/0!</v>
      </c>
      <c r="AN30" s="94" t="e">
        <f t="shared" si="28"/>
        <v>#DIV/0!</v>
      </c>
      <c r="AO30" s="94" t="e">
        <f t="shared" si="28"/>
        <v>#DIV/0!</v>
      </c>
      <c r="AP30" s="94" t="e">
        <f t="shared" si="28"/>
        <v>#DIV/0!</v>
      </c>
      <c r="AQ30" s="94" t="e">
        <f t="shared" si="28"/>
        <v>#DIV/0!</v>
      </c>
      <c r="AR30" s="94" t="e">
        <f t="shared" si="28"/>
        <v>#DIV/0!</v>
      </c>
      <c r="AS30" s="94" t="e">
        <f t="shared" si="28"/>
        <v>#DIV/0!</v>
      </c>
      <c r="AT30" s="94" t="e">
        <f t="shared" si="28"/>
        <v>#DIV/0!</v>
      </c>
      <c r="AU30" s="94" t="e">
        <f t="shared" si="28"/>
        <v>#DIV/0!</v>
      </c>
      <c r="AV30" s="94" t="e">
        <f t="shared" si="28"/>
        <v>#DIV/0!</v>
      </c>
      <c r="AW30" s="94" t="e">
        <f t="shared" si="28"/>
        <v>#DIV/0!</v>
      </c>
      <c r="AX30" s="94" t="e">
        <f t="shared" si="28"/>
        <v>#DIV/0!</v>
      </c>
      <c r="AY30" s="94" t="e">
        <f t="shared" si="28"/>
        <v>#DIV/0!</v>
      </c>
      <c r="AZ30" s="103" t="e">
        <f t="shared" si="28"/>
        <v>#DIV/0!</v>
      </c>
    </row>
    <row r="31" spans="3:79" ht="16.5" thickBot="1" x14ac:dyDescent="0.3">
      <c r="C31" s="114" t="str">
        <f t="shared" si="8"/>
        <v>Nov 10-16</v>
      </c>
      <c r="D31" s="115"/>
      <c r="E31" s="115"/>
      <c r="F31" s="137"/>
      <c r="G31" s="134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104"/>
      <c r="AB31" s="215"/>
      <c r="AC31" s="184"/>
      <c r="AD31" s="95"/>
      <c r="AE31" s="296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29">SUM(F22:F31)</f>
        <v>0</v>
      </c>
      <c r="G32" s="135">
        <f t="shared" si="29"/>
        <v>0</v>
      </c>
      <c r="H32" s="105">
        <f t="shared" si="29"/>
        <v>0</v>
      </c>
      <c r="I32" s="105">
        <f t="shared" si="29"/>
        <v>0</v>
      </c>
      <c r="J32" s="105">
        <f t="shared" si="29"/>
        <v>0</v>
      </c>
      <c r="K32" s="105">
        <f t="shared" si="29"/>
        <v>0</v>
      </c>
      <c r="L32" s="105">
        <f t="shared" si="29"/>
        <v>0</v>
      </c>
      <c r="M32" s="105">
        <f t="shared" si="29"/>
        <v>0</v>
      </c>
      <c r="N32" s="105">
        <f t="shared" si="29"/>
        <v>0</v>
      </c>
      <c r="O32" s="105">
        <f t="shared" si="29"/>
        <v>0</v>
      </c>
      <c r="P32" s="105">
        <f t="shared" si="29"/>
        <v>0</v>
      </c>
      <c r="Q32" s="105">
        <f t="shared" si="29"/>
        <v>0</v>
      </c>
      <c r="R32" s="105">
        <f t="shared" si="29"/>
        <v>0</v>
      </c>
      <c r="S32" s="105">
        <f t="shared" si="29"/>
        <v>0</v>
      </c>
      <c r="T32" s="105">
        <f t="shared" si="29"/>
        <v>0</v>
      </c>
      <c r="U32" s="105">
        <f t="shared" si="29"/>
        <v>0</v>
      </c>
      <c r="V32" s="105">
        <f t="shared" si="29"/>
        <v>0</v>
      </c>
      <c r="W32" s="105">
        <f t="shared" si="29"/>
        <v>0</v>
      </c>
      <c r="X32" s="105">
        <f t="shared" si="29"/>
        <v>0</v>
      </c>
      <c r="Y32" s="105">
        <f t="shared" si="29"/>
        <v>0</v>
      </c>
      <c r="Z32" s="105">
        <f t="shared" si="29"/>
        <v>0</v>
      </c>
      <c r="AA32" s="107">
        <f t="shared" si="29"/>
        <v>0</v>
      </c>
      <c r="AB32" s="215" t="e">
        <f>SUM(G32)/SUM(H32:M32)</f>
        <v>#DIV/0!</v>
      </c>
      <c r="AC32" s="185" t="e">
        <f t="shared" si="29"/>
        <v>#DIV/0!</v>
      </c>
      <c r="AD32" s="297" t="e">
        <f>SUM(AD22:AD31)</f>
        <v>#DIV/0!</v>
      </c>
      <c r="AE32" s="167" t="e">
        <f t="shared" si="11"/>
        <v>#DIV/0!</v>
      </c>
      <c r="AG32" s="157" t="e">
        <f t="shared" ref="AG32:AZ32" si="30">SUM(AG22:AG31)</f>
        <v>#DIV/0!</v>
      </c>
      <c r="AH32" s="105" t="e">
        <f t="shared" si="30"/>
        <v>#DIV/0!</v>
      </c>
      <c r="AI32" s="105" t="e">
        <f t="shared" si="30"/>
        <v>#DIV/0!</v>
      </c>
      <c r="AJ32" s="105" t="e">
        <f t="shared" si="30"/>
        <v>#DIV/0!</v>
      </c>
      <c r="AK32" s="105" t="e">
        <f t="shared" si="30"/>
        <v>#DIV/0!</v>
      </c>
      <c r="AL32" s="105" t="e">
        <f t="shared" si="30"/>
        <v>#DIV/0!</v>
      </c>
      <c r="AM32" s="105" t="e">
        <f t="shared" si="30"/>
        <v>#DIV/0!</v>
      </c>
      <c r="AN32" s="105" t="e">
        <f t="shared" si="30"/>
        <v>#DIV/0!</v>
      </c>
      <c r="AO32" s="105" t="e">
        <f t="shared" si="30"/>
        <v>#DIV/0!</v>
      </c>
      <c r="AP32" s="105" t="e">
        <f t="shared" si="30"/>
        <v>#DIV/0!</v>
      </c>
      <c r="AQ32" s="105" t="e">
        <f t="shared" si="30"/>
        <v>#DIV/0!</v>
      </c>
      <c r="AR32" s="105" t="e">
        <f t="shared" si="30"/>
        <v>#DIV/0!</v>
      </c>
      <c r="AS32" s="105" t="e">
        <f t="shared" si="30"/>
        <v>#DIV/0!</v>
      </c>
      <c r="AT32" s="105" t="e">
        <f t="shared" si="30"/>
        <v>#DIV/0!</v>
      </c>
      <c r="AU32" s="105" t="e">
        <f t="shared" si="30"/>
        <v>#DIV/0!</v>
      </c>
      <c r="AV32" s="105" t="e">
        <f t="shared" si="30"/>
        <v>#DIV/0!</v>
      </c>
      <c r="AW32" s="105" t="e">
        <f t="shared" si="30"/>
        <v>#DIV/0!</v>
      </c>
      <c r="AX32" s="105" t="e">
        <f t="shared" si="30"/>
        <v>#DIV/0!</v>
      </c>
      <c r="AY32" s="105" t="e">
        <f t="shared" si="30"/>
        <v>#DIV/0!</v>
      </c>
      <c r="AZ32" s="107" t="e">
        <f t="shared" si="30"/>
        <v>#DIV/0!</v>
      </c>
      <c r="CA32" s="13"/>
    </row>
    <row r="33" spans="3:78" x14ac:dyDescent="0.25">
      <c r="AB33" s="215"/>
      <c r="AI33" s="15"/>
      <c r="AJ33" s="15"/>
    </row>
    <row r="34" spans="3:78" ht="16.5" thickBot="1" x14ac:dyDescent="0.3">
      <c r="AB34" s="215"/>
      <c r="AI34" s="15"/>
      <c r="AJ34" s="15"/>
    </row>
    <row r="35" spans="3:78" ht="19.5" thickBot="1" x14ac:dyDescent="0.35">
      <c r="C35" s="229" t="s">
        <v>5223</v>
      </c>
      <c r="D35" s="231"/>
      <c r="E35" s="415" t="s">
        <v>596</v>
      </c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4"/>
      <c r="AB35" s="215"/>
      <c r="AC35" s="415" t="s">
        <v>5220</v>
      </c>
      <c r="AD35" s="413"/>
      <c r="AE35" s="414"/>
      <c r="AG35" s="415" t="s">
        <v>5224</v>
      </c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4"/>
    </row>
    <row r="36" spans="3:78" x14ac:dyDescent="0.25">
      <c r="C36" s="227" t="str">
        <f t="shared" ref="C36:C45" si="31">C8</f>
        <v>0</v>
      </c>
      <c r="D36" s="71"/>
      <c r="E36" s="63">
        <f t="shared" ref="E36:AA36" si="32">SUM(E104:E108)</f>
        <v>0</v>
      </c>
      <c r="F36" s="63">
        <f t="shared" si="32"/>
        <v>0</v>
      </c>
      <c r="G36" s="111">
        <f t="shared" si="32"/>
        <v>0</v>
      </c>
      <c r="H36" s="94">
        <f t="shared" si="32"/>
        <v>0</v>
      </c>
      <c r="I36" s="94">
        <f t="shared" si="32"/>
        <v>0</v>
      </c>
      <c r="J36" s="94">
        <f t="shared" si="32"/>
        <v>0</v>
      </c>
      <c r="K36" s="94">
        <f t="shared" si="32"/>
        <v>0</v>
      </c>
      <c r="L36" s="94">
        <f t="shared" si="32"/>
        <v>0</v>
      </c>
      <c r="M36" s="94">
        <f t="shared" si="32"/>
        <v>0</v>
      </c>
      <c r="N36" s="94">
        <f t="shared" si="32"/>
        <v>0</v>
      </c>
      <c r="O36" s="94">
        <f t="shared" si="32"/>
        <v>0</v>
      </c>
      <c r="P36" s="94">
        <f t="shared" si="32"/>
        <v>0</v>
      </c>
      <c r="Q36" s="94">
        <f t="shared" si="32"/>
        <v>0</v>
      </c>
      <c r="R36" s="94">
        <f t="shared" si="32"/>
        <v>0</v>
      </c>
      <c r="S36" s="94">
        <f t="shared" si="32"/>
        <v>0</v>
      </c>
      <c r="T36" s="94">
        <f t="shared" si="32"/>
        <v>0</v>
      </c>
      <c r="U36" s="94">
        <f t="shared" si="32"/>
        <v>0</v>
      </c>
      <c r="V36" s="94">
        <f t="shared" si="32"/>
        <v>0</v>
      </c>
      <c r="W36" s="94">
        <f t="shared" si="32"/>
        <v>0</v>
      </c>
      <c r="X36" s="94">
        <f t="shared" si="32"/>
        <v>0</v>
      </c>
      <c r="Y36" s="94">
        <f t="shared" si="32"/>
        <v>0</v>
      </c>
      <c r="Z36" s="94">
        <f t="shared" si="32"/>
        <v>0</v>
      </c>
      <c r="AA36" s="103">
        <f t="shared" si="32"/>
        <v>0</v>
      </c>
      <c r="AB36" s="215" t="e">
        <f t="shared" ref="AB36:AB44" si="33">SUM(G36)/SUM(H36:M36)</f>
        <v>#DIV/0!</v>
      </c>
      <c r="AC36" s="183">
        <f>AK104+AK107</f>
        <v>0</v>
      </c>
      <c r="AD36" s="94">
        <f>AJ104+AJ107</f>
        <v>0</v>
      </c>
      <c r="AE36" s="166" t="e">
        <f t="shared" ref="AE36:AE46" si="34">G36/AD36</f>
        <v>#DIV/0!</v>
      </c>
      <c r="AG36" s="155">
        <f t="shared" ref="AG36:AZ36" si="35">BG104+BG107</f>
        <v>0</v>
      </c>
      <c r="AH36" s="94">
        <f t="shared" si="35"/>
        <v>0</v>
      </c>
      <c r="AI36" s="94">
        <f t="shared" si="35"/>
        <v>0</v>
      </c>
      <c r="AJ36" s="94">
        <f t="shared" si="35"/>
        <v>0</v>
      </c>
      <c r="AK36" s="94">
        <f t="shared" si="35"/>
        <v>0</v>
      </c>
      <c r="AL36" s="94">
        <f t="shared" si="35"/>
        <v>0</v>
      </c>
      <c r="AM36" s="94">
        <f t="shared" si="35"/>
        <v>0</v>
      </c>
      <c r="AN36" s="94">
        <f t="shared" si="35"/>
        <v>0</v>
      </c>
      <c r="AO36" s="94">
        <f t="shared" si="35"/>
        <v>0</v>
      </c>
      <c r="AP36" s="94">
        <f t="shared" si="35"/>
        <v>0</v>
      </c>
      <c r="AQ36" s="94">
        <f t="shared" si="35"/>
        <v>0</v>
      </c>
      <c r="AR36" s="94">
        <f t="shared" si="35"/>
        <v>0</v>
      </c>
      <c r="AS36" s="94">
        <f t="shared" si="35"/>
        <v>0</v>
      </c>
      <c r="AT36" s="94">
        <f t="shared" si="35"/>
        <v>0</v>
      </c>
      <c r="AU36" s="94">
        <f t="shared" si="35"/>
        <v>0</v>
      </c>
      <c r="AV36" s="94">
        <f t="shared" si="35"/>
        <v>0</v>
      </c>
      <c r="AW36" s="94">
        <f t="shared" si="35"/>
        <v>0</v>
      </c>
      <c r="AX36" s="94">
        <f t="shared" si="35"/>
        <v>0</v>
      </c>
      <c r="AY36" s="94">
        <f t="shared" si="35"/>
        <v>0</v>
      </c>
      <c r="AZ36" s="103">
        <f t="shared" si="35"/>
        <v>0</v>
      </c>
    </row>
    <row r="37" spans="3:78" x14ac:dyDescent="0.25">
      <c r="C37" s="227" t="str">
        <f t="shared" si="31"/>
        <v>Sept 15-21</v>
      </c>
      <c r="D37" s="96"/>
      <c r="E37" s="63">
        <f t="shared" ref="E37:AA37" si="36">SUM(E109:E113)</f>
        <v>0</v>
      </c>
      <c r="F37" s="63">
        <f t="shared" si="36"/>
        <v>0</v>
      </c>
      <c r="G37" s="111">
        <f t="shared" si="36"/>
        <v>0</v>
      </c>
      <c r="H37" s="94">
        <f t="shared" si="36"/>
        <v>0</v>
      </c>
      <c r="I37" s="94">
        <f t="shared" si="36"/>
        <v>0</v>
      </c>
      <c r="J37" s="94">
        <f t="shared" si="36"/>
        <v>0</v>
      </c>
      <c r="K37" s="94">
        <f t="shared" si="36"/>
        <v>0</v>
      </c>
      <c r="L37" s="94">
        <f t="shared" si="36"/>
        <v>0</v>
      </c>
      <c r="M37" s="94">
        <f t="shared" si="36"/>
        <v>0</v>
      </c>
      <c r="N37" s="94">
        <f t="shared" si="36"/>
        <v>0</v>
      </c>
      <c r="O37" s="94">
        <f t="shared" si="36"/>
        <v>0</v>
      </c>
      <c r="P37" s="94">
        <f t="shared" si="36"/>
        <v>0</v>
      </c>
      <c r="Q37" s="94">
        <f t="shared" si="36"/>
        <v>0</v>
      </c>
      <c r="R37" s="94">
        <f t="shared" si="36"/>
        <v>0</v>
      </c>
      <c r="S37" s="94">
        <f t="shared" si="36"/>
        <v>0</v>
      </c>
      <c r="T37" s="94">
        <f t="shared" si="36"/>
        <v>0</v>
      </c>
      <c r="U37" s="94">
        <f t="shared" si="36"/>
        <v>0</v>
      </c>
      <c r="V37" s="94">
        <f t="shared" si="36"/>
        <v>0</v>
      </c>
      <c r="W37" s="94">
        <f t="shared" si="36"/>
        <v>0</v>
      </c>
      <c r="X37" s="94">
        <f t="shared" si="36"/>
        <v>0</v>
      </c>
      <c r="Y37" s="94">
        <f t="shared" si="36"/>
        <v>0</v>
      </c>
      <c r="Z37" s="94">
        <f t="shared" si="36"/>
        <v>0</v>
      </c>
      <c r="AA37" s="103">
        <f t="shared" si="36"/>
        <v>0</v>
      </c>
      <c r="AB37" s="215" t="e">
        <f t="shared" si="33"/>
        <v>#DIV/0!</v>
      </c>
      <c r="AC37" s="183" t="e">
        <f>AK109+AK112</f>
        <v>#DIV/0!</v>
      </c>
      <c r="AD37" s="94" t="e">
        <f>AJ109+AJ112</f>
        <v>#DIV/0!</v>
      </c>
      <c r="AE37" s="166" t="e">
        <f t="shared" si="34"/>
        <v>#DIV/0!</v>
      </c>
      <c r="AG37" s="155" t="e">
        <f t="shared" ref="AG37:AZ37" si="37">BG109+BG112</f>
        <v>#DIV/0!</v>
      </c>
      <c r="AH37" s="94" t="e">
        <f t="shared" si="37"/>
        <v>#DIV/0!</v>
      </c>
      <c r="AI37" s="94" t="e">
        <f t="shared" si="37"/>
        <v>#DIV/0!</v>
      </c>
      <c r="AJ37" s="94" t="e">
        <f t="shared" si="37"/>
        <v>#DIV/0!</v>
      </c>
      <c r="AK37" s="94" t="e">
        <f t="shared" si="37"/>
        <v>#DIV/0!</v>
      </c>
      <c r="AL37" s="94" t="e">
        <f t="shared" si="37"/>
        <v>#DIV/0!</v>
      </c>
      <c r="AM37" s="94" t="e">
        <f t="shared" si="37"/>
        <v>#DIV/0!</v>
      </c>
      <c r="AN37" s="94" t="e">
        <f t="shared" si="37"/>
        <v>#DIV/0!</v>
      </c>
      <c r="AO37" s="94" t="e">
        <f t="shared" si="37"/>
        <v>#DIV/0!</v>
      </c>
      <c r="AP37" s="94" t="e">
        <f t="shared" si="37"/>
        <v>#DIV/0!</v>
      </c>
      <c r="AQ37" s="94" t="e">
        <f t="shared" si="37"/>
        <v>#DIV/0!</v>
      </c>
      <c r="AR37" s="94" t="e">
        <f t="shared" si="37"/>
        <v>#DIV/0!</v>
      </c>
      <c r="AS37" s="94" t="e">
        <f t="shared" si="37"/>
        <v>#DIV/0!</v>
      </c>
      <c r="AT37" s="94" t="e">
        <f t="shared" si="37"/>
        <v>#DIV/0!</v>
      </c>
      <c r="AU37" s="94" t="e">
        <f t="shared" si="37"/>
        <v>#DIV/0!</v>
      </c>
      <c r="AV37" s="94" t="e">
        <f t="shared" si="37"/>
        <v>#DIV/0!</v>
      </c>
      <c r="AW37" s="94" t="e">
        <f t="shared" si="37"/>
        <v>#DIV/0!</v>
      </c>
      <c r="AX37" s="94" t="e">
        <f t="shared" si="37"/>
        <v>#DIV/0!</v>
      </c>
      <c r="AY37" s="94" t="e">
        <f t="shared" si="37"/>
        <v>#DIV/0!</v>
      </c>
      <c r="AZ37" s="103" t="e">
        <f t="shared" si="37"/>
        <v>#DIV/0!</v>
      </c>
    </row>
    <row r="38" spans="3:78" x14ac:dyDescent="0.25">
      <c r="C38" s="227" t="str">
        <f t="shared" si="31"/>
        <v>Sept 21-28</v>
      </c>
      <c r="D38" s="96"/>
      <c r="E38" s="63">
        <f t="shared" ref="E38:AA38" si="38">SUM(E114:E118)</f>
        <v>0</v>
      </c>
      <c r="F38" s="63">
        <f t="shared" si="38"/>
        <v>0</v>
      </c>
      <c r="G38" s="111">
        <f t="shared" si="38"/>
        <v>0</v>
      </c>
      <c r="H38" s="94">
        <f t="shared" si="38"/>
        <v>0</v>
      </c>
      <c r="I38" s="94">
        <f t="shared" si="38"/>
        <v>0</v>
      </c>
      <c r="J38" s="94">
        <f t="shared" si="38"/>
        <v>0</v>
      </c>
      <c r="K38" s="94">
        <f t="shared" si="38"/>
        <v>0</v>
      </c>
      <c r="L38" s="94">
        <f t="shared" si="38"/>
        <v>0</v>
      </c>
      <c r="M38" s="94">
        <f t="shared" si="38"/>
        <v>0</v>
      </c>
      <c r="N38" s="94">
        <f t="shared" si="38"/>
        <v>0</v>
      </c>
      <c r="O38" s="94">
        <f t="shared" si="38"/>
        <v>0</v>
      </c>
      <c r="P38" s="94">
        <f t="shared" si="38"/>
        <v>0</v>
      </c>
      <c r="Q38" s="94">
        <f t="shared" si="38"/>
        <v>0</v>
      </c>
      <c r="R38" s="94">
        <f t="shared" si="38"/>
        <v>0</v>
      </c>
      <c r="S38" s="94">
        <f t="shared" si="38"/>
        <v>0</v>
      </c>
      <c r="T38" s="94">
        <f t="shared" si="38"/>
        <v>0</v>
      </c>
      <c r="U38" s="94">
        <f t="shared" si="38"/>
        <v>0</v>
      </c>
      <c r="V38" s="94">
        <f t="shared" si="38"/>
        <v>0</v>
      </c>
      <c r="W38" s="94">
        <f t="shared" si="38"/>
        <v>0</v>
      </c>
      <c r="X38" s="94">
        <f t="shared" si="38"/>
        <v>0</v>
      </c>
      <c r="Y38" s="94">
        <f t="shared" si="38"/>
        <v>0</v>
      </c>
      <c r="Z38" s="94">
        <f t="shared" si="38"/>
        <v>0</v>
      </c>
      <c r="AA38" s="103">
        <f t="shared" si="38"/>
        <v>0</v>
      </c>
      <c r="AB38" s="215" t="e">
        <f t="shared" si="33"/>
        <v>#DIV/0!</v>
      </c>
      <c r="AC38" s="183" t="e">
        <f>AK114+AK117</f>
        <v>#DIV/0!</v>
      </c>
      <c r="AD38" s="94" t="e">
        <f>AJ114+AJ117</f>
        <v>#DIV/0!</v>
      </c>
      <c r="AE38" s="166" t="e">
        <f t="shared" si="34"/>
        <v>#DIV/0!</v>
      </c>
      <c r="AG38" s="155" t="e">
        <f t="shared" ref="AG38:AZ38" si="39">BG114+BG117</f>
        <v>#DIV/0!</v>
      </c>
      <c r="AH38" s="94" t="e">
        <f t="shared" si="39"/>
        <v>#DIV/0!</v>
      </c>
      <c r="AI38" s="94" t="e">
        <f t="shared" si="39"/>
        <v>#DIV/0!</v>
      </c>
      <c r="AJ38" s="94" t="e">
        <f t="shared" si="39"/>
        <v>#DIV/0!</v>
      </c>
      <c r="AK38" s="94" t="e">
        <f t="shared" si="39"/>
        <v>#DIV/0!</v>
      </c>
      <c r="AL38" s="94" t="e">
        <f t="shared" si="39"/>
        <v>#DIV/0!</v>
      </c>
      <c r="AM38" s="94" t="e">
        <f t="shared" si="39"/>
        <v>#DIV/0!</v>
      </c>
      <c r="AN38" s="94" t="e">
        <f t="shared" si="39"/>
        <v>#DIV/0!</v>
      </c>
      <c r="AO38" s="94" t="e">
        <f t="shared" si="39"/>
        <v>#DIV/0!</v>
      </c>
      <c r="AP38" s="94" t="e">
        <f t="shared" si="39"/>
        <v>#DIV/0!</v>
      </c>
      <c r="AQ38" s="94" t="e">
        <f t="shared" si="39"/>
        <v>#DIV/0!</v>
      </c>
      <c r="AR38" s="94" t="e">
        <f t="shared" si="39"/>
        <v>#DIV/0!</v>
      </c>
      <c r="AS38" s="94" t="e">
        <f t="shared" si="39"/>
        <v>#DIV/0!</v>
      </c>
      <c r="AT38" s="94" t="e">
        <f t="shared" si="39"/>
        <v>#DIV/0!</v>
      </c>
      <c r="AU38" s="94" t="e">
        <f t="shared" si="39"/>
        <v>#DIV/0!</v>
      </c>
      <c r="AV38" s="94" t="e">
        <f t="shared" si="39"/>
        <v>#DIV/0!</v>
      </c>
      <c r="AW38" s="94" t="e">
        <f t="shared" si="39"/>
        <v>#DIV/0!</v>
      </c>
      <c r="AX38" s="94" t="e">
        <f t="shared" si="39"/>
        <v>#DIV/0!</v>
      </c>
      <c r="AY38" s="94" t="e">
        <f t="shared" si="39"/>
        <v>#DIV/0!</v>
      </c>
      <c r="AZ38" s="103" t="e">
        <f t="shared" si="39"/>
        <v>#DIV/0!</v>
      </c>
    </row>
    <row r="39" spans="3:78" x14ac:dyDescent="0.25">
      <c r="C39" s="227" t="str">
        <f t="shared" si="31"/>
        <v>Sept 29-Oct 5</v>
      </c>
      <c r="D39" s="96"/>
      <c r="E39" s="63">
        <f t="shared" ref="E39:AA39" si="40">SUM(E119:E123)</f>
        <v>0</v>
      </c>
      <c r="F39" s="63">
        <f t="shared" si="40"/>
        <v>0</v>
      </c>
      <c r="G39" s="111">
        <f t="shared" si="40"/>
        <v>0</v>
      </c>
      <c r="H39" s="94">
        <f t="shared" si="40"/>
        <v>0</v>
      </c>
      <c r="I39" s="94">
        <f t="shared" si="40"/>
        <v>0</v>
      </c>
      <c r="J39" s="94">
        <f t="shared" si="40"/>
        <v>0</v>
      </c>
      <c r="K39" s="94">
        <f t="shared" si="40"/>
        <v>0</v>
      </c>
      <c r="L39" s="94">
        <f t="shared" si="40"/>
        <v>0</v>
      </c>
      <c r="M39" s="94">
        <f t="shared" si="40"/>
        <v>0</v>
      </c>
      <c r="N39" s="94">
        <f t="shared" si="40"/>
        <v>0</v>
      </c>
      <c r="O39" s="94">
        <f t="shared" si="40"/>
        <v>0</v>
      </c>
      <c r="P39" s="94">
        <f t="shared" si="40"/>
        <v>0</v>
      </c>
      <c r="Q39" s="94">
        <f t="shared" si="40"/>
        <v>0</v>
      </c>
      <c r="R39" s="94">
        <f t="shared" si="40"/>
        <v>0</v>
      </c>
      <c r="S39" s="94">
        <f t="shared" si="40"/>
        <v>0</v>
      </c>
      <c r="T39" s="94">
        <f t="shared" si="40"/>
        <v>0</v>
      </c>
      <c r="U39" s="94">
        <f t="shared" si="40"/>
        <v>0</v>
      </c>
      <c r="V39" s="94">
        <f t="shared" si="40"/>
        <v>0</v>
      </c>
      <c r="W39" s="94">
        <f t="shared" si="40"/>
        <v>0</v>
      </c>
      <c r="X39" s="94">
        <f t="shared" si="40"/>
        <v>0</v>
      </c>
      <c r="Y39" s="94">
        <f t="shared" si="40"/>
        <v>0</v>
      </c>
      <c r="Z39" s="94">
        <f t="shared" si="40"/>
        <v>0</v>
      </c>
      <c r="AA39" s="103">
        <f t="shared" si="40"/>
        <v>0</v>
      </c>
      <c r="AB39" s="215" t="e">
        <f t="shared" si="33"/>
        <v>#DIV/0!</v>
      </c>
      <c r="AC39" s="183" t="e">
        <f>AK119+AK122</f>
        <v>#DIV/0!</v>
      </c>
      <c r="AD39" s="94" t="e">
        <f>AJ119+AJ122</f>
        <v>#DIV/0!</v>
      </c>
      <c r="AE39" s="166" t="e">
        <f t="shared" si="34"/>
        <v>#DIV/0!</v>
      </c>
      <c r="AG39" s="155" t="e">
        <f t="shared" ref="AG39:AZ39" si="41">BG119+BG122</f>
        <v>#DIV/0!</v>
      </c>
      <c r="AH39" s="94" t="e">
        <f t="shared" si="41"/>
        <v>#DIV/0!</v>
      </c>
      <c r="AI39" s="94" t="e">
        <f t="shared" si="41"/>
        <v>#DIV/0!</v>
      </c>
      <c r="AJ39" s="94" t="e">
        <f t="shared" si="41"/>
        <v>#DIV/0!</v>
      </c>
      <c r="AK39" s="94" t="e">
        <f t="shared" si="41"/>
        <v>#DIV/0!</v>
      </c>
      <c r="AL39" s="94" t="e">
        <f t="shared" si="41"/>
        <v>#DIV/0!</v>
      </c>
      <c r="AM39" s="94" t="e">
        <f t="shared" si="41"/>
        <v>#DIV/0!</v>
      </c>
      <c r="AN39" s="94" t="e">
        <f t="shared" si="41"/>
        <v>#DIV/0!</v>
      </c>
      <c r="AO39" s="94" t="e">
        <f t="shared" si="41"/>
        <v>#DIV/0!</v>
      </c>
      <c r="AP39" s="94" t="e">
        <f t="shared" si="41"/>
        <v>#DIV/0!</v>
      </c>
      <c r="AQ39" s="94" t="e">
        <f t="shared" si="41"/>
        <v>#DIV/0!</v>
      </c>
      <c r="AR39" s="94" t="e">
        <f t="shared" si="41"/>
        <v>#DIV/0!</v>
      </c>
      <c r="AS39" s="94" t="e">
        <f t="shared" si="41"/>
        <v>#DIV/0!</v>
      </c>
      <c r="AT39" s="94" t="e">
        <f t="shared" si="41"/>
        <v>#DIV/0!</v>
      </c>
      <c r="AU39" s="94" t="e">
        <f t="shared" si="41"/>
        <v>#DIV/0!</v>
      </c>
      <c r="AV39" s="94" t="e">
        <f t="shared" si="41"/>
        <v>#DIV/0!</v>
      </c>
      <c r="AW39" s="94" t="e">
        <f t="shared" si="41"/>
        <v>#DIV/0!</v>
      </c>
      <c r="AX39" s="94" t="e">
        <f t="shared" si="41"/>
        <v>#DIV/0!</v>
      </c>
      <c r="AY39" s="94" t="e">
        <f t="shared" si="41"/>
        <v>#DIV/0!</v>
      </c>
      <c r="AZ39" s="103" t="e">
        <f t="shared" si="41"/>
        <v>#DIV/0!</v>
      </c>
    </row>
    <row r="40" spans="3:78" x14ac:dyDescent="0.25">
      <c r="C40" s="227" t="str">
        <f t="shared" si="31"/>
        <v>Oct 6-Oct 12</v>
      </c>
      <c r="D40" s="96"/>
      <c r="E40" s="63">
        <f t="shared" ref="E40:AA40" si="42">SUM(E124:E128)</f>
        <v>0</v>
      </c>
      <c r="F40" s="63">
        <f t="shared" si="42"/>
        <v>0</v>
      </c>
      <c r="G40" s="111">
        <f t="shared" si="42"/>
        <v>0</v>
      </c>
      <c r="H40" s="94">
        <f t="shared" si="42"/>
        <v>0</v>
      </c>
      <c r="I40" s="94">
        <f t="shared" si="42"/>
        <v>0</v>
      </c>
      <c r="J40" s="94">
        <f t="shared" si="42"/>
        <v>0</v>
      </c>
      <c r="K40" s="94">
        <f t="shared" si="42"/>
        <v>0</v>
      </c>
      <c r="L40" s="94">
        <f t="shared" si="42"/>
        <v>0</v>
      </c>
      <c r="M40" s="94">
        <f t="shared" si="42"/>
        <v>0</v>
      </c>
      <c r="N40" s="94">
        <f t="shared" si="42"/>
        <v>0</v>
      </c>
      <c r="O40" s="94">
        <f t="shared" si="42"/>
        <v>0</v>
      </c>
      <c r="P40" s="94">
        <f t="shared" si="42"/>
        <v>0</v>
      </c>
      <c r="Q40" s="94">
        <f t="shared" si="42"/>
        <v>0</v>
      </c>
      <c r="R40" s="94">
        <f t="shared" si="42"/>
        <v>0</v>
      </c>
      <c r="S40" s="94">
        <f t="shared" si="42"/>
        <v>0</v>
      </c>
      <c r="T40" s="94">
        <f t="shared" si="42"/>
        <v>0</v>
      </c>
      <c r="U40" s="94">
        <f t="shared" si="42"/>
        <v>0</v>
      </c>
      <c r="V40" s="94">
        <f t="shared" si="42"/>
        <v>0</v>
      </c>
      <c r="W40" s="94">
        <f t="shared" si="42"/>
        <v>0</v>
      </c>
      <c r="X40" s="94">
        <f t="shared" si="42"/>
        <v>0</v>
      </c>
      <c r="Y40" s="94">
        <f t="shared" si="42"/>
        <v>0</v>
      </c>
      <c r="Z40" s="94">
        <f t="shared" si="42"/>
        <v>0</v>
      </c>
      <c r="AA40" s="103">
        <f t="shared" si="42"/>
        <v>0</v>
      </c>
      <c r="AB40" s="215" t="e">
        <f t="shared" si="33"/>
        <v>#DIV/0!</v>
      </c>
      <c r="AC40" s="183" t="e">
        <f>AK124+AK127</f>
        <v>#DIV/0!</v>
      </c>
      <c r="AD40" s="94" t="e">
        <f>AJ124+AJ127</f>
        <v>#DIV/0!</v>
      </c>
      <c r="AE40" s="166" t="e">
        <f t="shared" si="34"/>
        <v>#DIV/0!</v>
      </c>
      <c r="AG40" s="155" t="e">
        <f t="shared" ref="AG40:AZ40" si="43">BG124+BG127</f>
        <v>#DIV/0!</v>
      </c>
      <c r="AH40" s="94" t="e">
        <f t="shared" si="43"/>
        <v>#DIV/0!</v>
      </c>
      <c r="AI40" s="94" t="e">
        <f t="shared" si="43"/>
        <v>#DIV/0!</v>
      </c>
      <c r="AJ40" s="94" t="e">
        <f t="shared" si="43"/>
        <v>#DIV/0!</v>
      </c>
      <c r="AK40" s="94" t="e">
        <f t="shared" si="43"/>
        <v>#DIV/0!</v>
      </c>
      <c r="AL40" s="94" t="e">
        <f t="shared" si="43"/>
        <v>#DIV/0!</v>
      </c>
      <c r="AM40" s="94" t="e">
        <f t="shared" si="43"/>
        <v>#DIV/0!</v>
      </c>
      <c r="AN40" s="94" t="e">
        <f t="shared" si="43"/>
        <v>#DIV/0!</v>
      </c>
      <c r="AO40" s="94" t="e">
        <f t="shared" si="43"/>
        <v>#DIV/0!</v>
      </c>
      <c r="AP40" s="94" t="e">
        <f t="shared" si="43"/>
        <v>#DIV/0!</v>
      </c>
      <c r="AQ40" s="94" t="e">
        <f t="shared" si="43"/>
        <v>#DIV/0!</v>
      </c>
      <c r="AR40" s="94" t="e">
        <f t="shared" si="43"/>
        <v>#DIV/0!</v>
      </c>
      <c r="AS40" s="94" t="e">
        <f t="shared" si="43"/>
        <v>#DIV/0!</v>
      </c>
      <c r="AT40" s="94" t="e">
        <f t="shared" si="43"/>
        <v>#DIV/0!</v>
      </c>
      <c r="AU40" s="94" t="e">
        <f t="shared" si="43"/>
        <v>#DIV/0!</v>
      </c>
      <c r="AV40" s="94" t="e">
        <f t="shared" si="43"/>
        <v>#DIV/0!</v>
      </c>
      <c r="AW40" s="94" t="e">
        <f t="shared" si="43"/>
        <v>#DIV/0!</v>
      </c>
      <c r="AX40" s="94" t="e">
        <f t="shared" si="43"/>
        <v>#DIV/0!</v>
      </c>
      <c r="AY40" s="94" t="e">
        <f t="shared" si="43"/>
        <v>#DIV/0!</v>
      </c>
      <c r="AZ40" s="103" t="e">
        <f t="shared" si="43"/>
        <v>#DIV/0!</v>
      </c>
    </row>
    <row r="41" spans="3:78" x14ac:dyDescent="0.25">
      <c r="C41" s="227" t="str">
        <f t="shared" si="31"/>
        <v>Oct 13-19</v>
      </c>
      <c r="D41" s="96"/>
      <c r="E41" s="63">
        <f t="shared" ref="E41:AA41" si="44">SUM(E129:E133)</f>
        <v>0</v>
      </c>
      <c r="F41" s="63">
        <f t="shared" si="44"/>
        <v>0</v>
      </c>
      <c r="G41" s="111">
        <f t="shared" si="44"/>
        <v>0</v>
      </c>
      <c r="H41" s="94">
        <f t="shared" si="44"/>
        <v>0</v>
      </c>
      <c r="I41" s="94">
        <f t="shared" si="44"/>
        <v>0</v>
      </c>
      <c r="J41" s="94">
        <f t="shared" si="44"/>
        <v>0</v>
      </c>
      <c r="K41" s="94">
        <f t="shared" si="44"/>
        <v>0</v>
      </c>
      <c r="L41" s="94">
        <f t="shared" si="44"/>
        <v>0</v>
      </c>
      <c r="M41" s="94">
        <f t="shared" si="44"/>
        <v>0</v>
      </c>
      <c r="N41" s="94">
        <f t="shared" si="44"/>
        <v>0</v>
      </c>
      <c r="O41" s="94">
        <f t="shared" si="44"/>
        <v>0</v>
      </c>
      <c r="P41" s="94">
        <f t="shared" si="44"/>
        <v>0</v>
      </c>
      <c r="Q41" s="94">
        <f t="shared" si="44"/>
        <v>0</v>
      </c>
      <c r="R41" s="94">
        <f t="shared" si="44"/>
        <v>0</v>
      </c>
      <c r="S41" s="94">
        <f t="shared" si="44"/>
        <v>0</v>
      </c>
      <c r="T41" s="94">
        <f t="shared" si="44"/>
        <v>0</v>
      </c>
      <c r="U41" s="94">
        <f t="shared" si="44"/>
        <v>0</v>
      </c>
      <c r="V41" s="94">
        <f t="shared" si="44"/>
        <v>0</v>
      </c>
      <c r="W41" s="94">
        <f t="shared" si="44"/>
        <v>0</v>
      </c>
      <c r="X41" s="94">
        <f t="shared" si="44"/>
        <v>0</v>
      </c>
      <c r="Y41" s="94">
        <f t="shared" si="44"/>
        <v>0</v>
      </c>
      <c r="Z41" s="94">
        <f t="shared" si="44"/>
        <v>0</v>
      </c>
      <c r="AA41" s="103">
        <f t="shared" si="44"/>
        <v>0</v>
      </c>
      <c r="AB41" s="215" t="e">
        <f t="shared" si="33"/>
        <v>#DIV/0!</v>
      </c>
      <c r="AC41" s="183" t="e">
        <f>AK129+AK132</f>
        <v>#DIV/0!</v>
      </c>
      <c r="AD41" s="94" t="e">
        <f>AJ129+AJ132</f>
        <v>#DIV/0!</v>
      </c>
      <c r="AE41" s="166" t="e">
        <f t="shared" si="34"/>
        <v>#DIV/0!</v>
      </c>
      <c r="AG41" s="155" t="e">
        <f t="shared" ref="AG41:AZ41" si="45">BG129+BG132</f>
        <v>#DIV/0!</v>
      </c>
      <c r="AH41" s="94" t="e">
        <f t="shared" si="45"/>
        <v>#DIV/0!</v>
      </c>
      <c r="AI41" s="94" t="e">
        <f t="shared" si="45"/>
        <v>#DIV/0!</v>
      </c>
      <c r="AJ41" s="94" t="e">
        <f t="shared" si="45"/>
        <v>#DIV/0!</v>
      </c>
      <c r="AK41" s="94" t="e">
        <f t="shared" si="45"/>
        <v>#DIV/0!</v>
      </c>
      <c r="AL41" s="94" t="e">
        <f t="shared" si="45"/>
        <v>#DIV/0!</v>
      </c>
      <c r="AM41" s="94" t="e">
        <f t="shared" si="45"/>
        <v>#DIV/0!</v>
      </c>
      <c r="AN41" s="94" t="e">
        <f t="shared" si="45"/>
        <v>#DIV/0!</v>
      </c>
      <c r="AO41" s="94" t="e">
        <f t="shared" si="45"/>
        <v>#DIV/0!</v>
      </c>
      <c r="AP41" s="94" t="e">
        <f t="shared" si="45"/>
        <v>#DIV/0!</v>
      </c>
      <c r="AQ41" s="94" t="e">
        <f t="shared" si="45"/>
        <v>#DIV/0!</v>
      </c>
      <c r="AR41" s="94" t="e">
        <f t="shared" si="45"/>
        <v>#DIV/0!</v>
      </c>
      <c r="AS41" s="94" t="e">
        <f t="shared" si="45"/>
        <v>#DIV/0!</v>
      </c>
      <c r="AT41" s="94" t="e">
        <f t="shared" si="45"/>
        <v>#DIV/0!</v>
      </c>
      <c r="AU41" s="94" t="e">
        <f t="shared" si="45"/>
        <v>#DIV/0!</v>
      </c>
      <c r="AV41" s="94" t="e">
        <f t="shared" si="45"/>
        <v>#DIV/0!</v>
      </c>
      <c r="AW41" s="94" t="e">
        <f t="shared" si="45"/>
        <v>#DIV/0!</v>
      </c>
      <c r="AX41" s="94" t="e">
        <f t="shared" si="45"/>
        <v>#DIV/0!</v>
      </c>
      <c r="AY41" s="94" t="e">
        <f t="shared" si="45"/>
        <v>#DIV/0!</v>
      </c>
      <c r="AZ41" s="103" t="e">
        <f t="shared" si="45"/>
        <v>#DIV/0!</v>
      </c>
    </row>
    <row r="42" spans="3:78" x14ac:dyDescent="0.25">
      <c r="C42" s="227" t="str">
        <f t="shared" si="31"/>
        <v>Oct 20-26</v>
      </c>
      <c r="D42" s="179"/>
      <c r="E42" s="63">
        <f t="shared" ref="E42:AA42" si="46">SUM(E134:E138)</f>
        <v>0</v>
      </c>
      <c r="F42" s="63">
        <f t="shared" si="46"/>
        <v>0</v>
      </c>
      <c r="G42" s="111">
        <f t="shared" si="46"/>
        <v>0</v>
      </c>
      <c r="H42" s="94">
        <f t="shared" si="46"/>
        <v>0</v>
      </c>
      <c r="I42" s="94">
        <f t="shared" si="46"/>
        <v>0</v>
      </c>
      <c r="J42" s="94">
        <f t="shared" si="46"/>
        <v>0</v>
      </c>
      <c r="K42" s="94">
        <f t="shared" si="46"/>
        <v>0</v>
      </c>
      <c r="L42" s="94">
        <f t="shared" si="46"/>
        <v>0</v>
      </c>
      <c r="M42" s="94">
        <f t="shared" si="46"/>
        <v>0</v>
      </c>
      <c r="N42" s="94">
        <f t="shared" si="46"/>
        <v>0</v>
      </c>
      <c r="O42" s="94">
        <f t="shared" si="46"/>
        <v>0</v>
      </c>
      <c r="P42" s="94">
        <f t="shared" si="46"/>
        <v>0</v>
      </c>
      <c r="Q42" s="94">
        <f t="shared" si="46"/>
        <v>0</v>
      </c>
      <c r="R42" s="94">
        <f t="shared" si="46"/>
        <v>0</v>
      </c>
      <c r="S42" s="94">
        <f t="shared" si="46"/>
        <v>0</v>
      </c>
      <c r="T42" s="94">
        <f t="shared" si="46"/>
        <v>0</v>
      </c>
      <c r="U42" s="94">
        <f t="shared" si="46"/>
        <v>0</v>
      </c>
      <c r="V42" s="94">
        <f t="shared" si="46"/>
        <v>0</v>
      </c>
      <c r="W42" s="94">
        <f t="shared" si="46"/>
        <v>0</v>
      </c>
      <c r="X42" s="94">
        <f t="shared" si="46"/>
        <v>0</v>
      </c>
      <c r="Y42" s="94">
        <f t="shared" si="46"/>
        <v>0</v>
      </c>
      <c r="Z42" s="94">
        <f t="shared" si="46"/>
        <v>0</v>
      </c>
      <c r="AA42" s="103">
        <f t="shared" si="46"/>
        <v>0</v>
      </c>
      <c r="AB42" s="215" t="e">
        <f t="shared" si="33"/>
        <v>#DIV/0!</v>
      </c>
      <c r="AC42" s="183" t="e">
        <f>AK134+AK137</f>
        <v>#DIV/0!</v>
      </c>
      <c r="AD42" s="94" t="e">
        <f>AJ134+AJ137</f>
        <v>#DIV/0!</v>
      </c>
      <c r="AE42" s="166" t="e">
        <f t="shared" si="34"/>
        <v>#DIV/0!</v>
      </c>
      <c r="AG42" s="155" t="e">
        <f t="shared" ref="AG42:AZ42" si="47">BG134+BG137</f>
        <v>#DIV/0!</v>
      </c>
      <c r="AH42" s="94" t="e">
        <f t="shared" si="47"/>
        <v>#DIV/0!</v>
      </c>
      <c r="AI42" s="94" t="e">
        <f t="shared" si="47"/>
        <v>#DIV/0!</v>
      </c>
      <c r="AJ42" s="94" t="e">
        <f t="shared" si="47"/>
        <v>#DIV/0!</v>
      </c>
      <c r="AK42" s="94" t="e">
        <f t="shared" si="47"/>
        <v>#DIV/0!</v>
      </c>
      <c r="AL42" s="94" t="e">
        <f t="shared" si="47"/>
        <v>#DIV/0!</v>
      </c>
      <c r="AM42" s="94" t="e">
        <f t="shared" si="47"/>
        <v>#DIV/0!</v>
      </c>
      <c r="AN42" s="94" t="e">
        <f t="shared" si="47"/>
        <v>#DIV/0!</v>
      </c>
      <c r="AO42" s="94" t="e">
        <f t="shared" si="47"/>
        <v>#DIV/0!</v>
      </c>
      <c r="AP42" s="94" t="e">
        <f t="shared" si="47"/>
        <v>#DIV/0!</v>
      </c>
      <c r="AQ42" s="94" t="e">
        <f t="shared" si="47"/>
        <v>#DIV/0!</v>
      </c>
      <c r="AR42" s="94" t="e">
        <f t="shared" si="47"/>
        <v>#DIV/0!</v>
      </c>
      <c r="AS42" s="94" t="e">
        <f t="shared" si="47"/>
        <v>#DIV/0!</v>
      </c>
      <c r="AT42" s="94" t="e">
        <f t="shared" si="47"/>
        <v>#DIV/0!</v>
      </c>
      <c r="AU42" s="94" t="e">
        <f t="shared" si="47"/>
        <v>#DIV/0!</v>
      </c>
      <c r="AV42" s="94" t="e">
        <f t="shared" si="47"/>
        <v>#DIV/0!</v>
      </c>
      <c r="AW42" s="94" t="e">
        <f t="shared" si="47"/>
        <v>#DIV/0!</v>
      </c>
      <c r="AX42" s="94" t="e">
        <f t="shared" si="47"/>
        <v>#DIV/0!</v>
      </c>
      <c r="AY42" s="94" t="e">
        <f t="shared" si="47"/>
        <v>#DIV/0!</v>
      </c>
      <c r="AZ42" s="103" t="e">
        <f t="shared" si="47"/>
        <v>#DIV/0!</v>
      </c>
    </row>
    <row r="43" spans="3:78" ht="16.5" customHeight="1" x14ac:dyDescent="0.25">
      <c r="C43" s="227" t="str">
        <f t="shared" si="31"/>
        <v>Oct 27-Nov 2</v>
      </c>
      <c r="D43" s="179"/>
      <c r="E43" s="63">
        <f>SUM(E139:E143)</f>
        <v>0</v>
      </c>
      <c r="F43" s="63">
        <f t="shared" ref="F43:AA43" si="48">SUM(F139:F143)</f>
        <v>0</v>
      </c>
      <c r="G43" s="63">
        <f t="shared" si="48"/>
        <v>0</v>
      </c>
      <c r="H43" s="63">
        <f t="shared" si="48"/>
        <v>0</v>
      </c>
      <c r="I43" s="63">
        <f t="shared" si="48"/>
        <v>0</v>
      </c>
      <c r="J43" s="63">
        <f t="shared" si="48"/>
        <v>0</v>
      </c>
      <c r="K43" s="63">
        <f t="shared" si="48"/>
        <v>0</v>
      </c>
      <c r="L43" s="63">
        <f t="shared" si="48"/>
        <v>0</v>
      </c>
      <c r="M43" s="63">
        <f t="shared" si="48"/>
        <v>0</v>
      </c>
      <c r="N43" s="63">
        <f t="shared" si="48"/>
        <v>0</v>
      </c>
      <c r="O43" s="63">
        <f t="shared" si="48"/>
        <v>0</v>
      </c>
      <c r="P43" s="63">
        <f t="shared" si="48"/>
        <v>0</v>
      </c>
      <c r="Q43" s="63">
        <f t="shared" si="48"/>
        <v>0</v>
      </c>
      <c r="R43" s="63">
        <f t="shared" si="48"/>
        <v>0</v>
      </c>
      <c r="S43" s="63">
        <f t="shared" si="48"/>
        <v>0</v>
      </c>
      <c r="T43" s="63">
        <f t="shared" si="48"/>
        <v>0</v>
      </c>
      <c r="U43" s="63">
        <f t="shared" si="48"/>
        <v>0</v>
      </c>
      <c r="V43" s="63">
        <f t="shared" si="48"/>
        <v>0</v>
      </c>
      <c r="W43" s="63">
        <f t="shared" si="48"/>
        <v>0</v>
      </c>
      <c r="X43" s="63">
        <f t="shared" si="48"/>
        <v>0</v>
      </c>
      <c r="Y43" s="63">
        <f t="shared" si="48"/>
        <v>0</v>
      </c>
      <c r="Z43" s="63">
        <f t="shared" si="48"/>
        <v>0</v>
      </c>
      <c r="AA43" s="63">
        <f t="shared" si="48"/>
        <v>0</v>
      </c>
      <c r="AB43" s="215" t="e">
        <f t="shared" si="33"/>
        <v>#DIV/0!</v>
      </c>
      <c r="AC43" s="183" t="e">
        <f>AK139+AK142</f>
        <v>#DIV/0!</v>
      </c>
      <c r="AD43" s="94" t="e">
        <f>AJ139+AJ142</f>
        <v>#DIV/0!</v>
      </c>
      <c r="AE43" s="166" t="e">
        <f t="shared" si="34"/>
        <v>#DIV/0!</v>
      </c>
      <c r="AG43" s="155" t="e">
        <f>BG139+BG142</f>
        <v>#DIV/0!</v>
      </c>
      <c r="AH43" s="94" t="e">
        <f t="shared" ref="AH43:AZ43" si="49">BH139+BH142</f>
        <v>#DIV/0!</v>
      </c>
      <c r="AI43" s="94" t="e">
        <f t="shared" si="49"/>
        <v>#DIV/0!</v>
      </c>
      <c r="AJ43" s="94" t="e">
        <f t="shared" si="49"/>
        <v>#DIV/0!</v>
      </c>
      <c r="AK43" s="94" t="e">
        <f t="shared" si="49"/>
        <v>#DIV/0!</v>
      </c>
      <c r="AL43" s="94" t="e">
        <f t="shared" si="49"/>
        <v>#DIV/0!</v>
      </c>
      <c r="AM43" s="94" t="e">
        <f t="shared" si="49"/>
        <v>#DIV/0!</v>
      </c>
      <c r="AN43" s="94" t="e">
        <f t="shared" si="49"/>
        <v>#DIV/0!</v>
      </c>
      <c r="AO43" s="94" t="e">
        <f t="shared" si="49"/>
        <v>#DIV/0!</v>
      </c>
      <c r="AP43" s="94" t="e">
        <f t="shared" si="49"/>
        <v>#DIV/0!</v>
      </c>
      <c r="AQ43" s="94" t="e">
        <f t="shared" si="49"/>
        <v>#DIV/0!</v>
      </c>
      <c r="AR43" s="94" t="e">
        <f t="shared" si="49"/>
        <v>#DIV/0!</v>
      </c>
      <c r="AS43" s="94" t="e">
        <f t="shared" si="49"/>
        <v>#DIV/0!</v>
      </c>
      <c r="AT43" s="94" t="e">
        <f t="shared" si="49"/>
        <v>#DIV/0!</v>
      </c>
      <c r="AU43" s="94" t="e">
        <f t="shared" si="49"/>
        <v>#DIV/0!</v>
      </c>
      <c r="AV43" s="94" t="e">
        <f t="shared" si="49"/>
        <v>#DIV/0!</v>
      </c>
      <c r="AW43" s="94" t="e">
        <f t="shared" si="49"/>
        <v>#DIV/0!</v>
      </c>
      <c r="AX43" s="94" t="e">
        <f t="shared" si="49"/>
        <v>#DIV/0!</v>
      </c>
      <c r="AY43" s="94" t="e">
        <f t="shared" si="49"/>
        <v>#DIV/0!</v>
      </c>
      <c r="AZ43" s="103" t="e">
        <f t="shared" si="49"/>
        <v>#DIV/0!</v>
      </c>
    </row>
    <row r="44" spans="3:78" x14ac:dyDescent="0.25">
      <c r="C44" s="227" t="str">
        <f t="shared" si="31"/>
        <v>Nov 3-9</v>
      </c>
      <c r="D44" s="179"/>
      <c r="E44" s="63">
        <f>SUM(E144:E148)</f>
        <v>0</v>
      </c>
      <c r="F44" s="63">
        <f t="shared" ref="F44:AA44" si="50">SUM(F144:F148)</f>
        <v>0</v>
      </c>
      <c r="G44" s="63">
        <f t="shared" si="50"/>
        <v>0</v>
      </c>
      <c r="H44" s="63">
        <f t="shared" si="50"/>
        <v>0</v>
      </c>
      <c r="I44" s="63">
        <f t="shared" si="50"/>
        <v>0</v>
      </c>
      <c r="J44" s="63">
        <f t="shared" si="50"/>
        <v>0</v>
      </c>
      <c r="K44" s="63">
        <f t="shared" si="50"/>
        <v>0</v>
      </c>
      <c r="L44" s="63">
        <f t="shared" si="50"/>
        <v>0</v>
      </c>
      <c r="M44" s="63">
        <f t="shared" si="50"/>
        <v>0</v>
      </c>
      <c r="N44" s="63">
        <f t="shared" si="50"/>
        <v>0</v>
      </c>
      <c r="O44" s="63">
        <f t="shared" si="50"/>
        <v>0</v>
      </c>
      <c r="P44" s="63">
        <f t="shared" si="50"/>
        <v>0</v>
      </c>
      <c r="Q44" s="63">
        <f t="shared" si="50"/>
        <v>0</v>
      </c>
      <c r="R44" s="63">
        <f t="shared" si="50"/>
        <v>0</v>
      </c>
      <c r="S44" s="63">
        <f t="shared" si="50"/>
        <v>0</v>
      </c>
      <c r="T44" s="63">
        <f t="shared" si="50"/>
        <v>0</v>
      </c>
      <c r="U44" s="63">
        <f t="shared" si="50"/>
        <v>0</v>
      </c>
      <c r="V44" s="63">
        <f t="shared" si="50"/>
        <v>0</v>
      </c>
      <c r="W44" s="63">
        <f t="shared" si="50"/>
        <v>0</v>
      </c>
      <c r="X44" s="63">
        <f t="shared" si="50"/>
        <v>0</v>
      </c>
      <c r="Y44" s="63">
        <f t="shared" si="50"/>
        <v>0</v>
      </c>
      <c r="Z44" s="63">
        <f t="shared" si="50"/>
        <v>0</v>
      </c>
      <c r="AA44" s="63">
        <f t="shared" si="50"/>
        <v>0</v>
      </c>
      <c r="AB44" s="215" t="e">
        <f t="shared" si="33"/>
        <v>#DIV/0!</v>
      </c>
      <c r="AC44" s="183" t="e">
        <f>AK144+AK147</f>
        <v>#DIV/0!</v>
      </c>
      <c r="AD44" s="94" t="e">
        <f>AJ144+AJ147</f>
        <v>#DIV/0!</v>
      </c>
      <c r="AE44" s="166" t="e">
        <f t="shared" si="34"/>
        <v>#DIV/0!</v>
      </c>
      <c r="AG44" s="155" t="e">
        <f>BG144+BG147</f>
        <v>#DIV/0!</v>
      </c>
      <c r="AH44" s="94" t="e">
        <f t="shared" ref="AH44:AZ44" si="51">BH144+BH147</f>
        <v>#DIV/0!</v>
      </c>
      <c r="AI44" s="94" t="e">
        <f t="shared" si="51"/>
        <v>#DIV/0!</v>
      </c>
      <c r="AJ44" s="94" t="e">
        <f t="shared" si="51"/>
        <v>#DIV/0!</v>
      </c>
      <c r="AK44" s="94" t="e">
        <f t="shared" si="51"/>
        <v>#DIV/0!</v>
      </c>
      <c r="AL44" s="94" t="e">
        <f t="shared" si="51"/>
        <v>#DIV/0!</v>
      </c>
      <c r="AM44" s="94" t="e">
        <f t="shared" si="51"/>
        <v>#DIV/0!</v>
      </c>
      <c r="AN44" s="94" t="e">
        <f t="shared" si="51"/>
        <v>#DIV/0!</v>
      </c>
      <c r="AO44" s="94" t="e">
        <f t="shared" si="51"/>
        <v>#DIV/0!</v>
      </c>
      <c r="AP44" s="94" t="e">
        <f t="shared" si="51"/>
        <v>#DIV/0!</v>
      </c>
      <c r="AQ44" s="94" t="e">
        <f t="shared" si="51"/>
        <v>#DIV/0!</v>
      </c>
      <c r="AR44" s="94" t="e">
        <f t="shared" si="51"/>
        <v>#DIV/0!</v>
      </c>
      <c r="AS44" s="94" t="e">
        <f t="shared" si="51"/>
        <v>#DIV/0!</v>
      </c>
      <c r="AT44" s="94" t="e">
        <f t="shared" si="51"/>
        <v>#DIV/0!</v>
      </c>
      <c r="AU44" s="94" t="e">
        <f t="shared" si="51"/>
        <v>#DIV/0!</v>
      </c>
      <c r="AV44" s="94" t="e">
        <f t="shared" si="51"/>
        <v>#DIV/0!</v>
      </c>
      <c r="AW44" s="94" t="e">
        <f t="shared" si="51"/>
        <v>#DIV/0!</v>
      </c>
      <c r="AX44" s="94" t="e">
        <f t="shared" si="51"/>
        <v>#DIV/0!</v>
      </c>
      <c r="AY44" s="94" t="e">
        <f t="shared" si="51"/>
        <v>#DIV/0!</v>
      </c>
      <c r="AZ44" s="103" t="e">
        <f t="shared" si="51"/>
        <v>#DIV/0!</v>
      </c>
    </row>
    <row r="45" spans="3:78" ht="16.5" thickBot="1" x14ac:dyDescent="0.3">
      <c r="C45" s="114" t="str">
        <f t="shared" si="31"/>
        <v>Nov 10-16</v>
      </c>
      <c r="D45" s="115"/>
      <c r="E45" s="137"/>
      <c r="F45" s="137"/>
      <c r="G45" s="149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104"/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78" ht="17.25" thickTop="1" thickBot="1" x14ac:dyDescent="0.3">
      <c r="C46" s="112"/>
      <c r="D46" s="113"/>
      <c r="E46" s="98">
        <f t="shared" ref="E46:AA46" si="52">SUM(E36:E45)</f>
        <v>0</v>
      </c>
      <c r="F46" s="98">
        <f t="shared" si="52"/>
        <v>0</v>
      </c>
      <c r="G46" s="135">
        <f t="shared" si="52"/>
        <v>0</v>
      </c>
      <c r="H46" s="105">
        <f t="shared" si="52"/>
        <v>0</v>
      </c>
      <c r="I46" s="105">
        <f t="shared" si="52"/>
        <v>0</v>
      </c>
      <c r="J46" s="105">
        <f t="shared" si="52"/>
        <v>0</v>
      </c>
      <c r="K46" s="105">
        <f t="shared" si="52"/>
        <v>0</v>
      </c>
      <c r="L46" s="105">
        <f t="shared" si="52"/>
        <v>0</v>
      </c>
      <c r="M46" s="105">
        <f t="shared" si="52"/>
        <v>0</v>
      </c>
      <c r="N46" s="105">
        <f t="shared" si="52"/>
        <v>0</v>
      </c>
      <c r="O46" s="105">
        <f t="shared" si="52"/>
        <v>0</v>
      </c>
      <c r="P46" s="105">
        <f t="shared" si="52"/>
        <v>0</v>
      </c>
      <c r="Q46" s="105">
        <f t="shared" si="52"/>
        <v>0</v>
      </c>
      <c r="R46" s="105">
        <f t="shared" si="52"/>
        <v>0</v>
      </c>
      <c r="S46" s="105">
        <f t="shared" si="52"/>
        <v>0</v>
      </c>
      <c r="T46" s="105">
        <f t="shared" si="52"/>
        <v>0</v>
      </c>
      <c r="U46" s="105">
        <f t="shared" si="52"/>
        <v>0</v>
      </c>
      <c r="V46" s="105">
        <f t="shared" si="52"/>
        <v>0</v>
      </c>
      <c r="W46" s="105">
        <f t="shared" si="52"/>
        <v>0</v>
      </c>
      <c r="X46" s="105">
        <f t="shared" si="52"/>
        <v>0</v>
      </c>
      <c r="Y46" s="105">
        <f t="shared" si="52"/>
        <v>0</v>
      </c>
      <c r="Z46" s="105">
        <f t="shared" si="52"/>
        <v>0</v>
      </c>
      <c r="AA46" s="107">
        <f t="shared" si="52"/>
        <v>0</v>
      </c>
      <c r="AB46" s="215" t="e">
        <f>SUM(G46)/SUM(H46:M46)</f>
        <v>#DIV/0!</v>
      </c>
      <c r="AC46" s="185" t="e">
        <f t="shared" ref="AC46" si="53">SUM(AC36:AC45)</f>
        <v>#DIV/0!</v>
      </c>
      <c r="AD46" s="107" t="e">
        <f>SUM(AD36:AD45)</f>
        <v>#DIV/0!</v>
      </c>
      <c r="AE46" s="167" t="e">
        <f t="shared" si="34"/>
        <v>#DIV/0!</v>
      </c>
      <c r="AG46" s="157" t="e">
        <f t="shared" ref="AG46:AZ46" si="54">SUM(AG36:AG45)</f>
        <v>#DIV/0!</v>
      </c>
      <c r="AH46" s="105" t="e">
        <f t="shared" si="54"/>
        <v>#DIV/0!</v>
      </c>
      <c r="AI46" s="105" t="e">
        <f t="shared" si="54"/>
        <v>#DIV/0!</v>
      </c>
      <c r="AJ46" s="105" t="e">
        <f t="shared" si="54"/>
        <v>#DIV/0!</v>
      </c>
      <c r="AK46" s="105" t="e">
        <f t="shared" si="54"/>
        <v>#DIV/0!</v>
      </c>
      <c r="AL46" s="105" t="e">
        <f t="shared" si="54"/>
        <v>#DIV/0!</v>
      </c>
      <c r="AM46" s="105" t="e">
        <f t="shared" si="54"/>
        <v>#DIV/0!</v>
      </c>
      <c r="AN46" s="105" t="e">
        <f t="shared" si="54"/>
        <v>#DIV/0!</v>
      </c>
      <c r="AO46" s="105" t="e">
        <f t="shared" si="54"/>
        <v>#DIV/0!</v>
      </c>
      <c r="AP46" s="105" t="e">
        <f t="shared" si="54"/>
        <v>#DIV/0!</v>
      </c>
      <c r="AQ46" s="105" t="e">
        <f t="shared" si="54"/>
        <v>#DIV/0!</v>
      </c>
      <c r="AR46" s="105" t="e">
        <f t="shared" si="54"/>
        <v>#DIV/0!</v>
      </c>
      <c r="AS46" s="105" t="e">
        <f t="shared" si="54"/>
        <v>#DIV/0!</v>
      </c>
      <c r="AT46" s="105" t="e">
        <f t="shared" si="54"/>
        <v>#DIV/0!</v>
      </c>
      <c r="AU46" s="105" t="e">
        <f t="shared" si="54"/>
        <v>#DIV/0!</v>
      </c>
      <c r="AV46" s="105" t="e">
        <f t="shared" si="54"/>
        <v>#DIV/0!</v>
      </c>
      <c r="AW46" s="105" t="e">
        <f t="shared" si="54"/>
        <v>#DIV/0!</v>
      </c>
      <c r="AX46" s="105" t="e">
        <f t="shared" si="54"/>
        <v>#DIV/0!</v>
      </c>
      <c r="AY46" s="105" t="e">
        <f t="shared" si="54"/>
        <v>#DIV/0!</v>
      </c>
      <c r="AZ46" s="107" t="e">
        <f t="shared" si="54"/>
        <v>#DIV/0!</v>
      </c>
    </row>
    <row r="47" spans="3:78" ht="16.5" thickBot="1" x14ac:dyDescent="0.3">
      <c r="AB47" s="215"/>
    </row>
    <row r="48" spans="3:78" ht="16.5" thickBot="1" x14ac:dyDescent="0.3">
      <c r="AB48" s="215"/>
      <c r="AL48" s="454" t="s">
        <v>5227</v>
      </c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6"/>
      <c r="BG48" s="454" t="s">
        <v>5228</v>
      </c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  <c r="BR48" s="455"/>
      <c r="BS48" s="455"/>
      <c r="BT48" s="455"/>
      <c r="BU48" s="455"/>
      <c r="BV48" s="455"/>
      <c r="BW48" s="455"/>
      <c r="BX48" s="455"/>
      <c r="BY48" s="455"/>
      <c r="BZ48" s="456"/>
    </row>
    <row r="49" spans="1:78" ht="18.75" x14ac:dyDescent="0.3">
      <c r="C49" s="163" t="s">
        <v>597</v>
      </c>
      <c r="D49" s="21"/>
      <c r="E49" s="21"/>
      <c r="F49" s="22"/>
      <c r="G49" s="22"/>
      <c r="H49" s="434" t="s">
        <v>5245</v>
      </c>
      <c r="I49" s="428"/>
      <c r="J49" s="428"/>
      <c r="K49" s="428"/>
      <c r="L49" s="428"/>
      <c r="M49" s="429"/>
      <c r="N49" s="434" t="s">
        <v>10</v>
      </c>
      <c r="O49" s="428"/>
      <c r="P49" s="428"/>
      <c r="Q49" s="428"/>
      <c r="R49" s="428"/>
      <c r="S49" s="429"/>
      <c r="T49" s="424" t="s">
        <v>6</v>
      </c>
      <c r="U49" s="424"/>
      <c r="V49" s="434" t="s">
        <v>33</v>
      </c>
      <c r="W49" s="428"/>
      <c r="X49" s="428"/>
      <c r="Y49" s="428"/>
      <c r="Z49" s="428"/>
      <c r="AA49" s="429"/>
      <c r="AB49" s="457" t="s">
        <v>5247</v>
      </c>
      <c r="AC49" s="9" t="s">
        <v>37</v>
      </c>
      <c r="AD49" s="25"/>
      <c r="AE49" s="26"/>
      <c r="AF49" s="25"/>
      <c r="AG49" s="27"/>
      <c r="AH49" s="27"/>
      <c r="AI49" s="28"/>
      <c r="AJ49" s="28"/>
      <c r="AK49" s="170"/>
      <c r="AL49" s="444" t="s">
        <v>5245</v>
      </c>
      <c r="AM49" s="445"/>
      <c r="AN49" s="445"/>
      <c r="AO49" s="445"/>
      <c r="AP49" s="445"/>
      <c r="AQ49" s="446"/>
      <c r="AR49" s="444" t="s">
        <v>10</v>
      </c>
      <c r="AS49" s="445"/>
      <c r="AT49" s="445"/>
      <c r="AU49" s="445"/>
      <c r="AV49" s="445"/>
      <c r="AW49" s="446"/>
      <c r="AX49" s="441" t="s">
        <v>6</v>
      </c>
      <c r="AY49" s="424"/>
      <c r="AZ49" s="434" t="s">
        <v>33</v>
      </c>
      <c r="BA49" s="428"/>
      <c r="BB49" s="428"/>
      <c r="BC49" s="428"/>
      <c r="BD49" s="428"/>
      <c r="BE49" s="429"/>
      <c r="BG49" s="444" t="s">
        <v>5245</v>
      </c>
      <c r="BH49" s="445"/>
      <c r="BI49" s="445"/>
      <c r="BJ49" s="445"/>
      <c r="BK49" s="445"/>
      <c r="BL49" s="446"/>
      <c r="BM49" s="444" t="s">
        <v>10</v>
      </c>
      <c r="BN49" s="445"/>
      <c r="BO49" s="445"/>
      <c r="BP49" s="445"/>
      <c r="BQ49" s="445"/>
      <c r="BR49" s="446"/>
      <c r="BS49" s="441" t="s">
        <v>6</v>
      </c>
      <c r="BT49" s="424"/>
      <c r="BU49" s="434" t="s">
        <v>33</v>
      </c>
      <c r="BV49" s="428"/>
      <c r="BW49" s="428"/>
      <c r="BX49" s="428"/>
      <c r="BY49" s="428"/>
      <c r="BZ49" s="429"/>
    </row>
    <row r="50" spans="1:78" x14ac:dyDescent="0.25">
      <c r="C50" s="409" t="s">
        <v>0</v>
      </c>
      <c r="D50" s="54" t="s">
        <v>41</v>
      </c>
      <c r="E50" s="30"/>
      <c r="F50" s="30"/>
      <c r="G50" s="54" t="s">
        <v>2</v>
      </c>
      <c r="H50" s="419" t="s">
        <v>4</v>
      </c>
      <c r="I50" s="420"/>
      <c r="J50" s="421" t="s">
        <v>9</v>
      </c>
      <c r="K50" s="422"/>
      <c r="L50" s="421" t="s">
        <v>5246</v>
      </c>
      <c r="M50" s="438"/>
      <c r="N50" s="419" t="s">
        <v>4</v>
      </c>
      <c r="O50" s="420"/>
      <c r="P50" s="421" t="s">
        <v>9</v>
      </c>
      <c r="Q50" s="422"/>
      <c r="R50" s="421" t="s">
        <v>5246</v>
      </c>
      <c r="S50" s="438"/>
      <c r="T50" s="423" t="s">
        <v>34</v>
      </c>
      <c r="U50" s="423"/>
      <c r="V50" s="430" t="s">
        <v>646</v>
      </c>
      <c r="W50" s="431"/>
      <c r="X50" s="432" t="s">
        <v>5229</v>
      </c>
      <c r="Y50" s="431"/>
      <c r="Z50" s="432" t="s">
        <v>5231</v>
      </c>
      <c r="AA50" s="433"/>
      <c r="AB50" s="458"/>
      <c r="AC50" s="10" t="s">
        <v>15</v>
      </c>
      <c r="AD50" s="32" t="s">
        <v>16</v>
      </c>
      <c r="AE50" s="174"/>
      <c r="AF50" s="175"/>
      <c r="AG50" s="3" t="s">
        <v>21</v>
      </c>
      <c r="AH50" s="176" t="s">
        <v>2</v>
      </c>
      <c r="AI50" s="32" t="s">
        <v>23</v>
      </c>
      <c r="AJ50" s="168" t="s">
        <v>5226</v>
      </c>
      <c r="AK50" s="171" t="s">
        <v>643</v>
      </c>
      <c r="AL50" s="442" t="s">
        <v>4</v>
      </c>
      <c r="AM50" s="440"/>
      <c r="AN50" s="440" t="s">
        <v>9</v>
      </c>
      <c r="AO50" s="440"/>
      <c r="AP50" s="440" t="s">
        <v>5246</v>
      </c>
      <c r="AQ50" s="447"/>
      <c r="AR50" s="442" t="s">
        <v>4</v>
      </c>
      <c r="AS50" s="440"/>
      <c r="AT50" s="440" t="s">
        <v>9</v>
      </c>
      <c r="AU50" s="440"/>
      <c r="AV50" s="440" t="s">
        <v>5246</v>
      </c>
      <c r="AW50" s="447"/>
      <c r="AX50" s="443" t="s">
        <v>34</v>
      </c>
      <c r="AY50" s="423"/>
      <c r="AZ50" s="430"/>
      <c r="BA50" s="431"/>
      <c r="BB50" s="432"/>
      <c r="BC50" s="431"/>
      <c r="BD50" s="432"/>
      <c r="BE50" s="433"/>
      <c r="BG50" s="442" t="s">
        <v>4</v>
      </c>
      <c r="BH50" s="440"/>
      <c r="BI50" s="440" t="s">
        <v>9</v>
      </c>
      <c r="BJ50" s="440"/>
      <c r="BK50" s="440" t="s">
        <v>5246</v>
      </c>
      <c r="BL50" s="447"/>
      <c r="BM50" s="442" t="s">
        <v>4</v>
      </c>
      <c r="BN50" s="440"/>
      <c r="BO50" s="440" t="s">
        <v>9</v>
      </c>
      <c r="BP50" s="440"/>
      <c r="BQ50" s="440" t="s">
        <v>5246</v>
      </c>
      <c r="BR50" s="447"/>
      <c r="BS50" s="443" t="s">
        <v>34</v>
      </c>
      <c r="BT50" s="423"/>
      <c r="BU50" s="430"/>
      <c r="BV50" s="431"/>
      <c r="BW50" s="432"/>
      <c r="BX50" s="431"/>
      <c r="BY50" s="432"/>
      <c r="BZ50" s="433"/>
    </row>
    <row r="51" spans="1:78" ht="16.5" thickBot="1" x14ac:dyDescent="0.3">
      <c r="C51" s="410"/>
      <c r="D51" s="53" t="s">
        <v>40</v>
      </c>
      <c r="E51" s="35" t="s">
        <v>1</v>
      </c>
      <c r="F51" s="35" t="s">
        <v>5248</v>
      </c>
      <c r="G51" s="53" t="s">
        <v>3</v>
      </c>
      <c r="H51" s="93" t="s">
        <v>5243</v>
      </c>
      <c r="I51" s="36" t="s">
        <v>5244</v>
      </c>
      <c r="J51" s="36" t="s">
        <v>5243</v>
      </c>
      <c r="K51" s="36" t="s">
        <v>5244</v>
      </c>
      <c r="L51" s="36" t="s">
        <v>24</v>
      </c>
      <c r="M51" s="57" t="s">
        <v>9</v>
      </c>
      <c r="N51" s="93" t="s">
        <v>5243</v>
      </c>
      <c r="O51" s="36" t="s">
        <v>5244</v>
      </c>
      <c r="P51" s="36" t="s">
        <v>5243</v>
      </c>
      <c r="Q51" s="36" t="s">
        <v>5244</v>
      </c>
      <c r="R51" s="36" t="s">
        <v>24</v>
      </c>
      <c r="S51" s="57" t="s">
        <v>9</v>
      </c>
      <c r="T51" s="18" t="s">
        <v>7</v>
      </c>
      <c r="U51" s="17" t="s">
        <v>8</v>
      </c>
      <c r="V51" s="93" t="s">
        <v>36</v>
      </c>
      <c r="W51" s="36" t="s">
        <v>31</v>
      </c>
      <c r="X51" s="36" t="s">
        <v>36</v>
      </c>
      <c r="Y51" s="36" t="s">
        <v>31</v>
      </c>
      <c r="Z51" s="36" t="s">
        <v>36</v>
      </c>
      <c r="AA51" s="57" t="s">
        <v>31</v>
      </c>
      <c r="AB51" s="459"/>
      <c r="AC51" s="11" t="s">
        <v>18</v>
      </c>
      <c r="AD51" s="6" t="s">
        <v>19</v>
      </c>
      <c r="AE51" s="5" t="s">
        <v>20</v>
      </c>
      <c r="AF51" s="177"/>
      <c r="AG51" s="178" t="s">
        <v>5249</v>
      </c>
      <c r="AH51" s="7" t="s">
        <v>22</v>
      </c>
      <c r="AI51" s="164">
        <v>0.95</v>
      </c>
      <c r="AJ51" s="169" t="s">
        <v>3</v>
      </c>
      <c r="AK51" s="159" t="s">
        <v>644</v>
      </c>
      <c r="AL51" s="93" t="s">
        <v>5243</v>
      </c>
      <c r="AM51" s="36" t="s">
        <v>5244</v>
      </c>
      <c r="AN51" s="36" t="s">
        <v>5243</v>
      </c>
      <c r="AO51" s="36" t="s">
        <v>5244</v>
      </c>
      <c r="AP51" s="36" t="s">
        <v>24</v>
      </c>
      <c r="AQ51" s="57" t="s">
        <v>9</v>
      </c>
      <c r="AR51" s="93" t="s">
        <v>5243</v>
      </c>
      <c r="AS51" s="36" t="s">
        <v>5244</v>
      </c>
      <c r="AT51" s="36" t="s">
        <v>5243</v>
      </c>
      <c r="AU51" s="36" t="s">
        <v>5244</v>
      </c>
      <c r="AV51" s="36" t="s">
        <v>24</v>
      </c>
      <c r="AW51" s="57" t="s">
        <v>9</v>
      </c>
      <c r="AX51" s="93" t="s">
        <v>7</v>
      </c>
      <c r="AY51" s="17" t="s">
        <v>8</v>
      </c>
      <c r="AZ51" s="276" t="s">
        <v>36</v>
      </c>
      <c r="BA51" s="18" t="s">
        <v>31</v>
      </c>
      <c r="BB51" s="36" t="s">
        <v>36</v>
      </c>
      <c r="BC51" s="36" t="s">
        <v>31</v>
      </c>
      <c r="BD51" s="36" t="s">
        <v>36</v>
      </c>
      <c r="BE51" s="57" t="s">
        <v>31</v>
      </c>
      <c r="BG51" s="93" t="s">
        <v>5243</v>
      </c>
      <c r="BH51" s="36" t="s">
        <v>5244</v>
      </c>
      <c r="BI51" s="36" t="s">
        <v>5243</v>
      </c>
      <c r="BJ51" s="36" t="s">
        <v>5244</v>
      </c>
      <c r="BK51" s="36" t="s">
        <v>24</v>
      </c>
      <c r="BL51" s="57" t="s">
        <v>9</v>
      </c>
      <c r="BM51" s="93" t="s">
        <v>5243</v>
      </c>
      <c r="BN51" s="36" t="s">
        <v>5244</v>
      </c>
      <c r="BO51" s="36" t="s">
        <v>5243</v>
      </c>
      <c r="BP51" s="36" t="s">
        <v>5244</v>
      </c>
      <c r="BQ51" s="36" t="s">
        <v>24</v>
      </c>
      <c r="BR51" s="57" t="s">
        <v>9</v>
      </c>
      <c r="BS51" s="93" t="s">
        <v>7</v>
      </c>
      <c r="BT51" s="17" t="s">
        <v>8</v>
      </c>
      <c r="BU51" s="93" t="s">
        <v>36</v>
      </c>
      <c r="BV51" s="36" t="s">
        <v>31</v>
      </c>
      <c r="BW51" s="36" t="s">
        <v>36</v>
      </c>
      <c r="BX51" s="36" t="s">
        <v>31</v>
      </c>
      <c r="BY51" s="36" t="s">
        <v>36</v>
      </c>
      <c r="BZ51" s="57" t="s">
        <v>31</v>
      </c>
    </row>
    <row r="52" spans="1:78" ht="15.75" customHeight="1" x14ac:dyDescent="0.25">
      <c r="A52" s="15">
        <v>1</v>
      </c>
      <c r="B52" s="401" t="str">
        <f>C8</f>
        <v>0</v>
      </c>
      <c r="C52" s="120"/>
      <c r="D52" s="55" t="s">
        <v>39</v>
      </c>
      <c r="E52" s="3"/>
      <c r="F52" s="39"/>
      <c r="G52" s="272"/>
      <c r="H52" s="277"/>
      <c r="I52" s="40"/>
      <c r="J52" s="41"/>
      <c r="K52" s="42"/>
      <c r="L52" s="40"/>
      <c r="M52" s="58"/>
      <c r="N52" s="277"/>
      <c r="O52" s="40"/>
      <c r="P52" s="41"/>
      <c r="Q52" s="40"/>
      <c r="R52" s="41"/>
      <c r="S52" s="58"/>
      <c r="T52" s="40"/>
      <c r="U52" s="40"/>
      <c r="V52" s="277"/>
      <c r="W52" s="40"/>
      <c r="X52" s="40"/>
      <c r="Y52" s="40"/>
      <c r="Z52" s="40"/>
      <c r="AA52" s="58"/>
      <c r="AB52" s="7"/>
      <c r="AC52" s="192"/>
      <c r="AD52" s="193"/>
      <c r="AE52" s="200"/>
      <c r="AF52" s="194"/>
      <c r="AG52" s="210"/>
      <c r="AH52" s="196"/>
      <c r="AI52" s="197"/>
      <c r="AJ52" s="197"/>
      <c r="AK52" s="181"/>
      <c r="AL52" s="281"/>
      <c r="AM52" s="48"/>
      <c r="AN52" s="47"/>
      <c r="AO52" s="48"/>
      <c r="AP52" s="47"/>
      <c r="AQ52" s="282"/>
      <c r="AR52" s="281"/>
      <c r="AS52" s="48"/>
      <c r="AT52" s="47"/>
      <c r="AU52" s="48"/>
      <c r="AV52" s="47"/>
      <c r="AW52" s="282"/>
      <c r="AX52" s="279"/>
      <c r="AY52" s="129"/>
      <c r="AZ52" s="279"/>
      <c r="BA52" s="130"/>
      <c r="BB52" s="128"/>
      <c r="BC52" s="130"/>
      <c r="BD52" s="128"/>
      <c r="BE52" s="280"/>
      <c r="BG52" s="285"/>
      <c r="BH52" s="49"/>
      <c r="BI52" s="49"/>
      <c r="BJ52" s="49"/>
      <c r="BK52" s="49"/>
      <c r="BL52" s="286"/>
      <c r="BM52" s="285"/>
      <c r="BN52" s="49"/>
      <c r="BO52" s="49"/>
      <c r="BP52" s="49"/>
      <c r="BQ52" s="49"/>
      <c r="BR52" s="286"/>
      <c r="BS52" s="285"/>
      <c r="BT52" s="20"/>
      <c r="BU52" s="285"/>
      <c r="BV52" s="20"/>
      <c r="BW52" s="20"/>
      <c r="BX52" s="20"/>
      <c r="BY52" s="20"/>
      <c r="BZ52" s="249"/>
    </row>
    <row r="53" spans="1:78" x14ac:dyDescent="0.25">
      <c r="A53" s="15">
        <v>2</v>
      </c>
      <c r="B53" s="407"/>
      <c r="C53" s="50"/>
      <c r="D53" s="56" t="s">
        <v>39</v>
      </c>
      <c r="E53" s="34"/>
      <c r="F53" s="31"/>
      <c r="G53" s="273"/>
      <c r="H53" s="267"/>
      <c r="J53" s="45"/>
      <c r="K53" s="46"/>
      <c r="M53" s="52"/>
      <c r="N53" s="267"/>
      <c r="P53" s="45"/>
      <c r="R53" s="45"/>
      <c r="S53" s="52"/>
      <c r="V53" s="267"/>
      <c r="AA53" s="52"/>
      <c r="AB53" s="7"/>
      <c r="AC53" s="198"/>
      <c r="AD53" s="199"/>
      <c r="AE53" s="200"/>
      <c r="AF53" s="201"/>
      <c r="AG53" s="211"/>
      <c r="AH53" s="202"/>
      <c r="AI53" s="202"/>
      <c r="AJ53" s="203"/>
      <c r="AK53" s="172"/>
      <c r="AL53" s="281"/>
      <c r="AM53" s="48"/>
      <c r="AN53" s="47"/>
      <c r="AO53" s="48"/>
      <c r="AP53" s="47"/>
      <c r="AQ53" s="282"/>
      <c r="AR53" s="281"/>
      <c r="AS53" s="48"/>
      <c r="AT53" s="47"/>
      <c r="AU53" s="48"/>
      <c r="AV53" s="47"/>
      <c r="AW53" s="282"/>
      <c r="AX53" s="281"/>
      <c r="AY53" s="48"/>
      <c r="AZ53" s="281"/>
      <c r="BA53" s="51"/>
      <c r="BB53" s="47"/>
      <c r="BC53" s="51"/>
      <c r="BD53" s="47"/>
      <c r="BE53" s="282"/>
      <c r="BG53" s="285"/>
      <c r="BH53" s="49"/>
      <c r="BI53" s="49"/>
      <c r="BJ53" s="49"/>
      <c r="BK53" s="49"/>
      <c r="BL53" s="286"/>
      <c r="BM53" s="285"/>
      <c r="BN53" s="49"/>
      <c r="BO53" s="49"/>
      <c r="BP53" s="49"/>
      <c r="BQ53" s="49"/>
      <c r="BR53" s="286"/>
      <c r="BS53" s="285"/>
      <c r="BT53" s="20"/>
      <c r="BU53" s="285"/>
      <c r="BV53" s="20"/>
      <c r="BW53" s="20"/>
      <c r="BX53" s="20"/>
      <c r="BY53" s="20"/>
      <c r="BZ53" s="249"/>
    </row>
    <row r="54" spans="1:78" x14ac:dyDescent="0.25">
      <c r="A54" s="15">
        <v>3</v>
      </c>
      <c r="B54" s="407"/>
      <c r="C54" s="50"/>
      <c r="D54" s="56" t="s">
        <v>39</v>
      </c>
      <c r="E54" s="34"/>
      <c r="F54" s="31"/>
      <c r="G54" s="273"/>
      <c r="H54" s="267"/>
      <c r="J54" s="45"/>
      <c r="K54" s="46"/>
      <c r="M54" s="52"/>
      <c r="N54" s="267"/>
      <c r="P54" s="45"/>
      <c r="R54" s="45"/>
      <c r="S54" s="52"/>
      <c r="V54" s="267"/>
      <c r="AA54" s="52"/>
      <c r="AB54" s="7"/>
      <c r="AC54" s="198"/>
      <c r="AD54" s="199"/>
      <c r="AE54" s="200"/>
      <c r="AF54" s="201"/>
      <c r="AG54" s="211"/>
      <c r="AH54" s="202"/>
      <c r="AI54" s="202"/>
      <c r="AJ54" s="203"/>
      <c r="AK54" s="172"/>
      <c r="AL54" s="281"/>
      <c r="AM54" s="48"/>
      <c r="AN54" s="47"/>
      <c r="AO54" s="48"/>
      <c r="AP54" s="47"/>
      <c r="AQ54" s="282"/>
      <c r="AR54" s="281"/>
      <c r="AS54" s="48"/>
      <c r="AT54" s="47"/>
      <c r="AU54" s="48"/>
      <c r="AV54" s="47"/>
      <c r="AW54" s="282"/>
      <c r="AX54" s="281"/>
      <c r="AY54" s="48"/>
      <c r="AZ54" s="281"/>
      <c r="BA54" s="51"/>
      <c r="BB54" s="47"/>
      <c r="BC54" s="51"/>
      <c r="BD54" s="47"/>
      <c r="BE54" s="282"/>
      <c r="BG54" s="285"/>
      <c r="BH54" s="49"/>
      <c r="BI54" s="49"/>
      <c r="BJ54" s="49"/>
      <c r="BK54" s="49"/>
      <c r="BL54" s="286"/>
      <c r="BM54" s="285"/>
      <c r="BN54" s="49"/>
      <c r="BO54" s="49"/>
      <c r="BP54" s="49"/>
      <c r="BQ54" s="49"/>
      <c r="BR54" s="286"/>
      <c r="BS54" s="285"/>
      <c r="BT54" s="20"/>
      <c r="BU54" s="285"/>
      <c r="BV54" s="20"/>
      <c r="BW54" s="20"/>
      <c r="BX54" s="20"/>
      <c r="BY54" s="20"/>
      <c r="BZ54" s="249"/>
    </row>
    <row r="55" spans="1:78" x14ac:dyDescent="0.25">
      <c r="A55" s="15">
        <v>4</v>
      </c>
      <c r="B55" s="407"/>
      <c r="C55" s="50"/>
      <c r="D55" s="56" t="s">
        <v>40</v>
      </c>
      <c r="E55" s="34"/>
      <c r="F55" s="31"/>
      <c r="G55" s="273"/>
      <c r="H55" s="267"/>
      <c r="J55" s="45"/>
      <c r="K55" s="46"/>
      <c r="M55" s="52"/>
      <c r="N55" s="267"/>
      <c r="P55" s="45"/>
      <c r="R55" s="45"/>
      <c r="S55" s="52"/>
      <c r="V55" s="267"/>
      <c r="AA55" s="52"/>
      <c r="AB55" s="7" t="e">
        <f>SUM(G55+G56)/SUM(F55+F56)</f>
        <v>#DIV/0!</v>
      </c>
      <c r="AC55" s="198"/>
      <c r="AD55" s="199"/>
      <c r="AE55" s="200" t="e">
        <f>SUM(AC55:AC56)/SUM(AD55:AD56)</f>
        <v>#DIV/0!</v>
      </c>
      <c r="AF55" s="201"/>
      <c r="AG55" s="211">
        <v>14.3</v>
      </c>
      <c r="AH55" s="202" t="e">
        <f>AE55*AG55</f>
        <v>#DIV/0!</v>
      </c>
      <c r="AI55" s="203" t="e">
        <f t="shared" ref="AI55" si="55">AH55/AI$51</f>
        <v>#DIV/0!</v>
      </c>
      <c r="AJ55" s="203" t="e">
        <f>AI55*2</f>
        <v>#DIV/0!</v>
      </c>
      <c r="AK55" s="181" t="e">
        <f>SUM(F55:F56)/(SUM(G55:G56)/SUM(AJ55))</f>
        <v>#DIV/0!</v>
      </c>
      <c r="AL55" s="281" t="e">
        <f t="shared" ref="AL55:BE55" si="56">SUM(H55:H56)/SUM($G55:$G56)</f>
        <v>#DIV/0!</v>
      </c>
      <c r="AM55" s="48" t="e">
        <f t="shared" si="56"/>
        <v>#DIV/0!</v>
      </c>
      <c r="AN55" s="47" t="e">
        <f t="shared" si="56"/>
        <v>#DIV/0!</v>
      </c>
      <c r="AO55" s="48" t="e">
        <f t="shared" si="56"/>
        <v>#DIV/0!</v>
      </c>
      <c r="AP55" s="47" t="e">
        <f t="shared" si="56"/>
        <v>#DIV/0!</v>
      </c>
      <c r="AQ55" s="282" t="e">
        <f t="shared" si="56"/>
        <v>#DIV/0!</v>
      </c>
      <c r="AR55" s="281" t="e">
        <f t="shared" si="56"/>
        <v>#DIV/0!</v>
      </c>
      <c r="AS55" s="48" t="e">
        <f t="shared" si="56"/>
        <v>#DIV/0!</v>
      </c>
      <c r="AT55" s="47" t="e">
        <f t="shared" si="56"/>
        <v>#DIV/0!</v>
      </c>
      <c r="AU55" s="48" t="e">
        <f t="shared" si="56"/>
        <v>#DIV/0!</v>
      </c>
      <c r="AV55" s="47" t="e">
        <f t="shared" si="56"/>
        <v>#DIV/0!</v>
      </c>
      <c r="AW55" s="282" t="e">
        <f t="shared" si="56"/>
        <v>#DIV/0!</v>
      </c>
      <c r="AX55" s="281" t="e">
        <f t="shared" si="56"/>
        <v>#DIV/0!</v>
      </c>
      <c r="AY55" s="48" t="e">
        <f t="shared" si="56"/>
        <v>#DIV/0!</v>
      </c>
      <c r="AZ55" s="281" t="e">
        <f t="shared" si="56"/>
        <v>#DIV/0!</v>
      </c>
      <c r="BA55" s="51" t="e">
        <f t="shared" si="56"/>
        <v>#DIV/0!</v>
      </c>
      <c r="BB55" s="47" t="e">
        <f t="shared" si="56"/>
        <v>#DIV/0!</v>
      </c>
      <c r="BC55" s="51" t="e">
        <f t="shared" si="56"/>
        <v>#DIV/0!</v>
      </c>
      <c r="BD55" s="47" t="e">
        <f t="shared" si="56"/>
        <v>#DIV/0!</v>
      </c>
      <c r="BE55" s="282" t="e">
        <f t="shared" si="56"/>
        <v>#DIV/0!</v>
      </c>
      <c r="BG55" s="285" t="e">
        <f t="shared" ref="BG55:BZ55" si="57">AL55*$AJ55</f>
        <v>#DIV/0!</v>
      </c>
      <c r="BH55" s="49" t="e">
        <f t="shared" si="57"/>
        <v>#DIV/0!</v>
      </c>
      <c r="BI55" s="49" t="e">
        <f t="shared" si="57"/>
        <v>#DIV/0!</v>
      </c>
      <c r="BJ55" s="49" t="e">
        <f t="shared" si="57"/>
        <v>#DIV/0!</v>
      </c>
      <c r="BK55" s="49" t="e">
        <f t="shared" si="57"/>
        <v>#DIV/0!</v>
      </c>
      <c r="BL55" s="286" t="e">
        <f t="shared" si="57"/>
        <v>#DIV/0!</v>
      </c>
      <c r="BM55" s="285" t="e">
        <f t="shared" si="57"/>
        <v>#DIV/0!</v>
      </c>
      <c r="BN55" s="49" t="e">
        <f t="shared" si="57"/>
        <v>#DIV/0!</v>
      </c>
      <c r="BO55" s="49" t="e">
        <f t="shared" si="57"/>
        <v>#DIV/0!</v>
      </c>
      <c r="BP55" s="49" t="e">
        <f t="shared" si="57"/>
        <v>#DIV/0!</v>
      </c>
      <c r="BQ55" s="49" t="e">
        <f t="shared" si="57"/>
        <v>#DIV/0!</v>
      </c>
      <c r="BR55" s="286" t="e">
        <f t="shared" si="57"/>
        <v>#DIV/0!</v>
      </c>
      <c r="BS55" s="285" t="e">
        <f t="shared" si="57"/>
        <v>#DIV/0!</v>
      </c>
      <c r="BT55" s="20" t="e">
        <f t="shared" si="57"/>
        <v>#DIV/0!</v>
      </c>
      <c r="BU55" s="285" t="e">
        <f t="shared" si="57"/>
        <v>#DIV/0!</v>
      </c>
      <c r="BV55" s="20" t="e">
        <f t="shared" si="57"/>
        <v>#DIV/0!</v>
      </c>
      <c r="BW55" s="20" t="e">
        <f t="shared" si="57"/>
        <v>#DIV/0!</v>
      </c>
      <c r="BX55" s="20" t="e">
        <f t="shared" si="57"/>
        <v>#DIV/0!</v>
      </c>
      <c r="BY55" s="20" t="e">
        <f t="shared" si="57"/>
        <v>#DIV/0!</v>
      </c>
      <c r="BZ55" s="249" t="e">
        <f t="shared" si="57"/>
        <v>#DIV/0!</v>
      </c>
    </row>
    <row r="56" spans="1:78" ht="16.5" thickBot="1" x14ac:dyDescent="0.3">
      <c r="A56" s="15">
        <v>5</v>
      </c>
      <c r="B56" s="408"/>
      <c r="C56" s="139"/>
      <c r="D56" s="121" t="s">
        <v>40</v>
      </c>
      <c r="E56" s="4"/>
      <c r="F56" s="122"/>
      <c r="G56" s="274"/>
      <c r="H56" s="278"/>
      <c r="I56" s="124"/>
      <c r="J56" s="125"/>
      <c r="K56" s="126"/>
      <c r="L56" s="124"/>
      <c r="M56" s="140"/>
      <c r="N56" s="278"/>
      <c r="O56" s="124"/>
      <c r="P56" s="125"/>
      <c r="Q56" s="124"/>
      <c r="R56" s="125"/>
      <c r="S56" s="140"/>
      <c r="T56" s="124"/>
      <c r="U56" s="124"/>
      <c r="V56" s="278"/>
      <c r="W56" s="124"/>
      <c r="X56" s="124"/>
      <c r="Y56" s="124"/>
      <c r="Z56" s="124"/>
      <c r="AA56" s="140"/>
      <c r="AB56" s="216"/>
      <c r="AC56" s="204"/>
      <c r="AD56" s="205"/>
      <c r="AE56" s="206"/>
      <c r="AF56" s="207"/>
      <c r="AG56" s="212"/>
      <c r="AH56" s="208"/>
      <c r="AI56" s="208"/>
      <c r="AJ56" s="209"/>
      <c r="AK56" s="173"/>
      <c r="AL56" s="283"/>
      <c r="AM56" s="132"/>
      <c r="AN56" s="131"/>
      <c r="AO56" s="132"/>
      <c r="AP56" s="131"/>
      <c r="AQ56" s="284"/>
      <c r="AR56" s="283"/>
      <c r="AS56" s="132"/>
      <c r="AT56" s="131"/>
      <c r="AU56" s="132"/>
      <c r="AV56" s="131"/>
      <c r="AW56" s="284"/>
      <c r="AX56" s="283"/>
      <c r="AY56" s="132"/>
      <c r="AZ56" s="283"/>
      <c r="BA56" s="133"/>
      <c r="BB56" s="131"/>
      <c r="BC56" s="133"/>
      <c r="BD56" s="131"/>
      <c r="BE56" s="284"/>
      <c r="BG56" s="287"/>
      <c r="BH56" s="64"/>
      <c r="BI56" s="64"/>
      <c r="BJ56" s="64"/>
      <c r="BK56" s="64"/>
      <c r="BL56" s="288"/>
      <c r="BM56" s="287"/>
      <c r="BN56" s="64"/>
      <c r="BO56" s="64"/>
      <c r="BP56" s="64"/>
      <c r="BQ56" s="64"/>
      <c r="BR56" s="288"/>
      <c r="BS56" s="287"/>
      <c r="BT56" s="127"/>
      <c r="BU56" s="287"/>
      <c r="BV56" s="127"/>
      <c r="BW56" s="127"/>
      <c r="BX56" s="127"/>
      <c r="BY56" s="127"/>
      <c r="BZ56" s="289"/>
    </row>
    <row r="57" spans="1:78" x14ac:dyDescent="0.25">
      <c r="A57" s="15">
        <v>6</v>
      </c>
      <c r="B57" s="401" t="str">
        <f>C9</f>
        <v>Sept 15-21</v>
      </c>
      <c r="C57" s="120"/>
      <c r="D57" s="55" t="s">
        <v>39</v>
      </c>
      <c r="E57" s="3"/>
      <c r="F57" s="39"/>
      <c r="G57" s="272"/>
      <c r="H57" s="277"/>
      <c r="I57" s="40"/>
      <c r="J57" s="41"/>
      <c r="K57" s="42"/>
      <c r="L57" s="40"/>
      <c r="M57" s="58"/>
      <c r="N57" s="277"/>
      <c r="O57" s="40"/>
      <c r="P57" s="41"/>
      <c r="Q57" s="40"/>
      <c r="R57" s="41"/>
      <c r="S57" s="58"/>
      <c r="T57" s="40"/>
      <c r="U57" s="40"/>
      <c r="V57" s="277"/>
      <c r="W57" s="40"/>
      <c r="X57" s="40"/>
      <c r="Y57" s="40"/>
      <c r="Z57" s="40"/>
      <c r="AA57" s="58"/>
      <c r="AB57" s="7" t="e">
        <f>SUM(G57:G59)/SUM(F57:F59)</f>
        <v>#DIV/0!</v>
      </c>
      <c r="AC57" s="192"/>
      <c r="AD57" s="193"/>
      <c r="AE57" s="195" t="e">
        <f>SUM(AC57:AC59)/SUM(AD57:AD59)</f>
        <v>#DIV/0!</v>
      </c>
      <c r="AF57" s="194"/>
      <c r="AG57" s="210">
        <v>15.5</v>
      </c>
      <c r="AH57" s="196" t="e">
        <f>AE57*AG57</f>
        <v>#DIV/0!</v>
      </c>
      <c r="AI57" s="197" t="e">
        <f t="shared" ref="AI57" si="58">AH57/AI$51</f>
        <v>#DIV/0!</v>
      </c>
      <c r="AJ57" s="197" t="e">
        <f>AI57*5</f>
        <v>#DIV/0!</v>
      </c>
      <c r="AK57" s="181" t="e">
        <f>SUM(F57:F59)/(SUM(G57:G59)/SUM(AJ57))</f>
        <v>#DIV/0!</v>
      </c>
      <c r="AL57" s="279" t="e">
        <f t="shared" ref="AL57:BE57" si="59">SUM(H57:H59)/SUM($G57:$G59)</f>
        <v>#DIV/0!</v>
      </c>
      <c r="AM57" s="129" t="e">
        <f t="shared" si="59"/>
        <v>#DIV/0!</v>
      </c>
      <c r="AN57" s="128" t="e">
        <f t="shared" si="59"/>
        <v>#DIV/0!</v>
      </c>
      <c r="AO57" s="129" t="e">
        <f t="shared" si="59"/>
        <v>#DIV/0!</v>
      </c>
      <c r="AP57" s="128" t="e">
        <f t="shared" si="59"/>
        <v>#DIV/0!</v>
      </c>
      <c r="AQ57" s="280" t="e">
        <f t="shared" si="59"/>
        <v>#DIV/0!</v>
      </c>
      <c r="AR57" s="279" t="e">
        <f t="shared" si="59"/>
        <v>#DIV/0!</v>
      </c>
      <c r="AS57" s="129" t="e">
        <f t="shared" si="59"/>
        <v>#DIV/0!</v>
      </c>
      <c r="AT57" s="128" t="e">
        <f t="shared" si="59"/>
        <v>#DIV/0!</v>
      </c>
      <c r="AU57" s="129" t="e">
        <f t="shared" si="59"/>
        <v>#DIV/0!</v>
      </c>
      <c r="AV57" s="128" t="e">
        <f t="shared" si="59"/>
        <v>#DIV/0!</v>
      </c>
      <c r="AW57" s="280" t="e">
        <f t="shared" si="59"/>
        <v>#DIV/0!</v>
      </c>
      <c r="AX57" s="279" t="e">
        <f t="shared" si="59"/>
        <v>#DIV/0!</v>
      </c>
      <c r="AY57" s="129" t="e">
        <f t="shared" si="59"/>
        <v>#DIV/0!</v>
      </c>
      <c r="AZ57" s="279" t="e">
        <f t="shared" si="59"/>
        <v>#DIV/0!</v>
      </c>
      <c r="BA57" s="130" t="e">
        <f t="shared" si="59"/>
        <v>#DIV/0!</v>
      </c>
      <c r="BB57" s="128" t="e">
        <f t="shared" si="59"/>
        <v>#DIV/0!</v>
      </c>
      <c r="BC57" s="130" t="e">
        <f t="shared" si="59"/>
        <v>#DIV/0!</v>
      </c>
      <c r="BD57" s="128" t="e">
        <f t="shared" si="59"/>
        <v>#DIV/0!</v>
      </c>
      <c r="BE57" s="280" t="e">
        <f t="shared" si="59"/>
        <v>#DIV/0!</v>
      </c>
      <c r="BG57" s="285" t="e">
        <f t="shared" ref="BG57:BZ57" si="60">AL57*$AJ57</f>
        <v>#DIV/0!</v>
      </c>
      <c r="BH57" s="49" t="e">
        <f t="shared" si="60"/>
        <v>#DIV/0!</v>
      </c>
      <c r="BI57" s="49" t="e">
        <f t="shared" si="60"/>
        <v>#DIV/0!</v>
      </c>
      <c r="BJ57" s="49" t="e">
        <f t="shared" si="60"/>
        <v>#DIV/0!</v>
      </c>
      <c r="BK57" s="49" t="e">
        <f t="shared" si="60"/>
        <v>#DIV/0!</v>
      </c>
      <c r="BL57" s="286" t="e">
        <f t="shared" si="60"/>
        <v>#DIV/0!</v>
      </c>
      <c r="BM57" s="285" t="e">
        <f t="shared" si="60"/>
        <v>#DIV/0!</v>
      </c>
      <c r="BN57" s="49" t="e">
        <f t="shared" si="60"/>
        <v>#DIV/0!</v>
      </c>
      <c r="BO57" s="49" t="e">
        <f t="shared" si="60"/>
        <v>#DIV/0!</v>
      </c>
      <c r="BP57" s="49" t="e">
        <f t="shared" si="60"/>
        <v>#DIV/0!</v>
      </c>
      <c r="BQ57" s="49" t="e">
        <f t="shared" si="60"/>
        <v>#DIV/0!</v>
      </c>
      <c r="BR57" s="286" t="e">
        <f t="shared" si="60"/>
        <v>#DIV/0!</v>
      </c>
      <c r="BS57" s="285" t="e">
        <f t="shared" si="60"/>
        <v>#DIV/0!</v>
      </c>
      <c r="BT57" s="20" t="e">
        <f t="shared" si="60"/>
        <v>#DIV/0!</v>
      </c>
      <c r="BU57" s="285" t="e">
        <f t="shared" si="60"/>
        <v>#DIV/0!</v>
      </c>
      <c r="BV57" s="20" t="e">
        <f t="shared" si="60"/>
        <v>#DIV/0!</v>
      </c>
      <c r="BW57" s="20" t="e">
        <f t="shared" si="60"/>
        <v>#DIV/0!</v>
      </c>
      <c r="BX57" s="20" t="e">
        <f t="shared" si="60"/>
        <v>#DIV/0!</v>
      </c>
      <c r="BY57" s="20" t="e">
        <f t="shared" si="60"/>
        <v>#DIV/0!</v>
      </c>
      <c r="BZ57" s="249" t="e">
        <f t="shared" si="60"/>
        <v>#DIV/0!</v>
      </c>
    </row>
    <row r="58" spans="1:78" x14ac:dyDescent="0.25">
      <c r="A58" s="15">
        <v>7</v>
      </c>
      <c r="B58" s="402"/>
      <c r="C58" s="50"/>
      <c r="D58" s="56" t="s">
        <v>39</v>
      </c>
      <c r="E58" s="34"/>
      <c r="F58" s="31"/>
      <c r="G58" s="273"/>
      <c r="H58" s="267"/>
      <c r="J58" s="45"/>
      <c r="K58" s="46"/>
      <c r="M58" s="52"/>
      <c r="N58" s="267"/>
      <c r="P58" s="45"/>
      <c r="R58" s="45"/>
      <c r="S58" s="52"/>
      <c r="V58" s="267"/>
      <c r="AA58" s="52"/>
      <c r="AB58" s="7"/>
      <c r="AC58" s="198"/>
      <c r="AD58" s="199"/>
      <c r="AE58" s="200"/>
      <c r="AF58" s="201"/>
      <c r="AG58" s="211"/>
      <c r="AH58" s="202"/>
      <c r="AI58" s="202"/>
      <c r="AJ58" s="203"/>
      <c r="AK58" s="172"/>
      <c r="AL58" s="281"/>
      <c r="AM58" s="48"/>
      <c r="AN58" s="47"/>
      <c r="AO58" s="48"/>
      <c r="AP58" s="47"/>
      <c r="AQ58" s="282"/>
      <c r="AR58" s="281"/>
      <c r="AS58" s="48"/>
      <c r="AT58" s="47"/>
      <c r="AU58" s="48"/>
      <c r="AV58" s="47"/>
      <c r="AW58" s="282"/>
      <c r="AX58" s="281"/>
      <c r="AY58" s="48"/>
      <c r="AZ58" s="281"/>
      <c r="BA58" s="51"/>
      <c r="BB58" s="47"/>
      <c r="BC58" s="51"/>
      <c r="BD58" s="47"/>
      <c r="BE58" s="282"/>
      <c r="BG58" s="285"/>
      <c r="BH58" s="49"/>
      <c r="BI58" s="49"/>
      <c r="BJ58" s="49"/>
      <c r="BK58" s="49"/>
      <c r="BL58" s="286"/>
      <c r="BM58" s="285"/>
      <c r="BN58" s="49"/>
      <c r="BO58" s="49"/>
      <c r="BP58" s="49"/>
      <c r="BQ58" s="49"/>
      <c r="BR58" s="286"/>
      <c r="BS58" s="285"/>
      <c r="BT58" s="20"/>
      <c r="BU58" s="285"/>
      <c r="BV58" s="20"/>
      <c r="BW58" s="20"/>
      <c r="BX58" s="20"/>
      <c r="BY58" s="20"/>
      <c r="BZ58" s="249"/>
    </row>
    <row r="59" spans="1:78" x14ac:dyDescent="0.25">
      <c r="A59" s="15">
        <v>8</v>
      </c>
      <c r="B59" s="402"/>
      <c r="C59" s="50"/>
      <c r="D59" s="56" t="s">
        <v>39</v>
      </c>
      <c r="E59" s="34"/>
      <c r="F59" s="31"/>
      <c r="G59" s="273"/>
      <c r="H59" s="267"/>
      <c r="J59" s="45"/>
      <c r="K59" s="46"/>
      <c r="M59" s="52"/>
      <c r="N59" s="267"/>
      <c r="P59" s="45"/>
      <c r="R59" s="45"/>
      <c r="S59" s="52"/>
      <c r="V59" s="267"/>
      <c r="AA59" s="52"/>
      <c r="AB59" s="7"/>
      <c r="AC59" s="198"/>
      <c r="AD59" s="199"/>
      <c r="AE59" s="200"/>
      <c r="AF59" s="201"/>
      <c r="AG59" s="211"/>
      <c r="AH59" s="202"/>
      <c r="AI59" s="202"/>
      <c r="AJ59" s="203"/>
      <c r="AK59" s="172"/>
      <c r="AL59" s="281"/>
      <c r="AM59" s="48"/>
      <c r="AN59" s="47"/>
      <c r="AO59" s="48"/>
      <c r="AP59" s="47"/>
      <c r="AQ59" s="282"/>
      <c r="AR59" s="281"/>
      <c r="AS59" s="48"/>
      <c r="AT59" s="47"/>
      <c r="AU59" s="48"/>
      <c r="AV59" s="47"/>
      <c r="AW59" s="282"/>
      <c r="AX59" s="281"/>
      <c r="AY59" s="48"/>
      <c r="AZ59" s="281"/>
      <c r="BA59" s="51"/>
      <c r="BB59" s="47"/>
      <c r="BC59" s="51"/>
      <c r="BD59" s="47"/>
      <c r="BE59" s="282"/>
      <c r="BG59" s="285"/>
      <c r="BH59" s="49"/>
      <c r="BI59" s="49"/>
      <c r="BJ59" s="49"/>
      <c r="BK59" s="49"/>
      <c r="BL59" s="286"/>
      <c r="BM59" s="285"/>
      <c r="BN59" s="49"/>
      <c r="BO59" s="49"/>
      <c r="BP59" s="49"/>
      <c r="BQ59" s="49"/>
      <c r="BR59" s="286"/>
      <c r="BS59" s="285"/>
      <c r="BT59" s="20"/>
      <c r="BU59" s="285"/>
      <c r="BV59" s="20"/>
      <c r="BW59" s="20"/>
      <c r="BX59" s="20"/>
      <c r="BY59" s="20"/>
      <c r="BZ59" s="249"/>
    </row>
    <row r="60" spans="1:78" x14ac:dyDescent="0.25">
      <c r="A60" s="15">
        <v>9</v>
      </c>
      <c r="B60" s="402"/>
      <c r="C60" s="50"/>
      <c r="D60" s="56" t="s">
        <v>40</v>
      </c>
      <c r="E60" s="34"/>
      <c r="F60" s="31"/>
      <c r="G60" s="273"/>
      <c r="H60" s="267"/>
      <c r="J60" s="45"/>
      <c r="K60" s="46"/>
      <c r="M60" s="52"/>
      <c r="N60" s="267"/>
      <c r="P60" s="45"/>
      <c r="R60" s="45"/>
      <c r="S60" s="52"/>
      <c r="V60" s="267"/>
      <c r="AA60" s="52"/>
      <c r="AB60" s="7" t="e">
        <f>SUM(G60+G61)/SUM(F60+F61)</f>
        <v>#DIV/0!</v>
      </c>
      <c r="AC60" s="198"/>
      <c r="AD60" s="199"/>
      <c r="AE60" s="200" t="e">
        <f>SUM(AC60:AC61)/SUM(AD60:AD61)</f>
        <v>#DIV/0!</v>
      </c>
      <c r="AF60" s="201"/>
      <c r="AG60" s="211">
        <v>15.6</v>
      </c>
      <c r="AH60" s="202" t="e">
        <f>AE60*AG60</f>
        <v>#DIV/0!</v>
      </c>
      <c r="AI60" s="203" t="e">
        <f t="shared" ref="AI60" si="61">AH60/AI$51</f>
        <v>#DIV/0!</v>
      </c>
      <c r="AJ60" s="203" t="e">
        <f>AI60*2</f>
        <v>#DIV/0!</v>
      </c>
      <c r="AK60" s="181" t="e">
        <f>SUM(F60:F61)/(SUM(G60:G61)/SUM(AJ60))</f>
        <v>#DIV/0!</v>
      </c>
      <c r="AL60" s="281" t="e">
        <f t="shared" ref="AL60:AW60" si="62">SUM(H60:H61)/SUM($G60:$G61)</f>
        <v>#DIV/0!</v>
      </c>
      <c r="AM60" s="48" t="e">
        <f t="shared" si="62"/>
        <v>#DIV/0!</v>
      </c>
      <c r="AN60" s="47" t="e">
        <f t="shared" si="62"/>
        <v>#DIV/0!</v>
      </c>
      <c r="AO60" s="48" t="e">
        <f t="shared" si="62"/>
        <v>#DIV/0!</v>
      </c>
      <c r="AP60" s="47" t="e">
        <f t="shared" si="62"/>
        <v>#DIV/0!</v>
      </c>
      <c r="AQ60" s="282" t="e">
        <f t="shared" si="62"/>
        <v>#DIV/0!</v>
      </c>
      <c r="AR60" s="281" t="e">
        <f t="shared" si="62"/>
        <v>#DIV/0!</v>
      </c>
      <c r="AS60" s="48" t="e">
        <f t="shared" si="62"/>
        <v>#DIV/0!</v>
      </c>
      <c r="AT60" s="47" t="e">
        <f t="shared" si="62"/>
        <v>#DIV/0!</v>
      </c>
      <c r="AU60" s="48" t="e">
        <f t="shared" si="62"/>
        <v>#DIV/0!</v>
      </c>
      <c r="AV60" s="47" t="e">
        <f t="shared" si="62"/>
        <v>#DIV/0!</v>
      </c>
      <c r="AW60" s="282" t="e">
        <f t="shared" si="62"/>
        <v>#DIV/0!</v>
      </c>
      <c r="AX60" s="281" t="e">
        <f t="shared" ref="AX60" si="63">SUM(T60:T61)/SUM($G60:$G61)</f>
        <v>#DIV/0!</v>
      </c>
      <c r="AY60" s="48" t="e">
        <f t="shared" ref="AY60:BE60" si="64">SUM(U60:U61)/SUM($G60:$G61)</f>
        <v>#DIV/0!</v>
      </c>
      <c r="AZ60" s="281" t="e">
        <f t="shared" si="64"/>
        <v>#DIV/0!</v>
      </c>
      <c r="BA60" s="51" t="e">
        <f t="shared" si="64"/>
        <v>#DIV/0!</v>
      </c>
      <c r="BB60" s="47" t="e">
        <f t="shared" si="64"/>
        <v>#DIV/0!</v>
      </c>
      <c r="BC60" s="51" t="e">
        <f t="shared" si="64"/>
        <v>#DIV/0!</v>
      </c>
      <c r="BD60" s="47" t="e">
        <f t="shared" si="64"/>
        <v>#DIV/0!</v>
      </c>
      <c r="BE60" s="282" t="e">
        <f t="shared" si="64"/>
        <v>#DIV/0!</v>
      </c>
      <c r="BG60" s="285" t="e">
        <f t="shared" ref="BG60:BZ60" si="65">AL60*$AJ60</f>
        <v>#DIV/0!</v>
      </c>
      <c r="BH60" s="49" t="e">
        <f t="shared" si="65"/>
        <v>#DIV/0!</v>
      </c>
      <c r="BI60" s="49" t="e">
        <f t="shared" si="65"/>
        <v>#DIV/0!</v>
      </c>
      <c r="BJ60" s="49" t="e">
        <f t="shared" si="65"/>
        <v>#DIV/0!</v>
      </c>
      <c r="BK60" s="49" t="e">
        <f t="shared" si="65"/>
        <v>#DIV/0!</v>
      </c>
      <c r="BL60" s="286" t="e">
        <f t="shared" si="65"/>
        <v>#DIV/0!</v>
      </c>
      <c r="BM60" s="285" t="e">
        <f t="shared" si="65"/>
        <v>#DIV/0!</v>
      </c>
      <c r="BN60" s="49" t="e">
        <f t="shared" si="65"/>
        <v>#DIV/0!</v>
      </c>
      <c r="BO60" s="49" t="e">
        <f t="shared" si="65"/>
        <v>#DIV/0!</v>
      </c>
      <c r="BP60" s="49" t="e">
        <f t="shared" si="65"/>
        <v>#DIV/0!</v>
      </c>
      <c r="BQ60" s="49" t="e">
        <f t="shared" si="65"/>
        <v>#DIV/0!</v>
      </c>
      <c r="BR60" s="286" t="e">
        <f t="shared" si="65"/>
        <v>#DIV/0!</v>
      </c>
      <c r="BS60" s="285" t="e">
        <f t="shared" si="65"/>
        <v>#DIV/0!</v>
      </c>
      <c r="BT60" s="20" t="e">
        <f t="shared" si="65"/>
        <v>#DIV/0!</v>
      </c>
      <c r="BU60" s="285" t="e">
        <f t="shared" si="65"/>
        <v>#DIV/0!</v>
      </c>
      <c r="BV60" s="20" t="e">
        <f t="shared" si="65"/>
        <v>#DIV/0!</v>
      </c>
      <c r="BW60" s="20" t="e">
        <f t="shared" si="65"/>
        <v>#DIV/0!</v>
      </c>
      <c r="BX60" s="20" t="e">
        <f t="shared" si="65"/>
        <v>#DIV/0!</v>
      </c>
      <c r="BY60" s="20" t="e">
        <f t="shared" si="65"/>
        <v>#DIV/0!</v>
      </c>
      <c r="BZ60" s="249" t="e">
        <f t="shared" si="65"/>
        <v>#DIV/0!</v>
      </c>
    </row>
    <row r="61" spans="1:78" ht="16.5" thickBot="1" x14ac:dyDescent="0.3">
      <c r="A61" s="15">
        <v>10</v>
      </c>
      <c r="B61" s="403"/>
      <c r="C61" s="139"/>
      <c r="D61" s="121" t="s">
        <v>40</v>
      </c>
      <c r="E61" s="4"/>
      <c r="F61" s="122"/>
      <c r="G61" s="274"/>
      <c r="H61" s="278"/>
      <c r="I61" s="124"/>
      <c r="J61" s="125"/>
      <c r="K61" s="126"/>
      <c r="L61" s="124"/>
      <c r="M61" s="140"/>
      <c r="N61" s="278"/>
      <c r="O61" s="124"/>
      <c r="P61" s="125"/>
      <c r="Q61" s="124"/>
      <c r="R61" s="125"/>
      <c r="S61" s="140"/>
      <c r="T61" s="124"/>
      <c r="U61" s="124"/>
      <c r="V61" s="278"/>
      <c r="W61" s="124"/>
      <c r="X61" s="124"/>
      <c r="Y61" s="124"/>
      <c r="Z61" s="124"/>
      <c r="AA61" s="140"/>
      <c r="AB61" s="216"/>
      <c r="AC61" s="204"/>
      <c r="AD61" s="205"/>
      <c r="AE61" s="206"/>
      <c r="AF61" s="207"/>
      <c r="AG61" s="212"/>
      <c r="AH61" s="208"/>
      <c r="AI61" s="208"/>
      <c r="AJ61" s="209"/>
      <c r="AK61" s="173"/>
      <c r="AL61" s="283"/>
      <c r="AM61" s="132"/>
      <c r="AN61" s="131"/>
      <c r="AO61" s="132"/>
      <c r="AP61" s="131"/>
      <c r="AQ61" s="284"/>
      <c r="AR61" s="283"/>
      <c r="AS61" s="132"/>
      <c r="AT61" s="131"/>
      <c r="AU61" s="132"/>
      <c r="AV61" s="131"/>
      <c r="AW61" s="284"/>
      <c r="AX61" s="283"/>
      <c r="AY61" s="132"/>
      <c r="AZ61" s="283"/>
      <c r="BA61" s="133"/>
      <c r="BB61" s="131"/>
      <c r="BC61" s="133"/>
      <c r="BD61" s="131"/>
      <c r="BE61" s="284"/>
      <c r="BG61" s="287"/>
      <c r="BH61" s="64"/>
      <c r="BI61" s="64"/>
      <c r="BJ61" s="64"/>
      <c r="BK61" s="64"/>
      <c r="BL61" s="288"/>
      <c r="BM61" s="287"/>
      <c r="BN61" s="64"/>
      <c r="BO61" s="64"/>
      <c r="BP61" s="64"/>
      <c r="BQ61" s="64"/>
      <c r="BR61" s="288"/>
      <c r="BS61" s="287"/>
      <c r="BT61" s="127"/>
      <c r="BU61" s="287"/>
      <c r="BV61" s="127"/>
      <c r="BW61" s="127"/>
      <c r="BX61" s="127"/>
      <c r="BY61" s="127"/>
      <c r="BZ61" s="289"/>
    </row>
    <row r="62" spans="1:78" x14ac:dyDescent="0.25">
      <c r="A62" s="15">
        <v>11</v>
      </c>
      <c r="B62" s="401" t="str">
        <f>C10</f>
        <v>Sept 21-28</v>
      </c>
      <c r="C62" s="120"/>
      <c r="D62" s="55" t="s">
        <v>39</v>
      </c>
      <c r="E62" s="3"/>
      <c r="F62" s="39"/>
      <c r="G62" s="272"/>
      <c r="H62" s="277"/>
      <c r="I62" s="40"/>
      <c r="J62" s="41"/>
      <c r="K62" s="42"/>
      <c r="L62" s="40"/>
      <c r="M62" s="58"/>
      <c r="N62" s="277"/>
      <c r="O62" s="40"/>
      <c r="P62" s="41"/>
      <c r="Q62" s="40"/>
      <c r="R62" s="41"/>
      <c r="S62" s="58"/>
      <c r="T62" s="40"/>
      <c r="U62" s="40"/>
      <c r="V62" s="277"/>
      <c r="W62" s="40"/>
      <c r="X62" s="40"/>
      <c r="Y62" s="40"/>
      <c r="Z62" s="40"/>
      <c r="AA62" s="58"/>
      <c r="AB62" s="7" t="e">
        <f>SUM(G62:G64)/SUM(F62:F64)</f>
        <v>#DIV/0!</v>
      </c>
      <c r="AC62" s="192"/>
      <c r="AD62" s="193"/>
      <c r="AE62" s="195" t="e">
        <f>SUM(AC62:AC64)/SUM(AD62:AD64)</f>
        <v>#DIV/0!</v>
      </c>
      <c r="AF62" s="194"/>
      <c r="AG62" s="210">
        <v>15.7</v>
      </c>
      <c r="AH62" s="196" t="e">
        <f>AE62*AG62</f>
        <v>#DIV/0!</v>
      </c>
      <c r="AI62" s="197" t="e">
        <f t="shared" ref="AI62" si="66">AH62/AI$51</f>
        <v>#DIV/0!</v>
      </c>
      <c r="AJ62" s="197" t="e">
        <f>AI62*5</f>
        <v>#DIV/0!</v>
      </c>
      <c r="AK62" s="181" t="e">
        <f>SUM(F62:F64)/(SUM(G62:G64)/SUM(AJ62))</f>
        <v>#DIV/0!</v>
      </c>
      <c r="AL62" s="279" t="e">
        <f t="shared" ref="AL62:BE62" si="67">SUM(H62:H64)/SUM($G62:$G64)</f>
        <v>#DIV/0!</v>
      </c>
      <c r="AM62" s="129" t="e">
        <f t="shared" si="67"/>
        <v>#DIV/0!</v>
      </c>
      <c r="AN62" s="128" t="e">
        <f t="shared" si="67"/>
        <v>#DIV/0!</v>
      </c>
      <c r="AO62" s="129" t="e">
        <f t="shared" si="67"/>
        <v>#DIV/0!</v>
      </c>
      <c r="AP62" s="128" t="e">
        <f t="shared" si="67"/>
        <v>#DIV/0!</v>
      </c>
      <c r="AQ62" s="280" t="e">
        <f t="shared" si="67"/>
        <v>#DIV/0!</v>
      </c>
      <c r="AR62" s="279" t="e">
        <f t="shared" si="67"/>
        <v>#DIV/0!</v>
      </c>
      <c r="AS62" s="129" t="e">
        <f t="shared" si="67"/>
        <v>#DIV/0!</v>
      </c>
      <c r="AT62" s="128" t="e">
        <f t="shared" si="67"/>
        <v>#DIV/0!</v>
      </c>
      <c r="AU62" s="129" t="e">
        <f t="shared" si="67"/>
        <v>#DIV/0!</v>
      </c>
      <c r="AV62" s="128" t="e">
        <f t="shared" si="67"/>
        <v>#DIV/0!</v>
      </c>
      <c r="AW62" s="280" t="e">
        <f t="shared" si="67"/>
        <v>#DIV/0!</v>
      </c>
      <c r="AX62" s="279" t="e">
        <f t="shared" si="67"/>
        <v>#DIV/0!</v>
      </c>
      <c r="AY62" s="129" t="e">
        <f t="shared" si="67"/>
        <v>#DIV/0!</v>
      </c>
      <c r="AZ62" s="279" t="e">
        <f t="shared" si="67"/>
        <v>#DIV/0!</v>
      </c>
      <c r="BA62" s="130" t="e">
        <f t="shared" si="67"/>
        <v>#DIV/0!</v>
      </c>
      <c r="BB62" s="128" t="e">
        <f t="shared" si="67"/>
        <v>#DIV/0!</v>
      </c>
      <c r="BC62" s="130" t="e">
        <f t="shared" si="67"/>
        <v>#DIV/0!</v>
      </c>
      <c r="BD62" s="128" t="e">
        <f t="shared" si="67"/>
        <v>#DIV/0!</v>
      </c>
      <c r="BE62" s="280" t="e">
        <f t="shared" si="67"/>
        <v>#DIV/0!</v>
      </c>
      <c r="BG62" s="285" t="e">
        <f t="shared" ref="BG62:BZ62" si="68">AL62*$AJ62</f>
        <v>#DIV/0!</v>
      </c>
      <c r="BH62" s="49" t="e">
        <f t="shared" si="68"/>
        <v>#DIV/0!</v>
      </c>
      <c r="BI62" s="49" t="e">
        <f t="shared" si="68"/>
        <v>#DIV/0!</v>
      </c>
      <c r="BJ62" s="49" t="e">
        <f t="shared" si="68"/>
        <v>#DIV/0!</v>
      </c>
      <c r="BK62" s="49" t="e">
        <f t="shared" si="68"/>
        <v>#DIV/0!</v>
      </c>
      <c r="BL62" s="286" t="e">
        <f t="shared" si="68"/>
        <v>#DIV/0!</v>
      </c>
      <c r="BM62" s="285" t="e">
        <f t="shared" si="68"/>
        <v>#DIV/0!</v>
      </c>
      <c r="BN62" s="49" t="e">
        <f t="shared" si="68"/>
        <v>#DIV/0!</v>
      </c>
      <c r="BO62" s="49" t="e">
        <f t="shared" si="68"/>
        <v>#DIV/0!</v>
      </c>
      <c r="BP62" s="49" t="e">
        <f t="shared" si="68"/>
        <v>#DIV/0!</v>
      </c>
      <c r="BQ62" s="49" t="e">
        <f t="shared" si="68"/>
        <v>#DIV/0!</v>
      </c>
      <c r="BR62" s="286" t="e">
        <f t="shared" si="68"/>
        <v>#DIV/0!</v>
      </c>
      <c r="BS62" s="285" t="e">
        <f t="shared" si="68"/>
        <v>#DIV/0!</v>
      </c>
      <c r="BT62" s="20" t="e">
        <f t="shared" si="68"/>
        <v>#DIV/0!</v>
      </c>
      <c r="BU62" s="285" t="e">
        <f t="shared" si="68"/>
        <v>#DIV/0!</v>
      </c>
      <c r="BV62" s="20" t="e">
        <f t="shared" si="68"/>
        <v>#DIV/0!</v>
      </c>
      <c r="BW62" s="20" t="e">
        <f t="shared" si="68"/>
        <v>#DIV/0!</v>
      </c>
      <c r="BX62" s="20" t="e">
        <f t="shared" si="68"/>
        <v>#DIV/0!</v>
      </c>
      <c r="BY62" s="20" t="e">
        <f t="shared" si="68"/>
        <v>#DIV/0!</v>
      </c>
      <c r="BZ62" s="249" t="e">
        <f t="shared" si="68"/>
        <v>#DIV/0!</v>
      </c>
    </row>
    <row r="63" spans="1:78" x14ac:dyDescent="0.25">
      <c r="A63" s="15">
        <v>12</v>
      </c>
      <c r="B63" s="402"/>
      <c r="C63" s="50"/>
      <c r="D63" s="56" t="s">
        <v>39</v>
      </c>
      <c r="E63" s="34"/>
      <c r="F63" s="31"/>
      <c r="G63" s="273"/>
      <c r="H63" s="267"/>
      <c r="J63" s="45"/>
      <c r="K63" s="46"/>
      <c r="M63" s="52"/>
      <c r="N63" s="267"/>
      <c r="P63" s="45"/>
      <c r="R63" s="45"/>
      <c r="S63" s="52"/>
      <c r="V63" s="267"/>
      <c r="AA63" s="52"/>
      <c r="AB63" s="7"/>
      <c r="AC63" s="198"/>
      <c r="AD63" s="199"/>
      <c r="AE63" s="200"/>
      <c r="AF63" s="201"/>
      <c r="AG63" s="211"/>
      <c r="AH63" s="202"/>
      <c r="AI63" s="202"/>
      <c r="AJ63" s="203"/>
      <c r="AK63" s="172"/>
      <c r="AL63" s="281"/>
      <c r="AM63" s="48"/>
      <c r="AN63" s="47"/>
      <c r="AO63" s="48"/>
      <c r="AP63" s="47"/>
      <c r="AQ63" s="282"/>
      <c r="AR63" s="281"/>
      <c r="AS63" s="48"/>
      <c r="AT63" s="47"/>
      <c r="AU63" s="48"/>
      <c r="AV63" s="47"/>
      <c r="AW63" s="282"/>
      <c r="AX63" s="281"/>
      <c r="AY63" s="48"/>
      <c r="AZ63" s="281"/>
      <c r="BA63" s="51"/>
      <c r="BB63" s="47"/>
      <c r="BC63" s="51"/>
      <c r="BD63" s="47"/>
      <c r="BE63" s="282"/>
      <c r="BG63" s="285"/>
      <c r="BH63" s="49"/>
      <c r="BI63" s="49"/>
      <c r="BJ63" s="49"/>
      <c r="BK63" s="49"/>
      <c r="BL63" s="286"/>
      <c r="BM63" s="285"/>
      <c r="BN63" s="49"/>
      <c r="BO63" s="49"/>
      <c r="BP63" s="49"/>
      <c r="BQ63" s="49"/>
      <c r="BR63" s="286"/>
      <c r="BS63" s="285"/>
      <c r="BT63" s="20"/>
      <c r="BU63" s="285"/>
      <c r="BV63" s="20"/>
      <c r="BW63" s="20"/>
      <c r="BX63" s="20"/>
      <c r="BY63" s="20"/>
      <c r="BZ63" s="249"/>
    </row>
    <row r="64" spans="1:78" x14ac:dyDescent="0.25">
      <c r="A64" s="15">
        <v>13</v>
      </c>
      <c r="B64" s="402"/>
      <c r="C64" s="50"/>
      <c r="D64" s="56" t="s">
        <v>39</v>
      </c>
      <c r="E64" s="34"/>
      <c r="F64" s="31"/>
      <c r="G64" s="273"/>
      <c r="H64" s="267"/>
      <c r="J64" s="45"/>
      <c r="K64" s="46"/>
      <c r="M64" s="52"/>
      <c r="N64" s="267"/>
      <c r="P64" s="45"/>
      <c r="R64" s="45"/>
      <c r="S64" s="52"/>
      <c r="V64" s="267"/>
      <c r="AA64" s="52"/>
      <c r="AB64" s="7"/>
      <c r="AC64" s="198"/>
      <c r="AD64" s="199"/>
      <c r="AE64" s="200"/>
      <c r="AF64" s="201"/>
      <c r="AG64" s="211"/>
      <c r="AH64" s="202"/>
      <c r="AI64" s="202"/>
      <c r="AJ64" s="203"/>
      <c r="AK64" s="172"/>
      <c r="AL64" s="281"/>
      <c r="AM64" s="48"/>
      <c r="AN64" s="47"/>
      <c r="AO64" s="48"/>
      <c r="AP64" s="47"/>
      <c r="AQ64" s="282"/>
      <c r="AR64" s="281"/>
      <c r="AS64" s="48"/>
      <c r="AT64" s="47"/>
      <c r="AU64" s="48"/>
      <c r="AV64" s="47"/>
      <c r="AW64" s="282"/>
      <c r="AX64" s="281"/>
      <c r="AY64" s="48"/>
      <c r="AZ64" s="281"/>
      <c r="BA64" s="51"/>
      <c r="BB64" s="47"/>
      <c r="BC64" s="51"/>
      <c r="BD64" s="47"/>
      <c r="BE64" s="282"/>
      <c r="BG64" s="285"/>
      <c r="BH64" s="49"/>
      <c r="BI64" s="49"/>
      <c r="BJ64" s="49"/>
      <c r="BK64" s="49"/>
      <c r="BL64" s="286"/>
      <c r="BM64" s="285"/>
      <c r="BN64" s="49"/>
      <c r="BO64" s="49"/>
      <c r="BP64" s="49"/>
      <c r="BQ64" s="49"/>
      <c r="BR64" s="286"/>
      <c r="BS64" s="285"/>
      <c r="BT64" s="20"/>
      <c r="BU64" s="285"/>
      <c r="BV64" s="20"/>
      <c r="BW64" s="20"/>
      <c r="BX64" s="20"/>
      <c r="BY64" s="20"/>
      <c r="BZ64" s="249"/>
    </row>
    <row r="65" spans="1:78" x14ac:dyDescent="0.25">
      <c r="A65" s="15">
        <v>14</v>
      </c>
      <c r="B65" s="402"/>
      <c r="C65" s="50"/>
      <c r="D65" s="56" t="s">
        <v>40</v>
      </c>
      <c r="E65" s="34"/>
      <c r="F65" s="31"/>
      <c r="G65" s="273"/>
      <c r="H65" s="267"/>
      <c r="J65" s="45"/>
      <c r="K65" s="46"/>
      <c r="M65" s="52"/>
      <c r="N65" s="267"/>
      <c r="P65" s="45"/>
      <c r="R65" s="45"/>
      <c r="S65" s="52"/>
      <c r="V65" s="267"/>
      <c r="AA65" s="52"/>
      <c r="AB65" s="7" t="e">
        <f>SUM(G65+G66)/SUM(F65+F66)</f>
        <v>#DIV/0!</v>
      </c>
      <c r="AC65" s="198"/>
      <c r="AD65" s="199"/>
      <c r="AE65" s="200" t="e">
        <f>SUM(AC65:AC66)/SUM(AD65:AD66)</f>
        <v>#DIV/0!</v>
      </c>
      <c r="AF65" s="201"/>
      <c r="AG65" s="211">
        <v>15.8</v>
      </c>
      <c r="AH65" s="202" t="e">
        <f>AE65*AG65</f>
        <v>#DIV/0!</v>
      </c>
      <c r="AI65" s="203" t="e">
        <f t="shared" ref="AI65" si="69">AH65/AI$51</f>
        <v>#DIV/0!</v>
      </c>
      <c r="AJ65" s="203" t="e">
        <f>AI65*2</f>
        <v>#DIV/0!</v>
      </c>
      <c r="AK65" s="181" t="e">
        <f>SUM(F65:F66)/(SUM(G65:G66)/SUM(AJ65))</f>
        <v>#DIV/0!</v>
      </c>
      <c r="AL65" s="281" t="e">
        <f t="shared" ref="AL65:AW65" si="70">SUM(H65:H66)/SUM($G65:$G66)</f>
        <v>#DIV/0!</v>
      </c>
      <c r="AM65" s="48" t="e">
        <f t="shared" si="70"/>
        <v>#DIV/0!</v>
      </c>
      <c r="AN65" s="47" t="e">
        <f t="shared" si="70"/>
        <v>#DIV/0!</v>
      </c>
      <c r="AO65" s="48" t="e">
        <f t="shared" si="70"/>
        <v>#DIV/0!</v>
      </c>
      <c r="AP65" s="47" t="e">
        <f t="shared" si="70"/>
        <v>#DIV/0!</v>
      </c>
      <c r="AQ65" s="282" t="e">
        <f t="shared" si="70"/>
        <v>#DIV/0!</v>
      </c>
      <c r="AR65" s="281" t="e">
        <f t="shared" si="70"/>
        <v>#DIV/0!</v>
      </c>
      <c r="AS65" s="48" t="e">
        <f t="shared" si="70"/>
        <v>#DIV/0!</v>
      </c>
      <c r="AT65" s="47" t="e">
        <f t="shared" si="70"/>
        <v>#DIV/0!</v>
      </c>
      <c r="AU65" s="48" t="e">
        <f t="shared" si="70"/>
        <v>#DIV/0!</v>
      </c>
      <c r="AV65" s="47" t="e">
        <f t="shared" si="70"/>
        <v>#DIV/0!</v>
      </c>
      <c r="AW65" s="282" t="e">
        <f t="shared" si="70"/>
        <v>#DIV/0!</v>
      </c>
      <c r="AX65" s="281" t="e">
        <f t="shared" ref="AX65" si="71">SUM(T65:T66)/SUM($G65:$G66)</f>
        <v>#DIV/0!</v>
      </c>
      <c r="AY65" s="48" t="e">
        <f t="shared" ref="AY65:BE65" si="72">SUM(U65:U66)/SUM($G65:$G66)</f>
        <v>#DIV/0!</v>
      </c>
      <c r="AZ65" s="281" t="e">
        <f t="shared" si="72"/>
        <v>#DIV/0!</v>
      </c>
      <c r="BA65" s="51" t="e">
        <f t="shared" si="72"/>
        <v>#DIV/0!</v>
      </c>
      <c r="BB65" s="47" t="e">
        <f t="shared" si="72"/>
        <v>#DIV/0!</v>
      </c>
      <c r="BC65" s="51" t="e">
        <f t="shared" si="72"/>
        <v>#DIV/0!</v>
      </c>
      <c r="BD65" s="47" t="e">
        <f t="shared" si="72"/>
        <v>#DIV/0!</v>
      </c>
      <c r="BE65" s="282" t="e">
        <f t="shared" si="72"/>
        <v>#DIV/0!</v>
      </c>
      <c r="BG65" s="285" t="e">
        <f t="shared" ref="BG65:BZ65" si="73">AL65*$AJ65</f>
        <v>#DIV/0!</v>
      </c>
      <c r="BH65" s="49" t="e">
        <f t="shared" si="73"/>
        <v>#DIV/0!</v>
      </c>
      <c r="BI65" s="49" t="e">
        <f t="shared" si="73"/>
        <v>#DIV/0!</v>
      </c>
      <c r="BJ65" s="49" t="e">
        <f t="shared" si="73"/>
        <v>#DIV/0!</v>
      </c>
      <c r="BK65" s="49" t="e">
        <f t="shared" si="73"/>
        <v>#DIV/0!</v>
      </c>
      <c r="BL65" s="286" t="e">
        <f t="shared" si="73"/>
        <v>#DIV/0!</v>
      </c>
      <c r="BM65" s="285" t="e">
        <f t="shared" si="73"/>
        <v>#DIV/0!</v>
      </c>
      <c r="BN65" s="49" t="e">
        <f t="shared" si="73"/>
        <v>#DIV/0!</v>
      </c>
      <c r="BO65" s="49" t="e">
        <f t="shared" si="73"/>
        <v>#DIV/0!</v>
      </c>
      <c r="BP65" s="49" t="e">
        <f t="shared" si="73"/>
        <v>#DIV/0!</v>
      </c>
      <c r="BQ65" s="49" t="e">
        <f t="shared" si="73"/>
        <v>#DIV/0!</v>
      </c>
      <c r="BR65" s="286" t="e">
        <f t="shared" si="73"/>
        <v>#DIV/0!</v>
      </c>
      <c r="BS65" s="285" t="e">
        <f t="shared" si="73"/>
        <v>#DIV/0!</v>
      </c>
      <c r="BT65" s="20" t="e">
        <f t="shared" si="73"/>
        <v>#DIV/0!</v>
      </c>
      <c r="BU65" s="285" t="e">
        <f t="shared" si="73"/>
        <v>#DIV/0!</v>
      </c>
      <c r="BV65" s="20" t="e">
        <f t="shared" si="73"/>
        <v>#DIV/0!</v>
      </c>
      <c r="BW65" s="20" t="e">
        <f t="shared" si="73"/>
        <v>#DIV/0!</v>
      </c>
      <c r="BX65" s="20" t="e">
        <f t="shared" si="73"/>
        <v>#DIV/0!</v>
      </c>
      <c r="BY65" s="20" t="e">
        <f t="shared" si="73"/>
        <v>#DIV/0!</v>
      </c>
      <c r="BZ65" s="249" t="e">
        <f t="shared" si="73"/>
        <v>#DIV/0!</v>
      </c>
    </row>
    <row r="66" spans="1:78" ht="16.5" thickBot="1" x14ac:dyDescent="0.3">
      <c r="A66" s="15">
        <v>15</v>
      </c>
      <c r="B66" s="403"/>
      <c r="C66" s="139"/>
      <c r="D66" s="121" t="s">
        <v>40</v>
      </c>
      <c r="E66" s="4"/>
      <c r="F66" s="122"/>
      <c r="G66" s="274"/>
      <c r="H66" s="278"/>
      <c r="I66" s="124"/>
      <c r="J66" s="125"/>
      <c r="K66" s="126"/>
      <c r="L66" s="124"/>
      <c r="M66" s="140"/>
      <c r="N66" s="278"/>
      <c r="O66" s="124"/>
      <c r="P66" s="125"/>
      <c r="Q66" s="124"/>
      <c r="R66" s="125"/>
      <c r="S66" s="140"/>
      <c r="T66" s="124"/>
      <c r="U66" s="124"/>
      <c r="V66" s="278"/>
      <c r="W66" s="124"/>
      <c r="X66" s="124"/>
      <c r="Y66" s="124"/>
      <c r="Z66" s="124"/>
      <c r="AA66" s="140"/>
      <c r="AB66" s="216"/>
      <c r="AC66" s="204"/>
      <c r="AD66" s="205"/>
      <c r="AE66" s="206"/>
      <c r="AF66" s="207"/>
      <c r="AG66" s="212"/>
      <c r="AH66" s="208"/>
      <c r="AI66" s="208"/>
      <c r="AJ66" s="209"/>
      <c r="AK66" s="173"/>
      <c r="AL66" s="283"/>
      <c r="AM66" s="132"/>
      <c r="AN66" s="131"/>
      <c r="AO66" s="132"/>
      <c r="AP66" s="131"/>
      <c r="AQ66" s="284"/>
      <c r="AR66" s="283"/>
      <c r="AS66" s="132"/>
      <c r="AT66" s="131"/>
      <c r="AU66" s="132"/>
      <c r="AV66" s="131"/>
      <c r="AW66" s="284"/>
      <c r="AX66" s="283"/>
      <c r="AY66" s="132"/>
      <c r="AZ66" s="283"/>
      <c r="BA66" s="133"/>
      <c r="BB66" s="131"/>
      <c r="BC66" s="133"/>
      <c r="BD66" s="131"/>
      <c r="BE66" s="284"/>
      <c r="BG66" s="287"/>
      <c r="BH66" s="64"/>
      <c r="BI66" s="64"/>
      <c r="BJ66" s="64"/>
      <c r="BK66" s="64"/>
      <c r="BL66" s="288"/>
      <c r="BM66" s="287"/>
      <c r="BN66" s="64"/>
      <c r="BO66" s="64"/>
      <c r="BP66" s="64"/>
      <c r="BQ66" s="64"/>
      <c r="BR66" s="288"/>
      <c r="BS66" s="287"/>
      <c r="BT66" s="127"/>
      <c r="BU66" s="287"/>
      <c r="BV66" s="127"/>
      <c r="BW66" s="127"/>
      <c r="BX66" s="127"/>
      <c r="BY66" s="127"/>
      <c r="BZ66" s="289"/>
    </row>
    <row r="67" spans="1:78" x14ac:dyDescent="0.25">
      <c r="A67" s="15">
        <v>16</v>
      </c>
      <c r="B67" s="401" t="str">
        <f>C11</f>
        <v>Sept 29-Oct 5</v>
      </c>
      <c r="C67" s="120"/>
      <c r="D67" s="55" t="s">
        <v>39</v>
      </c>
      <c r="E67" s="3"/>
      <c r="F67" s="39"/>
      <c r="G67" s="272"/>
      <c r="H67" s="277"/>
      <c r="I67" s="40"/>
      <c r="J67" s="41"/>
      <c r="K67" s="42"/>
      <c r="L67" s="40"/>
      <c r="M67" s="58"/>
      <c r="N67" s="277"/>
      <c r="O67" s="40"/>
      <c r="P67" s="41"/>
      <c r="Q67" s="40"/>
      <c r="R67" s="41"/>
      <c r="S67" s="58"/>
      <c r="T67" s="40"/>
      <c r="U67" s="40"/>
      <c r="V67" s="277"/>
      <c r="W67" s="40"/>
      <c r="X67" s="40"/>
      <c r="Y67" s="40"/>
      <c r="Z67" s="40"/>
      <c r="AA67" s="58"/>
      <c r="AB67" s="7" t="e">
        <f>SUM(G67:G69)/SUM(F67:F69)</f>
        <v>#DIV/0!</v>
      </c>
      <c r="AC67" s="192"/>
      <c r="AD67" s="193"/>
      <c r="AE67" s="195" t="e">
        <f>SUM(AC67:AC69)/SUM(AD67:AD69)</f>
        <v>#DIV/0!</v>
      </c>
      <c r="AF67" s="194"/>
      <c r="AG67" s="210">
        <v>15.9</v>
      </c>
      <c r="AH67" s="196" t="e">
        <f>AE67*AG67</f>
        <v>#DIV/0!</v>
      </c>
      <c r="AI67" s="197" t="e">
        <f t="shared" ref="AI67" si="74">AH67/AI$51</f>
        <v>#DIV/0!</v>
      </c>
      <c r="AJ67" s="197" t="e">
        <f>AI67*5</f>
        <v>#DIV/0!</v>
      </c>
      <c r="AK67" s="181" t="e">
        <f>SUM(F67:F69)/(SUM(G67:G69)/SUM(AJ67))</f>
        <v>#DIV/0!</v>
      </c>
      <c r="AL67" s="279" t="e">
        <f t="shared" ref="AL67:BE67" si="75">SUM(H67:H69)/SUM($G67:$G69)</f>
        <v>#DIV/0!</v>
      </c>
      <c r="AM67" s="129" t="e">
        <f t="shared" si="75"/>
        <v>#DIV/0!</v>
      </c>
      <c r="AN67" s="128" t="e">
        <f t="shared" si="75"/>
        <v>#DIV/0!</v>
      </c>
      <c r="AO67" s="129" t="e">
        <f t="shared" si="75"/>
        <v>#DIV/0!</v>
      </c>
      <c r="AP67" s="128" t="e">
        <f t="shared" si="75"/>
        <v>#DIV/0!</v>
      </c>
      <c r="AQ67" s="280" t="e">
        <f t="shared" si="75"/>
        <v>#DIV/0!</v>
      </c>
      <c r="AR67" s="279" t="e">
        <f t="shared" si="75"/>
        <v>#DIV/0!</v>
      </c>
      <c r="AS67" s="129" t="e">
        <f t="shared" si="75"/>
        <v>#DIV/0!</v>
      </c>
      <c r="AT67" s="128" t="e">
        <f t="shared" si="75"/>
        <v>#DIV/0!</v>
      </c>
      <c r="AU67" s="129" t="e">
        <f t="shared" si="75"/>
        <v>#DIV/0!</v>
      </c>
      <c r="AV67" s="128" t="e">
        <f t="shared" si="75"/>
        <v>#DIV/0!</v>
      </c>
      <c r="AW67" s="280" t="e">
        <f t="shared" si="75"/>
        <v>#DIV/0!</v>
      </c>
      <c r="AX67" s="279" t="e">
        <f t="shared" si="75"/>
        <v>#DIV/0!</v>
      </c>
      <c r="AY67" s="129" t="e">
        <f t="shared" si="75"/>
        <v>#DIV/0!</v>
      </c>
      <c r="AZ67" s="279" t="e">
        <f t="shared" si="75"/>
        <v>#DIV/0!</v>
      </c>
      <c r="BA67" s="130" t="e">
        <f t="shared" si="75"/>
        <v>#DIV/0!</v>
      </c>
      <c r="BB67" s="128" t="e">
        <f t="shared" si="75"/>
        <v>#DIV/0!</v>
      </c>
      <c r="BC67" s="130" t="e">
        <f t="shared" si="75"/>
        <v>#DIV/0!</v>
      </c>
      <c r="BD67" s="128" t="e">
        <f t="shared" si="75"/>
        <v>#DIV/0!</v>
      </c>
      <c r="BE67" s="280" t="e">
        <f t="shared" si="75"/>
        <v>#DIV/0!</v>
      </c>
      <c r="BG67" s="285" t="e">
        <f t="shared" ref="BG67:BZ67" si="76">AL67*$AJ67</f>
        <v>#DIV/0!</v>
      </c>
      <c r="BH67" s="49" t="e">
        <f t="shared" si="76"/>
        <v>#DIV/0!</v>
      </c>
      <c r="BI67" s="49" t="e">
        <f t="shared" si="76"/>
        <v>#DIV/0!</v>
      </c>
      <c r="BJ67" s="49" t="e">
        <f t="shared" si="76"/>
        <v>#DIV/0!</v>
      </c>
      <c r="BK67" s="49" t="e">
        <f t="shared" si="76"/>
        <v>#DIV/0!</v>
      </c>
      <c r="BL67" s="286" t="e">
        <f t="shared" si="76"/>
        <v>#DIV/0!</v>
      </c>
      <c r="BM67" s="285" t="e">
        <f t="shared" si="76"/>
        <v>#DIV/0!</v>
      </c>
      <c r="BN67" s="49" t="e">
        <f t="shared" si="76"/>
        <v>#DIV/0!</v>
      </c>
      <c r="BO67" s="49" t="e">
        <f t="shared" si="76"/>
        <v>#DIV/0!</v>
      </c>
      <c r="BP67" s="49" t="e">
        <f t="shared" si="76"/>
        <v>#DIV/0!</v>
      </c>
      <c r="BQ67" s="49" t="e">
        <f t="shared" si="76"/>
        <v>#DIV/0!</v>
      </c>
      <c r="BR67" s="286" t="e">
        <f t="shared" si="76"/>
        <v>#DIV/0!</v>
      </c>
      <c r="BS67" s="285" t="e">
        <f t="shared" si="76"/>
        <v>#DIV/0!</v>
      </c>
      <c r="BT67" s="20" t="e">
        <f t="shared" si="76"/>
        <v>#DIV/0!</v>
      </c>
      <c r="BU67" s="285" t="e">
        <f t="shared" si="76"/>
        <v>#DIV/0!</v>
      </c>
      <c r="BV67" s="20" t="e">
        <f t="shared" si="76"/>
        <v>#DIV/0!</v>
      </c>
      <c r="BW67" s="20" t="e">
        <f t="shared" si="76"/>
        <v>#DIV/0!</v>
      </c>
      <c r="BX67" s="20" t="e">
        <f t="shared" si="76"/>
        <v>#DIV/0!</v>
      </c>
      <c r="BY67" s="20" t="e">
        <f t="shared" si="76"/>
        <v>#DIV/0!</v>
      </c>
      <c r="BZ67" s="249" t="e">
        <f t="shared" si="76"/>
        <v>#DIV/0!</v>
      </c>
    </row>
    <row r="68" spans="1:78" x14ac:dyDescent="0.25">
      <c r="A68" s="15">
        <v>17</v>
      </c>
      <c r="B68" s="402"/>
      <c r="C68" s="50"/>
      <c r="D68" s="56" t="s">
        <v>39</v>
      </c>
      <c r="E68" s="34"/>
      <c r="F68" s="31"/>
      <c r="G68" s="273"/>
      <c r="H68" s="267"/>
      <c r="J68" s="45"/>
      <c r="K68" s="46"/>
      <c r="M68" s="52"/>
      <c r="N68" s="267"/>
      <c r="P68" s="45"/>
      <c r="R68" s="45"/>
      <c r="S68" s="52"/>
      <c r="V68" s="267"/>
      <c r="AA68" s="52"/>
      <c r="AB68" s="7"/>
      <c r="AC68" s="198"/>
      <c r="AD68" s="199"/>
      <c r="AE68" s="200"/>
      <c r="AF68" s="201"/>
      <c r="AG68" s="211"/>
      <c r="AH68" s="202"/>
      <c r="AI68" s="202"/>
      <c r="AJ68" s="203"/>
      <c r="AK68" s="172"/>
      <c r="AL68" s="281"/>
      <c r="AM68" s="48"/>
      <c r="AN68" s="47"/>
      <c r="AO68" s="48"/>
      <c r="AP68" s="47"/>
      <c r="AQ68" s="282"/>
      <c r="AR68" s="281"/>
      <c r="AS68" s="48"/>
      <c r="AT68" s="47"/>
      <c r="AU68" s="48"/>
      <c r="AV68" s="47"/>
      <c r="AW68" s="282"/>
      <c r="AX68" s="281"/>
      <c r="AY68" s="48"/>
      <c r="AZ68" s="281"/>
      <c r="BA68" s="51"/>
      <c r="BB68" s="47"/>
      <c r="BC68" s="51"/>
      <c r="BD68" s="47"/>
      <c r="BE68" s="282"/>
      <c r="BG68" s="285"/>
      <c r="BH68" s="49"/>
      <c r="BI68" s="49"/>
      <c r="BJ68" s="49"/>
      <c r="BK68" s="49"/>
      <c r="BL68" s="286"/>
      <c r="BM68" s="285"/>
      <c r="BN68" s="49"/>
      <c r="BO68" s="49"/>
      <c r="BP68" s="49"/>
      <c r="BQ68" s="49"/>
      <c r="BR68" s="286"/>
      <c r="BS68" s="285"/>
      <c r="BT68" s="20"/>
      <c r="BU68" s="285"/>
      <c r="BV68" s="20"/>
      <c r="BW68" s="20"/>
      <c r="BX68" s="20"/>
      <c r="BY68" s="20"/>
      <c r="BZ68" s="249"/>
    </row>
    <row r="69" spans="1:78" x14ac:dyDescent="0.25">
      <c r="A69" s="15">
        <v>18</v>
      </c>
      <c r="B69" s="402"/>
      <c r="C69" s="50"/>
      <c r="D69" s="56" t="s">
        <v>39</v>
      </c>
      <c r="E69" s="34"/>
      <c r="F69" s="31"/>
      <c r="G69" s="273"/>
      <c r="H69" s="267"/>
      <c r="J69" s="45"/>
      <c r="K69" s="46"/>
      <c r="M69" s="52"/>
      <c r="N69" s="267"/>
      <c r="P69" s="45"/>
      <c r="R69" s="45"/>
      <c r="S69" s="52"/>
      <c r="V69" s="267"/>
      <c r="AA69" s="52"/>
      <c r="AB69" s="7"/>
      <c r="AC69" s="198"/>
      <c r="AD69" s="199"/>
      <c r="AE69" s="200"/>
      <c r="AF69" s="201"/>
      <c r="AG69" s="211"/>
      <c r="AH69" s="202"/>
      <c r="AI69" s="202"/>
      <c r="AJ69" s="203"/>
      <c r="AK69" s="172"/>
      <c r="AL69" s="281"/>
      <c r="AM69" s="48"/>
      <c r="AN69" s="47"/>
      <c r="AO69" s="48"/>
      <c r="AP69" s="47"/>
      <c r="AQ69" s="282"/>
      <c r="AR69" s="281"/>
      <c r="AS69" s="48"/>
      <c r="AT69" s="47"/>
      <c r="AU69" s="48"/>
      <c r="AV69" s="47"/>
      <c r="AW69" s="282"/>
      <c r="AX69" s="281"/>
      <c r="AY69" s="48"/>
      <c r="AZ69" s="281"/>
      <c r="BA69" s="51"/>
      <c r="BB69" s="47"/>
      <c r="BC69" s="51"/>
      <c r="BD69" s="47"/>
      <c r="BE69" s="282"/>
      <c r="BG69" s="285"/>
      <c r="BH69" s="49"/>
      <c r="BI69" s="49"/>
      <c r="BJ69" s="49"/>
      <c r="BK69" s="49"/>
      <c r="BL69" s="286"/>
      <c r="BM69" s="285"/>
      <c r="BN69" s="49"/>
      <c r="BO69" s="49"/>
      <c r="BP69" s="49"/>
      <c r="BQ69" s="49"/>
      <c r="BR69" s="286"/>
      <c r="BS69" s="285"/>
      <c r="BT69" s="20"/>
      <c r="BU69" s="285"/>
      <c r="BV69" s="20"/>
      <c r="BW69" s="20"/>
      <c r="BX69" s="20"/>
      <c r="BY69" s="20"/>
      <c r="BZ69" s="249"/>
    </row>
    <row r="70" spans="1:78" x14ac:dyDescent="0.25">
      <c r="A70" s="15">
        <v>19</v>
      </c>
      <c r="B70" s="402"/>
      <c r="C70" s="50"/>
      <c r="D70" s="56" t="s">
        <v>40</v>
      </c>
      <c r="E70" s="34"/>
      <c r="F70" s="31"/>
      <c r="G70" s="273"/>
      <c r="H70" s="267"/>
      <c r="J70" s="45"/>
      <c r="K70" s="46"/>
      <c r="M70" s="52"/>
      <c r="N70" s="267"/>
      <c r="P70" s="45"/>
      <c r="R70" s="45"/>
      <c r="S70" s="52"/>
      <c r="V70" s="267"/>
      <c r="AA70" s="52"/>
      <c r="AB70" s="7" t="e">
        <f>(G70+G71)/(F70+F71)</f>
        <v>#DIV/0!</v>
      </c>
      <c r="AC70" s="198"/>
      <c r="AD70" s="199"/>
      <c r="AE70" s="200" t="e">
        <f>SUM(AC70:AC71)/SUM(AD70:AD71)</f>
        <v>#DIV/0!</v>
      </c>
      <c r="AF70" s="201"/>
      <c r="AG70" s="211">
        <v>16</v>
      </c>
      <c r="AH70" s="202" t="e">
        <f>AE70*AG70</f>
        <v>#DIV/0!</v>
      </c>
      <c r="AI70" s="203" t="e">
        <f t="shared" ref="AI70" si="77">AH70/AI$51</f>
        <v>#DIV/0!</v>
      </c>
      <c r="AJ70" s="203" t="e">
        <f>AI70*2</f>
        <v>#DIV/0!</v>
      </c>
      <c r="AK70" s="181" t="e">
        <f>SUM(F70:F71)/(SUM(G70:G71)/SUM(AJ70))</f>
        <v>#DIV/0!</v>
      </c>
      <c r="AL70" s="281" t="e">
        <f t="shared" ref="AL70:AW70" si="78">SUM(H70:H71)/SUM($G70:$G71)</f>
        <v>#DIV/0!</v>
      </c>
      <c r="AM70" s="48" t="e">
        <f t="shared" si="78"/>
        <v>#DIV/0!</v>
      </c>
      <c r="AN70" s="47" t="e">
        <f t="shared" si="78"/>
        <v>#DIV/0!</v>
      </c>
      <c r="AO70" s="48" t="e">
        <f t="shared" si="78"/>
        <v>#DIV/0!</v>
      </c>
      <c r="AP70" s="47" t="e">
        <f t="shared" si="78"/>
        <v>#DIV/0!</v>
      </c>
      <c r="AQ70" s="282" t="e">
        <f t="shared" si="78"/>
        <v>#DIV/0!</v>
      </c>
      <c r="AR70" s="281" t="e">
        <f t="shared" si="78"/>
        <v>#DIV/0!</v>
      </c>
      <c r="AS70" s="48" t="e">
        <f t="shared" si="78"/>
        <v>#DIV/0!</v>
      </c>
      <c r="AT70" s="47" t="e">
        <f t="shared" si="78"/>
        <v>#DIV/0!</v>
      </c>
      <c r="AU70" s="48" t="e">
        <f t="shared" si="78"/>
        <v>#DIV/0!</v>
      </c>
      <c r="AV70" s="47" t="e">
        <f t="shared" si="78"/>
        <v>#DIV/0!</v>
      </c>
      <c r="AW70" s="282" t="e">
        <f t="shared" si="78"/>
        <v>#DIV/0!</v>
      </c>
      <c r="AX70" s="281" t="e">
        <f t="shared" ref="AX70" si="79">SUM(T70:T71)/SUM($G70:$G71)</f>
        <v>#DIV/0!</v>
      </c>
      <c r="AY70" s="48" t="e">
        <f t="shared" ref="AY70:BE70" si="80">SUM(U70:U71)/SUM($G70:$G71)</f>
        <v>#DIV/0!</v>
      </c>
      <c r="AZ70" s="281" t="e">
        <f t="shared" si="80"/>
        <v>#DIV/0!</v>
      </c>
      <c r="BA70" s="51" t="e">
        <f t="shared" si="80"/>
        <v>#DIV/0!</v>
      </c>
      <c r="BB70" s="47" t="e">
        <f t="shared" si="80"/>
        <v>#DIV/0!</v>
      </c>
      <c r="BC70" s="51" t="e">
        <f t="shared" si="80"/>
        <v>#DIV/0!</v>
      </c>
      <c r="BD70" s="47" t="e">
        <f t="shared" si="80"/>
        <v>#DIV/0!</v>
      </c>
      <c r="BE70" s="282" t="e">
        <f t="shared" si="80"/>
        <v>#DIV/0!</v>
      </c>
      <c r="BG70" s="285" t="e">
        <f t="shared" ref="BG70:BZ70" si="81">AL70*$AJ70</f>
        <v>#DIV/0!</v>
      </c>
      <c r="BH70" s="49" t="e">
        <f t="shared" si="81"/>
        <v>#DIV/0!</v>
      </c>
      <c r="BI70" s="49" t="e">
        <f t="shared" si="81"/>
        <v>#DIV/0!</v>
      </c>
      <c r="BJ70" s="49" t="e">
        <f t="shared" si="81"/>
        <v>#DIV/0!</v>
      </c>
      <c r="BK70" s="49" t="e">
        <f t="shared" si="81"/>
        <v>#DIV/0!</v>
      </c>
      <c r="BL70" s="286" t="e">
        <f t="shared" si="81"/>
        <v>#DIV/0!</v>
      </c>
      <c r="BM70" s="285" t="e">
        <f t="shared" si="81"/>
        <v>#DIV/0!</v>
      </c>
      <c r="BN70" s="49" t="e">
        <f t="shared" si="81"/>
        <v>#DIV/0!</v>
      </c>
      <c r="BO70" s="49" t="e">
        <f t="shared" si="81"/>
        <v>#DIV/0!</v>
      </c>
      <c r="BP70" s="49" t="e">
        <f t="shared" si="81"/>
        <v>#DIV/0!</v>
      </c>
      <c r="BQ70" s="49" t="e">
        <f t="shared" si="81"/>
        <v>#DIV/0!</v>
      </c>
      <c r="BR70" s="286" t="e">
        <f t="shared" si="81"/>
        <v>#DIV/0!</v>
      </c>
      <c r="BS70" s="285" t="e">
        <f t="shared" si="81"/>
        <v>#DIV/0!</v>
      </c>
      <c r="BT70" s="20" t="e">
        <f t="shared" si="81"/>
        <v>#DIV/0!</v>
      </c>
      <c r="BU70" s="285" t="e">
        <f t="shared" si="81"/>
        <v>#DIV/0!</v>
      </c>
      <c r="BV70" s="20" t="e">
        <f t="shared" si="81"/>
        <v>#DIV/0!</v>
      </c>
      <c r="BW70" s="20" t="e">
        <f t="shared" si="81"/>
        <v>#DIV/0!</v>
      </c>
      <c r="BX70" s="20" t="e">
        <f t="shared" si="81"/>
        <v>#DIV/0!</v>
      </c>
      <c r="BY70" s="20" t="e">
        <f t="shared" si="81"/>
        <v>#DIV/0!</v>
      </c>
      <c r="BZ70" s="249" t="e">
        <f t="shared" si="81"/>
        <v>#DIV/0!</v>
      </c>
    </row>
    <row r="71" spans="1:78" ht="16.5" thickBot="1" x14ac:dyDescent="0.3">
      <c r="A71" s="15">
        <v>20</v>
      </c>
      <c r="B71" s="403"/>
      <c r="C71" s="139"/>
      <c r="D71" s="121" t="s">
        <v>40</v>
      </c>
      <c r="E71" s="4"/>
      <c r="F71" s="122"/>
      <c r="G71" s="274"/>
      <c r="H71" s="278"/>
      <c r="I71" s="124"/>
      <c r="J71" s="125"/>
      <c r="K71" s="126"/>
      <c r="L71" s="124"/>
      <c r="M71" s="140"/>
      <c r="N71" s="278"/>
      <c r="O71" s="124"/>
      <c r="P71" s="125"/>
      <c r="Q71" s="124"/>
      <c r="R71" s="125"/>
      <c r="S71" s="140"/>
      <c r="T71" s="124"/>
      <c r="U71" s="124"/>
      <c r="V71" s="278"/>
      <c r="W71" s="124"/>
      <c r="X71" s="124"/>
      <c r="Y71" s="124"/>
      <c r="Z71" s="124"/>
      <c r="AA71" s="140"/>
      <c r="AB71" s="216"/>
      <c r="AC71" s="204"/>
      <c r="AD71" s="205"/>
      <c r="AE71" s="206"/>
      <c r="AF71" s="207"/>
      <c r="AG71" s="212"/>
      <c r="AH71" s="208"/>
      <c r="AI71" s="208"/>
      <c r="AJ71" s="209"/>
      <c r="AK71" s="173"/>
      <c r="AL71" s="283"/>
      <c r="AM71" s="132"/>
      <c r="AN71" s="131"/>
      <c r="AO71" s="132"/>
      <c r="AP71" s="131"/>
      <c r="AQ71" s="284"/>
      <c r="AR71" s="283"/>
      <c r="AS71" s="132"/>
      <c r="AT71" s="131"/>
      <c r="AU71" s="132"/>
      <c r="AV71" s="131"/>
      <c r="AW71" s="284"/>
      <c r="AX71" s="283"/>
      <c r="AY71" s="132"/>
      <c r="AZ71" s="283"/>
      <c r="BA71" s="133"/>
      <c r="BB71" s="131"/>
      <c r="BC71" s="133"/>
      <c r="BD71" s="131"/>
      <c r="BE71" s="284"/>
      <c r="BG71" s="287"/>
      <c r="BH71" s="64"/>
      <c r="BI71" s="64"/>
      <c r="BJ71" s="64"/>
      <c r="BK71" s="64"/>
      <c r="BL71" s="288"/>
      <c r="BM71" s="287"/>
      <c r="BN71" s="64"/>
      <c r="BO71" s="64"/>
      <c r="BP71" s="64"/>
      <c r="BQ71" s="64"/>
      <c r="BR71" s="288"/>
      <c r="BS71" s="287"/>
      <c r="BT71" s="127"/>
      <c r="BU71" s="287"/>
      <c r="BV71" s="127"/>
      <c r="BW71" s="127"/>
      <c r="BX71" s="127"/>
      <c r="BY71" s="127"/>
      <c r="BZ71" s="289"/>
    </row>
    <row r="72" spans="1:78" x14ac:dyDescent="0.25">
      <c r="A72" s="15">
        <v>21</v>
      </c>
      <c r="B72" s="401" t="str">
        <f>C12</f>
        <v>Oct 6-Oct 12</v>
      </c>
      <c r="C72" s="120"/>
      <c r="D72" s="55" t="s">
        <v>39</v>
      </c>
      <c r="E72" s="3"/>
      <c r="F72" s="39"/>
      <c r="G72" s="272"/>
      <c r="H72" s="277"/>
      <c r="I72" s="40"/>
      <c r="J72" s="41"/>
      <c r="K72" s="42"/>
      <c r="L72" s="40"/>
      <c r="M72" s="58"/>
      <c r="N72" s="277"/>
      <c r="O72" s="40"/>
      <c r="P72" s="41"/>
      <c r="Q72" s="40"/>
      <c r="R72" s="41"/>
      <c r="S72" s="58"/>
      <c r="T72" s="40"/>
      <c r="U72" s="40"/>
      <c r="V72" s="277"/>
      <c r="W72" s="40"/>
      <c r="X72" s="40"/>
      <c r="Y72" s="40"/>
      <c r="Z72" s="40"/>
      <c r="AA72" s="58"/>
      <c r="AB72" s="7" t="e">
        <f>SUM(G72:G74)/SUM(F72:F74)</f>
        <v>#DIV/0!</v>
      </c>
      <c r="AC72" s="192"/>
      <c r="AD72" s="193"/>
      <c r="AE72" s="195" t="e">
        <f>SUM(AC72:AC74)/SUM(AD72:AD74)</f>
        <v>#DIV/0!</v>
      </c>
      <c r="AF72" s="194"/>
      <c r="AG72" s="210">
        <v>16</v>
      </c>
      <c r="AH72" s="196" t="e">
        <f>AE72*AG72</f>
        <v>#DIV/0!</v>
      </c>
      <c r="AI72" s="197" t="e">
        <f t="shared" ref="AI72" si="82">AH72/AI$51</f>
        <v>#DIV/0!</v>
      </c>
      <c r="AJ72" s="197" t="e">
        <f>AI72*5</f>
        <v>#DIV/0!</v>
      </c>
      <c r="AK72" s="181" t="e">
        <f>SUM(F72:F74)/(SUM(G72:G74)/SUM(AJ72))</f>
        <v>#DIV/0!</v>
      </c>
      <c r="AL72" s="279" t="e">
        <f t="shared" ref="AL72:BE72" si="83">SUM(H72:H74)/SUM($G72:$G74)</f>
        <v>#DIV/0!</v>
      </c>
      <c r="AM72" s="129" t="e">
        <f t="shared" si="83"/>
        <v>#DIV/0!</v>
      </c>
      <c r="AN72" s="128" t="e">
        <f t="shared" si="83"/>
        <v>#DIV/0!</v>
      </c>
      <c r="AO72" s="129" t="e">
        <f t="shared" si="83"/>
        <v>#DIV/0!</v>
      </c>
      <c r="AP72" s="128" t="e">
        <f t="shared" si="83"/>
        <v>#DIV/0!</v>
      </c>
      <c r="AQ72" s="280" t="e">
        <f t="shared" si="83"/>
        <v>#DIV/0!</v>
      </c>
      <c r="AR72" s="279" t="e">
        <f t="shared" si="83"/>
        <v>#DIV/0!</v>
      </c>
      <c r="AS72" s="129" t="e">
        <f t="shared" si="83"/>
        <v>#DIV/0!</v>
      </c>
      <c r="AT72" s="128" t="e">
        <f t="shared" si="83"/>
        <v>#DIV/0!</v>
      </c>
      <c r="AU72" s="129" t="e">
        <f t="shared" si="83"/>
        <v>#DIV/0!</v>
      </c>
      <c r="AV72" s="128" t="e">
        <f t="shared" si="83"/>
        <v>#DIV/0!</v>
      </c>
      <c r="AW72" s="280" t="e">
        <f t="shared" si="83"/>
        <v>#DIV/0!</v>
      </c>
      <c r="AX72" s="279" t="e">
        <f t="shared" si="83"/>
        <v>#DIV/0!</v>
      </c>
      <c r="AY72" s="129" t="e">
        <f t="shared" si="83"/>
        <v>#DIV/0!</v>
      </c>
      <c r="AZ72" s="279" t="e">
        <f t="shared" si="83"/>
        <v>#DIV/0!</v>
      </c>
      <c r="BA72" s="130" t="e">
        <f t="shared" si="83"/>
        <v>#DIV/0!</v>
      </c>
      <c r="BB72" s="128" t="e">
        <f t="shared" si="83"/>
        <v>#DIV/0!</v>
      </c>
      <c r="BC72" s="130" t="e">
        <f t="shared" si="83"/>
        <v>#DIV/0!</v>
      </c>
      <c r="BD72" s="128" t="e">
        <f t="shared" si="83"/>
        <v>#DIV/0!</v>
      </c>
      <c r="BE72" s="280" t="e">
        <f t="shared" si="83"/>
        <v>#DIV/0!</v>
      </c>
      <c r="BG72" s="285" t="e">
        <f t="shared" ref="BG72:BZ72" si="84">AL72*$AJ72</f>
        <v>#DIV/0!</v>
      </c>
      <c r="BH72" s="49" t="e">
        <f t="shared" si="84"/>
        <v>#DIV/0!</v>
      </c>
      <c r="BI72" s="49" t="e">
        <f t="shared" si="84"/>
        <v>#DIV/0!</v>
      </c>
      <c r="BJ72" s="49" t="e">
        <f t="shared" si="84"/>
        <v>#DIV/0!</v>
      </c>
      <c r="BK72" s="49" t="e">
        <f t="shared" si="84"/>
        <v>#DIV/0!</v>
      </c>
      <c r="BL72" s="286" t="e">
        <f t="shared" si="84"/>
        <v>#DIV/0!</v>
      </c>
      <c r="BM72" s="285" t="e">
        <f t="shared" si="84"/>
        <v>#DIV/0!</v>
      </c>
      <c r="BN72" s="49" t="e">
        <f t="shared" si="84"/>
        <v>#DIV/0!</v>
      </c>
      <c r="BO72" s="49" t="e">
        <f t="shared" si="84"/>
        <v>#DIV/0!</v>
      </c>
      <c r="BP72" s="49" t="e">
        <f t="shared" si="84"/>
        <v>#DIV/0!</v>
      </c>
      <c r="BQ72" s="49" t="e">
        <f t="shared" si="84"/>
        <v>#DIV/0!</v>
      </c>
      <c r="BR72" s="286" t="e">
        <f t="shared" si="84"/>
        <v>#DIV/0!</v>
      </c>
      <c r="BS72" s="285" t="e">
        <f t="shared" si="84"/>
        <v>#DIV/0!</v>
      </c>
      <c r="BT72" s="20" t="e">
        <f t="shared" si="84"/>
        <v>#DIV/0!</v>
      </c>
      <c r="BU72" s="285" t="e">
        <f t="shared" si="84"/>
        <v>#DIV/0!</v>
      </c>
      <c r="BV72" s="20" t="e">
        <f t="shared" si="84"/>
        <v>#DIV/0!</v>
      </c>
      <c r="BW72" s="20" t="e">
        <f t="shared" si="84"/>
        <v>#DIV/0!</v>
      </c>
      <c r="BX72" s="20" t="e">
        <f t="shared" si="84"/>
        <v>#DIV/0!</v>
      </c>
      <c r="BY72" s="20" t="e">
        <f t="shared" si="84"/>
        <v>#DIV/0!</v>
      </c>
      <c r="BZ72" s="249" t="e">
        <f t="shared" si="84"/>
        <v>#DIV/0!</v>
      </c>
    </row>
    <row r="73" spans="1:78" x14ac:dyDescent="0.25">
      <c r="A73" s="15">
        <v>22</v>
      </c>
      <c r="B73" s="402"/>
      <c r="C73" s="50"/>
      <c r="D73" s="56" t="s">
        <v>39</v>
      </c>
      <c r="E73" s="34"/>
      <c r="F73" s="31"/>
      <c r="G73" s="273"/>
      <c r="H73" s="267"/>
      <c r="J73" s="45"/>
      <c r="K73" s="46"/>
      <c r="M73" s="52"/>
      <c r="N73" s="267"/>
      <c r="P73" s="45"/>
      <c r="R73" s="45"/>
      <c r="S73" s="52"/>
      <c r="V73" s="267"/>
      <c r="AA73" s="52"/>
      <c r="AB73" s="7"/>
      <c r="AC73" s="198"/>
      <c r="AD73" s="199"/>
      <c r="AE73" s="200"/>
      <c r="AF73" s="201"/>
      <c r="AG73" s="211"/>
      <c r="AH73" s="202"/>
      <c r="AI73" s="202"/>
      <c r="AJ73" s="203"/>
      <c r="AK73" s="172"/>
      <c r="AL73" s="281"/>
      <c r="AM73" s="48"/>
      <c r="AN73" s="47"/>
      <c r="AO73" s="48"/>
      <c r="AP73" s="47"/>
      <c r="AQ73" s="282"/>
      <c r="AR73" s="281"/>
      <c r="AS73" s="48"/>
      <c r="AT73" s="47"/>
      <c r="AU73" s="48"/>
      <c r="AV73" s="47"/>
      <c r="AW73" s="282"/>
      <c r="AX73" s="281"/>
      <c r="AY73" s="48"/>
      <c r="AZ73" s="281"/>
      <c r="BA73" s="51"/>
      <c r="BB73" s="47"/>
      <c r="BC73" s="51"/>
      <c r="BD73" s="47"/>
      <c r="BE73" s="282"/>
      <c r="BG73" s="285"/>
      <c r="BH73" s="49"/>
      <c r="BI73" s="49"/>
      <c r="BJ73" s="49"/>
      <c r="BK73" s="49"/>
      <c r="BL73" s="286"/>
      <c r="BM73" s="285"/>
      <c r="BN73" s="49"/>
      <c r="BO73" s="49"/>
      <c r="BP73" s="49"/>
      <c r="BQ73" s="49"/>
      <c r="BR73" s="286"/>
      <c r="BS73" s="285"/>
      <c r="BT73" s="20"/>
      <c r="BU73" s="285"/>
      <c r="BV73" s="20"/>
      <c r="BW73" s="20"/>
      <c r="BX73" s="20"/>
      <c r="BY73" s="20"/>
      <c r="BZ73" s="249"/>
    </row>
    <row r="74" spans="1:78" x14ac:dyDescent="0.25">
      <c r="A74" s="15">
        <v>23</v>
      </c>
      <c r="B74" s="402"/>
      <c r="C74" s="50"/>
      <c r="D74" s="56" t="s">
        <v>39</v>
      </c>
      <c r="E74" s="34"/>
      <c r="F74" s="31"/>
      <c r="G74" s="273"/>
      <c r="H74" s="267"/>
      <c r="J74" s="45"/>
      <c r="K74" s="46"/>
      <c r="M74" s="52"/>
      <c r="N74" s="267"/>
      <c r="P74" s="45"/>
      <c r="R74" s="45"/>
      <c r="S74" s="52"/>
      <c r="V74" s="267"/>
      <c r="AA74" s="52"/>
      <c r="AB74" s="7"/>
      <c r="AC74" s="198"/>
      <c r="AD74" s="199"/>
      <c r="AE74" s="200"/>
      <c r="AF74" s="201"/>
      <c r="AG74" s="211"/>
      <c r="AH74" s="202"/>
      <c r="AI74" s="202"/>
      <c r="AJ74" s="203"/>
      <c r="AK74" s="172"/>
      <c r="AL74" s="281"/>
      <c r="AM74" s="48"/>
      <c r="AN74" s="47"/>
      <c r="AO74" s="48"/>
      <c r="AP74" s="47"/>
      <c r="AQ74" s="282"/>
      <c r="AR74" s="281"/>
      <c r="AS74" s="48"/>
      <c r="AT74" s="47"/>
      <c r="AU74" s="48"/>
      <c r="AV74" s="47"/>
      <c r="AW74" s="282"/>
      <c r="AX74" s="281"/>
      <c r="AY74" s="48"/>
      <c r="AZ74" s="281"/>
      <c r="BA74" s="51"/>
      <c r="BB74" s="47"/>
      <c r="BC74" s="51"/>
      <c r="BD74" s="47"/>
      <c r="BE74" s="282"/>
      <c r="BG74" s="285"/>
      <c r="BH74" s="49"/>
      <c r="BI74" s="49"/>
      <c r="BJ74" s="49"/>
      <c r="BK74" s="49"/>
      <c r="BL74" s="286"/>
      <c r="BM74" s="285"/>
      <c r="BN74" s="49"/>
      <c r="BO74" s="49"/>
      <c r="BP74" s="49"/>
      <c r="BQ74" s="49"/>
      <c r="BR74" s="286"/>
      <c r="BS74" s="285"/>
      <c r="BT74" s="20"/>
      <c r="BU74" s="285"/>
      <c r="BV74" s="20"/>
      <c r="BW74" s="20"/>
      <c r="BX74" s="20"/>
      <c r="BY74" s="20"/>
      <c r="BZ74" s="249"/>
    </row>
    <row r="75" spans="1:78" x14ac:dyDescent="0.25">
      <c r="A75" s="15">
        <v>24</v>
      </c>
      <c r="B75" s="402"/>
      <c r="C75" s="50"/>
      <c r="D75" s="56" t="s">
        <v>40</v>
      </c>
      <c r="E75" s="34"/>
      <c r="F75" s="31"/>
      <c r="G75" s="273"/>
      <c r="H75" s="267"/>
      <c r="J75" s="45"/>
      <c r="K75" s="46"/>
      <c r="M75" s="52"/>
      <c r="N75" s="267"/>
      <c r="P75" s="45"/>
      <c r="R75" s="45"/>
      <c r="S75" s="52"/>
      <c r="V75" s="267"/>
      <c r="AA75" s="52"/>
      <c r="AB75" s="7" t="e">
        <f>(G75+G76)/(F75+F76)</f>
        <v>#DIV/0!</v>
      </c>
      <c r="AC75" s="198"/>
      <c r="AD75" s="199"/>
      <c r="AE75" s="200" t="e">
        <f>SUM(AC75:AC76)/SUM(AD75:AD76)</f>
        <v>#DIV/0!</v>
      </c>
      <c r="AF75" s="201"/>
      <c r="AG75" s="211">
        <v>16</v>
      </c>
      <c r="AH75" s="202" t="e">
        <f>AE75*AG75</f>
        <v>#DIV/0!</v>
      </c>
      <c r="AI75" s="203" t="e">
        <f t="shared" ref="AI75" si="85">AH75/AI$51</f>
        <v>#DIV/0!</v>
      </c>
      <c r="AJ75" s="203" t="e">
        <f>AI75*2</f>
        <v>#DIV/0!</v>
      </c>
      <c r="AK75" s="181" t="e">
        <f>SUM(F75:F76)/(SUM(G75:G76)/SUM(AJ75))</f>
        <v>#DIV/0!</v>
      </c>
      <c r="AL75" s="281" t="e">
        <f t="shared" ref="AL75:AW75" si="86">SUM(H75:H76)/SUM($G75:$G76)</f>
        <v>#DIV/0!</v>
      </c>
      <c r="AM75" s="48" t="e">
        <f t="shared" si="86"/>
        <v>#DIV/0!</v>
      </c>
      <c r="AN75" s="47" t="e">
        <f t="shared" si="86"/>
        <v>#DIV/0!</v>
      </c>
      <c r="AO75" s="48" t="e">
        <f t="shared" si="86"/>
        <v>#DIV/0!</v>
      </c>
      <c r="AP75" s="47" t="e">
        <f t="shared" si="86"/>
        <v>#DIV/0!</v>
      </c>
      <c r="AQ75" s="282" t="e">
        <f t="shared" si="86"/>
        <v>#DIV/0!</v>
      </c>
      <c r="AR75" s="281" t="e">
        <f t="shared" si="86"/>
        <v>#DIV/0!</v>
      </c>
      <c r="AS75" s="48" t="e">
        <f t="shared" si="86"/>
        <v>#DIV/0!</v>
      </c>
      <c r="AT75" s="47" t="e">
        <f t="shared" si="86"/>
        <v>#DIV/0!</v>
      </c>
      <c r="AU75" s="48" t="e">
        <f t="shared" si="86"/>
        <v>#DIV/0!</v>
      </c>
      <c r="AV75" s="47" t="e">
        <f t="shared" si="86"/>
        <v>#DIV/0!</v>
      </c>
      <c r="AW75" s="282" t="e">
        <f t="shared" si="86"/>
        <v>#DIV/0!</v>
      </c>
      <c r="AX75" s="281" t="e">
        <f t="shared" ref="AX75" si="87">SUM(T75:T76)/SUM($G75:$G76)</f>
        <v>#DIV/0!</v>
      </c>
      <c r="AY75" s="48" t="e">
        <f t="shared" ref="AY75:BE75" si="88">SUM(U75:U76)/SUM($G75:$G76)</f>
        <v>#DIV/0!</v>
      </c>
      <c r="AZ75" s="281" t="e">
        <f t="shared" si="88"/>
        <v>#DIV/0!</v>
      </c>
      <c r="BA75" s="51" t="e">
        <f t="shared" si="88"/>
        <v>#DIV/0!</v>
      </c>
      <c r="BB75" s="47" t="e">
        <f t="shared" si="88"/>
        <v>#DIV/0!</v>
      </c>
      <c r="BC75" s="51" t="e">
        <f t="shared" si="88"/>
        <v>#DIV/0!</v>
      </c>
      <c r="BD75" s="47" t="e">
        <f t="shared" si="88"/>
        <v>#DIV/0!</v>
      </c>
      <c r="BE75" s="282" t="e">
        <f t="shared" si="88"/>
        <v>#DIV/0!</v>
      </c>
      <c r="BG75" s="285" t="e">
        <f t="shared" ref="BG75:BZ75" si="89">AL75*$AJ75</f>
        <v>#DIV/0!</v>
      </c>
      <c r="BH75" s="49" t="e">
        <f t="shared" si="89"/>
        <v>#DIV/0!</v>
      </c>
      <c r="BI75" s="49" t="e">
        <f t="shared" si="89"/>
        <v>#DIV/0!</v>
      </c>
      <c r="BJ75" s="49" t="e">
        <f t="shared" si="89"/>
        <v>#DIV/0!</v>
      </c>
      <c r="BK75" s="49" t="e">
        <f t="shared" si="89"/>
        <v>#DIV/0!</v>
      </c>
      <c r="BL75" s="286" t="e">
        <f t="shared" si="89"/>
        <v>#DIV/0!</v>
      </c>
      <c r="BM75" s="285" t="e">
        <f t="shared" si="89"/>
        <v>#DIV/0!</v>
      </c>
      <c r="BN75" s="49" t="e">
        <f t="shared" si="89"/>
        <v>#DIV/0!</v>
      </c>
      <c r="BO75" s="49" t="e">
        <f t="shared" si="89"/>
        <v>#DIV/0!</v>
      </c>
      <c r="BP75" s="49" t="e">
        <f t="shared" si="89"/>
        <v>#DIV/0!</v>
      </c>
      <c r="BQ75" s="49" t="e">
        <f t="shared" si="89"/>
        <v>#DIV/0!</v>
      </c>
      <c r="BR75" s="286" t="e">
        <f t="shared" si="89"/>
        <v>#DIV/0!</v>
      </c>
      <c r="BS75" s="285" t="e">
        <f t="shared" si="89"/>
        <v>#DIV/0!</v>
      </c>
      <c r="BT75" s="20" t="e">
        <f t="shared" si="89"/>
        <v>#DIV/0!</v>
      </c>
      <c r="BU75" s="285" t="e">
        <f t="shared" si="89"/>
        <v>#DIV/0!</v>
      </c>
      <c r="BV75" s="20" t="e">
        <f t="shared" si="89"/>
        <v>#DIV/0!</v>
      </c>
      <c r="BW75" s="20" t="e">
        <f t="shared" si="89"/>
        <v>#DIV/0!</v>
      </c>
      <c r="BX75" s="20" t="e">
        <f t="shared" si="89"/>
        <v>#DIV/0!</v>
      </c>
      <c r="BY75" s="20" t="e">
        <f t="shared" si="89"/>
        <v>#DIV/0!</v>
      </c>
      <c r="BZ75" s="249" t="e">
        <f t="shared" si="89"/>
        <v>#DIV/0!</v>
      </c>
    </row>
    <row r="76" spans="1:78" ht="16.5" thickBot="1" x14ac:dyDescent="0.3">
      <c r="A76" s="15">
        <v>25</v>
      </c>
      <c r="B76" s="403"/>
      <c r="C76" s="139"/>
      <c r="D76" s="121" t="s">
        <v>40</v>
      </c>
      <c r="E76" s="4"/>
      <c r="F76" s="122"/>
      <c r="G76" s="274"/>
      <c r="H76" s="278"/>
      <c r="I76" s="124"/>
      <c r="J76" s="125"/>
      <c r="K76" s="126"/>
      <c r="L76" s="124"/>
      <c r="M76" s="140"/>
      <c r="N76" s="278"/>
      <c r="O76" s="124"/>
      <c r="P76" s="125"/>
      <c r="Q76" s="124"/>
      <c r="R76" s="125"/>
      <c r="S76" s="140"/>
      <c r="T76" s="124"/>
      <c r="U76" s="124"/>
      <c r="V76" s="278"/>
      <c r="W76" s="124"/>
      <c r="X76" s="124"/>
      <c r="Y76" s="124"/>
      <c r="Z76" s="124"/>
      <c r="AA76" s="140"/>
      <c r="AB76" s="216"/>
      <c r="AC76" s="204"/>
      <c r="AD76" s="205"/>
      <c r="AE76" s="206"/>
      <c r="AF76" s="207"/>
      <c r="AG76" s="212"/>
      <c r="AH76" s="208"/>
      <c r="AI76" s="208"/>
      <c r="AJ76" s="209"/>
      <c r="AK76" s="173"/>
      <c r="AL76" s="283"/>
      <c r="AM76" s="132"/>
      <c r="AN76" s="131"/>
      <c r="AO76" s="132"/>
      <c r="AP76" s="131"/>
      <c r="AQ76" s="284"/>
      <c r="AR76" s="283"/>
      <c r="AS76" s="132"/>
      <c r="AT76" s="131"/>
      <c r="AU76" s="132"/>
      <c r="AV76" s="131"/>
      <c r="AW76" s="284"/>
      <c r="AX76" s="283"/>
      <c r="AY76" s="132"/>
      <c r="AZ76" s="283"/>
      <c r="BA76" s="133"/>
      <c r="BB76" s="131"/>
      <c r="BC76" s="133"/>
      <c r="BD76" s="131"/>
      <c r="BE76" s="284"/>
      <c r="BG76" s="287"/>
      <c r="BH76" s="64"/>
      <c r="BI76" s="64"/>
      <c r="BJ76" s="64"/>
      <c r="BK76" s="64"/>
      <c r="BL76" s="288"/>
      <c r="BM76" s="287"/>
      <c r="BN76" s="64"/>
      <c r="BO76" s="64"/>
      <c r="BP76" s="64"/>
      <c r="BQ76" s="64"/>
      <c r="BR76" s="288"/>
      <c r="BS76" s="287"/>
      <c r="BT76" s="127"/>
      <c r="BU76" s="287"/>
      <c r="BV76" s="127"/>
      <c r="BW76" s="127"/>
      <c r="BX76" s="127"/>
      <c r="BY76" s="127"/>
      <c r="BZ76" s="289"/>
    </row>
    <row r="77" spans="1:78" x14ac:dyDescent="0.25">
      <c r="A77" s="15">
        <v>26</v>
      </c>
      <c r="B77" s="401" t="str">
        <f>C13</f>
        <v>Oct 13-19</v>
      </c>
      <c r="C77" s="120"/>
      <c r="D77" s="55" t="s">
        <v>39</v>
      </c>
      <c r="E77" s="3"/>
      <c r="F77" s="39"/>
      <c r="G77" s="272"/>
      <c r="H77" s="277"/>
      <c r="I77" s="40"/>
      <c r="J77" s="41"/>
      <c r="K77" s="42"/>
      <c r="L77" s="40"/>
      <c r="M77" s="58"/>
      <c r="N77" s="277"/>
      <c r="O77" s="40"/>
      <c r="P77" s="41"/>
      <c r="Q77" s="40"/>
      <c r="R77" s="41"/>
      <c r="S77" s="58"/>
      <c r="T77" s="40"/>
      <c r="U77" s="40"/>
      <c r="V77" s="277"/>
      <c r="W77" s="40"/>
      <c r="X77" s="40"/>
      <c r="Y77" s="40"/>
      <c r="Z77" s="40"/>
      <c r="AA77" s="58"/>
      <c r="AB77" s="7" t="e">
        <f>SUM(G77:G79)/SUM(F77:F79)</f>
        <v>#DIV/0!</v>
      </c>
      <c r="AC77" s="192"/>
      <c r="AD77" s="193"/>
      <c r="AE77" s="195" t="e">
        <f>SUM(AC77:AC79)/SUM(AD77:AD79)</f>
        <v>#DIV/0!</v>
      </c>
      <c r="AF77" s="194"/>
      <c r="AG77" s="210">
        <v>16.100000000000001</v>
      </c>
      <c r="AH77" s="196" t="e">
        <f>AE77*AG77</f>
        <v>#DIV/0!</v>
      </c>
      <c r="AI77" s="197" t="e">
        <f t="shared" ref="AI77" si="90">AH77/AI$51</f>
        <v>#DIV/0!</v>
      </c>
      <c r="AJ77" s="197" t="e">
        <f>AI77*5</f>
        <v>#DIV/0!</v>
      </c>
      <c r="AK77" s="181" t="e">
        <f>SUM(F77:F79)/(SUM(G77:G79)/SUM(AJ77))</f>
        <v>#DIV/0!</v>
      </c>
      <c r="AL77" s="279" t="e">
        <f t="shared" ref="AL77:BE77" si="91">SUM(H77:H79)/SUM($G77:$G79)</f>
        <v>#DIV/0!</v>
      </c>
      <c r="AM77" s="129" t="e">
        <f t="shared" si="91"/>
        <v>#DIV/0!</v>
      </c>
      <c r="AN77" s="128" t="e">
        <f t="shared" si="91"/>
        <v>#DIV/0!</v>
      </c>
      <c r="AO77" s="129" t="e">
        <f t="shared" si="91"/>
        <v>#DIV/0!</v>
      </c>
      <c r="AP77" s="128" t="e">
        <f t="shared" si="91"/>
        <v>#DIV/0!</v>
      </c>
      <c r="AQ77" s="280" t="e">
        <f t="shared" si="91"/>
        <v>#DIV/0!</v>
      </c>
      <c r="AR77" s="279" t="e">
        <f t="shared" si="91"/>
        <v>#DIV/0!</v>
      </c>
      <c r="AS77" s="129" t="e">
        <f t="shared" si="91"/>
        <v>#DIV/0!</v>
      </c>
      <c r="AT77" s="128" t="e">
        <f t="shared" si="91"/>
        <v>#DIV/0!</v>
      </c>
      <c r="AU77" s="129" t="e">
        <f t="shared" si="91"/>
        <v>#DIV/0!</v>
      </c>
      <c r="AV77" s="128" t="e">
        <f t="shared" si="91"/>
        <v>#DIV/0!</v>
      </c>
      <c r="AW77" s="280" t="e">
        <f t="shared" si="91"/>
        <v>#DIV/0!</v>
      </c>
      <c r="AX77" s="279" t="e">
        <f t="shared" si="91"/>
        <v>#DIV/0!</v>
      </c>
      <c r="AY77" s="129" t="e">
        <f t="shared" si="91"/>
        <v>#DIV/0!</v>
      </c>
      <c r="AZ77" s="279" t="e">
        <f t="shared" si="91"/>
        <v>#DIV/0!</v>
      </c>
      <c r="BA77" s="130" t="e">
        <f t="shared" si="91"/>
        <v>#DIV/0!</v>
      </c>
      <c r="BB77" s="128" t="e">
        <f t="shared" si="91"/>
        <v>#DIV/0!</v>
      </c>
      <c r="BC77" s="130" t="e">
        <f t="shared" si="91"/>
        <v>#DIV/0!</v>
      </c>
      <c r="BD77" s="128" t="e">
        <f t="shared" si="91"/>
        <v>#DIV/0!</v>
      </c>
      <c r="BE77" s="280" t="e">
        <f t="shared" si="91"/>
        <v>#DIV/0!</v>
      </c>
      <c r="BG77" s="285" t="e">
        <f t="shared" ref="BG77:BZ77" si="92">AL77*$AJ77</f>
        <v>#DIV/0!</v>
      </c>
      <c r="BH77" s="49" t="e">
        <f t="shared" si="92"/>
        <v>#DIV/0!</v>
      </c>
      <c r="BI77" s="49" t="e">
        <f t="shared" si="92"/>
        <v>#DIV/0!</v>
      </c>
      <c r="BJ77" s="49" t="e">
        <f t="shared" si="92"/>
        <v>#DIV/0!</v>
      </c>
      <c r="BK77" s="49" t="e">
        <f t="shared" si="92"/>
        <v>#DIV/0!</v>
      </c>
      <c r="BL77" s="286" t="e">
        <f t="shared" si="92"/>
        <v>#DIV/0!</v>
      </c>
      <c r="BM77" s="285" t="e">
        <f t="shared" si="92"/>
        <v>#DIV/0!</v>
      </c>
      <c r="BN77" s="49" t="e">
        <f t="shared" si="92"/>
        <v>#DIV/0!</v>
      </c>
      <c r="BO77" s="49" t="e">
        <f t="shared" si="92"/>
        <v>#DIV/0!</v>
      </c>
      <c r="BP77" s="49" t="e">
        <f t="shared" si="92"/>
        <v>#DIV/0!</v>
      </c>
      <c r="BQ77" s="49" t="e">
        <f t="shared" si="92"/>
        <v>#DIV/0!</v>
      </c>
      <c r="BR77" s="286" t="e">
        <f t="shared" si="92"/>
        <v>#DIV/0!</v>
      </c>
      <c r="BS77" s="285" t="e">
        <f t="shared" si="92"/>
        <v>#DIV/0!</v>
      </c>
      <c r="BT77" s="20" t="e">
        <f t="shared" si="92"/>
        <v>#DIV/0!</v>
      </c>
      <c r="BU77" s="285" t="e">
        <f t="shared" si="92"/>
        <v>#DIV/0!</v>
      </c>
      <c r="BV77" s="20" t="e">
        <f t="shared" si="92"/>
        <v>#DIV/0!</v>
      </c>
      <c r="BW77" s="20" t="e">
        <f t="shared" si="92"/>
        <v>#DIV/0!</v>
      </c>
      <c r="BX77" s="20" t="e">
        <f t="shared" si="92"/>
        <v>#DIV/0!</v>
      </c>
      <c r="BY77" s="20" t="e">
        <f t="shared" si="92"/>
        <v>#DIV/0!</v>
      </c>
      <c r="BZ77" s="249" t="e">
        <f t="shared" si="92"/>
        <v>#DIV/0!</v>
      </c>
    </row>
    <row r="78" spans="1:78" x14ac:dyDescent="0.25">
      <c r="A78" s="15">
        <v>27</v>
      </c>
      <c r="B78" s="402"/>
      <c r="C78" s="50"/>
      <c r="D78" s="56" t="s">
        <v>39</v>
      </c>
      <c r="E78" s="34"/>
      <c r="F78" s="31"/>
      <c r="G78" s="273"/>
      <c r="H78" s="267"/>
      <c r="J78" s="45"/>
      <c r="K78" s="46"/>
      <c r="M78" s="52"/>
      <c r="N78" s="267"/>
      <c r="P78" s="45"/>
      <c r="R78" s="45"/>
      <c r="S78" s="52"/>
      <c r="V78" s="267"/>
      <c r="AA78" s="52"/>
      <c r="AB78" s="7"/>
      <c r="AC78" s="198"/>
      <c r="AD78" s="199"/>
      <c r="AE78" s="200"/>
      <c r="AF78" s="201"/>
      <c r="AG78" s="211"/>
      <c r="AH78" s="202"/>
      <c r="AI78" s="202"/>
      <c r="AJ78" s="203"/>
      <c r="AK78" s="172"/>
      <c r="AL78" s="281"/>
      <c r="AM78" s="48"/>
      <c r="AN78" s="47"/>
      <c r="AO78" s="48"/>
      <c r="AP78" s="47"/>
      <c r="AQ78" s="282"/>
      <c r="AR78" s="281"/>
      <c r="AS78" s="48"/>
      <c r="AT78" s="47"/>
      <c r="AU78" s="48"/>
      <c r="AV78" s="47"/>
      <c r="AW78" s="282"/>
      <c r="AX78" s="281"/>
      <c r="AY78" s="48"/>
      <c r="AZ78" s="281"/>
      <c r="BA78" s="51"/>
      <c r="BB78" s="47"/>
      <c r="BC78" s="51"/>
      <c r="BD78" s="47"/>
      <c r="BE78" s="282"/>
      <c r="BG78" s="285"/>
      <c r="BH78" s="49"/>
      <c r="BI78" s="49"/>
      <c r="BJ78" s="49"/>
      <c r="BK78" s="49"/>
      <c r="BL78" s="286"/>
      <c r="BM78" s="285"/>
      <c r="BN78" s="49"/>
      <c r="BO78" s="49"/>
      <c r="BP78" s="49"/>
      <c r="BQ78" s="49"/>
      <c r="BR78" s="286"/>
      <c r="BS78" s="285"/>
      <c r="BT78" s="20"/>
      <c r="BU78" s="285"/>
      <c r="BV78" s="20"/>
      <c r="BW78" s="20"/>
      <c r="BX78" s="20"/>
      <c r="BY78" s="20"/>
      <c r="BZ78" s="249"/>
    </row>
    <row r="79" spans="1:78" x14ac:dyDescent="0.25">
      <c r="A79" s="15">
        <v>28</v>
      </c>
      <c r="B79" s="402"/>
      <c r="C79" s="50"/>
      <c r="D79" s="56" t="s">
        <v>39</v>
      </c>
      <c r="E79" s="34"/>
      <c r="F79" s="31"/>
      <c r="G79" s="273"/>
      <c r="H79" s="267"/>
      <c r="J79" s="45"/>
      <c r="K79" s="46"/>
      <c r="M79" s="52"/>
      <c r="N79" s="267"/>
      <c r="P79" s="45"/>
      <c r="R79" s="45"/>
      <c r="S79" s="52"/>
      <c r="V79" s="267"/>
      <c r="AA79" s="52"/>
      <c r="AB79" s="7"/>
      <c r="AC79" s="198"/>
      <c r="AD79" s="199"/>
      <c r="AE79" s="200"/>
      <c r="AF79" s="201"/>
      <c r="AG79" s="211"/>
      <c r="AH79" s="202"/>
      <c r="AI79" s="202"/>
      <c r="AJ79" s="203"/>
      <c r="AK79" s="172"/>
      <c r="AL79" s="281"/>
      <c r="AM79" s="48"/>
      <c r="AN79" s="47"/>
      <c r="AO79" s="48"/>
      <c r="AP79" s="47"/>
      <c r="AQ79" s="282"/>
      <c r="AR79" s="281"/>
      <c r="AS79" s="48"/>
      <c r="AT79" s="47"/>
      <c r="AU79" s="48"/>
      <c r="AV79" s="47"/>
      <c r="AW79" s="282"/>
      <c r="AX79" s="281"/>
      <c r="AY79" s="48"/>
      <c r="AZ79" s="281"/>
      <c r="BA79" s="51"/>
      <c r="BB79" s="47"/>
      <c r="BC79" s="51"/>
      <c r="BD79" s="47"/>
      <c r="BE79" s="282"/>
      <c r="BG79" s="285"/>
      <c r="BH79" s="49"/>
      <c r="BI79" s="49"/>
      <c r="BJ79" s="49"/>
      <c r="BK79" s="49"/>
      <c r="BL79" s="286"/>
      <c r="BM79" s="285"/>
      <c r="BN79" s="49"/>
      <c r="BO79" s="49"/>
      <c r="BP79" s="49"/>
      <c r="BQ79" s="49"/>
      <c r="BR79" s="286"/>
      <c r="BS79" s="285"/>
      <c r="BT79" s="20"/>
      <c r="BU79" s="285"/>
      <c r="BV79" s="20"/>
      <c r="BW79" s="20"/>
      <c r="BX79" s="20"/>
      <c r="BY79" s="20"/>
      <c r="BZ79" s="249"/>
    </row>
    <row r="80" spans="1:78" x14ac:dyDescent="0.25">
      <c r="A80" s="15">
        <v>29</v>
      </c>
      <c r="B80" s="402"/>
      <c r="C80" s="50"/>
      <c r="D80" s="56" t="s">
        <v>40</v>
      </c>
      <c r="E80" s="34"/>
      <c r="F80" s="31"/>
      <c r="G80" s="273"/>
      <c r="H80" s="267"/>
      <c r="J80" s="45"/>
      <c r="K80" s="46"/>
      <c r="M80" s="52"/>
      <c r="N80" s="267"/>
      <c r="P80" s="45"/>
      <c r="R80" s="45"/>
      <c r="S80" s="52"/>
      <c r="V80" s="267"/>
      <c r="AA80" s="52"/>
      <c r="AB80" s="7" t="e">
        <f>(G80+G81)/(F80+F81)</f>
        <v>#DIV/0!</v>
      </c>
      <c r="AC80" s="198"/>
      <c r="AD80" s="199"/>
      <c r="AE80" s="200" t="e">
        <f>SUM(AC80:AC81)/SUM(AD80:AD81)</f>
        <v>#DIV/0!</v>
      </c>
      <c r="AF80" s="201"/>
      <c r="AG80" s="211">
        <v>16.100000000000001</v>
      </c>
      <c r="AH80" s="202" t="e">
        <f>AE80*AG80</f>
        <v>#DIV/0!</v>
      </c>
      <c r="AI80" s="203" t="e">
        <f t="shared" ref="AI80" si="93">AH80/AI$51</f>
        <v>#DIV/0!</v>
      </c>
      <c r="AJ80" s="203" t="e">
        <f>AI80*2</f>
        <v>#DIV/0!</v>
      </c>
      <c r="AK80" s="181" t="e">
        <f>SUM(F80:F81)/(SUM(G80:G81)/SUM(AJ80))</f>
        <v>#DIV/0!</v>
      </c>
      <c r="AL80" s="281" t="e">
        <f t="shared" ref="AL80:AW80" si="94">SUM(H80:H81)/SUM($G80:$G81)</f>
        <v>#DIV/0!</v>
      </c>
      <c r="AM80" s="48" t="e">
        <f t="shared" si="94"/>
        <v>#DIV/0!</v>
      </c>
      <c r="AN80" s="47" t="e">
        <f t="shared" si="94"/>
        <v>#DIV/0!</v>
      </c>
      <c r="AO80" s="48" t="e">
        <f t="shared" si="94"/>
        <v>#DIV/0!</v>
      </c>
      <c r="AP80" s="47" t="e">
        <f t="shared" si="94"/>
        <v>#DIV/0!</v>
      </c>
      <c r="AQ80" s="282" t="e">
        <f t="shared" si="94"/>
        <v>#DIV/0!</v>
      </c>
      <c r="AR80" s="281" t="e">
        <f t="shared" si="94"/>
        <v>#DIV/0!</v>
      </c>
      <c r="AS80" s="48" t="e">
        <f t="shared" si="94"/>
        <v>#DIV/0!</v>
      </c>
      <c r="AT80" s="47" t="e">
        <f t="shared" si="94"/>
        <v>#DIV/0!</v>
      </c>
      <c r="AU80" s="48" t="e">
        <f t="shared" si="94"/>
        <v>#DIV/0!</v>
      </c>
      <c r="AV80" s="47" t="e">
        <f t="shared" si="94"/>
        <v>#DIV/0!</v>
      </c>
      <c r="AW80" s="282" t="e">
        <f t="shared" si="94"/>
        <v>#DIV/0!</v>
      </c>
      <c r="AX80" s="281" t="e">
        <f t="shared" ref="AX80" si="95">SUM(T80:T81)/SUM($G80:$G81)</f>
        <v>#DIV/0!</v>
      </c>
      <c r="AY80" s="48" t="e">
        <f t="shared" ref="AY80:BE80" si="96">SUM(U80:U81)/SUM($G80:$G81)</f>
        <v>#DIV/0!</v>
      </c>
      <c r="AZ80" s="281" t="e">
        <f t="shared" si="96"/>
        <v>#DIV/0!</v>
      </c>
      <c r="BA80" s="51" t="e">
        <f t="shared" si="96"/>
        <v>#DIV/0!</v>
      </c>
      <c r="BB80" s="47" t="e">
        <f t="shared" si="96"/>
        <v>#DIV/0!</v>
      </c>
      <c r="BC80" s="51" t="e">
        <f t="shared" si="96"/>
        <v>#DIV/0!</v>
      </c>
      <c r="BD80" s="47" t="e">
        <f t="shared" si="96"/>
        <v>#DIV/0!</v>
      </c>
      <c r="BE80" s="282" t="e">
        <f t="shared" si="96"/>
        <v>#DIV/0!</v>
      </c>
      <c r="BG80" s="285" t="e">
        <f t="shared" ref="BG80:BZ80" si="97">AL80*$AJ80</f>
        <v>#DIV/0!</v>
      </c>
      <c r="BH80" s="49" t="e">
        <f t="shared" si="97"/>
        <v>#DIV/0!</v>
      </c>
      <c r="BI80" s="49" t="e">
        <f t="shared" si="97"/>
        <v>#DIV/0!</v>
      </c>
      <c r="BJ80" s="49" t="e">
        <f t="shared" si="97"/>
        <v>#DIV/0!</v>
      </c>
      <c r="BK80" s="49" t="e">
        <f t="shared" si="97"/>
        <v>#DIV/0!</v>
      </c>
      <c r="BL80" s="286" t="e">
        <f t="shared" si="97"/>
        <v>#DIV/0!</v>
      </c>
      <c r="BM80" s="285" t="e">
        <f t="shared" si="97"/>
        <v>#DIV/0!</v>
      </c>
      <c r="BN80" s="49" t="e">
        <f t="shared" si="97"/>
        <v>#DIV/0!</v>
      </c>
      <c r="BO80" s="49" t="e">
        <f t="shared" si="97"/>
        <v>#DIV/0!</v>
      </c>
      <c r="BP80" s="49" t="e">
        <f t="shared" si="97"/>
        <v>#DIV/0!</v>
      </c>
      <c r="BQ80" s="49" t="e">
        <f t="shared" si="97"/>
        <v>#DIV/0!</v>
      </c>
      <c r="BR80" s="286" t="e">
        <f t="shared" si="97"/>
        <v>#DIV/0!</v>
      </c>
      <c r="BS80" s="285" t="e">
        <f t="shared" si="97"/>
        <v>#DIV/0!</v>
      </c>
      <c r="BT80" s="20" t="e">
        <f t="shared" si="97"/>
        <v>#DIV/0!</v>
      </c>
      <c r="BU80" s="285" t="e">
        <f t="shared" si="97"/>
        <v>#DIV/0!</v>
      </c>
      <c r="BV80" s="20" t="e">
        <f t="shared" si="97"/>
        <v>#DIV/0!</v>
      </c>
      <c r="BW80" s="20" t="e">
        <f t="shared" si="97"/>
        <v>#DIV/0!</v>
      </c>
      <c r="BX80" s="20" t="e">
        <f t="shared" si="97"/>
        <v>#DIV/0!</v>
      </c>
      <c r="BY80" s="20" t="e">
        <f t="shared" si="97"/>
        <v>#DIV/0!</v>
      </c>
      <c r="BZ80" s="249" t="e">
        <f t="shared" si="97"/>
        <v>#DIV/0!</v>
      </c>
    </row>
    <row r="81" spans="1:78" ht="16.5" thickBot="1" x14ac:dyDescent="0.3">
      <c r="A81" s="15">
        <v>30</v>
      </c>
      <c r="B81" s="403"/>
      <c r="C81" s="139"/>
      <c r="D81" s="121" t="s">
        <v>40</v>
      </c>
      <c r="E81" s="4"/>
      <c r="F81" s="122"/>
      <c r="G81" s="274"/>
      <c r="H81" s="278"/>
      <c r="I81" s="124"/>
      <c r="J81" s="125"/>
      <c r="K81" s="126"/>
      <c r="L81" s="124"/>
      <c r="M81" s="140"/>
      <c r="N81" s="278"/>
      <c r="O81" s="124"/>
      <c r="P81" s="125"/>
      <c r="Q81" s="124"/>
      <c r="R81" s="125"/>
      <c r="S81" s="140"/>
      <c r="T81" s="124"/>
      <c r="U81" s="124"/>
      <c r="V81" s="278"/>
      <c r="W81" s="124"/>
      <c r="X81" s="124"/>
      <c r="Y81" s="124"/>
      <c r="Z81" s="124"/>
      <c r="AA81" s="140"/>
      <c r="AB81" s="216"/>
      <c r="AC81" s="204"/>
      <c r="AD81" s="205"/>
      <c r="AE81" s="206"/>
      <c r="AF81" s="207"/>
      <c r="AG81" s="212"/>
      <c r="AH81" s="208"/>
      <c r="AI81" s="208"/>
      <c r="AJ81" s="209"/>
      <c r="AK81" s="173"/>
      <c r="AL81" s="283"/>
      <c r="AM81" s="132"/>
      <c r="AN81" s="131"/>
      <c r="AO81" s="132"/>
      <c r="AP81" s="131"/>
      <c r="AQ81" s="284"/>
      <c r="AR81" s="283"/>
      <c r="AS81" s="132"/>
      <c r="AT81" s="131"/>
      <c r="AU81" s="132"/>
      <c r="AV81" s="131"/>
      <c r="AW81" s="284"/>
      <c r="AX81" s="283"/>
      <c r="AY81" s="132"/>
      <c r="AZ81" s="283"/>
      <c r="BA81" s="133"/>
      <c r="BB81" s="131"/>
      <c r="BC81" s="133"/>
      <c r="BD81" s="131"/>
      <c r="BE81" s="284"/>
      <c r="BG81" s="287"/>
      <c r="BH81" s="64"/>
      <c r="BI81" s="64"/>
      <c r="BJ81" s="64"/>
      <c r="BK81" s="64"/>
      <c r="BL81" s="288"/>
      <c r="BM81" s="287"/>
      <c r="BN81" s="64"/>
      <c r="BO81" s="64"/>
      <c r="BP81" s="64"/>
      <c r="BQ81" s="64"/>
      <c r="BR81" s="288"/>
      <c r="BS81" s="287"/>
      <c r="BT81" s="127"/>
      <c r="BU81" s="287"/>
      <c r="BV81" s="127"/>
      <c r="BW81" s="127"/>
      <c r="BX81" s="127"/>
      <c r="BY81" s="127"/>
      <c r="BZ81" s="289"/>
    </row>
    <row r="82" spans="1:78" x14ac:dyDescent="0.25">
      <c r="A82" s="15">
        <v>31</v>
      </c>
      <c r="B82" s="401" t="str">
        <f>C14</f>
        <v>Oct 20-26</v>
      </c>
      <c r="C82" s="120"/>
      <c r="D82" s="55" t="s">
        <v>39</v>
      </c>
      <c r="E82" s="3"/>
      <c r="F82" s="39"/>
      <c r="G82" s="272"/>
      <c r="H82" s="277"/>
      <c r="I82" s="40"/>
      <c r="J82" s="41"/>
      <c r="K82" s="42"/>
      <c r="L82" s="40"/>
      <c r="M82" s="58"/>
      <c r="N82" s="277"/>
      <c r="O82" s="40"/>
      <c r="P82" s="41"/>
      <c r="Q82" s="40"/>
      <c r="R82" s="41"/>
      <c r="S82" s="58"/>
      <c r="T82" s="40"/>
      <c r="U82" s="40"/>
      <c r="V82" s="277"/>
      <c r="W82" s="40"/>
      <c r="X82" s="40"/>
      <c r="Y82" s="40"/>
      <c r="Z82" s="40"/>
      <c r="AA82" s="58"/>
      <c r="AB82" s="7" t="e">
        <f>SUM(G82:G84)/SUM(F82:F84)</f>
        <v>#DIV/0!</v>
      </c>
      <c r="AC82" s="192"/>
      <c r="AD82" s="193"/>
      <c r="AE82" s="195" t="e">
        <f>SUM(AC82:AC84)/SUM(AD82:AD84)</f>
        <v>#DIV/0!</v>
      </c>
      <c r="AF82" s="194"/>
      <c r="AG82" s="210">
        <v>16.100000000000001</v>
      </c>
      <c r="AH82" s="196" t="e">
        <f>AE82*AG82</f>
        <v>#DIV/0!</v>
      </c>
      <c r="AI82" s="197" t="e">
        <f t="shared" ref="AI82" si="98">AH82/AI$51</f>
        <v>#DIV/0!</v>
      </c>
      <c r="AJ82" s="197" t="e">
        <f>AI82*5</f>
        <v>#DIV/0!</v>
      </c>
      <c r="AK82" s="181" t="e">
        <f>SUM(F82:F84)/(SUM(G82:G84)/SUM(AJ82))</f>
        <v>#DIV/0!</v>
      </c>
      <c r="AL82" s="279" t="e">
        <f t="shared" ref="AL82" si="99">SUM(H82:H84)/SUM($G82:$G84)</f>
        <v>#DIV/0!</v>
      </c>
      <c r="AM82" s="129" t="e">
        <f t="shared" ref="AM82" si="100">SUM(I82:I84)/SUM($G82:$G84)</f>
        <v>#DIV/0!</v>
      </c>
      <c r="AN82" s="128" t="e">
        <f t="shared" ref="AN82:BE82" si="101">SUM(J82:J84)/SUM($G82:$G84)</f>
        <v>#DIV/0!</v>
      </c>
      <c r="AO82" s="129" t="e">
        <f t="shared" si="101"/>
        <v>#DIV/0!</v>
      </c>
      <c r="AP82" s="128" t="e">
        <f t="shared" si="101"/>
        <v>#DIV/0!</v>
      </c>
      <c r="AQ82" s="280" t="e">
        <f t="shared" si="101"/>
        <v>#DIV/0!</v>
      </c>
      <c r="AR82" s="279" t="e">
        <f t="shared" si="101"/>
        <v>#DIV/0!</v>
      </c>
      <c r="AS82" s="129" t="e">
        <f t="shared" si="101"/>
        <v>#DIV/0!</v>
      </c>
      <c r="AT82" s="128" t="e">
        <f t="shared" si="101"/>
        <v>#DIV/0!</v>
      </c>
      <c r="AU82" s="129" t="e">
        <f t="shared" si="101"/>
        <v>#DIV/0!</v>
      </c>
      <c r="AV82" s="128" t="e">
        <f t="shared" si="101"/>
        <v>#DIV/0!</v>
      </c>
      <c r="AW82" s="280" t="e">
        <f t="shared" si="101"/>
        <v>#DIV/0!</v>
      </c>
      <c r="AX82" s="279" t="e">
        <f t="shared" si="101"/>
        <v>#DIV/0!</v>
      </c>
      <c r="AY82" s="129" t="e">
        <f t="shared" si="101"/>
        <v>#DIV/0!</v>
      </c>
      <c r="AZ82" s="279" t="e">
        <f t="shared" si="101"/>
        <v>#DIV/0!</v>
      </c>
      <c r="BA82" s="130" t="e">
        <f t="shared" si="101"/>
        <v>#DIV/0!</v>
      </c>
      <c r="BB82" s="128" t="e">
        <f t="shared" si="101"/>
        <v>#DIV/0!</v>
      </c>
      <c r="BC82" s="130" t="e">
        <f t="shared" si="101"/>
        <v>#DIV/0!</v>
      </c>
      <c r="BD82" s="128" t="e">
        <f t="shared" si="101"/>
        <v>#DIV/0!</v>
      </c>
      <c r="BE82" s="280" t="e">
        <f t="shared" si="101"/>
        <v>#DIV/0!</v>
      </c>
      <c r="BG82" s="285" t="e">
        <f t="shared" ref="BG82:BZ82" si="102">AL82*$AJ82</f>
        <v>#DIV/0!</v>
      </c>
      <c r="BH82" s="49" t="e">
        <f t="shared" si="102"/>
        <v>#DIV/0!</v>
      </c>
      <c r="BI82" s="49" t="e">
        <f t="shared" si="102"/>
        <v>#DIV/0!</v>
      </c>
      <c r="BJ82" s="49" t="e">
        <f t="shared" si="102"/>
        <v>#DIV/0!</v>
      </c>
      <c r="BK82" s="49" t="e">
        <f t="shared" si="102"/>
        <v>#DIV/0!</v>
      </c>
      <c r="BL82" s="286" t="e">
        <f t="shared" si="102"/>
        <v>#DIV/0!</v>
      </c>
      <c r="BM82" s="285" t="e">
        <f t="shared" si="102"/>
        <v>#DIV/0!</v>
      </c>
      <c r="BN82" s="49" t="e">
        <f t="shared" si="102"/>
        <v>#DIV/0!</v>
      </c>
      <c r="BO82" s="49" t="e">
        <f t="shared" si="102"/>
        <v>#DIV/0!</v>
      </c>
      <c r="BP82" s="49" t="e">
        <f t="shared" si="102"/>
        <v>#DIV/0!</v>
      </c>
      <c r="BQ82" s="49" t="e">
        <f t="shared" si="102"/>
        <v>#DIV/0!</v>
      </c>
      <c r="BR82" s="286" t="e">
        <f t="shared" si="102"/>
        <v>#DIV/0!</v>
      </c>
      <c r="BS82" s="285" t="e">
        <f t="shared" si="102"/>
        <v>#DIV/0!</v>
      </c>
      <c r="BT82" s="20" t="e">
        <f t="shared" si="102"/>
        <v>#DIV/0!</v>
      </c>
      <c r="BU82" s="285" t="e">
        <f t="shared" si="102"/>
        <v>#DIV/0!</v>
      </c>
      <c r="BV82" s="20" t="e">
        <f t="shared" si="102"/>
        <v>#DIV/0!</v>
      </c>
      <c r="BW82" s="20" t="e">
        <f t="shared" si="102"/>
        <v>#DIV/0!</v>
      </c>
      <c r="BX82" s="20" t="e">
        <f t="shared" si="102"/>
        <v>#DIV/0!</v>
      </c>
      <c r="BY82" s="20" t="e">
        <f t="shared" si="102"/>
        <v>#DIV/0!</v>
      </c>
      <c r="BZ82" s="249" t="e">
        <f t="shared" si="102"/>
        <v>#DIV/0!</v>
      </c>
    </row>
    <row r="83" spans="1:78" x14ac:dyDescent="0.25">
      <c r="A83" s="15">
        <v>32</v>
      </c>
      <c r="B83" s="402"/>
      <c r="C83" s="50"/>
      <c r="D83" s="56" t="s">
        <v>39</v>
      </c>
      <c r="E83" s="34"/>
      <c r="F83" s="31"/>
      <c r="G83" s="273"/>
      <c r="H83" s="267"/>
      <c r="J83" s="45"/>
      <c r="K83" s="46"/>
      <c r="M83" s="52"/>
      <c r="N83" s="267"/>
      <c r="P83" s="45"/>
      <c r="R83" s="45"/>
      <c r="S83" s="52"/>
      <c r="V83" s="267"/>
      <c r="AA83" s="52"/>
      <c r="AB83" s="7"/>
      <c r="AC83" s="198"/>
      <c r="AD83" s="199"/>
      <c r="AE83" s="200"/>
      <c r="AF83" s="201"/>
      <c r="AG83" s="211"/>
      <c r="AH83" s="202"/>
      <c r="AI83" s="202"/>
      <c r="AJ83" s="203"/>
      <c r="AK83" s="172"/>
      <c r="AL83" s="281"/>
      <c r="AM83" s="48"/>
      <c r="AN83" s="47"/>
      <c r="AO83" s="48"/>
      <c r="AP83" s="47"/>
      <c r="AQ83" s="282"/>
      <c r="AR83" s="281"/>
      <c r="AS83" s="48"/>
      <c r="AT83" s="47"/>
      <c r="AU83" s="48"/>
      <c r="AV83" s="47"/>
      <c r="AW83" s="282"/>
      <c r="AX83" s="281"/>
      <c r="AY83" s="48"/>
      <c r="AZ83" s="281"/>
      <c r="BA83" s="51"/>
      <c r="BB83" s="47"/>
      <c r="BC83" s="51"/>
      <c r="BD83" s="47"/>
      <c r="BE83" s="282"/>
      <c r="BG83" s="285"/>
      <c r="BH83" s="49"/>
      <c r="BI83" s="49"/>
      <c r="BJ83" s="49"/>
      <c r="BK83" s="49"/>
      <c r="BL83" s="286"/>
      <c r="BM83" s="285"/>
      <c r="BN83" s="49"/>
      <c r="BO83" s="49"/>
      <c r="BP83" s="49"/>
      <c r="BQ83" s="49"/>
      <c r="BR83" s="286"/>
      <c r="BS83" s="285"/>
      <c r="BT83" s="20"/>
      <c r="BU83" s="285"/>
      <c r="BV83" s="20"/>
      <c r="BW83" s="20"/>
      <c r="BX83" s="20"/>
      <c r="BY83" s="20"/>
      <c r="BZ83" s="249"/>
    </row>
    <row r="84" spans="1:78" x14ac:dyDescent="0.25">
      <c r="A84" s="15">
        <v>33</v>
      </c>
      <c r="B84" s="402"/>
      <c r="C84" s="50"/>
      <c r="D84" s="56" t="s">
        <v>39</v>
      </c>
      <c r="E84" s="34"/>
      <c r="F84" s="31"/>
      <c r="G84" s="273"/>
      <c r="H84" s="267"/>
      <c r="J84" s="45"/>
      <c r="K84" s="46"/>
      <c r="M84" s="52"/>
      <c r="N84" s="267"/>
      <c r="P84" s="45"/>
      <c r="R84" s="45"/>
      <c r="S84" s="52"/>
      <c r="V84" s="267"/>
      <c r="AA84" s="52"/>
      <c r="AB84" s="7"/>
      <c r="AC84" s="198"/>
      <c r="AD84" s="199"/>
      <c r="AE84" s="200"/>
      <c r="AF84" s="201"/>
      <c r="AG84" s="211"/>
      <c r="AH84" s="202"/>
      <c r="AI84" s="202"/>
      <c r="AJ84" s="203"/>
      <c r="AK84" s="172"/>
      <c r="AL84" s="281"/>
      <c r="AM84" s="48"/>
      <c r="AN84" s="47"/>
      <c r="AO84" s="48"/>
      <c r="AP84" s="47"/>
      <c r="AQ84" s="282"/>
      <c r="AR84" s="281"/>
      <c r="AS84" s="48"/>
      <c r="AT84" s="47"/>
      <c r="AU84" s="48"/>
      <c r="AV84" s="47"/>
      <c r="AW84" s="282"/>
      <c r="AX84" s="281"/>
      <c r="AY84" s="48"/>
      <c r="AZ84" s="281"/>
      <c r="BA84" s="51"/>
      <c r="BB84" s="47"/>
      <c r="BC84" s="51"/>
      <c r="BD84" s="47"/>
      <c r="BE84" s="282"/>
      <c r="BG84" s="285"/>
      <c r="BH84" s="49"/>
      <c r="BI84" s="49"/>
      <c r="BJ84" s="49"/>
      <c r="BK84" s="49"/>
      <c r="BL84" s="286"/>
      <c r="BM84" s="285"/>
      <c r="BN84" s="49"/>
      <c r="BO84" s="49"/>
      <c r="BP84" s="49"/>
      <c r="BQ84" s="49"/>
      <c r="BR84" s="286"/>
      <c r="BS84" s="285"/>
      <c r="BT84" s="20"/>
      <c r="BU84" s="285"/>
      <c r="BV84" s="20"/>
      <c r="BW84" s="20"/>
      <c r="BX84" s="20"/>
      <c r="BY84" s="20"/>
      <c r="BZ84" s="249"/>
    </row>
    <row r="85" spans="1:78" x14ac:dyDescent="0.25">
      <c r="A85" s="15">
        <v>34</v>
      </c>
      <c r="B85" s="402"/>
      <c r="C85" s="50"/>
      <c r="D85" s="56" t="s">
        <v>40</v>
      </c>
      <c r="E85" s="34"/>
      <c r="F85" s="31"/>
      <c r="G85" s="273"/>
      <c r="H85" s="267"/>
      <c r="J85" s="45"/>
      <c r="K85" s="46"/>
      <c r="M85" s="52"/>
      <c r="N85" s="267"/>
      <c r="P85" s="45"/>
      <c r="R85" s="45"/>
      <c r="S85" s="52"/>
      <c r="V85" s="267"/>
      <c r="AA85" s="52"/>
      <c r="AB85" s="7" t="e">
        <f>(G85+G86)/(F85+F86)</f>
        <v>#DIV/0!</v>
      </c>
      <c r="AC85" s="198"/>
      <c r="AD85" s="199"/>
      <c r="AE85" s="200" t="e">
        <f>SUM(AC85:AC86)/SUM(AD85:AD86)</f>
        <v>#DIV/0!</v>
      </c>
      <c r="AF85" s="201"/>
      <c r="AG85" s="211">
        <v>16.100000000000001</v>
      </c>
      <c r="AH85" s="202" t="e">
        <f>AE85*AG85</f>
        <v>#DIV/0!</v>
      </c>
      <c r="AI85" s="203" t="e">
        <f t="shared" ref="AI85" si="103">AH85/AI$51</f>
        <v>#DIV/0!</v>
      </c>
      <c r="AJ85" s="203" t="e">
        <f>AI85*2</f>
        <v>#DIV/0!</v>
      </c>
      <c r="AK85" s="181" t="e">
        <f>SUM(F85:F86)/(SUM(G85:G86)/SUM(AJ85))</f>
        <v>#DIV/0!</v>
      </c>
      <c r="AL85" s="281" t="e">
        <f t="shared" ref="AL85" si="104">SUM(H85:H86)/SUM($G85:$G86)</f>
        <v>#DIV/0!</v>
      </c>
      <c r="AM85" s="48" t="e">
        <f t="shared" ref="AM85" si="105">SUM(I85:I86)/SUM($G85:$G86)</f>
        <v>#DIV/0!</v>
      </c>
      <c r="AN85" s="47" t="e">
        <f t="shared" ref="AN85:BE85" si="106">SUM(J85:J86)/SUM($G85:$G86)</f>
        <v>#DIV/0!</v>
      </c>
      <c r="AO85" s="48" t="e">
        <f t="shared" si="106"/>
        <v>#DIV/0!</v>
      </c>
      <c r="AP85" s="47" t="e">
        <f t="shared" si="106"/>
        <v>#DIV/0!</v>
      </c>
      <c r="AQ85" s="282" t="e">
        <f t="shared" si="106"/>
        <v>#DIV/0!</v>
      </c>
      <c r="AR85" s="281" t="e">
        <f t="shared" si="106"/>
        <v>#DIV/0!</v>
      </c>
      <c r="AS85" s="48" t="e">
        <f t="shared" si="106"/>
        <v>#DIV/0!</v>
      </c>
      <c r="AT85" s="47" t="e">
        <f t="shared" si="106"/>
        <v>#DIV/0!</v>
      </c>
      <c r="AU85" s="48" t="e">
        <f t="shared" si="106"/>
        <v>#DIV/0!</v>
      </c>
      <c r="AV85" s="47" t="e">
        <f t="shared" si="106"/>
        <v>#DIV/0!</v>
      </c>
      <c r="AW85" s="282" t="e">
        <f t="shared" si="106"/>
        <v>#DIV/0!</v>
      </c>
      <c r="AX85" s="281" t="e">
        <f t="shared" si="106"/>
        <v>#DIV/0!</v>
      </c>
      <c r="AY85" s="48" t="e">
        <f t="shared" si="106"/>
        <v>#DIV/0!</v>
      </c>
      <c r="AZ85" s="281" t="e">
        <f t="shared" si="106"/>
        <v>#DIV/0!</v>
      </c>
      <c r="BA85" s="51" t="e">
        <f t="shared" si="106"/>
        <v>#DIV/0!</v>
      </c>
      <c r="BB85" s="47" t="e">
        <f t="shared" si="106"/>
        <v>#DIV/0!</v>
      </c>
      <c r="BC85" s="51" t="e">
        <f t="shared" si="106"/>
        <v>#DIV/0!</v>
      </c>
      <c r="BD85" s="47" t="e">
        <f t="shared" si="106"/>
        <v>#DIV/0!</v>
      </c>
      <c r="BE85" s="282" t="e">
        <f t="shared" si="106"/>
        <v>#DIV/0!</v>
      </c>
      <c r="BG85" s="285" t="e">
        <f t="shared" ref="BG85:BZ85" si="107">AL85*$AJ85</f>
        <v>#DIV/0!</v>
      </c>
      <c r="BH85" s="49" t="e">
        <f t="shared" si="107"/>
        <v>#DIV/0!</v>
      </c>
      <c r="BI85" s="49" t="e">
        <f t="shared" si="107"/>
        <v>#DIV/0!</v>
      </c>
      <c r="BJ85" s="49" t="e">
        <f t="shared" si="107"/>
        <v>#DIV/0!</v>
      </c>
      <c r="BK85" s="49" t="e">
        <f t="shared" si="107"/>
        <v>#DIV/0!</v>
      </c>
      <c r="BL85" s="286" t="e">
        <f t="shared" si="107"/>
        <v>#DIV/0!</v>
      </c>
      <c r="BM85" s="285" t="e">
        <f t="shared" si="107"/>
        <v>#DIV/0!</v>
      </c>
      <c r="BN85" s="49" t="e">
        <f t="shared" si="107"/>
        <v>#DIV/0!</v>
      </c>
      <c r="BO85" s="49" t="e">
        <f t="shared" si="107"/>
        <v>#DIV/0!</v>
      </c>
      <c r="BP85" s="49" t="e">
        <f t="shared" si="107"/>
        <v>#DIV/0!</v>
      </c>
      <c r="BQ85" s="49" t="e">
        <f t="shared" si="107"/>
        <v>#DIV/0!</v>
      </c>
      <c r="BR85" s="286" t="e">
        <f t="shared" si="107"/>
        <v>#DIV/0!</v>
      </c>
      <c r="BS85" s="285" t="e">
        <f t="shared" si="107"/>
        <v>#DIV/0!</v>
      </c>
      <c r="BT85" s="20" t="e">
        <f t="shared" si="107"/>
        <v>#DIV/0!</v>
      </c>
      <c r="BU85" s="285" t="e">
        <f t="shared" si="107"/>
        <v>#DIV/0!</v>
      </c>
      <c r="BV85" s="20" t="e">
        <f t="shared" si="107"/>
        <v>#DIV/0!</v>
      </c>
      <c r="BW85" s="20" t="e">
        <f t="shared" si="107"/>
        <v>#DIV/0!</v>
      </c>
      <c r="BX85" s="20" t="e">
        <f t="shared" si="107"/>
        <v>#DIV/0!</v>
      </c>
      <c r="BY85" s="20" t="e">
        <f t="shared" si="107"/>
        <v>#DIV/0!</v>
      </c>
      <c r="BZ85" s="249" t="e">
        <f t="shared" si="107"/>
        <v>#DIV/0!</v>
      </c>
    </row>
    <row r="86" spans="1:78" ht="16.5" thickBot="1" x14ac:dyDescent="0.3">
      <c r="A86" s="15">
        <v>35</v>
      </c>
      <c r="B86" s="403"/>
      <c r="C86" s="139"/>
      <c r="D86" s="121" t="s">
        <v>40</v>
      </c>
      <c r="E86" s="4"/>
      <c r="F86" s="122"/>
      <c r="G86" s="274"/>
      <c r="H86" s="278"/>
      <c r="I86" s="124"/>
      <c r="J86" s="125"/>
      <c r="K86" s="126"/>
      <c r="L86" s="124"/>
      <c r="M86" s="140"/>
      <c r="N86" s="278"/>
      <c r="O86" s="124"/>
      <c r="P86" s="125"/>
      <c r="Q86" s="124"/>
      <c r="R86" s="125"/>
      <c r="S86" s="140"/>
      <c r="T86" s="124"/>
      <c r="U86" s="124"/>
      <c r="V86" s="278"/>
      <c r="W86" s="124"/>
      <c r="X86" s="124"/>
      <c r="Y86" s="124"/>
      <c r="Z86" s="124"/>
      <c r="AA86" s="140"/>
      <c r="AB86" s="216"/>
      <c r="AC86" s="204"/>
      <c r="AD86" s="205"/>
      <c r="AE86" s="206"/>
      <c r="AF86" s="207"/>
      <c r="AG86" s="212"/>
      <c r="AH86" s="208"/>
      <c r="AI86" s="208"/>
      <c r="AJ86" s="209"/>
      <c r="AK86" s="173"/>
      <c r="AL86" s="283"/>
      <c r="AM86" s="132"/>
      <c r="AN86" s="131"/>
      <c r="AO86" s="132"/>
      <c r="AP86" s="131"/>
      <c r="AQ86" s="284"/>
      <c r="AR86" s="283"/>
      <c r="AS86" s="132"/>
      <c r="AT86" s="131"/>
      <c r="AU86" s="132"/>
      <c r="AV86" s="131"/>
      <c r="AW86" s="284"/>
      <c r="AX86" s="283"/>
      <c r="AY86" s="132"/>
      <c r="AZ86" s="283"/>
      <c r="BA86" s="133"/>
      <c r="BB86" s="131"/>
      <c r="BC86" s="133"/>
      <c r="BD86" s="131"/>
      <c r="BE86" s="284"/>
      <c r="BG86" s="287"/>
      <c r="BH86" s="64"/>
      <c r="BI86" s="64"/>
      <c r="BJ86" s="64"/>
      <c r="BK86" s="64"/>
      <c r="BL86" s="288"/>
      <c r="BM86" s="287"/>
      <c r="BN86" s="64"/>
      <c r="BO86" s="64"/>
      <c r="BP86" s="64"/>
      <c r="BQ86" s="64"/>
      <c r="BR86" s="288"/>
      <c r="BS86" s="287"/>
      <c r="BT86" s="127"/>
      <c r="BU86" s="287"/>
      <c r="BV86" s="127"/>
      <c r="BW86" s="127"/>
      <c r="BX86" s="127"/>
      <c r="BY86" s="127"/>
      <c r="BZ86" s="289"/>
    </row>
    <row r="87" spans="1:78" ht="15.75" customHeight="1" x14ac:dyDescent="0.25">
      <c r="A87" s="15">
        <v>36</v>
      </c>
      <c r="B87" s="401" t="str">
        <f>C15</f>
        <v>Oct 27-Nov 2</v>
      </c>
      <c r="C87" s="120"/>
      <c r="D87" s="55" t="s">
        <v>39</v>
      </c>
      <c r="E87" s="3"/>
      <c r="F87" s="39"/>
      <c r="G87" s="272"/>
      <c r="H87" s="277"/>
      <c r="I87" s="40"/>
      <c r="J87" s="41"/>
      <c r="K87" s="42"/>
      <c r="L87" s="40"/>
      <c r="M87" s="58"/>
      <c r="N87" s="277"/>
      <c r="O87" s="40"/>
      <c r="P87" s="41"/>
      <c r="Q87" s="40"/>
      <c r="R87" s="41"/>
      <c r="S87" s="58"/>
      <c r="T87" s="40"/>
      <c r="U87" s="40"/>
      <c r="V87" s="277"/>
      <c r="W87" s="40"/>
      <c r="X87" s="40"/>
      <c r="Y87" s="40"/>
      <c r="Z87" s="40"/>
      <c r="AA87" s="58"/>
      <c r="AB87" s="7" t="e">
        <f>SUM(G87:G89)/SUM(F87:F89)</f>
        <v>#DIV/0!</v>
      </c>
      <c r="AC87" s="192"/>
      <c r="AD87" s="193"/>
      <c r="AE87" s="195" t="e">
        <f>SUM(AC87:AC89)/SUM(AD87:AD89)</f>
        <v>#DIV/0!</v>
      </c>
      <c r="AF87" s="194"/>
      <c r="AG87" s="210">
        <v>16.100000000000001</v>
      </c>
      <c r="AH87" s="196" t="e">
        <f>AE87*AG87</f>
        <v>#DIV/0!</v>
      </c>
      <c r="AI87" s="197" t="e">
        <f t="shared" ref="AI87" si="108">AH87/AI$51</f>
        <v>#DIV/0!</v>
      </c>
      <c r="AJ87" s="197" t="e">
        <f>AI87*5</f>
        <v>#DIV/0!</v>
      </c>
      <c r="AK87" s="181" t="e">
        <f>SUM(F87:F89)/(SUM(G87:G89)/SUM(AJ87))</f>
        <v>#DIV/0!</v>
      </c>
      <c r="AL87" s="279" t="e">
        <f t="shared" ref="AL87" si="109">SUM(H87:H89)/SUM($G87:$G89)</f>
        <v>#DIV/0!</v>
      </c>
      <c r="AM87" s="129" t="e">
        <f t="shared" ref="AM87" si="110">SUM(I87:I89)/SUM($G87:$G89)</f>
        <v>#DIV/0!</v>
      </c>
      <c r="AN87" s="128" t="e">
        <f t="shared" ref="AN87:BE87" si="111">SUM(J87:J89)/SUM($G87:$G89)</f>
        <v>#DIV/0!</v>
      </c>
      <c r="AO87" s="129" t="e">
        <f t="shared" si="111"/>
        <v>#DIV/0!</v>
      </c>
      <c r="AP87" s="128" t="e">
        <f t="shared" si="111"/>
        <v>#DIV/0!</v>
      </c>
      <c r="AQ87" s="280" t="e">
        <f t="shared" si="111"/>
        <v>#DIV/0!</v>
      </c>
      <c r="AR87" s="279" t="e">
        <f t="shared" si="111"/>
        <v>#DIV/0!</v>
      </c>
      <c r="AS87" s="129" t="e">
        <f t="shared" si="111"/>
        <v>#DIV/0!</v>
      </c>
      <c r="AT87" s="128" t="e">
        <f t="shared" si="111"/>
        <v>#DIV/0!</v>
      </c>
      <c r="AU87" s="129" t="e">
        <f t="shared" si="111"/>
        <v>#DIV/0!</v>
      </c>
      <c r="AV87" s="128" t="e">
        <f t="shared" si="111"/>
        <v>#DIV/0!</v>
      </c>
      <c r="AW87" s="280" t="e">
        <f t="shared" si="111"/>
        <v>#DIV/0!</v>
      </c>
      <c r="AX87" s="279" t="e">
        <f t="shared" si="111"/>
        <v>#DIV/0!</v>
      </c>
      <c r="AY87" s="129" t="e">
        <f t="shared" si="111"/>
        <v>#DIV/0!</v>
      </c>
      <c r="AZ87" s="279" t="e">
        <f t="shared" si="111"/>
        <v>#DIV/0!</v>
      </c>
      <c r="BA87" s="130" t="e">
        <f t="shared" si="111"/>
        <v>#DIV/0!</v>
      </c>
      <c r="BB87" s="128" t="e">
        <f t="shared" si="111"/>
        <v>#DIV/0!</v>
      </c>
      <c r="BC87" s="130" t="e">
        <f t="shared" si="111"/>
        <v>#DIV/0!</v>
      </c>
      <c r="BD87" s="128" t="e">
        <f t="shared" si="111"/>
        <v>#DIV/0!</v>
      </c>
      <c r="BE87" s="280" t="e">
        <f t="shared" si="111"/>
        <v>#DIV/0!</v>
      </c>
      <c r="BG87" s="285" t="e">
        <f t="shared" ref="BG87:BZ87" si="112">AL87*$AJ87</f>
        <v>#DIV/0!</v>
      </c>
      <c r="BH87" s="49" t="e">
        <f t="shared" si="112"/>
        <v>#DIV/0!</v>
      </c>
      <c r="BI87" s="49" t="e">
        <f t="shared" si="112"/>
        <v>#DIV/0!</v>
      </c>
      <c r="BJ87" s="49" t="e">
        <f t="shared" si="112"/>
        <v>#DIV/0!</v>
      </c>
      <c r="BK87" s="49" t="e">
        <f t="shared" si="112"/>
        <v>#DIV/0!</v>
      </c>
      <c r="BL87" s="286" t="e">
        <f t="shared" si="112"/>
        <v>#DIV/0!</v>
      </c>
      <c r="BM87" s="285" t="e">
        <f t="shared" si="112"/>
        <v>#DIV/0!</v>
      </c>
      <c r="BN87" s="49" t="e">
        <f t="shared" si="112"/>
        <v>#DIV/0!</v>
      </c>
      <c r="BO87" s="49" t="e">
        <f t="shared" si="112"/>
        <v>#DIV/0!</v>
      </c>
      <c r="BP87" s="49" t="e">
        <f t="shared" si="112"/>
        <v>#DIV/0!</v>
      </c>
      <c r="BQ87" s="49" t="e">
        <f t="shared" si="112"/>
        <v>#DIV/0!</v>
      </c>
      <c r="BR87" s="286" t="e">
        <f t="shared" si="112"/>
        <v>#DIV/0!</v>
      </c>
      <c r="BS87" s="285" t="e">
        <f t="shared" si="112"/>
        <v>#DIV/0!</v>
      </c>
      <c r="BT87" s="20" t="e">
        <f t="shared" si="112"/>
        <v>#DIV/0!</v>
      </c>
      <c r="BU87" s="285" t="e">
        <f t="shared" si="112"/>
        <v>#DIV/0!</v>
      </c>
      <c r="BV87" s="20" t="e">
        <f t="shared" si="112"/>
        <v>#DIV/0!</v>
      </c>
      <c r="BW87" s="20" t="e">
        <f t="shared" si="112"/>
        <v>#DIV/0!</v>
      </c>
      <c r="BX87" s="20" t="e">
        <f t="shared" si="112"/>
        <v>#DIV/0!</v>
      </c>
      <c r="BY87" s="20" t="e">
        <f t="shared" si="112"/>
        <v>#DIV/0!</v>
      </c>
      <c r="BZ87" s="249" t="e">
        <f t="shared" si="112"/>
        <v>#DIV/0!</v>
      </c>
    </row>
    <row r="88" spans="1:78" x14ac:dyDescent="0.25">
      <c r="A88" s="15">
        <v>37</v>
      </c>
      <c r="B88" s="402"/>
      <c r="C88" s="50"/>
      <c r="D88" s="56" t="s">
        <v>39</v>
      </c>
      <c r="E88" s="34"/>
      <c r="F88" s="31"/>
      <c r="G88" s="273"/>
      <c r="H88" s="267"/>
      <c r="J88" s="45"/>
      <c r="K88" s="46"/>
      <c r="M88" s="52"/>
      <c r="N88" s="267"/>
      <c r="P88" s="45"/>
      <c r="R88" s="45"/>
      <c r="S88" s="52"/>
      <c r="V88" s="267"/>
      <c r="AA88" s="52"/>
      <c r="AB88" s="7"/>
      <c r="AC88" s="198"/>
      <c r="AD88" s="199"/>
      <c r="AE88" s="200"/>
      <c r="AF88" s="201"/>
      <c r="AG88" s="211"/>
      <c r="AH88" s="202"/>
      <c r="AI88" s="202"/>
      <c r="AJ88" s="203"/>
      <c r="AK88" s="172"/>
      <c r="AL88" s="281"/>
      <c r="AM88" s="48"/>
      <c r="AN88" s="47"/>
      <c r="AO88" s="48"/>
      <c r="AP88" s="47"/>
      <c r="AQ88" s="282"/>
      <c r="AR88" s="281"/>
      <c r="AS88" s="48"/>
      <c r="AT88" s="47"/>
      <c r="AU88" s="48"/>
      <c r="AV88" s="47"/>
      <c r="AW88" s="282"/>
      <c r="AX88" s="281"/>
      <c r="AY88" s="48"/>
      <c r="AZ88" s="281"/>
      <c r="BA88" s="51"/>
      <c r="BB88" s="47"/>
      <c r="BC88" s="51"/>
      <c r="BD88" s="47"/>
      <c r="BE88" s="282"/>
      <c r="BG88" s="285"/>
      <c r="BH88" s="49"/>
      <c r="BI88" s="49"/>
      <c r="BJ88" s="49"/>
      <c r="BK88" s="49"/>
      <c r="BL88" s="286"/>
      <c r="BM88" s="285"/>
      <c r="BN88" s="49"/>
      <c r="BO88" s="49"/>
      <c r="BP88" s="49"/>
      <c r="BQ88" s="49"/>
      <c r="BR88" s="286"/>
      <c r="BS88" s="285"/>
      <c r="BT88" s="20"/>
      <c r="BU88" s="285"/>
      <c r="BV88" s="20"/>
      <c r="BW88" s="20"/>
      <c r="BX88" s="20"/>
      <c r="BY88" s="20"/>
      <c r="BZ88" s="249"/>
    </row>
    <row r="89" spans="1:78" x14ac:dyDescent="0.25">
      <c r="A89" s="15">
        <v>38</v>
      </c>
      <c r="B89" s="402"/>
      <c r="C89" s="50"/>
      <c r="D89" s="56" t="s">
        <v>39</v>
      </c>
      <c r="E89" s="34"/>
      <c r="F89" s="31"/>
      <c r="G89" s="273"/>
      <c r="H89" s="267"/>
      <c r="J89" s="45"/>
      <c r="K89" s="46"/>
      <c r="M89" s="52"/>
      <c r="N89" s="267"/>
      <c r="P89" s="45"/>
      <c r="R89" s="45"/>
      <c r="S89" s="52"/>
      <c r="V89" s="267"/>
      <c r="AA89" s="52"/>
      <c r="AB89" s="7"/>
      <c r="AC89" s="198"/>
      <c r="AD89" s="199"/>
      <c r="AE89" s="200"/>
      <c r="AF89" s="201"/>
      <c r="AG89" s="211"/>
      <c r="AH89" s="202"/>
      <c r="AI89" s="202"/>
      <c r="AJ89" s="203"/>
      <c r="AK89" s="172"/>
      <c r="AL89" s="281"/>
      <c r="AM89" s="48"/>
      <c r="AN89" s="47"/>
      <c r="AO89" s="48"/>
      <c r="AP89" s="47"/>
      <c r="AQ89" s="282"/>
      <c r="AR89" s="281"/>
      <c r="AS89" s="48"/>
      <c r="AT89" s="47"/>
      <c r="AU89" s="48"/>
      <c r="AV89" s="47"/>
      <c r="AW89" s="282"/>
      <c r="AX89" s="281"/>
      <c r="AY89" s="48"/>
      <c r="AZ89" s="281"/>
      <c r="BA89" s="51"/>
      <c r="BB89" s="47"/>
      <c r="BC89" s="51"/>
      <c r="BD89" s="47"/>
      <c r="BE89" s="282"/>
      <c r="BG89" s="285"/>
      <c r="BH89" s="49"/>
      <c r="BI89" s="49"/>
      <c r="BJ89" s="49"/>
      <c r="BK89" s="49"/>
      <c r="BL89" s="286"/>
      <c r="BM89" s="285"/>
      <c r="BN89" s="49"/>
      <c r="BO89" s="49"/>
      <c r="BP89" s="49"/>
      <c r="BQ89" s="49"/>
      <c r="BR89" s="286"/>
      <c r="BS89" s="285"/>
      <c r="BT89" s="20"/>
      <c r="BU89" s="285"/>
      <c r="BV89" s="20"/>
      <c r="BW89" s="20"/>
      <c r="BX89" s="20"/>
      <c r="BY89" s="20"/>
      <c r="BZ89" s="249"/>
    </row>
    <row r="90" spans="1:78" x14ac:dyDescent="0.25">
      <c r="A90" s="15">
        <v>39</v>
      </c>
      <c r="B90" s="402"/>
      <c r="C90" s="50"/>
      <c r="D90" s="56" t="s">
        <v>40</v>
      </c>
      <c r="E90" s="34"/>
      <c r="F90" s="31"/>
      <c r="G90" s="273"/>
      <c r="H90" s="267"/>
      <c r="J90" s="45"/>
      <c r="K90" s="46"/>
      <c r="M90" s="52"/>
      <c r="N90" s="267"/>
      <c r="P90" s="45"/>
      <c r="R90" s="45"/>
      <c r="S90" s="52"/>
      <c r="V90" s="267"/>
      <c r="AA90" s="52"/>
      <c r="AB90" s="7" t="e">
        <f>(G90+G91)/(F90+F91)</f>
        <v>#DIV/0!</v>
      </c>
      <c r="AC90" s="198"/>
      <c r="AD90" s="199"/>
      <c r="AE90" s="200" t="e">
        <f>SUM(AC90:AC91)/SUM(AD90:AD91)</f>
        <v>#DIV/0!</v>
      </c>
      <c r="AF90" s="201"/>
      <c r="AG90" s="211">
        <v>16.100000000000001</v>
      </c>
      <c r="AH90" s="202" t="e">
        <f>AE90*AG90</f>
        <v>#DIV/0!</v>
      </c>
      <c r="AI90" s="203" t="e">
        <f t="shared" ref="AI90" si="113">AH90/AI$51</f>
        <v>#DIV/0!</v>
      </c>
      <c r="AJ90" s="203" t="e">
        <f>AI90*2</f>
        <v>#DIV/0!</v>
      </c>
      <c r="AK90" s="181" t="e">
        <f>SUM(F90:F91)/(SUM(G90:G91)/SUM(AJ90))</f>
        <v>#DIV/0!</v>
      </c>
      <c r="AL90" s="281" t="e">
        <f t="shared" ref="AL90" si="114">SUM(H90:H91)/SUM($G90:$G91)</f>
        <v>#DIV/0!</v>
      </c>
      <c r="AM90" s="48" t="e">
        <f t="shared" ref="AM90" si="115">SUM(I90:I91)/SUM($G90:$G91)</f>
        <v>#DIV/0!</v>
      </c>
      <c r="AN90" s="47" t="e">
        <f t="shared" ref="AN90:BE90" si="116">SUM(J90:J91)/SUM($G90:$G91)</f>
        <v>#DIV/0!</v>
      </c>
      <c r="AO90" s="48" t="e">
        <f t="shared" si="116"/>
        <v>#DIV/0!</v>
      </c>
      <c r="AP90" s="47" t="e">
        <f t="shared" si="116"/>
        <v>#DIV/0!</v>
      </c>
      <c r="AQ90" s="282" t="e">
        <f t="shared" si="116"/>
        <v>#DIV/0!</v>
      </c>
      <c r="AR90" s="281" t="e">
        <f t="shared" si="116"/>
        <v>#DIV/0!</v>
      </c>
      <c r="AS90" s="48" t="e">
        <f t="shared" si="116"/>
        <v>#DIV/0!</v>
      </c>
      <c r="AT90" s="47" t="e">
        <f t="shared" si="116"/>
        <v>#DIV/0!</v>
      </c>
      <c r="AU90" s="48" t="e">
        <f t="shared" si="116"/>
        <v>#DIV/0!</v>
      </c>
      <c r="AV90" s="47" t="e">
        <f t="shared" si="116"/>
        <v>#DIV/0!</v>
      </c>
      <c r="AW90" s="282" t="e">
        <f t="shared" si="116"/>
        <v>#DIV/0!</v>
      </c>
      <c r="AX90" s="281" t="e">
        <f t="shared" si="116"/>
        <v>#DIV/0!</v>
      </c>
      <c r="AY90" s="48" t="e">
        <f t="shared" si="116"/>
        <v>#DIV/0!</v>
      </c>
      <c r="AZ90" s="281" t="e">
        <f t="shared" si="116"/>
        <v>#DIV/0!</v>
      </c>
      <c r="BA90" s="51" t="e">
        <f t="shared" si="116"/>
        <v>#DIV/0!</v>
      </c>
      <c r="BB90" s="47" t="e">
        <f t="shared" si="116"/>
        <v>#DIV/0!</v>
      </c>
      <c r="BC90" s="51" t="e">
        <f t="shared" si="116"/>
        <v>#DIV/0!</v>
      </c>
      <c r="BD90" s="47" t="e">
        <f t="shared" si="116"/>
        <v>#DIV/0!</v>
      </c>
      <c r="BE90" s="282" t="e">
        <f t="shared" si="116"/>
        <v>#DIV/0!</v>
      </c>
      <c r="BG90" s="285" t="e">
        <f t="shared" ref="BG90:BZ90" si="117">AL90*$AJ90</f>
        <v>#DIV/0!</v>
      </c>
      <c r="BH90" s="49" t="e">
        <f t="shared" si="117"/>
        <v>#DIV/0!</v>
      </c>
      <c r="BI90" s="49" t="e">
        <f t="shared" si="117"/>
        <v>#DIV/0!</v>
      </c>
      <c r="BJ90" s="49" t="e">
        <f t="shared" si="117"/>
        <v>#DIV/0!</v>
      </c>
      <c r="BK90" s="49" t="e">
        <f t="shared" si="117"/>
        <v>#DIV/0!</v>
      </c>
      <c r="BL90" s="286" t="e">
        <f t="shared" si="117"/>
        <v>#DIV/0!</v>
      </c>
      <c r="BM90" s="285" t="e">
        <f t="shared" si="117"/>
        <v>#DIV/0!</v>
      </c>
      <c r="BN90" s="49" t="e">
        <f t="shared" si="117"/>
        <v>#DIV/0!</v>
      </c>
      <c r="BO90" s="49" t="e">
        <f t="shared" si="117"/>
        <v>#DIV/0!</v>
      </c>
      <c r="BP90" s="49" t="e">
        <f t="shared" si="117"/>
        <v>#DIV/0!</v>
      </c>
      <c r="BQ90" s="49" t="e">
        <f t="shared" si="117"/>
        <v>#DIV/0!</v>
      </c>
      <c r="BR90" s="286" t="e">
        <f t="shared" si="117"/>
        <v>#DIV/0!</v>
      </c>
      <c r="BS90" s="285" t="e">
        <f t="shared" si="117"/>
        <v>#DIV/0!</v>
      </c>
      <c r="BT90" s="20" t="e">
        <f t="shared" si="117"/>
        <v>#DIV/0!</v>
      </c>
      <c r="BU90" s="285" t="e">
        <f t="shared" si="117"/>
        <v>#DIV/0!</v>
      </c>
      <c r="BV90" s="20" t="e">
        <f t="shared" si="117"/>
        <v>#DIV/0!</v>
      </c>
      <c r="BW90" s="20" t="e">
        <f t="shared" si="117"/>
        <v>#DIV/0!</v>
      </c>
      <c r="BX90" s="20" t="e">
        <f t="shared" si="117"/>
        <v>#DIV/0!</v>
      </c>
      <c r="BY90" s="20" t="e">
        <f t="shared" si="117"/>
        <v>#DIV/0!</v>
      </c>
      <c r="BZ90" s="249" t="e">
        <f t="shared" si="117"/>
        <v>#DIV/0!</v>
      </c>
    </row>
    <row r="91" spans="1:78" ht="16.5" thickBot="1" x14ac:dyDescent="0.3">
      <c r="A91" s="15">
        <v>40</v>
      </c>
      <c r="B91" s="403"/>
      <c r="C91" s="141"/>
      <c r="D91" s="142" t="s">
        <v>40</v>
      </c>
      <c r="E91" s="213"/>
      <c r="F91" s="143"/>
      <c r="G91" s="275"/>
      <c r="H91" s="251"/>
      <c r="I91" s="119"/>
      <c r="J91" s="144"/>
      <c r="K91" s="145"/>
      <c r="L91" s="119"/>
      <c r="M91" s="146"/>
      <c r="N91" s="251"/>
      <c r="O91" s="119"/>
      <c r="P91" s="144"/>
      <c r="Q91" s="119"/>
      <c r="R91" s="144"/>
      <c r="S91" s="146"/>
      <c r="T91" s="119"/>
      <c r="U91" s="119"/>
      <c r="V91" s="251"/>
      <c r="W91" s="119"/>
      <c r="X91" s="119"/>
      <c r="Y91" s="119"/>
      <c r="Z91" s="119"/>
      <c r="AA91" s="146"/>
      <c r="AB91" s="216"/>
      <c r="AC91" s="204"/>
      <c r="AD91" s="205"/>
      <c r="AE91" s="206"/>
      <c r="AF91" s="207"/>
      <c r="AG91" s="212"/>
      <c r="AH91" s="208"/>
      <c r="AI91" s="208"/>
      <c r="AJ91" s="209"/>
      <c r="AK91" s="173"/>
      <c r="AL91" s="283"/>
      <c r="AM91" s="132"/>
      <c r="AN91" s="131"/>
      <c r="AO91" s="132"/>
      <c r="AP91" s="131"/>
      <c r="AQ91" s="284"/>
      <c r="AR91" s="283"/>
      <c r="AS91" s="132"/>
      <c r="AT91" s="131"/>
      <c r="AU91" s="132"/>
      <c r="AV91" s="131"/>
      <c r="AW91" s="284"/>
      <c r="AX91" s="283"/>
      <c r="AY91" s="132"/>
      <c r="AZ91" s="283"/>
      <c r="BA91" s="133"/>
      <c r="BB91" s="131"/>
      <c r="BC91" s="133"/>
      <c r="BD91" s="131"/>
      <c r="BE91" s="284"/>
      <c r="BG91" s="287"/>
      <c r="BH91" s="64"/>
      <c r="BI91" s="64"/>
      <c r="BJ91" s="64"/>
      <c r="BK91" s="64"/>
      <c r="BL91" s="288"/>
      <c r="BM91" s="287"/>
      <c r="BN91" s="64"/>
      <c r="BO91" s="64"/>
      <c r="BP91" s="64"/>
      <c r="BQ91" s="64"/>
      <c r="BR91" s="288"/>
      <c r="BS91" s="287"/>
      <c r="BT91" s="127"/>
      <c r="BU91" s="287"/>
      <c r="BV91" s="127"/>
      <c r="BW91" s="127"/>
      <c r="BX91" s="127"/>
      <c r="BY91" s="127"/>
      <c r="BZ91" s="289"/>
    </row>
    <row r="92" spans="1:78" x14ac:dyDescent="0.25">
      <c r="B92" s="401" t="str">
        <f>C44</f>
        <v>Nov 3-9</v>
      </c>
      <c r="C92" s="120"/>
      <c r="D92" s="55" t="s">
        <v>39</v>
      </c>
      <c r="E92" s="3"/>
      <c r="F92" s="39"/>
      <c r="G92" s="272"/>
      <c r="H92" s="277"/>
      <c r="I92" s="40"/>
      <c r="J92" s="41"/>
      <c r="K92" s="42"/>
      <c r="L92" s="40"/>
      <c r="M92" s="58"/>
      <c r="N92" s="277"/>
      <c r="O92" s="40"/>
      <c r="P92" s="41"/>
      <c r="Q92" s="40"/>
      <c r="R92" s="41"/>
      <c r="S92" s="58"/>
      <c r="T92" s="40"/>
      <c r="U92" s="40"/>
      <c r="V92" s="277"/>
      <c r="W92" s="40"/>
      <c r="X92" s="40"/>
      <c r="Y92" s="40"/>
      <c r="Z92" s="40"/>
      <c r="AA92" s="58"/>
      <c r="AB92" s="7" t="e">
        <f>SUM(G92:G94)/SUM(F92:F94)</f>
        <v>#DIV/0!</v>
      </c>
      <c r="AC92" s="192"/>
      <c r="AD92" s="193"/>
      <c r="AE92" s="195" t="e">
        <f>SUM(AC92:AC94)/SUM(AD92:AD94)</f>
        <v>#DIV/0!</v>
      </c>
      <c r="AF92" s="194"/>
      <c r="AG92" s="210">
        <v>16.100000000000001</v>
      </c>
      <c r="AH92" s="196" t="e">
        <f>AE92*AG92</f>
        <v>#DIV/0!</v>
      </c>
      <c r="AI92" s="197" t="e">
        <f t="shared" ref="AI92" si="118">AH92/AI$51</f>
        <v>#DIV/0!</v>
      </c>
      <c r="AJ92" s="197" t="e">
        <f>AI92*5</f>
        <v>#DIV/0!</v>
      </c>
      <c r="AK92" s="181" t="e">
        <f>SUM(F92:F94)/(SUM(G92:G94)/SUM(AJ92))</f>
        <v>#DIV/0!</v>
      </c>
      <c r="AL92" s="279" t="e">
        <f t="shared" ref="AL92" si="119">SUM(H92:H94)/SUM($G92:$G94)</f>
        <v>#DIV/0!</v>
      </c>
      <c r="AM92" s="129" t="e">
        <f t="shared" ref="AM92" si="120">SUM(I92:I94)/SUM($G92:$G94)</f>
        <v>#DIV/0!</v>
      </c>
      <c r="AN92" s="128" t="e">
        <f t="shared" ref="AN92:BE92" si="121">SUM(J92:J94)/SUM($G92:$G94)</f>
        <v>#DIV/0!</v>
      </c>
      <c r="AO92" s="129" t="e">
        <f t="shared" si="121"/>
        <v>#DIV/0!</v>
      </c>
      <c r="AP92" s="128" t="e">
        <f t="shared" si="121"/>
        <v>#DIV/0!</v>
      </c>
      <c r="AQ92" s="280" t="e">
        <f t="shared" si="121"/>
        <v>#DIV/0!</v>
      </c>
      <c r="AR92" s="279" t="e">
        <f t="shared" si="121"/>
        <v>#DIV/0!</v>
      </c>
      <c r="AS92" s="129" t="e">
        <f t="shared" si="121"/>
        <v>#DIV/0!</v>
      </c>
      <c r="AT92" s="128" t="e">
        <f t="shared" si="121"/>
        <v>#DIV/0!</v>
      </c>
      <c r="AU92" s="129" t="e">
        <f t="shared" si="121"/>
        <v>#DIV/0!</v>
      </c>
      <c r="AV92" s="128" t="e">
        <f t="shared" si="121"/>
        <v>#DIV/0!</v>
      </c>
      <c r="AW92" s="280" t="e">
        <f t="shared" si="121"/>
        <v>#DIV/0!</v>
      </c>
      <c r="AX92" s="279" t="e">
        <f t="shared" si="121"/>
        <v>#DIV/0!</v>
      </c>
      <c r="AY92" s="129" t="e">
        <f t="shared" si="121"/>
        <v>#DIV/0!</v>
      </c>
      <c r="AZ92" s="279" t="e">
        <f t="shared" si="121"/>
        <v>#DIV/0!</v>
      </c>
      <c r="BA92" s="130" t="e">
        <f t="shared" si="121"/>
        <v>#DIV/0!</v>
      </c>
      <c r="BB92" s="128" t="e">
        <f t="shared" si="121"/>
        <v>#DIV/0!</v>
      </c>
      <c r="BC92" s="130" t="e">
        <f t="shared" si="121"/>
        <v>#DIV/0!</v>
      </c>
      <c r="BD92" s="128" t="e">
        <f t="shared" si="121"/>
        <v>#DIV/0!</v>
      </c>
      <c r="BE92" s="280" t="e">
        <f t="shared" si="121"/>
        <v>#DIV/0!</v>
      </c>
      <c r="BG92" s="285" t="e">
        <f t="shared" ref="BG92:BZ92" si="122">AL92*$AJ92</f>
        <v>#DIV/0!</v>
      </c>
      <c r="BH92" s="49" t="e">
        <f t="shared" si="122"/>
        <v>#DIV/0!</v>
      </c>
      <c r="BI92" s="49" t="e">
        <f t="shared" si="122"/>
        <v>#DIV/0!</v>
      </c>
      <c r="BJ92" s="49" t="e">
        <f t="shared" si="122"/>
        <v>#DIV/0!</v>
      </c>
      <c r="BK92" s="49" t="e">
        <f t="shared" si="122"/>
        <v>#DIV/0!</v>
      </c>
      <c r="BL92" s="286" t="e">
        <f t="shared" si="122"/>
        <v>#DIV/0!</v>
      </c>
      <c r="BM92" s="285" t="e">
        <f t="shared" si="122"/>
        <v>#DIV/0!</v>
      </c>
      <c r="BN92" s="49" t="e">
        <f t="shared" si="122"/>
        <v>#DIV/0!</v>
      </c>
      <c r="BO92" s="49" t="e">
        <f t="shared" si="122"/>
        <v>#DIV/0!</v>
      </c>
      <c r="BP92" s="49" t="e">
        <f t="shared" si="122"/>
        <v>#DIV/0!</v>
      </c>
      <c r="BQ92" s="49" t="e">
        <f t="shared" si="122"/>
        <v>#DIV/0!</v>
      </c>
      <c r="BR92" s="286" t="e">
        <f t="shared" si="122"/>
        <v>#DIV/0!</v>
      </c>
      <c r="BS92" s="285" t="e">
        <f t="shared" si="122"/>
        <v>#DIV/0!</v>
      </c>
      <c r="BT92" s="20" t="e">
        <f t="shared" si="122"/>
        <v>#DIV/0!</v>
      </c>
      <c r="BU92" s="285" t="e">
        <f t="shared" si="122"/>
        <v>#DIV/0!</v>
      </c>
      <c r="BV92" s="20" t="e">
        <f t="shared" si="122"/>
        <v>#DIV/0!</v>
      </c>
      <c r="BW92" s="20" t="e">
        <f t="shared" si="122"/>
        <v>#DIV/0!</v>
      </c>
      <c r="BX92" s="20" t="e">
        <f t="shared" si="122"/>
        <v>#DIV/0!</v>
      </c>
      <c r="BY92" s="20" t="e">
        <f t="shared" si="122"/>
        <v>#DIV/0!</v>
      </c>
      <c r="BZ92" s="249" t="e">
        <f t="shared" si="122"/>
        <v>#DIV/0!</v>
      </c>
    </row>
    <row r="93" spans="1:78" x14ac:dyDescent="0.25">
      <c r="B93" s="402"/>
      <c r="C93" s="50"/>
      <c r="D93" s="56" t="s">
        <v>39</v>
      </c>
      <c r="E93" s="34"/>
      <c r="F93" s="31"/>
      <c r="G93" s="273"/>
      <c r="H93" s="267"/>
      <c r="J93" s="45"/>
      <c r="K93" s="46"/>
      <c r="M93" s="52"/>
      <c r="N93" s="267"/>
      <c r="P93" s="45"/>
      <c r="R93" s="45"/>
      <c r="S93" s="52"/>
      <c r="V93" s="267"/>
      <c r="AA93" s="52"/>
      <c r="AB93" s="7"/>
      <c r="AC93" s="198"/>
      <c r="AD93" s="199"/>
      <c r="AE93" s="200"/>
      <c r="AF93" s="201"/>
      <c r="AG93" s="211"/>
      <c r="AH93" s="202"/>
      <c r="AI93" s="202"/>
      <c r="AJ93" s="203"/>
      <c r="AK93" s="172"/>
      <c r="AL93" s="281"/>
      <c r="AM93" s="48"/>
      <c r="AN93" s="47"/>
      <c r="AO93" s="48"/>
      <c r="AP93" s="47"/>
      <c r="AQ93" s="282"/>
      <c r="AR93" s="281"/>
      <c r="AS93" s="48"/>
      <c r="AT93" s="47"/>
      <c r="AU93" s="48"/>
      <c r="AV93" s="47"/>
      <c r="AW93" s="282"/>
      <c r="AX93" s="281"/>
      <c r="AY93" s="48"/>
      <c r="AZ93" s="281"/>
      <c r="BA93" s="51"/>
      <c r="BB93" s="47"/>
      <c r="BC93" s="51"/>
      <c r="BD93" s="47"/>
      <c r="BE93" s="282"/>
      <c r="BG93" s="285"/>
      <c r="BH93" s="49"/>
      <c r="BI93" s="49"/>
      <c r="BJ93" s="49"/>
      <c r="BK93" s="49"/>
      <c r="BL93" s="286"/>
      <c r="BM93" s="285"/>
      <c r="BN93" s="49"/>
      <c r="BO93" s="49"/>
      <c r="BP93" s="49"/>
      <c r="BQ93" s="49"/>
      <c r="BR93" s="286"/>
      <c r="BS93" s="285"/>
      <c r="BT93" s="20"/>
      <c r="BU93" s="285"/>
      <c r="BV93" s="20"/>
      <c r="BW93" s="20"/>
      <c r="BX93" s="20"/>
      <c r="BY93" s="20"/>
      <c r="BZ93" s="249"/>
    </row>
    <row r="94" spans="1:78" x14ac:dyDescent="0.25">
      <c r="B94" s="402"/>
      <c r="C94" s="50"/>
      <c r="D94" s="56" t="s">
        <v>39</v>
      </c>
      <c r="E94" s="34"/>
      <c r="F94" s="31"/>
      <c r="G94" s="273"/>
      <c r="H94" s="267"/>
      <c r="J94" s="45"/>
      <c r="K94" s="46"/>
      <c r="M94" s="52"/>
      <c r="N94" s="267"/>
      <c r="P94" s="45"/>
      <c r="R94" s="45"/>
      <c r="S94" s="52"/>
      <c r="V94" s="267"/>
      <c r="AA94" s="52"/>
      <c r="AB94" s="7"/>
      <c r="AC94" s="198"/>
      <c r="AD94" s="199"/>
      <c r="AE94" s="200"/>
      <c r="AF94" s="201"/>
      <c r="AG94" s="211"/>
      <c r="AH94" s="202"/>
      <c r="AI94" s="202"/>
      <c r="AJ94" s="203"/>
      <c r="AK94" s="172"/>
      <c r="AL94" s="281"/>
      <c r="AM94" s="48"/>
      <c r="AN94" s="47"/>
      <c r="AO94" s="48"/>
      <c r="AP94" s="47"/>
      <c r="AQ94" s="282"/>
      <c r="AR94" s="281"/>
      <c r="AS94" s="48"/>
      <c r="AT94" s="47"/>
      <c r="AU94" s="48"/>
      <c r="AV94" s="47"/>
      <c r="AW94" s="282"/>
      <c r="AX94" s="281"/>
      <c r="AY94" s="48"/>
      <c r="AZ94" s="281"/>
      <c r="BA94" s="51"/>
      <c r="BB94" s="47"/>
      <c r="BC94" s="51"/>
      <c r="BD94" s="47"/>
      <c r="BE94" s="282"/>
      <c r="BG94" s="285"/>
      <c r="BH94" s="49"/>
      <c r="BI94" s="49"/>
      <c r="BJ94" s="49"/>
      <c r="BK94" s="49"/>
      <c r="BL94" s="286"/>
      <c r="BM94" s="285"/>
      <c r="BN94" s="49"/>
      <c r="BO94" s="49"/>
      <c r="BP94" s="49"/>
      <c r="BQ94" s="49"/>
      <c r="BR94" s="286"/>
      <c r="BS94" s="285"/>
      <c r="BT94" s="20"/>
      <c r="BU94" s="285"/>
      <c r="BV94" s="20"/>
      <c r="BW94" s="20"/>
      <c r="BX94" s="20"/>
      <c r="BY94" s="20"/>
      <c r="BZ94" s="249"/>
    </row>
    <row r="95" spans="1:78" x14ac:dyDescent="0.25">
      <c r="B95" s="402"/>
      <c r="C95" s="50"/>
      <c r="D95" s="56" t="s">
        <v>40</v>
      </c>
      <c r="E95" s="34"/>
      <c r="F95" s="31"/>
      <c r="G95" s="273"/>
      <c r="H95" s="267"/>
      <c r="J95" s="45"/>
      <c r="K95" s="46"/>
      <c r="M95" s="52"/>
      <c r="N95" s="267"/>
      <c r="P95" s="45"/>
      <c r="R95" s="45"/>
      <c r="S95" s="52"/>
      <c r="V95" s="267"/>
      <c r="AA95" s="52"/>
      <c r="AB95" s="7" t="e">
        <f>(G95+G96)/(F95+F96)</f>
        <v>#DIV/0!</v>
      </c>
      <c r="AC95" s="198"/>
      <c r="AD95" s="199"/>
      <c r="AE95" s="200" t="e">
        <f>SUM(AC95:AC96)/SUM(AD95:AD96)</f>
        <v>#DIV/0!</v>
      </c>
      <c r="AF95" s="201"/>
      <c r="AG95" s="211">
        <v>16.100000000000001</v>
      </c>
      <c r="AH95" s="202" t="e">
        <f>AE95*AG95</f>
        <v>#DIV/0!</v>
      </c>
      <c r="AI95" s="203" t="e">
        <f t="shared" ref="AI95" si="123">AH95/AI$51</f>
        <v>#DIV/0!</v>
      </c>
      <c r="AJ95" s="203" t="e">
        <f>AI95*2</f>
        <v>#DIV/0!</v>
      </c>
      <c r="AK95" s="181" t="e">
        <f>SUM(F95:F96)/(SUM(G95:G96)/SUM(AJ95))</f>
        <v>#DIV/0!</v>
      </c>
      <c r="AL95" s="281" t="e">
        <f t="shared" ref="AL95" si="124">SUM(H95:H96)/SUM($G95:$G96)</f>
        <v>#DIV/0!</v>
      </c>
      <c r="AM95" s="48" t="e">
        <f t="shared" ref="AM95" si="125">SUM(I95:I96)/SUM($G95:$G96)</f>
        <v>#DIV/0!</v>
      </c>
      <c r="AN95" s="47" t="e">
        <f t="shared" ref="AN95:BE95" si="126">SUM(J95:J96)/SUM($G95:$G96)</f>
        <v>#DIV/0!</v>
      </c>
      <c r="AO95" s="48" t="e">
        <f t="shared" si="126"/>
        <v>#DIV/0!</v>
      </c>
      <c r="AP95" s="47" t="e">
        <f t="shared" si="126"/>
        <v>#DIV/0!</v>
      </c>
      <c r="AQ95" s="282" t="e">
        <f t="shared" si="126"/>
        <v>#DIV/0!</v>
      </c>
      <c r="AR95" s="281" t="e">
        <f t="shared" si="126"/>
        <v>#DIV/0!</v>
      </c>
      <c r="AS95" s="48" t="e">
        <f t="shared" si="126"/>
        <v>#DIV/0!</v>
      </c>
      <c r="AT95" s="47" t="e">
        <f t="shared" si="126"/>
        <v>#DIV/0!</v>
      </c>
      <c r="AU95" s="48" t="e">
        <f t="shared" si="126"/>
        <v>#DIV/0!</v>
      </c>
      <c r="AV95" s="47" t="e">
        <f t="shared" si="126"/>
        <v>#DIV/0!</v>
      </c>
      <c r="AW95" s="282" t="e">
        <f t="shared" si="126"/>
        <v>#DIV/0!</v>
      </c>
      <c r="AX95" s="281" t="e">
        <f t="shared" si="126"/>
        <v>#DIV/0!</v>
      </c>
      <c r="AY95" s="48" t="e">
        <f t="shared" si="126"/>
        <v>#DIV/0!</v>
      </c>
      <c r="AZ95" s="281" t="e">
        <f t="shared" si="126"/>
        <v>#DIV/0!</v>
      </c>
      <c r="BA95" s="51" t="e">
        <f t="shared" si="126"/>
        <v>#DIV/0!</v>
      </c>
      <c r="BB95" s="47" t="e">
        <f t="shared" si="126"/>
        <v>#DIV/0!</v>
      </c>
      <c r="BC95" s="51" t="e">
        <f t="shared" si="126"/>
        <v>#DIV/0!</v>
      </c>
      <c r="BD95" s="47" t="e">
        <f t="shared" si="126"/>
        <v>#DIV/0!</v>
      </c>
      <c r="BE95" s="282" t="e">
        <f t="shared" si="126"/>
        <v>#DIV/0!</v>
      </c>
      <c r="BG95" s="285" t="e">
        <f t="shared" ref="BG95:BZ95" si="127">AL95*$AJ95</f>
        <v>#DIV/0!</v>
      </c>
      <c r="BH95" s="49" t="e">
        <f t="shared" si="127"/>
        <v>#DIV/0!</v>
      </c>
      <c r="BI95" s="49" t="e">
        <f t="shared" si="127"/>
        <v>#DIV/0!</v>
      </c>
      <c r="BJ95" s="49" t="e">
        <f t="shared" si="127"/>
        <v>#DIV/0!</v>
      </c>
      <c r="BK95" s="49" t="e">
        <f t="shared" si="127"/>
        <v>#DIV/0!</v>
      </c>
      <c r="BL95" s="286" t="e">
        <f t="shared" si="127"/>
        <v>#DIV/0!</v>
      </c>
      <c r="BM95" s="285" t="e">
        <f t="shared" si="127"/>
        <v>#DIV/0!</v>
      </c>
      <c r="BN95" s="49" t="e">
        <f t="shared" si="127"/>
        <v>#DIV/0!</v>
      </c>
      <c r="BO95" s="49" t="e">
        <f t="shared" si="127"/>
        <v>#DIV/0!</v>
      </c>
      <c r="BP95" s="49" t="e">
        <f t="shared" si="127"/>
        <v>#DIV/0!</v>
      </c>
      <c r="BQ95" s="49" t="e">
        <f t="shared" si="127"/>
        <v>#DIV/0!</v>
      </c>
      <c r="BR95" s="286" t="e">
        <f t="shared" si="127"/>
        <v>#DIV/0!</v>
      </c>
      <c r="BS95" s="285" t="e">
        <f t="shared" si="127"/>
        <v>#DIV/0!</v>
      </c>
      <c r="BT95" s="20" t="e">
        <f t="shared" si="127"/>
        <v>#DIV/0!</v>
      </c>
      <c r="BU95" s="285" t="e">
        <f t="shared" si="127"/>
        <v>#DIV/0!</v>
      </c>
      <c r="BV95" s="20" t="e">
        <f t="shared" si="127"/>
        <v>#DIV/0!</v>
      </c>
      <c r="BW95" s="20" t="e">
        <f t="shared" si="127"/>
        <v>#DIV/0!</v>
      </c>
      <c r="BX95" s="20" t="e">
        <f t="shared" si="127"/>
        <v>#DIV/0!</v>
      </c>
      <c r="BY95" s="20" t="e">
        <f t="shared" si="127"/>
        <v>#DIV/0!</v>
      </c>
      <c r="BZ95" s="249" t="e">
        <f t="shared" si="127"/>
        <v>#DIV/0!</v>
      </c>
    </row>
    <row r="96" spans="1:78" ht="16.5" thickBot="1" x14ac:dyDescent="0.3">
      <c r="B96" s="403"/>
      <c r="C96" s="141"/>
      <c r="D96" s="142" t="s">
        <v>40</v>
      </c>
      <c r="E96" s="213"/>
      <c r="F96" s="143"/>
      <c r="G96" s="275"/>
      <c r="H96" s="251"/>
      <c r="I96" s="119"/>
      <c r="J96" s="144"/>
      <c r="K96" s="145"/>
      <c r="L96" s="119"/>
      <c r="M96" s="146"/>
      <c r="N96" s="251"/>
      <c r="O96" s="119"/>
      <c r="P96" s="144"/>
      <c r="Q96" s="119"/>
      <c r="R96" s="144"/>
      <c r="S96" s="146"/>
      <c r="T96" s="119"/>
      <c r="U96" s="119"/>
      <c r="V96" s="251"/>
      <c r="W96" s="119"/>
      <c r="X96" s="119"/>
      <c r="Y96" s="119"/>
      <c r="Z96" s="119"/>
      <c r="AA96" s="146"/>
      <c r="AB96" s="216"/>
      <c r="AC96" s="204"/>
      <c r="AD96" s="205"/>
      <c r="AE96" s="206"/>
      <c r="AF96" s="207"/>
      <c r="AG96" s="212"/>
      <c r="AH96" s="208"/>
      <c r="AI96" s="208"/>
      <c r="AJ96" s="209"/>
      <c r="AK96" s="173"/>
      <c r="AL96" s="313"/>
      <c r="AM96" s="314"/>
      <c r="AN96" s="315"/>
      <c r="AO96" s="314"/>
      <c r="AP96" s="315"/>
      <c r="AQ96" s="316"/>
      <c r="AR96" s="313"/>
      <c r="AS96" s="314"/>
      <c r="AT96" s="315"/>
      <c r="AU96" s="314"/>
      <c r="AV96" s="315"/>
      <c r="AW96" s="316"/>
      <c r="AX96" s="313"/>
      <c r="AY96" s="314"/>
      <c r="AZ96" s="313"/>
      <c r="BA96" s="317"/>
      <c r="BB96" s="315"/>
      <c r="BC96" s="317"/>
      <c r="BD96" s="315"/>
      <c r="BE96" s="316"/>
      <c r="BG96" s="287"/>
      <c r="BH96" s="64"/>
      <c r="BI96" s="64"/>
      <c r="BJ96" s="64"/>
      <c r="BK96" s="64"/>
      <c r="BL96" s="288"/>
      <c r="BM96" s="287"/>
      <c r="BN96" s="64"/>
      <c r="BO96" s="64"/>
      <c r="BP96" s="64"/>
      <c r="BQ96" s="64"/>
      <c r="BR96" s="288"/>
      <c r="BS96" s="287"/>
      <c r="BT96" s="127"/>
      <c r="BU96" s="287"/>
      <c r="BV96" s="127"/>
      <c r="BW96" s="127"/>
      <c r="BX96" s="127"/>
      <c r="BY96" s="127"/>
      <c r="BZ96" s="289"/>
    </row>
    <row r="97" spans="2:78" x14ac:dyDescent="0.25">
      <c r="B97" s="290"/>
      <c r="C97" s="291"/>
      <c r="D97" s="56"/>
      <c r="E97" s="56"/>
      <c r="G97" s="150"/>
      <c r="AB97" s="215"/>
      <c r="AC97" s="199"/>
      <c r="AD97" s="199"/>
      <c r="AE97" s="200"/>
      <c r="AF97" s="201"/>
      <c r="AG97" s="211"/>
      <c r="AH97" s="202"/>
      <c r="AI97" s="202"/>
      <c r="AJ97" s="203"/>
      <c r="AK97" s="292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</row>
    <row r="98" spans="2:78" x14ac:dyDescent="0.25">
      <c r="C98" s="15"/>
      <c r="D98" s="15"/>
      <c r="E98" s="15"/>
      <c r="AB98" s="215"/>
      <c r="AE98" s="20"/>
      <c r="AG98" s="56"/>
      <c r="AI98" s="15"/>
      <c r="AJ98" s="15"/>
    </row>
    <row r="99" spans="2:78" ht="16.5" thickBot="1" x14ac:dyDescent="0.3">
      <c r="C99" s="15"/>
      <c r="D99" s="15"/>
      <c r="E99" s="15"/>
      <c r="AB99" s="215"/>
      <c r="AE99" s="20"/>
      <c r="AG99" s="56"/>
      <c r="AI99" s="15"/>
      <c r="AJ99" s="15"/>
    </row>
    <row r="100" spans="2:78" ht="16.5" thickBot="1" x14ac:dyDescent="0.3">
      <c r="D100" s="15"/>
      <c r="E100" s="15"/>
      <c r="AB100" s="215"/>
      <c r="AE100" s="20"/>
      <c r="AG100" s="56"/>
      <c r="AH100" s="85"/>
      <c r="AI100" s="85"/>
      <c r="AJ100" s="85"/>
      <c r="AL100" s="454" t="s">
        <v>5227</v>
      </c>
      <c r="AM100" s="455"/>
      <c r="AN100" s="455"/>
      <c r="AO100" s="455"/>
      <c r="AP100" s="455"/>
      <c r="AQ100" s="455"/>
      <c r="AR100" s="455"/>
      <c r="AS100" s="455"/>
      <c r="AT100" s="455"/>
      <c r="AU100" s="455"/>
      <c r="AV100" s="455"/>
      <c r="AW100" s="455"/>
      <c r="AX100" s="455"/>
      <c r="AY100" s="455"/>
      <c r="AZ100" s="455"/>
      <c r="BA100" s="455"/>
      <c r="BB100" s="455"/>
      <c r="BC100" s="455"/>
      <c r="BD100" s="455"/>
      <c r="BE100" s="456"/>
      <c r="BG100" s="454" t="s">
        <v>5228</v>
      </c>
      <c r="BH100" s="455"/>
      <c r="BI100" s="455"/>
      <c r="BJ100" s="455"/>
      <c r="BK100" s="455"/>
      <c r="BL100" s="455"/>
      <c r="BM100" s="455"/>
      <c r="BN100" s="455"/>
      <c r="BO100" s="455"/>
      <c r="BP100" s="455"/>
      <c r="BQ100" s="455"/>
      <c r="BR100" s="455"/>
      <c r="BS100" s="455"/>
      <c r="BT100" s="455"/>
      <c r="BU100" s="455"/>
      <c r="BV100" s="455"/>
      <c r="BW100" s="455"/>
      <c r="BX100" s="455"/>
      <c r="BY100" s="455"/>
      <c r="BZ100" s="456"/>
    </row>
    <row r="101" spans="2:78" ht="18.75" x14ac:dyDescent="0.3">
      <c r="C101" s="163" t="s">
        <v>25</v>
      </c>
      <c r="D101" s="22"/>
      <c r="E101" s="22"/>
      <c r="F101" s="22"/>
      <c r="G101" s="23"/>
      <c r="H101" s="427" t="s">
        <v>5245</v>
      </c>
      <c r="I101" s="428"/>
      <c r="J101" s="428"/>
      <c r="K101" s="428"/>
      <c r="L101" s="428"/>
      <c r="M101" s="439"/>
      <c r="N101" s="427" t="s">
        <v>10</v>
      </c>
      <c r="O101" s="428"/>
      <c r="P101" s="428"/>
      <c r="Q101" s="428"/>
      <c r="R101" s="428"/>
      <c r="S101" s="439"/>
      <c r="T101" s="425" t="s">
        <v>6</v>
      </c>
      <c r="U101" s="426"/>
      <c r="V101" s="427" t="s">
        <v>33</v>
      </c>
      <c r="W101" s="428"/>
      <c r="X101" s="428"/>
      <c r="Y101" s="428"/>
      <c r="Z101" s="428"/>
      <c r="AA101" s="429"/>
      <c r="AB101" s="27"/>
      <c r="AC101" s="116" t="s">
        <v>37</v>
      </c>
      <c r="AD101" s="25"/>
      <c r="AE101" s="190"/>
      <c r="AF101" s="25"/>
      <c r="AG101" s="27"/>
      <c r="AH101" s="151"/>
      <c r="AI101" s="152"/>
      <c r="AJ101" s="244"/>
      <c r="AK101" s="170"/>
      <c r="AL101" s="427" t="s">
        <v>5245</v>
      </c>
      <c r="AM101" s="428"/>
      <c r="AN101" s="428"/>
      <c r="AO101" s="428"/>
      <c r="AP101" s="428"/>
      <c r="AQ101" s="439"/>
      <c r="AR101" s="427" t="s">
        <v>10</v>
      </c>
      <c r="AS101" s="428"/>
      <c r="AT101" s="428"/>
      <c r="AU101" s="428"/>
      <c r="AV101" s="428"/>
      <c r="AW101" s="439"/>
      <c r="AX101" s="425" t="s">
        <v>6</v>
      </c>
      <c r="AY101" s="424"/>
      <c r="AZ101" s="434" t="s">
        <v>33</v>
      </c>
      <c r="BA101" s="428"/>
      <c r="BB101" s="428"/>
      <c r="BC101" s="428"/>
      <c r="BD101" s="428"/>
      <c r="BE101" s="429"/>
      <c r="BF101" s="238"/>
      <c r="BG101" s="448" t="s">
        <v>5245</v>
      </c>
      <c r="BH101" s="448"/>
      <c r="BI101" s="448"/>
      <c r="BJ101" s="448"/>
      <c r="BK101" s="448"/>
      <c r="BL101" s="448"/>
      <c r="BM101" s="448" t="s">
        <v>10</v>
      </c>
      <c r="BN101" s="448"/>
      <c r="BO101" s="448"/>
      <c r="BP101" s="448"/>
      <c r="BQ101" s="448"/>
      <c r="BR101" s="448"/>
      <c r="BS101" s="425" t="s">
        <v>6</v>
      </c>
      <c r="BT101" s="424"/>
      <c r="BU101" s="427" t="s">
        <v>33</v>
      </c>
      <c r="BV101" s="428"/>
      <c r="BW101" s="428"/>
      <c r="BX101" s="428"/>
      <c r="BY101" s="428"/>
      <c r="BZ101" s="439"/>
    </row>
    <row r="102" spans="2:78" x14ac:dyDescent="0.25">
      <c r="C102" s="409" t="s">
        <v>0</v>
      </c>
      <c r="D102" s="54" t="s">
        <v>41</v>
      </c>
      <c r="E102" s="39"/>
      <c r="F102" s="38"/>
      <c r="G102" s="38" t="s">
        <v>2</v>
      </c>
      <c r="H102" s="420" t="s">
        <v>4</v>
      </c>
      <c r="I102" s="420"/>
      <c r="J102" s="421" t="s">
        <v>9</v>
      </c>
      <c r="K102" s="422"/>
      <c r="L102" s="421" t="s">
        <v>5246</v>
      </c>
      <c r="M102" s="422"/>
      <c r="N102" s="420" t="s">
        <v>4</v>
      </c>
      <c r="O102" s="420"/>
      <c r="P102" s="421" t="s">
        <v>9</v>
      </c>
      <c r="Q102" s="422"/>
      <c r="R102" s="421" t="s">
        <v>5246</v>
      </c>
      <c r="S102" s="422"/>
      <c r="T102" s="435" t="s">
        <v>34</v>
      </c>
      <c r="U102" s="436"/>
      <c r="V102" s="432"/>
      <c r="W102" s="437"/>
      <c r="X102" s="432"/>
      <c r="Y102" s="431"/>
      <c r="Z102" s="437"/>
      <c r="AA102" s="433"/>
      <c r="AB102" s="215"/>
      <c r="AC102" s="117" t="s">
        <v>15</v>
      </c>
      <c r="AD102" s="32" t="s">
        <v>16</v>
      </c>
      <c r="AE102" s="79"/>
      <c r="AF102" s="32" t="s">
        <v>26</v>
      </c>
      <c r="AG102" s="3"/>
      <c r="AH102" s="153" t="s">
        <v>2</v>
      </c>
      <c r="AI102" s="32" t="s">
        <v>23</v>
      </c>
      <c r="AJ102" s="298" t="s">
        <v>5226</v>
      </c>
      <c r="AK102" s="171" t="s">
        <v>643</v>
      </c>
      <c r="AL102" s="420" t="s">
        <v>4</v>
      </c>
      <c r="AM102" s="420"/>
      <c r="AN102" s="421" t="s">
        <v>9</v>
      </c>
      <c r="AO102" s="422"/>
      <c r="AP102" s="421" t="s">
        <v>5246</v>
      </c>
      <c r="AQ102" s="422"/>
      <c r="AR102" s="420" t="s">
        <v>4</v>
      </c>
      <c r="AS102" s="420"/>
      <c r="AT102" s="421" t="s">
        <v>9</v>
      </c>
      <c r="AU102" s="422"/>
      <c r="AV102" s="421" t="s">
        <v>5246</v>
      </c>
      <c r="AW102" s="422"/>
      <c r="AX102" s="435" t="s">
        <v>34</v>
      </c>
      <c r="AY102" s="423"/>
      <c r="AZ102" s="430"/>
      <c r="BA102" s="431"/>
      <c r="BB102" s="432"/>
      <c r="BC102" s="431"/>
      <c r="BD102" s="432"/>
      <c r="BE102" s="433"/>
      <c r="BF102" s="46"/>
      <c r="BG102" s="440" t="s">
        <v>4</v>
      </c>
      <c r="BH102" s="440"/>
      <c r="BI102" s="440" t="s">
        <v>9</v>
      </c>
      <c r="BJ102" s="440"/>
      <c r="BK102" s="440" t="s">
        <v>5246</v>
      </c>
      <c r="BL102" s="440"/>
      <c r="BM102" s="440" t="s">
        <v>4</v>
      </c>
      <c r="BN102" s="440"/>
      <c r="BO102" s="440" t="s">
        <v>9</v>
      </c>
      <c r="BP102" s="440"/>
      <c r="BQ102" s="440" t="s">
        <v>5246</v>
      </c>
      <c r="BR102" s="440"/>
      <c r="BS102" s="435" t="s">
        <v>34</v>
      </c>
      <c r="BT102" s="423"/>
      <c r="BU102" s="432"/>
      <c r="BV102" s="431"/>
      <c r="BW102" s="432"/>
      <c r="BX102" s="431"/>
      <c r="BY102" s="432"/>
      <c r="BZ102" s="431"/>
    </row>
    <row r="103" spans="2:78" ht="16.5" thickBot="1" x14ac:dyDescent="0.3">
      <c r="C103" s="410"/>
      <c r="D103" s="53" t="s">
        <v>40</v>
      </c>
      <c r="E103" s="35" t="s">
        <v>30</v>
      </c>
      <c r="F103" s="35" t="s">
        <v>1</v>
      </c>
      <c r="G103" s="35" t="s">
        <v>3</v>
      </c>
      <c r="H103" s="36" t="s">
        <v>5243</v>
      </c>
      <c r="I103" s="36" t="s">
        <v>5244</v>
      </c>
      <c r="J103" s="36" t="s">
        <v>5243</v>
      </c>
      <c r="K103" s="36" t="s">
        <v>5244</v>
      </c>
      <c r="L103" s="36" t="s">
        <v>24</v>
      </c>
      <c r="M103" s="36" t="s">
        <v>9</v>
      </c>
      <c r="N103" s="36" t="s">
        <v>5243</v>
      </c>
      <c r="O103" s="36" t="s">
        <v>5244</v>
      </c>
      <c r="P103" s="36" t="s">
        <v>5243</v>
      </c>
      <c r="Q103" s="36" t="s">
        <v>5244</v>
      </c>
      <c r="R103" s="36" t="s">
        <v>24</v>
      </c>
      <c r="S103" s="36" t="s">
        <v>9</v>
      </c>
      <c r="T103" s="36" t="s">
        <v>7</v>
      </c>
      <c r="U103" s="36" t="s">
        <v>8</v>
      </c>
      <c r="V103" s="36" t="s">
        <v>36</v>
      </c>
      <c r="W103" s="17" t="s">
        <v>31</v>
      </c>
      <c r="X103" s="36" t="s">
        <v>36</v>
      </c>
      <c r="Y103" s="36" t="s">
        <v>31</v>
      </c>
      <c r="Z103" s="18" t="s">
        <v>36</v>
      </c>
      <c r="AA103" s="57" t="s">
        <v>31</v>
      </c>
      <c r="AB103" s="215"/>
      <c r="AC103" s="118" t="s">
        <v>18</v>
      </c>
      <c r="AD103" s="5" t="s">
        <v>19</v>
      </c>
      <c r="AE103" s="217" t="s">
        <v>20</v>
      </c>
      <c r="AF103" s="5" t="s">
        <v>25</v>
      </c>
      <c r="AG103" s="4" t="s">
        <v>21</v>
      </c>
      <c r="AH103" s="154" t="s">
        <v>22</v>
      </c>
      <c r="AI103" s="164">
        <v>0.95</v>
      </c>
      <c r="AJ103" s="299" t="s">
        <v>3</v>
      </c>
      <c r="AK103" s="159" t="s">
        <v>644</v>
      </c>
      <c r="AL103" s="36" t="s">
        <v>5243</v>
      </c>
      <c r="AM103" s="36" t="s">
        <v>5244</v>
      </c>
      <c r="AN103" s="36" t="s">
        <v>5243</v>
      </c>
      <c r="AO103" s="36" t="s">
        <v>5244</v>
      </c>
      <c r="AP103" s="36" t="s">
        <v>24</v>
      </c>
      <c r="AQ103" s="36" t="s">
        <v>9</v>
      </c>
      <c r="AR103" s="36" t="s">
        <v>5243</v>
      </c>
      <c r="AS103" s="36" t="s">
        <v>5244</v>
      </c>
      <c r="AT103" s="36" t="s">
        <v>5243</v>
      </c>
      <c r="AU103" s="36" t="s">
        <v>5244</v>
      </c>
      <c r="AV103" s="36" t="s">
        <v>24</v>
      </c>
      <c r="AW103" s="36" t="s">
        <v>9</v>
      </c>
      <c r="AX103" s="36" t="s">
        <v>7</v>
      </c>
      <c r="AY103" s="17" t="s">
        <v>8</v>
      </c>
      <c r="AZ103" s="276" t="s">
        <v>36</v>
      </c>
      <c r="BA103" s="18" t="s">
        <v>31</v>
      </c>
      <c r="BB103" s="36" t="s">
        <v>36</v>
      </c>
      <c r="BC103" s="36" t="s">
        <v>31</v>
      </c>
      <c r="BD103" s="36" t="s">
        <v>36</v>
      </c>
      <c r="BE103" s="57" t="s">
        <v>31</v>
      </c>
      <c r="BF103" s="46"/>
      <c r="BG103" s="36" t="s">
        <v>5243</v>
      </c>
      <c r="BH103" s="36" t="s">
        <v>5244</v>
      </c>
      <c r="BI103" s="36" t="s">
        <v>5243</v>
      </c>
      <c r="BJ103" s="36" t="s">
        <v>5244</v>
      </c>
      <c r="BK103" s="36" t="s">
        <v>24</v>
      </c>
      <c r="BL103" s="36" t="s">
        <v>9</v>
      </c>
      <c r="BM103" s="36" t="s">
        <v>5243</v>
      </c>
      <c r="BN103" s="36" t="s">
        <v>5244</v>
      </c>
      <c r="BO103" s="36" t="s">
        <v>5243</v>
      </c>
      <c r="BP103" s="36" t="s">
        <v>5244</v>
      </c>
      <c r="BQ103" s="36" t="s">
        <v>24</v>
      </c>
      <c r="BR103" s="36" t="s">
        <v>9</v>
      </c>
      <c r="BS103" s="36" t="s">
        <v>7</v>
      </c>
      <c r="BT103" s="17" t="s">
        <v>8</v>
      </c>
      <c r="BU103" s="36" t="s">
        <v>36</v>
      </c>
      <c r="BV103" s="36" t="s">
        <v>31</v>
      </c>
      <c r="BW103" s="36" t="s">
        <v>36</v>
      </c>
      <c r="BX103" s="36" t="s">
        <v>31</v>
      </c>
      <c r="BY103" s="36" t="s">
        <v>36</v>
      </c>
      <c r="BZ103" s="36" t="s">
        <v>31</v>
      </c>
    </row>
    <row r="104" spans="2:78" x14ac:dyDescent="0.25">
      <c r="B104" s="401" t="str">
        <f>B52</f>
        <v>0</v>
      </c>
      <c r="C104" s="120"/>
      <c r="D104" s="55" t="s">
        <v>39</v>
      </c>
      <c r="E104" s="3"/>
      <c r="F104" s="39"/>
      <c r="G104" s="272"/>
      <c r="H104" s="277"/>
      <c r="I104" s="40"/>
      <c r="J104" s="41"/>
      <c r="K104" s="42"/>
      <c r="L104" s="40"/>
      <c r="M104" s="58"/>
      <c r="N104" s="277"/>
      <c r="O104" s="40"/>
      <c r="P104" s="41"/>
      <c r="Q104" s="40"/>
      <c r="R104" s="41"/>
      <c r="S104" s="58"/>
      <c r="T104" s="40"/>
      <c r="U104" s="40"/>
      <c r="V104" s="277"/>
      <c r="W104" s="40"/>
      <c r="X104" s="41"/>
      <c r="Y104" s="42"/>
      <c r="Z104" s="40"/>
      <c r="AA104" s="58"/>
      <c r="AB104" s="215"/>
      <c r="AC104" s="300"/>
      <c r="AD104" s="193"/>
      <c r="AE104" s="195"/>
      <c r="AF104" s="195"/>
      <c r="AG104" s="210"/>
      <c r="AH104" s="196"/>
      <c r="AI104" s="197"/>
      <c r="AJ104" s="301"/>
      <c r="AK104" s="181"/>
      <c r="AL104" s="281"/>
      <c r="AM104" s="48"/>
      <c r="AN104" s="47"/>
      <c r="AO104" s="48"/>
      <c r="AP104" s="47"/>
      <c r="AQ104" s="282"/>
      <c r="AR104" s="281"/>
      <c r="AS104" s="48"/>
      <c r="AT104" s="47"/>
      <c r="AU104" s="48"/>
      <c r="AV104" s="47"/>
      <c r="AW104" s="282"/>
      <c r="AX104" s="279"/>
      <c r="AY104" s="129"/>
      <c r="AZ104" s="279"/>
      <c r="BA104" s="130"/>
      <c r="BB104" s="128"/>
      <c r="BC104" s="130"/>
      <c r="BD104" s="128"/>
      <c r="BE104" s="280"/>
      <c r="BF104" s="46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20"/>
      <c r="BT104" s="20"/>
      <c r="BU104" s="49"/>
      <c r="BV104" s="20"/>
      <c r="BW104" s="20"/>
      <c r="BX104" s="20"/>
      <c r="BY104" s="20"/>
      <c r="BZ104" s="99"/>
    </row>
    <row r="105" spans="2:78" x14ac:dyDescent="0.25">
      <c r="B105" s="402"/>
      <c r="C105" s="50"/>
      <c r="D105" s="56" t="s">
        <v>39</v>
      </c>
      <c r="E105" s="34"/>
      <c r="F105" s="31"/>
      <c r="G105" s="273"/>
      <c r="H105" s="267"/>
      <c r="J105" s="45"/>
      <c r="K105" s="46"/>
      <c r="M105" s="52"/>
      <c r="N105" s="267"/>
      <c r="P105" s="45"/>
      <c r="R105" s="45"/>
      <c r="S105" s="52"/>
      <c r="V105" s="267"/>
      <c r="X105" s="45"/>
      <c r="Y105" s="46"/>
      <c r="AA105" s="52"/>
      <c r="AB105" s="215"/>
      <c r="AC105" s="302"/>
      <c r="AD105" s="199"/>
      <c r="AE105" s="200"/>
      <c r="AF105" s="201"/>
      <c r="AG105" s="211"/>
      <c r="AH105" s="202"/>
      <c r="AI105" s="202"/>
      <c r="AJ105" s="303"/>
      <c r="AK105" s="172"/>
      <c r="AL105" s="281"/>
      <c r="AM105" s="48"/>
      <c r="AN105" s="47"/>
      <c r="AO105" s="48"/>
      <c r="AP105" s="47"/>
      <c r="AQ105" s="282"/>
      <c r="AR105" s="281"/>
      <c r="AS105" s="48"/>
      <c r="AT105" s="47"/>
      <c r="AU105" s="48"/>
      <c r="AV105" s="47"/>
      <c r="AW105" s="282"/>
      <c r="AX105" s="281"/>
      <c r="AY105" s="48"/>
      <c r="AZ105" s="281"/>
      <c r="BA105" s="51"/>
      <c r="BB105" s="47"/>
      <c r="BC105" s="51"/>
      <c r="BD105" s="47"/>
      <c r="BE105" s="282"/>
      <c r="BF105" s="46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20"/>
      <c r="BT105" s="20"/>
      <c r="BU105" s="49"/>
      <c r="BV105" s="20"/>
      <c r="BW105" s="20"/>
      <c r="BX105" s="20"/>
      <c r="BY105" s="20"/>
      <c r="BZ105" s="99"/>
    </row>
    <row r="106" spans="2:78" x14ac:dyDescent="0.25">
      <c r="B106" s="402"/>
      <c r="C106" s="50"/>
      <c r="D106" s="56" t="s">
        <v>39</v>
      </c>
      <c r="E106" s="34"/>
      <c r="F106" s="31"/>
      <c r="G106" s="273"/>
      <c r="H106" s="267"/>
      <c r="J106" s="45"/>
      <c r="K106" s="46"/>
      <c r="M106" s="52"/>
      <c r="N106" s="267"/>
      <c r="P106" s="45"/>
      <c r="R106" s="45"/>
      <c r="S106" s="52"/>
      <c r="V106" s="267"/>
      <c r="X106" s="45"/>
      <c r="Y106" s="46"/>
      <c r="AA106" s="52"/>
      <c r="AB106" s="215"/>
      <c r="AC106" s="302"/>
      <c r="AD106" s="199"/>
      <c r="AE106" s="200"/>
      <c r="AF106" s="201"/>
      <c r="AG106" s="211"/>
      <c r="AH106" s="202"/>
      <c r="AI106" s="202"/>
      <c r="AJ106" s="303"/>
      <c r="AK106" s="172"/>
      <c r="AL106" s="281"/>
      <c r="AM106" s="48"/>
      <c r="AN106" s="47"/>
      <c r="AO106" s="48"/>
      <c r="AP106" s="47"/>
      <c r="AQ106" s="282"/>
      <c r="AR106" s="281"/>
      <c r="AS106" s="48"/>
      <c r="AT106" s="47"/>
      <c r="AU106" s="48"/>
      <c r="AV106" s="47"/>
      <c r="AW106" s="282"/>
      <c r="AX106" s="281"/>
      <c r="AY106" s="48"/>
      <c r="AZ106" s="281"/>
      <c r="BA106" s="51"/>
      <c r="BB106" s="47"/>
      <c r="BC106" s="51"/>
      <c r="BD106" s="47"/>
      <c r="BE106" s="282"/>
      <c r="BF106" s="46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20"/>
      <c r="BT106" s="20"/>
      <c r="BU106" s="49"/>
      <c r="BV106" s="20"/>
      <c r="BW106" s="20"/>
      <c r="BX106" s="20"/>
      <c r="BY106" s="20"/>
      <c r="BZ106" s="99"/>
    </row>
    <row r="107" spans="2:78" x14ac:dyDescent="0.25">
      <c r="B107" s="402"/>
      <c r="C107" s="50"/>
      <c r="D107" s="56" t="s">
        <v>40</v>
      </c>
      <c r="E107" s="34"/>
      <c r="F107" s="31"/>
      <c r="G107" s="273"/>
      <c r="H107" s="267"/>
      <c r="J107" s="45"/>
      <c r="K107" s="46"/>
      <c r="M107" s="52"/>
      <c r="N107" s="267"/>
      <c r="P107" s="45"/>
      <c r="R107" s="45"/>
      <c r="S107" s="52"/>
      <c r="V107" s="267"/>
      <c r="X107" s="45"/>
      <c r="Y107" s="46"/>
      <c r="AA107" s="52"/>
      <c r="AB107" s="215"/>
      <c r="AC107" s="302">
        <v>0</v>
      </c>
      <c r="AD107" s="199">
        <v>1</v>
      </c>
      <c r="AE107" s="200">
        <f>SUM(AC107:AC108)/SUM(AD107:AD108)</f>
        <v>0</v>
      </c>
      <c r="AF107" s="200">
        <v>2</v>
      </c>
      <c r="AG107" s="211">
        <v>16</v>
      </c>
      <c r="AH107" s="202">
        <f>AE107*AF107*AG107</f>
        <v>0</v>
      </c>
      <c r="AI107" s="203">
        <f t="shared" ref="AI107" si="128">AH107/AI$51</f>
        <v>0</v>
      </c>
      <c r="AJ107" s="319">
        <f>AI107*3</f>
        <v>0</v>
      </c>
      <c r="AK107" s="320">
        <v>0</v>
      </c>
      <c r="AL107" s="321">
        <v>0</v>
      </c>
      <c r="AM107" s="322">
        <v>0</v>
      </c>
      <c r="AN107" s="323">
        <v>0</v>
      </c>
      <c r="AO107" s="322">
        <v>0</v>
      </c>
      <c r="AP107" s="323">
        <v>0</v>
      </c>
      <c r="AQ107" s="324">
        <v>0</v>
      </c>
      <c r="AR107" s="321">
        <v>0</v>
      </c>
      <c r="AS107" s="322">
        <v>0</v>
      </c>
      <c r="AT107" s="323">
        <v>0</v>
      </c>
      <c r="AU107" s="322">
        <v>0</v>
      </c>
      <c r="AV107" s="323">
        <v>0</v>
      </c>
      <c r="AW107" s="324">
        <v>0</v>
      </c>
      <c r="AX107" s="321">
        <v>0</v>
      </c>
      <c r="AY107" s="322">
        <v>0</v>
      </c>
      <c r="AZ107" s="321">
        <v>0</v>
      </c>
      <c r="BA107" s="325">
        <v>0</v>
      </c>
      <c r="BB107" s="323">
        <v>0</v>
      </c>
      <c r="BC107" s="325">
        <v>0</v>
      </c>
      <c r="BD107" s="323">
        <v>0</v>
      </c>
      <c r="BE107" s="324">
        <v>0</v>
      </c>
      <c r="BF107" s="46"/>
      <c r="BG107" s="49">
        <v>0</v>
      </c>
      <c r="BH107" s="49">
        <f t="shared" ref="BH107:BZ107" si="129">AM107*$AJ107</f>
        <v>0</v>
      </c>
      <c r="BI107" s="49">
        <f t="shared" si="129"/>
        <v>0</v>
      </c>
      <c r="BJ107" s="49">
        <f t="shared" si="129"/>
        <v>0</v>
      </c>
      <c r="BK107" s="49">
        <f t="shared" si="129"/>
        <v>0</v>
      </c>
      <c r="BL107" s="49">
        <f t="shared" si="129"/>
        <v>0</v>
      </c>
      <c r="BM107" s="49">
        <f t="shared" si="129"/>
        <v>0</v>
      </c>
      <c r="BN107" s="49">
        <f t="shared" si="129"/>
        <v>0</v>
      </c>
      <c r="BO107" s="49">
        <f t="shared" si="129"/>
        <v>0</v>
      </c>
      <c r="BP107" s="49">
        <f t="shared" si="129"/>
        <v>0</v>
      </c>
      <c r="BQ107" s="49">
        <f t="shared" si="129"/>
        <v>0</v>
      </c>
      <c r="BR107" s="49">
        <f t="shared" si="129"/>
        <v>0</v>
      </c>
      <c r="BS107" s="20">
        <f t="shared" si="129"/>
        <v>0</v>
      </c>
      <c r="BT107" s="20">
        <f t="shared" si="129"/>
        <v>0</v>
      </c>
      <c r="BU107" s="49">
        <f t="shared" si="129"/>
        <v>0</v>
      </c>
      <c r="BV107" s="20">
        <f t="shared" si="129"/>
        <v>0</v>
      </c>
      <c r="BW107" s="20">
        <f t="shared" si="129"/>
        <v>0</v>
      </c>
      <c r="BX107" s="20">
        <f t="shared" si="129"/>
        <v>0</v>
      </c>
      <c r="BY107" s="20">
        <f t="shared" si="129"/>
        <v>0</v>
      </c>
      <c r="BZ107" s="99">
        <f t="shared" si="129"/>
        <v>0</v>
      </c>
    </row>
    <row r="108" spans="2:78" ht="16.5" thickBot="1" x14ac:dyDescent="0.3">
      <c r="B108" s="403"/>
      <c r="C108" s="139">
        <v>45550</v>
      </c>
      <c r="D108" s="121" t="s">
        <v>40</v>
      </c>
      <c r="E108" s="4">
        <v>0</v>
      </c>
      <c r="F108" s="122">
        <v>0</v>
      </c>
      <c r="G108" s="274">
        <v>0</v>
      </c>
      <c r="H108" s="278"/>
      <c r="I108" s="124"/>
      <c r="J108" s="125"/>
      <c r="K108" s="126"/>
      <c r="L108" s="124"/>
      <c r="M108" s="140"/>
      <c r="N108" s="278"/>
      <c r="O108" s="124"/>
      <c r="P108" s="125"/>
      <c r="Q108" s="124"/>
      <c r="R108" s="125"/>
      <c r="S108" s="140"/>
      <c r="T108" s="124"/>
      <c r="U108" s="124"/>
      <c r="V108" s="278"/>
      <c r="W108" s="124"/>
      <c r="X108" s="125"/>
      <c r="Y108" s="126"/>
      <c r="Z108" s="124"/>
      <c r="AA108" s="140"/>
      <c r="AB108" s="215"/>
      <c r="AC108" s="304">
        <v>0</v>
      </c>
      <c r="AD108" s="205">
        <v>2</v>
      </c>
      <c r="AE108" s="206"/>
      <c r="AF108" s="207"/>
      <c r="AG108" s="212"/>
      <c r="AH108" s="208"/>
      <c r="AI108" s="208"/>
      <c r="AJ108" s="305"/>
      <c r="AK108" s="173"/>
      <c r="AL108" s="283"/>
      <c r="AM108" s="132"/>
      <c r="AN108" s="131"/>
      <c r="AO108" s="132"/>
      <c r="AP108" s="131"/>
      <c r="AQ108" s="284"/>
      <c r="AR108" s="283"/>
      <c r="AS108" s="132"/>
      <c r="AT108" s="131"/>
      <c r="AU108" s="132"/>
      <c r="AV108" s="131"/>
      <c r="AW108" s="284"/>
      <c r="AX108" s="283"/>
      <c r="AY108" s="132"/>
      <c r="AZ108" s="283"/>
      <c r="BA108" s="133"/>
      <c r="BB108" s="131"/>
      <c r="BC108" s="133"/>
      <c r="BD108" s="131"/>
      <c r="BE108" s="284"/>
      <c r="BF108" s="46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127"/>
      <c r="BT108" s="127"/>
      <c r="BU108" s="64"/>
      <c r="BV108" s="127"/>
      <c r="BW108" s="127"/>
      <c r="BX108" s="127"/>
      <c r="BY108" s="127"/>
      <c r="BZ108" s="100"/>
    </row>
    <row r="109" spans="2:78" x14ac:dyDescent="0.25">
      <c r="B109" s="401" t="str">
        <f t="shared" ref="B109" si="130">B57</f>
        <v>Sept 15-21</v>
      </c>
      <c r="C109" s="120"/>
      <c r="D109" s="55" t="s">
        <v>39</v>
      </c>
      <c r="E109" s="3"/>
      <c r="F109" s="39"/>
      <c r="G109" s="272"/>
      <c r="H109" s="277"/>
      <c r="I109" s="40"/>
      <c r="J109" s="41"/>
      <c r="K109" s="42"/>
      <c r="L109" s="40"/>
      <c r="M109" s="58"/>
      <c r="N109" s="277"/>
      <c r="O109" s="40"/>
      <c r="P109" s="41"/>
      <c r="Q109" s="40"/>
      <c r="R109" s="41"/>
      <c r="S109" s="58"/>
      <c r="T109" s="40"/>
      <c r="U109" s="40"/>
      <c r="V109" s="277"/>
      <c r="W109" s="40"/>
      <c r="X109" s="41"/>
      <c r="Y109" s="42"/>
      <c r="Z109" s="40"/>
      <c r="AA109" s="58"/>
      <c r="AB109" s="215"/>
      <c r="AC109" s="300"/>
      <c r="AD109" s="193"/>
      <c r="AE109" s="195" t="e">
        <f>SUM(AC109:AC111)/SUM(AD109:AD111)</f>
        <v>#DIV/0!</v>
      </c>
      <c r="AF109" s="195" t="e">
        <f>SUM(F109:F111)/SUM(E109:E111)</f>
        <v>#DIV/0!</v>
      </c>
      <c r="AG109" s="210">
        <v>15.5</v>
      </c>
      <c r="AH109" s="196" t="e">
        <f>AE109*AF109*AG109</f>
        <v>#DIV/0!</v>
      </c>
      <c r="AI109" s="197" t="e">
        <f>AH109/AI$51</f>
        <v>#DIV/0!</v>
      </c>
      <c r="AJ109" s="301" t="e">
        <f>AI109*5</f>
        <v>#DIV/0!</v>
      </c>
      <c r="AK109" s="181">
        <v>0</v>
      </c>
      <c r="AL109" s="279">
        <v>0</v>
      </c>
      <c r="AM109" s="129">
        <v>0</v>
      </c>
      <c r="AN109" s="128">
        <v>0</v>
      </c>
      <c r="AO109" s="129">
        <v>0</v>
      </c>
      <c r="AP109" s="128">
        <v>0</v>
      </c>
      <c r="AQ109" s="280">
        <v>0</v>
      </c>
      <c r="AR109" s="279">
        <v>0</v>
      </c>
      <c r="AS109" s="129">
        <v>0</v>
      </c>
      <c r="AT109" s="128">
        <v>0</v>
      </c>
      <c r="AU109" s="129">
        <v>0</v>
      </c>
      <c r="AV109" s="128">
        <v>0</v>
      </c>
      <c r="AW109" s="280">
        <v>0</v>
      </c>
      <c r="AX109" s="279">
        <v>0</v>
      </c>
      <c r="AY109" s="129">
        <v>0</v>
      </c>
      <c r="AZ109" s="279">
        <v>0</v>
      </c>
      <c r="BA109" s="130">
        <v>0</v>
      </c>
      <c r="BB109" s="128">
        <v>0</v>
      </c>
      <c r="BC109" s="130">
        <v>0</v>
      </c>
      <c r="BD109" s="128">
        <v>0</v>
      </c>
      <c r="BE109" s="280">
        <v>0</v>
      </c>
      <c r="BF109" s="46"/>
      <c r="BG109" s="49" t="e">
        <f t="shared" ref="BG109:BZ109" si="131">AL109*$AJ109</f>
        <v>#DIV/0!</v>
      </c>
      <c r="BH109" s="49" t="e">
        <f t="shared" si="131"/>
        <v>#DIV/0!</v>
      </c>
      <c r="BI109" s="49" t="e">
        <f t="shared" si="131"/>
        <v>#DIV/0!</v>
      </c>
      <c r="BJ109" s="49" t="e">
        <f t="shared" si="131"/>
        <v>#DIV/0!</v>
      </c>
      <c r="BK109" s="49" t="e">
        <f t="shared" si="131"/>
        <v>#DIV/0!</v>
      </c>
      <c r="BL109" s="49" t="e">
        <f t="shared" si="131"/>
        <v>#DIV/0!</v>
      </c>
      <c r="BM109" s="49" t="e">
        <f t="shared" si="131"/>
        <v>#DIV/0!</v>
      </c>
      <c r="BN109" s="49" t="e">
        <f t="shared" si="131"/>
        <v>#DIV/0!</v>
      </c>
      <c r="BO109" s="49" t="e">
        <f t="shared" si="131"/>
        <v>#DIV/0!</v>
      </c>
      <c r="BP109" s="49" t="e">
        <f t="shared" si="131"/>
        <v>#DIV/0!</v>
      </c>
      <c r="BQ109" s="49" t="e">
        <f t="shared" si="131"/>
        <v>#DIV/0!</v>
      </c>
      <c r="BR109" s="49" t="e">
        <f t="shared" si="131"/>
        <v>#DIV/0!</v>
      </c>
      <c r="BS109" s="20" t="e">
        <f t="shared" si="131"/>
        <v>#DIV/0!</v>
      </c>
      <c r="BT109" s="20" t="e">
        <f t="shared" si="131"/>
        <v>#DIV/0!</v>
      </c>
      <c r="BU109" s="49" t="e">
        <f t="shared" si="131"/>
        <v>#DIV/0!</v>
      </c>
      <c r="BV109" s="20" t="e">
        <f t="shared" si="131"/>
        <v>#DIV/0!</v>
      </c>
      <c r="BW109" s="20" t="e">
        <f t="shared" si="131"/>
        <v>#DIV/0!</v>
      </c>
      <c r="BX109" s="20" t="e">
        <f t="shared" si="131"/>
        <v>#DIV/0!</v>
      </c>
      <c r="BY109" s="20" t="e">
        <f t="shared" si="131"/>
        <v>#DIV/0!</v>
      </c>
      <c r="BZ109" s="99" t="e">
        <f t="shared" si="131"/>
        <v>#DIV/0!</v>
      </c>
    </row>
    <row r="110" spans="2:78" x14ac:dyDescent="0.25">
      <c r="B110" s="402"/>
      <c r="C110" s="50"/>
      <c r="D110" s="56" t="s">
        <v>39</v>
      </c>
      <c r="E110" s="34"/>
      <c r="F110" s="31"/>
      <c r="G110" s="273"/>
      <c r="H110" s="267"/>
      <c r="J110" s="45"/>
      <c r="K110" s="46"/>
      <c r="M110" s="52"/>
      <c r="N110" s="267"/>
      <c r="P110" s="45"/>
      <c r="R110" s="45"/>
      <c r="S110" s="52"/>
      <c r="V110" s="267"/>
      <c r="X110" s="45"/>
      <c r="Y110" s="46"/>
      <c r="AA110" s="52"/>
      <c r="AB110" s="215"/>
      <c r="AC110" s="302"/>
      <c r="AD110" s="199"/>
      <c r="AE110" s="200"/>
      <c r="AF110" s="201"/>
      <c r="AG110" s="211"/>
      <c r="AH110" s="202"/>
      <c r="AI110" s="202"/>
      <c r="AJ110" s="303"/>
      <c r="AK110" s="172"/>
      <c r="AL110" s="281"/>
      <c r="AM110" s="48"/>
      <c r="AN110" s="47"/>
      <c r="AO110" s="48"/>
      <c r="AP110" s="47"/>
      <c r="AQ110" s="282"/>
      <c r="AR110" s="281"/>
      <c r="AS110" s="48"/>
      <c r="AT110" s="47"/>
      <c r="AU110" s="48"/>
      <c r="AV110" s="47"/>
      <c r="AW110" s="282"/>
      <c r="AX110" s="281"/>
      <c r="AY110" s="48"/>
      <c r="AZ110" s="281"/>
      <c r="BA110" s="51"/>
      <c r="BB110" s="47"/>
      <c r="BC110" s="51"/>
      <c r="BD110" s="47"/>
      <c r="BE110" s="282"/>
      <c r="BF110" s="46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20"/>
      <c r="BT110" s="20"/>
      <c r="BU110" s="49"/>
      <c r="BV110" s="20"/>
      <c r="BW110" s="20"/>
      <c r="BX110" s="20"/>
      <c r="BY110" s="20"/>
      <c r="BZ110" s="99"/>
    </row>
    <row r="111" spans="2:78" x14ac:dyDescent="0.25">
      <c r="B111" s="402"/>
      <c r="C111" s="50"/>
      <c r="D111" s="56" t="s">
        <v>39</v>
      </c>
      <c r="E111" s="34"/>
      <c r="F111" s="31"/>
      <c r="G111" s="273"/>
      <c r="H111" s="267"/>
      <c r="J111" s="45"/>
      <c r="K111" s="46"/>
      <c r="M111" s="52"/>
      <c r="N111" s="267"/>
      <c r="P111" s="45"/>
      <c r="R111" s="45"/>
      <c r="S111" s="52"/>
      <c r="V111" s="267"/>
      <c r="X111" s="45"/>
      <c r="Y111" s="46"/>
      <c r="AA111" s="52"/>
      <c r="AB111" s="215"/>
      <c r="AC111" s="302"/>
      <c r="AD111" s="199"/>
      <c r="AE111" s="200"/>
      <c r="AF111" s="201"/>
      <c r="AG111" s="211"/>
      <c r="AH111" s="202"/>
      <c r="AI111" s="202"/>
      <c r="AJ111" s="303"/>
      <c r="AK111" s="172"/>
      <c r="AL111" s="281"/>
      <c r="AM111" s="48"/>
      <c r="AN111" s="47"/>
      <c r="AO111" s="48"/>
      <c r="AP111" s="47"/>
      <c r="AQ111" s="282"/>
      <c r="AR111" s="281"/>
      <c r="AS111" s="48"/>
      <c r="AT111" s="47"/>
      <c r="AU111" s="48"/>
      <c r="AV111" s="47"/>
      <c r="AW111" s="282"/>
      <c r="AX111" s="281"/>
      <c r="AY111" s="48"/>
      <c r="AZ111" s="281"/>
      <c r="BA111" s="51"/>
      <c r="BB111" s="47"/>
      <c r="BC111" s="51"/>
      <c r="BD111" s="47"/>
      <c r="BE111" s="282"/>
      <c r="BF111" s="46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20"/>
      <c r="BT111" s="20"/>
      <c r="BU111" s="49"/>
      <c r="BV111" s="20"/>
      <c r="BW111" s="20"/>
      <c r="BX111" s="20"/>
      <c r="BY111" s="20"/>
      <c r="BZ111" s="99"/>
    </row>
    <row r="112" spans="2:78" x14ac:dyDescent="0.25">
      <c r="B112" s="402"/>
      <c r="C112" s="50"/>
      <c r="D112" s="56" t="s">
        <v>40</v>
      </c>
      <c r="E112" s="34"/>
      <c r="F112" s="31"/>
      <c r="G112" s="273"/>
      <c r="H112" s="267"/>
      <c r="J112" s="45"/>
      <c r="K112" s="46"/>
      <c r="M112" s="52"/>
      <c r="N112" s="267"/>
      <c r="P112" s="45"/>
      <c r="R112" s="45"/>
      <c r="S112" s="52"/>
      <c r="V112" s="267"/>
      <c r="X112" s="45"/>
      <c r="Y112" s="46"/>
      <c r="AA112" s="52"/>
      <c r="AB112" s="215"/>
      <c r="AC112" s="302"/>
      <c r="AD112" s="199"/>
      <c r="AE112" s="200" t="e">
        <f>SUM(AC112:AC113)/SUM(AD112:AD113)</f>
        <v>#DIV/0!</v>
      </c>
      <c r="AF112" s="200" t="e">
        <f>SUM(F112:F113)/SUM(E112:E113)</f>
        <v>#DIV/0!</v>
      </c>
      <c r="AG112" s="211">
        <v>15.6</v>
      </c>
      <c r="AH112" s="202" t="e">
        <f>AE112*AF112*AG112</f>
        <v>#DIV/0!</v>
      </c>
      <c r="AI112" s="203" t="e">
        <f t="shared" ref="AI112" si="132">AH112/AI$51</f>
        <v>#DIV/0!</v>
      </c>
      <c r="AJ112" s="303" t="e">
        <f>AI112*2</f>
        <v>#DIV/0!</v>
      </c>
      <c r="AK112" s="181" t="e">
        <f>AJ112/AB60</f>
        <v>#DIV/0!</v>
      </c>
      <c r="AL112" s="281" t="e">
        <f t="shared" ref="AL112:BE112" si="133">AL60</f>
        <v>#DIV/0!</v>
      </c>
      <c r="AM112" s="48" t="e">
        <f t="shared" si="133"/>
        <v>#DIV/0!</v>
      </c>
      <c r="AN112" s="47" t="e">
        <f t="shared" si="133"/>
        <v>#DIV/0!</v>
      </c>
      <c r="AO112" s="48" t="e">
        <f t="shared" si="133"/>
        <v>#DIV/0!</v>
      </c>
      <c r="AP112" s="47" t="e">
        <f t="shared" si="133"/>
        <v>#DIV/0!</v>
      </c>
      <c r="AQ112" s="282" t="e">
        <f t="shared" si="133"/>
        <v>#DIV/0!</v>
      </c>
      <c r="AR112" s="281" t="e">
        <f t="shared" si="133"/>
        <v>#DIV/0!</v>
      </c>
      <c r="AS112" s="48" t="e">
        <f t="shared" si="133"/>
        <v>#DIV/0!</v>
      </c>
      <c r="AT112" s="47" t="e">
        <f t="shared" si="133"/>
        <v>#DIV/0!</v>
      </c>
      <c r="AU112" s="48" t="e">
        <f t="shared" si="133"/>
        <v>#DIV/0!</v>
      </c>
      <c r="AV112" s="47" t="e">
        <f t="shared" si="133"/>
        <v>#DIV/0!</v>
      </c>
      <c r="AW112" s="282" t="e">
        <f t="shared" si="133"/>
        <v>#DIV/0!</v>
      </c>
      <c r="AX112" s="281" t="e">
        <f t="shared" si="133"/>
        <v>#DIV/0!</v>
      </c>
      <c r="AY112" s="48" t="e">
        <f t="shared" si="133"/>
        <v>#DIV/0!</v>
      </c>
      <c r="AZ112" s="281" t="e">
        <f t="shared" si="133"/>
        <v>#DIV/0!</v>
      </c>
      <c r="BA112" s="51" t="e">
        <f t="shared" si="133"/>
        <v>#DIV/0!</v>
      </c>
      <c r="BB112" s="47" t="e">
        <f t="shared" si="133"/>
        <v>#DIV/0!</v>
      </c>
      <c r="BC112" s="51" t="e">
        <f t="shared" si="133"/>
        <v>#DIV/0!</v>
      </c>
      <c r="BD112" s="47" t="e">
        <f t="shared" si="133"/>
        <v>#DIV/0!</v>
      </c>
      <c r="BE112" s="282" t="e">
        <f t="shared" si="133"/>
        <v>#DIV/0!</v>
      </c>
      <c r="BF112" s="46"/>
      <c r="BG112" s="49" t="e">
        <f t="shared" ref="BG112:BZ112" si="134">AL112*$AJ112</f>
        <v>#DIV/0!</v>
      </c>
      <c r="BH112" s="49" t="e">
        <f t="shared" si="134"/>
        <v>#DIV/0!</v>
      </c>
      <c r="BI112" s="49" t="e">
        <f t="shared" si="134"/>
        <v>#DIV/0!</v>
      </c>
      <c r="BJ112" s="49" t="e">
        <f t="shared" si="134"/>
        <v>#DIV/0!</v>
      </c>
      <c r="BK112" s="49" t="e">
        <f t="shared" si="134"/>
        <v>#DIV/0!</v>
      </c>
      <c r="BL112" s="49" t="e">
        <f t="shared" si="134"/>
        <v>#DIV/0!</v>
      </c>
      <c r="BM112" s="49" t="e">
        <f t="shared" si="134"/>
        <v>#DIV/0!</v>
      </c>
      <c r="BN112" s="49" t="e">
        <f t="shared" si="134"/>
        <v>#DIV/0!</v>
      </c>
      <c r="BO112" s="49" t="e">
        <f t="shared" si="134"/>
        <v>#DIV/0!</v>
      </c>
      <c r="BP112" s="49" t="e">
        <f t="shared" si="134"/>
        <v>#DIV/0!</v>
      </c>
      <c r="BQ112" s="49" t="e">
        <f t="shared" si="134"/>
        <v>#DIV/0!</v>
      </c>
      <c r="BR112" s="49" t="e">
        <f t="shared" si="134"/>
        <v>#DIV/0!</v>
      </c>
      <c r="BS112" s="20" t="e">
        <f t="shared" si="134"/>
        <v>#DIV/0!</v>
      </c>
      <c r="BT112" s="20" t="e">
        <f t="shared" si="134"/>
        <v>#DIV/0!</v>
      </c>
      <c r="BU112" s="49" t="e">
        <f t="shared" si="134"/>
        <v>#DIV/0!</v>
      </c>
      <c r="BV112" s="20" t="e">
        <f t="shared" si="134"/>
        <v>#DIV/0!</v>
      </c>
      <c r="BW112" s="20" t="e">
        <f t="shared" si="134"/>
        <v>#DIV/0!</v>
      </c>
      <c r="BX112" s="20" t="e">
        <f t="shared" si="134"/>
        <v>#DIV/0!</v>
      </c>
      <c r="BY112" s="20" t="e">
        <f t="shared" si="134"/>
        <v>#DIV/0!</v>
      </c>
      <c r="BZ112" s="99" t="e">
        <f t="shared" si="134"/>
        <v>#DIV/0!</v>
      </c>
    </row>
    <row r="113" spans="2:78" ht="16.5" thickBot="1" x14ac:dyDescent="0.3">
      <c r="B113" s="403"/>
      <c r="C113" s="139"/>
      <c r="D113" s="121" t="s">
        <v>40</v>
      </c>
      <c r="E113" s="4"/>
      <c r="F113" s="122"/>
      <c r="G113" s="274"/>
      <c r="H113" s="278"/>
      <c r="I113" s="124"/>
      <c r="J113" s="125"/>
      <c r="K113" s="126"/>
      <c r="L113" s="124"/>
      <c r="M113" s="140"/>
      <c r="N113" s="278"/>
      <c r="O113" s="124"/>
      <c r="P113" s="125"/>
      <c r="Q113" s="124"/>
      <c r="R113" s="125"/>
      <c r="S113" s="140"/>
      <c r="T113" s="124"/>
      <c r="U113" s="124"/>
      <c r="V113" s="278"/>
      <c r="W113" s="124"/>
      <c r="X113" s="125"/>
      <c r="Y113" s="126"/>
      <c r="Z113" s="124"/>
      <c r="AA113" s="140"/>
      <c r="AB113" s="215"/>
      <c r="AC113" s="304"/>
      <c r="AD113" s="205"/>
      <c r="AE113" s="206"/>
      <c r="AF113" s="207"/>
      <c r="AG113" s="212"/>
      <c r="AH113" s="208"/>
      <c r="AI113" s="208"/>
      <c r="AJ113" s="305"/>
      <c r="AK113" s="173"/>
      <c r="AL113" s="283"/>
      <c r="AM113" s="132"/>
      <c r="AN113" s="131"/>
      <c r="AO113" s="132"/>
      <c r="AP113" s="131"/>
      <c r="AQ113" s="284"/>
      <c r="AR113" s="283"/>
      <c r="AS113" s="132"/>
      <c r="AT113" s="131"/>
      <c r="AU113" s="132"/>
      <c r="AV113" s="131"/>
      <c r="AW113" s="284"/>
      <c r="AX113" s="283"/>
      <c r="AY113" s="132"/>
      <c r="AZ113" s="283"/>
      <c r="BA113" s="133"/>
      <c r="BB113" s="131"/>
      <c r="BC113" s="133"/>
      <c r="BD113" s="131"/>
      <c r="BE113" s="284"/>
      <c r="BF113" s="46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127"/>
      <c r="BT113" s="127"/>
      <c r="BU113" s="64"/>
      <c r="BV113" s="127"/>
      <c r="BW113" s="127"/>
      <c r="BX113" s="127"/>
      <c r="BY113" s="127"/>
      <c r="BZ113" s="100"/>
    </row>
    <row r="114" spans="2:78" x14ac:dyDescent="0.25">
      <c r="B114" s="401" t="str">
        <f t="shared" ref="B114" si="135">B62</f>
        <v>Sept 21-28</v>
      </c>
      <c r="C114" s="120"/>
      <c r="D114" s="55" t="s">
        <v>39</v>
      </c>
      <c r="E114" s="3"/>
      <c r="F114" s="39"/>
      <c r="G114" s="272"/>
      <c r="H114" s="277"/>
      <c r="I114" s="40"/>
      <c r="J114" s="41"/>
      <c r="K114" s="42"/>
      <c r="L114" s="40"/>
      <c r="M114" s="58"/>
      <c r="N114" s="277"/>
      <c r="O114" s="40"/>
      <c r="P114" s="41"/>
      <c r="Q114" s="40"/>
      <c r="R114" s="41"/>
      <c r="S114" s="58"/>
      <c r="T114" s="40"/>
      <c r="U114" s="40"/>
      <c r="V114" s="277"/>
      <c r="W114" s="40"/>
      <c r="X114" s="41"/>
      <c r="Y114" s="42"/>
      <c r="Z114" s="40"/>
      <c r="AA114" s="58"/>
      <c r="AB114" s="215"/>
      <c r="AC114" s="300"/>
      <c r="AD114" s="193"/>
      <c r="AE114" s="195" t="e">
        <f>SUM(AC114:AC116)/SUM(AD114:AD116)</f>
        <v>#DIV/0!</v>
      </c>
      <c r="AF114" s="195" t="e">
        <f>SUM(F114:F116)/SUM(E114:E116)</f>
        <v>#DIV/0!</v>
      </c>
      <c r="AG114" s="210">
        <v>15.7</v>
      </c>
      <c r="AH114" s="196" t="e">
        <f>AE114*AF114*AG114</f>
        <v>#DIV/0!</v>
      </c>
      <c r="AI114" s="197" t="e">
        <f>AH114/AI$51</f>
        <v>#DIV/0!</v>
      </c>
      <c r="AJ114" s="301" t="e">
        <f>AI114*5</f>
        <v>#DIV/0!</v>
      </c>
      <c r="AK114" s="181" t="e">
        <f>SUM(F114:F116)/(SUM(G114:G116)/SUM(AJ114))</f>
        <v>#DIV/0!</v>
      </c>
      <c r="AL114" s="279" t="e">
        <f t="shared" ref="AL114:BE114" si="136">AL62</f>
        <v>#DIV/0!</v>
      </c>
      <c r="AM114" s="129" t="e">
        <f t="shared" si="136"/>
        <v>#DIV/0!</v>
      </c>
      <c r="AN114" s="128" t="e">
        <f t="shared" si="136"/>
        <v>#DIV/0!</v>
      </c>
      <c r="AO114" s="129" t="e">
        <f t="shared" si="136"/>
        <v>#DIV/0!</v>
      </c>
      <c r="AP114" s="128" t="e">
        <f t="shared" si="136"/>
        <v>#DIV/0!</v>
      </c>
      <c r="AQ114" s="280" t="e">
        <f t="shared" si="136"/>
        <v>#DIV/0!</v>
      </c>
      <c r="AR114" s="279" t="e">
        <f t="shared" si="136"/>
        <v>#DIV/0!</v>
      </c>
      <c r="AS114" s="129" t="e">
        <f t="shared" si="136"/>
        <v>#DIV/0!</v>
      </c>
      <c r="AT114" s="128" t="e">
        <f t="shared" si="136"/>
        <v>#DIV/0!</v>
      </c>
      <c r="AU114" s="129" t="e">
        <f t="shared" si="136"/>
        <v>#DIV/0!</v>
      </c>
      <c r="AV114" s="128" t="e">
        <f t="shared" si="136"/>
        <v>#DIV/0!</v>
      </c>
      <c r="AW114" s="280" t="e">
        <f t="shared" si="136"/>
        <v>#DIV/0!</v>
      </c>
      <c r="AX114" s="279" t="e">
        <f t="shared" si="136"/>
        <v>#DIV/0!</v>
      </c>
      <c r="AY114" s="129" t="e">
        <f t="shared" si="136"/>
        <v>#DIV/0!</v>
      </c>
      <c r="AZ114" s="279" t="e">
        <f t="shared" si="136"/>
        <v>#DIV/0!</v>
      </c>
      <c r="BA114" s="130" t="e">
        <f t="shared" si="136"/>
        <v>#DIV/0!</v>
      </c>
      <c r="BB114" s="128" t="e">
        <f t="shared" si="136"/>
        <v>#DIV/0!</v>
      </c>
      <c r="BC114" s="130" t="e">
        <f t="shared" si="136"/>
        <v>#DIV/0!</v>
      </c>
      <c r="BD114" s="128" t="e">
        <f t="shared" si="136"/>
        <v>#DIV/0!</v>
      </c>
      <c r="BE114" s="280" t="e">
        <f t="shared" si="136"/>
        <v>#DIV/0!</v>
      </c>
      <c r="BF114" s="46"/>
      <c r="BG114" s="49" t="e">
        <f t="shared" ref="BG114:BZ114" si="137">AL114*$AJ114</f>
        <v>#DIV/0!</v>
      </c>
      <c r="BH114" s="49" t="e">
        <f t="shared" si="137"/>
        <v>#DIV/0!</v>
      </c>
      <c r="BI114" s="49" t="e">
        <f t="shared" si="137"/>
        <v>#DIV/0!</v>
      </c>
      <c r="BJ114" s="49" t="e">
        <f t="shared" si="137"/>
        <v>#DIV/0!</v>
      </c>
      <c r="BK114" s="49" t="e">
        <f t="shared" si="137"/>
        <v>#DIV/0!</v>
      </c>
      <c r="BL114" s="49" t="e">
        <f t="shared" si="137"/>
        <v>#DIV/0!</v>
      </c>
      <c r="BM114" s="49" t="e">
        <f t="shared" si="137"/>
        <v>#DIV/0!</v>
      </c>
      <c r="BN114" s="49" t="e">
        <f t="shared" si="137"/>
        <v>#DIV/0!</v>
      </c>
      <c r="BO114" s="49" t="e">
        <f t="shared" si="137"/>
        <v>#DIV/0!</v>
      </c>
      <c r="BP114" s="49" t="e">
        <f t="shared" si="137"/>
        <v>#DIV/0!</v>
      </c>
      <c r="BQ114" s="49" t="e">
        <f t="shared" si="137"/>
        <v>#DIV/0!</v>
      </c>
      <c r="BR114" s="49" t="e">
        <f t="shared" si="137"/>
        <v>#DIV/0!</v>
      </c>
      <c r="BS114" s="20" t="e">
        <f t="shared" si="137"/>
        <v>#DIV/0!</v>
      </c>
      <c r="BT114" s="20" t="e">
        <f t="shared" si="137"/>
        <v>#DIV/0!</v>
      </c>
      <c r="BU114" s="49" t="e">
        <f t="shared" si="137"/>
        <v>#DIV/0!</v>
      </c>
      <c r="BV114" s="20" t="e">
        <f t="shared" si="137"/>
        <v>#DIV/0!</v>
      </c>
      <c r="BW114" s="20" t="e">
        <f t="shared" si="137"/>
        <v>#DIV/0!</v>
      </c>
      <c r="BX114" s="20" t="e">
        <f t="shared" si="137"/>
        <v>#DIV/0!</v>
      </c>
      <c r="BY114" s="20" t="e">
        <f t="shared" si="137"/>
        <v>#DIV/0!</v>
      </c>
      <c r="BZ114" s="99" t="e">
        <f t="shared" si="137"/>
        <v>#DIV/0!</v>
      </c>
    </row>
    <row r="115" spans="2:78" x14ac:dyDescent="0.25">
      <c r="B115" s="402"/>
      <c r="C115" s="50"/>
      <c r="D115" s="56" t="s">
        <v>39</v>
      </c>
      <c r="E115" s="34"/>
      <c r="F115" s="31"/>
      <c r="G115" s="273"/>
      <c r="H115" s="267"/>
      <c r="J115" s="45"/>
      <c r="K115" s="46"/>
      <c r="M115" s="52"/>
      <c r="N115" s="267"/>
      <c r="P115" s="45"/>
      <c r="R115" s="45"/>
      <c r="S115" s="52"/>
      <c r="V115" s="267"/>
      <c r="X115" s="45"/>
      <c r="Y115" s="46"/>
      <c r="AA115" s="52"/>
      <c r="AB115" s="215"/>
      <c r="AC115" s="302"/>
      <c r="AD115" s="199"/>
      <c r="AE115" s="200"/>
      <c r="AF115" s="201"/>
      <c r="AG115" s="211"/>
      <c r="AH115" s="202"/>
      <c r="AI115" s="202"/>
      <c r="AJ115" s="303"/>
      <c r="AK115" s="172"/>
      <c r="AL115" s="281"/>
      <c r="AM115" s="48"/>
      <c r="AN115" s="47"/>
      <c r="AO115" s="48"/>
      <c r="AP115" s="47"/>
      <c r="AQ115" s="282"/>
      <c r="AR115" s="281"/>
      <c r="AS115" s="48"/>
      <c r="AT115" s="47"/>
      <c r="AU115" s="48"/>
      <c r="AV115" s="47"/>
      <c r="AW115" s="282"/>
      <c r="AX115" s="281"/>
      <c r="AY115" s="48"/>
      <c r="AZ115" s="281"/>
      <c r="BA115" s="51"/>
      <c r="BB115" s="47"/>
      <c r="BC115" s="51"/>
      <c r="BD115" s="47"/>
      <c r="BE115" s="282"/>
      <c r="BF115" s="46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20"/>
      <c r="BT115" s="20"/>
      <c r="BU115" s="49"/>
      <c r="BV115" s="20"/>
      <c r="BW115" s="20"/>
      <c r="BX115" s="20"/>
      <c r="BY115" s="20"/>
      <c r="BZ115" s="99"/>
    </row>
    <row r="116" spans="2:78" x14ac:dyDescent="0.25">
      <c r="B116" s="402"/>
      <c r="C116" s="50"/>
      <c r="D116" s="56" t="s">
        <v>39</v>
      </c>
      <c r="E116" s="34"/>
      <c r="F116" s="31"/>
      <c r="G116" s="273"/>
      <c r="H116" s="267"/>
      <c r="J116" s="45"/>
      <c r="K116" s="46"/>
      <c r="M116" s="52"/>
      <c r="N116" s="267"/>
      <c r="P116" s="45"/>
      <c r="R116" s="45"/>
      <c r="S116" s="52"/>
      <c r="V116" s="267"/>
      <c r="X116" s="45"/>
      <c r="Y116" s="46"/>
      <c r="AA116" s="52"/>
      <c r="AB116" s="215"/>
      <c r="AC116" s="302"/>
      <c r="AD116" s="199"/>
      <c r="AE116" s="200"/>
      <c r="AF116" s="201"/>
      <c r="AG116" s="211"/>
      <c r="AH116" s="202"/>
      <c r="AI116" s="202"/>
      <c r="AJ116" s="303"/>
      <c r="AK116" s="172"/>
      <c r="AL116" s="281"/>
      <c r="AM116" s="48"/>
      <c r="AN116" s="47"/>
      <c r="AO116" s="48"/>
      <c r="AP116" s="47"/>
      <c r="AQ116" s="282"/>
      <c r="AR116" s="281"/>
      <c r="AS116" s="48"/>
      <c r="AT116" s="47"/>
      <c r="AU116" s="48"/>
      <c r="AV116" s="47"/>
      <c r="AW116" s="282"/>
      <c r="AX116" s="281"/>
      <c r="AY116" s="48"/>
      <c r="AZ116" s="281"/>
      <c r="BA116" s="51"/>
      <c r="BB116" s="47"/>
      <c r="BC116" s="51"/>
      <c r="BD116" s="47"/>
      <c r="BE116" s="282"/>
      <c r="BF116" s="46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20"/>
      <c r="BT116" s="20"/>
      <c r="BU116" s="49"/>
      <c r="BV116" s="20"/>
      <c r="BW116" s="20"/>
      <c r="BX116" s="20"/>
      <c r="BY116" s="20"/>
      <c r="BZ116" s="99"/>
    </row>
    <row r="117" spans="2:78" x14ac:dyDescent="0.25">
      <c r="B117" s="402"/>
      <c r="C117" s="50"/>
      <c r="D117" s="56" t="s">
        <v>40</v>
      </c>
      <c r="E117" s="34"/>
      <c r="F117" s="31"/>
      <c r="G117" s="273"/>
      <c r="H117" s="267"/>
      <c r="J117" s="45"/>
      <c r="K117" s="46"/>
      <c r="M117" s="52"/>
      <c r="N117" s="267"/>
      <c r="P117" s="45"/>
      <c r="R117" s="45"/>
      <c r="S117" s="52"/>
      <c r="V117" s="267"/>
      <c r="X117" s="45"/>
      <c r="Y117" s="46"/>
      <c r="AA117" s="52"/>
      <c r="AB117" s="215"/>
      <c r="AC117" s="302"/>
      <c r="AD117" s="199"/>
      <c r="AE117" s="200" t="e">
        <f>SUM(AC117:AC118)/SUM(AD117:AD118)</f>
        <v>#DIV/0!</v>
      </c>
      <c r="AF117" s="200" t="e">
        <f>SUM(F117:F118)/SUM(E117:E118)</f>
        <v>#DIV/0!</v>
      </c>
      <c r="AG117" s="211">
        <v>16</v>
      </c>
      <c r="AH117" s="202" t="e">
        <f>AE117*AF117*AG117</f>
        <v>#DIV/0!</v>
      </c>
      <c r="AI117" s="203" t="e">
        <f t="shared" ref="AI117" si="138">AH117/AI$51</f>
        <v>#DIV/0!</v>
      </c>
      <c r="AJ117" s="303" t="e">
        <f>AI117*2</f>
        <v>#DIV/0!</v>
      </c>
      <c r="AK117" s="181" t="e">
        <f>AJ117/AB65</f>
        <v>#DIV/0!</v>
      </c>
      <c r="AL117" s="281" t="e">
        <f t="shared" ref="AL117:BE117" si="139">AL65</f>
        <v>#DIV/0!</v>
      </c>
      <c r="AM117" s="48" t="e">
        <f t="shared" si="139"/>
        <v>#DIV/0!</v>
      </c>
      <c r="AN117" s="47" t="e">
        <f t="shared" si="139"/>
        <v>#DIV/0!</v>
      </c>
      <c r="AO117" s="48" t="e">
        <f t="shared" si="139"/>
        <v>#DIV/0!</v>
      </c>
      <c r="AP117" s="47" t="e">
        <f t="shared" si="139"/>
        <v>#DIV/0!</v>
      </c>
      <c r="AQ117" s="282" t="e">
        <f t="shared" si="139"/>
        <v>#DIV/0!</v>
      </c>
      <c r="AR117" s="281" t="e">
        <f t="shared" si="139"/>
        <v>#DIV/0!</v>
      </c>
      <c r="AS117" s="48" t="e">
        <f t="shared" si="139"/>
        <v>#DIV/0!</v>
      </c>
      <c r="AT117" s="47" t="e">
        <f t="shared" si="139"/>
        <v>#DIV/0!</v>
      </c>
      <c r="AU117" s="48" t="e">
        <f t="shared" si="139"/>
        <v>#DIV/0!</v>
      </c>
      <c r="AV117" s="47" t="e">
        <f t="shared" si="139"/>
        <v>#DIV/0!</v>
      </c>
      <c r="AW117" s="282" t="e">
        <f t="shared" si="139"/>
        <v>#DIV/0!</v>
      </c>
      <c r="AX117" s="281" t="e">
        <f t="shared" si="139"/>
        <v>#DIV/0!</v>
      </c>
      <c r="AY117" s="48" t="e">
        <f t="shared" si="139"/>
        <v>#DIV/0!</v>
      </c>
      <c r="AZ117" s="281" t="e">
        <f t="shared" si="139"/>
        <v>#DIV/0!</v>
      </c>
      <c r="BA117" s="51" t="e">
        <f t="shared" si="139"/>
        <v>#DIV/0!</v>
      </c>
      <c r="BB117" s="47" t="e">
        <f t="shared" si="139"/>
        <v>#DIV/0!</v>
      </c>
      <c r="BC117" s="51" t="e">
        <f t="shared" si="139"/>
        <v>#DIV/0!</v>
      </c>
      <c r="BD117" s="47" t="e">
        <f t="shared" si="139"/>
        <v>#DIV/0!</v>
      </c>
      <c r="BE117" s="282" t="e">
        <f t="shared" si="139"/>
        <v>#DIV/0!</v>
      </c>
      <c r="BF117" s="46"/>
      <c r="BG117" s="49" t="e">
        <f t="shared" ref="BG117:BZ117" si="140">AL117*$AJ117</f>
        <v>#DIV/0!</v>
      </c>
      <c r="BH117" s="49" t="e">
        <f t="shared" si="140"/>
        <v>#DIV/0!</v>
      </c>
      <c r="BI117" s="49" t="e">
        <f t="shared" si="140"/>
        <v>#DIV/0!</v>
      </c>
      <c r="BJ117" s="49" t="e">
        <f t="shared" si="140"/>
        <v>#DIV/0!</v>
      </c>
      <c r="BK117" s="49" t="e">
        <f t="shared" si="140"/>
        <v>#DIV/0!</v>
      </c>
      <c r="BL117" s="49" t="e">
        <f t="shared" si="140"/>
        <v>#DIV/0!</v>
      </c>
      <c r="BM117" s="49" t="e">
        <f t="shared" si="140"/>
        <v>#DIV/0!</v>
      </c>
      <c r="BN117" s="49" t="e">
        <f t="shared" si="140"/>
        <v>#DIV/0!</v>
      </c>
      <c r="BO117" s="49" t="e">
        <f t="shared" si="140"/>
        <v>#DIV/0!</v>
      </c>
      <c r="BP117" s="49" t="e">
        <f t="shared" si="140"/>
        <v>#DIV/0!</v>
      </c>
      <c r="BQ117" s="49" t="e">
        <f t="shared" si="140"/>
        <v>#DIV/0!</v>
      </c>
      <c r="BR117" s="49" t="e">
        <f t="shared" si="140"/>
        <v>#DIV/0!</v>
      </c>
      <c r="BS117" s="20" t="e">
        <f t="shared" si="140"/>
        <v>#DIV/0!</v>
      </c>
      <c r="BT117" s="20" t="e">
        <f t="shared" si="140"/>
        <v>#DIV/0!</v>
      </c>
      <c r="BU117" s="49" t="e">
        <f t="shared" si="140"/>
        <v>#DIV/0!</v>
      </c>
      <c r="BV117" s="20" t="e">
        <f t="shared" si="140"/>
        <v>#DIV/0!</v>
      </c>
      <c r="BW117" s="20" t="e">
        <f t="shared" si="140"/>
        <v>#DIV/0!</v>
      </c>
      <c r="BX117" s="20" t="e">
        <f t="shared" si="140"/>
        <v>#DIV/0!</v>
      </c>
      <c r="BY117" s="20" t="e">
        <f t="shared" si="140"/>
        <v>#DIV/0!</v>
      </c>
      <c r="BZ117" s="99" t="e">
        <f t="shared" si="140"/>
        <v>#DIV/0!</v>
      </c>
    </row>
    <row r="118" spans="2:78" ht="16.5" thickBot="1" x14ac:dyDescent="0.3">
      <c r="B118" s="403"/>
      <c r="C118" s="139"/>
      <c r="D118" s="121" t="s">
        <v>40</v>
      </c>
      <c r="E118" s="4"/>
      <c r="F118" s="122"/>
      <c r="G118" s="274"/>
      <c r="H118" s="278"/>
      <c r="I118" s="124"/>
      <c r="J118" s="125"/>
      <c r="K118" s="126"/>
      <c r="L118" s="124"/>
      <c r="M118" s="140"/>
      <c r="N118" s="278"/>
      <c r="O118" s="124"/>
      <c r="P118" s="125"/>
      <c r="Q118" s="124"/>
      <c r="R118" s="125"/>
      <c r="S118" s="140"/>
      <c r="T118" s="124"/>
      <c r="U118" s="124"/>
      <c r="V118" s="278"/>
      <c r="W118" s="124"/>
      <c r="X118" s="125"/>
      <c r="Y118" s="126"/>
      <c r="Z118" s="124"/>
      <c r="AA118" s="140"/>
      <c r="AB118" s="215"/>
      <c r="AC118" s="304"/>
      <c r="AD118" s="205"/>
      <c r="AE118" s="206"/>
      <c r="AF118" s="207"/>
      <c r="AG118" s="212"/>
      <c r="AH118" s="208"/>
      <c r="AI118" s="208"/>
      <c r="AJ118" s="305"/>
      <c r="AK118" s="173"/>
      <c r="AL118" s="283"/>
      <c r="AM118" s="132"/>
      <c r="AN118" s="131"/>
      <c r="AO118" s="132"/>
      <c r="AP118" s="131"/>
      <c r="AQ118" s="284"/>
      <c r="AR118" s="283"/>
      <c r="AS118" s="132"/>
      <c r="AT118" s="131"/>
      <c r="AU118" s="132"/>
      <c r="AV118" s="131"/>
      <c r="AW118" s="284"/>
      <c r="AX118" s="283"/>
      <c r="AY118" s="132"/>
      <c r="AZ118" s="283"/>
      <c r="BA118" s="133"/>
      <c r="BB118" s="131"/>
      <c r="BC118" s="133"/>
      <c r="BD118" s="131"/>
      <c r="BE118" s="284"/>
      <c r="BF118" s="46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127"/>
      <c r="BT118" s="127"/>
      <c r="BU118" s="64"/>
      <c r="BV118" s="127"/>
      <c r="BW118" s="127"/>
      <c r="BX118" s="127"/>
      <c r="BY118" s="127"/>
      <c r="BZ118" s="100"/>
    </row>
    <row r="119" spans="2:78" ht="15.75" customHeight="1" x14ac:dyDescent="0.25">
      <c r="B119" s="401" t="str">
        <f t="shared" ref="B119" si="141">B67</f>
        <v>Sept 29-Oct 5</v>
      </c>
      <c r="C119" s="120"/>
      <c r="D119" s="55" t="s">
        <v>39</v>
      </c>
      <c r="E119" s="3"/>
      <c r="F119" s="39"/>
      <c r="G119" s="272"/>
      <c r="H119" s="277"/>
      <c r="I119" s="40"/>
      <c r="J119" s="41"/>
      <c r="K119" s="42"/>
      <c r="L119" s="40"/>
      <c r="M119" s="58"/>
      <c r="N119" s="277"/>
      <c r="O119" s="40"/>
      <c r="P119" s="41"/>
      <c r="Q119" s="40"/>
      <c r="R119" s="41"/>
      <c r="S119" s="58"/>
      <c r="T119" s="40"/>
      <c r="U119" s="40"/>
      <c r="V119" s="277"/>
      <c r="W119" s="40"/>
      <c r="X119" s="41"/>
      <c r="Y119" s="42"/>
      <c r="Z119" s="40"/>
      <c r="AA119" s="58"/>
      <c r="AB119" s="215"/>
      <c r="AC119" s="302"/>
      <c r="AD119" s="199"/>
      <c r="AE119" s="195" t="e">
        <f>SUM(AC119:AC121)/SUM(AD119:AD121)</f>
        <v>#DIV/0!</v>
      </c>
      <c r="AF119" s="195" t="e">
        <f>SUM(F119:F121)/SUM(E119:E121)</f>
        <v>#DIV/0!</v>
      </c>
      <c r="AG119" s="210">
        <v>16</v>
      </c>
      <c r="AH119" s="196" t="e">
        <f>AE119*AF119*AG119</f>
        <v>#DIV/0!</v>
      </c>
      <c r="AI119" s="197" t="e">
        <f>AH119/AI$51</f>
        <v>#DIV/0!</v>
      </c>
      <c r="AJ119" s="301" t="e">
        <f>AI119*5</f>
        <v>#DIV/0!</v>
      </c>
      <c r="AK119" s="181" t="e">
        <f>SUM(F119:F121)/(SUM(G119:G121)/SUM(AJ119))</f>
        <v>#DIV/0!</v>
      </c>
      <c r="AL119" s="279" t="e">
        <f t="shared" ref="AL119:BE119" si="142">AL67</f>
        <v>#DIV/0!</v>
      </c>
      <c r="AM119" s="129" t="e">
        <f t="shared" si="142"/>
        <v>#DIV/0!</v>
      </c>
      <c r="AN119" s="128" t="e">
        <f t="shared" si="142"/>
        <v>#DIV/0!</v>
      </c>
      <c r="AO119" s="129" t="e">
        <f t="shared" si="142"/>
        <v>#DIV/0!</v>
      </c>
      <c r="AP119" s="128" t="e">
        <f t="shared" si="142"/>
        <v>#DIV/0!</v>
      </c>
      <c r="AQ119" s="280" t="e">
        <f t="shared" si="142"/>
        <v>#DIV/0!</v>
      </c>
      <c r="AR119" s="279" t="e">
        <f t="shared" si="142"/>
        <v>#DIV/0!</v>
      </c>
      <c r="AS119" s="129" t="e">
        <f t="shared" si="142"/>
        <v>#DIV/0!</v>
      </c>
      <c r="AT119" s="128" t="e">
        <f t="shared" si="142"/>
        <v>#DIV/0!</v>
      </c>
      <c r="AU119" s="129" t="e">
        <f t="shared" si="142"/>
        <v>#DIV/0!</v>
      </c>
      <c r="AV119" s="128" t="e">
        <f t="shared" si="142"/>
        <v>#DIV/0!</v>
      </c>
      <c r="AW119" s="280" t="e">
        <f t="shared" si="142"/>
        <v>#DIV/0!</v>
      </c>
      <c r="AX119" s="279" t="e">
        <f t="shared" si="142"/>
        <v>#DIV/0!</v>
      </c>
      <c r="AY119" s="129" t="e">
        <f t="shared" si="142"/>
        <v>#DIV/0!</v>
      </c>
      <c r="AZ119" s="279" t="e">
        <f t="shared" si="142"/>
        <v>#DIV/0!</v>
      </c>
      <c r="BA119" s="130" t="e">
        <f t="shared" si="142"/>
        <v>#DIV/0!</v>
      </c>
      <c r="BB119" s="128" t="e">
        <f t="shared" si="142"/>
        <v>#DIV/0!</v>
      </c>
      <c r="BC119" s="130" t="e">
        <f t="shared" si="142"/>
        <v>#DIV/0!</v>
      </c>
      <c r="BD119" s="128" t="e">
        <f t="shared" si="142"/>
        <v>#DIV/0!</v>
      </c>
      <c r="BE119" s="280" t="e">
        <f t="shared" si="142"/>
        <v>#DIV/0!</v>
      </c>
      <c r="BF119" s="46"/>
      <c r="BG119" s="49" t="e">
        <f t="shared" ref="BG119:BZ119" si="143">AL119*$AJ119</f>
        <v>#DIV/0!</v>
      </c>
      <c r="BH119" s="49" t="e">
        <f t="shared" si="143"/>
        <v>#DIV/0!</v>
      </c>
      <c r="BI119" s="49" t="e">
        <f t="shared" si="143"/>
        <v>#DIV/0!</v>
      </c>
      <c r="BJ119" s="49" t="e">
        <f t="shared" si="143"/>
        <v>#DIV/0!</v>
      </c>
      <c r="BK119" s="49" t="e">
        <f t="shared" si="143"/>
        <v>#DIV/0!</v>
      </c>
      <c r="BL119" s="49" t="e">
        <f t="shared" si="143"/>
        <v>#DIV/0!</v>
      </c>
      <c r="BM119" s="49" t="e">
        <f t="shared" si="143"/>
        <v>#DIV/0!</v>
      </c>
      <c r="BN119" s="49" t="e">
        <f t="shared" si="143"/>
        <v>#DIV/0!</v>
      </c>
      <c r="BO119" s="49" t="e">
        <f t="shared" si="143"/>
        <v>#DIV/0!</v>
      </c>
      <c r="BP119" s="49" t="e">
        <f t="shared" si="143"/>
        <v>#DIV/0!</v>
      </c>
      <c r="BQ119" s="49" t="e">
        <f t="shared" si="143"/>
        <v>#DIV/0!</v>
      </c>
      <c r="BR119" s="49" t="e">
        <f t="shared" si="143"/>
        <v>#DIV/0!</v>
      </c>
      <c r="BS119" s="20" t="e">
        <f t="shared" si="143"/>
        <v>#DIV/0!</v>
      </c>
      <c r="BT119" s="20" t="e">
        <f t="shared" si="143"/>
        <v>#DIV/0!</v>
      </c>
      <c r="BU119" s="49" t="e">
        <f t="shared" si="143"/>
        <v>#DIV/0!</v>
      </c>
      <c r="BV119" s="20" t="e">
        <f t="shared" si="143"/>
        <v>#DIV/0!</v>
      </c>
      <c r="BW119" s="20" t="e">
        <f t="shared" si="143"/>
        <v>#DIV/0!</v>
      </c>
      <c r="BX119" s="20" t="e">
        <f t="shared" si="143"/>
        <v>#DIV/0!</v>
      </c>
      <c r="BY119" s="20" t="e">
        <f t="shared" si="143"/>
        <v>#DIV/0!</v>
      </c>
      <c r="BZ119" s="99" t="e">
        <f t="shared" si="143"/>
        <v>#DIV/0!</v>
      </c>
    </row>
    <row r="120" spans="2:78" x14ac:dyDescent="0.25">
      <c r="B120" s="402"/>
      <c r="C120" s="50"/>
      <c r="D120" s="56" t="s">
        <v>39</v>
      </c>
      <c r="E120" s="34"/>
      <c r="F120" s="31"/>
      <c r="G120" s="273"/>
      <c r="H120" s="267"/>
      <c r="J120" s="45"/>
      <c r="K120" s="46"/>
      <c r="M120" s="52"/>
      <c r="N120" s="267"/>
      <c r="P120" s="45"/>
      <c r="R120" s="45"/>
      <c r="S120" s="52"/>
      <c r="V120" s="267"/>
      <c r="X120" s="45"/>
      <c r="Y120" s="46"/>
      <c r="AA120" s="52"/>
      <c r="AB120" s="215"/>
      <c r="AC120" s="302"/>
      <c r="AD120" s="199"/>
      <c r="AE120" s="200"/>
      <c r="AF120" s="201"/>
      <c r="AG120" s="211"/>
      <c r="AH120" s="202"/>
      <c r="AI120" s="202"/>
      <c r="AJ120" s="303"/>
      <c r="AK120" s="172"/>
      <c r="AL120" s="281"/>
      <c r="AM120" s="48"/>
      <c r="AN120" s="47"/>
      <c r="AO120" s="48"/>
      <c r="AP120" s="47"/>
      <c r="AQ120" s="282"/>
      <c r="AR120" s="281"/>
      <c r="AS120" s="48"/>
      <c r="AT120" s="47"/>
      <c r="AU120" s="48"/>
      <c r="AV120" s="47"/>
      <c r="AW120" s="282"/>
      <c r="AX120" s="281"/>
      <c r="AY120" s="48"/>
      <c r="AZ120" s="281"/>
      <c r="BA120" s="51"/>
      <c r="BB120" s="47"/>
      <c r="BC120" s="51"/>
      <c r="BD120" s="47"/>
      <c r="BE120" s="282"/>
      <c r="BF120" s="46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20"/>
      <c r="BT120" s="20"/>
      <c r="BU120" s="49"/>
      <c r="BV120" s="20"/>
      <c r="BW120" s="20"/>
      <c r="BX120" s="20"/>
      <c r="BY120" s="20"/>
      <c r="BZ120" s="99"/>
    </row>
    <row r="121" spans="2:78" x14ac:dyDescent="0.25">
      <c r="B121" s="402"/>
      <c r="C121" s="50"/>
      <c r="D121" s="56" t="s">
        <v>39</v>
      </c>
      <c r="E121" s="34"/>
      <c r="F121" s="31"/>
      <c r="G121" s="273"/>
      <c r="H121" s="267"/>
      <c r="J121" s="45"/>
      <c r="K121" s="46"/>
      <c r="M121" s="52"/>
      <c r="N121" s="267"/>
      <c r="P121" s="45"/>
      <c r="R121" s="45"/>
      <c r="S121" s="52"/>
      <c r="V121" s="267"/>
      <c r="X121" s="45"/>
      <c r="Y121" s="46"/>
      <c r="AA121" s="52"/>
      <c r="AB121" s="215"/>
      <c r="AC121" s="302"/>
      <c r="AD121" s="199"/>
      <c r="AE121" s="200"/>
      <c r="AF121" s="201"/>
      <c r="AG121" s="211"/>
      <c r="AH121" s="202"/>
      <c r="AI121" s="202"/>
      <c r="AJ121" s="303"/>
      <c r="AK121" s="172"/>
      <c r="AL121" s="281"/>
      <c r="AM121" s="48"/>
      <c r="AN121" s="47"/>
      <c r="AO121" s="48"/>
      <c r="AP121" s="47"/>
      <c r="AQ121" s="282"/>
      <c r="AR121" s="281"/>
      <c r="AS121" s="48"/>
      <c r="AT121" s="47"/>
      <c r="AU121" s="48"/>
      <c r="AV121" s="47"/>
      <c r="AW121" s="282"/>
      <c r="AX121" s="281"/>
      <c r="AY121" s="48"/>
      <c r="AZ121" s="281"/>
      <c r="BA121" s="51"/>
      <c r="BB121" s="47"/>
      <c r="BC121" s="51"/>
      <c r="BD121" s="47"/>
      <c r="BE121" s="282"/>
      <c r="BF121" s="46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20"/>
      <c r="BT121" s="20"/>
      <c r="BU121" s="49"/>
      <c r="BV121" s="20"/>
      <c r="BW121" s="20"/>
      <c r="BX121" s="20"/>
      <c r="BY121" s="20"/>
      <c r="BZ121" s="99"/>
    </row>
    <row r="122" spans="2:78" x14ac:dyDescent="0.25">
      <c r="B122" s="402"/>
      <c r="C122" s="50"/>
      <c r="D122" s="56" t="s">
        <v>40</v>
      </c>
      <c r="E122" s="34"/>
      <c r="F122" s="31"/>
      <c r="G122" s="273"/>
      <c r="H122" s="267"/>
      <c r="J122" s="45"/>
      <c r="K122" s="46"/>
      <c r="M122" s="52"/>
      <c r="N122" s="267"/>
      <c r="P122" s="45"/>
      <c r="R122" s="45"/>
      <c r="S122" s="52"/>
      <c r="V122" s="267"/>
      <c r="X122" s="45"/>
      <c r="Y122" s="46"/>
      <c r="AA122" s="52"/>
      <c r="AB122" s="215"/>
      <c r="AC122" s="302"/>
      <c r="AD122" s="199"/>
      <c r="AE122" s="200" t="e">
        <f>SUM(AC122:AC123)/SUM(AD122:AD123)</f>
        <v>#DIV/0!</v>
      </c>
      <c r="AF122" s="200" t="e">
        <f>SUM(F122:F123)/SUM(E122:E123)</f>
        <v>#DIV/0!</v>
      </c>
      <c r="AG122" s="211">
        <v>16</v>
      </c>
      <c r="AH122" s="202" t="e">
        <f>AE122*AF122*AG122</f>
        <v>#DIV/0!</v>
      </c>
      <c r="AI122" s="203" t="e">
        <f t="shared" ref="AI122" si="144">AH122/AI$51</f>
        <v>#DIV/0!</v>
      </c>
      <c r="AJ122" s="303" t="e">
        <f>AI122*2</f>
        <v>#DIV/0!</v>
      </c>
      <c r="AK122" s="181" t="e">
        <f>AJ122/AB70</f>
        <v>#DIV/0!</v>
      </c>
      <c r="AL122" s="281" t="e">
        <f t="shared" ref="AL122:BE122" si="145">AL70</f>
        <v>#DIV/0!</v>
      </c>
      <c r="AM122" s="48" t="e">
        <f t="shared" si="145"/>
        <v>#DIV/0!</v>
      </c>
      <c r="AN122" s="47" t="e">
        <f t="shared" si="145"/>
        <v>#DIV/0!</v>
      </c>
      <c r="AO122" s="48" t="e">
        <f t="shared" si="145"/>
        <v>#DIV/0!</v>
      </c>
      <c r="AP122" s="47" t="e">
        <f t="shared" si="145"/>
        <v>#DIV/0!</v>
      </c>
      <c r="AQ122" s="282" t="e">
        <f t="shared" si="145"/>
        <v>#DIV/0!</v>
      </c>
      <c r="AR122" s="281" t="e">
        <f t="shared" si="145"/>
        <v>#DIV/0!</v>
      </c>
      <c r="AS122" s="48" t="e">
        <f t="shared" si="145"/>
        <v>#DIV/0!</v>
      </c>
      <c r="AT122" s="47" t="e">
        <f t="shared" si="145"/>
        <v>#DIV/0!</v>
      </c>
      <c r="AU122" s="48" t="e">
        <f t="shared" si="145"/>
        <v>#DIV/0!</v>
      </c>
      <c r="AV122" s="47" t="e">
        <f t="shared" si="145"/>
        <v>#DIV/0!</v>
      </c>
      <c r="AW122" s="282" t="e">
        <f t="shared" si="145"/>
        <v>#DIV/0!</v>
      </c>
      <c r="AX122" s="281" t="e">
        <f t="shared" si="145"/>
        <v>#DIV/0!</v>
      </c>
      <c r="AY122" s="48" t="e">
        <f t="shared" si="145"/>
        <v>#DIV/0!</v>
      </c>
      <c r="AZ122" s="281" t="e">
        <f t="shared" si="145"/>
        <v>#DIV/0!</v>
      </c>
      <c r="BA122" s="51" t="e">
        <f t="shared" si="145"/>
        <v>#DIV/0!</v>
      </c>
      <c r="BB122" s="47" t="e">
        <f t="shared" si="145"/>
        <v>#DIV/0!</v>
      </c>
      <c r="BC122" s="51" t="e">
        <f t="shared" si="145"/>
        <v>#DIV/0!</v>
      </c>
      <c r="BD122" s="47" t="e">
        <f t="shared" si="145"/>
        <v>#DIV/0!</v>
      </c>
      <c r="BE122" s="282" t="e">
        <f t="shared" si="145"/>
        <v>#DIV/0!</v>
      </c>
      <c r="BF122" s="46"/>
      <c r="BG122" s="49" t="e">
        <f t="shared" ref="BG122:BZ122" si="146">AL122*$AJ122</f>
        <v>#DIV/0!</v>
      </c>
      <c r="BH122" s="49" t="e">
        <f t="shared" si="146"/>
        <v>#DIV/0!</v>
      </c>
      <c r="BI122" s="49" t="e">
        <f t="shared" si="146"/>
        <v>#DIV/0!</v>
      </c>
      <c r="BJ122" s="49" t="e">
        <f t="shared" si="146"/>
        <v>#DIV/0!</v>
      </c>
      <c r="BK122" s="49" t="e">
        <f t="shared" si="146"/>
        <v>#DIV/0!</v>
      </c>
      <c r="BL122" s="49" t="e">
        <f t="shared" si="146"/>
        <v>#DIV/0!</v>
      </c>
      <c r="BM122" s="49" t="e">
        <f t="shared" si="146"/>
        <v>#DIV/0!</v>
      </c>
      <c r="BN122" s="49" t="e">
        <f t="shared" si="146"/>
        <v>#DIV/0!</v>
      </c>
      <c r="BO122" s="49" t="e">
        <f t="shared" si="146"/>
        <v>#DIV/0!</v>
      </c>
      <c r="BP122" s="49" t="e">
        <f t="shared" si="146"/>
        <v>#DIV/0!</v>
      </c>
      <c r="BQ122" s="49" t="e">
        <f t="shared" si="146"/>
        <v>#DIV/0!</v>
      </c>
      <c r="BR122" s="49" t="e">
        <f t="shared" si="146"/>
        <v>#DIV/0!</v>
      </c>
      <c r="BS122" s="20" t="e">
        <f t="shared" si="146"/>
        <v>#DIV/0!</v>
      </c>
      <c r="BT122" s="20" t="e">
        <f t="shared" si="146"/>
        <v>#DIV/0!</v>
      </c>
      <c r="BU122" s="49" t="e">
        <f t="shared" si="146"/>
        <v>#DIV/0!</v>
      </c>
      <c r="BV122" s="20" t="e">
        <f t="shared" si="146"/>
        <v>#DIV/0!</v>
      </c>
      <c r="BW122" s="20" t="e">
        <f t="shared" si="146"/>
        <v>#DIV/0!</v>
      </c>
      <c r="BX122" s="20" t="e">
        <f t="shared" si="146"/>
        <v>#DIV/0!</v>
      </c>
      <c r="BY122" s="20" t="e">
        <f t="shared" si="146"/>
        <v>#DIV/0!</v>
      </c>
      <c r="BZ122" s="99" t="e">
        <f t="shared" si="146"/>
        <v>#DIV/0!</v>
      </c>
    </row>
    <row r="123" spans="2:78" ht="16.5" thickBot="1" x14ac:dyDescent="0.3">
      <c r="B123" s="403"/>
      <c r="C123" s="139"/>
      <c r="D123" s="121" t="s">
        <v>40</v>
      </c>
      <c r="E123" s="4"/>
      <c r="F123" s="122"/>
      <c r="G123" s="274"/>
      <c r="H123" s="278"/>
      <c r="I123" s="124"/>
      <c r="J123" s="125"/>
      <c r="K123" s="126"/>
      <c r="L123" s="124"/>
      <c r="M123" s="140"/>
      <c r="N123" s="278"/>
      <c r="O123" s="124"/>
      <c r="P123" s="125"/>
      <c r="Q123" s="124"/>
      <c r="R123" s="125"/>
      <c r="S123" s="140"/>
      <c r="T123" s="124"/>
      <c r="U123" s="124"/>
      <c r="V123" s="278"/>
      <c r="W123" s="124"/>
      <c r="X123" s="125"/>
      <c r="Y123" s="126"/>
      <c r="Z123" s="124"/>
      <c r="AA123" s="140"/>
      <c r="AB123" s="215"/>
      <c r="AC123" s="304"/>
      <c r="AD123" s="205"/>
      <c r="AE123" s="206"/>
      <c r="AF123" s="207"/>
      <c r="AG123" s="212"/>
      <c r="AH123" s="208"/>
      <c r="AI123" s="208"/>
      <c r="AJ123" s="305"/>
      <c r="AK123" s="173"/>
      <c r="AL123" s="283"/>
      <c r="AM123" s="132"/>
      <c r="AN123" s="131"/>
      <c r="AO123" s="132"/>
      <c r="AP123" s="131"/>
      <c r="AQ123" s="284"/>
      <c r="AR123" s="283"/>
      <c r="AS123" s="132"/>
      <c r="AT123" s="131"/>
      <c r="AU123" s="132"/>
      <c r="AV123" s="131"/>
      <c r="AW123" s="284"/>
      <c r="AX123" s="283"/>
      <c r="AY123" s="132"/>
      <c r="AZ123" s="283"/>
      <c r="BA123" s="133"/>
      <c r="BB123" s="131"/>
      <c r="BC123" s="133"/>
      <c r="BD123" s="131"/>
      <c r="BE123" s="284"/>
      <c r="BF123" s="46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127"/>
      <c r="BT123" s="127"/>
      <c r="BU123" s="64"/>
      <c r="BV123" s="127"/>
      <c r="BW123" s="127"/>
      <c r="BX123" s="127"/>
      <c r="BY123" s="127"/>
      <c r="BZ123" s="100"/>
    </row>
    <row r="124" spans="2:78" x14ac:dyDescent="0.25">
      <c r="B124" s="401" t="str">
        <f t="shared" ref="B124" si="147">B72</f>
        <v>Oct 6-Oct 12</v>
      </c>
      <c r="C124" s="120"/>
      <c r="D124" s="55" t="s">
        <v>39</v>
      </c>
      <c r="E124" s="3"/>
      <c r="F124" s="39"/>
      <c r="G124" s="272"/>
      <c r="H124" s="277"/>
      <c r="I124" s="40"/>
      <c r="J124" s="41"/>
      <c r="K124" s="42"/>
      <c r="L124" s="40"/>
      <c r="M124" s="58"/>
      <c r="N124" s="277"/>
      <c r="O124" s="40"/>
      <c r="P124" s="41"/>
      <c r="Q124" s="40"/>
      <c r="R124" s="41"/>
      <c r="S124" s="58"/>
      <c r="T124" s="40"/>
      <c r="U124" s="40"/>
      <c r="V124" s="277"/>
      <c r="W124" s="40"/>
      <c r="X124" s="41"/>
      <c r="Y124" s="42"/>
      <c r="Z124" s="40"/>
      <c r="AA124" s="58"/>
      <c r="AB124" s="215"/>
      <c r="AC124" s="302"/>
      <c r="AD124" s="193"/>
      <c r="AE124" s="195" t="e">
        <f>SUM(AC124:AC126)/SUM(AD124:AD126)</f>
        <v>#DIV/0!</v>
      </c>
      <c r="AF124" s="195" t="e">
        <f>SUM(F124:F126)/SUM(E124:E126)</f>
        <v>#DIV/0!</v>
      </c>
      <c r="AG124" s="210">
        <v>16</v>
      </c>
      <c r="AH124" s="196" t="e">
        <f>AE124*AF124*AG124</f>
        <v>#DIV/0!</v>
      </c>
      <c r="AI124" s="197" t="e">
        <f>AH124/AI$51</f>
        <v>#DIV/0!</v>
      </c>
      <c r="AJ124" s="301" t="e">
        <f>AI124*5</f>
        <v>#DIV/0!</v>
      </c>
      <c r="AK124" s="181" t="e">
        <f>AJ124/AB72</f>
        <v>#DIV/0!</v>
      </c>
      <c r="AL124" s="279" t="e">
        <f t="shared" ref="AL124:BE124" si="148">AL72</f>
        <v>#DIV/0!</v>
      </c>
      <c r="AM124" s="129" t="e">
        <f t="shared" si="148"/>
        <v>#DIV/0!</v>
      </c>
      <c r="AN124" s="128" t="e">
        <f t="shared" si="148"/>
        <v>#DIV/0!</v>
      </c>
      <c r="AO124" s="129" t="e">
        <f t="shared" si="148"/>
        <v>#DIV/0!</v>
      </c>
      <c r="AP124" s="128" t="e">
        <f t="shared" si="148"/>
        <v>#DIV/0!</v>
      </c>
      <c r="AQ124" s="280" t="e">
        <f t="shared" si="148"/>
        <v>#DIV/0!</v>
      </c>
      <c r="AR124" s="279" t="e">
        <f t="shared" si="148"/>
        <v>#DIV/0!</v>
      </c>
      <c r="AS124" s="129" t="e">
        <f t="shared" si="148"/>
        <v>#DIV/0!</v>
      </c>
      <c r="AT124" s="128" t="e">
        <f t="shared" si="148"/>
        <v>#DIV/0!</v>
      </c>
      <c r="AU124" s="129" t="e">
        <f t="shared" si="148"/>
        <v>#DIV/0!</v>
      </c>
      <c r="AV124" s="128" t="e">
        <f t="shared" si="148"/>
        <v>#DIV/0!</v>
      </c>
      <c r="AW124" s="280" t="e">
        <f t="shared" si="148"/>
        <v>#DIV/0!</v>
      </c>
      <c r="AX124" s="279" t="e">
        <f t="shared" si="148"/>
        <v>#DIV/0!</v>
      </c>
      <c r="AY124" s="129" t="e">
        <f t="shared" si="148"/>
        <v>#DIV/0!</v>
      </c>
      <c r="AZ124" s="279" t="e">
        <f t="shared" si="148"/>
        <v>#DIV/0!</v>
      </c>
      <c r="BA124" s="130" t="e">
        <f t="shared" si="148"/>
        <v>#DIV/0!</v>
      </c>
      <c r="BB124" s="128" t="e">
        <f t="shared" si="148"/>
        <v>#DIV/0!</v>
      </c>
      <c r="BC124" s="130" t="e">
        <f t="shared" si="148"/>
        <v>#DIV/0!</v>
      </c>
      <c r="BD124" s="128" t="e">
        <f t="shared" si="148"/>
        <v>#DIV/0!</v>
      </c>
      <c r="BE124" s="280" t="e">
        <f t="shared" si="148"/>
        <v>#DIV/0!</v>
      </c>
      <c r="BF124" s="46"/>
      <c r="BG124" s="49" t="e">
        <f t="shared" ref="BG124:BZ124" si="149">AL124*$AJ124</f>
        <v>#DIV/0!</v>
      </c>
      <c r="BH124" s="49" t="e">
        <f t="shared" si="149"/>
        <v>#DIV/0!</v>
      </c>
      <c r="BI124" s="49" t="e">
        <f t="shared" si="149"/>
        <v>#DIV/0!</v>
      </c>
      <c r="BJ124" s="49" t="e">
        <f t="shared" si="149"/>
        <v>#DIV/0!</v>
      </c>
      <c r="BK124" s="49" t="e">
        <f t="shared" si="149"/>
        <v>#DIV/0!</v>
      </c>
      <c r="BL124" s="49" t="e">
        <f t="shared" si="149"/>
        <v>#DIV/0!</v>
      </c>
      <c r="BM124" s="49" t="e">
        <f t="shared" si="149"/>
        <v>#DIV/0!</v>
      </c>
      <c r="BN124" s="49" t="e">
        <f t="shared" si="149"/>
        <v>#DIV/0!</v>
      </c>
      <c r="BO124" s="49" t="e">
        <f t="shared" si="149"/>
        <v>#DIV/0!</v>
      </c>
      <c r="BP124" s="49" t="e">
        <f t="shared" si="149"/>
        <v>#DIV/0!</v>
      </c>
      <c r="BQ124" s="49" t="e">
        <f t="shared" si="149"/>
        <v>#DIV/0!</v>
      </c>
      <c r="BR124" s="49" t="e">
        <f t="shared" si="149"/>
        <v>#DIV/0!</v>
      </c>
      <c r="BS124" s="20" t="e">
        <f t="shared" si="149"/>
        <v>#DIV/0!</v>
      </c>
      <c r="BT124" s="20" t="e">
        <f t="shared" si="149"/>
        <v>#DIV/0!</v>
      </c>
      <c r="BU124" s="49" t="e">
        <f t="shared" si="149"/>
        <v>#DIV/0!</v>
      </c>
      <c r="BV124" s="20" t="e">
        <f t="shared" si="149"/>
        <v>#DIV/0!</v>
      </c>
      <c r="BW124" s="20" t="e">
        <f t="shared" si="149"/>
        <v>#DIV/0!</v>
      </c>
      <c r="BX124" s="20" t="e">
        <f t="shared" si="149"/>
        <v>#DIV/0!</v>
      </c>
      <c r="BY124" s="20" t="e">
        <f t="shared" si="149"/>
        <v>#DIV/0!</v>
      </c>
      <c r="BZ124" s="99" t="e">
        <f t="shared" si="149"/>
        <v>#DIV/0!</v>
      </c>
    </row>
    <row r="125" spans="2:78" x14ac:dyDescent="0.25">
      <c r="B125" s="402"/>
      <c r="C125" s="50"/>
      <c r="D125" s="56" t="s">
        <v>39</v>
      </c>
      <c r="E125" s="34"/>
      <c r="F125" s="31"/>
      <c r="G125" s="273"/>
      <c r="H125" s="267"/>
      <c r="J125" s="45"/>
      <c r="K125" s="46"/>
      <c r="M125" s="52"/>
      <c r="N125" s="267"/>
      <c r="P125" s="45"/>
      <c r="R125" s="45"/>
      <c r="S125" s="52"/>
      <c r="V125" s="267"/>
      <c r="X125" s="45"/>
      <c r="Y125" s="46"/>
      <c r="AA125" s="52"/>
      <c r="AB125" s="215"/>
      <c r="AC125" s="302"/>
      <c r="AD125" s="199"/>
      <c r="AE125" s="200"/>
      <c r="AF125" s="201"/>
      <c r="AG125" s="211"/>
      <c r="AH125" s="202"/>
      <c r="AI125" s="202"/>
      <c r="AJ125" s="303"/>
      <c r="AK125" s="172"/>
      <c r="AL125" s="281"/>
      <c r="AM125" s="48"/>
      <c r="AN125" s="47"/>
      <c r="AO125" s="48"/>
      <c r="AP125" s="47"/>
      <c r="AQ125" s="282"/>
      <c r="AR125" s="281"/>
      <c r="AS125" s="48"/>
      <c r="AT125" s="47"/>
      <c r="AU125" s="48"/>
      <c r="AV125" s="47"/>
      <c r="AW125" s="282"/>
      <c r="AX125" s="281"/>
      <c r="AY125" s="48"/>
      <c r="AZ125" s="281"/>
      <c r="BA125" s="51"/>
      <c r="BB125" s="47"/>
      <c r="BC125" s="51"/>
      <c r="BD125" s="47"/>
      <c r="BE125" s="282"/>
      <c r="BF125" s="46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20"/>
      <c r="BT125" s="20"/>
      <c r="BU125" s="49"/>
      <c r="BV125" s="20"/>
      <c r="BW125" s="20"/>
      <c r="BX125" s="20"/>
      <c r="BY125" s="20"/>
      <c r="BZ125" s="99"/>
    </row>
    <row r="126" spans="2:78" x14ac:dyDescent="0.25">
      <c r="B126" s="402"/>
      <c r="C126" s="50"/>
      <c r="D126" s="56" t="s">
        <v>39</v>
      </c>
      <c r="E126" s="34"/>
      <c r="F126" s="31"/>
      <c r="G126" s="273"/>
      <c r="H126" s="267"/>
      <c r="J126" s="45"/>
      <c r="K126" s="46"/>
      <c r="M126" s="52"/>
      <c r="N126" s="267"/>
      <c r="P126" s="45"/>
      <c r="R126" s="45"/>
      <c r="S126" s="52"/>
      <c r="V126" s="267"/>
      <c r="X126" s="45"/>
      <c r="Y126" s="46"/>
      <c r="AA126" s="52"/>
      <c r="AB126" s="215"/>
      <c r="AC126" s="302"/>
      <c r="AD126" s="199"/>
      <c r="AE126" s="200"/>
      <c r="AF126" s="201"/>
      <c r="AG126" s="211"/>
      <c r="AH126" s="202"/>
      <c r="AI126" s="202"/>
      <c r="AJ126" s="303"/>
      <c r="AK126" s="172"/>
      <c r="AL126" s="281"/>
      <c r="AM126" s="48"/>
      <c r="AN126" s="47"/>
      <c r="AO126" s="48"/>
      <c r="AP126" s="47"/>
      <c r="AQ126" s="282"/>
      <c r="AR126" s="281"/>
      <c r="AS126" s="48"/>
      <c r="AT126" s="47"/>
      <c r="AU126" s="48"/>
      <c r="AV126" s="47"/>
      <c r="AW126" s="282"/>
      <c r="AX126" s="281"/>
      <c r="AY126" s="48"/>
      <c r="AZ126" s="281"/>
      <c r="BA126" s="51"/>
      <c r="BB126" s="47"/>
      <c r="BC126" s="51"/>
      <c r="BD126" s="47"/>
      <c r="BE126" s="282"/>
      <c r="BF126" s="46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20"/>
      <c r="BT126" s="20"/>
      <c r="BU126" s="49"/>
      <c r="BV126" s="20"/>
      <c r="BW126" s="20"/>
      <c r="BX126" s="20"/>
      <c r="BY126" s="20"/>
      <c r="BZ126" s="99"/>
    </row>
    <row r="127" spans="2:78" x14ac:dyDescent="0.25">
      <c r="B127" s="402"/>
      <c r="C127" s="50"/>
      <c r="D127" s="56" t="s">
        <v>40</v>
      </c>
      <c r="E127" s="34"/>
      <c r="F127" s="31"/>
      <c r="G127" s="273"/>
      <c r="H127" s="267"/>
      <c r="J127" s="45"/>
      <c r="K127" s="46"/>
      <c r="M127" s="52"/>
      <c r="N127" s="267"/>
      <c r="P127" s="45"/>
      <c r="R127" s="45"/>
      <c r="S127" s="52"/>
      <c r="V127" s="267"/>
      <c r="X127" s="45"/>
      <c r="Y127" s="46"/>
      <c r="AA127" s="52"/>
      <c r="AB127" s="215"/>
      <c r="AC127" s="302"/>
      <c r="AD127" s="199"/>
      <c r="AE127" s="200" t="e">
        <f>SUM(AC127:AC128)/SUM(AD127:AD128)</f>
        <v>#DIV/0!</v>
      </c>
      <c r="AF127" s="200" t="e">
        <f>SUM(F127:F128)/SUM(E127:E128)</f>
        <v>#DIV/0!</v>
      </c>
      <c r="AG127" s="211">
        <v>16</v>
      </c>
      <c r="AH127" s="202" t="e">
        <f>AE127*AF127*AG127</f>
        <v>#DIV/0!</v>
      </c>
      <c r="AI127" s="203" t="e">
        <f t="shared" ref="AI127" si="150">AH127/AI$51</f>
        <v>#DIV/0!</v>
      </c>
      <c r="AJ127" s="303" t="e">
        <f>AI127*2</f>
        <v>#DIV/0!</v>
      </c>
      <c r="AK127" s="181" t="e">
        <f>AJ127/AB75</f>
        <v>#DIV/0!</v>
      </c>
      <c r="AL127" s="281" t="e">
        <f t="shared" ref="AL127:BE127" si="151">AL75</f>
        <v>#DIV/0!</v>
      </c>
      <c r="AM127" s="48" t="e">
        <f t="shared" si="151"/>
        <v>#DIV/0!</v>
      </c>
      <c r="AN127" s="47" t="e">
        <f t="shared" si="151"/>
        <v>#DIV/0!</v>
      </c>
      <c r="AO127" s="48" t="e">
        <f t="shared" si="151"/>
        <v>#DIV/0!</v>
      </c>
      <c r="AP127" s="47" t="e">
        <f t="shared" si="151"/>
        <v>#DIV/0!</v>
      </c>
      <c r="AQ127" s="282" t="e">
        <f t="shared" si="151"/>
        <v>#DIV/0!</v>
      </c>
      <c r="AR127" s="281" t="e">
        <f t="shared" si="151"/>
        <v>#DIV/0!</v>
      </c>
      <c r="AS127" s="48" t="e">
        <f t="shared" si="151"/>
        <v>#DIV/0!</v>
      </c>
      <c r="AT127" s="47" t="e">
        <f t="shared" si="151"/>
        <v>#DIV/0!</v>
      </c>
      <c r="AU127" s="48" t="e">
        <f t="shared" si="151"/>
        <v>#DIV/0!</v>
      </c>
      <c r="AV127" s="47" t="e">
        <f t="shared" si="151"/>
        <v>#DIV/0!</v>
      </c>
      <c r="AW127" s="282" t="e">
        <f t="shared" si="151"/>
        <v>#DIV/0!</v>
      </c>
      <c r="AX127" s="281" t="e">
        <f t="shared" si="151"/>
        <v>#DIV/0!</v>
      </c>
      <c r="AY127" s="48" t="e">
        <f t="shared" si="151"/>
        <v>#DIV/0!</v>
      </c>
      <c r="AZ127" s="281" t="e">
        <f t="shared" si="151"/>
        <v>#DIV/0!</v>
      </c>
      <c r="BA127" s="51" t="e">
        <f t="shared" si="151"/>
        <v>#DIV/0!</v>
      </c>
      <c r="BB127" s="47" t="e">
        <f t="shared" si="151"/>
        <v>#DIV/0!</v>
      </c>
      <c r="BC127" s="51" t="e">
        <f t="shared" si="151"/>
        <v>#DIV/0!</v>
      </c>
      <c r="BD127" s="47" t="e">
        <f t="shared" si="151"/>
        <v>#DIV/0!</v>
      </c>
      <c r="BE127" s="282" t="e">
        <f t="shared" si="151"/>
        <v>#DIV/0!</v>
      </c>
      <c r="BF127" s="46"/>
      <c r="BG127" s="49" t="e">
        <f t="shared" ref="BG127:BZ127" si="152">AL127*$AJ127</f>
        <v>#DIV/0!</v>
      </c>
      <c r="BH127" s="49" t="e">
        <f t="shared" si="152"/>
        <v>#DIV/0!</v>
      </c>
      <c r="BI127" s="49" t="e">
        <f t="shared" si="152"/>
        <v>#DIV/0!</v>
      </c>
      <c r="BJ127" s="49" t="e">
        <f t="shared" si="152"/>
        <v>#DIV/0!</v>
      </c>
      <c r="BK127" s="49" t="e">
        <f t="shared" si="152"/>
        <v>#DIV/0!</v>
      </c>
      <c r="BL127" s="49" t="e">
        <f t="shared" si="152"/>
        <v>#DIV/0!</v>
      </c>
      <c r="BM127" s="49" t="e">
        <f t="shared" si="152"/>
        <v>#DIV/0!</v>
      </c>
      <c r="BN127" s="49" t="e">
        <f t="shared" si="152"/>
        <v>#DIV/0!</v>
      </c>
      <c r="BO127" s="49" t="e">
        <f t="shared" si="152"/>
        <v>#DIV/0!</v>
      </c>
      <c r="BP127" s="49" t="e">
        <f t="shared" si="152"/>
        <v>#DIV/0!</v>
      </c>
      <c r="BQ127" s="49" t="e">
        <f t="shared" si="152"/>
        <v>#DIV/0!</v>
      </c>
      <c r="BR127" s="49" t="e">
        <f t="shared" si="152"/>
        <v>#DIV/0!</v>
      </c>
      <c r="BS127" s="20" t="e">
        <f t="shared" si="152"/>
        <v>#DIV/0!</v>
      </c>
      <c r="BT127" s="20" t="e">
        <f t="shared" si="152"/>
        <v>#DIV/0!</v>
      </c>
      <c r="BU127" s="49" t="e">
        <f t="shared" si="152"/>
        <v>#DIV/0!</v>
      </c>
      <c r="BV127" s="20" t="e">
        <f t="shared" si="152"/>
        <v>#DIV/0!</v>
      </c>
      <c r="BW127" s="20" t="e">
        <f t="shared" si="152"/>
        <v>#DIV/0!</v>
      </c>
      <c r="BX127" s="20" t="e">
        <f t="shared" si="152"/>
        <v>#DIV/0!</v>
      </c>
      <c r="BY127" s="20" t="e">
        <f t="shared" si="152"/>
        <v>#DIV/0!</v>
      </c>
      <c r="BZ127" s="99" t="e">
        <f t="shared" si="152"/>
        <v>#DIV/0!</v>
      </c>
    </row>
    <row r="128" spans="2:78" ht="16.5" thickBot="1" x14ac:dyDescent="0.3">
      <c r="B128" s="403"/>
      <c r="C128" s="139"/>
      <c r="D128" s="121" t="s">
        <v>40</v>
      </c>
      <c r="E128" s="4"/>
      <c r="F128" s="122"/>
      <c r="G128" s="274"/>
      <c r="H128" s="278"/>
      <c r="I128" s="124"/>
      <c r="J128" s="125"/>
      <c r="K128" s="126"/>
      <c r="L128" s="124"/>
      <c r="M128" s="140"/>
      <c r="N128" s="278"/>
      <c r="O128" s="124"/>
      <c r="P128" s="125"/>
      <c r="Q128" s="124"/>
      <c r="R128" s="125"/>
      <c r="S128" s="140"/>
      <c r="T128" s="124"/>
      <c r="U128" s="124"/>
      <c r="V128" s="278"/>
      <c r="W128" s="124"/>
      <c r="X128" s="125"/>
      <c r="Y128" s="126"/>
      <c r="Z128" s="124"/>
      <c r="AA128" s="140"/>
      <c r="AB128" s="215"/>
      <c r="AC128" s="304"/>
      <c r="AD128" s="205"/>
      <c r="AE128" s="206"/>
      <c r="AF128" s="207"/>
      <c r="AG128" s="212"/>
      <c r="AH128" s="208"/>
      <c r="AI128" s="208"/>
      <c r="AJ128" s="305"/>
      <c r="AK128" s="173"/>
      <c r="AL128" s="283"/>
      <c r="AM128" s="132"/>
      <c r="AN128" s="131"/>
      <c r="AO128" s="132"/>
      <c r="AP128" s="131"/>
      <c r="AQ128" s="284"/>
      <c r="AR128" s="283"/>
      <c r="AS128" s="132"/>
      <c r="AT128" s="131"/>
      <c r="AU128" s="132"/>
      <c r="AV128" s="131"/>
      <c r="AW128" s="284"/>
      <c r="AX128" s="283"/>
      <c r="AY128" s="132"/>
      <c r="AZ128" s="283"/>
      <c r="BA128" s="133"/>
      <c r="BB128" s="131"/>
      <c r="BC128" s="133"/>
      <c r="BD128" s="131"/>
      <c r="BE128" s="284"/>
      <c r="BF128" s="46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127"/>
      <c r="BT128" s="127"/>
      <c r="BU128" s="64"/>
      <c r="BV128" s="127"/>
      <c r="BW128" s="127"/>
      <c r="BX128" s="127"/>
      <c r="BY128" s="127"/>
      <c r="BZ128" s="100"/>
    </row>
    <row r="129" spans="2:78" x14ac:dyDescent="0.25">
      <c r="B129" s="401" t="str">
        <f t="shared" ref="B129" si="153">B77</f>
        <v>Oct 13-19</v>
      </c>
      <c r="C129" s="120"/>
      <c r="D129" s="55" t="s">
        <v>39</v>
      </c>
      <c r="E129" s="3"/>
      <c r="F129" s="39"/>
      <c r="G129" s="272"/>
      <c r="H129" s="277"/>
      <c r="I129" s="40"/>
      <c r="J129" s="41"/>
      <c r="K129" s="42"/>
      <c r="L129" s="40"/>
      <c r="M129" s="58"/>
      <c r="N129" s="277"/>
      <c r="O129" s="40"/>
      <c r="P129" s="41"/>
      <c r="Q129" s="40"/>
      <c r="R129" s="41"/>
      <c r="S129" s="58"/>
      <c r="T129" s="40"/>
      <c r="U129" s="40"/>
      <c r="V129" s="277"/>
      <c r="W129" s="40"/>
      <c r="X129" s="41"/>
      <c r="Y129" s="42"/>
      <c r="Z129" s="40"/>
      <c r="AA129" s="58"/>
      <c r="AB129" s="215"/>
      <c r="AC129" s="300"/>
      <c r="AD129" s="193"/>
      <c r="AE129" s="195" t="e">
        <f>SUM(AC129:AC131)/SUM(AD129:AD131)</f>
        <v>#DIV/0!</v>
      </c>
      <c r="AF129" s="195" t="e">
        <f>SUM(F129:F131)/SUM(E129:E131)</f>
        <v>#DIV/0!</v>
      </c>
      <c r="AG129" s="210">
        <v>16.100000000000001</v>
      </c>
      <c r="AH129" s="196" t="e">
        <f>AE129*AF129*AG129</f>
        <v>#DIV/0!</v>
      </c>
      <c r="AI129" s="197" t="e">
        <f>AH129/AI$51</f>
        <v>#DIV/0!</v>
      </c>
      <c r="AJ129" s="301" t="e">
        <f>AI129*5</f>
        <v>#DIV/0!</v>
      </c>
      <c r="AK129" s="181" t="e">
        <f>AJ129/AB77</f>
        <v>#DIV/0!</v>
      </c>
      <c r="AL129" s="279" t="e">
        <f t="shared" ref="AL129:BE129" si="154">AL77</f>
        <v>#DIV/0!</v>
      </c>
      <c r="AM129" s="129" t="e">
        <f t="shared" si="154"/>
        <v>#DIV/0!</v>
      </c>
      <c r="AN129" s="128" t="e">
        <f t="shared" si="154"/>
        <v>#DIV/0!</v>
      </c>
      <c r="AO129" s="129" t="e">
        <f t="shared" si="154"/>
        <v>#DIV/0!</v>
      </c>
      <c r="AP129" s="128" t="e">
        <f t="shared" si="154"/>
        <v>#DIV/0!</v>
      </c>
      <c r="AQ129" s="280" t="e">
        <f t="shared" si="154"/>
        <v>#DIV/0!</v>
      </c>
      <c r="AR129" s="279" t="e">
        <f t="shared" si="154"/>
        <v>#DIV/0!</v>
      </c>
      <c r="AS129" s="129" t="e">
        <f t="shared" si="154"/>
        <v>#DIV/0!</v>
      </c>
      <c r="AT129" s="128" t="e">
        <f t="shared" si="154"/>
        <v>#DIV/0!</v>
      </c>
      <c r="AU129" s="129" t="e">
        <f t="shared" si="154"/>
        <v>#DIV/0!</v>
      </c>
      <c r="AV129" s="128" t="e">
        <f t="shared" si="154"/>
        <v>#DIV/0!</v>
      </c>
      <c r="AW129" s="280" t="e">
        <f t="shared" si="154"/>
        <v>#DIV/0!</v>
      </c>
      <c r="AX129" s="279" t="e">
        <f t="shared" si="154"/>
        <v>#DIV/0!</v>
      </c>
      <c r="AY129" s="129" t="e">
        <f t="shared" si="154"/>
        <v>#DIV/0!</v>
      </c>
      <c r="AZ129" s="279" t="e">
        <f t="shared" si="154"/>
        <v>#DIV/0!</v>
      </c>
      <c r="BA129" s="130" t="e">
        <f t="shared" si="154"/>
        <v>#DIV/0!</v>
      </c>
      <c r="BB129" s="128" t="e">
        <f t="shared" si="154"/>
        <v>#DIV/0!</v>
      </c>
      <c r="BC129" s="130" t="e">
        <f t="shared" si="154"/>
        <v>#DIV/0!</v>
      </c>
      <c r="BD129" s="128" t="e">
        <f t="shared" si="154"/>
        <v>#DIV/0!</v>
      </c>
      <c r="BE129" s="280" t="e">
        <f t="shared" si="154"/>
        <v>#DIV/0!</v>
      </c>
      <c r="BF129" s="46"/>
      <c r="BG129" s="49" t="e">
        <f t="shared" ref="BG129:BZ129" si="155">AL129*$AJ129</f>
        <v>#DIV/0!</v>
      </c>
      <c r="BH129" s="49" t="e">
        <f t="shared" si="155"/>
        <v>#DIV/0!</v>
      </c>
      <c r="BI129" s="49" t="e">
        <f t="shared" si="155"/>
        <v>#DIV/0!</v>
      </c>
      <c r="BJ129" s="49" t="e">
        <f t="shared" si="155"/>
        <v>#DIV/0!</v>
      </c>
      <c r="BK129" s="49" t="e">
        <f t="shared" si="155"/>
        <v>#DIV/0!</v>
      </c>
      <c r="BL129" s="49" t="e">
        <f t="shared" si="155"/>
        <v>#DIV/0!</v>
      </c>
      <c r="BM129" s="49" t="e">
        <f t="shared" si="155"/>
        <v>#DIV/0!</v>
      </c>
      <c r="BN129" s="49" t="e">
        <f t="shared" si="155"/>
        <v>#DIV/0!</v>
      </c>
      <c r="BO129" s="49" t="e">
        <f t="shared" si="155"/>
        <v>#DIV/0!</v>
      </c>
      <c r="BP129" s="49" t="e">
        <f t="shared" si="155"/>
        <v>#DIV/0!</v>
      </c>
      <c r="BQ129" s="49" t="e">
        <f t="shared" si="155"/>
        <v>#DIV/0!</v>
      </c>
      <c r="BR129" s="49" t="e">
        <f t="shared" si="155"/>
        <v>#DIV/0!</v>
      </c>
      <c r="BS129" s="20" t="e">
        <f t="shared" si="155"/>
        <v>#DIV/0!</v>
      </c>
      <c r="BT129" s="20" t="e">
        <f t="shared" si="155"/>
        <v>#DIV/0!</v>
      </c>
      <c r="BU129" s="49" t="e">
        <f t="shared" si="155"/>
        <v>#DIV/0!</v>
      </c>
      <c r="BV129" s="20" t="e">
        <f t="shared" si="155"/>
        <v>#DIV/0!</v>
      </c>
      <c r="BW129" s="20" t="e">
        <f t="shared" si="155"/>
        <v>#DIV/0!</v>
      </c>
      <c r="BX129" s="20" t="e">
        <f t="shared" si="155"/>
        <v>#DIV/0!</v>
      </c>
      <c r="BY129" s="20" t="e">
        <f t="shared" si="155"/>
        <v>#DIV/0!</v>
      </c>
      <c r="BZ129" s="99" t="e">
        <f t="shared" si="155"/>
        <v>#DIV/0!</v>
      </c>
    </row>
    <row r="130" spans="2:78" x14ac:dyDescent="0.25">
      <c r="B130" s="402"/>
      <c r="C130" s="50"/>
      <c r="D130" s="56" t="s">
        <v>39</v>
      </c>
      <c r="E130" s="34"/>
      <c r="F130" s="31"/>
      <c r="G130" s="273"/>
      <c r="H130" s="267"/>
      <c r="J130" s="45"/>
      <c r="K130" s="46"/>
      <c r="M130" s="52"/>
      <c r="N130" s="267"/>
      <c r="P130" s="45"/>
      <c r="R130" s="45"/>
      <c r="S130" s="52"/>
      <c r="V130" s="267"/>
      <c r="X130" s="45"/>
      <c r="Y130" s="46"/>
      <c r="AA130" s="52"/>
      <c r="AB130" s="215"/>
      <c r="AC130" s="302"/>
      <c r="AD130" s="199"/>
      <c r="AE130" s="200"/>
      <c r="AF130" s="201"/>
      <c r="AG130" s="211"/>
      <c r="AH130" s="202"/>
      <c r="AI130" s="202"/>
      <c r="AJ130" s="303"/>
      <c r="AK130" s="172"/>
      <c r="AL130" s="281"/>
      <c r="AM130" s="48"/>
      <c r="AN130" s="47"/>
      <c r="AO130" s="48"/>
      <c r="AP130" s="47"/>
      <c r="AQ130" s="282"/>
      <c r="AR130" s="281"/>
      <c r="AS130" s="48"/>
      <c r="AT130" s="47"/>
      <c r="AU130" s="48"/>
      <c r="AV130" s="47"/>
      <c r="AW130" s="282"/>
      <c r="AX130" s="281"/>
      <c r="AY130" s="48"/>
      <c r="AZ130" s="281"/>
      <c r="BA130" s="51"/>
      <c r="BB130" s="47"/>
      <c r="BC130" s="51"/>
      <c r="BD130" s="47"/>
      <c r="BE130" s="282"/>
      <c r="BF130" s="46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20"/>
      <c r="BT130" s="20"/>
      <c r="BU130" s="49"/>
      <c r="BV130" s="20"/>
      <c r="BW130" s="20"/>
      <c r="BX130" s="20"/>
      <c r="BY130" s="20"/>
      <c r="BZ130" s="99"/>
    </row>
    <row r="131" spans="2:78" x14ac:dyDescent="0.25">
      <c r="B131" s="402"/>
      <c r="C131" s="50"/>
      <c r="D131" s="56" t="s">
        <v>39</v>
      </c>
      <c r="E131" s="34"/>
      <c r="F131" s="31"/>
      <c r="G131" s="273"/>
      <c r="H131" s="267"/>
      <c r="J131" s="45"/>
      <c r="K131" s="46"/>
      <c r="M131" s="52"/>
      <c r="N131" s="267"/>
      <c r="P131" s="45"/>
      <c r="R131" s="45"/>
      <c r="S131" s="52"/>
      <c r="V131" s="267"/>
      <c r="X131" s="45"/>
      <c r="Y131" s="46"/>
      <c r="AA131" s="52"/>
      <c r="AB131" s="215"/>
      <c r="AC131" s="302"/>
      <c r="AD131" s="199"/>
      <c r="AE131" s="200"/>
      <c r="AF131" s="201"/>
      <c r="AG131" s="211"/>
      <c r="AH131" s="202"/>
      <c r="AI131" s="202"/>
      <c r="AJ131" s="303"/>
      <c r="AK131" s="172"/>
      <c r="AL131" s="281"/>
      <c r="AM131" s="48"/>
      <c r="AN131" s="47"/>
      <c r="AO131" s="48"/>
      <c r="AP131" s="47"/>
      <c r="AQ131" s="282"/>
      <c r="AR131" s="281"/>
      <c r="AS131" s="48"/>
      <c r="AT131" s="47"/>
      <c r="AU131" s="48"/>
      <c r="AV131" s="47"/>
      <c r="AW131" s="282"/>
      <c r="AX131" s="281"/>
      <c r="AY131" s="48"/>
      <c r="AZ131" s="281"/>
      <c r="BA131" s="51"/>
      <c r="BB131" s="47"/>
      <c r="BC131" s="51"/>
      <c r="BD131" s="47"/>
      <c r="BE131" s="282"/>
      <c r="BF131" s="46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20"/>
      <c r="BT131" s="20"/>
      <c r="BU131" s="49"/>
      <c r="BV131" s="20"/>
      <c r="BW131" s="20"/>
      <c r="BX131" s="20"/>
      <c r="BY131" s="20"/>
      <c r="BZ131" s="99"/>
    </row>
    <row r="132" spans="2:78" x14ac:dyDescent="0.25">
      <c r="B132" s="402"/>
      <c r="C132" s="50"/>
      <c r="D132" s="56" t="s">
        <v>40</v>
      </c>
      <c r="E132" s="34"/>
      <c r="F132" s="31"/>
      <c r="G132" s="273"/>
      <c r="H132" s="267"/>
      <c r="J132" s="45"/>
      <c r="K132" s="46"/>
      <c r="M132" s="52"/>
      <c r="N132" s="267"/>
      <c r="P132" s="45"/>
      <c r="R132" s="45"/>
      <c r="S132" s="52"/>
      <c r="V132" s="267"/>
      <c r="X132" s="45"/>
      <c r="Y132" s="46"/>
      <c r="AA132" s="52"/>
      <c r="AB132" s="215"/>
      <c r="AC132" s="302"/>
      <c r="AD132" s="199"/>
      <c r="AE132" s="200" t="e">
        <f>SUM(AC132:AC133)/SUM(AD132:AD133)</f>
        <v>#DIV/0!</v>
      </c>
      <c r="AF132" s="200" t="e">
        <f>SUM(F132:F133)/SUM(E132:E133)</f>
        <v>#DIV/0!</v>
      </c>
      <c r="AG132" s="211">
        <v>16.100000000000001</v>
      </c>
      <c r="AH132" s="202" t="e">
        <f>AE132*AF132*AG132</f>
        <v>#DIV/0!</v>
      </c>
      <c r="AI132" s="203" t="e">
        <f t="shared" ref="AI132" si="156">AH132/AI$51</f>
        <v>#DIV/0!</v>
      </c>
      <c r="AJ132" s="303" t="e">
        <f>AI132*2</f>
        <v>#DIV/0!</v>
      </c>
      <c r="AK132" s="181" t="e">
        <f>AJ132/AB80</f>
        <v>#DIV/0!</v>
      </c>
      <c r="AL132" s="281" t="e">
        <f t="shared" ref="AL132:BE132" si="157">AL80</f>
        <v>#DIV/0!</v>
      </c>
      <c r="AM132" s="48" t="e">
        <f t="shared" si="157"/>
        <v>#DIV/0!</v>
      </c>
      <c r="AN132" s="47" t="e">
        <f t="shared" si="157"/>
        <v>#DIV/0!</v>
      </c>
      <c r="AO132" s="48" t="e">
        <f t="shared" si="157"/>
        <v>#DIV/0!</v>
      </c>
      <c r="AP132" s="47" t="e">
        <f t="shared" si="157"/>
        <v>#DIV/0!</v>
      </c>
      <c r="AQ132" s="282" t="e">
        <f t="shared" si="157"/>
        <v>#DIV/0!</v>
      </c>
      <c r="AR132" s="281" t="e">
        <f t="shared" si="157"/>
        <v>#DIV/0!</v>
      </c>
      <c r="AS132" s="48" t="e">
        <f t="shared" si="157"/>
        <v>#DIV/0!</v>
      </c>
      <c r="AT132" s="47" t="e">
        <f t="shared" si="157"/>
        <v>#DIV/0!</v>
      </c>
      <c r="AU132" s="48" t="e">
        <f t="shared" si="157"/>
        <v>#DIV/0!</v>
      </c>
      <c r="AV132" s="47" t="e">
        <f t="shared" si="157"/>
        <v>#DIV/0!</v>
      </c>
      <c r="AW132" s="282" t="e">
        <f t="shared" si="157"/>
        <v>#DIV/0!</v>
      </c>
      <c r="AX132" s="281" t="e">
        <f t="shared" si="157"/>
        <v>#DIV/0!</v>
      </c>
      <c r="AY132" s="48" t="e">
        <f t="shared" si="157"/>
        <v>#DIV/0!</v>
      </c>
      <c r="AZ132" s="281" t="e">
        <f t="shared" si="157"/>
        <v>#DIV/0!</v>
      </c>
      <c r="BA132" s="51" t="e">
        <f t="shared" si="157"/>
        <v>#DIV/0!</v>
      </c>
      <c r="BB132" s="47" t="e">
        <f t="shared" si="157"/>
        <v>#DIV/0!</v>
      </c>
      <c r="BC132" s="51" t="e">
        <f t="shared" si="157"/>
        <v>#DIV/0!</v>
      </c>
      <c r="BD132" s="47" t="e">
        <f t="shared" si="157"/>
        <v>#DIV/0!</v>
      </c>
      <c r="BE132" s="282" t="e">
        <f t="shared" si="157"/>
        <v>#DIV/0!</v>
      </c>
      <c r="BF132" s="46"/>
      <c r="BG132" s="49" t="e">
        <f t="shared" ref="BG132:BZ132" si="158">AL132*$AJ132</f>
        <v>#DIV/0!</v>
      </c>
      <c r="BH132" s="49" t="e">
        <f t="shared" si="158"/>
        <v>#DIV/0!</v>
      </c>
      <c r="BI132" s="49" t="e">
        <f t="shared" si="158"/>
        <v>#DIV/0!</v>
      </c>
      <c r="BJ132" s="49" t="e">
        <f t="shared" si="158"/>
        <v>#DIV/0!</v>
      </c>
      <c r="BK132" s="49" t="e">
        <f t="shared" si="158"/>
        <v>#DIV/0!</v>
      </c>
      <c r="BL132" s="49" t="e">
        <f t="shared" si="158"/>
        <v>#DIV/0!</v>
      </c>
      <c r="BM132" s="49" t="e">
        <f t="shared" si="158"/>
        <v>#DIV/0!</v>
      </c>
      <c r="BN132" s="49" t="e">
        <f t="shared" si="158"/>
        <v>#DIV/0!</v>
      </c>
      <c r="BO132" s="49" t="e">
        <f t="shared" si="158"/>
        <v>#DIV/0!</v>
      </c>
      <c r="BP132" s="49" t="e">
        <f t="shared" si="158"/>
        <v>#DIV/0!</v>
      </c>
      <c r="BQ132" s="49" t="e">
        <f t="shared" si="158"/>
        <v>#DIV/0!</v>
      </c>
      <c r="BR132" s="49" t="e">
        <f t="shared" si="158"/>
        <v>#DIV/0!</v>
      </c>
      <c r="BS132" s="20" t="e">
        <f t="shared" si="158"/>
        <v>#DIV/0!</v>
      </c>
      <c r="BT132" s="20" t="e">
        <f t="shared" si="158"/>
        <v>#DIV/0!</v>
      </c>
      <c r="BU132" s="49" t="e">
        <f t="shared" si="158"/>
        <v>#DIV/0!</v>
      </c>
      <c r="BV132" s="20" t="e">
        <f t="shared" si="158"/>
        <v>#DIV/0!</v>
      </c>
      <c r="BW132" s="20" t="e">
        <f t="shared" si="158"/>
        <v>#DIV/0!</v>
      </c>
      <c r="BX132" s="20" t="e">
        <f t="shared" si="158"/>
        <v>#DIV/0!</v>
      </c>
      <c r="BY132" s="20" t="e">
        <f t="shared" si="158"/>
        <v>#DIV/0!</v>
      </c>
      <c r="BZ132" s="99" t="e">
        <f t="shared" si="158"/>
        <v>#DIV/0!</v>
      </c>
    </row>
    <row r="133" spans="2:78" ht="16.5" thickBot="1" x14ac:dyDescent="0.3">
      <c r="B133" s="403"/>
      <c r="C133" s="139"/>
      <c r="D133" s="121" t="s">
        <v>40</v>
      </c>
      <c r="E133" s="4"/>
      <c r="F133" s="122"/>
      <c r="G133" s="274"/>
      <c r="H133" s="278"/>
      <c r="I133" s="124"/>
      <c r="J133" s="125"/>
      <c r="K133" s="126"/>
      <c r="L133" s="124"/>
      <c r="M133" s="140"/>
      <c r="N133" s="278"/>
      <c r="O133" s="124"/>
      <c r="P133" s="125"/>
      <c r="Q133" s="124"/>
      <c r="R133" s="125"/>
      <c r="S133" s="140"/>
      <c r="T133" s="124"/>
      <c r="U133" s="124"/>
      <c r="V133" s="278"/>
      <c r="W133" s="124"/>
      <c r="X133" s="125"/>
      <c r="Y133" s="126"/>
      <c r="Z133" s="124"/>
      <c r="AA133" s="140"/>
      <c r="AB133" s="215"/>
      <c r="AC133" s="304"/>
      <c r="AD133" s="205"/>
      <c r="AE133" s="206"/>
      <c r="AF133" s="207"/>
      <c r="AG133" s="212"/>
      <c r="AH133" s="208"/>
      <c r="AI133" s="208"/>
      <c r="AJ133" s="305"/>
      <c r="AK133" s="173"/>
      <c r="AL133" s="283"/>
      <c r="AM133" s="132"/>
      <c r="AN133" s="131"/>
      <c r="AO133" s="132"/>
      <c r="AP133" s="131"/>
      <c r="AQ133" s="284"/>
      <c r="AR133" s="283"/>
      <c r="AS133" s="132"/>
      <c r="AT133" s="131"/>
      <c r="AU133" s="132"/>
      <c r="AV133" s="131"/>
      <c r="AW133" s="284"/>
      <c r="AX133" s="283"/>
      <c r="AY133" s="132"/>
      <c r="AZ133" s="283"/>
      <c r="BA133" s="133"/>
      <c r="BB133" s="131"/>
      <c r="BC133" s="133"/>
      <c r="BD133" s="131"/>
      <c r="BE133" s="284"/>
      <c r="BF133" s="46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127"/>
      <c r="BT133" s="127"/>
      <c r="BU133" s="64"/>
      <c r="BV133" s="127"/>
      <c r="BW133" s="127"/>
      <c r="BX133" s="127"/>
      <c r="BY133" s="127"/>
      <c r="BZ133" s="100"/>
    </row>
    <row r="134" spans="2:78" x14ac:dyDescent="0.25">
      <c r="B134" s="401" t="str">
        <f t="shared" ref="B134" si="159">B82</f>
        <v>Oct 20-26</v>
      </c>
      <c r="C134" s="120"/>
      <c r="D134" s="55" t="s">
        <v>39</v>
      </c>
      <c r="E134" s="3"/>
      <c r="F134" s="39"/>
      <c r="G134" s="272"/>
      <c r="H134" s="277"/>
      <c r="I134" s="40"/>
      <c r="J134" s="41"/>
      <c r="K134" s="42"/>
      <c r="L134" s="40"/>
      <c r="M134" s="58"/>
      <c r="N134" s="277"/>
      <c r="O134" s="40"/>
      <c r="P134" s="41"/>
      <c r="Q134" s="40"/>
      <c r="R134" s="41"/>
      <c r="S134" s="58"/>
      <c r="T134" s="40"/>
      <c r="U134" s="40"/>
      <c r="V134" s="277"/>
      <c r="W134" s="40"/>
      <c r="X134" s="41"/>
      <c r="Y134" s="42"/>
      <c r="Z134" s="40"/>
      <c r="AA134" s="58"/>
      <c r="AB134" s="215"/>
      <c r="AC134" s="300"/>
      <c r="AD134" s="193"/>
      <c r="AE134" s="195" t="e">
        <f>SUM(AC134:AC136)/SUM(AD134:AD136)</f>
        <v>#DIV/0!</v>
      </c>
      <c r="AF134" s="195" t="e">
        <f>SUM(F134:F136)/SUM(E134:E136)</f>
        <v>#DIV/0!</v>
      </c>
      <c r="AG134" s="210">
        <v>16.100000000000001</v>
      </c>
      <c r="AH134" s="196" t="e">
        <f>AE134*AF134*AG134</f>
        <v>#DIV/0!</v>
      </c>
      <c r="AI134" s="197" t="e">
        <f>AH134/AI$51</f>
        <v>#DIV/0!</v>
      </c>
      <c r="AJ134" s="301" t="e">
        <f>AI134*5</f>
        <v>#DIV/0!</v>
      </c>
      <c r="AK134" s="181" t="e">
        <f>AJ134/AB82</f>
        <v>#DIV/0!</v>
      </c>
      <c r="AL134" s="279" t="e">
        <f t="shared" ref="AL134:BE134" si="160">AL82</f>
        <v>#DIV/0!</v>
      </c>
      <c r="AM134" s="129" t="e">
        <f t="shared" si="160"/>
        <v>#DIV/0!</v>
      </c>
      <c r="AN134" s="128" t="e">
        <f t="shared" si="160"/>
        <v>#DIV/0!</v>
      </c>
      <c r="AO134" s="129" t="e">
        <f t="shared" si="160"/>
        <v>#DIV/0!</v>
      </c>
      <c r="AP134" s="128" t="e">
        <f t="shared" si="160"/>
        <v>#DIV/0!</v>
      </c>
      <c r="AQ134" s="280" t="e">
        <f t="shared" si="160"/>
        <v>#DIV/0!</v>
      </c>
      <c r="AR134" s="279" t="e">
        <f t="shared" si="160"/>
        <v>#DIV/0!</v>
      </c>
      <c r="AS134" s="129" t="e">
        <f t="shared" si="160"/>
        <v>#DIV/0!</v>
      </c>
      <c r="AT134" s="128" t="e">
        <f t="shared" si="160"/>
        <v>#DIV/0!</v>
      </c>
      <c r="AU134" s="129" t="e">
        <f t="shared" si="160"/>
        <v>#DIV/0!</v>
      </c>
      <c r="AV134" s="128" t="e">
        <f t="shared" si="160"/>
        <v>#DIV/0!</v>
      </c>
      <c r="AW134" s="280" t="e">
        <f t="shared" si="160"/>
        <v>#DIV/0!</v>
      </c>
      <c r="AX134" s="279" t="e">
        <f t="shared" si="160"/>
        <v>#DIV/0!</v>
      </c>
      <c r="AY134" s="129" t="e">
        <f t="shared" si="160"/>
        <v>#DIV/0!</v>
      </c>
      <c r="AZ134" s="279" t="e">
        <f t="shared" si="160"/>
        <v>#DIV/0!</v>
      </c>
      <c r="BA134" s="130" t="e">
        <f t="shared" si="160"/>
        <v>#DIV/0!</v>
      </c>
      <c r="BB134" s="128" t="e">
        <f t="shared" si="160"/>
        <v>#DIV/0!</v>
      </c>
      <c r="BC134" s="130" t="e">
        <f t="shared" si="160"/>
        <v>#DIV/0!</v>
      </c>
      <c r="BD134" s="128" t="e">
        <f t="shared" si="160"/>
        <v>#DIV/0!</v>
      </c>
      <c r="BE134" s="280" t="e">
        <f t="shared" si="160"/>
        <v>#DIV/0!</v>
      </c>
      <c r="BF134" s="46"/>
      <c r="BG134" s="49" t="e">
        <f t="shared" ref="BG134:BZ134" si="161">AL134*$AJ134</f>
        <v>#DIV/0!</v>
      </c>
      <c r="BH134" s="49" t="e">
        <f t="shared" si="161"/>
        <v>#DIV/0!</v>
      </c>
      <c r="BI134" s="49" t="e">
        <f t="shared" si="161"/>
        <v>#DIV/0!</v>
      </c>
      <c r="BJ134" s="49" t="e">
        <f t="shared" si="161"/>
        <v>#DIV/0!</v>
      </c>
      <c r="BK134" s="49" t="e">
        <f t="shared" si="161"/>
        <v>#DIV/0!</v>
      </c>
      <c r="BL134" s="49" t="e">
        <f t="shared" si="161"/>
        <v>#DIV/0!</v>
      </c>
      <c r="BM134" s="49" t="e">
        <f t="shared" si="161"/>
        <v>#DIV/0!</v>
      </c>
      <c r="BN134" s="49" t="e">
        <f t="shared" si="161"/>
        <v>#DIV/0!</v>
      </c>
      <c r="BO134" s="49" t="e">
        <f t="shared" si="161"/>
        <v>#DIV/0!</v>
      </c>
      <c r="BP134" s="49" t="e">
        <f t="shared" si="161"/>
        <v>#DIV/0!</v>
      </c>
      <c r="BQ134" s="49" t="e">
        <f t="shared" si="161"/>
        <v>#DIV/0!</v>
      </c>
      <c r="BR134" s="49" t="e">
        <f t="shared" si="161"/>
        <v>#DIV/0!</v>
      </c>
      <c r="BS134" s="20" t="e">
        <f t="shared" si="161"/>
        <v>#DIV/0!</v>
      </c>
      <c r="BT134" s="20" t="e">
        <f t="shared" si="161"/>
        <v>#DIV/0!</v>
      </c>
      <c r="BU134" s="49" t="e">
        <f t="shared" si="161"/>
        <v>#DIV/0!</v>
      </c>
      <c r="BV134" s="20" t="e">
        <f t="shared" si="161"/>
        <v>#DIV/0!</v>
      </c>
      <c r="BW134" s="20" t="e">
        <f t="shared" si="161"/>
        <v>#DIV/0!</v>
      </c>
      <c r="BX134" s="20" t="e">
        <f t="shared" si="161"/>
        <v>#DIV/0!</v>
      </c>
      <c r="BY134" s="20" t="e">
        <f t="shared" si="161"/>
        <v>#DIV/0!</v>
      </c>
      <c r="BZ134" s="99" t="e">
        <f t="shared" si="161"/>
        <v>#DIV/0!</v>
      </c>
    </row>
    <row r="135" spans="2:78" x14ac:dyDescent="0.25">
      <c r="B135" s="402"/>
      <c r="C135" s="50"/>
      <c r="D135" s="56" t="s">
        <v>39</v>
      </c>
      <c r="E135" s="34"/>
      <c r="F135" s="31"/>
      <c r="G135" s="273"/>
      <c r="H135" s="267"/>
      <c r="J135" s="45"/>
      <c r="K135" s="46"/>
      <c r="M135" s="52"/>
      <c r="N135" s="267"/>
      <c r="P135" s="45"/>
      <c r="R135" s="45"/>
      <c r="S135" s="52"/>
      <c r="V135" s="267"/>
      <c r="X135" s="45"/>
      <c r="Y135" s="46"/>
      <c r="AA135" s="52"/>
      <c r="AB135" s="215"/>
      <c r="AC135" s="302"/>
      <c r="AD135" s="199"/>
      <c r="AE135" s="200"/>
      <c r="AF135" s="201"/>
      <c r="AG135" s="211"/>
      <c r="AH135" s="202"/>
      <c r="AI135" s="202"/>
      <c r="AJ135" s="303"/>
      <c r="AK135" s="172"/>
      <c r="AL135" s="281"/>
      <c r="AM135" s="48"/>
      <c r="AN135" s="47"/>
      <c r="AO135" s="48"/>
      <c r="AP135" s="47"/>
      <c r="AQ135" s="282"/>
      <c r="AR135" s="281"/>
      <c r="AS135" s="48"/>
      <c r="AT135" s="47"/>
      <c r="AU135" s="48"/>
      <c r="AV135" s="47"/>
      <c r="AW135" s="282"/>
      <c r="AX135" s="281"/>
      <c r="AY135" s="48"/>
      <c r="AZ135" s="281"/>
      <c r="BA135" s="51"/>
      <c r="BB135" s="47"/>
      <c r="BC135" s="51"/>
      <c r="BD135" s="47"/>
      <c r="BE135" s="282"/>
      <c r="BF135" s="46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20"/>
      <c r="BT135" s="20"/>
      <c r="BU135" s="49"/>
      <c r="BV135" s="20"/>
      <c r="BW135" s="20"/>
      <c r="BX135" s="20"/>
      <c r="BY135" s="20"/>
      <c r="BZ135" s="99"/>
    </row>
    <row r="136" spans="2:78" x14ac:dyDescent="0.25">
      <c r="B136" s="402"/>
      <c r="C136" s="50"/>
      <c r="D136" s="56" t="s">
        <v>39</v>
      </c>
      <c r="E136" s="34"/>
      <c r="F136" s="31"/>
      <c r="G136" s="273"/>
      <c r="H136" s="267"/>
      <c r="J136" s="45"/>
      <c r="K136" s="46"/>
      <c r="M136" s="52"/>
      <c r="N136" s="267"/>
      <c r="P136" s="45"/>
      <c r="R136" s="45"/>
      <c r="S136" s="52"/>
      <c r="V136" s="267"/>
      <c r="X136" s="45"/>
      <c r="Y136" s="46"/>
      <c r="AA136" s="52"/>
      <c r="AB136" s="215"/>
      <c r="AC136" s="302"/>
      <c r="AD136" s="199"/>
      <c r="AE136" s="200"/>
      <c r="AF136" s="201"/>
      <c r="AG136" s="211"/>
      <c r="AH136" s="202"/>
      <c r="AI136" s="202"/>
      <c r="AJ136" s="303"/>
      <c r="AK136" s="172"/>
      <c r="AL136" s="281"/>
      <c r="AM136" s="48"/>
      <c r="AN136" s="47"/>
      <c r="AO136" s="48"/>
      <c r="AP136" s="47"/>
      <c r="AQ136" s="282"/>
      <c r="AR136" s="281"/>
      <c r="AS136" s="48"/>
      <c r="AT136" s="47"/>
      <c r="AU136" s="48"/>
      <c r="AV136" s="47"/>
      <c r="AW136" s="282"/>
      <c r="AX136" s="281"/>
      <c r="AY136" s="48"/>
      <c r="AZ136" s="281"/>
      <c r="BA136" s="51"/>
      <c r="BB136" s="47"/>
      <c r="BC136" s="51"/>
      <c r="BD136" s="47"/>
      <c r="BE136" s="282"/>
      <c r="BF136" s="46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20"/>
      <c r="BT136" s="20"/>
      <c r="BU136" s="49"/>
      <c r="BV136" s="20"/>
      <c r="BW136" s="20"/>
      <c r="BX136" s="20"/>
      <c r="BY136" s="20"/>
      <c r="BZ136" s="99"/>
    </row>
    <row r="137" spans="2:78" x14ac:dyDescent="0.25">
      <c r="B137" s="402"/>
      <c r="C137" s="50"/>
      <c r="D137" s="56" t="s">
        <v>40</v>
      </c>
      <c r="E137" s="34"/>
      <c r="F137" s="31"/>
      <c r="G137" s="273"/>
      <c r="H137" s="267"/>
      <c r="J137" s="45"/>
      <c r="K137" s="46"/>
      <c r="M137" s="52"/>
      <c r="N137" s="267"/>
      <c r="P137" s="45"/>
      <c r="R137" s="45"/>
      <c r="S137" s="52"/>
      <c r="V137" s="267"/>
      <c r="X137" s="45"/>
      <c r="Y137" s="46"/>
      <c r="AA137" s="52"/>
      <c r="AB137" s="215"/>
      <c r="AC137" s="302"/>
      <c r="AD137" s="199"/>
      <c r="AE137" s="200" t="e">
        <f>SUM(AC137:AC138)/SUM(AD137:AD138)</f>
        <v>#DIV/0!</v>
      </c>
      <c r="AF137" s="200" t="e">
        <f>SUM(F137:F138)/SUM(E137:E138)</f>
        <v>#DIV/0!</v>
      </c>
      <c r="AG137" s="211">
        <v>16.100000000000001</v>
      </c>
      <c r="AH137" s="202" t="e">
        <f>AE137*AF137*AG137</f>
        <v>#DIV/0!</v>
      </c>
      <c r="AI137" s="203" t="e">
        <f t="shared" ref="AI137" si="162">AH137/AI$51</f>
        <v>#DIV/0!</v>
      </c>
      <c r="AJ137" s="303" t="e">
        <f>AI137*2</f>
        <v>#DIV/0!</v>
      </c>
      <c r="AK137" s="181" t="e">
        <f>AJ137/AB85</f>
        <v>#DIV/0!</v>
      </c>
      <c r="AL137" s="281" t="e">
        <f t="shared" ref="AL137:BE137" si="163">AL85</f>
        <v>#DIV/0!</v>
      </c>
      <c r="AM137" s="48" t="e">
        <f t="shared" si="163"/>
        <v>#DIV/0!</v>
      </c>
      <c r="AN137" s="47" t="e">
        <f t="shared" si="163"/>
        <v>#DIV/0!</v>
      </c>
      <c r="AO137" s="48" t="e">
        <f t="shared" si="163"/>
        <v>#DIV/0!</v>
      </c>
      <c r="AP137" s="47" t="e">
        <f t="shared" si="163"/>
        <v>#DIV/0!</v>
      </c>
      <c r="AQ137" s="282" t="e">
        <f t="shared" si="163"/>
        <v>#DIV/0!</v>
      </c>
      <c r="AR137" s="281" t="e">
        <f t="shared" si="163"/>
        <v>#DIV/0!</v>
      </c>
      <c r="AS137" s="48" t="e">
        <f t="shared" si="163"/>
        <v>#DIV/0!</v>
      </c>
      <c r="AT137" s="47" t="e">
        <f t="shared" si="163"/>
        <v>#DIV/0!</v>
      </c>
      <c r="AU137" s="48" t="e">
        <f t="shared" si="163"/>
        <v>#DIV/0!</v>
      </c>
      <c r="AV137" s="47" t="e">
        <f t="shared" si="163"/>
        <v>#DIV/0!</v>
      </c>
      <c r="AW137" s="282" t="e">
        <f t="shared" si="163"/>
        <v>#DIV/0!</v>
      </c>
      <c r="AX137" s="281" t="e">
        <f t="shared" si="163"/>
        <v>#DIV/0!</v>
      </c>
      <c r="AY137" s="48" t="e">
        <f t="shared" si="163"/>
        <v>#DIV/0!</v>
      </c>
      <c r="AZ137" s="281" t="e">
        <f t="shared" si="163"/>
        <v>#DIV/0!</v>
      </c>
      <c r="BA137" s="51" t="e">
        <f t="shared" si="163"/>
        <v>#DIV/0!</v>
      </c>
      <c r="BB137" s="47" t="e">
        <f t="shared" si="163"/>
        <v>#DIV/0!</v>
      </c>
      <c r="BC137" s="51" t="e">
        <f t="shared" si="163"/>
        <v>#DIV/0!</v>
      </c>
      <c r="BD137" s="47" t="e">
        <f t="shared" si="163"/>
        <v>#DIV/0!</v>
      </c>
      <c r="BE137" s="282" t="e">
        <f t="shared" si="163"/>
        <v>#DIV/0!</v>
      </c>
      <c r="BF137" s="46"/>
      <c r="BG137" s="49" t="e">
        <f t="shared" ref="BG137:BZ137" si="164">AL137*$AJ137</f>
        <v>#DIV/0!</v>
      </c>
      <c r="BH137" s="49" t="e">
        <f t="shared" si="164"/>
        <v>#DIV/0!</v>
      </c>
      <c r="BI137" s="49" t="e">
        <f t="shared" si="164"/>
        <v>#DIV/0!</v>
      </c>
      <c r="BJ137" s="49" t="e">
        <f t="shared" si="164"/>
        <v>#DIV/0!</v>
      </c>
      <c r="BK137" s="49" t="e">
        <f t="shared" si="164"/>
        <v>#DIV/0!</v>
      </c>
      <c r="BL137" s="49" t="e">
        <f t="shared" si="164"/>
        <v>#DIV/0!</v>
      </c>
      <c r="BM137" s="49" t="e">
        <f t="shared" si="164"/>
        <v>#DIV/0!</v>
      </c>
      <c r="BN137" s="49" t="e">
        <f t="shared" si="164"/>
        <v>#DIV/0!</v>
      </c>
      <c r="BO137" s="49" t="e">
        <f t="shared" si="164"/>
        <v>#DIV/0!</v>
      </c>
      <c r="BP137" s="49" t="e">
        <f t="shared" si="164"/>
        <v>#DIV/0!</v>
      </c>
      <c r="BQ137" s="49" t="e">
        <f t="shared" si="164"/>
        <v>#DIV/0!</v>
      </c>
      <c r="BR137" s="49" t="e">
        <f t="shared" si="164"/>
        <v>#DIV/0!</v>
      </c>
      <c r="BS137" s="20" t="e">
        <f t="shared" si="164"/>
        <v>#DIV/0!</v>
      </c>
      <c r="BT137" s="20" t="e">
        <f t="shared" si="164"/>
        <v>#DIV/0!</v>
      </c>
      <c r="BU137" s="49" t="e">
        <f t="shared" si="164"/>
        <v>#DIV/0!</v>
      </c>
      <c r="BV137" s="20" t="e">
        <f t="shared" si="164"/>
        <v>#DIV/0!</v>
      </c>
      <c r="BW137" s="20" t="e">
        <f t="shared" si="164"/>
        <v>#DIV/0!</v>
      </c>
      <c r="BX137" s="20" t="e">
        <f t="shared" si="164"/>
        <v>#DIV/0!</v>
      </c>
      <c r="BY137" s="20" t="e">
        <f t="shared" si="164"/>
        <v>#DIV/0!</v>
      </c>
      <c r="BZ137" s="99" t="e">
        <f t="shared" si="164"/>
        <v>#DIV/0!</v>
      </c>
    </row>
    <row r="138" spans="2:78" ht="16.5" thickBot="1" x14ac:dyDescent="0.3">
      <c r="B138" s="403"/>
      <c r="C138" s="139"/>
      <c r="D138" s="121" t="s">
        <v>40</v>
      </c>
      <c r="E138" s="4"/>
      <c r="F138" s="122"/>
      <c r="G138" s="274"/>
      <c r="H138" s="278"/>
      <c r="I138" s="124"/>
      <c r="J138" s="125"/>
      <c r="K138" s="126"/>
      <c r="L138" s="124"/>
      <c r="M138" s="140"/>
      <c r="N138" s="278"/>
      <c r="O138" s="124"/>
      <c r="P138" s="125"/>
      <c r="Q138" s="124"/>
      <c r="R138" s="125"/>
      <c r="S138" s="140"/>
      <c r="T138" s="124"/>
      <c r="U138" s="124"/>
      <c r="V138" s="278"/>
      <c r="W138" s="124"/>
      <c r="X138" s="125"/>
      <c r="Y138" s="126"/>
      <c r="Z138" s="124"/>
      <c r="AA138" s="140"/>
      <c r="AB138" s="215"/>
      <c r="AC138" s="304"/>
      <c r="AD138" s="205"/>
      <c r="AE138" s="206"/>
      <c r="AF138" s="207"/>
      <c r="AG138" s="212"/>
      <c r="AH138" s="208"/>
      <c r="AI138" s="208"/>
      <c r="AJ138" s="305"/>
      <c r="AK138" s="173"/>
      <c r="AL138" s="283"/>
      <c r="AM138" s="132"/>
      <c r="AN138" s="131"/>
      <c r="AO138" s="132"/>
      <c r="AP138" s="131"/>
      <c r="AQ138" s="284"/>
      <c r="AR138" s="283"/>
      <c r="AS138" s="132"/>
      <c r="AT138" s="131"/>
      <c r="AU138" s="132"/>
      <c r="AV138" s="131"/>
      <c r="AW138" s="284"/>
      <c r="AX138" s="283"/>
      <c r="AY138" s="132"/>
      <c r="AZ138" s="283"/>
      <c r="BA138" s="133"/>
      <c r="BB138" s="131"/>
      <c r="BC138" s="133"/>
      <c r="BD138" s="131"/>
      <c r="BE138" s="284"/>
      <c r="BF138" s="46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127"/>
      <c r="BT138" s="127"/>
      <c r="BU138" s="64"/>
      <c r="BV138" s="127"/>
      <c r="BW138" s="127"/>
      <c r="BX138" s="127"/>
      <c r="BY138" s="127"/>
      <c r="BZ138" s="100"/>
    </row>
    <row r="139" spans="2:78" x14ac:dyDescent="0.25">
      <c r="B139" s="401" t="str">
        <f t="shared" ref="B139" si="165">B87</f>
        <v>Oct 27-Nov 2</v>
      </c>
      <c r="C139" s="120"/>
      <c r="D139" s="55" t="s">
        <v>39</v>
      </c>
      <c r="E139" s="3"/>
      <c r="F139" s="39"/>
      <c r="G139" s="272"/>
      <c r="H139" s="277"/>
      <c r="I139" s="40"/>
      <c r="J139" s="41"/>
      <c r="K139" s="42"/>
      <c r="L139" s="40"/>
      <c r="M139" s="58"/>
      <c r="N139" s="277"/>
      <c r="O139" s="40"/>
      <c r="P139" s="41"/>
      <c r="Q139" s="40"/>
      <c r="R139" s="41"/>
      <c r="S139" s="58"/>
      <c r="T139" s="40"/>
      <c r="U139" s="40"/>
      <c r="V139" s="277"/>
      <c r="W139" s="40"/>
      <c r="X139" s="41"/>
      <c r="Y139" s="42"/>
      <c r="Z139" s="40"/>
      <c r="AA139" s="58"/>
      <c r="AB139" s="215"/>
      <c r="AC139" s="300"/>
      <c r="AD139" s="193"/>
      <c r="AE139" s="195" t="e">
        <f>SUM(AC139:AC141)/SUM(AD139:AD141)</f>
        <v>#DIV/0!</v>
      </c>
      <c r="AF139" s="195" t="e">
        <f>SUM(F139:F141)/SUM(E139:E141)</f>
        <v>#DIV/0!</v>
      </c>
      <c r="AG139" s="210">
        <v>16.100000000000001</v>
      </c>
      <c r="AH139" s="196" t="e">
        <f>AE139*AF139*AG139</f>
        <v>#DIV/0!</v>
      </c>
      <c r="AI139" s="197" t="e">
        <f>AH139/AI$51</f>
        <v>#DIV/0!</v>
      </c>
      <c r="AJ139" s="301" t="e">
        <f>AI139*5</f>
        <v>#DIV/0!</v>
      </c>
      <c r="AK139" s="181" t="e">
        <f>AJ139/AB87</f>
        <v>#DIV/0!</v>
      </c>
      <c r="AL139" s="279" t="e">
        <f t="shared" ref="AL139:BE139" si="166">AL87</f>
        <v>#DIV/0!</v>
      </c>
      <c r="AM139" s="129" t="e">
        <f t="shared" si="166"/>
        <v>#DIV/0!</v>
      </c>
      <c r="AN139" s="128" t="e">
        <f t="shared" si="166"/>
        <v>#DIV/0!</v>
      </c>
      <c r="AO139" s="129" t="e">
        <f t="shared" si="166"/>
        <v>#DIV/0!</v>
      </c>
      <c r="AP139" s="128" t="e">
        <f t="shared" si="166"/>
        <v>#DIV/0!</v>
      </c>
      <c r="AQ139" s="280" t="e">
        <f t="shared" si="166"/>
        <v>#DIV/0!</v>
      </c>
      <c r="AR139" s="279" t="e">
        <f t="shared" si="166"/>
        <v>#DIV/0!</v>
      </c>
      <c r="AS139" s="129" t="e">
        <f t="shared" si="166"/>
        <v>#DIV/0!</v>
      </c>
      <c r="AT139" s="128" t="e">
        <f t="shared" si="166"/>
        <v>#DIV/0!</v>
      </c>
      <c r="AU139" s="129" t="e">
        <f t="shared" si="166"/>
        <v>#DIV/0!</v>
      </c>
      <c r="AV139" s="128" t="e">
        <f t="shared" si="166"/>
        <v>#DIV/0!</v>
      </c>
      <c r="AW139" s="280" t="e">
        <f t="shared" si="166"/>
        <v>#DIV/0!</v>
      </c>
      <c r="AX139" s="279" t="e">
        <f t="shared" si="166"/>
        <v>#DIV/0!</v>
      </c>
      <c r="AY139" s="129" t="e">
        <f t="shared" si="166"/>
        <v>#DIV/0!</v>
      </c>
      <c r="AZ139" s="279" t="e">
        <f t="shared" si="166"/>
        <v>#DIV/0!</v>
      </c>
      <c r="BA139" s="130" t="e">
        <f t="shared" si="166"/>
        <v>#DIV/0!</v>
      </c>
      <c r="BB139" s="128" t="e">
        <f t="shared" si="166"/>
        <v>#DIV/0!</v>
      </c>
      <c r="BC139" s="130" t="e">
        <f t="shared" si="166"/>
        <v>#DIV/0!</v>
      </c>
      <c r="BD139" s="128" t="e">
        <f t="shared" si="166"/>
        <v>#DIV/0!</v>
      </c>
      <c r="BE139" s="280" t="e">
        <f t="shared" si="166"/>
        <v>#DIV/0!</v>
      </c>
      <c r="BF139" s="46"/>
      <c r="BG139" s="49" t="e">
        <f t="shared" ref="BG139:BZ139" si="167">AL139*$AJ139</f>
        <v>#DIV/0!</v>
      </c>
      <c r="BH139" s="49" t="e">
        <f t="shared" si="167"/>
        <v>#DIV/0!</v>
      </c>
      <c r="BI139" s="49" t="e">
        <f t="shared" si="167"/>
        <v>#DIV/0!</v>
      </c>
      <c r="BJ139" s="49" t="e">
        <f t="shared" si="167"/>
        <v>#DIV/0!</v>
      </c>
      <c r="BK139" s="49" t="e">
        <f t="shared" si="167"/>
        <v>#DIV/0!</v>
      </c>
      <c r="BL139" s="49" t="e">
        <f t="shared" si="167"/>
        <v>#DIV/0!</v>
      </c>
      <c r="BM139" s="49" t="e">
        <f t="shared" si="167"/>
        <v>#DIV/0!</v>
      </c>
      <c r="BN139" s="49" t="e">
        <f t="shared" si="167"/>
        <v>#DIV/0!</v>
      </c>
      <c r="BO139" s="49" t="e">
        <f t="shared" si="167"/>
        <v>#DIV/0!</v>
      </c>
      <c r="BP139" s="49" t="e">
        <f t="shared" si="167"/>
        <v>#DIV/0!</v>
      </c>
      <c r="BQ139" s="49" t="e">
        <f t="shared" si="167"/>
        <v>#DIV/0!</v>
      </c>
      <c r="BR139" s="49" t="e">
        <f t="shared" si="167"/>
        <v>#DIV/0!</v>
      </c>
      <c r="BS139" s="20" t="e">
        <f t="shared" si="167"/>
        <v>#DIV/0!</v>
      </c>
      <c r="BT139" s="20" t="e">
        <f t="shared" si="167"/>
        <v>#DIV/0!</v>
      </c>
      <c r="BU139" s="49" t="e">
        <f t="shared" si="167"/>
        <v>#DIV/0!</v>
      </c>
      <c r="BV139" s="20" t="e">
        <f t="shared" si="167"/>
        <v>#DIV/0!</v>
      </c>
      <c r="BW139" s="20" t="e">
        <f t="shared" si="167"/>
        <v>#DIV/0!</v>
      </c>
      <c r="BX139" s="20" t="e">
        <f t="shared" si="167"/>
        <v>#DIV/0!</v>
      </c>
      <c r="BY139" s="20" t="e">
        <f t="shared" si="167"/>
        <v>#DIV/0!</v>
      </c>
      <c r="BZ139" s="99" t="e">
        <f t="shared" si="167"/>
        <v>#DIV/0!</v>
      </c>
    </row>
    <row r="140" spans="2:78" x14ac:dyDescent="0.25">
      <c r="B140" s="402"/>
      <c r="C140" s="50"/>
      <c r="D140" s="56" t="s">
        <v>39</v>
      </c>
      <c r="E140" s="34"/>
      <c r="F140" s="31"/>
      <c r="G140" s="273"/>
      <c r="H140" s="267"/>
      <c r="J140" s="45"/>
      <c r="K140" s="46"/>
      <c r="M140" s="52"/>
      <c r="N140" s="267"/>
      <c r="P140" s="45"/>
      <c r="R140" s="45"/>
      <c r="S140" s="52"/>
      <c r="V140" s="267"/>
      <c r="X140" s="45"/>
      <c r="Y140" s="46"/>
      <c r="AA140" s="52"/>
      <c r="AB140" s="215"/>
      <c r="AC140" s="302"/>
      <c r="AD140" s="199"/>
      <c r="AE140" s="200"/>
      <c r="AF140" s="201"/>
      <c r="AG140" s="211"/>
      <c r="AH140" s="202"/>
      <c r="AI140" s="202"/>
      <c r="AJ140" s="303"/>
      <c r="AK140" s="172"/>
      <c r="AL140" s="281"/>
      <c r="AM140" s="48"/>
      <c r="AN140" s="47"/>
      <c r="AO140" s="48"/>
      <c r="AP140" s="47"/>
      <c r="AQ140" s="282"/>
      <c r="AR140" s="281"/>
      <c r="AS140" s="48"/>
      <c r="AT140" s="47"/>
      <c r="AU140" s="48"/>
      <c r="AV140" s="47"/>
      <c r="AW140" s="282"/>
      <c r="AX140" s="281"/>
      <c r="AY140" s="48"/>
      <c r="AZ140" s="281"/>
      <c r="BA140" s="51"/>
      <c r="BB140" s="47"/>
      <c r="BC140" s="51"/>
      <c r="BD140" s="47"/>
      <c r="BE140" s="282"/>
      <c r="BF140" s="46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20"/>
      <c r="BT140" s="20"/>
      <c r="BU140" s="49"/>
      <c r="BV140" s="20"/>
      <c r="BW140" s="20"/>
      <c r="BX140" s="20"/>
      <c r="BY140" s="20"/>
      <c r="BZ140" s="99"/>
    </row>
    <row r="141" spans="2:78" x14ac:dyDescent="0.25">
      <c r="B141" s="402"/>
      <c r="C141" s="50"/>
      <c r="D141" s="56" t="s">
        <v>39</v>
      </c>
      <c r="E141" s="34"/>
      <c r="F141" s="31"/>
      <c r="G141" s="273"/>
      <c r="H141" s="267"/>
      <c r="J141" s="45"/>
      <c r="K141" s="46"/>
      <c r="M141" s="52"/>
      <c r="N141" s="267"/>
      <c r="P141" s="45"/>
      <c r="R141" s="45"/>
      <c r="S141" s="52"/>
      <c r="V141" s="267"/>
      <c r="X141" s="45"/>
      <c r="Y141" s="46"/>
      <c r="AA141" s="52"/>
      <c r="AB141" s="215"/>
      <c r="AC141" s="302"/>
      <c r="AD141" s="199"/>
      <c r="AE141" s="200"/>
      <c r="AF141" s="201"/>
      <c r="AG141" s="211"/>
      <c r="AH141" s="202"/>
      <c r="AI141" s="202"/>
      <c r="AJ141" s="303"/>
      <c r="AK141" s="172"/>
      <c r="AL141" s="281"/>
      <c r="AM141" s="48"/>
      <c r="AN141" s="47"/>
      <c r="AO141" s="48"/>
      <c r="AP141" s="47"/>
      <c r="AQ141" s="282"/>
      <c r="AR141" s="281"/>
      <c r="AS141" s="48"/>
      <c r="AT141" s="47"/>
      <c r="AU141" s="48"/>
      <c r="AV141" s="47"/>
      <c r="AW141" s="282"/>
      <c r="AX141" s="281"/>
      <c r="AY141" s="48"/>
      <c r="AZ141" s="281"/>
      <c r="BA141" s="51"/>
      <c r="BB141" s="47"/>
      <c r="BC141" s="51"/>
      <c r="BD141" s="47"/>
      <c r="BE141" s="282"/>
      <c r="BF141" s="46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20"/>
      <c r="BT141" s="20"/>
      <c r="BU141" s="49"/>
      <c r="BV141" s="20"/>
      <c r="BW141" s="20"/>
      <c r="BX141" s="20"/>
      <c r="BY141" s="20"/>
      <c r="BZ141" s="99"/>
    </row>
    <row r="142" spans="2:78" x14ac:dyDescent="0.25">
      <c r="B142" s="402"/>
      <c r="C142" s="50"/>
      <c r="D142" s="56" t="s">
        <v>40</v>
      </c>
      <c r="E142" s="34"/>
      <c r="F142" s="31"/>
      <c r="G142" s="273"/>
      <c r="H142" s="267"/>
      <c r="J142" s="45"/>
      <c r="K142" s="46"/>
      <c r="M142" s="52"/>
      <c r="N142" s="267"/>
      <c r="P142" s="45"/>
      <c r="R142" s="45"/>
      <c r="S142" s="52"/>
      <c r="V142" s="267"/>
      <c r="X142" s="45"/>
      <c r="Y142" s="46"/>
      <c r="AA142" s="52"/>
      <c r="AB142" s="215"/>
      <c r="AC142" s="302"/>
      <c r="AD142" s="199"/>
      <c r="AE142" s="200" t="e">
        <f>SUM(AC142:AC143)/SUM(AD142:AD143)</f>
        <v>#DIV/0!</v>
      </c>
      <c r="AF142" s="200" t="e">
        <f>SUM(F142:F143)/SUM(E142:E143)</f>
        <v>#DIV/0!</v>
      </c>
      <c r="AG142" s="211">
        <v>16.100000000000001</v>
      </c>
      <c r="AH142" s="202" t="e">
        <f>AE142*AF142*AG142</f>
        <v>#DIV/0!</v>
      </c>
      <c r="AI142" s="203" t="e">
        <f t="shared" ref="AI142" si="168">AH142/AI$51</f>
        <v>#DIV/0!</v>
      </c>
      <c r="AJ142" s="303" t="e">
        <f>AI142*2</f>
        <v>#DIV/0!</v>
      </c>
      <c r="AK142" s="181" t="e">
        <f>AJ142/AB90</f>
        <v>#DIV/0!</v>
      </c>
      <c r="AL142" s="281" t="e">
        <f t="shared" ref="AL142:BE142" si="169">AL90</f>
        <v>#DIV/0!</v>
      </c>
      <c r="AM142" s="48" t="e">
        <f t="shared" si="169"/>
        <v>#DIV/0!</v>
      </c>
      <c r="AN142" s="47" t="e">
        <f t="shared" si="169"/>
        <v>#DIV/0!</v>
      </c>
      <c r="AO142" s="48" t="e">
        <f t="shared" si="169"/>
        <v>#DIV/0!</v>
      </c>
      <c r="AP142" s="47" t="e">
        <f t="shared" si="169"/>
        <v>#DIV/0!</v>
      </c>
      <c r="AQ142" s="282" t="e">
        <f t="shared" si="169"/>
        <v>#DIV/0!</v>
      </c>
      <c r="AR142" s="281" t="e">
        <f t="shared" si="169"/>
        <v>#DIV/0!</v>
      </c>
      <c r="AS142" s="48" t="e">
        <f t="shared" si="169"/>
        <v>#DIV/0!</v>
      </c>
      <c r="AT142" s="47" t="e">
        <f t="shared" si="169"/>
        <v>#DIV/0!</v>
      </c>
      <c r="AU142" s="48" t="e">
        <f t="shared" si="169"/>
        <v>#DIV/0!</v>
      </c>
      <c r="AV142" s="47" t="e">
        <f t="shared" si="169"/>
        <v>#DIV/0!</v>
      </c>
      <c r="AW142" s="282" t="e">
        <f t="shared" si="169"/>
        <v>#DIV/0!</v>
      </c>
      <c r="AX142" s="281" t="e">
        <f t="shared" si="169"/>
        <v>#DIV/0!</v>
      </c>
      <c r="AY142" s="48" t="e">
        <f t="shared" si="169"/>
        <v>#DIV/0!</v>
      </c>
      <c r="AZ142" s="281" t="e">
        <f t="shared" si="169"/>
        <v>#DIV/0!</v>
      </c>
      <c r="BA142" s="51" t="e">
        <f t="shared" si="169"/>
        <v>#DIV/0!</v>
      </c>
      <c r="BB142" s="47" t="e">
        <f t="shared" si="169"/>
        <v>#DIV/0!</v>
      </c>
      <c r="BC142" s="51" t="e">
        <f t="shared" si="169"/>
        <v>#DIV/0!</v>
      </c>
      <c r="BD142" s="47" t="e">
        <f t="shared" si="169"/>
        <v>#DIV/0!</v>
      </c>
      <c r="BE142" s="282" t="e">
        <f t="shared" si="169"/>
        <v>#DIV/0!</v>
      </c>
      <c r="BF142" s="46"/>
      <c r="BG142" s="49" t="e">
        <f t="shared" ref="BG142:BZ142" si="170">AL142*$AJ142</f>
        <v>#DIV/0!</v>
      </c>
      <c r="BH142" s="49" t="e">
        <f t="shared" si="170"/>
        <v>#DIV/0!</v>
      </c>
      <c r="BI142" s="49" t="e">
        <f t="shared" si="170"/>
        <v>#DIV/0!</v>
      </c>
      <c r="BJ142" s="49" t="e">
        <f t="shared" si="170"/>
        <v>#DIV/0!</v>
      </c>
      <c r="BK142" s="49" t="e">
        <f t="shared" si="170"/>
        <v>#DIV/0!</v>
      </c>
      <c r="BL142" s="49" t="e">
        <f t="shared" si="170"/>
        <v>#DIV/0!</v>
      </c>
      <c r="BM142" s="49" t="e">
        <f t="shared" si="170"/>
        <v>#DIV/0!</v>
      </c>
      <c r="BN142" s="49" t="e">
        <f t="shared" si="170"/>
        <v>#DIV/0!</v>
      </c>
      <c r="BO142" s="49" t="e">
        <f t="shared" si="170"/>
        <v>#DIV/0!</v>
      </c>
      <c r="BP142" s="49" t="e">
        <f t="shared" si="170"/>
        <v>#DIV/0!</v>
      </c>
      <c r="BQ142" s="49" t="e">
        <f t="shared" si="170"/>
        <v>#DIV/0!</v>
      </c>
      <c r="BR142" s="49" t="e">
        <f t="shared" si="170"/>
        <v>#DIV/0!</v>
      </c>
      <c r="BS142" s="20" t="e">
        <f t="shared" si="170"/>
        <v>#DIV/0!</v>
      </c>
      <c r="BT142" s="20" t="e">
        <f t="shared" si="170"/>
        <v>#DIV/0!</v>
      </c>
      <c r="BU142" s="49" t="e">
        <f t="shared" si="170"/>
        <v>#DIV/0!</v>
      </c>
      <c r="BV142" s="20" t="e">
        <f t="shared" si="170"/>
        <v>#DIV/0!</v>
      </c>
      <c r="BW142" s="20" t="e">
        <f t="shared" si="170"/>
        <v>#DIV/0!</v>
      </c>
      <c r="BX142" s="20" t="e">
        <f t="shared" si="170"/>
        <v>#DIV/0!</v>
      </c>
      <c r="BY142" s="20" t="e">
        <f t="shared" si="170"/>
        <v>#DIV/0!</v>
      </c>
      <c r="BZ142" s="99" t="e">
        <f t="shared" si="170"/>
        <v>#DIV/0!</v>
      </c>
    </row>
    <row r="143" spans="2:78" ht="16.5" thickBot="1" x14ac:dyDescent="0.3">
      <c r="B143" s="403"/>
      <c r="C143" s="141"/>
      <c r="D143" s="142" t="s">
        <v>40</v>
      </c>
      <c r="E143" s="213"/>
      <c r="F143" s="143"/>
      <c r="G143" s="275"/>
      <c r="H143" s="251"/>
      <c r="I143" s="119"/>
      <c r="J143" s="144"/>
      <c r="K143" s="145"/>
      <c r="L143" s="119"/>
      <c r="M143" s="146"/>
      <c r="N143" s="251"/>
      <c r="O143" s="119"/>
      <c r="P143" s="144"/>
      <c r="Q143" s="119"/>
      <c r="R143" s="144"/>
      <c r="S143" s="146"/>
      <c r="T143" s="119"/>
      <c r="U143" s="119"/>
      <c r="V143" s="251"/>
      <c r="W143" s="119"/>
      <c r="X143" s="144"/>
      <c r="Y143" s="145"/>
      <c r="Z143" s="119"/>
      <c r="AA143" s="146"/>
      <c r="AB143" s="215"/>
      <c r="AC143" s="304"/>
      <c r="AD143" s="205"/>
      <c r="AE143" s="206"/>
      <c r="AF143" s="207"/>
      <c r="AG143" s="212"/>
      <c r="AH143" s="208"/>
      <c r="AI143" s="208"/>
      <c r="AJ143" s="305"/>
      <c r="AK143" s="173"/>
      <c r="AL143" s="283"/>
      <c r="AM143" s="132"/>
      <c r="AN143" s="131"/>
      <c r="AO143" s="132"/>
      <c r="AP143" s="131"/>
      <c r="AQ143" s="284"/>
      <c r="AR143" s="283"/>
      <c r="AS143" s="132"/>
      <c r="AT143" s="131"/>
      <c r="AU143" s="132"/>
      <c r="AV143" s="131"/>
      <c r="AW143" s="284"/>
      <c r="AX143" s="283"/>
      <c r="AY143" s="132"/>
      <c r="AZ143" s="283"/>
      <c r="BA143" s="133"/>
      <c r="BB143" s="131"/>
      <c r="BC143" s="133"/>
      <c r="BD143" s="131"/>
      <c r="BE143" s="284"/>
      <c r="BF143" s="46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127"/>
      <c r="BT143" s="127"/>
      <c r="BU143" s="64"/>
      <c r="BV143" s="127"/>
      <c r="BW143" s="127"/>
      <c r="BX143" s="127"/>
      <c r="BY143" s="127"/>
      <c r="BZ143" s="100"/>
    </row>
    <row r="144" spans="2:78" x14ac:dyDescent="0.25">
      <c r="B144" s="401" t="str">
        <f t="shared" ref="B144" si="171">B92</f>
        <v>Nov 3-9</v>
      </c>
      <c r="C144" s="120"/>
      <c r="D144" s="55" t="s">
        <v>39</v>
      </c>
      <c r="E144" s="3"/>
      <c r="F144" s="39"/>
      <c r="G144" s="272"/>
      <c r="H144" s="277"/>
      <c r="I144" s="40"/>
      <c r="J144" s="41"/>
      <c r="K144" s="42"/>
      <c r="L144" s="40"/>
      <c r="M144" s="58"/>
      <c r="N144" s="277"/>
      <c r="O144" s="40"/>
      <c r="P144" s="41"/>
      <c r="Q144" s="40"/>
      <c r="R144" s="41"/>
      <c r="S144" s="58"/>
      <c r="T144" s="40"/>
      <c r="U144" s="40"/>
      <c r="V144" s="277"/>
      <c r="W144" s="40"/>
      <c r="X144" s="41"/>
      <c r="Y144" s="42"/>
      <c r="Z144" s="40"/>
      <c r="AA144" s="58"/>
      <c r="AB144" s="215"/>
      <c r="AC144" s="300"/>
      <c r="AD144" s="193"/>
      <c r="AE144" s="195" t="e">
        <f>SUM(AC144:AC146)/SUM(AD144:AD146)</f>
        <v>#DIV/0!</v>
      </c>
      <c r="AF144" s="195" t="e">
        <f>SUM(F144:F146)/SUM(E144:E146)</f>
        <v>#DIV/0!</v>
      </c>
      <c r="AG144" s="210">
        <v>16.100000000000001</v>
      </c>
      <c r="AH144" s="196" t="e">
        <f>AE144*AF144*AG144</f>
        <v>#DIV/0!</v>
      </c>
      <c r="AI144" s="197" t="e">
        <f>AH144/AI$51</f>
        <v>#DIV/0!</v>
      </c>
      <c r="AJ144" s="301" t="e">
        <f>AI144*5</f>
        <v>#DIV/0!</v>
      </c>
      <c r="AK144" s="181" t="e">
        <f>AJ144/AB92</f>
        <v>#DIV/0!</v>
      </c>
      <c r="AL144" s="279" t="e">
        <f t="shared" ref="AL144:BE144" si="172">AL92</f>
        <v>#DIV/0!</v>
      </c>
      <c r="AM144" s="129" t="e">
        <f t="shared" si="172"/>
        <v>#DIV/0!</v>
      </c>
      <c r="AN144" s="128" t="e">
        <f t="shared" si="172"/>
        <v>#DIV/0!</v>
      </c>
      <c r="AO144" s="129" t="e">
        <f t="shared" si="172"/>
        <v>#DIV/0!</v>
      </c>
      <c r="AP144" s="128" t="e">
        <f t="shared" si="172"/>
        <v>#DIV/0!</v>
      </c>
      <c r="AQ144" s="280" t="e">
        <f t="shared" si="172"/>
        <v>#DIV/0!</v>
      </c>
      <c r="AR144" s="279" t="e">
        <f t="shared" si="172"/>
        <v>#DIV/0!</v>
      </c>
      <c r="AS144" s="129" t="e">
        <f t="shared" si="172"/>
        <v>#DIV/0!</v>
      </c>
      <c r="AT144" s="128" t="e">
        <f t="shared" si="172"/>
        <v>#DIV/0!</v>
      </c>
      <c r="AU144" s="129" t="e">
        <f t="shared" si="172"/>
        <v>#DIV/0!</v>
      </c>
      <c r="AV144" s="128" t="e">
        <f t="shared" si="172"/>
        <v>#DIV/0!</v>
      </c>
      <c r="AW144" s="280" t="e">
        <f t="shared" si="172"/>
        <v>#DIV/0!</v>
      </c>
      <c r="AX144" s="279" t="e">
        <f t="shared" si="172"/>
        <v>#DIV/0!</v>
      </c>
      <c r="AY144" s="129" t="e">
        <f t="shared" si="172"/>
        <v>#DIV/0!</v>
      </c>
      <c r="AZ144" s="279" t="e">
        <f t="shared" si="172"/>
        <v>#DIV/0!</v>
      </c>
      <c r="BA144" s="130" t="e">
        <f t="shared" si="172"/>
        <v>#DIV/0!</v>
      </c>
      <c r="BB144" s="128" t="e">
        <f t="shared" si="172"/>
        <v>#DIV/0!</v>
      </c>
      <c r="BC144" s="130" t="e">
        <f t="shared" si="172"/>
        <v>#DIV/0!</v>
      </c>
      <c r="BD144" s="128" t="e">
        <f t="shared" si="172"/>
        <v>#DIV/0!</v>
      </c>
      <c r="BE144" s="280" t="e">
        <f t="shared" si="172"/>
        <v>#DIV/0!</v>
      </c>
      <c r="BF144" s="46"/>
      <c r="BG144" s="49" t="e">
        <f t="shared" ref="BG144:BZ144" si="173">AL144*$AJ144</f>
        <v>#DIV/0!</v>
      </c>
      <c r="BH144" s="49" t="e">
        <f t="shared" si="173"/>
        <v>#DIV/0!</v>
      </c>
      <c r="BI144" s="49" t="e">
        <f t="shared" si="173"/>
        <v>#DIV/0!</v>
      </c>
      <c r="BJ144" s="49" t="e">
        <f t="shared" si="173"/>
        <v>#DIV/0!</v>
      </c>
      <c r="BK144" s="49" t="e">
        <f t="shared" si="173"/>
        <v>#DIV/0!</v>
      </c>
      <c r="BL144" s="49" t="e">
        <f t="shared" si="173"/>
        <v>#DIV/0!</v>
      </c>
      <c r="BM144" s="49" t="e">
        <f t="shared" si="173"/>
        <v>#DIV/0!</v>
      </c>
      <c r="BN144" s="49" t="e">
        <f t="shared" si="173"/>
        <v>#DIV/0!</v>
      </c>
      <c r="BO144" s="49" t="e">
        <f t="shared" si="173"/>
        <v>#DIV/0!</v>
      </c>
      <c r="BP144" s="49" t="e">
        <f t="shared" si="173"/>
        <v>#DIV/0!</v>
      </c>
      <c r="BQ144" s="49" t="e">
        <f t="shared" si="173"/>
        <v>#DIV/0!</v>
      </c>
      <c r="BR144" s="49" t="e">
        <f t="shared" si="173"/>
        <v>#DIV/0!</v>
      </c>
      <c r="BS144" s="20" t="e">
        <f t="shared" si="173"/>
        <v>#DIV/0!</v>
      </c>
      <c r="BT144" s="20" t="e">
        <f t="shared" si="173"/>
        <v>#DIV/0!</v>
      </c>
      <c r="BU144" s="49" t="e">
        <f t="shared" si="173"/>
        <v>#DIV/0!</v>
      </c>
      <c r="BV144" s="20" t="e">
        <f t="shared" si="173"/>
        <v>#DIV/0!</v>
      </c>
      <c r="BW144" s="20" t="e">
        <f t="shared" si="173"/>
        <v>#DIV/0!</v>
      </c>
      <c r="BX144" s="20" t="e">
        <f t="shared" si="173"/>
        <v>#DIV/0!</v>
      </c>
      <c r="BY144" s="20" t="e">
        <f t="shared" si="173"/>
        <v>#DIV/0!</v>
      </c>
      <c r="BZ144" s="99" t="e">
        <f t="shared" si="173"/>
        <v>#DIV/0!</v>
      </c>
    </row>
    <row r="145" spans="2:78" x14ac:dyDescent="0.25">
      <c r="B145" s="402"/>
      <c r="C145" s="50"/>
      <c r="D145" s="56" t="s">
        <v>39</v>
      </c>
      <c r="E145" s="34"/>
      <c r="F145" s="31"/>
      <c r="G145" s="273"/>
      <c r="H145" s="267"/>
      <c r="J145" s="45"/>
      <c r="K145" s="46"/>
      <c r="M145" s="52"/>
      <c r="N145" s="267"/>
      <c r="P145" s="45"/>
      <c r="R145" s="45"/>
      <c r="S145" s="52"/>
      <c r="V145" s="267"/>
      <c r="X145" s="45"/>
      <c r="Y145" s="46"/>
      <c r="AA145" s="52"/>
      <c r="AB145" s="215"/>
      <c r="AC145" s="302"/>
      <c r="AD145" s="199"/>
      <c r="AE145" s="200"/>
      <c r="AF145" s="201"/>
      <c r="AG145" s="211"/>
      <c r="AH145" s="202"/>
      <c r="AI145" s="202"/>
      <c r="AJ145" s="303"/>
      <c r="AK145" s="172"/>
      <c r="AL145" s="281"/>
      <c r="AM145" s="48"/>
      <c r="AN145" s="47"/>
      <c r="AO145" s="48"/>
      <c r="AP145" s="47"/>
      <c r="AQ145" s="282"/>
      <c r="AR145" s="281"/>
      <c r="AS145" s="48"/>
      <c r="AT145" s="47"/>
      <c r="AU145" s="48"/>
      <c r="AV145" s="47"/>
      <c r="AW145" s="282"/>
      <c r="AX145" s="281"/>
      <c r="AY145" s="48"/>
      <c r="AZ145" s="281"/>
      <c r="BA145" s="51"/>
      <c r="BB145" s="47"/>
      <c r="BC145" s="51"/>
      <c r="BD145" s="47"/>
      <c r="BE145" s="282"/>
      <c r="BF145" s="46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20"/>
      <c r="BT145" s="20"/>
      <c r="BU145" s="49"/>
      <c r="BV145" s="20"/>
      <c r="BW145" s="20"/>
      <c r="BX145" s="20"/>
      <c r="BY145" s="20"/>
      <c r="BZ145" s="99"/>
    </row>
    <row r="146" spans="2:78" x14ac:dyDescent="0.25">
      <c r="B146" s="402"/>
      <c r="C146" s="50"/>
      <c r="D146" s="56" t="s">
        <v>39</v>
      </c>
      <c r="E146" s="34"/>
      <c r="F146" s="31"/>
      <c r="G146" s="273"/>
      <c r="H146" s="267"/>
      <c r="J146" s="45"/>
      <c r="K146" s="46"/>
      <c r="M146" s="52"/>
      <c r="N146" s="267"/>
      <c r="P146" s="45"/>
      <c r="R146" s="45"/>
      <c r="S146" s="52"/>
      <c r="V146" s="267"/>
      <c r="X146" s="45"/>
      <c r="Y146" s="46"/>
      <c r="AA146" s="52"/>
      <c r="AB146" s="215"/>
      <c r="AC146" s="302"/>
      <c r="AD146" s="199"/>
      <c r="AE146" s="200"/>
      <c r="AF146" s="201"/>
      <c r="AG146" s="211"/>
      <c r="AH146" s="202"/>
      <c r="AI146" s="202"/>
      <c r="AJ146" s="303"/>
      <c r="AK146" s="172"/>
      <c r="AL146" s="281"/>
      <c r="AM146" s="48"/>
      <c r="AN146" s="47"/>
      <c r="AO146" s="48"/>
      <c r="AP146" s="47"/>
      <c r="AQ146" s="282"/>
      <c r="AR146" s="281"/>
      <c r="AS146" s="48"/>
      <c r="AT146" s="47"/>
      <c r="AU146" s="48"/>
      <c r="AV146" s="47"/>
      <c r="AW146" s="282"/>
      <c r="AX146" s="281"/>
      <c r="AY146" s="48"/>
      <c r="AZ146" s="281"/>
      <c r="BA146" s="51"/>
      <c r="BB146" s="47"/>
      <c r="BC146" s="51"/>
      <c r="BD146" s="47"/>
      <c r="BE146" s="282"/>
      <c r="BF146" s="46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20"/>
      <c r="BT146" s="20"/>
      <c r="BU146" s="49"/>
      <c r="BV146" s="20"/>
      <c r="BW146" s="20"/>
      <c r="BX146" s="20"/>
      <c r="BY146" s="20"/>
      <c r="BZ146" s="99"/>
    </row>
    <row r="147" spans="2:78" x14ac:dyDescent="0.25">
      <c r="B147" s="402"/>
      <c r="C147" s="50"/>
      <c r="D147" s="56" t="s">
        <v>40</v>
      </c>
      <c r="E147" s="34"/>
      <c r="F147" s="31"/>
      <c r="G147" s="273"/>
      <c r="H147" s="267"/>
      <c r="J147" s="45"/>
      <c r="K147" s="46"/>
      <c r="M147" s="52"/>
      <c r="N147" s="267"/>
      <c r="P147" s="45"/>
      <c r="R147" s="45"/>
      <c r="S147" s="52"/>
      <c r="V147" s="267"/>
      <c r="X147" s="45"/>
      <c r="Y147" s="46"/>
      <c r="AA147" s="52"/>
      <c r="AB147" s="215"/>
      <c r="AC147" s="302"/>
      <c r="AD147" s="199"/>
      <c r="AE147" s="200" t="e">
        <f>SUM(AC147:AC148)/SUM(AD147:AD148)</f>
        <v>#DIV/0!</v>
      </c>
      <c r="AF147" s="200" t="e">
        <f>SUM(F147:F148)/SUM(E147:E148)</f>
        <v>#DIV/0!</v>
      </c>
      <c r="AG147" s="211">
        <v>16.100000000000001</v>
      </c>
      <c r="AH147" s="202" t="e">
        <f>AE147*AF147*AG147</f>
        <v>#DIV/0!</v>
      </c>
      <c r="AI147" s="203" t="e">
        <f t="shared" ref="AI147" si="174">AH147/AI$51</f>
        <v>#DIV/0!</v>
      </c>
      <c r="AJ147" s="303" t="e">
        <f>AI147*2</f>
        <v>#DIV/0!</v>
      </c>
      <c r="AK147" s="181" t="e">
        <f>AJ147/AB95</f>
        <v>#DIV/0!</v>
      </c>
      <c r="AL147" s="281" t="e">
        <f t="shared" ref="AL147:BE147" si="175">AL95</f>
        <v>#DIV/0!</v>
      </c>
      <c r="AM147" s="48" t="e">
        <f t="shared" si="175"/>
        <v>#DIV/0!</v>
      </c>
      <c r="AN147" s="47" t="e">
        <f t="shared" si="175"/>
        <v>#DIV/0!</v>
      </c>
      <c r="AO147" s="48" t="e">
        <f t="shared" si="175"/>
        <v>#DIV/0!</v>
      </c>
      <c r="AP147" s="47" t="e">
        <f t="shared" si="175"/>
        <v>#DIV/0!</v>
      </c>
      <c r="AQ147" s="282" t="e">
        <f t="shared" si="175"/>
        <v>#DIV/0!</v>
      </c>
      <c r="AR147" s="281" t="e">
        <f t="shared" si="175"/>
        <v>#DIV/0!</v>
      </c>
      <c r="AS147" s="48" t="e">
        <f t="shared" si="175"/>
        <v>#DIV/0!</v>
      </c>
      <c r="AT147" s="47" t="e">
        <f t="shared" si="175"/>
        <v>#DIV/0!</v>
      </c>
      <c r="AU147" s="48" t="e">
        <f t="shared" si="175"/>
        <v>#DIV/0!</v>
      </c>
      <c r="AV147" s="47" t="e">
        <f t="shared" si="175"/>
        <v>#DIV/0!</v>
      </c>
      <c r="AW147" s="282" t="e">
        <f t="shared" si="175"/>
        <v>#DIV/0!</v>
      </c>
      <c r="AX147" s="281" t="e">
        <f t="shared" si="175"/>
        <v>#DIV/0!</v>
      </c>
      <c r="AY147" s="48" t="e">
        <f t="shared" si="175"/>
        <v>#DIV/0!</v>
      </c>
      <c r="AZ147" s="281" t="e">
        <f t="shared" si="175"/>
        <v>#DIV/0!</v>
      </c>
      <c r="BA147" s="51" t="e">
        <f t="shared" si="175"/>
        <v>#DIV/0!</v>
      </c>
      <c r="BB147" s="47" t="e">
        <f t="shared" si="175"/>
        <v>#DIV/0!</v>
      </c>
      <c r="BC147" s="51" t="e">
        <f t="shared" si="175"/>
        <v>#DIV/0!</v>
      </c>
      <c r="BD147" s="47" t="e">
        <f t="shared" si="175"/>
        <v>#DIV/0!</v>
      </c>
      <c r="BE147" s="282" t="e">
        <f t="shared" si="175"/>
        <v>#DIV/0!</v>
      </c>
      <c r="BF147" s="46"/>
      <c r="BG147" s="49" t="e">
        <f t="shared" ref="BG147:BZ147" si="176">AL147*$AJ147</f>
        <v>#DIV/0!</v>
      </c>
      <c r="BH147" s="49" t="e">
        <f t="shared" si="176"/>
        <v>#DIV/0!</v>
      </c>
      <c r="BI147" s="49" t="e">
        <f t="shared" si="176"/>
        <v>#DIV/0!</v>
      </c>
      <c r="BJ147" s="49" t="e">
        <f t="shared" si="176"/>
        <v>#DIV/0!</v>
      </c>
      <c r="BK147" s="49" t="e">
        <f t="shared" si="176"/>
        <v>#DIV/0!</v>
      </c>
      <c r="BL147" s="49" t="e">
        <f t="shared" si="176"/>
        <v>#DIV/0!</v>
      </c>
      <c r="BM147" s="49" t="e">
        <f t="shared" si="176"/>
        <v>#DIV/0!</v>
      </c>
      <c r="BN147" s="49" t="e">
        <f t="shared" si="176"/>
        <v>#DIV/0!</v>
      </c>
      <c r="BO147" s="49" t="e">
        <f t="shared" si="176"/>
        <v>#DIV/0!</v>
      </c>
      <c r="BP147" s="49" t="e">
        <f t="shared" si="176"/>
        <v>#DIV/0!</v>
      </c>
      <c r="BQ147" s="49" t="e">
        <f t="shared" si="176"/>
        <v>#DIV/0!</v>
      </c>
      <c r="BR147" s="49" t="e">
        <f t="shared" si="176"/>
        <v>#DIV/0!</v>
      </c>
      <c r="BS147" s="20" t="e">
        <f t="shared" si="176"/>
        <v>#DIV/0!</v>
      </c>
      <c r="BT147" s="20" t="e">
        <f t="shared" si="176"/>
        <v>#DIV/0!</v>
      </c>
      <c r="BU147" s="49" t="e">
        <f t="shared" si="176"/>
        <v>#DIV/0!</v>
      </c>
      <c r="BV147" s="20" t="e">
        <f t="shared" si="176"/>
        <v>#DIV/0!</v>
      </c>
      <c r="BW147" s="20" t="e">
        <f t="shared" si="176"/>
        <v>#DIV/0!</v>
      </c>
      <c r="BX147" s="20" t="e">
        <f t="shared" si="176"/>
        <v>#DIV/0!</v>
      </c>
      <c r="BY147" s="20" t="e">
        <f t="shared" si="176"/>
        <v>#DIV/0!</v>
      </c>
      <c r="BZ147" s="99" t="e">
        <f t="shared" si="176"/>
        <v>#DIV/0!</v>
      </c>
    </row>
    <row r="148" spans="2:78" ht="16.5" thickBot="1" x14ac:dyDescent="0.3">
      <c r="B148" s="403"/>
      <c r="C148" s="141"/>
      <c r="D148" s="142" t="s">
        <v>40</v>
      </c>
      <c r="E148" s="213"/>
      <c r="F148" s="143"/>
      <c r="G148" s="275"/>
      <c r="H148" s="251"/>
      <c r="I148" s="119"/>
      <c r="J148" s="144"/>
      <c r="K148" s="145"/>
      <c r="L148" s="119"/>
      <c r="M148" s="146"/>
      <c r="N148" s="251"/>
      <c r="O148" s="119"/>
      <c r="P148" s="144"/>
      <c r="Q148" s="119"/>
      <c r="R148" s="144"/>
      <c r="S148" s="146"/>
      <c r="T148" s="119"/>
      <c r="U148" s="119"/>
      <c r="V148" s="251"/>
      <c r="W148" s="119"/>
      <c r="X148" s="125"/>
      <c r="Y148" s="126"/>
      <c r="Z148" s="119"/>
      <c r="AA148" s="146"/>
      <c r="AB148" s="215"/>
      <c r="AC148" s="306"/>
      <c r="AD148" s="307"/>
      <c r="AE148" s="308"/>
      <c r="AF148" s="309"/>
      <c r="AG148" s="310"/>
      <c r="AH148" s="311"/>
      <c r="AI148" s="311"/>
      <c r="AJ148" s="312"/>
      <c r="AK148" s="173"/>
      <c r="AL148" s="313"/>
      <c r="AM148" s="314"/>
      <c r="AN148" s="315"/>
      <c r="AO148" s="314"/>
      <c r="AP148" s="315"/>
      <c r="AQ148" s="316"/>
      <c r="AR148" s="313"/>
      <c r="AS148" s="314"/>
      <c r="AT148" s="315"/>
      <c r="AU148" s="314"/>
      <c r="AV148" s="315"/>
      <c r="AW148" s="316"/>
      <c r="AX148" s="313"/>
      <c r="AY148" s="314"/>
      <c r="AZ148" s="313"/>
      <c r="BA148" s="317"/>
      <c r="BB148" s="315"/>
      <c r="BC148" s="317"/>
      <c r="BD148" s="315"/>
      <c r="BE148" s="316"/>
      <c r="BF148" s="46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27"/>
      <c r="BT148" s="127"/>
      <c r="BU148" s="64"/>
      <c r="BV148" s="127"/>
      <c r="BW148" s="127"/>
      <c r="BX148" s="127"/>
      <c r="BY148" s="127"/>
      <c r="BZ148" s="100"/>
    </row>
    <row r="149" spans="2:78" x14ac:dyDescent="0.25">
      <c r="D149" s="15"/>
      <c r="E149" s="15"/>
    </row>
    <row r="150" spans="2:78" x14ac:dyDescent="0.25">
      <c r="D150" s="15"/>
      <c r="E150" s="15"/>
    </row>
    <row r="151" spans="2:78" x14ac:dyDescent="0.25">
      <c r="D151" s="15"/>
      <c r="E151" s="15"/>
    </row>
    <row r="152" spans="2:78" x14ac:dyDescent="0.25">
      <c r="D152" s="15"/>
      <c r="E152" s="15"/>
    </row>
    <row r="153" spans="2:78" x14ac:dyDescent="0.25">
      <c r="D153" s="15"/>
      <c r="E153" s="15"/>
    </row>
    <row r="154" spans="2:78" x14ac:dyDescent="0.25">
      <c r="D154" s="15"/>
      <c r="E154" s="15"/>
    </row>
    <row r="155" spans="2:78" x14ac:dyDescent="0.25">
      <c r="D155" s="15"/>
      <c r="E155" s="15"/>
    </row>
    <row r="156" spans="2:78" x14ac:dyDescent="0.25">
      <c r="D156" s="15"/>
      <c r="E156" s="15"/>
    </row>
    <row r="157" spans="2:78" x14ac:dyDescent="0.25">
      <c r="D157" s="15"/>
      <c r="E157" s="15"/>
    </row>
    <row r="158" spans="2:78" x14ac:dyDescent="0.25">
      <c r="D158" s="15"/>
      <c r="E158" s="15"/>
    </row>
    <row r="159" spans="2:78" x14ac:dyDescent="0.25">
      <c r="D159" s="15"/>
      <c r="E159" s="15"/>
    </row>
    <row r="160" spans="2:78" x14ac:dyDescent="0.25">
      <c r="D160" s="15"/>
      <c r="E160" s="15"/>
    </row>
    <row r="161" spans="4:5" x14ac:dyDescent="0.25">
      <c r="D161" s="15"/>
      <c r="E161" s="15"/>
    </row>
    <row r="162" spans="4:5" x14ac:dyDescent="0.25">
      <c r="D162" s="15"/>
      <c r="E162" s="15"/>
    </row>
    <row r="163" spans="4:5" x14ac:dyDescent="0.25">
      <c r="D163" s="15"/>
      <c r="E163" s="15"/>
    </row>
    <row r="164" spans="4:5" x14ac:dyDescent="0.25">
      <c r="D164" s="15"/>
      <c r="E164" s="15"/>
    </row>
    <row r="165" spans="4:5" x14ac:dyDescent="0.25">
      <c r="D165" s="15"/>
      <c r="E165" s="15"/>
    </row>
    <row r="166" spans="4:5" x14ac:dyDescent="0.25">
      <c r="D166" s="15"/>
      <c r="E166" s="15"/>
    </row>
    <row r="167" spans="4:5" x14ac:dyDescent="0.25">
      <c r="D167" s="15"/>
      <c r="E167" s="15"/>
    </row>
    <row r="168" spans="4:5" x14ac:dyDescent="0.25">
      <c r="D168" s="15"/>
      <c r="E168" s="15"/>
    </row>
    <row r="169" spans="4:5" x14ac:dyDescent="0.25">
      <c r="D169" s="15"/>
      <c r="E169" s="15"/>
    </row>
    <row r="170" spans="4:5" x14ac:dyDescent="0.25">
      <c r="D170" s="15"/>
      <c r="E170" s="15"/>
    </row>
    <row r="171" spans="4:5" x14ac:dyDescent="0.25">
      <c r="D171" s="15"/>
      <c r="E171" s="15"/>
    </row>
    <row r="172" spans="4:5" x14ac:dyDescent="0.25">
      <c r="D172" s="15"/>
      <c r="E172" s="15"/>
    </row>
    <row r="173" spans="4:5" x14ac:dyDescent="0.25">
      <c r="D173" s="15"/>
      <c r="E173" s="15"/>
    </row>
    <row r="174" spans="4:5" x14ac:dyDescent="0.25">
      <c r="D174" s="15"/>
      <c r="E174" s="15"/>
    </row>
    <row r="175" spans="4:5" x14ac:dyDescent="0.25">
      <c r="D175" s="15"/>
      <c r="E175" s="15"/>
    </row>
    <row r="176" spans="4:5" x14ac:dyDescent="0.25">
      <c r="D176" s="15"/>
      <c r="E176" s="15"/>
    </row>
    <row r="177" spans="4:5" x14ac:dyDescent="0.25">
      <c r="D177" s="15"/>
      <c r="E177" s="15"/>
    </row>
    <row r="178" spans="4:5" x14ac:dyDescent="0.25">
      <c r="D178" s="15"/>
      <c r="E178" s="15"/>
    </row>
    <row r="179" spans="4:5" x14ac:dyDescent="0.25">
      <c r="D179" s="15"/>
      <c r="E179" s="15"/>
    </row>
    <row r="180" spans="4:5" x14ac:dyDescent="0.25">
      <c r="D180" s="15"/>
      <c r="E180" s="15"/>
    </row>
    <row r="181" spans="4:5" x14ac:dyDescent="0.25">
      <c r="D181" s="15"/>
      <c r="E181" s="15"/>
    </row>
    <row r="182" spans="4:5" x14ac:dyDescent="0.25">
      <c r="D182" s="15"/>
      <c r="E182" s="15"/>
    </row>
    <row r="183" spans="4:5" x14ac:dyDescent="0.25">
      <c r="D183" s="15"/>
      <c r="E183" s="15"/>
    </row>
    <row r="184" spans="4:5" x14ac:dyDescent="0.25">
      <c r="D184" s="15"/>
      <c r="E184" s="15"/>
    </row>
    <row r="185" spans="4:5" x14ac:dyDescent="0.25">
      <c r="D185" s="15"/>
      <c r="E185" s="15"/>
    </row>
    <row r="186" spans="4:5" x14ac:dyDescent="0.25">
      <c r="D186" s="15"/>
      <c r="E186" s="15"/>
    </row>
    <row r="187" spans="4:5" x14ac:dyDescent="0.25">
      <c r="D187" s="15"/>
      <c r="E187" s="15"/>
    </row>
    <row r="188" spans="4:5" x14ac:dyDescent="0.25">
      <c r="D188" s="15"/>
      <c r="E188" s="15"/>
    </row>
    <row r="189" spans="4:5" x14ac:dyDescent="0.25">
      <c r="D189" s="15"/>
      <c r="E189" s="15"/>
    </row>
    <row r="190" spans="4:5" x14ac:dyDescent="0.25">
      <c r="D190" s="15"/>
      <c r="E190" s="15"/>
    </row>
    <row r="191" spans="4:5" x14ac:dyDescent="0.25">
      <c r="D191" s="15"/>
      <c r="E191" s="15"/>
    </row>
    <row r="192" spans="4:5" x14ac:dyDescent="0.25">
      <c r="D192" s="15"/>
      <c r="E192" s="15"/>
    </row>
    <row r="193" spans="4:5" x14ac:dyDescent="0.25">
      <c r="D193" s="15"/>
      <c r="E193" s="15"/>
    </row>
    <row r="194" spans="4:5" x14ac:dyDescent="0.25">
      <c r="D194" s="15"/>
      <c r="E194" s="15"/>
    </row>
    <row r="195" spans="4:5" x14ac:dyDescent="0.25">
      <c r="D195" s="15"/>
      <c r="E195" s="15"/>
    </row>
    <row r="196" spans="4:5" x14ac:dyDescent="0.25">
      <c r="D196" s="15"/>
      <c r="E196" s="15"/>
    </row>
    <row r="197" spans="4:5" x14ac:dyDescent="0.25">
      <c r="D197" s="15"/>
      <c r="E197" s="15"/>
    </row>
    <row r="198" spans="4:5" x14ac:dyDescent="0.25">
      <c r="D198" s="15"/>
      <c r="E198" s="15"/>
    </row>
    <row r="199" spans="4:5" x14ac:dyDescent="0.25">
      <c r="D199" s="15"/>
      <c r="E199" s="15"/>
    </row>
    <row r="200" spans="4:5" x14ac:dyDescent="0.25">
      <c r="D200" s="15"/>
      <c r="E200" s="15"/>
    </row>
    <row r="201" spans="4:5" x14ac:dyDescent="0.25">
      <c r="D201" s="15"/>
      <c r="E201" s="15"/>
    </row>
    <row r="202" spans="4:5" x14ac:dyDescent="0.25">
      <c r="D202" s="15"/>
      <c r="E202" s="15"/>
    </row>
    <row r="203" spans="4:5" x14ac:dyDescent="0.25">
      <c r="D203" s="15"/>
      <c r="E203" s="15"/>
    </row>
    <row r="204" spans="4:5" x14ac:dyDescent="0.25">
      <c r="D204" s="15"/>
      <c r="E204" s="15"/>
    </row>
    <row r="205" spans="4:5" x14ac:dyDescent="0.25">
      <c r="D205" s="15"/>
      <c r="E205" s="15"/>
    </row>
    <row r="206" spans="4:5" x14ac:dyDescent="0.25">
      <c r="D206" s="15"/>
      <c r="E206" s="15"/>
    </row>
    <row r="207" spans="4:5" x14ac:dyDescent="0.25">
      <c r="D207" s="15"/>
      <c r="E207" s="15"/>
    </row>
    <row r="208" spans="4:5" x14ac:dyDescent="0.25">
      <c r="D208" s="15"/>
      <c r="E208" s="15"/>
    </row>
    <row r="209" spans="4:5" x14ac:dyDescent="0.25">
      <c r="D209" s="15"/>
      <c r="E209" s="15"/>
    </row>
    <row r="210" spans="4:5" x14ac:dyDescent="0.25">
      <c r="D210" s="15"/>
      <c r="E210" s="15"/>
    </row>
    <row r="211" spans="4:5" x14ac:dyDescent="0.25">
      <c r="D211" s="15"/>
      <c r="E211" s="15"/>
    </row>
    <row r="212" spans="4:5" x14ac:dyDescent="0.25">
      <c r="D212" s="15"/>
      <c r="E212" s="15"/>
    </row>
    <row r="213" spans="4:5" x14ac:dyDescent="0.25">
      <c r="D213" s="15"/>
      <c r="E213" s="15"/>
    </row>
    <row r="214" spans="4:5" x14ac:dyDescent="0.25">
      <c r="D214" s="15"/>
      <c r="E214" s="15"/>
    </row>
    <row r="215" spans="4:5" x14ac:dyDescent="0.25">
      <c r="D215" s="15"/>
      <c r="E215" s="15"/>
    </row>
    <row r="216" spans="4:5" x14ac:dyDescent="0.25">
      <c r="D216" s="15"/>
      <c r="E216" s="15"/>
    </row>
    <row r="217" spans="4:5" x14ac:dyDescent="0.25">
      <c r="D217" s="15"/>
      <c r="E217" s="15"/>
    </row>
    <row r="218" spans="4:5" x14ac:dyDescent="0.25">
      <c r="D218" s="15"/>
      <c r="E218" s="15"/>
    </row>
    <row r="219" spans="4:5" x14ac:dyDescent="0.25">
      <c r="D219" s="15"/>
      <c r="E219" s="15"/>
    </row>
    <row r="220" spans="4:5" x14ac:dyDescent="0.25">
      <c r="D220" s="15"/>
      <c r="E220" s="15"/>
    </row>
    <row r="221" spans="4:5" x14ac:dyDescent="0.25">
      <c r="D221" s="15"/>
      <c r="E221" s="15"/>
    </row>
    <row r="222" spans="4:5" x14ac:dyDescent="0.25">
      <c r="D222" s="15"/>
      <c r="E222" s="15"/>
    </row>
    <row r="223" spans="4:5" x14ac:dyDescent="0.25">
      <c r="D223" s="15"/>
      <c r="E223" s="15"/>
    </row>
    <row r="224" spans="4:5" x14ac:dyDescent="0.25">
      <c r="D224" s="15"/>
      <c r="E224" s="15"/>
    </row>
    <row r="225" spans="4:5" x14ac:dyDescent="0.25">
      <c r="D225" s="15"/>
      <c r="E225" s="15"/>
    </row>
    <row r="226" spans="4:5" x14ac:dyDescent="0.25">
      <c r="D226" s="15"/>
      <c r="E226" s="15"/>
    </row>
    <row r="227" spans="4:5" x14ac:dyDescent="0.25">
      <c r="D227" s="15"/>
      <c r="E227" s="15"/>
    </row>
    <row r="228" spans="4:5" x14ac:dyDescent="0.25">
      <c r="D228" s="15"/>
      <c r="E228" s="15"/>
    </row>
    <row r="229" spans="4:5" x14ac:dyDescent="0.25">
      <c r="D229" s="15"/>
      <c r="E229" s="15"/>
    </row>
    <row r="230" spans="4:5" x14ac:dyDescent="0.25">
      <c r="D230" s="15"/>
      <c r="E230" s="15"/>
    </row>
    <row r="231" spans="4:5" x14ac:dyDescent="0.25">
      <c r="D231" s="15"/>
      <c r="E231" s="15"/>
    </row>
  </sheetData>
  <mergeCells count="147">
    <mergeCell ref="B134:B138"/>
    <mergeCell ref="B139:B143"/>
    <mergeCell ref="B144:B148"/>
    <mergeCell ref="B104:B108"/>
    <mergeCell ref="B109:B113"/>
    <mergeCell ref="B114:B118"/>
    <mergeCell ref="B119:B123"/>
    <mergeCell ref="B124:B128"/>
    <mergeCell ref="B129:B133"/>
    <mergeCell ref="BO102:BP102"/>
    <mergeCell ref="BQ102:BR102"/>
    <mergeCell ref="BS102:BT102"/>
    <mergeCell ref="BU102:BV102"/>
    <mergeCell ref="BW102:BX102"/>
    <mergeCell ref="BY102:BZ102"/>
    <mergeCell ref="BB102:BC102"/>
    <mergeCell ref="BD102:BE102"/>
    <mergeCell ref="BG102:BH102"/>
    <mergeCell ref="BI102:BJ102"/>
    <mergeCell ref="BK102:BL102"/>
    <mergeCell ref="BM102:BN102"/>
    <mergeCell ref="AT102:AU102"/>
    <mergeCell ref="AV102:AW102"/>
    <mergeCell ref="AX102:AY102"/>
    <mergeCell ref="AZ102:BA102"/>
    <mergeCell ref="T102:U102"/>
    <mergeCell ref="V102:W102"/>
    <mergeCell ref="X102:Y102"/>
    <mergeCell ref="Z102:AA102"/>
    <mergeCell ref="AL102:AM102"/>
    <mergeCell ref="AN102:AO102"/>
    <mergeCell ref="C102:C103"/>
    <mergeCell ref="H102:I102"/>
    <mergeCell ref="J102:K102"/>
    <mergeCell ref="L102:M102"/>
    <mergeCell ref="N102:O102"/>
    <mergeCell ref="P102:Q102"/>
    <mergeCell ref="R102:S102"/>
    <mergeCell ref="AP102:AQ102"/>
    <mergeCell ref="AR102:AS102"/>
    <mergeCell ref="BG100:BZ100"/>
    <mergeCell ref="H101:M101"/>
    <mergeCell ref="N101:S101"/>
    <mergeCell ref="T101:U101"/>
    <mergeCell ref="V101:AA101"/>
    <mergeCell ref="AL101:AQ101"/>
    <mergeCell ref="AR101:AW101"/>
    <mergeCell ref="AX101:AY101"/>
    <mergeCell ref="AZ101:BE101"/>
    <mergeCell ref="BG101:BL101"/>
    <mergeCell ref="BM101:BR101"/>
    <mergeCell ref="BS101:BT101"/>
    <mergeCell ref="BU101:BZ101"/>
    <mergeCell ref="B72:B76"/>
    <mergeCell ref="B77:B81"/>
    <mergeCell ref="B82:B86"/>
    <mergeCell ref="B87:B91"/>
    <mergeCell ref="B92:B96"/>
    <mergeCell ref="AL100:BE100"/>
    <mergeCell ref="BW50:BX50"/>
    <mergeCell ref="BY50:BZ50"/>
    <mergeCell ref="B52:B56"/>
    <mergeCell ref="B57:B61"/>
    <mergeCell ref="B62:B66"/>
    <mergeCell ref="B67:B71"/>
    <mergeCell ref="BK50:BL50"/>
    <mergeCell ref="BM50:BN50"/>
    <mergeCell ref="BO50:BP50"/>
    <mergeCell ref="BQ50:BR50"/>
    <mergeCell ref="BS50:BT50"/>
    <mergeCell ref="BU50:BV50"/>
    <mergeCell ref="AX50:AY50"/>
    <mergeCell ref="AZ50:BA50"/>
    <mergeCell ref="BB50:BC50"/>
    <mergeCell ref="BD50:BE50"/>
    <mergeCell ref="BG50:BH50"/>
    <mergeCell ref="BI50:BJ50"/>
    <mergeCell ref="C50:C51"/>
    <mergeCell ref="H50:I50"/>
    <mergeCell ref="J50:K50"/>
    <mergeCell ref="L50:M50"/>
    <mergeCell ref="N50:O50"/>
    <mergeCell ref="AL50:AM50"/>
    <mergeCell ref="AN50:AO50"/>
    <mergeCell ref="AP50:AQ50"/>
    <mergeCell ref="AR50:AS50"/>
    <mergeCell ref="P50:Q50"/>
    <mergeCell ref="R50:S50"/>
    <mergeCell ref="T50:U50"/>
    <mergeCell ref="V50:W50"/>
    <mergeCell ref="X50:Y50"/>
    <mergeCell ref="Z50:AA50"/>
    <mergeCell ref="AL48:BE48"/>
    <mergeCell ref="BG48:BZ48"/>
    <mergeCell ref="H49:M49"/>
    <mergeCell ref="N49:S49"/>
    <mergeCell ref="T49:U49"/>
    <mergeCell ref="V49:AA49"/>
    <mergeCell ref="AB49:AB51"/>
    <mergeCell ref="AL49:AQ49"/>
    <mergeCell ref="AR49:AW49"/>
    <mergeCell ref="AX49:AY49"/>
    <mergeCell ref="AZ49:BE49"/>
    <mergeCell ref="BG49:BL49"/>
    <mergeCell ref="BM49:BR49"/>
    <mergeCell ref="BS49:BT49"/>
    <mergeCell ref="BU49:BZ49"/>
    <mergeCell ref="AT50:AU50"/>
    <mergeCell ref="AV50:AW50"/>
    <mergeCell ref="E21:AA21"/>
    <mergeCell ref="AC21:AE21"/>
    <mergeCell ref="AG21:AZ21"/>
    <mergeCell ref="E35:AA35"/>
    <mergeCell ref="AC35:AE35"/>
    <mergeCell ref="AG35:AZ35"/>
    <mergeCell ref="AO6:AP6"/>
    <mergeCell ref="AQ6:AR6"/>
    <mergeCell ref="AS6:AT6"/>
    <mergeCell ref="AU6:AV6"/>
    <mergeCell ref="AW6:AX6"/>
    <mergeCell ref="AY6:AZ6"/>
    <mergeCell ref="X6:Y6"/>
    <mergeCell ref="Z6:AA6"/>
    <mergeCell ref="AG6:AH6"/>
    <mergeCell ref="AI6:AJ6"/>
    <mergeCell ref="AK6:AL6"/>
    <mergeCell ref="AM6:AN6"/>
    <mergeCell ref="E6:G6"/>
    <mergeCell ref="H6:I6"/>
    <mergeCell ref="J6:K6"/>
    <mergeCell ref="L6:M6"/>
    <mergeCell ref="N6:O6"/>
    <mergeCell ref="P6:Q6"/>
    <mergeCell ref="R6:S6"/>
    <mergeCell ref="T6:U6"/>
    <mergeCell ref="V6:W6"/>
    <mergeCell ref="E4:AA4"/>
    <mergeCell ref="AC4:AE4"/>
    <mergeCell ref="AG4:AZ4"/>
    <mergeCell ref="H5:M5"/>
    <mergeCell ref="N5:S5"/>
    <mergeCell ref="T5:U5"/>
    <mergeCell ref="V5:AA5"/>
    <mergeCell ref="AG5:AL5"/>
    <mergeCell ref="AM5:AR5"/>
    <mergeCell ref="AS5:AT5"/>
    <mergeCell ref="AU5:AZ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1608-2A16-4C30-BAD9-4DBF675D499B}">
  <dimension ref="C2:CA115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H18" sqref="AH18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7" width="8.8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1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tr">
        <f>Prosser!C2</f>
        <v>2025 Yakima River Fall Salmon Creel Survey (Sept 15 - October 31)</v>
      </c>
      <c r="D2" s="16"/>
      <c r="E2" s="16"/>
      <c r="L2" s="13"/>
    </row>
    <row r="3" spans="3:52" ht="16.5" thickBot="1" x14ac:dyDescent="0.3">
      <c r="C3" s="16"/>
      <c r="D3" s="16"/>
      <c r="E3" s="16"/>
      <c r="L3" s="13"/>
      <c r="AB3" s="214" t="s">
        <v>5230</v>
      </c>
    </row>
    <row r="4" spans="3:52" ht="16.5" thickBot="1" x14ac:dyDescent="0.3">
      <c r="D4" s="16"/>
      <c r="E4" s="415" t="s">
        <v>596</v>
      </c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4"/>
      <c r="AC4" s="415" t="s">
        <v>5220</v>
      </c>
      <c r="AD4" s="413"/>
      <c r="AE4" s="414"/>
      <c r="AG4" s="411" t="s">
        <v>5224</v>
      </c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3"/>
      <c r="AT4" s="413"/>
      <c r="AU4" s="413"/>
      <c r="AV4" s="413"/>
      <c r="AW4" s="413"/>
      <c r="AX4" s="413"/>
      <c r="AY4" s="413"/>
      <c r="AZ4" s="414"/>
    </row>
    <row r="5" spans="3:52" ht="16.5" thickBot="1" x14ac:dyDescent="0.3">
      <c r="E5" s="165"/>
      <c r="F5" s="22"/>
      <c r="G5" s="337"/>
      <c r="H5" s="434" t="s">
        <v>5245</v>
      </c>
      <c r="I5" s="428"/>
      <c r="J5" s="428"/>
      <c r="K5" s="428"/>
      <c r="L5" s="428"/>
      <c r="M5" s="429"/>
      <c r="N5" s="428" t="s">
        <v>10</v>
      </c>
      <c r="O5" s="428"/>
      <c r="P5" s="428"/>
      <c r="Q5" s="428"/>
      <c r="R5" s="428"/>
      <c r="S5" s="428"/>
      <c r="T5" s="441" t="s">
        <v>6</v>
      </c>
      <c r="U5" s="449"/>
      <c r="V5" s="417" t="s">
        <v>33</v>
      </c>
      <c r="W5" s="417"/>
      <c r="X5" s="417"/>
      <c r="Y5" s="417"/>
      <c r="Z5" s="417"/>
      <c r="AA5" s="418"/>
      <c r="AG5" s="444" t="s">
        <v>5245</v>
      </c>
      <c r="AH5" s="445"/>
      <c r="AI5" s="445"/>
      <c r="AJ5" s="445"/>
      <c r="AK5" s="445"/>
      <c r="AL5" s="446"/>
      <c r="AM5" s="444" t="s">
        <v>10</v>
      </c>
      <c r="AN5" s="445"/>
      <c r="AO5" s="445"/>
      <c r="AP5" s="445"/>
      <c r="AQ5" s="445"/>
      <c r="AR5" s="446"/>
      <c r="AS5" s="424" t="s">
        <v>6</v>
      </c>
      <c r="AT5" s="424"/>
      <c r="AU5" s="434" t="s">
        <v>33</v>
      </c>
      <c r="AV5" s="428"/>
      <c r="AW5" s="428"/>
      <c r="AX5" s="428"/>
      <c r="AY5" s="428"/>
      <c r="AZ5" s="429"/>
    </row>
    <row r="6" spans="3:52" ht="16.5" thickBot="1" x14ac:dyDescent="0.3">
      <c r="C6" s="16"/>
      <c r="D6" s="16"/>
      <c r="E6" s="416" t="s">
        <v>596</v>
      </c>
      <c r="F6" s="417"/>
      <c r="G6" s="418"/>
      <c r="H6" s="419" t="s">
        <v>4</v>
      </c>
      <c r="I6" s="420"/>
      <c r="J6" s="421" t="s">
        <v>9</v>
      </c>
      <c r="K6" s="422"/>
      <c r="L6" s="421" t="s">
        <v>5246</v>
      </c>
      <c r="M6" s="438"/>
      <c r="N6" s="420" t="s">
        <v>4</v>
      </c>
      <c r="O6" s="420"/>
      <c r="P6" s="421" t="s">
        <v>9</v>
      </c>
      <c r="Q6" s="422"/>
      <c r="R6" s="421" t="s">
        <v>5246</v>
      </c>
      <c r="S6" s="420"/>
      <c r="T6" s="443" t="s">
        <v>34</v>
      </c>
      <c r="U6" s="450"/>
      <c r="V6" s="437" t="s">
        <v>646</v>
      </c>
      <c r="W6" s="431"/>
      <c r="X6" s="432" t="s">
        <v>5229</v>
      </c>
      <c r="Y6" s="431"/>
      <c r="Z6" s="432" t="s">
        <v>27</v>
      </c>
      <c r="AA6" s="433"/>
      <c r="AC6" s="158" t="s">
        <v>643</v>
      </c>
      <c r="AD6" s="147" t="s">
        <v>5220</v>
      </c>
      <c r="AE6" s="147" t="s">
        <v>596</v>
      </c>
      <c r="AG6" s="442" t="s">
        <v>4</v>
      </c>
      <c r="AH6" s="440"/>
      <c r="AI6" s="440" t="s">
        <v>9</v>
      </c>
      <c r="AJ6" s="440"/>
      <c r="AK6" s="440" t="s">
        <v>5246</v>
      </c>
      <c r="AL6" s="447"/>
      <c r="AM6" s="442" t="s">
        <v>4</v>
      </c>
      <c r="AN6" s="440"/>
      <c r="AO6" s="440" t="s">
        <v>9</v>
      </c>
      <c r="AP6" s="440"/>
      <c r="AQ6" s="440" t="s">
        <v>5246</v>
      </c>
      <c r="AR6" s="447"/>
      <c r="AS6" s="423" t="s">
        <v>34</v>
      </c>
      <c r="AT6" s="423"/>
      <c r="AU6" s="430" t="s">
        <v>646</v>
      </c>
      <c r="AV6" s="431"/>
      <c r="AW6" s="432" t="s">
        <v>5229</v>
      </c>
      <c r="AX6" s="431"/>
      <c r="AY6" s="432"/>
      <c r="AZ6" s="433"/>
    </row>
    <row r="7" spans="3:52" ht="19.5" thickBot="1" x14ac:dyDescent="0.35">
      <c r="C7" s="270" t="s">
        <v>5219</v>
      </c>
      <c r="D7" s="271"/>
      <c r="E7" s="232" t="s">
        <v>30</v>
      </c>
      <c r="F7" s="35" t="s">
        <v>1</v>
      </c>
      <c r="G7" s="338" t="s">
        <v>3</v>
      </c>
      <c r="H7" s="93" t="s">
        <v>5243</v>
      </c>
      <c r="I7" s="36" t="s">
        <v>5244</v>
      </c>
      <c r="J7" s="36" t="s">
        <v>5243</v>
      </c>
      <c r="K7" s="36" t="s">
        <v>5244</v>
      </c>
      <c r="L7" s="36" t="s">
        <v>24</v>
      </c>
      <c r="M7" s="57" t="s">
        <v>9</v>
      </c>
      <c r="N7" s="18" t="s">
        <v>5243</v>
      </c>
      <c r="O7" s="36" t="s">
        <v>5244</v>
      </c>
      <c r="P7" s="36" t="s">
        <v>5243</v>
      </c>
      <c r="Q7" s="36" t="s">
        <v>5244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5221</v>
      </c>
      <c r="AE7" s="162" t="s">
        <v>5225</v>
      </c>
      <c r="AG7" s="93" t="s">
        <v>5243</v>
      </c>
      <c r="AH7" s="36" t="s">
        <v>5244</v>
      </c>
      <c r="AI7" s="36" t="s">
        <v>5243</v>
      </c>
      <c r="AJ7" s="36" t="s">
        <v>5244</v>
      </c>
      <c r="AK7" s="36" t="s">
        <v>24</v>
      </c>
      <c r="AL7" s="57" t="s">
        <v>9</v>
      </c>
      <c r="AM7" s="93" t="s">
        <v>5243</v>
      </c>
      <c r="AN7" s="36" t="s">
        <v>5244</v>
      </c>
      <c r="AO7" s="36" t="s">
        <v>5243</v>
      </c>
      <c r="AP7" s="36" t="s">
        <v>5244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367" t="str">
        <f>Prosser!C8</f>
        <v>0</v>
      </c>
      <c r="D8" s="228"/>
      <c r="E8" s="339">
        <f t="shared" ref="E8:AA17" si="0">E22+E36</f>
        <v>0</v>
      </c>
      <c r="F8" s="122">
        <f t="shared" si="0"/>
        <v>0</v>
      </c>
      <c r="G8" s="340">
        <f t="shared" si="0"/>
        <v>0</v>
      </c>
      <c r="H8" s="330">
        <f t="shared" si="0"/>
        <v>0</v>
      </c>
      <c r="I8" s="268">
        <f t="shared" si="0"/>
        <v>0</v>
      </c>
      <c r="J8" s="268">
        <f t="shared" si="0"/>
        <v>0</v>
      </c>
      <c r="K8" s="268">
        <f t="shared" si="0"/>
        <v>0</v>
      </c>
      <c r="L8" s="268">
        <f t="shared" si="0"/>
        <v>0</v>
      </c>
      <c r="M8" s="269">
        <f t="shared" si="0"/>
        <v>0</v>
      </c>
      <c r="N8" s="326">
        <f t="shared" si="0"/>
        <v>0</v>
      </c>
      <c r="O8" s="268">
        <f t="shared" si="0"/>
        <v>0</v>
      </c>
      <c r="P8" s="268">
        <f t="shared" si="0"/>
        <v>0</v>
      </c>
      <c r="Q8" s="268">
        <f t="shared" si="0"/>
        <v>0</v>
      </c>
      <c r="R8" s="268">
        <f t="shared" si="0"/>
        <v>0</v>
      </c>
      <c r="S8" s="346">
        <f t="shared" si="0"/>
        <v>0</v>
      </c>
      <c r="T8" s="330">
        <f t="shared" si="0"/>
        <v>0</v>
      </c>
      <c r="U8" s="269">
        <f t="shared" si="0"/>
        <v>0</v>
      </c>
      <c r="V8" s="326">
        <f t="shared" si="0"/>
        <v>0</v>
      </c>
      <c r="W8" s="268">
        <f t="shared" si="0"/>
        <v>0</v>
      </c>
      <c r="X8" s="268">
        <f t="shared" si="0"/>
        <v>0</v>
      </c>
      <c r="Y8" s="268">
        <f t="shared" si="0"/>
        <v>0</v>
      </c>
      <c r="Z8" s="268">
        <f t="shared" si="0"/>
        <v>0</v>
      </c>
      <c r="AA8" s="269">
        <f t="shared" si="0"/>
        <v>0</v>
      </c>
      <c r="AB8" s="215" t="e">
        <f>SUM(G8)/SUM(H8:M8)</f>
        <v>#DIV/0!</v>
      </c>
      <c r="AC8" s="183">
        <f t="shared" ref="AC8:AD16" si="1">AC22+AC36</f>
        <v>0</v>
      </c>
      <c r="AD8" s="101">
        <f t="shared" si="1"/>
        <v>0</v>
      </c>
      <c r="AE8" s="295" t="e">
        <f t="shared" ref="AE8:AE18" si="2">G8/AD8</f>
        <v>#DIV/0!</v>
      </c>
      <c r="AG8" s="155">
        <f t="shared" ref="AG8:AZ16" si="3">AG22+AG36</f>
        <v>0</v>
      </c>
      <c r="AH8" s="94">
        <f t="shared" si="3"/>
        <v>0</v>
      </c>
      <c r="AI8" s="94">
        <f t="shared" si="3"/>
        <v>0</v>
      </c>
      <c r="AJ8" s="94">
        <f t="shared" si="3"/>
        <v>0</v>
      </c>
      <c r="AK8" s="94">
        <f t="shared" si="3"/>
        <v>0</v>
      </c>
      <c r="AL8" s="103">
        <f t="shared" si="3"/>
        <v>0</v>
      </c>
      <c r="AM8" s="155">
        <f t="shared" si="3"/>
        <v>0</v>
      </c>
      <c r="AN8" s="94">
        <f t="shared" si="3"/>
        <v>0</v>
      </c>
      <c r="AO8" s="94">
        <f t="shared" si="3"/>
        <v>0</v>
      </c>
      <c r="AP8" s="94">
        <f t="shared" si="3"/>
        <v>0</v>
      </c>
      <c r="AQ8" s="94">
        <f t="shared" si="3"/>
        <v>0</v>
      </c>
      <c r="AR8" s="103">
        <f t="shared" si="3"/>
        <v>0</v>
      </c>
      <c r="AS8" s="327">
        <f t="shared" si="3"/>
        <v>0</v>
      </c>
      <c r="AT8" s="347">
        <f t="shared" si="3"/>
        <v>0</v>
      </c>
      <c r="AU8" s="155">
        <f t="shared" si="3"/>
        <v>0</v>
      </c>
      <c r="AV8" s="94">
        <f t="shared" si="3"/>
        <v>0</v>
      </c>
      <c r="AW8" s="94">
        <f t="shared" si="3"/>
        <v>0</v>
      </c>
      <c r="AX8" s="94">
        <f t="shared" si="3"/>
        <v>0</v>
      </c>
      <c r="AY8" s="94">
        <f t="shared" si="3"/>
        <v>0</v>
      </c>
      <c r="AZ8" s="103">
        <f t="shared" si="3"/>
        <v>0</v>
      </c>
    </row>
    <row r="9" spans="3:52" x14ac:dyDescent="0.25">
      <c r="C9" s="367" t="str">
        <f>Prosser!C9</f>
        <v>Sept 15-21</v>
      </c>
      <c r="D9" s="136"/>
      <c r="E9" s="341">
        <f t="shared" si="0"/>
        <v>0</v>
      </c>
      <c r="F9" s="63">
        <f t="shared" si="0"/>
        <v>56</v>
      </c>
      <c r="G9" s="342">
        <f t="shared" si="0"/>
        <v>120.88</v>
      </c>
      <c r="H9" s="155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103">
        <f t="shared" si="0"/>
        <v>0</v>
      </c>
      <c r="N9" s="327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347">
        <f t="shared" si="0"/>
        <v>0</v>
      </c>
      <c r="T9" s="155">
        <f t="shared" si="0"/>
        <v>0</v>
      </c>
      <c r="U9" s="103">
        <f t="shared" si="0"/>
        <v>0</v>
      </c>
      <c r="V9" s="327">
        <f t="shared" si="0"/>
        <v>2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103">
        <f t="shared" si="0"/>
        <v>0</v>
      </c>
      <c r="AB9" s="215" t="e">
        <f>SUM(G9)/SUM(H9:M9)</f>
        <v>#DIV/0!</v>
      </c>
      <c r="AC9" s="183">
        <f t="shared" si="1"/>
        <v>0</v>
      </c>
      <c r="AD9" s="94">
        <f t="shared" si="1"/>
        <v>0</v>
      </c>
      <c r="AE9" s="166" t="e">
        <f t="shared" si="2"/>
        <v>#DIV/0!</v>
      </c>
      <c r="AG9" s="155">
        <f t="shared" si="3"/>
        <v>0</v>
      </c>
      <c r="AH9" s="94">
        <f t="shared" si="3"/>
        <v>0</v>
      </c>
      <c r="AI9" s="94">
        <f t="shared" si="3"/>
        <v>0</v>
      </c>
      <c r="AJ9" s="94">
        <f t="shared" si="3"/>
        <v>0</v>
      </c>
      <c r="AK9" s="94">
        <f t="shared" si="3"/>
        <v>0</v>
      </c>
      <c r="AL9" s="103">
        <f t="shared" si="3"/>
        <v>0</v>
      </c>
      <c r="AM9" s="155">
        <f t="shared" si="3"/>
        <v>0</v>
      </c>
      <c r="AN9" s="94">
        <f t="shared" si="3"/>
        <v>0</v>
      </c>
      <c r="AO9" s="94">
        <f t="shared" si="3"/>
        <v>0</v>
      </c>
      <c r="AP9" s="94">
        <f t="shared" si="3"/>
        <v>0</v>
      </c>
      <c r="AQ9" s="94">
        <f t="shared" si="3"/>
        <v>0</v>
      </c>
      <c r="AR9" s="103">
        <f t="shared" si="3"/>
        <v>0</v>
      </c>
      <c r="AS9" s="327">
        <f t="shared" si="3"/>
        <v>0</v>
      </c>
      <c r="AT9" s="347">
        <f t="shared" si="3"/>
        <v>0</v>
      </c>
      <c r="AU9" s="155">
        <f t="shared" si="3"/>
        <v>0</v>
      </c>
      <c r="AV9" s="94">
        <f t="shared" si="3"/>
        <v>0</v>
      </c>
      <c r="AW9" s="94">
        <f t="shared" si="3"/>
        <v>0</v>
      </c>
      <c r="AX9" s="94">
        <f t="shared" si="3"/>
        <v>0</v>
      </c>
      <c r="AY9" s="94">
        <f t="shared" si="3"/>
        <v>0</v>
      </c>
      <c r="AZ9" s="103">
        <f t="shared" si="3"/>
        <v>0</v>
      </c>
    </row>
    <row r="10" spans="3:52" x14ac:dyDescent="0.25">
      <c r="C10" s="367" t="str">
        <f>Prosser!C10</f>
        <v>Sept 21-28</v>
      </c>
      <c r="D10" s="136"/>
      <c r="E10" s="341">
        <f t="shared" si="0"/>
        <v>0</v>
      </c>
      <c r="F10" s="63">
        <f t="shared" si="0"/>
        <v>78</v>
      </c>
      <c r="G10" s="342">
        <f t="shared" si="0"/>
        <v>161.47</v>
      </c>
      <c r="H10" s="155">
        <f t="shared" si="0"/>
        <v>4</v>
      </c>
      <c r="I10" s="94">
        <f t="shared" si="0"/>
        <v>3</v>
      </c>
      <c r="J10" s="94">
        <f t="shared" si="0"/>
        <v>1</v>
      </c>
      <c r="K10" s="94">
        <f t="shared" si="0"/>
        <v>0</v>
      </c>
      <c r="L10" s="94">
        <f t="shared" si="0"/>
        <v>1</v>
      </c>
      <c r="M10" s="103">
        <f t="shared" si="0"/>
        <v>0</v>
      </c>
      <c r="N10" s="327">
        <f t="shared" si="0"/>
        <v>0</v>
      </c>
      <c r="O10" s="94">
        <f t="shared" si="0"/>
        <v>0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347">
        <f t="shared" si="0"/>
        <v>0</v>
      </c>
      <c r="T10" s="155">
        <f t="shared" si="0"/>
        <v>0</v>
      </c>
      <c r="U10" s="103">
        <f t="shared" si="0"/>
        <v>0</v>
      </c>
      <c r="V10" s="327">
        <f t="shared" si="0"/>
        <v>0</v>
      </c>
      <c r="W10" s="94">
        <f t="shared" si="0"/>
        <v>0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103">
        <f t="shared" si="0"/>
        <v>0</v>
      </c>
      <c r="AB10" s="215">
        <f>SUM(G10)/SUM(H10:M10)</f>
        <v>17.941111111111113</v>
      </c>
      <c r="AC10" s="183">
        <f t="shared" si="1"/>
        <v>0</v>
      </c>
      <c r="AD10" s="94">
        <f t="shared" si="1"/>
        <v>0</v>
      </c>
      <c r="AE10" s="166" t="e">
        <f t="shared" si="2"/>
        <v>#DIV/0!</v>
      </c>
      <c r="AG10" s="155">
        <f t="shared" si="3"/>
        <v>0</v>
      </c>
      <c r="AH10" s="94">
        <f t="shared" si="3"/>
        <v>0</v>
      </c>
      <c r="AI10" s="94">
        <f t="shared" si="3"/>
        <v>0</v>
      </c>
      <c r="AJ10" s="94">
        <f t="shared" si="3"/>
        <v>0</v>
      </c>
      <c r="AK10" s="94">
        <f t="shared" si="3"/>
        <v>0</v>
      </c>
      <c r="AL10" s="103">
        <f t="shared" si="3"/>
        <v>0</v>
      </c>
      <c r="AM10" s="155">
        <f t="shared" si="3"/>
        <v>0</v>
      </c>
      <c r="AN10" s="94">
        <f t="shared" si="3"/>
        <v>0</v>
      </c>
      <c r="AO10" s="94">
        <f t="shared" si="3"/>
        <v>0</v>
      </c>
      <c r="AP10" s="94">
        <f t="shared" si="3"/>
        <v>0</v>
      </c>
      <c r="AQ10" s="94">
        <f t="shared" si="3"/>
        <v>0</v>
      </c>
      <c r="AR10" s="103">
        <f t="shared" si="3"/>
        <v>0</v>
      </c>
      <c r="AS10" s="327">
        <f t="shared" si="3"/>
        <v>0</v>
      </c>
      <c r="AT10" s="347">
        <f t="shared" si="3"/>
        <v>0</v>
      </c>
      <c r="AU10" s="155">
        <f t="shared" si="3"/>
        <v>0</v>
      </c>
      <c r="AV10" s="94">
        <f t="shared" si="3"/>
        <v>0</v>
      </c>
      <c r="AW10" s="94">
        <f t="shared" si="3"/>
        <v>0</v>
      </c>
      <c r="AX10" s="94">
        <f t="shared" si="3"/>
        <v>0</v>
      </c>
      <c r="AY10" s="94">
        <f t="shared" si="3"/>
        <v>0</v>
      </c>
      <c r="AZ10" s="103">
        <f t="shared" si="3"/>
        <v>0</v>
      </c>
    </row>
    <row r="11" spans="3:52" x14ac:dyDescent="0.25">
      <c r="C11" s="367" t="str">
        <f>Prosser!C11</f>
        <v>Sept 29-Oct 5</v>
      </c>
      <c r="D11" s="136"/>
      <c r="E11" s="341">
        <f t="shared" si="0"/>
        <v>1</v>
      </c>
      <c r="F11" s="63">
        <f t="shared" si="0"/>
        <v>98</v>
      </c>
      <c r="G11" s="342">
        <f t="shared" si="0"/>
        <v>163.55000000000001</v>
      </c>
      <c r="H11" s="155">
        <f t="shared" si="0"/>
        <v>3</v>
      </c>
      <c r="I11" s="94">
        <f t="shared" si="0"/>
        <v>10</v>
      </c>
      <c r="J11" s="94">
        <f t="shared" si="0"/>
        <v>1</v>
      </c>
      <c r="K11" s="94">
        <f t="shared" si="0"/>
        <v>0</v>
      </c>
      <c r="L11" s="94">
        <f t="shared" si="0"/>
        <v>0</v>
      </c>
      <c r="M11" s="103">
        <f t="shared" si="0"/>
        <v>0</v>
      </c>
      <c r="N11" s="327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347">
        <f t="shared" si="0"/>
        <v>0</v>
      </c>
      <c r="T11" s="155">
        <f t="shared" si="0"/>
        <v>0</v>
      </c>
      <c r="U11" s="103">
        <f t="shared" si="0"/>
        <v>0</v>
      </c>
      <c r="V11" s="327">
        <f t="shared" si="0"/>
        <v>5</v>
      </c>
      <c r="W11" s="94">
        <f t="shared" si="0"/>
        <v>0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103">
        <f t="shared" si="0"/>
        <v>0</v>
      </c>
      <c r="AB11" s="215">
        <f>SUM(G11)/SUM(H11:M11)</f>
        <v>11.682142857142859</v>
      </c>
      <c r="AC11" s="183">
        <f t="shared" si="1"/>
        <v>0</v>
      </c>
      <c r="AD11" s="94">
        <f t="shared" si="1"/>
        <v>0</v>
      </c>
      <c r="AE11" s="166" t="e">
        <f t="shared" si="2"/>
        <v>#DIV/0!</v>
      </c>
      <c r="AG11" s="155">
        <f t="shared" si="3"/>
        <v>0</v>
      </c>
      <c r="AH11" s="94">
        <f t="shared" si="3"/>
        <v>0</v>
      </c>
      <c r="AI11" s="94">
        <f t="shared" si="3"/>
        <v>0</v>
      </c>
      <c r="AJ11" s="94">
        <f t="shared" si="3"/>
        <v>0</v>
      </c>
      <c r="AK11" s="94">
        <f t="shared" si="3"/>
        <v>0</v>
      </c>
      <c r="AL11" s="103">
        <f t="shared" si="3"/>
        <v>0</v>
      </c>
      <c r="AM11" s="155">
        <f t="shared" si="3"/>
        <v>0</v>
      </c>
      <c r="AN11" s="94">
        <f t="shared" si="3"/>
        <v>0</v>
      </c>
      <c r="AO11" s="94">
        <f t="shared" si="3"/>
        <v>0</v>
      </c>
      <c r="AP11" s="94">
        <f t="shared" si="3"/>
        <v>0</v>
      </c>
      <c r="AQ11" s="94">
        <f t="shared" si="3"/>
        <v>0</v>
      </c>
      <c r="AR11" s="103">
        <f t="shared" si="3"/>
        <v>0</v>
      </c>
      <c r="AS11" s="327">
        <f t="shared" si="3"/>
        <v>0</v>
      </c>
      <c r="AT11" s="347">
        <f t="shared" si="3"/>
        <v>0</v>
      </c>
      <c r="AU11" s="155">
        <f t="shared" si="3"/>
        <v>0</v>
      </c>
      <c r="AV11" s="94">
        <f t="shared" si="3"/>
        <v>0</v>
      </c>
      <c r="AW11" s="94">
        <f t="shared" si="3"/>
        <v>0</v>
      </c>
      <c r="AX11" s="94">
        <f t="shared" si="3"/>
        <v>0</v>
      </c>
      <c r="AY11" s="94">
        <f t="shared" si="3"/>
        <v>0</v>
      </c>
      <c r="AZ11" s="103">
        <f t="shared" si="3"/>
        <v>0</v>
      </c>
    </row>
    <row r="12" spans="3:52" x14ac:dyDescent="0.25">
      <c r="C12" s="367" t="str">
        <f>Prosser!C12</f>
        <v>Oct 6-Oct 12</v>
      </c>
      <c r="D12" s="136"/>
      <c r="E12" s="341">
        <f t="shared" si="0"/>
        <v>0</v>
      </c>
      <c r="F12" s="63">
        <f t="shared" si="0"/>
        <v>169</v>
      </c>
      <c r="G12" s="342">
        <f t="shared" si="0"/>
        <v>385.46</v>
      </c>
      <c r="H12" s="155">
        <f t="shared" si="0"/>
        <v>12</v>
      </c>
      <c r="I12" s="94">
        <f t="shared" si="0"/>
        <v>22</v>
      </c>
      <c r="J12" s="94">
        <f t="shared" si="0"/>
        <v>1</v>
      </c>
      <c r="K12" s="94">
        <f t="shared" si="0"/>
        <v>1</v>
      </c>
      <c r="L12" s="94">
        <f t="shared" si="0"/>
        <v>0</v>
      </c>
      <c r="M12" s="103">
        <f t="shared" si="0"/>
        <v>0</v>
      </c>
      <c r="N12" s="327">
        <f t="shared" si="0"/>
        <v>1</v>
      </c>
      <c r="O12" s="94">
        <f t="shared" si="0"/>
        <v>0</v>
      </c>
      <c r="P12" s="94">
        <f t="shared" si="0"/>
        <v>0</v>
      </c>
      <c r="Q12" s="94">
        <f t="shared" si="0"/>
        <v>0</v>
      </c>
      <c r="R12" s="94">
        <f t="shared" si="0"/>
        <v>0</v>
      </c>
      <c r="S12" s="347">
        <f t="shared" si="0"/>
        <v>0</v>
      </c>
      <c r="T12" s="155">
        <f t="shared" si="0"/>
        <v>0</v>
      </c>
      <c r="U12" s="103">
        <f t="shared" si="0"/>
        <v>1</v>
      </c>
      <c r="V12" s="327">
        <f t="shared" si="0"/>
        <v>2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0</v>
      </c>
      <c r="AA12" s="103">
        <f t="shared" si="0"/>
        <v>1</v>
      </c>
      <c r="AB12" s="215">
        <f t="shared" ref="AB12:AB16" si="4">SUM(G12)/SUM(H12:M12)</f>
        <v>10.707222222222221</v>
      </c>
      <c r="AC12" s="183">
        <f t="shared" si="1"/>
        <v>0</v>
      </c>
      <c r="AD12" s="94">
        <f t="shared" si="1"/>
        <v>0</v>
      </c>
      <c r="AE12" s="166" t="e">
        <f t="shared" si="2"/>
        <v>#DIV/0!</v>
      </c>
      <c r="AG12" s="155">
        <f t="shared" si="3"/>
        <v>0</v>
      </c>
      <c r="AH12" s="94">
        <f t="shared" si="3"/>
        <v>0</v>
      </c>
      <c r="AI12" s="94">
        <f t="shared" si="3"/>
        <v>0</v>
      </c>
      <c r="AJ12" s="94">
        <f t="shared" si="3"/>
        <v>0</v>
      </c>
      <c r="AK12" s="94">
        <f t="shared" si="3"/>
        <v>0</v>
      </c>
      <c r="AL12" s="103">
        <f t="shared" si="3"/>
        <v>0</v>
      </c>
      <c r="AM12" s="155">
        <f t="shared" si="3"/>
        <v>0</v>
      </c>
      <c r="AN12" s="94">
        <f t="shared" si="3"/>
        <v>0</v>
      </c>
      <c r="AO12" s="94">
        <f t="shared" si="3"/>
        <v>0</v>
      </c>
      <c r="AP12" s="94">
        <f t="shared" si="3"/>
        <v>0</v>
      </c>
      <c r="AQ12" s="94">
        <f t="shared" si="3"/>
        <v>0</v>
      </c>
      <c r="AR12" s="103">
        <f t="shared" si="3"/>
        <v>0</v>
      </c>
      <c r="AS12" s="327">
        <f t="shared" si="3"/>
        <v>0</v>
      </c>
      <c r="AT12" s="347">
        <f t="shared" si="3"/>
        <v>0</v>
      </c>
      <c r="AU12" s="155">
        <f t="shared" si="3"/>
        <v>0</v>
      </c>
      <c r="AV12" s="94">
        <f t="shared" si="3"/>
        <v>0</v>
      </c>
      <c r="AW12" s="94">
        <f t="shared" si="3"/>
        <v>0</v>
      </c>
      <c r="AX12" s="94">
        <f t="shared" si="3"/>
        <v>0</v>
      </c>
      <c r="AY12" s="94">
        <f t="shared" si="3"/>
        <v>0</v>
      </c>
      <c r="AZ12" s="103">
        <f t="shared" si="3"/>
        <v>0</v>
      </c>
    </row>
    <row r="13" spans="3:52" x14ac:dyDescent="0.25">
      <c r="C13" s="367" t="str">
        <f>Prosser!C13</f>
        <v>Oct 13-19</v>
      </c>
      <c r="D13" s="136"/>
      <c r="E13" s="341">
        <f t="shared" si="0"/>
        <v>0</v>
      </c>
      <c r="F13" s="63">
        <f t="shared" si="0"/>
        <v>149</v>
      </c>
      <c r="G13" s="342">
        <f t="shared" si="0"/>
        <v>341.13</v>
      </c>
      <c r="H13" s="155">
        <f t="shared" si="0"/>
        <v>12</v>
      </c>
      <c r="I13" s="94">
        <f t="shared" si="0"/>
        <v>14</v>
      </c>
      <c r="J13" s="94">
        <f t="shared" si="0"/>
        <v>1</v>
      </c>
      <c r="K13" s="94">
        <f t="shared" si="0"/>
        <v>0</v>
      </c>
      <c r="L13" s="94">
        <f t="shared" si="0"/>
        <v>0</v>
      </c>
      <c r="M13" s="103">
        <f t="shared" si="0"/>
        <v>0</v>
      </c>
      <c r="N13" s="327">
        <f t="shared" si="0"/>
        <v>2</v>
      </c>
      <c r="O13" s="94">
        <f t="shared" si="0"/>
        <v>0</v>
      </c>
      <c r="P13" s="94">
        <f t="shared" si="0"/>
        <v>0</v>
      </c>
      <c r="Q13" s="94">
        <f t="shared" si="0"/>
        <v>0</v>
      </c>
      <c r="R13" s="94">
        <f t="shared" si="0"/>
        <v>0</v>
      </c>
      <c r="S13" s="347">
        <f t="shared" si="0"/>
        <v>0</v>
      </c>
      <c r="T13" s="155">
        <f t="shared" si="0"/>
        <v>0</v>
      </c>
      <c r="U13" s="103">
        <f t="shared" si="0"/>
        <v>0</v>
      </c>
      <c r="V13" s="327">
        <f t="shared" si="0"/>
        <v>0</v>
      </c>
      <c r="W13" s="94">
        <f t="shared" si="0"/>
        <v>0</v>
      </c>
      <c r="X13" s="94">
        <f t="shared" si="0"/>
        <v>0</v>
      </c>
      <c r="Y13" s="94">
        <f t="shared" si="0"/>
        <v>0</v>
      </c>
      <c r="Z13" s="94">
        <f t="shared" si="0"/>
        <v>0</v>
      </c>
      <c r="AA13" s="103">
        <f t="shared" si="0"/>
        <v>0</v>
      </c>
      <c r="AB13" s="215">
        <f t="shared" si="4"/>
        <v>12.634444444444444</v>
      </c>
      <c r="AC13" s="183">
        <f t="shared" si="1"/>
        <v>0</v>
      </c>
      <c r="AD13" s="94">
        <f t="shared" si="1"/>
        <v>0</v>
      </c>
      <c r="AE13" s="166" t="e">
        <f t="shared" si="2"/>
        <v>#DIV/0!</v>
      </c>
      <c r="AG13" s="155">
        <f t="shared" si="3"/>
        <v>0</v>
      </c>
      <c r="AH13" s="94">
        <f t="shared" si="3"/>
        <v>0</v>
      </c>
      <c r="AI13" s="94">
        <f t="shared" si="3"/>
        <v>0</v>
      </c>
      <c r="AJ13" s="94">
        <f t="shared" si="3"/>
        <v>0</v>
      </c>
      <c r="AK13" s="94">
        <f t="shared" si="3"/>
        <v>0</v>
      </c>
      <c r="AL13" s="103">
        <f t="shared" si="3"/>
        <v>0</v>
      </c>
      <c r="AM13" s="155">
        <f t="shared" si="3"/>
        <v>0</v>
      </c>
      <c r="AN13" s="94">
        <f t="shared" si="3"/>
        <v>0</v>
      </c>
      <c r="AO13" s="94">
        <f t="shared" si="3"/>
        <v>0</v>
      </c>
      <c r="AP13" s="94">
        <f t="shared" si="3"/>
        <v>0</v>
      </c>
      <c r="AQ13" s="94">
        <f t="shared" si="3"/>
        <v>0</v>
      </c>
      <c r="AR13" s="103">
        <f t="shared" si="3"/>
        <v>0</v>
      </c>
      <c r="AS13" s="327">
        <f t="shared" si="3"/>
        <v>0</v>
      </c>
      <c r="AT13" s="347">
        <f t="shared" si="3"/>
        <v>0</v>
      </c>
      <c r="AU13" s="155">
        <f t="shared" si="3"/>
        <v>0</v>
      </c>
      <c r="AV13" s="94">
        <f t="shared" si="3"/>
        <v>0</v>
      </c>
      <c r="AW13" s="94">
        <f t="shared" si="3"/>
        <v>0</v>
      </c>
      <c r="AX13" s="94">
        <f t="shared" si="3"/>
        <v>0</v>
      </c>
      <c r="AY13" s="94">
        <f t="shared" si="3"/>
        <v>0</v>
      </c>
      <c r="AZ13" s="103">
        <f t="shared" si="3"/>
        <v>0</v>
      </c>
    </row>
    <row r="14" spans="3:52" x14ac:dyDescent="0.25">
      <c r="C14" s="367" t="str">
        <f>Prosser!C14</f>
        <v>Oct 20-26</v>
      </c>
      <c r="D14" s="180"/>
      <c r="E14" s="341">
        <f t="shared" si="0"/>
        <v>0</v>
      </c>
      <c r="F14" s="63">
        <f t="shared" si="0"/>
        <v>128</v>
      </c>
      <c r="G14" s="342">
        <f t="shared" si="0"/>
        <v>383.7</v>
      </c>
      <c r="H14" s="155">
        <f t="shared" si="0"/>
        <v>4</v>
      </c>
      <c r="I14" s="94">
        <f t="shared" si="0"/>
        <v>10</v>
      </c>
      <c r="J14" s="94">
        <f t="shared" si="0"/>
        <v>0</v>
      </c>
      <c r="K14" s="94">
        <f t="shared" si="0"/>
        <v>0</v>
      </c>
      <c r="L14" s="94">
        <f t="shared" si="0"/>
        <v>1</v>
      </c>
      <c r="M14" s="103">
        <f t="shared" si="0"/>
        <v>0</v>
      </c>
      <c r="N14" s="327">
        <f t="shared" si="0"/>
        <v>1</v>
      </c>
      <c r="O14" s="94">
        <f t="shared" si="0"/>
        <v>0</v>
      </c>
      <c r="P14" s="94">
        <f t="shared" si="0"/>
        <v>0</v>
      </c>
      <c r="Q14" s="94">
        <f t="shared" si="0"/>
        <v>0</v>
      </c>
      <c r="R14" s="94">
        <f t="shared" si="0"/>
        <v>0</v>
      </c>
      <c r="S14" s="347">
        <f t="shared" si="0"/>
        <v>0</v>
      </c>
      <c r="T14" s="155">
        <f t="shared" si="0"/>
        <v>0</v>
      </c>
      <c r="U14" s="103">
        <f t="shared" si="0"/>
        <v>0</v>
      </c>
      <c r="V14" s="327">
        <f t="shared" si="0"/>
        <v>0</v>
      </c>
      <c r="W14" s="94">
        <f t="shared" si="0"/>
        <v>0</v>
      </c>
      <c r="X14" s="94">
        <f t="shared" si="0"/>
        <v>0</v>
      </c>
      <c r="Y14" s="94">
        <f t="shared" si="0"/>
        <v>0</v>
      </c>
      <c r="Z14" s="94">
        <f t="shared" si="0"/>
        <v>0</v>
      </c>
      <c r="AA14" s="103">
        <f t="shared" si="0"/>
        <v>0</v>
      </c>
      <c r="AB14" s="215">
        <f t="shared" si="4"/>
        <v>25.58</v>
      </c>
      <c r="AC14" s="183">
        <f t="shared" si="1"/>
        <v>0</v>
      </c>
      <c r="AD14" s="94">
        <f t="shared" si="1"/>
        <v>0</v>
      </c>
      <c r="AE14" s="166" t="e">
        <f t="shared" si="2"/>
        <v>#DIV/0!</v>
      </c>
      <c r="AG14" s="155">
        <f t="shared" si="3"/>
        <v>0</v>
      </c>
      <c r="AH14" s="94">
        <f t="shared" si="3"/>
        <v>0</v>
      </c>
      <c r="AI14" s="94">
        <f t="shared" si="3"/>
        <v>0</v>
      </c>
      <c r="AJ14" s="94">
        <f t="shared" si="3"/>
        <v>0</v>
      </c>
      <c r="AK14" s="94">
        <f t="shared" si="3"/>
        <v>0</v>
      </c>
      <c r="AL14" s="103">
        <f t="shared" si="3"/>
        <v>0</v>
      </c>
      <c r="AM14" s="155">
        <f t="shared" si="3"/>
        <v>0</v>
      </c>
      <c r="AN14" s="94">
        <f t="shared" si="3"/>
        <v>0</v>
      </c>
      <c r="AO14" s="94">
        <f t="shared" si="3"/>
        <v>0</v>
      </c>
      <c r="AP14" s="94">
        <f t="shared" si="3"/>
        <v>0</v>
      </c>
      <c r="AQ14" s="94">
        <f t="shared" si="3"/>
        <v>0</v>
      </c>
      <c r="AR14" s="103">
        <f t="shared" si="3"/>
        <v>0</v>
      </c>
      <c r="AS14" s="327">
        <f t="shared" si="3"/>
        <v>0</v>
      </c>
      <c r="AT14" s="347">
        <f t="shared" si="3"/>
        <v>0</v>
      </c>
      <c r="AU14" s="155">
        <f t="shared" si="3"/>
        <v>0</v>
      </c>
      <c r="AV14" s="94">
        <f t="shared" si="3"/>
        <v>0</v>
      </c>
      <c r="AW14" s="94">
        <f t="shared" si="3"/>
        <v>0</v>
      </c>
      <c r="AX14" s="94">
        <f t="shared" si="3"/>
        <v>0</v>
      </c>
      <c r="AY14" s="94">
        <f t="shared" si="3"/>
        <v>0</v>
      </c>
      <c r="AZ14" s="103">
        <f t="shared" si="3"/>
        <v>0</v>
      </c>
    </row>
    <row r="15" spans="3:52" x14ac:dyDescent="0.25">
      <c r="C15" s="367" t="str">
        <f>Prosser!C15</f>
        <v>Oct 27-Nov 2</v>
      </c>
      <c r="D15" s="180"/>
      <c r="E15" s="341">
        <f t="shared" si="0"/>
        <v>0</v>
      </c>
      <c r="F15" s="63">
        <f t="shared" si="0"/>
        <v>111</v>
      </c>
      <c r="G15" s="342">
        <f t="shared" si="0"/>
        <v>210.16000000000003</v>
      </c>
      <c r="H15" s="155">
        <f t="shared" si="0"/>
        <v>3</v>
      </c>
      <c r="I15" s="94">
        <f t="shared" si="0"/>
        <v>12</v>
      </c>
      <c r="J15" s="94">
        <f t="shared" si="0"/>
        <v>0</v>
      </c>
      <c r="K15" s="94">
        <f t="shared" si="0"/>
        <v>0</v>
      </c>
      <c r="L15" s="94">
        <f t="shared" si="0"/>
        <v>8</v>
      </c>
      <c r="M15" s="103">
        <f t="shared" si="0"/>
        <v>0</v>
      </c>
      <c r="N15" s="327">
        <f t="shared" si="0"/>
        <v>0</v>
      </c>
      <c r="O15" s="94">
        <f t="shared" si="0"/>
        <v>10</v>
      </c>
      <c r="P15" s="94">
        <f t="shared" si="0"/>
        <v>0</v>
      </c>
      <c r="Q15" s="94">
        <f t="shared" si="0"/>
        <v>0</v>
      </c>
      <c r="R15" s="94">
        <f t="shared" si="0"/>
        <v>0</v>
      </c>
      <c r="S15" s="347">
        <f t="shared" si="0"/>
        <v>0</v>
      </c>
      <c r="T15" s="155">
        <f t="shared" si="0"/>
        <v>0</v>
      </c>
      <c r="U15" s="103">
        <f t="shared" si="0"/>
        <v>0</v>
      </c>
      <c r="V15" s="327">
        <f t="shared" si="0"/>
        <v>0</v>
      </c>
      <c r="W15" s="94">
        <f t="shared" si="0"/>
        <v>1</v>
      </c>
      <c r="X15" s="94">
        <f t="shared" si="0"/>
        <v>0</v>
      </c>
      <c r="Y15" s="94">
        <f t="shared" si="0"/>
        <v>0</v>
      </c>
      <c r="Z15" s="94">
        <f t="shared" si="0"/>
        <v>0</v>
      </c>
      <c r="AA15" s="103">
        <f t="shared" si="0"/>
        <v>0</v>
      </c>
      <c r="AB15" s="215">
        <f t="shared" si="4"/>
        <v>9.1373913043478279</v>
      </c>
      <c r="AC15" s="294">
        <f t="shared" si="1"/>
        <v>0</v>
      </c>
      <c r="AD15" s="293">
        <f t="shared" si="1"/>
        <v>0</v>
      </c>
      <c r="AE15" s="166" t="e">
        <f t="shared" si="2"/>
        <v>#DIV/0!</v>
      </c>
      <c r="AG15" s="155">
        <f t="shared" si="3"/>
        <v>0</v>
      </c>
      <c r="AH15" s="94">
        <f t="shared" si="3"/>
        <v>0</v>
      </c>
      <c r="AI15" s="94">
        <f t="shared" si="3"/>
        <v>0</v>
      </c>
      <c r="AJ15" s="94">
        <f t="shared" si="3"/>
        <v>0</v>
      </c>
      <c r="AK15" s="94">
        <f t="shared" si="3"/>
        <v>0</v>
      </c>
      <c r="AL15" s="103">
        <f t="shared" si="3"/>
        <v>0</v>
      </c>
      <c r="AM15" s="155">
        <f t="shared" si="3"/>
        <v>0</v>
      </c>
      <c r="AN15" s="94">
        <f t="shared" si="3"/>
        <v>0</v>
      </c>
      <c r="AO15" s="94">
        <f t="shared" si="3"/>
        <v>0</v>
      </c>
      <c r="AP15" s="94">
        <f t="shared" si="3"/>
        <v>0</v>
      </c>
      <c r="AQ15" s="94">
        <f t="shared" si="3"/>
        <v>0</v>
      </c>
      <c r="AR15" s="103">
        <f t="shared" si="3"/>
        <v>0</v>
      </c>
      <c r="AS15" s="327">
        <f t="shared" si="3"/>
        <v>0</v>
      </c>
      <c r="AT15" s="347">
        <f t="shared" si="3"/>
        <v>0</v>
      </c>
      <c r="AU15" s="155">
        <f t="shared" si="3"/>
        <v>0</v>
      </c>
      <c r="AV15" s="94">
        <f t="shared" si="3"/>
        <v>0</v>
      </c>
      <c r="AW15" s="94">
        <f t="shared" si="3"/>
        <v>0</v>
      </c>
      <c r="AX15" s="94">
        <f t="shared" si="3"/>
        <v>0</v>
      </c>
      <c r="AY15" s="94">
        <f t="shared" si="3"/>
        <v>0</v>
      </c>
      <c r="AZ15" s="103">
        <f t="shared" si="3"/>
        <v>0</v>
      </c>
    </row>
    <row r="16" spans="3:52" x14ac:dyDescent="0.25">
      <c r="C16" s="367" t="str">
        <f>Prosser!C16</f>
        <v>Nov 3-9</v>
      </c>
      <c r="D16" s="180"/>
      <c r="E16" s="341">
        <f t="shared" si="0"/>
        <v>0</v>
      </c>
      <c r="F16" s="63">
        <f t="shared" si="0"/>
        <v>0</v>
      </c>
      <c r="G16" s="342">
        <f t="shared" si="0"/>
        <v>0</v>
      </c>
      <c r="H16" s="155">
        <f t="shared" si="0"/>
        <v>0</v>
      </c>
      <c r="I16" s="94">
        <f t="shared" si="0"/>
        <v>0</v>
      </c>
      <c r="J16" s="94">
        <f t="shared" si="0"/>
        <v>0</v>
      </c>
      <c r="K16" s="94">
        <f t="shared" si="0"/>
        <v>0</v>
      </c>
      <c r="L16" s="94">
        <f t="shared" si="0"/>
        <v>0</v>
      </c>
      <c r="M16" s="103">
        <f t="shared" si="0"/>
        <v>0</v>
      </c>
      <c r="N16" s="327">
        <f t="shared" si="0"/>
        <v>0</v>
      </c>
      <c r="O16" s="94">
        <f t="shared" si="0"/>
        <v>0</v>
      </c>
      <c r="P16" s="94">
        <f t="shared" si="0"/>
        <v>0</v>
      </c>
      <c r="Q16" s="94">
        <f t="shared" si="0"/>
        <v>0</v>
      </c>
      <c r="R16" s="94">
        <f t="shared" si="0"/>
        <v>0</v>
      </c>
      <c r="S16" s="347">
        <f t="shared" si="0"/>
        <v>0</v>
      </c>
      <c r="T16" s="155">
        <f t="shared" si="0"/>
        <v>0</v>
      </c>
      <c r="U16" s="103">
        <f t="shared" si="0"/>
        <v>0</v>
      </c>
      <c r="V16" s="327">
        <f t="shared" si="0"/>
        <v>0</v>
      </c>
      <c r="W16" s="94">
        <f t="shared" si="0"/>
        <v>0</v>
      </c>
      <c r="X16" s="94">
        <f t="shared" si="0"/>
        <v>0</v>
      </c>
      <c r="Y16" s="94">
        <f t="shared" si="0"/>
        <v>0</v>
      </c>
      <c r="Z16" s="94">
        <f t="shared" si="0"/>
        <v>0</v>
      </c>
      <c r="AA16" s="103">
        <f t="shared" si="0"/>
        <v>0</v>
      </c>
      <c r="AB16" s="215" t="e">
        <f t="shared" si="4"/>
        <v>#DIV/0!</v>
      </c>
      <c r="AC16" s="294">
        <f t="shared" si="1"/>
        <v>0</v>
      </c>
      <c r="AD16" s="293">
        <f t="shared" si="1"/>
        <v>0</v>
      </c>
      <c r="AE16" s="166" t="e">
        <f t="shared" si="2"/>
        <v>#DIV/0!</v>
      </c>
      <c r="AG16" s="155">
        <f t="shared" si="3"/>
        <v>0</v>
      </c>
      <c r="AH16" s="94">
        <f t="shared" si="3"/>
        <v>0</v>
      </c>
      <c r="AI16" s="94">
        <f t="shared" si="3"/>
        <v>0</v>
      </c>
      <c r="AJ16" s="94">
        <f t="shared" si="3"/>
        <v>0</v>
      </c>
      <c r="AK16" s="94">
        <f t="shared" si="3"/>
        <v>0</v>
      </c>
      <c r="AL16" s="103">
        <f t="shared" si="3"/>
        <v>0</v>
      </c>
      <c r="AM16" s="155">
        <f t="shared" si="3"/>
        <v>0</v>
      </c>
      <c r="AN16" s="94">
        <f t="shared" si="3"/>
        <v>0</v>
      </c>
      <c r="AO16" s="94">
        <f t="shared" si="3"/>
        <v>0</v>
      </c>
      <c r="AP16" s="94">
        <f t="shared" si="3"/>
        <v>0</v>
      </c>
      <c r="AQ16" s="94">
        <f t="shared" si="3"/>
        <v>0</v>
      </c>
      <c r="AR16" s="103">
        <f t="shared" si="3"/>
        <v>0</v>
      </c>
      <c r="AS16" s="327">
        <f t="shared" si="3"/>
        <v>0</v>
      </c>
      <c r="AT16" s="347">
        <f t="shared" si="3"/>
        <v>0</v>
      </c>
      <c r="AU16" s="155">
        <f t="shared" si="3"/>
        <v>0</v>
      </c>
      <c r="AV16" s="94">
        <f t="shared" si="3"/>
        <v>0</v>
      </c>
      <c r="AW16" s="94">
        <f t="shared" si="3"/>
        <v>0</v>
      </c>
      <c r="AX16" s="94">
        <f t="shared" si="3"/>
        <v>0</v>
      </c>
      <c r="AY16" s="94">
        <f t="shared" si="3"/>
        <v>0</v>
      </c>
      <c r="AZ16" s="103">
        <f t="shared" si="3"/>
        <v>0</v>
      </c>
    </row>
    <row r="17" spans="3:79" ht="16.5" thickBot="1" x14ac:dyDescent="0.3">
      <c r="C17" s="367" t="str">
        <f>Prosser!C17</f>
        <v>Nov 10-16</v>
      </c>
      <c r="D17" s="137"/>
      <c r="E17" s="341">
        <f t="shared" si="0"/>
        <v>0</v>
      </c>
      <c r="F17" s="63">
        <f t="shared" si="0"/>
        <v>0</v>
      </c>
      <c r="G17" s="342">
        <f t="shared" si="0"/>
        <v>0</v>
      </c>
      <c r="H17" s="155">
        <f t="shared" si="0"/>
        <v>0</v>
      </c>
      <c r="I17" s="94">
        <f t="shared" si="0"/>
        <v>0</v>
      </c>
      <c r="J17" s="94">
        <f t="shared" si="0"/>
        <v>0</v>
      </c>
      <c r="K17" s="94">
        <f t="shared" si="0"/>
        <v>0</v>
      </c>
      <c r="L17" s="94">
        <f t="shared" si="0"/>
        <v>0</v>
      </c>
      <c r="M17" s="103">
        <f t="shared" si="0"/>
        <v>0</v>
      </c>
      <c r="N17" s="327">
        <f t="shared" si="0"/>
        <v>0</v>
      </c>
      <c r="O17" s="94">
        <f t="shared" si="0"/>
        <v>0</v>
      </c>
      <c r="P17" s="94">
        <f t="shared" si="0"/>
        <v>0</v>
      </c>
      <c r="Q17" s="94">
        <f t="shared" si="0"/>
        <v>0</v>
      </c>
      <c r="R17" s="94">
        <f t="shared" si="0"/>
        <v>0</v>
      </c>
      <c r="S17" s="347">
        <f t="shared" si="0"/>
        <v>0</v>
      </c>
      <c r="T17" s="155">
        <f t="shared" si="0"/>
        <v>0</v>
      </c>
      <c r="U17" s="103">
        <f t="shared" si="0"/>
        <v>0</v>
      </c>
      <c r="V17" s="327">
        <f t="shared" si="0"/>
        <v>0</v>
      </c>
      <c r="W17" s="94">
        <f t="shared" si="0"/>
        <v>0</v>
      </c>
      <c r="X17" s="94">
        <f t="shared" si="0"/>
        <v>0</v>
      </c>
      <c r="Y17" s="94">
        <f t="shared" si="0"/>
        <v>0</v>
      </c>
      <c r="Z17" s="94">
        <f t="shared" si="0"/>
        <v>0</v>
      </c>
      <c r="AA17" s="103">
        <f t="shared" si="0"/>
        <v>0</v>
      </c>
      <c r="AB17" s="215">
        <v>0</v>
      </c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28"/>
      <c r="AT17" s="348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138"/>
      <c r="E18" s="344">
        <f t="shared" ref="E18:AA18" si="5">SUM(E8:E17)</f>
        <v>1</v>
      </c>
      <c r="F18" s="98">
        <f t="shared" si="5"/>
        <v>789</v>
      </c>
      <c r="G18" s="345">
        <f t="shared" si="5"/>
        <v>1766.3500000000001</v>
      </c>
      <c r="H18" s="157">
        <f t="shared" si="5"/>
        <v>38</v>
      </c>
      <c r="I18" s="105">
        <f t="shared" si="5"/>
        <v>71</v>
      </c>
      <c r="J18" s="105">
        <f t="shared" si="5"/>
        <v>4</v>
      </c>
      <c r="K18" s="105">
        <f t="shared" si="5"/>
        <v>1</v>
      </c>
      <c r="L18" s="105">
        <f t="shared" si="5"/>
        <v>10</v>
      </c>
      <c r="M18" s="107">
        <f t="shared" si="5"/>
        <v>0</v>
      </c>
      <c r="N18" s="329">
        <f t="shared" si="5"/>
        <v>4</v>
      </c>
      <c r="O18" s="105">
        <f t="shared" si="5"/>
        <v>10</v>
      </c>
      <c r="P18" s="105">
        <f t="shared" si="5"/>
        <v>0</v>
      </c>
      <c r="Q18" s="105">
        <f t="shared" si="5"/>
        <v>0</v>
      </c>
      <c r="R18" s="105">
        <f t="shared" si="5"/>
        <v>0</v>
      </c>
      <c r="S18" s="349">
        <f t="shared" si="5"/>
        <v>0</v>
      </c>
      <c r="T18" s="157">
        <f t="shared" si="5"/>
        <v>0</v>
      </c>
      <c r="U18" s="107">
        <f t="shared" si="5"/>
        <v>1</v>
      </c>
      <c r="V18" s="329">
        <f t="shared" si="5"/>
        <v>9</v>
      </c>
      <c r="W18" s="105">
        <f t="shared" si="5"/>
        <v>1</v>
      </c>
      <c r="X18" s="105">
        <f t="shared" si="5"/>
        <v>0</v>
      </c>
      <c r="Y18" s="105">
        <f t="shared" si="5"/>
        <v>0</v>
      </c>
      <c r="Z18" s="105">
        <f t="shared" si="5"/>
        <v>0</v>
      </c>
      <c r="AA18" s="107">
        <f t="shared" si="5"/>
        <v>1</v>
      </c>
      <c r="AB18" s="215">
        <f>SUM(G18)/SUM(H18:M18)</f>
        <v>14.24475806451613</v>
      </c>
      <c r="AC18" s="161">
        <f t="shared" ref="AC18:AD18" si="6">SUM(AC8:AC17)</f>
        <v>0</v>
      </c>
      <c r="AD18" s="161">
        <f t="shared" si="6"/>
        <v>0</v>
      </c>
      <c r="AE18" s="167" t="e">
        <f t="shared" si="2"/>
        <v>#DIV/0!</v>
      </c>
      <c r="AG18" s="157">
        <f t="shared" ref="AG18:AZ18" si="7">SUM(AG8:AG17)</f>
        <v>0</v>
      </c>
      <c r="AH18" s="105">
        <f t="shared" si="7"/>
        <v>0</v>
      </c>
      <c r="AI18" s="105">
        <f t="shared" si="7"/>
        <v>0</v>
      </c>
      <c r="AJ18" s="105">
        <f t="shared" si="7"/>
        <v>0</v>
      </c>
      <c r="AK18" s="105">
        <f t="shared" si="7"/>
        <v>0</v>
      </c>
      <c r="AL18" s="107">
        <f t="shared" si="7"/>
        <v>0</v>
      </c>
      <c r="AM18" s="157">
        <f t="shared" si="7"/>
        <v>0</v>
      </c>
      <c r="AN18" s="105">
        <f t="shared" si="7"/>
        <v>0</v>
      </c>
      <c r="AO18" s="105">
        <f t="shared" si="7"/>
        <v>0</v>
      </c>
      <c r="AP18" s="105">
        <f t="shared" si="7"/>
        <v>0</v>
      </c>
      <c r="AQ18" s="105">
        <f t="shared" si="7"/>
        <v>0</v>
      </c>
      <c r="AR18" s="107">
        <f t="shared" si="7"/>
        <v>0</v>
      </c>
      <c r="AS18" s="329">
        <f t="shared" si="7"/>
        <v>0</v>
      </c>
      <c r="AT18" s="349">
        <f t="shared" si="7"/>
        <v>0</v>
      </c>
      <c r="AU18" s="157">
        <f t="shared" si="7"/>
        <v>0</v>
      </c>
      <c r="AV18" s="105">
        <f t="shared" si="7"/>
        <v>0</v>
      </c>
      <c r="AW18" s="105">
        <f t="shared" si="7"/>
        <v>0</v>
      </c>
      <c r="AX18" s="105">
        <f t="shared" si="7"/>
        <v>0</v>
      </c>
      <c r="AY18" s="105">
        <f t="shared" si="7"/>
        <v>0</v>
      </c>
      <c r="AZ18" s="107">
        <f t="shared" si="7"/>
        <v>0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>
        <f>SUM(AG18:AL18)</f>
        <v>0</v>
      </c>
      <c r="AH19" s="191" t="s">
        <v>5232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5222</v>
      </c>
      <c r="D21" s="230"/>
      <c r="E21" s="415" t="s">
        <v>596</v>
      </c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  <c r="Y21" s="413"/>
      <c r="Z21" s="413"/>
      <c r="AA21" s="414"/>
      <c r="AB21" s="215"/>
      <c r="AC21" s="415" t="s">
        <v>5220</v>
      </c>
      <c r="AD21" s="413"/>
      <c r="AE21" s="414"/>
      <c r="AG21" s="415" t="s">
        <v>5224</v>
      </c>
      <c r="AH21" s="413"/>
      <c r="AI21" s="413"/>
      <c r="AJ21" s="413"/>
      <c r="AK21" s="413"/>
      <c r="AL21" s="413"/>
      <c r="AM21" s="413"/>
      <c r="AN21" s="413"/>
      <c r="AO21" s="413"/>
      <c r="AP21" s="413"/>
      <c r="AQ21" s="413"/>
      <c r="AR21" s="413"/>
      <c r="AS21" s="413"/>
      <c r="AT21" s="413"/>
      <c r="AU21" s="413"/>
      <c r="AV21" s="413"/>
      <c r="AW21" s="413"/>
      <c r="AX21" s="413"/>
      <c r="AY21" s="413"/>
      <c r="AZ21" s="414"/>
    </row>
    <row r="22" spans="3:79" x14ac:dyDescent="0.25">
      <c r="C22" s="227" t="str">
        <f t="shared" ref="C22:C31" si="8">C8</f>
        <v>0</v>
      </c>
      <c r="D22" s="71"/>
      <c r="E22" s="97"/>
      <c r="F22" s="63">
        <f>Prosser!F22+'Horn Rapids'!F22</f>
        <v>0</v>
      </c>
      <c r="G22" s="123">
        <f>Prosser!G22+'Horn Rapids'!G22</f>
        <v>0</v>
      </c>
      <c r="H22" s="268">
        <f>Prosser!H22+'Horn Rapids'!H22</f>
        <v>0</v>
      </c>
      <c r="I22" s="268">
        <f>Prosser!I22+'Horn Rapids'!I22</f>
        <v>0</v>
      </c>
      <c r="J22" s="268">
        <f>Prosser!J22+'Horn Rapids'!J22</f>
        <v>0</v>
      </c>
      <c r="K22" s="268">
        <f>Prosser!K22+'Horn Rapids'!K22</f>
        <v>0</v>
      </c>
      <c r="L22" s="268">
        <f>Prosser!L22+'Horn Rapids'!L22</f>
        <v>0</v>
      </c>
      <c r="M22" s="268">
        <f>Prosser!M22+'Horn Rapids'!M22</f>
        <v>0</v>
      </c>
      <c r="N22" s="268">
        <f>Prosser!N22+'Horn Rapids'!N22</f>
        <v>0</v>
      </c>
      <c r="O22" s="268">
        <f>Prosser!O22+'Horn Rapids'!O22</f>
        <v>0</v>
      </c>
      <c r="P22" s="268">
        <f>Prosser!P22+'Horn Rapids'!P22</f>
        <v>0</v>
      </c>
      <c r="Q22" s="268">
        <f>Prosser!Q22+'Horn Rapids'!Q22</f>
        <v>0</v>
      </c>
      <c r="R22" s="268">
        <f>Prosser!R22+'Horn Rapids'!R22</f>
        <v>0</v>
      </c>
      <c r="S22" s="268">
        <f>Prosser!S22+'Horn Rapids'!S22</f>
        <v>0</v>
      </c>
      <c r="T22" s="268">
        <f>Prosser!T22+'Horn Rapids'!T22</f>
        <v>0</v>
      </c>
      <c r="U22" s="268">
        <f>Prosser!U22+'Horn Rapids'!U22</f>
        <v>0</v>
      </c>
      <c r="V22" s="268">
        <f>Prosser!V22+'Horn Rapids'!V22</f>
        <v>0</v>
      </c>
      <c r="W22" s="268">
        <f>Prosser!W22+'Horn Rapids'!W22</f>
        <v>0</v>
      </c>
      <c r="X22" s="268">
        <f>Prosser!X22+'Horn Rapids'!X22</f>
        <v>0</v>
      </c>
      <c r="Y22" s="268">
        <f>Prosser!Y22+'Horn Rapids'!Y22</f>
        <v>0</v>
      </c>
      <c r="Z22" s="268">
        <f>Prosser!Z22+'Horn Rapids'!Z22</f>
        <v>0</v>
      </c>
      <c r="AA22" s="269">
        <f>Prosser!AA22+'Horn Rapids'!AA22</f>
        <v>0</v>
      </c>
      <c r="AB22" s="215" t="e">
        <f t="shared" ref="AB22:AB30" si="9">SUM(G22)/SUM(H22:M22)</f>
        <v>#DIV/0!</v>
      </c>
      <c r="AC22" s="183"/>
      <c r="AD22" s="101"/>
      <c r="AE22" s="295"/>
      <c r="AG22" s="155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103"/>
    </row>
    <row r="23" spans="3:79" x14ac:dyDescent="0.25">
      <c r="C23" s="227" t="str">
        <f t="shared" si="8"/>
        <v>Sept 15-21</v>
      </c>
      <c r="D23" s="96"/>
      <c r="E23" s="96"/>
      <c r="F23" s="63">
        <f>Prosser!F23+'Horn Rapids'!F23</f>
        <v>56</v>
      </c>
      <c r="G23" s="111">
        <f>Prosser!G23+'Horn Rapids'!G23</f>
        <v>120.88</v>
      </c>
      <c r="H23" s="94">
        <f>Prosser!H23+'Horn Rapids'!H23</f>
        <v>0</v>
      </c>
      <c r="I23" s="94">
        <f>Prosser!I23+'Horn Rapids'!I23</f>
        <v>0</v>
      </c>
      <c r="J23" s="94">
        <f>Prosser!J23+'Horn Rapids'!J23</f>
        <v>0</v>
      </c>
      <c r="K23" s="94">
        <f>Prosser!K23+'Horn Rapids'!K23</f>
        <v>0</v>
      </c>
      <c r="L23" s="94">
        <f>Prosser!L23+'Horn Rapids'!L23</f>
        <v>0</v>
      </c>
      <c r="M23" s="94">
        <f>Prosser!M23+'Horn Rapids'!M23</f>
        <v>0</v>
      </c>
      <c r="N23" s="94">
        <f>Prosser!N23+'Horn Rapids'!N23</f>
        <v>0</v>
      </c>
      <c r="O23" s="94">
        <f>Prosser!O23+'Horn Rapids'!O23</f>
        <v>0</v>
      </c>
      <c r="P23" s="94">
        <f>Prosser!P23+'Horn Rapids'!P23</f>
        <v>0</v>
      </c>
      <c r="Q23" s="94">
        <f>Prosser!Q23+'Horn Rapids'!Q23</f>
        <v>0</v>
      </c>
      <c r="R23" s="94">
        <f>Prosser!R23+'Horn Rapids'!R23</f>
        <v>0</v>
      </c>
      <c r="S23" s="94">
        <f>Prosser!S23+'Horn Rapids'!S23</f>
        <v>0</v>
      </c>
      <c r="T23" s="94">
        <f>Prosser!T23+'Horn Rapids'!T23</f>
        <v>0</v>
      </c>
      <c r="U23" s="94">
        <f>Prosser!U23+'Horn Rapids'!U23</f>
        <v>0</v>
      </c>
      <c r="V23" s="94">
        <f>Prosser!V23+'Horn Rapids'!V23</f>
        <v>2</v>
      </c>
      <c r="W23" s="94">
        <f>Prosser!W23+'Horn Rapids'!W23</f>
        <v>0</v>
      </c>
      <c r="X23" s="94">
        <f>Prosser!X23+'Horn Rapids'!X23</f>
        <v>0</v>
      </c>
      <c r="Y23" s="94">
        <f>Prosser!Y23+'Horn Rapids'!Y23</f>
        <v>0</v>
      </c>
      <c r="Z23" s="94">
        <f>Prosser!Z23+'Horn Rapids'!Z23</f>
        <v>0</v>
      </c>
      <c r="AA23" s="103">
        <f>Prosser!AA23+'Horn Rapids'!AA23</f>
        <v>0</v>
      </c>
      <c r="AB23" s="215" t="e">
        <f t="shared" si="9"/>
        <v>#DIV/0!</v>
      </c>
      <c r="AC23" s="183"/>
      <c r="AD23" s="94"/>
      <c r="AE23" s="166"/>
      <c r="AG23" s="155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103"/>
    </row>
    <row r="24" spans="3:79" x14ac:dyDescent="0.25">
      <c r="C24" s="227" t="str">
        <f t="shared" si="8"/>
        <v>Sept 21-28</v>
      </c>
      <c r="D24" s="96"/>
      <c r="E24" s="96"/>
      <c r="F24" s="63">
        <f>Prosser!F24+'Horn Rapids'!F24</f>
        <v>78</v>
      </c>
      <c r="G24" s="111">
        <f>Prosser!G24+'Horn Rapids'!G24</f>
        <v>161.47</v>
      </c>
      <c r="H24" s="94">
        <f>Prosser!H24+'Horn Rapids'!H24</f>
        <v>4</v>
      </c>
      <c r="I24" s="94">
        <f>Prosser!I24+'Horn Rapids'!I24</f>
        <v>3</v>
      </c>
      <c r="J24" s="94">
        <f>Prosser!J24+'Horn Rapids'!J24</f>
        <v>1</v>
      </c>
      <c r="K24" s="94">
        <f>Prosser!K24+'Horn Rapids'!K24</f>
        <v>0</v>
      </c>
      <c r="L24" s="94">
        <f>Prosser!L24+'Horn Rapids'!L24</f>
        <v>1</v>
      </c>
      <c r="M24" s="94">
        <f>Prosser!M24+'Horn Rapids'!M24</f>
        <v>0</v>
      </c>
      <c r="N24" s="94">
        <f>Prosser!N24+'Horn Rapids'!N24</f>
        <v>0</v>
      </c>
      <c r="O24" s="94">
        <f>Prosser!O24+'Horn Rapids'!O24</f>
        <v>0</v>
      </c>
      <c r="P24" s="94">
        <f>Prosser!P24+'Horn Rapids'!P24</f>
        <v>0</v>
      </c>
      <c r="Q24" s="94">
        <f>Prosser!Q24+'Horn Rapids'!Q24</f>
        <v>0</v>
      </c>
      <c r="R24" s="94">
        <f>Prosser!R24+'Horn Rapids'!R24</f>
        <v>0</v>
      </c>
      <c r="S24" s="94">
        <f>Prosser!S24+'Horn Rapids'!S24</f>
        <v>0</v>
      </c>
      <c r="T24" s="94">
        <f>Prosser!T24+'Horn Rapids'!T24</f>
        <v>0</v>
      </c>
      <c r="U24" s="94">
        <f>Prosser!U24+'Horn Rapids'!U24</f>
        <v>0</v>
      </c>
      <c r="V24" s="94">
        <f>Prosser!V24+'Horn Rapids'!V24</f>
        <v>0</v>
      </c>
      <c r="W24" s="94">
        <f>Prosser!W24+'Horn Rapids'!W24</f>
        <v>0</v>
      </c>
      <c r="X24" s="94">
        <f>Prosser!X24+'Horn Rapids'!X24</f>
        <v>0</v>
      </c>
      <c r="Y24" s="94">
        <f>Prosser!Y24+'Horn Rapids'!Y24</f>
        <v>0</v>
      </c>
      <c r="Z24" s="94">
        <f>Prosser!Z24+'Horn Rapids'!Z24</f>
        <v>0</v>
      </c>
      <c r="AA24" s="103">
        <f>Prosser!AA24+'Horn Rapids'!AA24</f>
        <v>0</v>
      </c>
      <c r="AB24" s="215">
        <f t="shared" si="9"/>
        <v>17.941111111111113</v>
      </c>
      <c r="AC24" s="183"/>
      <c r="AD24" s="94"/>
      <c r="AE24" s="166"/>
      <c r="AG24" s="155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103"/>
    </row>
    <row r="25" spans="3:79" x14ac:dyDescent="0.25">
      <c r="C25" s="227" t="str">
        <f t="shared" si="8"/>
        <v>Sept 29-Oct 5</v>
      </c>
      <c r="D25" s="96"/>
      <c r="E25" s="96"/>
      <c r="F25" s="63">
        <f>Prosser!F25+'Horn Rapids'!F25</f>
        <v>96</v>
      </c>
      <c r="G25" s="111">
        <f>Prosser!G25+'Horn Rapids'!G25</f>
        <v>155.95000000000002</v>
      </c>
      <c r="H25" s="94">
        <f>Prosser!H25+'Horn Rapids'!H25</f>
        <v>2</v>
      </c>
      <c r="I25" s="94">
        <f>Prosser!I25+'Horn Rapids'!I25</f>
        <v>7</v>
      </c>
      <c r="J25" s="94">
        <f>Prosser!J25+'Horn Rapids'!J25</f>
        <v>1</v>
      </c>
      <c r="K25" s="94">
        <f>Prosser!K25+'Horn Rapids'!K25</f>
        <v>0</v>
      </c>
      <c r="L25" s="94">
        <f>Prosser!L25+'Horn Rapids'!L25</f>
        <v>0</v>
      </c>
      <c r="M25" s="94">
        <f>Prosser!M25+'Horn Rapids'!M25</f>
        <v>0</v>
      </c>
      <c r="N25" s="94">
        <f>Prosser!N25+'Horn Rapids'!N25</f>
        <v>0</v>
      </c>
      <c r="O25" s="94">
        <f>Prosser!O25+'Horn Rapids'!O25</f>
        <v>0</v>
      </c>
      <c r="P25" s="94">
        <f>Prosser!P25+'Horn Rapids'!P25</f>
        <v>0</v>
      </c>
      <c r="Q25" s="94">
        <f>Prosser!Q25+'Horn Rapids'!Q25</f>
        <v>0</v>
      </c>
      <c r="R25" s="94">
        <f>Prosser!R25+'Horn Rapids'!R25</f>
        <v>0</v>
      </c>
      <c r="S25" s="94">
        <f>Prosser!S25+'Horn Rapids'!S25</f>
        <v>0</v>
      </c>
      <c r="T25" s="94">
        <f>Prosser!T25+'Horn Rapids'!T25</f>
        <v>0</v>
      </c>
      <c r="U25" s="94">
        <f>Prosser!U25+'Horn Rapids'!U25</f>
        <v>0</v>
      </c>
      <c r="V25" s="94">
        <f>Prosser!V25+'Horn Rapids'!V25</f>
        <v>5</v>
      </c>
      <c r="W25" s="94">
        <f>Prosser!W25+'Horn Rapids'!W25</f>
        <v>0</v>
      </c>
      <c r="X25" s="94">
        <f>Prosser!X25+'Horn Rapids'!X25</f>
        <v>0</v>
      </c>
      <c r="Y25" s="94">
        <f>Prosser!Y25+'Horn Rapids'!Y25</f>
        <v>0</v>
      </c>
      <c r="Z25" s="94">
        <f>Prosser!Z25+'Horn Rapids'!Z25</f>
        <v>0</v>
      </c>
      <c r="AA25" s="103">
        <f>Prosser!AA25+'Horn Rapids'!AA25</f>
        <v>0</v>
      </c>
      <c r="AB25" s="215">
        <f t="shared" si="9"/>
        <v>15.595000000000002</v>
      </c>
      <c r="AC25" s="183"/>
      <c r="AD25" s="94"/>
      <c r="AE25" s="166"/>
      <c r="AG25" s="155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103"/>
    </row>
    <row r="26" spans="3:79" x14ac:dyDescent="0.25">
      <c r="C26" s="227" t="str">
        <f t="shared" si="8"/>
        <v>Oct 6-Oct 12</v>
      </c>
      <c r="D26" s="96"/>
      <c r="E26" s="96"/>
      <c r="F26" s="63">
        <f>Prosser!F26+'Horn Rapids'!F26</f>
        <v>169</v>
      </c>
      <c r="G26" s="111">
        <f>Prosser!G26+'Horn Rapids'!G26</f>
        <v>385.46</v>
      </c>
      <c r="H26" s="94">
        <f>Prosser!H26+'Horn Rapids'!H26</f>
        <v>12</v>
      </c>
      <c r="I26" s="94">
        <f>Prosser!I26+'Horn Rapids'!I26</f>
        <v>22</v>
      </c>
      <c r="J26" s="94">
        <f>Prosser!J26+'Horn Rapids'!J26</f>
        <v>1</v>
      </c>
      <c r="K26" s="94">
        <f>Prosser!K26+'Horn Rapids'!K26</f>
        <v>1</v>
      </c>
      <c r="L26" s="94">
        <f>Prosser!L26+'Horn Rapids'!L26</f>
        <v>0</v>
      </c>
      <c r="M26" s="94">
        <f>Prosser!M26+'Horn Rapids'!M26</f>
        <v>0</v>
      </c>
      <c r="N26" s="94">
        <f>Prosser!N26+'Horn Rapids'!N26</f>
        <v>1</v>
      </c>
      <c r="O26" s="94">
        <f>Prosser!O26+'Horn Rapids'!O26</f>
        <v>0</v>
      </c>
      <c r="P26" s="94">
        <f>Prosser!P26+'Horn Rapids'!P26</f>
        <v>0</v>
      </c>
      <c r="Q26" s="94">
        <f>Prosser!Q26+'Horn Rapids'!Q26</f>
        <v>0</v>
      </c>
      <c r="R26" s="94">
        <f>Prosser!R26+'Horn Rapids'!R26</f>
        <v>0</v>
      </c>
      <c r="S26" s="94">
        <f>Prosser!S26+'Horn Rapids'!S26</f>
        <v>0</v>
      </c>
      <c r="T26" s="94">
        <f>Prosser!T26+'Horn Rapids'!T26</f>
        <v>0</v>
      </c>
      <c r="U26" s="94">
        <f>Prosser!U26+'Horn Rapids'!U26</f>
        <v>1</v>
      </c>
      <c r="V26" s="94">
        <f>Prosser!V26+'Horn Rapids'!V26</f>
        <v>2</v>
      </c>
      <c r="W26" s="94">
        <f>Prosser!W26+'Horn Rapids'!W26</f>
        <v>0</v>
      </c>
      <c r="X26" s="94">
        <f>Prosser!X26+'Horn Rapids'!X26</f>
        <v>0</v>
      </c>
      <c r="Y26" s="94">
        <f>Prosser!Y26+'Horn Rapids'!Y26</f>
        <v>0</v>
      </c>
      <c r="Z26" s="94">
        <f>Prosser!Z26+'Horn Rapids'!Z26</f>
        <v>0</v>
      </c>
      <c r="AA26" s="103">
        <f>Prosser!AA26+'Horn Rapids'!AA26</f>
        <v>1</v>
      </c>
      <c r="AB26" s="215">
        <f t="shared" si="9"/>
        <v>10.707222222222221</v>
      </c>
      <c r="AC26" s="183"/>
      <c r="AD26" s="94"/>
      <c r="AE26" s="166"/>
      <c r="AG26" s="155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103"/>
    </row>
    <row r="27" spans="3:79" x14ac:dyDescent="0.25">
      <c r="C27" s="227" t="str">
        <f t="shared" si="8"/>
        <v>Oct 13-19</v>
      </c>
      <c r="D27" s="96"/>
      <c r="E27" s="96"/>
      <c r="F27" s="63">
        <f>Prosser!F27+'Horn Rapids'!F27</f>
        <v>149</v>
      </c>
      <c r="G27" s="111">
        <f>Prosser!G27+'Horn Rapids'!G27</f>
        <v>341.13</v>
      </c>
      <c r="H27" s="94">
        <f>Prosser!H27+'Horn Rapids'!H27</f>
        <v>12</v>
      </c>
      <c r="I27" s="94">
        <f>Prosser!I27+'Horn Rapids'!I27</f>
        <v>14</v>
      </c>
      <c r="J27" s="94">
        <f>Prosser!J27+'Horn Rapids'!J27</f>
        <v>1</v>
      </c>
      <c r="K27" s="94">
        <f>Prosser!K27+'Horn Rapids'!K27</f>
        <v>0</v>
      </c>
      <c r="L27" s="94">
        <f>Prosser!L27+'Horn Rapids'!L27</f>
        <v>0</v>
      </c>
      <c r="M27" s="94">
        <f>Prosser!M27+'Horn Rapids'!M27</f>
        <v>0</v>
      </c>
      <c r="N27" s="94">
        <f>Prosser!N27+'Horn Rapids'!N27</f>
        <v>2</v>
      </c>
      <c r="O27" s="94">
        <f>Prosser!O27+'Horn Rapids'!O27</f>
        <v>0</v>
      </c>
      <c r="P27" s="94">
        <f>Prosser!P27+'Horn Rapids'!P27</f>
        <v>0</v>
      </c>
      <c r="Q27" s="94">
        <f>Prosser!Q27+'Horn Rapids'!Q27</f>
        <v>0</v>
      </c>
      <c r="R27" s="94">
        <f>Prosser!R27+'Horn Rapids'!R27</f>
        <v>0</v>
      </c>
      <c r="S27" s="94">
        <f>Prosser!S27+'Horn Rapids'!S27</f>
        <v>0</v>
      </c>
      <c r="T27" s="94">
        <f>Prosser!T27+'Horn Rapids'!T27</f>
        <v>0</v>
      </c>
      <c r="U27" s="94">
        <f>Prosser!U27+'Horn Rapids'!U27</f>
        <v>0</v>
      </c>
      <c r="V27" s="94">
        <f>Prosser!V27+'Horn Rapids'!V27</f>
        <v>0</v>
      </c>
      <c r="W27" s="94">
        <f>Prosser!W27+'Horn Rapids'!W27</f>
        <v>0</v>
      </c>
      <c r="X27" s="94">
        <f>Prosser!X27+'Horn Rapids'!X27</f>
        <v>0</v>
      </c>
      <c r="Y27" s="94">
        <f>Prosser!Y27+'Horn Rapids'!Y27</f>
        <v>0</v>
      </c>
      <c r="Z27" s="94">
        <f>Prosser!Z27+'Horn Rapids'!Z27</f>
        <v>0</v>
      </c>
      <c r="AA27" s="103">
        <f>Prosser!AA27+'Horn Rapids'!AA27</f>
        <v>0</v>
      </c>
      <c r="AB27" s="215">
        <f t="shared" si="9"/>
        <v>12.634444444444444</v>
      </c>
      <c r="AC27" s="183"/>
      <c r="AD27" s="94"/>
      <c r="AE27" s="166"/>
      <c r="AG27" s="155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103"/>
    </row>
    <row r="28" spans="3:79" x14ac:dyDescent="0.25">
      <c r="C28" s="227" t="str">
        <f t="shared" si="8"/>
        <v>Oct 20-26</v>
      </c>
      <c r="D28" s="179"/>
      <c r="E28" s="179"/>
      <c r="F28" s="63">
        <f>Prosser!F28+'Horn Rapids'!F28</f>
        <v>128</v>
      </c>
      <c r="G28" s="111">
        <f>Prosser!G28+'Horn Rapids'!G28</f>
        <v>383.7</v>
      </c>
      <c r="H28" s="94">
        <f>Prosser!H28+'Horn Rapids'!H28</f>
        <v>4</v>
      </c>
      <c r="I28" s="94">
        <f>Prosser!I28+'Horn Rapids'!I28</f>
        <v>10</v>
      </c>
      <c r="J28" s="94">
        <f>Prosser!J28+'Horn Rapids'!J28</f>
        <v>0</v>
      </c>
      <c r="K28" s="94">
        <f>Prosser!K28+'Horn Rapids'!K28</f>
        <v>0</v>
      </c>
      <c r="L28" s="94">
        <f>Prosser!L28+'Horn Rapids'!L28</f>
        <v>1</v>
      </c>
      <c r="M28" s="94">
        <f>Prosser!M28+'Horn Rapids'!M28</f>
        <v>0</v>
      </c>
      <c r="N28" s="94">
        <f>Prosser!N28+'Horn Rapids'!N28</f>
        <v>1</v>
      </c>
      <c r="O28" s="94">
        <f>Prosser!O28+'Horn Rapids'!O28</f>
        <v>0</v>
      </c>
      <c r="P28" s="94">
        <f>Prosser!P28+'Horn Rapids'!P28</f>
        <v>0</v>
      </c>
      <c r="Q28" s="94">
        <f>Prosser!Q28+'Horn Rapids'!Q28</f>
        <v>0</v>
      </c>
      <c r="R28" s="94">
        <f>Prosser!R28+'Horn Rapids'!R28</f>
        <v>0</v>
      </c>
      <c r="S28" s="94">
        <f>Prosser!S28+'Horn Rapids'!S28</f>
        <v>0</v>
      </c>
      <c r="T28" s="94">
        <f>Prosser!T28+'Horn Rapids'!T28</f>
        <v>0</v>
      </c>
      <c r="U28" s="94">
        <f>Prosser!U28+'Horn Rapids'!U28</f>
        <v>0</v>
      </c>
      <c r="V28" s="94">
        <f>Prosser!V28+'Horn Rapids'!V28</f>
        <v>0</v>
      </c>
      <c r="W28" s="94">
        <f>Prosser!W28+'Horn Rapids'!W28</f>
        <v>0</v>
      </c>
      <c r="X28" s="94">
        <f>Prosser!X28+'Horn Rapids'!X28</f>
        <v>0</v>
      </c>
      <c r="Y28" s="94">
        <f>Prosser!Y28+'Horn Rapids'!Y28</f>
        <v>0</v>
      </c>
      <c r="Z28" s="94">
        <f>Prosser!Z28+'Horn Rapids'!Z28</f>
        <v>0</v>
      </c>
      <c r="AA28" s="103">
        <f>Prosser!AA28+'Horn Rapids'!AA28</f>
        <v>0</v>
      </c>
      <c r="AB28" s="215">
        <f t="shared" si="9"/>
        <v>25.58</v>
      </c>
      <c r="AC28" s="183"/>
      <c r="AD28" s="94"/>
      <c r="AE28" s="166"/>
      <c r="AG28" s="155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103"/>
    </row>
    <row r="29" spans="3:79" x14ac:dyDescent="0.25">
      <c r="C29" s="227" t="str">
        <f t="shared" si="8"/>
        <v>Oct 27-Nov 2</v>
      </c>
      <c r="D29" s="179"/>
      <c r="E29" s="179"/>
      <c r="F29" s="63">
        <f>Prosser!F29+'Horn Rapids'!F29</f>
        <v>111</v>
      </c>
      <c r="G29" s="111">
        <f>Prosser!G29+'Horn Rapids'!G29</f>
        <v>210.16000000000003</v>
      </c>
      <c r="H29" s="94">
        <f>Prosser!H29+'Horn Rapids'!H29</f>
        <v>3</v>
      </c>
      <c r="I29" s="94">
        <f>Prosser!I29+'Horn Rapids'!I29</f>
        <v>12</v>
      </c>
      <c r="J29" s="94">
        <f>Prosser!J29+'Horn Rapids'!J29</f>
        <v>0</v>
      </c>
      <c r="K29" s="94">
        <f>Prosser!K29+'Horn Rapids'!K29</f>
        <v>0</v>
      </c>
      <c r="L29" s="94">
        <f>Prosser!L29+'Horn Rapids'!L29</f>
        <v>8</v>
      </c>
      <c r="M29" s="94">
        <f>Prosser!M29+'Horn Rapids'!M29</f>
        <v>0</v>
      </c>
      <c r="N29" s="94">
        <f>Prosser!N29+'Horn Rapids'!N29</f>
        <v>0</v>
      </c>
      <c r="O29" s="94">
        <f>Prosser!O29+'Horn Rapids'!O29</f>
        <v>10</v>
      </c>
      <c r="P29" s="94">
        <f>Prosser!P29+'Horn Rapids'!P29</f>
        <v>0</v>
      </c>
      <c r="Q29" s="94">
        <f>Prosser!Q29+'Horn Rapids'!Q29</f>
        <v>0</v>
      </c>
      <c r="R29" s="94">
        <f>Prosser!R29+'Horn Rapids'!R29</f>
        <v>0</v>
      </c>
      <c r="S29" s="94">
        <f>Prosser!S29+'Horn Rapids'!S29</f>
        <v>0</v>
      </c>
      <c r="T29" s="94">
        <f>Prosser!T29+'Horn Rapids'!T29</f>
        <v>0</v>
      </c>
      <c r="U29" s="94">
        <f>Prosser!U29+'Horn Rapids'!U29</f>
        <v>0</v>
      </c>
      <c r="V29" s="94">
        <f>Prosser!V29+'Horn Rapids'!V29</f>
        <v>0</v>
      </c>
      <c r="W29" s="94">
        <f>Prosser!W29+'Horn Rapids'!W29</f>
        <v>1</v>
      </c>
      <c r="X29" s="94">
        <f>Prosser!X29+'Horn Rapids'!X29</f>
        <v>0</v>
      </c>
      <c r="Y29" s="94">
        <f>Prosser!Y29+'Horn Rapids'!Y29</f>
        <v>0</v>
      </c>
      <c r="Z29" s="94">
        <f>Prosser!Z29+'Horn Rapids'!Z29</f>
        <v>0</v>
      </c>
      <c r="AA29" s="103">
        <f>Prosser!AA29+'Horn Rapids'!AA29</f>
        <v>0</v>
      </c>
      <c r="AB29" s="215">
        <f t="shared" si="9"/>
        <v>9.1373913043478279</v>
      </c>
      <c r="AC29" s="294"/>
      <c r="AD29" s="293"/>
      <c r="AE29" s="166"/>
      <c r="AG29" s="155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103"/>
    </row>
    <row r="30" spans="3:79" x14ac:dyDescent="0.25">
      <c r="C30" s="227" t="str">
        <f t="shared" si="8"/>
        <v>Nov 3-9</v>
      </c>
      <c r="D30" s="179"/>
      <c r="E30" s="179"/>
      <c r="F30" s="63">
        <f>Prosser!F30+'Horn Rapids'!F30</f>
        <v>0</v>
      </c>
      <c r="G30" s="111">
        <f>Prosser!G30+'Horn Rapids'!G30</f>
        <v>0</v>
      </c>
      <c r="H30" s="94">
        <f>Prosser!H30+'Horn Rapids'!H30</f>
        <v>0</v>
      </c>
      <c r="I30" s="94">
        <f>Prosser!I30+'Horn Rapids'!I30</f>
        <v>0</v>
      </c>
      <c r="J30" s="94">
        <f>Prosser!J30+'Horn Rapids'!J30</f>
        <v>0</v>
      </c>
      <c r="K30" s="94">
        <f>Prosser!K30+'Horn Rapids'!K30</f>
        <v>0</v>
      </c>
      <c r="L30" s="94">
        <f>Prosser!L30+'Horn Rapids'!L30</f>
        <v>0</v>
      </c>
      <c r="M30" s="94">
        <f>Prosser!M30+'Horn Rapids'!M30</f>
        <v>0</v>
      </c>
      <c r="N30" s="94">
        <f>Prosser!N30+'Horn Rapids'!N30</f>
        <v>0</v>
      </c>
      <c r="O30" s="94">
        <f>Prosser!O30+'Horn Rapids'!O30</f>
        <v>0</v>
      </c>
      <c r="P30" s="94">
        <f>Prosser!P30+'Horn Rapids'!P30</f>
        <v>0</v>
      </c>
      <c r="Q30" s="94">
        <f>Prosser!Q30+'Horn Rapids'!Q30</f>
        <v>0</v>
      </c>
      <c r="R30" s="94">
        <f>Prosser!R30+'Horn Rapids'!R30</f>
        <v>0</v>
      </c>
      <c r="S30" s="94">
        <f>Prosser!S30+'Horn Rapids'!S30</f>
        <v>0</v>
      </c>
      <c r="T30" s="94">
        <f>Prosser!T30+'Horn Rapids'!T30</f>
        <v>0</v>
      </c>
      <c r="U30" s="94">
        <f>Prosser!U30+'Horn Rapids'!U30</f>
        <v>0</v>
      </c>
      <c r="V30" s="94">
        <f>Prosser!V30+'Horn Rapids'!V30</f>
        <v>0</v>
      </c>
      <c r="W30" s="94">
        <f>Prosser!W30+'Horn Rapids'!W30</f>
        <v>0</v>
      </c>
      <c r="X30" s="94">
        <f>Prosser!X30+'Horn Rapids'!X30</f>
        <v>0</v>
      </c>
      <c r="Y30" s="94">
        <f>Prosser!Y30+'Horn Rapids'!Y30</f>
        <v>0</v>
      </c>
      <c r="Z30" s="94">
        <f>Prosser!Z30+'Horn Rapids'!Z30</f>
        <v>0</v>
      </c>
      <c r="AA30" s="103">
        <f>Prosser!AA30+'Horn Rapids'!AA30</f>
        <v>0</v>
      </c>
      <c r="AB30" s="215" t="e">
        <f t="shared" si="9"/>
        <v>#DIV/0!</v>
      </c>
      <c r="AC30" s="294"/>
      <c r="AD30" s="293"/>
      <c r="AE30" s="166"/>
      <c r="AG30" s="155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103"/>
    </row>
    <row r="31" spans="3:79" ht="16.5" thickBot="1" x14ac:dyDescent="0.3">
      <c r="C31" s="114" t="str">
        <f t="shared" si="8"/>
        <v>Nov 10-16</v>
      </c>
      <c r="D31" s="115"/>
      <c r="E31" s="115"/>
      <c r="F31" s="95">
        <f>Prosser!F31+'Horn Rapids'!F31</f>
        <v>0</v>
      </c>
      <c r="G31" s="134">
        <f>Prosser!G31+'Horn Rapids'!G31</f>
        <v>0</v>
      </c>
      <c r="H31" s="95">
        <f>Prosser!H31+'Horn Rapids'!H31</f>
        <v>0</v>
      </c>
      <c r="I31" s="95">
        <f>Prosser!I31+'Horn Rapids'!I31</f>
        <v>0</v>
      </c>
      <c r="J31" s="95">
        <f>Prosser!J31+'Horn Rapids'!J31</f>
        <v>0</v>
      </c>
      <c r="K31" s="95">
        <f>Prosser!K31+'Horn Rapids'!K31</f>
        <v>0</v>
      </c>
      <c r="L31" s="95">
        <f>Prosser!L31+'Horn Rapids'!L31</f>
        <v>0</v>
      </c>
      <c r="M31" s="95">
        <f>Prosser!M31+'Horn Rapids'!M31</f>
        <v>0</v>
      </c>
      <c r="N31" s="95">
        <f>Prosser!N31+'Horn Rapids'!N31</f>
        <v>0</v>
      </c>
      <c r="O31" s="95">
        <f>Prosser!O31+'Horn Rapids'!O31</f>
        <v>0</v>
      </c>
      <c r="P31" s="95">
        <f>Prosser!P31+'Horn Rapids'!P31</f>
        <v>0</v>
      </c>
      <c r="Q31" s="95">
        <f>Prosser!Q31+'Horn Rapids'!Q31</f>
        <v>0</v>
      </c>
      <c r="R31" s="95">
        <f>Prosser!R31+'Horn Rapids'!R31</f>
        <v>0</v>
      </c>
      <c r="S31" s="95">
        <f>Prosser!S31+'Horn Rapids'!S31</f>
        <v>0</v>
      </c>
      <c r="T31" s="95">
        <f>Prosser!T31+'Horn Rapids'!T31</f>
        <v>0</v>
      </c>
      <c r="U31" s="95">
        <f>Prosser!U31+'Horn Rapids'!U31</f>
        <v>0</v>
      </c>
      <c r="V31" s="95">
        <f>Prosser!V31+'Horn Rapids'!V31</f>
        <v>0</v>
      </c>
      <c r="W31" s="95">
        <f>Prosser!W31+'Horn Rapids'!W31</f>
        <v>0</v>
      </c>
      <c r="X31" s="95">
        <f>Prosser!X31+'Horn Rapids'!X31</f>
        <v>0</v>
      </c>
      <c r="Y31" s="95">
        <f>Prosser!Y31+'Horn Rapids'!Y31</f>
        <v>0</v>
      </c>
      <c r="Z31" s="95">
        <f>Prosser!Z31+'Horn Rapids'!Z31</f>
        <v>0</v>
      </c>
      <c r="AA31" s="104">
        <f>Prosser!AA31+'Horn Rapids'!AA31</f>
        <v>0</v>
      </c>
      <c r="AB31" s="215">
        <v>0</v>
      </c>
      <c r="AC31" s="184"/>
      <c r="AD31" s="95"/>
      <c r="AE31" s="296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10">SUM(F22:F31)</f>
        <v>787</v>
      </c>
      <c r="G32" s="135">
        <f t="shared" si="10"/>
        <v>1758.75</v>
      </c>
      <c r="H32" s="105">
        <f t="shared" si="10"/>
        <v>37</v>
      </c>
      <c r="I32" s="105">
        <f t="shared" si="10"/>
        <v>68</v>
      </c>
      <c r="J32" s="105">
        <f t="shared" si="10"/>
        <v>4</v>
      </c>
      <c r="K32" s="105">
        <f t="shared" si="10"/>
        <v>1</v>
      </c>
      <c r="L32" s="105">
        <f t="shared" si="10"/>
        <v>10</v>
      </c>
      <c r="M32" s="105">
        <f t="shared" si="10"/>
        <v>0</v>
      </c>
      <c r="N32" s="105">
        <f t="shared" si="10"/>
        <v>4</v>
      </c>
      <c r="O32" s="105">
        <f t="shared" si="10"/>
        <v>10</v>
      </c>
      <c r="P32" s="105">
        <f t="shared" si="10"/>
        <v>0</v>
      </c>
      <c r="Q32" s="105">
        <f t="shared" si="10"/>
        <v>0</v>
      </c>
      <c r="R32" s="105">
        <f t="shared" si="10"/>
        <v>0</v>
      </c>
      <c r="S32" s="105">
        <f t="shared" si="10"/>
        <v>0</v>
      </c>
      <c r="T32" s="105">
        <f t="shared" si="10"/>
        <v>0</v>
      </c>
      <c r="U32" s="105">
        <f t="shared" si="10"/>
        <v>1</v>
      </c>
      <c r="V32" s="105">
        <f t="shared" si="10"/>
        <v>9</v>
      </c>
      <c r="W32" s="105">
        <f t="shared" si="10"/>
        <v>1</v>
      </c>
      <c r="X32" s="105">
        <f t="shared" si="10"/>
        <v>0</v>
      </c>
      <c r="Y32" s="105">
        <f t="shared" si="10"/>
        <v>0</v>
      </c>
      <c r="Z32" s="105">
        <f t="shared" si="10"/>
        <v>0</v>
      </c>
      <c r="AA32" s="107">
        <f t="shared" si="10"/>
        <v>1</v>
      </c>
      <c r="AB32" s="215">
        <f>SUM(G32)/SUM(H32:M32)</f>
        <v>14.65625</v>
      </c>
      <c r="AC32" s="185">
        <f t="shared" si="10"/>
        <v>0</v>
      </c>
      <c r="AD32" s="297">
        <f>SUM(AD22:AD31)</f>
        <v>0</v>
      </c>
      <c r="AE32" s="167" t="e">
        <f t="shared" ref="AE32" si="11">G32/AD32</f>
        <v>#DIV/0!</v>
      </c>
      <c r="AG32" s="157">
        <f t="shared" ref="AG32:AZ32" si="12">SUM(AG22:AG31)</f>
        <v>0</v>
      </c>
      <c r="AH32" s="105">
        <f t="shared" si="12"/>
        <v>0</v>
      </c>
      <c r="AI32" s="105">
        <f t="shared" si="12"/>
        <v>0</v>
      </c>
      <c r="AJ32" s="105">
        <f t="shared" si="12"/>
        <v>0</v>
      </c>
      <c r="AK32" s="105">
        <f t="shared" si="12"/>
        <v>0</v>
      </c>
      <c r="AL32" s="105">
        <f t="shared" si="12"/>
        <v>0</v>
      </c>
      <c r="AM32" s="105">
        <f t="shared" si="12"/>
        <v>0</v>
      </c>
      <c r="AN32" s="105">
        <f t="shared" si="12"/>
        <v>0</v>
      </c>
      <c r="AO32" s="105">
        <f t="shared" si="12"/>
        <v>0</v>
      </c>
      <c r="AP32" s="105">
        <f t="shared" si="12"/>
        <v>0</v>
      </c>
      <c r="AQ32" s="105">
        <f t="shared" si="12"/>
        <v>0</v>
      </c>
      <c r="AR32" s="105">
        <f t="shared" si="12"/>
        <v>0</v>
      </c>
      <c r="AS32" s="105">
        <f t="shared" si="12"/>
        <v>0</v>
      </c>
      <c r="AT32" s="105">
        <f t="shared" si="12"/>
        <v>0</v>
      </c>
      <c r="AU32" s="105">
        <f t="shared" si="12"/>
        <v>0</v>
      </c>
      <c r="AV32" s="105">
        <f t="shared" si="12"/>
        <v>0</v>
      </c>
      <c r="AW32" s="105">
        <f t="shared" si="12"/>
        <v>0</v>
      </c>
      <c r="AX32" s="105">
        <f t="shared" si="12"/>
        <v>0</v>
      </c>
      <c r="AY32" s="105">
        <f t="shared" si="12"/>
        <v>0</v>
      </c>
      <c r="AZ32" s="107">
        <f t="shared" si="12"/>
        <v>0</v>
      </c>
      <c r="CA32" s="13"/>
    </row>
    <row r="33" spans="3:52" x14ac:dyDescent="0.25">
      <c r="AB33" s="215"/>
      <c r="AI33" s="15"/>
      <c r="AJ33" s="15"/>
    </row>
    <row r="34" spans="3:52" ht="16.5" thickBot="1" x14ac:dyDescent="0.3">
      <c r="AB34" s="215"/>
      <c r="AI34" s="15"/>
      <c r="AJ34" s="15"/>
    </row>
    <row r="35" spans="3:52" ht="19.5" thickBot="1" x14ac:dyDescent="0.35">
      <c r="C35" s="229" t="s">
        <v>5223</v>
      </c>
      <c r="D35" s="231"/>
      <c r="E35" s="415" t="s">
        <v>596</v>
      </c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4"/>
      <c r="AB35" s="215"/>
      <c r="AC35" s="415" t="s">
        <v>5220</v>
      </c>
      <c r="AD35" s="413"/>
      <c r="AE35" s="414"/>
      <c r="AG35" s="415" t="s">
        <v>5224</v>
      </c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4"/>
    </row>
    <row r="36" spans="3:52" x14ac:dyDescent="0.25">
      <c r="C36" s="227" t="str">
        <f t="shared" ref="C36:C45" si="13">C8</f>
        <v>0</v>
      </c>
      <c r="D36" s="71"/>
      <c r="E36" s="63">
        <f>Prosser!E36+'Horn Rapids'!E36</f>
        <v>0</v>
      </c>
      <c r="F36" s="63">
        <f>Prosser!F36+'Horn Rapids'!F36</f>
        <v>0</v>
      </c>
      <c r="G36" s="123">
        <f>Prosser!G36+'Horn Rapids'!G36</f>
        <v>0</v>
      </c>
      <c r="H36" s="268">
        <f>Prosser!H36+'Horn Rapids'!H36</f>
        <v>0</v>
      </c>
      <c r="I36" s="268">
        <f>Prosser!I36+'Horn Rapids'!I36</f>
        <v>0</v>
      </c>
      <c r="J36" s="268">
        <f>Prosser!J36+'Horn Rapids'!J36</f>
        <v>0</v>
      </c>
      <c r="K36" s="268">
        <f>Prosser!K36+'Horn Rapids'!K36</f>
        <v>0</v>
      </c>
      <c r="L36" s="268">
        <f>Prosser!L36+'Horn Rapids'!L36</f>
        <v>0</v>
      </c>
      <c r="M36" s="268">
        <f>Prosser!M36+'Horn Rapids'!M36</f>
        <v>0</v>
      </c>
      <c r="N36" s="268">
        <f>Prosser!N36+'Horn Rapids'!N36</f>
        <v>0</v>
      </c>
      <c r="O36" s="268">
        <f>Prosser!O36+'Horn Rapids'!O36</f>
        <v>0</v>
      </c>
      <c r="P36" s="268">
        <f>Prosser!P36+'Horn Rapids'!P36</f>
        <v>0</v>
      </c>
      <c r="Q36" s="268">
        <f>Prosser!Q36+'Horn Rapids'!Q36</f>
        <v>0</v>
      </c>
      <c r="R36" s="268">
        <f>Prosser!R36+'Horn Rapids'!R36</f>
        <v>0</v>
      </c>
      <c r="S36" s="268">
        <f>Prosser!S36+'Horn Rapids'!S36</f>
        <v>0</v>
      </c>
      <c r="T36" s="268">
        <f>Prosser!T36+'Horn Rapids'!T36</f>
        <v>0</v>
      </c>
      <c r="U36" s="268">
        <f>Prosser!U36+'Horn Rapids'!U36</f>
        <v>0</v>
      </c>
      <c r="V36" s="268">
        <f>Prosser!V36+'Horn Rapids'!V36</f>
        <v>0</v>
      </c>
      <c r="W36" s="268">
        <f>Prosser!W36+'Horn Rapids'!W36</f>
        <v>0</v>
      </c>
      <c r="X36" s="268">
        <f>Prosser!X36+'Horn Rapids'!X36</f>
        <v>0</v>
      </c>
      <c r="Y36" s="268">
        <f>Prosser!Y36+'Horn Rapids'!Y36</f>
        <v>0</v>
      </c>
      <c r="Z36" s="268">
        <f>Prosser!Z36+'Horn Rapids'!Z36</f>
        <v>0</v>
      </c>
      <c r="AA36" s="269">
        <f>Prosser!AA36+'Horn Rapids'!AA36</f>
        <v>0</v>
      </c>
      <c r="AB36" s="215">
        <v>0</v>
      </c>
      <c r="AC36" s="183"/>
      <c r="AD36" s="94"/>
      <c r="AE36" s="166"/>
      <c r="AG36" s="155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103"/>
    </row>
    <row r="37" spans="3:52" x14ac:dyDescent="0.25">
      <c r="C37" s="227" t="str">
        <f t="shared" si="13"/>
        <v>Sept 15-21</v>
      </c>
      <c r="D37" s="96"/>
      <c r="E37" s="63">
        <f>Prosser!E37+'Horn Rapids'!E37</f>
        <v>0</v>
      </c>
      <c r="F37" s="63">
        <f>Prosser!F37+'Horn Rapids'!F37</f>
        <v>0</v>
      </c>
      <c r="G37" s="111">
        <f>Prosser!G37+'Horn Rapids'!G37</f>
        <v>0</v>
      </c>
      <c r="H37" s="94">
        <f>Prosser!H37+'Horn Rapids'!H37</f>
        <v>0</v>
      </c>
      <c r="I37" s="94">
        <f>Prosser!I37+'Horn Rapids'!I37</f>
        <v>0</v>
      </c>
      <c r="J37" s="94">
        <f>Prosser!J37+'Horn Rapids'!J37</f>
        <v>0</v>
      </c>
      <c r="K37" s="94">
        <f>Prosser!K37+'Horn Rapids'!K37</f>
        <v>0</v>
      </c>
      <c r="L37" s="94">
        <f>Prosser!L37+'Horn Rapids'!L37</f>
        <v>0</v>
      </c>
      <c r="M37" s="94">
        <f>Prosser!M37+'Horn Rapids'!M37</f>
        <v>0</v>
      </c>
      <c r="N37" s="94">
        <f>Prosser!N37+'Horn Rapids'!N37</f>
        <v>0</v>
      </c>
      <c r="O37" s="94">
        <f>Prosser!O37+'Horn Rapids'!O37</f>
        <v>0</v>
      </c>
      <c r="P37" s="94">
        <f>Prosser!P37+'Horn Rapids'!P37</f>
        <v>0</v>
      </c>
      <c r="Q37" s="94">
        <f>Prosser!Q37+'Horn Rapids'!Q37</f>
        <v>0</v>
      </c>
      <c r="R37" s="94">
        <f>Prosser!R37+'Horn Rapids'!R37</f>
        <v>0</v>
      </c>
      <c r="S37" s="94">
        <f>Prosser!S37+'Horn Rapids'!S37</f>
        <v>0</v>
      </c>
      <c r="T37" s="94">
        <f>Prosser!T37+'Horn Rapids'!T37</f>
        <v>0</v>
      </c>
      <c r="U37" s="94">
        <f>Prosser!U37+'Horn Rapids'!U37</f>
        <v>0</v>
      </c>
      <c r="V37" s="94">
        <f>Prosser!V37+'Horn Rapids'!V37</f>
        <v>0</v>
      </c>
      <c r="W37" s="94">
        <f>Prosser!W37+'Horn Rapids'!W37</f>
        <v>0</v>
      </c>
      <c r="X37" s="94">
        <f>Prosser!X37+'Horn Rapids'!X37</f>
        <v>0</v>
      </c>
      <c r="Y37" s="94">
        <f>Prosser!Y37+'Horn Rapids'!Y37</f>
        <v>0</v>
      </c>
      <c r="Z37" s="94">
        <f>Prosser!Z37+'Horn Rapids'!Z37</f>
        <v>0</v>
      </c>
      <c r="AA37" s="103">
        <f>Prosser!AA37+'Horn Rapids'!AA37</f>
        <v>0</v>
      </c>
      <c r="AB37" s="215" t="e">
        <f t="shared" ref="AB37:AB44" si="14">SUM(G37)/SUM(H37:M37)</f>
        <v>#DIV/0!</v>
      </c>
      <c r="AC37" s="183"/>
      <c r="AD37" s="94"/>
      <c r="AE37" s="166"/>
      <c r="AG37" s="155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103"/>
    </row>
    <row r="38" spans="3:52" x14ac:dyDescent="0.25">
      <c r="C38" s="227" t="str">
        <f t="shared" si="13"/>
        <v>Sept 21-28</v>
      </c>
      <c r="D38" s="96"/>
      <c r="E38" s="63">
        <f>Prosser!E38+'Horn Rapids'!E38</f>
        <v>0</v>
      </c>
      <c r="F38" s="63">
        <f>Prosser!F38+'Horn Rapids'!F38</f>
        <v>0</v>
      </c>
      <c r="G38" s="111">
        <f>Prosser!G38+'Horn Rapids'!G38</f>
        <v>0</v>
      </c>
      <c r="H38" s="94">
        <f>Prosser!H38+'Horn Rapids'!H38</f>
        <v>0</v>
      </c>
      <c r="I38" s="94">
        <f>Prosser!I38+'Horn Rapids'!I38</f>
        <v>0</v>
      </c>
      <c r="J38" s="94">
        <f>Prosser!J38+'Horn Rapids'!J38</f>
        <v>0</v>
      </c>
      <c r="K38" s="94">
        <f>Prosser!K38+'Horn Rapids'!K38</f>
        <v>0</v>
      </c>
      <c r="L38" s="94">
        <f>Prosser!L38+'Horn Rapids'!L38</f>
        <v>0</v>
      </c>
      <c r="M38" s="94">
        <f>Prosser!M38+'Horn Rapids'!M38</f>
        <v>0</v>
      </c>
      <c r="N38" s="94">
        <f>Prosser!N38+'Horn Rapids'!N38</f>
        <v>0</v>
      </c>
      <c r="O38" s="94">
        <f>Prosser!O38+'Horn Rapids'!O38</f>
        <v>0</v>
      </c>
      <c r="P38" s="94">
        <f>Prosser!P38+'Horn Rapids'!P38</f>
        <v>0</v>
      </c>
      <c r="Q38" s="94">
        <f>Prosser!Q38+'Horn Rapids'!Q38</f>
        <v>0</v>
      </c>
      <c r="R38" s="94">
        <f>Prosser!R38+'Horn Rapids'!R38</f>
        <v>0</v>
      </c>
      <c r="S38" s="94">
        <f>Prosser!S38+'Horn Rapids'!S38</f>
        <v>0</v>
      </c>
      <c r="T38" s="94">
        <f>Prosser!T38+'Horn Rapids'!T38</f>
        <v>0</v>
      </c>
      <c r="U38" s="94">
        <f>Prosser!U38+'Horn Rapids'!U38</f>
        <v>0</v>
      </c>
      <c r="V38" s="94">
        <f>Prosser!V38+'Horn Rapids'!V38</f>
        <v>0</v>
      </c>
      <c r="W38" s="94">
        <f>Prosser!W38+'Horn Rapids'!W38</f>
        <v>0</v>
      </c>
      <c r="X38" s="94">
        <f>Prosser!X38+'Horn Rapids'!X38</f>
        <v>0</v>
      </c>
      <c r="Y38" s="94">
        <f>Prosser!Y38+'Horn Rapids'!Y38</f>
        <v>0</v>
      </c>
      <c r="Z38" s="94">
        <f>Prosser!Z38+'Horn Rapids'!Z38</f>
        <v>0</v>
      </c>
      <c r="AA38" s="103">
        <f>Prosser!AA38+'Horn Rapids'!AA38</f>
        <v>0</v>
      </c>
      <c r="AB38" s="215" t="e">
        <f t="shared" si="14"/>
        <v>#DIV/0!</v>
      </c>
      <c r="AC38" s="183"/>
      <c r="AD38" s="94"/>
      <c r="AE38" s="166"/>
      <c r="AG38" s="155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103"/>
    </row>
    <row r="39" spans="3:52" x14ac:dyDescent="0.25">
      <c r="C39" s="227" t="str">
        <f t="shared" si="13"/>
        <v>Sept 29-Oct 5</v>
      </c>
      <c r="D39" s="96"/>
      <c r="E39" s="63">
        <f>Prosser!E39+'Horn Rapids'!E39</f>
        <v>1</v>
      </c>
      <c r="F39" s="63">
        <f>Prosser!F39+'Horn Rapids'!F39</f>
        <v>2</v>
      </c>
      <c r="G39" s="111">
        <f>Prosser!G39+'Horn Rapids'!G39</f>
        <v>7.6</v>
      </c>
      <c r="H39" s="94">
        <f>Prosser!H39+'Horn Rapids'!H39</f>
        <v>1</v>
      </c>
      <c r="I39" s="94">
        <f>Prosser!I39+'Horn Rapids'!I39</f>
        <v>3</v>
      </c>
      <c r="J39" s="94">
        <f>Prosser!J39+'Horn Rapids'!J39</f>
        <v>0</v>
      </c>
      <c r="K39" s="94">
        <f>Prosser!K39+'Horn Rapids'!K39</f>
        <v>0</v>
      </c>
      <c r="L39" s="94">
        <f>Prosser!L39+'Horn Rapids'!L39</f>
        <v>0</v>
      </c>
      <c r="M39" s="94">
        <f>Prosser!M39+'Horn Rapids'!M39</f>
        <v>0</v>
      </c>
      <c r="N39" s="94">
        <f>Prosser!N39+'Horn Rapids'!N39</f>
        <v>0</v>
      </c>
      <c r="O39" s="94">
        <f>Prosser!O39+'Horn Rapids'!O39</f>
        <v>0</v>
      </c>
      <c r="P39" s="94">
        <f>Prosser!P39+'Horn Rapids'!P39</f>
        <v>0</v>
      </c>
      <c r="Q39" s="94">
        <f>Prosser!Q39+'Horn Rapids'!Q39</f>
        <v>0</v>
      </c>
      <c r="R39" s="94">
        <f>Prosser!R39+'Horn Rapids'!R39</f>
        <v>0</v>
      </c>
      <c r="S39" s="94">
        <f>Prosser!S39+'Horn Rapids'!S39</f>
        <v>0</v>
      </c>
      <c r="T39" s="94">
        <f>Prosser!T39+'Horn Rapids'!T39</f>
        <v>0</v>
      </c>
      <c r="U39" s="94">
        <f>Prosser!U39+'Horn Rapids'!U39</f>
        <v>0</v>
      </c>
      <c r="V39" s="94">
        <f>Prosser!V39+'Horn Rapids'!V39</f>
        <v>0</v>
      </c>
      <c r="W39" s="94">
        <f>Prosser!W39+'Horn Rapids'!W39</f>
        <v>0</v>
      </c>
      <c r="X39" s="94">
        <f>Prosser!X39+'Horn Rapids'!X39</f>
        <v>0</v>
      </c>
      <c r="Y39" s="94">
        <f>Prosser!Y39+'Horn Rapids'!Y39</f>
        <v>0</v>
      </c>
      <c r="Z39" s="94">
        <f>Prosser!Z39+'Horn Rapids'!Z39</f>
        <v>0</v>
      </c>
      <c r="AA39" s="103">
        <f>Prosser!AA39+'Horn Rapids'!AA39</f>
        <v>0</v>
      </c>
      <c r="AB39" s="215">
        <f t="shared" si="14"/>
        <v>1.9</v>
      </c>
      <c r="AC39" s="183"/>
      <c r="AD39" s="94"/>
      <c r="AE39" s="166"/>
      <c r="AG39" s="155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103"/>
    </row>
    <row r="40" spans="3:52" x14ac:dyDescent="0.25">
      <c r="C40" s="227" t="str">
        <f t="shared" si="13"/>
        <v>Oct 6-Oct 12</v>
      </c>
      <c r="D40" s="96"/>
      <c r="E40" s="63">
        <f>Prosser!E40+'Horn Rapids'!E40</f>
        <v>0</v>
      </c>
      <c r="F40" s="63">
        <f>Prosser!F40+'Horn Rapids'!F40</f>
        <v>0</v>
      </c>
      <c r="G40" s="111">
        <f>Prosser!G40+'Horn Rapids'!G40</f>
        <v>0</v>
      </c>
      <c r="H40" s="94">
        <f>Prosser!H40+'Horn Rapids'!H40</f>
        <v>0</v>
      </c>
      <c r="I40" s="94">
        <f>Prosser!I40+'Horn Rapids'!I40</f>
        <v>0</v>
      </c>
      <c r="J40" s="94">
        <f>Prosser!J40+'Horn Rapids'!J40</f>
        <v>0</v>
      </c>
      <c r="K40" s="94">
        <f>Prosser!K40+'Horn Rapids'!K40</f>
        <v>0</v>
      </c>
      <c r="L40" s="94">
        <f>Prosser!L40+'Horn Rapids'!L40</f>
        <v>0</v>
      </c>
      <c r="M40" s="94">
        <f>Prosser!M40+'Horn Rapids'!M40</f>
        <v>0</v>
      </c>
      <c r="N40" s="94">
        <f>Prosser!N40+'Horn Rapids'!N40</f>
        <v>0</v>
      </c>
      <c r="O40" s="94">
        <f>Prosser!O40+'Horn Rapids'!O40</f>
        <v>0</v>
      </c>
      <c r="P40" s="94">
        <f>Prosser!P40+'Horn Rapids'!P40</f>
        <v>0</v>
      </c>
      <c r="Q40" s="94">
        <f>Prosser!Q40+'Horn Rapids'!Q40</f>
        <v>0</v>
      </c>
      <c r="R40" s="94">
        <f>Prosser!R40+'Horn Rapids'!R40</f>
        <v>0</v>
      </c>
      <c r="S40" s="94">
        <f>Prosser!S40+'Horn Rapids'!S40</f>
        <v>0</v>
      </c>
      <c r="T40" s="94">
        <f>Prosser!T40+'Horn Rapids'!T40</f>
        <v>0</v>
      </c>
      <c r="U40" s="94">
        <f>Prosser!U40+'Horn Rapids'!U40</f>
        <v>0</v>
      </c>
      <c r="V40" s="94">
        <f>Prosser!V40+'Horn Rapids'!V40</f>
        <v>0</v>
      </c>
      <c r="W40" s="94">
        <f>Prosser!W40+'Horn Rapids'!W40</f>
        <v>0</v>
      </c>
      <c r="X40" s="94">
        <f>Prosser!X40+'Horn Rapids'!X40</f>
        <v>0</v>
      </c>
      <c r="Y40" s="94">
        <f>Prosser!Y40+'Horn Rapids'!Y40</f>
        <v>0</v>
      </c>
      <c r="Z40" s="94">
        <f>Prosser!Z40+'Horn Rapids'!Z40</f>
        <v>0</v>
      </c>
      <c r="AA40" s="103">
        <f>Prosser!AA40+'Horn Rapids'!AA40</f>
        <v>0</v>
      </c>
      <c r="AB40" s="215" t="e">
        <f t="shared" si="14"/>
        <v>#DIV/0!</v>
      </c>
      <c r="AC40" s="183"/>
      <c r="AD40" s="94"/>
      <c r="AE40" s="166"/>
      <c r="AG40" s="155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103"/>
    </row>
    <row r="41" spans="3:52" x14ac:dyDescent="0.25">
      <c r="C41" s="227" t="str">
        <f t="shared" si="13"/>
        <v>Oct 13-19</v>
      </c>
      <c r="D41" s="96"/>
      <c r="E41" s="63">
        <f>Prosser!E41+'Horn Rapids'!E41</f>
        <v>0</v>
      </c>
      <c r="F41" s="63">
        <f>Prosser!F41+'Horn Rapids'!F41</f>
        <v>0</v>
      </c>
      <c r="G41" s="111">
        <f>Prosser!G41+'Horn Rapids'!G41</f>
        <v>0</v>
      </c>
      <c r="H41" s="94">
        <f>Prosser!H41+'Horn Rapids'!H41</f>
        <v>0</v>
      </c>
      <c r="I41" s="94">
        <f>Prosser!I41+'Horn Rapids'!I41</f>
        <v>0</v>
      </c>
      <c r="J41" s="94">
        <f>Prosser!J41+'Horn Rapids'!J41</f>
        <v>0</v>
      </c>
      <c r="K41" s="94">
        <f>Prosser!K41+'Horn Rapids'!K41</f>
        <v>0</v>
      </c>
      <c r="L41" s="94">
        <f>Prosser!L41+'Horn Rapids'!L41</f>
        <v>0</v>
      </c>
      <c r="M41" s="94">
        <f>Prosser!M41+'Horn Rapids'!M41</f>
        <v>0</v>
      </c>
      <c r="N41" s="94">
        <f>Prosser!N41+'Horn Rapids'!N41</f>
        <v>0</v>
      </c>
      <c r="O41" s="94">
        <f>Prosser!O41+'Horn Rapids'!O41</f>
        <v>0</v>
      </c>
      <c r="P41" s="94">
        <f>Prosser!P41+'Horn Rapids'!P41</f>
        <v>0</v>
      </c>
      <c r="Q41" s="94">
        <f>Prosser!Q41+'Horn Rapids'!Q41</f>
        <v>0</v>
      </c>
      <c r="R41" s="94">
        <f>Prosser!R41+'Horn Rapids'!R41</f>
        <v>0</v>
      </c>
      <c r="S41" s="94">
        <f>Prosser!S41+'Horn Rapids'!S41</f>
        <v>0</v>
      </c>
      <c r="T41" s="94">
        <f>Prosser!T41+'Horn Rapids'!T41</f>
        <v>0</v>
      </c>
      <c r="U41" s="94">
        <f>Prosser!U41+'Horn Rapids'!U41</f>
        <v>0</v>
      </c>
      <c r="V41" s="94">
        <f>Prosser!V41+'Horn Rapids'!V41</f>
        <v>0</v>
      </c>
      <c r="W41" s="94">
        <f>Prosser!W41+'Horn Rapids'!W41</f>
        <v>0</v>
      </c>
      <c r="X41" s="94">
        <f>Prosser!X41+'Horn Rapids'!X41</f>
        <v>0</v>
      </c>
      <c r="Y41" s="94">
        <f>Prosser!Y41+'Horn Rapids'!Y41</f>
        <v>0</v>
      </c>
      <c r="Z41" s="94">
        <f>Prosser!Z41+'Horn Rapids'!Z41</f>
        <v>0</v>
      </c>
      <c r="AA41" s="103">
        <f>Prosser!AA41+'Horn Rapids'!AA41</f>
        <v>0</v>
      </c>
      <c r="AB41" s="215" t="e">
        <f t="shared" si="14"/>
        <v>#DIV/0!</v>
      </c>
      <c r="AC41" s="183"/>
      <c r="AD41" s="94"/>
      <c r="AE41" s="166"/>
      <c r="AG41" s="155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103"/>
    </row>
    <row r="42" spans="3:52" x14ac:dyDescent="0.25">
      <c r="C42" s="227" t="str">
        <f t="shared" si="13"/>
        <v>Oct 20-26</v>
      </c>
      <c r="D42" s="179"/>
      <c r="E42" s="63">
        <f>Prosser!E42+'Horn Rapids'!E42</f>
        <v>0</v>
      </c>
      <c r="F42" s="63">
        <f>Prosser!F42+'Horn Rapids'!F42</f>
        <v>0</v>
      </c>
      <c r="G42" s="111">
        <f>Prosser!G42+'Horn Rapids'!G42</f>
        <v>0</v>
      </c>
      <c r="H42" s="94">
        <f>Prosser!H42+'Horn Rapids'!H42</f>
        <v>0</v>
      </c>
      <c r="I42" s="94">
        <f>Prosser!I42+'Horn Rapids'!I42</f>
        <v>0</v>
      </c>
      <c r="J42" s="94">
        <f>Prosser!J42+'Horn Rapids'!J42</f>
        <v>0</v>
      </c>
      <c r="K42" s="94">
        <f>Prosser!K42+'Horn Rapids'!K42</f>
        <v>0</v>
      </c>
      <c r="L42" s="94">
        <f>Prosser!L42+'Horn Rapids'!L42</f>
        <v>0</v>
      </c>
      <c r="M42" s="94">
        <f>Prosser!M42+'Horn Rapids'!M42</f>
        <v>0</v>
      </c>
      <c r="N42" s="94">
        <f>Prosser!N42+'Horn Rapids'!N42</f>
        <v>0</v>
      </c>
      <c r="O42" s="94">
        <f>Prosser!O42+'Horn Rapids'!O42</f>
        <v>0</v>
      </c>
      <c r="P42" s="94">
        <f>Prosser!P42+'Horn Rapids'!P42</f>
        <v>0</v>
      </c>
      <c r="Q42" s="94">
        <f>Prosser!Q42+'Horn Rapids'!Q42</f>
        <v>0</v>
      </c>
      <c r="R42" s="94">
        <f>Prosser!R42+'Horn Rapids'!R42</f>
        <v>0</v>
      </c>
      <c r="S42" s="94">
        <f>Prosser!S42+'Horn Rapids'!S42</f>
        <v>0</v>
      </c>
      <c r="T42" s="94">
        <f>Prosser!T42+'Horn Rapids'!T42</f>
        <v>0</v>
      </c>
      <c r="U42" s="94">
        <f>Prosser!U42+'Horn Rapids'!U42</f>
        <v>0</v>
      </c>
      <c r="V42" s="94">
        <f>Prosser!V42+'Horn Rapids'!V42</f>
        <v>0</v>
      </c>
      <c r="W42" s="94">
        <f>Prosser!W42+'Horn Rapids'!W42</f>
        <v>0</v>
      </c>
      <c r="X42" s="94">
        <f>Prosser!X42+'Horn Rapids'!X42</f>
        <v>0</v>
      </c>
      <c r="Y42" s="94">
        <f>Prosser!Y42+'Horn Rapids'!Y42</f>
        <v>0</v>
      </c>
      <c r="Z42" s="94">
        <f>Prosser!Z42+'Horn Rapids'!Z42</f>
        <v>0</v>
      </c>
      <c r="AA42" s="103">
        <f>Prosser!AA42+'Horn Rapids'!AA42</f>
        <v>0</v>
      </c>
      <c r="AB42" s="215" t="e">
        <f t="shared" si="14"/>
        <v>#DIV/0!</v>
      </c>
      <c r="AC42" s="183"/>
      <c r="AD42" s="94"/>
      <c r="AE42" s="166"/>
      <c r="AG42" s="155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103"/>
    </row>
    <row r="43" spans="3:52" x14ac:dyDescent="0.25">
      <c r="C43" s="227" t="str">
        <f t="shared" si="13"/>
        <v>Oct 27-Nov 2</v>
      </c>
      <c r="D43" s="179"/>
      <c r="E43" s="63">
        <f>Prosser!E43+'Horn Rapids'!E43</f>
        <v>0</v>
      </c>
      <c r="F43" s="63">
        <f>Prosser!F43+'Horn Rapids'!F43</f>
        <v>0</v>
      </c>
      <c r="G43" s="111">
        <f>Prosser!G43+'Horn Rapids'!G43</f>
        <v>0</v>
      </c>
      <c r="H43" s="94">
        <f>Prosser!H43+'Horn Rapids'!H43</f>
        <v>0</v>
      </c>
      <c r="I43" s="94">
        <f>Prosser!I43+'Horn Rapids'!I43</f>
        <v>0</v>
      </c>
      <c r="J43" s="94">
        <f>Prosser!J43+'Horn Rapids'!J43</f>
        <v>0</v>
      </c>
      <c r="K43" s="94">
        <f>Prosser!K43+'Horn Rapids'!K43</f>
        <v>0</v>
      </c>
      <c r="L43" s="94">
        <f>Prosser!L43+'Horn Rapids'!L43</f>
        <v>0</v>
      </c>
      <c r="M43" s="94">
        <f>Prosser!M43+'Horn Rapids'!M43</f>
        <v>0</v>
      </c>
      <c r="N43" s="94">
        <f>Prosser!N43+'Horn Rapids'!N43</f>
        <v>0</v>
      </c>
      <c r="O43" s="94">
        <f>Prosser!O43+'Horn Rapids'!O43</f>
        <v>0</v>
      </c>
      <c r="P43" s="94">
        <f>Prosser!P43+'Horn Rapids'!P43</f>
        <v>0</v>
      </c>
      <c r="Q43" s="94">
        <f>Prosser!Q43+'Horn Rapids'!Q43</f>
        <v>0</v>
      </c>
      <c r="R43" s="94">
        <f>Prosser!R43+'Horn Rapids'!R43</f>
        <v>0</v>
      </c>
      <c r="S43" s="94">
        <f>Prosser!S43+'Horn Rapids'!S43</f>
        <v>0</v>
      </c>
      <c r="T43" s="94">
        <f>Prosser!T43+'Horn Rapids'!T43</f>
        <v>0</v>
      </c>
      <c r="U43" s="94">
        <f>Prosser!U43+'Horn Rapids'!U43</f>
        <v>0</v>
      </c>
      <c r="V43" s="94">
        <f>Prosser!V43+'Horn Rapids'!V43</f>
        <v>0</v>
      </c>
      <c r="W43" s="94">
        <f>Prosser!W43+'Horn Rapids'!W43</f>
        <v>0</v>
      </c>
      <c r="X43" s="94">
        <f>Prosser!X43+'Horn Rapids'!X43</f>
        <v>0</v>
      </c>
      <c r="Y43" s="94">
        <f>Prosser!Y43+'Horn Rapids'!Y43</f>
        <v>0</v>
      </c>
      <c r="Z43" s="94">
        <f>Prosser!Z43+'Horn Rapids'!Z43</f>
        <v>0</v>
      </c>
      <c r="AA43" s="103">
        <f>Prosser!AA43+'Horn Rapids'!AA43</f>
        <v>0</v>
      </c>
      <c r="AB43" s="215" t="e">
        <f t="shared" si="14"/>
        <v>#DIV/0!</v>
      </c>
      <c r="AC43" s="183"/>
      <c r="AD43" s="94"/>
      <c r="AE43" s="166"/>
      <c r="AG43" s="155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103"/>
    </row>
    <row r="44" spans="3:52" x14ac:dyDescent="0.25">
      <c r="C44" s="227" t="str">
        <f t="shared" si="13"/>
        <v>Nov 3-9</v>
      </c>
      <c r="D44" s="179"/>
      <c r="E44" s="63">
        <f>Prosser!E44+'Horn Rapids'!E44</f>
        <v>0</v>
      </c>
      <c r="F44" s="63">
        <f>Prosser!F44+'Horn Rapids'!F44</f>
        <v>0</v>
      </c>
      <c r="G44" s="111">
        <f>Prosser!G44+'Horn Rapids'!G44</f>
        <v>0</v>
      </c>
      <c r="H44" s="94">
        <f>Prosser!H44+'Horn Rapids'!H44</f>
        <v>0</v>
      </c>
      <c r="I44" s="94">
        <f>Prosser!I44+'Horn Rapids'!I44</f>
        <v>0</v>
      </c>
      <c r="J44" s="94">
        <f>Prosser!J44+'Horn Rapids'!J44</f>
        <v>0</v>
      </c>
      <c r="K44" s="94">
        <f>Prosser!K44+'Horn Rapids'!K44</f>
        <v>0</v>
      </c>
      <c r="L44" s="94">
        <f>Prosser!L44+'Horn Rapids'!L44</f>
        <v>0</v>
      </c>
      <c r="M44" s="94">
        <f>Prosser!M44+'Horn Rapids'!M44</f>
        <v>0</v>
      </c>
      <c r="N44" s="94">
        <f>Prosser!N44+'Horn Rapids'!N44</f>
        <v>0</v>
      </c>
      <c r="O44" s="94">
        <f>Prosser!O44+'Horn Rapids'!O44</f>
        <v>0</v>
      </c>
      <c r="P44" s="94">
        <f>Prosser!P44+'Horn Rapids'!P44</f>
        <v>0</v>
      </c>
      <c r="Q44" s="94">
        <f>Prosser!Q44+'Horn Rapids'!Q44</f>
        <v>0</v>
      </c>
      <c r="R44" s="94">
        <f>Prosser!R44+'Horn Rapids'!R44</f>
        <v>0</v>
      </c>
      <c r="S44" s="94">
        <f>Prosser!S44+'Horn Rapids'!S44</f>
        <v>0</v>
      </c>
      <c r="T44" s="94">
        <f>Prosser!T44+'Horn Rapids'!T44</f>
        <v>0</v>
      </c>
      <c r="U44" s="94">
        <f>Prosser!U44+'Horn Rapids'!U44</f>
        <v>0</v>
      </c>
      <c r="V44" s="94">
        <f>Prosser!V44+'Horn Rapids'!V44</f>
        <v>0</v>
      </c>
      <c r="W44" s="94">
        <f>Prosser!W44+'Horn Rapids'!W44</f>
        <v>0</v>
      </c>
      <c r="X44" s="94">
        <f>Prosser!X44+'Horn Rapids'!X44</f>
        <v>0</v>
      </c>
      <c r="Y44" s="94">
        <f>Prosser!Y44+'Horn Rapids'!Y44</f>
        <v>0</v>
      </c>
      <c r="Z44" s="94">
        <f>Prosser!Z44+'Horn Rapids'!Z44</f>
        <v>0</v>
      </c>
      <c r="AA44" s="103">
        <f>Prosser!AA44+'Horn Rapids'!AA44</f>
        <v>0</v>
      </c>
      <c r="AB44" s="215" t="e">
        <f t="shared" si="14"/>
        <v>#DIV/0!</v>
      </c>
      <c r="AC44" s="183"/>
      <c r="AD44" s="94"/>
      <c r="AE44" s="166"/>
      <c r="AG44" s="155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103"/>
    </row>
    <row r="45" spans="3:52" ht="16.5" thickBot="1" x14ac:dyDescent="0.3">
      <c r="C45" s="114" t="str">
        <f t="shared" si="13"/>
        <v>Nov 10-16</v>
      </c>
      <c r="D45" s="115"/>
      <c r="E45" s="95">
        <f>Prosser!E45+'Horn Rapids'!E45</f>
        <v>0</v>
      </c>
      <c r="F45" s="95">
        <f>Prosser!F45+'Horn Rapids'!F45</f>
        <v>0</v>
      </c>
      <c r="G45" s="134">
        <f>Prosser!G45+'Horn Rapids'!G45</f>
        <v>0</v>
      </c>
      <c r="H45" s="95">
        <f>Prosser!H45+'Horn Rapids'!H45</f>
        <v>0</v>
      </c>
      <c r="I45" s="95">
        <f>Prosser!I45+'Horn Rapids'!I45</f>
        <v>0</v>
      </c>
      <c r="J45" s="95">
        <f>Prosser!J45+'Horn Rapids'!J45</f>
        <v>0</v>
      </c>
      <c r="K45" s="95">
        <f>Prosser!K45+'Horn Rapids'!K45</f>
        <v>0</v>
      </c>
      <c r="L45" s="95">
        <f>Prosser!L45+'Horn Rapids'!L45</f>
        <v>0</v>
      </c>
      <c r="M45" s="95">
        <f>Prosser!M45+'Horn Rapids'!M45</f>
        <v>0</v>
      </c>
      <c r="N45" s="95">
        <f>Prosser!N45+'Horn Rapids'!N45</f>
        <v>0</v>
      </c>
      <c r="O45" s="95">
        <f>Prosser!O45+'Horn Rapids'!O45</f>
        <v>0</v>
      </c>
      <c r="P45" s="95">
        <f>Prosser!P45+'Horn Rapids'!P45</f>
        <v>0</v>
      </c>
      <c r="Q45" s="95">
        <f>Prosser!Q45+'Horn Rapids'!Q45</f>
        <v>0</v>
      </c>
      <c r="R45" s="95">
        <f>Prosser!R45+'Horn Rapids'!R45</f>
        <v>0</v>
      </c>
      <c r="S45" s="95">
        <f>Prosser!S45+'Horn Rapids'!S45</f>
        <v>0</v>
      </c>
      <c r="T45" s="95">
        <f>Prosser!T45+'Horn Rapids'!T45</f>
        <v>0</v>
      </c>
      <c r="U45" s="95">
        <f>Prosser!U45+'Horn Rapids'!U45</f>
        <v>0</v>
      </c>
      <c r="V45" s="95">
        <f>Prosser!V45+'Horn Rapids'!V45</f>
        <v>0</v>
      </c>
      <c r="W45" s="95">
        <f>Prosser!W45+'Horn Rapids'!W45</f>
        <v>0</v>
      </c>
      <c r="X45" s="95">
        <f>Prosser!X45+'Horn Rapids'!X45</f>
        <v>0</v>
      </c>
      <c r="Y45" s="95">
        <f>Prosser!Y45+'Horn Rapids'!Y45</f>
        <v>0</v>
      </c>
      <c r="Z45" s="95">
        <f>Prosser!Z45+'Horn Rapids'!Z45</f>
        <v>0</v>
      </c>
      <c r="AA45" s="104">
        <f>Prosser!AA45+'Horn Rapids'!AA45</f>
        <v>0</v>
      </c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52" ht="17.25" thickTop="1" thickBot="1" x14ac:dyDescent="0.3">
      <c r="C46" s="112"/>
      <c r="D46" s="113"/>
      <c r="E46" s="98">
        <f t="shared" ref="E46:AA46" si="15">SUM(E36:E45)</f>
        <v>1</v>
      </c>
      <c r="F46" s="98">
        <f t="shared" si="15"/>
        <v>2</v>
      </c>
      <c r="G46" s="135">
        <f t="shared" si="15"/>
        <v>7.6</v>
      </c>
      <c r="H46" s="105">
        <f t="shared" si="15"/>
        <v>1</v>
      </c>
      <c r="I46" s="105">
        <f t="shared" si="15"/>
        <v>3</v>
      </c>
      <c r="J46" s="105">
        <f t="shared" si="15"/>
        <v>0</v>
      </c>
      <c r="K46" s="105">
        <f t="shared" si="15"/>
        <v>0</v>
      </c>
      <c r="L46" s="105">
        <f t="shared" si="15"/>
        <v>0</v>
      </c>
      <c r="M46" s="105">
        <f t="shared" si="15"/>
        <v>0</v>
      </c>
      <c r="N46" s="105">
        <f t="shared" si="15"/>
        <v>0</v>
      </c>
      <c r="O46" s="105">
        <f t="shared" si="15"/>
        <v>0</v>
      </c>
      <c r="P46" s="105">
        <f t="shared" si="15"/>
        <v>0</v>
      </c>
      <c r="Q46" s="105">
        <f t="shared" si="15"/>
        <v>0</v>
      </c>
      <c r="R46" s="105">
        <f t="shared" si="15"/>
        <v>0</v>
      </c>
      <c r="S46" s="105">
        <f t="shared" si="15"/>
        <v>0</v>
      </c>
      <c r="T46" s="105">
        <f t="shared" si="15"/>
        <v>0</v>
      </c>
      <c r="U46" s="105">
        <f t="shared" si="15"/>
        <v>0</v>
      </c>
      <c r="V46" s="105">
        <f t="shared" si="15"/>
        <v>0</v>
      </c>
      <c r="W46" s="105">
        <f t="shared" si="15"/>
        <v>0</v>
      </c>
      <c r="X46" s="105">
        <f t="shared" si="15"/>
        <v>0</v>
      </c>
      <c r="Y46" s="105">
        <f t="shared" si="15"/>
        <v>0</v>
      </c>
      <c r="Z46" s="105">
        <f t="shared" si="15"/>
        <v>0</v>
      </c>
      <c r="AA46" s="107">
        <f t="shared" si="15"/>
        <v>0</v>
      </c>
      <c r="AB46" s="215">
        <f>SUM(G46)/SUM(H46:M46)</f>
        <v>1.9</v>
      </c>
      <c r="AC46" s="185">
        <f t="shared" ref="AC46" si="16">SUM(AC36:AC45)</f>
        <v>0</v>
      </c>
      <c r="AD46" s="107">
        <f>SUM(AD36:AD45)</f>
        <v>0</v>
      </c>
      <c r="AE46" s="167" t="e">
        <f t="shared" ref="AE46" si="17">G46/AD46</f>
        <v>#DIV/0!</v>
      </c>
      <c r="AG46" s="157">
        <f t="shared" ref="AG46:AZ46" si="18">SUM(AG36:AG45)</f>
        <v>0</v>
      </c>
      <c r="AH46" s="105">
        <f t="shared" si="18"/>
        <v>0</v>
      </c>
      <c r="AI46" s="105">
        <f t="shared" si="18"/>
        <v>0</v>
      </c>
      <c r="AJ46" s="105">
        <f t="shared" si="18"/>
        <v>0</v>
      </c>
      <c r="AK46" s="105">
        <f t="shared" si="18"/>
        <v>0</v>
      </c>
      <c r="AL46" s="105">
        <f t="shared" si="18"/>
        <v>0</v>
      </c>
      <c r="AM46" s="105">
        <f t="shared" si="18"/>
        <v>0</v>
      </c>
      <c r="AN46" s="105">
        <f t="shared" si="18"/>
        <v>0</v>
      </c>
      <c r="AO46" s="105">
        <f t="shared" si="18"/>
        <v>0</v>
      </c>
      <c r="AP46" s="105">
        <f t="shared" si="18"/>
        <v>0</v>
      </c>
      <c r="AQ46" s="105">
        <f t="shared" si="18"/>
        <v>0</v>
      </c>
      <c r="AR46" s="105">
        <f t="shared" si="18"/>
        <v>0</v>
      </c>
      <c r="AS46" s="105">
        <f t="shared" si="18"/>
        <v>0</v>
      </c>
      <c r="AT46" s="105">
        <f t="shared" si="18"/>
        <v>0</v>
      </c>
      <c r="AU46" s="105">
        <f t="shared" si="18"/>
        <v>0</v>
      </c>
      <c r="AV46" s="105">
        <f t="shared" si="18"/>
        <v>0</v>
      </c>
      <c r="AW46" s="105">
        <f t="shared" si="18"/>
        <v>0</v>
      </c>
      <c r="AX46" s="105">
        <f t="shared" si="18"/>
        <v>0</v>
      </c>
      <c r="AY46" s="105">
        <f t="shared" si="18"/>
        <v>0</v>
      </c>
      <c r="AZ46" s="107">
        <f t="shared" si="18"/>
        <v>0</v>
      </c>
    </row>
    <row r="47" spans="3:52" x14ac:dyDescent="0.25">
      <c r="AB47" s="215"/>
    </row>
    <row r="48" spans="3:52" x14ac:dyDescent="0.25">
      <c r="D48" s="15"/>
      <c r="E48" s="15"/>
    </row>
    <row r="49" spans="4:5" x14ac:dyDescent="0.25">
      <c r="D49" s="15"/>
      <c r="E49" s="15"/>
    </row>
    <row r="50" spans="4:5" x14ac:dyDescent="0.25">
      <c r="D50" s="15"/>
      <c r="E50" s="15"/>
    </row>
    <row r="51" spans="4:5" x14ac:dyDescent="0.25">
      <c r="D51" s="15"/>
      <c r="E51" s="15"/>
    </row>
    <row r="52" spans="4:5" x14ac:dyDescent="0.25">
      <c r="D52" s="15"/>
      <c r="E52" s="15"/>
    </row>
    <row r="53" spans="4:5" x14ac:dyDescent="0.25">
      <c r="D53" s="15"/>
      <c r="E53" s="15"/>
    </row>
    <row r="54" spans="4:5" x14ac:dyDescent="0.25">
      <c r="D54" s="15"/>
      <c r="E54" s="15"/>
    </row>
    <row r="55" spans="4:5" x14ac:dyDescent="0.25">
      <c r="D55" s="15"/>
      <c r="E55" s="15"/>
    </row>
    <row r="56" spans="4:5" x14ac:dyDescent="0.25">
      <c r="D56" s="15"/>
      <c r="E56" s="15"/>
    </row>
    <row r="57" spans="4:5" x14ac:dyDescent="0.25">
      <c r="D57" s="15"/>
      <c r="E57" s="15"/>
    </row>
    <row r="58" spans="4:5" x14ac:dyDescent="0.25">
      <c r="D58" s="15"/>
      <c r="E58" s="15"/>
    </row>
    <row r="59" spans="4:5" x14ac:dyDescent="0.25">
      <c r="D59" s="15"/>
      <c r="E59" s="15"/>
    </row>
    <row r="60" spans="4:5" x14ac:dyDescent="0.25">
      <c r="D60" s="15"/>
      <c r="E60" s="15"/>
    </row>
    <row r="61" spans="4:5" x14ac:dyDescent="0.25">
      <c r="D61" s="15"/>
      <c r="E61" s="15"/>
    </row>
    <row r="62" spans="4:5" x14ac:dyDescent="0.25">
      <c r="D62" s="15"/>
      <c r="E62" s="15"/>
    </row>
    <row r="63" spans="4:5" x14ac:dyDescent="0.25">
      <c r="D63" s="15"/>
      <c r="E63" s="15"/>
    </row>
    <row r="64" spans="4:5" x14ac:dyDescent="0.25">
      <c r="D64" s="15"/>
      <c r="E64" s="15"/>
    </row>
    <row r="65" spans="4:5" x14ac:dyDescent="0.25">
      <c r="D65" s="15"/>
      <c r="E65" s="15"/>
    </row>
    <row r="66" spans="4:5" x14ac:dyDescent="0.25">
      <c r="D66" s="15"/>
      <c r="E66" s="15"/>
    </row>
    <row r="67" spans="4:5" x14ac:dyDescent="0.25">
      <c r="D67" s="15"/>
      <c r="E67" s="15"/>
    </row>
    <row r="68" spans="4:5" x14ac:dyDescent="0.25">
      <c r="D68" s="15"/>
      <c r="E68" s="15"/>
    </row>
    <row r="69" spans="4:5" x14ac:dyDescent="0.25">
      <c r="D69" s="15"/>
      <c r="E69" s="15"/>
    </row>
    <row r="70" spans="4:5" x14ac:dyDescent="0.25">
      <c r="D70" s="15"/>
      <c r="E70" s="15"/>
    </row>
    <row r="71" spans="4:5" x14ac:dyDescent="0.25">
      <c r="D71" s="15"/>
      <c r="E71" s="15"/>
    </row>
    <row r="72" spans="4:5" x14ac:dyDescent="0.25">
      <c r="D72" s="15"/>
      <c r="E72" s="15"/>
    </row>
    <row r="73" spans="4:5" x14ac:dyDescent="0.25">
      <c r="D73" s="15"/>
      <c r="E73" s="15"/>
    </row>
    <row r="74" spans="4:5" x14ac:dyDescent="0.25">
      <c r="D74" s="15"/>
      <c r="E74" s="15"/>
    </row>
    <row r="75" spans="4:5" x14ac:dyDescent="0.25">
      <c r="D75" s="15"/>
      <c r="E75" s="15"/>
    </row>
    <row r="76" spans="4:5" x14ac:dyDescent="0.25">
      <c r="D76" s="15"/>
      <c r="E76" s="15"/>
    </row>
    <row r="77" spans="4:5" x14ac:dyDescent="0.25">
      <c r="D77" s="15"/>
      <c r="E77" s="15"/>
    </row>
    <row r="78" spans="4:5" x14ac:dyDescent="0.25">
      <c r="D78" s="15"/>
      <c r="E78" s="15"/>
    </row>
    <row r="79" spans="4:5" x14ac:dyDescent="0.25">
      <c r="D79" s="15"/>
      <c r="E79" s="15"/>
    </row>
    <row r="80" spans="4:5" x14ac:dyDescent="0.25">
      <c r="D80" s="15"/>
      <c r="E80" s="15"/>
    </row>
    <row r="81" spans="4:5" x14ac:dyDescent="0.25">
      <c r="D81" s="15"/>
      <c r="E81" s="15"/>
    </row>
    <row r="82" spans="4:5" x14ac:dyDescent="0.25">
      <c r="D82" s="15"/>
      <c r="E82" s="15"/>
    </row>
    <row r="83" spans="4:5" x14ac:dyDescent="0.25">
      <c r="D83" s="15"/>
      <c r="E83" s="15"/>
    </row>
    <row r="84" spans="4:5" x14ac:dyDescent="0.25">
      <c r="D84" s="15"/>
      <c r="E84" s="15"/>
    </row>
    <row r="85" spans="4:5" x14ac:dyDescent="0.25">
      <c r="D85" s="15"/>
      <c r="E85" s="15"/>
    </row>
    <row r="86" spans="4:5" x14ac:dyDescent="0.25">
      <c r="D86" s="15"/>
      <c r="E86" s="15"/>
    </row>
    <row r="87" spans="4:5" x14ac:dyDescent="0.25">
      <c r="D87" s="15"/>
      <c r="E87" s="15"/>
    </row>
    <row r="88" spans="4:5" x14ac:dyDescent="0.25">
      <c r="D88" s="15"/>
      <c r="E88" s="15"/>
    </row>
    <row r="89" spans="4:5" x14ac:dyDescent="0.25">
      <c r="D89" s="15"/>
      <c r="E89" s="15"/>
    </row>
    <row r="90" spans="4:5" x14ac:dyDescent="0.25">
      <c r="D90" s="15"/>
      <c r="E90" s="15"/>
    </row>
    <row r="91" spans="4:5" x14ac:dyDescent="0.25">
      <c r="D91" s="15"/>
      <c r="E91" s="15"/>
    </row>
    <row r="92" spans="4:5" x14ac:dyDescent="0.25">
      <c r="D92" s="15"/>
      <c r="E92" s="15"/>
    </row>
    <row r="93" spans="4:5" x14ac:dyDescent="0.25">
      <c r="D93" s="15"/>
      <c r="E93" s="15"/>
    </row>
    <row r="94" spans="4:5" x14ac:dyDescent="0.25">
      <c r="D94" s="15"/>
      <c r="E94" s="15"/>
    </row>
    <row r="95" spans="4:5" x14ac:dyDescent="0.25">
      <c r="D95" s="15"/>
      <c r="E95" s="15"/>
    </row>
    <row r="96" spans="4:5" x14ac:dyDescent="0.25">
      <c r="D96" s="15"/>
      <c r="E96" s="15"/>
    </row>
    <row r="97" spans="4:5" x14ac:dyDescent="0.25">
      <c r="D97" s="15"/>
      <c r="E97" s="15"/>
    </row>
    <row r="98" spans="4:5" x14ac:dyDescent="0.25">
      <c r="D98" s="15"/>
      <c r="E98" s="15"/>
    </row>
    <row r="99" spans="4:5" x14ac:dyDescent="0.25">
      <c r="D99" s="15"/>
      <c r="E99" s="15"/>
    </row>
    <row r="100" spans="4:5" x14ac:dyDescent="0.25">
      <c r="D100" s="15"/>
      <c r="E100" s="15"/>
    </row>
    <row r="101" spans="4:5" x14ac:dyDescent="0.25">
      <c r="D101" s="15"/>
      <c r="E101" s="15"/>
    </row>
    <row r="102" spans="4:5" x14ac:dyDescent="0.25">
      <c r="D102" s="15"/>
      <c r="E102" s="15"/>
    </row>
    <row r="103" spans="4:5" x14ac:dyDescent="0.25">
      <c r="D103" s="15"/>
      <c r="E103" s="15"/>
    </row>
    <row r="104" spans="4:5" x14ac:dyDescent="0.25">
      <c r="D104" s="15"/>
      <c r="E104" s="15"/>
    </row>
    <row r="105" spans="4:5" x14ac:dyDescent="0.25">
      <c r="D105" s="15"/>
      <c r="E105" s="15"/>
    </row>
    <row r="106" spans="4:5" x14ac:dyDescent="0.25">
      <c r="D106" s="15"/>
      <c r="E106" s="15"/>
    </row>
    <row r="107" spans="4:5" x14ac:dyDescent="0.25">
      <c r="D107" s="15"/>
      <c r="E107" s="15"/>
    </row>
    <row r="108" spans="4:5" x14ac:dyDescent="0.25">
      <c r="D108" s="15"/>
      <c r="E108" s="15"/>
    </row>
    <row r="109" spans="4:5" x14ac:dyDescent="0.25">
      <c r="D109" s="15"/>
      <c r="E109" s="15"/>
    </row>
    <row r="110" spans="4:5" x14ac:dyDescent="0.25">
      <c r="D110" s="15"/>
      <c r="E110" s="15"/>
    </row>
    <row r="111" spans="4:5" x14ac:dyDescent="0.25">
      <c r="D111" s="15"/>
      <c r="E111" s="15"/>
    </row>
    <row r="112" spans="4:5" x14ac:dyDescent="0.25">
      <c r="D112" s="15"/>
      <c r="E112" s="15"/>
    </row>
    <row r="113" spans="4:5" x14ac:dyDescent="0.25">
      <c r="D113" s="15"/>
      <c r="E113" s="15"/>
    </row>
    <row r="114" spans="4:5" x14ac:dyDescent="0.25">
      <c r="D114" s="15"/>
      <c r="E114" s="15"/>
    </row>
    <row r="115" spans="4:5" x14ac:dyDescent="0.25">
      <c r="D115" s="15"/>
      <c r="E115" s="15"/>
    </row>
  </sheetData>
  <mergeCells count="38">
    <mergeCell ref="E21:AA21"/>
    <mergeCell ref="AC21:AE21"/>
    <mergeCell ref="AG21:AZ21"/>
    <mergeCell ref="E35:AA35"/>
    <mergeCell ref="AC35:AE35"/>
    <mergeCell ref="AG35:AZ35"/>
    <mergeCell ref="P6:Q6"/>
    <mergeCell ref="R6:S6"/>
    <mergeCell ref="T6:U6"/>
    <mergeCell ref="V6:W6"/>
    <mergeCell ref="AY6:AZ6"/>
    <mergeCell ref="X6:Y6"/>
    <mergeCell ref="Z6:AA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E6:G6"/>
    <mergeCell ref="H6:I6"/>
    <mergeCell ref="J6:K6"/>
    <mergeCell ref="L6:M6"/>
    <mergeCell ref="N6:O6"/>
    <mergeCell ref="E4:AA4"/>
    <mergeCell ref="AC4:AE4"/>
    <mergeCell ref="AG4:AZ4"/>
    <mergeCell ref="H5:M5"/>
    <mergeCell ref="N5:S5"/>
    <mergeCell ref="T5:U5"/>
    <mergeCell ref="V5:AA5"/>
    <mergeCell ref="AG5:AL5"/>
    <mergeCell ref="AM5:AR5"/>
    <mergeCell ref="AS5:AT5"/>
    <mergeCell ref="AU5:AZ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T89"/>
  <sheetViews>
    <sheetView zoomScale="75" zoomScaleNormal="75" workbookViewId="0">
      <pane xSplit="3" ySplit="15" topLeftCell="D16" activePane="bottomRight" state="frozen"/>
      <selection pane="topRight" activeCell="B1" sqref="B1"/>
      <selection pane="bottomLeft" activeCell="A7" sqref="A7"/>
      <selection pane="bottomRight" activeCell="A21" sqref="A21"/>
    </sheetView>
  </sheetViews>
  <sheetFormatPr defaultColWidth="13.5" defaultRowHeight="15.75" x14ac:dyDescent="0.25"/>
  <cols>
    <col min="1" max="2" width="13.5" style="15"/>
    <col min="3" max="3" width="16.83203125" style="14" customWidth="1"/>
    <col min="4" max="4" width="11.1640625" style="14" customWidth="1"/>
    <col min="5" max="5" width="13.5" style="14" customWidth="1"/>
    <col min="6" max="6" width="13.5" style="15" customWidth="1"/>
    <col min="7" max="7" width="13.5" style="15"/>
    <col min="8" max="23" width="6.83203125" style="15" customWidth="1"/>
    <col min="24" max="24" width="7.1640625" style="15" customWidth="1"/>
    <col min="25" max="25" width="8.5" style="15" customWidth="1"/>
    <col min="26" max="26" width="8.33203125" style="15" customWidth="1"/>
    <col min="27" max="27" width="7.83203125" style="15" customWidth="1"/>
    <col min="28" max="28" width="7.5" style="15" customWidth="1"/>
    <col min="29" max="29" width="9.1640625" style="15" customWidth="1"/>
    <col min="30" max="30" width="9.33203125" style="15" customWidth="1"/>
    <col min="31" max="31" width="11.5" style="15" customWidth="1"/>
    <col min="32" max="32" width="9" style="15" customWidth="1"/>
    <col min="33" max="33" width="8.1640625" style="15" customWidth="1"/>
    <col min="34" max="77" width="6.83203125" style="15" customWidth="1"/>
    <col min="78" max="78" width="2.33203125" style="15" customWidth="1"/>
    <col min="79" max="79" width="14.1640625" style="15" customWidth="1"/>
    <col min="80" max="80" width="2.83203125" style="15" customWidth="1"/>
    <col min="81" max="94" width="6.83203125" style="15" customWidth="1"/>
    <col min="95" max="16384" width="13.5" style="15"/>
  </cols>
  <sheetData>
    <row r="2" spans="3:98" ht="16.5" thickBot="1" x14ac:dyDescent="0.3"/>
    <row r="3" spans="3:98" ht="16.5" thickBot="1" x14ac:dyDescent="0.3">
      <c r="C3" s="108" t="str">
        <f>Prosser!C8</f>
        <v>0</v>
      </c>
      <c r="E3" s="101">
        <f>SUM(E16:E25)</f>
        <v>0</v>
      </c>
      <c r="F3" s="101">
        <f>SUM(F16:F25)</f>
        <v>0</v>
      </c>
      <c r="G3" s="101">
        <f t="shared" ref="G3:W3" si="0">SUM(G16:G25)</f>
        <v>0</v>
      </c>
      <c r="H3" s="101">
        <f t="shared" si="0"/>
        <v>0</v>
      </c>
      <c r="I3" s="101">
        <f t="shared" si="0"/>
        <v>0</v>
      </c>
      <c r="J3" s="101">
        <f t="shared" si="0"/>
        <v>0</v>
      </c>
      <c r="K3" s="101">
        <f t="shared" si="0"/>
        <v>0</v>
      </c>
      <c r="L3" s="101">
        <f t="shared" si="0"/>
        <v>0</v>
      </c>
      <c r="M3" s="101">
        <f t="shared" si="0"/>
        <v>0</v>
      </c>
      <c r="N3" s="101">
        <f t="shared" si="0"/>
        <v>0</v>
      </c>
      <c r="O3" s="101">
        <f t="shared" si="0"/>
        <v>0</v>
      </c>
      <c r="P3" s="101">
        <f t="shared" si="0"/>
        <v>0</v>
      </c>
      <c r="Q3" s="101">
        <f t="shared" si="0"/>
        <v>0</v>
      </c>
      <c r="R3" s="101">
        <f t="shared" si="0"/>
        <v>0</v>
      </c>
      <c r="S3" s="101">
        <f t="shared" si="0"/>
        <v>0</v>
      </c>
      <c r="T3" s="101">
        <f t="shared" si="0"/>
        <v>0</v>
      </c>
      <c r="U3" s="101">
        <f t="shared" si="0"/>
        <v>0</v>
      </c>
      <c r="V3" s="101">
        <f t="shared" si="0"/>
        <v>0</v>
      </c>
      <c r="W3" s="102">
        <f t="shared" si="0"/>
        <v>0</v>
      </c>
      <c r="AG3" s="102" t="e">
        <f t="shared" ref="AG3" si="1">SUM(AG16:AG25)</f>
        <v>#DIV/0!</v>
      </c>
      <c r="CA3" s="108" t="s">
        <v>5213</v>
      </c>
      <c r="CC3" s="101" t="e">
        <f>SUM(CC16:CC25)</f>
        <v>#DIV/0!</v>
      </c>
      <c r="CD3" s="101" t="e">
        <f t="shared" ref="CD3:CT3" si="2">SUM(CD16:CD25)</f>
        <v>#DIV/0!</v>
      </c>
      <c r="CE3" s="101" t="e">
        <f t="shared" si="2"/>
        <v>#DIV/0!</v>
      </c>
      <c r="CF3" s="101" t="e">
        <f t="shared" si="2"/>
        <v>#DIV/0!</v>
      </c>
      <c r="CG3" s="101" t="e">
        <f t="shared" si="2"/>
        <v>#DIV/0!</v>
      </c>
      <c r="CH3" s="101" t="e">
        <f t="shared" si="2"/>
        <v>#DIV/0!</v>
      </c>
      <c r="CI3" s="101" t="e">
        <f t="shared" si="2"/>
        <v>#DIV/0!</v>
      </c>
      <c r="CJ3" s="101" t="e">
        <f t="shared" si="2"/>
        <v>#DIV/0!</v>
      </c>
      <c r="CK3" s="101" t="e">
        <f t="shared" si="2"/>
        <v>#DIV/0!</v>
      </c>
      <c r="CL3" s="101" t="e">
        <f t="shared" si="2"/>
        <v>#DIV/0!</v>
      </c>
      <c r="CM3" s="101" t="e">
        <f t="shared" si="2"/>
        <v>#DIV/0!</v>
      </c>
      <c r="CN3" s="101" t="e">
        <f t="shared" si="2"/>
        <v>#DIV/0!</v>
      </c>
      <c r="CO3" s="101" t="e">
        <f t="shared" si="2"/>
        <v>#DIV/0!</v>
      </c>
      <c r="CP3" s="101" t="e">
        <f t="shared" si="2"/>
        <v>#DIV/0!</v>
      </c>
      <c r="CQ3" s="101">
        <f t="shared" si="2"/>
        <v>0</v>
      </c>
      <c r="CR3" s="101">
        <f t="shared" si="2"/>
        <v>0</v>
      </c>
      <c r="CS3" s="101">
        <f t="shared" si="2"/>
        <v>0</v>
      </c>
      <c r="CT3" s="102">
        <f t="shared" si="2"/>
        <v>0</v>
      </c>
    </row>
    <row r="4" spans="3:98" ht="16.5" thickBot="1" x14ac:dyDescent="0.3">
      <c r="C4" s="108" t="str">
        <f>Prosser!C9</f>
        <v>Sept 15-21</v>
      </c>
      <c r="E4" s="94">
        <f>SUM(E26:E35)</f>
        <v>0</v>
      </c>
      <c r="F4" s="94">
        <f>SUM(F26:F35)</f>
        <v>0</v>
      </c>
      <c r="G4" s="94">
        <f t="shared" ref="G4:W4" si="3">SUM(G26:G35)</f>
        <v>0</v>
      </c>
      <c r="H4" s="94">
        <f t="shared" si="3"/>
        <v>0</v>
      </c>
      <c r="I4" s="94">
        <f t="shared" si="3"/>
        <v>0</v>
      </c>
      <c r="J4" s="94">
        <f t="shared" si="3"/>
        <v>0</v>
      </c>
      <c r="K4" s="94">
        <f t="shared" si="3"/>
        <v>0</v>
      </c>
      <c r="L4" s="94">
        <f t="shared" si="3"/>
        <v>0</v>
      </c>
      <c r="M4" s="94">
        <f t="shared" si="3"/>
        <v>0</v>
      </c>
      <c r="N4" s="94">
        <f t="shared" si="3"/>
        <v>0</v>
      </c>
      <c r="O4" s="94">
        <f t="shared" si="3"/>
        <v>0</v>
      </c>
      <c r="P4" s="94">
        <f t="shared" si="3"/>
        <v>0</v>
      </c>
      <c r="Q4" s="94">
        <f t="shared" si="3"/>
        <v>0</v>
      </c>
      <c r="R4" s="94">
        <f t="shared" si="3"/>
        <v>0</v>
      </c>
      <c r="S4" s="94">
        <f t="shared" si="3"/>
        <v>0</v>
      </c>
      <c r="T4" s="94">
        <f t="shared" si="3"/>
        <v>0</v>
      </c>
      <c r="U4" s="94">
        <f t="shared" si="3"/>
        <v>0</v>
      </c>
      <c r="V4" s="94">
        <f t="shared" si="3"/>
        <v>0</v>
      </c>
      <c r="W4" s="103">
        <f t="shared" si="3"/>
        <v>0</v>
      </c>
      <c r="AG4" s="103" t="e">
        <f>AVERAGE(AG26:AG35)*7</f>
        <v>#DIV/0!</v>
      </c>
      <c r="CA4" s="109" t="s">
        <v>5214</v>
      </c>
      <c r="CC4" s="94" t="e">
        <f>SUM(CC26:CC35)</f>
        <v>#DIV/0!</v>
      </c>
      <c r="CD4" s="94" t="e">
        <f t="shared" ref="CD4:CT4" si="4">SUM(CD26:CD35)</f>
        <v>#DIV/0!</v>
      </c>
      <c r="CE4" s="94" t="e">
        <f t="shared" si="4"/>
        <v>#DIV/0!</v>
      </c>
      <c r="CF4" s="94" t="e">
        <f t="shared" si="4"/>
        <v>#DIV/0!</v>
      </c>
      <c r="CG4" s="94" t="e">
        <f t="shared" si="4"/>
        <v>#DIV/0!</v>
      </c>
      <c r="CH4" s="94" t="e">
        <f t="shared" si="4"/>
        <v>#DIV/0!</v>
      </c>
      <c r="CI4" s="94" t="e">
        <f t="shared" si="4"/>
        <v>#DIV/0!</v>
      </c>
      <c r="CJ4" s="94" t="e">
        <f t="shared" si="4"/>
        <v>#DIV/0!</v>
      </c>
      <c r="CK4" s="94" t="e">
        <f t="shared" si="4"/>
        <v>#DIV/0!</v>
      </c>
      <c r="CL4" s="94" t="e">
        <f t="shared" si="4"/>
        <v>#DIV/0!</v>
      </c>
      <c r="CM4" s="94" t="e">
        <f t="shared" si="4"/>
        <v>#DIV/0!</v>
      </c>
      <c r="CN4" s="94" t="e">
        <f t="shared" si="4"/>
        <v>#DIV/0!</v>
      </c>
      <c r="CO4" s="94" t="e">
        <f t="shared" si="4"/>
        <v>#DIV/0!</v>
      </c>
      <c r="CP4" s="94" t="e">
        <f t="shared" si="4"/>
        <v>#DIV/0!</v>
      </c>
      <c r="CQ4" s="94">
        <f t="shared" si="4"/>
        <v>0</v>
      </c>
      <c r="CR4" s="94">
        <f t="shared" si="4"/>
        <v>0</v>
      </c>
      <c r="CS4" s="94">
        <f t="shared" si="4"/>
        <v>0</v>
      </c>
      <c r="CT4" s="103">
        <f t="shared" si="4"/>
        <v>0</v>
      </c>
    </row>
    <row r="5" spans="3:98" ht="16.5" thickBot="1" x14ac:dyDescent="0.3">
      <c r="C5" s="108" t="str">
        <f>Prosser!C10</f>
        <v>Sept 21-28</v>
      </c>
      <c r="E5" s="94">
        <f>SUM(E36:E45)</f>
        <v>0</v>
      </c>
      <c r="F5" s="94">
        <f>SUM(F36:F45)</f>
        <v>0</v>
      </c>
      <c r="G5" s="94">
        <f t="shared" ref="G5:W5" si="5">SUM(G36:G45)</f>
        <v>0</v>
      </c>
      <c r="H5" s="94">
        <f t="shared" si="5"/>
        <v>0</v>
      </c>
      <c r="I5" s="94">
        <f t="shared" si="5"/>
        <v>0</v>
      </c>
      <c r="J5" s="94">
        <f t="shared" si="5"/>
        <v>0</v>
      </c>
      <c r="K5" s="94">
        <f t="shared" si="5"/>
        <v>0</v>
      </c>
      <c r="L5" s="94">
        <f t="shared" si="5"/>
        <v>0</v>
      </c>
      <c r="M5" s="94">
        <f t="shared" si="5"/>
        <v>0</v>
      </c>
      <c r="N5" s="94">
        <f t="shared" si="5"/>
        <v>0</v>
      </c>
      <c r="O5" s="94">
        <f t="shared" si="5"/>
        <v>0</v>
      </c>
      <c r="P5" s="94">
        <f t="shared" si="5"/>
        <v>0</v>
      </c>
      <c r="Q5" s="94">
        <f t="shared" si="5"/>
        <v>0</v>
      </c>
      <c r="R5" s="94">
        <f t="shared" si="5"/>
        <v>0</v>
      </c>
      <c r="S5" s="94">
        <f t="shared" si="5"/>
        <v>0</v>
      </c>
      <c r="T5" s="94">
        <f t="shared" si="5"/>
        <v>0</v>
      </c>
      <c r="U5" s="94">
        <f t="shared" si="5"/>
        <v>0</v>
      </c>
      <c r="V5" s="94">
        <f t="shared" si="5"/>
        <v>0</v>
      </c>
      <c r="W5" s="103">
        <f t="shared" si="5"/>
        <v>0</v>
      </c>
      <c r="AG5" s="103" t="e">
        <f>AVERAGE(AG36:AG41)*5+AG42+AG44</f>
        <v>#DIV/0!</v>
      </c>
      <c r="CA5" s="109" t="s">
        <v>5217</v>
      </c>
      <c r="CC5" s="94" t="e">
        <f>SUM(CC36:CC45)</f>
        <v>#DIV/0!</v>
      </c>
      <c r="CD5" s="94" t="e">
        <f t="shared" ref="CD5:CT5" si="6">SUM(CD36:CD45)</f>
        <v>#DIV/0!</v>
      </c>
      <c r="CE5" s="94" t="e">
        <f t="shared" si="6"/>
        <v>#DIV/0!</v>
      </c>
      <c r="CF5" s="94" t="e">
        <f t="shared" si="6"/>
        <v>#DIV/0!</v>
      </c>
      <c r="CG5" s="94" t="e">
        <f t="shared" si="6"/>
        <v>#DIV/0!</v>
      </c>
      <c r="CH5" s="94" t="e">
        <f t="shared" si="6"/>
        <v>#DIV/0!</v>
      </c>
      <c r="CI5" s="94" t="e">
        <f t="shared" si="6"/>
        <v>#DIV/0!</v>
      </c>
      <c r="CJ5" s="94" t="e">
        <f t="shared" si="6"/>
        <v>#DIV/0!</v>
      </c>
      <c r="CK5" s="94" t="e">
        <f t="shared" si="6"/>
        <v>#DIV/0!</v>
      </c>
      <c r="CL5" s="94" t="e">
        <f t="shared" si="6"/>
        <v>#DIV/0!</v>
      </c>
      <c r="CM5" s="94" t="e">
        <f t="shared" si="6"/>
        <v>#DIV/0!</v>
      </c>
      <c r="CN5" s="94" t="e">
        <f t="shared" si="6"/>
        <v>#DIV/0!</v>
      </c>
      <c r="CO5" s="94" t="e">
        <f t="shared" si="6"/>
        <v>#DIV/0!</v>
      </c>
      <c r="CP5" s="94" t="e">
        <f t="shared" si="6"/>
        <v>#DIV/0!</v>
      </c>
      <c r="CQ5" s="94">
        <f t="shared" si="6"/>
        <v>0</v>
      </c>
      <c r="CR5" s="94">
        <f t="shared" si="6"/>
        <v>0</v>
      </c>
      <c r="CS5" s="94">
        <f t="shared" si="6"/>
        <v>0</v>
      </c>
      <c r="CT5" s="103">
        <f t="shared" si="6"/>
        <v>0</v>
      </c>
    </row>
    <row r="6" spans="3:98" ht="16.5" thickBot="1" x14ac:dyDescent="0.3">
      <c r="C6" s="108" t="str">
        <f>Prosser!C11</f>
        <v>Sept 29-Oct 5</v>
      </c>
      <c r="E6" s="94">
        <f>SUM(E46:E55)</f>
        <v>0</v>
      </c>
      <c r="F6" s="94">
        <f>SUM(F46:F55)</f>
        <v>0</v>
      </c>
      <c r="G6" s="94">
        <f t="shared" ref="G6:W6" si="7">SUM(G46:G55)</f>
        <v>0</v>
      </c>
      <c r="H6" s="94">
        <f t="shared" si="7"/>
        <v>0</v>
      </c>
      <c r="I6" s="94">
        <f t="shared" si="7"/>
        <v>0</v>
      </c>
      <c r="J6" s="94">
        <f t="shared" si="7"/>
        <v>0</v>
      </c>
      <c r="K6" s="94">
        <f t="shared" si="7"/>
        <v>0</v>
      </c>
      <c r="L6" s="94">
        <f t="shared" si="7"/>
        <v>0</v>
      </c>
      <c r="M6" s="94">
        <f t="shared" si="7"/>
        <v>0</v>
      </c>
      <c r="N6" s="94">
        <f t="shared" si="7"/>
        <v>0</v>
      </c>
      <c r="O6" s="94">
        <f t="shared" si="7"/>
        <v>0</v>
      </c>
      <c r="P6" s="94">
        <f t="shared" si="7"/>
        <v>0</v>
      </c>
      <c r="Q6" s="94">
        <f t="shared" si="7"/>
        <v>0</v>
      </c>
      <c r="R6" s="94">
        <f t="shared" si="7"/>
        <v>0</v>
      </c>
      <c r="S6" s="94">
        <f t="shared" si="7"/>
        <v>0</v>
      </c>
      <c r="T6" s="94">
        <f t="shared" si="7"/>
        <v>0</v>
      </c>
      <c r="U6" s="94">
        <f t="shared" si="7"/>
        <v>0</v>
      </c>
      <c r="V6" s="94">
        <f t="shared" si="7"/>
        <v>0</v>
      </c>
      <c r="W6" s="103">
        <f t="shared" si="7"/>
        <v>0</v>
      </c>
      <c r="AG6" s="103" t="e">
        <f>AVERAGE(AG46:AG51)*5+AG52+AG54</f>
        <v>#DIV/0!</v>
      </c>
      <c r="CA6" s="109" t="s">
        <v>5218</v>
      </c>
      <c r="CC6" s="94" t="e">
        <f>SUM(CC46:CC55)</f>
        <v>#DIV/0!</v>
      </c>
      <c r="CD6" s="94" t="e">
        <f t="shared" ref="CD6:CT7" si="8">SUM(CD46:CD55)</f>
        <v>#DIV/0!</v>
      </c>
      <c r="CE6" s="94" t="e">
        <f t="shared" si="8"/>
        <v>#DIV/0!</v>
      </c>
      <c r="CF6" s="94" t="e">
        <f t="shared" si="8"/>
        <v>#DIV/0!</v>
      </c>
      <c r="CG6" s="94" t="e">
        <f t="shared" si="8"/>
        <v>#DIV/0!</v>
      </c>
      <c r="CH6" s="94" t="e">
        <f t="shared" si="8"/>
        <v>#DIV/0!</v>
      </c>
      <c r="CI6" s="94" t="e">
        <f t="shared" si="8"/>
        <v>#DIV/0!</v>
      </c>
      <c r="CJ6" s="94" t="e">
        <f t="shared" si="8"/>
        <v>#DIV/0!</v>
      </c>
      <c r="CK6" s="94" t="e">
        <f t="shared" si="8"/>
        <v>#DIV/0!</v>
      </c>
      <c r="CL6" s="94" t="e">
        <f t="shared" si="8"/>
        <v>#DIV/0!</v>
      </c>
      <c r="CM6" s="94" t="e">
        <f t="shared" si="8"/>
        <v>#DIV/0!</v>
      </c>
      <c r="CN6" s="94" t="e">
        <f t="shared" si="8"/>
        <v>#DIV/0!</v>
      </c>
      <c r="CO6" s="94" t="e">
        <f t="shared" si="8"/>
        <v>#DIV/0!</v>
      </c>
      <c r="CP6" s="94" t="e">
        <f t="shared" si="8"/>
        <v>#DIV/0!</v>
      </c>
      <c r="CQ6" s="94">
        <f t="shared" si="8"/>
        <v>0</v>
      </c>
      <c r="CR6" s="94">
        <f t="shared" si="8"/>
        <v>0</v>
      </c>
      <c r="CS6" s="94">
        <f t="shared" si="8"/>
        <v>0</v>
      </c>
      <c r="CT6" s="103">
        <f t="shared" si="8"/>
        <v>0</v>
      </c>
    </row>
    <row r="7" spans="3:98" ht="30.75" thickBot="1" x14ac:dyDescent="0.3">
      <c r="C7" s="108" t="str">
        <f>Prosser!C12</f>
        <v>Oct 6-Oct 12</v>
      </c>
      <c r="E7" s="94">
        <f t="shared" ref="E7:W7" si="9">SUM(E56:E63)</f>
        <v>0</v>
      </c>
      <c r="F7" s="94">
        <f t="shared" si="9"/>
        <v>0</v>
      </c>
      <c r="G7" s="94">
        <f t="shared" si="9"/>
        <v>0</v>
      </c>
      <c r="H7" s="94">
        <f t="shared" si="9"/>
        <v>0</v>
      </c>
      <c r="I7" s="94">
        <f t="shared" si="9"/>
        <v>0</v>
      </c>
      <c r="J7" s="94">
        <f t="shared" si="9"/>
        <v>0</v>
      </c>
      <c r="K7" s="94">
        <f t="shared" si="9"/>
        <v>0</v>
      </c>
      <c r="L7" s="94">
        <f t="shared" si="9"/>
        <v>0</v>
      </c>
      <c r="M7" s="94">
        <f t="shared" si="9"/>
        <v>0</v>
      </c>
      <c r="N7" s="94">
        <f t="shared" si="9"/>
        <v>0</v>
      </c>
      <c r="O7" s="94">
        <f t="shared" si="9"/>
        <v>0</v>
      </c>
      <c r="P7" s="94">
        <f t="shared" si="9"/>
        <v>0</v>
      </c>
      <c r="Q7" s="94">
        <f t="shared" si="9"/>
        <v>0</v>
      </c>
      <c r="R7" s="94">
        <f t="shared" si="9"/>
        <v>0</v>
      </c>
      <c r="S7" s="94">
        <f t="shared" si="9"/>
        <v>0</v>
      </c>
      <c r="T7" s="94">
        <f t="shared" si="9"/>
        <v>0</v>
      </c>
      <c r="U7" s="94">
        <f t="shared" si="9"/>
        <v>0</v>
      </c>
      <c r="V7" s="94">
        <f t="shared" si="9"/>
        <v>0</v>
      </c>
      <c r="W7" s="103">
        <f t="shared" si="9"/>
        <v>0</v>
      </c>
      <c r="AG7" s="103" t="e">
        <f>AVERAGE(AG56:AG59)*5+AG60+AG62</f>
        <v>#DIV/0!</v>
      </c>
      <c r="CA7" s="109" t="s">
        <v>647</v>
      </c>
      <c r="CC7" s="94" t="e">
        <f>SUM(CC47:CC56)</f>
        <v>#DIV/0!</v>
      </c>
      <c r="CD7" s="94" t="e">
        <f t="shared" si="8"/>
        <v>#DIV/0!</v>
      </c>
      <c r="CE7" s="94" t="e">
        <f t="shared" si="8"/>
        <v>#DIV/0!</v>
      </c>
      <c r="CF7" s="94" t="e">
        <f t="shared" si="8"/>
        <v>#DIV/0!</v>
      </c>
      <c r="CG7" s="94" t="e">
        <f t="shared" si="8"/>
        <v>#DIV/0!</v>
      </c>
      <c r="CH7" s="94" t="e">
        <f t="shared" si="8"/>
        <v>#DIV/0!</v>
      </c>
      <c r="CI7" s="94" t="e">
        <f t="shared" si="8"/>
        <v>#DIV/0!</v>
      </c>
      <c r="CJ7" s="94" t="e">
        <f t="shared" si="8"/>
        <v>#DIV/0!</v>
      </c>
      <c r="CK7" s="94" t="e">
        <f t="shared" si="8"/>
        <v>#DIV/0!</v>
      </c>
      <c r="CL7" s="94" t="e">
        <f t="shared" si="8"/>
        <v>#DIV/0!</v>
      </c>
      <c r="CM7" s="94" t="e">
        <f t="shared" si="8"/>
        <v>#DIV/0!</v>
      </c>
      <c r="CN7" s="94" t="e">
        <f t="shared" si="8"/>
        <v>#DIV/0!</v>
      </c>
      <c r="CO7" s="94" t="e">
        <f t="shared" si="8"/>
        <v>#DIV/0!</v>
      </c>
      <c r="CP7" s="94" t="e">
        <f t="shared" si="8"/>
        <v>#DIV/0!</v>
      </c>
      <c r="CQ7" s="94">
        <f t="shared" si="8"/>
        <v>0</v>
      </c>
      <c r="CR7" s="94">
        <f t="shared" si="8"/>
        <v>0</v>
      </c>
      <c r="CS7" s="94">
        <f t="shared" si="8"/>
        <v>0</v>
      </c>
      <c r="CT7" s="103">
        <f t="shared" si="8"/>
        <v>0</v>
      </c>
    </row>
    <row r="8" spans="3:98" ht="16.5" thickBot="1" x14ac:dyDescent="0.3">
      <c r="C8" s="108" t="str">
        <f>Prosser!C13</f>
        <v>Oct 13-19</v>
      </c>
      <c r="E8" s="94">
        <f>SUM(E64:E71)</f>
        <v>0</v>
      </c>
      <c r="F8" s="94">
        <f t="shared" ref="F8:W8" si="10">SUM(F64:F71)</f>
        <v>0</v>
      </c>
      <c r="G8" s="94">
        <f t="shared" si="10"/>
        <v>0</v>
      </c>
      <c r="H8" s="94">
        <f t="shared" si="10"/>
        <v>0</v>
      </c>
      <c r="I8" s="94">
        <f t="shared" si="10"/>
        <v>0</v>
      </c>
      <c r="J8" s="94">
        <f t="shared" si="10"/>
        <v>0</v>
      </c>
      <c r="K8" s="94">
        <f t="shared" si="10"/>
        <v>0</v>
      </c>
      <c r="L8" s="94">
        <f t="shared" si="10"/>
        <v>0</v>
      </c>
      <c r="M8" s="94">
        <f t="shared" si="10"/>
        <v>0</v>
      </c>
      <c r="N8" s="94">
        <f t="shared" si="10"/>
        <v>0</v>
      </c>
      <c r="O8" s="94">
        <f t="shared" si="10"/>
        <v>0</v>
      </c>
      <c r="P8" s="94">
        <f t="shared" si="10"/>
        <v>0</v>
      </c>
      <c r="Q8" s="94">
        <f t="shared" si="10"/>
        <v>0</v>
      </c>
      <c r="R8" s="94">
        <f t="shared" si="10"/>
        <v>0</v>
      </c>
      <c r="S8" s="94">
        <f t="shared" si="10"/>
        <v>0</v>
      </c>
      <c r="T8" s="94">
        <f t="shared" si="10"/>
        <v>0</v>
      </c>
      <c r="U8" s="94">
        <f t="shared" si="10"/>
        <v>0</v>
      </c>
      <c r="V8" s="94">
        <f t="shared" si="10"/>
        <v>0</v>
      </c>
      <c r="W8" s="94">
        <f t="shared" si="10"/>
        <v>0</v>
      </c>
      <c r="AG8" s="103" t="e">
        <f>AVERAGE(AG64:AG67)*5+AG68+AG70</f>
        <v>#DIV/0!</v>
      </c>
      <c r="CA8" s="109" t="s">
        <v>648</v>
      </c>
      <c r="CC8" s="94" t="e">
        <f t="shared" ref="CC8:CT9" si="11">SUM(CC64:CC71)</f>
        <v>#DIV/0!</v>
      </c>
      <c r="CD8" s="94" t="e">
        <f t="shared" si="11"/>
        <v>#DIV/0!</v>
      </c>
      <c r="CE8" s="94" t="e">
        <f t="shared" si="11"/>
        <v>#DIV/0!</v>
      </c>
      <c r="CF8" s="94" t="e">
        <f t="shared" si="11"/>
        <v>#DIV/0!</v>
      </c>
      <c r="CG8" s="94" t="e">
        <f t="shared" si="11"/>
        <v>#DIV/0!</v>
      </c>
      <c r="CH8" s="94" t="e">
        <f t="shared" si="11"/>
        <v>#DIV/0!</v>
      </c>
      <c r="CI8" s="94" t="e">
        <f t="shared" si="11"/>
        <v>#DIV/0!</v>
      </c>
      <c r="CJ8" s="94" t="e">
        <f t="shared" si="11"/>
        <v>#DIV/0!</v>
      </c>
      <c r="CK8" s="94" t="e">
        <f t="shared" si="11"/>
        <v>#DIV/0!</v>
      </c>
      <c r="CL8" s="94" t="e">
        <f t="shared" si="11"/>
        <v>#DIV/0!</v>
      </c>
      <c r="CM8" s="94" t="e">
        <f t="shared" si="11"/>
        <v>#DIV/0!</v>
      </c>
      <c r="CN8" s="94" t="e">
        <f t="shared" si="11"/>
        <v>#DIV/0!</v>
      </c>
      <c r="CO8" s="94" t="e">
        <f t="shared" si="11"/>
        <v>#DIV/0!</v>
      </c>
      <c r="CP8" s="94" t="e">
        <f t="shared" si="11"/>
        <v>#DIV/0!</v>
      </c>
      <c r="CQ8" s="94">
        <f t="shared" si="11"/>
        <v>0</v>
      </c>
      <c r="CR8" s="94">
        <f t="shared" si="11"/>
        <v>0</v>
      </c>
      <c r="CS8" s="94">
        <f t="shared" si="11"/>
        <v>0</v>
      </c>
      <c r="CT8" s="94">
        <f t="shared" si="11"/>
        <v>0</v>
      </c>
    </row>
    <row r="9" spans="3:98" ht="16.5" thickBot="1" x14ac:dyDescent="0.3">
      <c r="C9" s="108" t="str">
        <f>Prosser!C14</f>
        <v>Oct 20-26</v>
      </c>
      <c r="E9" s="94">
        <f t="shared" ref="E9:W9" si="12">SUM(E72:E77)</f>
        <v>0</v>
      </c>
      <c r="F9" s="94">
        <f t="shared" si="12"/>
        <v>0</v>
      </c>
      <c r="G9" s="94">
        <f t="shared" si="12"/>
        <v>0</v>
      </c>
      <c r="H9" s="94">
        <f t="shared" si="12"/>
        <v>0</v>
      </c>
      <c r="I9" s="94">
        <f t="shared" si="12"/>
        <v>0</v>
      </c>
      <c r="J9" s="94">
        <f t="shared" si="12"/>
        <v>0</v>
      </c>
      <c r="K9" s="94">
        <f t="shared" si="12"/>
        <v>0</v>
      </c>
      <c r="L9" s="94">
        <f t="shared" si="12"/>
        <v>0</v>
      </c>
      <c r="M9" s="94">
        <f t="shared" si="12"/>
        <v>0</v>
      </c>
      <c r="N9" s="94">
        <f t="shared" si="12"/>
        <v>0</v>
      </c>
      <c r="O9" s="94">
        <f t="shared" si="12"/>
        <v>0</v>
      </c>
      <c r="P9" s="94">
        <f t="shared" si="12"/>
        <v>0</v>
      </c>
      <c r="Q9" s="94">
        <f t="shared" si="12"/>
        <v>0</v>
      </c>
      <c r="R9" s="94">
        <f t="shared" si="12"/>
        <v>0</v>
      </c>
      <c r="S9" s="94">
        <f t="shared" si="12"/>
        <v>0</v>
      </c>
      <c r="T9" s="94">
        <f t="shared" si="12"/>
        <v>0</v>
      </c>
      <c r="U9" s="94">
        <f t="shared" si="12"/>
        <v>0</v>
      </c>
      <c r="V9" s="94">
        <f t="shared" si="12"/>
        <v>0</v>
      </c>
      <c r="W9" s="94">
        <f t="shared" si="12"/>
        <v>0</v>
      </c>
      <c r="AG9" s="103" t="e">
        <f>AVERAGE(AG72:AG74)*6+AG76*2</f>
        <v>#DIV/0!</v>
      </c>
      <c r="CA9" s="110" t="s">
        <v>649</v>
      </c>
      <c r="CC9" s="94" t="e">
        <f t="shared" si="11"/>
        <v>#DIV/0!</v>
      </c>
      <c r="CD9" s="94" t="e">
        <f t="shared" si="11"/>
        <v>#DIV/0!</v>
      </c>
      <c r="CE9" s="94" t="e">
        <f t="shared" si="11"/>
        <v>#DIV/0!</v>
      </c>
      <c r="CF9" s="94" t="e">
        <f t="shared" si="11"/>
        <v>#DIV/0!</v>
      </c>
      <c r="CG9" s="94" t="e">
        <f t="shared" si="11"/>
        <v>#DIV/0!</v>
      </c>
      <c r="CH9" s="94" t="e">
        <f t="shared" si="11"/>
        <v>#DIV/0!</v>
      </c>
      <c r="CI9" s="94" t="e">
        <f t="shared" si="11"/>
        <v>#DIV/0!</v>
      </c>
      <c r="CJ9" s="94" t="e">
        <f t="shared" si="11"/>
        <v>#DIV/0!</v>
      </c>
      <c r="CK9" s="94" t="e">
        <f t="shared" si="11"/>
        <v>#DIV/0!</v>
      </c>
      <c r="CL9" s="94" t="e">
        <f t="shared" si="11"/>
        <v>#DIV/0!</v>
      </c>
      <c r="CM9" s="94" t="e">
        <f t="shared" si="11"/>
        <v>#DIV/0!</v>
      </c>
      <c r="CN9" s="94" t="e">
        <f t="shared" si="11"/>
        <v>#DIV/0!</v>
      </c>
      <c r="CO9" s="94" t="e">
        <f t="shared" si="11"/>
        <v>#DIV/0!</v>
      </c>
      <c r="CP9" s="94" t="e">
        <f t="shared" si="11"/>
        <v>#DIV/0!</v>
      </c>
      <c r="CQ9" s="94">
        <f t="shared" si="11"/>
        <v>0</v>
      </c>
      <c r="CR9" s="94">
        <f t="shared" si="11"/>
        <v>0</v>
      </c>
      <c r="CS9" s="94">
        <f t="shared" si="11"/>
        <v>0</v>
      </c>
      <c r="CT9" s="94">
        <f t="shared" si="11"/>
        <v>0</v>
      </c>
    </row>
    <row r="10" spans="3:98" ht="17.25" thickTop="1" thickBot="1" x14ac:dyDescent="0.3">
      <c r="C10" s="108" t="str">
        <f>Prosser!C17</f>
        <v>Nov 10-16</v>
      </c>
      <c r="E10" s="105">
        <f>SUM(E3:E9)</f>
        <v>0</v>
      </c>
      <c r="F10" s="105">
        <f>SUM(F3:F9)</f>
        <v>0</v>
      </c>
      <c r="G10" s="105">
        <f>SUM(G3:G9)</f>
        <v>0</v>
      </c>
      <c r="H10" s="105">
        <f t="shared" ref="H10:W10" si="13">SUM(H3:H9)</f>
        <v>0</v>
      </c>
      <c r="I10" s="105">
        <f t="shared" si="13"/>
        <v>0</v>
      </c>
      <c r="J10" s="105">
        <f>SUM(J3:J9)</f>
        <v>0</v>
      </c>
      <c r="K10" s="105">
        <f>SUM(K3:K9)</f>
        <v>0</v>
      </c>
      <c r="L10" s="105">
        <f>SUM(L3:L9)</f>
        <v>0</v>
      </c>
      <c r="M10" s="105">
        <f>SUM(M3:M9)</f>
        <v>0</v>
      </c>
      <c r="N10" s="105">
        <f t="shared" si="13"/>
        <v>0</v>
      </c>
      <c r="O10" s="105">
        <f t="shared" si="13"/>
        <v>0</v>
      </c>
      <c r="P10" s="105">
        <f t="shared" si="13"/>
        <v>0</v>
      </c>
      <c r="Q10" s="105">
        <f t="shared" si="13"/>
        <v>0</v>
      </c>
      <c r="R10" s="105">
        <f t="shared" si="13"/>
        <v>0</v>
      </c>
      <c r="S10" s="105">
        <f t="shared" si="13"/>
        <v>0</v>
      </c>
      <c r="T10" s="105">
        <f t="shared" si="13"/>
        <v>0</v>
      </c>
      <c r="U10" s="105">
        <f t="shared" si="13"/>
        <v>0</v>
      </c>
      <c r="V10" s="105">
        <f t="shared" si="13"/>
        <v>0</v>
      </c>
      <c r="W10" s="107">
        <f t="shared" si="13"/>
        <v>0</v>
      </c>
      <c r="AG10" s="107" t="e">
        <f t="shared" ref="AG10" si="14">SUM(AG3:AG9)</f>
        <v>#DIV/0!</v>
      </c>
      <c r="CB10" s="106"/>
      <c r="CC10" s="105" t="e">
        <f>SUM(CC3:CC9)</f>
        <v>#DIV/0!</v>
      </c>
      <c r="CD10" s="105" t="e">
        <f>SUM(CD3:CD9)</f>
        <v>#DIV/0!</v>
      </c>
      <c r="CE10" s="105" t="e">
        <f t="shared" ref="CE10:CF10" si="15">SUM(CE3:CE9)</f>
        <v>#DIV/0!</v>
      </c>
      <c r="CF10" s="105" t="e">
        <f t="shared" si="15"/>
        <v>#DIV/0!</v>
      </c>
      <c r="CG10" s="105" t="e">
        <f>SUM(CG3:CG9)</f>
        <v>#DIV/0!</v>
      </c>
      <c r="CH10" s="105" t="e">
        <f>SUM(CH3:CH9)</f>
        <v>#DIV/0!</v>
      </c>
      <c r="CI10" s="105" t="e">
        <f>SUM(CI3:CI9)</f>
        <v>#DIV/0!</v>
      </c>
      <c r="CJ10" s="105" t="e">
        <f>SUM(CJ3:CJ9)</f>
        <v>#DIV/0!</v>
      </c>
      <c r="CK10" s="105" t="e">
        <f t="shared" ref="CK10:CT10" si="16">SUM(CK3:CK9)</f>
        <v>#DIV/0!</v>
      </c>
      <c r="CL10" s="105" t="e">
        <f t="shared" si="16"/>
        <v>#DIV/0!</v>
      </c>
      <c r="CM10" s="105" t="e">
        <f t="shared" si="16"/>
        <v>#DIV/0!</v>
      </c>
      <c r="CN10" s="105" t="e">
        <f t="shared" si="16"/>
        <v>#DIV/0!</v>
      </c>
      <c r="CO10" s="105" t="e">
        <f t="shared" si="16"/>
        <v>#DIV/0!</v>
      </c>
      <c r="CP10" s="105" t="e">
        <f t="shared" si="16"/>
        <v>#DIV/0!</v>
      </c>
      <c r="CQ10" s="105">
        <f t="shared" si="16"/>
        <v>0</v>
      </c>
      <c r="CR10" s="105">
        <f t="shared" si="16"/>
        <v>0</v>
      </c>
      <c r="CS10" s="105">
        <f t="shared" si="16"/>
        <v>0</v>
      </c>
      <c r="CT10" s="107">
        <f t="shared" si="16"/>
        <v>0</v>
      </c>
    </row>
    <row r="12" spans="3:98" ht="16.5" thickBot="1" x14ac:dyDescent="0.3">
      <c r="E12" s="13">
        <f>SUM(E16:E79)</f>
        <v>0</v>
      </c>
      <c r="F12" s="13">
        <f t="shared" ref="F12:W12" si="17">SUM(F16:F79)</f>
        <v>0</v>
      </c>
      <c r="G12" s="13">
        <f t="shared" si="17"/>
        <v>0</v>
      </c>
      <c r="H12" s="13">
        <f t="shared" si="17"/>
        <v>0</v>
      </c>
      <c r="I12" s="13">
        <f t="shared" si="17"/>
        <v>0</v>
      </c>
      <c r="J12" s="13">
        <f>SUM(J16:J79)</f>
        <v>0</v>
      </c>
      <c r="K12" s="13">
        <f>SUM(K16:K79)</f>
        <v>0</v>
      </c>
      <c r="L12" s="13">
        <f>SUM(L16:L79)</f>
        <v>0</v>
      </c>
      <c r="M12" s="13">
        <f>SUM(M16:M79)</f>
        <v>0</v>
      </c>
      <c r="N12" s="13">
        <f t="shared" si="17"/>
        <v>0</v>
      </c>
      <c r="O12" s="13">
        <f t="shared" si="17"/>
        <v>0</v>
      </c>
      <c r="P12" s="13">
        <f t="shared" si="17"/>
        <v>0</v>
      </c>
      <c r="Q12" s="13">
        <f t="shared" si="17"/>
        <v>0</v>
      </c>
      <c r="R12" s="13">
        <f t="shared" si="17"/>
        <v>0</v>
      </c>
      <c r="S12" s="13">
        <f t="shared" si="17"/>
        <v>0</v>
      </c>
      <c r="T12" s="13">
        <f t="shared" si="17"/>
        <v>0</v>
      </c>
      <c r="U12" s="13">
        <f t="shared" si="17"/>
        <v>0</v>
      </c>
      <c r="V12" s="13">
        <f t="shared" si="17"/>
        <v>0</v>
      </c>
      <c r="W12" s="13">
        <f t="shared" si="17"/>
        <v>0</v>
      </c>
      <c r="X12" s="13"/>
      <c r="AD12" s="84" t="e">
        <f>SUM(AD48:AD53)</f>
        <v>#DIV/0!</v>
      </c>
      <c r="AE12" s="84" t="e">
        <f>SUM(AE48:AE53)</f>
        <v>#DIV/0!</v>
      </c>
    </row>
    <row r="13" spans="3:98" x14ac:dyDescent="0.25">
      <c r="Y13" s="9" t="s">
        <v>5215</v>
      </c>
      <c r="Z13" s="25"/>
      <c r="AA13" s="26"/>
      <c r="AB13" s="26"/>
      <c r="AC13" s="27"/>
      <c r="AD13" s="27"/>
      <c r="AE13" s="28"/>
      <c r="AF13" s="28"/>
      <c r="AV13" s="24"/>
      <c r="BZ13" s="24"/>
      <c r="CA13" s="29"/>
      <c r="CB13" s="24"/>
    </row>
    <row r="14" spans="3:98" x14ac:dyDescent="0.25">
      <c r="C14" s="68"/>
      <c r="D14" s="68"/>
      <c r="E14" s="68"/>
      <c r="F14" s="30"/>
      <c r="G14" s="30" t="s">
        <v>2</v>
      </c>
      <c r="H14" s="440" t="s">
        <v>27</v>
      </c>
      <c r="I14" s="440"/>
      <c r="J14" s="440" t="s">
        <v>29</v>
      </c>
      <c r="K14" s="440"/>
      <c r="L14" s="440" t="s">
        <v>646</v>
      </c>
      <c r="M14" s="440"/>
      <c r="N14" s="440" t="s">
        <v>28</v>
      </c>
      <c r="O14" s="440"/>
      <c r="P14" s="440" t="s">
        <v>32</v>
      </c>
      <c r="Q14" s="440"/>
      <c r="R14" s="440" t="s">
        <v>35</v>
      </c>
      <c r="S14" s="440"/>
      <c r="T14" s="440" t="s">
        <v>645</v>
      </c>
      <c r="U14" s="440"/>
      <c r="V14" s="448" t="s">
        <v>6</v>
      </c>
      <c r="W14" s="448"/>
      <c r="X14" s="72"/>
      <c r="Y14" s="73" t="s">
        <v>15</v>
      </c>
      <c r="Z14" s="32" t="s">
        <v>16</v>
      </c>
      <c r="AA14" s="43"/>
      <c r="AB14" s="32" t="s">
        <v>42</v>
      </c>
      <c r="AC14" s="55" t="s">
        <v>21</v>
      </c>
      <c r="AD14" s="77" t="s">
        <v>2</v>
      </c>
      <c r="AE14" s="82" t="s">
        <v>23</v>
      </c>
      <c r="AF14" s="33" t="s">
        <v>17</v>
      </c>
      <c r="AH14" s="440" t="s">
        <v>27</v>
      </c>
      <c r="AI14" s="440"/>
      <c r="AJ14" s="440" t="s">
        <v>29</v>
      </c>
      <c r="AK14" s="440"/>
      <c r="AL14" s="440" t="s">
        <v>646</v>
      </c>
      <c r="AM14" s="440"/>
      <c r="AN14" s="440" t="s">
        <v>28</v>
      </c>
      <c r="AO14" s="440"/>
      <c r="AP14" s="440" t="s">
        <v>32</v>
      </c>
      <c r="AQ14" s="440"/>
      <c r="AR14" s="440" t="s">
        <v>35</v>
      </c>
      <c r="AS14" s="440"/>
      <c r="AT14" s="440" t="s">
        <v>645</v>
      </c>
      <c r="AU14" s="440"/>
      <c r="AV14" s="31"/>
      <c r="AW14" s="440" t="s">
        <v>27</v>
      </c>
      <c r="AX14" s="440"/>
      <c r="AY14" s="440" t="s">
        <v>29</v>
      </c>
      <c r="AZ14" s="440"/>
      <c r="BA14" s="440" t="s">
        <v>646</v>
      </c>
      <c r="BB14" s="440"/>
      <c r="BC14" s="440" t="s">
        <v>28</v>
      </c>
      <c r="BD14" s="440"/>
      <c r="BE14" s="440" t="s">
        <v>32</v>
      </c>
      <c r="BF14" s="440"/>
      <c r="BG14" s="440" t="s">
        <v>35</v>
      </c>
      <c r="BH14" s="440"/>
      <c r="BI14" s="440" t="s">
        <v>645</v>
      </c>
      <c r="BJ14" s="440"/>
      <c r="BK14" s="34"/>
      <c r="BL14" s="440" t="s">
        <v>27</v>
      </c>
      <c r="BM14" s="440"/>
      <c r="BN14" s="440" t="s">
        <v>29</v>
      </c>
      <c r="BO14" s="440"/>
      <c r="BP14" s="440" t="s">
        <v>646</v>
      </c>
      <c r="BQ14" s="440"/>
      <c r="BR14" s="440" t="s">
        <v>28</v>
      </c>
      <c r="BS14" s="440"/>
      <c r="BT14" s="440" t="s">
        <v>32</v>
      </c>
      <c r="BU14" s="440"/>
      <c r="BV14" s="440" t="s">
        <v>35</v>
      </c>
      <c r="BW14" s="440"/>
      <c r="BX14" s="440" t="s">
        <v>645</v>
      </c>
      <c r="BY14" s="440"/>
      <c r="BZ14" s="31"/>
      <c r="CA14" s="34"/>
      <c r="CB14" s="31"/>
      <c r="CC14" s="440" t="s">
        <v>27</v>
      </c>
      <c r="CD14" s="440"/>
      <c r="CE14" s="440" t="s">
        <v>29</v>
      </c>
      <c r="CF14" s="440"/>
      <c r="CG14" s="440" t="s">
        <v>646</v>
      </c>
      <c r="CH14" s="440"/>
      <c r="CI14" s="440" t="s">
        <v>28</v>
      </c>
      <c r="CJ14" s="440"/>
      <c r="CK14" s="440" t="s">
        <v>32</v>
      </c>
      <c r="CL14" s="440"/>
      <c r="CM14" s="440" t="s">
        <v>35</v>
      </c>
      <c r="CN14" s="440"/>
      <c r="CO14" s="440" t="s">
        <v>5216</v>
      </c>
      <c r="CP14" s="440"/>
    </row>
    <row r="15" spans="3:98" ht="16.5" thickBot="1" x14ac:dyDescent="0.3">
      <c r="C15" s="71" t="s">
        <v>0</v>
      </c>
      <c r="D15" s="71" t="s">
        <v>38</v>
      </c>
      <c r="E15" s="71" t="s">
        <v>30</v>
      </c>
      <c r="F15" s="35" t="s">
        <v>1</v>
      </c>
      <c r="G15" s="35" t="s">
        <v>3</v>
      </c>
      <c r="H15" s="36" t="s">
        <v>5</v>
      </c>
      <c r="I15" s="36" t="s">
        <v>31</v>
      </c>
      <c r="J15" s="36" t="s">
        <v>5</v>
      </c>
      <c r="K15" s="36" t="s">
        <v>31</v>
      </c>
      <c r="L15" s="36" t="s">
        <v>5</v>
      </c>
      <c r="M15" s="36" t="s">
        <v>31</v>
      </c>
      <c r="N15" s="36" t="s">
        <v>5</v>
      </c>
      <c r="O15" s="36" t="s">
        <v>31</v>
      </c>
      <c r="P15" s="36" t="s">
        <v>5</v>
      </c>
      <c r="Q15" s="36" t="s">
        <v>31</v>
      </c>
      <c r="R15" s="36" t="s">
        <v>5</v>
      </c>
      <c r="S15" s="36" t="s">
        <v>31</v>
      </c>
      <c r="T15" s="36" t="s">
        <v>5</v>
      </c>
      <c r="U15" s="36" t="s">
        <v>31</v>
      </c>
      <c r="V15" s="36" t="s">
        <v>7</v>
      </c>
      <c r="W15" s="36" t="s">
        <v>8</v>
      </c>
      <c r="X15" s="56"/>
      <c r="Y15" s="74" t="s">
        <v>18</v>
      </c>
      <c r="Z15" s="6" t="s">
        <v>19</v>
      </c>
      <c r="AA15" s="75" t="s">
        <v>20</v>
      </c>
      <c r="AB15" s="6" t="s">
        <v>43</v>
      </c>
      <c r="AC15" s="76"/>
      <c r="AD15" s="78" t="s">
        <v>22</v>
      </c>
      <c r="AE15" s="83">
        <v>0.85</v>
      </c>
      <c r="AF15" s="37" t="s">
        <v>15</v>
      </c>
      <c r="AH15" s="3" t="s">
        <v>5</v>
      </c>
      <c r="AI15" s="3" t="s">
        <v>31</v>
      </c>
      <c r="AJ15" s="3" t="s">
        <v>5</v>
      </c>
      <c r="AK15" s="3" t="s">
        <v>31</v>
      </c>
      <c r="AL15" s="3" t="s">
        <v>5</v>
      </c>
      <c r="AM15" s="3" t="s">
        <v>31</v>
      </c>
      <c r="AN15" s="3" t="s">
        <v>5</v>
      </c>
      <c r="AO15" s="3" t="s">
        <v>31</v>
      </c>
      <c r="AP15" s="3" t="s">
        <v>5</v>
      </c>
      <c r="AQ15" s="3" t="s">
        <v>31</v>
      </c>
      <c r="AR15" s="3" t="s">
        <v>5</v>
      </c>
      <c r="AS15" s="3" t="s">
        <v>31</v>
      </c>
      <c r="AT15" s="3" t="s">
        <v>5</v>
      </c>
      <c r="AU15" s="3" t="s">
        <v>31</v>
      </c>
      <c r="AV15" s="31"/>
      <c r="AW15" s="36" t="s">
        <v>5</v>
      </c>
      <c r="AX15" s="36" t="s">
        <v>31</v>
      </c>
      <c r="AY15" s="36" t="s">
        <v>5</v>
      </c>
      <c r="AZ15" s="36" t="s">
        <v>31</v>
      </c>
      <c r="BA15" s="36" t="s">
        <v>5</v>
      </c>
      <c r="BB15" s="36" t="s">
        <v>31</v>
      </c>
      <c r="BC15" s="36" t="s">
        <v>5</v>
      </c>
      <c r="BD15" s="36" t="s">
        <v>31</v>
      </c>
      <c r="BE15" s="36" t="s">
        <v>5</v>
      </c>
      <c r="BF15" s="36" t="s">
        <v>31</v>
      </c>
      <c r="BG15" s="36" t="s">
        <v>5</v>
      </c>
      <c r="BH15" s="36" t="s">
        <v>31</v>
      </c>
      <c r="BI15" s="36" t="s">
        <v>5</v>
      </c>
      <c r="BJ15" s="36" t="s">
        <v>31</v>
      </c>
      <c r="BK15" s="34"/>
      <c r="BL15" s="36" t="s">
        <v>5</v>
      </c>
      <c r="BM15" s="36" t="s">
        <v>31</v>
      </c>
      <c r="BN15" s="36" t="s">
        <v>5</v>
      </c>
      <c r="BO15" s="36" t="s">
        <v>31</v>
      </c>
      <c r="BP15" s="36" t="s">
        <v>5</v>
      </c>
      <c r="BQ15" s="36" t="s">
        <v>31</v>
      </c>
      <c r="BR15" s="36" t="s">
        <v>5</v>
      </c>
      <c r="BS15" s="36" t="s">
        <v>31</v>
      </c>
      <c r="BT15" s="36" t="s">
        <v>5</v>
      </c>
      <c r="BU15" s="36" t="s">
        <v>31</v>
      </c>
      <c r="BV15" s="36" t="s">
        <v>5</v>
      </c>
      <c r="BW15" s="36" t="s">
        <v>31</v>
      </c>
      <c r="BX15" s="36" t="s">
        <v>5</v>
      </c>
      <c r="BY15" s="36" t="s">
        <v>31</v>
      </c>
      <c r="BZ15" s="31"/>
      <c r="CA15" s="38" t="s">
        <v>14</v>
      </c>
      <c r="CB15" s="31"/>
      <c r="CC15" s="36" t="s">
        <v>5</v>
      </c>
      <c r="CD15" s="36" t="s">
        <v>31</v>
      </c>
      <c r="CE15" s="36" t="s">
        <v>5</v>
      </c>
      <c r="CF15" s="36" t="s">
        <v>31</v>
      </c>
      <c r="CG15" s="36" t="s">
        <v>5</v>
      </c>
      <c r="CH15" s="36" t="s">
        <v>31</v>
      </c>
      <c r="CI15" s="36" t="s">
        <v>5</v>
      </c>
      <c r="CJ15" s="36" t="s">
        <v>31</v>
      </c>
      <c r="CK15" s="36" t="s">
        <v>5</v>
      </c>
      <c r="CL15" s="36" t="s">
        <v>31</v>
      </c>
      <c r="CM15" s="36" t="s">
        <v>5</v>
      </c>
      <c r="CN15" s="36" t="s">
        <v>31</v>
      </c>
      <c r="CO15" s="36" t="s">
        <v>5</v>
      </c>
      <c r="CP15" s="36" t="s">
        <v>31</v>
      </c>
    </row>
    <row r="16" spans="3:98" x14ac:dyDescent="0.25">
      <c r="C16" s="266"/>
      <c r="D16" s="24" t="s">
        <v>39</v>
      </c>
      <c r="E16" s="24"/>
      <c r="F16" s="24"/>
      <c r="G16" s="24"/>
      <c r="H16" s="237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38"/>
      <c r="X16" s="25"/>
      <c r="Y16" s="237"/>
      <c r="Z16" s="24"/>
      <c r="AA16" s="26" t="e">
        <f t="shared" ref="AA16:AA35" si="18">Y16/Z16</f>
        <v>#DIV/0!</v>
      </c>
      <c r="AB16" s="24"/>
      <c r="AC16" s="190"/>
      <c r="AD16" s="239" t="e">
        <f t="shared" ref="AD16" si="19">AA16*AC16</f>
        <v>#DIV/0!</v>
      </c>
      <c r="AE16" s="190" t="e">
        <f t="shared" ref="AE16:AE35" si="20">AD16/AE$15</f>
        <v>#DIV/0!</v>
      </c>
      <c r="AF16" s="24"/>
      <c r="AG16" s="190" t="e">
        <f>AE16+AE17</f>
        <v>#DIV/0!</v>
      </c>
      <c r="AH16" s="240" t="e">
        <f t="shared" ref="AH16" si="21">H16/$G16</f>
        <v>#DIV/0!</v>
      </c>
      <c r="AI16" s="240" t="e">
        <f t="shared" ref="AI16" si="22">I16/$G16</f>
        <v>#DIV/0!</v>
      </c>
      <c r="AJ16" s="240" t="e">
        <f t="shared" ref="AJ16" si="23">J16/$G16</f>
        <v>#DIV/0!</v>
      </c>
      <c r="AK16" s="240" t="e">
        <f t="shared" ref="AK16" si="24">K16/$G16</f>
        <v>#DIV/0!</v>
      </c>
      <c r="AL16" s="240" t="e">
        <f t="shared" ref="AL16" si="25">L16/$G16</f>
        <v>#DIV/0!</v>
      </c>
      <c r="AM16" s="240" t="e">
        <f t="shared" ref="AM16" si="26">M16/$G16</f>
        <v>#DIV/0!</v>
      </c>
      <c r="AN16" s="240" t="e">
        <f t="shared" ref="AN16" si="27">N16/$G16</f>
        <v>#DIV/0!</v>
      </c>
      <c r="AO16" s="240" t="e">
        <f t="shared" ref="AO16" si="28">O16/$G16</f>
        <v>#DIV/0!</v>
      </c>
      <c r="AP16" s="240" t="e">
        <f t="shared" ref="AP16" si="29">P16/$G16</f>
        <v>#DIV/0!</v>
      </c>
      <c r="AQ16" s="240" t="e">
        <f t="shared" ref="AQ16" si="30">Q16/$G16</f>
        <v>#DIV/0!</v>
      </c>
      <c r="AR16" s="240" t="e">
        <f t="shared" ref="AR16" si="31">R16/$G16</f>
        <v>#DIV/0!</v>
      </c>
      <c r="AS16" s="240" t="e">
        <f t="shared" ref="AS16" si="32">S16/$G16</f>
        <v>#DIV/0!</v>
      </c>
      <c r="AT16" s="240" t="e">
        <f t="shared" ref="AT16" si="33">T16/$G16</f>
        <v>#DIV/0!</v>
      </c>
      <c r="AU16" s="240" t="e">
        <f t="shared" ref="AU16" si="34">U16/$G16</f>
        <v>#DIV/0!</v>
      </c>
      <c r="AV16" s="238"/>
      <c r="AW16" s="190" t="e">
        <f t="shared" ref="AW16:AW35" si="35">AH16*$AE16</f>
        <v>#DIV/0!</v>
      </c>
      <c r="AX16" s="190" t="e">
        <f t="shared" ref="AX16:AX35" si="36">AI16*$AE16</f>
        <v>#DIV/0!</v>
      </c>
      <c r="AY16" s="190" t="e">
        <f t="shared" ref="AY16:AY35" si="37">AJ16*$AE16</f>
        <v>#DIV/0!</v>
      </c>
      <c r="AZ16" s="190" t="e">
        <f t="shared" ref="AZ16:AZ35" si="38">AK16*$AE16</f>
        <v>#DIV/0!</v>
      </c>
      <c r="BA16" s="190" t="e">
        <f t="shared" ref="BA16:BA35" si="39">AL16*$AE16</f>
        <v>#DIV/0!</v>
      </c>
      <c r="BB16" s="190" t="e">
        <f t="shared" ref="BB16:BB35" si="40">AM16*$AE16</f>
        <v>#DIV/0!</v>
      </c>
      <c r="BC16" s="190" t="e">
        <f t="shared" ref="BC16:BC35" si="41">AN16*$AE16</f>
        <v>#DIV/0!</v>
      </c>
      <c r="BD16" s="190" t="e">
        <f t="shared" ref="BD16:BD35" si="42">AO16*$AE16</f>
        <v>#DIV/0!</v>
      </c>
      <c r="BE16" s="190" t="e">
        <f t="shared" ref="BE16:BE35" si="43">AP16*$AE16</f>
        <v>#DIV/0!</v>
      </c>
      <c r="BF16" s="190" t="e">
        <f t="shared" ref="BF16:BF35" si="44">AQ16*$AE16</f>
        <v>#DIV/0!</v>
      </c>
      <c r="BG16" s="190" t="e">
        <f t="shared" ref="BG16:BG35" si="45">AR16*$AE16</f>
        <v>#DIV/0!</v>
      </c>
      <c r="BH16" s="190" t="e">
        <f t="shared" ref="BH16:BH35" si="46">AS16*$AE16</f>
        <v>#DIV/0!</v>
      </c>
      <c r="BI16" s="190" t="e">
        <f t="shared" ref="BI16:BI35" si="47">AT16*$AE16</f>
        <v>#DIV/0!</v>
      </c>
      <c r="BJ16" s="190" t="e">
        <f t="shared" ref="BJ16:BJ35" si="48">AU16*$AE16</f>
        <v>#DIV/0!</v>
      </c>
      <c r="BK16" s="190"/>
      <c r="BL16" s="190" t="e">
        <f>AW16+AW17</f>
        <v>#DIV/0!</v>
      </c>
      <c r="BM16" s="190" t="e">
        <f t="shared" ref="BM16" si="49">AX16+AX17</f>
        <v>#DIV/0!</v>
      </c>
      <c r="BN16" s="190" t="e">
        <f t="shared" ref="BN16" si="50">AY16+AY17</f>
        <v>#DIV/0!</v>
      </c>
      <c r="BO16" s="190" t="e">
        <f t="shared" ref="BO16" si="51">AZ16+AZ17</f>
        <v>#DIV/0!</v>
      </c>
      <c r="BP16" s="190" t="e">
        <f t="shared" ref="BP16" si="52">BA16+BA17</f>
        <v>#DIV/0!</v>
      </c>
      <c r="BQ16" s="190" t="e">
        <f t="shared" ref="BQ16" si="53">BB16+BB17</f>
        <v>#DIV/0!</v>
      </c>
      <c r="BR16" s="190" t="e">
        <f t="shared" ref="BR16" si="54">BC16+BC17</f>
        <v>#DIV/0!</v>
      </c>
      <c r="BS16" s="190" t="e">
        <f t="shared" ref="BS16" si="55">BD16+BD17</f>
        <v>#DIV/0!</v>
      </c>
      <c r="BT16" s="190" t="e">
        <f t="shared" ref="BT16" si="56">BE16+BE17</f>
        <v>#DIV/0!</v>
      </c>
      <c r="BU16" s="190" t="e">
        <f t="shared" ref="BU16" si="57">BF16+BF17</f>
        <v>#DIV/0!</v>
      </c>
      <c r="BV16" s="190" t="e">
        <f t="shared" ref="BV16" si="58">BG16+BG17</f>
        <v>#DIV/0!</v>
      </c>
      <c r="BW16" s="190" t="e">
        <f t="shared" ref="BW16" si="59">BH16+BH17</f>
        <v>#DIV/0!</v>
      </c>
      <c r="BX16" s="190" t="e">
        <f t="shared" ref="BX16" si="60">BI16+BI17</f>
        <v>#DIV/0!</v>
      </c>
      <c r="BY16" s="190"/>
      <c r="BZ16" s="24"/>
      <c r="CA16" s="241">
        <v>7</v>
      </c>
      <c r="CB16" s="25"/>
      <c r="CC16" s="242" t="e">
        <f t="shared" ref="CC16" si="61">AVERAGE(AW16:AW24)*$CA16</f>
        <v>#DIV/0!</v>
      </c>
      <c r="CD16" s="243" t="e">
        <f t="shared" ref="CD16" si="62">AVERAGE(AX16:AX24)*$CA16</f>
        <v>#DIV/0!</v>
      </c>
      <c r="CE16" s="242" t="e">
        <f t="shared" ref="CE16" si="63">AVERAGE(AY16:AY24)*$CA16</f>
        <v>#DIV/0!</v>
      </c>
      <c r="CF16" s="243" t="e">
        <f t="shared" ref="CF16" si="64">AVERAGE(AZ16:AZ24)*$CA16</f>
        <v>#DIV/0!</v>
      </c>
      <c r="CG16" s="242" t="e">
        <f t="shared" ref="CG16" si="65">AVERAGE(BA16:BA24)*$CA16</f>
        <v>#DIV/0!</v>
      </c>
      <c r="CH16" s="243" t="e">
        <f t="shared" ref="CH16" si="66">AVERAGE(BB16:BB24)*$CA16</f>
        <v>#DIV/0!</v>
      </c>
      <c r="CI16" s="242" t="e">
        <f t="shared" ref="CI16" si="67">AVERAGE(BC16:BC24)*$CA16</f>
        <v>#DIV/0!</v>
      </c>
      <c r="CJ16" s="243" t="e">
        <f t="shared" ref="CJ16" si="68">AVERAGE(BD16:BD24)*$CA16</f>
        <v>#DIV/0!</v>
      </c>
      <c r="CK16" s="242" t="e">
        <f t="shared" ref="CK16" si="69">AVERAGE(BE16:BE24)*$CA16</f>
        <v>#DIV/0!</v>
      </c>
      <c r="CL16" s="243" t="e">
        <f t="shared" ref="CL16" si="70">AVERAGE(BF16:BF24)*$CA16</f>
        <v>#DIV/0!</v>
      </c>
      <c r="CM16" s="242" t="e">
        <f t="shared" ref="CM16" si="71">AVERAGE(BG16:BG24)*$CA16</f>
        <v>#DIV/0!</v>
      </c>
      <c r="CN16" s="243" t="e">
        <f t="shared" ref="CN16" si="72">AVERAGE(BH16:BH24)*$CA16</f>
        <v>#DIV/0!</v>
      </c>
      <c r="CO16" s="242" t="e">
        <f t="shared" ref="CO16" si="73">AVERAGE(BI16:BI24)*$CA16</f>
        <v>#DIV/0!</v>
      </c>
      <c r="CP16" s="244" t="e">
        <f t="shared" ref="CP16" si="74">AVERAGE(BJ16:BJ24)*$CA16</f>
        <v>#DIV/0!</v>
      </c>
    </row>
    <row r="17" spans="3:94" x14ac:dyDescent="0.25">
      <c r="C17" s="267"/>
      <c r="D17" s="70"/>
      <c r="E17" s="67"/>
      <c r="F17" s="67"/>
      <c r="G17" s="67"/>
      <c r="H17" s="6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66"/>
      <c r="Y17" s="65"/>
      <c r="Z17" s="67"/>
      <c r="AA17" s="246" t="e">
        <f t="shared" si="18"/>
        <v>#DIV/0!</v>
      </c>
      <c r="AB17" s="67"/>
      <c r="AC17" s="247"/>
      <c r="AD17" s="80" t="e">
        <f>AA17*AC17</f>
        <v>#DIV/0!</v>
      </c>
      <c r="AE17" s="247" t="e">
        <f t="shared" si="20"/>
        <v>#DIV/0!</v>
      </c>
      <c r="AF17" s="67"/>
      <c r="AH17" s="248" t="e">
        <f t="shared" ref="AH17:AU17" si="75">AH16</f>
        <v>#DIV/0!</v>
      </c>
      <c r="AI17" s="248" t="e">
        <f t="shared" si="75"/>
        <v>#DIV/0!</v>
      </c>
      <c r="AJ17" s="248" t="e">
        <f t="shared" si="75"/>
        <v>#DIV/0!</v>
      </c>
      <c r="AK17" s="248" t="e">
        <f t="shared" si="75"/>
        <v>#DIV/0!</v>
      </c>
      <c r="AL17" s="248" t="e">
        <f t="shared" si="75"/>
        <v>#DIV/0!</v>
      </c>
      <c r="AM17" s="248" t="e">
        <f t="shared" si="75"/>
        <v>#DIV/0!</v>
      </c>
      <c r="AN17" s="248" t="e">
        <f t="shared" si="75"/>
        <v>#DIV/0!</v>
      </c>
      <c r="AO17" s="248" t="e">
        <f t="shared" si="75"/>
        <v>#DIV/0!</v>
      </c>
      <c r="AP17" s="248" t="e">
        <f t="shared" si="75"/>
        <v>#DIV/0!</v>
      </c>
      <c r="AQ17" s="248" t="e">
        <f t="shared" si="75"/>
        <v>#DIV/0!</v>
      </c>
      <c r="AR17" s="248" t="e">
        <f t="shared" si="75"/>
        <v>#DIV/0!</v>
      </c>
      <c r="AS17" s="248" t="e">
        <f t="shared" si="75"/>
        <v>#DIV/0!</v>
      </c>
      <c r="AT17" s="248" t="e">
        <f t="shared" si="75"/>
        <v>#DIV/0!</v>
      </c>
      <c r="AU17" s="248" t="e">
        <f t="shared" si="75"/>
        <v>#DIV/0!</v>
      </c>
      <c r="AV17" s="46"/>
      <c r="AW17" s="44" t="e">
        <f t="shared" si="35"/>
        <v>#DIV/0!</v>
      </c>
      <c r="AX17" s="44" t="e">
        <f t="shared" si="36"/>
        <v>#DIV/0!</v>
      </c>
      <c r="AY17" s="44" t="e">
        <f t="shared" si="37"/>
        <v>#DIV/0!</v>
      </c>
      <c r="AZ17" s="44" t="e">
        <f t="shared" si="38"/>
        <v>#DIV/0!</v>
      </c>
      <c r="BA17" s="44" t="e">
        <f t="shared" si="39"/>
        <v>#DIV/0!</v>
      </c>
      <c r="BB17" s="44" t="e">
        <f t="shared" si="40"/>
        <v>#DIV/0!</v>
      </c>
      <c r="BC17" s="44" t="e">
        <f t="shared" si="41"/>
        <v>#DIV/0!</v>
      </c>
      <c r="BD17" s="44" t="e">
        <f t="shared" si="42"/>
        <v>#DIV/0!</v>
      </c>
      <c r="BE17" s="44" t="e">
        <f t="shared" si="43"/>
        <v>#DIV/0!</v>
      </c>
      <c r="BF17" s="44" t="e">
        <f t="shared" si="44"/>
        <v>#DIV/0!</v>
      </c>
      <c r="BG17" s="44" t="e">
        <f t="shared" si="45"/>
        <v>#DIV/0!</v>
      </c>
      <c r="BH17" s="44" t="e">
        <f t="shared" si="46"/>
        <v>#DIV/0!</v>
      </c>
      <c r="BI17" s="44" t="e">
        <f t="shared" si="47"/>
        <v>#DIV/0!</v>
      </c>
      <c r="BJ17" s="44" t="e">
        <f t="shared" si="48"/>
        <v>#DIV/0!</v>
      </c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31"/>
      <c r="CA17" s="34"/>
      <c r="CB17" s="45"/>
      <c r="CC17" s="49"/>
      <c r="CD17" s="99"/>
      <c r="CE17" s="49"/>
      <c r="CF17" s="99"/>
      <c r="CG17" s="49"/>
      <c r="CH17" s="99"/>
      <c r="CI17" s="49"/>
      <c r="CJ17" s="99"/>
      <c r="CK17" s="49"/>
      <c r="CL17" s="99"/>
      <c r="CM17" s="49"/>
      <c r="CN17" s="99"/>
      <c r="CO17" s="49"/>
      <c r="CP17" s="249"/>
    </row>
    <row r="18" spans="3:94" x14ac:dyDescent="0.25">
      <c r="C18" s="50"/>
      <c r="D18" s="31" t="s">
        <v>39</v>
      </c>
      <c r="E18" s="31"/>
      <c r="F18" s="31"/>
      <c r="G18" s="31"/>
      <c r="H18" s="45"/>
      <c r="W18" s="46"/>
      <c r="Y18" s="45"/>
      <c r="Z18" s="31"/>
      <c r="AA18" s="250" t="e">
        <f t="shared" si="18"/>
        <v>#DIV/0!</v>
      </c>
      <c r="AB18" s="31"/>
      <c r="AC18" s="20"/>
      <c r="AD18" s="81" t="e">
        <f t="shared" ref="AD18" si="76">AA18*AC18</f>
        <v>#DIV/0!</v>
      </c>
      <c r="AE18" s="20" t="e">
        <f t="shared" si="20"/>
        <v>#DIV/0!</v>
      </c>
      <c r="AF18" s="31"/>
      <c r="AG18" s="20" t="e">
        <f>AE18+AE19</f>
        <v>#DIV/0!</v>
      </c>
      <c r="AH18" s="48" t="e">
        <f t="shared" ref="AH18" si="77">H18/$G18</f>
        <v>#DIV/0!</v>
      </c>
      <c r="AI18" s="48" t="e">
        <f t="shared" ref="AI18" si="78">I18/$G18</f>
        <v>#DIV/0!</v>
      </c>
      <c r="AJ18" s="48" t="e">
        <f t="shared" ref="AJ18" si="79">J18/$G18</f>
        <v>#DIV/0!</v>
      </c>
      <c r="AK18" s="48" t="e">
        <f t="shared" ref="AK18" si="80">K18/$G18</f>
        <v>#DIV/0!</v>
      </c>
      <c r="AL18" s="48" t="e">
        <f t="shared" ref="AL18" si="81">L18/$G18</f>
        <v>#DIV/0!</v>
      </c>
      <c r="AM18" s="48" t="e">
        <f t="shared" ref="AM18" si="82">M18/$G18</f>
        <v>#DIV/0!</v>
      </c>
      <c r="AN18" s="48" t="e">
        <f t="shared" ref="AN18" si="83">N18/$G18</f>
        <v>#DIV/0!</v>
      </c>
      <c r="AO18" s="48" t="e">
        <f t="shared" ref="AO18" si="84">O18/$G18</f>
        <v>#DIV/0!</v>
      </c>
      <c r="AP18" s="48" t="e">
        <f t="shared" ref="AP18" si="85">P18/$G18</f>
        <v>#DIV/0!</v>
      </c>
      <c r="AQ18" s="48" t="e">
        <f t="shared" ref="AQ18" si="86">Q18/$G18</f>
        <v>#DIV/0!</v>
      </c>
      <c r="AR18" s="48" t="e">
        <f t="shared" ref="AR18" si="87">R18/$G18</f>
        <v>#DIV/0!</v>
      </c>
      <c r="AS18" s="48" t="e">
        <f t="shared" ref="AS18" si="88">S18/$G18</f>
        <v>#DIV/0!</v>
      </c>
      <c r="AT18" s="48" t="e">
        <f t="shared" ref="AT18" si="89">T18/$G18</f>
        <v>#DIV/0!</v>
      </c>
      <c r="AU18" s="48" t="e">
        <f t="shared" ref="AU18" si="90">U18/$G18</f>
        <v>#DIV/0!</v>
      </c>
      <c r="AV18" s="46"/>
      <c r="AW18" s="44" t="e">
        <f t="shared" si="35"/>
        <v>#DIV/0!</v>
      </c>
      <c r="AX18" s="44" t="e">
        <f t="shared" si="36"/>
        <v>#DIV/0!</v>
      </c>
      <c r="AY18" s="44" t="e">
        <f t="shared" si="37"/>
        <v>#DIV/0!</v>
      </c>
      <c r="AZ18" s="44" t="e">
        <f t="shared" si="38"/>
        <v>#DIV/0!</v>
      </c>
      <c r="BA18" s="44" t="e">
        <f t="shared" si="39"/>
        <v>#DIV/0!</v>
      </c>
      <c r="BB18" s="44" t="e">
        <f t="shared" si="40"/>
        <v>#DIV/0!</v>
      </c>
      <c r="BC18" s="44" t="e">
        <f t="shared" si="41"/>
        <v>#DIV/0!</v>
      </c>
      <c r="BD18" s="44" t="e">
        <f t="shared" si="42"/>
        <v>#DIV/0!</v>
      </c>
      <c r="BE18" s="44" t="e">
        <f t="shared" si="43"/>
        <v>#DIV/0!</v>
      </c>
      <c r="BF18" s="44" t="e">
        <f t="shared" si="44"/>
        <v>#DIV/0!</v>
      </c>
      <c r="BG18" s="44" t="e">
        <f t="shared" si="45"/>
        <v>#DIV/0!</v>
      </c>
      <c r="BH18" s="44" t="e">
        <f t="shared" si="46"/>
        <v>#DIV/0!</v>
      </c>
      <c r="BI18" s="44" t="e">
        <f t="shared" si="47"/>
        <v>#DIV/0!</v>
      </c>
      <c r="BJ18" s="44" t="e">
        <f t="shared" si="48"/>
        <v>#DIV/0!</v>
      </c>
      <c r="BK18" s="20"/>
      <c r="BL18" s="20" t="e">
        <f>AW18+AW19</f>
        <v>#DIV/0!</v>
      </c>
      <c r="BM18" s="20" t="e">
        <f t="shared" ref="BM18" si="91">AX18+AX19</f>
        <v>#DIV/0!</v>
      </c>
      <c r="BN18" s="20" t="e">
        <f t="shared" ref="BN18" si="92">AY18+AY19</f>
        <v>#DIV/0!</v>
      </c>
      <c r="BO18" s="20" t="e">
        <f t="shared" ref="BO18" si="93">AZ18+AZ19</f>
        <v>#DIV/0!</v>
      </c>
      <c r="BP18" s="20" t="e">
        <f t="shared" ref="BP18" si="94">BA18+BA19</f>
        <v>#DIV/0!</v>
      </c>
      <c r="BQ18" s="20" t="e">
        <f t="shared" ref="BQ18" si="95">BB18+BB19</f>
        <v>#DIV/0!</v>
      </c>
      <c r="BR18" s="20" t="e">
        <f t="shared" ref="BR18" si="96">BC18+BC19</f>
        <v>#DIV/0!</v>
      </c>
      <c r="BS18" s="20" t="e">
        <f t="shared" ref="BS18" si="97">BD18+BD19</f>
        <v>#DIV/0!</v>
      </c>
      <c r="BT18" s="20" t="e">
        <f t="shared" ref="BT18" si="98">BE18+BE19</f>
        <v>#DIV/0!</v>
      </c>
      <c r="BU18" s="20" t="e">
        <f t="shared" ref="BU18" si="99">BF18+BF19</f>
        <v>#DIV/0!</v>
      </c>
      <c r="BV18" s="20" t="e">
        <f t="shared" ref="BV18" si="100">BG18+BG19</f>
        <v>#DIV/0!</v>
      </c>
      <c r="BW18" s="20" t="e">
        <f t="shared" ref="BW18" si="101">BH18+BH19</f>
        <v>#DIV/0!</v>
      </c>
      <c r="BX18" s="20" t="e">
        <f t="shared" ref="BX18" si="102">BI18+BI19</f>
        <v>#DIV/0!</v>
      </c>
      <c r="BY18" s="20"/>
      <c r="BZ18" s="31"/>
      <c r="CA18" s="34"/>
      <c r="CB18" s="45"/>
      <c r="CC18" s="49"/>
      <c r="CD18" s="99"/>
      <c r="CE18" s="49"/>
      <c r="CF18" s="99"/>
      <c r="CG18" s="49"/>
      <c r="CH18" s="99"/>
      <c r="CI18" s="49"/>
      <c r="CJ18" s="99"/>
      <c r="CK18" s="49"/>
      <c r="CL18" s="99"/>
      <c r="CM18" s="49"/>
      <c r="CN18" s="99"/>
      <c r="CO18" s="49"/>
      <c r="CP18" s="249"/>
    </row>
    <row r="19" spans="3:94" x14ac:dyDescent="0.25">
      <c r="C19" s="267"/>
      <c r="D19" s="70"/>
      <c r="E19" s="67"/>
      <c r="F19" s="67"/>
      <c r="G19" s="67"/>
      <c r="H19" s="6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66"/>
      <c r="Y19" s="65"/>
      <c r="Z19" s="67"/>
      <c r="AA19" s="246" t="e">
        <f t="shared" si="18"/>
        <v>#DIV/0!</v>
      </c>
      <c r="AB19" s="67"/>
      <c r="AC19" s="247"/>
      <c r="AD19" s="80" t="e">
        <f>AA19*AC19</f>
        <v>#DIV/0!</v>
      </c>
      <c r="AE19" s="247" t="e">
        <f t="shared" si="20"/>
        <v>#DIV/0!</v>
      </c>
      <c r="AF19" s="67"/>
      <c r="AH19" s="248" t="e">
        <f t="shared" ref="AH19:AU19" si="103">AH18</f>
        <v>#DIV/0!</v>
      </c>
      <c r="AI19" s="248" t="e">
        <f t="shared" si="103"/>
        <v>#DIV/0!</v>
      </c>
      <c r="AJ19" s="248" t="e">
        <f t="shared" si="103"/>
        <v>#DIV/0!</v>
      </c>
      <c r="AK19" s="248" t="e">
        <f t="shared" si="103"/>
        <v>#DIV/0!</v>
      </c>
      <c r="AL19" s="248" t="e">
        <f t="shared" si="103"/>
        <v>#DIV/0!</v>
      </c>
      <c r="AM19" s="248" t="e">
        <f t="shared" si="103"/>
        <v>#DIV/0!</v>
      </c>
      <c r="AN19" s="248" t="e">
        <f t="shared" si="103"/>
        <v>#DIV/0!</v>
      </c>
      <c r="AO19" s="248" t="e">
        <f t="shared" si="103"/>
        <v>#DIV/0!</v>
      </c>
      <c r="AP19" s="248" t="e">
        <f t="shared" si="103"/>
        <v>#DIV/0!</v>
      </c>
      <c r="AQ19" s="248" t="e">
        <f t="shared" si="103"/>
        <v>#DIV/0!</v>
      </c>
      <c r="AR19" s="248" t="e">
        <f t="shared" si="103"/>
        <v>#DIV/0!</v>
      </c>
      <c r="AS19" s="248" t="e">
        <f t="shared" si="103"/>
        <v>#DIV/0!</v>
      </c>
      <c r="AT19" s="248" t="e">
        <f t="shared" si="103"/>
        <v>#DIV/0!</v>
      </c>
      <c r="AU19" s="248" t="e">
        <f t="shared" si="103"/>
        <v>#DIV/0!</v>
      </c>
      <c r="AV19" s="46"/>
      <c r="AW19" s="44" t="e">
        <f t="shared" si="35"/>
        <v>#DIV/0!</v>
      </c>
      <c r="AX19" s="44" t="e">
        <f t="shared" si="36"/>
        <v>#DIV/0!</v>
      </c>
      <c r="AY19" s="44" t="e">
        <f t="shared" si="37"/>
        <v>#DIV/0!</v>
      </c>
      <c r="AZ19" s="44" t="e">
        <f t="shared" si="38"/>
        <v>#DIV/0!</v>
      </c>
      <c r="BA19" s="44" t="e">
        <f t="shared" si="39"/>
        <v>#DIV/0!</v>
      </c>
      <c r="BB19" s="44" t="e">
        <f t="shared" si="40"/>
        <v>#DIV/0!</v>
      </c>
      <c r="BC19" s="44" t="e">
        <f t="shared" si="41"/>
        <v>#DIV/0!</v>
      </c>
      <c r="BD19" s="44" t="e">
        <f t="shared" si="42"/>
        <v>#DIV/0!</v>
      </c>
      <c r="BE19" s="44" t="e">
        <f t="shared" si="43"/>
        <v>#DIV/0!</v>
      </c>
      <c r="BF19" s="44" t="e">
        <f t="shared" si="44"/>
        <v>#DIV/0!</v>
      </c>
      <c r="BG19" s="44" t="e">
        <f t="shared" si="45"/>
        <v>#DIV/0!</v>
      </c>
      <c r="BH19" s="44" t="e">
        <f t="shared" si="46"/>
        <v>#DIV/0!</v>
      </c>
      <c r="BI19" s="44" t="e">
        <f t="shared" si="47"/>
        <v>#DIV/0!</v>
      </c>
      <c r="BJ19" s="44" t="e">
        <f t="shared" si="48"/>
        <v>#DIV/0!</v>
      </c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31"/>
      <c r="CA19" s="34"/>
      <c r="CB19" s="45"/>
      <c r="CC19" s="49"/>
      <c r="CD19" s="99"/>
      <c r="CE19" s="49"/>
      <c r="CF19" s="99"/>
      <c r="CG19" s="49"/>
      <c r="CH19" s="99"/>
      <c r="CI19" s="49"/>
      <c r="CJ19" s="99"/>
      <c r="CK19" s="49"/>
      <c r="CL19" s="99"/>
      <c r="CM19" s="49"/>
      <c r="CN19" s="99"/>
      <c r="CO19" s="49"/>
      <c r="CP19" s="249"/>
    </row>
    <row r="20" spans="3:94" x14ac:dyDescent="0.25">
      <c r="C20" s="50"/>
      <c r="D20" s="31" t="s">
        <v>39</v>
      </c>
      <c r="E20" s="31"/>
      <c r="F20" s="31"/>
      <c r="G20" s="31"/>
      <c r="H20" s="45"/>
      <c r="W20" s="46"/>
      <c r="Y20" s="45"/>
      <c r="Z20" s="31"/>
      <c r="AA20" s="250" t="e">
        <f t="shared" si="18"/>
        <v>#DIV/0!</v>
      </c>
      <c r="AB20" s="31"/>
      <c r="AC20" s="20"/>
      <c r="AD20" s="81" t="e">
        <f t="shared" ref="AD20" si="104">AA20*AC20</f>
        <v>#DIV/0!</v>
      </c>
      <c r="AE20" s="20" t="e">
        <f t="shared" si="20"/>
        <v>#DIV/0!</v>
      </c>
      <c r="AF20" s="31"/>
      <c r="AG20" s="20" t="e">
        <f>AE20+AE21</f>
        <v>#DIV/0!</v>
      </c>
      <c r="AH20" s="48" t="e">
        <f t="shared" ref="AH20" si="105">H20/$G20</f>
        <v>#DIV/0!</v>
      </c>
      <c r="AI20" s="48" t="e">
        <f t="shared" ref="AI20" si="106">I20/$G20</f>
        <v>#DIV/0!</v>
      </c>
      <c r="AJ20" s="48" t="e">
        <f t="shared" ref="AJ20" si="107">J20/$G20</f>
        <v>#DIV/0!</v>
      </c>
      <c r="AK20" s="48" t="e">
        <f t="shared" ref="AK20" si="108">K20/$G20</f>
        <v>#DIV/0!</v>
      </c>
      <c r="AL20" s="48" t="e">
        <f t="shared" ref="AL20" si="109">L20/$G20</f>
        <v>#DIV/0!</v>
      </c>
      <c r="AM20" s="48" t="e">
        <f t="shared" ref="AM20" si="110">M20/$G20</f>
        <v>#DIV/0!</v>
      </c>
      <c r="AN20" s="48" t="e">
        <f t="shared" ref="AN20" si="111">N20/$G20</f>
        <v>#DIV/0!</v>
      </c>
      <c r="AO20" s="48" t="e">
        <f t="shared" ref="AO20" si="112">O20/$G20</f>
        <v>#DIV/0!</v>
      </c>
      <c r="AP20" s="48" t="e">
        <f t="shared" ref="AP20" si="113">P20/$G20</f>
        <v>#DIV/0!</v>
      </c>
      <c r="AQ20" s="48" t="e">
        <f t="shared" ref="AQ20" si="114">Q20/$G20</f>
        <v>#DIV/0!</v>
      </c>
      <c r="AR20" s="48" t="e">
        <f t="shared" ref="AR20" si="115">R20/$G20</f>
        <v>#DIV/0!</v>
      </c>
      <c r="AS20" s="48" t="e">
        <f t="shared" ref="AS20" si="116">S20/$G20</f>
        <v>#DIV/0!</v>
      </c>
      <c r="AT20" s="48" t="e">
        <f t="shared" ref="AT20" si="117">T20/$G20</f>
        <v>#DIV/0!</v>
      </c>
      <c r="AU20" s="48" t="e">
        <f t="shared" ref="AU20" si="118">U20/$G20</f>
        <v>#DIV/0!</v>
      </c>
      <c r="AV20" s="46"/>
      <c r="AW20" s="44" t="e">
        <f t="shared" si="35"/>
        <v>#DIV/0!</v>
      </c>
      <c r="AX20" s="44" t="e">
        <f t="shared" si="36"/>
        <v>#DIV/0!</v>
      </c>
      <c r="AY20" s="44" t="e">
        <f t="shared" si="37"/>
        <v>#DIV/0!</v>
      </c>
      <c r="AZ20" s="44" t="e">
        <f t="shared" si="38"/>
        <v>#DIV/0!</v>
      </c>
      <c r="BA20" s="44" t="e">
        <f t="shared" si="39"/>
        <v>#DIV/0!</v>
      </c>
      <c r="BB20" s="44" t="e">
        <f t="shared" si="40"/>
        <v>#DIV/0!</v>
      </c>
      <c r="BC20" s="44" t="e">
        <f t="shared" si="41"/>
        <v>#DIV/0!</v>
      </c>
      <c r="BD20" s="44" t="e">
        <f t="shared" si="42"/>
        <v>#DIV/0!</v>
      </c>
      <c r="BE20" s="44" t="e">
        <f t="shared" si="43"/>
        <v>#DIV/0!</v>
      </c>
      <c r="BF20" s="44" t="e">
        <f t="shared" si="44"/>
        <v>#DIV/0!</v>
      </c>
      <c r="BG20" s="44" t="e">
        <f t="shared" si="45"/>
        <v>#DIV/0!</v>
      </c>
      <c r="BH20" s="44" t="e">
        <f t="shared" si="46"/>
        <v>#DIV/0!</v>
      </c>
      <c r="BI20" s="44" t="e">
        <f t="shared" si="47"/>
        <v>#DIV/0!</v>
      </c>
      <c r="BJ20" s="44" t="e">
        <f t="shared" si="48"/>
        <v>#DIV/0!</v>
      </c>
      <c r="BK20" s="20"/>
      <c r="BL20" s="20" t="e">
        <f>AW20+AW21</f>
        <v>#DIV/0!</v>
      </c>
      <c r="BM20" s="20" t="e">
        <f t="shared" ref="BM20" si="119">AX20+AX21</f>
        <v>#DIV/0!</v>
      </c>
      <c r="BN20" s="20" t="e">
        <f t="shared" ref="BN20" si="120">AY20+AY21</f>
        <v>#DIV/0!</v>
      </c>
      <c r="BO20" s="20" t="e">
        <f t="shared" ref="BO20" si="121">AZ20+AZ21</f>
        <v>#DIV/0!</v>
      </c>
      <c r="BP20" s="20" t="e">
        <f t="shared" ref="BP20" si="122">BA20+BA21</f>
        <v>#DIV/0!</v>
      </c>
      <c r="BQ20" s="20" t="e">
        <f t="shared" ref="BQ20" si="123">BB20+BB21</f>
        <v>#DIV/0!</v>
      </c>
      <c r="BR20" s="20" t="e">
        <f t="shared" ref="BR20" si="124">BC20+BC21</f>
        <v>#DIV/0!</v>
      </c>
      <c r="BS20" s="20" t="e">
        <f t="shared" ref="BS20" si="125">BD20+BD21</f>
        <v>#DIV/0!</v>
      </c>
      <c r="BT20" s="20" t="e">
        <f t="shared" ref="BT20" si="126">BE20+BE21</f>
        <v>#DIV/0!</v>
      </c>
      <c r="BU20" s="20" t="e">
        <f t="shared" ref="BU20" si="127">BF20+BF21</f>
        <v>#DIV/0!</v>
      </c>
      <c r="BV20" s="20" t="e">
        <f t="shared" ref="BV20" si="128">BG20+BG21</f>
        <v>#DIV/0!</v>
      </c>
      <c r="BW20" s="20" t="e">
        <f t="shared" ref="BW20" si="129">BH20+BH21</f>
        <v>#DIV/0!</v>
      </c>
      <c r="BX20" s="20" t="e">
        <f t="shared" ref="BX20" si="130">BI20+BI21</f>
        <v>#DIV/0!</v>
      </c>
      <c r="BY20" s="20"/>
      <c r="BZ20" s="31"/>
      <c r="CA20" s="34"/>
      <c r="CB20" s="45"/>
      <c r="CC20" s="49"/>
      <c r="CD20" s="99"/>
      <c r="CE20" s="49"/>
      <c r="CF20" s="99"/>
      <c r="CG20" s="49"/>
      <c r="CH20" s="99"/>
      <c r="CI20" s="49"/>
      <c r="CJ20" s="99"/>
      <c r="CK20" s="49"/>
      <c r="CL20" s="99"/>
      <c r="CM20" s="49"/>
      <c r="CN20" s="99"/>
      <c r="CO20" s="49"/>
      <c r="CP20" s="249"/>
    </row>
    <row r="21" spans="3:94" x14ac:dyDescent="0.25">
      <c r="C21" s="267"/>
      <c r="D21" s="70"/>
      <c r="E21" s="67"/>
      <c r="F21" s="67"/>
      <c r="G21" s="67"/>
      <c r="H21" s="6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66"/>
      <c r="Y21" s="65"/>
      <c r="Z21" s="67"/>
      <c r="AA21" s="246" t="e">
        <f t="shared" si="18"/>
        <v>#DIV/0!</v>
      </c>
      <c r="AB21" s="67"/>
      <c r="AC21" s="247"/>
      <c r="AD21" s="80" t="e">
        <f>AA21*AC21</f>
        <v>#DIV/0!</v>
      </c>
      <c r="AE21" s="247" t="e">
        <f t="shared" si="20"/>
        <v>#DIV/0!</v>
      </c>
      <c r="AF21" s="67"/>
      <c r="AH21" s="248" t="e">
        <f t="shared" ref="AH21:AU21" si="131">AH20</f>
        <v>#DIV/0!</v>
      </c>
      <c r="AI21" s="248" t="e">
        <f t="shared" si="131"/>
        <v>#DIV/0!</v>
      </c>
      <c r="AJ21" s="248" t="e">
        <f t="shared" si="131"/>
        <v>#DIV/0!</v>
      </c>
      <c r="AK21" s="248" t="e">
        <f t="shared" si="131"/>
        <v>#DIV/0!</v>
      </c>
      <c r="AL21" s="248" t="e">
        <f t="shared" si="131"/>
        <v>#DIV/0!</v>
      </c>
      <c r="AM21" s="248" t="e">
        <f t="shared" si="131"/>
        <v>#DIV/0!</v>
      </c>
      <c r="AN21" s="248" t="e">
        <f t="shared" si="131"/>
        <v>#DIV/0!</v>
      </c>
      <c r="AO21" s="248" t="e">
        <f t="shared" si="131"/>
        <v>#DIV/0!</v>
      </c>
      <c r="AP21" s="248" t="e">
        <f t="shared" si="131"/>
        <v>#DIV/0!</v>
      </c>
      <c r="AQ21" s="248" t="e">
        <f t="shared" si="131"/>
        <v>#DIV/0!</v>
      </c>
      <c r="AR21" s="248" t="e">
        <f t="shared" si="131"/>
        <v>#DIV/0!</v>
      </c>
      <c r="AS21" s="248" t="e">
        <f t="shared" si="131"/>
        <v>#DIV/0!</v>
      </c>
      <c r="AT21" s="248" t="e">
        <f t="shared" si="131"/>
        <v>#DIV/0!</v>
      </c>
      <c r="AU21" s="248" t="e">
        <f t="shared" si="131"/>
        <v>#DIV/0!</v>
      </c>
      <c r="AV21" s="46"/>
      <c r="AW21" s="44" t="e">
        <f t="shared" si="35"/>
        <v>#DIV/0!</v>
      </c>
      <c r="AX21" s="44" t="e">
        <f t="shared" si="36"/>
        <v>#DIV/0!</v>
      </c>
      <c r="AY21" s="44" t="e">
        <f t="shared" si="37"/>
        <v>#DIV/0!</v>
      </c>
      <c r="AZ21" s="44" t="e">
        <f t="shared" si="38"/>
        <v>#DIV/0!</v>
      </c>
      <c r="BA21" s="44" t="e">
        <f t="shared" si="39"/>
        <v>#DIV/0!</v>
      </c>
      <c r="BB21" s="44" t="e">
        <f t="shared" si="40"/>
        <v>#DIV/0!</v>
      </c>
      <c r="BC21" s="44" t="e">
        <f t="shared" si="41"/>
        <v>#DIV/0!</v>
      </c>
      <c r="BD21" s="44" t="e">
        <f t="shared" si="42"/>
        <v>#DIV/0!</v>
      </c>
      <c r="BE21" s="44" t="e">
        <f t="shared" si="43"/>
        <v>#DIV/0!</v>
      </c>
      <c r="BF21" s="44" t="e">
        <f t="shared" si="44"/>
        <v>#DIV/0!</v>
      </c>
      <c r="BG21" s="44" t="e">
        <f t="shared" si="45"/>
        <v>#DIV/0!</v>
      </c>
      <c r="BH21" s="44" t="e">
        <f t="shared" si="46"/>
        <v>#DIV/0!</v>
      </c>
      <c r="BI21" s="44" t="e">
        <f t="shared" si="47"/>
        <v>#DIV/0!</v>
      </c>
      <c r="BJ21" s="44" t="e">
        <f t="shared" si="48"/>
        <v>#DIV/0!</v>
      </c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31"/>
      <c r="CA21" s="34"/>
      <c r="CB21" s="45"/>
      <c r="CC21" s="49"/>
      <c r="CD21" s="99"/>
      <c r="CE21" s="49"/>
      <c r="CF21" s="99"/>
      <c r="CG21" s="49"/>
      <c r="CH21" s="99"/>
      <c r="CI21" s="49"/>
      <c r="CJ21" s="99"/>
      <c r="CK21" s="49"/>
      <c r="CL21" s="99"/>
      <c r="CM21" s="49"/>
      <c r="CN21" s="99"/>
      <c r="CO21" s="49"/>
      <c r="CP21" s="249"/>
    </row>
    <row r="22" spans="3:94" x14ac:dyDescent="0.25">
      <c r="C22" s="50"/>
      <c r="D22" s="69" t="s">
        <v>40</v>
      </c>
      <c r="E22" s="31"/>
      <c r="F22" s="31"/>
      <c r="G22" s="31"/>
      <c r="H22" s="45"/>
      <c r="W22" s="46"/>
      <c r="Y22" s="45"/>
      <c r="Z22" s="31"/>
      <c r="AA22" s="250" t="e">
        <f t="shared" si="18"/>
        <v>#DIV/0!</v>
      </c>
      <c r="AB22" s="31"/>
      <c r="AC22" s="20"/>
      <c r="AD22" s="81" t="e">
        <f t="shared" ref="AD22" si="132">AA22*AC22</f>
        <v>#DIV/0!</v>
      </c>
      <c r="AE22" s="20" t="e">
        <f t="shared" si="20"/>
        <v>#DIV/0!</v>
      </c>
      <c r="AF22" s="31"/>
      <c r="AG22" s="20" t="e">
        <f>AE22+AE23</f>
        <v>#DIV/0!</v>
      </c>
      <c r="AH22" s="48" t="e">
        <f t="shared" ref="AH22" si="133">H22/$G22</f>
        <v>#DIV/0!</v>
      </c>
      <c r="AI22" s="48" t="e">
        <f t="shared" ref="AI22" si="134">I22/$G22</f>
        <v>#DIV/0!</v>
      </c>
      <c r="AJ22" s="48" t="e">
        <f t="shared" ref="AJ22" si="135">J22/$G22</f>
        <v>#DIV/0!</v>
      </c>
      <c r="AK22" s="48" t="e">
        <f t="shared" ref="AK22" si="136">K22/$G22</f>
        <v>#DIV/0!</v>
      </c>
      <c r="AL22" s="48" t="e">
        <f t="shared" ref="AL22" si="137">L22/$G22</f>
        <v>#DIV/0!</v>
      </c>
      <c r="AM22" s="48" t="e">
        <f t="shared" ref="AM22" si="138">M22/$G22</f>
        <v>#DIV/0!</v>
      </c>
      <c r="AN22" s="48" t="e">
        <f t="shared" ref="AN22" si="139">N22/$G22</f>
        <v>#DIV/0!</v>
      </c>
      <c r="AO22" s="48" t="e">
        <f t="shared" ref="AO22" si="140">O22/$G22</f>
        <v>#DIV/0!</v>
      </c>
      <c r="AP22" s="48" t="e">
        <f t="shared" ref="AP22" si="141">P22/$G22</f>
        <v>#DIV/0!</v>
      </c>
      <c r="AQ22" s="48" t="e">
        <f t="shared" ref="AQ22" si="142">Q22/$G22</f>
        <v>#DIV/0!</v>
      </c>
      <c r="AR22" s="48" t="e">
        <f t="shared" ref="AR22" si="143">R22/$G22</f>
        <v>#DIV/0!</v>
      </c>
      <c r="AS22" s="48" t="e">
        <f t="shared" ref="AS22" si="144">S22/$G22</f>
        <v>#DIV/0!</v>
      </c>
      <c r="AT22" s="48" t="e">
        <f t="shared" ref="AT22" si="145">T22/$G22</f>
        <v>#DIV/0!</v>
      </c>
      <c r="AU22" s="48" t="e">
        <f t="shared" ref="AU22" si="146">U22/$G22</f>
        <v>#DIV/0!</v>
      </c>
      <c r="AV22" s="46"/>
      <c r="AW22" s="44" t="e">
        <f t="shared" si="35"/>
        <v>#DIV/0!</v>
      </c>
      <c r="AX22" s="44" t="e">
        <f t="shared" si="36"/>
        <v>#DIV/0!</v>
      </c>
      <c r="AY22" s="44" t="e">
        <f t="shared" si="37"/>
        <v>#DIV/0!</v>
      </c>
      <c r="AZ22" s="44" t="e">
        <f t="shared" si="38"/>
        <v>#DIV/0!</v>
      </c>
      <c r="BA22" s="44" t="e">
        <f t="shared" si="39"/>
        <v>#DIV/0!</v>
      </c>
      <c r="BB22" s="44" t="e">
        <f t="shared" si="40"/>
        <v>#DIV/0!</v>
      </c>
      <c r="BC22" s="44" t="e">
        <f t="shared" si="41"/>
        <v>#DIV/0!</v>
      </c>
      <c r="BD22" s="44" t="e">
        <f t="shared" si="42"/>
        <v>#DIV/0!</v>
      </c>
      <c r="BE22" s="44" t="e">
        <f t="shared" si="43"/>
        <v>#DIV/0!</v>
      </c>
      <c r="BF22" s="44" t="e">
        <f t="shared" si="44"/>
        <v>#DIV/0!</v>
      </c>
      <c r="BG22" s="44" t="e">
        <f t="shared" si="45"/>
        <v>#DIV/0!</v>
      </c>
      <c r="BH22" s="44" t="e">
        <f t="shared" si="46"/>
        <v>#DIV/0!</v>
      </c>
      <c r="BI22" s="44" t="e">
        <f t="shared" si="47"/>
        <v>#DIV/0!</v>
      </c>
      <c r="BJ22" s="44" t="e">
        <f t="shared" si="48"/>
        <v>#DIV/0!</v>
      </c>
      <c r="BK22" s="20"/>
      <c r="BL22" s="20" t="e">
        <f>AW22+AW23</f>
        <v>#DIV/0!</v>
      </c>
      <c r="BM22" s="20" t="e">
        <f t="shared" ref="BM22" si="147">AX22+AX23</f>
        <v>#DIV/0!</v>
      </c>
      <c r="BN22" s="20" t="e">
        <f t="shared" ref="BN22" si="148">AY22+AY23</f>
        <v>#DIV/0!</v>
      </c>
      <c r="BO22" s="20" t="e">
        <f t="shared" ref="BO22" si="149">AZ22+AZ23</f>
        <v>#DIV/0!</v>
      </c>
      <c r="BP22" s="20" t="e">
        <f t="shared" ref="BP22" si="150">BA22+BA23</f>
        <v>#DIV/0!</v>
      </c>
      <c r="BQ22" s="20" t="e">
        <f t="shared" ref="BQ22" si="151">BB22+BB23</f>
        <v>#DIV/0!</v>
      </c>
      <c r="BR22" s="20" t="e">
        <f t="shared" ref="BR22" si="152">BC22+BC23</f>
        <v>#DIV/0!</v>
      </c>
      <c r="BS22" s="20" t="e">
        <f t="shared" ref="BS22" si="153">BD22+BD23</f>
        <v>#DIV/0!</v>
      </c>
      <c r="BT22" s="20" t="e">
        <f t="shared" ref="BT22" si="154">BE22+BE23</f>
        <v>#DIV/0!</v>
      </c>
      <c r="BU22" s="20" t="e">
        <f t="shared" ref="BU22" si="155">BF22+BF23</f>
        <v>#DIV/0!</v>
      </c>
      <c r="BV22" s="20" t="e">
        <f t="shared" ref="BV22" si="156">BG22+BG23</f>
        <v>#DIV/0!</v>
      </c>
      <c r="BW22" s="20" t="e">
        <f t="shared" ref="BW22" si="157">BH22+BH23</f>
        <v>#DIV/0!</v>
      </c>
      <c r="BX22" s="20" t="e">
        <f t="shared" ref="BX22" si="158">BI22+BI23</f>
        <v>#DIV/0!</v>
      </c>
      <c r="BY22" s="20"/>
      <c r="BZ22" s="31"/>
      <c r="CA22" s="34"/>
      <c r="CB22" s="45"/>
      <c r="CC22" s="49"/>
      <c r="CD22" s="99"/>
      <c r="CE22" s="49"/>
      <c r="CF22" s="99"/>
      <c r="CG22" s="49"/>
      <c r="CH22" s="99"/>
      <c r="CI22" s="49"/>
      <c r="CJ22" s="99"/>
      <c r="CK22" s="49"/>
      <c r="CL22" s="99"/>
      <c r="CM22" s="49"/>
      <c r="CN22" s="99"/>
      <c r="CO22" s="49"/>
      <c r="CP22" s="249"/>
    </row>
    <row r="23" spans="3:94" x14ac:dyDescent="0.25">
      <c r="C23" s="267"/>
      <c r="D23" s="70"/>
      <c r="E23" s="67"/>
      <c r="F23" s="67"/>
      <c r="G23" s="67"/>
      <c r="H23" s="6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66"/>
      <c r="Y23" s="65"/>
      <c r="Z23" s="67"/>
      <c r="AA23" s="246" t="e">
        <f t="shared" si="18"/>
        <v>#DIV/0!</v>
      </c>
      <c r="AB23" s="67"/>
      <c r="AC23" s="247"/>
      <c r="AD23" s="80" t="e">
        <f>AA23*AC23</f>
        <v>#DIV/0!</v>
      </c>
      <c r="AE23" s="247" t="e">
        <f t="shared" si="20"/>
        <v>#DIV/0!</v>
      </c>
      <c r="AF23" s="67"/>
      <c r="AH23" s="248" t="e">
        <f t="shared" ref="AH23:AU23" si="159">AH22</f>
        <v>#DIV/0!</v>
      </c>
      <c r="AI23" s="248" t="e">
        <f t="shared" si="159"/>
        <v>#DIV/0!</v>
      </c>
      <c r="AJ23" s="248" t="e">
        <f t="shared" si="159"/>
        <v>#DIV/0!</v>
      </c>
      <c r="AK23" s="248" t="e">
        <f t="shared" si="159"/>
        <v>#DIV/0!</v>
      </c>
      <c r="AL23" s="248" t="e">
        <f t="shared" si="159"/>
        <v>#DIV/0!</v>
      </c>
      <c r="AM23" s="248" t="e">
        <f t="shared" si="159"/>
        <v>#DIV/0!</v>
      </c>
      <c r="AN23" s="248" t="e">
        <f t="shared" si="159"/>
        <v>#DIV/0!</v>
      </c>
      <c r="AO23" s="248" t="e">
        <f t="shared" si="159"/>
        <v>#DIV/0!</v>
      </c>
      <c r="AP23" s="248" t="e">
        <f t="shared" si="159"/>
        <v>#DIV/0!</v>
      </c>
      <c r="AQ23" s="248" t="e">
        <f t="shared" si="159"/>
        <v>#DIV/0!</v>
      </c>
      <c r="AR23" s="248" t="e">
        <f t="shared" si="159"/>
        <v>#DIV/0!</v>
      </c>
      <c r="AS23" s="248" t="e">
        <f t="shared" si="159"/>
        <v>#DIV/0!</v>
      </c>
      <c r="AT23" s="248" t="e">
        <f t="shared" si="159"/>
        <v>#DIV/0!</v>
      </c>
      <c r="AU23" s="248" t="e">
        <f t="shared" si="159"/>
        <v>#DIV/0!</v>
      </c>
      <c r="AV23" s="46"/>
      <c r="AW23" s="44" t="e">
        <f t="shared" si="35"/>
        <v>#DIV/0!</v>
      </c>
      <c r="AX23" s="44" t="e">
        <f t="shared" si="36"/>
        <v>#DIV/0!</v>
      </c>
      <c r="AY23" s="44" t="e">
        <f t="shared" si="37"/>
        <v>#DIV/0!</v>
      </c>
      <c r="AZ23" s="44" t="e">
        <f t="shared" si="38"/>
        <v>#DIV/0!</v>
      </c>
      <c r="BA23" s="44" t="e">
        <f t="shared" si="39"/>
        <v>#DIV/0!</v>
      </c>
      <c r="BB23" s="44" t="e">
        <f t="shared" si="40"/>
        <v>#DIV/0!</v>
      </c>
      <c r="BC23" s="44" t="e">
        <f t="shared" si="41"/>
        <v>#DIV/0!</v>
      </c>
      <c r="BD23" s="44" t="e">
        <f t="shared" si="42"/>
        <v>#DIV/0!</v>
      </c>
      <c r="BE23" s="44" t="e">
        <f t="shared" si="43"/>
        <v>#DIV/0!</v>
      </c>
      <c r="BF23" s="44" t="e">
        <f t="shared" si="44"/>
        <v>#DIV/0!</v>
      </c>
      <c r="BG23" s="44" t="e">
        <f t="shared" si="45"/>
        <v>#DIV/0!</v>
      </c>
      <c r="BH23" s="44" t="e">
        <f t="shared" si="46"/>
        <v>#DIV/0!</v>
      </c>
      <c r="BI23" s="44" t="e">
        <f t="shared" si="47"/>
        <v>#DIV/0!</v>
      </c>
      <c r="BJ23" s="44" t="e">
        <f t="shared" si="48"/>
        <v>#DIV/0!</v>
      </c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31"/>
      <c r="CA23" s="34"/>
      <c r="CB23" s="45"/>
      <c r="CC23" s="49"/>
      <c r="CD23" s="99"/>
      <c r="CE23" s="49"/>
      <c r="CF23" s="99"/>
      <c r="CG23" s="49"/>
      <c r="CH23" s="99"/>
      <c r="CI23" s="49"/>
      <c r="CJ23" s="99"/>
      <c r="CK23" s="49"/>
      <c r="CL23" s="99"/>
      <c r="CM23" s="49"/>
      <c r="CN23" s="99"/>
      <c r="CO23" s="49"/>
      <c r="CP23" s="249"/>
    </row>
    <row r="24" spans="3:94" x14ac:dyDescent="0.25">
      <c r="C24" s="50"/>
      <c r="D24" s="69" t="s">
        <v>40</v>
      </c>
      <c r="E24" s="31"/>
      <c r="F24" s="31"/>
      <c r="G24" s="31"/>
      <c r="H24" s="45"/>
      <c r="W24" s="46"/>
      <c r="Y24" s="45"/>
      <c r="Z24" s="31"/>
      <c r="AA24" s="250" t="e">
        <f t="shared" si="18"/>
        <v>#DIV/0!</v>
      </c>
      <c r="AB24" s="31"/>
      <c r="AC24" s="20"/>
      <c r="AD24" s="81" t="e">
        <f t="shared" ref="AD24" si="160">AA24*AC24</f>
        <v>#DIV/0!</v>
      </c>
      <c r="AE24" s="20" t="e">
        <f t="shared" si="20"/>
        <v>#DIV/0!</v>
      </c>
      <c r="AF24" s="31"/>
      <c r="AG24" s="20" t="e">
        <f>AE24+AE25</f>
        <v>#DIV/0!</v>
      </c>
      <c r="AH24" s="48" t="e">
        <f t="shared" ref="AH24" si="161">H24/$G24</f>
        <v>#DIV/0!</v>
      </c>
      <c r="AI24" s="48" t="e">
        <f t="shared" ref="AI24" si="162">I24/$G24</f>
        <v>#DIV/0!</v>
      </c>
      <c r="AJ24" s="48" t="e">
        <f t="shared" ref="AJ24" si="163">J24/$G24</f>
        <v>#DIV/0!</v>
      </c>
      <c r="AK24" s="48" t="e">
        <f t="shared" ref="AK24" si="164">K24/$G24</f>
        <v>#DIV/0!</v>
      </c>
      <c r="AL24" s="48" t="e">
        <f t="shared" ref="AL24" si="165">L24/$G24</f>
        <v>#DIV/0!</v>
      </c>
      <c r="AM24" s="48" t="e">
        <f t="shared" ref="AM24" si="166">M24/$G24</f>
        <v>#DIV/0!</v>
      </c>
      <c r="AN24" s="48" t="e">
        <f t="shared" ref="AN24" si="167">N24/$G24</f>
        <v>#DIV/0!</v>
      </c>
      <c r="AO24" s="48" t="e">
        <f t="shared" ref="AO24" si="168">O24/$G24</f>
        <v>#DIV/0!</v>
      </c>
      <c r="AP24" s="48" t="e">
        <f t="shared" ref="AP24" si="169">P24/$G24</f>
        <v>#DIV/0!</v>
      </c>
      <c r="AQ24" s="48" t="e">
        <f t="shared" ref="AQ24" si="170">Q24/$G24</f>
        <v>#DIV/0!</v>
      </c>
      <c r="AR24" s="48" t="e">
        <f t="shared" ref="AR24" si="171">R24/$G24</f>
        <v>#DIV/0!</v>
      </c>
      <c r="AS24" s="48" t="e">
        <f t="shared" ref="AS24" si="172">S24/$G24</f>
        <v>#DIV/0!</v>
      </c>
      <c r="AT24" s="48" t="e">
        <f t="shared" ref="AT24" si="173">T24/$G24</f>
        <v>#DIV/0!</v>
      </c>
      <c r="AU24" s="48" t="e">
        <f t="shared" ref="AU24" si="174">U24/$G24</f>
        <v>#DIV/0!</v>
      </c>
      <c r="AV24" s="46"/>
      <c r="AW24" s="44" t="e">
        <f t="shared" si="35"/>
        <v>#DIV/0!</v>
      </c>
      <c r="AX24" s="44" t="e">
        <f t="shared" si="36"/>
        <v>#DIV/0!</v>
      </c>
      <c r="AY24" s="44" t="e">
        <f t="shared" si="37"/>
        <v>#DIV/0!</v>
      </c>
      <c r="AZ24" s="44" t="e">
        <f t="shared" si="38"/>
        <v>#DIV/0!</v>
      </c>
      <c r="BA24" s="44" t="e">
        <f t="shared" si="39"/>
        <v>#DIV/0!</v>
      </c>
      <c r="BB24" s="44" t="e">
        <f t="shared" si="40"/>
        <v>#DIV/0!</v>
      </c>
      <c r="BC24" s="44" t="e">
        <f t="shared" si="41"/>
        <v>#DIV/0!</v>
      </c>
      <c r="BD24" s="44" t="e">
        <f t="shared" si="42"/>
        <v>#DIV/0!</v>
      </c>
      <c r="BE24" s="44" t="e">
        <f t="shared" si="43"/>
        <v>#DIV/0!</v>
      </c>
      <c r="BF24" s="44" t="e">
        <f t="shared" si="44"/>
        <v>#DIV/0!</v>
      </c>
      <c r="BG24" s="44" t="e">
        <f t="shared" si="45"/>
        <v>#DIV/0!</v>
      </c>
      <c r="BH24" s="44" t="e">
        <f t="shared" si="46"/>
        <v>#DIV/0!</v>
      </c>
      <c r="BI24" s="44" t="e">
        <f t="shared" si="47"/>
        <v>#DIV/0!</v>
      </c>
      <c r="BJ24" s="44" t="e">
        <f t="shared" si="48"/>
        <v>#DIV/0!</v>
      </c>
      <c r="BK24" s="20"/>
      <c r="BL24" s="20" t="e">
        <f>AW24+AW25</f>
        <v>#DIV/0!</v>
      </c>
      <c r="BM24" s="20" t="e">
        <f t="shared" ref="BM24" si="175">AX24+AX25</f>
        <v>#DIV/0!</v>
      </c>
      <c r="BN24" s="20" t="e">
        <f t="shared" ref="BN24" si="176">AY24+AY25</f>
        <v>#DIV/0!</v>
      </c>
      <c r="BO24" s="20" t="e">
        <f t="shared" ref="BO24" si="177">AZ24+AZ25</f>
        <v>#DIV/0!</v>
      </c>
      <c r="BP24" s="20" t="e">
        <f t="shared" ref="BP24" si="178">BA24+BA25</f>
        <v>#DIV/0!</v>
      </c>
      <c r="BQ24" s="20" t="e">
        <f t="shared" ref="BQ24" si="179">BB24+BB25</f>
        <v>#DIV/0!</v>
      </c>
      <c r="BR24" s="20" t="e">
        <f t="shared" ref="BR24" si="180">BC24+BC25</f>
        <v>#DIV/0!</v>
      </c>
      <c r="BS24" s="20" t="e">
        <f t="shared" ref="BS24" si="181">BD24+BD25</f>
        <v>#DIV/0!</v>
      </c>
      <c r="BT24" s="20" t="e">
        <f t="shared" ref="BT24" si="182">BE24+BE25</f>
        <v>#DIV/0!</v>
      </c>
      <c r="BU24" s="20" t="e">
        <f t="shared" ref="BU24" si="183">BF24+BF25</f>
        <v>#DIV/0!</v>
      </c>
      <c r="BV24" s="20" t="e">
        <f t="shared" ref="BV24" si="184">BG24+BG25</f>
        <v>#DIV/0!</v>
      </c>
      <c r="BW24" s="20" t="e">
        <f t="shared" ref="BW24" si="185">BH24+BH25</f>
        <v>#DIV/0!</v>
      </c>
      <c r="BX24" s="20" t="e">
        <f t="shared" ref="BX24" si="186">BI24+BI25</f>
        <v>#DIV/0!</v>
      </c>
      <c r="BY24" s="20"/>
      <c r="BZ24" s="31"/>
      <c r="CA24" s="34"/>
      <c r="CB24" s="45"/>
      <c r="CC24" s="49"/>
      <c r="CD24" s="99"/>
      <c r="CE24" s="49"/>
      <c r="CF24" s="99"/>
      <c r="CG24" s="49"/>
      <c r="CH24" s="99"/>
      <c r="CI24" s="49"/>
      <c r="CJ24" s="99"/>
      <c r="CK24" s="49"/>
      <c r="CL24" s="99"/>
      <c r="CM24" s="49"/>
      <c r="CN24" s="99"/>
      <c r="CO24" s="49"/>
      <c r="CP24" s="249"/>
    </row>
    <row r="25" spans="3:94" ht="16.5" thickBot="1" x14ac:dyDescent="0.3">
      <c r="C25" s="251"/>
      <c r="D25" s="252"/>
      <c r="E25" s="253"/>
      <c r="F25" s="253"/>
      <c r="G25" s="253"/>
      <c r="H25" s="25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6"/>
      <c r="X25" s="119"/>
      <c r="Y25" s="254"/>
      <c r="Z25" s="253"/>
      <c r="AA25" s="257" t="e">
        <f t="shared" si="18"/>
        <v>#DIV/0!</v>
      </c>
      <c r="AB25" s="253"/>
      <c r="AC25" s="258"/>
      <c r="AD25" s="259" t="e">
        <f>AA25*AC25</f>
        <v>#DIV/0!</v>
      </c>
      <c r="AE25" s="258" t="e">
        <f t="shared" si="20"/>
        <v>#DIV/0!</v>
      </c>
      <c r="AF25" s="253"/>
      <c r="AG25" s="119"/>
      <c r="AH25" s="260" t="e">
        <f t="shared" ref="AH25:AU25" si="187">AH24</f>
        <v>#DIV/0!</v>
      </c>
      <c r="AI25" s="260" t="e">
        <f t="shared" si="187"/>
        <v>#DIV/0!</v>
      </c>
      <c r="AJ25" s="260" t="e">
        <f t="shared" si="187"/>
        <v>#DIV/0!</v>
      </c>
      <c r="AK25" s="260" t="e">
        <f t="shared" si="187"/>
        <v>#DIV/0!</v>
      </c>
      <c r="AL25" s="260" t="e">
        <f t="shared" si="187"/>
        <v>#DIV/0!</v>
      </c>
      <c r="AM25" s="260" t="e">
        <f t="shared" si="187"/>
        <v>#DIV/0!</v>
      </c>
      <c r="AN25" s="260" t="e">
        <f t="shared" si="187"/>
        <v>#DIV/0!</v>
      </c>
      <c r="AO25" s="260" t="e">
        <f t="shared" si="187"/>
        <v>#DIV/0!</v>
      </c>
      <c r="AP25" s="260" t="e">
        <f t="shared" si="187"/>
        <v>#DIV/0!</v>
      </c>
      <c r="AQ25" s="260" t="e">
        <f t="shared" si="187"/>
        <v>#DIV/0!</v>
      </c>
      <c r="AR25" s="260" t="e">
        <f t="shared" si="187"/>
        <v>#DIV/0!</v>
      </c>
      <c r="AS25" s="260" t="e">
        <f t="shared" si="187"/>
        <v>#DIV/0!</v>
      </c>
      <c r="AT25" s="260" t="e">
        <f t="shared" si="187"/>
        <v>#DIV/0!</v>
      </c>
      <c r="AU25" s="260" t="e">
        <f t="shared" si="187"/>
        <v>#DIV/0!</v>
      </c>
      <c r="AV25" s="145"/>
      <c r="AW25" s="261" t="e">
        <f t="shared" si="35"/>
        <v>#DIV/0!</v>
      </c>
      <c r="AX25" s="261" t="e">
        <f t="shared" si="36"/>
        <v>#DIV/0!</v>
      </c>
      <c r="AY25" s="261" t="e">
        <f t="shared" si="37"/>
        <v>#DIV/0!</v>
      </c>
      <c r="AZ25" s="261" t="e">
        <f t="shared" si="38"/>
        <v>#DIV/0!</v>
      </c>
      <c r="BA25" s="261" t="e">
        <f t="shared" si="39"/>
        <v>#DIV/0!</v>
      </c>
      <c r="BB25" s="261" t="e">
        <f t="shared" si="40"/>
        <v>#DIV/0!</v>
      </c>
      <c r="BC25" s="261" t="e">
        <f t="shared" si="41"/>
        <v>#DIV/0!</v>
      </c>
      <c r="BD25" s="261" t="e">
        <f t="shared" si="42"/>
        <v>#DIV/0!</v>
      </c>
      <c r="BE25" s="261" t="e">
        <f t="shared" si="43"/>
        <v>#DIV/0!</v>
      </c>
      <c r="BF25" s="261" t="e">
        <f t="shared" si="44"/>
        <v>#DIV/0!</v>
      </c>
      <c r="BG25" s="261" t="e">
        <f t="shared" si="45"/>
        <v>#DIV/0!</v>
      </c>
      <c r="BH25" s="261" t="e">
        <f t="shared" si="46"/>
        <v>#DIV/0!</v>
      </c>
      <c r="BI25" s="261" t="e">
        <f t="shared" si="47"/>
        <v>#DIV/0!</v>
      </c>
      <c r="BJ25" s="261" t="e">
        <f t="shared" si="48"/>
        <v>#DIV/0!</v>
      </c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143"/>
      <c r="CA25" s="213"/>
      <c r="CB25" s="144"/>
      <c r="CC25" s="263"/>
      <c r="CD25" s="264"/>
      <c r="CE25" s="263"/>
      <c r="CF25" s="264"/>
      <c r="CG25" s="263"/>
      <c r="CH25" s="264"/>
      <c r="CI25" s="263"/>
      <c r="CJ25" s="264"/>
      <c r="CK25" s="263"/>
      <c r="CL25" s="264"/>
      <c r="CM25" s="263"/>
      <c r="CN25" s="264"/>
      <c r="CO25" s="263"/>
      <c r="CP25" s="265"/>
    </row>
    <row r="26" spans="3:94" x14ac:dyDescent="0.25">
      <c r="C26" s="266"/>
      <c r="D26" s="24" t="s">
        <v>39</v>
      </c>
      <c r="E26" s="24"/>
      <c r="F26" s="24"/>
      <c r="G26" s="24"/>
      <c r="H26" s="237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38"/>
      <c r="X26" s="25"/>
      <c r="Y26" s="237"/>
      <c r="Z26" s="24"/>
      <c r="AA26" s="26" t="e">
        <f t="shared" si="18"/>
        <v>#DIV/0!</v>
      </c>
      <c r="AB26" s="24"/>
      <c r="AC26" s="190"/>
      <c r="AD26" s="239" t="e">
        <f t="shared" ref="AD26" si="188">AA26*AC26</f>
        <v>#DIV/0!</v>
      </c>
      <c r="AE26" s="190" t="e">
        <f t="shared" si="20"/>
        <v>#DIV/0!</v>
      </c>
      <c r="AF26" s="24"/>
      <c r="AG26" s="190" t="e">
        <f>AE26+AE27</f>
        <v>#DIV/0!</v>
      </c>
      <c r="AH26" s="240" t="e">
        <f t="shared" ref="AH26" si="189">H26/$G26</f>
        <v>#DIV/0!</v>
      </c>
      <c r="AI26" s="240" t="e">
        <f t="shared" ref="AI26" si="190">I26/$G26</f>
        <v>#DIV/0!</v>
      </c>
      <c r="AJ26" s="240" t="e">
        <f t="shared" ref="AJ26" si="191">J26/$G26</f>
        <v>#DIV/0!</v>
      </c>
      <c r="AK26" s="240" t="e">
        <f t="shared" ref="AK26" si="192">K26/$G26</f>
        <v>#DIV/0!</v>
      </c>
      <c r="AL26" s="240" t="e">
        <f t="shared" ref="AL26" si="193">L26/$G26</f>
        <v>#DIV/0!</v>
      </c>
      <c r="AM26" s="240" t="e">
        <f t="shared" ref="AM26" si="194">M26/$G26</f>
        <v>#DIV/0!</v>
      </c>
      <c r="AN26" s="240" t="e">
        <f t="shared" ref="AN26" si="195">N26/$G26</f>
        <v>#DIV/0!</v>
      </c>
      <c r="AO26" s="240" t="e">
        <f t="shared" ref="AO26" si="196">O26/$G26</f>
        <v>#DIV/0!</v>
      </c>
      <c r="AP26" s="240" t="e">
        <f t="shared" ref="AP26" si="197">P26/$G26</f>
        <v>#DIV/0!</v>
      </c>
      <c r="AQ26" s="240" t="e">
        <f t="shared" ref="AQ26" si="198">Q26/$G26</f>
        <v>#DIV/0!</v>
      </c>
      <c r="AR26" s="240" t="e">
        <f t="shared" ref="AR26" si="199">R26/$G26</f>
        <v>#DIV/0!</v>
      </c>
      <c r="AS26" s="240" t="e">
        <f t="shared" ref="AS26" si="200">S26/$G26</f>
        <v>#DIV/0!</v>
      </c>
      <c r="AT26" s="240" t="e">
        <f t="shared" ref="AT26" si="201">T26/$G26</f>
        <v>#DIV/0!</v>
      </c>
      <c r="AU26" s="240" t="e">
        <f t="shared" ref="AU26" si="202">U26/$G26</f>
        <v>#DIV/0!</v>
      </c>
      <c r="AV26" s="238"/>
      <c r="AW26" s="190" t="e">
        <f t="shared" si="35"/>
        <v>#DIV/0!</v>
      </c>
      <c r="AX26" s="190" t="e">
        <f t="shared" si="36"/>
        <v>#DIV/0!</v>
      </c>
      <c r="AY26" s="190" t="e">
        <f t="shared" si="37"/>
        <v>#DIV/0!</v>
      </c>
      <c r="AZ26" s="190" t="e">
        <f t="shared" si="38"/>
        <v>#DIV/0!</v>
      </c>
      <c r="BA26" s="190" t="e">
        <f t="shared" si="39"/>
        <v>#DIV/0!</v>
      </c>
      <c r="BB26" s="190" t="e">
        <f t="shared" si="40"/>
        <v>#DIV/0!</v>
      </c>
      <c r="BC26" s="190" t="e">
        <f t="shared" si="41"/>
        <v>#DIV/0!</v>
      </c>
      <c r="BD26" s="190" t="e">
        <f t="shared" si="42"/>
        <v>#DIV/0!</v>
      </c>
      <c r="BE26" s="190" t="e">
        <f t="shared" si="43"/>
        <v>#DIV/0!</v>
      </c>
      <c r="BF26" s="190" t="e">
        <f t="shared" si="44"/>
        <v>#DIV/0!</v>
      </c>
      <c r="BG26" s="190" t="e">
        <f t="shared" si="45"/>
        <v>#DIV/0!</v>
      </c>
      <c r="BH26" s="190" t="e">
        <f t="shared" si="46"/>
        <v>#DIV/0!</v>
      </c>
      <c r="BI26" s="190" t="e">
        <f t="shared" si="47"/>
        <v>#DIV/0!</v>
      </c>
      <c r="BJ26" s="190" t="e">
        <f t="shared" si="48"/>
        <v>#DIV/0!</v>
      </c>
      <c r="BK26" s="190"/>
      <c r="BL26" s="190" t="e">
        <f>AW26+AW27</f>
        <v>#DIV/0!</v>
      </c>
      <c r="BM26" s="190" t="e">
        <f t="shared" ref="BM26" si="203">AX26+AX27</f>
        <v>#DIV/0!</v>
      </c>
      <c r="BN26" s="190" t="e">
        <f t="shared" ref="BN26" si="204">AY26+AY27</f>
        <v>#DIV/0!</v>
      </c>
      <c r="BO26" s="190" t="e">
        <f t="shared" ref="BO26" si="205">AZ26+AZ27</f>
        <v>#DIV/0!</v>
      </c>
      <c r="BP26" s="190" t="e">
        <f t="shared" ref="BP26" si="206">BA26+BA27</f>
        <v>#DIV/0!</v>
      </c>
      <c r="BQ26" s="190" t="e">
        <f t="shared" ref="BQ26" si="207">BB26+BB27</f>
        <v>#DIV/0!</v>
      </c>
      <c r="BR26" s="190" t="e">
        <f t="shared" ref="BR26" si="208">BC26+BC27</f>
        <v>#DIV/0!</v>
      </c>
      <c r="BS26" s="190" t="e">
        <f t="shared" ref="BS26" si="209">BD26+BD27</f>
        <v>#DIV/0!</v>
      </c>
      <c r="BT26" s="190" t="e">
        <f t="shared" ref="BT26" si="210">BE26+BE27</f>
        <v>#DIV/0!</v>
      </c>
      <c r="BU26" s="190" t="e">
        <f t="shared" ref="BU26" si="211">BF26+BF27</f>
        <v>#DIV/0!</v>
      </c>
      <c r="BV26" s="190" t="e">
        <f t="shared" ref="BV26" si="212">BG26+BG27</f>
        <v>#DIV/0!</v>
      </c>
      <c r="BW26" s="190" t="e">
        <f t="shared" ref="BW26" si="213">BH26+BH27</f>
        <v>#DIV/0!</v>
      </c>
      <c r="BX26" s="190" t="e">
        <f t="shared" ref="BX26" si="214">BI26+BI27</f>
        <v>#DIV/0!</v>
      </c>
      <c r="BY26" s="190"/>
      <c r="BZ26" s="24"/>
      <c r="CA26" s="241">
        <v>7</v>
      </c>
      <c r="CB26" s="25"/>
      <c r="CC26" s="242" t="e">
        <f t="shared" ref="CC26" si="215">AVERAGE(AW26:AW34)*$CA26</f>
        <v>#DIV/0!</v>
      </c>
      <c r="CD26" s="243" t="e">
        <f t="shared" ref="CD26" si="216">AVERAGE(AX26:AX34)*$CA26</f>
        <v>#DIV/0!</v>
      </c>
      <c r="CE26" s="242" t="e">
        <f t="shared" ref="CE26" si="217">AVERAGE(AY26:AY34)*$CA26</f>
        <v>#DIV/0!</v>
      </c>
      <c r="CF26" s="243" t="e">
        <f t="shared" ref="CF26" si="218">AVERAGE(AZ26:AZ34)*$CA26</f>
        <v>#DIV/0!</v>
      </c>
      <c r="CG26" s="242" t="e">
        <f t="shared" ref="CG26" si="219">AVERAGE(BA26:BA34)*$CA26</f>
        <v>#DIV/0!</v>
      </c>
      <c r="CH26" s="243" t="e">
        <f t="shared" ref="CH26" si="220">AVERAGE(BB26:BB34)*$CA26</f>
        <v>#DIV/0!</v>
      </c>
      <c r="CI26" s="242" t="e">
        <f t="shared" ref="CI26" si="221">AVERAGE(BC26:BC34)*$CA26</f>
        <v>#DIV/0!</v>
      </c>
      <c r="CJ26" s="243" t="e">
        <f t="shared" ref="CJ26" si="222">AVERAGE(BD26:BD34)*$CA26</f>
        <v>#DIV/0!</v>
      </c>
      <c r="CK26" s="242" t="e">
        <f t="shared" ref="CK26" si="223">AVERAGE(BE26:BE34)*$CA26</f>
        <v>#DIV/0!</v>
      </c>
      <c r="CL26" s="243" t="e">
        <f t="shared" ref="CL26" si="224">AVERAGE(BF26:BF34)*$CA26</f>
        <v>#DIV/0!</v>
      </c>
      <c r="CM26" s="242" t="e">
        <f t="shared" ref="CM26" si="225">AVERAGE(BG26:BG34)*$CA26</f>
        <v>#DIV/0!</v>
      </c>
      <c r="CN26" s="243" t="e">
        <f t="shared" ref="CN26" si="226">AVERAGE(BH26:BH34)*$CA26</f>
        <v>#DIV/0!</v>
      </c>
      <c r="CO26" s="242" t="e">
        <f t="shared" ref="CO26" si="227">AVERAGE(BI26:BI34)*$CA26</f>
        <v>#DIV/0!</v>
      </c>
      <c r="CP26" s="244" t="e">
        <f t="shared" ref="CP26" si="228">AVERAGE(BJ26:BJ34)*$CA26</f>
        <v>#DIV/0!</v>
      </c>
    </row>
    <row r="27" spans="3:94" x14ac:dyDescent="0.25">
      <c r="C27" s="267"/>
      <c r="D27" s="70"/>
      <c r="E27" s="67"/>
      <c r="F27" s="67"/>
      <c r="G27" s="67"/>
      <c r="H27" s="6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66"/>
      <c r="Y27" s="65"/>
      <c r="Z27" s="67"/>
      <c r="AA27" s="246" t="e">
        <f t="shared" si="18"/>
        <v>#DIV/0!</v>
      </c>
      <c r="AB27" s="67"/>
      <c r="AC27" s="247"/>
      <c r="AD27" s="80" t="e">
        <f>AA27*AC27</f>
        <v>#DIV/0!</v>
      </c>
      <c r="AE27" s="247" t="e">
        <f t="shared" si="20"/>
        <v>#DIV/0!</v>
      </c>
      <c r="AF27" s="67"/>
      <c r="AH27" s="248" t="e">
        <f t="shared" ref="AH27:AU27" si="229">AH26</f>
        <v>#DIV/0!</v>
      </c>
      <c r="AI27" s="248" t="e">
        <f t="shared" si="229"/>
        <v>#DIV/0!</v>
      </c>
      <c r="AJ27" s="248" t="e">
        <f t="shared" si="229"/>
        <v>#DIV/0!</v>
      </c>
      <c r="AK27" s="248" t="e">
        <f t="shared" si="229"/>
        <v>#DIV/0!</v>
      </c>
      <c r="AL27" s="248" t="e">
        <f t="shared" si="229"/>
        <v>#DIV/0!</v>
      </c>
      <c r="AM27" s="248" t="e">
        <f t="shared" si="229"/>
        <v>#DIV/0!</v>
      </c>
      <c r="AN27" s="248" t="e">
        <f t="shared" si="229"/>
        <v>#DIV/0!</v>
      </c>
      <c r="AO27" s="248" t="e">
        <f t="shared" si="229"/>
        <v>#DIV/0!</v>
      </c>
      <c r="AP27" s="248" t="e">
        <f t="shared" si="229"/>
        <v>#DIV/0!</v>
      </c>
      <c r="AQ27" s="248" t="e">
        <f t="shared" si="229"/>
        <v>#DIV/0!</v>
      </c>
      <c r="AR27" s="248" t="e">
        <f t="shared" si="229"/>
        <v>#DIV/0!</v>
      </c>
      <c r="AS27" s="248" t="e">
        <f t="shared" si="229"/>
        <v>#DIV/0!</v>
      </c>
      <c r="AT27" s="248" t="e">
        <f t="shared" si="229"/>
        <v>#DIV/0!</v>
      </c>
      <c r="AU27" s="248" t="e">
        <f t="shared" si="229"/>
        <v>#DIV/0!</v>
      </c>
      <c r="AV27" s="46"/>
      <c r="AW27" s="44" t="e">
        <f t="shared" si="35"/>
        <v>#DIV/0!</v>
      </c>
      <c r="AX27" s="44" t="e">
        <f t="shared" si="36"/>
        <v>#DIV/0!</v>
      </c>
      <c r="AY27" s="44" t="e">
        <f t="shared" si="37"/>
        <v>#DIV/0!</v>
      </c>
      <c r="AZ27" s="44" t="e">
        <f t="shared" si="38"/>
        <v>#DIV/0!</v>
      </c>
      <c r="BA27" s="44" t="e">
        <f t="shared" si="39"/>
        <v>#DIV/0!</v>
      </c>
      <c r="BB27" s="44" t="e">
        <f t="shared" si="40"/>
        <v>#DIV/0!</v>
      </c>
      <c r="BC27" s="44" t="e">
        <f t="shared" si="41"/>
        <v>#DIV/0!</v>
      </c>
      <c r="BD27" s="44" t="e">
        <f t="shared" si="42"/>
        <v>#DIV/0!</v>
      </c>
      <c r="BE27" s="44" t="e">
        <f t="shared" si="43"/>
        <v>#DIV/0!</v>
      </c>
      <c r="BF27" s="44" t="e">
        <f t="shared" si="44"/>
        <v>#DIV/0!</v>
      </c>
      <c r="BG27" s="44" t="e">
        <f t="shared" si="45"/>
        <v>#DIV/0!</v>
      </c>
      <c r="BH27" s="44" t="e">
        <f t="shared" si="46"/>
        <v>#DIV/0!</v>
      </c>
      <c r="BI27" s="44" t="e">
        <f t="shared" si="47"/>
        <v>#DIV/0!</v>
      </c>
      <c r="BJ27" s="44" t="e">
        <f t="shared" si="48"/>
        <v>#DIV/0!</v>
      </c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31"/>
      <c r="CA27" s="34"/>
      <c r="CB27" s="45"/>
      <c r="CC27" s="49"/>
      <c r="CD27" s="99"/>
      <c r="CE27" s="49"/>
      <c r="CF27" s="99"/>
      <c r="CG27" s="49"/>
      <c r="CH27" s="99"/>
      <c r="CI27" s="49"/>
      <c r="CJ27" s="99"/>
      <c r="CK27" s="49"/>
      <c r="CL27" s="99"/>
      <c r="CM27" s="49"/>
      <c r="CN27" s="99"/>
      <c r="CO27" s="49"/>
      <c r="CP27" s="249"/>
    </row>
    <row r="28" spans="3:94" x14ac:dyDescent="0.25">
      <c r="C28" s="50"/>
      <c r="D28" s="31" t="s">
        <v>39</v>
      </c>
      <c r="E28" s="31"/>
      <c r="F28" s="31"/>
      <c r="G28" s="31"/>
      <c r="H28" s="45"/>
      <c r="W28" s="46"/>
      <c r="Y28" s="45"/>
      <c r="Z28" s="31"/>
      <c r="AA28" s="250" t="e">
        <f t="shared" si="18"/>
        <v>#DIV/0!</v>
      </c>
      <c r="AB28" s="31"/>
      <c r="AC28" s="20"/>
      <c r="AD28" s="81" t="e">
        <f t="shared" ref="AD28" si="230">AA28*AC28</f>
        <v>#DIV/0!</v>
      </c>
      <c r="AE28" s="20" t="e">
        <f t="shared" si="20"/>
        <v>#DIV/0!</v>
      </c>
      <c r="AF28" s="31"/>
      <c r="AG28" s="20" t="e">
        <f>AE28+AE29</f>
        <v>#DIV/0!</v>
      </c>
      <c r="AH28" s="48" t="e">
        <f t="shared" ref="AH28" si="231">H28/$G28</f>
        <v>#DIV/0!</v>
      </c>
      <c r="AI28" s="48" t="e">
        <f t="shared" ref="AI28" si="232">I28/$G28</f>
        <v>#DIV/0!</v>
      </c>
      <c r="AJ28" s="48" t="e">
        <f t="shared" ref="AJ28" si="233">J28/$G28</f>
        <v>#DIV/0!</v>
      </c>
      <c r="AK28" s="48" t="e">
        <f t="shared" ref="AK28" si="234">K28/$G28</f>
        <v>#DIV/0!</v>
      </c>
      <c r="AL28" s="48" t="e">
        <f t="shared" ref="AL28" si="235">L28/$G28</f>
        <v>#DIV/0!</v>
      </c>
      <c r="AM28" s="48" t="e">
        <f t="shared" ref="AM28" si="236">M28/$G28</f>
        <v>#DIV/0!</v>
      </c>
      <c r="AN28" s="48" t="e">
        <f t="shared" ref="AN28" si="237">N28/$G28</f>
        <v>#DIV/0!</v>
      </c>
      <c r="AO28" s="48" t="e">
        <f t="shared" ref="AO28" si="238">O28/$G28</f>
        <v>#DIV/0!</v>
      </c>
      <c r="AP28" s="48" t="e">
        <f t="shared" ref="AP28" si="239">P28/$G28</f>
        <v>#DIV/0!</v>
      </c>
      <c r="AQ28" s="48" t="e">
        <f t="shared" ref="AQ28" si="240">Q28/$G28</f>
        <v>#DIV/0!</v>
      </c>
      <c r="AR28" s="48" t="e">
        <f t="shared" ref="AR28" si="241">R28/$G28</f>
        <v>#DIV/0!</v>
      </c>
      <c r="AS28" s="48" t="e">
        <f t="shared" ref="AS28" si="242">S28/$G28</f>
        <v>#DIV/0!</v>
      </c>
      <c r="AT28" s="48" t="e">
        <f t="shared" ref="AT28" si="243">T28/$G28</f>
        <v>#DIV/0!</v>
      </c>
      <c r="AU28" s="48" t="e">
        <f t="shared" ref="AU28" si="244">U28/$G28</f>
        <v>#DIV/0!</v>
      </c>
      <c r="AV28" s="46"/>
      <c r="AW28" s="44" t="e">
        <f t="shared" si="35"/>
        <v>#DIV/0!</v>
      </c>
      <c r="AX28" s="44" t="e">
        <f t="shared" si="36"/>
        <v>#DIV/0!</v>
      </c>
      <c r="AY28" s="44" t="e">
        <f t="shared" si="37"/>
        <v>#DIV/0!</v>
      </c>
      <c r="AZ28" s="44" t="e">
        <f t="shared" si="38"/>
        <v>#DIV/0!</v>
      </c>
      <c r="BA28" s="44" t="e">
        <f t="shared" si="39"/>
        <v>#DIV/0!</v>
      </c>
      <c r="BB28" s="44" t="e">
        <f t="shared" si="40"/>
        <v>#DIV/0!</v>
      </c>
      <c r="BC28" s="44" t="e">
        <f t="shared" si="41"/>
        <v>#DIV/0!</v>
      </c>
      <c r="BD28" s="44" t="e">
        <f t="shared" si="42"/>
        <v>#DIV/0!</v>
      </c>
      <c r="BE28" s="44" t="e">
        <f t="shared" si="43"/>
        <v>#DIV/0!</v>
      </c>
      <c r="BF28" s="44" t="e">
        <f t="shared" si="44"/>
        <v>#DIV/0!</v>
      </c>
      <c r="BG28" s="44" t="e">
        <f t="shared" si="45"/>
        <v>#DIV/0!</v>
      </c>
      <c r="BH28" s="44" t="e">
        <f t="shared" si="46"/>
        <v>#DIV/0!</v>
      </c>
      <c r="BI28" s="44" t="e">
        <f t="shared" si="47"/>
        <v>#DIV/0!</v>
      </c>
      <c r="BJ28" s="44" t="e">
        <f t="shared" si="48"/>
        <v>#DIV/0!</v>
      </c>
      <c r="BK28" s="20"/>
      <c r="BL28" s="20" t="e">
        <f>AW28+AW29</f>
        <v>#DIV/0!</v>
      </c>
      <c r="BM28" s="20" t="e">
        <f t="shared" ref="BM28" si="245">AX28+AX29</f>
        <v>#DIV/0!</v>
      </c>
      <c r="BN28" s="20" t="e">
        <f t="shared" ref="BN28" si="246">AY28+AY29</f>
        <v>#DIV/0!</v>
      </c>
      <c r="BO28" s="20" t="e">
        <f t="shared" ref="BO28" si="247">AZ28+AZ29</f>
        <v>#DIV/0!</v>
      </c>
      <c r="BP28" s="20" t="e">
        <f t="shared" ref="BP28" si="248">BA28+BA29</f>
        <v>#DIV/0!</v>
      </c>
      <c r="BQ28" s="20" t="e">
        <f t="shared" ref="BQ28" si="249">BB28+BB29</f>
        <v>#DIV/0!</v>
      </c>
      <c r="BR28" s="20" t="e">
        <f t="shared" ref="BR28" si="250">BC28+BC29</f>
        <v>#DIV/0!</v>
      </c>
      <c r="BS28" s="20" t="e">
        <f t="shared" ref="BS28" si="251">BD28+BD29</f>
        <v>#DIV/0!</v>
      </c>
      <c r="BT28" s="20" t="e">
        <f t="shared" ref="BT28" si="252">BE28+BE29</f>
        <v>#DIV/0!</v>
      </c>
      <c r="BU28" s="20" t="e">
        <f t="shared" ref="BU28" si="253">BF28+BF29</f>
        <v>#DIV/0!</v>
      </c>
      <c r="BV28" s="20" t="e">
        <f t="shared" ref="BV28" si="254">BG28+BG29</f>
        <v>#DIV/0!</v>
      </c>
      <c r="BW28" s="20" t="e">
        <f t="shared" ref="BW28" si="255">BH28+BH29</f>
        <v>#DIV/0!</v>
      </c>
      <c r="BX28" s="20" t="e">
        <f t="shared" ref="BX28" si="256">BI28+BI29</f>
        <v>#DIV/0!</v>
      </c>
      <c r="BY28" s="20"/>
      <c r="BZ28" s="31"/>
      <c r="CA28" s="34"/>
      <c r="CB28" s="45"/>
      <c r="CC28" s="49"/>
      <c r="CD28" s="99"/>
      <c r="CE28" s="49"/>
      <c r="CF28" s="99"/>
      <c r="CG28" s="49"/>
      <c r="CH28" s="99"/>
      <c r="CI28" s="49"/>
      <c r="CJ28" s="99"/>
      <c r="CK28" s="49"/>
      <c r="CL28" s="99"/>
      <c r="CM28" s="49"/>
      <c r="CN28" s="99"/>
      <c r="CO28" s="49"/>
      <c r="CP28" s="249"/>
    </row>
    <row r="29" spans="3:94" x14ac:dyDescent="0.25">
      <c r="C29" s="267"/>
      <c r="D29" s="70"/>
      <c r="E29" s="67"/>
      <c r="F29" s="67"/>
      <c r="G29" s="67"/>
      <c r="H29" s="6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66"/>
      <c r="Y29" s="65"/>
      <c r="Z29" s="67"/>
      <c r="AA29" s="246" t="e">
        <f t="shared" si="18"/>
        <v>#DIV/0!</v>
      </c>
      <c r="AB29" s="67"/>
      <c r="AC29" s="247"/>
      <c r="AD29" s="80" t="e">
        <f>AA29*AC29</f>
        <v>#DIV/0!</v>
      </c>
      <c r="AE29" s="247" t="e">
        <f t="shared" si="20"/>
        <v>#DIV/0!</v>
      </c>
      <c r="AF29" s="67"/>
      <c r="AH29" s="248" t="e">
        <f t="shared" ref="AH29:AU29" si="257">AH28</f>
        <v>#DIV/0!</v>
      </c>
      <c r="AI29" s="248" t="e">
        <f t="shared" si="257"/>
        <v>#DIV/0!</v>
      </c>
      <c r="AJ29" s="248" t="e">
        <f t="shared" si="257"/>
        <v>#DIV/0!</v>
      </c>
      <c r="AK29" s="248" t="e">
        <f t="shared" si="257"/>
        <v>#DIV/0!</v>
      </c>
      <c r="AL29" s="248" t="e">
        <f t="shared" si="257"/>
        <v>#DIV/0!</v>
      </c>
      <c r="AM29" s="248" t="e">
        <f t="shared" si="257"/>
        <v>#DIV/0!</v>
      </c>
      <c r="AN29" s="248" t="e">
        <f t="shared" si="257"/>
        <v>#DIV/0!</v>
      </c>
      <c r="AO29" s="248" t="e">
        <f t="shared" si="257"/>
        <v>#DIV/0!</v>
      </c>
      <c r="AP29" s="248" t="e">
        <f t="shared" si="257"/>
        <v>#DIV/0!</v>
      </c>
      <c r="AQ29" s="248" t="e">
        <f t="shared" si="257"/>
        <v>#DIV/0!</v>
      </c>
      <c r="AR29" s="248" t="e">
        <f t="shared" si="257"/>
        <v>#DIV/0!</v>
      </c>
      <c r="AS29" s="248" t="e">
        <f t="shared" si="257"/>
        <v>#DIV/0!</v>
      </c>
      <c r="AT29" s="248" t="e">
        <f t="shared" si="257"/>
        <v>#DIV/0!</v>
      </c>
      <c r="AU29" s="248" t="e">
        <f t="shared" si="257"/>
        <v>#DIV/0!</v>
      </c>
      <c r="AV29" s="46"/>
      <c r="AW29" s="44" t="e">
        <f t="shared" si="35"/>
        <v>#DIV/0!</v>
      </c>
      <c r="AX29" s="44" t="e">
        <f t="shared" si="36"/>
        <v>#DIV/0!</v>
      </c>
      <c r="AY29" s="44" t="e">
        <f t="shared" si="37"/>
        <v>#DIV/0!</v>
      </c>
      <c r="AZ29" s="44" t="e">
        <f t="shared" si="38"/>
        <v>#DIV/0!</v>
      </c>
      <c r="BA29" s="44" t="e">
        <f t="shared" si="39"/>
        <v>#DIV/0!</v>
      </c>
      <c r="BB29" s="44" t="e">
        <f t="shared" si="40"/>
        <v>#DIV/0!</v>
      </c>
      <c r="BC29" s="44" t="e">
        <f t="shared" si="41"/>
        <v>#DIV/0!</v>
      </c>
      <c r="BD29" s="44" t="e">
        <f t="shared" si="42"/>
        <v>#DIV/0!</v>
      </c>
      <c r="BE29" s="44" t="e">
        <f t="shared" si="43"/>
        <v>#DIV/0!</v>
      </c>
      <c r="BF29" s="44" t="e">
        <f t="shared" si="44"/>
        <v>#DIV/0!</v>
      </c>
      <c r="BG29" s="44" t="e">
        <f t="shared" si="45"/>
        <v>#DIV/0!</v>
      </c>
      <c r="BH29" s="44" t="e">
        <f t="shared" si="46"/>
        <v>#DIV/0!</v>
      </c>
      <c r="BI29" s="44" t="e">
        <f t="shared" si="47"/>
        <v>#DIV/0!</v>
      </c>
      <c r="BJ29" s="44" t="e">
        <f t="shared" si="48"/>
        <v>#DIV/0!</v>
      </c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31"/>
      <c r="CA29" s="34"/>
      <c r="CB29" s="45"/>
      <c r="CC29" s="49"/>
      <c r="CD29" s="99"/>
      <c r="CE29" s="49"/>
      <c r="CF29" s="99"/>
      <c r="CG29" s="49"/>
      <c r="CH29" s="99"/>
      <c r="CI29" s="49"/>
      <c r="CJ29" s="99"/>
      <c r="CK29" s="49"/>
      <c r="CL29" s="99"/>
      <c r="CM29" s="49"/>
      <c r="CN29" s="99"/>
      <c r="CO29" s="49"/>
      <c r="CP29" s="249"/>
    </row>
    <row r="30" spans="3:94" x14ac:dyDescent="0.25">
      <c r="C30" s="50"/>
      <c r="D30" s="31" t="s">
        <v>39</v>
      </c>
      <c r="E30" s="31"/>
      <c r="F30" s="31"/>
      <c r="G30" s="31"/>
      <c r="H30" s="45"/>
      <c r="W30" s="46"/>
      <c r="Y30" s="45"/>
      <c r="Z30" s="31"/>
      <c r="AA30" s="250" t="e">
        <f t="shared" si="18"/>
        <v>#DIV/0!</v>
      </c>
      <c r="AB30" s="31"/>
      <c r="AC30" s="20"/>
      <c r="AD30" s="81" t="e">
        <f t="shared" ref="AD30" si="258">AA30*AC30</f>
        <v>#DIV/0!</v>
      </c>
      <c r="AE30" s="20" t="e">
        <f t="shared" si="20"/>
        <v>#DIV/0!</v>
      </c>
      <c r="AF30" s="31"/>
      <c r="AG30" s="20" t="e">
        <f>AE30+AE31</f>
        <v>#DIV/0!</v>
      </c>
      <c r="AH30" s="48" t="e">
        <f t="shared" ref="AH30" si="259">H30/$G30</f>
        <v>#DIV/0!</v>
      </c>
      <c r="AI30" s="48" t="e">
        <f t="shared" ref="AI30" si="260">I30/$G30</f>
        <v>#DIV/0!</v>
      </c>
      <c r="AJ30" s="48" t="e">
        <f t="shared" ref="AJ30" si="261">J30/$G30</f>
        <v>#DIV/0!</v>
      </c>
      <c r="AK30" s="48" t="e">
        <f t="shared" ref="AK30" si="262">K30/$G30</f>
        <v>#DIV/0!</v>
      </c>
      <c r="AL30" s="48" t="e">
        <f t="shared" ref="AL30" si="263">L30/$G30</f>
        <v>#DIV/0!</v>
      </c>
      <c r="AM30" s="48" t="e">
        <f t="shared" ref="AM30" si="264">M30/$G30</f>
        <v>#DIV/0!</v>
      </c>
      <c r="AN30" s="48" t="e">
        <f t="shared" ref="AN30" si="265">N30/$G30</f>
        <v>#DIV/0!</v>
      </c>
      <c r="AO30" s="48" t="e">
        <f t="shared" ref="AO30" si="266">O30/$G30</f>
        <v>#DIV/0!</v>
      </c>
      <c r="AP30" s="48" t="e">
        <f t="shared" ref="AP30" si="267">P30/$G30</f>
        <v>#DIV/0!</v>
      </c>
      <c r="AQ30" s="48" t="e">
        <f t="shared" ref="AQ30" si="268">Q30/$G30</f>
        <v>#DIV/0!</v>
      </c>
      <c r="AR30" s="48" t="e">
        <f t="shared" ref="AR30" si="269">R30/$G30</f>
        <v>#DIV/0!</v>
      </c>
      <c r="AS30" s="48" t="e">
        <f t="shared" ref="AS30" si="270">S30/$G30</f>
        <v>#DIV/0!</v>
      </c>
      <c r="AT30" s="48" t="e">
        <f t="shared" ref="AT30" si="271">T30/$G30</f>
        <v>#DIV/0!</v>
      </c>
      <c r="AU30" s="48" t="e">
        <f t="shared" ref="AU30" si="272">U30/$G30</f>
        <v>#DIV/0!</v>
      </c>
      <c r="AV30" s="46"/>
      <c r="AW30" s="44" t="e">
        <f t="shared" si="35"/>
        <v>#DIV/0!</v>
      </c>
      <c r="AX30" s="44" t="e">
        <f t="shared" si="36"/>
        <v>#DIV/0!</v>
      </c>
      <c r="AY30" s="44" t="e">
        <f t="shared" si="37"/>
        <v>#DIV/0!</v>
      </c>
      <c r="AZ30" s="44" t="e">
        <f t="shared" si="38"/>
        <v>#DIV/0!</v>
      </c>
      <c r="BA30" s="44" t="e">
        <f t="shared" si="39"/>
        <v>#DIV/0!</v>
      </c>
      <c r="BB30" s="44" t="e">
        <f t="shared" si="40"/>
        <v>#DIV/0!</v>
      </c>
      <c r="BC30" s="44" t="e">
        <f t="shared" si="41"/>
        <v>#DIV/0!</v>
      </c>
      <c r="BD30" s="44" t="e">
        <f t="shared" si="42"/>
        <v>#DIV/0!</v>
      </c>
      <c r="BE30" s="44" t="e">
        <f t="shared" si="43"/>
        <v>#DIV/0!</v>
      </c>
      <c r="BF30" s="44" t="e">
        <f t="shared" si="44"/>
        <v>#DIV/0!</v>
      </c>
      <c r="BG30" s="44" t="e">
        <f t="shared" si="45"/>
        <v>#DIV/0!</v>
      </c>
      <c r="BH30" s="44" t="e">
        <f t="shared" si="46"/>
        <v>#DIV/0!</v>
      </c>
      <c r="BI30" s="44" t="e">
        <f t="shared" si="47"/>
        <v>#DIV/0!</v>
      </c>
      <c r="BJ30" s="44" t="e">
        <f t="shared" si="48"/>
        <v>#DIV/0!</v>
      </c>
      <c r="BK30" s="20"/>
      <c r="BL30" s="20" t="e">
        <f>AW30+AW31</f>
        <v>#DIV/0!</v>
      </c>
      <c r="BM30" s="20" t="e">
        <f t="shared" ref="BM30" si="273">AX30+AX31</f>
        <v>#DIV/0!</v>
      </c>
      <c r="BN30" s="20" t="e">
        <f t="shared" ref="BN30" si="274">AY30+AY31</f>
        <v>#DIV/0!</v>
      </c>
      <c r="BO30" s="20" t="e">
        <f t="shared" ref="BO30" si="275">AZ30+AZ31</f>
        <v>#DIV/0!</v>
      </c>
      <c r="BP30" s="20" t="e">
        <f t="shared" ref="BP30" si="276">BA30+BA31</f>
        <v>#DIV/0!</v>
      </c>
      <c r="BQ30" s="20" t="e">
        <f t="shared" ref="BQ30" si="277">BB30+BB31</f>
        <v>#DIV/0!</v>
      </c>
      <c r="BR30" s="20" t="e">
        <f t="shared" ref="BR30" si="278">BC30+BC31</f>
        <v>#DIV/0!</v>
      </c>
      <c r="BS30" s="20" t="e">
        <f t="shared" ref="BS30" si="279">BD30+BD31</f>
        <v>#DIV/0!</v>
      </c>
      <c r="BT30" s="20" t="e">
        <f t="shared" ref="BT30" si="280">BE30+BE31</f>
        <v>#DIV/0!</v>
      </c>
      <c r="BU30" s="20" t="e">
        <f t="shared" ref="BU30" si="281">BF30+BF31</f>
        <v>#DIV/0!</v>
      </c>
      <c r="BV30" s="20" t="e">
        <f t="shared" ref="BV30" si="282">BG30+BG31</f>
        <v>#DIV/0!</v>
      </c>
      <c r="BW30" s="20" t="e">
        <f t="shared" ref="BW30" si="283">BH30+BH31</f>
        <v>#DIV/0!</v>
      </c>
      <c r="BX30" s="20" t="e">
        <f t="shared" ref="BX30" si="284">BI30+BI31</f>
        <v>#DIV/0!</v>
      </c>
      <c r="BY30" s="20"/>
      <c r="BZ30" s="31"/>
      <c r="CA30" s="34"/>
      <c r="CB30" s="45"/>
      <c r="CC30" s="49"/>
      <c r="CD30" s="99"/>
      <c r="CE30" s="49"/>
      <c r="CF30" s="99"/>
      <c r="CG30" s="49"/>
      <c r="CH30" s="99"/>
      <c r="CI30" s="49"/>
      <c r="CJ30" s="99"/>
      <c r="CK30" s="49"/>
      <c r="CL30" s="99"/>
      <c r="CM30" s="49"/>
      <c r="CN30" s="99"/>
      <c r="CO30" s="49"/>
      <c r="CP30" s="249"/>
    </row>
    <row r="31" spans="3:94" x14ac:dyDescent="0.25">
      <c r="C31" s="267"/>
      <c r="D31" s="70"/>
      <c r="E31" s="67"/>
      <c r="F31" s="67"/>
      <c r="G31" s="67"/>
      <c r="H31" s="6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66"/>
      <c r="Y31" s="65"/>
      <c r="Z31" s="67"/>
      <c r="AA31" s="246" t="e">
        <f t="shared" si="18"/>
        <v>#DIV/0!</v>
      </c>
      <c r="AB31" s="67"/>
      <c r="AC31" s="247"/>
      <c r="AD31" s="80" t="e">
        <f>AA31*AC31</f>
        <v>#DIV/0!</v>
      </c>
      <c r="AE31" s="247" t="e">
        <f t="shared" si="20"/>
        <v>#DIV/0!</v>
      </c>
      <c r="AF31" s="67"/>
      <c r="AH31" s="248" t="e">
        <f t="shared" ref="AH31:AU31" si="285">AH30</f>
        <v>#DIV/0!</v>
      </c>
      <c r="AI31" s="248" t="e">
        <f t="shared" si="285"/>
        <v>#DIV/0!</v>
      </c>
      <c r="AJ31" s="248" t="e">
        <f t="shared" si="285"/>
        <v>#DIV/0!</v>
      </c>
      <c r="AK31" s="248" t="e">
        <f t="shared" si="285"/>
        <v>#DIV/0!</v>
      </c>
      <c r="AL31" s="248" t="e">
        <f t="shared" si="285"/>
        <v>#DIV/0!</v>
      </c>
      <c r="AM31" s="248" t="e">
        <f t="shared" si="285"/>
        <v>#DIV/0!</v>
      </c>
      <c r="AN31" s="248" t="e">
        <f t="shared" si="285"/>
        <v>#DIV/0!</v>
      </c>
      <c r="AO31" s="248" t="e">
        <f t="shared" si="285"/>
        <v>#DIV/0!</v>
      </c>
      <c r="AP31" s="248" t="e">
        <f t="shared" si="285"/>
        <v>#DIV/0!</v>
      </c>
      <c r="AQ31" s="248" t="e">
        <f t="shared" si="285"/>
        <v>#DIV/0!</v>
      </c>
      <c r="AR31" s="248" t="e">
        <f t="shared" si="285"/>
        <v>#DIV/0!</v>
      </c>
      <c r="AS31" s="248" t="e">
        <f t="shared" si="285"/>
        <v>#DIV/0!</v>
      </c>
      <c r="AT31" s="248" t="e">
        <f t="shared" si="285"/>
        <v>#DIV/0!</v>
      </c>
      <c r="AU31" s="248" t="e">
        <f t="shared" si="285"/>
        <v>#DIV/0!</v>
      </c>
      <c r="AV31" s="46"/>
      <c r="AW31" s="44" t="e">
        <f t="shared" si="35"/>
        <v>#DIV/0!</v>
      </c>
      <c r="AX31" s="44" t="e">
        <f t="shared" si="36"/>
        <v>#DIV/0!</v>
      </c>
      <c r="AY31" s="44" t="e">
        <f t="shared" si="37"/>
        <v>#DIV/0!</v>
      </c>
      <c r="AZ31" s="44" t="e">
        <f t="shared" si="38"/>
        <v>#DIV/0!</v>
      </c>
      <c r="BA31" s="44" t="e">
        <f t="shared" si="39"/>
        <v>#DIV/0!</v>
      </c>
      <c r="BB31" s="44" t="e">
        <f t="shared" si="40"/>
        <v>#DIV/0!</v>
      </c>
      <c r="BC31" s="44" t="e">
        <f t="shared" si="41"/>
        <v>#DIV/0!</v>
      </c>
      <c r="BD31" s="44" t="e">
        <f t="shared" si="42"/>
        <v>#DIV/0!</v>
      </c>
      <c r="BE31" s="44" t="e">
        <f t="shared" si="43"/>
        <v>#DIV/0!</v>
      </c>
      <c r="BF31" s="44" t="e">
        <f t="shared" si="44"/>
        <v>#DIV/0!</v>
      </c>
      <c r="BG31" s="44" t="e">
        <f t="shared" si="45"/>
        <v>#DIV/0!</v>
      </c>
      <c r="BH31" s="44" t="e">
        <f t="shared" si="46"/>
        <v>#DIV/0!</v>
      </c>
      <c r="BI31" s="44" t="e">
        <f t="shared" si="47"/>
        <v>#DIV/0!</v>
      </c>
      <c r="BJ31" s="44" t="e">
        <f t="shared" si="48"/>
        <v>#DIV/0!</v>
      </c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31"/>
      <c r="CA31" s="34"/>
      <c r="CB31" s="45"/>
      <c r="CC31" s="49"/>
      <c r="CD31" s="99"/>
      <c r="CE31" s="49"/>
      <c r="CF31" s="99"/>
      <c r="CG31" s="49"/>
      <c r="CH31" s="99"/>
      <c r="CI31" s="49"/>
      <c r="CJ31" s="99"/>
      <c r="CK31" s="49"/>
      <c r="CL31" s="99"/>
      <c r="CM31" s="49"/>
      <c r="CN31" s="99"/>
      <c r="CO31" s="49"/>
      <c r="CP31" s="249"/>
    </row>
    <row r="32" spans="3:94" x14ac:dyDescent="0.25">
      <c r="C32" s="50"/>
      <c r="D32" s="69" t="s">
        <v>40</v>
      </c>
      <c r="E32" s="31"/>
      <c r="F32" s="31"/>
      <c r="G32" s="31"/>
      <c r="H32" s="45"/>
      <c r="W32" s="46"/>
      <c r="Y32" s="45"/>
      <c r="Z32" s="31"/>
      <c r="AA32" s="250" t="e">
        <f t="shared" si="18"/>
        <v>#DIV/0!</v>
      </c>
      <c r="AB32" s="31"/>
      <c r="AC32" s="20"/>
      <c r="AD32" s="81" t="e">
        <f t="shared" ref="AD32" si="286">AA32*AC32</f>
        <v>#DIV/0!</v>
      </c>
      <c r="AE32" s="20" t="e">
        <f t="shared" si="20"/>
        <v>#DIV/0!</v>
      </c>
      <c r="AF32" s="31"/>
      <c r="AG32" s="20" t="e">
        <f>AE32+AE33</f>
        <v>#DIV/0!</v>
      </c>
      <c r="AH32" s="48" t="e">
        <f t="shared" ref="AH32" si="287">H32/$G32</f>
        <v>#DIV/0!</v>
      </c>
      <c r="AI32" s="48" t="e">
        <f t="shared" ref="AI32" si="288">I32/$G32</f>
        <v>#DIV/0!</v>
      </c>
      <c r="AJ32" s="48" t="e">
        <f t="shared" ref="AJ32" si="289">J32/$G32</f>
        <v>#DIV/0!</v>
      </c>
      <c r="AK32" s="48" t="e">
        <f t="shared" ref="AK32" si="290">K32/$G32</f>
        <v>#DIV/0!</v>
      </c>
      <c r="AL32" s="48" t="e">
        <f t="shared" ref="AL32" si="291">L32/$G32</f>
        <v>#DIV/0!</v>
      </c>
      <c r="AM32" s="48" t="e">
        <f t="shared" ref="AM32" si="292">M32/$G32</f>
        <v>#DIV/0!</v>
      </c>
      <c r="AN32" s="48" t="e">
        <f t="shared" ref="AN32" si="293">N32/$G32</f>
        <v>#DIV/0!</v>
      </c>
      <c r="AO32" s="48" t="e">
        <f t="shared" ref="AO32" si="294">O32/$G32</f>
        <v>#DIV/0!</v>
      </c>
      <c r="AP32" s="48" t="e">
        <f t="shared" ref="AP32" si="295">P32/$G32</f>
        <v>#DIV/0!</v>
      </c>
      <c r="AQ32" s="48" t="e">
        <f t="shared" ref="AQ32" si="296">Q32/$G32</f>
        <v>#DIV/0!</v>
      </c>
      <c r="AR32" s="48" t="e">
        <f t="shared" ref="AR32" si="297">R32/$G32</f>
        <v>#DIV/0!</v>
      </c>
      <c r="AS32" s="48" t="e">
        <f t="shared" ref="AS32" si="298">S32/$G32</f>
        <v>#DIV/0!</v>
      </c>
      <c r="AT32" s="48" t="e">
        <f t="shared" ref="AT32" si="299">T32/$G32</f>
        <v>#DIV/0!</v>
      </c>
      <c r="AU32" s="48" t="e">
        <f t="shared" ref="AU32" si="300">U32/$G32</f>
        <v>#DIV/0!</v>
      </c>
      <c r="AV32" s="46"/>
      <c r="AW32" s="44" t="e">
        <f t="shared" si="35"/>
        <v>#DIV/0!</v>
      </c>
      <c r="AX32" s="44" t="e">
        <f t="shared" si="36"/>
        <v>#DIV/0!</v>
      </c>
      <c r="AY32" s="44" t="e">
        <f t="shared" si="37"/>
        <v>#DIV/0!</v>
      </c>
      <c r="AZ32" s="44" t="e">
        <f t="shared" si="38"/>
        <v>#DIV/0!</v>
      </c>
      <c r="BA32" s="44" t="e">
        <f t="shared" si="39"/>
        <v>#DIV/0!</v>
      </c>
      <c r="BB32" s="44" t="e">
        <f t="shared" si="40"/>
        <v>#DIV/0!</v>
      </c>
      <c r="BC32" s="44" t="e">
        <f t="shared" si="41"/>
        <v>#DIV/0!</v>
      </c>
      <c r="BD32" s="44" t="e">
        <f t="shared" si="42"/>
        <v>#DIV/0!</v>
      </c>
      <c r="BE32" s="44" t="e">
        <f t="shared" si="43"/>
        <v>#DIV/0!</v>
      </c>
      <c r="BF32" s="44" t="e">
        <f t="shared" si="44"/>
        <v>#DIV/0!</v>
      </c>
      <c r="BG32" s="44" t="e">
        <f t="shared" si="45"/>
        <v>#DIV/0!</v>
      </c>
      <c r="BH32" s="44" t="e">
        <f t="shared" si="46"/>
        <v>#DIV/0!</v>
      </c>
      <c r="BI32" s="44" t="e">
        <f t="shared" si="47"/>
        <v>#DIV/0!</v>
      </c>
      <c r="BJ32" s="44" t="e">
        <f t="shared" si="48"/>
        <v>#DIV/0!</v>
      </c>
      <c r="BK32" s="20"/>
      <c r="BL32" s="20" t="e">
        <f>AW32+AW33</f>
        <v>#DIV/0!</v>
      </c>
      <c r="BM32" s="20" t="e">
        <f t="shared" ref="BM32" si="301">AX32+AX33</f>
        <v>#DIV/0!</v>
      </c>
      <c r="BN32" s="20" t="e">
        <f t="shared" ref="BN32" si="302">AY32+AY33</f>
        <v>#DIV/0!</v>
      </c>
      <c r="BO32" s="20" t="e">
        <f t="shared" ref="BO32" si="303">AZ32+AZ33</f>
        <v>#DIV/0!</v>
      </c>
      <c r="BP32" s="20" t="e">
        <f t="shared" ref="BP32" si="304">BA32+BA33</f>
        <v>#DIV/0!</v>
      </c>
      <c r="BQ32" s="20" t="e">
        <f t="shared" ref="BQ32" si="305">BB32+BB33</f>
        <v>#DIV/0!</v>
      </c>
      <c r="BR32" s="20" t="e">
        <f t="shared" ref="BR32" si="306">BC32+BC33</f>
        <v>#DIV/0!</v>
      </c>
      <c r="BS32" s="20" t="e">
        <f t="shared" ref="BS32" si="307">BD32+BD33</f>
        <v>#DIV/0!</v>
      </c>
      <c r="BT32" s="20" t="e">
        <f t="shared" ref="BT32" si="308">BE32+BE33</f>
        <v>#DIV/0!</v>
      </c>
      <c r="BU32" s="20" t="e">
        <f t="shared" ref="BU32" si="309">BF32+BF33</f>
        <v>#DIV/0!</v>
      </c>
      <c r="BV32" s="20" t="e">
        <f t="shared" ref="BV32" si="310">BG32+BG33</f>
        <v>#DIV/0!</v>
      </c>
      <c r="BW32" s="20" t="e">
        <f t="shared" ref="BW32" si="311">BH32+BH33</f>
        <v>#DIV/0!</v>
      </c>
      <c r="BX32" s="20" t="e">
        <f t="shared" ref="BX32" si="312">BI32+BI33</f>
        <v>#DIV/0!</v>
      </c>
      <c r="BY32" s="20"/>
      <c r="BZ32" s="31"/>
      <c r="CA32" s="34"/>
      <c r="CB32" s="45"/>
      <c r="CC32" s="49"/>
      <c r="CD32" s="99"/>
      <c r="CE32" s="49"/>
      <c r="CF32" s="99"/>
      <c r="CG32" s="49"/>
      <c r="CH32" s="99"/>
      <c r="CI32" s="49"/>
      <c r="CJ32" s="99"/>
      <c r="CK32" s="49"/>
      <c r="CL32" s="99"/>
      <c r="CM32" s="49"/>
      <c r="CN32" s="99"/>
      <c r="CO32" s="49"/>
      <c r="CP32" s="249"/>
    </row>
    <row r="33" spans="3:94" x14ac:dyDescent="0.25">
      <c r="C33" s="267"/>
      <c r="D33" s="70"/>
      <c r="E33" s="67"/>
      <c r="F33" s="67"/>
      <c r="G33" s="67"/>
      <c r="H33" s="6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66"/>
      <c r="Y33" s="65"/>
      <c r="Z33" s="67"/>
      <c r="AA33" s="246" t="e">
        <f t="shared" si="18"/>
        <v>#DIV/0!</v>
      </c>
      <c r="AB33" s="67"/>
      <c r="AC33" s="247"/>
      <c r="AD33" s="80" t="e">
        <f>AA33*AC33</f>
        <v>#DIV/0!</v>
      </c>
      <c r="AE33" s="247" t="e">
        <f t="shared" si="20"/>
        <v>#DIV/0!</v>
      </c>
      <c r="AF33" s="67"/>
      <c r="AH33" s="248" t="e">
        <f t="shared" ref="AH33:AU33" si="313">AH32</f>
        <v>#DIV/0!</v>
      </c>
      <c r="AI33" s="248" t="e">
        <f t="shared" si="313"/>
        <v>#DIV/0!</v>
      </c>
      <c r="AJ33" s="248" t="e">
        <f t="shared" si="313"/>
        <v>#DIV/0!</v>
      </c>
      <c r="AK33" s="248" t="e">
        <f t="shared" si="313"/>
        <v>#DIV/0!</v>
      </c>
      <c r="AL33" s="248" t="e">
        <f t="shared" si="313"/>
        <v>#DIV/0!</v>
      </c>
      <c r="AM33" s="248" t="e">
        <f t="shared" si="313"/>
        <v>#DIV/0!</v>
      </c>
      <c r="AN33" s="248" t="e">
        <f t="shared" si="313"/>
        <v>#DIV/0!</v>
      </c>
      <c r="AO33" s="248" t="e">
        <f t="shared" si="313"/>
        <v>#DIV/0!</v>
      </c>
      <c r="AP33" s="248" t="e">
        <f t="shared" si="313"/>
        <v>#DIV/0!</v>
      </c>
      <c r="AQ33" s="248" t="e">
        <f t="shared" si="313"/>
        <v>#DIV/0!</v>
      </c>
      <c r="AR33" s="248" t="e">
        <f t="shared" si="313"/>
        <v>#DIV/0!</v>
      </c>
      <c r="AS33" s="248" t="e">
        <f t="shared" si="313"/>
        <v>#DIV/0!</v>
      </c>
      <c r="AT33" s="248" t="e">
        <f t="shared" si="313"/>
        <v>#DIV/0!</v>
      </c>
      <c r="AU33" s="248" t="e">
        <f t="shared" si="313"/>
        <v>#DIV/0!</v>
      </c>
      <c r="AV33" s="46"/>
      <c r="AW33" s="44" t="e">
        <f t="shared" si="35"/>
        <v>#DIV/0!</v>
      </c>
      <c r="AX33" s="44" t="e">
        <f t="shared" si="36"/>
        <v>#DIV/0!</v>
      </c>
      <c r="AY33" s="44" t="e">
        <f t="shared" si="37"/>
        <v>#DIV/0!</v>
      </c>
      <c r="AZ33" s="44" t="e">
        <f t="shared" si="38"/>
        <v>#DIV/0!</v>
      </c>
      <c r="BA33" s="44" t="e">
        <f t="shared" si="39"/>
        <v>#DIV/0!</v>
      </c>
      <c r="BB33" s="44" t="e">
        <f t="shared" si="40"/>
        <v>#DIV/0!</v>
      </c>
      <c r="BC33" s="44" t="e">
        <f t="shared" si="41"/>
        <v>#DIV/0!</v>
      </c>
      <c r="BD33" s="44" t="e">
        <f t="shared" si="42"/>
        <v>#DIV/0!</v>
      </c>
      <c r="BE33" s="44" t="e">
        <f t="shared" si="43"/>
        <v>#DIV/0!</v>
      </c>
      <c r="BF33" s="44" t="e">
        <f t="shared" si="44"/>
        <v>#DIV/0!</v>
      </c>
      <c r="BG33" s="44" t="e">
        <f t="shared" si="45"/>
        <v>#DIV/0!</v>
      </c>
      <c r="BH33" s="44" t="e">
        <f t="shared" si="46"/>
        <v>#DIV/0!</v>
      </c>
      <c r="BI33" s="44" t="e">
        <f t="shared" si="47"/>
        <v>#DIV/0!</v>
      </c>
      <c r="BJ33" s="44" t="e">
        <f t="shared" si="48"/>
        <v>#DIV/0!</v>
      </c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31"/>
      <c r="CA33" s="34"/>
      <c r="CB33" s="45"/>
      <c r="CC33" s="49"/>
      <c r="CD33" s="99"/>
      <c r="CE33" s="49"/>
      <c r="CF33" s="99"/>
      <c r="CG33" s="49"/>
      <c r="CH33" s="99"/>
      <c r="CI33" s="49"/>
      <c r="CJ33" s="99"/>
      <c r="CK33" s="49"/>
      <c r="CL33" s="99"/>
      <c r="CM33" s="49"/>
      <c r="CN33" s="99"/>
      <c r="CO33" s="49"/>
      <c r="CP33" s="249"/>
    </row>
    <row r="34" spans="3:94" x14ac:dyDescent="0.25">
      <c r="C34" s="50"/>
      <c r="D34" s="69" t="s">
        <v>40</v>
      </c>
      <c r="E34" s="31"/>
      <c r="F34" s="31"/>
      <c r="G34" s="31"/>
      <c r="H34" s="45"/>
      <c r="W34" s="46"/>
      <c r="Y34" s="45"/>
      <c r="Z34" s="31"/>
      <c r="AA34" s="250" t="e">
        <f t="shared" si="18"/>
        <v>#DIV/0!</v>
      </c>
      <c r="AB34" s="31"/>
      <c r="AC34" s="20"/>
      <c r="AD34" s="81" t="e">
        <f t="shared" ref="AD34" si="314">AA34*AC34</f>
        <v>#DIV/0!</v>
      </c>
      <c r="AE34" s="20" t="e">
        <f t="shared" si="20"/>
        <v>#DIV/0!</v>
      </c>
      <c r="AF34" s="31"/>
      <c r="AG34" s="20" t="e">
        <f>AE34+AE35</f>
        <v>#DIV/0!</v>
      </c>
      <c r="AH34" s="48" t="e">
        <f t="shared" ref="AH34" si="315">H34/$G34</f>
        <v>#DIV/0!</v>
      </c>
      <c r="AI34" s="48" t="e">
        <f t="shared" ref="AI34" si="316">I34/$G34</f>
        <v>#DIV/0!</v>
      </c>
      <c r="AJ34" s="48" t="e">
        <f t="shared" ref="AJ34" si="317">J34/$G34</f>
        <v>#DIV/0!</v>
      </c>
      <c r="AK34" s="48" t="e">
        <f t="shared" ref="AK34" si="318">K34/$G34</f>
        <v>#DIV/0!</v>
      </c>
      <c r="AL34" s="48" t="e">
        <f t="shared" ref="AL34" si="319">L34/$G34</f>
        <v>#DIV/0!</v>
      </c>
      <c r="AM34" s="48" t="e">
        <f t="shared" ref="AM34" si="320">M34/$G34</f>
        <v>#DIV/0!</v>
      </c>
      <c r="AN34" s="48" t="e">
        <f t="shared" ref="AN34" si="321">N34/$G34</f>
        <v>#DIV/0!</v>
      </c>
      <c r="AO34" s="48" t="e">
        <f t="shared" ref="AO34" si="322">O34/$G34</f>
        <v>#DIV/0!</v>
      </c>
      <c r="AP34" s="48" t="e">
        <f t="shared" ref="AP34" si="323">P34/$G34</f>
        <v>#DIV/0!</v>
      </c>
      <c r="AQ34" s="48" t="e">
        <f t="shared" ref="AQ34" si="324">Q34/$G34</f>
        <v>#DIV/0!</v>
      </c>
      <c r="AR34" s="48" t="e">
        <f t="shared" ref="AR34" si="325">R34/$G34</f>
        <v>#DIV/0!</v>
      </c>
      <c r="AS34" s="48" t="e">
        <f t="shared" ref="AS34" si="326">S34/$G34</f>
        <v>#DIV/0!</v>
      </c>
      <c r="AT34" s="48" t="e">
        <f t="shared" ref="AT34" si="327">T34/$G34</f>
        <v>#DIV/0!</v>
      </c>
      <c r="AU34" s="48" t="e">
        <f t="shared" ref="AU34" si="328">U34/$G34</f>
        <v>#DIV/0!</v>
      </c>
      <c r="AV34" s="46"/>
      <c r="AW34" s="44" t="e">
        <f t="shared" si="35"/>
        <v>#DIV/0!</v>
      </c>
      <c r="AX34" s="44" t="e">
        <f t="shared" si="36"/>
        <v>#DIV/0!</v>
      </c>
      <c r="AY34" s="44" t="e">
        <f t="shared" si="37"/>
        <v>#DIV/0!</v>
      </c>
      <c r="AZ34" s="44" t="e">
        <f t="shared" si="38"/>
        <v>#DIV/0!</v>
      </c>
      <c r="BA34" s="44" t="e">
        <f t="shared" si="39"/>
        <v>#DIV/0!</v>
      </c>
      <c r="BB34" s="44" t="e">
        <f t="shared" si="40"/>
        <v>#DIV/0!</v>
      </c>
      <c r="BC34" s="44" t="e">
        <f t="shared" si="41"/>
        <v>#DIV/0!</v>
      </c>
      <c r="BD34" s="44" t="e">
        <f t="shared" si="42"/>
        <v>#DIV/0!</v>
      </c>
      <c r="BE34" s="44" t="e">
        <f t="shared" si="43"/>
        <v>#DIV/0!</v>
      </c>
      <c r="BF34" s="44" t="e">
        <f t="shared" si="44"/>
        <v>#DIV/0!</v>
      </c>
      <c r="BG34" s="44" t="e">
        <f t="shared" si="45"/>
        <v>#DIV/0!</v>
      </c>
      <c r="BH34" s="44" t="e">
        <f t="shared" si="46"/>
        <v>#DIV/0!</v>
      </c>
      <c r="BI34" s="44" t="e">
        <f t="shared" si="47"/>
        <v>#DIV/0!</v>
      </c>
      <c r="BJ34" s="44" t="e">
        <f t="shared" si="48"/>
        <v>#DIV/0!</v>
      </c>
      <c r="BK34" s="20"/>
      <c r="BL34" s="20" t="e">
        <f>AW34+AW35</f>
        <v>#DIV/0!</v>
      </c>
      <c r="BM34" s="20" t="e">
        <f t="shared" ref="BM34" si="329">AX34+AX35</f>
        <v>#DIV/0!</v>
      </c>
      <c r="BN34" s="20" t="e">
        <f t="shared" ref="BN34" si="330">AY34+AY35</f>
        <v>#DIV/0!</v>
      </c>
      <c r="BO34" s="20" t="e">
        <f t="shared" ref="BO34" si="331">AZ34+AZ35</f>
        <v>#DIV/0!</v>
      </c>
      <c r="BP34" s="20" t="e">
        <f t="shared" ref="BP34" si="332">BA34+BA35</f>
        <v>#DIV/0!</v>
      </c>
      <c r="BQ34" s="20" t="e">
        <f t="shared" ref="BQ34" si="333">BB34+BB35</f>
        <v>#DIV/0!</v>
      </c>
      <c r="BR34" s="20" t="e">
        <f t="shared" ref="BR34" si="334">BC34+BC35</f>
        <v>#DIV/0!</v>
      </c>
      <c r="BS34" s="20" t="e">
        <f t="shared" ref="BS34" si="335">BD34+BD35</f>
        <v>#DIV/0!</v>
      </c>
      <c r="BT34" s="20" t="e">
        <f t="shared" ref="BT34" si="336">BE34+BE35</f>
        <v>#DIV/0!</v>
      </c>
      <c r="BU34" s="20" t="e">
        <f t="shared" ref="BU34" si="337">BF34+BF35</f>
        <v>#DIV/0!</v>
      </c>
      <c r="BV34" s="20" t="e">
        <f t="shared" ref="BV34" si="338">BG34+BG35</f>
        <v>#DIV/0!</v>
      </c>
      <c r="BW34" s="20" t="e">
        <f t="shared" ref="BW34" si="339">BH34+BH35</f>
        <v>#DIV/0!</v>
      </c>
      <c r="BX34" s="20" t="e">
        <f t="shared" ref="BX34" si="340">BI34+BI35</f>
        <v>#DIV/0!</v>
      </c>
      <c r="BY34" s="20"/>
      <c r="BZ34" s="31"/>
      <c r="CA34" s="34"/>
      <c r="CB34" s="45"/>
      <c r="CC34" s="49"/>
      <c r="CD34" s="99"/>
      <c r="CE34" s="49"/>
      <c r="CF34" s="99"/>
      <c r="CG34" s="49"/>
      <c r="CH34" s="99"/>
      <c r="CI34" s="49"/>
      <c r="CJ34" s="99"/>
      <c r="CK34" s="49"/>
      <c r="CL34" s="99"/>
      <c r="CM34" s="49"/>
      <c r="CN34" s="99"/>
      <c r="CO34" s="49"/>
      <c r="CP34" s="249"/>
    </row>
    <row r="35" spans="3:94" ht="16.5" thickBot="1" x14ac:dyDescent="0.3">
      <c r="C35" s="251"/>
      <c r="D35" s="252"/>
      <c r="E35" s="253"/>
      <c r="F35" s="253"/>
      <c r="G35" s="253"/>
      <c r="H35" s="254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6"/>
      <c r="X35" s="119"/>
      <c r="Y35" s="254"/>
      <c r="Z35" s="253"/>
      <c r="AA35" s="257" t="e">
        <f t="shared" si="18"/>
        <v>#DIV/0!</v>
      </c>
      <c r="AB35" s="253"/>
      <c r="AC35" s="258"/>
      <c r="AD35" s="259" t="e">
        <f>AA35*AC35</f>
        <v>#DIV/0!</v>
      </c>
      <c r="AE35" s="258" t="e">
        <f t="shared" si="20"/>
        <v>#DIV/0!</v>
      </c>
      <c r="AF35" s="253"/>
      <c r="AG35" s="119"/>
      <c r="AH35" s="260" t="e">
        <f t="shared" ref="AH35:AU35" si="341">AH34</f>
        <v>#DIV/0!</v>
      </c>
      <c r="AI35" s="260" t="e">
        <f t="shared" si="341"/>
        <v>#DIV/0!</v>
      </c>
      <c r="AJ35" s="260" t="e">
        <f t="shared" si="341"/>
        <v>#DIV/0!</v>
      </c>
      <c r="AK35" s="260" t="e">
        <f t="shared" si="341"/>
        <v>#DIV/0!</v>
      </c>
      <c r="AL35" s="260" t="e">
        <f t="shared" si="341"/>
        <v>#DIV/0!</v>
      </c>
      <c r="AM35" s="260" t="e">
        <f t="shared" si="341"/>
        <v>#DIV/0!</v>
      </c>
      <c r="AN35" s="260" t="e">
        <f t="shared" si="341"/>
        <v>#DIV/0!</v>
      </c>
      <c r="AO35" s="260" t="e">
        <f t="shared" si="341"/>
        <v>#DIV/0!</v>
      </c>
      <c r="AP35" s="260" t="e">
        <f t="shared" si="341"/>
        <v>#DIV/0!</v>
      </c>
      <c r="AQ35" s="260" t="e">
        <f t="shared" si="341"/>
        <v>#DIV/0!</v>
      </c>
      <c r="AR35" s="260" t="e">
        <f t="shared" si="341"/>
        <v>#DIV/0!</v>
      </c>
      <c r="AS35" s="260" t="e">
        <f t="shared" si="341"/>
        <v>#DIV/0!</v>
      </c>
      <c r="AT35" s="260" t="e">
        <f t="shared" si="341"/>
        <v>#DIV/0!</v>
      </c>
      <c r="AU35" s="260" t="e">
        <f t="shared" si="341"/>
        <v>#DIV/0!</v>
      </c>
      <c r="AV35" s="145"/>
      <c r="AW35" s="261" t="e">
        <f t="shared" si="35"/>
        <v>#DIV/0!</v>
      </c>
      <c r="AX35" s="261" t="e">
        <f t="shared" si="36"/>
        <v>#DIV/0!</v>
      </c>
      <c r="AY35" s="261" t="e">
        <f t="shared" si="37"/>
        <v>#DIV/0!</v>
      </c>
      <c r="AZ35" s="261" t="e">
        <f t="shared" si="38"/>
        <v>#DIV/0!</v>
      </c>
      <c r="BA35" s="261" t="e">
        <f t="shared" si="39"/>
        <v>#DIV/0!</v>
      </c>
      <c r="BB35" s="261" t="e">
        <f t="shared" si="40"/>
        <v>#DIV/0!</v>
      </c>
      <c r="BC35" s="261" t="e">
        <f t="shared" si="41"/>
        <v>#DIV/0!</v>
      </c>
      <c r="BD35" s="261" t="e">
        <f t="shared" si="42"/>
        <v>#DIV/0!</v>
      </c>
      <c r="BE35" s="261" t="e">
        <f t="shared" si="43"/>
        <v>#DIV/0!</v>
      </c>
      <c r="BF35" s="261" t="e">
        <f t="shared" si="44"/>
        <v>#DIV/0!</v>
      </c>
      <c r="BG35" s="261" t="e">
        <f t="shared" si="45"/>
        <v>#DIV/0!</v>
      </c>
      <c r="BH35" s="261" t="e">
        <f t="shared" si="46"/>
        <v>#DIV/0!</v>
      </c>
      <c r="BI35" s="261" t="e">
        <f t="shared" si="47"/>
        <v>#DIV/0!</v>
      </c>
      <c r="BJ35" s="261" t="e">
        <f t="shared" si="48"/>
        <v>#DIV/0!</v>
      </c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143"/>
      <c r="CA35" s="213"/>
      <c r="CB35" s="144"/>
      <c r="CC35" s="263"/>
      <c r="CD35" s="264"/>
      <c r="CE35" s="263"/>
      <c r="CF35" s="264"/>
      <c r="CG35" s="263"/>
      <c r="CH35" s="264"/>
      <c r="CI35" s="263"/>
      <c r="CJ35" s="264"/>
      <c r="CK35" s="263"/>
      <c r="CL35" s="264"/>
      <c r="CM35" s="263"/>
      <c r="CN35" s="264"/>
      <c r="CO35" s="263"/>
      <c r="CP35" s="265"/>
    </row>
    <row r="36" spans="3:94" x14ac:dyDescent="0.25">
      <c r="C36" s="266"/>
      <c r="D36" s="24" t="s">
        <v>39</v>
      </c>
      <c r="E36" s="24"/>
      <c r="F36" s="24"/>
      <c r="G36" s="24"/>
      <c r="H36" s="237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38"/>
      <c r="X36" s="25"/>
      <c r="Y36" s="237"/>
      <c r="Z36" s="24"/>
      <c r="AA36" s="26" t="e">
        <f t="shared" ref="AA36:AA41" si="342">Y36/Z36</f>
        <v>#DIV/0!</v>
      </c>
      <c r="AB36" s="24"/>
      <c r="AC36" s="190"/>
      <c r="AD36" s="239" t="e">
        <f t="shared" ref="AD36" si="343">AA36*AC36</f>
        <v>#DIV/0!</v>
      </c>
      <c r="AE36" s="190" t="e">
        <f t="shared" ref="AE36" si="344">AD36/AE$15</f>
        <v>#DIV/0!</v>
      </c>
      <c r="AF36" s="24"/>
      <c r="AG36" s="190" t="e">
        <f>AE36+AE37</f>
        <v>#DIV/0!</v>
      </c>
      <c r="AH36" s="240" t="e">
        <f t="shared" ref="AH36:AH44" si="345">H36/$G36</f>
        <v>#DIV/0!</v>
      </c>
      <c r="AI36" s="240" t="e">
        <f t="shared" ref="AI36:AI44" si="346">I36/$G36</f>
        <v>#DIV/0!</v>
      </c>
      <c r="AJ36" s="240" t="e">
        <f t="shared" ref="AJ36:AJ44" si="347">J36/$G36</f>
        <v>#DIV/0!</v>
      </c>
      <c r="AK36" s="240" t="e">
        <f t="shared" ref="AK36:AK44" si="348">K36/$G36</f>
        <v>#DIV/0!</v>
      </c>
      <c r="AL36" s="240" t="e">
        <f t="shared" ref="AL36:AL44" si="349">L36/$G36</f>
        <v>#DIV/0!</v>
      </c>
      <c r="AM36" s="240" t="e">
        <f t="shared" ref="AM36:AM44" si="350">M36/$G36</f>
        <v>#DIV/0!</v>
      </c>
      <c r="AN36" s="240" t="e">
        <f t="shared" ref="AN36:AN44" si="351">N36/$G36</f>
        <v>#DIV/0!</v>
      </c>
      <c r="AO36" s="240" t="e">
        <f t="shared" ref="AO36:AO44" si="352">O36/$G36</f>
        <v>#DIV/0!</v>
      </c>
      <c r="AP36" s="240" t="e">
        <f t="shared" ref="AP36:AP44" si="353">P36/$G36</f>
        <v>#DIV/0!</v>
      </c>
      <c r="AQ36" s="240" t="e">
        <f t="shared" ref="AQ36:AQ44" si="354">Q36/$G36</f>
        <v>#DIV/0!</v>
      </c>
      <c r="AR36" s="240" t="e">
        <f t="shared" ref="AR36:AR44" si="355">R36/$G36</f>
        <v>#DIV/0!</v>
      </c>
      <c r="AS36" s="240" t="e">
        <f t="shared" ref="AS36:AS44" si="356">S36/$G36</f>
        <v>#DIV/0!</v>
      </c>
      <c r="AT36" s="240" t="e">
        <f t="shared" ref="AT36:AT44" si="357">T36/$G36</f>
        <v>#DIV/0!</v>
      </c>
      <c r="AU36" s="240" t="e">
        <f t="shared" ref="AU36:AU44" si="358">U36/$G36</f>
        <v>#DIV/0!</v>
      </c>
      <c r="AV36" s="238"/>
      <c r="AW36" s="190" t="e">
        <f t="shared" ref="AW36:AW45" si="359">AH36*$AE36</f>
        <v>#DIV/0!</v>
      </c>
      <c r="AX36" s="190" t="e">
        <f t="shared" ref="AX36:AX45" si="360">AI36*$AE36</f>
        <v>#DIV/0!</v>
      </c>
      <c r="AY36" s="190" t="e">
        <f t="shared" ref="AY36:AY45" si="361">AJ36*$AE36</f>
        <v>#DIV/0!</v>
      </c>
      <c r="AZ36" s="190" t="e">
        <f t="shared" ref="AZ36:AZ45" si="362">AK36*$AE36</f>
        <v>#DIV/0!</v>
      </c>
      <c r="BA36" s="190" t="e">
        <f t="shared" ref="BA36:BA45" si="363">AL36*$AE36</f>
        <v>#DIV/0!</v>
      </c>
      <c r="BB36" s="190" t="e">
        <f t="shared" ref="BB36:BB45" si="364">AM36*$AE36</f>
        <v>#DIV/0!</v>
      </c>
      <c r="BC36" s="190" t="e">
        <f t="shared" ref="BC36:BC45" si="365">AN36*$AE36</f>
        <v>#DIV/0!</v>
      </c>
      <c r="BD36" s="190" t="e">
        <f t="shared" ref="BD36:BD45" si="366">AO36*$AE36</f>
        <v>#DIV/0!</v>
      </c>
      <c r="BE36" s="190" t="e">
        <f t="shared" ref="BE36:BE45" si="367">AP36*$AE36</f>
        <v>#DIV/0!</v>
      </c>
      <c r="BF36" s="190" t="e">
        <f t="shared" ref="BF36:BF45" si="368">AQ36*$AE36</f>
        <v>#DIV/0!</v>
      </c>
      <c r="BG36" s="190" t="e">
        <f t="shared" ref="BG36:BG45" si="369">AR36*$AE36</f>
        <v>#DIV/0!</v>
      </c>
      <c r="BH36" s="190" t="e">
        <f t="shared" ref="BH36:BH45" si="370">AS36*$AE36</f>
        <v>#DIV/0!</v>
      </c>
      <c r="BI36" s="190" t="e">
        <f t="shared" ref="BI36:BI45" si="371">AT36*$AE36</f>
        <v>#DIV/0!</v>
      </c>
      <c r="BJ36" s="190" t="e">
        <f t="shared" ref="BJ36:BJ45" si="372">AU36*$AE36</f>
        <v>#DIV/0!</v>
      </c>
      <c r="BK36" s="190"/>
      <c r="BL36" s="190" t="e">
        <f>AW36+AW37</f>
        <v>#DIV/0!</v>
      </c>
      <c r="BM36" s="190" t="e">
        <f t="shared" ref="BM36" si="373">AX36+AX37</f>
        <v>#DIV/0!</v>
      </c>
      <c r="BN36" s="190" t="e">
        <f t="shared" ref="BN36" si="374">AY36+AY37</f>
        <v>#DIV/0!</v>
      </c>
      <c r="BO36" s="190" t="e">
        <f t="shared" ref="BO36" si="375">AZ36+AZ37</f>
        <v>#DIV/0!</v>
      </c>
      <c r="BP36" s="190" t="e">
        <f t="shared" ref="BP36" si="376">BA36+BA37</f>
        <v>#DIV/0!</v>
      </c>
      <c r="BQ36" s="190" t="e">
        <f t="shared" ref="BQ36" si="377">BB36+BB37</f>
        <v>#DIV/0!</v>
      </c>
      <c r="BR36" s="190" t="e">
        <f t="shared" ref="BR36" si="378">BC36+BC37</f>
        <v>#DIV/0!</v>
      </c>
      <c r="BS36" s="190" t="e">
        <f t="shared" ref="BS36" si="379">BD36+BD37</f>
        <v>#DIV/0!</v>
      </c>
      <c r="BT36" s="190" t="e">
        <f t="shared" ref="BT36" si="380">BE36+BE37</f>
        <v>#DIV/0!</v>
      </c>
      <c r="BU36" s="190" t="e">
        <f t="shared" ref="BU36" si="381">BF36+BF37</f>
        <v>#DIV/0!</v>
      </c>
      <c r="BV36" s="190" t="e">
        <f t="shared" ref="BV36" si="382">BG36+BG37</f>
        <v>#DIV/0!</v>
      </c>
      <c r="BW36" s="190" t="e">
        <f t="shared" ref="BW36" si="383">BH36+BH37</f>
        <v>#DIV/0!</v>
      </c>
      <c r="BX36" s="190" t="e">
        <f t="shared" ref="BX36" si="384">BI36+BI37</f>
        <v>#DIV/0!</v>
      </c>
      <c r="BY36" s="190"/>
      <c r="BZ36" s="24"/>
      <c r="CA36" s="241">
        <v>7</v>
      </c>
      <c r="CB36" s="25"/>
      <c r="CC36" s="242" t="e">
        <f t="shared" ref="CC36:CP36" si="385">AVERAGE(AW36:AW44)*$CA36</f>
        <v>#DIV/0!</v>
      </c>
      <c r="CD36" s="243" t="e">
        <f t="shared" si="385"/>
        <v>#DIV/0!</v>
      </c>
      <c r="CE36" s="242" t="e">
        <f t="shared" si="385"/>
        <v>#DIV/0!</v>
      </c>
      <c r="CF36" s="243" t="e">
        <f t="shared" si="385"/>
        <v>#DIV/0!</v>
      </c>
      <c r="CG36" s="242" t="e">
        <f t="shared" si="385"/>
        <v>#DIV/0!</v>
      </c>
      <c r="CH36" s="243" t="e">
        <f t="shared" si="385"/>
        <v>#DIV/0!</v>
      </c>
      <c r="CI36" s="242" t="e">
        <f t="shared" si="385"/>
        <v>#DIV/0!</v>
      </c>
      <c r="CJ36" s="243" t="e">
        <f t="shared" si="385"/>
        <v>#DIV/0!</v>
      </c>
      <c r="CK36" s="242" t="e">
        <f t="shared" si="385"/>
        <v>#DIV/0!</v>
      </c>
      <c r="CL36" s="243" t="e">
        <f t="shared" si="385"/>
        <v>#DIV/0!</v>
      </c>
      <c r="CM36" s="242" t="e">
        <f t="shared" si="385"/>
        <v>#DIV/0!</v>
      </c>
      <c r="CN36" s="243" t="e">
        <f t="shared" si="385"/>
        <v>#DIV/0!</v>
      </c>
      <c r="CO36" s="242" t="e">
        <f t="shared" si="385"/>
        <v>#DIV/0!</v>
      </c>
      <c r="CP36" s="244" t="e">
        <f t="shared" si="385"/>
        <v>#DIV/0!</v>
      </c>
    </row>
    <row r="37" spans="3:94" x14ac:dyDescent="0.25">
      <c r="C37" s="267"/>
      <c r="D37" s="70"/>
      <c r="E37" s="67"/>
      <c r="F37" s="67"/>
      <c r="G37" s="67"/>
      <c r="H37" s="6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66"/>
      <c r="Y37" s="65"/>
      <c r="Z37" s="67"/>
      <c r="AA37" s="246" t="e">
        <f t="shared" si="342"/>
        <v>#DIV/0!</v>
      </c>
      <c r="AB37" s="67"/>
      <c r="AC37" s="247"/>
      <c r="AD37" s="80" t="e">
        <f>AA37*AC37</f>
        <v>#DIV/0!</v>
      </c>
      <c r="AE37" s="247" t="e">
        <f t="shared" ref="AE37:AE46" si="386">AD37/AE$15</f>
        <v>#DIV/0!</v>
      </c>
      <c r="AF37" s="67"/>
      <c r="AH37" s="248" t="e">
        <f t="shared" ref="AH37:AU37" si="387">AH36</f>
        <v>#DIV/0!</v>
      </c>
      <c r="AI37" s="248" t="e">
        <f t="shared" si="387"/>
        <v>#DIV/0!</v>
      </c>
      <c r="AJ37" s="248" t="e">
        <f t="shared" si="387"/>
        <v>#DIV/0!</v>
      </c>
      <c r="AK37" s="248" t="e">
        <f t="shared" si="387"/>
        <v>#DIV/0!</v>
      </c>
      <c r="AL37" s="248" t="e">
        <f t="shared" si="387"/>
        <v>#DIV/0!</v>
      </c>
      <c r="AM37" s="248" t="e">
        <f t="shared" si="387"/>
        <v>#DIV/0!</v>
      </c>
      <c r="AN37" s="248" t="e">
        <f t="shared" si="387"/>
        <v>#DIV/0!</v>
      </c>
      <c r="AO37" s="248" t="e">
        <f t="shared" si="387"/>
        <v>#DIV/0!</v>
      </c>
      <c r="AP37" s="248" t="e">
        <f t="shared" si="387"/>
        <v>#DIV/0!</v>
      </c>
      <c r="AQ37" s="248" t="e">
        <f t="shared" si="387"/>
        <v>#DIV/0!</v>
      </c>
      <c r="AR37" s="248" t="e">
        <f t="shared" si="387"/>
        <v>#DIV/0!</v>
      </c>
      <c r="AS37" s="248" t="e">
        <f t="shared" si="387"/>
        <v>#DIV/0!</v>
      </c>
      <c r="AT37" s="248" t="e">
        <f t="shared" si="387"/>
        <v>#DIV/0!</v>
      </c>
      <c r="AU37" s="248" t="e">
        <f t="shared" si="387"/>
        <v>#DIV/0!</v>
      </c>
      <c r="AV37" s="46"/>
      <c r="AW37" s="44" t="e">
        <f t="shared" si="359"/>
        <v>#DIV/0!</v>
      </c>
      <c r="AX37" s="44" t="e">
        <f t="shared" si="360"/>
        <v>#DIV/0!</v>
      </c>
      <c r="AY37" s="44" t="e">
        <f t="shared" si="361"/>
        <v>#DIV/0!</v>
      </c>
      <c r="AZ37" s="44" t="e">
        <f t="shared" si="362"/>
        <v>#DIV/0!</v>
      </c>
      <c r="BA37" s="44" t="e">
        <f t="shared" si="363"/>
        <v>#DIV/0!</v>
      </c>
      <c r="BB37" s="44" t="e">
        <f t="shared" si="364"/>
        <v>#DIV/0!</v>
      </c>
      <c r="BC37" s="44" t="e">
        <f t="shared" si="365"/>
        <v>#DIV/0!</v>
      </c>
      <c r="BD37" s="44" t="e">
        <f t="shared" si="366"/>
        <v>#DIV/0!</v>
      </c>
      <c r="BE37" s="44" t="e">
        <f t="shared" si="367"/>
        <v>#DIV/0!</v>
      </c>
      <c r="BF37" s="44" t="e">
        <f t="shared" si="368"/>
        <v>#DIV/0!</v>
      </c>
      <c r="BG37" s="44" t="e">
        <f t="shared" si="369"/>
        <v>#DIV/0!</v>
      </c>
      <c r="BH37" s="44" t="e">
        <f t="shared" si="370"/>
        <v>#DIV/0!</v>
      </c>
      <c r="BI37" s="44" t="e">
        <f t="shared" si="371"/>
        <v>#DIV/0!</v>
      </c>
      <c r="BJ37" s="44" t="e">
        <f t="shared" si="372"/>
        <v>#DIV/0!</v>
      </c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31"/>
      <c r="CA37" s="34"/>
      <c r="CB37" s="45"/>
      <c r="CC37" s="49"/>
      <c r="CD37" s="99"/>
      <c r="CE37" s="49"/>
      <c r="CF37" s="99"/>
      <c r="CG37" s="49"/>
      <c r="CH37" s="99"/>
      <c r="CI37" s="49"/>
      <c r="CJ37" s="99"/>
      <c r="CK37" s="49"/>
      <c r="CL37" s="99"/>
      <c r="CM37" s="49"/>
      <c r="CN37" s="99"/>
      <c r="CO37" s="49"/>
      <c r="CP37" s="249"/>
    </row>
    <row r="38" spans="3:94" x14ac:dyDescent="0.25">
      <c r="C38" s="50"/>
      <c r="D38" s="31" t="s">
        <v>39</v>
      </c>
      <c r="E38" s="31"/>
      <c r="F38" s="31"/>
      <c r="G38" s="31"/>
      <c r="H38" s="45"/>
      <c r="W38" s="46"/>
      <c r="Y38" s="45"/>
      <c r="Z38" s="31"/>
      <c r="AA38" s="250" t="e">
        <f t="shared" si="342"/>
        <v>#DIV/0!</v>
      </c>
      <c r="AB38" s="31"/>
      <c r="AC38" s="20"/>
      <c r="AD38" s="81" t="e">
        <f t="shared" ref="AD38" si="388">AA38*AC38</f>
        <v>#DIV/0!</v>
      </c>
      <c r="AE38" s="20" t="e">
        <f t="shared" si="386"/>
        <v>#DIV/0!</v>
      </c>
      <c r="AF38" s="31"/>
      <c r="AG38" s="20" t="e">
        <f>AE38+AE39</f>
        <v>#DIV/0!</v>
      </c>
      <c r="AH38" s="48" t="e">
        <f t="shared" si="345"/>
        <v>#DIV/0!</v>
      </c>
      <c r="AI38" s="48" t="e">
        <f t="shared" si="346"/>
        <v>#DIV/0!</v>
      </c>
      <c r="AJ38" s="48" t="e">
        <f t="shared" si="347"/>
        <v>#DIV/0!</v>
      </c>
      <c r="AK38" s="48" t="e">
        <f t="shared" si="348"/>
        <v>#DIV/0!</v>
      </c>
      <c r="AL38" s="48" t="e">
        <f t="shared" si="349"/>
        <v>#DIV/0!</v>
      </c>
      <c r="AM38" s="48" t="e">
        <f t="shared" si="350"/>
        <v>#DIV/0!</v>
      </c>
      <c r="AN38" s="48" t="e">
        <f t="shared" si="351"/>
        <v>#DIV/0!</v>
      </c>
      <c r="AO38" s="48" t="e">
        <f t="shared" si="352"/>
        <v>#DIV/0!</v>
      </c>
      <c r="AP38" s="48" t="e">
        <f t="shared" si="353"/>
        <v>#DIV/0!</v>
      </c>
      <c r="AQ38" s="48" t="e">
        <f t="shared" si="354"/>
        <v>#DIV/0!</v>
      </c>
      <c r="AR38" s="48" t="e">
        <f t="shared" si="355"/>
        <v>#DIV/0!</v>
      </c>
      <c r="AS38" s="48" t="e">
        <f t="shared" si="356"/>
        <v>#DIV/0!</v>
      </c>
      <c r="AT38" s="48" t="e">
        <f t="shared" si="357"/>
        <v>#DIV/0!</v>
      </c>
      <c r="AU38" s="48" t="e">
        <f t="shared" si="358"/>
        <v>#DIV/0!</v>
      </c>
      <c r="AV38" s="46"/>
      <c r="AW38" s="44" t="e">
        <f t="shared" si="359"/>
        <v>#DIV/0!</v>
      </c>
      <c r="AX38" s="44" t="e">
        <f t="shared" si="360"/>
        <v>#DIV/0!</v>
      </c>
      <c r="AY38" s="44" t="e">
        <f t="shared" si="361"/>
        <v>#DIV/0!</v>
      </c>
      <c r="AZ38" s="44" t="e">
        <f t="shared" si="362"/>
        <v>#DIV/0!</v>
      </c>
      <c r="BA38" s="44" t="e">
        <f t="shared" si="363"/>
        <v>#DIV/0!</v>
      </c>
      <c r="BB38" s="44" t="e">
        <f t="shared" si="364"/>
        <v>#DIV/0!</v>
      </c>
      <c r="BC38" s="44" t="e">
        <f t="shared" si="365"/>
        <v>#DIV/0!</v>
      </c>
      <c r="BD38" s="44" t="e">
        <f t="shared" si="366"/>
        <v>#DIV/0!</v>
      </c>
      <c r="BE38" s="44" t="e">
        <f t="shared" si="367"/>
        <v>#DIV/0!</v>
      </c>
      <c r="BF38" s="44" t="e">
        <f t="shared" si="368"/>
        <v>#DIV/0!</v>
      </c>
      <c r="BG38" s="44" t="e">
        <f t="shared" si="369"/>
        <v>#DIV/0!</v>
      </c>
      <c r="BH38" s="44" t="e">
        <f t="shared" si="370"/>
        <v>#DIV/0!</v>
      </c>
      <c r="BI38" s="44" t="e">
        <f t="shared" si="371"/>
        <v>#DIV/0!</v>
      </c>
      <c r="BJ38" s="44" t="e">
        <f t="shared" si="372"/>
        <v>#DIV/0!</v>
      </c>
      <c r="BK38" s="20"/>
      <c r="BL38" s="20" t="e">
        <f>AW38+AW39</f>
        <v>#DIV/0!</v>
      </c>
      <c r="BM38" s="20" t="e">
        <f t="shared" ref="BM38" si="389">AX38+AX39</f>
        <v>#DIV/0!</v>
      </c>
      <c r="BN38" s="20" t="e">
        <f t="shared" ref="BN38" si="390">AY38+AY39</f>
        <v>#DIV/0!</v>
      </c>
      <c r="BO38" s="20" t="e">
        <f t="shared" ref="BO38" si="391">AZ38+AZ39</f>
        <v>#DIV/0!</v>
      </c>
      <c r="BP38" s="20" t="e">
        <f t="shared" ref="BP38" si="392">BA38+BA39</f>
        <v>#DIV/0!</v>
      </c>
      <c r="BQ38" s="20" t="e">
        <f t="shared" ref="BQ38" si="393">BB38+BB39</f>
        <v>#DIV/0!</v>
      </c>
      <c r="BR38" s="20" t="e">
        <f t="shared" ref="BR38" si="394">BC38+BC39</f>
        <v>#DIV/0!</v>
      </c>
      <c r="BS38" s="20" t="e">
        <f t="shared" ref="BS38" si="395">BD38+BD39</f>
        <v>#DIV/0!</v>
      </c>
      <c r="BT38" s="20" t="e">
        <f t="shared" ref="BT38" si="396">BE38+BE39</f>
        <v>#DIV/0!</v>
      </c>
      <c r="BU38" s="20" t="e">
        <f t="shared" ref="BU38" si="397">BF38+BF39</f>
        <v>#DIV/0!</v>
      </c>
      <c r="BV38" s="20" t="e">
        <f t="shared" ref="BV38" si="398">BG38+BG39</f>
        <v>#DIV/0!</v>
      </c>
      <c r="BW38" s="20" t="e">
        <f t="shared" ref="BW38" si="399">BH38+BH39</f>
        <v>#DIV/0!</v>
      </c>
      <c r="BX38" s="20" t="e">
        <f t="shared" ref="BX38" si="400">BI38+BI39</f>
        <v>#DIV/0!</v>
      </c>
      <c r="BY38" s="20"/>
      <c r="BZ38" s="31"/>
      <c r="CA38" s="34"/>
      <c r="CB38" s="45"/>
      <c r="CC38" s="49"/>
      <c r="CD38" s="99"/>
      <c r="CE38" s="49"/>
      <c r="CF38" s="99"/>
      <c r="CG38" s="49"/>
      <c r="CH38" s="99"/>
      <c r="CI38" s="49"/>
      <c r="CJ38" s="99"/>
      <c r="CK38" s="49"/>
      <c r="CL38" s="99"/>
      <c r="CM38" s="49"/>
      <c r="CN38" s="99"/>
      <c r="CO38" s="49"/>
      <c r="CP38" s="249"/>
    </row>
    <row r="39" spans="3:94" x14ac:dyDescent="0.25">
      <c r="C39" s="267"/>
      <c r="D39" s="70"/>
      <c r="E39" s="67"/>
      <c r="F39" s="67"/>
      <c r="G39" s="67"/>
      <c r="H39" s="6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66"/>
      <c r="Y39" s="65"/>
      <c r="Z39" s="67"/>
      <c r="AA39" s="246" t="e">
        <f t="shared" si="342"/>
        <v>#DIV/0!</v>
      </c>
      <c r="AB39" s="67"/>
      <c r="AC39" s="247"/>
      <c r="AD39" s="80" t="e">
        <f>AA39*AC39</f>
        <v>#DIV/0!</v>
      </c>
      <c r="AE39" s="247" t="e">
        <f t="shared" si="386"/>
        <v>#DIV/0!</v>
      </c>
      <c r="AF39" s="67"/>
      <c r="AH39" s="248" t="e">
        <f t="shared" ref="AH39:AU39" si="401">AH38</f>
        <v>#DIV/0!</v>
      </c>
      <c r="AI39" s="248" t="e">
        <f t="shared" si="401"/>
        <v>#DIV/0!</v>
      </c>
      <c r="AJ39" s="248" t="e">
        <f t="shared" si="401"/>
        <v>#DIV/0!</v>
      </c>
      <c r="AK39" s="248" t="e">
        <f t="shared" si="401"/>
        <v>#DIV/0!</v>
      </c>
      <c r="AL39" s="248" t="e">
        <f t="shared" si="401"/>
        <v>#DIV/0!</v>
      </c>
      <c r="AM39" s="248" t="e">
        <f t="shared" si="401"/>
        <v>#DIV/0!</v>
      </c>
      <c r="AN39" s="248" t="e">
        <f t="shared" si="401"/>
        <v>#DIV/0!</v>
      </c>
      <c r="AO39" s="248" t="e">
        <f t="shared" si="401"/>
        <v>#DIV/0!</v>
      </c>
      <c r="AP39" s="248" t="e">
        <f t="shared" si="401"/>
        <v>#DIV/0!</v>
      </c>
      <c r="AQ39" s="248" t="e">
        <f t="shared" si="401"/>
        <v>#DIV/0!</v>
      </c>
      <c r="AR39" s="248" t="e">
        <f t="shared" si="401"/>
        <v>#DIV/0!</v>
      </c>
      <c r="AS39" s="248" t="e">
        <f t="shared" si="401"/>
        <v>#DIV/0!</v>
      </c>
      <c r="AT39" s="248" t="e">
        <f t="shared" si="401"/>
        <v>#DIV/0!</v>
      </c>
      <c r="AU39" s="248" t="e">
        <f t="shared" si="401"/>
        <v>#DIV/0!</v>
      </c>
      <c r="AV39" s="46"/>
      <c r="AW39" s="44" t="e">
        <f t="shared" si="359"/>
        <v>#DIV/0!</v>
      </c>
      <c r="AX39" s="44" t="e">
        <f t="shared" si="360"/>
        <v>#DIV/0!</v>
      </c>
      <c r="AY39" s="44" t="e">
        <f t="shared" si="361"/>
        <v>#DIV/0!</v>
      </c>
      <c r="AZ39" s="44" t="e">
        <f t="shared" si="362"/>
        <v>#DIV/0!</v>
      </c>
      <c r="BA39" s="44" t="e">
        <f t="shared" si="363"/>
        <v>#DIV/0!</v>
      </c>
      <c r="BB39" s="44" t="e">
        <f t="shared" si="364"/>
        <v>#DIV/0!</v>
      </c>
      <c r="BC39" s="44" t="e">
        <f t="shared" si="365"/>
        <v>#DIV/0!</v>
      </c>
      <c r="BD39" s="44" t="e">
        <f t="shared" si="366"/>
        <v>#DIV/0!</v>
      </c>
      <c r="BE39" s="44" t="e">
        <f t="shared" si="367"/>
        <v>#DIV/0!</v>
      </c>
      <c r="BF39" s="44" t="e">
        <f t="shared" si="368"/>
        <v>#DIV/0!</v>
      </c>
      <c r="BG39" s="44" t="e">
        <f t="shared" si="369"/>
        <v>#DIV/0!</v>
      </c>
      <c r="BH39" s="44" t="e">
        <f t="shared" si="370"/>
        <v>#DIV/0!</v>
      </c>
      <c r="BI39" s="44" t="e">
        <f t="shared" si="371"/>
        <v>#DIV/0!</v>
      </c>
      <c r="BJ39" s="44" t="e">
        <f t="shared" si="372"/>
        <v>#DIV/0!</v>
      </c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31"/>
      <c r="CA39" s="34"/>
      <c r="CB39" s="45"/>
      <c r="CC39" s="49"/>
      <c r="CD39" s="99"/>
      <c r="CE39" s="49"/>
      <c r="CF39" s="99"/>
      <c r="CG39" s="49"/>
      <c r="CH39" s="99"/>
      <c r="CI39" s="49"/>
      <c r="CJ39" s="99"/>
      <c r="CK39" s="49"/>
      <c r="CL39" s="99"/>
      <c r="CM39" s="49"/>
      <c r="CN39" s="99"/>
      <c r="CO39" s="49"/>
      <c r="CP39" s="249"/>
    </row>
    <row r="40" spans="3:94" x14ac:dyDescent="0.25">
      <c r="C40" s="50"/>
      <c r="D40" s="31" t="s">
        <v>39</v>
      </c>
      <c r="E40" s="31"/>
      <c r="F40" s="31"/>
      <c r="G40" s="31"/>
      <c r="H40" s="45"/>
      <c r="W40" s="46"/>
      <c r="Y40" s="45"/>
      <c r="Z40" s="31"/>
      <c r="AA40" s="250" t="e">
        <f t="shared" si="342"/>
        <v>#DIV/0!</v>
      </c>
      <c r="AB40" s="31"/>
      <c r="AC40" s="20"/>
      <c r="AD40" s="81" t="e">
        <f t="shared" ref="AD40" si="402">AA40*AC40</f>
        <v>#DIV/0!</v>
      </c>
      <c r="AE40" s="20" t="e">
        <f t="shared" si="386"/>
        <v>#DIV/0!</v>
      </c>
      <c r="AF40" s="31"/>
      <c r="AG40" s="20" t="e">
        <f>AE40+AE41</f>
        <v>#DIV/0!</v>
      </c>
      <c r="AH40" s="48" t="e">
        <f t="shared" si="345"/>
        <v>#DIV/0!</v>
      </c>
      <c r="AI40" s="48" t="e">
        <f t="shared" si="346"/>
        <v>#DIV/0!</v>
      </c>
      <c r="AJ40" s="48" t="e">
        <f t="shared" si="347"/>
        <v>#DIV/0!</v>
      </c>
      <c r="AK40" s="48" t="e">
        <f t="shared" si="348"/>
        <v>#DIV/0!</v>
      </c>
      <c r="AL40" s="48" t="e">
        <f t="shared" si="349"/>
        <v>#DIV/0!</v>
      </c>
      <c r="AM40" s="48" t="e">
        <f t="shared" si="350"/>
        <v>#DIV/0!</v>
      </c>
      <c r="AN40" s="48" t="e">
        <f t="shared" si="351"/>
        <v>#DIV/0!</v>
      </c>
      <c r="AO40" s="48" t="e">
        <f t="shared" si="352"/>
        <v>#DIV/0!</v>
      </c>
      <c r="AP40" s="48" t="e">
        <f t="shared" si="353"/>
        <v>#DIV/0!</v>
      </c>
      <c r="AQ40" s="48" t="e">
        <f t="shared" si="354"/>
        <v>#DIV/0!</v>
      </c>
      <c r="AR40" s="48" t="e">
        <f t="shared" si="355"/>
        <v>#DIV/0!</v>
      </c>
      <c r="AS40" s="48" t="e">
        <f t="shared" si="356"/>
        <v>#DIV/0!</v>
      </c>
      <c r="AT40" s="48" t="e">
        <f t="shared" si="357"/>
        <v>#DIV/0!</v>
      </c>
      <c r="AU40" s="48" t="e">
        <f t="shared" si="358"/>
        <v>#DIV/0!</v>
      </c>
      <c r="AV40" s="46"/>
      <c r="AW40" s="44" t="e">
        <f t="shared" si="359"/>
        <v>#DIV/0!</v>
      </c>
      <c r="AX40" s="44" t="e">
        <f t="shared" si="360"/>
        <v>#DIV/0!</v>
      </c>
      <c r="AY40" s="44" t="e">
        <f t="shared" si="361"/>
        <v>#DIV/0!</v>
      </c>
      <c r="AZ40" s="44" t="e">
        <f t="shared" si="362"/>
        <v>#DIV/0!</v>
      </c>
      <c r="BA40" s="44" t="e">
        <f t="shared" si="363"/>
        <v>#DIV/0!</v>
      </c>
      <c r="BB40" s="44" t="e">
        <f t="shared" si="364"/>
        <v>#DIV/0!</v>
      </c>
      <c r="BC40" s="44" t="e">
        <f t="shared" si="365"/>
        <v>#DIV/0!</v>
      </c>
      <c r="BD40" s="44" t="e">
        <f t="shared" si="366"/>
        <v>#DIV/0!</v>
      </c>
      <c r="BE40" s="44" t="e">
        <f t="shared" si="367"/>
        <v>#DIV/0!</v>
      </c>
      <c r="BF40" s="44" t="e">
        <f t="shared" si="368"/>
        <v>#DIV/0!</v>
      </c>
      <c r="BG40" s="44" t="e">
        <f t="shared" si="369"/>
        <v>#DIV/0!</v>
      </c>
      <c r="BH40" s="44" t="e">
        <f t="shared" si="370"/>
        <v>#DIV/0!</v>
      </c>
      <c r="BI40" s="44" t="e">
        <f t="shared" si="371"/>
        <v>#DIV/0!</v>
      </c>
      <c r="BJ40" s="44" t="e">
        <f t="shared" si="372"/>
        <v>#DIV/0!</v>
      </c>
      <c r="BK40" s="20"/>
      <c r="BL40" s="20" t="e">
        <f>AW40+AW41</f>
        <v>#DIV/0!</v>
      </c>
      <c r="BM40" s="20" t="e">
        <f t="shared" ref="BM40" si="403">AX40+AX41</f>
        <v>#DIV/0!</v>
      </c>
      <c r="BN40" s="20" t="e">
        <f t="shared" ref="BN40" si="404">AY40+AY41</f>
        <v>#DIV/0!</v>
      </c>
      <c r="BO40" s="20" t="e">
        <f t="shared" ref="BO40" si="405">AZ40+AZ41</f>
        <v>#DIV/0!</v>
      </c>
      <c r="BP40" s="20" t="e">
        <f t="shared" ref="BP40" si="406">BA40+BA41</f>
        <v>#DIV/0!</v>
      </c>
      <c r="BQ40" s="20" t="e">
        <f t="shared" ref="BQ40" si="407">BB40+BB41</f>
        <v>#DIV/0!</v>
      </c>
      <c r="BR40" s="20" t="e">
        <f t="shared" ref="BR40" si="408">BC40+BC41</f>
        <v>#DIV/0!</v>
      </c>
      <c r="BS40" s="20" t="e">
        <f t="shared" ref="BS40" si="409">BD40+BD41</f>
        <v>#DIV/0!</v>
      </c>
      <c r="BT40" s="20" t="e">
        <f t="shared" ref="BT40" si="410">BE40+BE41</f>
        <v>#DIV/0!</v>
      </c>
      <c r="BU40" s="20" t="e">
        <f t="shared" ref="BU40" si="411">BF40+BF41</f>
        <v>#DIV/0!</v>
      </c>
      <c r="BV40" s="20" t="e">
        <f t="shared" ref="BV40" si="412">BG40+BG41</f>
        <v>#DIV/0!</v>
      </c>
      <c r="BW40" s="20" t="e">
        <f t="shared" ref="BW40" si="413">BH40+BH41</f>
        <v>#DIV/0!</v>
      </c>
      <c r="BX40" s="20" t="e">
        <f t="shared" ref="BX40" si="414">BI40+BI41</f>
        <v>#DIV/0!</v>
      </c>
      <c r="BY40" s="20"/>
      <c r="BZ40" s="31"/>
      <c r="CA40" s="34"/>
      <c r="CB40" s="45"/>
      <c r="CC40" s="49"/>
      <c r="CD40" s="99"/>
      <c r="CE40" s="49"/>
      <c r="CF40" s="99"/>
      <c r="CG40" s="49"/>
      <c r="CH40" s="99"/>
      <c r="CI40" s="49"/>
      <c r="CJ40" s="99"/>
      <c r="CK40" s="49"/>
      <c r="CL40" s="99"/>
      <c r="CM40" s="49"/>
      <c r="CN40" s="99"/>
      <c r="CO40" s="49"/>
      <c r="CP40" s="249"/>
    </row>
    <row r="41" spans="3:94" x14ac:dyDescent="0.25">
      <c r="C41" s="267"/>
      <c r="D41" s="70"/>
      <c r="E41" s="67"/>
      <c r="F41" s="67"/>
      <c r="G41" s="67"/>
      <c r="H41" s="6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66"/>
      <c r="Y41" s="65"/>
      <c r="Z41" s="67"/>
      <c r="AA41" s="246" t="e">
        <f t="shared" si="342"/>
        <v>#DIV/0!</v>
      </c>
      <c r="AB41" s="67"/>
      <c r="AC41" s="247"/>
      <c r="AD41" s="80" t="e">
        <f>AA41*AC41</f>
        <v>#DIV/0!</v>
      </c>
      <c r="AE41" s="247" t="e">
        <f t="shared" si="386"/>
        <v>#DIV/0!</v>
      </c>
      <c r="AF41" s="67"/>
      <c r="AH41" s="248" t="e">
        <f t="shared" ref="AH41:AU41" si="415">AH40</f>
        <v>#DIV/0!</v>
      </c>
      <c r="AI41" s="248" t="e">
        <f t="shared" si="415"/>
        <v>#DIV/0!</v>
      </c>
      <c r="AJ41" s="248" t="e">
        <f t="shared" si="415"/>
        <v>#DIV/0!</v>
      </c>
      <c r="AK41" s="248" t="e">
        <f t="shared" si="415"/>
        <v>#DIV/0!</v>
      </c>
      <c r="AL41" s="248" t="e">
        <f t="shared" si="415"/>
        <v>#DIV/0!</v>
      </c>
      <c r="AM41" s="248" t="e">
        <f t="shared" si="415"/>
        <v>#DIV/0!</v>
      </c>
      <c r="AN41" s="248" t="e">
        <f t="shared" si="415"/>
        <v>#DIV/0!</v>
      </c>
      <c r="AO41" s="248" t="e">
        <f t="shared" si="415"/>
        <v>#DIV/0!</v>
      </c>
      <c r="AP41" s="248" t="e">
        <f t="shared" si="415"/>
        <v>#DIV/0!</v>
      </c>
      <c r="AQ41" s="248" t="e">
        <f t="shared" si="415"/>
        <v>#DIV/0!</v>
      </c>
      <c r="AR41" s="248" t="e">
        <f t="shared" si="415"/>
        <v>#DIV/0!</v>
      </c>
      <c r="AS41" s="248" t="e">
        <f t="shared" si="415"/>
        <v>#DIV/0!</v>
      </c>
      <c r="AT41" s="248" t="e">
        <f t="shared" si="415"/>
        <v>#DIV/0!</v>
      </c>
      <c r="AU41" s="248" t="e">
        <f t="shared" si="415"/>
        <v>#DIV/0!</v>
      </c>
      <c r="AV41" s="46"/>
      <c r="AW41" s="44" t="e">
        <f t="shared" si="359"/>
        <v>#DIV/0!</v>
      </c>
      <c r="AX41" s="44" t="e">
        <f t="shared" si="360"/>
        <v>#DIV/0!</v>
      </c>
      <c r="AY41" s="44" t="e">
        <f t="shared" si="361"/>
        <v>#DIV/0!</v>
      </c>
      <c r="AZ41" s="44" t="e">
        <f t="shared" si="362"/>
        <v>#DIV/0!</v>
      </c>
      <c r="BA41" s="44" t="e">
        <f t="shared" si="363"/>
        <v>#DIV/0!</v>
      </c>
      <c r="BB41" s="44" t="e">
        <f t="shared" si="364"/>
        <v>#DIV/0!</v>
      </c>
      <c r="BC41" s="44" t="e">
        <f t="shared" si="365"/>
        <v>#DIV/0!</v>
      </c>
      <c r="BD41" s="44" t="e">
        <f t="shared" si="366"/>
        <v>#DIV/0!</v>
      </c>
      <c r="BE41" s="44" t="e">
        <f t="shared" si="367"/>
        <v>#DIV/0!</v>
      </c>
      <c r="BF41" s="44" t="e">
        <f t="shared" si="368"/>
        <v>#DIV/0!</v>
      </c>
      <c r="BG41" s="44" t="e">
        <f t="shared" si="369"/>
        <v>#DIV/0!</v>
      </c>
      <c r="BH41" s="44" t="e">
        <f t="shared" si="370"/>
        <v>#DIV/0!</v>
      </c>
      <c r="BI41" s="44" t="e">
        <f t="shared" si="371"/>
        <v>#DIV/0!</v>
      </c>
      <c r="BJ41" s="44" t="e">
        <f t="shared" si="372"/>
        <v>#DIV/0!</v>
      </c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31"/>
      <c r="CA41" s="34"/>
      <c r="CB41" s="45"/>
      <c r="CC41" s="49"/>
      <c r="CD41" s="99"/>
      <c r="CE41" s="49"/>
      <c r="CF41" s="99"/>
      <c r="CG41" s="49"/>
      <c r="CH41" s="99"/>
      <c r="CI41" s="49"/>
      <c r="CJ41" s="99"/>
      <c r="CK41" s="49"/>
      <c r="CL41" s="99"/>
      <c r="CM41" s="49"/>
      <c r="CN41" s="99"/>
      <c r="CO41" s="49"/>
      <c r="CP41" s="249"/>
    </row>
    <row r="42" spans="3:94" x14ac:dyDescent="0.25">
      <c r="C42" s="50"/>
      <c r="D42" s="69" t="s">
        <v>40</v>
      </c>
      <c r="E42" s="31"/>
      <c r="F42" s="31"/>
      <c r="G42" s="31"/>
      <c r="H42" s="45"/>
      <c r="W42" s="46"/>
      <c r="Y42" s="45"/>
      <c r="Z42" s="31"/>
      <c r="AA42" s="250" t="e">
        <f t="shared" ref="AA42:AA51" si="416">Y42/Z42</f>
        <v>#DIV/0!</v>
      </c>
      <c r="AB42" s="31"/>
      <c r="AC42" s="20"/>
      <c r="AD42" s="81" t="e">
        <f t="shared" ref="AD42" si="417">AA42*AC42</f>
        <v>#DIV/0!</v>
      </c>
      <c r="AE42" s="20" t="e">
        <f t="shared" si="386"/>
        <v>#DIV/0!</v>
      </c>
      <c r="AF42" s="31"/>
      <c r="AG42" s="20" t="e">
        <f>AE42+AE43</f>
        <v>#DIV/0!</v>
      </c>
      <c r="AH42" s="48" t="e">
        <f t="shared" si="345"/>
        <v>#DIV/0!</v>
      </c>
      <c r="AI42" s="48" t="e">
        <f t="shared" si="346"/>
        <v>#DIV/0!</v>
      </c>
      <c r="AJ42" s="48" t="e">
        <f t="shared" si="347"/>
        <v>#DIV/0!</v>
      </c>
      <c r="AK42" s="48" t="e">
        <f t="shared" si="348"/>
        <v>#DIV/0!</v>
      </c>
      <c r="AL42" s="48" t="e">
        <f t="shared" si="349"/>
        <v>#DIV/0!</v>
      </c>
      <c r="AM42" s="48" t="e">
        <f t="shared" si="350"/>
        <v>#DIV/0!</v>
      </c>
      <c r="AN42" s="48" t="e">
        <f t="shared" si="351"/>
        <v>#DIV/0!</v>
      </c>
      <c r="AO42" s="48" t="e">
        <f t="shared" si="352"/>
        <v>#DIV/0!</v>
      </c>
      <c r="AP42" s="48" t="e">
        <f t="shared" si="353"/>
        <v>#DIV/0!</v>
      </c>
      <c r="AQ42" s="48" t="e">
        <f t="shared" si="354"/>
        <v>#DIV/0!</v>
      </c>
      <c r="AR42" s="48" t="e">
        <f t="shared" si="355"/>
        <v>#DIV/0!</v>
      </c>
      <c r="AS42" s="48" t="e">
        <f t="shared" si="356"/>
        <v>#DIV/0!</v>
      </c>
      <c r="AT42" s="48" t="e">
        <f t="shared" si="357"/>
        <v>#DIV/0!</v>
      </c>
      <c r="AU42" s="48" t="e">
        <f t="shared" si="358"/>
        <v>#DIV/0!</v>
      </c>
      <c r="AV42" s="46"/>
      <c r="AW42" s="44" t="e">
        <f t="shared" si="359"/>
        <v>#DIV/0!</v>
      </c>
      <c r="AX42" s="44" t="e">
        <f t="shared" si="360"/>
        <v>#DIV/0!</v>
      </c>
      <c r="AY42" s="44" t="e">
        <f t="shared" si="361"/>
        <v>#DIV/0!</v>
      </c>
      <c r="AZ42" s="44" t="e">
        <f t="shared" si="362"/>
        <v>#DIV/0!</v>
      </c>
      <c r="BA42" s="44" t="e">
        <f t="shared" si="363"/>
        <v>#DIV/0!</v>
      </c>
      <c r="BB42" s="44" t="e">
        <f t="shared" si="364"/>
        <v>#DIV/0!</v>
      </c>
      <c r="BC42" s="44" t="e">
        <f t="shared" si="365"/>
        <v>#DIV/0!</v>
      </c>
      <c r="BD42" s="44" t="e">
        <f t="shared" si="366"/>
        <v>#DIV/0!</v>
      </c>
      <c r="BE42" s="44" t="e">
        <f t="shared" si="367"/>
        <v>#DIV/0!</v>
      </c>
      <c r="BF42" s="44" t="e">
        <f t="shared" si="368"/>
        <v>#DIV/0!</v>
      </c>
      <c r="BG42" s="44" t="e">
        <f t="shared" si="369"/>
        <v>#DIV/0!</v>
      </c>
      <c r="BH42" s="44" t="e">
        <f t="shared" si="370"/>
        <v>#DIV/0!</v>
      </c>
      <c r="BI42" s="44" t="e">
        <f t="shared" si="371"/>
        <v>#DIV/0!</v>
      </c>
      <c r="BJ42" s="44" t="e">
        <f t="shared" si="372"/>
        <v>#DIV/0!</v>
      </c>
      <c r="BK42" s="20"/>
      <c r="BL42" s="20" t="e">
        <f>AW42+AW43</f>
        <v>#DIV/0!</v>
      </c>
      <c r="BM42" s="20" t="e">
        <f t="shared" ref="BM42" si="418">AX42+AX43</f>
        <v>#DIV/0!</v>
      </c>
      <c r="BN42" s="20" t="e">
        <f t="shared" ref="BN42" si="419">AY42+AY43</f>
        <v>#DIV/0!</v>
      </c>
      <c r="BO42" s="20" t="e">
        <f t="shared" ref="BO42" si="420">AZ42+AZ43</f>
        <v>#DIV/0!</v>
      </c>
      <c r="BP42" s="20" t="e">
        <f t="shared" ref="BP42" si="421">BA42+BA43</f>
        <v>#DIV/0!</v>
      </c>
      <c r="BQ42" s="20" t="e">
        <f t="shared" ref="BQ42" si="422">BB42+BB43</f>
        <v>#DIV/0!</v>
      </c>
      <c r="BR42" s="20" t="e">
        <f t="shared" ref="BR42" si="423">BC42+BC43</f>
        <v>#DIV/0!</v>
      </c>
      <c r="BS42" s="20" t="e">
        <f t="shared" ref="BS42" si="424">BD42+BD43</f>
        <v>#DIV/0!</v>
      </c>
      <c r="BT42" s="20" t="e">
        <f t="shared" ref="BT42" si="425">BE42+BE43</f>
        <v>#DIV/0!</v>
      </c>
      <c r="BU42" s="20" t="e">
        <f t="shared" ref="BU42" si="426">BF42+BF43</f>
        <v>#DIV/0!</v>
      </c>
      <c r="BV42" s="20" t="e">
        <f t="shared" ref="BV42" si="427">BG42+BG43</f>
        <v>#DIV/0!</v>
      </c>
      <c r="BW42" s="20" t="e">
        <f t="shared" ref="BW42" si="428">BH42+BH43</f>
        <v>#DIV/0!</v>
      </c>
      <c r="BX42" s="20" t="e">
        <f t="shared" ref="BX42" si="429">BI42+BI43</f>
        <v>#DIV/0!</v>
      </c>
      <c r="BY42" s="20"/>
      <c r="BZ42" s="31"/>
      <c r="CA42" s="34"/>
      <c r="CB42" s="45"/>
      <c r="CC42" s="49"/>
      <c r="CD42" s="99"/>
      <c r="CE42" s="49"/>
      <c r="CF42" s="99"/>
      <c r="CG42" s="49"/>
      <c r="CH42" s="99"/>
      <c r="CI42" s="49"/>
      <c r="CJ42" s="99"/>
      <c r="CK42" s="49"/>
      <c r="CL42" s="99"/>
      <c r="CM42" s="49"/>
      <c r="CN42" s="99"/>
      <c r="CO42" s="49"/>
      <c r="CP42" s="249"/>
    </row>
    <row r="43" spans="3:94" x14ac:dyDescent="0.25">
      <c r="C43" s="267"/>
      <c r="D43" s="70"/>
      <c r="E43" s="67"/>
      <c r="F43" s="67"/>
      <c r="G43" s="67"/>
      <c r="H43" s="6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66"/>
      <c r="Y43" s="65"/>
      <c r="Z43" s="67"/>
      <c r="AA43" s="246" t="e">
        <f t="shared" si="416"/>
        <v>#DIV/0!</v>
      </c>
      <c r="AB43" s="67"/>
      <c r="AC43" s="247"/>
      <c r="AD43" s="80" t="e">
        <f>AA43*AC43</f>
        <v>#DIV/0!</v>
      </c>
      <c r="AE43" s="247" t="e">
        <f t="shared" si="386"/>
        <v>#DIV/0!</v>
      </c>
      <c r="AF43" s="67"/>
      <c r="AH43" s="248" t="e">
        <f t="shared" ref="AH43:AU43" si="430">AH42</f>
        <v>#DIV/0!</v>
      </c>
      <c r="AI43" s="248" t="e">
        <f t="shared" si="430"/>
        <v>#DIV/0!</v>
      </c>
      <c r="AJ43" s="248" t="e">
        <f t="shared" si="430"/>
        <v>#DIV/0!</v>
      </c>
      <c r="AK43" s="248" t="e">
        <f t="shared" si="430"/>
        <v>#DIV/0!</v>
      </c>
      <c r="AL43" s="248" t="e">
        <f t="shared" si="430"/>
        <v>#DIV/0!</v>
      </c>
      <c r="AM43" s="248" t="e">
        <f t="shared" si="430"/>
        <v>#DIV/0!</v>
      </c>
      <c r="AN43" s="248" t="e">
        <f t="shared" si="430"/>
        <v>#DIV/0!</v>
      </c>
      <c r="AO43" s="248" t="e">
        <f t="shared" si="430"/>
        <v>#DIV/0!</v>
      </c>
      <c r="AP43" s="248" t="e">
        <f t="shared" si="430"/>
        <v>#DIV/0!</v>
      </c>
      <c r="AQ43" s="248" t="e">
        <f t="shared" si="430"/>
        <v>#DIV/0!</v>
      </c>
      <c r="AR43" s="248" t="e">
        <f t="shared" si="430"/>
        <v>#DIV/0!</v>
      </c>
      <c r="AS43" s="248" t="e">
        <f t="shared" si="430"/>
        <v>#DIV/0!</v>
      </c>
      <c r="AT43" s="248" t="e">
        <f t="shared" si="430"/>
        <v>#DIV/0!</v>
      </c>
      <c r="AU43" s="248" t="e">
        <f t="shared" si="430"/>
        <v>#DIV/0!</v>
      </c>
      <c r="AV43" s="46"/>
      <c r="AW43" s="44" t="e">
        <f t="shared" si="359"/>
        <v>#DIV/0!</v>
      </c>
      <c r="AX43" s="44" t="e">
        <f t="shared" si="360"/>
        <v>#DIV/0!</v>
      </c>
      <c r="AY43" s="44" t="e">
        <f t="shared" si="361"/>
        <v>#DIV/0!</v>
      </c>
      <c r="AZ43" s="44" t="e">
        <f t="shared" si="362"/>
        <v>#DIV/0!</v>
      </c>
      <c r="BA43" s="44" t="e">
        <f t="shared" si="363"/>
        <v>#DIV/0!</v>
      </c>
      <c r="BB43" s="44" t="e">
        <f t="shared" si="364"/>
        <v>#DIV/0!</v>
      </c>
      <c r="BC43" s="44" t="e">
        <f t="shared" si="365"/>
        <v>#DIV/0!</v>
      </c>
      <c r="BD43" s="44" t="e">
        <f t="shared" si="366"/>
        <v>#DIV/0!</v>
      </c>
      <c r="BE43" s="44" t="e">
        <f t="shared" si="367"/>
        <v>#DIV/0!</v>
      </c>
      <c r="BF43" s="44" t="e">
        <f t="shared" si="368"/>
        <v>#DIV/0!</v>
      </c>
      <c r="BG43" s="44" t="e">
        <f t="shared" si="369"/>
        <v>#DIV/0!</v>
      </c>
      <c r="BH43" s="44" t="e">
        <f t="shared" si="370"/>
        <v>#DIV/0!</v>
      </c>
      <c r="BI43" s="44" t="e">
        <f t="shared" si="371"/>
        <v>#DIV/0!</v>
      </c>
      <c r="BJ43" s="44" t="e">
        <f t="shared" si="372"/>
        <v>#DIV/0!</v>
      </c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31"/>
      <c r="CA43" s="34"/>
      <c r="CB43" s="45"/>
      <c r="CC43" s="49"/>
      <c r="CD43" s="99"/>
      <c r="CE43" s="49"/>
      <c r="CF43" s="99"/>
      <c r="CG43" s="49"/>
      <c r="CH43" s="99"/>
      <c r="CI43" s="49"/>
      <c r="CJ43" s="99"/>
      <c r="CK43" s="49"/>
      <c r="CL43" s="99"/>
      <c r="CM43" s="49"/>
      <c r="CN43" s="99"/>
      <c r="CO43" s="49"/>
      <c r="CP43" s="249"/>
    </row>
    <row r="44" spans="3:94" x14ac:dyDescent="0.25">
      <c r="C44" s="50"/>
      <c r="D44" s="69" t="s">
        <v>40</v>
      </c>
      <c r="E44" s="31"/>
      <c r="F44" s="31"/>
      <c r="G44" s="31"/>
      <c r="H44" s="45"/>
      <c r="W44" s="46"/>
      <c r="Y44" s="45"/>
      <c r="Z44" s="31"/>
      <c r="AA44" s="250" t="e">
        <f t="shared" si="416"/>
        <v>#DIV/0!</v>
      </c>
      <c r="AB44" s="31"/>
      <c r="AC44" s="20"/>
      <c r="AD44" s="81" t="e">
        <f t="shared" ref="AD44" si="431">AA44*AC44</f>
        <v>#DIV/0!</v>
      </c>
      <c r="AE44" s="20" t="e">
        <f t="shared" si="386"/>
        <v>#DIV/0!</v>
      </c>
      <c r="AF44" s="31"/>
      <c r="AG44" s="20" t="e">
        <f>AE44+AE45</f>
        <v>#DIV/0!</v>
      </c>
      <c r="AH44" s="48" t="e">
        <f t="shared" si="345"/>
        <v>#DIV/0!</v>
      </c>
      <c r="AI44" s="48" t="e">
        <f t="shared" si="346"/>
        <v>#DIV/0!</v>
      </c>
      <c r="AJ44" s="48" t="e">
        <f t="shared" si="347"/>
        <v>#DIV/0!</v>
      </c>
      <c r="AK44" s="48" t="e">
        <f t="shared" si="348"/>
        <v>#DIV/0!</v>
      </c>
      <c r="AL44" s="48" t="e">
        <f t="shared" si="349"/>
        <v>#DIV/0!</v>
      </c>
      <c r="AM44" s="48" t="e">
        <f t="shared" si="350"/>
        <v>#DIV/0!</v>
      </c>
      <c r="AN44" s="48" t="e">
        <f t="shared" si="351"/>
        <v>#DIV/0!</v>
      </c>
      <c r="AO44" s="48" t="e">
        <f t="shared" si="352"/>
        <v>#DIV/0!</v>
      </c>
      <c r="AP44" s="48" t="e">
        <f t="shared" si="353"/>
        <v>#DIV/0!</v>
      </c>
      <c r="AQ44" s="48" t="e">
        <f t="shared" si="354"/>
        <v>#DIV/0!</v>
      </c>
      <c r="AR44" s="48" t="e">
        <f t="shared" si="355"/>
        <v>#DIV/0!</v>
      </c>
      <c r="AS44" s="48" t="e">
        <f t="shared" si="356"/>
        <v>#DIV/0!</v>
      </c>
      <c r="AT44" s="48" t="e">
        <f t="shared" si="357"/>
        <v>#DIV/0!</v>
      </c>
      <c r="AU44" s="48" t="e">
        <f t="shared" si="358"/>
        <v>#DIV/0!</v>
      </c>
      <c r="AV44" s="46"/>
      <c r="AW44" s="44" t="e">
        <f t="shared" si="359"/>
        <v>#DIV/0!</v>
      </c>
      <c r="AX44" s="44" t="e">
        <f t="shared" si="360"/>
        <v>#DIV/0!</v>
      </c>
      <c r="AY44" s="44" t="e">
        <f t="shared" si="361"/>
        <v>#DIV/0!</v>
      </c>
      <c r="AZ44" s="44" t="e">
        <f t="shared" si="362"/>
        <v>#DIV/0!</v>
      </c>
      <c r="BA44" s="44" t="e">
        <f t="shared" si="363"/>
        <v>#DIV/0!</v>
      </c>
      <c r="BB44" s="44" t="e">
        <f t="shared" si="364"/>
        <v>#DIV/0!</v>
      </c>
      <c r="BC44" s="44" t="e">
        <f t="shared" si="365"/>
        <v>#DIV/0!</v>
      </c>
      <c r="BD44" s="44" t="e">
        <f t="shared" si="366"/>
        <v>#DIV/0!</v>
      </c>
      <c r="BE44" s="44" t="e">
        <f t="shared" si="367"/>
        <v>#DIV/0!</v>
      </c>
      <c r="BF44" s="44" t="e">
        <f t="shared" si="368"/>
        <v>#DIV/0!</v>
      </c>
      <c r="BG44" s="44" t="e">
        <f t="shared" si="369"/>
        <v>#DIV/0!</v>
      </c>
      <c r="BH44" s="44" t="e">
        <f t="shared" si="370"/>
        <v>#DIV/0!</v>
      </c>
      <c r="BI44" s="44" t="e">
        <f t="shared" si="371"/>
        <v>#DIV/0!</v>
      </c>
      <c r="BJ44" s="44" t="e">
        <f t="shared" si="372"/>
        <v>#DIV/0!</v>
      </c>
      <c r="BK44" s="20"/>
      <c r="BL44" s="20" t="e">
        <f>AW44+AW45</f>
        <v>#DIV/0!</v>
      </c>
      <c r="BM44" s="20" t="e">
        <f t="shared" ref="BM44" si="432">AX44+AX45</f>
        <v>#DIV/0!</v>
      </c>
      <c r="BN44" s="20" t="e">
        <f t="shared" ref="BN44" si="433">AY44+AY45</f>
        <v>#DIV/0!</v>
      </c>
      <c r="BO44" s="20" t="e">
        <f t="shared" ref="BO44" si="434">AZ44+AZ45</f>
        <v>#DIV/0!</v>
      </c>
      <c r="BP44" s="20" t="e">
        <f t="shared" ref="BP44" si="435">BA44+BA45</f>
        <v>#DIV/0!</v>
      </c>
      <c r="BQ44" s="20" t="e">
        <f t="shared" ref="BQ44" si="436">BB44+BB45</f>
        <v>#DIV/0!</v>
      </c>
      <c r="BR44" s="20" t="e">
        <f t="shared" ref="BR44" si="437">BC44+BC45</f>
        <v>#DIV/0!</v>
      </c>
      <c r="BS44" s="20" t="e">
        <f t="shared" ref="BS44" si="438">BD44+BD45</f>
        <v>#DIV/0!</v>
      </c>
      <c r="BT44" s="20" t="e">
        <f t="shared" ref="BT44" si="439">BE44+BE45</f>
        <v>#DIV/0!</v>
      </c>
      <c r="BU44" s="20" t="e">
        <f t="shared" ref="BU44" si="440">BF44+BF45</f>
        <v>#DIV/0!</v>
      </c>
      <c r="BV44" s="20" t="e">
        <f t="shared" ref="BV44" si="441">BG44+BG45</f>
        <v>#DIV/0!</v>
      </c>
      <c r="BW44" s="20" t="e">
        <f t="shared" ref="BW44" si="442">BH44+BH45</f>
        <v>#DIV/0!</v>
      </c>
      <c r="BX44" s="20" t="e">
        <f t="shared" ref="BX44" si="443">BI44+BI45</f>
        <v>#DIV/0!</v>
      </c>
      <c r="BY44" s="20"/>
      <c r="BZ44" s="31"/>
      <c r="CA44" s="34"/>
      <c r="CB44" s="45"/>
      <c r="CC44" s="49"/>
      <c r="CD44" s="99"/>
      <c r="CE44" s="49"/>
      <c r="CF44" s="99"/>
      <c r="CG44" s="49"/>
      <c r="CH44" s="99"/>
      <c r="CI44" s="49"/>
      <c r="CJ44" s="99"/>
      <c r="CK44" s="49"/>
      <c r="CL44" s="99"/>
      <c r="CM44" s="49"/>
      <c r="CN44" s="99"/>
      <c r="CO44" s="49"/>
      <c r="CP44" s="249"/>
    </row>
    <row r="45" spans="3:94" ht="16.5" thickBot="1" x14ac:dyDescent="0.3">
      <c r="C45" s="251"/>
      <c r="D45" s="252"/>
      <c r="E45" s="253"/>
      <c r="F45" s="253"/>
      <c r="G45" s="253"/>
      <c r="H45" s="254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6"/>
      <c r="X45" s="119"/>
      <c r="Y45" s="254"/>
      <c r="Z45" s="253"/>
      <c r="AA45" s="257" t="e">
        <f t="shared" si="416"/>
        <v>#DIV/0!</v>
      </c>
      <c r="AB45" s="253"/>
      <c r="AC45" s="258"/>
      <c r="AD45" s="259" t="e">
        <f>AA45*AC45</f>
        <v>#DIV/0!</v>
      </c>
      <c r="AE45" s="258" t="e">
        <f t="shared" si="386"/>
        <v>#DIV/0!</v>
      </c>
      <c r="AF45" s="253"/>
      <c r="AG45" s="119"/>
      <c r="AH45" s="260" t="e">
        <f t="shared" ref="AH45:AU45" si="444">AH44</f>
        <v>#DIV/0!</v>
      </c>
      <c r="AI45" s="260" t="e">
        <f t="shared" si="444"/>
        <v>#DIV/0!</v>
      </c>
      <c r="AJ45" s="260" t="e">
        <f t="shared" si="444"/>
        <v>#DIV/0!</v>
      </c>
      <c r="AK45" s="260" t="e">
        <f t="shared" si="444"/>
        <v>#DIV/0!</v>
      </c>
      <c r="AL45" s="260" t="e">
        <f t="shared" si="444"/>
        <v>#DIV/0!</v>
      </c>
      <c r="AM45" s="260" t="e">
        <f t="shared" si="444"/>
        <v>#DIV/0!</v>
      </c>
      <c r="AN45" s="260" t="e">
        <f t="shared" si="444"/>
        <v>#DIV/0!</v>
      </c>
      <c r="AO45" s="260" t="e">
        <f t="shared" si="444"/>
        <v>#DIV/0!</v>
      </c>
      <c r="AP45" s="260" t="e">
        <f t="shared" si="444"/>
        <v>#DIV/0!</v>
      </c>
      <c r="AQ45" s="260" t="e">
        <f t="shared" si="444"/>
        <v>#DIV/0!</v>
      </c>
      <c r="AR45" s="260" t="e">
        <f t="shared" si="444"/>
        <v>#DIV/0!</v>
      </c>
      <c r="AS45" s="260" t="e">
        <f t="shared" si="444"/>
        <v>#DIV/0!</v>
      </c>
      <c r="AT45" s="260" t="e">
        <f t="shared" si="444"/>
        <v>#DIV/0!</v>
      </c>
      <c r="AU45" s="260" t="e">
        <f t="shared" si="444"/>
        <v>#DIV/0!</v>
      </c>
      <c r="AV45" s="145"/>
      <c r="AW45" s="261" t="e">
        <f t="shared" si="359"/>
        <v>#DIV/0!</v>
      </c>
      <c r="AX45" s="261" t="e">
        <f t="shared" si="360"/>
        <v>#DIV/0!</v>
      </c>
      <c r="AY45" s="261" t="e">
        <f t="shared" si="361"/>
        <v>#DIV/0!</v>
      </c>
      <c r="AZ45" s="261" t="e">
        <f t="shared" si="362"/>
        <v>#DIV/0!</v>
      </c>
      <c r="BA45" s="261" t="e">
        <f t="shared" si="363"/>
        <v>#DIV/0!</v>
      </c>
      <c r="BB45" s="261" t="e">
        <f t="shared" si="364"/>
        <v>#DIV/0!</v>
      </c>
      <c r="BC45" s="261" t="e">
        <f t="shared" si="365"/>
        <v>#DIV/0!</v>
      </c>
      <c r="BD45" s="261" t="e">
        <f t="shared" si="366"/>
        <v>#DIV/0!</v>
      </c>
      <c r="BE45" s="261" t="e">
        <f t="shared" si="367"/>
        <v>#DIV/0!</v>
      </c>
      <c r="BF45" s="261" t="e">
        <f t="shared" si="368"/>
        <v>#DIV/0!</v>
      </c>
      <c r="BG45" s="261" t="e">
        <f t="shared" si="369"/>
        <v>#DIV/0!</v>
      </c>
      <c r="BH45" s="261" t="e">
        <f t="shared" si="370"/>
        <v>#DIV/0!</v>
      </c>
      <c r="BI45" s="261" t="e">
        <f t="shared" si="371"/>
        <v>#DIV/0!</v>
      </c>
      <c r="BJ45" s="261" t="e">
        <f t="shared" si="372"/>
        <v>#DIV/0!</v>
      </c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143"/>
      <c r="CA45" s="213"/>
      <c r="CB45" s="144"/>
      <c r="CC45" s="263"/>
      <c r="CD45" s="264"/>
      <c r="CE45" s="263"/>
      <c r="CF45" s="264"/>
      <c r="CG45" s="263"/>
      <c r="CH45" s="264"/>
      <c r="CI45" s="263"/>
      <c r="CJ45" s="264"/>
      <c r="CK45" s="263"/>
      <c r="CL45" s="264"/>
      <c r="CM45" s="263"/>
      <c r="CN45" s="264"/>
      <c r="CO45" s="263"/>
      <c r="CP45" s="265"/>
    </row>
    <row r="46" spans="3:94" x14ac:dyDescent="0.25">
      <c r="C46" s="266"/>
      <c r="D46" s="24" t="s">
        <v>39</v>
      </c>
      <c r="E46" s="24"/>
      <c r="F46" s="24"/>
      <c r="G46" s="24"/>
      <c r="H46" s="237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38"/>
      <c r="X46" s="25"/>
      <c r="Y46" s="237"/>
      <c r="Z46" s="24"/>
      <c r="AA46" s="26" t="e">
        <f t="shared" si="416"/>
        <v>#DIV/0!</v>
      </c>
      <c r="AB46" s="24"/>
      <c r="AC46" s="190"/>
      <c r="AD46" s="239" t="e">
        <f t="shared" ref="AD46" si="445">AA46*AC46</f>
        <v>#DIV/0!</v>
      </c>
      <c r="AE46" s="190" t="e">
        <f t="shared" si="386"/>
        <v>#DIV/0!</v>
      </c>
      <c r="AF46" s="24"/>
      <c r="AG46" s="190" t="e">
        <f>AE46+AE47</f>
        <v>#DIV/0!</v>
      </c>
      <c r="AH46" s="240" t="e">
        <f t="shared" ref="AH46" si="446">H46/$G46</f>
        <v>#DIV/0!</v>
      </c>
      <c r="AI46" s="240" t="e">
        <f t="shared" ref="AI46" si="447">I46/$G46</f>
        <v>#DIV/0!</v>
      </c>
      <c r="AJ46" s="240" t="e">
        <f t="shared" ref="AJ46" si="448">J46/$G46</f>
        <v>#DIV/0!</v>
      </c>
      <c r="AK46" s="240" t="e">
        <f t="shared" ref="AK46" si="449">K46/$G46</f>
        <v>#DIV/0!</v>
      </c>
      <c r="AL46" s="240" t="e">
        <f t="shared" ref="AL46" si="450">L46/$G46</f>
        <v>#DIV/0!</v>
      </c>
      <c r="AM46" s="240" t="e">
        <f t="shared" ref="AM46" si="451">M46/$G46</f>
        <v>#DIV/0!</v>
      </c>
      <c r="AN46" s="240" t="e">
        <f t="shared" ref="AN46" si="452">N46/$G46</f>
        <v>#DIV/0!</v>
      </c>
      <c r="AO46" s="240" t="e">
        <f t="shared" ref="AO46" si="453">O46/$G46</f>
        <v>#DIV/0!</v>
      </c>
      <c r="AP46" s="240" t="e">
        <f t="shared" ref="AP46" si="454">P46/$G46</f>
        <v>#DIV/0!</v>
      </c>
      <c r="AQ46" s="240" t="e">
        <f t="shared" ref="AQ46" si="455">Q46/$G46</f>
        <v>#DIV/0!</v>
      </c>
      <c r="AR46" s="240" t="e">
        <f t="shared" ref="AR46" si="456">R46/$G46</f>
        <v>#DIV/0!</v>
      </c>
      <c r="AS46" s="240" t="e">
        <f t="shared" ref="AS46" si="457">S46/$G46</f>
        <v>#DIV/0!</v>
      </c>
      <c r="AT46" s="240" t="e">
        <f t="shared" ref="AT46" si="458">T46/$G46</f>
        <v>#DIV/0!</v>
      </c>
      <c r="AU46" s="240" t="e">
        <f t="shared" ref="AU46" si="459">U46/$G46</f>
        <v>#DIV/0!</v>
      </c>
      <c r="AV46" s="238"/>
      <c r="AW46" s="190" t="e">
        <f t="shared" ref="AW46:AW85" si="460">AH46*$AE46</f>
        <v>#DIV/0!</v>
      </c>
      <c r="AX46" s="190" t="e">
        <f t="shared" ref="AX46:AX85" si="461">AI46*$AE46</f>
        <v>#DIV/0!</v>
      </c>
      <c r="AY46" s="190" t="e">
        <f t="shared" ref="AY46:AY85" si="462">AJ46*$AE46</f>
        <v>#DIV/0!</v>
      </c>
      <c r="AZ46" s="190" t="e">
        <f t="shared" ref="AZ46:AZ85" si="463">AK46*$AE46</f>
        <v>#DIV/0!</v>
      </c>
      <c r="BA46" s="190" t="e">
        <f t="shared" ref="BA46:BA85" si="464">AL46*$AE46</f>
        <v>#DIV/0!</v>
      </c>
      <c r="BB46" s="190" t="e">
        <f t="shared" ref="BB46:BB85" si="465">AM46*$AE46</f>
        <v>#DIV/0!</v>
      </c>
      <c r="BC46" s="190" t="e">
        <f t="shared" ref="BC46:BC85" si="466">AN46*$AE46</f>
        <v>#DIV/0!</v>
      </c>
      <c r="BD46" s="190" t="e">
        <f t="shared" ref="BD46:BD85" si="467">AO46*$AE46</f>
        <v>#DIV/0!</v>
      </c>
      <c r="BE46" s="190" t="e">
        <f t="shared" ref="BE46:BE85" si="468">AP46*$AE46</f>
        <v>#DIV/0!</v>
      </c>
      <c r="BF46" s="190" t="e">
        <f t="shared" ref="BF46:BF85" si="469">AQ46*$AE46</f>
        <v>#DIV/0!</v>
      </c>
      <c r="BG46" s="190" t="e">
        <f t="shared" ref="BG46:BG85" si="470">AR46*$AE46</f>
        <v>#DIV/0!</v>
      </c>
      <c r="BH46" s="190" t="e">
        <f t="shared" ref="BH46:BH85" si="471">AS46*$AE46</f>
        <v>#DIV/0!</v>
      </c>
      <c r="BI46" s="190" t="e">
        <f t="shared" ref="BI46:BI85" si="472">AT46*$AE46</f>
        <v>#DIV/0!</v>
      </c>
      <c r="BJ46" s="190" t="e">
        <f t="shared" ref="BJ46:BJ85" si="473">AU46*$AE46</f>
        <v>#DIV/0!</v>
      </c>
      <c r="BK46" s="190"/>
      <c r="BL46" s="190" t="e">
        <f>AW46+AW47</f>
        <v>#DIV/0!</v>
      </c>
      <c r="BM46" s="190" t="e">
        <f t="shared" ref="BM46" si="474">AX46+AX47</f>
        <v>#DIV/0!</v>
      </c>
      <c r="BN46" s="190" t="e">
        <f t="shared" ref="BN46" si="475">AY46+AY47</f>
        <v>#DIV/0!</v>
      </c>
      <c r="BO46" s="190" t="e">
        <f t="shared" ref="BO46" si="476">AZ46+AZ47</f>
        <v>#DIV/0!</v>
      </c>
      <c r="BP46" s="190" t="e">
        <f t="shared" ref="BP46" si="477">BA46+BA47</f>
        <v>#DIV/0!</v>
      </c>
      <c r="BQ46" s="190" t="e">
        <f t="shared" ref="BQ46" si="478">BB46+BB47</f>
        <v>#DIV/0!</v>
      </c>
      <c r="BR46" s="190" t="e">
        <f t="shared" ref="BR46" si="479">BC46+BC47</f>
        <v>#DIV/0!</v>
      </c>
      <c r="BS46" s="190" t="e">
        <f t="shared" ref="BS46" si="480">BD46+BD47</f>
        <v>#DIV/0!</v>
      </c>
      <c r="BT46" s="190" t="e">
        <f t="shared" ref="BT46" si="481">BE46+BE47</f>
        <v>#DIV/0!</v>
      </c>
      <c r="BU46" s="190" t="e">
        <f t="shared" ref="BU46" si="482">BF46+BF47</f>
        <v>#DIV/0!</v>
      </c>
      <c r="BV46" s="190" t="e">
        <f t="shared" ref="BV46" si="483">BG46+BG47</f>
        <v>#DIV/0!</v>
      </c>
      <c r="BW46" s="190" t="e">
        <f t="shared" ref="BW46" si="484">BH46+BH47</f>
        <v>#DIV/0!</v>
      </c>
      <c r="BX46" s="190" t="e">
        <f t="shared" ref="BX46" si="485">BI46+BI47</f>
        <v>#DIV/0!</v>
      </c>
      <c r="BY46" s="190"/>
      <c r="BZ46" s="24"/>
      <c r="CA46" s="241">
        <v>7</v>
      </c>
      <c r="CB46" s="25"/>
      <c r="CC46" s="242" t="e">
        <f t="shared" ref="CC46" si="486">AVERAGE(AW46:AW54)*$CA46</f>
        <v>#DIV/0!</v>
      </c>
      <c r="CD46" s="243" t="e">
        <f t="shared" ref="CD46" si="487">AVERAGE(AX46:AX54)*$CA46</f>
        <v>#DIV/0!</v>
      </c>
      <c r="CE46" s="242" t="e">
        <f t="shared" ref="CE46" si="488">AVERAGE(AY46:AY54)*$CA46</f>
        <v>#DIV/0!</v>
      </c>
      <c r="CF46" s="243" t="e">
        <f t="shared" ref="CF46" si="489">AVERAGE(AZ46:AZ54)*$CA46</f>
        <v>#DIV/0!</v>
      </c>
      <c r="CG46" s="242" t="e">
        <f t="shared" ref="CG46" si="490">AVERAGE(BA46:BA54)*$CA46</f>
        <v>#DIV/0!</v>
      </c>
      <c r="CH46" s="243" t="e">
        <f t="shared" ref="CH46" si="491">AVERAGE(BB46:BB54)*$CA46</f>
        <v>#DIV/0!</v>
      </c>
      <c r="CI46" s="242" t="e">
        <f t="shared" ref="CI46" si="492">AVERAGE(BC46:BC54)*$CA46</f>
        <v>#DIV/0!</v>
      </c>
      <c r="CJ46" s="243" t="e">
        <f t="shared" ref="CJ46" si="493">AVERAGE(BD46:BD54)*$CA46</f>
        <v>#DIV/0!</v>
      </c>
      <c r="CK46" s="242" t="e">
        <f t="shared" ref="CK46" si="494">AVERAGE(BE46:BE54)*$CA46</f>
        <v>#DIV/0!</v>
      </c>
      <c r="CL46" s="243" t="e">
        <f t="shared" ref="CL46" si="495">AVERAGE(BF46:BF54)*$CA46</f>
        <v>#DIV/0!</v>
      </c>
      <c r="CM46" s="242" t="e">
        <f t="shared" ref="CM46" si="496">AVERAGE(BG46:BG54)*$CA46</f>
        <v>#DIV/0!</v>
      </c>
      <c r="CN46" s="243" t="e">
        <f t="shared" ref="CN46" si="497">AVERAGE(BH46:BH54)*$CA46</f>
        <v>#DIV/0!</v>
      </c>
      <c r="CO46" s="242" t="e">
        <f t="shared" ref="CO46" si="498">AVERAGE(BI46:BI54)*$CA46</f>
        <v>#DIV/0!</v>
      </c>
      <c r="CP46" s="244" t="e">
        <f t="shared" ref="CP46" si="499">AVERAGE(BJ46:BJ54)*$CA46</f>
        <v>#DIV/0!</v>
      </c>
    </row>
    <row r="47" spans="3:94" x14ac:dyDescent="0.25">
      <c r="C47" s="267"/>
      <c r="D47" s="70"/>
      <c r="E47" s="67"/>
      <c r="F47" s="67"/>
      <c r="G47" s="67"/>
      <c r="H47" s="6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66"/>
      <c r="Y47" s="65"/>
      <c r="Z47" s="67"/>
      <c r="AA47" s="246" t="e">
        <f t="shared" si="416"/>
        <v>#DIV/0!</v>
      </c>
      <c r="AB47" s="67"/>
      <c r="AC47" s="247"/>
      <c r="AD47" s="80" t="e">
        <f>AA47*AC47</f>
        <v>#DIV/0!</v>
      </c>
      <c r="AE47" s="247" t="e">
        <f t="shared" ref="AE47:AE85" si="500">AD47/AE$15</f>
        <v>#DIV/0!</v>
      </c>
      <c r="AF47" s="67"/>
      <c r="AH47" s="248" t="e">
        <f t="shared" ref="AH47:AU47" si="501">AH46</f>
        <v>#DIV/0!</v>
      </c>
      <c r="AI47" s="248" t="e">
        <f t="shared" si="501"/>
        <v>#DIV/0!</v>
      </c>
      <c r="AJ47" s="248" t="e">
        <f t="shared" si="501"/>
        <v>#DIV/0!</v>
      </c>
      <c r="AK47" s="248" t="e">
        <f t="shared" si="501"/>
        <v>#DIV/0!</v>
      </c>
      <c r="AL47" s="248" t="e">
        <f t="shared" si="501"/>
        <v>#DIV/0!</v>
      </c>
      <c r="AM47" s="248" t="e">
        <f t="shared" si="501"/>
        <v>#DIV/0!</v>
      </c>
      <c r="AN47" s="248" t="e">
        <f t="shared" si="501"/>
        <v>#DIV/0!</v>
      </c>
      <c r="AO47" s="248" t="e">
        <f t="shared" si="501"/>
        <v>#DIV/0!</v>
      </c>
      <c r="AP47" s="248" t="e">
        <f t="shared" si="501"/>
        <v>#DIV/0!</v>
      </c>
      <c r="AQ47" s="248" t="e">
        <f t="shared" si="501"/>
        <v>#DIV/0!</v>
      </c>
      <c r="AR47" s="248" t="e">
        <f t="shared" si="501"/>
        <v>#DIV/0!</v>
      </c>
      <c r="AS47" s="248" t="e">
        <f t="shared" si="501"/>
        <v>#DIV/0!</v>
      </c>
      <c r="AT47" s="248" t="e">
        <f t="shared" si="501"/>
        <v>#DIV/0!</v>
      </c>
      <c r="AU47" s="248" t="e">
        <f t="shared" si="501"/>
        <v>#DIV/0!</v>
      </c>
      <c r="AV47" s="46"/>
      <c r="AW47" s="44" t="e">
        <f t="shared" si="460"/>
        <v>#DIV/0!</v>
      </c>
      <c r="AX47" s="44" t="e">
        <f t="shared" si="461"/>
        <v>#DIV/0!</v>
      </c>
      <c r="AY47" s="44" t="e">
        <f t="shared" si="462"/>
        <v>#DIV/0!</v>
      </c>
      <c r="AZ47" s="44" t="e">
        <f t="shared" si="463"/>
        <v>#DIV/0!</v>
      </c>
      <c r="BA47" s="44" t="e">
        <f t="shared" si="464"/>
        <v>#DIV/0!</v>
      </c>
      <c r="BB47" s="44" t="e">
        <f t="shared" si="465"/>
        <v>#DIV/0!</v>
      </c>
      <c r="BC47" s="44" t="e">
        <f t="shared" si="466"/>
        <v>#DIV/0!</v>
      </c>
      <c r="BD47" s="44" t="e">
        <f t="shared" si="467"/>
        <v>#DIV/0!</v>
      </c>
      <c r="BE47" s="44" t="e">
        <f t="shared" si="468"/>
        <v>#DIV/0!</v>
      </c>
      <c r="BF47" s="44" t="e">
        <f t="shared" si="469"/>
        <v>#DIV/0!</v>
      </c>
      <c r="BG47" s="44" t="e">
        <f t="shared" si="470"/>
        <v>#DIV/0!</v>
      </c>
      <c r="BH47" s="44" t="e">
        <f t="shared" si="471"/>
        <v>#DIV/0!</v>
      </c>
      <c r="BI47" s="44" t="e">
        <f t="shared" si="472"/>
        <v>#DIV/0!</v>
      </c>
      <c r="BJ47" s="44" t="e">
        <f t="shared" si="473"/>
        <v>#DIV/0!</v>
      </c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31"/>
      <c r="CA47" s="34"/>
      <c r="CB47" s="45"/>
      <c r="CC47" s="49"/>
      <c r="CD47" s="99"/>
      <c r="CE47" s="49"/>
      <c r="CF47" s="99"/>
      <c r="CG47" s="49"/>
      <c r="CH47" s="99"/>
      <c r="CI47" s="49"/>
      <c r="CJ47" s="99"/>
      <c r="CK47" s="49"/>
      <c r="CL47" s="99"/>
      <c r="CM47" s="49"/>
      <c r="CN47" s="99"/>
      <c r="CO47" s="49"/>
      <c r="CP47" s="249"/>
    </row>
    <row r="48" spans="3:94" x14ac:dyDescent="0.25">
      <c r="C48" s="50"/>
      <c r="D48" s="31" t="s">
        <v>39</v>
      </c>
      <c r="E48" s="31"/>
      <c r="F48" s="31"/>
      <c r="G48" s="31"/>
      <c r="H48" s="45"/>
      <c r="W48" s="46"/>
      <c r="Y48" s="45"/>
      <c r="Z48" s="31"/>
      <c r="AA48" s="250" t="e">
        <f t="shared" si="416"/>
        <v>#DIV/0!</v>
      </c>
      <c r="AB48" s="31"/>
      <c r="AC48" s="20"/>
      <c r="AD48" s="81" t="e">
        <f t="shared" ref="AD48" si="502">AA48*AC48</f>
        <v>#DIV/0!</v>
      </c>
      <c r="AE48" s="20" t="e">
        <f t="shared" si="500"/>
        <v>#DIV/0!</v>
      </c>
      <c r="AF48" s="31"/>
      <c r="AG48" s="20" t="e">
        <f>AE48+AE49</f>
        <v>#DIV/0!</v>
      </c>
      <c r="AH48" s="48" t="e">
        <f t="shared" ref="AH48" si="503">H48/$G48</f>
        <v>#DIV/0!</v>
      </c>
      <c r="AI48" s="48" t="e">
        <f t="shared" ref="AI48" si="504">I48/$G48</f>
        <v>#DIV/0!</v>
      </c>
      <c r="AJ48" s="48" t="e">
        <f t="shared" ref="AJ48" si="505">J48/$G48</f>
        <v>#DIV/0!</v>
      </c>
      <c r="AK48" s="48" t="e">
        <f t="shared" ref="AK48" si="506">K48/$G48</f>
        <v>#DIV/0!</v>
      </c>
      <c r="AL48" s="48" t="e">
        <f t="shared" ref="AL48" si="507">L48/$G48</f>
        <v>#DIV/0!</v>
      </c>
      <c r="AM48" s="48" t="e">
        <f t="shared" ref="AM48" si="508">M48/$G48</f>
        <v>#DIV/0!</v>
      </c>
      <c r="AN48" s="48" t="e">
        <f t="shared" ref="AN48" si="509">N48/$G48</f>
        <v>#DIV/0!</v>
      </c>
      <c r="AO48" s="48" t="e">
        <f t="shared" ref="AO48" si="510">O48/$G48</f>
        <v>#DIV/0!</v>
      </c>
      <c r="AP48" s="48" t="e">
        <f t="shared" ref="AP48" si="511">P48/$G48</f>
        <v>#DIV/0!</v>
      </c>
      <c r="AQ48" s="48" t="e">
        <f t="shared" ref="AQ48" si="512">Q48/$G48</f>
        <v>#DIV/0!</v>
      </c>
      <c r="AR48" s="48" t="e">
        <f t="shared" ref="AR48" si="513">R48/$G48</f>
        <v>#DIV/0!</v>
      </c>
      <c r="AS48" s="48" t="e">
        <f t="shared" ref="AS48" si="514">S48/$G48</f>
        <v>#DIV/0!</v>
      </c>
      <c r="AT48" s="48" t="e">
        <f t="shared" ref="AT48" si="515">T48/$G48</f>
        <v>#DIV/0!</v>
      </c>
      <c r="AU48" s="48" t="e">
        <f t="shared" ref="AU48" si="516">U48/$G48</f>
        <v>#DIV/0!</v>
      </c>
      <c r="AV48" s="46"/>
      <c r="AW48" s="44" t="e">
        <f t="shared" si="460"/>
        <v>#DIV/0!</v>
      </c>
      <c r="AX48" s="44" t="e">
        <f t="shared" si="461"/>
        <v>#DIV/0!</v>
      </c>
      <c r="AY48" s="44" t="e">
        <f t="shared" si="462"/>
        <v>#DIV/0!</v>
      </c>
      <c r="AZ48" s="44" t="e">
        <f t="shared" si="463"/>
        <v>#DIV/0!</v>
      </c>
      <c r="BA48" s="44" t="e">
        <f t="shared" si="464"/>
        <v>#DIV/0!</v>
      </c>
      <c r="BB48" s="44" t="e">
        <f t="shared" si="465"/>
        <v>#DIV/0!</v>
      </c>
      <c r="BC48" s="44" t="e">
        <f t="shared" si="466"/>
        <v>#DIV/0!</v>
      </c>
      <c r="BD48" s="44" t="e">
        <f t="shared" si="467"/>
        <v>#DIV/0!</v>
      </c>
      <c r="BE48" s="44" t="e">
        <f t="shared" si="468"/>
        <v>#DIV/0!</v>
      </c>
      <c r="BF48" s="44" t="e">
        <f t="shared" si="469"/>
        <v>#DIV/0!</v>
      </c>
      <c r="BG48" s="44" t="e">
        <f t="shared" si="470"/>
        <v>#DIV/0!</v>
      </c>
      <c r="BH48" s="44" t="e">
        <f t="shared" si="471"/>
        <v>#DIV/0!</v>
      </c>
      <c r="BI48" s="44" t="e">
        <f t="shared" si="472"/>
        <v>#DIV/0!</v>
      </c>
      <c r="BJ48" s="44" t="e">
        <f t="shared" si="473"/>
        <v>#DIV/0!</v>
      </c>
      <c r="BK48" s="20"/>
      <c r="BL48" s="20" t="e">
        <f>AW48+AW49</f>
        <v>#DIV/0!</v>
      </c>
      <c r="BM48" s="20" t="e">
        <f t="shared" ref="BM48" si="517">AX48+AX49</f>
        <v>#DIV/0!</v>
      </c>
      <c r="BN48" s="20" t="e">
        <f t="shared" ref="BN48" si="518">AY48+AY49</f>
        <v>#DIV/0!</v>
      </c>
      <c r="BO48" s="20" t="e">
        <f t="shared" ref="BO48" si="519">AZ48+AZ49</f>
        <v>#DIV/0!</v>
      </c>
      <c r="BP48" s="20" t="e">
        <f t="shared" ref="BP48" si="520">BA48+BA49</f>
        <v>#DIV/0!</v>
      </c>
      <c r="BQ48" s="20" t="e">
        <f t="shared" ref="BQ48" si="521">BB48+BB49</f>
        <v>#DIV/0!</v>
      </c>
      <c r="BR48" s="20" t="e">
        <f t="shared" ref="BR48" si="522">BC48+BC49</f>
        <v>#DIV/0!</v>
      </c>
      <c r="BS48" s="20" t="e">
        <f t="shared" ref="BS48" si="523">BD48+BD49</f>
        <v>#DIV/0!</v>
      </c>
      <c r="BT48" s="20" t="e">
        <f t="shared" ref="BT48" si="524">BE48+BE49</f>
        <v>#DIV/0!</v>
      </c>
      <c r="BU48" s="20" t="e">
        <f t="shared" ref="BU48" si="525">BF48+BF49</f>
        <v>#DIV/0!</v>
      </c>
      <c r="BV48" s="20" t="e">
        <f t="shared" ref="BV48" si="526">BG48+BG49</f>
        <v>#DIV/0!</v>
      </c>
      <c r="BW48" s="20" t="e">
        <f t="shared" ref="BW48" si="527">BH48+BH49</f>
        <v>#DIV/0!</v>
      </c>
      <c r="BX48" s="20" t="e">
        <f t="shared" ref="BX48" si="528">BI48+BI49</f>
        <v>#DIV/0!</v>
      </c>
      <c r="BY48" s="20"/>
      <c r="BZ48" s="31"/>
      <c r="CA48" s="34"/>
      <c r="CB48" s="45"/>
      <c r="CC48" s="49"/>
      <c r="CD48" s="99"/>
      <c r="CE48" s="49"/>
      <c r="CF48" s="99"/>
      <c r="CG48" s="49"/>
      <c r="CH48" s="99"/>
      <c r="CI48" s="49"/>
      <c r="CJ48" s="99"/>
      <c r="CK48" s="49"/>
      <c r="CL48" s="99"/>
      <c r="CM48" s="49"/>
      <c r="CN48" s="99"/>
      <c r="CO48" s="49"/>
      <c r="CP48" s="249"/>
    </row>
    <row r="49" spans="3:94" x14ac:dyDescent="0.25">
      <c r="C49" s="267"/>
      <c r="D49" s="70"/>
      <c r="E49" s="67"/>
      <c r="F49" s="67"/>
      <c r="G49" s="67"/>
      <c r="H49" s="6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66"/>
      <c r="Y49" s="65"/>
      <c r="Z49" s="67"/>
      <c r="AA49" s="246" t="e">
        <f t="shared" si="416"/>
        <v>#DIV/0!</v>
      </c>
      <c r="AB49" s="67"/>
      <c r="AC49" s="247"/>
      <c r="AD49" s="80" t="e">
        <f>AA49*AC49</f>
        <v>#DIV/0!</v>
      </c>
      <c r="AE49" s="247" t="e">
        <f t="shared" si="500"/>
        <v>#DIV/0!</v>
      </c>
      <c r="AF49" s="67"/>
      <c r="AH49" s="248" t="e">
        <f t="shared" ref="AH49:AU49" si="529">AH48</f>
        <v>#DIV/0!</v>
      </c>
      <c r="AI49" s="248" t="e">
        <f t="shared" si="529"/>
        <v>#DIV/0!</v>
      </c>
      <c r="AJ49" s="248" t="e">
        <f t="shared" si="529"/>
        <v>#DIV/0!</v>
      </c>
      <c r="AK49" s="248" t="e">
        <f t="shared" si="529"/>
        <v>#DIV/0!</v>
      </c>
      <c r="AL49" s="248" t="e">
        <f t="shared" si="529"/>
        <v>#DIV/0!</v>
      </c>
      <c r="AM49" s="248" t="e">
        <f t="shared" si="529"/>
        <v>#DIV/0!</v>
      </c>
      <c r="AN49" s="248" t="e">
        <f t="shared" si="529"/>
        <v>#DIV/0!</v>
      </c>
      <c r="AO49" s="248" t="e">
        <f t="shared" si="529"/>
        <v>#DIV/0!</v>
      </c>
      <c r="AP49" s="248" t="e">
        <f t="shared" si="529"/>
        <v>#DIV/0!</v>
      </c>
      <c r="AQ49" s="248" t="e">
        <f t="shared" si="529"/>
        <v>#DIV/0!</v>
      </c>
      <c r="AR49" s="248" t="e">
        <f t="shared" si="529"/>
        <v>#DIV/0!</v>
      </c>
      <c r="AS49" s="248" t="e">
        <f t="shared" si="529"/>
        <v>#DIV/0!</v>
      </c>
      <c r="AT49" s="248" t="e">
        <f t="shared" si="529"/>
        <v>#DIV/0!</v>
      </c>
      <c r="AU49" s="248" t="e">
        <f t="shared" si="529"/>
        <v>#DIV/0!</v>
      </c>
      <c r="AV49" s="46"/>
      <c r="AW49" s="44" t="e">
        <f t="shared" si="460"/>
        <v>#DIV/0!</v>
      </c>
      <c r="AX49" s="44" t="e">
        <f t="shared" si="461"/>
        <v>#DIV/0!</v>
      </c>
      <c r="AY49" s="44" t="e">
        <f t="shared" si="462"/>
        <v>#DIV/0!</v>
      </c>
      <c r="AZ49" s="44" t="e">
        <f t="shared" si="463"/>
        <v>#DIV/0!</v>
      </c>
      <c r="BA49" s="44" t="e">
        <f t="shared" si="464"/>
        <v>#DIV/0!</v>
      </c>
      <c r="BB49" s="44" t="e">
        <f t="shared" si="465"/>
        <v>#DIV/0!</v>
      </c>
      <c r="BC49" s="44" t="e">
        <f t="shared" si="466"/>
        <v>#DIV/0!</v>
      </c>
      <c r="BD49" s="44" t="e">
        <f t="shared" si="467"/>
        <v>#DIV/0!</v>
      </c>
      <c r="BE49" s="44" t="e">
        <f t="shared" si="468"/>
        <v>#DIV/0!</v>
      </c>
      <c r="BF49" s="44" t="e">
        <f t="shared" si="469"/>
        <v>#DIV/0!</v>
      </c>
      <c r="BG49" s="44" t="e">
        <f t="shared" si="470"/>
        <v>#DIV/0!</v>
      </c>
      <c r="BH49" s="44" t="e">
        <f t="shared" si="471"/>
        <v>#DIV/0!</v>
      </c>
      <c r="BI49" s="44" t="e">
        <f t="shared" si="472"/>
        <v>#DIV/0!</v>
      </c>
      <c r="BJ49" s="44" t="e">
        <f t="shared" si="473"/>
        <v>#DIV/0!</v>
      </c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31"/>
      <c r="CA49" s="34"/>
      <c r="CB49" s="45"/>
      <c r="CC49" s="49"/>
      <c r="CD49" s="99"/>
      <c r="CE49" s="49"/>
      <c r="CF49" s="99"/>
      <c r="CG49" s="49"/>
      <c r="CH49" s="99"/>
      <c r="CI49" s="49"/>
      <c r="CJ49" s="99"/>
      <c r="CK49" s="49"/>
      <c r="CL49" s="99"/>
      <c r="CM49" s="49"/>
      <c r="CN49" s="99"/>
      <c r="CO49" s="49"/>
      <c r="CP49" s="249"/>
    </row>
    <row r="50" spans="3:94" x14ac:dyDescent="0.25">
      <c r="C50" s="50"/>
      <c r="D50" s="31" t="s">
        <v>39</v>
      </c>
      <c r="E50" s="31"/>
      <c r="F50" s="31"/>
      <c r="G50" s="31"/>
      <c r="H50" s="45"/>
      <c r="W50" s="46"/>
      <c r="Y50" s="45"/>
      <c r="Z50" s="31"/>
      <c r="AA50" s="250" t="e">
        <f t="shared" si="416"/>
        <v>#DIV/0!</v>
      </c>
      <c r="AB50" s="31"/>
      <c r="AC50" s="20"/>
      <c r="AD50" s="81" t="e">
        <f t="shared" ref="AD50" si="530">AA50*AC50</f>
        <v>#DIV/0!</v>
      </c>
      <c r="AE50" s="20" t="e">
        <f t="shared" si="500"/>
        <v>#DIV/0!</v>
      </c>
      <c r="AF50" s="31"/>
      <c r="AG50" s="20" t="e">
        <f>AE50+AE51</f>
        <v>#DIV/0!</v>
      </c>
      <c r="AH50" s="48" t="e">
        <f t="shared" ref="AH50" si="531">H50/$G50</f>
        <v>#DIV/0!</v>
      </c>
      <c r="AI50" s="48" t="e">
        <f t="shared" ref="AI50" si="532">I50/$G50</f>
        <v>#DIV/0!</v>
      </c>
      <c r="AJ50" s="48" t="e">
        <f t="shared" ref="AJ50" si="533">J50/$G50</f>
        <v>#DIV/0!</v>
      </c>
      <c r="AK50" s="48" t="e">
        <f t="shared" ref="AK50" si="534">K50/$G50</f>
        <v>#DIV/0!</v>
      </c>
      <c r="AL50" s="48" t="e">
        <f t="shared" ref="AL50" si="535">L50/$G50</f>
        <v>#DIV/0!</v>
      </c>
      <c r="AM50" s="48" t="e">
        <f t="shared" ref="AM50" si="536">M50/$G50</f>
        <v>#DIV/0!</v>
      </c>
      <c r="AN50" s="48" t="e">
        <f t="shared" ref="AN50" si="537">N50/$G50</f>
        <v>#DIV/0!</v>
      </c>
      <c r="AO50" s="48" t="e">
        <f t="shared" ref="AO50" si="538">O50/$G50</f>
        <v>#DIV/0!</v>
      </c>
      <c r="AP50" s="48" t="e">
        <f t="shared" ref="AP50" si="539">P50/$G50</f>
        <v>#DIV/0!</v>
      </c>
      <c r="AQ50" s="48" t="e">
        <f t="shared" ref="AQ50" si="540">Q50/$G50</f>
        <v>#DIV/0!</v>
      </c>
      <c r="AR50" s="48" t="e">
        <f t="shared" ref="AR50" si="541">R50/$G50</f>
        <v>#DIV/0!</v>
      </c>
      <c r="AS50" s="48" t="e">
        <f t="shared" ref="AS50" si="542">S50/$G50</f>
        <v>#DIV/0!</v>
      </c>
      <c r="AT50" s="48" t="e">
        <f t="shared" ref="AT50" si="543">T50/$G50</f>
        <v>#DIV/0!</v>
      </c>
      <c r="AU50" s="48" t="e">
        <f t="shared" ref="AU50" si="544">U50/$G50</f>
        <v>#DIV/0!</v>
      </c>
      <c r="AV50" s="46"/>
      <c r="AW50" s="44" t="e">
        <f t="shared" si="460"/>
        <v>#DIV/0!</v>
      </c>
      <c r="AX50" s="44" t="e">
        <f t="shared" si="461"/>
        <v>#DIV/0!</v>
      </c>
      <c r="AY50" s="44" t="e">
        <f t="shared" si="462"/>
        <v>#DIV/0!</v>
      </c>
      <c r="AZ50" s="44" t="e">
        <f t="shared" si="463"/>
        <v>#DIV/0!</v>
      </c>
      <c r="BA50" s="44" t="e">
        <f t="shared" si="464"/>
        <v>#DIV/0!</v>
      </c>
      <c r="BB50" s="44" t="e">
        <f t="shared" si="465"/>
        <v>#DIV/0!</v>
      </c>
      <c r="BC50" s="44" t="e">
        <f t="shared" si="466"/>
        <v>#DIV/0!</v>
      </c>
      <c r="BD50" s="44" t="e">
        <f t="shared" si="467"/>
        <v>#DIV/0!</v>
      </c>
      <c r="BE50" s="44" t="e">
        <f t="shared" si="468"/>
        <v>#DIV/0!</v>
      </c>
      <c r="BF50" s="44" t="e">
        <f t="shared" si="469"/>
        <v>#DIV/0!</v>
      </c>
      <c r="BG50" s="44" t="e">
        <f t="shared" si="470"/>
        <v>#DIV/0!</v>
      </c>
      <c r="BH50" s="44" t="e">
        <f t="shared" si="471"/>
        <v>#DIV/0!</v>
      </c>
      <c r="BI50" s="44" t="e">
        <f t="shared" si="472"/>
        <v>#DIV/0!</v>
      </c>
      <c r="BJ50" s="44" t="e">
        <f t="shared" si="473"/>
        <v>#DIV/0!</v>
      </c>
      <c r="BK50" s="20"/>
      <c r="BL50" s="20" t="e">
        <f>AW50+AW51</f>
        <v>#DIV/0!</v>
      </c>
      <c r="BM50" s="20" t="e">
        <f t="shared" ref="BM50" si="545">AX50+AX51</f>
        <v>#DIV/0!</v>
      </c>
      <c r="BN50" s="20" t="e">
        <f t="shared" ref="BN50" si="546">AY50+AY51</f>
        <v>#DIV/0!</v>
      </c>
      <c r="BO50" s="20" t="e">
        <f t="shared" ref="BO50" si="547">AZ50+AZ51</f>
        <v>#DIV/0!</v>
      </c>
      <c r="BP50" s="20" t="e">
        <f t="shared" ref="BP50" si="548">BA50+BA51</f>
        <v>#DIV/0!</v>
      </c>
      <c r="BQ50" s="20" t="e">
        <f t="shared" ref="BQ50" si="549">BB50+BB51</f>
        <v>#DIV/0!</v>
      </c>
      <c r="BR50" s="20" t="e">
        <f t="shared" ref="BR50" si="550">BC50+BC51</f>
        <v>#DIV/0!</v>
      </c>
      <c r="BS50" s="20" t="e">
        <f t="shared" ref="BS50" si="551">BD50+BD51</f>
        <v>#DIV/0!</v>
      </c>
      <c r="BT50" s="20" t="e">
        <f t="shared" ref="BT50" si="552">BE50+BE51</f>
        <v>#DIV/0!</v>
      </c>
      <c r="BU50" s="20" t="e">
        <f t="shared" ref="BU50" si="553">BF50+BF51</f>
        <v>#DIV/0!</v>
      </c>
      <c r="BV50" s="20" t="e">
        <f t="shared" ref="BV50" si="554">BG50+BG51</f>
        <v>#DIV/0!</v>
      </c>
      <c r="BW50" s="20" t="e">
        <f t="shared" ref="BW50" si="555">BH50+BH51</f>
        <v>#DIV/0!</v>
      </c>
      <c r="BX50" s="20" t="e">
        <f t="shared" ref="BX50" si="556">BI50+BI51</f>
        <v>#DIV/0!</v>
      </c>
      <c r="BY50" s="20"/>
      <c r="BZ50" s="31"/>
      <c r="CA50" s="34"/>
      <c r="CB50" s="45"/>
      <c r="CC50" s="49"/>
      <c r="CD50" s="99"/>
      <c r="CE50" s="49"/>
      <c r="CF50" s="99"/>
      <c r="CG50" s="49"/>
      <c r="CH50" s="99"/>
      <c r="CI50" s="49"/>
      <c r="CJ50" s="99"/>
      <c r="CK50" s="49"/>
      <c r="CL50" s="99"/>
      <c r="CM50" s="49"/>
      <c r="CN50" s="99"/>
      <c r="CO50" s="49"/>
      <c r="CP50" s="249"/>
    </row>
    <row r="51" spans="3:94" x14ac:dyDescent="0.25">
      <c r="C51" s="267"/>
      <c r="D51" s="70"/>
      <c r="E51" s="67"/>
      <c r="F51" s="67"/>
      <c r="G51" s="67"/>
      <c r="H51" s="6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66"/>
      <c r="Y51" s="65"/>
      <c r="Z51" s="67"/>
      <c r="AA51" s="246" t="e">
        <f t="shared" si="416"/>
        <v>#DIV/0!</v>
      </c>
      <c r="AB51" s="67"/>
      <c r="AC51" s="247"/>
      <c r="AD51" s="80" t="e">
        <f>AA51*AC51</f>
        <v>#DIV/0!</v>
      </c>
      <c r="AE51" s="247" t="e">
        <f t="shared" si="500"/>
        <v>#DIV/0!</v>
      </c>
      <c r="AF51" s="67"/>
      <c r="AH51" s="248" t="e">
        <f t="shared" ref="AH51:AU51" si="557">AH50</f>
        <v>#DIV/0!</v>
      </c>
      <c r="AI51" s="248" t="e">
        <f t="shared" si="557"/>
        <v>#DIV/0!</v>
      </c>
      <c r="AJ51" s="248" t="e">
        <f t="shared" si="557"/>
        <v>#DIV/0!</v>
      </c>
      <c r="AK51" s="248" t="e">
        <f t="shared" si="557"/>
        <v>#DIV/0!</v>
      </c>
      <c r="AL51" s="248" t="e">
        <f t="shared" si="557"/>
        <v>#DIV/0!</v>
      </c>
      <c r="AM51" s="248" t="e">
        <f t="shared" si="557"/>
        <v>#DIV/0!</v>
      </c>
      <c r="AN51" s="248" t="e">
        <f t="shared" si="557"/>
        <v>#DIV/0!</v>
      </c>
      <c r="AO51" s="248" t="e">
        <f t="shared" si="557"/>
        <v>#DIV/0!</v>
      </c>
      <c r="AP51" s="248" t="e">
        <f t="shared" si="557"/>
        <v>#DIV/0!</v>
      </c>
      <c r="AQ51" s="248" t="e">
        <f t="shared" si="557"/>
        <v>#DIV/0!</v>
      </c>
      <c r="AR51" s="248" t="e">
        <f t="shared" si="557"/>
        <v>#DIV/0!</v>
      </c>
      <c r="AS51" s="248" t="e">
        <f t="shared" si="557"/>
        <v>#DIV/0!</v>
      </c>
      <c r="AT51" s="248" t="e">
        <f t="shared" si="557"/>
        <v>#DIV/0!</v>
      </c>
      <c r="AU51" s="248" t="e">
        <f t="shared" si="557"/>
        <v>#DIV/0!</v>
      </c>
      <c r="AV51" s="46"/>
      <c r="AW51" s="44" t="e">
        <f t="shared" si="460"/>
        <v>#DIV/0!</v>
      </c>
      <c r="AX51" s="44" t="e">
        <f t="shared" si="461"/>
        <v>#DIV/0!</v>
      </c>
      <c r="AY51" s="44" t="e">
        <f t="shared" si="462"/>
        <v>#DIV/0!</v>
      </c>
      <c r="AZ51" s="44" t="e">
        <f t="shared" si="463"/>
        <v>#DIV/0!</v>
      </c>
      <c r="BA51" s="44" t="e">
        <f t="shared" si="464"/>
        <v>#DIV/0!</v>
      </c>
      <c r="BB51" s="44" t="e">
        <f t="shared" si="465"/>
        <v>#DIV/0!</v>
      </c>
      <c r="BC51" s="44" t="e">
        <f t="shared" si="466"/>
        <v>#DIV/0!</v>
      </c>
      <c r="BD51" s="44" t="e">
        <f t="shared" si="467"/>
        <v>#DIV/0!</v>
      </c>
      <c r="BE51" s="44" t="e">
        <f t="shared" si="468"/>
        <v>#DIV/0!</v>
      </c>
      <c r="BF51" s="44" t="e">
        <f t="shared" si="469"/>
        <v>#DIV/0!</v>
      </c>
      <c r="BG51" s="44" t="e">
        <f t="shared" si="470"/>
        <v>#DIV/0!</v>
      </c>
      <c r="BH51" s="44" t="e">
        <f t="shared" si="471"/>
        <v>#DIV/0!</v>
      </c>
      <c r="BI51" s="44" t="e">
        <f t="shared" si="472"/>
        <v>#DIV/0!</v>
      </c>
      <c r="BJ51" s="44" t="e">
        <f t="shared" si="473"/>
        <v>#DIV/0!</v>
      </c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31"/>
      <c r="CA51" s="34"/>
      <c r="CB51" s="45"/>
      <c r="CC51" s="49"/>
      <c r="CD51" s="99"/>
      <c r="CE51" s="49"/>
      <c r="CF51" s="99"/>
      <c r="CG51" s="49"/>
      <c r="CH51" s="99"/>
      <c r="CI51" s="49"/>
      <c r="CJ51" s="99"/>
      <c r="CK51" s="49"/>
      <c r="CL51" s="99"/>
      <c r="CM51" s="49"/>
      <c r="CN51" s="99"/>
      <c r="CO51" s="49"/>
      <c r="CP51" s="249"/>
    </row>
    <row r="52" spans="3:94" x14ac:dyDescent="0.25">
      <c r="C52" s="50"/>
      <c r="D52" s="69" t="s">
        <v>40</v>
      </c>
      <c r="E52" s="31"/>
      <c r="F52" s="31"/>
      <c r="G52" s="31"/>
      <c r="H52" s="45"/>
      <c r="W52" s="46"/>
      <c r="Y52" s="45"/>
      <c r="Z52" s="31"/>
      <c r="AA52" s="250" t="e">
        <f t="shared" ref="AA52:AA85" si="558">Y52/Z52</f>
        <v>#DIV/0!</v>
      </c>
      <c r="AB52" s="31"/>
      <c r="AC52" s="20"/>
      <c r="AD52" s="81" t="e">
        <f t="shared" ref="AD52" si="559">AA52*AC52</f>
        <v>#DIV/0!</v>
      </c>
      <c r="AE52" s="20" t="e">
        <f t="shared" si="500"/>
        <v>#DIV/0!</v>
      </c>
      <c r="AF52" s="31"/>
      <c r="AG52" s="20" t="e">
        <f>AE52+AE53</f>
        <v>#DIV/0!</v>
      </c>
      <c r="AH52" s="48" t="e">
        <f t="shared" ref="AH52" si="560">H52/$G52</f>
        <v>#DIV/0!</v>
      </c>
      <c r="AI52" s="48" t="e">
        <f t="shared" ref="AI52" si="561">I52/$G52</f>
        <v>#DIV/0!</v>
      </c>
      <c r="AJ52" s="48" t="e">
        <f t="shared" ref="AJ52" si="562">J52/$G52</f>
        <v>#DIV/0!</v>
      </c>
      <c r="AK52" s="48" t="e">
        <f t="shared" ref="AK52" si="563">K52/$G52</f>
        <v>#DIV/0!</v>
      </c>
      <c r="AL52" s="48" t="e">
        <f t="shared" ref="AL52" si="564">L52/$G52</f>
        <v>#DIV/0!</v>
      </c>
      <c r="AM52" s="48" t="e">
        <f t="shared" ref="AM52" si="565">M52/$G52</f>
        <v>#DIV/0!</v>
      </c>
      <c r="AN52" s="48" t="e">
        <f t="shared" ref="AN52" si="566">N52/$G52</f>
        <v>#DIV/0!</v>
      </c>
      <c r="AO52" s="48" t="e">
        <f t="shared" ref="AO52" si="567">O52/$G52</f>
        <v>#DIV/0!</v>
      </c>
      <c r="AP52" s="48" t="e">
        <f t="shared" ref="AP52" si="568">P52/$G52</f>
        <v>#DIV/0!</v>
      </c>
      <c r="AQ52" s="48" t="e">
        <f t="shared" ref="AQ52" si="569">Q52/$G52</f>
        <v>#DIV/0!</v>
      </c>
      <c r="AR52" s="48" t="e">
        <f t="shared" ref="AR52" si="570">R52/$G52</f>
        <v>#DIV/0!</v>
      </c>
      <c r="AS52" s="48" t="e">
        <f t="shared" ref="AS52" si="571">S52/$G52</f>
        <v>#DIV/0!</v>
      </c>
      <c r="AT52" s="48" t="e">
        <f t="shared" ref="AT52" si="572">T52/$G52</f>
        <v>#DIV/0!</v>
      </c>
      <c r="AU52" s="48" t="e">
        <f t="shared" ref="AU52" si="573">U52/$G52</f>
        <v>#DIV/0!</v>
      </c>
      <c r="AV52" s="46"/>
      <c r="AW52" s="44" t="e">
        <f t="shared" si="460"/>
        <v>#DIV/0!</v>
      </c>
      <c r="AX52" s="44" t="e">
        <f t="shared" si="461"/>
        <v>#DIV/0!</v>
      </c>
      <c r="AY52" s="44" t="e">
        <f t="shared" si="462"/>
        <v>#DIV/0!</v>
      </c>
      <c r="AZ52" s="44" t="e">
        <f t="shared" si="463"/>
        <v>#DIV/0!</v>
      </c>
      <c r="BA52" s="44" t="e">
        <f t="shared" si="464"/>
        <v>#DIV/0!</v>
      </c>
      <c r="BB52" s="44" t="e">
        <f t="shared" si="465"/>
        <v>#DIV/0!</v>
      </c>
      <c r="BC52" s="44" t="e">
        <f t="shared" si="466"/>
        <v>#DIV/0!</v>
      </c>
      <c r="BD52" s="44" t="e">
        <f t="shared" si="467"/>
        <v>#DIV/0!</v>
      </c>
      <c r="BE52" s="44" t="e">
        <f t="shared" si="468"/>
        <v>#DIV/0!</v>
      </c>
      <c r="BF52" s="44" t="e">
        <f t="shared" si="469"/>
        <v>#DIV/0!</v>
      </c>
      <c r="BG52" s="44" t="e">
        <f t="shared" si="470"/>
        <v>#DIV/0!</v>
      </c>
      <c r="BH52" s="44" t="e">
        <f t="shared" si="471"/>
        <v>#DIV/0!</v>
      </c>
      <c r="BI52" s="44" t="e">
        <f t="shared" si="472"/>
        <v>#DIV/0!</v>
      </c>
      <c r="BJ52" s="44" t="e">
        <f t="shared" si="473"/>
        <v>#DIV/0!</v>
      </c>
      <c r="BK52" s="20"/>
      <c r="BL52" s="20" t="e">
        <f>AW52+AW53</f>
        <v>#DIV/0!</v>
      </c>
      <c r="BM52" s="20" t="e">
        <f t="shared" ref="BM52" si="574">AX52+AX53</f>
        <v>#DIV/0!</v>
      </c>
      <c r="BN52" s="20" t="e">
        <f t="shared" ref="BN52" si="575">AY52+AY53</f>
        <v>#DIV/0!</v>
      </c>
      <c r="BO52" s="20" t="e">
        <f t="shared" ref="BO52" si="576">AZ52+AZ53</f>
        <v>#DIV/0!</v>
      </c>
      <c r="BP52" s="20" t="e">
        <f t="shared" ref="BP52" si="577">BA52+BA53</f>
        <v>#DIV/0!</v>
      </c>
      <c r="BQ52" s="20" t="e">
        <f t="shared" ref="BQ52" si="578">BB52+BB53</f>
        <v>#DIV/0!</v>
      </c>
      <c r="BR52" s="20" t="e">
        <f t="shared" ref="BR52" si="579">BC52+BC53</f>
        <v>#DIV/0!</v>
      </c>
      <c r="BS52" s="20" t="e">
        <f t="shared" ref="BS52" si="580">BD52+BD53</f>
        <v>#DIV/0!</v>
      </c>
      <c r="BT52" s="20" t="e">
        <f t="shared" ref="BT52" si="581">BE52+BE53</f>
        <v>#DIV/0!</v>
      </c>
      <c r="BU52" s="20" t="e">
        <f t="shared" ref="BU52" si="582">BF52+BF53</f>
        <v>#DIV/0!</v>
      </c>
      <c r="BV52" s="20" t="e">
        <f t="shared" ref="BV52" si="583">BG52+BG53</f>
        <v>#DIV/0!</v>
      </c>
      <c r="BW52" s="20" t="e">
        <f t="shared" ref="BW52" si="584">BH52+BH53</f>
        <v>#DIV/0!</v>
      </c>
      <c r="BX52" s="20" t="e">
        <f t="shared" ref="BX52" si="585">BI52+BI53</f>
        <v>#DIV/0!</v>
      </c>
      <c r="BY52" s="20"/>
      <c r="BZ52" s="31"/>
      <c r="CA52" s="34"/>
      <c r="CB52" s="45"/>
      <c r="CC52" s="49"/>
      <c r="CD52" s="99"/>
      <c r="CE52" s="49"/>
      <c r="CF52" s="99"/>
      <c r="CG52" s="49"/>
      <c r="CH52" s="99"/>
      <c r="CI52" s="49"/>
      <c r="CJ52" s="99"/>
      <c r="CK52" s="49"/>
      <c r="CL52" s="99"/>
      <c r="CM52" s="49"/>
      <c r="CN52" s="99"/>
      <c r="CO52" s="49"/>
      <c r="CP52" s="249"/>
    </row>
    <row r="53" spans="3:94" x14ac:dyDescent="0.25">
      <c r="C53" s="267"/>
      <c r="D53" s="70"/>
      <c r="E53" s="67"/>
      <c r="F53" s="67"/>
      <c r="G53" s="67"/>
      <c r="H53" s="6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66"/>
      <c r="Y53" s="65"/>
      <c r="Z53" s="67"/>
      <c r="AA53" s="246" t="e">
        <f t="shared" si="558"/>
        <v>#DIV/0!</v>
      </c>
      <c r="AB53" s="67"/>
      <c r="AC53" s="247"/>
      <c r="AD53" s="80" t="e">
        <f>AA53*AC53</f>
        <v>#DIV/0!</v>
      </c>
      <c r="AE53" s="247" t="e">
        <f t="shared" si="500"/>
        <v>#DIV/0!</v>
      </c>
      <c r="AF53" s="67"/>
      <c r="AH53" s="248" t="e">
        <f t="shared" ref="AH53:AU53" si="586">AH52</f>
        <v>#DIV/0!</v>
      </c>
      <c r="AI53" s="248" t="e">
        <f t="shared" si="586"/>
        <v>#DIV/0!</v>
      </c>
      <c r="AJ53" s="248" t="e">
        <f t="shared" si="586"/>
        <v>#DIV/0!</v>
      </c>
      <c r="AK53" s="248" t="e">
        <f t="shared" si="586"/>
        <v>#DIV/0!</v>
      </c>
      <c r="AL53" s="248" t="e">
        <f t="shared" si="586"/>
        <v>#DIV/0!</v>
      </c>
      <c r="AM53" s="248" t="e">
        <f t="shared" si="586"/>
        <v>#DIV/0!</v>
      </c>
      <c r="AN53" s="248" t="e">
        <f t="shared" si="586"/>
        <v>#DIV/0!</v>
      </c>
      <c r="AO53" s="248" t="e">
        <f t="shared" si="586"/>
        <v>#DIV/0!</v>
      </c>
      <c r="AP53" s="248" t="e">
        <f t="shared" si="586"/>
        <v>#DIV/0!</v>
      </c>
      <c r="AQ53" s="248" t="e">
        <f t="shared" si="586"/>
        <v>#DIV/0!</v>
      </c>
      <c r="AR53" s="248" t="e">
        <f t="shared" si="586"/>
        <v>#DIV/0!</v>
      </c>
      <c r="AS53" s="248" t="e">
        <f t="shared" si="586"/>
        <v>#DIV/0!</v>
      </c>
      <c r="AT53" s="248" t="e">
        <f t="shared" si="586"/>
        <v>#DIV/0!</v>
      </c>
      <c r="AU53" s="248" t="e">
        <f t="shared" si="586"/>
        <v>#DIV/0!</v>
      </c>
      <c r="AV53" s="46"/>
      <c r="AW53" s="44" t="e">
        <f t="shared" si="460"/>
        <v>#DIV/0!</v>
      </c>
      <c r="AX53" s="44" t="e">
        <f t="shared" si="461"/>
        <v>#DIV/0!</v>
      </c>
      <c r="AY53" s="44" t="e">
        <f t="shared" si="462"/>
        <v>#DIV/0!</v>
      </c>
      <c r="AZ53" s="44" t="e">
        <f t="shared" si="463"/>
        <v>#DIV/0!</v>
      </c>
      <c r="BA53" s="44" t="e">
        <f t="shared" si="464"/>
        <v>#DIV/0!</v>
      </c>
      <c r="BB53" s="44" t="e">
        <f t="shared" si="465"/>
        <v>#DIV/0!</v>
      </c>
      <c r="BC53" s="44" t="e">
        <f t="shared" si="466"/>
        <v>#DIV/0!</v>
      </c>
      <c r="BD53" s="44" t="e">
        <f t="shared" si="467"/>
        <v>#DIV/0!</v>
      </c>
      <c r="BE53" s="44" t="e">
        <f t="shared" si="468"/>
        <v>#DIV/0!</v>
      </c>
      <c r="BF53" s="44" t="e">
        <f t="shared" si="469"/>
        <v>#DIV/0!</v>
      </c>
      <c r="BG53" s="44" t="e">
        <f t="shared" si="470"/>
        <v>#DIV/0!</v>
      </c>
      <c r="BH53" s="44" t="e">
        <f t="shared" si="471"/>
        <v>#DIV/0!</v>
      </c>
      <c r="BI53" s="44" t="e">
        <f t="shared" si="472"/>
        <v>#DIV/0!</v>
      </c>
      <c r="BJ53" s="44" t="e">
        <f t="shared" si="473"/>
        <v>#DIV/0!</v>
      </c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31"/>
      <c r="CA53" s="34"/>
      <c r="CB53" s="45"/>
      <c r="CC53" s="49"/>
      <c r="CD53" s="99"/>
      <c r="CE53" s="49"/>
      <c r="CF53" s="99"/>
      <c r="CG53" s="49"/>
      <c r="CH53" s="99"/>
      <c r="CI53" s="49"/>
      <c r="CJ53" s="99"/>
      <c r="CK53" s="49"/>
      <c r="CL53" s="99"/>
      <c r="CM53" s="49"/>
      <c r="CN53" s="99"/>
      <c r="CO53" s="49"/>
      <c r="CP53" s="249"/>
    </row>
    <row r="54" spans="3:94" x14ac:dyDescent="0.25">
      <c r="C54" s="50"/>
      <c r="D54" s="69" t="s">
        <v>40</v>
      </c>
      <c r="E54" s="31"/>
      <c r="F54" s="31"/>
      <c r="G54" s="31"/>
      <c r="H54" s="45"/>
      <c r="W54" s="46"/>
      <c r="Y54" s="45"/>
      <c r="Z54" s="31"/>
      <c r="AA54" s="250" t="e">
        <f t="shared" si="558"/>
        <v>#DIV/0!</v>
      </c>
      <c r="AB54" s="31"/>
      <c r="AC54" s="20"/>
      <c r="AD54" s="81" t="e">
        <f t="shared" ref="AD54" si="587">AA54*AC54</f>
        <v>#DIV/0!</v>
      </c>
      <c r="AE54" s="20" t="e">
        <f t="shared" si="500"/>
        <v>#DIV/0!</v>
      </c>
      <c r="AF54" s="31"/>
      <c r="AG54" s="20" t="e">
        <f>AE54+AE55</f>
        <v>#DIV/0!</v>
      </c>
      <c r="AH54" s="48" t="e">
        <f t="shared" ref="AH54" si="588">H54/$G54</f>
        <v>#DIV/0!</v>
      </c>
      <c r="AI54" s="48" t="e">
        <f t="shared" ref="AI54" si="589">I54/$G54</f>
        <v>#DIV/0!</v>
      </c>
      <c r="AJ54" s="48" t="e">
        <f t="shared" ref="AJ54" si="590">J54/$G54</f>
        <v>#DIV/0!</v>
      </c>
      <c r="AK54" s="48" t="e">
        <f t="shared" ref="AK54" si="591">K54/$G54</f>
        <v>#DIV/0!</v>
      </c>
      <c r="AL54" s="48" t="e">
        <f t="shared" ref="AL54" si="592">L54/$G54</f>
        <v>#DIV/0!</v>
      </c>
      <c r="AM54" s="48" t="e">
        <f t="shared" ref="AM54" si="593">M54/$G54</f>
        <v>#DIV/0!</v>
      </c>
      <c r="AN54" s="48" t="e">
        <f t="shared" ref="AN54" si="594">N54/$G54</f>
        <v>#DIV/0!</v>
      </c>
      <c r="AO54" s="48" t="e">
        <f t="shared" ref="AO54" si="595">O54/$G54</f>
        <v>#DIV/0!</v>
      </c>
      <c r="AP54" s="48" t="e">
        <f t="shared" ref="AP54" si="596">P54/$G54</f>
        <v>#DIV/0!</v>
      </c>
      <c r="AQ54" s="48" t="e">
        <f t="shared" ref="AQ54" si="597">Q54/$G54</f>
        <v>#DIV/0!</v>
      </c>
      <c r="AR54" s="48" t="e">
        <f t="shared" ref="AR54" si="598">R54/$G54</f>
        <v>#DIV/0!</v>
      </c>
      <c r="AS54" s="48" t="e">
        <f t="shared" ref="AS54" si="599">S54/$G54</f>
        <v>#DIV/0!</v>
      </c>
      <c r="AT54" s="48" t="e">
        <f t="shared" ref="AT54" si="600">T54/$G54</f>
        <v>#DIV/0!</v>
      </c>
      <c r="AU54" s="48" t="e">
        <f t="shared" ref="AU54" si="601">U54/$G54</f>
        <v>#DIV/0!</v>
      </c>
      <c r="AV54" s="46"/>
      <c r="AW54" s="44" t="e">
        <f t="shared" si="460"/>
        <v>#DIV/0!</v>
      </c>
      <c r="AX54" s="44" t="e">
        <f t="shared" si="461"/>
        <v>#DIV/0!</v>
      </c>
      <c r="AY54" s="44" t="e">
        <f t="shared" si="462"/>
        <v>#DIV/0!</v>
      </c>
      <c r="AZ54" s="44" t="e">
        <f t="shared" si="463"/>
        <v>#DIV/0!</v>
      </c>
      <c r="BA54" s="44" t="e">
        <f t="shared" si="464"/>
        <v>#DIV/0!</v>
      </c>
      <c r="BB54" s="44" t="e">
        <f t="shared" si="465"/>
        <v>#DIV/0!</v>
      </c>
      <c r="BC54" s="44" t="e">
        <f t="shared" si="466"/>
        <v>#DIV/0!</v>
      </c>
      <c r="BD54" s="44" t="e">
        <f t="shared" si="467"/>
        <v>#DIV/0!</v>
      </c>
      <c r="BE54" s="44" t="e">
        <f t="shared" si="468"/>
        <v>#DIV/0!</v>
      </c>
      <c r="BF54" s="44" t="e">
        <f t="shared" si="469"/>
        <v>#DIV/0!</v>
      </c>
      <c r="BG54" s="44" t="e">
        <f t="shared" si="470"/>
        <v>#DIV/0!</v>
      </c>
      <c r="BH54" s="44" t="e">
        <f t="shared" si="471"/>
        <v>#DIV/0!</v>
      </c>
      <c r="BI54" s="44" t="e">
        <f t="shared" si="472"/>
        <v>#DIV/0!</v>
      </c>
      <c r="BJ54" s="44" t="e">
        <f t="shared" si="473"/>
        <v>#DIV/0!</v>
      </c>
      <c r="BK54" s="20"/>
      <c r="BL54" s="20" t="e">
        <f>AW54+AW55</f>
        <v>#DIV/0!</v>
      </c>
      <c r="BM54" s="20" t="e">
        <f t="shared" ref="BM54" si="602">AX54+AX55</f>
        <v>#DIV/0!</v>
      </c>
      <c r="BN54" s="20" t="e">
        <f t="shared" ref="BN54" si="603">AY54+AY55</f>
        <v>#DIV/0!</v>
      </c>
      <c r="BO54" s="20" t="e">
        <f t="shared" ref="BO54" si="604">AZ54+AZ55</f>
        <v>#DIV/0!</v>
      </c>
      <c r="BP54" s="20" t="e">
        <f t="shared" ref="BP54" si="605">BA54+BA55</f>
        <v>#DIV/0!</v>
      </c>
      <c r="BQ54" s="20" t="e">
        <f t="shared" ref="BQ54" si="606">BB54+BB55</f>
        <v>#DIV/0!</v>
      </c>
      <c r="BR54" s="20" t="e">
        <f t="shared" ref="BR54" si="607">BC54+BC55</f>
        <v>#DIV/0!</v>
      </c>
      <c r="BS54" s="20" t="e">
        <f t="shared" ref="BS54" si="608">BD54+BD55</f>
        <v>#DIV/0!</v>
      </c>
      <c r="BT54" s="20" t="e">
        <f t="shared" ref="BT54" si="609">BE54+BE55</f>
        <v>#DIV/0!</v>
      </c>
      <c r="BU54" s="20" t="e">
        <f t="shared" ref="BU54" si="610">BF54+BF55</f>
        <v>#DIV/0!</v>
      </c>
      <c r="BV54" s="20" t="e">
        <f t="shared" ref="BV54" si="611">BG54+BG55</f>
        <v>#DIV/0!</v>
      </c>
      <c r="BW54" s="20" t="e">
        <f t="shared" ref="BW54" si="612">BH54+BH55</f>
        <v>#DIV/0!</v>
      </c>
      <c r="BX54" s="20" t="e">
        <f t="shared" ref="BX54" si="613">BI54+BI55</f>
        <v>#DIV/0!</v>
      </c>
      <c r="BY54" s="20"/>
      <c r="BZ54" s="31"/>
      <c r="CA54" s="34"/>
      <c r="CB54" s="45"/>
      <c r="CC54" s="49"/>
      <c r="CD54" s="99"/>
      <c r="CE54" s="49"/>
      <c r="CF54" s="99"/>
      <c r="CG54" s="49"/>
      <c r="CH54" s="99"/>
      <c r="CI54" s="49"/>
      <c r="CJ54" s="99"/>
      <c r="CK54" s="49"/>
      <c r="CL54" s="99"/>
      <c r="CM54" s="49"/>
      <c r="CN54" s="99"/>
      <c r="CO54" s="49"/>
      <c r="CP54" s="249"/>
    </row>
    <row r="55" spans="3:94" ht="16.5" thickBot="1" x14ac:dyDescent="0.3">
      <c r="C55" s="251"/>
      <c r="D55" s="252"/>
      <c r="E55" s="253"/>
      <c r="F55" s="253"/>
      <c r="G55" s="253"/>
      <c r="H55" s="254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6"/>
      <c r="X55" s="119"/>
      <c r="Y55" s="254"/>
      <c r="Z55" s="253"/>
      <c r="AA55" s="257" t="e">
        <f t="shared" si="558"/>
        <v>#DIV/0!</v>
      </c>
      <c r="AB55" s="253"/>
      <c r="AC55" s="258"/>
      <c r="AD55" s="259" t="e">
        <f>AA55*AC55</f>
        <v>#DIV/0!</v>
      </c>
      <c r="AE55" s="258" t="e">
        <f t="shared" si="500"/>
        <v>#DIV/0!</v>
      </c>
      <c r="AF55" s="253"/>
      <c r="AG55" s="119"/>
      <c r="AH55" s="260" t="e">
        <f t="shared" ref="AH55:AU55" si="614">AH54</f>
        <v>#DIV/0!</v>
      </c>
      <c r="AI55" s="260" t="e">
        <f t="shared" si="614"/>
        <v>#DIV/0!</v>
      </c>
      <c r="AJ55" s="260" t="e">
        <f t="shared" si="614"/>
        <v>#DIV/0!</v>
      </c>
      <c r="AK55" s="260" t="e">
        <f t="shared" si="614"/>
        <v>#DIV/0!</v>
      </c>
      <c r="AL55" s="260" t="e">
        <f t="shared" si="614"/>
        <v>#DIV/0!</v>
      </c>
      <c r="AM55" s="260" t="e">
        <f t="shared" si="614"/>
        <v>#DIV/0!</v>
      </c>
      <c r="AN55" s="260" t="e">
        <f t="shared" si="614"/>
        <v>#DIV/0!</v>
      </c>
      <c r="AO55" s="260" t="e">
        <f t="shared" si="614"/>
        <v>#DIV/0!</v>
      </c>
      <c r="AP55" s="260" t="e">
        <f t="shared" si="614"/>
        <v>#DIV/0!</v>
      </c>
      <c r="AQ55" s="260" t="e">
        <f t="shared" si="614"/>
        <v>#DIV/0!</v>
      </c>
      <c r="AR55" s="260" t="e">
        <f t="shared" si="614"/>
        <v>#DIV/0!</v>
      </c>
      <c r="AS55" s="260" t="e">
        <f t="shared" si="614"/>
        <v>#DIV/0!</v>
      </c>
      <c r="AT55" s="260" t="e">
        <f t="shared" si="614"/>
        <v>#DIV/0!</v>
      </c>
      <c r="AU55" s="260" t="e">
        <f t="shared" si="614"/>
        <v>#DIV/0!</v>
      </c>
      <c r="AV55" s="145"/>
      <c r="AW55" s="261" t="e">
        <f t="shared" si="460"/>
        <v>#DIV/0!</v>
      </c>
      <c r="AX55" s="261" t="e">
        <f t="shared" si="461"/>
        <v>#DIV/0!</v>
      </c>
      <c r="AY55" s="261" t="e">
        <f t="shared" si="462"/>
        <v>#DIV/0!</v>
      </c>
      <c r="AZ55" s="261" t="e">
        <f t="shared" si="463"/>
        <v>#DIV/0!</v>
      </c>
      <c r="BA55" s="261" t="e">
        <f t="shared" si="464"/>
        <v>#DIV/0!</v>
      </c>
      <c r="BB55" s="261" t="e">
        <f t="shared" si="465"/>
        <v>#DIV/0!</v>
      </c>
      <c r="BC55" s="261" t="e">
        <f t="shared" si="466"/>
        <v>#DIV/0!</v>
      </c>
      <c r="BD55" s="261" t="e">
        <f t="shared" si="467"/>
        <v>#DIV/0!</v>
      </c>
      <c r="BE55" s="261" t="e">
        <f t="shared" si="468"/>
        <v>#DIV/0!</v>
      </c>
      <c r="BF55" s="261" t="e">
        <f t="shared" si="469"/>
        <v>#DIV/0!</v>
      </c>
      <c r="BG55" s="261" t="e">
        <f t="shared" si="470"/>
        <v>#DIV/0!</v>
      </c>
      <c r="BH55" s="261" t="e">
        <f t="shared" si="471"/>
        <v>#DIV/0!</v>
      </c>
      <c r="BI55" s="261" t="e">
        <f t="shared" si="472"/>
        <v>#DIV/0!</v>
      </c>
      <c r="BJ55" s="261" t="e">
        <f t="shared" si="473"/>
        <v>#DIV/0!</v>
      </c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143"/>
      <c r="CA55" s="213"/>
      <c r="CB55" s="144"/>
      <c r="CC55" s="263"/>
      <c r="CD55" s="264"/>
      <c r="CE55" s="263"/>
      <c r="CF55" s="264"/>
      <c r="CG55" s="263"/>
      <c r="CH55" s="264"/>
      <c r="CI55" s="263"/>
      <c r="CJ55" s="264"/>
      <c r="CK55" s="263"/>
      <c r="CL55" s="264"/>
      <c r="CM55" s="263"/>
      <c r="CN55" s="264"/>
      <c r="CO55" s="263"/>
      <c r="CP55" s="265"/>
    </row>
    <row r="56" spans="3:94" x14ac:dyDescent="0.25">
      <c r="C56" s="266"/>
      <c r="D56" s="24" t="s">
        <v>39</v>
      </c>
      <c r="E56" s="24"/>
      <c r="F56" s="24"/>
      <c r="G56" s="24"/>
      <c r="H56" s="237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38"/>
      <c r="X56" s="25"/>
      <c r="Y56" s="237"/>
      <c r="Z56" s="24"/>
      <c r="AA56" s="26" t="e">
        <f t="shared" si="558"/>
        <v>#DIV/0!</v>
      </c>
      <c r="AB56" s="24"/>
      <c r="AC56" s="190"/>
      <c r="AD56" s="239" t="e">
        <f t="shared" ref="AD56" si="615">AA56*AC56</f>
        <v>#DIV/0!</v>
      </c>
      <c r="AE56" s="190" t="e">
        <f t="shared" si="500"/>
        <v>#DIV/0!</v>
      </c>
      <c r="AF56" s="24"/>
      <c r="AG56" s="190" t="e">
        <f>AE56+AE57</f>
        <v>#DIV/0!</v>
      </c>
      <c r="AH56" s="240" t="e">
        <f t="shared" ref="AH56" si="616">H56/$G56</f>
        <v>#DIV/0!</v>
      </c>
      <c r="AI56" s="240" t="e">
        <f t="shared" ref="AI56" si="617">I56/$G56</f>
        <v>#DIV/0!</v>
      </c>
      <c r="AJ56" s="240" t="e">
        <f t="shared" ref="AJ56" si="618">J56/$G56</f>
        <v>#DIV/0!</v>
      </c>
      <c r="AK56" s="240" t="e">
        <f t="shared" ref="AK56" si="619">K56/$G56</f>
        <v>#DIV/0!</v>
      </c>
      <c r="AL56" s="240" t="e">
        <f t="shared" ref="AL56" si="620">L56/$G56</f>
        <v>#DIV/0!</v>
      </c>
      <c r="AM56" s="240" t="e">
        <f t="shared" ref="AM56" si="621">M56/$G56</f>
        <v>#DIV/0!</v>
      </c>
      <c r="AN56" s="240" t="e">
        <f t="shared" ref="AN56" si="622">N56/$G56</f>
        <v>#DIV/0!</v>
      </c>
      <c r="AO56" s="240" t="e">
        <f t="shared" ref="AO56" si="623">O56/$G56</f>
        <v>#DIV/0!</v>
      </c>
      <c r="AP56" s="240" t="e">
        <f t="shared" ref="AP56" si="624">P56/$G56</f>
        <v>#DIV/0!</v>
      </c>
      <c r="AQ56" s="240" t="e">
        <f t="shared" ref="AQ56" si="625">Q56/$G56</f>
        <v>#DIV/0!</v>
      </c>
      <c r="AR56" s="240" t="e">
        <f t="shared" ref="AR56" si="626">R56/$G56</f>
        <v>#DIV/0!</v>
      </c>
      <c r="AS56" s="240" t="e">
        <f t="shared" ref="AS56" si="627">S56/$G56</f>
        <v>#DIV/0!</v>
      </c>
      <c r="AT56" s="240" t="e">
        <f t="shared" ref="AT56" si="628">T56/$G56</f>
        <v>#DIV/0!</v>
      </c>
      <c r="AU56" s="240" t="e">
        <f t="shared" ref="AU56" si="629">U56/$G56</f>
        <v>#DIV/0!</v>
      </c>
      <c r="AV56" s="238"/>
      <c r="AW56" s="190" t="e">
        <f t="shared" si="460"/>
        <v>#DIV/0!</v>
      </c>
      <c r="AX56" s="190" t="e">
        <f t="shared" si="461"/>
        <v>#DIV/0!</v>
      </c>
      <c r="AY56" s="190" t="e">
        <f t="shared" si="462"/>
        <v>#DIV/0!</v>
      </c>
      <c r="AZ56" s="190" t="e">
        <f t="shared" si="463"/>
        <v>#DIV/0!</v>
      </c>
      <c r="BA56" s="190" t="e">
        <f t="shared" si="464"/>
        <v>#DIV/0!</v>
      </c>
      <c r="BB56" s="190" t="e">
        <f t="shared" si="465"/>
        <v>#DIV/0!</v>
      </c>
      <c r="BC56" s="190" t="e">
        <f t="shared" si="466"/>
        <v>#DIV/0!</v>
      </c>
      <c r="BD56" s="190" t="e">
        <f t="shared" si="467"/>
        <v>#DIV/0!</v>
      </c>
      <c r="BE56" s="190" t="e">
        <f t="shared" si="468"/>
        <v>#DIV/0!</v>
      </c>
      <c r="BF56" s="190" t="e">
        <f t="shared" si="469"/>
        <v>#DIV/0!</v>
      </c>
      <c r="BG56" s="190" t="e">
        <f t="shared" si="470"/>
        <v>#DIV/0!</v>
      </c>
      <c r="BH56" s="190" t="e">
        <f t="shared" si="471"/>
        <v>#DIV/0!</v>
      </c>
      <c r="BI56" s="190" t="e">
        <f t="shared" si="472"/>
        <v>#DIV/0!</v>
      </c>
      <c r="BJ56" s="190" t="e">
        <f t="shared" si="473"/>
        <v>#DIV/0!</v>
      </c>
      <c r="BK56" s="190"/>
      <c r="BL56" s="190" t="e">
        <f>AW56+AW57</f>
        <v>#DIV/0!</v>
      </c>
      <c r="BM56" s="190" t="e">
        <f t="shared" ref="BM56" si="630">AX56+AX57</f>
        <v>#DIV/0!</v>
      </c>
      <c r="BN56" s="190" t="e">
        <f t="shared" ref="BN56" si="631">AY56+AY57</f>
        <v>#DIV/0!</v>
      </c>
      <c r="BO56" s="190" t="e">
        <f t="shared" ref="BO56" si="632">AZ56+AZ57</f>
        <v>#DIV/0!</v>
      </c>
      <c r="BP56" s="190" t="e">
        <f t="shared" ref="BP56" si="633">BA56+BA57</f>
        <v>#DIV/0!</v>
      </c>
      <c r="BQ56" s="190" t="e">
        <f t="shared" ref="BQ56" si="634">BB56+BB57</f>
        <v>#DIV/0!</v>
      </c>
      <c r="BR56" s="190" t="e">
        <f t="shared" ref="BR56" si="635">BC56+BC57</f>
        <v>#DIV/0!</v>
      </c>
      <c r="BS56" s="190" t="e">
        <f t="shared" ref="BS56" si="636">BD56+BD57</f>
        <v>#DIV/0!</v>
      </c>
      <c r="BT56" s="190" t="e">
        <f t="shared" ref="BT56" si="637">BE56+BE57</f>
        <v>#DIV/0!</v>
      </c>
      <c r="BU56" s="190" t="e">
        <f t="shared" ref="BU56" si="638">BF56+BF57</f>
        <v>#DIV/0!</v>
      </c>
      <c r="BV56" s="190" t="e">
        <f t="shared" ref="BV56" si="639">BG56+BG57</f>
        <v>#DIV/0!</v>
      </c>
      <c r="BW56" s="190" t="e">
        <f t="shared" ref="BW56" si="640">BH56+BH57</f>
        <v>#DIV/0!</v>
      </c>
      <c r="BX56" s="190" t="e">
        <f t="shared" ref="BX56" si="641">BI56+BI57</f>
        <v>#DIV/0!</v>
      </c>
      <c r="BY56" s="190"/>
      <c r="BZ56" s="24"/>
      <c r="CA56" s="241">
        <v>7</v>
      </c>
      <c r="CB56" s="25"/>
      <c r="CC56" s="242" t="e">
        <f t="shared" ref="CC56" si="642">AVERAGE(AW56:AW64)*$CA56</f>
        <v>#DIV/0!</v>
      </c>
      <c r="CD56" s="243" t="e">
        <f t="shared" ref="CD56" si="643">AVERAGE(AX56:AX64)*$CA56</f>
        <v>#DIV/0!</v>
      </c>
      <c r="CE56" s="242" t="e">
        <f t="shared" ref="CE56" si="644">AVERAGE(AY56:AY64)*$CA56</f>
        <v>#DIV/0!</v>
      </c>
      <c r="CF56" s="243" t="e">
        <f t="shared" ref="CF56" si="645">AVERAGE(AZ56:AZ64)*$CA56</f>
        <v>#DIV/0!</v>
      </c>
      <c r="CG56" s="242" t="e">
        <f t="shared" ref="CG56" si="646">AVERAGE(BA56:BA64)*$CA56</f>
        <v>#DIV/0!</v>
      </c>
      <c r="CH56" s="243" t="e">
        <f t="shared" ref="CH56" si="647">AVERAGE(BB56:BB64)*$CA56</f>
        <v>#DIV/0!</v>
      </c>
      <c r="CI56" s="242" t="e">
        <f t="shared" ref="CI56" si="648">AVERAGE(BC56:BC64)*$CA56</f>
        <v>#DIV/0!</v>
      </c>
      <c r="CJ56" s="243" t="e">
        <f t="shared" ref="CJ56" si="649">AVERAGE(BD56:BD64)*$CA56</f>
        <v>#DIV/0!</v>
      </c>
      <c r="CK56" s="242" t="e">
        <f t="shared" ref="CK56" si="650">AVERAGE(BE56:BE64)*$CA56</f>
        <v>#DIV/0!</v>
      </c>
      <c r="CL56" s="243" t="e">
        <f t="shared" ref="CL56" si="651">AVERAGE(BF56:BF64)*$CA56</f>
        <v>#DIV/0!</v>
      </c>
      <c r="CM56" s="242" t="e">
        <f t="shared" ref="CM56" si="652">AVERAGE(BG56:BG64)*$CA56</f>
        <v>#DIV/0!</v>
      </c>
      <c r="CN56" s="243" t="e">
        <f t="shared" ref="CN56" si="653">AVERAGE(BH56:BH64)*$CA56</f>
        <v>#DIV/0!</v>
      </c>
      <c r="CO56" s="242" t="e">
        <f t="shared" ref="CO56" si="654">AVERAGE(BI56:BI64)*$CA56</f>
        <v>#DIV/0!</v>
      </c>
      <c r="CP56" s="244" t="e">
        <f t="shared" ref="CP56" si="655">AVERAGE(BJ56:BJ64)*$CA56</f>
        <v>#DIV/0!</v>
      </c>
    </row>
    <row r="57" spans="3:94" x14ac:dyDescent="0.25">
      <c r="C57" s="267"/>
      <c r="D57" s="70"/>
      <c r="E57" s="67"/>
      <c r="F57" s="67"/>
      <c r="G57" s="67"/>
      <c r="H57" s="6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66"/>
      <c r="Y57" s="65"/>
      <c r="Z57" s="67"/>
      <c r="AA57" s="246" t="e">
        <f t="shared" si="558"/>
        <v>#DIV/0!</v>
      </c>
      <c r="AB57" s="67"/>
      <c r="AC57" s="247"/>
      <c r="AD57" s="80" t="e">
        <f>AA57*AC57</f>
        <v>#DIV/0!</v>
      </c>
      <c r="AE57" s="247" t="e">
        <f t="shared" si="500"/>
        <v>#DIV/0!</v>
      </c>
      <c r="AF57" s="67"/>
      <c r="AH57" s="248" t="e">
        <f t="shared" ref="AH57:AU57" si="656">AH56</f>
        <v>#DIV/0!</v>
      </c>
      <c r="AI57" s="248" t="e">
        <f t="shared" si="656"/>
        <v>#DIV/0!</v>
      </c>
      <c r="AJ57" s="248" t="e">
        <f t="shared" si="656"/>
        <v>#DIV/0!</v>
      </c>
      <c r="AK57" s="248" t="e">
        <f t="shared" si="656"/>
        <v>#DIV/0!</v>
      </c>
      <c r="AL57" s="248" t="e">
        <f t="shared" si="656"/>
        <v>#DIV/0!</v>
      </c>
      <c r="AM57" s="248" t="e">
        <f t="shared" si="656"/>
        <v>#DIV/0!</v>
      </c>
      <c r="AN57" s="248" t="e">
        <f t="shared" si="656"/>
        <v>#DIV/0!</v>
      </c>
      <c r="AO57" s="248" t="e">
        <f t="shared" si="656"/>
        <v>#DIV/0!</v>
      </c>
      <c r="AP57" s="248" t="e">
        <f t="shared" si="656"/>
        <v>#DIV/0!</v>
      </c>
      <c r="AQ57" s="248" t="e">
        <f t="shared" si="656"/>
        <v>#DIV/0!</v>
      </c>
      <c r="AR57" s="248" t="e">
        <f t="shared" si="656"/>
        <v>#DIV/0!</v>
      </c>
      <c r="AS57" s="248" t="e">
        <f t="shared" si="656"/>
        <v>#DIV/0!</v>
      </c>
      <c r="AT57" s="248" t="e">
        <f t="shared" si="656"/>
        <v>#DIV/0!</v>
      </c>
      <c r="AU57" s="248" t="e">
        <f t="shared" si="656"/>
        <v>#DIV/0!</v>
      </c>
      <c r="AV57" s="46"/>
      <c r="AW57" s="44" t="e">
        <f t="shared" si="460"/>
        <v>#DIV/0!</v>
      </c>
      <c r="AX57" s="44" t="e">
        <f t="shared" si="461"/>
        <v>#DIV/0!</v>
      </c>
      <c r="AY57" s="44" t="e">
        <f t="shared" si="462"/>
        <v>#DIV/0!</v>
      </c>
      <c r="AZ57" s="44" t="e">
        <f t="shared" si="463"/>
        <v>#DIV/0!</v>
      </c>
      <c r="BA57" s="44" t="e">
        <f t="shared" si="464"/>
        <v>#DIV/0!</v>
      </c>
      <c r="BB57" s="44" t="e">
        <f t="shared" si="465"/>
        <v>#DIV/0!</v>
      </c>
      <c r="BC57" s="44" t="e">
        <f t="shared" si="466"/>
        <v>#DIV/0!</v>
      </c>
      <c r="BD57" s="44" t="e">
        <f t="shared" si="467"/>
        <v>#DIV/0!</v>
      </c>
      <c r="BE57" s="44" t="e">
        <f t="shared" si="468"/>
        <v>#DIV/0!</v>
      </c>
      <c r="BF57" s="44" t="e">
        <f t="shared" si="469"/>
        <v>#DIV/0!</v>
      </c>
      <c r="BG57" s="44" t="e">
        <f t="shared" si="470"/>
        <v>#DIV/0!</v>
      </c>
      <c r="BH57" s="44" t="e">
        <f t="shared" si="471"/>
        <v>#DIV/0!</v>
      </c>
      <c r="BI57" s="44" t="e">
        <f t="shared" si="472"/>
        <v>#DIV/0!</v>
      </c>
      <c r="BJ57" s="44" t="e">
        <f t="shared" si="473"/>
        <v>#DIV/0!</v>
      </c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31"/>
      <c r="CA57" s="34"/>
      <c r="CB57" s="45"/>
      <c r="CC57" s="49"/>
      <c r="CD57" s="99"/>
      <c r="CE57" s="49"/>
      <c r="CF57" s="99"/>
      <c r="CG57" s="49"/>
      <c r="CH57" s="99"/>
      <c r="CI57" s="49"/>
      <c r="CJ57" s="99"/>
      <c r="CK57" s="49"/>
      <c r="CL57" s="99"/>
      <c r="CM57" s="49"/>
      <c r="CN57" s="99"/>
      <c r="CO57" s="49"/>
      <c r="CP57" s="249"/>
    </row>
    <row r="58" spans="3:94" x14ac:dyDescent="0.25">
      <c r="C58" s="50"/>
      <c r="D58" s="31" t="s">
        <v>39</v>
      </c>
      <c r="E58" s="31"/>
      <c r="F58" s="31"/>
      <c r="G58" s="31"/>
      <c r="H58" s="45"/>
      <c r="W58" s="46"/>
      <c r="Y58" s="45"/>
      <c r="Z58" s="31"/>
      <c r="AA58" s="250" t="e">
        <f t="shared" si="558"/>
        <v>#DIV/0!</v>
      </c>
      <c r="AB58" s="31"/>
      <c r="AC58" s="20"/>
      <c r="AD58" s="81" t="e">
        <f t="shared" ref="AD58" si="657">AA58*AC58</f>
        <v>#DIV/0!</v>
      </c>
      <c r="AE58" s="20" t="e">
        <f t="shared" si="500"/>
        <v>#DIV/0!</v>
      </c>
      <c r="AF58" s="31"/>
      <c r="AG58" s="20" t="e">
        <f>AE58+AE59</f>
        <v>#DIV/0!</v>
      </c>
      <c r="AH58" s="48" t="e">
        <f t="shared" ref="AH58" si="658">H58/$G58</f>
        <v>#DIV/0!</v>
      </c>
      <c r="AI58" s="48" t="e">
        <f t="shared" ref="AI58" si="659">I58/$G58</f>
        <v>#DIV/0!</v>
      </c>
      <c r="AJ58" s="48" t="e">
        <f t="shared" ref="AJ58" si="660">J58/$G58</f>
        <v>#DIV/0!</v>
      </c>
      <c r="AK58" s="48" t="e">
        <f t="shared" ref="AK58" si="661">K58/$G58</f>
        <v>#DIV/0!</v>
      </c>
      <c r="AL58" s="48" t="e">
        <f t="shared" ref="AL58" si="662">L58/$G58</f>
        <v>#DIV/0!</v>
      </c>
      <c r="AM58" s="48" t="e">
        <f t="shared" ref="AM58" si="663">M58/$G58</f>
        <v>#DIV/0!</v>
      </c>
      <c r="AN58" s="48" t="e">
        <f t="shared" ref="AN58" si="664">N58/$G58</f>
        <v>#DIV/0!</v>
      </c>
      <c r="AO58" s="48" t="e">
        <f t="shared" ref="AO58" si="665">O58/$G58</f>
        <v>#DIV/0!</v>
      </c>
      <c r="AP58" s="48" t="e">
        <f t="shared" ref="AP58" si="666">P58/$G58</f>
        <v>#DIV/0!</v>
      </c>
      <c r="AQ58" s="48" t="e">
        <f t="shared" ref="AQ58" si="667">Q58/$G58</f>
        <v>#DIV/0!</v>
      </c>
      <c r="AR58" s="48" t="e">
        <f t="shared" ref="AR58" si="668">R58/$G58</f>
        <v>#DIV/0!</v>
      </c>
      <c r="AS58" s="48" t="e">
        <f t="shared" ref="AS58" si="669">S58/$G58</f>
        <v>#DIV/0!</v>
      </c>
      <c r="AT58" s="48" t="e">
        <f t="shared" ref="AT58" si="670">T58/$G58</f>
        <v>#DIV/0!</v>
      </c>
      <c r="AU58" s="48" t="e">
        <f t="shared" ref="AU58" si="671">U58/$G58</f>
        <v>#DIV/0!</v>
      </c>
      <c r="AV58" s="46"/>
      <c r="AW58" s="44" t="e">
        <f t="shared" si="460"/>
        <v>#DIV/0!</v>
      </c>
      <c r="AX58" s="44" t="e">
        <f t="shared" si="461"/>
        <v>#DIV/0!</v>
      </c>
      <c r="AY58" s="44" t="e">
        <f t="shared" si="462"/>
        <v>#DIV/0!</v>
      </c>
      <c r="AZ58" s="44" t="e">
        <f t="shared" si="463"/>
        <v>#DIV/0!</v>
      </c>
      <c r="BA58" s="44" t="e">
        <f t="shared" si="464"/>
        <v>#DIV/0!</v>
      </c>
      <c r="BB58" s="44" t="e">
        <f t="shared" si="465"/>
        <v>#DIV/0!</v>
      </c>
      <c r="BC58" s="44" t="e">
        <f t="shared" si="466"/>
        <v>#DIV/0!</v>
      </c>
      <c r="BD58" s="44" t="e">
        <f t="shared" si="467"/>
        <v>#DIV/0!</v>
      </c>
      <c r="BE58" s="44" t="e">
        <f t="shared" si="468"/>
        <v>#DIV/0!</v>
      </c>
      <c r="BF58" s="44" t="e">
        <f t="shared" si="469"/>
        <v>#DIV/0!</v>
      </c>
      <c r="BG58" s="44" t="e">
        <f t="shared" si="470"/>
        <v>#DIV/0!</v>
      </c>
      <c r="BH58" s="44" t="e">
        <f t="shared" si="471"/>
        <v>#DIV/0!</v>
      </c>
      <c r="BI58" s="44" t="e">
        <f t="shared" si="472"/>
        <v>#DIV/0!</v>
      </c>
      <c r="BJ58" s="44" t="e">
        <f t="shared" si="473"/>
        <v>#DIV/0!</v>
      </c>
      <c r="BK58" s="20"/>
      <c r="BL58" s="20" t="e">
        <f>AW58+AW59</f>
        <v>#DIV/0!</v>
      </c>
      <c r="BM58" s="20" t="e">
        <f t="shared" ref="BM58" si="672">AX58+AX59</f>
        <v>#DIV/0!</v>
      </c>
      <c r="BN58" s="20" t="e">
        <f t="shared" ref="BN58" si="673">AY58+AY59</f>
        <v>#DIV/0!</v>
      </c>
      <c r="BO58" s="20" t="e">
        <f t="shared" ref="BO58" si="674">AZ58+AZ59</f>
        <v>#DIV/0!</v>
      </c>
      <c r="BP58" s="20" t="e">
        <f t="shared" ref="BP58" si="675">BA58+BA59</f>
        <v>#DIV/0!</v>
      </c>
      <c r="BQ58" s="20" t="e">
        <f t="shared" ref="BQ58" si="676">BB58+BB59</f>
        <v>#DIV/0!</v>
      </c>
      <c r="BR58" s="20" t="e">
        <f t="shared" ref="BR58" si="677">BC58+BC59</f>
        <v>#DIV/0!</v>
      </c>
      <c r="BS58" s="20" t="e">
        <f t="shared" ref="BS58" si="678">BD58+BD59</f>
        <v>#DIV/0!</v>
      </c>
      <c r="BT58" s="20" t="e">
        <f t="shared" ref="BT58" si="679">BE58+BE59</f>
        <v>#DIV/0!</v>
      </c>
      <c r="BU58" s="20" t="e">
        <f t="shared" ref="BU58" si="680">BF58+BF59</f>
        <v>#DIV/0!</v>
      </c>
      <c r="BV58" s="20" t="e">
        <f t="shared" ref="BV58" si="681">BG58+BG59</f>
        <v>#DIV/0!</v>
      </c>
      <c r="BW58" s="20" t="e">
        <f t="shared" ref="BW58" si="682">BH58+BH59</f>
        <v>#DIV/0!</v>
      </c>
      <c r="BX58" s="20" t="e">
        <f t="shared" ref="BX58" si="683">BI58+BI59</f>
        <v>#DIV/0!</v>
      </c>
      <c r="BY58" s="20"/>
      <c r="BZ58" s="31"/>
      <c r="CA58" s="34"/>
      <c r="CB58" s="45"/>
      <c r="CC58" s="49"/>
      <c r="CD58" s="99"/>
      <c r="CE58" s="49"/>
      <c r="CF58" s="99"/>
      <c r="CG58" s="49"/>
      <c r="CH58" s="99"/>
      <c r="CI58" s="49"/>
      <c r="CJ58" s="99"/>
      <c r="CK58" s="49"/>
      <c r="CL58" s="99"/>
      <c r="CM58" s="49"/>
      <c r="CN58" s="99"/>
      <c r="CO58" s="49"/>
      <c r="CP58" s="249"/>
    </row>
    <row r="59" spans="3:94" x14ac:dyDescent="0.25">
      <c r="C59" s="267"/>
      <c r="D59" s="70"/>
      <c r="E59" s="67"/>
      <c r="F59" s="67"/>
      <c r="G59" s="67"/>
      <c r="H59" s="6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66"/>
      <c r="Y59" s="65"/>
      <c r="Z59" s="67"/>
      <c r="AA59" s="246" t="e">
        <f t="shared" si="558"/>
        <v>#DIV/0!</v>
      </c>
      <c r="AB59" s="67"/>
      <c r="AC59" s="247"/>
      <c r="AD59" s="80" t="e">
        <f>AA59*AC59</f>
        <v>#DIV/0!</v>
      </c>
      <c r="AE59" s="247" t="e">
        <f t="shared" si="500"/>
        <v>#DIV/0!</v>
      </c>
      <c r="AF59" s="67"/>
      <c r="AH59" s="248" t="e">
        <f t="shared" ref="AH59:AU59" si="684">AH58</f>
        <v>#DIV/0!</v>
      </c>
      <c r="AI59" s="248" t="e">
        <f t="shared" si="684"/>
        <v>#DIV/0!</v>
      </c>
      <c r="AJ59" s="248" t="e">
        <f t="shared" si="684"/>
        <v>#DIV/0!</v>
      </c>
      <c r="AK59" s="248" t="e">
        <f t="shared" si="684"/>
        <v>#DIV/0!</v>
      </c>
      <c r="AL59" s="248" t="e">
        <f t="shared" si="684"/>
        <v>#DIV/0!</v>
      </c>
      <c r="AM59" s="248" t="e">
        <f t="shared" si="684"/>
        <v>#DIV/0!</v>
      </c>
      <c r="AN59" s="248" t="e">
        <f t="shared" si="684"/>
        <v>#DIV/0!</v>
      </c>
      <c r="AO59" s="248" t="e">
        <f t="shared" si="684"/>
        <v>#DIV/0!</v>
      </c>
      <c r="AP59" s="248" t="e">
        <f t="shared" si="684"/>
        <v>#DIV/0!</v>
      </c>
      <c r="AQ59" s="248" t="e">
        <f t="shared" si="684"/>
        <v>#DIV/0!</v>
      </c>
      <c r="AR59" s="248" t="e">
        <f t="shared" si="684"/>
        <v>#DIV/0!</v>
      </c>
      <c r="AS59" s="248" t="e">
        <f t="shared" si="684"/>
        <v>#DIV/0!</v>
      </c>
      <c r="AT59" s="248" t="e">
        <f t="shared" si="684"/>
        <v>#DIV/0!</v>
      </c>
      <c r="AU59" s="248" t="e">
        <f t="shared" si="684"/>
        <v>#DIV/0!</v>
      </c>
      <c r="AV59" s="46"/>
      <c r="AW59" s="44" t="e">
        <f t="shared" si="460"/>
        <v>#DIV/0!</v>
      </c>
      <c r="AX59" s="44" t="e">
        <f t="shared" si="461"/>
        <v>#DIV/0!</v>
      </c>
      <c r="AY59" s="44" t="e">
        <f t="shared" si="462"/>
        <v>#DIV/0!</v>
      </c>
      <c r="AZ59" s="44" t="e">
        <f t="shared" si="463"/>
        <v>#DIV/0!</v>
      </c>
      <c r="BA59" s="44" t="e">
        <f t="shared" si="464"/>
        <v>#DIV/0!</v>
      </c>
      <c r="BB59" s="44" t="e">
        <f t="shared" si="465"/>
        <v>#DIV/0!</v>
      </c>
      <c r="BC59" s="44" t="e">
        <f t="shared" si="466"/>
        <v>#DIV/0!</v>
      </c>
      <c r="BD59" s="44" t="e">
        <f t="shared" si="467"/>
        <v>#DIV/0!</v>
      </c>
      <c r="BE59" s="44" t="e">
        <f t="shared" si="468"/>
        <v>#DIV/0!</v>
      </c>
      <c r="BF59" s="44" t="e">
        <f t="shared" si="469"/>
        <v>#DIV/0!</v>
      </c>
      <c r="BG59" s="44" t="e">
        <f t="shared" si="470"/>
        <v>#DIV/0!</v>
      </c>
      <c r="BH59" s="44" t="e">
        <f t="shared" si="471"/>
        <v>#DIV/0!</v>
      </c>
      <c r="BI59" s="44" t="e">
        <f t="shared" si="472"/>
        <v>#DIV/0!</v>
      </c>
      <c r="BJ59" s="44" t="e">
        <f t="shared" si="473"/>
        <v>#DIV/0!</v>
      </c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31"/>
      <c r="CA59" s="34"/>
      <c r="CB59" s="45"/>
      <c r="CC59" s="49"/>
      <c r="CD59" s="99"/>
      <c r="CE59" s="49"/>
      <c r="CF59" s="99"/>
      <c r="CG59" s="49"/>
      <c r="CH59" s="99"/>
      <c r="CI59" s="49"/>
      <c r="CJ59" s="99"/>
      <c r="CK59" s="49"/>
      <c r="CL59" s="99"/>
      <c r="CM59" s="49"/>
      <c r="CN59" s="99"/>
      <c r="CO59" s="49"/>
      <c r="CP59" s="249"/>
    </row>
    <row r="60" spans="3:94" x14ac:dyDescent="0.25">
      <c r="C60" s="50"/>
      <c r="D60" s="31" t="s">
        <v>39</v>
      </c>
      <c r="E60" s="31"/>
      <c r="F60" s="31"/>
      <c r="G60" s="31"/>
      <c r="H60" s="45"/>
      <c r="W60" s="46"/>
      <c r="Y60" s="45"/>
      <c r="Z60" s="31"/>
      <c r="AA60" s="250" t="e">
        <f t="shared" si="558"/>
        <v>#DIV/0!</v>
      </c>
      <c r="AB60" s="31"/>
      <c r="AC60" s="20"/>
      <c r="AD60" s="81" t="e">
        <f t="shared" ref="AD60" si="685">AA60*AC60</f>
        <v>#DIV/0!</v>
      </c>
      <c r="AE60" s="20" t="e">
        <f t="shared" si="500"/>
        <v>#DIV/0!</v>
      </c>
      <c r="AF60" s="31"/>
      <c r="AG60" s="20" t="e">
        <f>AE60+AE61</f>
        <v>#DIV/0!</v>
      </c>
      <c r="AH60" s="48" t="e">
        <f t="shared" ref="AH60" si="686">H60/$G60</f>
        <v>#DIV/0!</v>
      </c>
      <c r="AI60" s="48" t="e">
        <f t="shared" ref="AI60" si="687">I60/$G60</f>
        <v>#DIV/0!</v>
      </c>
      <c r="AJ60" s="48" t="e">
        <f t="shared" ref="AJ60" si="688">J60/$G60</f>
        <v>#DIV/0!</v>
      </c>
      <c r="AK60" s="48" t="e">
        <f t="shared" ref="AK60" si="689">K60/$G60</f>
        <v>#DIV/0!</v>
      </c>
      <c r="AL60" s="48" t="e">
        <f t="shared" ref="AL60" si="690">L60/$G60</f>
        <v>#DIV/0!</v>
      </c>
      <c r="AM60" s="48" t="e">
        <f t="shared" ref="AM60" si="691">M60/$G60</f>
        <v>#DIV/0!</v>
      </c>
      <c r="AN60" s="48" t="e">
        <f t="shared" ref="AN60" si="692">N60/$G60</f>
        <v>#DIV/0!</v>
      </c>
      <c r="AO60" s="48" t="e">
        <f t="shared" ref="AO60" si="693">O60/$G60</f>
        <v>#DIV/0!</v>
      </c>
      <c r="AP60" s="48" t="e">
        <f t="shared" ref="AP60" si="694">P60/$G60</f>
        <v>#DIV/0!</v>
      </c>
      <c r="AQ60" s="48" t="e">
        <f t="shared" ref="AQ60" si="695">Q60/$G60</f>
        <v>#DIV/0!</v>
      </c>
      <c r="AR60" s="48" t="e">
        <f t="shared" ref="AR60" si="696">R60/$G60</f>
        <v>#DIV/0!</v>
      </c>
      <c r="AS60" s="48" t="e">
        <f t="shared" ref="AS60" si="697">S60/$G60</f>
        <v>#DIV/0!</v>
      </c>
      <c r="AT60" s="48" t="e">
        <f t="shared" ref="AT60" si="698">T60/$G60</f>
        <v>#DIV/0!</v>
      </c>
      <c r="AU60" s="48" t="e">
        <f t="shared" ref="AU60" si="699">U60/$G60</f>
        <v>#DIV/0!</v>
      </c>
      <c r="AV60" s="46"/>
      <c r="AW60" s="44" t="e">
        <f t="shared" si="460"/>
        <v>#DIV/0!</v>
      </c>
      <c r="AX60" s="44" t="e">
        <f t="shared" si="461"/>
        <v>#DIV/0!</v>
      </c>
      <c r="AY60" s="44" t="e">
        <f t="shared" si="462"/>
        <v>#DIV/0!</v>
      </c>
      <c r="AZ60" s="44" t="e">
        <f t="shared" si="463"/>
        <v>#DIV/0!</v>
      </c>
      <c r="BA60" s="44" t="e">
        <f t="shared" si="464"/>
        <v>#DIV/0!</v>
      </c>
      <c r="BB60" s="44" t="e">
        <f t="shared" si="465"/>
        <v>#DIV/0!</v>
      </c>
      <c r="BC60" s="44" t="e">
        <f t="shared" si="466"/>
        <v>#DIV/0!</v>
      </c>
      <c r="BD60" s="44" t="e">
        <f t="shared" si="467"/>
        <v>#DIV/0!</v>
      </c>
      <c r="BE60" s="44" t="e">
        <f t="shared" si="468"/>
        <v>#DIV/0!</v>
      </c>
      <c r="BF60" s="44" t="e">
        <f t="shared" si="469"/>
        <v>#DIV/0!</v>
      </c>
      <c r="BG60" s="44" t="e">
        <f t="shared" si="470"/>
        <v>#DIV/0!</v>
      </c>
      <c r="BH60" s="44" t="e">
        <f t="shared" si="471"/>
        <v>#DIV/0!</v>
      </c>
      <c r="BI60" s="44" t="e">
        <f t="shared" si="472"/>
        <v>#DIV/0!</v>
      </c>
      <c r="BJ60" s="44" t="e">
        <f t="shared" si="473"/>
        <v>#DIV/0!</v>
      </c>
      <c r="BK60" s="20"/>
      <c r="BL60" s="20" t="e">
        <f>AW60+AW61</f>
        <v>#DIV/0!</v>
      </c>
      <c r="BM60" s="20" t="e">
        <f t="shared" ref="BM60" si="700">AX60+AX61</f>
        <v>#DIV/0!</v>
      </c>
      <c r="BN60" s="20" t="e">
        <f t="shared" ref="BN60" si="701">AY60+AY61</f>
        <v>#DIV/0!</v>
      </c>
      <c r="BO60" s="20" t="e">
        <f t="shared" ref="BO60" si="702">AZ60+AZ61</f>
        <v>#DIV/0!</v>
      </c>
      <c r="BP60" s="20" t="e">
        <f t="shared" ref="BP60" si="703">BA60+BA61</f>
        <v>#DIV/0!</v>
      </c>
      <c r="BQ60" s="20" t="e">
        <f t="shared" ref="BQ60" si="704">BB60+BB61</f>
        <v>#DIV/0!</v>
      </c>
      <c r="BR60" s="20" t="e">
        <f t="shared" ref="BR60" si="705">BC60+BC61</f>
        <v>#DIV/0!</v>
      </c>
      <c r="BS60" s="20" t="e">
        <f t="shared" ref="BS60" si="706">BD60+BD61</f>
        <v>#DIV/0!</v>
      </c>
      <c r="BT60" s="20" t="e">
        <f t="shared" ref="BT60" si="707">BE60+BE61</f>
        <v>#DIV/0!</v>
      </c>
      <c r="BU60" s="20" t="e">
        <f t="shared" ref="BU60" si="708">BF60+BF61</f>
        <v>#DIV/0!</v>
      </c>
      <c r="BV60" s="20" t="e">
        <f t="shared" ref="BV60" si="709">BG60+BG61</f>
        <v>#DIV/0!</v>
      </c>
      <c r="BW60" s="20" t="e">
        <f t="shared" ref="BW60" si="710">BH60+BH61</f>
        <v>#DIV/0!</v>
      </c>
      <c r="BX60" s="20" t="e">
        <f t="shared" ref="BX60" si="711">BI60+BI61</f>
        <v>#DIV/0!</v>
      </c>
      <c r="BY60" s="20"/>
      <c r="BZ60" s="31"/>
      <c r="CA60" s="34"/>
      <c r="CB60" s="45"/>
      <c r="CC60" s="49"/>
      <c r="CD60" s="99"/>
      <c r="CE60" s="49"/>
      <c r="CF60" s="99"/>
      <c r="CG60" s="49"/>
      <c r="CH60" s="99"/>
      <c r="CI60" s="49"/>
      <c r="CJ60" s="99"/>
      <c r="CK60" s="49"/>
      <c r="CL60" s="99"/>
      <c r="CM60" s="49"/>
      <c r="CN60" s="99"/>
      <c r="CO60" s="49"/>
      <c r="CP60" s="249"/>
    </row>
    <row r="61" spans="3:94" x14ac:dyDescent="0.25">
      <c r="C61" s="267"/>
      <c r="D61" s="70"/>
      <c r="E61" s="67"/>
      <c r="F61" s="67"/>
      <c r="G61" s="67"/>
      <c r="H61" s="6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66"/>
      <c r="Y61" s="65"/>
      <c r="Z61" s="67"/>
      <c r="AA61" s="246" t="e">
        <f t="shared" si="558"/>
        <v>#DIV/0!</v>
      </c>
      <c r="AB61" s="67"/>
      <c r="AC61" s="247"/>
      <c r="AD61" s="80" t="e">
        <f>AA61*AC61</f>
        <v>#DIV/0!</v>
      </c>
      <c r="AE61" s="247" t="e">
        <f t="shared" si="500"/>
        <v>#DIV/0!</v>
      </c>
      <c r="AF61" s="67"/>
      <c r="AH61" s="248" t="e">
        <f t="shared" ref="AH61:AU61" si="712">AH60</f>
        <v>#DIV/0!</v>
      </c>
      <c r="AI61" s="248" t="e">
        <f t="shared" si="712"/>
        <v>#DIV/0!</v>
      </c>
      <c r="AJ61" s="248" t="e">
        <f t="shared" si="712"/>
        <v>#DIV/0!</v>
      </c>
      <c r="AK61" s="248" t="e">
        <f t="shared" si="712"/>
        <v>#DIV/0!</v>
      </c>
      <c r="AL61" s="248" t="e">
        <f t="shared" si="712"/>
        <v>#DIV/0!</v>
      </c>
      <c r="AM61" s="248" t="e">
        <f t="shared" si="712"/>
        <v>#DIV/0!</v>
      </c>
      <c r="AN61" s="248" t="e">
        <f t="shared" si="712"/>
        <v>#DIV/0!</v>
      </c>
      <c r="AO61" s="248" t="e">
        <f t="shared" si="712"/>
        <v>#DIV/0!</v>
      </c>
      <c r="AP61" s="248" t="e">
        <f t="shared" si="712"/>
        <v>#DIV/0!</v>
      </c>
      <c r="AQ61" s="248" t="e">
        <f t="shared" si="712"/>
        <v>#DIV/0!</v>
      </c>
      <c r="AR61" s="248" t="e">
        <f t="shared" si="712"/>
        <v>#DIV/0!</v>
      </c>
      <c r="AS61" s="248" t="e">
        <f t="shared" si="712"/>
        <v>#DIV/0!</v>
      </c>
      <c r="AT61" s="248" t="e">
        <f t="shared" si="712"/>
        <v>#DIV/0!</v>
      </c>
      <c r="AU61" s="248" t="e">
        <f t="shared" si="712"/>
        <v>#DIV/0!</v>
      </c>
      <c r="AV61" s="46"/>
      <c r="AW61" s="44" t="e">
        <f t="shared" si="460"/>
        <v>#DIV/0!</v>
      </c>
      <c r="AX61" s="44" t="e">
        <f t="shared" si="461"/>
        <v>#DIV/0!</v>
      </c>
      <c r="AY61" s="44" t="e">
        <f t="shared" si="462"/>
        <v>#DIV/0!</v>
      </c>
      <c r="AZ61" s="44" t="e">
        <f t="shared" si="463"/>
        <v>#DIV/0!</v>
      </c>
      <c r="BA61" s="44" t="e">
        <f t="shared" si="464"/>
        <v>#DIV/0!</v>
      </c>
      <c r="BB61" s="44" t="e">
        <f t="shared" si="465"/>
        <v>#DIV/0!</v>
      </c>
      <c r="BC61" s="44" t="e">
        <f t="shared" si="466"/>
        <v>#DIV/0!</v>
      </c>
      <c r="BD61" s="44" t="e">
        <f t="shared" si="467"/>
        <v>#DIV/0!</v>
      </c>
      <c r="BE61" s="44" t="e">
        <f t="shared" si="468"/>
        <v>#DIV/0!</v>
      </c>
      <c r="BF61" s="44" t="e">
        <f t="shared" si="469"/>
        <v>#DIV/0!</v>
      </c>
      <c r="BG61" s="44" t="e">
        <f t="shared" si="470"/>
        <v>#DIV/0!</v>
      </c>
      <c r="BH61" s="44" t="e">
        <f t="shared" si="471"/>
        <v>#DIV/0!</v>
      </c>
      <c r="BI61" s="44" t="e">
        <f t="shared" si="472"/>
        <v>#DIV/0!</v>
      </c>
      <c r="BJ61" s="44" t="e">
        <f t="shared" si="473"/>
        <v>#DIV/0!</v>
      </c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31"/>
      <c r="CA61" s="34"/>
      <c r="CB61" s="45"/>
      <c r="CC61" s="49"/>
      <c r="CD61" s="99"/>
      <c r="CE61" s="49"/>
      <c r="CF61" s="99"/>
      <c r="CG61" s="49"/>
      <c r="CH61" s="99"/>
      <c r="CI61" s="49"/>
      <c r="CJ61" s="99"/>
      <c r="CK61" s="49"/>
      <c r="CL61" s="99"/>
      <c r="CM61" s="49"/>
      <c r="CN61" s="99"/>
      <c r="CO61" s="49"/>
      <c r="CP61" s="249"/>
    </row>
    <row r="62" spans="3:94" x14ac:dyDescent="0.25">
      <c r="C62" s="50"/>
      <c r="D62" s="69" t="s">
        <v>40</v>
      </c>
      <c r="E62" s="31"/>
      <c r="F62" s="31"/>
      <c r="G62" s="31"/>
      <c r="H62" s="45"/>
      <c r="W62" s="46"/>
      <c r="Y62" s="45"/>
      <c r="Z62" s="31"/>
      <c r="AA62" s="250" t="e">
        <f t="shared" si="558"/>
        <v>#DIV/0!</v>
      </c>
      <c r="AB62" s="31"/>
      <c r="AC62" s="20"/>
      <c r="AD62" s="81" t="e">
        <f t="shared" ref="AD62" si="713">AA62*AC62</f>
        <v>#DIV/0!</v>
      </c>
      <c r="AE62" s="20" t="e">
        <f t="shared" si="500"/>
        <v>#DIV/0!</v>
      </c>
      <c r="AF62" s="31"/>
      <c r="AG62" s="20" t="e">
        <f>AE62+AE63</f>
        <v>#DIV/0!</v>
      </c>
      <c r="AH62" s="48" t="e">
        <f t="shared" ref="AH62" si="714">H62/$G62</f>
        <v>#DIV/0!</v>
      </c>
      <c r="AI62" s="48" t="e">
        <f t="shared" ref="AI62" si="715">I62/$G62</f>
        <v>#DIV/0!</v>
      </c>
      <c r="AJ62" s="48" t="e">
        <f t="shared" ref="AJ62" si="716">J62/$G62</f>
        <v>#DIV/0!</v>
      </c>
      <c r="AK62" s="48" t="e">
        <f t="shared" ref="AK62" si="717">K62/$G62</f>
        <v>#DIV/0!</v>
      </c>
      <c r="AL62" s="48" t="e">
        <f t="shared" ref="AL62" si="718">L62/$G62</f>
        <v>#DIV/0!</v>
      </c>
      <c r="AM62" s="48" t="e">
        <f t="shared" ref="AM62" si="719">M62/$G62</f>
        <v>#DIV/0!</v>
      </c>
      <c r="AN62" s="48" t="e">
        <f t="shared" ref="AN62" si="720">N62/$G62</f>
        <v>#DIV/0!</v>
      </c>
      <c r="AO62" s="48" t="e">
        <f t="shared" ref="AO62" si="721">O62/$G62</f>
        <v>#DIV/0!</v>
      </c>
      <c r="AP62" s="48" t="e">
        <f t="shared" ref="AP62" si="722">P62/$G62</f>
        <v>#DIV/0!</v>
      </c>
      <c r="AQ62" s="48" t="e">
        <f t="shared" ref="AQ62" si="723">Q62/$G62</f>
        <v>#DIV/0!</v>
      </c>
      <c r="AR62" s="48" t="e">
        <f t="shared" ref="AR62" si="724">R62/$G62</f>
        <v>#DIV/0!</v>
      </c>
      <c r="AS62" s="48" t="e">
        <f t="shared" ref="AS62" si="725">S62/$G62</f>
        <v>#DIV/0!</v>
      </c>
      <c r="AT62" s="48" t="e">
        <f t="shared" ref="AT62" si="726">T62/$G62</f>
        <v>#DIV/0!</v>
      </c>
      <c r="AU62" s="48" t="e">
        <f t="shared" ref="AU62" si="727">U62/$G62</f>
        <v>#DIV/0!</v>
      </c>
      <c r="AV62" s="46"/>
      <c r="AW62" s="44" t="e">
        <f t="shared" si="460"/>
        <v>#DIV/0!</v>
      </c>
      <c r="AX62" s="44" t="e">
        <f t="shared" si="461"/>
        <v>#DIV/0!</v>
      </c>
      <c r="AY62" s="44" t="e">
        <f t="shared" si="462"/>
        <v>#DIV/0!</v>
      </c>
      <c r="AZ62" s="44" t="e">
        <f t="shared" si="463"/>
        <v>#DIV/0!</v>
      </c>
      <c r="BA62" s="44" t="e">
        <f t="shared" si="464"/>
        <v>#DIV/0!</v>
      </c>
      <c r="BB62" s="44" t="e">
        <f t="shared" si="465"/>
        <v>#DIV/0!</v>
      </c>
      <c r="BC62" s="44" t="e">
        <f t="shared" si="466"/>
        <v>#DIV/0!</v>
      </c>
      <c r="BD62" s="44" t="e">
        <f t="shared" si="467"/>
        <v>#DIV/0!</v>
      </c>
      <c r="BE62" s="44" t="e">
        <f t="shared" si="468"/>
        <v>#DIV/0!</v>
      </c>
      <c r="BF62" s="44" t="e">
        <f t="shared" si="469"/>
        <v>#DIV/0!</v>
      </c>
      <c r="BG62" s="44" t="e">
        <f t="shared" si="470"/>
        <v>#DIV/0!</v>
      </c>
      <c r="BH62" s="44" t="e">
        <f t="shared" si="471"/>
        <v>#DIV/0!</v>
      </c>
      <c r="BI62" s="44" t="e">
        <f t="shared" si="472"/>
        <v>#DIV/0!</v>
      </c>
      <c r="BJ62" s="44" t="e">
        <f t="shared" si="473"/>
        <v>#DIV/0!</v>
      </c>
      <c r="BK62" s="20"/>
      <c r="BL62" s="20" t="e">
        <f>AW62+AW63</f>
        <v>#DIV/0!</v>
      </c>
      <c r="BM62" s="20" t="e">
        <f t="shared" ref="BM62" si="728">AX62+AX63</f>
        <v>#DIV/0!</v>
      </c>
      <c r="BN62" s="20" t="e">
        <f t="shared" ref="BN62" si="729">AY62+AY63</f>
        <v>#DIV/0!</v>
      </c>
      <c r="BO62" s="20" t="e">
        <f t="shared" ref="BO62" si="730">AZ62+AZ63</f>
        <v>#DIV/0!</v>
      </c>
      <c r="BP62" s="20" t="e">
        <f t="shared" ref="BP62" si="731">BA62+BA63</f>
        <v>#DIV/0!</v>
      </c>
      <c r="BQ62" s="20" t="e">
        <f t="shared" ref="BQ62" si="732">BB62+BB63</f>
        <v>#DIV/0!</v>
      </c>
      <c r="BR62" s="20" t="e">
        <f t="shared" ref="BR62" si="733">BC62+BC63</f>
        <v>#DIV/0!</v>
      </c>
      <c r="BS62" s="20" t="e">
        <f t="shared" ref="BS62" si="734">BD62+BD63</f>
        <v>#DIV/0!</v>
      </c>
      <c r="BT62" s="20" t="e">
        <f t="shared" ref="BT62" si="735">BE62+BE63</f>
        <v>#DIV/0!</v>
      </c>
      <c r="BU62" s="20" t="e">
        <f t="shared" ref="BU62" si="736">BF62+BF63</f>
        <v>#DIV/0!</v>
      </c>
      <c r="BV62" s="20" t="e">
        <f t="shared" ref="BV62" si="737">BG62+BG63</f>
        <v>#DIV/0!</v>
      </c>
      <c r="BW62" s="20" t="e">
        <f t="shared" ref="BW62" si="738">BH62+BH63</f>
        <v>#DIV/0!</v>
      </c>
      <c r="BX62" s="20" t="e">
        <f t="shared" ref="BX62" si="739">BI62+BI63</f>
        <v>#DIV/0!</v>
      </c>
      <c r="BY62" s="20"/>
      <c r="BZ62" s="31"/>
      <c r="CA62" s="34"/>
      <c r="CB62" s="45"/>
      <c r="CC62" s="49"/>
      <c r="CD62" s="99"/>
      <c r="CE62" s="49"/>
      <c r="CF62" s="99"/>
      <c r="CG62" s="49"/>
      <c r="CH62" s="99"/>
      <c r="CI62" s="49"/>
      <c r="CJ62" s="99"/>
      <c r="CK62" s="49"/>
      <c r="CL62" s="99"/>
      <c r="CM62" s="49"/>
      <c r="CN62" s="99"/>
      <c r="CO62" s="49"/>
      <c r="CP62" s="249"/>
    </row>
    <row r="63" spans="3:94" x14ac:dyDescent="0.25">
      <c r="C63" s="267"/>
      <c r="D63" s="70"/>
      <c r="E63" s="67"/>
      <c r="F63" s="67"/>
      <c r="G63" s="67"/>
      <c r="H63" s="6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66"/>
      <c r="Y63" s="65"/>
      <c r="Z63" s="67"/>
      <c r="AA63" s="246" t="e">
        <f t="shared" si="558"/>
        <v>#DIV/0!</v>
      </c>
      <c r="AB63" s="67"/>
      <c r="AC63" s="247"/>
      <c r="AD63" s="80" t="e">
        <f>AA63*AC63</f>
        <v>#DIV/0!</v>
      </c>
      <c r="AE63" s="247" t="e">
        <f t="shared" si="500"/>
        <v>#DIV/0!</v>
      </c>
      <c r="AF63" s="67"/>
      <c r="AH63" s="248" t="e">
        <f t="shared" ref="AH63:AU63" si="740">AH62</f>
        <v>#DIV/0!</v>
      </c>
      <c r="AI63" s="248" t="e">
        <f t="shared" si="740"/>
        <v>#DIV/0!</v>
      </c>
      <c r="AJ63" s="248" t="e">
        <f t="shared" si="740"/>
        <v>#DIV/0!</v>
      </c>
      <c r="AK63" s="248" t="e">
        <f t="shared" si="740"/>
        <v>#DIV/0!</v>
      </c>
      <c r="AL63" s="248" t="e">
        <f t="shared" si="740"/>
        <v>#DIV/0!</v>
      </c>
      <c r="AM63" s="248" t="e">
        <f t="shared" si="740"/>
        <v>#DIV/0!</v>
      </c>
      <c r="AN63" s="248" t="e">
        <f t="shared" si="740"/>
        <v>#DIV/0!</v>
      </c>
      <c r="AO63" s="248" t="e">
        <f t="shared" si="740"/>
        <v>#DIV/0!</v>
      </c>
      <c r="AP63" s="248" t="e">
        <f t="shared" si="740"/>
        <v>#DIV/0!</v>
      </c>
      <c r="AQ63" s="248" t="e">
        <f t="shared" si="740"/>
        <v>#DIV/0!</v>
      </c>
      <c r="AR63" s="248" t="e">
        <f t="shared" si="740"/>
        <v>#DIV/0!</v>
      </c>
      <c r="AS63" s="248" t="e">
        <f t="shared" si="740"/>
        <v>#DIV/0!</v>
      </c>
      <c r="AT63" s="248" t="e">
        <f t="shared" si="740"/>
        <v>#DIV/0!</v>
      </c>
      <c r="AU63" s="248" t="e">
        <f t="shared" si="740"/>
        <v>#DIV/0!</v>
      </c>
      <c r="AV63" s="46"/>
      <c r="AW63" s="44" t="e">
        <f t="shared" si="460"/>
        <v>#DIV/0!</v>
      </c>
      <c r="AX63" s="44" t="e">
        <f t="shared" si="461"/>
        <v>#DIV/0!</v>
      </c>
      <c r="AY63" s="44" t="e">
        <f t="shared" si="462"/>
        <v>#DIV/0!</v>
      </c>
      <c r="AZ63" s="44" t="e">
        <f t="shared" si="463"/>
        <v>#DIV/0!</v>
      </c>
      <c r="BA63" s="44" t="e">
        <f t="shared" si="464"/>
        <v>#DIV/0!</v>
      </c>
      <c r="BB63" s="44" t="e">
        <f t="shared" si="465"/>
        <v>#DIV/0!</v>
      </c>
      <c r="BC63" s="44" t="e">
        <f t="shared" si="466"/>
        <v>#DIV/0!</v>
      </c>
      <c r="BD63" s="44" t="e">
        <f t="shared" si="467"/>
        <v>#DIV/0!</v>
      </c>
      <c r="BE63" s="44" t="e">
        <f t="shared" si="468"/>
        <v>#DIV/0!</v>
      </c>
      <c r="BF63" s="44" t="e">
        <f t="shared" si="469"/>
        <v>#DIV/0!</v>
      </c>
      <c r="BG63" s="44" t="e">
        <f t="shared" si="470"/>
        <v>#DIV/0!</v>
      </c>
      <c r="BH63" s="44" t="e">
        <f t="shared" si="471"/>
        <v>#DIV/0!</v>
      </c>
      <c r="BI63" s="44" t="e">
        <f t="shared" si="472"/>
        <v>#DIV/0!</v>
      </c>
      <c r="BJ63" s="44" t="e">
        <f t="shared" si="473"/>
        <v>#DIV/0!</v>
      </c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31"/>
      <c r="CA63" s="34"/>
      <c r="CB63" s="45"/>
      <c r="CC63" s="49"/>
      <c r="CD63" s="99"/>
      <c r="CE63" s="49"/>
      <c r="CF63" s="99"/>
      <c r="CG63" s="49"/>
      <c r="CH63" s="99"/>
      <c r="CI63" s="49"/>
      <c r="CJ63" s="99"/>
      <c r="CK63" s="49"/>
      <c r="CL63" s="99"/>
      <c r="CM63" s="49"/>
      <c r="CN63" s="99"/>
      <c r="CO63" s="49"/>
      <c r="CP63" s="249"/>
    </row>
    <row r="64" spans="3:94" x14ac:dyDescent="0.25">
      <c r="C64" s="50"/>
      <c r="D64" s="69" t="s">
        <v>40</v>
      </c>
      <c r="E64" s="31"/>
      <c r="F64" s="31"/>
      <c r="G64" s="31"/>
      <c r="H64" s="45"/>
      <c r="W64" s="46"/>
      <c r="Y64" s="45"/>
      <c r="Z64" s="31"/>
      <c r="AA64" s="250" t="e">
        <f t="shared" si="558"/>
        <v>#DIV/0!</v>
      </c>
      <c r="AB64" s="31"/>
      <c r="AC64" s="20"/>
      <c r="AD64" s="81" t="e">
        <f t="shared" ref="AD64" si="741">AA64*AC64</f>
        <v>#DIV/0!</v>
      </c>
      <c r="AE64" s="20" t="e">
        <f t="shared" si="500"/>
        <v>#DIV/0!</v>
      </c>
      <c r="AF64" s="31"/>
      <c r="AG64" s="20" t="e">
        <f>AE64+AE65</f>
        <v>#DIV/0!</v>
      </c>
      <c r="AH64" s="48" t="e">
        <f t="shared" ref="AH64" si="742">H64/$G64</f>
        <v>#DIV/0!</v>
      </c>
      <c r="AI64" s="48" t="e">
        <f t="shared" ref="AI64" si="743">I64/$G64</f>
        <v>#DIV/0!</v>
      </c>
      <c r="AJ64" s="48" t="e">
        <f t="shared" ref="AJ64" si="744">J64/$G64</f>
        <v>#DIV/0!</v>
      </c>
      <c r="AK64" s="48" t="e">
        <f t="shared" ref="AK64" si="745">K64/$G64</f>
        <v>#DIV/0!</v>
      </c>
      <c r="AL64" s="48" t="e">
        <f t="shared" ref="AL64" si="746">L64/$G64</f>
        <v>#DIV/0!</v>
      </c>
      <c r="AM64" s="48" t="e">
        <f t="shared" ref="AM64" si="747">M64/$G64</f>
        <v>#DIV/0!</v>
      </c>
      <c r="AN64" s="48" t="e">
        <f t="shared" ref="AN64" si="748">N64/$G64</f>
        <v>#DIV/0!</v>
      </c>
      <c r="AO64" s="48" t="e">
        <f t="shared" ref="AO64" si="749">O64/$G64</f>
        <v>#DIV/0!</v>
      </c>
      <c r="AP64" s="48" t="e">
        <f t="shared" ref="AP64" si="750">P64/$G64</f>
        <v>#DIV/0!</v>
      </c>
      <c r="AQ64" s="48" t="e">
        <f t="shared" ref="AQ64" si="751">Q64/$G64</f>
        <v>#DIV/0!</v>
      </c>
      <c r="AR64" s="48" t="e">
        <f t="shared" ref="AR64" si="752">R64/$G64</f>
        <v>#DIV/0!</v>
      </c>
      <c r="AS64" s="48" t="e">
        <f t="shared" ref="AS64" si="753">S64/$G64</f>
        <v>#DIV/0!</v>
      </c>
      <c r="AT64" s="48" t="e">
        <f t="shared" ref="AT64" si="754">T64/$G64</f>
        <v>#DIV/0!</v>
      </c>
      <c r="AU64" s="48" t="e">
        <f t="shared" ref="AU64" si="755">U64/$G64</f>
        <v>#DIV/0!</v>
      </c>
      <c r="AV64" s="46"/>
      <c r="AW64" s="44" t="e">
        <f t="shared" si="460"/>
        <v>#DIV/0!</v>
      </c>
      <c r="AX64" s="44" t="e">
        <f t="shared" si="461"/>
        <v>#DIV/0!</v>
      </c>
      <c r="AY64" s="44" t="e">
        <f t="shared" si="462"/>
        <v>#DIV/0!</v>
      </c>
      <c r="AZ64" s="44" t="e">
        <f t="shared" si="463"/>
        <v>#DIV/0!</v>
      </c>
      <c r="BA64" s="44" t="e">
        <f t="shared" si="464"/>
        <v>#DIV/0!</v>
      </c>
      <c r="BB64" s="44" t="e">
        <f t="shared" si="465"/>
        <v>#DIV/0!</v>
      </c>
      <c r="BC64" s="44" t="e">
        <f t="shared" si="466"/>
        <v>#DIV/0!</v>
      </c>
      <c r="BD64" s="44" t="e">
        <f t="shared" si="467"/>
        <v>#DIV/0!</v>
      </c>
      <c r="BE64" s="44" t="e">
        <f t="shared" si="468"/>
        <v>#DIV/0!</v>
      </c>
      <c r="BF64" s="44" t="e">
        <f t="shared" si="469"/>
        <v>#DIV/0!</v>
      </c>
      <c r="BG64" s="44" t="e">
        <f t="shared" si="470"/>
        <v>#DIV/0!</v>
      </c>
      <c r="BH64" s="44" t="e">
        <f t="shared" si="471"/>
        <v>#DIV/0!</v>
      </c>
      <c r="BI64" s="44" t="e">
        <f t="shared" si="472"/>
        <v>#DIV/0!</v>
      </c>
      <c r="BJ64" s="44" t="e">
        <f t="shared" si="473"/>
        <v>#DIV/0!</v>
      </c>
      <c r="BK64" s="20"/>
      <c r="BL64" s="20" t="e">
        <f>AW64+AW65</f>
        <v>#DIV/0!</v>
      </c>
      <c r="BM64" s="20" t="e">
        <f t="shared" ref="BM64" si="756">AX64+AX65</f>
        <v>#DIV/0!</v>
      </c>
      <c r="BN64" s="20" t="e">
        <f t="shared" ref="BN64" si="757">AY64+AY65</f>
        <v>#DIV/0!</v>
      </c>
      <c r="BO64" s="20" t="e">
        <f t="shared" ref="BO64" si="758">AZ64+AZ65</f>
        <v>#DIV/0!</v>
      </c>
      <c r="BP64" s="20" t="e">
        <f t="shared" ref="BP64" si="759">BA64+BA65</f>
        <v>#DIV/0!</v>
      </c>
      <c r="BQ64" s="20" t="e">
        <f t="shared" ref="BQ64" si="760">BB64+BB65</f>
        <v>#DIV/0!</v>
      </c>
      <c r="BR64" s="20" t="e">
        <f t="shared" ref="BR64" si="761">BC64+BC65</f>
        <v>#DIV/0!</v>
      </c>
      <c r="BS64" s="20" t="e">
        <f t="shared" ref="BS64" si="762">BD64+BD65</f>
        <v>#DIV/0!</v>
      </c>
      <c r="BT64" s="20" t="e">
        <f t="shared" ref="BT64" si="763">BE64+BE65</f>
        <v>#DIV/0!</v>
      </c>
      <c r="BU64" s="20" t="e">
        <f t="shared" ref="BU64" si="764">BF64+BF65</f>
        <v>#DIV/0!</v>
      </c>
      <c r="BV64" s="20" t="e">
        <f t="shared" ref="BV64" si="765">BG64+BG65</f>
        <v>#DIV/0!</v>
      </c>
      <c r="BW64" s="20" t="e">
        <f t="shared" ref="BW64" si="766">BH64+BH65</f>
        <v>#DIV/0!</v>
      </c>
      <c r="BX64" s="20" t="e">
        <f t="shared" ref="BX64" si="767">BI64+BI65</f>
        <v>#DIV/0!</v>
      </c>
      <c r="BY64" s="20"/>
      <c r="BZ64" s="31"/>
      <c r="CA64" s="34"/>
      <c r="CB64" s="45"/>
      <c r="CC64" s="49"/>
      <c r="CD64" s="99"/>
      <c r="CE64" s="49"/>
      <c r="CF64" s="99"/>
      <c r="CG64" s="49"/>
      <c r="CH64" s="99"/>
      <c r="CI64" s="49"/>
      <c r="CJ64" s="99"/>
      <c r="CK64" s="49"/>
      <c r="CL64" s="99"/>
      <c r="CM64" s="49"/>
      <c r="CN64" s="99"/>
      <c r="CO64" s="49"/>
      <c r="CP64" s="249"/>
    </row>
    <row r="65" spans="3:94" ht="16.5" thickBot="1" x14ac:dyDescent="0.3">
      <c r="C65" s="251"/>
      <c r="D65" s="252"/>
      <c r="E65" s="253"/>
      <c r="F65" s="253"/>
      <c r="G65" s="253"/>
      <c r="H65" s="254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6"/>
      <c r="X65" s="119"/>
      <c r="Y65" s="254"/>
      <c r="Z65" s="253"/>
      <c r="AA65" s="257" t="e">
        <f t="shared" si="558"/>
        <v>#DIV/0!</v>
      </c>
      <c r="AB65" s="253"/>
      <c r="AC65" s="258"/>
      <c r="AD65" s="259" t="e">
        <f>AA65*AC65</f>
        <v>#DIV/0!</v>
      </c>
      <c r="AE65" s="258" t="e">
        <f t="shared" si="500"/>
        <v>#DIV/0!</v>
      </c>
      <c r="AF65" s="253"/>
      <c r="AG65" s="119"/>
      <c r="AH65" s="260" t="e">
        <f t="shared" ref="AH65:AU65" si="768">AH64</f>
        <v>#DIV/0!</v>
      </c>
      <c r="AI65" s="260" t="e">
        <f t="shared" si="768"/>
        <v>#DIV/0!</v>
      </c>
      <c r="AJ65" s="260" t="e">
        <f t="shared" si="768"/>
        <v>#DIV/0!</v>
      </c>
      <c r="AK65" s="260" t="e">
        <f t="shared" si="768"/>
        <v>#DIV/0!</v>
      </c>
      <c r="AL65" s="260" t="e">
        <f t="shared" si="768"/>
        <v>#DIV/0!</v>
      </c>
      <c r="AM65" s="260" t="e">
        <f t="shared" si="768"/>
        <v>#DIV/0!</v>
      </c>
      <c r="AN65" s="260" t="e">
        <f t="shared" si="768"/>
        <v>#DIV/0!</v>
      </c>
      <c r="AO65" s="260" t="e">
        <f t="shared" si="768"/>
        <v>#DIV/0!</v>
      </c>
      <c r="AP65" s="260" t="e">
        <f t="shared" si="768"/>
        <v>#DIV/0!</v>
      </c>
      <c r="AQ65" s="260" t="e">
        <f t="shared" si="768"/>
        <v>#DIV/0!</v>
      </c>
      <c r="AR65" s="260" t="e">
        <f t="shared" si="768"/>
        <v>#DIV/0!</v>
      </c>
      <c r="AS65" s="260" t="e">
        <f t="shared" si="768"/>
        <v>#DIV/0!</v>
      </c>
      <c r="AT65" s="260" t="e">
        <f t="shared" si="768"/>
        <v>#DIV/0!</v>
      </c>
      <c r="AU65" s="260" t="e">
        <f t="shared" si="768"/>
        <v>#DIV/0!</v>
      </c>
      <c r="AV65" s="145"/>
      <c r="AW65" s="261" t="e">
        <f t="shared" si="460"/>
        <v>#DIV/0!</v>
      </c>
      <c r="AX65" s="261" t="e">
        <f t="shared" si="461"/>
        <v>#DIV/0!</v>
      </c>
      <c r="AY65" s="261" t="e">
        <f t="shared" si="462"/>
        <v>#DIV/0!</v>
      </c>
      <c r="AZ65" s="261" t="e">
        <f t="shared" si="463"/>
        <v>#DIV/0!</v>
      </c>
      <c r="BA65" s="261" t="e">
        <f t="shared" si="464"/>
        <v>#DIV/0!</v>
      </c>
      <c r="BB65" s="261" t="e">
        <f t="shared" si="465"/>
        <v>#DIV/0!</v>
      </c>
      <c r="BC65" s="261" t="e">
        <f t="shared" si="466"/>
        <v>#DIV/0!</v>
      </c>
      <c r="BD65" s="261" t="e">
        <f t="shared" si="467"/>
        <v>#DIV/0!</v>
      </c>
      <c r="BE65" s="261" t="e">
        <f t="shared" si="468"/>
        <v>#DIV/0!</v>
      </c>
      <c r="BF65" s="261" t="e">
        <f t="shared" si="469"/>
        <v>#DIV/0!</v>
      </c>
      <c r="BG65" s="261" t="e">
        <f t="shared" si="470"/>
        <v>#DIV/0!</v>
      </c>
      <c r="BH65" s="261" t="e">
        <f t="shared" si="471"/>
        <v>#DIV/0!</v>
      </c>
      <c r="BI65" s="261" t="e">
        <f t="shared" si="472"/>
        <v>#DIV/0!</v>
      </c>
      <c r="BJ65" s="261" t="e">
        <f t="shared" si="473"/>
        <v>#DIV/0!</v>
      </c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143"/>
      <c r="CA65" s="213"/>
      <c r="CB65" s="144"/>
      <c r="CC65" s="263"/>
      <c r="CD65" s="264"/>
      <c r="CE65" s="263"/>
      <c r="CF65" s="264"/>
      <c r="CG65" s="263"/>
      <c r="CH65" s="264"/>
      <c r="CI65" s="263"/>
      <c r="CJ65" s="264"/>
      <c r="CK65" s="263"/>
      <c r="CL65" s="264"/>
      <c r="CM65" s="263"/>
      <c r="CN65" s="264"/>
      <c r="CO65" s="263"/>
      <c r="CP65" s="265"/>
    </row>
    <row r="66" spans="3:94" x14ac:dyDescent="0.25">
      <c r="C66" s="266"/>
      <c r="D66" s="24" t="s">
        <v>39</v>
      </c>
      <c r="E66" s="24"/>
      <c r="F66" s="24"/>
      <c r="G66" s="24"/>
      <c r="H66" s="237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38"/>
      <c r="X66" s="25"/>
      <c r="Y66" s="237"/>
      <c r="Z66" s="24"/>
      <c r="AA66" s="26" t="e">
        <f t="shared" si="558"/>
        <v>#DIV/0!</v>
      </c>
      <c r="AB66" s="24"/>
      <c r="AC66" s="190"/>
      <c r="AD66" s="239" t="e">
        <f t="shared" ref="AD66" si="769">AA66*AC66</f>
        <v>#DIV/0!</v>
      </c>
      <c r="AE66" s="190" t="e">
        <f t="shared" si="500"/>
        <v>#DIV/0!</v>
      </c>
      <c r="AF66" s="24"/>
      <c r="AG66" s="190" t="e">
        <f>AE66+AE67</f>
        <v>#DIV/0!</v>
      </c>
      <c r="AH66" s="240" t="e">
        <f t="shared" ref="AH66" si="770">H66/$G66</f>
        <v>#DIV/0!</v>
      </c>
      <c r="AI66" s="240" t="e">
        <f t="shared" ref="AI66" si="771">I66/$G66</f>
        <v>#DIV/0!</v>
      </c>
      <c r="AJ66" s="240" t="e">
        <f t="shared" ref="AJ66" si="772">J66/$G66</f>
        <v>#DIV/0!</v>
      </c>
      <c r="AK66" s="240" t="e">
        <f t="shared" ref="AK66" si="773">K66/$G66</f>
        <v>#DIV/0!</v>
      </c>
      <c r="AL66" s="240" t="e">
        <f t="shared" ref="AL66" si="774">L66/$G66</f>
        <v>#DIV/0!</v>
      </c>
      <c r="AM66" s="240" t="e">
        <f t="shared" ref="AM66" si="775">M66/$G66</f>
        <v>#DIV/0!</v>
      </c>
      <c r="AN66" s="240" t="e">
        <f t="shared" ref="AN66" si="776">N66/$G66</f>
        <v>#DIV/0!</v>
      </c>
      <c r="AO66" s="240" t="e">
        <f t="shared" ref="AO66" si="777">O66/$G66</f>
        <v>#DIV/0!</v>
      </c>
      <c r="AP66" s="240" t="e">
        <f t="shared" ref="AP66" si="778">P66/$G66</f>
        <v>#DIV/0!</v>
      </c>
      <c r="AQ66" s="240" t="e">
        <f t="shared" ref="AQ66" si="779">Q66/$G66</f>
        <v>#DIV/0!</v>
      </c>
      <c r="AR66" s="240" t="e">
        <f t="shared" ref="AR66" si="780">R66/$G66</f>
        <v>#DIV/0!</v>
      </c>
      <c r="AS66" s="240" t="e">
        <f t="shared" ref="AS66" si="781">S66/$G66</f>
        <v>#DIV/0!</v>
      </c>
      <c r="AT66" s="240" t="e">
        <f t="shared" ref="AT66" si="782">T66/$G66</f>
        <v>#DIV/0!</v>
      </c>
      <c r="AU66" s="240" t="e">
        <f t="shared" ref="AU66" si="783">U66/$G66</f>
        <v>#DIV/0!</v>
      </c>
      <c r="AV66" s="238"/>
      <c r="AW66" s="190" t="e">
        <f t="shared" si="460"/>
        <v>#DIV/0!</v>
      </c>
      <c r="AX66" s="190" t="e">
        <f t="shared" si="461"/>
        <v>#DIV/0!</v>
      </c>
      <c r="AY66" s="190" t="e">
        <f t="shared" si="462"/>
        <v>#DIV/0!</v>
      </c>
      <c r="AZ66" s="190" t="e">
        <f t="shared" si="463"/>
        <v>#DIV/0!</v>
      </c>
      <c r="BA66" s="190" t="e">
        <f t="shared" si="464"/>
        <v>#DIV/0!</v>
      </c>
      <c r="BB66" s="190" t="e">
        <f t="shared" si="465"/>
        <v>#DIV/0!</v>
      </c>
      <c r="BC66" s="190" t="e">
        <f t="shared" si="466"/>
        <v>#DIV/0!</v>
      </c>
      <c r="BD66" s="190" t="e">
        <f t="shared" si="467"/>
        <v>#DIV/0!</v>
      </c>
      <c r="BE66" s="190" t="e">
        <f t="shared" si="468"/>
        <v>#DIV/0!</v>
      </c>
      <c r="BF66" s="190" t="e">
        <f t="shared" si="469"/>
        <v>#DIV/0!</v>
      </c>
      <c r="BG66" s="190" t="e">
        <f t="shared" si="470"/>
        <v>#DIV/0!</v>
      </c>
      <c r="BH66" s="190" t="e">
        <f t="shared" si="471"/>
        <v>#DIV/0!</v>
      </c>
      <c r="BI66" s="190" t="e">
        <f t="shared" si="472"/>
        <v>#DIV/0!</v>
      </c>
      <c r="BJ66" s="190" t="e">
        <f t="shared" si="473"/>
        <v>#DIV/0!</v>
      </c>
      <c r="BK66" s="190"/>
      <c r="BL66" s="190" t="e">
        <f>AW66+AW67</f>
        <v>#DIV/0!</v>
      </c>
      <c r="BM66" s="190" t="e">
        <f t="shared" ref="BM66" si="784">AX66+AX67</f>
        <v>#DIV/0!</v>
      </c>
      <c r="BN66" s="190" t="e">
        <f t="shared" ref="BN66" si="785">AY66+AY67</f>
        <v>#DIV/0!</v>
      </c>
      <c r="BO66" s="190" t="e">
        <f t="shared" ref="BO66" si="786">AZ66+AZ67</f>
        <v>#DIV/0!</v>
      </c>
      <c r="BP66" s="190" t="e">
        <f t="shared" ref="BP66" si="787">BA66+BA67</f>
        <v>#DIV/0!</v>
      </c>
      <c r="BQ66" s="190" t="e">
        <f t="shared" ref="BQ66" si="788">BB66+BB67</f>
        <v>#DIV/0!</v>
      </c>
      <c r="BR66" s="190" t="e">
        <f t="shared" ref="BR66" si="789">BC66+BC67</f>
        <v>#DIV/0!</v>
      </c>
      <c r="BS66" s="190" t="e">
        <f t="shared" ref="BS66" si="790">BD66+BD67</f>
        <v>#DIV/0!</v>
      </c>
      <c r="BT66" s="190" t="e">
        <f t="shared" ref="BT66" si="791">BE66+BE67</f>
        <v>#DIV/0!</v>
      </c>
      <c r="BU66" s="190" t="e">
        <f t="shared" ref="BU66" si="792">BF66+BF67</f>
        <v>#DIV/0!</v>
      </c>
      <c r="BV66" s="190" t="e">
        <f t="shared" ref="BV66" si="793">BG66+BG67</f>
        <v>#DIV/0!</v>
      </c>
      <c r="BW66" s="190" t="e">
        <f t="shared" ref="BW66" si="794">BH66+BH67</f>
        <v>#DIV/0!</v>
      </c>
      <c r="BX66" s="190" t="e">
        <f t="shared" ref="BX66" si="795">BI66+BI67</f>
        <v>#DIV/0!</v>
      </c>
      <c r="BY66" s="190"/>
      <c r="BZ66" s="24"/>
      <c r="CA66" s="241">
        <v>7</v>
      </c>
      <c r="CB66" s="25"/>
      <c r="CC66" s="242" t="e">
        <f t="shared" ref="CC66" si="796">AVERAGE(AW66:AW74)*$CA66</f>
        <v>#DIV/0!</v>
      </c>
      <c r="CD66" s="243" t="e">
        <f t="shared" ref="CD66" si="797">AVERAGE(AX66:AX74)*$CA66</f>
        <v>#DIV/0!</v>
      </c>
      <c r="CE66" s="242" t="e">
        <f t="shared" ref="CE66" si="798">AVERAGE(AY66:AY74)*$CA66</f>
        <v>#DIV/0!</v>
      </c>
      <c r="CF66" s="243" t="e">
        <f t="shared" ref="CF66" si="799">AVERAGE(AZ66:AZ74)*$CA66</f>
        <v>#DIV/0!</v>
      </c>
      <c r="CG66" s="242" t="e">
        <f t="shared" ref="CG66" si="800">AVERAGE(BA66:BA74)*$CA66</f>
        <v>#DIV/0!</v>
      </c>
      <c r="CH66" s="243" t="e">
        <f t="shared" ref="CH66" si="801">AVERAGE(BB66:BB74)*$CA66</f>
        <v>#DIV/0!</v>
      </c>
      <c r="CI66" s="242" t="e">
        <f t="shared" ref="CI66" si="802">AVERAGE(BC66:BC74)*$CA66</f>
        <v>#DIV/0!</v>
      </c>
      <c r="CJ66" s="243" t="e">
        <f t="shared" ref="CJ66" si="803">AVERAGE(BD66:BD74)*$CA66</f>
        <v>#DIV/0!</v>
      </c>
      <c r="CK66" s="242" t="e">
        <f t="shared" ref="CK66" si="804">AVERAGE(BE66:BE74)*$CA66</f>
        <v>#DIV/0!</v>
      </c>
      <c r="CL66" s="243" t="e">
        <f t="shared" ref="CL66" si="805">AVERAGE(BF66:BF74)*$CA66</f>
        <v>#DIV/0!</v>
      </c>
      <c r="CM66" s="242" t="e">
        <f t="shared" ref="CM66" si="806">AVERAGE(BG66:BG74)*$CA66</f>
        <v>#DIV/0!</v>
      </c>
      <c r="CN66" s="243" t="e">
        <f t="shared" ref="CN66" si="807">AVERAGE(BH66:BH74)*$CA66</f>
        <v>#DIV/0!</v>
      </c>
      <c r="CO66" s="242" t="e">
        <f t="shared" ref="CO66" si="808">AVERAGE(BI66:BI74)*$CA66</f>
        <v>#DIV/0!</v>
      </c>
      <c r="CP66" s="244" t="e">
        <f t="shared" ref="CP66" si="809">AVERAGE(BJ66:BJ74)*$CA66</f>
        <v>#DIV/0!</v>
      </c>
    </row>
    <row r="67" spans="3:94" x14ac:dyDescent="0.25">
      <c r="C67" s="267"/>
      <c r="D67" s="70"/>
      <c r="E67" s="67"/>
      <c r="F67" s="67"/>
      <c r="G67" s="67"/>
      <c r="H67" s="6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66"/>
      <c r="Y67" s="65"/>
      <c r="Z67" s="67"/>
      <c r="AA67" s="246" t="e">
        <f t="shared" si="558"/>
        <v>#DIV/0!</v>
      </c>
      <c r="AB67" s="67"/>
      <c r="AC67" s="247"/>
      <c r="AD67" s="80" t="e">
        <f>AA67*AC67</f>
        <v>#DIV/0!</v>
      </c>
      <c r="AE67" s="247" t="e">
        <f t="shared" si="500"/>
        <v>#DIV/0!</v>
      </c>
      <c r="AF67" s="67"/>
      <c r="AH67" s="248" t="e">
        <f t="shared" ref="AH67:AU67" si="810">AH66</f>
        <v>#DIV/0!</v>
      </c>
      <c r="AI67" s="248" t="e">
        <f t="shared" si="810"/>
        <v>#DIV/0!</v>
      </c>
      <c r="AJ67" s="248" t="e">
        <f t="shared" si="810"/>
        <v>#DIV/0!</v>
      </c>
      <c r="AK67" s="248" t="e">
        <f t="shared" si="810"/>
        <v>#DIV/0!</v>
      </c>
      <c r="AL67" s="248" t="e">
        <f t="shared" si="810"/>
        <v>#DIV/0!</v>
      </c>
      <c r="AM67" s="248" t="e">
        <f t="shared" si="810"/>
        <v>#DIV/0!</v>
      </c>
      <c r="AN67" s="248" t="e">
        <f t="shared" si="810"/>
        <v>#DIV/0!</v>
      </c>
      <c r="AO67" s="248" t="e">
        <f t="shared" si="810"/>
        <v>#DIV/0!</v>
      </c>
      <c r="AP67" s="248" t="e">
        <f t="shared" si="810"/>
        <v>#DIV/0!</v>
      </c>
      <c r="AQ67" s="248" t="e">
        <f t="shared" si="810"/>
        <v>#DIV/0!</v>
      </c>
      <c r="AR67" s="248" t="e">
        <f t="shared" si="810"/>
        <v>#DIV/0!</v>
      </c>
      <c r="AS67" s="248" t="e">
        <f t="shared" si="810"/>
        <v>#DIV/0!</v>
      </c>
      <c r="AT67" s="248" t="e">
        <f t="shared" si="810"/>
        <v>#DIV/0!</v>
      </c>
      <c r="AU67" s="248" t="e">
        <f t="shared" si="810"/>
        <v>#DIV/0!</v>
      </c>
      <c r="AV67" s="46"/>
      <c r="AW67" s="44" t="e">
        <f t="shared" si="460"/>
        <v>#DIV/0!</v>
      </c>
      <c r="AX67" s="44" t="e">
        <f t="shared" si="461"/>
        <v>#DIV/0!</v>
      </c>
      <c r="AY67" s="44" t="e">
        <f t="shared" si="462"/>
        <v>#DIV/0!</v>
      </c>
      <c r="AZ67" s="44" t="e">
        <f t="shared" si="463"/>
        <v>#DIV/0!</v>
      </c>
      <c r="BA67" s="44" t="e">
        <f t="shared" si="464"/>
        <v>#DIV/0!</v>
      </c>
      <c r="BB67" s="44" t="e">
        <f t="shared" si="465"/>
        <v>#DIV/0!</v>
      </c>
      <c r="BC67" s="44" t="e">
        <f t="shared" si="466"/>
        <v>#DIV/0!</v>
      </c>
      <c r="BD67" s="44" t="e">
        <f t="shared" si="467"/>
        <v>#DIV/0!</v>
      </c>
      <c r="BE67" s="44" t="e">
        <f t="shared" si="468"/>
        <v>#DIV/0!</v>
      </c>
      <c r="BF67" s="44" t="e">
        <f t="shared" si="469"/>
        <v>#DIV/0!</v>
      </c>
      <c r="BG67" s="44" t="e">
        <f t="shared" si="470"/>
        <v>#DIV/0!</v>
      </c>
      <c r="BH67" s="44" t="e">
        <f t="shared" si="471"/>
        <v>#DIV/0!</v>
      </c>
      <c r="BI67" s="44" t="e">
        <f t="shared" si="472"/>
        <v>#DIV/0!</v>
      </c>
      <c r="BJ67" s="44" t="e">
        <f t="shared" si="473"/>
        <v>#DIV/0!</v>
      </c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31"/>
      <c r="CA67" s="34"/>
      <c r="CB67" s="45"/>
      <c r="CC67" s="49"/>
      <c r="CD67" s="99"/>
      <c r="CE67" s="49"/>
      <c r="CF67" s="99"/>
      <c r="CG67" s="49"/>
      <c r="CH67" s="99"/>
      <c r="CI67" s="49"/>
      <c r="CJ67" s="99"/>
      <c r="CK67" s="49"/>
      <c r="CL67" s="99"/>
      <c r="CM67" s="49"/>
      <c r="CN67" s="99"/>
      <c r="CO67" s="49"/>
      <c r="CP67" s="249"/>
    </row>
    <row r="68" spans="3:94" x14ac:dyDescent="0.25">
      <c r="C68" s="50"/>
      <c r="D68" s="31" t="s">
        <v>39</v>
      </c>
      <c r="E68" s="31"/>
      <c r="F68" s="31"/>
      <c r="G68" s="31"/>
      <c r="H68" s="45"/>
      <c r="W68" s="46"/>
      <c r="Y68" s="45"/>
      <c r="Z68" s="31"/>
      <c r="AA68" s="250" t="e">
        <f t="shared" si="558"/>
        <v>#DIV/0!</v>
      </c>
      <c r="AB68" s="31"/>
      <c r="AC68" s="20"/>
      <c r="AD68" s="81" t="e">
        <f t="shared" ref="AD68" si="811">AA68*AC68</f>
        <v>#DIV/0!</v>
      </c>
      <c r="AE68" s="20" t="e">
        <f t="shared" si="500"/>
        <v>#DIV/0!</v>
      </c>
      <c r="AF68" s="31"/>
      <c r="AG68" s="20" t="e">
        <f>AE68+AE69</f>
        <v>#DIV/0!</v>
      </c>
      <c r="AH68" s="48" t="e">
        <f t="shared" ref="AH68" si="812">H68/$G68</f>
        <v>#DIV/0!</v>
      </c>
      <c r="AI68" s="48" t="e">
        <f t="shared" ref="AI68" si="813">I68/$G68</f>
        <v>#DIV/0!</v>
      </c>
      <c r="AJ68" s="48" t="e">
        <f t="shared" ref="AJ68" si="814">J68/$G68</f>
        <v>#DIV/0!</v>
      </c>
      <c r="AK68" s="48" t="e">
        <f t="shared" ref="AK68" si="815">K68/$G68</f>
        <v>#DIV/0!</v>
      </c>
      <c r="AL68" s="48" t="e">
        <f t="shared" ref="AL68" si="816">L68/$G68</f>
        <v>#DIV/0!</v>
      </c>
      <c r="AM68" s="48" t="e">
        <f t="shared" ref="AM68" si="817">M68/$G68</f>
        <v>#DIV/0!</v>
      </c>
      <c r="AN68" s="48" t="e">
        <f t="shared" ref="AN68" si="818">N68/$G68</f>
        <v>#DIV/0!</v>
      </c>
      <c r="AO68" s="48" t="e">
        <f t="shared" ref="AO68" si="819">O68/$G68</f>
        <v>#DIV/0!</v>
      </c>
      <c r="AP68" s="48" t="e">
        <f t="shared" ref="AP68" si="820">P68/$G68</f>
        <v>#DIV/0!</v>
      </c>
      <c r="AQ68" s="48" t="e">
        <f t="shared" ref="AQ68" si="821">Q68/$G68</f>
        <v>#DIV/0!</v>
      </c>
      <c r="AR68" s="48" t="e">
        <f t="shared" ref="AR68" si="822">R68/$G68</f>
        <v>#DIV/0!</v>
      </c>
      <c r="AS68" s="48" t="e">
        <f t="shared" ref="AS68" si="823">S68/$G68</f>
        <v>#DIV/0!</v>
      </c>
      <c r="AT68" s="48" t="e">
        <f t="shared" ref="AT68" si="824">T68/$G68</f>
        <v>#DIV/0!</v>
      </c>
      <c r="AU68" s="48" t="e">
        <f t="shared" ref="AU68" si="825">U68/$G68</f>
        <v>#DIV/0!</v>
      </c>
      <c r="AV68" s="46"/>
      <c r="AW68" s="44" t="e">
        <f t="shared" si="460"/>
        <v>#DIV/0!</v>
      </c>
      <c r="AX68" s="44" t="e">
        <f t="shared" si="461"/>
        <v>#DIV/0!</v>
      </c>
      <c r="AY68" s="44" t="e">
        <f t="shared" si="462"/>
        <v>#DIV/0!</v>
      </c>
      <c r="AZ68" s="44" t="e">
        <f t="shared" si="463"/>
        <v>#DIV/0!</v>
      </c>
      <c r="BA68" s="44" t="e">
        <f t="shared" si="464"/>
        <v>#DIV/0!</v>
      </c>
      <c r="BB68" s="44" t="e">
        <f t="shared" si="465"/>
        <v>#DIV/0!</v>
      </c>
      <c r="BC68" s="44" t="e">
        <f t="shared" si="466"/>
        <v>#DIV/0!</v>
      </c>
      <c r="BD68" s="44" t="e">
        <f t="shared" si="467"/>
        <v>#DIV/0!</v>
      </c>
      <c r="BE68" s="44" t="e">
        <f t="shared" si="468"/>
        <v>#DIV/0!</v>
      </c>
      <c r="BF68" s="44" t="e">
        <f t="shared" si="469"/>
        <v>#DIV/0!</v>
      </c>
      <c r="BG68" s="44" t="e">
        <f t="shared" si="470"/>
        <v>#DIV/0!</v>
      </c>
      <c r="BH68" s="44" t="e">
        <f t="shared" si="471"/>
        <v>#DIV/0!</v>
      </c>
      <c r="BI68" s="44" t="e">
        <f t="shared" si="472"/>
        <v>#DIV/0!</v>
      </c>
      <c r="BJ68" s="44" t="e">
        <f t="shared" si="473"/>
        <v>#DIV/0!</v>
      </c>
      <c r="BK68" s="20"/>
      <c r="BL68" s="20" t="e">
        <f>AW68+AW69</f>
        <v>#DIV/0!</v>
      </c>
      <c r="BM68" s="20" t="e">
        <f t="shared" ref="BM68" si="826">AX68+AX69</f>
        <v>#DIV/0!</v>
      </c>
      <c r="BN68" s="20" t="e">
        <f t="shared" ref="BN68" si="827">AY68+AY69</f>
        <v>#DIV/0!</v>
      </c>
      <c r="BO68" s="20" t="e">
        <f t="shared" ref="BO68" si="828">AZ68+AZ69</f>
        <v>#DIV/0!</v>
      </c>
      <c r="BP68" s="20" t="e">
        <f t="shared" ref="BP68" si="829">BA68+BA69</f>
        <v>#DIV/0!</v>
      </c>
      <c r="BQ68" s="20" t="e">
        <f t="shared" ref="BQ68" si="830">BB68+BB69</f>
        <v>#DIV/0!</v>
      </c>
      <c r="BR68" s="20" t="e">
        <f t="shared" ref="BR68" si="831">BC68+BC69</f>
        <v>#DIV/0!</v>
      </c>
      <c r="BS68" s="20" t="e">
        <f t="shared" ref="BS68" si="832">BD68+BD69</f>
        <v>#DIV/0!</v>
      </c>
      <c r="BT68" s="20" t="e">
        <f t="shared" ref="BT68" si="833">BE68+BE69</f>
        <v>#DIV/0!</v>
      </c>
      <c r="BU68" s="20" t="e">
        <f t="shared" ref="BU68" si="834">BF68+BF69</f>
        <v>#DIV/0!</v>
      </c>
      <c r="BV68" s="20" t="e">
        <f t="shared" ref="BV68" si="835">BG68+BG69</f>
        <v>#DIV/0!</v>
      </c>
      <c r="BW68" s="20" t="e">
        <f t="shared" ref="BW68" si="836">BH68+BH69</f>
        <v>#DIV/0!</v>
      </c>
      <c r="BX68" s="20" t="e">
        <f t="shared" ref="BX68" si="837">BI68+BI69</f>
        <v>#DIV/0!</v>
      </c>
      <c r="BY68" s="20"/>
      <c r="BZ68" s="31"/>
      <c r="CA68" s="34"/>
      <c r="CB68" s="45"/>
      <c r="CC68" s="49"/>
      <c r="CD68" s="99"/>
      <c r="CE68" s="49"/>
      <c r="CF68" s="99"/>
      <c r="CG68" s="49"/>
      <c r="CH68" s="99"/>
      <c r="CI68" s="49"/>
      <c r="CJ68" s="99"/>
      <c r="CK68" s="49"/>
      <c r="CL68" s="99"/>
      <c r="CM68" s="49"/>
      <c r="CN68" s="99"/>
      <c r="CO68" s="49"/>
      <c r="CP68" s="249"/>
    </row>
    <row r="69" spans="3:94" x14ac:dyDescent="0.25">
      <c r="C69" s="267"/>
      <c r="D69" s="70"/>
      <c r="E69" s="67"/>
      <c r="F69" s="67"/>
      <c r="G69" s="67"/>
      <c r="H69" s="6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66"/>
      <c r="Y69" s="65"/>
      <c r="Z69" s="67"/>
      <c r="AA69" s="246" t="e">
        <f t="shared" si="558"/>
        <v>#DIV/0!</v>
      </c>
      <c r="AB69" s="67"/>
      <c r="AC69" s="247"/>
      <c r="AD69" s="80" t="e">
        <f>AA69*AC69</f>
        <v>#DIV/0!</v>
      </c>
      <c r="AE69" s="247" t="e">
        <f t="shared" si="500"/>
        <v>#DIV/0!</v>
      </c>
      <c r="AF69" s="67"/>
      <c r="AH69" s="248" t="e">
        <f t="shared" ref="AH69:AU69" si="838">AH68</f>
        <v>#DIV/0!</v>
      </c>
      <c r="AI69" s="248" t="e">
        <f t="shared" si="838"/>
        <v>#DIV/0!</v>
      </c>
      <c r="AJ69" s="248" t="e">
        <f t="shared" si="838"/>
        <v>#DIV/0!</v>
      </c>
      <c r="AK69" s="248" t="e">
        <f t="shared" si="838"/>
        <v>#DIV/0!</v>
      </c>
      <c r="AL69" s="248" t="e">
        <f t="shared" si="838"/>
        <v>#DIV/0!</v>
      </c>
      <c r="AM69" s="248" t="e">
        <f t="shared" si="838"/>
        <v>#DIV/0!</v>
      </c>
      <c r="AN69" s="248" t="e">
        <f t="shared" si="838"/>
        <v>#DIV/0!</v>
      </c>
      <c r="AO69" s="248" t="e">
        <f t="shared" si="838"/>
        <v>#DIV/0!</v>
      </c>
      <c r="AP69" s="248" t="e">
        <f t="shared" si="838"/>
        <v>#DIV/0!</v>
      </c>
      <c r="AQ69" s="248" t="e">
        <f t="shared" si="838"/>
        <v>#DIV/0!</v>
      </c>
      <c r="AR69" s="248" t="e">
        <f t="shared" si="838"/>
        <v>#DIV/0!</v>
      </c>
      <c r="AS69" s="248" t="e">
        <f t="shared" si="838"/>
        <v>#DIV/0!</v>
      </c>
      <c r="AT69" s="248" t="e">
        <f t="shared" si="838"/>
        <v>#DIV/0!</v>
      </c>
      <c r="AU69" s="248" t="e">
        <f t="shared" si="838"/>
        <v>#DIV/0!</v>
      </c>
      <c r="AV69" s="46"/>
      <c r="AW69" s="44" t="e">
        <f t="shared" si="460"/>
        <v>#DIV/0!</v>
      </c>
      <c r="AX69" s="44" t="e">
        <f t="shared" si="461"/>
        <v>#DIV/0!</v>
      </c>
      <c r="AY69" s="44" t="e">
        <f t="shared" si="462"/>
        <v>#DIV/0!</v>
      </c>
      <c r="AZ69" s="44" t="e">
        <f t="shared" si="463"/>
        <v>#DIV/0!</v>
      </c>
      <c r="BA69" s="44" t="e">
        <f t="shared" si="464"/>
        <v>#DIV/0!</v>
      </c>
      <c r="BB69" s="44" t="e">
        <f t="shared" si="465"/>
        <v>#DIV/0!</v>
      </c>
      <c r="BC69" s="44" t="e">
        <f t="shared" si="466"/>
        <v>#DIV/0!</v>
      </c>
      <c r="BD69" s="44" t="e">
        <f t="shared" si="467"/>
        <v>#DIV/0!</v>
      </c>
      <c r="BE69" s="44" t="e">
        <f t="shared" si="468"/>
        <v>#DIV/0!</v>
      </c>
      <c r="BF69" s="44" t="e">
        <f t="shared" si="469"/>
        <v>#DIV/0!</v>
      </c>
      <c r="BG69" s="44" t="e">
        <f t="shared" si="470"/>
        <v>#DIV/0!</v>
      </c>
      <c r="BH69" s="44" t="e">
        <f t="shared" si="471"/>
        <v>#DIV/0!</v>
      </c>
      <c r="BI69" s="44" t="e">
        <f t="shared" si="472"/>
        <v>#DIV/0!</v>
      </c>
      <c r="BJ69" s="44" t="e">
        <f t="shared" si="473"/>
        <v>#DIV/0!</v>
      </c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31"/>
      <c r="CA69" s="34"/>
      <c r="CB69" s="45"/>
      <c r="CC69" s="49"/>
      <c r="CD69" s="99"/>
      <c r="CE69" s="49"/>
      <c r="CF69" s="99"/>
      <c r="CG69" s="49"/>
      <c r="CH69" s="99"/>
      <c r="CI69" s="49"/>
      <c r="CJ69" s="99"/>
      <c r="CK69" s="49"/>
      <c r="CL69" s="99"/>
      <c r="CM69" s="49"/>
      <c r="CN69" s="99"/>
      <c r="CO69" s="49"/>
      <c r="CP69" s="249"/>
    </row>
    <row r="70" spans="3:94" x14ac:dyDescent="0.25">
      <c r="C70" s="50"/>
      <c r="D70" s="31" t="s">
        <v>39</v>
      </c>
      <c r="E70" s="31"/>
      <c r="F70" s="31"/>
      <c r="G70" s="31"/>
      <c r="H70" s="45"/>
      <c r="W70" s="46"/>
      <c r="Y70" s="45"/>
      <c r="Z70" s="31"/>
      <c r="AA70" s="250" t="e">
        <f t="shared" si="558"/>
        <v>#DIV/0!</v>
      </c>
      <c r="AB70" s="31"/>
      <c r="AC70" s="20"/>
      <c r="AD70" s="81" t="e">
        <f t="shared" ref="AD70" si="839">AA70*AC70</f>
        <v>#DIV/0!</v>
      </c>
      <c r="AE70" s="20" t="e">
        <f t="shared" si="500"/>
        <v>#DIV/0!</v>
      </c>
      <c r="AF70" s="31"/>
      <c r="AG70" s="20" t="e">
        <f>AE70+AE71</f>
        <v>#DIV/0!</v>
      </c>
      <c r="AH70" s="48" t="e">
        <f t="shared" ref="AH70" si="840">H70/$G70</f>
        <v>#DIV/0!</v>
      </c>
      <c r="AI70" s="48" t="e">
        <f t="shared" ref="AI70" si="841">I70/$G70</f>
        <v>#DIV/0!</v>
      </c>
      <c r="AJ70" s="48" t="e">
        <f t="shared" ref="AJ70" si="842">J70/$G70</f>
        <v>#DIV/0!</v>
      </c>
      <c r="AK70" s="48" t="e">
        <f t="shared" ref="AK70" si="843">K70/$G70</f>
        <v>#DIV/0!</v>
      </c>
      <c r="AL70" s="48" t="e">
        <f t="shared" ref="AL70" si="844">L70/$G70</f>
        <v>#DIV/0!</v>
      </c>
      <c r="AM70" s="48" t="e">
        <f t="shared" ref="AM70" si="845">M70/$G70</f>
        <v>#DIV/0!</v>
      </c>
      <c r="AN70" s="48" t="e">
        <f t="shared" ref="AN70" si="846">N70/$G70</f>
        <v>#DIV/0!</v>
      </c>
      <c r="AO70" s="48" t="e">
        <f t="shared" ref="AO70" si="847">O70/$G70</f>
        <v>#DIV/0!</v>
      </c>
      <c r="AP70" s="48" t="e">
        <f t="shared" ref="AP70" si="848">P70/$G70</f>
        <v>#DIV/0!</v>
      </c>
      <c r="AQ70" s="48" t="e">
        <f t="shared" ref="AQ70" si="849">Q70/$G70</f>
        <v>#DIV/0!</v>
      </c>
      <c r="AR70" s="48" t="e">
        <f t="shared" ref="AR70" si="850">R70/$G70</f>
        <v>#DIV/0!</v>
      </c>
      <c r="AS70" s="48" t="e">
        <f t="shared" ref="AS70" si="851">S70/$G70</f>
        <v>#DIV/0!</v>
      </c>
      <c r="AT70" s="48" t="e">
        <f t="shared" ref="AT70" si="852">T70/$G70</f>
        <v>#DIV/0!</v>
      </c>
      <c r="AU70" s="48" t="e">
        <f t="shared" ref="AU70" si="853">U70/$G70</f>
        <v>#DIV/0!</v>
      </c>
      <c r="AV70" s="46"/>
      <c r="AW70" s="44" t="e">
        <f t="shared" si="460"/>
        <v>#DIV/0!</v>
      </c>
      <c r="AX70" s="44" t="e">
        <f t="shared" si="461"/>
        <v>#DIV/0!</v>
      </c>
      <c r="AY70" s="44" t="e">
        <f t="shared" si="462"/>
        <v>#DIV/0!</v>
      </c>
      <c r="AZ70" s="44" t="e">
        <f t="shared" si="463"/>
        <v>#DIV/0!</v>
      </c>
      <c r="BA70" s="44" t="e">
        <f t="shared" si="464"/>
        <v>#DIV/0!</v>
      </c>
      <c r="BB70" s="44" t="e">
        <f t="shared" si="465"/>
        <v>#DIV/0!</v>
      </c>
      <c r="BC70" s="44" t="e">
        <f t="shared" si="466"/>
        <v>#DIV/0!</v>
      </c>
      <c r="BD70" s="44" t="e">
        <f t="shared" si="467"/>
        <v>#DIV/0!</v>
      </c>
      <c r="BE70" s="44" t="e">
        <f t="shared" si="468"/>
        <v>#DIV/0!</v>
      </c>
      <c r="BF70" s="44" t="e">
        <f t="shared" si="469"/>
        <v>#DIV/0!</v>
      </c>
      <c r="BG70" s="44" t="e">
        <f t="shared" si="470"/>
        <v>#DIV/0!</v>
      </c>
      <c r="BH70" s="44" t="e">
        <f t="shared" si="471"/>
        <v>#DIV/0!</v>
      </c>
      <c r="BI70" s="44" t="e">
        <f t="shared" si="472"/>
        <v>#DIV/0!</v>
      </c>
      <c r="BJ70" s="44" t="e">
        <f t="shared" si="473"/>
        <v>#DIV/0!</v>
      </c>
      <c r="BK70" s="20"/>
      <c r="BL70" s="20" t="e">
        <f>AW70+AW71</f>
        <v>#DIV/0!</v>
      </c>
      <c r="BM70" s="20" t="e">
        <f t="shared" ref="BM70" si="854">AX70+AX71</f>
        <v>#DIV/0!</v>
      </c>
      <c r="BN70" s="20" t="e">
        <f t="shared" ref="BN70" si="855">AY70+AY71</f>
        <v>#DIV/0!</v>
      </c>
      <c r="BO70" s="20" t="e">
        <f t="shared" ref="BO70" si="856">AZ70+AZ71</f>
        <v>#DIV/0!</v>
      </c>
      <c r="BP70" s="20" t="e">
        <f t="shared" ref="BP70" si="857">BA70+BA71</f>
        <v>#DIV/0!</v>
      </c>
      <c r="BQ70" s="20" t="e">
        <f t="shared" ref="BQ70" si="858">BB70+BB71</f>
        <v>#DIV/0!</v>
      </c>
      <c r="BR70" s="20" t="e">
        <f t="shared" ref="BR70" si="859">BC70+BC71</f>
        <v>#DIV/0!</v>
      </c>
      <c r="BS70" s="20" t="e">
        <f t="shared" ref="BS70" si="860">BD70+BD71</f>
        <v>#DIV/0!</v>
      </c>
      <c r="BT70" s="20" t="e">
        <f t="shared" ref="BT70" si="861">BE70+BE71</f>
        <v>#DIV/0!</v>
      </c>
      <c r="BU70" s="20" t="e">
        <f t="shared" ref="BU70" si="862">BF70+BF71</f>
        <v>#DIV/0!</v>
      </c>
      <c r="BV70" s="20" t="e">
        <f t="shared" ref="BV70" si="863">BG70+BG71</f>
        <v>#DIV/0!</v>
      </c>
      <c r="BW70" s="20" t="e">
        <f t="shared" ref="BW70" si="864">BH70+BH71</f>
        <v>#DIV/0!</v>
      </c>
      <c r="BX70" s="20" t="e">
        <f t="shared" ref="BX70" si="865">BI70+BI71</f>
        <v>#DIV/0!</v>
      </c>
      <c r="BY70" s="20"/>
      <c r="BZ70" s="31"/>
      <c r="CA70" s="34"/>
      <c r="CB70" s="45"/>
      <c r="CC70" s="49"/>
      <c r="CD70" s="99"/>
      <c r="CE70" s="49"/>
      <c r="CF70" s="99"/>
      <c r="CG70" s="49"/>
      <c r="CH70" s="99"/>
      <c r="CI70" s="49"/>
      <c r="CJ70" s="99"/>
      <c r="CK70" s="49"/>
      <c r="CL70" s="99"/>
      <c r="CM70" s="49"/>
      <c r="CN70" s="99"/>
      <c r="CO70" s="49"/>
      <c r="CP70" s="249"/>
    </row>
    <row r="71" spans="3:94" x14ac:dyDescent="0.25">
      <c r="C71" s="267"/>
      <c r="D71" s="70"/>
      <c r="E71" s="67"/>
      <c r="F71" s="67"/>
      <c r="G71" s="67"/>
      <c r="H71" s="6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66"/>
      <c r="Y71" s="65"/>
      <c r="Z71" s="67"/>
      <c r="AA71" s="246" t="e">
        <f t="shared" si="558"/>
        <v>#DIV/0!</v>
      </c>
      <c r="AB71" s="67"/>
      <c r="AC71" s="247"/>
      <c r="AD71" s="80" t="e">
        <f>AA71*AC71</f>
        <v>#DIV/0!</v>
      </c>
      <c r="AE71" s="247" t="e">
        <f t="shared" si="500"/>
        <v>#DIV/0!</v>
      </c>
      <c r="AF71" s="67"/>
      <c r="AH71" s="248" t="e">
        <f t="shared" ref="AH71:AU71" si="866">AH70</f>
        <v>#DIV/0!</v>
      </c>
      <c r="AI71" s="248" t="e">
        <f t="shared" si="866"/>
        <v>#DIV/0!</v>
      </c>
      <c r="AJ71" s="248" t="e">
        <f t="shared" si="866"/>
        <v>#DIV/0!</v>
      </c>
      <c r="AK71" s="248" t="e">
        <f t="shared" si="866"/>
        <v>#DIV/0!</v>
      </c>
      <c r="AL71" s="248" t="e">
        <f t="shared" si="866"/>
        <v>#DIV/0!</v>
      </c>
      <c r="AM71" s="248" t="e">
        <f t="shared" si="866"/>
        <v>#DIV/0!</v>
      </c>
      <c r="AN71" s="248" t="e">
        <f t="shared" si="866"/>
        <v>#DIV/0!</v>
      </c>
      <c r="AO71" s="248" t="e">
        <f t="shared" si="866"/>
        <v>#DIV/0!</v>
      </c>
      <c r="AP71" s="248" t="e">
        <f t="shared" si="866"/>
        <v>#DIV/0!</v>
      </c>
      <c r="AQ71" s="248" t="e">
        <f t="shared" si="866"/>
        <v>#DIV/0!</v>
      </c>
      <c r="AR71" s="248" t="e">
        <f t="shared" si="866"/>
        <v>#DIV/0!</v>
      </c>
      <c r="AS71" s="248" t="e">
        <f t="shared" si="866"/>
        <v>#DIV/0!</v>
      </c>
      <c r="AT71" s="248" t="e">
        <f t="shared" si="866"/>
        <v>#DIV/0!</v>
      </c>
      <c r="AU71" s="248" t="e">
        <f t="shared" si="866"/>
        <v>#DIV/0!</v>
      </c>
      <c r="AV71" s="46"/>
      <c r="AW71" s="44" t="e">
        <f t="shared" si="460"/>
        <v>#DIV/0!</v>
      </c>
      <c r="AX71" s="44" t="e">
        <f t="shared" si="461"/>
        <v>#DIV/0!</v>
      </c>
      <c r="AY71" s="44" t="e">
        <f t="shared" si="462"/>
        <v>#DIV/0!</v>
      </c>
      <c r="AZ71" s="44" t="e">
        <f t="shared" si="463"/>
        <v>#DIV/0!</v>
      </c>
      <c r="BA71" s="44" t="e">
        <f t="shared" si="464"/>
        <v>#DIV/0!</v>
      </c>
      <c r="BB71" s="44" t="e">
        <f t="shared" si="465"/>
        <v>#DIV/0!</v>
      </c>
      <c r="BC71" s="44" t="e">
        <f t="shared" si="466"/>
        <v>#DIV/0!</v>
      </c>
      <c r="BD71" s="44" t="e">
        <f t="shared" si="467"/>
        <v>#DIV/0!</v>
      </c>
      <c r="BE71" s="44" t="e">
        <f t="shared" si="468"/>
        <v>#DIV/0!</v>
      </c>
      <c r="BF71" s="44" t="e">
        <f t="shared" si="469"/>
        <v>#DIV/0!</v>
      </c>
      <c r="BG71" s="44" t="e">
        <f t="shared" si="470"/>
        <v>#DIV/0!</v>
      </c>
      <c r="BH71" s="44" t="e">
        <f t="shared" si="471"/>
        <v>#DIV/0!</v>
      </c>
      <c r="BI71" s="44" t="e">
        <f t="shared" si="472"/>
        <v>#DIV/0!</v>
      </c>
      <c r="BJ71" s="44" t="e">
        <f t="shared" si="473"/>
        <v>#DIV/0!</v>
      </c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31"/>
      <c r="CA71" s="34"/>
      <c r="CB71" s="45"/>
      <c r="CC71" s="49"/>
      <c r="CD71" s="99"/>
      <c r="CE71" s="49"/>
      <c r="CF71" s="99"/>
      <c r="CG71" s="49"/>
      <c r="CH71" s="99"/>
      <c r="CI71" s="49"/>
      <c r="CJ71" s="99"/>
      <c r="CK71" s="49"/>
      <c r="CL71" s="99"/>
      <c r="CM71" s="49"/>
      <c r="CN71" s="99"/>
      <c r="CO71" s="49"/>
      <c r="CP71" s="249"/>
    </row>
    <row r="72" spans="3:94" x14ac:dyDescent="0.25">
      <c r="C72" s="50"/>
      <c r="D72" s="69" t="s">
        <v>40</v>
      </c>
      <c r="E72" s="31"/>
      <c r="F72" s="31"/>
      <c r="G72" s="31"/>
      <c r="H72" s="45"/>
      <c r="W72" s="46"/>
      <c r="Y72" s="45"/>
      <c r="Z72" s="31"/>
      <c r="AA72" s="250" t="e">
        <f t="shared" si="558"/>
        <v>#DIV/0!</v>
      </c>
      <c r="AB72" s="31"/>
      <c r="AC72" s="20"/>
      <c r="AD72" s="81" t="e">
        <f t="shared" ref="AD72" si="867">AA72*AC72</f>
        <v>#DIV/0!</v>
      </c>
      <c r="AE72" s="20" t="e">
        <f t="shared" si="500"/>
        <v>#DIV/0!</v>
      </c>
      <c r="AF72" s="31"/>
      <c r="AG72" s="20" t="e">
        <f>AE72+AE73</f>
        <v>#DIV/0!</v>
      </c>
      <c r="AH72" s="48" t="e">
        <f t="shared" ref="AH72" si="868">H72/$G72</f>
        <v>#DIV/0!</v>
      </c>
      <c r="AI72" s="48" t="e">
        <f t="shared" ref="AI72" si="869">I72/$G72</f>
        <v>#DIV/0!</v>
      </c>
      <c r="AJ72" s="48" t="e">
        <f t="shared" ref="AJ72" si="870">J72/$G72</f>
        <v>#DIV/0!</v>
      </c>
      <c r="AK72" s="48" t="e">
        <f t="shared" ref="AK72" si="871">K72/$G72</f>
        <v>#DIV/0!</v>
      </c>
      <c r="AL72" s="48" t="e">
        <f t="shared" ref="AL72" si="872">L72/$G72</f>
        <v>#DIV/0!</v>
      </c>
      <c r="AM72" s="48" t="e">
        <f t="shared" ref="AM72" si="873">M72/$G72</f>
        <v>#DIV/0!</v>
      </c>
      <c r="AN72" s="48" t="e">
        <f t="shared" ref="AN72" si="874">N72/$G72</f>
        <v>#DIV/0!</v>
      </c>
      <c r="AO72" s="48" t="e">
        <f t="shared" ref="AO72" si="875">O72/$G72</f>
        <v>#DIV/0!</v>
      </c>
      <c r="AP72" s="48" t="e">
        <f t="shared" ref="AP72" si="876">P72/$G72</f>
        <v>#DIV/0!</v>
      </c>
      <c r="AQ72" s="48" t="e">
        <f t="shared" ref="AQ72" si="877">Q72/$G72</f>
        <v>#DIV/0!</v>
      </c>
      <c r="AR72" s="48" t="e">
        <f t="shared" ref="AR72" si="878">R72/$G72</f>
        <v>#DIV/0!</v>
      </c>
      <c r="AS72" s="48" t="e">
        <f t="shared" ref="AS72" si="879">S72/$G72</f>
        <v>#DIV/0!</v>
      </c>
      <c r="AT72" s="48" t="e">
        <f t="shared" ref="AT72" si="880">T72/$G72</f>
        <v>#DIV/0!</v>
      </c>
      <c r="AU72" s="48" t="e">
        <f t="shared" ref="AU72" si="881">U72/$G72</f>
        <v>#DIV/0!</v>
      </c>
      <c r="AV72" s="46"/>
      <c r="AW72" s="44" t="e">
        <f t="shared" si="460"/>
        <v>#DIV/0!</v>
      </c>
      <c r="AX72" s="44" t="e">
        <f t="shared" si="461"/>
        <v>#DIV/0!</v>
      </c>
      <c r="AY72" s="44" t="e">
        <f t="shared" si="462"/>
        <v>#DIV/0!</v>
      </c>
      <c r="AZ72" s="44" t="e">
        <f t="shared" si="463"/>
        <v>#DIV/0!</v>
      </c>
      <c r="BA72" s="44" t="e">
        <f t="shared" si="464"/>
        <v>#DIV/0!</v>
      </c>
      <c r="BB72" s="44" t="e">
        <f t="shared" si="465"/>
        <v>#DIV/0!</v>
      </c>
      <c r="BC72" s="44" t="e">
        <f t="shared" si="466"/>
        <v>#DIV/0!</v>
      </c>
      <c r="BD72" s="44" t="e">
        <f t="shared" si="467"/>
        <v>#DIV/0!</v>
      </c>
      <c r="BE72" s="44" t="e">
        <f t="shared" si="468"/>
        <v>#DIV/0!</v>
      </c>
      <c r="BF72" s="44" t="e">
        <f t="shared" si="469"/>
        <v>#DIV/0!</v>
      </c>
      <c r="BG72" s="44" t="e">
        <f t="shared" si="470"/>
        <v>#DIV/0!</v>
      </c>
      <c r="BH72" s="44" t="e">
        <f t="shared" si="471"/>
        <v>#DIV/0!</v>
      </c>
      <c r="BI72" s="44" t="e">
        <f t="shared" si="472"/>
        <v>#DIV/0!</v>
      </c>
      <c r="BJ72" s="44" t="e">
        <f t="shared" si="473"/>
        <v>#DIV/0!</v>
      </c>
      <c r="BK72" s="20"/>
      <c r="BL72" s="20" t="e">
        <f>AW72+AW73</f>
        <v>#DIV/0!</v>
      </c>
      <c r="BM72" s="20" t="e">
        <f t="shared" ref="BM72" si="882">AX72+AX73</f>
        <v>#DIV/0!</v>
      </c>
      <c r="BN72" s="20" t="e">
        <f t="shared" ref="BN72" si="883">AY72+AY73</f>
        <v>#DIV/0!</v>
      </c>
      <c r="BO72" s="20" t="e">
        <f t="shared" ref="BO72" si="884">AZ72+AZ73</f>
        <v>#DIV/0!</v>
      </c>
      <c r="BP72" s="20" t="e">
        <f t="shared" ref="BP72" si="885">BA72+BA73</f>
        <v>#DIV/0!</v>
      </c>
      <c r="BQ72" s="20" t="e">
        <f t="shared" ref="BQ72" si="886">BB72+BB73</f>
        <v>#DIV/0!</v>
      </c>
      <c r="BR72" s="20" t="e">
        <f t="shared" ref="BR72" si="887">BC72+BC73</f>
        <v>#DIV/0!</v>
      </c>
      <c r="BS72" s="20" t="e">
        <f t="shared" ref="BS72" si="888">BD72+BD73</f>
        <v>#DIV/0!</v>
      </c>
      <c r="BT72" s="20" t="e">
        <f t="shared" ref="BT72" si="889">BE72+BE73</f>
        <v>#DIV/0!</v>
      </c>
      <c r="BU72" s="20" t="e">
        <f t="shared" ref="BU72" si="890">BF72+BF73</f>
        <v>#DIV/0!</v>
      </c>
      <c r="BV72" s="20" t="e">
        <f t="shared" ref="BV72" si="891">BG72+BG73</f>
        <v>#DIV/0!</v>
      </c>
      <c r="BW72" s="20" t="e">
        <f t="shared" ref="BW72" si="892">BH72+BH73</f>
        <v>#DIV/0!</v>
      </c>
      <c r="BX72" s="20" t="e">
        <f t="shared" ref="BX72" si="893">BI72+BI73</f>
        <v>#DIV/0!</v>
      </c>
      <c r="BY72" s="20"/>
      <c r="BZ72" s="31"/>
      <c r="CA72" s="34"/>
      <c r="CB72" s="45"/>
      <c r="CC72" s="49"/>
      <c r="CD72" s="99"/>
      <c r="CE72" s="49"/>
      <c r="CF72" s="99"/>
      <c r="CG72" s="49"/>
      <c r="CH72" s="99"/>
      <c r="CI72" s="49"/>
      <c r="CJ72" s="99"/>
      <c r="CK72" s="49"/>
      <c r="CL72" s="99"/>
      <c r="CM72" s="49"/>
      <c r="CN72" s="99"/>
      <c r="CO72" s="49"/>
      <c r="CP72" s="249"/>
    </row>
    <row r="73" spans="3:94" x14ac:dyDescent="0.25">
      <c r="C73" s="267"/>
      <c r="D73" s="70"/>
      <c r="E73" s="67"/>
      <c r="F73" s="67"/>
      <c r="G73" s="67"/>
      <c r="H73" s="6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66"/>
      <c r="Y73" s="65"/>
      <c r="Z73" s="67"/>
      <c r="AA73" s="246" t="e">
        <f t="shared" si="558"/>
        <v>#DIV/0!</v>
      </c>
      <c r="AB73" s="67"/>
      <c r="AC73" s="247"/>
      <c r="AD73" s="80" t="e">
        <f>AA73*AC73</f>
        <v>#DIV/0!</v>
      </c>
      <c r="AE73" s="247" t="e">
        <f t="shared" si="500"/>
        <v>#DIV/0!</v>
      </c>
      <c r="AF73" s="67"/>
      <c r="AH73" s="248" t="e">
        <f t="shared" ref="AH73:AU73" si="894">AH72</f>
        <v>#DIV/0!</v>
      </c>
      <c r="AI73" s="248" t="e">
        <f t="shared" si="894"/>
        <v>#DIV/0!</v>
      </c>
      <c r="AJ73" s="248" t="e">
        <f t="shared" si="894"/>
        <v>#DIV/0!</v>
      </c>
      <c r="AK73" s="248" t="e">
        <f t="shared" si="894"/>
        <v>#DIV/0!</v>
      </c>
      <c r="AL73" s="248" t="e">
        <f t="shared" si="894"/>
        <v>#DIV/0!</v>
      </c>
      <c r="AM73" s="248" t="e">
        <f t="shared" si="894"/>
        <v>#DIV/0!</v>
      </c>
      <c r="AN73" s="248" t="e">
        <f t="shared" si="894"/>
        <v>#DIV/0!</v>
      </c>
      <c r="AO73" s="248" t="e">
        <f t="shared" si="894"/>
        <v>#DIV/0!</v>
      </c>
      <c r="AP73" s="248" t="e">
        <f t="shared" si="894"/>
        <v>#DIV/0!</v>
      </c>
      <c r="AQ73" s="248" t="e">
        <f t="shared" si="894"/>
        <v>#DIV/0!</v>
      </c>
      <c r="AR73" s="248" t="e">
        <f t="shared" si="894"/>
        <v>#DIV/0!</v>
      </c>
      <c r="AS73" s="248" t="e">
        <f t="shared" si="894"/>
        <v>#DIV/0!</v>
      </c>
      <c r="AT73" s="248" t="e">
        <f t="shared" si="894"/>
        <v>#DIV/0!</v>
      </c>
      <c r="AU73" s="248" t="e">
        <f t="shared" si="894"/>
        <v>#DIV/0!</v>
      </c>
      <c r="AV73" s="46"/>
      <c r="AW73" s="44" t="e">
        <f t="shared" si="460"/>
        <v>#DIV/0!</v>
      </c>
      <c r="AX73" s="44" t="e">
        <f t="shared" si="461"/>
        <v>#DIV/0!</v>
      </c>
      <c r="AY73" s="44" t="e">
        <f t="shared" si="462"/>
        <v>#DIV/0!</v>
      </c>
      <c r="AZ73" s="44" t="e">
        <f t="shared" si="463"/>
        <v>#DIV/0!</v>
      </c>
      <c r="BA73" s="44" t="e">
        <f t="shared" si="464"/>
        <v>#DIV/0!</v>
      </c>
      <c r="BB73" s="44" t="e">
        <f t="shared" si="465"/>
        <v>#DIV/0!</v>
      </c>
      <c r="BC73" s="44" t="e">
        <f t="shared" si="466"/>
        <v>#DIV/0!</v>
      </c>
      <c r="BD73" s="44" t="e">
        <f t="shared" si="467"/>
        <v>#DIV/0!</v>
      </c>
      <c r="BE73" s="44" t="e">
        <f t="shared" si="468"/>
        <v>#DIV/0!</v>
      </c>
      <c r="BF73" s="44" t="e">
        <f t="shared" si="469"/>
        <v>#DIV/0!</v>
      </c>
      <c r="BG73" s="44" t="e">
        <f t="shared" si="470"/>
        <v>#DIV/0!</v>
      </c>
      <c r="BH73" s="44" t="e">
        <f t="shared" si="471"/>
        <v>#DIV/0!</v>
      </c>
      <c r="BI73" s="44" t="e">
        <f t="shared" si="472"/>
        <v>#DIV/0!</v>
      </c>
      <c r="BJ73" s="44" t="e">
        <f t="shared" si="473"/>
        <v>#DIV/0!</v>
      </c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31"/>
      <c r="CA73" s="34"/>
      <c r="CB73" s="45"/>
      <c r="CC73" s="49"/>
      <c r="CD73" s="99"/>
      <c r="CE73" s="49"/>
      <c r="CF73" s="99"/>
      <c r="CG73" s="49"/>
      <c r="CH73" s="99"/>
      <c r="CI73" s="49"/>
      <c r="CJ73" s="99"/>
      <c r="CK73" s="49"/>
      <c r="CL73" s="99"/>
      <c r="CM73" s="49"/>
      <c r="CN73" s="99"/>
      <c r="CO73" s="49"/>
      <c r="CP73" s="249"/>
    </row>
    <row r="74" spans="3:94" x14ac:dyDescent="0.25">
      <c r="C74" s="50"/>
      <c r="D74" s="69" t="s">
        <v>40</v>
      </c>
      <c r="E74" s="31"/>
      <c r="F74" s="31"/>
      <c r="G74" s="31"/>
      <c r="H74" s="45"/>
      <c r="W74" s="46"/>
      <c r="Y74" s="45"/>
      <c r="Z74" s="31"/>
      <c r="AA74" s="250" t="e">
        <f t="shared" si="558"/>
        <v>#DIV/0!</v>
      </c>
      <c r="AB74" s="31"/>
      <c r="AC74" s="20"/>
      <c r="AD74" s="81" t="e">
        <f t="shared" ref="AD74" si="895">AA74*AC74</f>
        <v>#DIV/0!</v>
      </c>
      <c r="AE74" s="20" t="e">
        <f t="shared" si="500"/>
        <v>#DIV/0!</v>
      </c>
      <c r="AF74" s="31"/>
      <c r="AG74" s="20" t="e">
        <f>AE74+AE75</f>
        <v>#DIV/0!</v>
      </c>
      <c r="AH74" s="48" t="e">
        <f t="shared" ref="AH74" si="896">H74/$G74</f>
        <v>#DIV/0!</v>
      </c>
      <c r="AI74" s="48" t="e">
        <f t="shared" ref="AI74" si="897">I74/$G74</f>
        <v>#DIV/0!</v>
      </c>
      <c r="AJ74" s="48" t="e">
        <f t="shared" ref="AJ74" si="898">J74/$G74</f>
        <v>#DIV/0!</v>
      </c>
      <c r="AK74" s="48" t="e">
        <f t="shared" ref="AK74" si="899">K74/$G74</f>
        <v>#DIV/0!</v>
      </c>
      <c r="AL74" s="48" t="e">
        <f t="shared" ref="AL74" si="900">L74/$G74</f>
        <v>#DIV/0!</v>
      </c>
      <c r="AM74" s="48" t="e">
        <f t="shared" ref="AM74" si="901">M74/$G74</f>
        <v>#DIV/0!</v>
      </c>
      <c r="AN74" s="48" t="e">
        <f t="shared" ref="AN74" si="902">N74/$G74</f>
        <v>#DIV/0!</v>
      </c>
      <c r="AO74" s="48" t="e">
        <f t="shared" ref="AO74" si="903">O74/$G74</f>
        <v>#DIV/0!</v>
      </c>
      <c r="AP74" s="48" t="e">
        <f t="shared" ref="AP74" si="904">P74/$G74</f>
        <v>#DIV/0!</v>
      </c>
      <c r="AQ74" s="48" t="e">
        <f t="shared" ref="AQ74" si="905">Q74/$G74</f>
        <v>#DIV/0!</v>
      </c>
      <c r="AR74" s="48" t="e">
        <f t="shared" ref="AR74" si="906">R74/$G74</f>
        <v>#DIV/0!</v>
      </c>
      <c r="AS74" s="48" t="e">
        <f t="shared" ref="AS74" si="907">S74/$G74</f>
        <v>#DIV/0!</v>
      </c>
      <c r="AT74" s="48" t="e">
        <f t="shared" ref="AT74" si="908">T74/$G74</f>
        <v>#DIV/0!</v>
      </c>
      <c r="AU74" s="48" t="e">
        <f t="shared" ref="AU74" si="909">U74/$G74</f>
        <v>#DIV/0!</v>
      </c>
      <c r="AV74" s="46"/>
      <c r="AW74" s="44" t="e">
        <f t="shared" si="460"/>
        <v>#DIV/0!</v>
      </c>
      <c r="AX74" s="44" t="e">
        <f t="shared" si="461"/>
        <v>#DIV/0!</v>
      </c>
      <c r="AY74" s="44" t="e">
        <f t="shared" si="462"/>
        <v>#DIV/0!</v>
      </c>
      <c r="AZ74" s="44" t="e">
        <f t="shared" si="463"/>
        <v>#DIV/0!</v>
      </c>
      <c r="BA74" s="44" t="e">
        <f t="shared" si="464"/>
        <v>#DIV/0!</v>
      </c>
      <c r="BB74" s="44" t="e">
        <f t="shared" si="465"/>
        <v>#DIV/0!</v>
      </c>
      <c r="BC74" s="44" t="e">
        <f t="shared" si="466"/>
        <v>#DIV/0!</v>
      </c>
      <c r="BD74" s="44" t="e">
        <f t="shared" si="467"/>
        <v>#DIV/0!</v>
      </c>
      <c r="BE74" s="44" t="e">
        <f t="shared" si="468"/>
        <v>#DIV/0!</v>
      </c>
      <c r="BF74" s="44" t="e">
        <f t="shared" si="469"/>
        <v>#DIV/0!</v>
      </c>
      <c r="BG74" s="44" t="e">
        <f t="shared" si="470"/>
        <v>#DIV/0!</v>
      </c>
      <c r="BH74" s="44" t="e">
        <f t="shared" si="471"/>
        <v>#DIV/0!</v>
      </c>
      <c r="BI74" s="44" t="e">
        <f t="shared" si="472"/>
        <v>#DIV/0!</v>
      </c>
      <c r="BJ74" s="44" t="e">
        <f t="shared" si="473"/>
        <v>#DIV/0!</v>
      </c>
      <c r="BK74" s="20"/>
      <c r="BL74" s="20" t="e">
        <f>AW74+AW75</f>
        <v>#DIV/0!</v>
      </c>
      <c r="BM74" s="20" t="e">
        <f t="shared" ref="BM74" si="910">AX74+AX75</f>
        <v>#DIV/0!</v>
      </c>
      <c r="BN74" s="20" t="e">
        <f t="shared" ref="BN74" si="911">AY74+AY75</f>
        <v>#DIV/0!</v>
      </c>
      <c r="BO74" s="20" t="e">
        <f t="shared" ref="BO74" si="912">AZ74+AZ75</f>
        <v>#DIV/0!</v>
      </c>
      <c r="BP74" s="20" t="e">
        <f t="shared" ref="BP74" si="913">BA74+BA75</f>
        <v>#DIV/0!</v>
      </c>
      <c r="BQ74" s="20" t="e">
        <f t="shared" ref="BQ74" si="914">BB74+BB75</f>
        <v>#DIV/0!</v>
      </c>
      <c r="BR74" s="20" t="e">
        <f t="shared" ref="BR74" si="915">BC74+BC75</f>
        <v>#DIV/0!</v>
      </c>
      <c r="BS74" s="20" t="e">
        <f t="shared" ref="BS74" si="916">BD74+BD75</f>
        <v>#DIV/0!</v>
      </c>
      <c r="BT74" s="20" t="e">
        <f t="shared" ref="BT74" si="917">BE74+BE75</f>
        <v>#DIV/0!</v>
      </c>
      <c r="BU74" s="20" t="e">
        <f t="shared" ref="BU74" si="918">BF74+BF75</f>
        <v>#DIV/0!</v>
      </c>
      <c r="BV74" s="20" t="e">
        <f t="shared" ref="BV74" si="919">BG74+BG75</f>
        <v>#DIV/0!</v>
      </c>
      <c r="BW74" s="20" t="e">
        <f t="shared" ref="BW74" si="920">BH74+BH75</f>
        <v>#DIV/0!</v>
      </c>
      <c r="BX74" s="20" t="e">
        <f t="shared" ref="BX74" si="921">BI74+BI75</f>
        <v>#DIV/0!</v>
      </c>
      <c r="BY74" s="20"/>
      <c r="BZ74" s="31"/>
      <c r="CA74" s="34"/>
      <c r="CB74" s="45"/>
      <c r="CC74" s="49"/>
      <c r="CD74" s="99"/>
      <c r="CE74" s="49"/>
      <c r="CF74" s="99"/>
      <c r="CG74" s="49"/>
      <c r="CH74" s="99"/>
      <c r="CI74" s="49"/>
      <c r="CJ74" s="99"/>
      <c r="CK74" s="49"/>
      <c r="CL74" s="99"/>
      <c r="CM74" s="49"/>
      <c r="CN74" s="99"/>
      <c r="CO74" s="49"/>
      <c r="CP74" s="249"/>
    </row>
    <row r="75" spans="3:94" ht="16.5" thickBot="1" x14ac:dyDescent="0.3">
      <c r="C75" s="251"/>
      <c r="D75" s="252"/>
      <c r="E75" s="253"/>
      <c r="F75" s="253"/>
      <c r="G75" s="253"/>
      <c r="H75" s="254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6"/>
      <c r="X75" s="119"/>
      <c r="Y75" s="254"/>
      <c r="Z75" s="253"/>
      <c r="AA75" s="257" t="e">
        <f t="shared" si="558"/>
        <v>#DIV/0!</v>
      </c>
      <c r="AB75" s="253"/>
      <c r="AC75" s="258"/>
      <c r="AD75" s="259" t="e">
        <f>AA75*AC75</f>
        <v>#DIV/0!</v>
      </c>
      <c r="AE75" s="258" t="e">
        <f t="shared" si="500"/>
        <v>#DIV/0!</v>
      </c>
      <c r="AF75" s="253"/>
      <c r="AG75" s="119"/>
      <c r="AH75" s="260" t="e">
        <f t="shared" ref="AH75:AU75" si="922">AH74</f>
        <v>#DIV/0!</v>
      </c>
      <c r="AI75" s="260" t="e">
        <f t="shared" si="922"/>
        <v>#DIV/0!</v>
      </c>
      <c r="AJ75" s="260" t="e">
        <f t="shared" si="922"/>
        <v>#DIV/0!</v>
      </c>
      <c r="AK75" s="260" t="e">
        <f t="shared" si="922"/>
        <v>#DIV/0!</v>
      </c>
      <c r="AL75" s="260" t="e">
        <f t="shared" si="922"/>
        <v>#DIV/0!</v>
      </c>
      <c r="AM75" s="260" t="e">
        <f t="shared" si="922"/>
        <v>#DIV/0!</v>
      </c>
      <c r="AN75" s="260" t="e">
        <f t="shared" si="922"/>
        <v>#DIV/0!</v>
      </c>
      <c r="AO75" s="260" t="e">
        <f t="shared" si="922"/>
        <v>#DIV/0!</v>
      </c>
      <c r="AP75" s="260" t="e">
        <f t="shared" si="922"/>
        <v>#DIV/0!</v>
      </c>
      <c r="AQ75" s="260" t="e">
        <f t="shared" si="922"/>
        <v>#DIV/0!</v>
      </c>
      <c r="AR75" s="260" t="e">
        <f t="shared" si="922"/>
        <v>#DIV/0!</v>
      </c>
      <c r="AS75" s="260" t="e">
        <f t="shared" si="922"/>
        <v>#DIV/0!</v>
      </c>
      <c r="AT75" s="260" t="e">
        <f t="shared" si="922"/>
        <v>#DIV/0!</v>
      </c>
      <c r="AU75" s="260" t="e">
        <f t="shared" si="922"/>
        <v>#DIV/0!</v>
      </c>
      <c r="AV75" s="145"/>
      <c r="AW75" s="261" t="e">
        <f t="shared" si="460"/>
        <v>#DIV/0!</v>
      </c>
      <c r="AX75" s="261" t="e">
        <f t="shared" si="461"/>
        <v>#DIV/0!</v>
      </c>
      <c r="AY75" s="261" t="e">
        <f t="shared" si="462"/>
        <v>#DIV/0!</v>
      </c>
      <c r="AZ75" s="261" t="e">
        <f t="shared" si="463"/>
        <v>#DIV/0!</v>
      </c>
      <c r="BA75" s="261" t="e">
        <f t="shared" si="464"/>
        <v>#DIV/0!</v>
      </c>
      <c r="BB75" s="261" t="e">
        <f t="shared" si="465"/>
        <v>#DIV/0!</v>
      </c>
      <c r="BC75" s="261" t="e">
        <f t="shared" si="466"/>
        <v>#DIV/0!</v>
      </c>
      <c r="BD75" s="261" t="e">
        <f t="shared" si="467"/>
        <v>#DIV/0!</v>
      </c>
      <c r="BE75" s="261" t="e">
        <f t="shared" si="468"/>
        <v>#DIV/0!</v>
      </c>
      <c r="BF75" s="261" t="e">
        <f t="shared" si="469"/>
        <v>#DIV/0!</v>
      </c>
      <c r="BG75" s="261" t="e">
        <f t="shared" si="470"/>
        <v>#DIV/0!</v>
      </c>
      <c r="BH75" s="261" t="e">
        <f t="shared" si="471"/>
        <v>#DIV/0!</v>
      </c>
      <c r="BI75" s="261" t="e">
        <f t="shared" si="472"/>
        <v>#DIV/0!</v>
      </c>
      <c r="BJ75" s="261" t="e">
        <f t="shared" si="473"/>
        <v>#DIV/0!</v>
      </c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143"/>
      <c r="CA75" s="213"/>
      <c r="CB75" s="144"/>
      <c r="CC75" s="263"/>
      <c r="CD75" s="264"/>
      <c r="CE75" s="263"/>
      <c r="CF75" s="264"/>
      <c r="CG75" s="263"/>
      <c r="CH75" s="264"/>
      <c r="CI75" s="263"/>
      <c r="CJ75" s="264"/>
      <c r="CK75" s="263"/>
      <c r="CL75" s="264"/>
      <c r="CM75" s="263"/>
      <c r="CN75" s="264"/>
      <c r="CO75" s="263"/>
      <c r="CP75" s="265"/>
    </row>
    <row r="76" spans="3:94" x14ac:dyDescent="0.25">
      <c r="C76" s="266"/>
      <c r="D76" s="24" t="s">
        <v>39</v>
      </c>
      <c r="E76" s="24"/>
      <c r="F76" s="24"/>
      <c r="G76" s="24"/>
      <c r="H76" s="237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38"/>
      <c r="X76" s="25"/>
      <c r="Y76" s="237"/>
      <c r="Z76" s="24"/>
      <c r="AA76" s="26" t="e">
        <f t="shared" si="558"/>
        <v>#DIV/0!</v>
      </c>
      <c r="AB76" s="24"/>
      <c r="AC76" s="190"/>
      <c r="AD76" s="239" t="e">
        <f t="shared" ref="AD76" si="923">AA76*AC76</f>
        <v>#DIV/0!</v>
      </c>
      <c r="AE76" s="190" t="e">
        <f t="shared" si="500"/>
        <v>#DIV/0!</v>
      </c>
      <c r="AF76" s="24"/>
      <c r="AG76" s="190" t="e">
        <f>AE76+AE77</f>
        <v>#DIV/0!</v>
      </c>
      <c r="AH76" s="240" t="e">
        <f t="shared" ref="AH76" si="924">H76/$G76</f>
        <v>#DIV/0!</v>
      </c>
      <c r="AI76" s="240" t="e">
        <f t="shared" ref="AI76" si="925">I76/$G76</f>
        <v>#DIV/0!</v>
      </c>
      <c r="AJ76" s="240" t="e">
        <f t="shared" ref="AJ76" si="926">J76/$G76</f>
        <v>#DIV/0!</v>
      </c>
      <c r="AK76" s="240" t="e">
        <f t="shared" ref="AK76" si="927">K76/$G76</f>
        <v>#DIV/0!</v>
      </c>
      <c r="AL76" s="240" t="e">
        <f t="shared" ref="AL76" si="928">L76/$G76</f>
        <v>#DIV/0!</v>
      </c>
      <c r="AM76" s="240" t="e">
        <f t="shared" ref="AM76" si="929">M76/$G76</f>
        <v>#DIV/0!</v>
      </c>
      <c r="AN76" s="240" t="e">
        <f t="shared" ref="AN76" si="930">N76/$G76</f>
        <v>#DIV/0!</v>
      </c>
      <c r="AO76" s="240" t="e">
        <f t="shared" ref="AO76" si="931">O76/$G76</f>
        <v>#DIV/0!</v>
      </c>
      <c r="AP76" s="240" t="e">
        <f t="shared" ref="AP76" si="932">P76/$G76</f>
        <v>#DIV/0!</v>
      </c>
      <c r="AQ76" s="240" t="e">
        <f t="shared" ref="AQ76" si="933">Q76/$G76</f>
        <v>#DIV/0!</v>
      </c>
      <c r="AR76" s="240" t="e">
        <f t="shared" ref="AR76" si="934">R76/$G76</f>
        <v>#DIV/0!</v>
      </c>
      <c r="AS76" s="240" t="e">
        <f t="shared" ref="AS76" si="935">S76/$G76</f>
        <v>#DIV/0!</v>
      </c>
      <c r="AT76" s="240" t="e">
        <f t="shared" ref="AT76" si="936">T76/$G76</f>
        <v>#DIV/0!</v>
      </c>
      <c r="AU76" s="240" t="e">
        <f t="shared" ref="AU76" si="937">U76/$G76</f>
        <v>#DIV/0!</v>
      </c>
      <c r="AV76" s="238"/>
      <c r="AW76" s="190" t="e">
        <f t="shared" si="460"/>
        <v>#DIV/0!</v>
      </c>
      <c r="AX76" s="190" t="e">
        <f t="shared" si="461"/>
        <v>#DIV/0!</v>
      </c>
      <c r="AY76" s="190" t="e">
        <f t="shared" si="462"/>
        <v>#DIV/0!</v>
      </c>
      <c r="AZ76" s="190" t="e">
        <f t="shared" si="463"/>
        <v>#DIV/0!</v>
      </c>
      <c r="BA76" s="190" t="e">
        <f t="shared" si="464"/>
        <v>#DIV/0!</v>
      </c>
      <c r="BB76" s="190" t="e">
        <f t="shared" si="465"/>
        <v>#DIV/0!</v>
      </c>
      <c r="BC76" s="190" t="e">
        <f t="shared" si="466"/>
        <v>#DIV/0!</v>
      </c>
      <c r="BD76" s="190" t="e">
        <f t="shared" si="467"/>
        <v>#DIV/0!</v>
      </c>
      <c r="BE76" s="190" t="e">
        <f t="shared" si="468"/>
        <v>#DIV/0!</v>
      </c>
      <c r="BF76" s="190" t="e">
        <f t="shared" si="469"/>
        <v>#DIV/0!</v>
      </c>
      <c r="BG76" s="190" t="e">
        <f t="shared" si="470"/>
        <v>#DIV/0!</v>
      </c>
      <c r="BH76" s="190" t="e">
        <f t="shared" si="471"/>
        <v>#DIV/0!</v>
      </c>
      <c r="BI76" s="190" t="e">
        <f t="shared" si="472"/>
        <v>#DIV/0!</v>
      </c>
      <c r="BJ76" s="190" t="e">
        <f t="shared" si="473"/>
        <v>#DIV/0!</v>
      </c>
      <c r="BK76" s="190"/>
      <c r="BL76" s="190" t="e">
        <f>AW76+AW77</f>
        <v>#DIV/0!</v>
      </c>
      <c r="BM76" s="190" t="e">
        <f t="shared" ref="BM76" si="938">AX76+AX77</f>
        <v>#DIV/0!</v>
      </c>
      <c r="BN76" s="190" t="e">
        <f t="shared" ref="BN76" si="939">AY76+AY77</f>
        <v>#DIV/0!</v>
      </c>
      <c r="BO76" s="190" t="e">
        <f t="shared" ref="BO76" si="940">AZ76+AZ77</f>
        <v>#DIV/0!</v>
      </c>
      <c r="BP76" s="190" t="e">
        <f t="shared" ref="BP76" si="941">BA76+BA77</f>
        <v>#DIV/0!</v>
      </c>
      <c r="BQ76" s="190" t="e">
        <f t="shared" ref="BQ76" si="942">BB76+BB77</f>
        <v>#DIV/0!</v>
      </c>
      <c r="BR76" s="190" t="e">
        <f t="shared" ref="BR76" si="943">BC76+BC77</f>
        <v>#DIV/0!</v>
      </c>
      <c r="BS76" s="190" t="e">
        <f t="shared" ref="BS76" si="944">BD76+BD77</f>
        <v>#DIV/0!</v>
      </c>
      <c r="BT76" s="190" t="e">
        <f t="shared" ref="BT76" si="945">BE76+BE77</f>
        <v>#DIV/0!</v>
      </c>
      <c r="BU76" s="190" t="e">
        <f t="shared" ref="BU76" si="946">BF76+BF77</f>
        <v>#DIV/0!</v>
      </c>
      <c r="BV76" s="190" t="e">
        <f t="shared" ref="BV76" si="947">BG76+BG77</f>
        <v>#DIV/0!</v>
      </c>
      <c r="BW76" s="190" t="e">
        <f t="shared" ref="BW76" si="948">BH76+BH77</f>
        <v>#DIV/0!</v>
      </c>
      <c r="BX76" s="190" t="e">
        <f t="shared" ref="BX76" si="949">BI76+BI77</f>
        <v>#DIV/0!</v>
      </c>
      <c r="BY76" s="190"/>
      <c r="BZ76" s="24"/>
      <c r="CA76" s="241">
        <v>7</v>
      </c>
      <c r="CB76" s="25"/>
      <c r="CC76" s="242" t="e">
        <f t="shared" ref="CC76" si="950">AVERAGE(AW76:AW84)*$CA76</f>
        <v>#DIV/0!</v>
      </c>
      <c r="CD76" s="243" t="e">
        <f t="shared" ref="CD76" si="951">AVERAGE(AX76:AX84)*$CA76</f>
        <v>#DIV/0!</v>
      </c>
      <c r="CE76" s="242" t="e">
        <f t="shared" ref="CE76" si="952">AVERAGE(AY76:AY84)*$CA76</f>
        <v>#DIV/0!</v>
      </c>
      <c r="CF76" s="243" t="e">
        <f t="shared" ref="CF76" si="953">AVERAGE(AZ76:AZ84)*$CA76</f>
        <v>#DIV/0!</v>
      </c>
      <c r="CG76" s="242" t="e">
        <f t="shared" ref="CG76" si="954">AVERAGE(BA76:BA84)*$CA76</f>
        <v>#DIV/0!</v>
      </c>
      <c r="CH76" s="243" t="e">
        <f t="shared" ref="CH76" si="955">AVERAGE(BB76:BB84)*$CA76</f>
        <v>#DIV/0!</v>
      </c>
      <c r="CI76" s="242" t="e">
        <f t="shared" ref="CI76" si="956">AVERAGE(BC76:BC84)*$CA76</f>
        <v>#DIV/0!</v>
      </c>
      <c r="CJ76" s="243" t="e">
        <f t="shared" ref="CJ76" si="957">AVERAGE(BD76:BD84)*$CA76</f>
        <v>#DIV/0!</v>
      </c>
      <c r="CK76" s="242" t="e">
        <f t="shared" ref="CK76" si="958">AVERAGE(BE76:BE84)*$CA76</f>
        <v>#DIV/0!</v>
      </c>
      <c r="CL76" s="243" t="e">
        <f t="shared" ref="CL76" si="959">AVERAGE(BF76:BF84)*$CA76</f>
        <v>#DIV/0!</v>
      </c>
      <c r="CM76" s="242" t="e">
        <f t="shared" ref="CM76" si="960">AVERAGE(BG76:BG84)*$CA76</f>
        <v>#DIV/0!</v>
      </c>
      <c r="CN76" s="243" t="e">
        <f t="shared" ref="CN76" si="961">AVERAGE(BH76:BH84)*$CA76</f>
        <v>#DIV/0!</v>
      </c>
      <c r="CO76" s="242" t="e">
        <f t="shared" ref="CO76" si="962">AVERAGE(BI76:BI84)*$CA76</f>
        <v>#DIV/0!</v>
      </c>
      <c r="CP76" s="244" t="e">
        <f t="shared" ref="CP76" si="963">AVERAGE(BJ76:BJ84)*$CA76</f>
        <v>#DIV/0!</v>
      </c>
    </row>
    <row r="77" spans="3:94" x14ac:dyDescent="0.25">
      <c r="C77" s="267"/>
      <c r="D77" s="70"/>
      <c r="E77" s="67"/>
      <c r="F77" s="67"/>
      <c r="G77" s="67"/>
      <c r="H77" s="6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66"/>
      <c r="Y77" s="65"/>
      <c r="Z77" s="67"/>
      <c r="AA77" s="246" t="e">
        <f t="shared" si="558"/>
        <v>#DIV/0!</v>
      </c>
      <c r="AB77" s="67"/>
      <c r="AC77" s="247"/>
      <c r="AD77" s="80" t="e">
        <f>AA77*AC77</f>
        <v>#DIV/0!</v>
      </c>
      <c r="AE77" s="247" t="e">
        <f t="shared" si="500"/>
        <v>#DIV/0!</v>
      </c>
      <c r="AF77" s="67"/>
      <c r="AH77" s="248" t="e">
        <f t="shared" ref="AH77:AU77" si="964">AH76</f>
        <v>#DIV/0!</v>
      </c>
      <c r="AI77" s="248" t="e">
        <f t="shared" si="964"/>
        <v>#DIV/0!</v>
      </c>
      <c r="AJ77" s="248" t="e">
        <f t="shared" si="964"/>
        <v>#DIV/0!</v>
      </c>
      <c r="AK77" s="248" t="e">
        <f t="shared" si="964"/>
        <v>#DIV/0!</v>
      </c>
      <c r="AL77" s="248" t="e">
        <f t="shared" si="964"/>
        <v>#DIV/0!</v>
      </c>
      <c r="AM77" s="248" t="e">
        <f t="shared" si="964"/>
        <v>#DIV/0!</v>
      </c>
      <c r="AN77" s="248" t="e">
        <f t="shared" si="964"/>
        <v>#DIV/0!</v>
      </c>
      <c r="AO77" s="248" t="e">
        <f t="shared" si="964"/>
        <v>#DIV/0!</v>
      </c>
      <c r="AP77" s="248" t="e">
        <f t="shared" si="964"/>
        <v>#DIV/0!</v>
      </c>
      <c r="AQ77" s="248" t="e">
        <f t="shared" si="964"/>
        <v>#DIV/0!</v>
      </c>
      <c r="AR77" s="248" t="e">
        <f t="shared" si="964"/>
        <v>#DIV/0!</v>
      </c>
      <c r="AS77" s="248" t="e">
        <f t="shared" si="964"/>
        <v>#DIV/0!</v>
      </c>
      <c r="AT77" s="248" t="e">
        <f t="shared" si="964"/>
        <v>#DIV/0!</v>
      </c>
      <c r="AU77" s="248" t="e">
        <f t="shared" si="964"/>
        <v>#DIV/0!</v>
      </c>
      <c r="AV77" s="46"/>
      <c r="AW77" s="44" t="e">
        <f t="shared" si="460"/>
        <v>#DIV/0!</v>
      </c>
      <c r="AX77" s="44" t="e">
        <f t="shared" si="461"/>
        <v>#DIV/0!</v>
      </c>
      <c r="AY77" s="44" t="e">
        <f t="shared" si="462"/>
        <v>#DIV/0!</v>
      </c>
      <c r="AZ77" s="44" t="e">
        <f t="shared" si="463"/>
        <v>#DIV/0!</v>
      </c>
      <c r="BA77" s="44" t="e">
        <f t="shared" si="464"/>
        <v>#DIV/0!</v>
      </c>
      <c r="BB77" s="44" t="e">
        <f t="shared" si="465"/>
        <v>#DIV/0!</v>
      </c>
      <c r="BC77" s="44" t="e">
        <f t="shared" si="466"/>
        <v>#DIV/0!</v>
      </c>
      <c r="BD77" s="44" t="e">
        <f t="shared" si="467"/>
        <v>#DIV/0!</v>
      </c>
      <c r="BE77" s="44" t="e">
        <f t="shared" si="468"/>
        <v>#DIV/0!</v>
      </c>
      <c r="BF77" s="44" t="e">
        <f t="shared" si="469"/>
        <v>#DIV/0!</v>
      </c>
      <c r="BG77" s="44" t="e">
        <f t="shared" si="470"/>
        <v>#DIV/0!</v>
      </c>
      <c r="BH77" s="44" t="e">
        <f t="shared" si="471"/>
        <v>#DIV/0!</v>
      </c>
      <c r="BI77" s="44" t="e">
        <f t="shared" si="472"/>
        <v>#DIV/0!</v>
      </c>
      <c r="BJ77" s="44" t="e">
        <f t="shared" si="473"/>
        <v>#DIV/0!</v>
      </c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31"/>
      <c r="CA77" s="34"/>
      <c r="CB77" s="45"/>
      <c r="CC77" s="49"/>
      <c r="CD77" s="99"/>
      <c r="CE77" s="49"/>
      <c r="CF77" s="99"/>
      <c r="CG77" s="49"/>
      <c r="CH77" s="99"/>
      <c r="CI77" s="49"/>
      <c r="CJ77" s="99"/>
      <c r="CK77" s="49"/>
      <c r="CL77" s="99"/>
      <c r="CM77" s="49"/>
      <c r="CN77" s="99"/>
      <c r="CO77" s="49"/>
      <c r="CP77" s="249"/>
    </row>
    <row r="78" spans="3:94" x14ac:dyDescent="0.25">
      <c r="C78" s="50"/>
      <c r="D78" s="31" t="s">
        <v>39</v>
      </c>
      <c r="E78" s="31"/>
      <c r="F78" s="31"/>
      <c r="G78" s="31"/>
      <c r="H78" s="45"/>
      <c r="W78" s="46"/>
      <c r="Y78" s="45"/>
      <c r="Z78" s="31"/>
      <c r="AA78" s="250" t="e">
        <f t="shared" si="558"/>
        <v>#DIV/0!</v>
      </c>
      <c r="AB78" s="31"/>
      <c r="AC78" s="20"/>
      <c r="AD78" s="81" t="e">
        <f t="shared" ref="AD78" si="965">AA78*AC78</f>
        <v>#DIV/0!</v>
      </c>
      <c r="AE78" s="20" t="e">
        <f t="shared" si="500"/>
        <v>#DIV/0!</v>
      </c>
      <c r="AF78" s="31"/>
      <c r="AG78" s="20" t="e">
        <f>AE78+AE79</f>
        <v>#DIV/0!</v>
      </c>
      <c r="AH78" s="48" t="e">
        <f t="shared" ref="AH78" si="966">H78/$G78</f>
        <v>#DIV/0!</v>
      </c>
      <c r="AI78" s="48" t="e">
        <f t="shared" ref="AI78" si="967">I78/$G78</f>
        <v>#DIV/0!</v>
      </c>
      <c r="AJ78" s="48" t="e">
        <f t="shared" ref="AJ78" si="968">J78/$G78</f>
        <v>#DIV/0!</v>
      </c>
      <c r="AK78" s="48" t="e">
        <f t="shared" ref="AK78" si="969">K78/$G78</f>
        <v>#DIV/0!</v>
      </c>
      <c r="AL78" s="48" t="e">
        <f t="shared" ref="AL78" si="970">L78/$G78</f>
        <v>#DIV/0!</v>
      </c>
      <c r="AM78" s="48" t="e">
        <f t="shared" ref="AM78" si="971">M78/$G78</f>
        <v>#DIV/0!</v>
      </c>
      <c r="AN78" s="48" t="e">
        <f t="shared" ref="AN78" si="972">N78/$G78</f>
        <v>#DIV/0!</v>
      </c>
      <c r="AO78" s="48" t="e">
        <f t="shared" ref="AO78" si="973">O78/$G78</f>
        <v>#DIV/0!</v>
      </c>
      <c r="AP78" s="48" t="e">
        <f t="shared" ref="AP78" si="974">P78/$G78</f>
        <v>#DIV/0!</v>
      </c>
      <c r="AQ78" s="48" t="e">
        <f t="shared" ref="AQ78" si="975">Q78/$G78</f>
        <v>#DIV/0!</v>
      </c>
      <c r="AR78" s="48" t="e">
        <f t="shared" ref="AR78" si="976">R78/$G78</f>
        <v>#DIV/0!</v>
      </c>
      <c r="AS78" s="48" t="e">
        <f t="shared" ref="AS78" si="977">S78/$G78</f>
        <v>#DIV/0!</v>
      </c>
      <c r="AT78" s="48" t="e">
        <f t="shared" ref="AT78" si="978">T78/$G78</f>
        <v>#DIV/0!</v>
      </c>
      <c r="AU78" s="48" t="e">
        <f t="shared" ref="AU78" si="979">U78/$G78</f>
        <v>#DIV/0!</v>
      </c>
      <c r="AV78" s="46"/>
      <c r="AW78" s="44" t="e">
        <f t="shared" si="460"/>
        <v>#DIV/0!</v>
      </c>
      <c r="AX78" s="44" t="e">
        <f t="shared" si="461"/>
        <v>#DIV/0!</v>
      </c>
      <c r="AY78" s="44" t="e">
        <f t="shared" si="462"/>
        <v>#DIV/0!</v>
      </c>
      <c r="AZ78" s="44" t="e">
        <f t="shared" si="463"/>
        <v>#DIV/0!</v>
      </c>
      <c r="BA78" s="44" t="e">
        <f t="shared" si="464"/>
        <v>#DIV/0!</v>
      </c>
      <c r="BB78" s="44" t="e">
        <f t="shared" si="465"/>
        <v>#DIV/0!</v>
      </c>
      <c r="BC78" s="44" t="e">
        <f t="shared" si="466"/>
        <v>#DIV/0!</v>
      </c>
      <c r="BD78" s="44" t="e">
        <f t="shared" si="467"/>
        <v>#DIV/0!</v>
      </c>
      <c r="BE78" s="44" t="e">
        <f t="shared" si="468"/>
        <v>#DIV/0!</v>
      </c>
      <c r="BF78" s="44" t="e">
        <f t="shared" si="469"/>
        <v>#DIV/0!</v>
      </c>
      <c r="BG78" s="44" t="e">
        <f t="shared" si="470"/>
        <v>#DIV/0!</v>
      </c>
      <c r="BH78" s="44" t="e">
        <f t="shared" si="471"/>
        <v>#DIV/0!</v>
      </c>
      <c r="BI78" s="44" t="e">
        <f t="shared" si="472"/>
        <v>#DIV/0!</v>
      </c>
      <c r="BJ78" s="44" t="e">
        <f t="shared" si="473"/>
        <v>#DIV/0!</v>
      </c>
      <c r="BK78" s="20"/>
      <c r="BL78" s="20" t="e">
        <f>AW78+AW79</f>
        <v>#DIV/0!</v>
      </c>
      <c r="BM78" s="20" t="e">
        <f t="shared" ref="BM78" si="980">AX78+AX79</f>
        <v>#DIV/0!</v>
      </c>
      <c r="BN78" s="20" t="e">
        <f t="shared" ref="BN78" si="981">AY78+AY79</f>
        <v>#DIV/0!</v>
      </c>
      <c r="BO78" s="20" t="e">
        <f t="shared" ref="BO78" si="982">AZ78+AZ79</f>
        <v>#DIV/0!</v>
      </c>
      <c r="BP78" s="20" t="e">
        <f t="shared" ref="BP78" si="983">BA78+BA79</f>
        <v>#DIV/0!</v>
      </c>
      <c r="BQ78" s="20" t="e">
        <f t="shared" ref="BQ78" si="984">BB78+BB79</f>
        <v>#DIV/0!</v>
      </c>
      <c r="BR78" s="20" t="e">
        <f t="shared" ref="BR78" si="985">BC78+BC79</f>
        <v>#DIV/0!</v>
      </c>
      <c r="BS78" s="20" t="e">
        <f t="shared" ref="BS78" si="986">BD78+BD79</f>
        <v>#DIV/0!</v>
      </c>
      <c r="BT78" s="20" t="e">
        <f t="shared" ref="BT78" si="987">BE78+BE79</f>
        <v>#DIV/0!</v>
      </c>
      <c r="BU78" s="20" t="e">
        <f t="shared" ref="BU78" si="988">BF78+BF79</f>
        <v>#DIV/0!</v>
      </c>
      <c r="BV78" s="20" t="e">
        <f t="shared" ref="BV78" si="989">BG78+BG79</f>
        <v>#DIV/0!</v>
      </c>
      <c r="BW78" s="20" t="e">
        <f t="shared" ref="BW78" si="990">BH78+BH79</f>
        <v>#DIV/0!</v>
      </c>
      <c r="BX78" s="20" t="e">
        <f t="shared" ref="BX78" si="991">BI78+BI79</f>
        <v>#DIV/0!</v>
      </c>
      <c r="BY78" s="20"/>
      <c r="BZ78" s="31"/>
      <c r="CA78" s="34"/>
      <c r="CB78" s="45"/>
      <c r="CC78" s="49"/>
      <c r="CD78" s="99"/>
      <c r="CE78" s="49"/>
      <c r="CF78" s="99"/>
      <c r="CG78" s="49"/>
      <c r="CH78" s="99"/>
      <c r="CI78" s="49"/>
      <c r="CJ78" s="99"/>
      <c r="CK78" s="49"/>
      <c r="CL78" s="99"/>
      <c r="CM78" s="49"/>
      <c r="CN78" s="99"/>
      <c r="CO78" s="49"/>
      <c r="CP78" s="249"/>
    </row>
    <row r="79" spans="3:94" x14ac:dyDescent="0.25">
      <c r="C79" s="267"/>
      <c r="D79" s="70"/>
      <c r="E79" s="67"/>
      <c r="F79" s="67"/>
      <c r="G79" s="67"/>
      <c r="H79" s="6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66"/>
      <c r="Y79" s="65"/>
      <c r="Z79" s="67"/>
      <c r="AA79" s="246" t="e">
        <f t="shared" si="558"/>
        <v>#DIV/0!</v>
      </c>
      <c r="AB79" s="67"/>
      <c r="AC79" s="247"/>
      <c r="AD79" s="80" t="e">
        <f>AA79*AC79</f>
        <v>#DIV/0!</v>
      </c>
      <c r="AE79" s="247" t="e">
        <f t="shared" si="500"/>
        <v>#DIV/0!</v>
      </c>
      <c r="AF79" s="67"/>
      <c r="AH79" s="248" t="e">
        <f t="shared" ref="AH79:AU79" si="992">AH78</f>
        <v>#DIV/0!</v>
      </c>
      <c r="AI79" s="248" t="e">
        <f t="shared" si="992"/>
        <v>#DIV/0!</v>
      </c>
      <c r="AJ79" s="248" t="e">
        <f t="shared" si="992"/>
        <v>#DIV/0!</v>
      </c>
      <c r="AK79" s="248" t="e">
        <f t="shared" si="992"/>
        <v>#DIV/0!</v>
      </c>
      <c r="AL79" s="248" t="e">
        <f t="shared" si="992"/>
        <v>#DIV/0!</v>
      </c>
      <c r="AM79" s="248" t="e">
        <f t="shared" si="992"/>
        <v>#DIV/0!</v>
      </c>
      <c r="AN79" s="248" t="e">
        <f t="shared" si="992"/>
        <v>#DIV/0!</v>
      </c>
      <c r="AO79" s="248" t="e">
        <f t="shared" si="992"/>
        <v>#DIV/0!</v>
      </c>
      <c r="AP79" s="248" t="e">
        <f t="shared" si="992"/>
        <v>#DIV/0!</v>
      </c>
      <c r="AQ79" s="248" t="e">
        <f t="shared" si="992"/>
        <v>#DIV/0!</v>
      </c>
      <c r="AR79" s="248" t="e">
        <f t="shared" si="992"/>
        <v>#DIV/0!</v>
      </c>
      <c r="AS79" s="248" t="e">
        <f t="shared" si="992"/>
        <v>#DIV/0!</v>
      </c>
      <c r="AT79" s="248" t="e">
        <f t="shared" si="992"/>
        <v>#DIV/0!</v>
      </c>
      <c r="AU79" s="248" t="e">
        <f t="shared" si="992"/>
        <v>#DIV/0!</v>
      </c>
      <c r="AV79" s="46"/>
      <c r="AW79" s="44" t="e">
        <f t="shared" si="460"/>
        <v>#DIV/0!</v>
      </c>
      <c r="AX79" s="44" t="e">
        <f t="shared" si="461"/>
        <v>#DIV/0!</v>
      </c>
      <c r="AY79" s="44" t="e">
        <f t="shared" si="462"/>
        <v>#DIV/0!</v>
      </c>
      <c r="AZ79" s="44" t="e">
        <f t="shared" si="463"/>
        <v>#DIV/0!</v>
      </c>
      <c r="BA79" s="44" t="e">
        <f t="shared" si="464"/>
        <v>#DIV/0!</v>
      </c>
      <c r="BB79" s="44" t="e">
        <f t="shared" si="465"/>
        <v>#DIV/0!</v>
      </c>
      <c r="BC79" s="44" t="e">
        <f t="shared" si="466"/>
        <v>#DIV/0!</v>
      </c>
      <c r="BD79" s="44" t="e">
        <f t="shared" si="467"/>
        <v>#DIV/0!</v>
      </c>
      <c r="BE79" s="44" t="e">
        <f t="shared" si="468"/>
        <v>#DIV/0!</v>
      </c>
      <c r="BF79" s="44" t="e">
        <f t="shared" si="469"/>
        <v>#DIV/0!</v>
      </c>
      <c r="BG79" s="44" t="e">
        <f t="shared" si="470"/>
        <v>#DIV/0!</v>
      </c>
      <c r="BH79" s="44" t="e">
        <f t="shared" si="471"/>
        <v>#DIV/0!</v>
      </c>
      <c r="BI79" s="44" t="e">
        <f t="shared" si="472"/>
        <v>#DIV/0!</v>
      </c>
      <c r="BJ79" s="44" t="e">
        <f t="shared" si="473"/>
        <v>#DIV/0!</v>
      </c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31"/>
      <c r="CA79" s="34"/>
      <c r="CB79" s="45"/>
      <c r="CC79" s="49"/>
      <c r="CD79" s="99"/>
      <c r="CE79" s="49"/>
      <c r="CF79" s="99"/>
      <c r="CG79" s="49"/>
      <c r="CH79" s="99"/>
      <c r="CI79" s="49"/>
      <c r="CJ79" s="99"/>
      <c r="CK79" s="49"/>
      <c r="CL79" s="99"/>
      <c r="CM79" s="49"/>
      <c r="CN79" s="99"/>
      <c r="CO79" s="49"/>
      <c r="CP79" s="249"/>
    </row>
    <row r="80" spans="3:94" x14ac:dyDescent="0.25">
      <c r="C80" s="50"/>
      <c r="D80" s="31" t="s">
        <v>39</v>
      </c>
      <c r="E80" s="31"/>
      <c r="F80" s="31"/>
      <c r="G80" s="31"/>
      <c r="H80" s="45"/>
      <c r="W80" s="46"/>
      <c r="Y80" s="45"/>
      <c r="Z80" s="31"/>
      <c r="AA80" s="250" t="e">
        <f t="shared" si="558"/>
        <v>#DIV/0!</v>
      </c>
      <c r="AB80" s="31"/>
      <c r="AC80" s="20"/>
      <c r="AD80" s="81" t="e">
        <f t="shared" ref="AD80" si="993">AA80*AC80</f>
        <v>#DIV/0!</v>
      </c>
      <c r="AE80" s="20" t="e">
        <f t="shared" si="500"/>
        <v>#DIV/0!</v>
      </c>
      <c r="AF80" s="31"/>
      <c r="AG80" s="20" t="e">
        <f>AE80+AE81</f>
        <v>#DIV/0!</v>
      </c>
      <c r="AH80" s="48" t="e">
        <f t="shared" ref="AH80" si="994">H80/$G80</f>
        <v>#DIV/0!</v>
      </c>
      <c r="AI80" s="48" t="e">
        <f t="shared" ref="AI80" si="995">I80/$G80</f>
        <v>#DIV/0!</v>
      </c>
      <c r="AJ80" s="48" t="e">
        <f t="shared" ref="AJ80" si="996">J80/$G80</f>
        <v>#DIV/0!</v>
      </c>
      <c r="AK80" s="48" t="e">
        <f t="shared" ref="AK80" si="997">K80/$G80</f>
        <v>#DIV/0!</v>
      </c>
      <c r="AL80" s="48" t="e">
        <f t="shared" ref="AL80" si="998">L80/$G80</f>
        <v>#DIV/0!</v>
      </c>
      <c r="AM80" s="48" t="e">
        <f t="shared" ref="AM80" si="999">M80/$G80</f>
        <v>#DIV/0!</v>
      </c>
      <c r="AN80" s="48" t="e">
        <f t="shared" ref="AN80" si="1000">N80/$G80</f>
        <v>#DIV/0!</v>
      </c>
      <c r="AO80" s="48" t="e">
        <f t="shared" ref="AO80" si="1001">O80/$G80</f>
        <v>#DIV/0!</v>
      </c>
      <c r="AP80" s="48" t="e">
        <f t="shared" ref="AP80" si="1002">P80/$G80</f>
        <v>#DIV/0!</v>
      </c>
      <c r="AQ80" s="48" t="e">
        <f t="shared" ref="AQ80" si="1003">Q80/$G80</f>
        <v>#DIV/0!</v>
      </c>
      <c r="AR80" s="48" t="e">
        <f t="shared" ref="AR80" si="1004">R80/$G80</f>
        <v>#DIV/0!</v>
      </c>
      <c r="AS80" s="48" t="e">
        <f t="shared" ref="AS80" si="1005">S80/$G80</f>
        <v>#DIV/0!</v>
      </c>
      <c r="AT80" s="48" t="e">
        <f t="shared" ref="AT80" si="1006">T80/$G80</f>
        <v>#DIV/0!</v>
      </c>
      <c r="AU80" s="48" t="e">
        <f t="shared" ref="AU80" si="1007">U80/$G80</f>
        <v>#DIV/0!</v>
      </c>
      <c r="AV80" s="46"/>
      <c r="AW80" s="44" t="e">
        <f t="shared" si="460"/>
        <v>#DIV/0!</v>
      </c>
      <c r="AX80" s="44" t="e">
        <f t="shared" si="461"/>
        <v>#DIV/0!</v>
      </c>
      <c r="AY80" s="44" t="e">
        <f t="shared" si="462"/>
        <v>#DIV/0!</v>
      </c>
      <c r="AZ80" s="44" t="e">
        <f t="shared" si="463"/>
        <v>#DIV/0!</v>
      </c>
      <c r="BA80" s="44" t="e">
        <f t="shared" si="464"/>
        <v>#DIV/0!</v>
      </c>
      <c r="BB80" s="44" t="e">
        <f t="shared" si="465"/>
        <v>#DIV/0!</v>
      </c>
      <c r="BC80" s="44" t="e">
        <f t="shared" si="466"/>
        <v>#DIV/0!</v>
      </c>
      <c r="BD80" s="44" t="e">
        <f t="shared" si="467"/>
        <v>#DIV/0!</v>
      </c>
      <c r="BE80" s="44" t="e">
        <f t="shared" si="468"/>
        <v>#DIV/0!</v>
      </c>
      <c r="BF80" s="44" t="e">
        <f t="shared" si="469"/>
        <v>#DIV/0!</v>
      </c>
      <c r="BG80" s="44" t="e">
        <f t="shared" si="470"/>
        <v>#DIV/0!</v>
      </c>
      <c r="BH80" s="44" t="e">
        <f t="shared" si="471"/>
        <v>#DIV/0!</v>
      </c>
      <c r="BI80" s="44" t="e">
        <f t="shared" si="472"/>
        <v>#DIV/0!</v>
      </c>
      <c r="BJ80" s="44" t="e">
        <f t="shared" si="473"/>
        <v>#DIV/0!</v>
      </c>
      <c r="BK80" s="20"/>
      <c r="BL80" s="20" t="e">
        <f>AW80+AW81</f>
        <v>#DIV/0!</v>
      </c>
      <c r="BM80" s="20" t="e">
        <f t="shared" ref="BM80" si="1008">AX80+AX81</f>
        <v>#DIV/0!</v>
      </c>
      <c r="BN80" s="20" t="e">
        <f t="shared" ref="BN80" si="1009">AY80+AY81</f>
        <v>#DIV/0!</v>
      </c>
      <c r="BO80" s="20" t="e">
        <f t="shared" ref="BO80" si="1010">AZ80+AZ81</f>
        <v>#DIV/0!</v>
      </c>
      <c r="BP80" s="20" t="e">
        <f t="shared" ref="BP80" si="1011">BA80+BA81</f>
        <v>#DIV/0!</v>
      </c>
      <c r="BQ80" s="20" t="e">
        <f t="shared" ref="BQ80" si="1012">BB80+BB81</f>
        <v>#DIV/0!</v>
      </c>
      <c r="BR80" s="20" t="e">
        <f t="shared" ref="BR80" si="1013">BC80+BC81</f>
        <v>#DIV/0!</v>
      </c>
      <c r="BS80" s="20" t="e">
        <f t="shared" ref="BS80" si="1014">BD80+BD81</f>
        <v>#DIV/0!</v>
      </c>
      <c r="BT80" s="20" t="e">
        <f t="shared" ref="BT80" si="1015">BE80+BE81</f>
        <v>#DIV/0!</v>
      </c>
      <c r="BU80" s="20" t="e">
        <f t="shared" ref="BU80" si="1016">BF80+BF81</f>
        <v>#DIV/0!</v>
      </c>
      <c r="BV80" s="20" t="e">
        <f t="shared" ref="BV80" si="1017">BG80+BG81</f>
        <v>#DIV/0!</v>
      </c>
      <c r="BW80" s="20" t="e">
        <f t="shared" ref="BW80" si="1018">BH80+BH81</f>
        <v>#DIV/0!</v>
      </c>
      <c r="BX80" s="20" t="e">
        <f t="shared" ref="BX80" si="1019">BI80+BI81</f>
        <v>#DIV/0!</v>
      </c>
      <c r="BY80" s="20"/>
      <c r="BZ80" s="31"/>
      <c r="CA80" s="34"/>
      <c r="CB80" s="45"/>
      <c r="CC80" s="49"/>
      <c r="CD80" s="99"/>
      <c r="CE80" s="49"/>
      <c r="CF80" s="99"/>
      <c r="CG80" s="49"/>
      <c r="CH80" s="99"/>
      <c r="CI80" s="49"/>
      <c r="CJ80" s="99"/>
      <c r="CK80" s="49"/>
      <c r="CL80" s="99"/>
      <c r="CM80" s="49"/>
      <c r="CN80" s="99"/>
      <c r="CO80" s="49"/>
      <c r="CP80" s="249"/>
    </row>
    <row r="81" spans="3:94" x14ac:dyDescent="0.25">
      <c r="C81" s="267"/>
      <c r="D81" s="70"/>
      <c r="E81" s="67"/>
      <c r="F81" s="67"/>
      <c r="G81" s="67"/>
      <c r="H81" s="6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66"/>
      <c r="Y81" s="65"/>
      <c r="Z81" s="67"/>
      <c r="AA81" s="246" t="e">
        <f t="shared" si="558"/>
        <v>#DIV/0!</v>
      </c>
      <c r="AB81" s="67"/>
      <c r="AC81" s="247"/>
      <c r="AD81" s="80" t="e">
        <f>AA81*AC81</f>
        <v>#DIV/0!</v>
      </c>
      <c r="AE81" s="247" t="e">
        <f t="shared" si="500"/>
        <v>#DIV/0!</v>
      </c>
      <c r="AF81" s="67"/>
      <c r="AH81" s="248" t="e">
        <f t="shared" ref="AH81:AU81" si="1020">AH80</f>
        <v>#DIV/0!</v>
      </c>
      <c r="AI81" s="248" t="e">
        <f t="shared" si="1020"/>
        <v>#DIV/0!</v>
      </c>
      <c r="AJ81" s="248" t="e">
        <f t="shared" si="1020"/>
        <v>#DIV/0!</v>
      </c>
      <c r="AK81" s="248" t="e">
        <f t="shared" si="1020"/>
        <v>#DIV/0!</v>
      </c>
      <c r="AL81" s="248" t="e">
        <f t="shared" si="1020"/>
        <v>#DIV/0!</v>
      </c>
      <c r="AM81" s="248" t="e">
        <f t="shared" si="1020"/>
        <v>#DIV/0!</v>
      </c>
      <c r="AN81" s="248" t="e">
        <f t="shared" si="1020"/>
        <v>#DIV/0!</v>
      </c>
      <c r="AO81" s="248" t="e">
        <f t="shared" si="1020"/>
        <v>#DIV/0!</v>
      </c>
      <c r="AP81" s="248" t="e">
        <f t="shared" si="1020"/>
        <v>#DIV/0!</v>
      </c>
      <c r="AQ81" s="248" t="e">
        <f t="shared" si="1020"/>
        <v>#DIV/0!</v>
      </c>
      <c r="AR81" s="248" t="e">
        <f t="shared" si="1020"/>
        <v>#DIV/0!</v>
      </c>
      <c r="AS81" s="248" t="e">
        <f t="shared" si="1020"/>
        <v>#DIV/0!</v>
      </c>
      <c r="AT81" s="248" t="e">
        <f t="shared" si="1020"/>
        <v>#DIV/0!</v>
      </c>
      <c r="AU81" s="248" t="e">
        <f t="shared" si="1020"/>
        <v>#DIV/0!</v>
      </c>
      <c r="AV81" s="46"/>
      <c r="AW81" s="44" t="e">
        <f t="shared" si="460"/>
        <v>#DIV/0!</v>
      </c>
      <c r="AX81" s="44" t="e">
        <f t="shared" si="461"/>
        <v>#DIV/0!</v>
      </c>
      <c r="AY81" s="44" t="e">
        <f t="shared" si="462"/>
        <v>#DIV/0!</v>
      </c>
      <c r="AZ81" s="44" t="e">
        <f t="shared" si="463"/>
        <v>#DIV/0!</v>
      </c>
      <c r="BA81" s="44" t="e">
        <f t="shared" si="464"/>
        <v>#DIV/0!</v>
      </c>
      <c r="BB81" s="44" t="e">
        <f t="shared" si="465"/>
        <v>#DIV/0!</v>
      </c>
      <c r="BC81" s="44" t="e">
        <f t="shared" si="466"/>
        <v>#DIV/0!</v>
      </c>
      <c r="BD81" s="44" t="e">
        <f t="shared" si="467"/>
        <v>#DIV/0!</v>
      </c>
      <c r="BE81" s="44" t="e">
        <f t="shared" si="468"/>
        <v>#DIV/0!</v>
      </c>
      <c r="BF81" s="44" t="e">
        <f t="shared" si="469"/>
        <v>#DIV/0!</v>
      </c>
      <c r="BG81" s="44" t="e">
        <f t="shared" si="470"/>
        <v>#DIV/0!</v>
      </c>
      <c r="BH81" s="44" t="e">
        <f t="shared" si="471"/>
        <v>#DIV/0!</v>
      </c>
      <c r="BI81" s="44" t="e">
        <f t="shared" si="472"/>
        <v>#DIV/0!</v>
      </c>
      <c r="BJ81" s="44" t="e">
        <f t="shared" si="473"/>
        <v>#DIV/0!</v>
      </c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31"/>
      <c r="CA81" s="34"/>
      <c r="CB81" s="45"/>
      <c r="CC81" s="49"/>
      <c r="CD81" s="99"/>
      <c r="CE81" s="49"/>
      <c r="CF81" s="99"/>
      <c r="CG81" s="49"/>
      <c r="CH81" s="99"/>
      <c r="CI81" s="49"/>
      <c r="CJ81" s="99"/>
      <c r="CK81" s="49"/>
      <c r="CL81" s="99"/>
      <c r="CM81" s="49"/>
      <c r="CN81" s="99"/>
      <c r="CO81" s="49"/>
      <c r="CP81" s="249"/>
    </row>
    <row r="82" spans="3:94" x14ac:dyDescent="0.25">
      <c r="C82" s="50"/>
      <c r="D82" s="69" t="s">
        <v>40</v>
      </c>
      <c r="E82" s="31"/>
      <c r="F82" s="31"/>
      <c r="G82" s="31"/>
      <c r="H82" s="45"/>
      <c r="W82" s="46"/>
      <c r="Y82" s="45"/>
      <c r="Z82" s="31"/>
      <c r="AA82" s="250" t="e">
        <f t="shared" si="558"/>
        <v>#DIV/0!</v>
      </c>
      <c r="AB82" s="31"/>
      <c r="AC82" s="20"/>
      <c r="AD82" s="81" t="e">
        <f t="shared" ref="AD82" si="1021">AA82*AC82</f>
        <v>#DIV/0!</v>
      </c>
      <c r="AE82" s="20" t="e">
        <f t="shared" si="500"/>
        <v>#DIV/0!</v>
      </c>
      <c r="AF82" s="31"/>
      <c r="AG82" s="20" t="e">
        <f>AE82+AE83</f>
        <v>#DIV/0!</v>
      </c>
      <c r="AH82" s="48" t="e">
        <f t="shared" ref="AH82" si="1022">H82/$G82</f>
        <v>#DIV/0!</v>
      </c>
      <c r="AI82" s="48" t="e">
        <f t="shared" ref="AI82" si="1023">I82/$G82</f>
        <v>#DIV/0!</v>
      </c>
      <c r="AJ82" s="48" t="e">
        <f t="shared" ref="AJ82" si="1024">J82/$G82</f>
        <v>#DIV/0!</v>
      </c>
      <c r="AK82" s="48" t="e">
        <f t="shared" ref="AK82" si="1025">K82/$G82</f>
        <v>#DIV/0!</v>
      </c>
      <c r="AL82" s="48" t="e">
        <f t="shared" ref="AL82" si="1026">L82/$G82</f>
        <v>#DIV/0!</v>
      </c>
      <c r="AM82" s="48" t="e">
        <f t="shared" ref="AM82" si="1027">M82/$G82</f>
        <v>#DIV/0!</v>
      </c>
      <c r="AN82" s="48" t="e">
        <f t="shared" ref="AN82" si="1028">N82/$G82</f>
        <v>#DIV/0!</v>
      </c>
      <c r="AO82" s="48" t="e">
        <f t="shared" ref="AO82" si="1029">O82/$G82</f>
        <v>#DIV/0!</v>
      </c>
      <c r="AP82" s="48" t="e">
        <f t="shared" ref="AP82" si="1030">P82/$G82</f>
        <v>#DIV/0!</v>
      </c>
      <c r="AQ82" s="48" t="e">
        <f t="shared" ref="AQ82" si="1031">Q82/$G82</f>
        <v>#DIV/0!</v>
      </c>
      <c r="AR82" s="48" t="e">
        <f t="shared" ref="AR82" si="1032">R82/$G82</f>
        <v>#DIV/0!</v>
      </c>
      <c r="AS82" s="48" t="e">
        <f t="shared" ref="AS82" si="1033">S82/$G82</f>
        <v>#DIV/0!</v>
      </c>
      <c r="AT82" s="48" t="e">
        <f t="shared" ref="AT82" si="1034">T82/$G82</f>
        <v>#DIV/0!</v>
      </c>
      <c r="AU82" s="48" t="e">
        <f t="shared" ref="AU82" si="1035">U82/$G82</f>
        <v>#DIV/0!</v>
      </c>
      <c r="AV82" s="46"/>
      <c r="AW82" s="44" t="e">
        <f t="shared" si="460"/>
        <v>#DIV/0!</v>
      </c>
      <c r="AX82" s="44" t="e">
        <f t="shared" si="461"/>
        <v>#DIV/0!</v>
      </c>
      <c r="AY82" s="44" t="e">
        <f t="shared" si="462"/>
        <v>#DIV/0!</v>
      </c>
      <c r="AZ82" s="44" t="e">
        <f t="shared" si="463"/>
        <v>#DIV/0!</v>
      </c>
      <c r="BA82" s="44" t="e">
        <f t="shared" si="464"/>
        <v>#DIV/0!</v>
      </c>
      <c r="BB82" s="44" t="e">
        <f t="shared" si="465"/>
        <v>#DIV/0!</v>
      </c>
      <c r="BC82" s="44" t="e">
        <f t="shared" si="466"/>
        <v>#DIV/0!</v>
      </c>
      <c r="BD82" s="44" t="e">
        <f t="shared" si="467"/>
        <v>#DIV/0!</v>
      </c>
      <c r="BE82" s="44" t="e">
        <f t="shared" si="468"/>
        <v>#DIV/0!</v>
      </c>
      <c r="BF82" s="44" t="e">
        <f t="shared" si="469"/>
        <v>#DIV/0!</v>
      </c>
      <c r="BG82" s="44" t="e">
        <f t="shared" si="470"/>
        <v>#DIV/0!</v>
      </c>
      <c r="BH82" s="44" t="e">
        <f t="shared" si="471"/>
        <v>#DIV/0!</v>
      </c>
      <c r="BI82" s="44" t="e">
        <f t="shared" si="472"/>
        <v>#DIV/0!</v>
      </c>
      <c r="BJ82" s="44" t="e">
        <f t="shared" si="473"/>
        <v>#DIV/0!</v>
      </c>
      <c r="BK82" s="20"/>
      <c r="BL82" s="20" t="e">
        <f>AW82+AW83</f>
        <v>#DIV/0!</v>
      </c>
      <c r="BM82" s="20" t="e">
        <f t="shared" ref="BM82" si="1036">AX82+AX83</f>
        <v>#DIV/0!</v>
      </c>
      <c r="BN82" s="20" t="e">
        <f t="shared" ref="BN82" si="1037">AY82+AY83</f>
        <v>#DIV/0!</v>
      </c>
      <c r="BO82" s="20" t="e">
        <f t="shared" ref="BO82" si="1038">AZ82+AZ83</f>
        <v>#DIV/0!</v>
      </c>
      <c r="BP82" s="20" t="e">
        <f t="shared" ref="BP82" si="1039">BA82+BA83</f>
        <v>#DIV/0!</v>
      </c>
      <c r="BQ82" s="20" t="e">
        <f t="shared" ref="BQ82" si="1040">BB82+BB83</f>
        <v>#DIV/0!</v>
      </c>
      <c r="BR82" s="20" t="e">
        <f t="shared" ref="BR82" si="1041">BC82+BC83</f>
        <v>#DIV/0!</v>
      </c>
      <c r="BS82" s="20" t="e">
        <f t="shared" ref="BS82" si="1042">BD82+BD83</f>
        <v>#DIV/0!</v>
      </c>
      <c r="BT82" s="20" t="e">
        <f t="shared" ref="BT82" si="1043">BE82+BE83</f>
        <v>#DIV/0!</v>
      </c>
      <c r="BU82" s="20" t="e">
        <f t="shared" ref="BU82" si="1044">BF82+BF83</f>
        <v>#DIV/0!</v>
      </c>
      <c r="BV82" s="20" t="e">
        <f t="shared" ref="BV82" si="1045">BG82+BG83</f>
        <v>#DIV/0!</v>
      </c>
      <c r="BW82" s="20" t="e">
        <f t="shared" ref="BW82" si="1046">BH82+BH83</f>
        <v>#DIV/0!</v>
      </c>
      <c r="BX82" s="20" t="e">
        <f t="shared" ref="BX82" si="1047">BI82+BI83</f>
        <v>#DIV/0!</v>
      </c>
      <c r="BY82" s="20"/>
      <c r="BZ82" s="31"/>
      <c r="CA82" s="34"/>
      <c r="CB82" s="45"/>
      <c r="CC82" s="49"/>
      <c r="CD82" s="99"/>
      <c r="CE82" s="49"/>
      <c r="CF82" s="99"/>
      <c r="CG82" s="49"/>
      <c r="CH82" s="99"/>
      <c r="CI82" s="49"/>
      <c r="CJ82" s="99"/>
      <c r="CK82" s="49"/>
      <c r="CL82" s="99"/>
      <c r="CM82" s="49"/>
      <c r="CN82" s="99"/>
      <c r="CO82" s="49"/>
      <c r="CP82" s="249"/>
    </row>
    <row r="83" spans="3:94" x14ac:dyDescent="0.25">
      <c r="C83" s="267"/>
      <c r="D83" s="70"/>
      <c r="E83" s="67"/>
      <c r="F83" s="67"/>
      <c r="G83" s="67"/>
      <c r="H83" s="6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66"/>
      <c r="Y83" s="65"/>
      <c r="Z83" s="67"/>
      <c r="AA83" s="246" t="e">
        <f t="shared" si="558"/>
        <v>#DIV/0!</v>
      </c>
      <c r="AB83" s="67"/>
      <c r="AC83" s="247"/>
      <c r="AD83" s="80" t="e">
        <f>AA83*AC83</f>
        <v>#DIV/0!</v>
      </c>
      <c r="AE83" s="247" t="e">
        <f t="shared" si="500"/>
        <v>#DIV/0!</v>
      </c>
      <c r="AF83" s="67"/>
      <c r="AH83" s="248" t="e">
        <f t="shared" ref="AH83:AU83" si="1048">AH82</f>
        <v>#DIV/0!</v>
      </c>
      <c r="AI83" s="248" t="e">
        <f t="shared" si="1048"/>
        <v>#DIV/0!</v>
      </c>
      <c r="AJ83" s="248" t="e">
        <f t="shared" si="1048"/>
        <v>#DIV/0!</v>
      </c>
      <c r="AK83" s="248" t="e">
        <f t="shared" si="1048"/>
        <v>#DIV/0!</v>
      </c>
      <c r="AL83" s="248" t="e">
        <f t="shared" si="1048"/>
        <v>#DIV/0!</v>
      </c>
      <c r="AM83" s="248" t="e">
        <f t="shared" si="1048"/>
        <v>#DIV/0!</v>
      </c>
      <c r="AN83" s="248" t="e">
        <f t="shared" si="1048"/>
        <v>#DIV/0!</v>
      </c>
      <c r="AO83" s="248" t="e">
        <f t="shared" si="1048"/>
        <v>#DIV/0!</v>
      </c>
      <c r="AP83" s="248" t="e">
        <f t="shared" si="1048"/>
        <v>#DIV/0!</v>
      </c>
      <c r="AQ83" s="248" t="e">
        <f t="shared" si="1048"/>
        <v>#DIV/0!</v>
      </c>
      <c r="AR83" s="248" t="e">
        <f t="shared" si="1048"/>
        <v>#DIV/0!</v>
      </c>
      <c r="AS83" s="248" t="e">
        <f t="shared" si="1048"/>
        <v>#DIV/0!</v>
      </c>
      <c r="AT83" s="248" t="e">
        <f t="shared" si="1048"/>
        <v>#DIV/0!</v>
      </c>
      <c r="AU83" s="248" t="e">
        <f t="shared" si="1048"/>
        <v>#DIV/0!</v>
      </c>
      <c r="AV83" s="46"/>
      <c r="AW83" s="44" t="e">
        <f t="shared" si="460"/>
        <v>#DIV/0!</v>
      </c>
      <c r="AX83" s="44" t="e">
        <f t="shared" si="461"/>
        <v>#DIV/0!</v>
      </c>
      <c r="AY83" s="44" t="e">
        <f t="shared" si="462"/>
        <v>#DIV/0!</v>
      </c>
      <c r="AZ83" s="44" t="e">
        <f t="shared" si="463"/>
        <v>#DIV/0!</v>
      </c>
      <c r="BA83" s="44" t="e">
        <f t="shared" si="464"/>
        <v>#DIV/0!</v>
      </c>
      <c r="BB83" s="44" t="e">
        <f t="shared" si="465"/>
        <v>#DIV/0!</v>
      </c>
      <c r="BC83" s="44" t="e">
        <f t="shared" si="466"/>
        <v>#DIV/0!</v>
      </c>
      <c r="BD83" s="44" t="e">
        <f t="shared" si="467"/>
        <v>#DIV/0!</v>
      </c>
      <c r="BE83" s="44" t="e">
        <f t="shared" si="468"/>
        <v>#DIV/0!</v>
      </c>
      <c r="BF83" s="44" t="e">
        <f t="shared" si="469"/>
        <v>#DIV/0!</v>
      </c>
      <c r="BG83" s="44" t="e">
        <f t="shared" si="470"/>
        <v>#DIV/0!</v>
      </c>
      <c r="BH83" s="44" t="e">
        <f t="shared" si="471"/>
        <v>#DIV/0!</v>
      </c>
      <c r="BI83" s="44" t="e">
        <f t="shared" si="472"/>
        <v>#DIV/0!</v>
      </c>
      <c r="BJ83" s="44" t="e">
        <f t="shared" si="473"/>
        <v>#DIV/0!</v>
      </c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31"/>
      <c r="CA83" s="34"/>
      <c r="CB83" s="45"/>
      <c r="CC83" s="49"/>
      <c r="CD83" s="99"/>
      <c r="CE83" s="49"/>
      <c r="CF83" s="99"/>
      <c r="CG83" s="49"/>
      <c r="CH83" s="99"/>
      <c r="CI83" s="49"/>
      <c r="CJ83" s="99"/>
      <c r="CK83" s="49"/>
      <c r="CL83" s="99"/>
      <c r="CM83" s="49"/>
      <c r="CN83" s="99"/>
      <c r="CO83" s="49"/>
      <c r="CP83" s="249"/>
    </row>
    <row r="84" spans="3:94" x14ac:dyDescent="0.25">
      <c r="C84" s="50"/>
      <c r="D84" s="69" t="s">
        <v>40</v>
      </c>
      <c r="E84" s="31"/>
      <c r="F84" s="31"/>
      <c r="G84" s="31"/>
      <c r="H84" s="45"/>
      <c r="W84" s="46"/>
      <c r="Y84" s="45"/>
      <c r="Z84" s="31"/>
      <c r="AA84" s="250" t="e">
        <f t="shared" si="558"/>
        <v>#DIV/0!</v>
      </c>
      <c r="AB84" s="31"/>
      <c r="AC84" s="20"/>
      <c r="AD84" s="81" t="e">
        <f t="shared" ref="AD84" si="1049">AA84*AC84</f>
        <v>#DIV/0!</v>
      </c>
      <c r="AE84" s="20" t="e">
        <f t="shared" si="500"/>
        <v>#DIV/0!</v>
      </c>
      <c r="AF84" s="31"/>
      <c r="AG84" s="20" t="e">
        <f>AE84+AE85</f>
        <v>#DIV/0!</v>
      </c>
      <c r="AH84" s="48" t="e">
        <f t="shared" ref="AH84" si="1050">H84/$G84</f>
        <v>#DIV/0!</v>
      </c>
      <c r="AI84" s="48" t="e">
        <f t="shared" ref="AI84" si="1051">I84/$G84</f>
        <v>#DIV/0!</v>
      </c>
      <c r="AJ84" s="48" t="e">
        <f t="shared" ref="AJ84" si="1052">J84/$G84</f>
        <v>#DIV/0!</v>
      </c>
      <c r="AK84" s="48" t="e">
        <f t="shared" ref="AK84" si="1053">K84/$G84</f>
        <v>#DIV/0!</v>
      </c>
      <c r="AL84" s="48" t="e">
        <f t="shared" ref="AL84" si="1054">L84/$G84</f>
        <v>#DIV/0!</v>
      </c>
      <c r="AM84" s="48" t="e">
        <f t="shared" ref="AM84" si="1055">M84/$G84</f>
        <v>#DIV/0!</v>
      </c>
      <c r="AN84" s="48" t="e">
        <f t="shared" ref="AN84" si="1056">N84/$G84</f>
        <v>#DIV/0!</v>
      </c>
      <c r="AO84" s="48" t="e">
        <f t="shared" ref="AO84" si="1057">O84/$G84</f>
        <v>#DIV/0!</v>
      </c>
      <c r="AP84" s="48" t="e">
        <f t="shared" ref="AP84" si="1058">P84/$G84</f>
        <v>#DIV/0!</v>
      </c>
      <c r="AQ84" s="48" t="e">
        <f t="shared" ref="AQ84" si="1059">Q84/$G84</f>
        <v>#DIV/0!</v>
      </c>
      <c r="AR84" s="48" t="e">
        <f t="shared" ref="AR84" si="1060">R84/$G84</f>
        <v>#DIV/0!</v>
      </c>
      <c r="AS84" s="48" t="e">
        <f t="shared" ref="AS84" si="1061">S84/$G84</f>
        <v>#DIV/0!</v>
      </c>
      <c r="AT84" s="48" t="e">
        <f t="shared" ref="AT84" si="1062">T84/$G84</f>
        <v>#DIV/0!</v>
      </c>
      <c r="AU84" s="48" t="e">
        <f t="shared" ref="AU84" si="1063">U84/$G84</f>
        <v>#DIV/0!</v>
      </c>
      <c r="AV84" s="46"/>
      <c r="AW84" s="44" t="e">
        <f t="shared" si="460"/>
        <v>#DIV/0!</v>
      </c>
      <c r="AX84" s="44" t="e">
        <f t="shared" si="461"/>
        <v>#DIV/0!</v>
      </c>
      <c r="AY84" s="44" t="e">
        <f t="shared" si="462"/>
        <v>#DIV/0!</v>
      </c>
      <c r="AZ84" s="44" t="e">
        <f t="shared" si="463"/>
        <v>#DIV/0!</v>
      </c>
      <c r="BA84" s="44" t="e">
        <f t="shared" si="464"/>
        <v>#DIV/0!</v>
      </c>
      <c r="BB84" s="44" t="e">
        <f t="shared" si="465"/>
        <v>#DIV/0!</v>
      </c>
      <c r="BC84" s="44" t="e">
        <f t="shared" si="466"/>
        <v>#DIV/0!</v>
      </c>
      <c r="BD84" s="44" t="e">
        <f t="shared" si="467"/>
        <v>#DIV/0!</v>
      </c>
      <c r="BE84" s="44" t="e">
        <f t="shared" si="468"/>
        <v>#DIV/0!</v>
      </c>
      <c r="BF84" s="44" t="e">
        <f t="shared" si="469"/>
        <v>#DIV/0!</v>
      </c>
      <c r="BG84" s="44" t="e">
        <f t="shared" si="470"/>
        <v>#DIV/0!</v>
      </c>
      <c r="BH84" s="44" t="e">
        <f t="shared" si="471"/>
        <v>#DIV/0!</v>
      </c>
      <c r="BI84" s="44" t="e">
        <f t="shared" si="472"/>
        <v>#DIV/0!</v>
      </c>
      <c r="BJ84" s="44" t="e">
        <f t="shared" si="473"/>
        <v>#DIV/0!</v>
      </c>
      <c r="BK84" s="20"/>
      <c r="BL84" s="20" t="e">
        <f>AW84+AW85</f>
        <v>#DIV/0!</v>
      </c>
      <c r="BM84" s="20" t="e">
        <f t="shared" ref="BM84" si="1064">AX84+AX85</f>
        <v>#DIV/0!</v>
      </c>
      <c r="BN84" s="20" t="e">
        <f t="shared" ref="BN84" si="1065">AY84+AY85</f>
        <v>#DIV/0!</v>
      </c>
      <c r="BO84" s="20" t="e">
        <f t="shared" ref="BO84" si="1066">AZ84+AZ85</f>
        <v>#DIV/0!</v>
      </c>
      <c r="BP84" s="20" t="e">
        <f t="shared" ref="BP84" si="1067">BA84+BA85</f>
        <v>#DIV/0!</v>
      </c>
      <c r="BQ84" s="20" t="e">
        <f t="shared" ref="BQ84" si="1068">BB84+BB85</f>
        <v>#DIV/0!</v>
      </c>
      <c r="BR84" s="20" t="e">
        <f t="shared" ref="BR84" si="1069">BC84+BC85</f>
        <v>#DIV/0!</v>
      </c>
      <c r="BS84" s="20" t="e">
        <f t="shared" ref="BS84" si="1070">BD84+BD85</f>
        <v>#DIV/0!</v>
      </c>
      <c r="BT84" s="20" t="e">
        <f t="shared" ref="BT84" si="1071">BE84+BE85</f>
        <v>#DIV/0!</v>
      </c>
      <c r="BU84" s="20" t="e">
        <f t="shared" ref="BU84" si="1072">BF84+BF85</f>
        <v>#DIV/0!</v>
      </c>
      <c r="BV84" s="20" t="e">
        <f t="shared" ref="BV84" si="1073">BG84+BG85</f>
        <v>#DIV/0!</v>
      </c>
      <c r="BW84" s="20" t="e">
        <f t="shared" ref="BW84" si="1074">BH84+BH85</f>
        <v>#DIV/0!</v>
      </c>
      <c r="BX84" s="20" t="e">
        <f t="shared" ref="BX84" si="1075">BI84+BI85</f>
        <v>#DIV/0!</v>
      </c>
      <c r="BY84" s="20"/>
      <c r="BZ84" s="31"/>
      <c r="CA84" s="34"/>
      <c r="CB84" s="45"/>
      <c r="CC84" s="49"/>
      <c r="CD84" s="99"/>
      <c r="CE84" s="49"/>
      <c r="CF84" s="99"/>
      <c r="CG84" s="49"/>
      <c r="CH84" s="99"/>
      <c r="CI84" s="49"/>
      <c r="CJ84" s="99"/>
      <c r="CK84" s="49"/>
      <c r="CL84" s="99"/>
      <c r="CM84" s="49"/>
      <c r="CN84" s="99"/>
      <c r="CO84" s="49"/>
      <c r="CP84" s="249"/>
    </row>
    <row r="85" spans="3:94" ht="16.5" thickBot="1" x14ac:dyDescent="0.3">
      <c r="C85" s="251"/>
      <c r="D85" s="252"/>
      <c r="E85" s="253"/>
      <c r="F85" s="253"/>
      <c r="G85" s="253"/>
      <c r="H85" s="254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6"/>
      <c r="X85" s="119"/>
      <c r="Y85" s="254"/>
      <c r="Z85" s="253"/>
      <c r="AA85" s="257" t="e">
        <f t="shared" si="558"/>
        <v>#DIV/0!</v>
      </c>
      <c r="AB85" s="253"/>
      <c r="AC85" s="258"/>
      <c r="AD85" s="259" t="e">
        <f>AA85*AC85</f>
        <v>#DIV/0!</v>
      </c>
      <c r="AE85" s="258" t="e">
        <f t="shared" si="500"/>
        <v>#DIV/0!</v>
      </c>
      <c r="AF85" s="253"/>
      <c r="AG85" s="119"/>
      <c r="AH85" s="260" t="e">
        <f t="shared" ref="AH85:AU85" si="1076">AH84</f>
        <v>#DIV/0!</v>
      </c>
      <c r="AI85" s="260" t="e">
        <f t="shared" si="1076"/>
        <v>#DIV/0!</v>
      </c>
      <c r="AJ85" s="260" t="e">
        <f t="shared" si="1076"/>
        <v>#DIV/0!</v>
      </c>
      <c r="AK85" s="260" t="e">
        <f t="shared" si="1076"/>
        <v>#DIV/0!</v>
      </c>
      <c r="AL85" s="260" t="e">
        <f t="shared" si="1076"/>
        <v>#DIV/0!</v>
      </c>
      <c r="AM85" s="260" t="e">
        <f t="shared" si="1076"/>
        <v>#DIV/0!</v>
      </c>
      <c r="AN85" s="260" t="e">
        <f t="shared" si="1076"/>
        <v>#DIV/0!</v>
      </c>
      <c r="AO85" s="260" t="e">
        <f t="shared" si="1076"/>
        <v>#DIV/0!</v>
      </c>
      <c r="AP85" s="260" t="e">
        <f t="shared" si="1076"/>
        <v>#DIV/0!</v>
      </c>
      <c r="AQ85" s="260" t="e">
        <f t="shared" si="1076"/>
        <v>#DIV/0!</v>
      </c>
      <c r="AR85" s="260" t="e">
        <f t="shared" si="1076"/>
        <v>#DIV/0!</v>
      </c>
      <c r="AS85" s="260" t="e">
        <f t="shared" si="1076"/>
        <v>#DIV/0!</v>
      </c>
      <c r="AT85" s="260" t="e">
        <f t="shared" si="1076"/>
        <v>#DIV/0!</v>
      </c>
      <c r="AU85" s="260" t="e">
        <f t="shared" si="1076"/>
        <v>#DIV/0!</v>
      </c>
      <c r="AV85" s="145"/>
      <c r="AW85" s="261" t="e">
        <f t="shared" si="460"/>
        <v>#DIV/0!</v>
      </c>
      <c r="AX85" s="261" t="e">
        <f t="shared" si="461"/>
        <v>#DIV/0!</v>
      </c>
      <c r="AY85" s="261" t="e">
        <f t="shared" si="462"/>
        <v>#DIV/0!</v>
      </c>
      <c r="AZ85" s="261" t="e">
        <f t="shared" si="463"/>
        <v>#DIV/0!</v>
      </c>
      <c r="BA85" s="261" t="e">
        <f t="shared" si="464"/>
        <v>#DIV/0!</v>
      </c>
      <c r="BB85" s="261" t="e">
        <f t="shared" si="465"/>
        <v>#DIV/0!</v>
      </c>
      <c r="BC85" s="261" t="e">
        <f t="shared" si="466"/>
        <v>#DIV/0!</v>
      </c>
      <c r="BD85" s="261" t="e">
        <f t="shared" si="467"/>
        <v>#DIV/0!</v>
      </c>
      <c r="BE85" s="261" t="e">
        <f t="shared" si="468"/>
        <v>#DIV/0!</v>
      </c>
      <c r="BF85" s="261" t="e">
        <f t="shared" si="469"/>
        <v>#DIV/0!</v>
      </c>
      <c r="BG85" s="261" t="e">
        <f t="shared" si="470"/>
        <v>#DIV/0!</v>
      </c>
      <c r="BH85" s="261" t="e">
        <f t="shared" si="471"/>
        <v>#DIV/0!</v>
      </c>
      <c r="BI85" s="261" t="e">
        <f t="shared" si="472"/>
        <v>#DIV/0!</v>
      </c>
      <c r="BJ85" s="261" t="e">
        <f t="shared" si="473"/>
        <v>#DIV/0!</v>
      </c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143"/>
      <c r="CA85" s="213"/>
      <c r="CB85" s="144"/>
      <c r="CC85" s="263"/>
      <c r="CD85" s="264"/>
      <c r="CE85" s="263"/>
      <c r="CF85" s="264"/>
      <c r="CG85" s="263"/>
      <c r="CH85" s="264"/>
      <c r="CI85" s="263"/>
      <c r="CJ85" s="264"/>
      <c r="CK85" s="263"/>
      <c r="CL85" s="264"/>
      <c r="CM85" s="263"/>
      <c r="CN85" s="264"/>
      <c r="CO85" s="263"/>
      <c r="CP85" s="265"/>
    </row>
    <row r="86" spans="3:94" x14ac:dyDescent="0.25">
      <c r="C86" s="50"/>
      <c r="D86" s="15"/>
      <c r="E86" s="15"/>
    </row>
    <row r="87" spans="3:94" x14ac:dyDescent="0.25">
      <c r="C87" s="50"/>
      <c r="D87" s="15"/>
      <c r="E87" s="15"/>
    </row>
    <row r="88" spans="3:94" x14ac:dyDescent="0.25">
      <c r="C88" s="50"/>
      <c r="D88" s="15"/>
      <c r="E88" s="15"/>
    </row>
    <row r="89" spans="3:94" x14ac:dyDescent="0.25">
      <c r="C89" s="50"/>
    </row>
  </sheetData>
  <mergeCells count="36">
    <mergeCell ref="CK14:CL14"/>
    <mergeCell ref="CM14:CN14"/>
    <mergeCell ref="CO14:CP14"/>
    <mergeCell ref="AH14:AI14"/>
    <mergeCell ref="AJ14:AK14"/>
    <mergeCell ref="AL14:AM14"/>
    <mergeCell ref="AN14:AO14"/>
    <mergeCell ref="AP14:AQ14"/>
    <mergeCell ref="AR14:AS14"/>
    <mergeCell ref="AT14:AU14"/>
    <mergeCell ref="BA14:BB14"/>
    <mergeCell ref="CG14:CH14"/>
    <mergeCell ref="BL14:BM14"/>
    <mergeCell ref="BN14:BO14"/>
    <mergeCell ref="BP14:BQ14"/>
    <mergeCell ref="BG14:BH14"/>
    <mergeCell ref="BI14:BJ14"/>
    <mergeCell ref="CC14:CD14"/>
    <mergeCell ref="CE14:CF14"/>
    <mergeCell ref="CI14:CJ14"/>
    <mergeCell ref="BR14:BS14"/>
    <mergeCell ref="BT14:BU14"/>
    <mergeCell ref="BV14:BW14"/>
    <mergeCell ref="BX14:BY14"/>
    <mergeCell ref="AW14:AX14"/>
    <mergeCell ref="AY14:AZ14"/>
    <mergeCell ref="BC14:BD14"/>
    <mergeCell ref="BE14:BF14"/>
    <mergeCell ref="V14:W14"/>
    <mergeCell ref="H14:I14"/>
    <mergeCell ref="N14:O14"/>
    <mergeCell ref="J14:K14"/>
    <mergeCell ref="T14:U14"/>
    <mergeCell ref="L14:M14"/>
    <mergeCell ref="P14:Q14"/>
    <mergeCell ref="R14:S1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4:W30"/>
  <sheetViews>
    <sheetView zoomScaleNormal="100" workbookViewId="0">
      <selection activeCell="AA22" sqref="AA22"/>
    </sheetView>
  </sheetViews>
  <sheetFormatPr defaultRowHeight="12.75" x14ac:dyDescent="0.2"/>
  <cols>
    <col min="2" max="2" width="14" customWidth="1"/>
    <col min="21" max="21" width="14.83203125" customWidth="1"/>
    <col min="22" max="22" width="4.6640625" customWidth="1"/>
  </cols>
  <sheetData>
    <row r="4" spans="2:23" ht="15.75" x14ac:dyDescent="0.25">
      <c r="B4" s="39"/>
      <c r="C4" s="463" t="s">
        <v>5250</v>
      </c>
      <c r="D4" s="464"/>
      <c r="E4" s="464"/>
      <c r="F4" s="464"/>
      <c r="G4" s="464"/>
      <c r="H4" s="464"/>
      <c r="I4" s="465"/>
      <c r="J4" s="15"/>
      <c r="L4" s="39"/>
      <c r="M4" s="463" t="s">
        <v>5251</v>
      </c>
      <c r="N4" s="464"/>
      <c r="O4" s="464"/>
      <c r="P4" s="464"/>
      <c r="Q4" s="464"/>
      <c r="R4" s="464"/>
      <c r="S4" s="465"/>
      <c r="U4" s="2" t="s">
        <v>5240</v>
      </c>
    </row>
    <row r="5" spans="2:23" ht="15.75" x14ac:dyDescent="0.25">
      <c r="B5" s="122"/>
      <c r="C5" s="218" t="s">
        <v>5233</v>
      </c>
      <c r="D5" s="218" t="s">
        <v>5234</v>
      </c>
      <c r="E5" s="218" t="s">
        <v>5235</v>
      </c>
      <c r="F5" s="218" t="s">
        <v>5236</v>
      </c>
      <c r="G5" s="218" t="s">
        <v>5237</v>
      </c>
      <c r="H5" s="218" t="s">
        <v>5238</v>
      </c>
      <c r="I5" s="218" t="s">
        <v>5239</v>
      </c>
      <c r="J5" s="15"/>
      <c r="L5" s="122"/>
      <c r="M5" s="218" t="s">
        <v>5233</v>
      </c>
      <c r="N5" s="218" t="s">
        <v>5234</v>
      </c>
      <c r="O5" s="218" t="s">
        <v>5235</v>
      </c>
      <c r="P5" s="218" t="s">
        <v>5236</v>
      </c>
      <c r="Q5" s="218" t="s">
        <v>5237</v>
      </c>
      <c r="R5" s="218" t="s">
        <v>5238</v>
      </c>
      <c r="S5" s="218" t="s">
        <v>5239</v>
      </c>
      <c r="U5" s="2" t="s">
        <v>5241</v>
      </c>
      <c r="W5" s="2" t="s">
        <v>5242</v>
      </c>
    </row>
    <row r="6" spans="2:23" ht="15.75" x14ac:dyDescent="0.25">
      <c r="B6" s="219"/>
      <c r="C6" s="220"/>
      <c r="D6" s="220"/>
      <c r="E6" s="220"/>
      <c r="F6" s="220"/>
      <c r="G6" s="220"/>
      <c r="H6" s="220"/>
      <c r="I6" s="220">
        <v>15</v>
      </c>
      <c r="J6" s="15"/>
      <c r="L6" s="219"/>
      <c r="M6" s="220">
        <v>2</v>
      </c>
      <c r="N6" s="220">
        <f t="shared" ref="N6:S6" si="0">M6+1</f>
        <v>3</v>
      </c>
      <c r="O6" s="233">
        <f t="shared" si="0"/>
        <v>4</v>
      </c>
      <c r="P6" s="233">
        <f t="shared" si="0"/>
        <v>5</v>
      </c>
      <c r="Q6" s="233">
        <f t="shared" si="0"/>
        <v>6</v>
      </c>
      <c r="R6" s="220">
        <f t="shared" si="0"/>
        <v>7</v>
      </c>
      <c r="S6" s="220">
        <f t="shared" si="0"/>
        <v>8</v>
      </c>
      <c r="U6" s="1">
        <f ca="1">RANDBETWEEN(0,30)</f>
        <v>25</v>
      </c>
      <c r="W6" s="2">
        <v>2</v>
      </c>
    </row>
    <row r="7" spans="2:23" ht="15.75" x14ac:dyDescent="0.25">
      <c r="B7" s="460"/>
      <c r="C7" s="34"/>
      <c r="D7" s="466"/>
      <c r="E7" s="466"/>
      <c r="F7" s="3"/>
      <c r="G7" s="34"/>
      <c r="H7" s="34"/>
      <c r="I7" s="3"/>
      <c r="J7" s="15"/>
      <c r="L7" s="460">
        <f>B7</f>
        <v>0</v>
      </c>
      <c r="M7" s="34"/>
      <c r="N7" s="466"/>
      <c r="O7" s="472"/>
      <c r="P7" s="234"/>
      <c r="Q7" s="236"/>
      <c r="R7" s="236"/>
      <c r="S7" s="234"/>
      <c r="U7" s="1">
        <f t="shared" ref="U7:U27" ca="1" si="1">RANDBETWEEN(0,30)</f>
        <v>13</v>
      </c>
      <c r="W7" s="2">
        <v>6</v>
      </c>
    </row>
    <row r="8" spans="2:23" ht="15.75" x14ac:dyDescent="0.25">
      <c r="B8" s="461"/>
      <c r="C8" s="221"/>
      <c r="D8" s="467"/>
      <c r="E8" s="467"/>
      <c r="F8" s="221"/>
      <c r="G8" s="221"/>
      <c r="H8" s="221"/>
      <c r="I8" s="34"/>
      <c r="J8" s="15"/>
      <c r="L8" s="461"/>
      <c r="M8" s="221"/>
      <c r="N8" s="467"/>
      <c r="O8" s="473"/>
      <c r="P8" s="235"/>
      <c r="Q8" s="235"/>
      <c r="R8" s="235"/>
      <c r="S8" s="236"/>
      <c r="U8" s="1">
        <f t="shared" ca="1" si="1"/>
        <v>5</v>
      </c>
      <c r="W8" s="2">
        <v>8</v>
      </c>
    </row>
    <row r="9" spans="2:23" ht="15.75" x14ac:dyDescent="0.25">
      <c r="B9" s="462" t="s">
        <v>5259</v>
      </c>
      <c r="C9" s="468"/>
      <c r="D9" s="468"/>
      <c r="E9" s="222"/>
      <c r="F9" s="223"/>
      <c r="G9" s="223"/>
      <c r="H9" s="222"/>
      <c r="I9" s="222"/>
      <c r="J9" s="15"/>
      <c r="L9" s="462" t="str">
        <f>B9</f>
        <v>Deron</v>
      </c>
      <c r="M9" s="468"/>
      <c r="N9" s="468"/>
      <c r="O9" s="236"/>
      <c r="P9" s="235"/>
      <c r="Q9" s="235"/>
      <c r="R9" s="236"/>
      <c r="S9" s="236"/>
      <c r="U9" s="1">
        <f t="shared" ca="1" si="1"/>
        <v>21</v>
      </c>
      <c r="W9" s="2">
        <v>26</v>
      </c>
    </row>
    <row r="10" spans="2:23" ht="15.75" x14ac:dyDescent="0.25">
      <c r="B10" s="461"/>
      <c r="C10" s="467"/>
      <c r="D10" s="467"/>
      <c r="E10" s="223"/>
      <c r="F10" s="223"/>
      <c r="G10" s="223"/>
      <c r="H10" s="223"/>
      <c r="I10" s="223" t="s">
        <v>5256</v>
      </c>
      <c r="J10" s="15"/>
      <c r="L10" s="461"/>
      <c r="M10" s="467"/>
      <c r="N10" s="467"/>
      <c r="O10" s="235"/>
      <c r="P10" s="235"/>
      <c r="Q10" s="235"/>
      <c r="R10" s="235"/>
      <c r="S10" s="235"/>
      <c r="U10" s="1">
        <f t="shared" ca="1" si="1"/>
        <v>13</v>
      </c>
      <c r="W10" s="2">
        <v>25</v>
      </c>
    </row>
    <row r="11" spans="2:23" ht="15.75" x14ac:dyDescent="0.25">
      <c r="B11" s="226"/>
      <c r="C11" s="220">
        <f>I6+1</f>
        <v>16</v>
      </c>
      <c r="D11" s="233">
        <f t="shared" ref="D11:I11" si="2">C11+1</f>
        <v>17</v>
      </c>
      <c r="E11" s="233">
        <f t="shared" si="2"/>
        <v>18</v>
      </c>
      <c r="F11" s="220">
        <f t="shared" si="2"/>
        <v>19</v>
      </c>
      <c r="G11" s="233">
        <f t="shared" si="2"/>
        <v>20</v>
      </c>
      <c r="H11" s="233">
        <f t="shared" si="2"/>
        <v>21</v>
      </c>
      <c r="I11" s="233">
        <f t="shared" si="2"/>
        <v>22</v>
      </c>
      <c r="J11" s="15"/>
      <c r="L11" s="226"/>
      <c r="M11" s="233">
        <f>S6+1</f>
        <v>9</v>
      </c>
      <c r="N11" s="233">
        <f t="shared" ref="N11" si="3">M11+1</f>
        <v>10</v>
      </c>
      <c r="O11" s="233">
        <f t="shared" ref="O11" si="4">N11+1</f>
        <v>11</v>
      </c>
      <c r="P11" s="220">
        <f t="shared" ref="P11" si="5">O11+1</f>
        <v>12</v>
      </c>
      <c r="Q11" s="220">
        <f t="shared" ref="Q11" si="6">P11+1</f>
        <v>13</v>
      </c>
      <c r="R11" s="220">
        <f t="shared" ref="R11" si="7">Q11+1</f>
        <v>14</v>
      </c>
      <c r="S11" s="220">
        <f t="shared" ref="S11" si="8">R11+1</f>
        <v>15</v>
      </c>
      <c r="U11" s="1">
        <f t="shared" ca="1" si="1"/>
        <v>21</v>
      </c>
      <c r="W11" s="2">
        <v>18</v>
      </c>
    </row>
    <row r="12" spans="2:23" ht="15.75" x14ac:dyDescent="0.25">
      <c r="B12" s="460">
        <f>B7</f>
        <v>0</v>
      </c>
      <c r="C12" s="3"/>
      <c r="D12" s="234"/>
      <c r="E12" s="234"/>
      <c r="F12" s="3"/>
      <c r="G12" s="234"/>
      <c r="H12" s="234"/>
      <c r="I12" s="234"/>
      <c r="J12" s="15"/>
      <c r="L12" s="460">
        <f>L7</f>
        <v>0</v>
      </c>
      <c r="M12" s="234"/>
      <c r="N12" s="234"/>
      <c r="O12" s="234"/>
      <c r="P12" s="3"/>
      <c r="Q12" s="3"/>
      <c r="R12" s="234"/>
      <c r="S12" s="234"/>
      <c r="U12" s="1">
        <f t="shared" ca="1" si="1"/>
        <v>21</v>
      </c>
      <c r="W12" s="2">
        <v>25</v>
      </c>
    </row>
    <row r="13" spans="2:23" ht="15.75" x14ac:dyDescent="0.25">
      <c r="B13" s="461"/>
      <c r="C13" s="221"/>
      <c r="D13" s="235"/>
      <c r="E13" s="235"/>
      <c r="F13" s="221"/>
      <c r="G13" s="235"/>
      <c r="H13" s="235" t="s">
        <v>5256</v>
      </c>
      <c r="I13" s="236"/>
      <c r="J13" s="15"/>
      <c r="L13" s="470"/>
      <c r="M13" s="235"/>
      <c r="N13" s="235"/>
      <c r="O13" s="235"/>
      <c r="P13" s="221"/>
      <c r="Q13" s="221"/>
      <c r="R13" s="235"/>
      <c r="S13" s="236"/>
      <c r="U13" s="1">
        <f t="shared" ca="1" si="1"/>
        <v>29</v>
      </c>
      <c r="W13" s="2">
        <v>27</v>
      </c>
    </row>
    <row r="14" spans="2:23" ht="15.75" x14ac:dyDescent="0.25">
      <c r="B14" s="462" t="str">
        <f>B9</f>
        <v>Deron</v>
      </c>
      <c r="C14" s="222"/>
      <c r="D14" s="236"/>
      <c r="E14" s="236"/>
      <c r="F14" s="222"/>
      <c r="G14" s="236"/>
      <c r="H14" s="236"/>
      <c r="I14" s="236"/>
      <c r="J14" s="15"/>
      <c r="L14" s="462" t="str">
        <f>L9</f>
        <v>Deron</v>
      </c>
      <c r="M14" s="236"/>
      <c r="N14" s="236"/>
      <c r="O14" s="236"/>
      <c r="P14" s="222"/>
      <c r="Q14" s="222"/>
      <c r="R14" s="236"/>
      <c r="S14" s="236"/>
      <c r="U14" s="1">
        <f t="shared" ca="1" si="1"/>
        <v>5</v>
      </c>
      <c r="W14" s="2">
        <v>22</v>
      </c>
    </row>
    <row r="15" spans="2:23" ht="15.75" x14ac:dyDescent="0.25">
      <c r="B15" s="461"/>
      <c r="C15" s="223" t="s">
        <v>5256</v>
      </c>
      <c r="D15" s="235"/>
      <c r="E15" s="235"/>
      <c r="F15" s="223"/>
      <c r="G15" s="235"/>
      <c r="H15" s="235"/>
      <c r="I15" s="235" t="s">
        <v>5256</v>
      </c>
      <c r="J15" s="15"/>
      <c r="L15" s="471"/>
      <c r="M15" s="235"/>
      <c r="N15" s="235"/>
      <c r="O15" s="235"/>
      <c r="P15" s="223"/>
      <c r="Q15" s="223"/>
      <c r="R15" s="235"/>
      <c r="S15" s="235"/>
      <c r="U15" s="1">
        <f t="shared" ca="1" si="1"/>
        <v>6</v>
      </c>
      <c r="W15" s="2">
        <v>23</v>
      </c>
    </row>
    <row r="16" spans="2:23" ht="15.75" x14ac:dyDescent="0.25">
      <c r="B16" s="226"/>
      <c r="C16" s="233">
        <f>I11+1</f>
        <v>23</v>
      </c>
      <c r="D16" s="233">
        <f t="shared" ref="D16:I16" si="9">C16+1</f>
        <v>24</v>
      </c>
      <c r="E16" s="220">
        <f t="shared" si="9"/>
        <v>25</v>
      </c>
      <c r="F16" s="352">
        <f t="shared" si="9"/>
        <v>26</v>
      </c>
      <c r="G16" s="220">
        <f t="shared" si="9"/>
        <v>27</v>
      </c>
      <c r="H16" s="233">
        <f t="shared" si="9"/>
        <v>28</v>
      </c>
      <c r="I16" s="233">
        <f t="shared" si="9"/>
        <v>29</v>
      </c>
      <c r="J16" s="15"/>
      <c r="L16" s="226"/>
      <c r="M16" s="220">
        <f>S11+1</f>
        <v>16</v>
      </c>
      <c r="N16" s="220">
        <f t="shared" ref="N16" si="10">M16+1</f>
        <v>17</v>
      </c>
      <c r="O16" s="220">
        <f t="shared" ref="O16" si="11">N16+1</f>
        <v>18</v>
      </c>
      <c r="P16" s="225">
        <f t="shared" ref="P16" si="12">O16+1</f>
        <v>19</v>
      </c>
      <c r="Q16" s="220">
        <f t="shared" ref="Q16" si="13">P16+1</f>
        <v>20</v>
      </c>
      <c r="R16" s="220">
        <f t="shared" ref="R16" si="14">Q16+1</f>
        <v>21</v>
      </c>
      <c r="S16" s="220">
        <f t="shared" ref="S16" si="15">R16+1</f>
        <v>22</v>
      </c>
      <c r="U16" s="1">
        <f t="shared" ca="1" si="1"/>
        <v>13</v>
      </c>
      <c r="W16" s="2">
        <v>19</v>
      </c>
    </row>
    <row r="17" spans="2:23" ht="15.75" x14ac:dyDescent="0.25">
      <c r="B17" s="460">
        <f>B12</f>
        <v>0</v>
      </c>
      <c r="C17" s="234"/>
      <c r="D17" s="234"/>
      <c r="E17" s="3"/>
      <c r="F17" s="234"/>
      <c r="G17" s="3"/>
      <c r="H17" s="234"/>
      <c r="I17" s="234"/>
      <c r="J17" s="15"/>
      <c r="L17" s="460">
        <f>L12</f>
        <v>0</v>
      </c>
      <c r="M17" s="3"/>
      <c r="N17" s="234"/>
      <c r="O17" s="3"/>
      <c r="P17" s="234"/>
      <c r="Q17" s="234"/>
      <c r="R17" s="234"/>
      <c r="S17" s="234"/>
      <c r="U17" s="1">
        <f t="shared" ca="1" si="1"/>
        <v>12</v>
      </c>
      <c r="W17" s="2">
        <v>3</v>
      </c>
    </row>
    <row r="18" spans="2:23" ht="15.75" x14ac:dyDescent="0.25">
      <c r="B18" s="461"/>
      <c r="C18" s="235"/>
      <c r="D18" s="235"/>
      <c r="E18" s="221"/>
      <c r="F18" s="235"/>
      <c r="G18" s="221"/>
      <c r="H18" s="235"/>
      <c r="I18" s="236"/>
      <c r="J18" s="15"/>
      <c r="L18" s="461"/>
      <c r="M18" s="221"/>
      <c r="N18" s="235"/>
      <c r="O18" s="221"/>
      <c r="P18" s="235"/>
      <c r="Q18" s="235"/>
      <c r="R18" s="235"/>
      <c r="S18" s="236"/>
      <c r="U18" s="1">
        <f t="shared" ca="1" si="1"/>
        <v>14</v>
      </c>
      <c r="W18" s="2">
        <v>24</v>
      </c>
    </row>
    <row r="19" spans="2:23" ht="15.75" x14ac:dyDescent="0.25">
      <c r="B19" s="462" t="str">
        <f>B14</f>
        <v>Deron</v>
      </c>
      <c r="C19" s="236"/>
      <c r="D19" s="236"/>
      <c r="E19" s="222"/>
      <c r="F19" s="236"/>
      <c r="G19" s="222"/>
      <c r="H19" s="236"/>
      <c r="I19" s="236"/>
      <c r="J19" s="15"/>
      <c r="L19" s="462" t="str">
        <f>L14</f>
        <v>Deron</v>
      </c>
      <c r="M19" s="222"/>
      <c r="N19" s="236"/>
      <c r="O19" s="222"/>
      <c r="P19" s="236"/>
      <c r="Q19" s="236"/>
      <c r="R19" s="236"/>
      <c r="S19" s="236"/>
      <c r="U19" s="1">
        <f t="shared" ca="1" si="1"/>
        <v>29</v>
      </c>
      <c r="W19" s="2">
        <v>16</v>
      </c>
    </row>
    <row r="20" spans="2:23" ht="15.75" x14ac:dyDescent="0.25">
      <c r="B20" s="461"/>
      <c r="C20" s="235"/>
      <c r="D20" s="235"/>
      <c r="E20" s="223"/>
      <c r="F20" s="235"/>
      <c r="G20" s="223"/>
      <c r="H20" s="235"/>
      <c r="I20" s="235"/>
      <c r="J20" s="15"/>
      <c r="L20" s="461"/>
      <c r="M20" s="223"/>
      <c r="N20" s="235"/>
      <c r="O20" s="223"/>
      <c r="P20" s="235"/>
      <c r="Q20" s="235"/>
      <c r="R20" s="235"/>
      <c r="S20" s="235"/>
      <c r="U20" s="1">
        <f t="shared" ca="1" si="1"/>
        <v>15</v>
      </c>
      <c r="W20" s="2">
        <v>17</v>
      </c>
    </row>
    <row r="21" spans="2:23" ht="15.75" x14ac:dyDescent="0.25">
      <c r="B21" s="226"/>
      <c r="C21" s="233">
        <f>I16+1</f>
        <v>30</v>
      </c>
      <c r="D21" s="233">
        <f t="shared" ref="D21:I21" si="16">C21+1</f>
        <v>31</v>
      </c>
      <c r="E21" s="220">
        <f t="shared" si="16"/>
        <v>32</v>
      </c>
      <c r="F21" s="352">
        <f t="shared" si="16"/>
        <v>33</v>
      </c>
      <c r="G21" s="220">
        <f t="shared" si="16"/>
        <v>34</v>
      </c>
      <c r="H21" s="233">
        <f t="shared" si="16"/>
        <v>35</v>
      </c>
      <c r="I21" s="233">
        <f t="shared" si="16"/>
        <v>36</v>
      </c>
      <c r="J21" s="15"/>
      <c r="L21" s="226"/>
      <c r="M21" s="220">
        <f>S16+1</f>
        <v>23</v>
      </c>
      <c r="N21" s="220">
        <f t="shared" ref="N21" si="17">M21+1</f>
        <v>24</v>
      </c>
      <c r="O21" s="220">
        <f t="shared" ref="O21" si="18">N21+1</f>
        <v>25</v>
      </c>
      <c r="P21" s="225">
        <f t="shared" ref="P21" si="19">O21+1</f>
        <v>26</v>
      </c>
      <c r="Q21" s="220">
        <f t="shared" ref="Q21" si="20">P21+1</f>
        <v>27</v>
      </c>
      <c r="R21" s="220">
        <f t="shared" ref="R21" si="21">Q21+1</f>
        <v>28</v>
      </c>
      <c r="S21" s="220">
        <f t="shared" ref="S21" si="22">R21+1</f>
        <v>29</v>
      </c>
      <c r="U21" s="1">
        <f t="shared" ca="1" si="1"/>
        <v>7</v>
      </c>
      <c r="W21" s="2">
        <v>6</v>
      </c>
    </row>
    <row r="22" spans="2:23" ht="15.75" x14ac:dyDescent="0.25">
      <c r="B22" s="460">
        <f>B17</f>
        <v>0</v>
      </c>
      <c r="C22" s="234"/>
      <c r="D22" s="234"/>
      <c r="E22" s="3"/>
      <c r="F22" s="234"/>
      <c r="G22" s="3"/>
      <c r="H22" s="234"/>
      <c r="I22" s="234"/>
      <c r="J22" s="15"/>
      <c r="L22" s="460">
        <f>L17</f>
        <v>0</v>
      </c>
      <c r="M22" s="234"/>
      <c r="N22" s="3"/>
      <c r="O22" s="234"/>
      <c r="P22" s="234"/>
      <c r="Q22" s="3"/>
      <c r="R22" s="234"/>
      <c r="S22" s="234"/>
      <c r="U22" s="1">
        <f t="shared" ca="1" si="1"/>
        <v>15</v>
      </c>
      <c r="W22" s="2">
        <v>24</v>
      </c>
    </row>
    <row r="23" spans="2:23" ht="15.75" x14ac:dyDescent="0.25">
      <c r="B23" s="461"/>
      <c r="C23" s="235"/>
      <c r="D23" s="235"/>
      <c r="E23" s="221"/>
      <c r="F23" s="235"/>
      <c r="G23" s="221"/>
      <c r="H23" s="235"/>
      <c r="I23" s="236"/>
      <c r="J23" s="15"/>
      <c r="L23" s="461"/>
      <c r="M23" s="235"/>
      <c r="N23" s="221"/>
      <c r="O23" s="235"/>
      <c r="P23" s="235"/>
      <c r="Q23" s="221"/>
      <c r="R23" s="235"/>
      <c r="S23" s="236"/>
      <c r="U23" s="1">
        <f t="shared" ca="1" si="1"/>
        <v>28</v>
      </c>
      <c r="W23" s="2">
        <v>22</v>
      </c>
    </row>
    <row r="24" spans="2:23" ht="15.75" x14ac:dyDescent="0.25">
      <c r="B24" s="462" t="str">
        <f>B19</f>
        <v>Deron</v>
      </c>
      <c r="C24" s="236"/>
      <c r="D24" s="236"/>
      <c r="E24" s="222"/>
      <c r="F24" s="236"/>
      <c r="G24" s="222"/>
      <c r="H24" s="236"/>
      <c r="I24" s="236"/>
      <c r="J24" s="15"/>
      <c r="L24" s="462" t="str">
        <f>L19</f>
        <v>Deron</v>
      </c>
      <c r="M24" s="236"/>
      <c r="N24" s="222"/>
      <c r="O24" s="236"/>
      <c r="P24" s="236"/>
      <c r="Q24" s="222"/>
      <c r="R24" s="236"/>
      <c r="S24" s="236"/>
      <c r="U24" s="1">
        <f t="shared" ca="1" si="1"/>
        <v>9</v>
      </c>
      <c r="W24" s="2">
        <v>20</v>
      </c>
    </row>
    <row r="25" spans="2:23" ht="15.75" x14ac:dyDescent="0.25">
      <c r="B25" s="461"/>
      <c r="C25" s="235"/>
      <c r="D25" s="235"/>
      <c r="E25" s="223"/>
      <c r="F25" s="235"/>
      <c r="G25" s="223"/>
      <c r="H25" s="235"/>
      <c r="I25" s="235"/>
      <c r="J25" s="15"/>
      <c r="L25" s="461"/>
      <c r="M25" s="235"/>
      <c r="N25" s="223"/>
      <c r="O25" s="235"/>
      <c r="P25" s="235"/>
      <c r="Q25" s="223"/>
      <c r="R25" s="235"/>
      <c r="S25" s="235"/>
      <c r="U25" s="1">
        <f t="shared" ca="1" si="1"/>
        <v>26</v>
      </c>
      <c r="W25" s="2">
        <v>22</v>
      </c>
    </row>
    <row r="26" spans="2:23" ht="15.75" x14ac:dyDescent="0.25">
      <c r="B26" s="226"/>
      <c r="C26" s="220">
        <f>I21+1</f>
        <v>37</v>
      </c>
      <c r="D26" s="351">
        <f t="shared" ref="D26" si="23">C26+1</f>
        <v>38</v>
      </c>
      <c r="E26" s="233">
        <f t="shared" ref="E26" si="24">D26+1</f>
        <v>39</v>
      </c>
      <c r="F26" s="352">
        <f t="shared" ref="F26" si="25">E26+1</f>
        <v>40</v>
      </c>
      <c r="G26" s="233">
        <f t="shared" ref="G26" si="26">F26+1</f>
        <v>41</v>
      </c>
      <c r="H26" s="233">
        <f t="shared" ref="H26" si="27">G26+1</f>
        <v>42</v>
      </c>
      <c r="I26" s="233">
        <v>1</v>
      </c>
      <c r="J26" s="15"/>
      <c r="L26" s="226"/>
      <c r="M26" s="220">
        <f>S21+1</f>
        <v>30</v>
      </c>
      <c r="N26" s="220">
        <f>M26+1</f>
        <v>31</v>
      </c>
      <c r="O26" s="220"/>
      <c r="P26" s="225"/>
      <c r="Q26" s="220"/>
      <c r="R26" s="220"/>
      <c r="S26" s="220"/>
      <c r="U26" s="1">
        <f t="shared" ca="1" si="1"/>
        <v>8</v>
      </c>
      <c r="W26" s="2">
        <v>10</v>
      </c>
    </row>
    <row r="27" spans="2:23" ht="15.75" x14ac:dyDescent="0.25">
      <c r="B27" s="460">
        <f>B22</f>
        <v>0</v>
      </c>
      <c r="C27" s="3"/>
      <c r="D27" s="3"/>
      <c r="E27" s="234"/>
      <c r="F27" s="234"/>
      <c r="G27" s="234"/>
      <c r="H27" s="234"/>
      <c r="I27" s="234"/>
      <c r="J27" s="15"/>
      <c r="L27" s="460">
        <f>L22</f>
        <v>0</v>
      </c>
      <c r="M27" s="3"/>
      <c r="N27" s="3"/>
      <c r="O27" s="3"/>
      <c r="P27" s="3"/>
      <c r="Q27" s="3"/>
      <c r="R27" s="3"/>
      <c r="S27" s="3"/>
      <c r="U27" s="1">
        <f t="shared" ca="1" si="1"/>
        <v>26</v>
      </c>
      <c r="W27" s="2">
        <v>2</v>
      </c>
    </row>
    <row r="28" spans="2:23" ht="15.75" x14ac:dyDescent="0.25">
      <c r="B28" s="461"/>
      <c r="C28" s="221"/>
      <c r="D28" s="221"/>
      <c r="E28" s="235"/>
      <c r="F28" s="235"/>
      <c r="G28" s="235"/>
      <c r="H28" s="235"/>
      <c r="I28" s="236"/>
      <c r="J28" s="15"/>
      <c r="L28" s="461"/>
      <c r="M28" s="221"/>
      <c r="N28" s="221"/>
      <c r="O28" s="221"/>
      <c r="P28" s="221"/>
      <c r="Q28" s="221"/>
      <c r="R28" s="221"/>
      <c r="S28" s="34"/>
    </row>
    <row r="29" spans="2:23" ht="15.75" x14ac:dyDescent="0.25">
      <c r="B29" s="462" t="str">
        <f>B24</f>
        <v>Deron</v>
      </c>
      <c r="C29" s="222"/>
      <c r="D29" s="222"/>
      <c r="E29" s="236"/>
      <c r="F29" s="236"/>
      <c r="G29" s="236"/>
      <c r="H29" s="236"/>
      <c r="I29" s="236"/>
      <c r="L29" s="462" t="str">
        <f>L24</f>
        <v>Deron</v>
      </c>
      <c r="M29" s="222"/>
      <c r="N29" s="222"/>
      <c r="O29" s="222"/>
      <c r="P29" s="222"/>
      <c r="Q29" s="222"/>
      <c r="R29" s="222"/>
      <c r="S29" s="222"/>
    </row>
    <row r="30" spans="2:23" ht="15.75" x14ac:dyDescent="0.25">
      <c r="B30" s="469"/>
      <c r="C30" s="224"/>
      <c r="D30" s="224"/>
      <c r="E30" s="353"/>
      <c r="F30" s="353"/>
      <c r="G30" s="353"/>
      <c r="H30" s="353"/>
      <c r="I30" s="353"/>
      <c r="L30" s="469"/>
      <c r="M30" s="224"/>
      <c r="N30" s="224"/>
      <c r="O30" s="224"/>
      <c r="P30" s="224"/>
      <c r="Q30" s="224"/>
      <c r="R30" s="224"/>
      <c r="S30" s="224"/>
    </row>
  </sheetData>
  <mergeCells count="30">
    <mergeCell ref="L27:L28"/>
    <mergeCell ref="L29:L30"/>
    <mergeCell ref="L22:L23"/>
    <mergeCell ref="L24:L25"/>
    <mergeCell ref="L17:L18"/>
    <mergeCell ref="L19:L20"/>
    <mergeCell ref="L12:L13"/>
    <mergeCell ref="L14:L15"/>
    <mergeCell ref="M4:S4"/>
    <mergeCell ref="L7:L8"/>
    <mergeCell ref="N7:N8"/>
    <mergeCell ref="O7:O8"/>
    <mergeCell ref="L9:L10"/>
    <mergeCell ref="M9:M10"/>
    <mergeCell ref="N9:N10"/>
    <mergeCell ref="B27:B28"/>
    <mergeCell ref="B29:B30"/>
    <mergeCell ref="B22:B23"/>
    <mergeCell ref="B24:B25"/>
    <mergeCell ref="B17:B18"/>
    <mergeCell ref="B19:B20"/>
    <mergeCell ref="B12:B13"/>
    <mergeCell ref="B14:B15"/>
    <mergeCell ref="C4:I4"/>
    <mergeCell ref="B7:B8"/>
    <mergeCell ref="D7:D8"/>
    <mergeCell ref="E7:E8"/>
    <mergeCell ref="B9:B10"/>
    <mergeCell ref="C9:C10"/>
    <mergeCell ref="D9:D1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K4515"/>
  <sheetViews>
    <sheetView workbookViewId="0">
      <selection activeCell="D13" sqref="D13"/>
    </sheetView>
  </sheetViews>
  <sheetFormatPr defaultRowHeight="12.75" x14ac:dyDescent="0.2"/>
  <cols>
    <col min="3" max="3" width="29" customWidth="1"/>
    <col min="4" max="4" width="11.6640625" customWidth="1"/>
    <col min="5" max="5" width="12.5" customWidth="1"/>
    <col min="8" max="8" width="17" customWidth="1"/>
    <col min="9" max="9" width="12.6640625" customWidth="1"/>
  </cols>
  <sheetData>
    <row r="4" spans="3:11" ht="15" x14ac:dyDescent="0.2">
      <c r="C4" s="61">
        <v>41409</v>
      </c>
      <c r="D4" s="60">
        <v>10700</v>
      </c>
      <c r="E4" s="59" t="s">
        <v>44</v>
      </c>
    </row>
    <row r="5" spans="3:11" ht="15" x14ac:dyDescent="0.2">
      <c r="C5" s="61">
        <v>41409.010416666664</v>
      </c>
      <c r="D5" s="60">
        <v>10700</v>
      </c>
      <c r="E5" s="59" t="s">
        <v>45</v>
      </c>
    </row>
    <row r="6" spans="3:11" ht="15" x14ac:dyDescent="0.2">
      <c r="C6" s="61">
        <v>41409.020833333336</v>
      </c>
      <c r="D6" s="60">
        <v>10700</v>
      </c>
      <c r="E6" s="59" t="s">
        <v>46</v>
      </c>
    </row>
    <row r="7" spans="3:11" ht="15" x14ac:dyDescent="0.2">
      <c r="C7" s="61">
        <v>41409.03125</v>
      </c>
      <c r="D7" s="60">
        <v>10700</v>
      </c>
      <c r="E7" s="59" t="s">
        <v>46</v>
      </c>
      <c r="H7" s="62">
        <v>41409</v>
      </c>
      <c r="I7" s="60">
        <v>10300</v>
      </c>
      <c r="J7" s="59" t="s">
        <v>598</v>
      </c>
      <c r="K7" s="59"/>
    </row>
    <row r="8" spans="3:11" ht="15" x14ac:dyDescent="0.2">
      <c r="C8" s="61">
        <v>41409.041666666664</v>
      </c>
      <c r="D8" s="60">
        <v>10700</v>
      </c>
      <c r="E8" s="59" t="s">
        <v>46</v>
      </c>
      <c r="H8" s="62">
        <v>41410</v>
      </c>
      <c r="I8" s="60">
        <v>8990</v>
      </c>
      <c r="J8" s="59" t="s">
        <v>599</v>
      </c>
      <c r="K8" s="59"/>
    </row>
    <row r="9" spans="3:11" ht="15" x14ac:dyDescent="0.2">
      <c r="C9" s="61">
        <v>41409.052083333336</v>
      </c>
      <c r="D9" s="60">
        <v>10700</v>
      </c>
      <c r="E9" s="59" t="s">
        <v>47</v>
      </c>
      <c r="H9" s="62">
        <v>41411</v>
      </c>
      <c r="I9" s="60">
        <v>7400</v>
      </c>
      <c r="J9" s="59" t="s">
        <v>600</v>
      </c>
      <c r="K9" s="59"/>
    </row>
    <row r="10" spans="3:11" ht="15" x14ac:dyDescent="0.2">
      <c r="C10" s="61">
        <v>41409.0625</v>
      </c>
      <c r="D10" s="60">
        <v>10700</v>
      </c>
      <c r="E10" s="59" t="s">
        <v>47</v>
      </c>
      <c r="H10" s="62">
        <v>41412</v>
      </c>
      <c r="I10" s="60">
        <v>5780</v>
      </c>
      <c r="J10" s="59" t="s">
        <v>601</v>
      </c>
      <c r="K10" s="59"/>
    </row>
    <row r="11" spans="3:11" ht="15" x14ac:dyDescent="0.2">
      <c r="C11" s="61">
        <v>41409.072916666664</v>
      </c>
      <c r="D11" s="60">
        <v>10600</v>
      </c>
      <c r="E11" s="59" t="s">
        <v>48</v>
      </c>
      <c r="H11" s="62">
        <v>41413</v>
      </c>
      <c r="I11" s="60">
        <v>4920</v>
      </c>
      <c r="J11" s="59" t="s">
        <v>602</v>
      </c>
      <c r="K11" s="59"/>
    </row>
    <row r="12" spans="3:11" ht="15" x14ac:dyDescent="0.2">
      <c r="C12" s="61">
        <v>41409.083333333336</v>
      </c>
      <c r="D12" s="60">
        <v>10600</v>
      </c>
      <c r="E12" s="59" t="s">
        <v>48</v>
      </c>
      <c r="H12" s="62">
        <v>41414</v>
      </c>
      <c r="I12" s="60">
        <v>4420</v>
      </c>
      <c r="J12" s="59" t="s">
        <v>603</v>
      </c>
      <c r="K12" s="59"/>
    </row>
    <row r="13" spans="3:11" ht="15" x14ac:dyDescent="0.2">
      <c r="C13" s="61">
        <v>41409.09375</v>
      </c>
      <c r="D13" s="60">
        <v>10600</v>
      </c>
      <c r="E13" s="59" t="s">
        <v>48</v>
      </c>
      <c r="H13" s="62">
        <v>41415</v>
      </c>
      <c r="I13" s="60">
        <v>3950</v>
      </c>
      <c r="J13" s="59" t="s">
        <v>604</v>
      </c>
      <c r="K13" s="59"/>
    </row>
    <row r="14" spans="3:11" ht="15" x14ac:dyDescent="0.2">
      <c r="C14" s="61">
        <v>41409.104166666664</v>
      </c>
      <c r="D14" s="60">
        <v>10600</v>
      </c>
      <c r="E14" s="59" t="s">
        <v>49</v>
      </c>
      <c r="H14" s="62">
        <v>41416</v>
      </c>
      <c r="I14" s="60">
        <v>4330</v>
      </c>
      <c r="J14" s="59" t="s">
        <v>605</v>
      </c>
      <c r="K14" s="59"/>
    </row>
    <row r="15" spans="3:11" ht="15" x14ac:dyDescent="0.2">
      <c r="C15" s="61">
        <v>41409.114583333336</v>
      </c>
      <c r="D15" s="60">
        <v>10600</v>
      </c>
      <c r="E15" s="59" t="s">
        <v>49</v>
      </c>
      <c r="H15" s="62">
        <v>41417</v>
      </c>
      <c r="I15" s="60">
        <v>6100</v>
      </c>
      <c r="J15" s="59" t="s">
        <v>606</v>
      </c>
      <c r="K15" s="59"/>
    </row>
    <row r="16" spans="3:11" ht="15" x14ac:dyDescent="0.2">
      <c r="C16" s="61">
        <v>41409.125</v>
      </c>
      <c r="D16" s="60">
        <v>10600</v>
      </c>
      <c r="E16" s="59" t="s">
        <v>49</v>
      </c>
      <c r="H16" s="62">
        <v>41418</v>
      </c>
      <c r="I16" s="60">
        <v>6870</v>
      </c>
      <c r="J16" s="59" t="s">
        <v>607</v>
      </c>
      <c r="K16" s="59"/>
    </row>
    <row r="17" spans="3:11" ht="15" x14ac:dyDescent="0.2">
      <c r="C17" s="61">
        <v>41409.135416666664</v>
      </c>
      <c r="D17" s="60">
        <v>10600</v>
      </c>
      <c r="E17" s="59" t="s">
        <v>50</v>
      </c>
      <c r="H17" s="62">
        <v>41419</v>
      </c>
      <c r="I17" s="60">
        <v>6710</v>
      </c>
      <c r="J17" s="59" t="s">
        <v>608</v>
      </c>
      <c r="K17" s="59"/>
    </row>
    <row r="18" spans="3:11" ht="15" x14ac:dyDescent="0.2">
      <c r="C18" s="61">
        <v>41409.145833333336</v>
      </c>
      <c r="D18" s="60">
        <v>10600</v>
      </c>
      <c r="E18" s="59" t="s">
        <v>50</v>
      </c>
      <c r="H18" s="62">
        <v>41420</v>
      </c>
      <c r="I18" s="60">
        <v>6240</v>
      </c>
      <c r="J18" s="59" t="s">
        <v>609</v>
      </c>
      <c r="K18" s="59"/>
    </row>
    <row r="19" spans="3:11" ht="15" x14ac:dyDescent="0.2">
      <c r="C19" s="61">
        <v>41409.15625</v>
      </c>
      <c r="D19" s="60">
        <v>10600</v>
      </c>
      <c r="E19" s="59" t="s">
        <v>50</v>
      </c>
      <c r="H19" s="62">
        <v>41421</v>
      </c>
      <c r="I19" s="60">
        <v>5730</v>
      </c>
      <c r="J19" s="59" t="s">
        <v>610</v>
      </c>
      <c r="K19" s="59"/>
    </row>
    <row r="20" spans="3:11" ht="15" x14ac:dyDescent="0.2">
      <c r="C20" s="61">
        <v>41409.166666666664</v>
      </c>
      <c r="D20" s="60">
        <v>10600</v>
      </c>
      <c r="E20" s="59" t="s">
        <v>50</v>
      </c>
      <c r="H20" s="62">
        <v>41422</v>
      </c>
      <c r="I20" s="60">
        <v>5560</v>
      </c>
      <c r="J20" s="59" t="s">
        <v>611</v>
      </c>
      <c r="K20" s="59"/>
    </row>
    <row r="21" spans="3:11" ht="15" x14ac:dyDescent="0.2">
      <c r="C21" s="61">
        <v>41409.177083333336</v>
      </c>
      <c r="D21" s="60">
        <v>10600</v>
      </c>
      <c r="E21" s="59" t="s">
        <v>50</v>
      </c>
      <c r="H21" s="62">
        <v>41423</v>
      </c>
      <c r="I21" s="60">
        <v>5790</v>
      </c>
      <c r="J21" s="59" t="s">
        <v>612</v>
      </c>
      <c r="K21" s="59"/>
    </row>
    <row r="22" spans="3:11" ht="15" x14ac:dyDescent="0.2">
      <c r="C22" s="61">
        <v>41409.1875</v>
      </c>
      <c r="D22" s="60">
        <v>10600</v>
      </c>
      <c r="E22" s="59" t="s">
        <v>51</v>
      </c>
      <c r="H22" s="62">
        <v>41424</v>
      </c>
      <c r="I22" s="60">
        <v>6480</v>
      </c>
      <c r="J22" s="59" t="s">
        <v>613</v>
      </c>
      <c r="K22" s="59"/>
    </row>
    <row r="23" spans="3:11" ht="15" x14ac:dyDescent="0.2">
      <c r="C23" s="61">
        <v>41409.197916666664</v>
      </c>
      <c r="D23" s="60">
        <v>10600</v>
      </c>
      <c r="E23" s="59" t="s">
        <v>51</v>
      </c>
      <c r="H23" s="62">
        <v>41425</v>
      </c>
      <c r="I23" s="60">
        <v>6840</v>
      </c>
      <c r="J23" s="59" t="s">
        <v>614</v>
      </c>
      <c r="K23" s="59"/>
    </row>
    <row r="24" spans="3:11" ht="15" x14ac:dyDescent="0.2">
      <c r="C24" s="61">
        <v>41409.208333333336</v>
      </c>
      <c r="D24" s="60">
        <v>10600</v>
      </c>
      <c r="E24" s="59" t="s">
        <v>51</v>
      </c>
      <c r="H24" s="62">
        <v>41426</v>
      </c>
      <c r="I24" s="60">
        <v>6390</v>
      </c>
      <c r="J24" s="59" t="s">
        <v>615</v>
      </c>
      <c r="K24" s="59"/>
    </row>
    <row r="25" spans="3:11" ht="15" x14ac:dyDescent="0.2">
      <c r="C25" s="61">
        <v>41409.21875</v>
      </c>
      <c r="D25" s="60">
        <v>10600</v>
      </c>
      <c r="E25" s="59" t="s">
        <v>52</v>
      </c>
      <c r="H25" s="62">
        <v>41427</v>
      </c>
      <c r="I25" s="60">
        <v>6100</v>
      </c>
      <c r="J25" s="59" t="s">
        <v>606</v>
      </c>
      <c r="K25" s="59"/>
    </row>
    <row r="26" spans="3:11" ht="15" x14ac:dyDescent="0.2">
      <c r="C26" s="61">
        <v>41409.229166666664</v>
      </c>
      <c r="D26" s="60">
        <v>10600</v>
      </c>
      <c r="E26" s="59" t="s">
        <v>52</v>
      </c>
      <c r="H26" s="62">
        <v>41428</v>
      </c>
      <c r="I26" s="60">
        <v>5900</v>
      </c>
      <c r="J26" s="59" t="s">
        <v>616</v>
      </c>
      <c r="K26" s="59"/>
    </row>
    <row r="27" spans="3:11" ht="15" x14ac:dyDescent="0.2">
      <c r="C27" s="61">
        <v>41409.239583333336</v>
      </c>
      <c r="D27" s="60">
        <v>10500</v>
      </c>
      <c r="E27" s="59" t="s">
        <v>53</v>
      </c>
      <c r="H27" s="62">
        <v>41429</v>
      </c>
      <c r="I27" s="60">
        <v>5460</v>
      </c>
      <c r="J27" s="59" t="s">
        <v>617</v>
      </c>
      <c r="K27" s="59"/>
    </row>
    <row r="28" spans="3:11" ht="15" x14ac:dyDescent="0.2">
      <c r="C28" s="61">
        <v>41409.25</v>
      </c>
      <c r="D28" s="60">
        <v>10500</v>
      </c>
      <c r="E28" s="59" t="s">
        <v>53</v>
      </c>
      <c r="H28" s="62">
        <v>41430</v>
      </c>
      <c r="I28" s="60">
        <v>4920</v>
      </c>
      <c r="J28" s="59" t="s">
        <v>602</v>
      </c>
      <c r="K28" s="59"/>
    </row>
    <row r="29" spans="3:11" ht="15" x14ac:dyDescent="0.2">
      <c r="C29" s="61">
        <v>41409.260416666664</v>
      </c>
      <c r="D29" s="60">
        <v>10500</v>
      </c>
      <c r="E29" s="59" t="s">
        <v>53</v>
      </c>
      <c r="H29" s="62">
        <v>41431</v>
      </c>
      <c r="I29" s="60">
        <v>4900</v>
      </c>
      <c r="J29" s="59" t="s">
        <v>618</v>
      </c>
      <c r="K29" s="59"/>
    </row>
    <row r="30" spans="3:11" ht="15" x14ac:dyDescent="0.2">
      <c r="C30" s="61">
        <v>41409.270833333336</v>
      </c>
      <c r="D30" s="60">
        <v>10500</v>
      </c>
      <c r="E30" s="59" t="s">
        <v>54</v>
      </c>
      <c r="H30" s="62">
        <v>41432</v>
      </c>
      <c r="I30" s="60">
        <v>5130</v>
      </c>
      <c r="J30" s="59" t="s">
        <v>619</v>
      </c>
      <c r="K30" s="59"/>
    </row>
    <row r="31" spans="3:11" ht="15" x14ac:dyDescent="0.2">
      <c r="C31" s="61">
        <v>41409.28125</v>
      </c>
      <c r="D31" s="60">
        <v>10500</v>
      </c>
      <c r="E31" s="59" t="s">
        <v>54</v>
      </c>
      <c r="H31" s="62">
        <v>41433</v>
      </c>
      <c r="I31" s="60">
        <v>5880</v>
      </c>
      <c r="J31" s="59" t="s">
        <v>620</v>
      </c>
      <c r="K31" s="59"/>
    </row>
    <row r="32" spans="3:11" ht="15" x14ac:dyDescent="0.2">
      <c r="C32" s="61">
        <v>41409.291666666664</v>
      </c>
      <c r="D32" s="60">
        <v>10500</v>
      </c>
      <c r="E32" s="59" t="s">
        <v>54</v>
      </c>
      <c r="H32" s="62">
        <v>41434</v>
      </c>
      <c r="I32" s="60">
        <v>5760</v>
      </c>
      <c r="J32" s="59" t="s">
        <v>621</v>
      </c>
      <c r="K32" s="59"/>
    </row>
    <row r="33" spans="3:11" ht="15" x14ac:dyDescent="0.2">
      <c r="C33" s="61">
        <v>41409.302083333336</v>
      </c>
      <c r="D33" s="60">
        <v>10500</v>
      </c>
      <c r="E33" s="59" t="s">
        <v>55</v>
      </c>
      <c r="H33" s="62">
        <v>41435</v>
      </c>
      <c r="I33" s="60">
        <v>5300</v>
      </c>
      <c r="J33" s="59" t="s">
        <v>622</v>
      </c>
      <c r="K33" s="59"/>
    </row>
    <row r="34" spans="3:11" ht="15" x14ac:dyDescent="0.2">
      <c r="C34" s="61">
        <v>41409.3125</v>
      </c>
      <c r="D34" s="60">
        <v>10500</v>
      </c>
      <c r="E34" s="59" t="s">
        <v>55</v>
      </c>
      <c r="H34" s="62">
        <v>41436</v>
      </c>
      <c r="I34" s="60">
        <v>4600</v>
      </c>
      <c r="J34" s="59" t="s">
        <v>623</v>
      </c>
      <c r="K34" s="59"/>
    </row>
    <row r="35" spans="3:11" ht="15" x14ac:dyDescent="0.2">
      <c r="C35" s="61">
        <v>41409.322916666664</v>
      </c>
      <c r="D35" s="60">
        <v>10500</v>
      </c>
      <c r="E35" s="59" t="s">
        <v>55</v>
      </c>
      <c r="H35" s="62">
        <v>41437</v>
      </c>
      <c r="I35" s="60">
        <v>3900</v>
      </c>
      <c r="J35" s="59" t="s">
        <v>624</v>
      </c>
      <c r="K35" s="59"/>
    </row>
    <row r="36" spans="3:11" ht="15" x14ac:dyDescent="0.2">
      <c r="C36" s="61">
        <v>41409.333333333336</v>
      </c>
      <c r="D36" s="60">
        <v>10500</v>
      </c>
      <c r="E36" s="59" t="s">
        <v>56</v>
      </c>
      <c r="H36" s="62">
        <v>41438</v>
      </c>
      <c r="I36" s="60">
        <v>3180</v>
      </c>
      <c r="J36" s="59" t="s">
        <v>625</v>
      </c>
      <c r="K36" s="59"/>
    </row>
    <row r="37" spans="3:11" ht="15" x14ac:dyDescent="0.2">
      <c r="C37" s="61">
        <v>41409.34375</v>
      </c>
      <c r="D37" s="60">
        <v>10500</v>
      </c>
      <c r="E37" s="59" t="s">
        <v>56</v>
      </c>
      <c r="H37" s="62">
        <v>41439</v>
      </c>
      <c r="I37" s="60">
        <v>2430</v>
      </c>
      <c r="J37" s="59" t="s">
        <v>626</v>
      </c>
      <c r="K37" s="59"/>
    </row>
    <row r="38" spans="3:11" ht="15" x14ac:dyDescent="0.2">
      <c r="C38" s="61">
        <v>41409.354166666664</v>
      </c>
      <c r="D38" s="60">
        <v>10400</v>
      </c>
      <c r="E38" s="59" t="s">
        <v>57</v>
      </c>
      <c r="H38" s="62">
        <v>41440</v>
      </c>
      <c r="I38" s="60">
        <v>2050</v>
      </c>
      <c r="J38" s="59" t="s">
        <v>627</v>
      </c>
      <c r="K38" s="59"/>
    </row>
    <row r="39" spans="3:11" ht="15" x14ac:dyDescent="0.2">
      <c r="C39" s="61">
        <v>41409.364583333336</v>
      </c>
      <c r="D39" s="60">
        <v>10400</v>
      </c>
      <c r="E39" s="59" t="s">
        <v>57</v>
      </c>
      <c r="H39" s="62">
        <v>41441</v>
      </c>
      <c r="I39" s="60">
        <v>1850</v>
      </c>
      <c r="J39" s="59" t="s">
        <v>628</v>
      </c>
      <c r="K39" s="59"/>
    </row>
    <row r="40" spans="3:11" ht="15" x14ac:dyDescent="0.2">
      <c r="C40" s="61">
        <v>41409.375</v>
      </c>
      <c r="D40" s="60">
        <v>10400</v>
      </c>
      <c r="E40" s="59" t="s">
        <v>58</v>
      </c>
      <c r="H40" s="62">
        <v>41442</v>
      </c>
      <c r="I40" s="60">
        <v>1750</v>
      </c>
      <c r="J40" s="59" t="s">
        <v>629</v>
      </c>
      <c r="K40" s="59"/>
    </row>
    <row r="41" spans="3:11" ht="15" x14ac:dyDescent="0.2">
      <c r="C41" s="61">
        <v>41409.385416666664</v>
      </c>
      <c r="D41" s="60">
        <v>10400</v>
      </c>
      <c r="E41" s="59" t="s">
        <v>58</v>
      </c>
      <c r="H41" s="62">
        <v>41443</v>
      </c>
      <c r="I41" s="60">
        <v>1890</v>
      </c>
      <c r="J41" s="59" t="s">
        <v>630</v>
      </c>
      <c r="K41" s="59"/>
    </row>
    <row r="42" spans="3:11" ht="15" x14ac:dyDescent="0.2">
      <c r="C42" s="61">
        <v>41409.395833333336</v>
      </c>
      <c r="D42" s="60">
        <v>10400</v>
      </c>
      <c r="E42" s="59" t="s">
        <v>58</v>
      </c>
      <c r="H42" s="62">
        <v>41444</v>
      </c>
      <c r="I42" s="60">
        <v>2180</v>
      </c>
      <c r="J42" s="59" t="s">
        <v>631</v>
      </c>
      <c r="K42" s="59"/>
    </row>
    <row r="43" spans="3:11" ht="15" x14ac:dyDescent="0.2">
      <c r="C43" s="61">
        <v>41409.40625</v>
      </c>
      <c r="D43" s="60">
        <v>10400</v>
      </c>
      <c r="E43" s="59" t="s">
        <v>59</v>
      </c>
      <c r="H43" s="62">
        <v>41445</v>
      </c>
      <c r="I43" s="60">
        <v>2600</v>
      </c>
      <c r="J43" s="59" t="s">
        <v>632</v>
      </c>
      <c r="K43" s="59"/>
    </row>
    <row r="44" spans="3:11" ht="15" x14ac:dyDescent="0.2">
      <c r="C44" s="61">
        <v>41409.416666666664</v>
      </c>
      <c r="D44" s="60">
        <v>10400</v>
      </c>
      <c r="E44" s="59" t="s">
        <v>59</v>
      </c>
      <c r="H44" s="62">
        <v>41446</v>
      </c>
      <c r="I44" s="60">
        <v>2700</v>
      </c>
      <c r="J44" s="59" t="s">
        <v>633</v>
      </c>
      <c r="K44" s="59"/>
    </row>
    <row r="45" spans="3:11" ht="15" x14ac:dyDescent="0.2">
      <c r="C45" s="61">
        <v>41409.427083333336</v>
      </c>
      <c r="D45" s="60">
        <v>10400</v>
      </c>
      <c r="E45" s="59" t="s">
        <v>59</v>
      </c>
      <c r="H45" s="62">
        <v>41447</v>
      </c>
      <c r="I45" s="60">
        <v>2610</v>
      </c>
      <c r="J45" s="59" t="s">
        <v>634</v>
      </c>
      <c r="K45" s="59"/>
    </row>
    <row r="46" spans="3:11" ht="15" x14ac:dyDescent="0.2">
      <c r="C46" s="61">
        <v>41409.4375</v>
      </c>
      <c r="D46" s="60">
        <v>10400</v>
      </c>
      <c r="E46" s="59" t="s">
        <v>60</v>
      </c>
      <c r="H46" s="62">
        <v>41448</v>
      </c>
      <c r="I46" s="60">
        <v>2440</v>
      </c>
      <c r="J46" s="59" t="s">
        <v>635</v>
      </c>
      <c r="K46" s="59"/>
    </row>
    <row r="47" spans="3:11" ht="15" x14ac:dyDescent="0.2">
      <c r="C47" s="61">
        <v>41409.447916666664</v>
      </c>
      <c r="D47" s="60">
        <v>10400</v>
      </c>
      <c r="E47" s="59" t="s">
        <v>60</v>
      </c>
      <c r="H47" s="62">
        <v>41449</v>
      </c>
      <c r="I47" s="60">
        <v>2410</v>
      </c>
      <c r="J47" s="59" t="s">
        <v>636</v>
      </c>
      <c r="K47" s="59"/>
    </row>
    <row r="48" spans="3:11" ht="15" x14ac:dyDescent="0.2">
      <c r="C48" s="61">
        <v>41409.458333333336</v>
      </c>
      <c r="D48" s="60">
        <v>10400</v>
      </c>
      <c r="E48" s="59" t="s">
        <v>61</v>
      </c>
      <c r="H48" s="62">
        <v>41450</v>
      </c>
      <c r="I48" s="60">
        <v>2390</v>
      </c>
      <c r="J48" s="59" t="s">
        <v>637</v>
      </c>
      <c r="K48" s="59"/>
    </row>
    <row r="49" spans="3:11" ht="15" x14ac:dyDescent="0.2">
      <c r="C49" s="61">
        <v>41409.46875</v>
      </c>
      <c r="D49" s="60">
        <v>10400</v>
      </c>
      <c r="E49" s="59" t="s">
        <v>61</v>
      </c>
      <c r="H49" s="62">
        <v>41451</v>
      </c>
      <c r="I49" s="60">
        <v>2680</v>
      </c>
      <c r="J49" s="59" t="s">
        <v>638</v>
      </c>
      <c r="K49" s="59"/>
    </row>
    <row r="50" spans="3:11" ht="15" x14ac:dyDescent="0.2">
      <c r="C50" s="61">
        <v>41409.479166666664</v>
      </c>
      <c r="D50" s="60">
        <v>10300</v>
      </c>
      <c r="E50" s="59" t="s">
        <v>62</v>
      </c>
      <c r="H50" s="62">
        <v>41452</v>
      </c>
      <c r="I50" s="60">
        <v>2630</v>
      </c>
      <c r="J50" s="59" t="s">
        <v>639</v>
      </c>
      <c r="K50" s="59"/>
    </row>
    <row r="51" spans="3:11" ht="15" x14ac:dyDescent="0.2">
      <c r="C51" s="61">
        <v>41409.489583333336</v>
      </c>
      <c r="D51" s="60">
        <v>10300</v>
      </c>
      <c r="E51" s="59" t="s">
        <v>62</v>
      </c>
      <c r="H51" s="62">
        <v>41453</v>
      </c>
      <c r="I51" s="60">
        <v>2400</v>
      </c>
      <c r="J51" s="59" t="s">
        <v>640</v>
      </c>
      <c r="K51" s="59"/>
    </row>
    <row r="52" spans="3:11" ht="15" x14ac:dyDescent="0.2">
      <c r="C52" s="61">
        <v>41409.5</v>
      </c>
      <c r="D52" s="60">
        <v>10300</v>
      </c>
      <c r="E52" s="59" t="s">
        <v>63</v>
      </c>
      <c r="H52" s="62">
        <v>41454</v>
      </c>
      <c r="I52" s="60">
        <v>2200</v>
      </c>
      <c r="J52" s="59" t="s">
        <v>641</v>
      </c>
      <c r="K52" s="59"/>
    </row>
    <row r="53" spans="3:11" ht="15" x14ac:dyDescent="0.2">
      <c r="C53" s="61">
        <v>41409.510416666664</v>
      </c>
      <c r="D53" s="60">
        <v>10300</v>
      </c>
      <c r="E53" s="59" t="s">
        <v>63</v>
      </c>
      <c r="H53" s="62">
        <v>41455</v>
      </c>
      <c r="I53" s="60">
        <v>2160</v>
      </c>
      <c r="J53" s="59" t="s">
        <v>642</v>
      </c>
      <c r="K53" s="59"/>
    </row>
    <row r="54" spans="3:11" ht="15" x14ac:dyDescent="0.2">
      <c r="C54" s="61">
        <v>41409.520833333336</v>
      </c>
      <c r="D54" s="60">
        <v>10300</v>
      </c>
      <c r="E54" s="59" t="s">
        <v>63</v>
      </c>
    </row>
    <row r="55" spans="3:11" ht="15" x14ac:dyDescent="0.2">
      <c r="C55" s="61">
        <v>41409.53125</v>
      </c>
      <c r="D55" s="60">
        <v>10300</v>
      </c>
      <c r="E55" s="59" t="s">
        <v>64</v>
      </c>
    </row>
    <row r="56" spans="3:11" ht="15" x14ac:dyDescent="0.2">
      <c r="C56" s="61">
        <v>41409.541666666664</v>
      </c>
      <c r="D56" s="60">
        <v>10300</v>
      </c>
      <c r="E56" s="59" t="s">
        <v>64</v>
      </c>
    </row>
    <row r="57" spans="3:11" ht="15" x14ac:dyDescent="0.2">
      <c r="C57" s="61">
        <v>41409.552083333336</v>
      </c>
      <c r="D57" s="60">
        <v>10300</v>
      </c>
      <c r="E57" s="59" t="s">
        <v>65</v>
      </c>
    </row>
    <row r="58" spans="3:11" ht="15" x14ac:dyDescent="0.2">
      <c r="C58" s="61">
        <v>41409.5625</v>
      </c>
      <c r="D58" s="60">
        <v>10300</v>
      </c>
      <c r="E58" s="59" t="s">
        <v>66</v>
      </c>
    </row>
    <row r="59" spans="3:11" ht="15" x14ac:dyDescent="0.2">
      <c r="C59" s="61">
        <v>41409.572916666664</v>
      </c>
      <c r="D59" s="60">
        <v>10200</v>
      </c>
      <c r="E59" s="59" t="s">
        <v>67</v>
      </c>
    </row>
    <row r="60" spans="3:11" ht="15" x14ac:dyDescent="0.2">
      <c r="C60" s="61">
        <v>41409.583333333336</v>
      </c>
      <c r="D60" s="60">
        <v>10300</v>
      </c>
      <c r="E60" s="59" t="s">
        <v>66</v>
      </c>
    </row>
    <row r="61" spans="3:11" ht="15" x14ac:dyDescent="0.2">
      <c r="C61" s="61">
        <v>41409.59375</v>
      </c>
      <c r="D61" s="60">
        <v>10300</v>
      </c>
      <c r="E61" s="59" t="s">
        <v>66</v>
      </c>
    </row>
    <row r="62" spans="3:11" ht="15" x14ac:dyDescent="0.2">
      <c r="C62" s="61">
        <v>41409.604166666664</v>
      </c>
      <c r="D62" s="60">
        <v>10200</v>
      </c>
      <c r="E62" s="59" t="s">
        <v>68</v>
      </c>
    </row>
    <row r="63" spans="3:11" ht="15" x14ac:dyDescent="0.2">
      <c r="C63" s="61">
        <v>41409.614583333336</v>
      </c>
      <c r="D63" s="60">
        <v>10200</v>
      </c>
      <c r="E63" s="59" t="s">
        <v>68</v>
      </c>
    </row>
    <row r="64" spans="3:11" ht="15" x14ac:dyDescent="0.2">
      <c r="C64" s="61">
        <v>41409.625</v>
      </c>
      <c r="D64" s="60">
        <v>10200</v>
      </c>
      <c r="E64" s="59" t="s">
        <v>69</v>
      </c>
    </row>
    <row r="65" spans="3:5" ht="15" x14ac:dyDescent="0.2">
      <c r="C65" s="61">
        <v>41409.635416666664</v>
      </c>
      <c r="D65" s="60">
        <v>10200</v>
      </c>
      <c r="E65" s="59" t="s">
        <v>69</v>
      </c>
    </row>
    <row r="66" spans="3:5" ht="15" x14ac:dyDescent="0.2">
      <c r="C66" s="61">
        <v>41409.645833333336</v>
      </c>
      <c r="D66" s="60">
        <v>10200</v>
      </c>
      <c r="E66" s="59" t="s">
        <v>70</v>
      </c>
    </row>
    <row r="67" spans="3:5" ht="15" x14ac:dyDescent="0.2">
      <c r="C67" s="61">
        <v>41409.65625</v>
      </c>
      <c r="D67" s="60">
        <v>10200</v>
      </c>
      <c r="E67" s="59" t="s">
        <v>67</v>
      </c>
    </row>
    <row r="68" spans="3:5" ht="15" x14ac:dyDescent="0.2">
      <c r="C68" s="61">
        <v>41409.666666666664</v>
      </c>
      <c r="D68" s="60">
        <v>10200</v>
      </c>
      <c r="E68" s="59" t="s">
        <v>71</v>
      </c>
    </row>
    <row r="69" spans="3:5" ht="15" x14ac:dyDescent="0.2">
      <c r="C69" s="61">
        <v>41409.677083333336</v>
      </c>
      <c r="D69" s="60">
        <v>10100</v>
      </c>
      <c r="E69" s="59" t="s">
        <v>72</v>
      </c>
    </row>
    <row r="70" spans="3:5" ht="15" x14ac:dyDescent="0.2">
      <c r="C70" s="61">
        <v>41409.6875</v>
      </c>
      <c r="D70" s="60">
        <v>10100</v>
      </c>
      <c r="E70" s="59" t="s">
        <v>73</v>
      </c>
    </row>
    <row r="71" spans="3:5" ht="15" x14ac:dyDescent="0.2">
      <c r="C71" s="61">
        <v>41409.697916666664</v>
      </c>
      <c r="D71" s="60">
        <v>10100</v>
      </c>
      <c r="E71" s="59" t="s">
        <v>73</v>
      </c>
    </row>
    <row r="72" spans="3:5" ht="15" x14ac:dyDescent="0.2">
      <c r="C72" s="61">
        <v>41409.708333333336</v>
      </c>
      <c r="D72" s="60">
        <v>10100</v>
      </c>
      <c r="E72" s="59" t="s">
        <v>74</v>
      </c>
    </row>
    <row r="73" spans="3:5" ht="15" x14ac:dyDescent="0.2">
      <c r="C73" s="61">
        <v>41409.71875</v>
      </c>
      <c r="D73" s="60">
        <v>10100</v>
      </c>
      <c r="E73" s="59" t="s">
        <v>74</v>
      </c>
    </row>
    <row r="74" spans="3:5" ht="15" x14ac:dyDescent="0.2">
      <c r="C74" s="61">
        <v>41409.729166666664</v>
      </c>
      <c r="D74" s="60">
        <v>10100</v>
      </c>
      <c r="E74" s="59" t="s">
        <v>75</v>
      </c>
    </row>
    <row r="75" spans="3:5" ht="15" x14ac:dyDescent="0.2">
      <c r="C75" s="61">
        <v>41409.739583333336</v>
      </c>
      <c r="D75" s="60">
        <v>10100</v>
      </c>
      <c r="E75" s="59" t="s">
        <v>75</v>
      </c>
    </row>
    <row r="76" spans="3:5" ht="15" x14ac:dyDescent="0.2">
      <c r="C76" s="61">
        <v>41409.75</v>
      </c>
      <c r="D76" s="60">
        <v>10000</v>
      </c>
      <c r="E76" s="59" t="s">
        <v>76</v>
      </c>
    </row>
    <row r="77" spans="3:5" ht="15" x14ac:dyDescent="0.2">
      <c r="C77" s="61">
        <v>41409.760416666664</v>
      </c>
      <c r="D77" s="60">
        <v>10000</v>
      </c>
      <c r="E77" s="59" t="s">
        <v>77</v>
      </c>
    </row>
    <row r="78" spans="3:5" ht="15" x14ac:dyDescent="0.2">
      <c r="C78" s="61">
        <v>41409.770833333336</v>
      </c>
      <c r="D78" s="60">
        <v>10000</v>
      </c>
      <c r="E78" s="59" t="s">
        <v>78</v>
      </c>
    </row>
    <row r="79" spans="3:5" ht="15" x14ac:dyDescent="0.2">
      <c r="C79" s="61">
        <v>41409.78125</v>
      </c>
      <c r="D79" s="60">
        <v>10000</v>
      </c>
      <c r="E79" s="59" t="s">
        <v>78</v>
      </c>
    </row>
    <row r="80" spans="3:5" ht="15" x14ac:dyDescent="0.2">
      <c r="C80" s="61">
        <v>41409.791666666664</v>
      </c>
      <c r="D80" s="60">
        <v>9990</v>
      </c>
      <c r="E80" s="59" t="s">
        <v>79</v>
      </c>
    </row>
    <row r="81" spans="3:5" ht="15" x14ac:dyDescent="0.2">
      <c r="C81" s="61">
        <v>41409.802083333336</v>
      </c>
      <c r="D81" s="60">
        <v>9990</v>
      </c>
      <c r="E81" s="59" t="s">
        <v>79</v>
      </c>
    </row>
    <row r="82" spans="3:5" ht="15" x14ac:dyDescent="0.2">
      <c r="C82" s="61">
        <v>41409.8125</v>
      </c>
      <c r="D82" s="60">
        <v>9950</v>
      </c>
      <c r="E82" s="59" t="s">
        <v>80</v>
      </c>
    </row>
    <row r="83" spans="3:5" ht="15" x14ac:dyDescent="0.2">
      <c r="C83" s="61">
        <v>41409.822916666664</v>
      </c>
      <c r="D83" s="60">
        <v>9950</v>
      </c>
      <c r="E83" s="59" t="s">
        <v>80</v>
      </c>
    </row>
    <row r="84" spans="3:5" ht="15" x14ac:dyDescent="0.2">
      <c r="C84" s="61">
        <v>41409.833333333336</v>
      </c>
      <c r="D84" s="60">
        <v>9930</v>
      </c>
      <c r="E84" s="59" t="s">
        <v>81</v>
      </c>
    </row>
    <row r="85" spans="3:5" ht="15" x14ac:dyDescent="0.2">
      <c r="C85" s="61">
        <v>41409.84375</v>
      </c>
      <c r="D85" s="60">
        <v>9910</v>
      </c>
      <c r="E85" s="59" t="s">
        <v>82</v>
      </c>
    </row>
    <row r="86" spans="3:5" ht="15" x14ac:dyDescent="0.2">
      <c r="C86" s="61">
        <v>41409.854166666664</v>
      </c>
      <c r="D86" s="60">
        <v>9890</v>
      </c>
      <c r="E86" s="59" t="s">
        <v>83</v>
      </c>
    </row>
    <row r="87" spans="3:5" ht="15" x14ac:dyDescent="0.2">
      <c r="C87" s="61">
        <v>41409.864583333336</v>
      </c>
      <c r="D87" s="60">
        <v>9880</v>
      </c>
      <c r="E87" s="59" t="s">
        <v>84</v>
      </c>
    </row>
    <row r="88" spans="3:5" ht="15" x14ac:dyDescent="0.2">
      <c r="C88" s="61">
        <v>41409.875</v>
      </c>
      <c r="D88" s="60">
        <v>9860</v>
      </c>
      <c r="E88" s="59" t="s">
        <v>85</v>
      </c>
    </row>
    <row r="89" spans="3:5" ht="15" x14ac:dyDescent="0.2">
      <c r="C89" s="61">
        <v>41409.885416666664</v>
      </c>
      <c r="D89" s="60">
        <v>9840</v>
      </c>
      <c r="E89" s="59" t="s">
        <v>86</v>
      </c>
    </row>
    <row r="90" spans="3:5" ht="15" x14ac:dyDescent="0.2">
      <c r="C90" s="61">
        <v>41409.895833333336</v>
      </c>
      <c r="D90" s="60">
        <v>9820</v>
      </c>
      <c r="E90" s="59" t="s">
        <v>87</v>
      </c>
    </row>
    <row r="91" spans="3:5" ht="15" x14ac:dyDescent="0.2">
      <c r="C91" s="61">
        <v>41409.90625</v>
      </c>
      <c r="D91" s="60">
        <v>9800</v>
      </c>
      <c r="E91" s="59" t="s">
        <v>88</v>
      </c>
    </row>
    <row r="92" spans="3:5" ht="15" x14ac:dyDescent="0.2">
      <c r="C92" s="61">
        <v>41409.916666666664</v>
      </c>
      <c r="D92" s="60">
        <v>9780</v>
      </c>
      <c r="E92" s="59" t="s">
        <v>89</v>
      </c>
    </row>
    <row r="93" spans="3:5" ht="15" x14ac:dyDescent="0.2">
      <c r="C93" s="61">
        <v>41409.927083333336</v>
      </c>
      <c r="D93" s="60">
        <v>9760</v>
      </c>
      <c r="E93" s="59" t="s">
        <v>90</v>
      </c>
    </row>
    <row r="94" spans="3:5" ht="15" x14ac:dyDescent="0.2">
      <c r="C94" s="61">
        <v>41409.9375</v>
      </c>
      <c r="D94" s="60">
        <v>9740</v>
      </c>
      <c r="E94" s="59" t="s">
        <v>91</v>
      </c>
    </row>
    <row r="95" spans="3:5" ht="15" x14ac:dyDescent="0.2">
      <c r="C95" s="61">
        <v>41409.947916666664</v>
      </c>
      <c r="D95" s="60">
        <v>9740</v>
      </c>
      <c r="E95" s="59" t="s">
        <v>91</v>
      </c>
    </row>
    <row r="96" spans="3:5" ht="15" x14ac:dyDescent="0.2">
      <c r="C96" s="61">
        <v>41409.958333333336</v>
      </c>
      <c r="D96" s="60">
        <v>9730</v>
      </c>
      <c r="E96" s="59" t="s">
        <v>92</v>
      </c>
    </row>
    <row r="97" spans="3:5" ht="15" x14ac:dyDescent="0.2">
      <c r="C97" s="61">
        <v>41409.96875</v>
      </c>
      <c r="D97" s="60">
        <v>9730</v>
      </c>
      <c r="E97" s="59" t="s">
        <v>92</v>
      </c>
    </row>
    <row r="98" spans="3:5" ht="15" x14ac:dyDescent="0.2">
      <c r="C98" s="61">
        <v>41409.979166666664</v>
      </c>
      <c r="D98" s="60">
        <v>9710</v>
      </c>
      <c r="E98" s="59" t="s">
        <v>93</v>
      </c>
    </row>
    <row r="99" spans="3:5" ht="15" x14ac:dyDescent="0.2">
      <c r="C99" s="61">
        <v>41409.989583333336</v>
      </c>
      <c r="D99" s="60">
        <v>9710</v>
      </c>
      <c r="E99" s="59" t="s">
        <v>93</v>
      </c>
    </row>
    <row r="100" spans="3:5" ht="15" x14ac:dyDescent="0.2">
      <c r="C100" s="61">
        <v>41410</v>
      </c>
      <c r="D100" s="60">
        <v>9690</v>
      </c>
      <c r="E100" s="59" t="s">
        <v>94</v>
      </c>
    </row>
    <row r="101" spans="3:5" ht="15" x14ac:dyDescent="0.2">
      <c r="C101" s="61">
        <v>41410.010416666664</v>
      </c>
      <c r="D101" s="60">
        <v>9670</v>
      </c>
      <c r="E101" s="59" t="s">
        <v>95</v>
      </c>
    </row>
    <row r="102" spans="3:5" ht="15" x14ac:dyDescent="0.2">
      <c r="C102" s="61">
        <v>41410.020833333336</v>
      </c>
      <c r="D102" s="60">
        <v>9650</v>
      </c>
      <c r="E102" s="59" t="s">
        <v>96</v>
      </c>
    </row>
    <row r="103" spans="3:5" ht="15" x14ac:dyDescent="0.2">
      <c r="C103" s="61">
        <v>41410.03125</v>
      </c>
      <c r="D103" s="60">
        <v>9630</v>
      </c>
      <c r="E103" s="59" t="s">
        <v>97</v>
      </c>
    </row>
    <row r="104" spans="3:5" ht="15" x14ac:dyDescent="0.2">
      <c r="C104" s="61">
        <v>41410.041666666664</v>
      </c>
      <c r="D104" s="60">
        <v>9610</v>
      </c>
      <c r="E104" s="59" t="s">
        <v>98</v>
      </c>
    </row>
    <row r="105" spans="3:5" ht="15" x14ac:dyDescent="0.2">
      <c r="C105" s="61">
        <v>41410.052083333336</v>
      </c>
      <c r="D105" s="60">
        <v>9590</v>
      </c>
      <c r="E105" s="59" t="s">
        <v>99</v>
      </c>
    </row>
    <row r="106" spans="3:5" ht="15" x14ac:dyDescent="0.2">
      <c r="C106" s="61">
        <v>41410.0625</v>
      </c>
      <c r="D106" s="60">
        <v>9580</v>
      </c>
      <c r="E106" s="59" t="s">
        <v>100</v>
      </c>
    </row>
    <row r="107" spans="3:5" ht="15" x14ac:dyDescent="0.2">
      <c r="C107" s="61">
        <v>41410.072916666664</v>
      </c>
      <c r="D107" s="60">
        <v>9580</v>
      </c>
      <c r="E107" s="59" t="s">
        <v>100</v>
      </c>
    </row>
    <row r="108" spans="3:5" ht="15" x14ac:dyDescent="0.2">
      <c r="C108" s="61">
        <v>41410.083333333336</v>
      </c>
      <c r="D108" s="60">
        <v>9580</v>
      </c>
      <c r="E108" s="59" t="s">
        <v>100</v>
      </c>
    </row>
    <row r="109" spans="3:5" ht="15" x14ac:dyDescent="0.2">
      <c r="C109" s="61">
        <v>41410.09375</v>
      </c>
      <c r="D109" s="60">
        <v>9560</v>
      </c>
      <c r="E109" s="59" t="s">
        <v>101</v>
      </c>
    </row>
    <row r="110" spans="3:5" ht="15" x14ac:dyDescent="0.2">
      <c r="C110" s="61">
        <v>41410.104166666664</v>
      </c>
      <c r="D110" s="60">
        <v>9540</v>
      </c>
      <c r="E110" s="59" t="s">
        <v>102</v>
      </c>
    </row>
    <row r="111" spans="3:5" ht="15" x14ac:dyDescent="0.2">
      <c r="C111" s="61">
        <v>41410.114583333336</v>
      </c>
      <c r="D111" s="60">
        <v>9520</v>
      </c>
      <c r="E111" s="59" t="s">
        <v>103</v>
      </c>
    </row>
    <row r="112" spans="3:5" ht="15" x14ac:dyDescent="0.2">
      <c r="C112" s="61">
        <v>41410.125</v>
      </c>
      <c r="D112" s="60">
        <v>9500</v>
      </c>
      <c r="E112" s="59" t="s">
        <v>104</v>
      </c>
    </row>
    <row r="113" spans="3:5" ht="15" x14ac:dyDescent="0.2">
      <c r="C113" s="61">
        <v>41410.135416666664</v>
      </c>
      <c r="D113" s="60">
        <v>9480</v>
      </c>
      <c r="E113" s="59" t="s">
        <v>105</v>
      </c>
    </row>
    <row r="114" spans="3:5" ht="15" x14ac:dyDescent="0.2">
      <c r="C114" s="61">
        <v>41410.145833333336</v>
      </c>
      <c r="D114" s="60">
        <v>9460</v>
      </c>
      <c r="E114" s="59" t="s">
        <v>106</v>
      </c>
    </row>
    <row r="115" spans="3:5" ht="15" x14ac:dyDescent="0.2">
      <c r="C115" s="61">
        <v>41410.15625</v>
      </c>
      <c r="D115" s="60">
        <v>9450</v>
      </c>
      <c r="E115" s="59" t="s">
        <v>107</v>
      </c>
    </row>
    <row r="116" spans="3:5" ht="15" x14ac:dyDescent="0.2">
      <c r="C116" s="61">
        <v>41410.166666666664</v>
      </c>
      <c r="D116" s="60">
        <v>9430</v>
      </c>
      <c r="E116" s="59" t="s">
        <v>108</v>
      </c>
    </row>
    <row r="117" spans="3:5" ht="15" x14ac:dyDescent="0.2">
      <c r="C117" s="61">
        <v>41410.177083333336</v>
      </c>
      <c r="D117" s="60">
        <v>9410</v>
      </c>
      <c r="E117" s="59" t="s">
        <v>109</v>
      </c>
    </row>
    <row r="118" spans="3:5" ht="15" x14ac:dyDescent="0.2">
      <c r="C118" s="61">
        <v>41410.1875</v>
      </c>
      <c r="D118" s="60">
        <v>9410</v>
      </c>
      <c r="E118" s="59" t="s">
        <v>109</v>
      </c>
    </row>
    <row r="119" spans="3:5" ht="15" x14ac:dyDescent="0.2">
      <c r="C119" s="61">
        <v>41410.197916666664</v>
      </c>
      <c r="D119" s="60">
        <v>9390</v>
      </c>
      <c r="E119" s="59" t="s">
        <v>110</v>
      </c>
    </row>
    <row r="120" spans="3:5" ht="15" x14ac:dyDescent="0.2">
      <c r="C120" s="61">
        <v>41410.208333333336</v>
      </c>
      <c r="D120" s="60">
        <v>9370</v>
      </c>
      <c r="E120" s="59" t="s">
        <v>111</v>
      </c>
    </row>
    <row r="121" spans="3:5" ht="15" x14ac:dyDescent="0.2">
      <c r="C121" s="61">
        <v>41410.21875</v>
      </c>
      <c r="D121" s="60">
        <v>9350</v>
      </c>
      <c r="E121" s="59" t="s">
        <v>112</v>
      </c>
    </row>
    <row r="122" spans="3:5" ht="15" x14ac:dyDescent="0.2">
      <c r="C122" s="61">
        <v>41410.229166666664</v>
      </c>
      <c r="D122" s="60">
        <v>9330</v>
      </c>
      <c r="E122" s="59" t="s">
        <v>113</v>
      </c>
    </row>
    <row r="123" spans="3:5" ht="15" x14ac:dyDescent="0.2">
      <c r="C123" s="61">
        <v>41410.239583333336</v>
      </c>
      <c r="D123" s="60">
        <v>9330</v>
      </c>
      <c r="E123" s="59" t="s">
        <v>113</v>
      </c>
    </row>
    <row r="124" spans="3:5" ht="15" x14ac:dyDescent="0.2">
      <c r="C124" s="61">
        <v>41410.25</v>
      </c>
      <c r="D124" s="60">
        <v>9320</v>
      </c>
      <c r="E124" s="59" t="s">
        <v>114</v>
      </c>
    </row>
    <row r="125" spans="3:5" ht="15" x14ac:dyDescent="0.2">
      <c r="C125" s="61">
        <v>41410.260416666664</v>
      </c>
      <c r="D125" s="60">
        <v>9300</v>
      </c>
      <c r="E125" s="59" t="s">
        <v>115</v>
      </c>
    </row>
    <row r="126" spans="3:5" ht="15" x14ac:dyDescent="0.2">
      <c r="C126" s="61">
        <v>41410.270833333336</v>
      </c>
      <c r="D126" s="60">
        <v>9300</v>
      </c>
      <c r="E126" s="59" t="s">
        <v>115</v>
      </c>
    </row>
    <row r="127" spans="3:5" ht="15" x14ac:dyDescent="0.2">
      <c r="C127" s="61">
        <v>41410.28125</v>
      </c>
      <c r="D127" s="60">
        <v>9280</v>
      </c>
      <c r="E127" s="59" t="s">
        <v>116</v>
      </c>
    </row>
    <row r="128" spans="3:5" ht="15" x14ac:dyDescent="0.2">
      <c r="C128" s="61">
        <v>41410.291666666664</v>
      </c>
      <c r="D128" s="60">
        <v>9260</v>
      </c>
      <c r="E128" s="59" t="s">
        <v>117</v>
      </c>
    </row>
    <row r="129" spans="3:5" ht="15" x14ac:dyDescent="0.2">
      <c r="C129" s="61">
        <v>41410.302083333336</v>
      </c>
      <c r="D129" s="60">
        <v>9260</v>
      </c>
      <c r="E129" s="59" t="s">
        <v>117</v>
      </c>
    </row>
    <row r="130" spans="3:5" ht="15" x14ac:dyDescent="0.2">
      <c r="C130" s="61">
        <v>41410.3125</v>
      </c>
      <c r="D130" s="60">
        <v>9240</v>
      </c>
      <c r="E130" s="59" t="s">
        <v>118</v>
      </c>
    </row>
    <row r="131" spans="3:5" ht="15" x14ac:dyDescent="0.2">
      <c r="C131" s="61">
        <v>41410.322916666664</v>
      </c>
      <c r="D131" s="60">
        <v>9220</v>
      </c>
      <c r="E131" s="59" t="s">
        <v>119</v>
      </c>
    </row>
    <row r="132" spans="3:5" ht="15" x14ac:dyDescent="0.2">
      <c r="C132" s="61">
        <v>41410.333333333336</v>
      </c>
      <c r="D132" s="60">
        <v>9200</v>
      </c>
      <c r="E132" s="59" t="s">
        <v>120</v>
      </c>
    </row>
    <row r="133" spans="3:5" ht="15" x14ac:dyDescent="0.2">
      <c r="C133" s="61">
        <v>41410.34375</v>
      </c>
      <c r="D133" s="60">
        <v>9200</v>
      </c>
      <c r="E133" s="59" t="s">
        <v>120</v>
      </c>
    </row>
    <row r="134" spans="3:5" ht="15" x14ac:dyDescent="0.2">
      <c r="C134" s="61">
        <v>41410.354166666664</v>
      </c>
      <c r="D134" s="60">
        <v>9190</v>
      </c>
      <c r="E134" s="59" t="s">
        <v>121</v>
      </c>
    </row>
    <row r="135" spans="3:5" ht="15" x14ac:dyDescent="0.2">
      <c r="C135" s="61">
        <v>41410.364583333336</v>
      </c>
      <c r="D135" s="60">
        <v>9190</v>
      </c>
      <c r="E135" s="59" t="s">
        <v>121</v>
      </c>
    </row>
    <row r="136" spans="3:5" ht="15" x14ac:dyDescent="0.2">
      <c r="C136" s="61">
        <v>41410.375</v>
      </c>
      <c r="D136" s="60">
        <v>9170</v>
      </c>
      <c r="E136" s="59" t="s">
        <v>122</v>
      </c>
    </row>
    <row r="137" spans="3:5" ht="15" x14ac:dyDescent="0.2">
      <c r="C137" s="61">
        <v>41410.385416666664</v>
      </c>
      <c r="D137" s="60">
        <v>9150</v>
      </c>
      <c r="E137" s="59" t="s">
        <v>123</v>
      </c>
    </row>
    <row r="138" spans="3:5" ht="15" x14ac:dyDescent="0.2">
      <c r="C138" s="61">
        <v>41410.395833333336</v>
      </c>
      <c r="D138" s="60">
        <v>9130</v>
      </c>
      <c r="E138" s="59" t="s">
        <v>124</v>
      </c>
    </row>
    <row r="139" spans="3:5" ht="15" x14ac:dyDescent="0.2">
      <c r="C139" s="61">
        <v>41410.40625</v>
      </c>
      <c r="D139" s="60">
        <v>9130</v>
      </c>
      <c r="E139" s="59" t="s">
        <v>124</v>
      </c>
    </row>
    <row r="140" spans="3:5" ht="15" x14ac:dyDescent="0.2">
      <c r="C140" s="61">
        <v>41410.416666666664</v>
      </c>
      <c r="D140" s="60">
        <v>9110</v>
      </c>
      <c r="E140" s="59" t="s">
        <v>125</v>
      </c>
    </row>
    <row r="141" spans="3:5" ht="15" x14ac:dyDescent="0.2">
      <c r="C141" s="61">
        <v>41410.427083333336</v>
      </c>
      <c r="D141" s="60">
        <v>9090</v>
      </c>
      <c r="E141" s="59" t="s">
        <v>126</v>
      </c>
    </row>
    <row r="142" spans="3:5" ht="15" x14ac:dyDescent="0.2">
      <c r="C142" s="61">
        <v>41410.4375</v>
      </c>
      <c r="D142" s="60">
        <v>9090</v>
      </c>
      <c r="E142" s="59" t="s">
        <v>126</v>
      </c>
    </row>
    <row r="143" spans="3:5" ht="15" x14ac:dyDescent="0.2">
      <c r="C143" s="61">
        <v>41410.447916666664</v>
      </c>
      <c r="D143" s="60">
        <v>9080</v>
      </c>
      <c r="E143" s="59" t="s">
        <v>127</v>
      </c>
    </row>
    <row r="144" spans="3:5" ht="15" x14ac:dyDescent="0.2">
      <c r="C144" s="61">
        <v>41410.458333333336</v>
      </c>
      <c r="D144" s="60">
        <v>9080</v>
      </c>
      <c r="E144" s="59" t="s">
        <v>127</v>
      </c>
    </row>
    <row r="145" spans="3:5" ht="15" x14ac:dyDescent="0.2">
      <c r="C145" s="61">
        <v>41410.46875</v>
      </c>
      <c r="D145" s="60">
        <v>9060</v>
      </c>
      <c r="E145" s="59" t="s">
        <v>128</v>
      </c>
    </row>
    <row r="146" spans="3:5" ht="15" x14ac:dyDescent="0.2">
      <c r="C146" s="61">
        <v>41410.479166666664</v>
      </c>
      <c r="D146" s="60">
        <v>9060</v>
      </c>
      <c r="E146" s="59" t="s">
        <v>128</v>
      </c>
    </row>
    <row r="147" spans="3:5" ht="15" x14ac:dyDescent="0.2">
      <c r="C147" s="61">
        <v>41410.489583333336</v>
      </c>
      <c r="D147" s="60">
        <v>9040</v>
      </c>
      <c r="E147" s="59" t="s">
        <v>129</v>
      </c>
    </row>
    <row r="148" spans="3:5" ht="15" x14ac:dyDescent="0.2">
      <c r="C148" s="61">
        <v>41410.5</v>
      </c>
      <c r="D148" s="60">
        <v>9040</v>
      </c>
      <c r="E148" s="59" t="s">
        <v>129</v>
      </c>
    </row>
    <row r="149" spans="3:5" ht="15" x14ac:dyDescent="0.2">
      <c r="C149" s="61">
        <v>41410.510416666664</v>
      </c>
      <c r="D149" s="60">
        <v>9020</v>
      </c>
      <c r="E149" s="59" t="s">
        <v>130</v>
      </c>
    </row>
    <row r="150" spans="3:5" ht="15" x14ac:dyDescent="0.2">
      <c r="C150" s="61">
        <v>41410.520833333336</v>
      </c>
      <c r="D150" s="60">
        <v>9000</v>
      </c>
      <c r="E150" s="59" t="s">
        <v>131</v>
      </c>
    </row>
    <row r="151" spans="3:5" ht="15" x14ac:dyDescent="0.2">
      <c r="C151" s="61">
        <v>41410.53125</v>
      </c>
      <c r="D151" s="60">
        <v>8980</v>
      </c>
      <c r="E151" s="59" t="s">
        <v>132</v>
      </c>
    </row>
    <row r="152" spans="3:5" ht="15" x14ac:dyDescent="0.2">
      <c r="C152" s="61">
        <v>41410.541666666664</v>
      </c>
      <c r="D152" s="60">
        <v>8980</v>
      </c>
      <c r="E152" s="59" t="s">
        <v>132</v>
      </c>
    </row>
    <row r="153" spans="3:5" ht="15" x14ac:dyDescent="0.2">
      <c r="C153" s="61">
        <v>41410.552083333336</v>
      </c>
      <c r="D153" s="60">
        <v>8970</v>
      </c>
      <c r="E153" s="59" t="s">
        <v>133</v>
      </c>
    </row>
    <row r="154" spans="3:5" ht="15" x14ac:dyDescent="0.2">
      <c r="C154" s="61">
        <v>41410.5625</v>
      </c>
      <c r="D154" s="60">
        <v>8950</v>
      </c>
      <c r="E154" s="59" t="s">
        <v>134</v>
      </c>
    </row>
    <row r="155" spans="3:5" ht="15" x14ac:dyDescent="0.2">
      <c r="C155" s="61">
        <v>41410.572916666664</v>
      </c>
      <c r="D155" s="60">
        <v>8930</v>
      </c>
      <c r="E155" s="59" t="s">
        <v>135</v>
      </c>
    </row>
    <row r="156" spans="3:5" ht="15" x14ac:dyDescent="0.2">
      <c r="C156" s="61">
        <v>41410.583333333336</v>
      </c>
      <c r="D156" s="60">
        <v>8930</v>
      </c>
      <c r="E156" s="59" t="s">
        <v>135</v>
      </c>
    </row>
    <row r="157" spans="3:5" ht="15" x14ac:dyDescent="0.2">
      <c r="C157" s="61">
        <v>41410.59375</v>
      </c>
      <c r="D157" s="60">
        <v>8910</v>
      </c>
      <c r="E157" s="59" t="s">
        <v>136</v>
      </c>
    </row>
    <row r="158" spans="3:5" ht="15" x14ac:dyDescent="0.2">
      <c r="C158" s="61">
        <v>41410.604166666664</v>
      </c>
      <c r="D158" s="60">
        <v>8890</v>
      </c>
      <c r="E158" s="59" t="s">
        <v>137</v>
      </c>
    </row>
    <row r="159" spans="3:5" ht="15" x14ac:dyDescent="0.2">
      <c r="C159" s="61">
        <v>41410.614583333336</v>
      </c>
      <c r="D159" s="60">
        <v>8870</v>
      </c>
      <c r="E159" s="59" t="s">
        <v>138</v>
      </c>
    </row>
    <row r="160" spans="3:5" ht="15" x14ac:dyDescent="0.2">
      <c r="C160" s="61">
        <v>41410.625</v>
      </c>
      <c r="D160" s="60">
        <v>8860</v>
      </c>
      <c r="E160" s="59" t="s">
        <v>139</v>
      </c>
    </row>
    <row r="161" spans="3:5" ht="15" x14ac:dyDescent="0.2">
      <c r="C161" s="61">
        <v>41410.635416666664</v>
      </c>
      <c r="D161" s="60">
        <v>8840</v>
      </c>
      <c r="E161" s="59" t="s">
        <v>140</v>
      </c>
    </row>
    <row r="162" spans="3:5" ht="15" x14ac:dyDescent="0.2">
      <c r="C162" s="61">
        <v>41410.645833333336</v>
      </c>
      <c r="D162" s="60">
        <v>8820</v>
      </c>
      <c r="E162" s="59" t="s">
        <v>141</v>
      </c>
    </row>
    <row r="163" spans="3:5" ht="15" x14ac:dyDescent="0.2">
      <c r="C163" s="61">
        <v>41410.65625</v>
      </c>
      <c r="D163" s="60">
        <v>8800</v>
      </c>
      <c r="E163" s="59" t="s">
        <v>142</v>
      </c>
    </row>
    <row r="164" spans="3:5" ht="15" x14ac:dyDescent="0.2">
      <c r="C164" s="61">
        <v>41410.666666666664</v>
      </c>
      <c r="D164" s="60">
        <v>8780</v>
      </c>
      <c r="E164" s="59" t="s">
        <v>143</v>
      </c>
    </row>
    <row r="165" spans="3:5" ht="15" x14ac:dyDescent="0.2">
      <c r="C165" s="61">
        <v>41410.677083333336</v>
      </c>
      <c r="D165" s="60">
        <v>8770</v>
      </c>
      <c r="E165" s="59" t="s">
        <v>144</v>
      </c>
    </row>
    <row r="166" spans="3:5" ht="15" x14ac:dyDescent="0.2">
      <c r="C166" s="61">
        <v>41410.6875</v>
      </c>
      <c r="D166" s="60">
        <v>8750</v>
      </c>
      <c r="E166" s="59" t="s">
        <v>145</v>
      </c>
    </row>
    <row r="167" spans="3:5" ht="15" x14ac:dyDescent="0.2">
      <c r="C167" s="61">
        <v>41410.697916666664</v>
      </c>
      <c r="D167" s="60">
        <v>8730</v>
      </c>
      <c r="E167" s="59" t="s">
        <v>146</v>
      </c>
    </row>
    <row r="168" spans="3:5" ht="15" x14ac:dyDescent="0.2">
      <c r="C168" s="61">
        <v>41410.708333333336</v>
      </c>
      <c r="D168" s="60">
        <v>8710</v>
      </c>
      <c r="E168" s="59" t="s">
        <v>147</v>
      </c>
    </row>
    <row r="169" spans="3:5" ht="15" x14ac:dyDescent="0.2">
      <c r="C169" s="61">
        <v>41410.71875</v>
      </c>
      <c r="D169" s="60">
        <v>8710</v>
      </c>
      <c r="E169" s="59" t="s">
        <v>147</v>
      </c>
    </row>
    <row r="170" spans="3:5" ht="15" x14ac:dyDescent="0.2">
      <c r="C170" s="61">
        <v>41410.729166666664</v>
      </c>
      <c r="D170" s="60">
        <v>8690</v>
      </c>
      <c r="E170" s="59" t="s">
        <v>148</v>
      </c>
    </row>
    <row r="171" spans="3:5" ht="15" x14ac:dyDescent="0.2">
      <c r="C171" s="61">
        <v>41410.739583333336</v>
      </c>
      <c r="D171" s="60">
        <v>8670</v>
      </c>
      <c r="E171" s="59" t="s">
        <v>149</v>
      </c>
    </row>
    <row r="172" spans="3:5" ht="15" x14ac:dyDescent="0.2">
      <c r="C172" s="61">
        <v>41410.75</v>
      </c>
      <c r="D172" s="60">
        <v>8660</v>
      </c>
      <c r="E172" s="59" t="s">
        <v>150</v>
      </c>
    </row>
    <row r="173" spans="3:5" ht="15" x14ac:dyDescent="0.2">
      <c r="C173" s="61">
        <v>41410.760416666664</v>
      </c>
      <c r="D173" s="60">
        <v>8640</v>
      </c>
      <c r="E173" s="59" t="s">
        <v>151</v>
      </c>
    </row>
    <row r="174" spans="3:5" ht="15" x14ac:dyDescent="0.2">
      <c r="C174" s="61">
        <v>41410.770833333336</v>
      </c>
      <c r="D174" s="60">
        <v>8620</v>
      </c>
      <c r="E174" s="59" t="s">
        <v>152</v>
      </c>
    </row>
    <row r="175" spans="3:5" ht="15" x14ac:dyDescent="0.2">
      <c r="C175" s="61">
        <v>41410.78125</v>
      </c>
      <c r="D175" s="60">
        <v>8600</v>
      </c>
      <c r="E175" s="59" t="s">
        <v>153</v>
      </c>
    </row>
    <row r="176" spans="3:5" ht="15" x14ac:dyDescent="0.2">
      <c r="C176" s="61">
        <v>41410.791666666664</v>
      </c>
      <c r="D176" s="60">
        <v>8580</v>
      </c>
      <c r="E176" s="59" t="s">
        <v>154</v>
      </c>
    </row>
    <row r="177" spans="3:5" ht="15" x14ac:dyDescent="0.2">
      <c r="C177" s="61">
        <v>41410.802083333336</v>
      </c>
      <c r="D177" s="60">
        <v>8570</v>
      </c>
      <c r="E177" s="59" t="s">
        <v>155</v>
      </c>
    </row>
    <row r="178" spans="3:5" ht="15" x14ac:dyDescent="0.2">
      <c r="C178" s="61">
        <v>41410.8125</v>
      </c>
      <c r="D178" s="60">
        <v>8550</v>
      </c>
      <c r="E178" s="59" t="s">
        <v>156</v>
      </c>
    </row>
    <row r="179" spans="3:5" ht="15" x14ac:dyDescent="0.2">
      <c r="C179" s="61">
        <v>41410.822916666664</v>
      </c>
      <c r="D179" s="60">
        <v>8530</v>
      </c>
      <c r="E179" s="59" t="s">
        <v>157</v>
      </c>
    </row>
    <row r="180" spans="3:5" ht="15" x14ac:dyDescent="0.2">
      <c r="C180" s="61">
        <v>41410.833333333336</v>
      </c>
      <c r="D180" s="60">
        <v>8510</v>
      </c>
      <c r="E180" s="59" t="s">
        <v>158</v>
      </c>
    </row>
    <row r="181" spans="3:5" ht="15" x14ac:dyDescent="0.2">
      <c r="C181" s="61">
        <v>41410.84375</v>
      </c>
      <c r="D181" s="60">
        <v>8490</v>
      </c>
      <c r="E181" s="59" t="s">
        <v>159</v>
      </c>
    </row>
    <row r="182" spans="3:5" ht="15" x14ac:dyDescent="0.2">
      <c r="C182" s="61">
        <v>41410.854166666664</v>
      </c>
      <c r="D182" s="60">
        <v>8480</v>
      </c>
      <c r="E182" s="59" t="s">
        <v>160</v>
      </c>
    </row>
    <row r="183" spans="3:5" ht="15" x14ac:dyDescent="0.2">
      <c r="C183" s="61">
        <v>41410.864583333336</v>
      </c>
      <c r="D183" s="60">
        <v>8460</v>
      </c>
      <c r="E183" s="59" t="s">
        <v>161</v>
      </c>
    </row>
    <row r="184" spans="3:5" ht="15" x14ac:dyDescent="0.2">
      <c r="C184" s="61">
        <v>41410.875</v>
      </c>
      <c r="D184" s="60">
        <v>8440</v>
      </c>
      <c r="E184" s="59" t="s">
        <v>162</v>
      </c>
    </row>
    <row r="185" spans="3:5" ht="15" x14ac:dyDescent="0.2">
      <c r="C185" s="61">
        <v>41410.885416666664</v>
      </c>
      <c r="D185" s="60">
        <v>8420</v>
      </c>
      <c r="E185" s="59" t="s">
        <v>163</v>
      </c>
    </row>
    <row r="186" spans="3:5" ht="15" x14ac:dyDescent="0.2">
      <c r="C186" s="61">
        <v>41410.895833333336</v>
      </c>
      <c r="D186" s="60">
        <v>8400</v>
      </c>
      <c r="E186" s="59" t="s">
        <v>164</v>
      </c>
    </row>
    <row r="187" spans="3:5" ht="15" x14ac:dyDescent="0.2">
      <c r="C187" s="61">
        <v>41410.90625</v>
      </c>
      <c r="D187" s="60">
        <v>8390</v>
      </c>
      <c r="E187" s="59" t="s">
        <v>165</v>
      </c>
    </row>
    <row r="188" spans="3:5" ht="15" x14ac:dyDescent="0.2">
      <c r="C188" s="61">
        <v>41410.916666666664</v>
      </c>
      <c r="D188" s="60">
        <v>8370</v>
      </c>
      <c r="E188" s="59" t="s">
        <v>166</v>
      </c>
    </row>
    <row r="189" spans="3:5" ht="15" x14ac:dyDescent="0.2">
      <c r="C189" s="61">
        <v>41410.927083333336</v>
      </c>
      <c r="D189" s="60">
        <v>8330</v>
      </c>
      <c r="E189" s="59" t="s">
        <v>167</v>
      </c>
    </row>
    <row r="190" spans="3:5" ht="15" x14ac:dyDescent="0.2">
      <c r="C190" s="61">
        <v>41410.9375</v>
      </c>
      <c r="D190" s="60">
        <v>8320</v>
      </c>
      <c r="E190" s="59" t="s">
        <v>168</v>
      </c>
    </row>
    <row r="191" spans="3:5" ht="15" x14ac:dyDescent="0.2">
      <c r="C191" s="61">
        <v>41410.947916666664</v>
      </c>
      <c r="D191" s="60">
        <v>8300</v>
      </c>
      <c r="E191" s="59" t="s">
        <v>169</v>
      </c>
    </row>
    <row r="192" spans="3:5" ht="15" x14ac:dyDescent="0.2">
      <c r="C192" s="61">
        <v>41410.958333333336</v>
      </c>
      <c r="D192" s="60">
        <v>8280</v>
      </c>
      <c r="E192" s="59" t="s">
        <v>170</v>
      </c>
    </row>
    <row r="193" spans="3:5" ht="15" x14ac:dyDescent="0.2">
      <c r="C193" s="61">
        <v>41410.96875</v>
      </c>
      <c r="D193" s="60">
        <v>8260</v>
      </c>
      <c r="E193" s="59" t="s">
        <v>171</v>
      </c>
    </row>
    <row r="194" spans="3:5" ht="15" x14ac:dyDescent="0.2">
      <c r="C194" s="61">
        <v>41410.979166666664</v>
      </c>
      <c r="D194" s="60">
        <v>8240</v>
      </c>
      <c r="E194" s="59" t="s">
        <v>172</v>
      </c>
    </row>
    <row r="195" spans="3:5" ht="15" x14ac:dyDescent="0.2">
      <c r="C195" s="61">
        <v>41410.989583333336</v>
      </c>
      <c r="D195" s="60">
        <v>8230</v>
      </c>
      <c r="E195" s="59" t="s">
        <v>173</v>
      </c>
    </row>
    <row r="196" spans="3:5" ht="15" x14ac:dyDescent="0.2">
      <c r="C196" s="61">
        <v>41411</v>
      </c>
      <c r="D196" s="60">
        <v>8210</v>
      </c>
      <c r="E196" s="59" t="s">
        <v>174</v>
      </c>
    </row>
    <row r="197" spans="3:5" ht="15" x14ac:dyDescent="0.2">
      <c r="C197" s="61">
        <v>41411.010416666664</v>
      </c>
      <c r="D197" s="60">
        <v>8210</v>
      </c>
      <c r="E197" s="59" t="s">
        <v>174</v>
      </c>
    </row>
    <row r="198" spans="3:5" ht="15" x14ac:dyDescent="0.2">
      <c r="C198" s="61">
        <v>41411.020833333336</v>
      </c>
      <c r="D198" s="60">
        <v>8190</v>
      </c>
      <c r="E198" s="59" t="s">
        <v>175</v>
      </c>
    </row>
    <row r="199" spans="3:5" ht="15" x14ac:dyDescent="0.2">
      <c r="C199" s="61">
        <v>41411.03125</v>
      </c>
      <c r="D199" s="60">
        <v>8160</v>
      </c>
      <c r="E199" s="59" t="s">
        <v>176</v>
      </c>
    </row>
    <row r="200" spans="3:5" ht="15" x14ac:dyDescent="0.2">
      <c r="C200" s="61">
        <v>41411.041666666664</v>
      </c>
      <c r="D200" s="60">
        <v>8140</v>
      </c>
      <c r="E200" s="59" t="s">
        <v>177</v>
      </c>
    </row>
    <row r="201" spans="3:5" ht="15" x14ac:dyDescent="0.2">
      <c r="C201" s="61">
        <v>41411.052083333336</v>
      </c>
      <c r="D201" s="60">
        <v>8120</v>
      </c>
      <c r="E201" s="59" t="s">
        <v>178</v>
      </c>
    </row>
    <row r="202" spans="3:5" ht="15" x14ac:dyDescent="0.2">
      <c r="C202" s="61">
        <v>41411.0625</v>
      </c>
      <c r="D202" s="60">
        <v>8100</v>
      </c>
      <c r="E202" s="59" t="s">
        <v>179</v>
      </c>
    </row>
    <row r="203" spans="3:5" ht="15" x14ac:dyDescent="0.2">
      <c r="C203" s="61">
        <v>41411.072916666664</v>
      </c>
      <c r="D203" s="60">
        <v>8080</v>
      </c>
      <c r="E203" s="59" t="s">
        <v>180</v>
      </c>
    </row>
    <row r="204" spans="3:5" ht="15" x14ac:dyDescent="0.2">
      <c r="C204" s="61">
        <v>41411.083333333336</v>
      </c>
      <c r="D204" s="60">
        <v>8070</v>
      </c>
      <c r="E204" s="59" t="s">
        <v>181</v>
      </c>
    </row>
    <row r="205" spans="3:5" ht="15" x14ac:dyDescent="0.2">
      <c r="C205" s="61">
        <v>41411.09375</v>
      </c>
      <c r="D205" s="60">
        <v>8050</v>
      </c>
      <c r="E205" s="59" t="s">
        <v>182</v>
      </c>
    </row>
    <row r="206" spans="3:5" ht="15" x14ac:dyDescent="0.2">
      <c r="C206" s="61">
        <v>41411.104166666664</v>
      </c>
      <c r="D206" s="60">
        <v>8030</v>
      </c>
      <c r="E206" s="59" t="s">
        <v>183</v>
      </c>
    </row>
    <row r="207" spans="3:5" ht="15" x14ac:dyDescent="0.2">
      <c r="C207" s="61">
        <v>41411.114583333336</v>
      </c>
      <c r="D207" s="60">
        <v>8010</v>
      </c>
      <c r="E207" s="59" t="s">
        <v>184</v>
      </c>
    </row>
    <row r="208" spans="3:5" ht="15" x14ac:dyDescent="0.2">
      <c r="C208" s="61">
        <v>41411.125</v>
      </c>
      <c r="D208" s="60">
        <v>8000</v>
      </c>
      <c r="E208" s="59" t="s">
        <v>185</v>
      </c>
    </row>
    <row r="209" spans="3:5" ht="15" x14ac:dyDescent="0.2">
      <c r="C209" s="61">
        <v>41411.135416666664</v>
      </c>
      <c r="D209" s="60">
        <v>7980</v>
      </c>
      <c r="E209" s="59" t="s">
        <v>186</v>
      </c>
    </row>
    <row r="210" spans="3:5" ht="15" x14ac:dyDescent="0.2">
      <c r="C210" s="61">
        <v>41411.145833333336</v>
      </c>
      <c r="D210" s="60">
        <v>7960</v>
      </c>
      <c r="E210" s="59" t="s">
        <v>187</v>
      </c>
    </row>
    <row r="211" spans="3:5" ht="15" x14ac:dyDescent="0.2">
      <c r="C211" s="61">
        <v>41411.15625</v>
      </c>
      <c r="D211" s="60">
        <v>7930</v>
      </c>
      <c r="E211" s="59" t="s">
        <v>188</v>
      </c>
    </row>
    <row r="212" spans="3:5" ht="15" x14ac:dyDescent="0.2">
      <c r="C212" s="61">
        <v>41411.166666666664</v>
      </c>
      <c r="D212" s="60">
        <v>7910</v>
      </c>
      <c r="E212" s="59" t="s">
        <v>189</v>
      </c>
    </row>
    <row r="213" spans="3:5" ht="15" x14ac:dyDescent="0.2">
      <c r="C213" s="61">
        <v>41411.177083333336</v>
      </c>
      <c r="D213" s="60">
        <v>7890</v>
      </c>
      <c r="E213" s="59" t="s">
        <v>190</v>
      </c>
    </row>
    <row r="214" spans="3:5" ht="15" x14ac:dyDescent="0.2">
      <c r="C214" s="61">
        <v>41411.1875</v>
      </c>
      <c r="D214" s="60">
        <v>7870</v>
      </c>
      <c r="E214" s="59" t="s">
        <v>191</v>
      </c>
    </row>
    <row r="215" spans="3:5" ht="15" x14ac:dyDescent="0.2">
      <c r="C215" s="61">
        <v>41411.197916666664</v>
      </c>
      <c r="D215" s="60">
        <v>7860</v>
      </c>
      <c r="E215" s="59" t="s">
        <v>192</v>
      </c>
    </row>
    <row r="216" spans="3:5" ht="15" x14ac:dyDescent="0.2">
      <c r="C216" s="61">
        <v>41411.208333333336</v>
      </c>
      <c r="D216" s="60">
        <v>7840</v>
      </c>
      <c r="E216" s="59" t="s">
        <v>193</v>
      </c>
    </row>
    <row r="217" spans="3:5" ht="15" x14ac:dyDescent="0.2">
      <c r="C217" s="61">
        <v>41411.21875</v>
      </c>
      <c r="D217" s="60">
        <v>7820</v>
      </c>
      <c r="E217" s="59" t="s">
        <v>194</v>
      </c>
    </row>
    <row r="218" spans="3:5" ht="15" x14ac:dyDescent="0.2">
      <c r="C218" s="61">
        <v>41411.229166666664</v>
      </c>
      <c r="D218" s="60">
        <v>7800</v>
      </c>
      <c r="E218" s="59" t="s">
        <v>195</v>
      </c>
    </row>
    <row r="219" spans="3:5" ht="15" x14ac:dyDescent="0.2">
      <c r="C219" s="61">
        <v>41411.239583333336</v>
      </c>
      <c r="D219" s="60">
        <v>7790</v>
      </c>
      <c r="E219" s="59" t="s">
        <v>196</v>
      </c>
    </row>
    <row r="220" spans="3:5" ht="15" x14ac:dyDescent="0.2">
      <c r="C220" s="61">
        <v>41411.25</v>
      </c>
      <c r="D220" s="60">
        <v>7770</v>
      </c>
      <c r="E220" s="59" t="s">
        <v>197</v>
      </c>
    </row>
    <row r="221" spans="3:5" ht="15" x14ac:dyDescent="0.2">
      <c r="C221" s="61">
        <v>41411.260416666664</v>
      </c>
      <c r="D221" s="60">
        <v>7750</v>
      </c>
      <c r="E221" s="59" t="s">
        <v>198</v>
      </c>
    </row>
    <row r="222" spans="3:5" ht="15" x14ac:dyDescent="0.2">
      <c r="C222" s="61">
        <v>41411.270833333336</v>
      </c>
      <c r="D222" s="60">
        <v>7730</v>
      </c>
      <c r="E222" s="59" t="s">
        <v>199</v>
      </c>
    </row>
    <row r="223" spans="3:5" ht="15" x14ac:dyDescent="0.2">
      <c r="C223" s="61">
        <v>41411.28125</v>
      </c>
      <c r="D223" s="60">
        <v>7720</v>
      </c>
      <c r="E223" s="59" t="s">
        <v>200</v>
      </c>
    </row>
    <row r="224" spans="3:5" ht="15" x14ac:dyDescent="0.2">
      <c r="C224" s="61">
        <v>41411.291666666664</v>
      </c>
      <c r="D224" s="60">
        <v>7720</v>
      </c>
      <c r="E224" s="59" t="s">
        <v>200</v>
      </c>
    </row>
    <row r="225" spans="3:5" ht="15" x14ac:dyDescent="0.2">
      <c r="C225" s="61">
        <v>41411.302083333336</v>
      </c>
      <c r="D225" s="60">
        <v>7700</v>
      </c>
      <c r="E225" s="59" t="s">
        <v>201</v>
      </c>
    </row>
    <row r="226" spans="3:5" ht="15" x14ac:dyDescent="0.2">
      <c r="C226" s="61">
        <v>41411.3125</v>
      </c>
      <c r="D226" s="60">
        <v>7680</v>
      </c>
      <c r="E226" s="59" t="s">
        <v>202</v>
      </c>
    </row>
    <row r="227" spans="3:5" ht="15" x14ac:dyDescent="0.2">
      <c r="C227" s="61">
        <v>41411.322916666664</v>
      </c>
      <c r="D227" s="60">
        <v>7660</v>
      </c>
      <c r="E227" s="59" t="s">
        <v>203</v>
      </c>
    </row>
    <row r="228" spans="3:5" ht="15" x14ac:dyDescent="0.2">
      <c r="C228" s="61">
        <v>41411.333333333336</v>
      </c>
      <c r="D228" s="60">
        <v>7650</v>
      </c>
      <c r="E228" s="59" t="s">
        <v>204</v>
      </c>
    </row>
    <row r="229" spans="3:5" ht="15" x14ac:dyDescent="0.2">
      <c r="C229" s="61">
        <v>41411.34375</v>
      </c>
      <c r="D229" s="60">
        <v>7650</v>
      </c>
      <c r="E229" s="59" t="s">
        <v>204</v>
      </c>
    </row>
    <row r="230" spans="3:5" ht="15" x14ac:dyDescent="0.2">
      <c r="C230" s="61">
        <v>41411.354166666664</v>
      </c>
      <c r="D230" s="60">
        <v>7630</v>
      </c>
      <c r="E230" s="59" t="s">
        <v>205</v>
      </c>
    </row>
    <row r="231" spans="3:5" ht="15" x14ac:dyDescent="0.2">
      <c r="C231" s="61">
        <v>41411.364583333336</v>
      </c>
      <c r="D231" s="60">
        <v>7610</v>
      </c>
      <c r="E231" s="59" t="s">
        <v>206</v>
      </c>
    </row>
    <row r="232" spans="3:5" ht="15" x14ac:dyDescent="0.2">
      <c r="C232" s="61">
        <v>41411.375</v>
      </c>
      <c r="D232" s="60">
        <v>7590</v>
      </c>
      <c r="E232" s="59" t="s">
        <v>207</v>
      </c>
    </row>
    <row r="233" spans="3:5" ht="15" x14ac:dyDescent="0.2">
      <c r="C233" s="61">
        <v>41411.385416666664</v>
      </c>
      <c r="D233" s="60">
        <v>7580</v>
      </c>
      <c r="E233" s="59" t="s">
        <v>208</v>
      </c>
    </row>
    <row r="234" spans="3:5" ht="15" x14ac:dyDescent="0.2">
      <c r="C234" s="61">
        <v>41411.395833333336</v>
      </c>
      <c r="D234" s="60">
        <v>7580</v>
      </c>
      <c r="E234" s="59" t="s">
        <v>208</v>
      </c>
    </row>
    <row r="235" spans="3:5" ht="15" x14ac:dyDescent="0.2">
      <c r="C235" s="61">
        <v>41411.40625</v>
      </c>
      <c r="D235" s="60">
        <v>7560</v>
      </c>
      <c r="E235" s="59" t="s">
        <v>209</v>
      </c>
    </row>
    <row r="236" spans="3:5" ht="15" x14ac:dyDescent="0.2">
      <c r="C236" s="61">
        <v>41411.416666666664</v>
      </c>
      <c r="D236" s="60">
        <v>7540</v>
      </c>
      <c r="E236" s="59" t="s">
        <v>210</v>
      </c>
    </row>
    <row r="237" spans="3:5" ht="15" x14ac:dyDescent="0.2">
      <c r="C237" s="61">
        <v>41411.427083333336</v>
      </c>
      <c r="D237" s="60">
        <v>7530</v>
      </c>
      <c r="E237" s="59" t="s">
        <v>211</v>
      </c>
    </row>
    <row r="238" spans="3:5" ht="15" x14ac:dyDescent="0.2">
      <c r="C238" s="61">
        <v>41411.4375</v>
      </c>
      <c r="D238" s="60">
        <v>7510</v>
      </c>
      <c r="E238" s="59" t="s">
        <v>212</v>
      </c>
    </row>
    <row r="239" spans="3:5" ht="15" x14ac:dyDescent="0.2">
      <c r="C239" s="61">
        <v>41411.447916666664</v>
      </c>
      <c r="D239" s="60">
        <v>7490</v>
      </c>
      <c r="E239" s="59" t="s">
        <v>213</v>
      </c>
    </row>
    <row r="240" spans="3:5" ht="15" x14ac:dyDescent="0.2">
      <c r="C240" s="61">
        <v>41411.458333333336</v>
      </c>
      <c r="D240" s="60">
        <v>7470</v>
      </c>
      <c r="E240" s="59" t="s">
        <v>214</v>
      </c>
    </row>
    <row r="241" spans="3:5" ht="15" x14ac:dyDescent="0.2">
      <c r="C241" s="61">
        <v>41411.46875</v>
      </c>
      <c r="D241" s="60">
        <v>7470</v>
      </c>
      <c r="E241" s="59" t="s">
        <v>214</v>
      </c>
    </row>
    <row r="242" spans="3:5" ht="15" x14ac:dyDescent="0.2">
      <c r="C242" s="61">
        <v>41411.479166666664</v>
      </c>
      <c r="D242" s="60">
        <v>7440</v>
      </c>
      <c r="E242" s="59" t="s">
        <v>215</v>
      </c>
    </row>
    <row r="243" spans="3:5" ht="15" x14ac:dyDescent="0.2">
      <c r="C243" s="61">
        <v>41411.489583333336</v>
      </c>
      <c r="D243" s="60">
        <v>7440</v>
      </c>
      <c r="E243" s="59" t="s">
        <v>215</v>
      </c>
    </row>
    <row r="244" spans="3:5" ht="15" x14ac:dyDescent="0.2">
      <c r="C244" s="61">
        <v>41411.5</v>
      </c>
      <c r="D244" s="60">
        <v>7420</v>
      </c>
      <c r="E244" s="59" t="s">
        <v>216</v>
      </c>
    </row>
    <row r="245" spans="3:5" ht="15" x14ac:dyDescent="0.2">
      <c r="C245" s="61">
        <v>41411.510416666664</v>
      </c>
      <c r="D245" s="60">
        <v>7400</v>
      </c>
      <c r="E245" s="59" t="s">
        <v>217</v>
      </c>
    </row>
    <row r="246" spans="3:5" ht="15" x14ac:dyDescent="0.2">
      <c r="C246" s="61">
        <v>41411.520833333336</v>
      </c>
      <c r="D246" s="60">
        <v>7390</v>
      </c>
      <c r="E246" s="59" t="s">
        <v>218</v>
      </c>
    </row>
    <row r="247" spans="3:5" ht="15" x14ac:dyDescent="0.2">
      <c r="C247" s="61">
        <v>41411.53125</v>
      </c>
      <c r="D247" s="60">
        <v>7370</v>
      </c>
      <c r="E247" s="59" t="s">
        <v>219</v>
      </c>
    </row>
    <row r="248" spans="3:5" ht="15" x14ac:dyDescent="0.2">
      <c r="C248" s="61">
        <v>41411.541666666664</v>
      </c>
      <c r="D248" s="60">
        <v>7370</v>
      </c>
      <c r="E248" s="59" t="s">
        <v>219</v>
      </c>
    </row>
    <row r="249" spans="3:5" ht="15" x14ac:dyDescent="0.2">
      <c r="C249" s="61">
        <v>41411.552083333336</v>
      </c>
      <c r="D249" s="60">
        <v>7350</v>
      </c>
      <c r="E249" s="59" t="s">
        <v>220</v>
      </c>
    </row>
    <row r="250" spans="3:5" ht="15" x14ac:dyDescent="0.2">
      <c r="C250" s="61">
        <v>41411.5625</v>
      </c>
      <c r="D250" s="60">
        <v>7340</v>
      </c>
      <c r="E250" s="59" t="s">
        <v>221</v>
      </c>
    </row>
    <row r="251" spans="3:5" ht="15" x14ac:dyDescent="0.2">
      <c r="C251" s="61">
        <v>41411.572916666664</v>
      </c>
      <c r="D251" s="60">
        <v>7320</v>
      </c>
      <c r="E251" s="59" t="s">
        <v>222</v>
      </c>
    </row>
    <row r="252" spans="3:5" ht="15" x14ac:dyDescent="0.2">
      <c r="C252" s="61">
        <v>41411.583333333336</v>
      </c>
      <c r="D252" s="60">
        <v>7300</v>
      </c>
      <c r="E252" s="59" t="s">
        <v>223</v>
      </c>
    </row>
    <row r="253" spans="3:5" ht="15" x14ac:dyDescent="0.2">
      <c r="C253" s="61">
        <v>41411.59375</v>
      </c>
      <c r="D253" s="60">
        <v>7300</v>
      </c>
      <c r="E253" s="59" t="s">
        <v>223</v>
      </c>
    </row>
    <row r="254" spans="3:5" ht="15" x14ac:dyDescent="0.2">
      <c r="C254" s="61">
        <v>41411.604166666664</v>
      </c>
      <c r="D254" s="60">
        <v>7280</v>
      </c>
      <c r="E254" s="59" t="s">
        <v>224</v>
      </c>
    </row>
    <row r="255" spans="3:5" ht="15" x14ac:dyDescent="0.2">
      <c r="C255" s="61">
        <v>41411.614583333336</v>
      </c>
      <c r="D255" s="60">
        <v>7270</v>
      </c>
      <c r="E255" s="59" t="s">
        <v>225</v>
      </c>
    </row>
    <row r="256" spans="3:5" ht="15" x14ac:dyDescent="0.2">
      <c r="C256" s="61">
        <v>41411.625</v>
      </c>
      <c r="D256" s="60">
        <v>7270</v>
      </c>
      <c r="E256" s="59" t="s">
        <v>225</v>
      </c>
    </row>
    <row r="257" spans="3:5" ht="15" x14ac:dyDescent="0.2">
      <c r="C257" s="61">
        <v>41411.635416666664</v>
      </c>
      <c r="D257" s="60">
        <v>7250</v>
      </c>
      <c r="E257" s="59" t="s">
        <v>226</v>
      </c>
    </row>
    <row r="258" spans="3:5" ht="15" x14ac:dyDescent="0.2">
      <c r="C258" s="61">
        <v>41411.645833333336</v>
      </c>
      <c r="D258" s="60">
        <v>7230</v>
      </c>
      <c r="E258" s="59" t="s">
        <v>227</v>
      </c>
    </row>
    <row r="259" spans="3:5" ht="15" x14ac:dyDescent="0.2">
      <c r="C259" s="61">
        <v>41411.65625</v>
      </c>
      <c r="D259" s="60">
        <v>7220</v>
      </c>
      <c r="E259" s="59" t="s">
        <v>228</v>
      </c>
    </row>
    <row r="260" spans="3:5" ht="15" x14ac:dyDescent="0.2">
      <c r="C260" s="61">
        <v>41411.666666666664</v>
      </c>
      <c r="D260" s="60">
        <v>7200</v>
      </c>
      <c r="E260" s="59" t="s">
        <v>229</v>
      </c>
    </row>
    <row r="261" spans="3:5" ht="15" x14ac:dyDescent="0.2">
      <c r="C261" s="61">
        <v>41411.677083333336</v>
      </c>
      <c r="D261" s="60">
        <v>7200</v>
      </c>
      <c r="E261" s="59" t="s">
        <v>229</v>
      </c>
    </row>
    <row r="262" spans="3:5" ht="15" x14ac:dyDescent="0.2">
      <c r="C262" s="61">
        <v>41411.6875</v>
      </c>
      <c r="D262" s="60">
        <v>7170</v>
      </c>
      <c r="E262" s="59" t="s">
        <v>230</v>
      </c>
    </row>
    <row r="263" spans="3:5" ht="15" x14ac:dyDescent="0.2">
      <c r="C263" s="61">
        <v>41411.697916666664</v>
      </c>
      <c r="D263" s="60">
        <v>7170</v>
      </c>
      <c r="E263" s="59" t="s">
        <v>230</v>
      </c>
    </row>
    <row r="264" spans="3:5" ht="15" x14ac:dyDescent="0.2">
      <c r="C264" s="61">
        <v>41411.708333333336</v>
      </c>
      <c r="D264" s="60">
        <v>7150</v>
      </c>
      <c r="E264" s="59" t="s">
        <v>231</v>
      </c>
    </row>
    <row r="265" spans="3:5" ht="15" x14ac:dyDescent="0.2">
      <c r="C265" s="61">
        <v>41411.71875</v>
      </c>
      <c r="D265" s="60">
        <v>7110</v>
      </c>
      <c r="E265" s="59" t="s">
        <v>232</v>
      </c>
    </row>
    <row r="266" spans="3:5" ht="15" x14ac:dyDescent="0.2">
      <c r="C266" s="61">
        <v>41411.729166666664</v>
      </c>
      <c r="D266" s="60">
        <v>7100</v>
      </c>
      <c r="E266" s="59" t="s">
        <v>233</v>
      </c>
    </row>
    <row r="267" spans="3:5" ht="15" x14ac:dyDescent="0.2">
      <c r="C267" s="61">
        <v>41411.739583333336</v>
      </c>
      <c r="D267" s="60">
        <v>7080</v>
      </c>
      <c r="E267" s="59" t="s">
        <v>234</v>
      </c>
    </row>
    <row r="268" spans="3:5" ht="15" x14ac:dyDescent="0.2">
      <c r="C268" s="61">
        <v>41411.75</v>
      </c>
      <c r="D268" s="60">
        <v>7050</v>
      </c>
      <c r="E268" s="59" t="s">
        <v>235</v>
      </c>
    </row>
    <row r="269" spans="3:5" ht="15" x14ac:dyDescent="0.2">
      <c r="C269" s="61">
        <v>41411.760416666664</v>
      </c>
      <c r="D269" s="60">
        <v>7030</v>
      </c>
      <c r="E269" s="59" t="s">
        <v>236</v>
      </c>
    </row>
    <row r="270" spans="3:5" ht="15" x14ac:dyDescent="0.2">
      <c r="C270" s="61">
        <v>41411.770833333336</v>
      </c>
      <c r="D270" s="60">
        <v>7010</v>
      </c>
      <c r="E270" s="59" t="s">
        <v>237</v>
      </c>
    </row>
    <row r="271" spans="3:5" ht="15" x14ac:dyDescent="0.2">
      <c r="C271" s="61">
        <v>41411.78125</v>
      </c>
      <c r="D271" s="60">
        <v>6980</v>
      </c>
      <c r="E271" s="59" t="s">
        <v>238</v>
      </c>
    </row>
    <row r="272" spans="3:5" ht="15" x14ac:dyDescent="0.2">
      <c r="C272" s="61">
        <v>41411.791666666664</v>
      </c>
      <c r="D272" s="60">
        <v>6960</v>
      </c>
      <c r="E272" s="59" t="s">
        <v>239</v>
      </c>
    </row>
    <row r="273" spans="3:5" ht="15" x14ac:dyDescent="0.2">
      <c r="C273" s="61">
        <v>41411.802083333336</v>
      </c>
      <c r="D273" s="60">
        <v>6950</v>
      </c>
      <c r="E273" s="59" t="s">
        <v>240</v>
      </c>
    </row>
    <row r="274" spans="3:5" ht="15" x14ac:dyDescent="0.2">
      <c r="C274" s="61">
        <v>41411.8125</v>
      </c>
      <c r="D274" s="60">
        <v>6910</v>
      </c>
      <c r="E274" s="59" t="s">
        <v>241</v>
      </c>
    </row>
    <row r="275" spans="3:5" ht="15" x14ac:dyDescent="0.2">
      <c r="C275" s="61">
        <v>41411.822916666664</v>
      </c>
      <c r="D275" s="60">
        <v>6890</v>
      </c>
      <c r="E275" s="59" t="s">
        <v>242</v>
      </c>
    </row>
    <row r="276" spans="3:5" ht="15" x14ac:dyDescent="0.2">
      <c r="C276" s="61">
        <v>41411.833333333336</v>
      </c>
      <c r="D276" s="60">
        <v>6860</v>
      </c>
      <c r="E276" s="59" t="s">
        <v>243</v>
      </c>
    </row>
    <row r="277" spans="3:5" ht="15" x14ac:dyDescent="0.2">
      <c r="C277" s="61">
        <v>41411.84375</v>
      </c>
      <c r="D277" s="60">
        <v>6840</v>
      </c>
      <c r="E277" s="59" t="s">
        <v>244</v>
      </c>
    </row>
    <row r="278" spans="3:5" ht="15" x14ac:dyDescent="0.2">
      <c r="C278" s="61">
        <v>41411.854166666664</v>
      </c>
      <c r="D278" s="60">
        <v>6830</v>
      </c>
      <c r="E278" s="59" t="s">
        <v>245</v>
      </c>
    </row>
    <row r="279" spans="3:5" ht="15" x14ac:dyDescent="0.2">
      <c r="C279" s="61">
        <v>41411.864583333336</v>
      </c>
      <c r="D279" s="60">
        <v>6790</v>
      </c>
      <c r="E279" s="59" t="s">
        <v>246</v>
      </c>
    </row>
    <row r="280" spans="3:5" ht="15" x14ac:dyDescent="0.2">
      <c r="C280" s="61">
        <v>41411.875</v>
      </c>
      <c r="D280" s="60">
        <v>6780</v>
      </c>
      <c r="E280" s="59" t="s">
        <v>247</v>
      </c>
    </row>
    <row r="281" spans="3:5" ht="15" x14ac:dyDescent="0.2">
      <c r="C281" s="61">
        <v>41411.885416666664</v>
      </c>
      <c r="D281" s="60">
        <v>6760</v>
      </c>
      <c r="E281" s="59" t="s">
        <v>248</v>
      </c>
    </row>
    <row r="282" spans="3:5" ht="15" x14ac:dyDescent="0.2">
      <c r="C282" s="61">
        <v>41411.895833333336</v>
      </c>
      <c r="D282" s="60">
        <v>6730</v>
      </c>
      <c r="E282" s="59" t="s">
        <v>249</v>
      </c>
    </row>
    <row r="283" spans="3:5" ht="15" x14ac:dyDescent="0.2">
      <c r="C283" s="61">
        <v>41411.90625</v>
      </c>
      <c r="D283" s="60">
        <v>6710</v>
      </c>
      <c r="E283" s="59" t="s">
        <v>250</v>
      </c>
    </row>
    <row r="284" spans="3:5" ht="15" x14ac:dyDescent="0.2">
      <c r="C284" s="61">
        <v>41411.916666666664</v>
      </c>
      <c r="D284" s="60">
        <v>6680</v>
      </c>
      <c r="E284" s="59" t="s">
        <v>251</v>
      </c>
    </row>
    <row r="285" spans="3:5" ht="15" x14ac:dyDescent="0.2">
      <c r="C285" s="61">
        <v>41411.927083333336</v>
      </c>
      <c r="D285" s="60">
        <v>6660</v>
      </c>
      <c r="E285" s="59" t="s">
        <v>252</v>
      </c>
    </row>
    <row r="286" spans="3:5" ht="15" x14ac:dyDescent="0.2">
      <c r="C286" s="61">
        <v>41411.9375</v>
      </c>
      <c r="D286" s="60">
        <v>6630</v>
      </c>
      <c r="E286" s="59" t="s">
        <v>253</v>
      </c>
    </row>
    <row r="287" spans="3:5" ht="15" x14ac:dyDescent="0.2">
      <c r="C287" s="61">
        <v>41411.947916666664</v>
      </c>
      <c r="D287" s="60">
        <v>6610</v>
      </c>
      <c r="E287" s="59" t="s">
        <v>254</v>
      </c>
    </row>
    <row r="288" spans="3:5" ht="15" x14ac:dyDescent="0.2">
      <c r="C288" s="61">
        <v>41411.958333333336</v>
      </c>
      <c r="D288" s="60">
        <v>6580</v>
      </c>
      <c r="E288" s="59" t="s">
        <v>255</v>
      </c>
    </row>
    <row r="289" spans="3:5" ht="15" x14ac:dyDescent="0.2">
      <c r="C289" s="61">
        <v>41411.96875</v>
      </c>
      <c r="D289" s="60">
        <v>6560</v>
      </c>
      <c r="E289" s="59" t="s">
        <v>256</v>
      </c>
    </row>
    <row r="290" spans="3:5" ht="15" x14ac:dyDescent="0.2">
      <c r="C290" s="61">
        <v>41411.979166666664</v>
      </c>
      <c r="D290" s="60">
        <v>6530</v>
      </c>
      <c r="E290" s="59" t="s">
        <v>257</v>
      </c>
    </row>
    <row r="291" spans="3:5" ht="15" x14ac:dyDescent="0.2">
      <c r="C291" s="61">
        <v>41411.989583333336</v>
      </c>
      <c r="D291" s="60">
        <v>6500</v>
      </c>
      <c r="E291" s="59" t="s">
        <v>258</v>
      </c>
    </row>
    <row r="292" spans="3:5" ht="15" x14ac:dyDescent="0.2">
      <c r="C292" s="61">
        <v>41412</v>
      </c>
      <c r="D292" s="60">
        <v>6480</v>
      </c>
      <c r="E292" s="59" t="s">
        <v>259</v>
      </c>
    </row>
    <row r="293" spans="3:5" ht="15" x14ac:dyDescent="0.2">
      <c r="C293" s="61">
        <v>41412.010416666664</v>
      </c>
      <c r="D293" s="60">
        <v>6460</v>
      </c>
      <c r="E293" s="59" t="s">
        <v>260</v>
      </c>
    </row>
    <row r="294" spans="3:5" ht="15" x14ac:dyDescent="0.2">
      <c r="C294" s="61">
        <v>41412.020833333336</v>
      </c>
      <c r="D294" s="60">
        <v>6430</v>
      </c>
      <c r="E294" s="59" t="s">
        <v>261</v>
      </c>
    </row>
    <row r="295" spans="3:5" ht="15" x14ac:dyDescent="0.2">
      <c r="C295" s="61">
        <v>41412.03125</v>
      </c>
      <c r="D295" s="60">
        <v>6410</v>
      </c>
      <c r="E295" s="59" t="s">
        <v>262</v>
      </c>
    </row>
    <row r="296" spans="3:5" ht="15" x14ac:dyDescent="0.2">
      <c r="C296" s="61">
        <v>41412.041666666664</v>
      </c>
      <c r="D296" s="60">
        <v>6400</v>
      </c>
      <c r="E296" s="59" t="s">
        <v>263</v>
      </c>
    </row>
    <row r="297" spans="3:5" ht="15" x14ac:dyDescent="0.2">
      <c r="C297" s="61">
        <v>41412.052083333336</v>
      </c>
      <c r="D297" s="60">
        <v>6380</v>
      </c>
      <c r="E297" s="59" t="s">
        <v>264</v>
      </c>
    </row>
    <row r="298" spans="3:5" ht="15" x14ac:dyDescent="0.2">
      <c r="C298" s="61">
        <v>41412.0625</v>
      </c>
      <c r="D298" s="60">
        <v>6360</v>
      </c>
      <c r="E298" s="59" t="s">
        <v>265</v>
      </c>
    </row>
    <row r="299" spans="3:5" ht="15" x14ac:dyDescent="0.2">
      <c r="C299" s="61">
        <v>41412.072916666664</v>
      </c>
      <c r="D299" s="60">
        <v>6350</v>
      </c>
      <c r="E299" s="59" t="s">
        <v>266</v>
      </c>
    </row>
    <row r="300" spans="3:5" ht="15" x14ac:dyDescent="0.2">
      <c r="C300" s="61">
        <v>41412.083333333336</v>
      </c>
      <c r="D300" s="60">
        <v>6330</v>
      </c>
      <c r="E300" s="59" t="s">
        <v>267</v>
      </c>
    </row>
    <row r="301" spans="3:5" ht="15" x14ac:dyDescent="0.2">
      <c r="C301" s="61">
        <v>41412.09375</v>
      </c>
      <c r="D301" s="60">
        <v>6300</v>
      </c>
      <c r="E301" s="59" t="s">
        <v>268</v>
      </c>
    </row>
    <row r="302" spans="3:5" ht="15" x14ac:dyDescent="0.2">
      <c r="C302" s="61">
        <v>41412.104166666664</v>
      </c>
      <c r="D302" s="60">
        <v>6280</v>
      </c>
      <c r="E302" s="59" t="s">
        <v>269</v>
      </c>
    </row>
    <row r="303" spans="3:5" ht="15" x14ac:dyDescent="0.2">
      <c r="C303" s="61">
        <v>41412.114583333336</v>
      </c>
      <c r="D303" s="60">
        <v>6270</v>
      </c>
      <c r="E303" s="59" t="s">
        <v>270</v>
      </c>
    </row>
    <row r="304" spans="3:5" ht="15" x14ac:dyDescent="0.2">
      <c r="C304" s="61">
        <v>41412.125</v>
      </c>
      <c r="D304" s="60">
        <v>6230</v>
      </c>
      <c r="E304" s="59" t="s">
        <v>271</v>
      </c>
    </row>
    <row r="305" spans="3:5" ht="15" x14ac:dyDescent="0.2">
      <c r="C305" s="61">
        <v>41412.135416666664</v>
      </c>
      <c r="D305" s="60">
        <v>6220</v>
      </c>
      <c r="E305" s="59" t="s">
        <v>272</v>
      </c>
    </row>
    <row r="306" spans="3:5" ht="15" x14ac:dyDescent="0.2">
      <c r="C306" s="61">
        <v>41412.145833333336</v>
      </c>
      <c r="D306" s="60">
        <v>6200</v>
      </c>
      <c r="E306" s="59" t="s">
        <v>273</v>
      </c>
    </row>
    <row r="307" spans="3:5" ht="15" x14ac:dyDescent="0.2">
      <c r="C307" s="61">
        <v>41412.15625</v>
      </c>
      <c r="D307" s="60">
        <v>6170</v>
      </c>
      <c r="E307" s="59" t="s">
        <v>274</v>
      </c>
    </row>
    <row r="308" spans="3:5" ht="15" x14ac:dyDescent="0.2">
      <c r="C308" s="61">
        <v>41412.166666666664</v>
      </c>
      <c r="D308" s="60">
        <v>6150</v>
      </c>
      <c r="E308" s="59" t="s">
        <v>275</v>
      </c>
    </row>
    <row r="309" spans="3:5" ht="15" x14ac:dyDescent="0.2">
      <c r="C309" s="61">
        <v>41412.177083333336</v>
      </c>
      <c r="D309" s="60">
        <v>6140</v>
      </c>
      <c r="E309" s="59" t="s">
        <v>276</v>
      </c>
    </row>
    <row r="310" spans="3:5" ht="15" x14ac:dyDescent="0.2">
      <c r="C310" s="61">
        <v>41412.1875</v>
      </c>
      <c r="D310" s="60">
        <v>6100</v>
      </c>
      <c r="E310" s="59" t="s">
        <v>277</v>
      </c>
    </row>
    <row r="311" spans="3:5" ht="15" x14ac:dyDescent="0.2">
      <c r="C311" s="61">
        <v>41412.197916666664</v>
      </c>
      <c r="D311" s="60">
        <v>6090</v>
      </c>
      <c r="E311" s="59" t="s">
        <v>278</v>
      </c>
    </row>
    <row r="312" spans="3:5" ht="15" x14ac:dyDescent="0.2">
      <c r="C312" s="61">
        <v>41412.208333333336</v>
      </c>
      <c r="D312" s="60">
        <v>6070</v>
      </c>
      <c r="E312" s="59" t="s">
        <v>279</v>
      </c>
    </row>
    <row r="313" spans="3:5" ht="15" x14ac:dyDescent="0.2">
      <c r="C313" s="61">
        <v>41412.21875</v>
      </c>
      <c r="D313" s="60">
        <v>6050</v>
      </c>
      <c r="E313" s="59" t="s">
        <v>280</v>
      </c>
    </row>
    <row r="314" spans="3:5" ht="15" x14ac:dyDescent="0.2">
      <c r="C314" s="61">
        <v>41412.229166666664</v>
      </c>
      <c r="D314" s="60">
        <v>6040</v>
      </c>
      <c r="E314" s="59" t="s">
        <v>281</v>
      </c>
    </row>
    <row r="315" spans="3:5" ht="15" x14ac:dyDescent="0.2">
      <c r="C315" s="61">
        <v>41412.239583333336</v>
      </c>
      <c r="D315" s="60">
        <v>6020</v>
      </c>
      <c r="E315" s="59" t="s">
        <v>282</v>
      </c>
    </row>
    <row r="316" spans="3:5" ht="15" x14ac:dyDescent="0.2">
      <c r="C316" s="61">
        <v>41412.25</v>
      </c>
      <c r="D316" s="60">
        <v>6010</v>
      </c>
      <c r="E316" s="59" t="s">
        <v>283</v>
      </c>
    </row>
    <row r="317" spans="3:5" ht="15" x14ac:dyDescent="0.2">
      <c r="C317" s="61">
        <v>41412.260416666664</v>
      </c>
      <c r="D317" s="60">
        <v>5990</v>
      </c>
      <c r="E317" s="59" t="s">
        <v>284</v>
      </c>
    </row>
    <row r="318" spans="3:5" ht="15" x14ac:dyDescent="0.2">
      <c r="C318" s="61">
        <v>41412.270833333336</v>
      </c>
      <c r="D318" s="60">
        <v>5970</v>
      </c>
      <c r="E318" s="59" t="s">
        <v>285</v>
      </c>
    </row>
    <row r="319" spans="3:5" ht="15" x14ac:dyDescent="0.2">
      <c r="C319" s="61">
        <v>41412.28125</v>
      </c>
      <c r="D319" s="60">
        <v>5960</v>
      </c>
      <c r="E319" s="59" t="s">
        <v>286</v>
      </c>
    </row>
    <row r="320" spans="3:5" ht="15" x14ac:dyDescent="0.2">
      <c r="C320" s="61">
        <v>41412.291666666664</v>
      </c>
      <c r="D320" s="60">
        <v>5940</v>
      </c>
      <c r="E320" s="59" t="s">
        <v>287</v>
      </c>
    </row>
    <row r="321" spans="3:5" ht="15" x14ac:dyDescent="0.2">
      <c r="C321" s="61">
        <v>41412.302083333336</v>
      </c>
      <c r="D321" s="60">
        <v>5940</v>
      </c>
      <c r="E321" s="59" t="s">
        <v>287</v>
      </c>
    </row>
    <row r="322" spans="3:5" ht="15" x14ac:dyDescent="0.2">
      <c r="C322" s="61">
        <v>41412.3125</v>
      </c>
      <c r="D322" s="60">
        <v>5930</v>
      </c>
      <c r="E322" s="59" t="s">
        <v>288</v>
      </c>
    </row>
    <row r="323" spans="3:5" ht="15" x14ac:dyDescent="0.2">
      <c r="C323" s="61">
        <v>41412.322916666664</v>
      </c>
      <c r="D323" s="60">
        <v>5910</v>
      </c>
      <c r="E323" s="59" t="s">
        <v>289</v>
      </c>
    </row>
    <row r="324" spans="3:5" ht="15" x14ac:dyDescent="0.2">
      <c r="C324" s="61">
        <v>41412.333333333336</v>
      </c>
      <c r="D324" s="60">
        <v>5890</v>
      </c>
      <c r="E324" s="59" t="s">
        <v>290</v>
      </c>
    </row>
    <row r="325" spans="3:5" ht="15" x14ac:dyDescent="0.2">
      <c r="C325" s="61">
        <v>41412.34375</v>
      </c>
      <c r="D325" s="60">
        <v>5880</v>
      </c>
      <c r="E325" s="59" t="s">
        <v>291</v>
      </c>
    </row>
    <row r="326" spans="3:5" ht="15" x14ac:dyDescent="0.2">
      <c r="C326" s="61">
        <v>41412.354166666664</v>
      </c>
      <c r="D326" s="60">
        <v>5860</v>
      </c>
      <c r="E326" s="59" t="s">
        <v>292</v>
      </c>
    </row>
    <row r="327" spans="3:5" ht="15" x14ac:dyDescent="0.2">
      <c r="C327" s="61">
        <v>41412.364583333336</v>
      </c>
      <c r="D327" s="60">
        <v>5850</v>
      </c>
      <c r="E327" s="59" t="s">
        <v>293</v>
      </c>
    </row>
    <row r="328" spans="3:5" ht="15" x14ac:dyDescent="0.2">
      <c r="C328" s="61">
        <v>41412.375</v>
      </c>
      <c r="D328" s="60">
        <v>5850</v>
      </c>
      <c r="E328" s="59" t="s">
        <v>293</v>
      </c>
    </row>
    <row r="329" spans="3:5" ht="15" x14ac:dyDescent="0.2">
      <c r="C329" s="61">
        <v>41412.385416666664</v>
      </c>
      <c r="D329" s="60">
        <v>5830</v>
      </c>
      <c r="E329" s="59" t="s">
        <v>294</v>
      </c>
    </row>
    <row r="330" spans="3:5" ht="15" x14ac:dyDescent="0.2">
      <c r="C330" s="61">
        <v>41412.395833333336</v>
      </c>
      <c r="D330" s="60">
        <v>5810</v>
      </c>
      <c r="E330" s="59" t="s">
        <v>295</v>
      </c>
    </row>
    <row r="331" spans="3:5" ht="15" x14ac:dyDescent="0.2">
      <c r="C331" s="61">
        <v>41412.40625</v>
      </c>
      <c r="D331" s="60">
        <v>5810</v>
      </c>
      <c r="E331" s="59" t="s">
        <v>295</v>
      </c>
    </row>
    <row r="332" spans="3:5" ht="15" x14ac:dyDescent="0.2">
      <c r="C332" s="61">
        <v>41412.416666666664</v>
      </c>
      <c r="D332" s="60">
        <v>5800</v>
      </c>
      <c r="E332" s="59" t="s">
        <v>296</v>
      </c>
    </row>
    <row r="333" spans="3:5" ht="15" x14ac:dyDescent="0.2">
      <c r="C333" s="61">
        <v>41412.427083333336</v>
      </c>
      <c r="D333" s="60">
        <v>5780</v>
      </c>
      <c r="E333" s="59" t="s">
        <v>297</v>
      </c>
    </row>
    <row r="334" spans="3:5" ht="15" x14ac:dyDescent="0.2">
      <c r="C334" s="61">
        <v>41412.4375</v>
      </c>
      <c r="D334" s="60">
        <v>5780</v>
      </c>
      <c r="E334" s="59" t="s">
        <v>297</v>
      </c>
    </row>
    <row r="335" spans="3:5" ht="15" x14ac:dyDescent="0.2">
      <c r="C335" s="61">
        <v>41412.447916666664</v>
      </c>
      <c r="D335" s="60">
        <v>5770</v>
      </c>
      <c r="E335" s="59" t="s">
        <v>298</v>
      </c>
    </row>
    <row r="336" spans="3:5" ht="15" x14ac:dyDescent="0.2">
      <c r="C336" s="61">
        <v>41412.458333333336</v>
      </c>
      <c r="D336" s="60">
        <v>5750</v>
      </c>
      <c r="E336" s="59" t="s">
        <v>299</v>
      </c>
    </row>
    <row r="337" spans="3:5" ht="15" x14ac:dyDescent="0.2">
      <c r="C337" s="61">
        <v>41412.46875</v>
      </c>
      <c r="D337" s="60">
        <v>5750</v>
      </c>
      <c r="E337" s="59" t="s">
        <v>299</v>
      </c>
    </row>
    <row r="338" spans="3:5" ht="15" x14ac:dyDescent="0.2">
      <c r="C338" s="61">
        <v>41412.479166666664</v>
      </c>
      <c r="D338" s="60">
        <v>5740</v>
      </c>
      <c r="E338" s="59" t="s">
        <v>300</v>
      </c>
    </row>
    <row r="339" spans="3:5" ht="15" x14ac:dyDescent="0.2">
      <c r="C339" s="61">
        <v>41412.489583333336</v>
      </c>
      <c r="D339" s="60">
        <v>5740</v>
      </c>
      <c r="E339" s="59" t="s">
        <v>300</v>
      </c>
    </row>
    <row r="340" spans="3:5" ht="15" x14ac:dyDescent="0.2">
      <c r="C340" s="61">
        <v>41412.5</v>
      </c>
      <c r="D340" s="60">
        <v>5720</v>
      </c>
      <c r="E340" s="59" t="s">
        <v>301</v>
      </c>
    </row>
    <row r="341" spans="3:5" ht="15" x14ac:dyDescent="0.2">
      <c r="C341" s="61">
        <v>41412.510416666664</v>
      </c>
      <c r="D341" s="60">
        <v>5720</v>
      </c>
      <c r="E341" s="59" t="s">
        <v>301</v>
      </c>
    </row>
    <row r="342" spans="3:5" ht="15" x14ac:dyDescent="0.2">
      <c r="C342" s="61">
        <v>41412.520833333336</v>
      </c>
      <c r="D342" s="60">
        <v>5700</v>
      </c>
      <c r="E342" s="59" t="s">
        <v>302</v>
      </c>
    </row>
    <row r="343" spans="3:5" ht="15" x14ac:dyDescent="0.2">
      <c r="C343" s="61">
        <v>41412.53125</v>
      </c>
      <c r="D343" s="60">
        <v>5700</v>
      </c>
      <c r="E343" s="59" t="s">
        <v>302</v>
      </c>
    </row>
    <row r="344" spans="3:5" ht="15" x14ac:dyDescent="0.2">
      <c r="C344" s="61">
        <v>41412.541666666664</v>
      </c>
      <c r="D344" s="60">
        <v>5690</v>
      </c>
      <c r="E344" s="59" t="s">
        <v>303</v>
      </c>
    </row>
    <row r="345" spans="3:5" ht="15" x14ac:dyDescent="0.2">
      <c r="C345" s="61">
        <v>41412.552083333336</v>
      </c>
      <c r="D345" s="60">
        <v>5690</v>
      </c>
      <c r="E345" s="59" t="s">
        <v>303</v>
      </c>
    </row>
    <row r="346" spans="3:5" ht="15" x14ac:dyDescent="0.2">
      <c r="C346" s="61">
        <v>41412.5625</v>
      </c>
      <c r="D346" s="60">
        <v>5670</v>
      </c>
      <c r="E346" s="59" t="s">
        <v>304</v>
      </c>
    </row>
    <row r="347" spans="3:5" ht="15" x14ac:dyDescent="0.2">
      <c r="C347" s="61">
        <v>41412.572916666664</v>
      </c>
      <c r="D347" s="60">
        <v>5670</v>
      </c>
      <c r="E347" s="59" t="s">
        <v>304</v>
      </c>
    </row>
    <row r="348" spans="3:5" ht="15" x14ac:dyDescent="0.2">
      <c r="C348" s="61">
        <v>41412.583333333336</v>
      </c>
      <c r="D348" s="60">
        <v>5660</v>
      </c>
      <c r="E348" s="59" t="s">
        <v>305</v>
      </c>
    </row>
    <row r="349" spans="3:5" ht="15" x14ac:dyDescent="0.2">
      <c r="C349" s="61">
        <v>41412.59375</v>
      </c>
      <c r="D349" s="60">
        <v>5640</v>
      </c>
      <c r="E349" s="59" t="s">
        <v>306</v>
      </c>
    </row>
    <row r="350" spans="3:5" ht="15" x14ac:dyDescent="0.2">
      <c r="C350" s="61">
        <v>41412.604166666664</v>
      </c>
      <c r="D350" s="60">
        <v>5640</v>
      </c>
      <c r="E350" s="59" t="s">
        <v>306</v>
      </c>
    </row>
    <row r="351" spans="3:5" ht="15" x14ac:dyDescent="0.2">
      <c r="C351" s="61">
        <v>41412.614583333336</v>
      </c>
      <c r="D351" s="60">
        <v>5620</v>
      </c>
      <c r="E351" s="59" t="s">
        <v>307</v>
      </c>
    </row>
    <row r="352" spans="3:5" ht="15" x14ac:dyDescent="0.2">
      <c r="C352" s="61">
        <v>41412.625</v>
      </c>
      <c r="D352" s="60">
        <v>5610</v>
      </c>
      <c r="E352" s="59" t="s">
        <v>308</v>
      </c>
    </row>
    <row r="353" spans="3:5" ht="15" x14ac:dyDescent="0.2">
      <c r="C353" s="61">
        <v>41412.635416666664</v>
      </c>
      <c r="D353" s="60">
        <v>5610</v>
      </c>
      <c r="E353" s="59" t="s">
        <v>308</v>
      </c>
    </row>
    <row r="354" spans="3:5" ht="15" x14ac:dyDescent="0.2">
      <c r="C354" s="61">
        <v>41412.645833333336</v>
      </c>
      <c r="D354" s="60">
        <v>5590</v>
      </c>
      <c r="E354" s="59" t="s">
        <v>309</v>
      </c>
    </row>
    <row r="355" spans="3:5" ht="15" x14ac:dyDescent="0.2">
      <c r="C355" s="61">
        <v>41412.65625</v>
      </c>
      <c r="D355" s="60">
        <v>5590</v>
      </c>
      <c r="E355" s="59" t="s">
        <v>309</v>
      </c>
    </row>
    <row r="356" spans="3:5" ht="15" x14ac:dyDescent="0.2">
      <c r="C356" s="61">
        <v>41412.666666666664</v>
      </c>
      <c r="D356" s="60">
        <v>5580</v>
      </c>
      <c r="E356" s="59" t="s">
        <v>310</v>
      </c>
    </row>
    <row r="357" spans="3:5" ht="15" x14ac:dyDescent="0.2">
      <c r="C357" s="61">
        <v>41412.677083333336</v>
      </c>
      <c r="D357" s="60">
        <v>5580</v>
      </c>
      <c r="E357" s="59" t="s">
        <v>310</v>
      </c>
    </row>
    <row r="358" spans="3:5" ht="15" x14ac:dyDescent="0.2">
      <c r="C358" s="61">
        <v>41412.6875</v>
      </c>
      <c r="D358" s="60">
        <v>5560</v>
      </c>
      <c r="E358" s="59" t="s">
        <v>311</v>
      </c>
    </row>
    <row r="359" spans="3:5" ht="15" x14ac:dyDescent="0.2">
      <c r="C359" s="61">
        <v>41412.697916666664</v>
      </c>
      <c r="D359" s="60">
        <v>5560</v>
      </c>
      <c r="E359" s="59" t="s">
        <v>311</v>
      </c>
    </row>
    <row r="360" spans="3:5" ht="15" x14ac:dyDescent="0.2">
      <c r="C360" s="61">
        <v>41412.708333333336</v>
      </c>
      <c r="D360" s="60">
        <v>5560</v>
      </c>
      <c r="E360" s="59" t="s">
        <v>311</v>
      </c>
    </row>
    <row r="361" spans="3:5" ht="15" x14ac:dyDescent="0.2">
      <c r="C361" s="61">
        <v>41412.71875</v>
      </c>
      <c r="D361" s="60">
        <v>5550</v>
      </c>
      <c r="E361" s="59" t="s">
        <v>312</v>
      </c>
    </row>
    <row r="362" spans="3:5" ht="15" x14ac:dyDescent="0.2">
      <c r="C362" s="61">
        <v>41412.729166666664</v>
      </c>
      <c r="D362" s="60">
        <v>5550</v>
      </c>
      <c r="E362" s="59" t="s">
        <v>312</v>
      </c>
    </row>
    <row r="363" spans="3:5" ht="15" x14ac:dyDescent="0.2">
      <c r="C363" s="61">
        <v>41412.739583333336</v>
      </c>
      <c r="D363" s="60">
        <v>5530</v>
      </c>
      <c r="E363" s="59" t="s">
        <v>313</v>
      </c>
    </row>
    <row r="364" spans="3:5" ht="15" x14ac:dyDescent="0.2">
      <c r="C364" s="61">
        <v>41412.75</v>
      </c>
      <c r="D364" s="60">
        <v>5530</v>
      </c>
      <c r="E364" s="59" t="s">
        <v>313</v>
      </c>
    </row>
    <row r="365" spans="3:5" ht="15" x14ac:dyDescent="0.2">
      <c r="C365" s="61">
        <v>41412.760416666664</v>
      </c>
      <c r="D365" s="60">
        <v>5510</v>
      </c>
      <c r="E365" s="59" t="s">
        <v>314</v>
      </c>
    </row>
    <row r="366" spans="3:5" ht="15" x14ac:dyDescent="0.2">
      <c r="C366" s="61">
        <v>41412.770833333336</v>
      </c>
      <c r="D366" s="60">
        <v>5510</v>
      </c>
      <c r="E366" s="59" t="s">
        <v>314</v>
      </c>
    </row>
    <row r="367" spans="3:5" ht="15" x14ac:dyDescent="0.2">
      <c r="C367" s="61">
        <v>41412.78125</v>
      </c>
      <c r="D367" s="60">
        <v>5500</v>
      </c>
      <c r="E367" s="59" t="s">
        <v>315</v>
      </c>
    </row>
    <row r="368" spans="3:5" ht="15" x14ac:dyDescent="0.2">
      <c r="C368" s="61">
        <v>41412.791666666664</v>
      </c>
      <c r="D368" s="60">
        <v>5480</v>
      </c>
      <c r="E368" s="59" t="s">
        <v>316</v>
      </c>
    </row>
    <row r="369" spans="3:5" ht="15" x14ac:dyDescent="0.2">
      <c r="C369" s="61">
        <v>41412.802083333336</v>
      </c>
      <c r="D369" s="60">
        <v>5480</v>
      </c>
      <c r="E369" s="59" t="s">
        <v>316</v>
      </c>
    </row>
    <row r="370" spans="3:5" ht="15" x14ac:dyDescent="0.2">
      <c r="C370" s="61">
        <v>41412.8125</v>
      </c>
      <c r="D370" s="60">
        <v>5470</v>
      </c>
      <c r="E370" s="59" t="s">
        <v>317</v>
      </c>
    </row>
    <row r="371" spans="3:5" ht="15" x14ac:dyDescent="0.2">
      <c r="C371" s="61">
        <v>41412.822916666664</v>
      </c>
      <c r="D371" s="60">
        <v>5450</v>
      </c>
      <c r="E371" s="59" t="s">
        <v>318</v>
      </c>
    </row>
    <row r="372" spans="3:5" ht="15" x14ac:dyDescent="0.2">
      <c r="C372" s="61">
        <v>41412.833333333336</v>
      </c>
      <c r="D372" s="60">
        <v>5440</v>
      </c>
      <c r="E372" s="59" t="s">
        <v>319</v>
      </c>
    </row>
    <row r="373" spans="3:5" ht="15" x14ac:dyDescent="0.2">
      <c r="C373" s="61">
        <v>41412.84375</v>
      </c>
      <c r="D373" s="60">
        <v>5440</v>
      </c>
      <c r="E373" s="59" t="s">
        <v>319</v>
      </c>
    </row>
    <row r="374" spans="3:5" ht="15" x14ac:dyDescent="0.2">
      <c r="C374" s="61">
        <v>41412.854166666664</v>
      </c>
      <c r="D374" s="60">
        <v>5420</v>
      </c>
      <c r="E374" s="59" t="s">
        <v>320</v>
      </c>
    </row>
    <row r="375" spans="3:5" ht="15" x14ac:dyDescent="0.2">
      <c r="C375" s="61">
        <v>41412.864583333336</v>
      </c>
      <c r="D375" s="60">
        <v>5410</v>
      </c>
      <c r="E375" s="59" t="s">
        <v>321</v>
      </c>
    </row>
    <row r="376" spans="3:5" ht="15" x14ac:dyDescent="0.2">
      <c r="C376" s="61">
        <v>41412.875</v>
      </c>
      <c r="D376" s="60">
        <v>5410</v>
      </c>
      <c r="E376" s="59" t="s">
        <v>321</v>
      </c>
    </row>
    <row r="377" spans="3:5" ht="15" x14ac:dyDescent="0.2">
      <c r="C377" s="61">
        <v>41412.885416666664</v>
      </c>
      <c r="D377" s="60">
        <v>5390</v>
      </c>
      <c r="E377" s="59" t="s">
        <v>322</v>
      </c>
    </row>
    <row r="378" spans="3:5" ht="15" x14ac:dyDescent="0.2">
      <c r="C378" s="61">
        <v>41412.895833333336</v>
      </c>
      <c r="D378" s="60">
        <v>5370</v>
      </c>
      <c r="E378" s="59" t="s">
        <v>323</v>
      </c>
    </row>
    <row r="379" spans="3:5" ht="15" x14ac:dyDescent="0.2">
      <c r="C379" s="61">
        <v>41412.90625</v>
      </c>
      <c r="D379" s="60">
        <v>5360</v>
      </c>
      <c r="E379" s="59" t="s">
        <v>324</v>
      </c>
    </row>
    <row r="380" spans="3:5" ht="15" x14ac:dyDescent="0.2">
      <c r="C380" s="61">
        <v>41412.916666666664</v>
      </c>
      <c r="D380" s="60">
        <v>5360</v>
      </c>
      <c r="E380" s="59" t="s">
        <v>324</v>
      </c>
    </row>
    <row r="381" spans="3:5" ht="15" x14ac:dyDescent="0.2">
      <c r="C381" s="61">
        <v>41412.927083333336</v>
      </c>
      <c r="D381" s="60">
        <v>5340</v>
      </c>
      <c r="E381" s="59" t="s">
        <v>325</v>
      </c>
    </row>
    <row r="382" spans="3:5" ht="15" x14ac:dyDescent="0.2">
      <c r="C382" s="61">
        <v>41412.9375</v>
      </c>
      <c r="D382" s="60">
        <v>5330</v>
      </c>
      <c r="E382" s="59" t="s">
        <v>326</v>
      </c>
    </row>
    <row r="383" spans="3:5" ht="15" x14ac:dyDescent="0.2">
      <c r="C383" s="61">
        <v>41412.947916666664</v>
      </c>
      <c r="D383" s="60">
        <v>5330</v>
      </c>
      <c r="E383" s="59" t="s">
        <v>326</v>
      </c>
    </row>
    <row r="384" spans="3:5" ht="15" x14ac:dyDescent="0.2">
      <c r="C384" s="61">
        <v>41412.958333333336</v>
      </c>
      <c r="D384" s="60">
        <v>5310</v>
      </c>
      <c r="E384" s="59" t="s">
        <v>327</v>
      </c>
    </row>
    <row r="385" spans="3:5" ht="15" x14ac:dyDescent="0.2">
      <c r="C385" s="61">
        <v>41412.96875</v>
      </c>
      <c r="D385" s="60">
        <v>5300</v>
      </c>
      <c r="E385" s="59" t="s">
        <v>328</v>
      </c>
    </row>
    <row r="386" spans="3:5" ht="15" x14ac:dyDescent="0.2">
      <c r="C386" s="61">
        <v>41412.979166666664</v>
      </c>
      <c r="D386" s="60">
        <v>5280</v>
      </c>
      <c r="E386" s="59" t="s">
        <v>329</v>
      </c>
    </row>
    <row r="387" spans="3:5" ht="15" x14ac:dyDescent="0.2">
      <c r="C387" s="61">
        <v>41412.989583333336</v>
      </c>
      <c r="D387" s="60">
        <v>5280</v>
      </c>
      <c r="E387" s="59" t="s">
        <v>329</v>
      </c>
    </row>
    <row r="388" spans="3:5" ht="15" x14ac:dyDescent="0.2">
      <c r="C388" s="61">
        <v>41413</v>
      </c>
      <c r="D388" s="60">
        <v>5270</v>
      </c>
      <c r="E388" s="59" t="s">
        <v>330</v>
      </c>
    </row>
    <row r="389" spans="3:5" ht="15" x14ac:dyDescent="0.2">
      <c r="C389" s="61">
        <v>41413.010416666664</v>
      </c>
      <c r="D389" s="60">
        <v>5250</v>
      </c>
      <c r="E389" s="59" t="s">
        <v>331</v>
      </c>
    </row>
    <row r="390" spans="3:5" ht="15" x14ac:dyDescent="0.2">
      <c r="C390" s="61">
        <v>41413.020833333336</v>
      </c>
      <c r="D390" s="60">
        <v>5240</v>
      </c>
      <c r="E390" s="59" t="s">
        <v>332</v>
      </c>
    </row>
    <row r="391" spans="3:5" ht="15" x14ac:dyDescent="0.2">
      <c r="C391" s="61">
        <v>41413.03125</v>
      </c>
      <c r="D391" s="60">
        <v>5220</v>
      </c>
      <c r="E391" s="59" t="s">
        <v>333</v>
      </c>
    </row>
    <row r="392" spans="3:5" ht="15" x14ac:dyDescent="0.2">
      <c r="C392" s="61">
        <v>41413.041666666664</v>
      </c>
      <c r="D392" s="60">
        <v>5220</v>
      </c>
      <c r="E392" s="59" t="s">
        <v>333</v>
      </c>
    </row>
    <row r="393" spans="3:5" ht="15" x14ac:dyDescent="0.2">
      <c r="C393" s="61">
        <v>41413.052083333336</v>
      </c>
      <c r="D393" s="60">
        <v>5200</v>
      </c>
      <c r="E393" s="59" t="s">
        <v>334</v>
      </c>
    </row>
    <row r="394" spans="3:5" ht="15" x14ac:dyDescent="0.2">
      <c r="C394" s="61">
        <v>41413.0625</v>
      </c>
      <c r="D394" s="60">
        <v>5190</v>
      </c>
      <c r="E394" s="59" t="s">
        <v>335</v>
      </c>
    </row>
    <row r="395" spans="3:5" ht="15" x14ac:dyDescent="0.2">
      <c r="C395" s="61">
        <v>41413.072916666664</v>
      </c>
      <c r="D395" s="60">
        <v>5190</v>
      </c>
      <c r="E395" s="59" t="s">
        <v>335</v>
      </c>
    </row>
    <row r="396" spans="3:5" ht="15" x14ac:dyDescent="0.2">
      <c r="C396" s="61">
        <v>41413.083333333336</v>
      </c>
      <c r="D396" s="60">
        <v>5170</v>
      </c>
      <c r="E396" s="59" t="s">
        <v>336</v>
      </c>
    </row>
    <row r="397" spans="3:5" ht="15" x14ac:dyDescent="0.2">
      <c r="C397" s="61">
        <v>41413.09375</v>
      </c>
      <c r="D397" s="60">
        <v>5170</v>
      </c>
      <c r="E397" s="59" t="s">
        <v>336</v>
      </c>
    </row>
    <row r="398" spans="3:5" ht="15" x14ac:dyDescent="0.2">
      <c r="C398" s="61">
        <v>41413.104166666664</v>
      </c>
      <c r="D398" s="60">
        <v>5160</v>
      </c>
      <c r="E398" s="59" t="s">
        <v>337</v>
      </c>
    </row>
    <row r="399" spans="3:5" ht="15" x14ac:dyDescent="0.2">
      <c r="C399" s="61">
        <v>41413.114583333336</v>
      </c>
      <c r="D399" s="60">
        <v>5160</v>
      </c>
      <c r="E399" s="59" t="s">
        <v>337</v>
      </c>
    </row>
    <row r="400" spans="3:5" ht="15" x14ac:dyDescent="0.2">
      <c r="C400" s="61">
        <v>41413.125</v>
      </c>
      <c r="D400" s="60">
        <v>5140</v>
      </c>
      <c r="E400" s="59" t="s">
        <v>338</v>
      </c>
    </row>
    <row r="401" spans="3:5" ht="15" x14ac:dyDescent="0.2">
      <c r="C401" s="61">
        <v>41413.135416666664</v>
      </c>
      <c r="D401" s="60">
        <v>5130</v>
      </c>
      <c r="E401" s="59" t="s">
        <v>339</v>
      </c>
    </row>
    <row r="402" spans="3:5" ht="15" x14ac:dyDescent="0.2">
      <c r="C402" s="61">
        <v>41413.145833333336</v>
      </c>
      <c r="D402" s="60">
        <v>5130</v>
      </c>
      <c r="E402" s="59" t="s">
        <v>339</v>
      </c>
    </row>
    <row r="403" spans="3:5" ht="15" x14ac:dyDescent="0.2">
      <c r="C403" s="61">
        <v>41413.15625</v>
      </c>
      <c r="D403" s="60">
        <v>5110</v>
      </c>
      <c r="E403" s="59" t="s">
        <v>340</v>
      </c>
    </row>
    <row r="404" spans="3:5" ht="15" x14ac:dyDescent="0.2">
      <c r="C404" s="61">
        <v>41413.166666666664</v>
      </c>
      <c r="D404" s="60">
        <v>5110</v>
      </c>
      <c r="E404" s="59" t="s">
        <v>340</v>
      </c>
    </row>
    <row r="405" spans="3:5" ht="15" x14ac:dyDescent="0.2">
      <c r="C405" s="61">
        <v>41413.177083333336</v>
      </c>
      <c r="D405" s="60">
        <v>5100</v>
      </c>
      <c r="E405" s="59" t="s">
        <v>341</v>
      </c>
    </row>
    <row r="406" spans="3:5" ht="15" x14ac:dyDescent="0.2">
      <c r="C406" s="61">
        <v>41413.1875</v>
      </c>
      <c r="D406" s="60">
        <v>5100</v>
      </c>
      <c r="E406" s="59" t="s">
        <v>341</v>
      </c>
    </row>
    <row r="407" spans="3:5" ht="15" x14ac:dyDescent="0.2">
      <c r="C407" s="61">
        <v>41413.197916666664</v>
      </c>
      <c r="D407" s="60">
        <v>5080</v>
      </c>
      <c r="E407" s="59" t="s">
        <v>342</v>
      </c>
    </row>
    <row r="408" spans="3:5" ht="15" x14ac:dyDescent="0.2">
      <c r="C408" s="61">
        <v>41413.208333333336</v>
      </c>
      <c r="D408" s="60">
        <v>5080</v>
      </c>
      <c r="E408" s="59" t="s">
        <v>342</v>
      </c>
    </row>
    <row r="409" spans="3:5" ht="15" x14ac:dyDescent="0.2">
      <c r="C409" s="61">
        <v>41413.21875</v>
      </c>
      <c r="D409" s="60">
        <v>5070</v>
      </c>
      <c r="E409" s="59" t="s">
        <v>343</v>
      </c>
    </row>
    <row r="410" spans="3:5" ht="15" x14ac:dyDescent="0.2">
      <c r="C410" s="61">
        <v>41413.229166666664</v>
      </c>
      <c r="D410" s="60">
        <v>5070</v>
      </c>
      <c r="E410" s="59" t="s">
        <v>343</v>
      </c>
    </row>
    <row r="411" spans="3:5" ht="15" x14ac:dyDescent="0.2">
      <c r="C411" s="61">
        <v>41413.239583333336</v>
      </c>
      <c r="D411" s="60">
        <v>5050</v>
      </c>
      <c r="E411" s="59" t="s">
        <v>344</v>
      </c>
    </row>
    <row r="412" spans="3:5" ht="15" x14ac:dyDescent="0.2">
      <c r="C412" s="61">
        <v>41413.25</v>
      </c>
      <c r="D412" s="60">
        <v>5040</v>
      </c>
      <c r="E412" s="59" t="s">
        <v>345</v>
      </c>
    </row>
    <row r="413" spans="3:5" ht="15" x14ac:dyDescent="0.2">
      <c r="C413" s="61">
        <v>41413.260416666664</v>
      </c>
      <c r="D413" s="60">
        <v>5040</v>
      </c>
      <c r="E413" s="59" t="s">
        <v>345</v>
      </c>
    </row>
    <row r="414" spans="3:5" ht="15" x14ac:dyDescent="0.2">
      <c r="C414" s="61">
        <v>41413.270833333336</v>
      </c>
      <c r="D414" s="60">
        <v>5020</v>
      </c>
      <c r="E414" s="59" t="s">
        <v>346</v>
      </c>
    </row>
    <row r="415" spans="3:5" ht="15" x14ac:dyDescent="0.2">
      <c r="C415" s="61">
        <v>41413.28125</v>
      </c>
      <c r="D415" s="60">
        <v>5020</v>
      </c>
      <c r="E415" s="59" t="s">
        <v>346</v>
      </c>
    </row>
    <row r="416" spans="3:5" ht="15" x14ac:dyDescent="0.2">
      <c r="C416" s="61">
        <v>41413.291666666664</v>
      </c>
      <c r="D416" s="60">
        <v>5010</v>
      </c>
      <c r="E416" s="59" t="s">
        <v>347</v>
      </c>
    </row>
    <row r="417" spans="3:5" ht="15" x14ac:dyDescent="0.2">
      <c r="C417" s="61">
        <v>41413.302083333336</v>
      </c>
      <c r="D417" s="60">
        <v>5010</v>
      </c>
      <c r="E417" s="59" t="s">
        <v>347</v>
      </c>
    </row>
    <row r="418" spans="3:5" ht="15" x14ac:dyDescent="0.2">
      <c r="C418" s="61">
        <v>41413.3125</v>
      </c>
      <c r="D418" s="60">
        <v>4990</v>
      </c>
      <c r="E418" s="59" t="s">
        <v>348</v>
      </c>
    </row>
    <row r="419" spans="3:5" ht="15" x14ac:dyDescent="0.2">
      <c r="C419" s="61">
        <v>41413.322916666664</v>
      </c>
      <c r="D419" s="60">
        <v>4990</v>
      </c>
      <c r="E419" s="59" t="s">
        <v>348</v>
      </c>
    </row>
    <row r="420" spans="3:5" ht="15" x14ac:dyDescent="0.2">
      <c r="C420" s="61">
        <v>41413.333333333336</v>
      </c>
      <c r="D420" s="60">
        <v>4980</v>
      </c>
      <c r="E420" s="59" t="s">
        <v>349</v>
      </c>
    </row>
    <row r="421" spans="3:5" ht="15" x14ac:dyDescent="0.2">
      <c r="C421" s="61">
        <v>41413.34375</v>
      </c>
      <c r="D421" s="60">
        <v>4980</v>
      </c>
      <c r="E421" s="59" t="s">
        <v>349</v>
      </c>
    </row>
    <row r="422" spans="3:5" ht="15" x14ac:dyDescent="0.2">
      <c r="C422" s="61">
        <v>41413.354166666664</v>
      </c>
      <c r="D422" s="60">
        <v>4980</v>
      </c>
      <c r="E422" s="59" t="s">
        <v>349</v>
      </c>
    </row>
    <row r="423" spans="3:5" ht="15" x14ac:dyDescent="0.2">
      <c r="C423" s="61">
        <v>41413.364583333336</v>
      </c>
      <c r="D423" s="60">
        <v>4960</v>
      </c>
      <c r="E423" s="59" t="s">
        <v>350</v>
      </c>
    </row>
    <row r="424" spans="3:5" ht="15" x14ac:dyDescent="0.2">
      <c r="C424" s="61">
        <v>41413.375</v>
      </c>
      <c r="D424" s="60">
        <v>4960</v>
      </c>
      <c r="E424" s="59" t="s">
        <v>350</v>
      </c>
    </row>
    <row r="425" spans="3:5" ht="15" x14ac:dyDescent="0.2">
      <c r="C425" s="61">
        <v>41413.385416666664</v>
      </c>
      <c r="D425" s="60">
        <v>4950</v>
      </c>
      <c r="E425" s="59" t="s">
        <v>351</v>
      </c>
    </row>
    <row r="426" spans="3:5" ht="15" x14ac:dyDescent="0.2">
      <c r="C426" s="61">
        <v>41413.395833333336</v>
      </c>
      <c r="D426" s="60">
        <v>4950</v>
      </c>
      <c r="E426" s="59" t="s">
        <v>351</v>
      </c>
    </row>
    <row r="427" spans="3:5" ht="15" x14ac:dyDescent="0.2">
      <c r="C427" s="61">
        <v>41413.40625</v>
      </c>
      <c r="D427" s="60">
        <v>4950</v>
      </c>
      <c r="E427" s="59" t="s">
        <v>351</v>
      </c>
    </row>
    <row r="428" spans="3:5" ht="15" x14ac:dyDescent="0.2">
      <c r="C428" s="61">
        <v>41413.416666666664</v>
      </c>
      <c r="D428" s="60">
        <v>4930</v>
      </c>
      <c r="E428" s="59" t="s">
        <v>352</v>
      </c>
    </row>
    <row r="429" spans="3:5" ht="15" x14ac:dyDescent="0.2">
      <c r="C429" s="61">
        <v>41413.427083333336</v>
      </c>
      <c r="D429" s="60">
        <v>4930</v>
      </c>
      <c r="E429" s="59" t="s">
        <v>352</v>
      </c>
    </row>
    <row r="430" spans="3:5" ht="15" x14ac:dyDescent="0.2">
      <c r="C430" s="61">
        <v>41413.4375</v>
      </c>
      <c r="D430" s="60">
        <v>4930</v>
      </c>
      <c r="E430" s="59" t="s">
        <v>352</v>
      </c>
    </row>
    <row r="431" spans="3:5" ht="15" x14ac:dyDescent="0.2">
      <c r="C431" s="61">
        <v>41413.447916666664</v>
      </c>
      <c r="D431" s="60">
        <v>4920</v>
      </c>
      <c r="E431" s="59" t="s">
        <v>353</v>
      </c>
    </row>
    <row r="432" spans="3:5" ht="15" x14ac:dyDescent="0.2">
      <c r="C432" s="61">
        <v>41413.458333333336</v>
      </c>
      <c r="D432" s="60">
        <v>4920</v>
      </c>
      <c r="E432" s="59" t="s">
        <v>353</v>
      </c>
    </row>
    <row r="433" spans="3:5" ht="15" x14ac:dyDescent="0.2">
      <c r="C433" s="61">
        <v>41413.46875</v>
      </c>
      <c r="D433" s="60">
        <v>4920</v>
      </c>
      <c r="E433" s="59" t="s">
        <v>353</v>
      </c>
    </row>
    <row r="434" spans="3:5" ht="15" x14ac:dyDescent="0.2">
      <c r="C434" s="61">
        <v>41413.479166666664</v>
      </c>
      <c r="D434" s="60">
        <v>4920</v>
      </c>
      <c r="E434" s="59" t="s">
        <v>353</v>
      </c>
    </row>
    <row r="435" spans="3:5" ht="15" x14ac:dyDescent="0.2">
      <c r="C435" s="61">
        <v>41413.489583333336</v>
      </c>
      <c r="D435" s="60">
        <v>4900</v>
      </c>
      <c r="E435" s="59" t="s">
        <v>354</v>
      </c>
    </row>
    <row r="436" spans="3:5" ht="15" x14ac:dyDescent="0.2">
      <c r="C436" s="61">
        <v>41413.5</v>
      </c>
      <c r="D436" s="60">
        <v>4900</v>
      </c>
      <c r="E436" s="59" t="s">
        <v>354</v>
      </c>
    </row>
    <row r="437" spans="3:5" ht="15" x14ac:dyDescent="0.2">
      <c r="C437" s="61">
        <v>41413.510416666664</v>
      </c>
      <c r="D437" s="60">
        <v>4900</v>
      </c>
      <c r="E437" s="59" t="s">
        <v>354</v>
      </c>
    </row>
    <row r="438" spans="3:5" ht="15" x14ac:dyDescent="0.2">
      <c r="C438" s="61">
        <v>41413.520833333336</v>
      </c>
      <c r="D438" s="60">
        <v>4890</v>
      </c>
      <c r="E438" s="59" t="s">
        <v>355</v>
      </c>
    </row>
    <row r="439" spans="3:5" ht="15" x14ac:dyDescent="0.2">
      <c r="C439" s="61">
        <v>41413.53125</v>
      </c>
      <c r="D439" s="60">
        <v>4890</v>
      </c>
      <c r="E439" s="59" t="s">
        <v>355</v>
      </c>
    </row>
    <row r="440" spans="3:5" ht="15" x14ac:dyDescent="0.2">
      <c r="C440" s="61">
        <v>41413.541666666664</v>
      </c>
      <c r="D440" s="60">
        <v>4890</v>
      </c>
      <c r="E440" s="59" t="s">
        <v>355</v>
      </c>
    </row>
    <row r="441" spans="3:5" ht="15" x14ac:dyDescent="0.2">
      <c r="C441" s="61">
        <v>41413.552083333336</v>
      </c>
      <c r="D441" s="60">
        <v>4890</v>
      </c>
      <c r="E441" s="59" t="s">
        <v>355</v>
      </c>
    </row>
    <row r="442" spans="3:5" ht="15" x14ac:dyDescent="0.2">
      <c r="C442" s="61">
        <v>41413.5625</v>
      </c>
      <c r="D442" s="60">
        <v>4890</v>
      </c>
      <c r="E442" s="59" t="s">
        <v>355</v>
      </c>
    </row>
    <row r="443" spans="3:5" ht="15" x14ac:dyDescent="0.2">
      <c r="C443" s="61">
        <v>41413.572916666664</v>
      </c>
      <c r="D443" s="60">
        <v>4890</v>
      </c>
      <c r="E443" s="59" t="s">
        <v>355</v>
      </c>
    </row>
    <row r="444" spans="3:5" ht="15" x14ac:dyDescent="0.2">
      <c r="C444" s="61">
        <v>41413.583333333336</v>
      </c>
      <c r="D444" s="60">
        <v>4890</v>
      </c>
      <c r="E444" s="59" t="s">
        <v>355</v>
      </c>
    </row>
    <row r="445" spans="3:5" ht="15" x14ac:dyDescent="0.2">
      <c r="C445" s="61">
        <v>41413.59375</v>
      </c>
      <c r="D445" s="60">
        <v>4890</v>
      </c>
      <c r="E445" s="59" t="s">
        <v>355</v>
      </c>
    </row>
    <row r="446" spans="3:5" ht="15" x14ac:dyDescent="0.2">
      <c r="C446" s="61">
        <v>41413.604166666664</v>
      </c>
      <c r="D446" s="60">
        <v>4870</v>
      </c>
      <c r="E446" s="59" t="s">
        <v>356</v>
      </c>
    </row>
    <row r="447" spans="3:5" ht="15" x14ac:dyDescent="0.2">
      <c r="C447" s="61">
        <v>41413.614583333336</v>
      </c>
      <c r="D447" s="60">
        <v>4870</v>
      </c>
      <c r="E447" s="59" t="s">
        <v>356</v>
      </c>
    </row>
    <row r="448" spans="3:5" ht="15" x14ac:dyDescent="0.2">
      <c r="C448" s="61">
        <v>41413.625</v>
      </c>
      <c r="D448" s="60">
        <v>4870</v>
      </c>
      <c r="E448" s="59" t="s">
        <v>356</v>
      </c>
    </row>
    <row r="449" spans="3:5" ht="15" x14ac:dyDescent="0.2">
      <c r="C449" s="61">
        <v>41413.635416666664</v>
      </c>
      <c r="D449" s="60">
        <v>4860</v>
      </c>
      <c r="E449" s="59" t="s">
        <v>357</v>
      </c>
    </row>
    <row r="450" spans="3:5" ht="15" x14ac:dyDescent="0.2">
      <c r="C450" s="61">
        <v>41413.645833333336</v>
      </c>
      <c r="D450" s="60">
        <v>4860</v>
      </c>
      <c r="E450" s="59" t="s">
        <v>357</v>
      </c>
    </row>
    <row r="451" spans="3:5" ht="15" x14ac:dyDescent="0.2">
      <c r="C451" s="61">
        <v>41413.65625</v>
      </c>
      <c r="D451" s="60">
        <v>4860</v>
      </c>
      <c r="E451" s="59" t="s">
        <v>357</v>
      </c>
    </row>
    <row r="452" spans="3:5" ht="15" x14ac:dyDescent="0.2">
      <c r="C452" s="61">
        <v>41413.666666666664</v>
      </c>
      <c r="D452" s="60">
        <v>4840</v>
      </c>
      <c r="E452" s="59" t="s">
        <v>358</v>
      </c>
    </row>
    <row r="453" spans="3:5" ht="15" x14ac:dyDescent="0.2">
      <c r="C453" s="61">
        <v>41413.677083333336</v>
      </c>
      <c r="D453" s="60">
        <v>4840</v>
      </c>
      <c r="E453" s="59" t="s">
        <v>358</v>
      </c>
    </row>
    <row r="454" spans="3:5" ht="15" x14ac:dyDescent="0.2">
      <c r="C454" s="61">
        <v>41413.6875</v>
      </c>
      <c r="D454" s="60">
        <v>4840</v>
      </c>
      <c r="E454" s="59" t="s">
        <v>358</v>
      </c>
    </row>
    <row r="455" spans="3:5" ht="15" x14ac:dyDescent="0.2">
      <c r="C455" s="61">
        <v>41413.697916666664</v>
      </c>
      <c r="D455" s="60">
        <v>4830</v>
      </c>
      <c r="E455" s="59" t="s">
        <v>359</v>
      </c>
    </row>
    <row r="456" spans="3:5" ht="15" x14ac:dyDescent="0.2">
      <c r="C456" s="61">
        <v>41413.708333333336</v>
      </c>
      <c r="D456" s="60">
        <v>4830</v>
      </c>
      <c r="E456" s="59" t="s">
        <v>359</v>
      </c>
    </row>
    <row r="457" spans="3:5" ht="15" x14ac:dyDescent="0.2">
      <c r="C457" s="61">
        <v>41413.71875</v>
      </c>
      <c r="D457" s="60">
        <v>4830</v>
      </c>
      <c r="E457" s="59" t="s">
        <v>359</v>
      </c>
    </row>
    <row r="458" spans="3:5" ht="15" x14ac:dyDescent="0.2">
      <c r="C458" s="61">
        <v>41413.729166666664</v>
      </c>
      <c r="D458" s="60">
        <v>4810</v>
      </c>
      <c r="E458" s="59" t="s">
        <v>360</v>
      </c>
    </row>
    <row r="459" spans="3:5" ht="15" x14ac:dyDescent="0.2">
      <c r="C459" s="61">
        <v>41413.739583333336</v>
      </c>
      <c r="D459" s="60">
        <v>4810</v>
      </c>
      <c r="E459" s="59" t="s">
        <v>360</v>
      </c>
    </row>
    <row r="460" spans="3:5" ht="15" x14ac:dyDescent="0.2">
      <c r="C460" s="61">
        <v>41413.75</v>
      </c>
      <c r="D460" s="60">
        <v>4810</v>
      </c>
      <c r="E460" s="59" t="s">
        <v>360</v>
      </c>
    </row>
    <row r="461" spans="3:5" ht="15" x14ac:dyDescent="0.2">
      <c r="C461" s="61">
        <v>41413.760416666664</v>
      </c>
      <c r="D461" s="60">
        <v>4800</v>
      </c>
      <c r="E461" s="59" t="s">
        <v>361</v>
      </c>
    </row>
    <row r="462" spans="3:5" ht="15" x14ac:dyDescent="0.2">
      <c r="C462" s="61">
        <v>41413.770833333336</v>
      </c>
      <c r="D462" s="60">
        <v>4800</v>
      </c>
      <c r="E462" s="59" t="s">
        <v>361</v>
      </c>
    </row>
    <row r="463" spans="3:5" ht="15" x14ac:dyDescent="0.2">
      <c r="C463" s="61">
        <v>41413.78125</v>
      </c>
      <c r="D463" s="60">
        <v>4800</v>
      </c>
      <c r="E463" s="59" t="s">
        <v>361</v>
      </c>
    </row>
    <row r="464" spans="3:5" ht="15" x14ac:dyDescent="0.2">
      <c r="C464" s="61">
        <v>41413.791666666664</v>
      </c>
      <c r="D464" s="60">
        <v>4800</v>
      </c>
      <c r="E464" s="59" t="s">
        <v>361</v>
      </c>
    </row>
    <row r="465" spans="3:5" ht="15" x14ac:dyDescent="0.2">
      <c r="C465" s="61">
        <v>41413.802083333336</v>
      </c>
      <c r="D465" s="60">
        <v>4780</v>
      </c>
      <c r="E465" s="59" t="s">
        <v>362</v>
      </c>
    </row>
    <row r="466" spans="3:5" ht="15" x14ac:dyDescent="0.2">
      <c r="C466" s="61">
        <v>41413.8125</v>
      </c>
      <c r="D466" s="60">
        <v>4780</v>
      </c>
      <c r="E466" s="59" t="s">
        <v>362</v>
      </c>
    </row>
    <row r="467" spans="3:5" ht="15" x14ac:dyDescent="0.2">
      <c r="C467" s="61">
        <v>41413.822916666664</v>
      </c>
      <c r="D467" s="60">
        <v>4770</v>
      </c>
      <c r="E467" s="59" t="s">
        <v>363</v>
      </c>
    </row>
    <row r="468" spans="3:5" ht="15" x14ac:dyDescent="0.2">
      <c r="C468" s="61">
        <v>41413.833333333336</v>
      </c>
      <c r="D468" s="60">
        <v>4770</v>
      </c>
      <c r="E468" s="59" t="s">
        <v>363</v>
      </c>
    </row>
    <row r="469" spans="3:5" ht="15" x14ac:dyDescent="0.2">
      <c r="C469" s="61">
        <v>41413.84375</v>
      </c>
      <c r="D469" s="60">
        <v>4770</v>
      </c>
      <c r="E469" s="59" t="s">
        <v>363</v>
      </c>
    </row>
    <row r="470" spans="3:5" ht="15" x14ac:dyDescent="0.2">
      <c r="C470" s="61">
        <v>41413.854166666664</v>
      </c>
      <c r="D470" s="60">
        <v>4750</v>
      </c>
      <c r="E470" s="59" t="s">
        <v>364</v>
      </c>
    </row>
    <row r="471" spans="3:5" ht="15" x14ac:dyDescent="0.2">
      <c r="C471" s="61">
        <v>41413.864583333336</v>
      </c>
      <c r="D471" s="60">
        <v>4740</v>
      </c>
      <c r="E471" s="59" t="s">
        <v>365</v>
      </c>
    </row>
    <row r="472" spans="3:5" ht="15" x14ac:dyDescent="0.2">
      <c r="C472" s="61">
        <v>41413.875</v>
      </c>
      <c r="D472" s="60">
        <v>4740</v>
      </c>
      <c r="E472" s="59" t="s">
        <v>365</v>
      </c>
    </row>
    <row r="473" spans="3:5" ht="15" x14ac:dyDescent="0.2">
      <c r="C473" s="61">
        <v>41413.885416666664</v>
      </c>
      <c r="D473" s="60">
        <v>4720</v>
      </c>
      <c r="E473" s="59" t="s">
        <v>366</v>
      </c>
    </row>
    <row r="474" spans="3:5" ht="15" x14ac:dyDescent="0.2">
      <c r="C474" s="61">
        <v>41413.895833333336</v>
      </c>
      <c r="D474" s="60">
        <v>4720</v>
      </c>
      <c r="E474" s="59" t="s">
        <v>366</v>
      </c>
    </row>
    <row r="475" spans="3:5" ht="15" x14ac:dyDescent="0.2">
      <c r="C475" s="61">
        <v>41413.90625</v>
      </c>
      <c r="D475" s="60">
        <v>4710</v>
      </c>
      <c r="E475" s="59" t="s">
        <v>367</v>
      </c>
    </row>
    <row r="476" spans="3:5" ht="15" x14ac:dyDescent="0.2">
      <c r="C476" s="61">
        <v>41413.916666666664</v>
      </c>
      <c r="D476" s="60">
        <v>4710</v>
      </c>
      <c r="E476" s="59" t="s">
        <v>367</v>
      </c>
    </row>
    <row r="477" spans="3:5" ht="15" x14ac:dyDescent="0.2">
      <c r="C477" s="61">
        <v>41413.927083333336</v>
      </c>
      <c r="D477" s="60">
        <v>4690</v>
      </c>
      <c r="E477" s="59" t="s">
        <v>368</v>
      </c>
    </row>
    <row r="478" spans="3:5" ht="15" x14ac:dyDescent="0.2">
      <c r="C478" s="61">
        <v>41413.9375</v>
      </c>
      <c r="D478" s="60">
        <v>4690</v>
      </c>
      <c r="E478" s="59" t="s">
        <v>368</v>
      </c>
    </row>
    <row r="479" spans="3:5" ht="15" x14ac:dyDescent="0.2">
      <c r="C479" s="61">
        <v>41413.947916666664</v>
      </c>
      <c r="D479" s="60">
        <v>4680</v>
      </c>
      <c r="E479" s="59" t="s">
        <v>369</v>
      </c>
    </row>
    <row r="480" spans="3:5" ht="15" x14ac:dyDescent="0.2">
      <c r="C480" s="61">
        <v>41413.958333333336</v>
      </c>
      <c r="D480" s="60">
        <v>4680</v>
      </c>
      <c r="E480" s="59" t="s">
        <v>369</v>
      </c>
    </row>
    <row r="481" spans="3:5" ht="15" x14ac:dyDescent="0.2">
      <c r="C481" s="61">
        <v>41413.96875</v>
      </c>
      <c r="D481" s="60">
        <v>4660</v>
      </c>
      <c r="E481" s="59" t="s">
        <v>370</v>
      </c>
    </row>
    <row r="482" spans="3:5" ht="15" x14ac:dyDescent="0.2">
      <c r="C482" s="61">
        <v>41413.979166666664</v>
      </c>
      <c r="D482" s="60">
        <v>4660</v>
      </c>
      <c r="E482" s="59" t="s">
        <v>370</v>
      </c>
    </row>
    <row r="483" spans="3:5" ht="15" x14ac:dyDescent="0.2">
      <c r="C483" s="61">
        <v>41413.989583333336</v>
      </c>
      <c r="D483" s="60">
        <v>4650</v>
      </c>
      <c r="E483" s="59" t="s">
        <v>371</v>
      </c>
    </row>
    <row r="484" spans="3:5" ht="15" x14ac:dyDescent="0.2">
      <c r="C484" s="61">
        <v>41414</v>
      </c>
      <c r="D484" s="60">
        <v>4650</v>
      </c>
      <c r="E484" s="59" t="s">
        <v>371</v>
      </c>
    </row>
    <row r="485" spans="3:5" ht="15" x14ac:dyDescent="0.2">
      <c r="C485" s="61">
        <v>41414.010416666664</v>
      </c>
      <c r="D485" s="60">
        <v>4650</v>
      </c>
      <c r="E485" s="59" t="s">
        <v>371</v>
      </c>
    </row>
    <row r="486" spans="3:5" ht="15" x14ac:dyDescent="0.2">
      <c r="C486" s="61">
        <v>41414.020833333336</v>
      </c>
      <c r="D486" s="60">
        <v>4630</v>
      </c>
      <c r="E486" s="59" t="s">
        <v>372</v>
      </c>
    </row>
    <row r="487" spans="3:5" ht="15" x14ac:dyDescent="0.2">
      <c r="C487" s="61">
        <v>41414.03125</v>
      </c>
      <c r="D487" s="60">
        <v>4630</v>
      </c>
      <c r="E487" s="59" t="s">
        <v>372</v>
      </c>
    </row>
    <row r="488" spans="3:5" ht="15" x14ac:dyDescent="0.2">
      <c r="C488" s="61">
        <v>41414.041666666664</v>
      </c>
      <c r="D488" s="60">
        <v>4620</v>
      </c>
      <c r="E488" s="59" t="s">
        <v>373</v>
      </c>
    </row>
    <row r="489" spans="3:5" ht="15" x14ac:dyDescent="0.2">
      <c r="C489" s="61">
        <v>41414.052083333336</v>
      </c>
      <c r="D489" s="60">
        <v>4620</v>
      </c>
      <c r="E489" s="59" t="s">
        <v>373</v>
      </c>
    </row>
    <row r="490" spans="3:5" ht="15" x14ac:dyDescent="0.2">
      <c r="C490" s="61">
        <v>41414.0625</v>
      </c>
      <c r="D490" s="60">
        <v>4620</v>
      </c>
      <c r="E490" s="59" t="s">
        <v>373</v>
      </c>
    </row>
    <row r="491" spans="3:5" ht="15" x14ac:dyDescent="0.2">
      <c r="C491" s="61">
        <v>41414.072916666664</v>
      </c>
      <c r="D491" s="60">
        <v>4620</v>
      </c>
      <c r="E491" s="59" t="s">
        <v>373</v>
      </c>
    </row>
    <row r="492" spans="3:5" ht="15" x14ac:dyDescent="0.2">
      <c r="C492" s="61">
        <v>41414.083333333336</v>
      </c>
      <c r="D492" s="60">
        <v>4620</v>
      </c>
      <c r="E492" s="59" t="s">
        <v>373</v>
      </c>
    </row>
    <row r="493" spans="3:5" ht="15" x14ac:dyDescent="0.2">
      <c r="C493" s="61">
        <v>41414.09375</v>
      </c>
      <c r="D493" s="60">
        <v>4600</v>
      </c>
      <c r="E493" s="59" t="s">
        <v>374</v>
      </c>
    </row>
    <row r="494" spans="3:5" ht="15" x14ac:dyDescent="0.2">
      <c r="C494" s="61">
        <v>41414.104166666664</v>
      </c>
      <c r="D494" s="60">
        <v>4590</v>
      </c>
      <c r="E494" s="59" t="s">
        <v>375</v>
      </c>
    </row>
    <row r="495" spans="3:5" ht="15" x14ac:dyDescent="0.2">
      <c r="C495" s="61">
        <v>41414.114583333336</v>
      </c>
      <c r="D495" s="60">
        <v>4590</v>
      </c>
      <c r="E495" s="59" t="s">
        <v>375</v>
      </c>
    </row>
    <row r="496" spans="3:5" ht="15" x14ac:dyDescent="0.2">
      <c r="C496" s="61">
        <v>41414.125</v>
      </c>
      <c r="D496" s="60">
        <v>4590</v>
      </c>
      <c r="E496" s="59" t="s">
        <v>375</v>
      </c>
    </row>
    <row r="497" spans="3:5" ht="15" x14ac:dyDescent="0.2">
      <c r="C497" s="61">
        <v>41414.135416666664</v>
      </c>
      <c r="D497" s="60">
        <v>4570</v>
      </c>
      <c r="E497" s="59" t="s">
        <v>376</v>
      </c>
    </row>
    <row r="498" spans="3:5" ht="15" x14ac:dyDescent="0.2">
      <c r="C498" s="61">
        <v>41414.145833333336</v>
      </c>
      <c r="D498" s="60">
        <v>4570</v>
      </c>
      <c r="E498" s="59" t="s">
        <v>376</v>
      </c>
    </row>
    <row r="499" spans="3:5" ht="15" x14ac:dyDescent="0.2">
      <c r="C499" s="61">
        <v>41414.15625</v>
      </c>
      <c r="D499" s="60">
        <v>4560</v>
      </c>
      <c r="E499" s="59" t="s">
        <v>377</v>
      </c>
    </row>
    <row r="500" spans="3:5" ht="15" x14ac:dyDescent="0.2">
      <c r="C500" s="61">
        <v>41414.166666666664</v>
      </c>
      <c r="D500" s="60">
        <v>4560</v>
      </c>
      <c r="E500" s="59" t="s">
        <v>377</v>
      </c>
    </row>
    <row r="501" spans="3:5" ht="15" x14ac:dyDescent="0.2">
      <c r="C501" s="61">
        <v>41414.177083333336</v>
      </c>
      <c r="D501" s="60">
        <v>4560</v>
      </c>
      <c r="E501" s="59" t="s">
        <v>377</v>
      </c>
    </row>
    <row r="502" spans="3:5" ht="15" x14ac:dyDescent="0.2">
      <c r="C502" s="61">
        <v>41414.1875</v>
      </c>
      <c r="D502" s="60">
        <v>4540</v>
      </c>
      <c r="E502" s="59" t="s">
        <v>378</v>
      </c>
    </row>
    <row r="503" spans="3:5" ht="15" x14ac:dyDescent="0.2">
      <c r="C503" s="61">
        <v>41414.197916666664</v>
      </c>
      <c r="D503" s="60">
        <v>4540</v>
      </c>
      <c r="E503" s="59" t="s">
        <v>378</v>
      </c>
    </row>
    <row r="504" spans="3:5" ht="15" x14ac:dyDescent="0.2">
      <c r="C504" s="61">
        <v>41414.208333333336</v>
      </c>
      <c r="D504" s="60">
        <v>4530</v>
      </c>
      <c r="E504" s="59" t="s">
        <v>379</v>
      </c>
    </row>
    <row r="505" spans="3:5" ht="15" x14ac:dyDescent="0.2">
      <c r="C505" s="61">
        <v>41414.21875</v>
      </c>
      <c r="D505" s="60">
        <v>4530</v>
      </c>
      <c r="E505" s="59" t="s">
        <v>379</v>
      </c>
    </row>
    <row r="506" spans="3:5" ht="15" x14ac:dyDescent="0.2">
      <c r="C506" s="61">
        <v>41414.229166666664</v>
      </c>
      <c r="D506" s="60">
        <v>4530</v>
      </c>
      <c r="E506" s="59" t="s">
        <v>379</v>
      </c>
    </row>
    <row r="507" spans="3:5" ht="15" x14ac:dyDescent="0.2">
      <c r="C507" s="61">
        <v>41414.239583333336</v>
      </c>
      <c r="D507" s="60">
        <v>4510</v>
      </c>
      <c r="E507" s="59" t="s">
        <v>380</v>
      </c>
    </row>
    <row r="508" spans="3:5" ht="15" x14ac:dyDescent="0.2">
      <c r="C508" s="61">
        <v>41414.25</v>
      </c>
      <c r="D508" s="60">
        <v>4510</v>
      </c>
      <c r="E508" s="59" t="s">
        <v>380</v>
      </c>
    </row>
    <row r="509" spans="3:5" ht="15" x14ac:dyDescent="0.2">
      <c r="C509" s="61">
        <v>41414.260416666664</v>
      </c>
      <c r="D509" s="60">
        <v>4500</v>
      </c>
      <c r="E509" s="59" t="s">
        <v>381</v>
      </c>
    </row>
    <row r="510" spans="3:5" ht="15" x14ac:dyDescent="0.2">
      <c r="C510" s="61">
        <v>41414.270833333336</v>
      </c>
      <c r="D510" s="60">
        <v>4500</v>
      </c>
      <c r="E510" s="59" t="s">
        <v>381</v>
      </c>
    </row>
    <row r="511" spans="3:5" ht="15" x14ac:dyDescent="0.2">
      <c r="C511" s="61">
        <v>41414.28125</v>
      </c>
      <c r="D511" s="60">
        <v>4500</v>
      </c>
      <c r="E511" s="59" t="s">
        <v>381</v>
      </c>
    </row>
    <row r="512" spans="3:5" ht="15" x14ac:dyDescent="0.2">
      <c r="C512" s="61">
        <v>41414.291666666664</v>
      </c>
      <c r="D512" s="60">
        <v>4490</v>
      </c>
      <c r="E512" s="59" t="s">
        <v>382</v>
      </c>
    </row>
    <row r="513" spans="3:5" ht="15" x14ac:dyDescent="0.2">
      <c r="C513" s="61">
        <v>41414.302083333336</v>
      </c>
      <c r="D513" s="60">
        <v>4490</v>
      </c>
      <c r="E513" s="59" t="s">
        <v>382</v>
      </c>
    </row>
    <row r="514" spans="3:5" ht="15" x14ac:dyDescent="0.2">
      <c r="C514" s="61">
        <v>41414.3125</v>
      </c>
      <c r="D514" s="60">
        <v>4490</v>
      </c>
      <c r="E514" s="59" t="s">
        <v>382</v>
      </c>
    </row>
    <row r="515" spans="3:5" ht="15" x14ac:dyDescent="0.2">
      <c r="C515" s="61">
        <v>41414.322916666664</v>
      </c>
      <c r="D515" s="60">
        <v>4470</v>
      </c>
      <c r="E515" s="59" t="s">
        <v>383</v>
      </c>
    </row>
    <row r="516" spans="3:5" ht="15" x14ac:dyDescent="0.2">
      <c r="C516" s="61">
        <v>41414.333333333336</v>
      </c>
      <c r="D516" s="60">
        <v>4470</v>
      </c>
      <c r="E516" s="59" t="s">
        <v>383</v>
      </c>
    </row>
    <row r="517" spans="3:5" ht="15" x14ac:dyDescent="0.2">
      <c r="C517" s="61">
        <v>41414.34375</v>
      </c>
      <c r="D517" s="60">
        <v>4460</v>
      </c>
      <c r="E517" s="59" t="s">
        <v>384</v>
      </c>
    </row>
    <row r="518" spans="3:5" ht="15" x14ac:dyDescent="0.2">
      <c r="C518" s="61">
        <v>41414.354166666664</v>
      </c>
      <c r="D518" s="60">
        <v>4460</v>
      </c>
      <c r="E518" s="59" t="s">
        <v>384</v>
      </c>
    </row>
    <row r="519" spans="3:5" ht="15" x14ac:dyDescent="0.2">
      <c r="C519" s="61">
        <v>41414.364583333336</v>
      </c>
      <c r="D519" s="60">
        <v>4460</v>
      </c>
      <c r="E519" s="59" t="s">
        <v>384</v>
      </c>
    </row>
    <row r="520" spans="3:5" ht="15" x14ac:dyDescent="0.2">
      <c r="C520" s="61">
        <v>41414.375</v>
      </c>
      <c r="D520" s="60">
        <v>4440</v>
      </c>
      <c r="E520" s="59" t="s">
        <v>385</v>
      </c>
    </row>
    <row r="521" spans="3:5" ht="15" x14ac:dyDescent="0.2">
      <c r="C521" s="61">
        <v>41414.385416666664</v>
      </c>
      <c r="D521" s="60">
        <v>4440</v>
      </c>
      <c r="E521" s="59" t="s">
        <v>385</v>
      </c>
    </row>
    <row r="522" spans="3:5" ht="15" x14ac:dyDescent="0.2">
      <c r="C522" s="61">
        <v>41414.395833333336</v>
      </c>
      <c r="D522" s="60">
        <v>4440</v>
      </c>
      <c r="E522" s="59" t="s">
        <v>385</v>
      </c>
    </row>
    <row r="523" spans="3:5" ht="15" x14ac:dyDescent="0.2">
      <c r="C523" s="61">
        <v>41414.40625</v>
      </c>
      <c r="D523" s="60">
        <v>4440</v>
      </c>
      <c r="E523" s="59" t="s">
        <v>385</v>
      </c>
    </row>
    <row r="524" spans="3:5" ht="15" x14ac:dyDescent="0.2">
      <c r="C524" s="61">
        <v>41414.416666666664</v>
      </c>
      <c r="D524" s="60">
        <v>4440</v>
      </c>
      <c r="E524" s="59" t="s">
        <v>385</v>
      </c>
    </row>
    <row r="525" spans="3:5" ht="15" x14ac:dyDescent="0.2">
      <c r="C525" s="61">
        <v>41414.427083333336</v>
      </c>
      <c r="D525" s="60">
        <v>4430</v>
      </c>
      <c r="E525" s="59" t="s">
        <v>386</v>
      </c>
    </row>
    <row r="526" spans="3:5" ht="15" x14ac:dyDescent="0.2">
      <c r="C526" s="61">
        <v>41414.4375</v>
      </c>
      <c r="D526" s="60">
        <v>4430</v>
      </c>
      <c r="E526" s="59" t="s">
        <v>386</v>
      </c>
    </row>
    <row r="527" spans="3:5" ht="15" x14ac:dyDescent="0.2">
      <c r="C527" s="61">
        <v>41414.447916666664</v>
      </c>
      <c r="D527" s="60">
        <v>4430</v>
      </c>
      <c r="E527" s="59" t="s">
        <v>386</v>
      </c>
    </row>
    <row r="528" spans="3:5" ht="15" x14ac:dyDescent="0.2">
      <c r="C528" s="61">
        <v>41414.458333333336</v>
      </c>
      <c r="D528" s="60">
        <v>4430</v>
      </c>
      <c r="E528" s="59" t="s">
        <v>386</v>
      </c>
    </row>
    <row r="529" spans="3:5" ht="15" x14ac:dyDescent="0.2">
      <c r="C529" s="61">
        <v>41414.46875</v>
      </c>
      <c r="D529" s="60">
        <v>4410</v>
      </c>
      <c r="E529" s="59" t="s">
        <v>387</v>
      </c>
    </row>
    <row r="530" spans="3:5" ht="15" x14ac:dyDescent="0.2">
      <c r="C530" s="61">
        <v>41414.479166666664</v>
      </c>
      <c r="D530" s="60">
        <v>4410</v>
      </c>
      <c r="E530" s="59" t="s">
        <v>387</v>
      </c>
    </row>
    <row r="531" spans="3:5" ht="15" x14ac:dyDescent="0.2">
      <c r="C531" s="61">
        <v>41414.489583333336</v>
      </c>
      <c r="D531" s="60">
        <v>4410</v>
      </c>
      <c r="E531" s="59" t="s">
        <v>387</v>
      </c>
    </row>
    <row r="532" spans="3:5" ht="15" x14ac:dyDescent="0.2">
      <c r="C532" s="61">
        <v>41414.5</v>
      </c>
      <c r="D532" s="60">
        <v>4410</v>
      </c>
      <c r="E532" s="59" t="s">
        <v>387</v>
      </c>
    </row>
    <row r="533" spans="3:5" ht="15" x14ac:dyDescent="0.2">
      <c r="C533" s="61">
        <v>41414.510416666664</v>
      </c>
      <c r="D533" s="60">
        <v>4410</v>
      </c>
      <c r="E533" s="59" t="s">
        <v>387</v>
      </c>
    </row>
    <row r="534" spans="3:5" ht="15" x14ac:dyDescent="0.2">
      <c r="C534" s="61">
        <v>41414.520833333336</v>
      </c>
      <c r="D534" s="60">
        <v>4410</v>
      </c>
      <c r="E534" s="59" t="s">
        <v>387</v>
      </c>
    </row>
    <row r="535" spans="3:5" ht="15" x14ac:dyDescent="0.2">
      <c r="C535" s="61">
        <v>41414.53125</v>
      </c>
      <c r="D535" s="60">
        <v>4410</v>
      </c>
      <c r="E535" s="59" t="s">
        <v>387</v>
      </c>
    </row>
    <row r="536" spans="3:5" ht="15" x14ac:dyDescent="0.2">
      <c r="C536" s="61">
        <v>41414.541666666664</v>
      </c>
      <c r="D536" s="60">
        <v>4410</v>
      </c>
      <c r="E536" s="59" t="s">
        <v>387</v>
      </c>
    </row>
    <row r="537" spans="3:5" ht="15" x14ac:dyDescent="0.2">
      <c r="C537" s="61">
        <v>41414.552083333336</v>
      </c>
      <c r="D537" s="60">
        <v>4410</v>
      </c>
      <c r="E537" s="59" t="s">
        <v>387</v>
      </c>
    </row>
    <row r="538" spans="3:5" ht="15" x14ac:dyDescent="0.2">
      <c r="C538" s="61">
        <v>41414.5625</v>
      </c>
      <c r="D538" s="60">
        <v>4410</v>
      </c>
      <c r="E538" s="59" t="s">
        <v>387</v>
      </c>
    </row>
    <row r="539" spans="3:5" ht="15" x14ac:dyDescent="0.2">
      <c r="C539" s="61">
        <v>41414.572916666664</v>
      </c>
      <c r="D539" s="60">
        <v>4410</v>
      </c>
      <c r="E539" s="59" t="s">
        <v>387</v>
      </c>
    </row>
    <row r="540" spans="3:5" ht="15" x14ac:dyDescent="0.2">
      <c r="C540" s="61">
        <v>41414.583333333336</v>
      </c>
      <c r="D540" s="60">
        <v>4410</v>
      </c>
      <c r="E540" s="59" t="s">
        <v>387</v>
      </c>
    </row>
    <row r="541" spans="3:5" ht="15" x14ac:dyDescent="0.2">
      <c r="C541" s="61">
        <v>41414.59375</v>
      </c>
      <c r="D541" s="60">
        <v>4410</v>
      </c>
      <c r="E541" s="59" t="s">
        <v>387</v>
      </c>
    </row>
    <row r="542" spans="3:5" ht="15" x14ac:dyDescent="0.2">
      <c r="C542" s="61">
        <v>41414.604166666664</v>
      </c>
      <c r="D542" s="60">
        <v>4400</v>
      </c>
      <c r="E542" s="59" t="s">
        <v>388</v>
      </c>
    </row>
    <row r="543" spans="3:5" ht="15" x14ac:dyDescent="0.2">
      <c r="C543" s="61">
        <v>41414.614583333336</v>
      </c>
      <c r="D543" s="60">
        <v>4400</v>
      </c>
      <c r="E543" s="59" t="s">
        <v>388</v>
      </c>
    </row>
    <row r="544" spans="3:5" ht="15" x14ac:dyDescent="0.2">
      <c r="C544" s="61">
        <v>41414.625</v>
      </c>
      <c r="D544" s="60">
        <v>4400</v>
      </c>
      <c r="E544" s="59" t="s">
        <v>388</v>
      </c>
    </row>
    <row r="545" spans="3:5" ht="15" x14ac:dyDescent="0.2">
      <c r="C545" s="61">
        <v>41414.635416666664</v>
      </c>
      <c r="D545" s="60">
        <v>4400</v>
      </c>
      <c r="E545" s="59" t="s">
        <v>388</v>
      </c>
    </row>
    <row r="546" spans="3:5" ht="15" x14ac:dyDescent="0.2">
      <c r="C546" s="61">
        <v>41414.645833333336</v>
      </c>
      <c r="D546" s="60">
        <v>4400</v>
      </c>
      <c r="E546" s="59" t="s">
        <v>388</v>
      </c>
    </row>
    <row r="547" spans="3:5" ht="15" x14ac:dyDescent="0.2">
      <c r="C547" s="61">
        <v>41414.65625</v>
      </c>
      <c r="D547" s="60">
        <v>4400</v>
      </c>
      <c r="E547" s="59" t="s">
        <v>388</v>
      </c>
    </row>
    <row r="548" spans="3:5" ht="15" x14ac:dyDescent="0.2">
      <c r="C548" s="61">
        <v>41414.666666666664</v>
      </c>
      <c r="D548" s="60">
        <v>4380</v>
      </c>
      <c r="E548" s="59" t="s">
        <v>389</v>
      </c>
    </row>
    <row r="549" spans="3:5" ht="15" x14ac:dyDescent="0.2">
      <c r="C549" s="61">
        <v>41414.677083333336</v>
      </c>
      <c r="D549" s="60">
        <v>4380</v>
      </c>
      <c r="E549" s="59" t="s">
        <v>389</v>
      </c>
    </row>
    <row r="550" spans="3:5" ht="15" x14ac:dyDescent="0.2">
      <c r="C550" s="61">
        <v>41414.6875</v>
      </c>
      <c r="D550" s="60">
        <v>4380</v>
      </c>
      <c r="E550" s="59" t="s">
        <v>389</v>
      </c>
    </row>
    <row r="551" spans="3:5" ht="15" x14ac:dyDescent="0.2">
      <c r="C551" s="61">
        <v>41414.697916666664</v>
      </c>
      <c r="D551" s="60">
        <v>4370</v>
      </c>
      <c r="E551" s="59" t="s">
        <v>390</v>
      </c>
    </row>
    <row r="552" spans="3:5" ht="15" x14ac:dyDescent="0.2">
      <c r="C552" s="61">
        <v>41414.708333333336</v>
      </c>
      <c r="D552" s="60">
        <v>4370</v>
      </c>
      <c r="E552" s="59" t="s">
        <v>390</v>
      </c>
    </row>
    <row r="553" spans="3:5" ht="15" x14ac:dyDescent="0.2">
      <c r="C553" s="61">
        <v>41414.71875</v>
      </c>
      <c r="D553" s="60">
        <v>4350</v>
      </c>
      <c r="E553" s="59" t="s">
        <v>391</v>
      </c>
    </row>
    <row r="554" spans="3:5" ht="15" x14ac:dyDescent="0.2">
      <c r="C554" s="61">
        <v>41414.729166666664</v>
      </c>
      <c r="D554" s="60">
        <v>4350</v>
      </c>
      <c r="E554" s="59" t="s">
        <v>391</v>
      </c>
    </row>
    <row r="555" spans="3:5" ht="15" x14ac:dyDescent="0.2">
      <c r="C555" s="61">
        <v>41414.739583333336</v>
      </c>
      <c r="D555" s="60">
        <v>4340</v>
      </c>
      <c r="E555" s="59" t="s">
        <v>392</v>
      </c>
    </row>
    <row r="556" spans="3:5" ht="15" x14ac:dyDescent="0.2">
      <c r="C556" s="61">
        <v>41414.75</v>
      </c>
      <c r="D556" s="60">
        <v>4340</v>
      </c>
      <c r="E556" s="59" t="s">
        <v>392</v>
      </c>
    </row>
    <row r="557" spans="3:5" ht="15" x14ac:dyDescent="0.2">
      <c r="C557" s="61">
        <v>41414.760416666664</v>
      </c>
      <c r="D557" s="60">
        <v>4320</v>
      </c>
      <c r="E557" s="59" t="s">
        <v>393</v>
      </c>
    </row>
    <row r="558" spans="3:5" ht="15" x14ac:dyDescent="0.2">
      <c r="C558" s="61">
        <v>41414.770833333336</v>
      </c>
      <c r="D558" s="60">
        <v>4320</v>
      </c>
      <c r="E558" s="59" t="s">
        <v>393</v>
      </c>
    </row>
    <row r="559" spans="3:5" ht="15" x14ac:dyDescent="0.2">
      <c r="C559" s="61">
        <v>41414.78125</v>
      </c>
      <c r="D559" s="60">
        <v>4310</v>
      </c>
      <c r="E559" s="59" t="s">
        <v>394</v>
      </c>
    </row>
    <row r="560" spans="3:5" ht="15" x14ac:dyDescent="0.2">
      <c r="C560" s="61">
        <v>41414.791666666664</v>
      </c>
      <c r="D560" s="60">
        <v>4300</v>
      </c>
      <c r="E560" s="59" t="s">
        <v>395</v>
      </c>
    </row>
    <row r="561" spans="3:5" ht="15" x14ac:dyDescent="0.2">
      <c r="C561" s="61">
        <v>41414.802083333336</v>
      </c>
      <c r="D561" s="60">
        <v>4300</v>
      </c>
      <c r="E561" s="59" t="s">
        <v>395</v>
      </c>
    </row>
    <row r="562" spans="3:5" ht="15" x14ac:dyDescent="0.2">
      <c r="C562" s="61">
        <v>41414.8125</v>
      </c>
      <c r="D562" s="60">
        <v>4300</v>
      </c>
      <c r="E562" s="59" t="s">
        <v>395</v>
      </c>
    </row>
    <row r="563" spans="3:5" ht="15" x14ac:dyDescent="0.2">
      <c r="C563" s="61">
        <v>41414.822916666664</v>
      </c>
      <c r="D563" s="60">
        <v>4280</v>
      </c>
      <c r="E563" s="59" t="s">
        <v>396</v>
      </c>
    </row>
    <row r="564" spans="3:5" ht="15" x14ac:dyDescent="0.2">
      <c r="C564" s="61">
        <v>41414.833333333336</v>
      </c>
      <c r="D564" s="60">
        <v>4280</v>
      </c>
      <c r="E564" s="59" t="s">
        <v>396</v>
      </c>
    </row>
    <row r="565" spans="3:5" ht="15" x14ac:dyDescent="0.2">
      <c r="C565" s="61">
        <v>41414.84375</v>
      </c>
      <c r="D565" s="60">
        <v>4280</v>
      </c>
      <c r="E565" s="59" t="s">
        <v>396</v>
      </c>
    </row>
    <row r="566" spans="3:5" ht="15" x14ac:dyDescent="0.2">
      <c r="C566" s="61">
        <v>41414.854166666664</v>
      </c>
      <c r="D566" s="60">
        <v>4270</v>
      </c>
      <c r="E566" s="59" t="s">
        <v>397</v>
      </c>
    </row>
    <row r="567" spans="3:5" ht="15" x14ac:dyDescent="0.2">
      <c r="C567" s="61">
        <v>41414.864583333336</v>
      </c>
      <c r="D567" s="60">
        <v>4270</v>
      </c>
      <c r="E567" s="59" t="s">
        <v>397</v>
      </c>
    </row>
    <row r="568" spans="3:5" ht="15" x14ac:dyDescent="0.2">
      <c r="C568" s="61">
        <v>41414.875</v>
      </c>
      <c r="D568" s="60">
        <v>4250</v>
      </c>
      <c r="E568" s="59" t="s">
        <v>398</v>
      </c>
    </row>
    <row r="569" spans="3:5" ht="15" x14ac:dyDescent="0.2">
      <c r="C569" s="61">
        <v>41414.885416666664</v>
      </c>
      <c r="D569" s="60">
        <v>4250</v>
      </c>
      <c r="E569" s="59" t="s">
        <v>398</v>
      </c>
    </row>
    <row r="570" spans="3:5" ht="15" x14ac:dyDescent="0.2">
      <c r="C570" s="61">
        <v>41414.895833333336</v>
      </c>
      <c r="D570" s="60">
        <v>4240</v>
      </c>
      <c r="E570" s="59" t="s">
        <v>399</v>
      </c>
    </row>
    <row r="571" spans="3:5" ht="15" x14ac:dyDescent="0.2">
      <c r="C571" s="61">
        <v>41414.90625</v>
      </c>
      <c r="D571" s="60">
        <v>4240</v>
      </c>
      <c r="E571" s="59" t="s">
        <v>399</v>
      </c>
    </row>
    <row r="572" spans="3:5" ht="15" x14ac:dyDescent="0.2">
      <c r="C572" s="61">
        <v>41414.916666666664</v>
      </c>
      <c r="D572" s="60">
        <v>4220</v>
      </c>
      <c r="E572" s="59" t="s">
        <v>400</v>
      </c>
    </row>
    <row r="573" spans="3:5" ht="15" x14ac:dyDescent="0.2">
      <c r="C573" s="61">
        <v>41414.927083333336</v>
      </c>
      <c r="D573" s="60">
        <v>4210</v>
      </c>
      <c r="E573" s="59" t="s">
        <v>401</v>
      </c>
    </row>
    <row r="574" spans="3:5" ht="15" x14ac:dyDescent="0.2">
      <c r="C574" s="61">
        <v>41414.9375</v>
      </c>
      <c r="D574" s="60">
        <v>4210</v>
      </c>
      <c r="E574" s="59" t="s">
        <v>401</v>
      </c>
    </row>
    <row r="575" spans="3:5" ht="15" x14ac:dyDescent="0.2">
      <c r="C575" s="61">
        <v>41414.947916666664</v>
      </c>
      <c r="D575" s="60">
        <v>4200</v>
      </c>
      <c r="E575" s="59" t="s">
        <v>402</v>
      </c>
    </row>
    <row r="576" spans="3:5" ht="15" x14ac:dyDescent="0.2">
      <c r="C576" s="61">
        <v>41414.958333333336</v>
      </c>
      <c r="D576" s="60">
        <v>4180</v>
      </c>
      <c r="E576" s="59" t="s">
        <v>403</v>
      </c>
    </row>
    <row r="577" spans="3:5" ht="15" x14ac:dyDescent="0.2">
      <c r="C577" s="61">
        <v>41414.96875</v>
      </c>
      <c r="D577" s="60">
        <v>4180</v>
      </c>
      <c r="E577" s="59" t="s">
        <v>403</v>
      </c>
    </row>
    <row r="578" spans="3:5" ht="15" x14ac:dyDescent="0.2">
      <c r="C578" s="61">
        <v>41414.979166666664</v>
      </c>
      <c r="D578" s="60">
        <v>4170</v>
      </c>
      <c r="E578" s="59" t="s">
        <v>404</v>
      </c>
    </row>
    <row r="579" spans="3:5" ht="15" x14ac:dyDescent="0.2">
      <c r="C579" s="61">
        <v>41414.989583333336</v>
      </c>
      <c r="D579" s="60">
        <v>4150</v>
      </c>
      <c r="E579" s="59" t="s">
        <v>405</v>
      </c>
    </row>
    <row r="580" spans="3:5" ht="15" x14ac:dyDescent="0.2">
      <c r="C580" s="61">
        <v>41415</v>
      </c>
      <c r="D580" s="60">
        <v>4150</v>
      </c>
      <c r="E580" s="59" t="s">
        <v>405</v>
      </c>
    </row>
    <row r="581" spans="3:5" ht="15" x14ac:dyDescent="0.2">
      <c r="C581" s="61">
        <v>41415.010416666664</v>
      </c>
      <c r="D581" s="60">
        <v>4140</v>
      </c>
      <c r="E581" s="59" t="s">
        <v>406</v>
      </c>
    </row>
    <row r="582" spans="3:5" ht="15" x14ac:dyDescent="0.2">
      <c r="C582" s="61">
        <v>41415.020833333336</v>
      </c>
      <c r="D582" s="60">
        <v>4120</v>
      </c>
      <c r="E582" s="59" t="s">
        <v>407</v>
      </c>
    </row>
    <row r="583" spans="3:5" ht="15" x14ac:dyDescent="0.2">
      <c r="C583" s="61">
        <v>41415.03125</v>
      </c>
      <c r="D583" s="60">
        <v>4120</v>
      </c>
      <c r="E583" s="59" t="s">
        <v>407</v>
      </c>
    </row>
    <row r="584" spans="3:5" ht="15" x14ac:dyDescent="0.2">
      <c r="C584" s="61">
        <v>41415.041666666664</v>
      </c>
      <c r="D584" s="60">
        <v>4110</v>
      </c>
      <c r="E584" s="59" t="s">
        <v>408</v>
      </c>
    </row>
    <row r="585" spans="3:5" ht="15" x14ac:dyDescent="0.2">
      <c r="C585" s="61">
        <v>41415.052083333336</v>
      </c>
      <c r="D585" s="60">
        <v>4110</v>
      </c>
      <c r="E585" s="59" t="s">
        <v>408</v>
      </c>
    </row>
    <row r="586" spans="3:5" ht="15" x14ac:dyDescent="0.2">
      <c r="C586" s="61">
        <v>41415.0625</v>
      </c>
      <c r="D586" s="60">
        <v>4100</v>
      </c>
      <c r="E586" s="59" t="s">
        <v>409</v>
      </c>
    </row>
    <row r="587" spans="3:5" ht="15" x14ac:dyDescent="0.2">
      <c r="C587" s="61">
        <v>41415.072916666664</v>
      </c>
      <c r="D587" s="60">
        <v>4100</v>
      </c>
      <c r="E587" s="59" t="s">
        <v>409</v>
      </c>
    </row>
    <row r="588" spans="3:5" ht="15" x14ac:dyDescent="0.2">
      <c r="C588" s="61">
        <v>41415.083333333336</v>
      </c>
      <c r="D588" s="60">
        <v>4080</v>
      </c>
      <c r="E588" s="59" t="s">
        <v>410</v>
      </c>
    </row>
    <row r="589" spans="3:5" ht="15" x14ac:dyDescent="0.2">
      <c r="C589" s="61">
        <v>41415.09375</v>
      </c>
      <c r="D589" s="60">
        <v>4070</v>
      </c>
      <c r="E589" s="59" t="s">
        <v>411</v>
      </c>
    </row>
    <row r="590" spans="3:5" ht="15" x14ac:dyDescent="0.2">
      <c r="C590" s="61">
        <v>41415.104166666664</v>
      </c>
      <c r="D590" s="60">
        <v>4070</v>
      </c>
      <c r="E590" s="59" t="s">
        <v>411</v>
      </c>
    </row>
    <row r="591" spans="3:5" ht="15" x14ac:dyDescent="0.2">
      <c r="C591" s="61">
        <v>41415.114583333336</v>
      </c>
      <c r="D591" s="60">
        <v>4070</v>
      </c>
      <c r="E591" s="59" t="s">
        <v>411</v>
      </c>
    </row>
    <row r="592" spans="3:5" ht="15" x14ac:dyDescent="0.2">
      <c r="C592" s="61">
        <v>41415.125</v>
      </c>
      <c r="D592" s="60">
        <v>4050</v>
      </c>
      <c r="E592" s="59" t="s">
        <v>412</v>
      </c>
    </row>
    <row r="593" spans="3:5" ht="15" x14ac:dyDescent="0.2">
      <c r="C593" s="61">
        <v>41415.135416666664</v>
      </c>
      <c r="D593" s="60">
        <v>4040</v>
      </c>
      <c r="E593" s="59" t="s">
        <v>413</v>
      </c>
    </row>
    <row r="594" spans="3:5" ht="15" x14ac:dyDescent="0.2">
      <c r="C594" s="61">
        <v>41415.145833333336</v>
      </c>
      <c r="D594" s="60">
        <v>4040</v>
      </c>
      <c r="E594" s="59" t="s">
        <v>413</v>
      </c>
    </row>
    <row r="595" spans="3:5" ht="15" x14ac:dyDescent="0.2">
      <c r="C595" s="61">
        <v>41415.15625</v>
      </c>
      <c r="D595" s="60">
        <v>4040</v>
      </c>
      <c r="E595" s="59" t="s">
        <v>413</v>
      </c>
    </row>
    <row r="596" spans="3:5" ht="15" x14ac:dyDescent="0.2">
      <c r="C596" s="61">
        <v>41415.166666666664</v>
      </c>
      <c r="D596" s="60">
        <v>4020</v>
      </c>
      <c r="E596" s="59" t="s">
        <v>414</v>
      </c>
    </row>
    <row r="597" spans="3:5" ht="15" x14ac:dyDescent="0.2">
      <c r="C597" s="61">
        <v>41415.177083333336</v>
      </c>
      <c r="D597" s="60">
        <v>4020</v>
      </c>
      <c r="E597" s="59" t="s">
        <v>414</v>
      </c>
    </row>
    <row r="598" spans="3:5" ht="15" x14ac:dyDescent="0.2">
      <c r="C598" s="61">
        <v>41415.1875</v>
      </c>
      <c r="D598" s="60">
        <v>4020</v>
      </c>
      <c r="E598" s="59" t="s">
        <v>414</v>
      </c>
    </row>
    <row r="599" spans="3:5" ht="15" x14ac:dyDescent="0.2">
      <c r="C599" s="61">
        <v>41415.197916666664</v>
      </c>
      <c r="D599" s="60">
        <v>4010</v>
      </c>
      <c r="E599" s="59" t="s">
        <v>415</v>
      </c>
    </row>
    <row r="600" spans="3:5" ht="15" x14ac:dyDescent="0.2">
      <c r="C600" s="61">
        <v>41415.208333333336</v>
      </c>
      <c r="D600" s="60">
        <v>4010</v>
      </c>
      <c r="E600" s="59" t="s">
        <v>415</v>
      </c>
    </row>
    <row r="601" spans="3:5" ht="15" x14ac:dyDescent="0.2">
      <c r="C601" s="61">
        <v>41415.21875</v>
      </c>
      <c r="D601" s="60">
        <v>4000</v>
      </c>
      <c r="E601" s="59" t="s">
        <v>416</v>
      </c>
    </row>
    <row r="602" spans="3:5" ht="15" x14ac:dyDescent="0.2">
      <c r="C602" s="61">
        <v>41415.229166666664</v>
      </c>
      <c r="D602" s="60">
        <v>4000</v>
      </c>
      <c r="E602" s="59" t="s">
        <v>416</v>
      </c>
    </row>
    <row r="603" spans="3:5" ht="15" x14ac:dyDescent="0.2">
      <c r="C603" s="61">
        <v>41415.239583333336</v>
      </c>
      <c r="D603" s="60">
        <v>4000</v>
      </c>
      <c r="E603" s="59" t="s">
        <v>416</v>
      </c>
    </row>
    <row r="604" spans="3:5" ht="15" x14ac:dyDescent="0.2">
      <c r="C604" s="61">
        <v>41415.25</v>
      </c>
      <c r="D604" s="60">
        <v>3980</v>
      </c>
      <c r="E604" s="59" t="s">
        <v>417</v>
      </c>
    </row>
    <row r="605" spans="3:5" ht="15" x14ac:dyDescent="0.2">
      <c r="C605" s="61">
        <v>41415.260416666664</v>
      </c>
      <c r="D605" s="60">
        <v>3980</v>
      </c>
      <c r="E605" s="59" t="s">
        <v>417</v>
      </c>
    </row>
    <row r="606" spans="3:5" ht="15" x14ac:dyDescent="0.2">
      <c r="C606" s="61">
        <v>41415.270833333336</v>
      </c>
      <c r="D606" s="60">
        <v>3970</v>
      </c>
      <c r="E606" s="59" t="s">
        <v>418</v>
      </c>
    </row>
    <row r="607" spans="3:5" ht="15" x14ac:dyDescent="0.2">
      <c r="C607" s="61">
        <v>41415.28125</v>
      </c>
      <c r="D607" s="60">
        <v>3970</v>
      </c>
      <c r="E607" s="59" t="s">
        <v>418</v>
      </c>
    </row>
    <row r="608" spans="3:5" ht="15" x14ac:dyDescent="0.2">
      <c r="C608" s="61">
        <v>41415.291666666664</v>
      </c>
      <c r="D608" s="60">
        <v>3970</v>
      </c>
      <c r="E608" s="59" t="s">
        <v>418</v>
      </c>
    </row>
    <row r="609" spans="3:5" ht="15" x14ac:dyDescent="0.2">
      <c r="C609" s="61">
        <v>41415.302083333336</v>
      </c>
      <c r="D609" s="60">
        <v>3970</v>
      </c>
      <c r="E609" s="59" t="s">
        <v>418</v>
      </c>
    </row>
    <row r="610" spans="3:5" ht="15" x14ac:dyDescent="0.2">
      <c r="C610" s="61">
        <v>41415.3125</v>
      </c>
      <c r="D610" s="60">
        <v>3970</v>
      </c>
      <c r="E610" s="59" t="s">
        <v>418</v>
      </c>
    </row>
    <row r="611" spans="3:5" ht="15" x14ac:dyDescent="0.2">
      <c r="C611" s="61">
        <v>41415.322916666664</v>
      </c>
      <c r="D611" s="60">
        <v>3950</v>
      </c>
      <c r="E611" s="59" t="s">
        <v>419</v>
      </c>
    </row>
    <row r="612" spans="3:5" ht="15" x14ac:dyDescent="0.2">
      <c r="C612" s="61">
        <v>41415.333333333336</v>
      </c>
      <c r="D612" s="60">
        <v>3950</v>
      </c>
      <c r="E612" s="59" t="s">
        <v>419</v>
      </c>
    </row>
    <row r="613" spans="3:5" ht="15" x14ac:dyDescent="0.2">
      <c r="C613" s="61">
        <v>41415.34375</v>
      </c>
      <c r="D613" s="60">
        <v>3950</v>
      </c>
      <c r="E613" s="59" t="s">
        <v>419</v>
      </c>
    </row>
    <row r="614" spans="3:5" ht="15" x14ac:dyDescent="0.2">
      <c r="C614" s="61">
        <v>41415.354166666664</v>
      </c>
      <c r="D614" s="60">
        <v>3950</v>
      </c>
      <c r="E614" s="59" t="s">
        <v>419</v>
      </c>
    </row>
    <row r="615" spans="3:5" ht="15" x14ac:dyDescent="0.2">
      <c r="C615" s="61">
        <v>41415.364583333336</v>
      </c>
      <c r="D615" s="60">
        <v>3950</v>
      </c>
      <c r="E615" s="59" t="s">
        <v>419</v>
      </c>
    </row>
    <row r="616" spans="3:5" ht="15" x14ac:dyDescent="0.2">
      <c r="C616" s="61">
        <v>41415.375</v>
      </c>
      <c r="D616" s="60">
        <v>3950</v>
      </c>
      <c r="E616" s="59" t="s">
        <v>419</v>
      </c>
    </row>
    <row r="617" spans="3:5" ht="15" x14ac:dyDescent="0.2">
      <c r="C617" s="61">
        <v>41415.385416666664</v>
      </c>
      <c r="D617" s="60">
        <v>3950</v>
      </c>
      <c r="E617" s="59" t="s">
        <v>419</v>
      </c>
    </row>
    <row r="618" spans="3:5" ht="15" x14ac:dyDescent="0.2">
      <c r="C618" s="61">
        <v>41415.395833333336</v>
      </c>
      <c r="D618" s="60">
        <v>3950</v>
      </c>
      <c r="E618" s="59" t="s">
        <v>419</v>
      </c>
    </row>
    <row r="619" spans="3:5" ht="15" x14ac:dyDescent="0.2">
      <c r="C619" s="61">
        <v>41415.40625</v>
      </c>
      <c r="D619" s="60">
        <v>3950</v>
      </c>
      <c r="E619" s="59" t="s">
        <v>419</v>
      </c>
    </row>
    <row r="620" spans="3:5" ht="15" x14ac:dyDescent="0.2">
      <c r="C620" s="61">
        <v>41415.416666666664</v>
      </c>
      <c r="D620" s="60">
        <v>3940</v>
      </c>
      <c r="E620" s="59" t="s">
        <v>420</v>
      </c>
    </row>
    <row r="621" spans="3:5" ht="15" x14ac:dyDescent="0.2">
      <c r="C621" s="61">
        <v>41415.427083333336</v>
      </c>
      <c r="D621" s="60">
        <v>3940</v>
      </c>
      <c r="E621" s="59" t="s">
        <v>420</v>
      </c>
    </row>
    <row r="622" spans="3:5" ht="15" x14ac:dyDescent="0.2">
      <c r="C622" s="61">
        <v>41415.4375</v>
      </c>
      <c r="D622" s="60">
        <v>3940</v>
      </c>
      <c r="E622" s="59" t="s">
        <v>420</v>
      </c>
    </row>
    <row r="623" spans="3:5" ht="15" x14ac:dyDescent="0.2">
      <c r="C623" s="61">
        <v>41415.447916666664</v>
      </c>
      <c r="D623" s="60">
        <v>3940</v>
      </c>
      <c r="E623" s="59" t="s">
        <v>420</v>
      </c>
    </row>
    <row r="624" spans="3:5" ht="15" x14ac:dyDescent="0.2">
      <c r="C624" s="61">
        <v>41415.458333333336</v>
      </c>
      <c r="D624" s="60">
        <v>3940</v>
      </c>
      <c r="E624" s="59" t="s">
        <v>420</v>
      </c>
    </row>
    <row r="625" spans="3:5" ht="15" x14ac:dyDescent="0.2">
      <c r="C625" s="61">
        <v>41415.46875</v>
      </c>
      <c r="D625" s="60">
        <v>3930</v>
      </c>
      <c r="E625" s="59" t="s">
        <v>421</v>
      </c>
    </row>
    <row r="626" spans="3:5" ht="15" x14ac:dyDescent="0.2">
      <c r="C626" s="61">
        <v>41415.479166666664</v>
      </c>
      <c r="D626" s="60">
        <v>3930</v>
      </c>
      <c r="E626" s="59" t="s">
        <v>421</v>
      </c>
    </row>
    <row r="627" spans="3:5" ht="15" x14ac:dyDescent="0.2">
      <c r="C627" s="61">
        <v>41415.489583333336</v>
      </c>
      <c r="D627" s="60">
        <v>3930</v>
      </c>
      <c r="E627" s="59" t="s">
        <v>421</v>
      </c>
    </row>
    <row r="628" spans="3:5" ht="15" x14ac:dyDescent="0.2">
      <c r="C628" s="61">
        <v>41415.5</v>
      </c>
      <c r="D628" s="60">
        <v>3930</v>
      </c>
      <c r="E628" s="59" t="s">
        <v>421</v>
      </c>
    </row>
    <row r="629" spans="3:5" ht="15" x14ac:dyDescent="0.2">
      <c r="C629" s="61">
        <v>41415.510416666664</v>
      </c>
      <c r="D629" s="60">
        <v>3930</v>
      </c>
      <c r="E629" s="59" t="s">
        <v>421</v>
      </c>
    </row>
    <row r="630" spans="3:5" ht="15" x14ac:dyDescent="0.2">
      <c r="C630" s="61">
        <v>41415.520833333336</v>
      </c>
      <c r="D630" s="60">
        <v>3930</v>
      </c>
      <c r="E630" s="59" t="s">
        <v>421</v>
      </c>
    </row>
    <row r="631" spans="3:5" ht="15" x14ac:dyDescent="0.2">
      <c r="C631" s="61">
        <v>41415.53125</v>
      </c>
      <c r="D631" s="60">
        <v>3930</v>
      </c>
      <c r="E631" s="59" t="s">
        <v>421</v>
      </c>
    </row>
    <row r="632" spans="3:5" ht="15" x14ac:dyDescent="0.2">
      <c r="C632" s="61">
        <v>41415.541666666664</v>
      </c>
      <c r="D632" s="60">
        <v>3930</v>
      </c>
      <c r="E632" s="59" t="s">
        <v>421</v>
      </c>
    </row>
    <row r="633" spans="3:5" ht="15" x14ac:dyDescent="0.2">
      <c r="C633" s="61">
        <v>41415.552083333336</v>
      </c>
      <c r="D633" s="60">
        <v>3930</v>
      </c>
      <c r="E633" s="59" t="s">
        <v>421</v>
      </c>
    </row>
    <row r="634" spans="3:5" ht="15" x14ac:dyDescent="0.2">
      <c r="C634" s="61">
        <v>41415.5625</v>
      </c>
      <c r="D634" s="60">
        <v>3940</v>
      </c>
      <c r="E634" s="59" t="s">
        <v>420</v>
      </c>
    </row>
    <row r="635" spans="3:5" ht="15" x14ac:dyDescent="0.2">
      <c r="C635" s="61">
        <v>41415.572916666664</v>
      </c>
      <c r="D635" s="60">
        <v>3940</v>
      </c>
      <c r="E635" s="59" t="s">
        <v>420</v>
      </c>
    </row>
    <row r="636" spans="3:5" ht="15" x14ac:dyDescent="0.2">
      <c r="C636" s="61">
        <v>41415.583333333336</v>
      </c>
      <c r="D636" s="60">
        <v>3940</v>
      </c>
      <c r="E636" s="59" t="s">
        <v>420</v>
      </c>
    </row>
    <row r="637" spans="3:5" ht="15" x14ac:dyDescent="0.2">
      <c r="C637" s="61">
        <v>41415.59375</v>
      </c>
      <c r="D637" s="60">
        <v>3940</v>
      </c>
      <c r="E637" s="59" t="s">
        <v>420</v>
      </c>
    </row>
    <row r="638" spans="3:5" ht="15" x14ac:dyDescent="0.2">
      <c r="C638" s="61">
        <v>41415.604166666664</v>
      </c>
      <c r="D638" s="60">
        <v>3940</v>
      </c>
      <c r="E638" s="59" t="s">
        <v>420</v>
      </c>
    </row>
    <row r="639" spans="3:5" ht="15" x14ac:dyDescent="0.2">
      <c r="C639" s="61">
        <v>41415.614583333336</v>
      </c>
      <c r="D639" s="60">
        <v>3940</v>
      </c>
      <c r="E639" s="59" t="s">
        <v>420</v>
      </c>
    </row>
    <row r="640" spans="3:5" ht="15" x14ac:dyDescent="0.2">
      <c r="C640" s="61">
        <v>41415.625</v>
      </c>
      <c r="D640" s="60">
        <v>3930</v>
      </c>
      <c r="E640" s="59" t="s">
        <v>421</v>
      </c>
    </row>
    <row r="641" spans="3:5" ht="15" x14ac:dyDescent="0.2">
      <c r="C641" s="61">
        <v>41415.635416666664</v>
      </c>
      <c r="D641" s="60">
        <v>3930</v>
      </c>
      <c r="E641" s="59" t="s">
        <v>421</v>
      </c>
    </row>
    <row r="642" spans="3:5" ht="15" x14ac:dyDescent="0.2">
      <c r="C642" s="61">
        <v>41415.645833333336</v>
      </c>
      <c r="D642" s="60">
        <v>3930</v>
      </c>
      <c r="E642" s="59" t="s">
        <v>421</v>
      </c>
    </row>
    <row r="643" spans="3:5" ht="15" x14ac:dyDescent="0.2">
      <c r="C643" s="61">
        <v>41415.65625</v>
      </c>
      <c r="D643" s="60">
        <v>3930</v>
      </c>
      <c r="E643" s="59" t="s">
        <v>421</v>
      </c>
    </row>
    <row r="644" spans="3:5" ht="15" x14ac:dyDescent="0.2">
      <c r="C644" s="61">
        <v>41415.666666666664</v>
      </c>
      <c r="D644" s="60">
        <v>3930</v>
      </c>
      <c r="E644" s="59" t="s">
        <v>421</v>
      </c>
    </row>
    <row r="645" spans="3:5" ht="15" x14ac:dyDescent="0.2">
      <c r="C645" s="61">
        <v>41415.677083333336</v>
      </c>
      <c r="D645" s="60">
        <v>3930</v>
      </c>
      <c r="E645" s="59" t="s">
        <v>421</v>
      </c>
    </row>
    <row r="646" spans="3:5" ht="15" x14ac:dyDescent="0.2">
      <c r="C646" s="61">
        <v>41415.6875</v>
      </c>
      <c r="D646" s="60">
        <v>3930</v>
      </c>
      <c r="E646" s="59" t="s">
        <v>421</v>
      </c>
    </row>
    <row r="647" spans="3:5" ht="15" x14ac:dyDescent="0.2">
      <c r="C647" s="61">
        <v>41415.697916666664</v>
      </c>
      <c r="D647" s="60">
        <v>3930</v>
      </c>
      <c r="E647" s="59" t="s">
        <v>421</v>
      </c>
    </row>
    <row r="648" spans="3:5" ht="15" x14ac:dyDescent="0.2">
      <c r="C648" s="61">
        <v>41415.708333333336</v>
      </c>
      <c r="D648" s="60">
        <v>3930</v>
      </c>
      <c r="E648" s="59" t="s">
        <v>421</v>
      </c>
    </row>
    <row r="649" spans="3:5" ht="15" x14ac:dyDescent="0.2">
      <c r="C649" s="61">
        <v>41415.71875</v>
      </c>
      <c r="D649" s="60">
        <v>3910</v>
      </c>
      <c r="E649" s="59" t="s">
        <v>422</v>
      </c>
    </row>
    <row r="650" spans="3:5" ht="15" x14ac:dyDescent="0.2">
      <c r="C650" s="61">
        <v>41415.729166666664</v>
      </c>
      <c r="D650" s="60">
        <v>3910</v>
      </c>
      <c r="E650" s="59" t="s">
        <v>422</v>
      </c>
    </row>
    <row r="651" spans="3:5" ht="15" x14ac:dyDescent="0.2">
      <c r="C651" s="61">
        <v>41415.739583333336</v>
      </c>
      <c r="D651" s="60">
        <v>3910</v>
      </c>
      <c r="E651" s="59" t="s">
        <v>422</v>
      </c>
    </row>
    <row r="652" spans="3:5" ht="15" x14ac:dyDescent="0.2">
      <c r="C652" s="61">
        <v>41415.75</v>
      </c>
      <c r="D652" s="60">
        <v>3910</v>
      </c>
      <c r="E652" s="59" t="s">
        <v>422</v>
      </c>
    </row>
    <row r="653" spans="3:5" ht="15" x14ac:dyDescent="0.2">
      <c r="C653" s="61">
        <v>41415.760416666664</v>
      </c>
      <c r="D653" s="60">
        <v>3900</v>
      </c>
      <c r="E653" s="59" t="s">
        <v>423</v>
      </c>
    </row>
    <row r="654" spans="3:5" ht="15" x14ac:dyDescent="0.2">
      <c r="C654" s="61">
        <v>41415.770833333336</v>
      </c>
      <c r="D654" s="60">
        <v>3900</v>
      </c>
      <c r="E654" s="59" t="s">
        <v>423</v>
      </c>
    </row>
    <row r="655" spans="3:5" ht="15" x14ac:dyDescent="0.2">
      <c r="C655" s="61">
        <v>41415.78125</v>
      </c>
      <c r="D655" s="60">
        <v>3880</v>
      </c>
      <c r="E655" s="59" t="s">
        <v>424</v>
      </c>
    </row>
    <row r="656" spans="3:5" ht="15" x14ac:dyDescent="0.2">
      <c r="C656" s="61">
        <v>41415.791666666664</v>
      </c>
      <c r="D656" s="60">
        <v>3880</v>
      </c>
      <c r="E656" s="59" t="s">
        <v>424</v>
      </c>
    </row>
    <row r="657" spans="3:5" ht="15" x14ac:dyDescent="0.2">
      <c r="C657" s="61">
        <v>41415.802083333336</v>
      </c>
      <c r="D657" s="60">
        <v>3870</v>
      </c>
      <c r="E657" s="59" t="s">
        <v>425</v>
      </c>
    </row>
    <row r="658" spans="3:5" ht="15" x14ac:dyDescent="0.2">
      <c r="C658" s="61">
        <v>41415.8125</v>
      </c>
      <c r="D658" s="60">
        <v>3870</v>
      </c>
      <c r="E658" s="59" t="s">
        <v>425</v>
      </c>
    </row>
    <row r="659" spans="3:5" ht="15" x14ac:dyDescent="0.2">
      <c r="C659" s="61">
        <v>41415.822916666664</v>
      </c>
      <c r="D659" s="60">
        <v>3870</v>
      </c>
      <c r="E659" s="59" t="s">
        <v>425</v>
      </c>
    </row>
    <row r="660" spans="3:5" ht="15" x14ac:dyDescent="0.2">
      <c r="C660" s="61">
        <v>41415.833333333336</v>
      </c>
      <c r="D660" s="60">
        <v>3870</v>
      </c>
      <c r="E660" s="59" t="s">
        <v>425</v>
      </c>
    </row>
    <row r="661" spans="3:5" ht="15" x14ac:dyDescent="0.2">
      <c r="C661" s="61">
        <v>41415.84375</v>
      </c>
      <c r="D661" s="60">
        <v>3860</v>
      </c>
      <c r="E661" s="59" t="s">
        <v>426</v>
      </c>
    </row>
    <row r="662" spans="3:5" ht="15" x14ac:dyDescent="0.2">
      <c r="C662" s="61">
        <v>41415.854166666664</v>
      </c>
      <c r="D662" s="60">
        <v>3860</v>
      </c>
      <c r="E662" s="59" t="s">
        <v>426</v>
      </c>
    </row>
    <row r="663" spans="3:5" ht="15" x14ac:dyDescent="0.2">
      <c r="C663" s="61">
        <v>41415.864583333336</v>
      </c>
      <c r="D663" s="60">
        <v>3860</v>
      </c>
      <c r="E663" s="59" t="s">
        <v>426</v>
      </c>
    </row>
    <row r="664" spans="3:5" ht="15" x14ac:dyDescent="0.2">
      <c r="C664" s="61">
        <v>41415.875</v>
      </c>
      <c r="D664" s="60">
        <v>3860</v>
      </c>
      <c r="E664" s="59" t="s">
        <v>426</v>
      </c>
    </row>
    <row r="665" spans="3:5" ht="15" x14ac:dyDescent="0.2">
      <c r="C665" s="61">
        <v>41415.885416666664</v>
      </c>
      <c r="D665" s="60">
        <v>3840</v>
      </c>
      <c r="E665" s="59" t="s">
        <v>427</v>
      </c>
    </row>
    <row r="666" spans="3:5" ht="15" x14ac:dyDescent="0.2">
      <c r="C666" s="61">
        <v>41415.895833333336</v>
      </c>
      <c r="D666" s="60">
        <v>3840</v>
      </c>
      <c r="E666" s="59" t="s">
        <v>427</v>
      </c>
    </row>
    <row r="667" spans="3:5" ht="15" x14ac:dyDescent="0.2">
      <c r="C667" s="61">
        <v>41415.90625</v>
      </c>
      <c r="D667" s="60">
        <v>3840</v>
      </c>
      <c r="E667" s="59" t="s">
        <v>427</v>
      </c>
    </row>
    <row r="668" spans="3:5" ht="15" x14ac:dyDescent="0.2">
      <c r="C668" s="61">
        <v>41415.916666666664</v>
      </c>
      <c r="D668" s="60">
        <v>3840</v>
      </c>
      <c r="E668" s="59" t="s">
        <v>427</v>
      </c>
    </row>
    <row r="669" spans="3:5" ht="15" x14ac:dyDescent="0.2">
      <c r="C669" s="61">
        <v>41415.927083333336</v>
      </c>
      <c r="D669" s="60">
        <v>3840</v>
      </c>
      <c r="E669" s="59" t="s">
        <v>427</v>
      </c>
    </row>
    <row r="670" spans="3:5" ht="15" x14ac:dyDescent="0.2">
      <c r="C670" s="61">
        <v>41415.9375</v>
      </c>
      <c r="D670" s="60">
        <v>3840</v>
      </c>
      <c r="E670" s="59" t="s">
        <v>427</v>
      </c>
    </row>
    <row r="671" spans="3:5" ht="15" x14ac:dyDescent="0.2">
      <c r="C671" s="61">
        <v>41415.947916666664</v>
      </c>
      <c r="D671" s="60">
        <v>3840</v>
      </c>
      <c r="E671" s="59" t="s">
        <v>427</v>
      </c>
    </row>
    <row r="672" spans="3:5" ht="15" x14ac:dyDescent="0.2">
      <c r="C672" s="61">
        <v>41415.958333333336</v>
      </c>
      <c r="D672" s="60">
        <v>3840</v>
      </c>
      <c r="E672" s="59" t="s">
        <v>427</v>
      </c>
    </row>
    <row r="673" spans="3:5" ht="15" x14ac:dyDescent="0.2">
      <c r="C673" s="61">
        <v>41415.96875</v>
      </c>
      <c r="D673" s="60">
        <v>3840</v>
      </c>
      <c r="E673" s="59" t="s">
        <v>427</v>
      </c>
    </row>
    <row r="674" spans="3:5" ht="15" x14ac:dyDescent="0.2">
      <c r="C674" s="61">
        <v>41415.979166666664</v>
      </c>
      <c r="D674" s="60">
        <v>3840</v>
      </c>
      <c r="E674" s="59" t="s">
        <v>427</v>
      </c>
    </row>
    <row r="675" spans="3:5" ht="15" x14ac:dyDescent="0.2">
      <c r="C675" s="61">
        <v>41415.989583333336</v>
      </c>
      <c r="D675" s="60">
        <v>3840</v>
      </c>
      <c r="E675" s="59" t="s">
        <v>427</v>
      </c>
    </row>
    <row r="676" spans="3:5" ht="15" x14ac:dyDescent="0.2">
      <c r="C676" s="61">
        <v>41416</v>
      </c>
      <c r="D676" s="60">
        <v>3830</v>
      </c>
      <c r="E676" s="59" t="s">
        <v>428</v>
      </c>
    </row>
    <row r="677" spans="3:5" ht="15" x14ac:dyDescent="0.2">
      <c r="C677" s="61">
        <v>41416.010416666664</v>
      </c>
      <c r="D677" s="60">
        <v>3830</v>
      </c>
      <c r="E677" s="59" t="s">
        <v>428</v>
      </c>
    </row>
    <row r="678" spans="3:5" ht="15" x14ac:dyDescent="0.2">
      <c r="C678" s="61">
        <v>41416.020833333336</v>
      </c>
      <c r="D678" s="60">
        <v>3830</v>
      </c>
      <c r="E678" s="59" t="s">
        <v>428</v>
      </c>
    </row>
    <row r="679" spans="3:5" ht="15" x14ac:dyDescent="0.2">
      <c r="C679" s="61">
        <v>41416.03125</v>
      </c>
      <c r="D679" s="60">
        <v>3830</v>
      </c>
      <c r="E679" s="59" t="s">
        <v>428</v>
      </c>
    </row>
    <row r="680" spans="3:5" ht="15" x14ac:dyDescent="0.2">
      <c r="C680" s="61">
        <v>41416.041666666664</v>
      </c>
      <c r="D680" s="60">
        <v>3830</v>
      </c>
      <c r="E680" s="59" t="s">
        <v>428</v>
      </c>
    </row>
    <row r="681" spans="3:5" ht="15" x14ac:dyDescent="0.2">
      <c r="C681" s="61">
        <v>41416.052083333336</v>
      </c>
      <c r="D681" s="60">
        <v>3830</v>
      </c>
      <c r="E681" s="59" t="s">
        <v>428</v>
      </c>
    </row>
    <row r="682" spans="3:5" ht="15" x14ac:dyDescent="0.2">
      <c r="C682" s="61">
        <v>41416.0625</v>
      </c>
      <c r="D682" s="60">
        <v>3840</v>
      </c>
      <c r="E682" s="59" t="s">
        <v>427</v>
      </c>
    </row>
    <row r="683" spans="3:5" ht="15" x14ac:dyDescent="0.2">
      <c r="C683" s="61">
        <v>41416.072916666664</v>
      </c>
      <c r="D683" s="60">
        <v>3840</v>
      </c>
      <c r="E683" s="59" t="s">
        <v>427</v>
      </c>
    </row>
    <row r="684" spans="3:5" ht="15" x14ac:dyDescent="0.2">
      <c r="C684" s="61">
        <v>41416.083333333336</v>
      </c>
      <c r="D684" s="60">
        <v>3840</v>
      </c>
      <c r="E684" s="59" t="s">
        <v>427</v>
      </c>
    </row>
    <row r="685" spans="3:5" ht="15" x14ac:dyDescent="0.2">
      <c r="C685" s="61">
        <v>41416.09375</v>
      </c>
      <c r="D685" s="60">
        <v>3840</v>
      </c>
      <c r="E685" s="59" t="s">
        <v>427</v>
      </c>
    </row>
    <row r="686" spans="3:5" ht="15" x14ac:dyDescent="0.2">
      <c r="C686" s="61">
        <v>41416.104166666664</v>
      </c>
      <c r="D686" s="60">
        <v>3840</v>
      </c>
      <c r="E686" s="59" t="s">
        <v>427</v>
      </c>
    </row>
    <row r="687" spans="3:5" ht="15" x14ac:dyDescent="0.2">
      <c r="C687" s="61">
        <v>41416.114583333336</v>
      </c>
      <c r="D687" s="60">
        <v>3860</v>
      </c>
      <c r="E687" s="59" t="s">
        <v>426</v>
      </c>
    </row>
    <row r="688" spans="3:5" ht="15" x14ac:dyDescent="0.2">
      <c r="C688" s="61">
        <v>41416.125</v>
      </c>
      <c r="D688" s="60">
        <v>3860</v>
      </c>
      <c r="E688" s="59" t="s">
        <v>426</v>
      </c>
    </row>
    <row r="689" spans="3:5" ht="15" x14ac:dyDescent="0.2">
      <c r="C689" s="61">
        <v>41416.135416666664</v>
      </c>
      <c r="D689" s="60">
        <v>3860</v>
      </c>
      <c r="E689" s="59" t="s">
        <v>426</v>
      </c>
    </row>
    <row r="690" spans="3:5" ht="15" x14ac:dyDescent="0.2">
      <c r="C690" s="61">
        <v>41416.145833333336</v>
      </c>
      <c r="D690" s="60">
        <v>3860</v>
      </c>
      <c r="E690" s="59" t="s">
        <v>426</v>
      </c>
    </row>
    <row r="691" spans="3:5" ht="15" x14ac:dyDescent="0.2">
      <c r="C691" s="61">
        <v>41416.15625</v>
      </c>
      <c r="D691" s="60">
        <v>3860</v>
      </c>
      <c r="E691" s="59" t="s">
        <v>426</v>
      </c>
    </row>
    <row r="692" spans="3:5" ht="15" x14ac:dyDescent="0.2">
      <c r="C692" s="61">
        <v>41416.166666666664</v>
      </c>
      <c r="D692" s="60">
        <v>3860</v>
      </c>
      <c r="E692" s="59" t="s">
        <v>426</v>
      </c>
    </row>
    <row r="693" spans="3:5" ht="15" x14ac:dyDescent="0.2">
      <c r="C693" s="61">
        <v>41416.177083333336</v>
      </c>
      <c r="D693" s="60">
        <v>3860</v>
      </c>
      <c r="E693" s="59" t="s">
        <v>426</v>
      </c>
    </row>
    <row r="694" spans="3:5" ht="15" x14ac:dyDescent="0.2">
      <c r="C694" s="61">
        <v>41416.1875</v>
      </c>
      <c r="D694" s="60">
        <v>3860</v>
      </c>
      <c r="E694" s="59" t="s">
        <v>426</v>
      </c>
    </row>
    <row r="695" spans="3:5" ht="15" x14ac:dyDescent="0.2">
      <c r="C695" s="61">
        <v>41416.197916666664</v>
      </c>
      <c r="D695" s="60">
        <v>3870</v>
      </c>
      <c r="E695" s="59" t="s">
        <v>425</v>
      </c>
    </row>
    <row r="696" spans="3:5" ht="15" x14ac:dyDescent="0.2">
      <c r="C696" s="61">
        <v>41416.208333333336</v>
      </c>
      <c r="D696" s="60">
        <v>3870</v>
      </c>
      <c r="E696" s="59" t="s">
        <v>425</v>
      </c>
    </row>
    <row r="697" spans="3:5" ht="15" x14ac:dyDescent="0.2">
      <c r="C697" s="61">
        <v>41416.21875</v>
      </c>
      <c r="D697" s="60">
        <v>3870</v>
      </c>
      <c r="E697" s="59" t="s">
        <v>425</v>
      </c>
    </row>
    <row r="698" spans="3:5" ht="15" x14ac:dyDescent="0.2">
      <c r="C698" s="61">
        <v>41416.229166666664</v>
      </c>
      <c r="D698" s="60">
        <v>3870</v>
      </c>
      <c r="E698" s="59" t="s">
        <v>425</v>
      </c>
    </row>
    <row r="699" spans="3:5" ht="15" x14ac:dyDescent="0.2">
      <c r="C699" s="61">
        <v>41416.239583333336</v>
      </c>
      <c r="D699" s="60">
        <v>3880</v>
      </c>
      <c r="E699" s="59" t="s">
        <v>424</v>
      </c>
    </row>
    <row r="700" spans="3:5" ht="15" x14ac:dyDescent="0.2">
      <c r="C700" s="61">
        <v>41416.25</v>
      </c>
      <c r="D700" s="60">
        <v>3880</v>
      </c>
      <c r="E700" s="59" t="s">
        <v>424</v>
      </c>
    </row>
    <row r="701" spans="3:5" ht="15" x14ac:dyDescent="0.2">
      <c r="C701" s="61">
        <v>41416.260416666664</v>
      </c>
      <c r="D701" s="60">
        <v>3880</v>
      </c>
      <c r="E701" s="59" t="s">
        <v>424</v>
      </c>
    </row>
    <row r="702" spans="3:5" ht="15" x14ac:dyDescent="0.2">
      <c r="C702" s="61">
        <v>41416.270833333336</v>
      </c>
      <c r="D702" s="60">
        <v>3900</v>
      </c>
      <c r="E702" s="59" t="s">
        <v>423</v>
      </c>
    </row>
    <row r="703" spans="3:5" ht="15" x14ac:dyDescent="0.2">
      <c r="C703" s="61">
        <v>41416.28125</v>
      </c>
      <c r="D703" s="60">
        <v>3900</v>
      </c>
      <c r="E703" s="59" t="s">
        <v>423</v>
      </c>
    </row>
    <row r="704" spans="3:5" ht="15" x14ac:dyDescent="0.2">
      <c r="C704" s="61">
        <v>41416.291666666664</v>
      </c>
      <c r="D704" s="60">
        <v>3900</v>
      </c>
      <c r="E704" s="59" t="s">
        <v>423</v>
      </c>
    </row>
    <row r="705" spans="3:5" ht="15" x14ac:dyDescent="0.2">
      <c r="C705" s="61">
        <v>41416.302083333336</v>
      </c>
      <c r="D705" s="60">
        <v>3910</v>
      </c>
      <c r="E705" s="59" t="s">
        <v>422</v>
      </c>
    </row>
    <row r="706" spans="3:5" ht="15" x14ac:dyDescent="0.2">
      <c r="C706" s="61">
        <v>41416.3125</v>
      </c>
      <c r="D706" s="60">
        <v>3910</v>
      </c>
      <c r="E706" s="59" t="s">
        <v>422</v>
      </c>
    </row>
    <row r="707" spans="3:5" ht="15" x14ac:dyDescent="0.2">
      <c r="C707" s="61">
        <v>41416.322916666664</v>
      </c>
      <c r="D707" s="60">
        <v>3930</v>
      </c>
      <c r="E707" s="59" t="s">
        <v>421</v>
      </c>
    </row>
    <row r="708" spans="3:5" ht="15" x14ac:dyDescent="0.2">
      <c r="C708" s="61">
        <v>41416.333333333336</v>
      </c>
      <c r="D708" s="60">
        <v>3930</v>
      </c>
      <c r="E708" s="59" t="s">
        <v>421</v>
      </c>
    </row>
    <row r="709" spans="3:5" ht="15" x14ac:dyDescent="0.2">
      <c r="C709" s="61">
        <v>41416.34375</v>
      </c>
      <c r="D709" s="60">
        <v>3940</v>
      </c>
      <c r="E709" s="59" t="s">
        <v>420</v>
      </c>
    </row>
    <row r="710" spans="3:5" ht="15" x14ac:dyDescent="0.2">
      <c r="C710" s="61">
        <v>41416.354166666664</v>
      </c>
      <c r="D710" s="60">
        <v>3940</v>
      </c>
      <c r="E710" s="59" t="s">
        <v>420</v>
      </c>
    </row>
    <row r="711" spans="3:5" ht="15" x14ac:dyDescent="0.2">
      <c r="C711" s="61">
        <v>41416.364583333336</v>
      </c>
      <c r="D711" s="60">
        <v>3950</v>
      </c>
      <c r="E711" s="59" t="s">
        <v>419</v>
      </c>
    </row>
    <row r="712" spans="3:5" ht="15" x14ac:dyDescent="0.2">
      <c r="C712" s="61">
        <v>41416.375</v>
      </c>
      <c r="D712" s="60">
        <v>3980</v>
      </c>
      <c r="E712" s="59" t="s">
        <v>417</v>
      </c>
    </row>
    <row r="713" spans="3:5" ht="15" x14ac:dyDescent="0.2">
      <c r="C713" s="61">
        <v>41416.385416666664</v>
      </c>
      <c r="D713" s="60">
        <v>4040</v>
      </c>
      <c r="E713" s="59" t="s">
        <v>413</v>
      </c>
    </row>
    <row r="714" spans="3:5" ht="15" x14ac:dyDescent="0.2">
      <c r="C714" s="61">
        <v>41416.395833333336</v>
      </c>
      <c r="D714" s="60">
        <v>4100</v>
      </c>
      <c r="E714" s="59" t="s">
        <v>409</v>
      </c>
    </row>
    <row r="715" spans="3:5" ht="15" x14ac:dyDescent="0.2">
      <c r="C715" s="61">
        <v>41416.40625</v>
      </c>
      <c r="D715" s="60">
        <v>4140</v>
      </c>
      <c r="E715" s="59" t="s">
        <v>406</v>
      </c>
    </row>
    <row r="716" spans="3:5" ht="15" x14ac:dyDescent="0.2">
      <c r="C716" s="61">
        <v>41416.416666666664</v>
      </c>
      <c r="D716" s="60">
        <v>4170</v>
      </c>
      <c r="E716" s="59" t="s">
        <v>404</v>
      </c>
    </row>
    <row r="717" spans="3:5" ht="15" x14ac:dyDescent="0.2">
      <c r="C717" s="61">
        <v>41416.427083333336</v>
      </c>
      <c r="D717" s="60">
        <v>4200</v>
      </c>
      <c r="E717" s="59" t="s">
        <v>402</v>
      </c>
    </row>
    <row r="718" spans="3:5" ht="15" x14ac:dyDescent="0.2">
      <c r="C718" s="61">
        <v>41416.4375</v>
      </c>
      <c r="D718" s="60">
        <v>4210</v>
      </c>
      <c r="E718" s="59" t="s">
        <v>401</v>
      </c>
    </row>
    <row r="719" spans="3:5" ht="15" x14ac:dyDescent="0.2">
      <c r="C719" s="61">
        <v>41416.447916666664</v>
      </c>
      <c r="D719" s="60">
        <v>4220</v>
      </c>
      <c r="E719" s="59" t="s">
        <v>400</v>
      </c>
    </row>
    <row r="720" spans="3:5" ht="15" x14ac:dyDescent="0.2">
      <c r="C720" s="61">
        <v>41416.458333333336</v>
      </c>
      <c r="D720" s="60">
        <v>4240</v>
      </c>
      <c r="E720" s="59" t="s">
        <v>399</v>
      </c>
    </row>
    <row r="721" spans="3:5" ht="15" x14ac:dyDescent="0.2">
      <c r="C721" s="61">
        <v>41416.46875</v>
      </c>
      <c r="D721" s="60">
        <v>4270</v>
      </c>
      <c r="E721" s="59" t="s">
        <v>397</v>
      </c>
    </row>
    <row r="722" spans="3:5" ht="15" x14ac:dyDescent="0.2">
      <c r="C722" s="61">
        <v>41416.479166666664</v>
      </c>
      <c r="D722" s="60">
        <v>4270</v>
      </c>
      <c r="E722" s="59" t="s">
        <v>397</v>
      </c>
    </row>
    <row r="723" spans="3:5" ht="15" x14ac:dyDescent="0.2">
      <c r="C723" s="61">
        <v>41416.489583333336</v>
      </c>
      <c r="D723" s="60">
        <v>4300</v>
      </c>
      <c r="E723" s="59" t="s">
        <v>395</v>
      </c>
    </row>
    <row r="724" spans="3:5" ht="15" x14ac:dyDescent="0.2">
      <c r="C724" s="61">
        <v>41416.5</v>
      </c>
      <c r="D724" s="60">
        <v>4310</v>
      </c>
      <c r="E724" s="59" t="s">
        <v>394</v>
      </c>
    </row>
    <row r="725" spans="3:5" ht="15" x14ac:dyDescent="0.2">
      <c r="C725" s="61">
        <v>41416.510416666664</v>
      </c>
      <c r="D725" s="60">
        <v>4320</v>
      </c>
      <c r="E725" s="59" t="s">
        <v>393</v>
      </c>
    </row>
    <row r="726" spans="3:5" ht="15" x14ac:dyDescent="0.2">
      <c r="C726" s="61">
        <v>41416.520833333336</v>
      </c>
      <c r="D726" s="60">
        <v>4340</v>
      </c>
      <c r="E726" s="59" t="s">
        <v>392</v>
      </c>
    </row>
    <row r="727" spans="3:5" ht="15" x14ac:dyDescent="0.2">
      <c r="C727" s="61">
        <v>41416.53125</v>
      </c>
      <c r="D727" s="60">
        <v>4350</v>
      </c>
      <c r="E727" s="59" t="s">
        <v>391</v>
      </c>
    </row>
    <row r="728" spans="3:5" ht="15" x14ac:dyDescent="0.2">
      <c r="C728" s="61">
        <v>41416.541666666664</v>
      </c>
      <c r="D728" s="60">
        <v>4380</v>
      </c>
      <c r="E728" s="59" t="s">
        <v>389</v>
      </c>
    </row>
    <row r="729" spans="3:5" ht="15" x14ac:dyDescent="0.2">
      <c r="C729" s="61">
        <v>41416.552083333336</v>
      </c>
      <c r="D729" s="60">
        <v>4400</v>
      </c>
      <c r="E729" s="59" t="s">
        <v>388</v>
      </c>
    </row>
    <row r="730" spans="3:5" ht="15" x14ac:dyDescent="0.2">
      <c r="C730" s="61">
        <v>41416.5625</v>
      </c>
      <c r="D730" s="60">
        <v>4410</v>
      </c>
      <c r="E730" s="59" t="s">
        <v>387</v>
      </c>
    </row>
    <row r="731" spans="3:5" ht="15" x14ac:dyDescent="0.2">
      <c r="C731" s="61">
        <v>41416.572916666664</v>
      </c>
      <c r="D731" s="60">
        <v>4440</v>
      </c>
      <c r="E731" s="59" t="s">
        <v>385</v>
      </c>
    </row>
    <row r="732" spans="3:5" ht="15" x14ac:dyDescent="0.2">
      <c r="C732" s="61">
        <v>41416.583333333336</v>
      </c>
      <c r="D732" s="60">
        <v>4460</v>
      </c>
      <c r="E732" s="59" t="s">
        <v>384</v>
      </c>
    </row>
    <row r="733" spans="3:5" ht="15" x14ac:dyDescent="0.2">
      <c r="C733" s="61">
        <v>41416.59375</v>
      </c>
      <c r="D733" s="60">
        <v>4490</v>
      </c>
      <c r="E733" s="59" t="s">
        <v>382</v>
      </c>
    </row>
    <row r="734" spans="3:5" ht="15" x14ac:dyDescent="0.2">
      <c r="C734" s="61">
        <v>41416.604166666664</v>
      </c>
      <c r="D734" s="60">
        <v>4500</v>
      </c>
      <c r="E734" s="59" t="s">
        <v>381</v>
      </c>
    </row>
    <row r="735" spans="3:5" ht="15" x14ac:dyDescent="0.2">
      <c r="C735" s="61">
        <v>41416.614583333336</v>
      </c>
      <c r="D735" s="60">
        <v>4530</v>
      </c>
      <c r="E735" s="59" t="s">
        <v>379</v>
      </c>
    </row>
    <row r="736" spans="3:5" ht="15" x14ac:dyDescent="0.2">
      <c r="C736" s="61">
        <v>41416.625</v>
      </c>
      <c r="D736" s="60">
        <v>4540</v>
      </c>
      <c r="E736" s="59" t="s">
        <v>378</v>
      </c>
    </row>
    <row r="737" spans="3:5" ht="15" x14ac:dyDescent="0.2">
      <c r="C737" s="61">
        <v>41416.635416666664</v>
      </c>
      <c r="D737" s="60">
        <v>4570</v>
      </c>
      <c r="E737" s="59" t="s">
        <v>376</v>
      </c>
    </row>
    <row r="738" spans="3:5" ht="15" x14ac:dyDescent="0.2">
      <c r="C738" s="61">
        <v>41416.645833333336</v>
      </c>
      <c r="D738" s="60">
        <v>4590</v>
      </c>
      <c r="E738" s="59" t="s">
        <v>375</v>
      </c>
    </row>
    <row r="739" spans="3:5" ht="15" x14ac:dyDescent="0.2">
      <c r="C739" s="61">
        <v>41416.65625</v>
      </c>
      <c r="D739" s="60">
        <v>4620</v>
      </c>
      <c r="E739" s="59" t="s">
        <v>373</v>
      </c>
    </row>
    <row r="740" spans="3:5" ht="15" x14ac:dyDescent="0.2">
      <c r="C740" s="61">
        <v>41416.666666666664</v>
      </c>
      <c r="D740" s="60">
        <v>4630</v>
      </c>
      <c r="E740" s="59" t="s">
        <v>372</v>
      </c>
    </row>
    <row r="741" spans="3:5" ht="15" x14ac:dyDescent="0.2">
      <c r="C741" s="61">
        <v>41416.677083333336</v>
      </c>
      <c r="D741" s="60">
        <v>4650</v>
      </c>
      <c r="E741" s="59" t="s">
        <v>371</v>
      </c>
    </row>
    <row r="742" spans="3:5" ht="15" x14ac:dyDescent="0.2">
      <c r="C742" s="61">
        <v>41416.6875</v>
      </c>
      <c r="D742" s="60">
        <v>4660</v>
      </c>
      <c r="E742" s="59" t="s">
        <v>370</v>
      </c>
    </row>
    <row r="743" spans="3:5" ht="15" x14ac:dyDescent="0.2">
      <c r="C743" s="61">
        <v>41416.697916666664</v>
      </c>
      <c r="D743" s="60">
        <v>4690</v>
      </c>
      <c r="E743" s="59" t="s">
        <v>368</v>
      </c>
    </row>
    <row r="744" spans="3:5" ht="15" x14ac:dyDescent="0.2">
      <c r="C744" s="61">
        <v>41416.708333333336</v>
      </c>
      <c r="D744" s="60">
        <v>4710</v>
      </c>
      <c r="E744" s="59" t="s">
        <v>367</v>
      </c>
    </row>
    <row r="745" spans="3:5" ht="15" x14ac:dyDescent="0.2">
      <c r="C745" s="61">
        <v>41416.71875</v>
      </c>
      <c r="D745" s="60">
        <v>4720</v>
      </c>
      <c r="E745" s="59" t="s">
        <v>366</v>
      </c>
    </row>
    <row r="746" spans="3:5" ht="15" x14ac:dyDescent="0.2">
      <c r="C746" s="61">
        <v>41416.729166666664</v>
      </c>
      <c r="D746" s="60">
        <v>4740</v>
      </c>
      <c r="E746" s="59" t="s">
        <v>365</v>
      </c>
    </row>
    <row r="747" spans="3:5" ht="15" x14ac:dyDescent="0.2">
      <c r="C747" s="61">
        <v>41416.739583333336</v>
      </c>
      <c r="D747" s="60">
        <v>4750</v>
      </c>
      <c r="E747" s="59" t="s">
        <v>364</v>
      </c>
    </row>
    <row r="748" spans="3:5" ht="15" x14ac:dyDescent="0.2">
      <c r="C748" s="61">
        <v>41416.75</v>
      </c>
      <c r="D748" s="60">
        <v>4770</v>
      </c>
      <c r="E748" s="59" t="s">
        <v>363</v>
      </c>
    </row>
    <row r="749" spans="3:5" ht="15" x14ac:dyDescent="0.2">
      <c r="C749" s="61">
        <v>41416.760416666664</v>
      </c>
      <c r="D749" s="60">
        <v>4780</v>
      </c>
      <c r="E749" s="59" t="s">
        <v>362</v>
      </c>
    </row>
    <row r="750" spans="3:5" ht="15" x14ac:dyDescent="0.2">
      <c r="C750" s="61">
        <v>41416.770833333336</v>
      </c>
      <c r="D750" s="60">
        <v>4800</v>
      </c>
      <c r="E750" s="59" t="s">
        <v>361</v>
      </c>
    </row>
    <row r="751" spans="3:5" ht="15" x14ac:dyDescent="0.2">
      <c r="C751" s="61">
        <v>41416.78125</v>
      </c>
      <c r="D751" s="60">
        <v>4810</v>
      </c>
      <c r="E751" s="59" t="s">
        <v>360</v>
      </c>
    </row>
    <row r="752" spans="3:5" ht="15" x14ac:dyDescent="0.2">
      <c r="C752" s="61">
        <v>41416.791666666664</v>
      </c>
      <c r="D752" s="60">
        <v>4830</v>
      </c>
      <c r="E752" s="59" t="s">
        <v>359</v>
      </c>
    </row>
    <row r="753" spans="3:5" ht="15" x14ac:dyDescent="0.2">
      <c r="C753" s="61">
        <v>41416.802083333336</v>
      </c>
      <c r="D753" s="60">
        <v>4830</v>
      </c>
      <c r="E753" s="59" t="s">
        <v>359</v>
      </c>
    </row>
    <row r="754" spans="3:5" ht="15" x14ac:dyDescent="0.2">
      <c r="C754" s="61">
        <v>41416.8125</v>
      </c>
      <c r="D754" s="60">
        <v>4840</v>
      </c>
      <c r="E754" s="59" t="s">
        <v>358</v>
      </c>
    </row>
    <row r="755" spans="3:5" ht="15" x14ac:dyDescent="0.2">
      <c r="C755" s="61">
        <v>41416.822916666664</v>
      </c>
      <c r="D755" s="60">
        <v>4860</v>
      </c>
      <c r="E755" s="59" t="s">
        <v>357</v>
      </c>
    </row>
    <row r="756" spans="3:5" ht="15" x14ac:dyDescent="0.2">
      <c r="C756" s="61">
        <v>41416.833333333336</v>
      </c>
      <c r="D756" s="60">
        <v>4860</v>
      </c>
      <c r="E756" s="59" t="s">
        <v>357</v>
      </c>
    </row>
    <row r="757" spans="3:5" ht="15" x14ac:dyDescent="0.2">
      <c r="C757" s="61">
        <v>41416.84375</v>
      </c>
      <c r="D757" s="60">
        <v>4860</v>
      </c>
      <c r="E757" s="59" t="s">
        <v>357</v>
      </c>
    </row>
    <row r="758" spans="3:5" ht="15" x14ac:dyDescent="0.2">
      <c r="C758" s="61">
        <v>41416.854166666664</v>
      </c>
      <c r="D758" s="60">
        <v>4870</v>
      </c>
      <c r="E758" s="59" t="s">
        <v>356</v>
      </c>
    </row>
    <row r="759" spans="3:5" ht="15" x14ac:dyDescent="0.2">
      <c r="C759" s="61">
        <v>41416.864583333336</v>
      </c>
      <c r="D759" s="60">
        <v>4870</v>
      </c>
      <c r="E759" s="59" t="s">
        <v>356</v>
      </c>
    </row>
    <row r="760" spans="3:5" ht="15" x14ac:dyDescent="0.2">
      <c r="C760" s="61">
        <v>41416.875</v>
      </c>
      <c r="D760" s="60">
        <v>4890</v>
      </c>
      <c r="E760" s="59" t="s">
        <v>355</v>
      </c>
    </row>
    <row r="761" spans="3:5" ht="15" x14ac:dyDescent="0.2">
      <c r="C761" s="61">
        <v>41416.885416666664</v>
      </c>
      <c r="D761" s="60">
        <v>4890</v>
      </c>
      <c r="E761" s="59" t="s">
        <v>355</v>
      </c>
    </row>
    <row r="762" spans="3:5" ht="15" x14ac:dyDescent="0.2">
      <c r="C762" s="61">
        <v>41416.895833333336</v>
      </c>
      <c r="D762" s="60">
        <v>4900</v>
      </c>
      <c r="E762" s="59" t="s">
        <v>354</v>
      </c>
    </row>
    <row r="763" spans="3:5" ht="15" x14ac:dyDescent="0.2">
      <c r="C763" s="61">
        <v>41416.90625</v>
      </c>
      <c r="D763" s="60">
        <v>4900</v>
      </c>
      <c r="E763" s="59" t="s">
        <v>354</v>
      </c>
    </row>
    <row r="764" spans="3:5" ht="15" x14ac:dyDescent="0.2">
      <c r="C764" s="61">
        <v>41416.916666666664</v>
      </c>
      <c r="D764" s="60">
        <v>4920</v>
      </c>
      <c r="E764" s="59" t="s">
        <v>353</v>
      </c>
    </row>
    <row r="765" spans="3:5" ht="15" x14ac:dyDescent="0.2">
      <c r="C765" s="61">
        <v>41416.927083333336</v>
      </c>
      <c r="D765" s="60">
        <v>4920</v>
      </c>
      <c r="E765" s="59" t="s">
        <v>353</v>
      </c>
    </row>
    <row r="766" spans="3:5" ht="15" x14ac:dyDescent="0.2">
      <c r="C766" s="61">
        <v>41416.9375</v>
      </c>
      <c r="D766" s="60">
        <v>4930</v>
      </c>
      <c r="E766" s="59" t="s">
        <v>352</v>
      </c>
    </row>
    <row r="767" spans="3:5" ht="15" x14ac:dyDescent="0.2">
      <c r="C767" s="61">
        <v>41416.947916666664</v>
      </c>
      <c r="D767" s="60">
        <v>4950</v>
      </c>
      <c r="E767" s="59" t="s">
        <v>351</v>
      </c>
    </row>
    <row r="768" spans="3:5" ht="15" x14ac:dyDescent="0.2">
      <c r="C768" s="61">
        <v>41416.958333333336</v>
      </c>
      <c r="D768" s="60">
        <v>4960</v>
      </c>
      <c r="E768" s="59" t="s">
        <v>350</v>
      </c>
    </row>
    <row r="769" spans="3:5" ht="15" x14ac:dyDescent="0.2">
      <c r="C769" s="61">
        <v>41416.96875</v>
      </c>
      <c r="D769" s="60">
        <v>4960</v>
      </c>
      <c r="E769" s="59" t="s">
        <v>350</v>
      </c>
    </row>
    <row r="770" spans="3:5" ht="15" x14ac:dyDescent="0.2">
      <c r="C770" s="61">
        <v>41416.979166666664</v>
      </c>
      <c r="D770" s="60">
        <v>4980</v>
      </c>
      <c r="E770" s="59" t="s">
        <v>349</v>
      </c>
    </row>
    <row r="771" spans="3:5" ht="15" x14ac:dyDescent="0.2">
      <c r="C771" s="61">
        <v>41416.989583333336</v>
      </c>
      <c r="D771" s="60">
        <v>4990</v>
      </c>
      <c r="E771" s="59" t="s">
        <v>348</v>
      </c>
    </row>
    <row r="772" spans="3:5" ht="15" x14ac:dyDescent="0.2">
      <c r="C772" s="61">
        <v>41417</v>
      </c>
      <c r="D772" s="60">
        <v>4990</v>
      </c>
      <c r="E772" s="59" t="s">
        <v>348</v>
      </c>
    </row>
    <row r="773" spans="3:5" ht="15" x14ac:dyDescent="0.2">
      <c r="C773" s="61">
        <v>41417.010416666664</v>
      </c>
      <c r="D773" s="60">
        <v>5010</v>
      </c>
      <c r="E773" s="59" t="s">
        <v>347</v>
      </c>
    </row>
    <row r="774" spans="3:5" ht="15" x14ac:dyDescent="0.2">
      <c r="C774" s="61">
        <v>41417.020833333336</v>
      </c>
      <c r="D774" s="60">
        <v>5010</v>
      </c>
      <c r="E774" s="59" t="s">
        <v>347</v>
      </c>
    </row>
    <row r="775" spans="3:5" ht="15" x14ac:dyDescent="0.2">
      <c r="C775" s="61">
        <v>41417.03125</v>
      </c>
      <c r="D775" s="60">
        <v>5020</v>
      </c>
      <c r="E775" s="59" t="s">
        <v>346</v>
      </c>
    </row>
    <row r="776" spans="3:5" ht="15" x14ac:dyDescent="0.2">
      <c r="C776" s="61">
        <v>41417.041666666664</v>
      </c>
      <c r="D776" s="60">
        <v>5110</v>
      </c>
      <c r="E776" s="59" t="s">
        <v>340</v>
      </c>
    </row>
    <row r="777" spans="3:5" ht="15" x14ac:dyDescent="0.2">
      <c r="C777" s="61">
        <v>41417.052083333336</v>
      </c>
      <c r="D777" s="60">
        <v>5340</v>
      </c>
      <c r="E777" s="59" t="s">
        <v>325</v>
      </c>
    </row>
    <row r="778" spans="3:5" ht="15" x14ac:dyDescent="0.2">
      <c r="C778" s="61">
        <v>41417.0625</v>
      </c>
      <c r="D778" s="60">
        <v>5360</v>
      </c>
      <c r="E778" s="59" t="s">
        <v>324</v>
      </c>
    </row>
    <row r="779" spans="3:5" ht="15" x14ac:dyDescent="0.2">
      <c r="C779" s="61">
        <v>41417.072916666664</v>
      </c>
      <c r="D779" s="60">
        <v>5370</v>
      </c>
      <c r="E779" s="59" t="s">
        <v>323</v>
      </c>
    </row>
    <row r="780" spans="3:5" ht="15" x14ac:dyDescent="0.2">
      <c r="C780" s="61">
        <v>41417.083333333336</v>
      </c>
      <c r="D780" s="60">
        <v>5410</v>
      </c>
      <c r="E780" s="59" t="s">
        <v>321</v>
      </c>
    </row>
    <row r="781" spans="3:5" ht="15" x14ac:dyDescent="0.2">
      <c r="C781" s="61">
        <v>41417.09375</v>
      </c>
      <c r="D781" s="60">
        <v>5410</v>
      </c>
      <c r="E781" s="59" t="s">
        <v>321</v>
      </c>
    </row>
    <row r="782" spans="3:5" ht="15" x14ac:dyDescent="0.2">
      <c r="C782" s="61">
        <v>41417.104166666664</v>
      </c>
      <c r="D782" s="60">
        <v>5420</v>
      </c>
      <c r="E782" s="59" t="s">
        <v>320</v>
      </c>
    </row>
    <row r="783" spans="3:5" ht="15" x14ac:dyDescent="0.2">
      <c r="C783" s="61">
        <v>41417.114583333336</v>
      </c>
      <c r="D783" s="60">
        <v>5450</v>
      </c>
      <c r="E783" s="59" t="s">
        <v>318</v>
      </c>
    </row>
    <row r="784" spans="3:5" ht="15" x14ac:dyDescent="0.2">
      <c r="C784" s="61">
        <v>41417.125</v>
      </c>
      <c r="D784" s="60">
        <v>5450</v>
      </c>
      <c r="E784" s="59" t="s">
        <v>318</v>
      </c>
    </row>
    <row r="785" spans="3:5" ht="15" x14ac:dyDescent="0.2">
      <c r="C785" s="61">
        <v>41417.135416666664</v>
      </c>
      <c r="D785" s="60">
        <v>5470</v>
      </c>
      <c r="E785" s="59" t="s">
        <v>317</v>
      </c>
    </row>
    <row r="786" spans="3:5" ht="15" x14ac:dyDescent="0.2">
      <c r="C786" s="61">
        <v>41417.145833333336</v>
      </c>
      <c r="D786" s="60">
        <v>5500</v>
      </c>
      <c r="E786" s="59" t="s">
        <v>315</v>
      </c>
    </row>
    <row r="787" spans="3:5" ht="15" x14ac:dyDescent="0.2">
      <c r="C787" s="61">
        <v>41417.15625</v>
      </c>
      <c r="D787" s="60">
        <v>5510</v>
      </c>
      <c r="E787" s="59" t="s">
        <v>314</v>
      </c>
    </row>
    <row r="788" spans="3:5" ht="15" x14ac:dyDescent="0.2">
      <c r="C788" s="61">
        <v>41417.166666666664</v>
      </c>
      <c r="D788" s="60">
        <v>5530</v>
      </c>
      <c r="E788" s="59" t="s">
        <v>313</v>
      </c>
    </row>
    <row r="789" spans="3:5" ht="15" x14ac:dyDescent="0.2">
      <c r="C789" s="61">
        <v>41417.177083333336</v>
      </c>
      <c r="D789" s="60">
        <v>5550</v>
      </c>
      <c r="E789" s="59" t="s">
        <v>312</v>
      </c>
    </row>
    <row r="790" spans="3:5" ht="15" x14ac:dyDescent="0.2">
      <c r="C790" s="61">
        <v>41417.1875</v>
      </c>
      <c r="D790" s="60">
        <v>5560</v>
      </c>
      <c r="E790" s="59" t="s">
        <v>311</v>
      </c>
    </row>
    <row r="791" spans="3:5" ht="15" x14ac:dyDescent="0.2">
      <c r="C791" s="61">
        <v>41417.197916666664</v>
      </c>
      <c r="D791" s="60">
        <v>5580</v>
      </c>
      <c r="E791" s="59" t="s">
        <v>310</v>
      </c>
    </row>
    <row r="792" spans="3:5" ht="15" x14ac:dyDescent="0.2">
      <c r="C792" s="61">
        <v>41417.208333333336</v>
      </c>
      <c r="D792" s="60">
        <v>5610</v>
      </c>
      <c r="E792" s="59" t="s">
        <v>308</v>
      </c>
    </row>
    <row r="793" spans="3:5" ht="15" x14ac:dyDescent="0.2">
      <c r="C793" s="61">
        <v>41417.21875</v>
      </c>
      <c r="D793" s="60">
        <v>5620</v>
      </c>
      <c r="E793" s="59" t="s">
        <v>307</v>
      </c>
    </row>
    <row r="794" spans="3:5" ht="15" x14ac:dyDescent="0.2">
      <c r="C794" s="61">
        <v>41417.229166666664</v>
      </c>
      <c r="D794" s="60">
        <v>5640</v>
      </c>
      <c r="E794" s="59" t="s">
        <v>306</v>
      </c>
    </row>
    <row r="795" spans="3:5" ht="15" x14ac:dyDescent="0.2">
      <c r="C795" s="61">
        <v>41417.239583333336</v>
      </c>
      <c r="D795" s="60">
        <v>5660</v>
      </c>
      <c r="E795" s="59" t="s">
        <v>305</v>
      </c>
    </row>
    <row r="796" spans="3:5" ht="15" x14ac:dyDescent="0.2">
      <c r="C796" s="61">
        <v>41417.25</v>
      </c>
      <c r="D796" s="60">
        <v>5670</v>
      </c>
      <c r="E796" s="59" t="s">
        <v>304</v>
      </c>
    </row>
    <row r="797" spans="3:5" ht="15" x14ac:dyDescent="0.2">
      <c r="C797" s="61">
        <v>41417.260416666664</v>
      </c>
      <c r="D797" s="60">
        <v>5690</v>
      </c>
      <c r="E797" s="59" t="s">
        <v>303</v>
      </c>
    </row>
    <row r="798" spans="3:5" ht="15" x14ac:dyDescent="0.2">
      <c r="C798" s="61">
        <v>41417.270833333336</v>
      </c>
      <c r="D798" s="60">
        <v>5720</v>
      </c>
      <c r="E798" s="59" t="s">
        <v>301</v>
      </c>
    </row>
    <row r="799" spans="3:5" ht="15" x14ac:dyDescent="0.2">
      <c r="C799" s="61">
        <v>41417.28125</v>
      </c>
      <c r="D799" s="60">
        <v>5740</v>
      </c>
      <c r="E799" s="59" t="s">
        <v>300</v>
      </c>
    </row>
    <row r="800" spans="3:5" ht="15" x14ac:dyDescent="0.2">
      <c r="C800" s="61">
        <v>41417.291666666664</v>
      </c>
      <c r="D800" s="60">
        <v>5750</v>
      </c>
      <c r="E800" s="59" t="s">
        <v>299</v>
      </c>
    </row>
    <row r="801" spans="3:5" ht="15" x14ac:dyDescent="0.2">
      <c r="C801" s="61">
        <v>41417.302083333336</v>
      </c>
      <c r="D801" s="60">
        <v>5770</v>
      </c>
      <c r="E801" s="59" t="s">
        <v>298</v>
      </c>
    </row>
    <row r="802" spans="3:5" ht="15" x14ac:dyDescent="0.2">
      <c r="C802" s="61">
        <v>41417.3125</v>
      </c>
      <c r="D802" s="60">
        <v>5800</v>
      </c>
      <c r="E802" s="59" t="s">
        <v>296</v>
      </c>
    </row>
    <row r="803" spans="3:5" ht="15" x14ac:dyDescent="0.2">
      <c r="C803" s="61">
        <v>41417.322916666664</v>
      </c>
      <c r="D803" s="60">
        <v>5810</v>
      </c>
      <c r="E803" s="59" t="s">
        <v>295</v>
      </c>
    </row>
    <row r="804" spans="3:5" ht="15" x14ac:dyDescent="0.2">
      <c r="C804" s="61">
        <v>41417.333333333336</v>
      </c>
      <c r="D804" s="60">
        <v>5830</v>
      </c>
      <c r="E804" s="59" t="s">
        <v>294</v>
      </c>
    </row>
    <row r="805" spans="3:5" ht="15" x14ac:dyDescent="0.2">
      <c r="C805" s="61">
        <v>41417.34375</v>
      </c>
      <c r="D805" s="60">
        <v>5850</v>
      </c>
      <c r="E805" s="59" t="s">
        <v>293</v>
      </c>
    </row>
    <row r="806" spans="3:5" ht="15" x14ac:dyDescent="0.2">
      <c r="C806" s="61">
        <v>41417.354166666664</v>
      </c>
      <c r="D806" s="60">
        <v>5880</v>
      </c>
      <c r="E806" s="59" t="s">
        <v>291</v>
      </c>
    </row>
    <row r="807" spans="3:5" ht="15" x14ac:dyDescent="0.2">
      <c r="C807" s="61">
        <v>41417.364583333336</v>
      </c>
      <c r="D807" s="60">
        <v>5890</v>
      </c>
      <c r="E807" s="59" t="s">
        <v>290</v>
      </c>
    </row>
    <row r="808" spans="3:5" ht="15" x14ac:dyDescent="0.2">
      <c r="C808" s="61">
        <v>41417.375</v>
      </c>
      <c r="D808" s="60">
        <v>5930</v>
      </c>
      <c r="E808" s="59" t="s">
        <v>288</v>
      </c>
    </row>
    <row r="809" spans="3:5" ht="15" x14ac:dyDescent="0.2">
      <c r="C809" s="61">
        <v>41417.385416666664</v>
      </c>
      <c r="D809" s="60">
        <v>5960</v>
      </c>
      <c r="E809" s="59" t="s">
        <v>286</v>
      </c>
    </row>
    <row r="810" spans="3:5" ht="15" x14ac:dyDescent="0.2">
      <c r="C810" s="61">
        <v>41417.395833333336</v>
      </c>
      <c r="D810" s="60">
        <v>5970</v>
      </c>
      <c r="E810" s="59" t="s">
        <v>285</v>
      </c>
    </row>
    <row r="811" spans="3:5" ht="15" x14ac:dyDescent="0.2">
      <c r="C811" s="61">
        <v>41417.40625</v>
      </c>
      <c r="D811" s="60">
        <v>5990</v>
      </c>
      <c r="E811" s="59" t="s">
        <v>284</v>
      </c>
    </row>
    <row r="812" spans="3:5" ht="15" x14ac:dyDescent="0.2">
      <c r="C812" s="61">
        <v>41417.416666666664</v>
      </c>
      <c r="D812" s="60">
        <v>6010</v>
      </c>
      <c r="E812" s="59" t="s">
        <v>283</v>
      </c>
    </row>
    <row r="813" spans="3:5" ht="15" x14ac:dyDescent="0.2">
      <c r="C813" s="61">
        <v>41417.427083333336</v>
      </c>
      <c r="D813" s="60">
        <v>6040</v>
      </c>
      <c r="E813" s="59" t="s">
        <v>281</v>
      </c>
    </row>
    <row r="814" spans="3:5" ht="15" x14ac:dyDescent="0.2">
      <c r="C814" s="61">
        <v>41417.4375</v>
      </c>
      <c r="D814" s="60">
        <v>6050</v>
      </c>
      <c r="E814" s="59" t="s">
        <v>280</v>
      </c>
    </row>
    <row r="815" spans="3:5" ht="15" x14ac:dyDescent="0.2">
      <c r="C815" s="61">
        <v>41417.447916666664</v>
      </c>
      <c r="D815" s="60">
        <v>6070</v>
      </c>
      <c r="E815" s="59" t="s">
        <v>279</v>
      </c>
    </row>
    <row r="816" spans="3:5" ht="15" x14ac:dyDescent="0.2">
      <c r="C816" s="61">
        <v>41417.458333333336</v>
      </c>
      <c r="D816" s="60">
        <v>6090</v>
      </c>
      <c r="E816" s="59" t="s">
        <v>278</v>
      </c>
    </row>
    <row r="817" spans="3:5" ht="15" x14ac:dyDescent="0.2">
      <c r="C817" s="61">
        <v>41417.46875</v>
      </c>
      <c r="D817" s="60">
        <v>6100</v>
      </c>
      <c r="E817" s="59" t="s">
        <v>277</v>
      </c>
    </row>
    <row r="818" spans="3:5" ht="15" x14ac:dyDescent="0.2">
      <c r="C818" s="61">
        <v>41417.479166666664</v>
      </c>
      <c r="D818" s="60">
        <v>6120</v>
      </c>
      <c r="E818" s="59" t="s">
        <v>429</v>
      </c>
    </row>
    <row r="819" spans="3:5" ht="15" x14ac:dyDescent="0.2">
      <c r="C819" s="61">
        <v>41417.489583333336</v>
      </c>
      <c r="D819" s="60">
        <v>6140</v>
      </c>
      <c r="E819" s="59" t="s">
        <v>276</v>
      </c>
    </row>
    <row r="820" spans="3:5" ht="15" x14ac:dyDescent="0.2">
      <c r="C820" s="61">
        <v>41417.5</v>
      </c>
      <c r="D820" s="60">
        <v>6150</v>
      </c>
      <c r="E820" s="59" t="s">
        <v>275</v>
      </c>
    </row>
    <row r="821" spans="3:5" ht="15" x14ac:dyDescent="0.2">
      <c r="C821" s="61">
        <v>41417.510416666664</v>
      </c>
      <c r="D821" s="60">
        <v>6170</v>
      </c>
      <c r="E821" s="59" t="s">
        <v>274</v>
      </c>
    </row>
    <row r="822" spans="3:5" ht="15" x14ac:dyDescent="0.2">
      <c r="C822" s="61">
        <v>41417.520833333336</v>
      </c>
      <c r="D822" s="60">
        <v>6200</v>
      </c>
      <c r="E822" s="59" t="s">
        <v>273</v>
      </c>
    </row>
    <row r="823" spans="3:5" ht="15" x14ac:dyDescent="0.2">
      <c r="C823" s="61">
        <v>41417.53125</v>
      </c>
      <c r="D823" s="60">
        <v>6220</v>
      </c>
      <c r="E823" s="59" t="s">
        <v>272</v>
      </c>
    </row>
    <row r="824" spans="3:5" ht="15" x14ac:dyDescent="0.2">
      <c r="C824" s="61">
        <v>41417.541666666664</v>
      </c>
      <c r="D824" s="60">
        <v>6230</v>
      </c>
      <c r="E824" s="59" t="s">
        <v>271</v>
      </c>
    </row>
    <row r="825" spans="3:5" ht="15" x14ac:dyDescent="0.2">
      <c r="C825" s="61">
        <v>41417.552083333336</v>
      </c>
      <c r="D825" s="60">
        <v>6250</v>
      </c>
      <c r="E825" s="59" t="s">
        <v>430</v>
      </c>
    </row>
    <row r="826" spans="3:5" ht="15" x14ac:dyDescent="0.2">
      <c r="C826" s="61">
        <v>41417.5625</v>
      </c>
      <c r="D826" s="60">
        <v>6270</v>
      </c>
      <c r="E826" s="59" t="s">
        <v>270</v>
      </c>
    </row>
    <row r="827" spans="3:5" ht="15" x14ac:dyDescent="0.2">
      <c r="C827" s="61">
        <v>41417.572916666664</v>
      </c>
      <c r="D827" s="60">
        <v>6300</v>
      </c>
      <c r="E827" s="59" t="s">
        <v>268</v>
      </c>
    </row>
    <row r="828" spans="3:5" ht="15" x14ac:dyDescent="0.2">
      <c r="C828" s="61">
        <v>41417.583333333336</v>
      </c>
      <c r="D828" s="60">
        <v>6300</v>
      </c>
      <c r="E828" s="59" t="s">
        <v>268</v>
      </c>
    </row>
    <row r="829" spans="3:5" ht="15" x14ac:dyDescent="0.2">
      <c r="C829" s="61">
        <v>41417.59375</v>
      </c>
      <c r="D829" s="60">
        <v>6330</v>
      </c>
      <c r="E829" s="59" t="s">
        <v>267</v>
      </c>
    </row>
    <row r="830" spans="3:5" ht="15" x14ac:dyDescent="0.2">
      <c r="C830" s="61">
        <v>41417.604166666664</v>
      </c>
      <c r="D830" s="60">
        <v>6350</v>
      </c>
      <c r="E830" s="59" t="s">
        <v>266</v>
      </c>
    </row>
    <row r="831" spans="3:5" ht="15" x14ac:dyDescent="0.2">
      <c r="C831" s="61">
        <v>41417.614583333336</v>
      </c>
      <c r="D831" s="60">
        <v>6360</v>
      </c>
      <c r="E831" s="59" t="s">
        <v>265</v>
      </c>
    </row>
    <row r="832" spans="3:5" ht="15" x14ac:dyDescent="0.2">
      <c r="C832" s="61">
        <v>41417.625</v>
      </c>
      <c r="D832" s="60">
        <v>6380</v>
      </c>
      <c r="E832" s="59" t="s">
        <v>264</v>
      </c>
    </row>
    <row r="833" spans="3:5" ht="15" x14ac:dyDescent="0.2">
      <c r="C833" s="61">
        <v>41417.635416666664</v>
      </c>
      <c r="D833" s="60">
        <v>6410</v>
      </c>
      <c r="E833" s="59" t="s">
        <v>262</v>
      </c>
    </row>
    <row r="834" spans="3:5" ht="15" x14ac:dyDescent="0.2">
      <c r="C834" s="61">
        <v>41417.645833333336</v>
      </c>
      <c r="D834" s="60">
        <v>6430</v>
      </c>
      <c r="E834" s="59" t="s">
        <v>261</v>
      </c>
    </row>
    <row r="835" spans="3:5" ht="15" x14ac:dyDescent="0.2">
      <c r="C835" s="61">
        <v>41417.65625</v>
      </c>
      <c r="D835" s="60">
        <v>6450</v>
      </c>
      <c r="E835" s="59" t="s">
        <v>431</v>
      </c>
    </row>
    <row r="836" spans="3:5" ht="15" x14ac:dyDescent="0.2">
      <c r="C836" s="61">
        <v>41417.666666666664</v>
      </c>
      <c r="D836" s="60">
        <v>6460</v>
      </c>
      <c r="E836" s="59" t="s">
        <v>260</v>
      </c>
    </row>
    <row r="837" spans="3:5" ht="15" x14ac:dyDescent="0.2">
      <c r="C837" s="61">
        <v>41417.677083333336</v>
      </c>
      <c r="D837" s="60">
        <v>6460</v>
      </c>
      <c r="E837" s="59" t="s">
        <v>260</v>
      </c>
    </row>
    <row r="838" spans="3:5" ht="15" x14ac:dyDescent="0.2">
      <c r="C838" s="61">
        <v>41417.6875</v>
      </c>
      <c r="D838" s="60">
        <v>6480</v>
      </c>
      <c r="E838" s="59" t="s">
        <v>259</v>
      </c>
    </row>
    <row r="839" spans="3:5" ht="15" x14ac:dyDescent="0.2">
      <c r="C839" s="61">
        <v>41417.697916666664</v>
      </c>
      <c r="D839" s="60">
        <v>6500</v>
      </c>
      <c r="E839" s="59" t="s">
        <v>258</v>
      </c>
    </row>
    <row r="840" spans="3:5" ht="15" x14ac:dyDescent="0.2">
      <c r="C840" s="61">
        <v>41417.708333333336</v>
      </c>
      <c r="D840" s="60">
        <v>6500</v>
      </c>
      <c r="E840" s="59" t="s">
        <v>258</v>
      </c>
    </row>
    <row r="841" spans="3:5" ht="15" x14ac:dyDescent="0.2">
      <c r="C841" s="61">
        <v>41417.71875</v>
      </c>
      <c r="D841" s="60">
        <v>6510</v>
      </c>
      <c r="E841" s="59" t="s">
        <v>432</v>
      </c>
    </row>
    <row r="842" spans="3:5" ht="15" x14ac:dyDescent="0.2">
      <c r="C842" s="61">
        <v>41417.729166666664</v>
      </c>
      <c r="D842" s="60">
        <v>6510</v>
      </c>
      <c r="E842" s="59" t="s">
        <v>432</v>
      </c>
    </row>
    <row r="843" spans="3:5" ht="15" x14ac:dyDescent="0.2">
      <c r="C843" s="61">
        <v>41417.739583333336</v>
      </c>
      <c r="D843" s="60">
        <v>6530</v>
      </c>
      <c r="E843" s="59" t="s">
        <v>257</v>
      </c>
    </row>
    <row r="844" spans="3:5" ht="15" x14ac:dyDescent="0.2">
      <c r="C844" s="61">
        <v>41417.75</v>
      </c>
      <c r="D844" s="60">
        <v>6540</v>
      </c>
      <c r="E844" s="59" t="s">
        <v>433</v>
      </c>
    </row>
    <row r="845" spans="3:5" ht="15" x14ac:dyDescent="0.2">
      <c r="C845" s="61">
        <v>41417.760416666664</v>
      </c>
      <c r="D845" s="60">
        <v>6560</v>
      </c>
      <c r="E845" s="59" t="s">
        <v>256</v>
      </c>
    </row>
    <row r="846" spans="3:5" ht="15" x14ac:dyDescent="0.2">
      <c r="C846" s="61">
        <v>41417.770833333336</v>
      </c>
      <c r="D846" s="60">
        <v>6580</v>
      </c>
      <c r="E846" s="59" t="s">
        <v>255</v>
      </c>
    </row>
    <row r="847" spans="3:5" ht="15" x14ac:dyDescent="0.2">
      <c r="C847" s="61">
        <v>41417.78125</v>
      </c>
      <c r="D847" s="60">
        <v>6590</v>
      </c>
      <c r="E847" s="59" t="s">
        <v>434</v>
      </c>
    </row>
    <row r="848" spans="3:5" ht="15" x14ac:dyDescent="0.2">
      <c r="C848" s="61">
        <v>41417.791666666664</v>
      </c>
      <c r="D848" s="60">
        <v>6590</v>
      </c>
      <c r="E848" s="59" t="s">
        <v>434</v>
      </c>
    </row>
    <row r="849" spans="3:5" ht="15" x14ac:dyDescent="0.2">
      <c r="C849" s="61">
        <v>41417.802083333336</v>
      </c>
      <c r="D849" s="60">
        <v>6610</v>
      </c>
      <c r="E849" s="59" t="s">
        <v>254</v>
      </c>
    </row>
    <row r="850" spans="3:5" ht="15" x14ac:dyDescent="0.2">
      <c r="C850" s="61">
        <v>41417.8125</v>
      </c>
      <c r="D850" s="60">
        <v>6610</v>
      </c>
      <c r="E850" s="59" t="s">
        <v>254</v>
      </c>
    </row>
    <row r="851" spans="3:5" ht="15" x14ac:dyDescent="0.2">
      <c r="C851" s="61">
        <v>41417.822916666664</v>
      </c>
      <c r="D851" s="60">
        <v>6630</v>
      </c>
      <c r="E851" s="59" t="s">
        <v>253</v>
      </c>
    </row>
    <row r="852" spans="3:5" ht="15" x14ac:dyDescent="0.2">
      <c r="C852" s="61">
        <v>41417.833333333336</v>
      </c>
      <c r="D852" s="60">
        <v>6640</v>
      </c>
      <c r="E852" s="59" t="s">
        <v>435</v>
      </c>
    </row>
    <row r="853" spans="3:5" ht="15" x14ac:dyDescent="0.2">
      <c r="C853" s="61">
        <v>41417.84375</v>
      </c>
      <c r="D853" s="60">
        <v>6660</v>
      </c>
      <c r="E853" s="59" t="s">
        <v>252</v>
      </c>
    </row>
    <row r="854" spans="3:5" ht="15" x14ac:dyDescent="0.2">
      <c r="C854" s="61">
        <v>41417.854166666664</v>
      </c>
      <c r="D854" s="60">
        <v>6680</v>
      </c>
      <c r="E854" s="59" t="s">
        <v>251</v>
      </c>
    </row>
    <row r="855" spans="3:5" ht="15" x14ac:dyDescent="0.2">
      <c r="C855" s="61">
        <v>41417.864583333336</v>
      </c>
      <c r="D855" s="60">
        <v>6690</v>
      </c>
      <c r="E855" s="59" t="s">
        <v>436</v>
      </c>
    </row>
    <row r="856" spans="3:5" ht="15" x14ac:dyDescent="0.2">
      <c r="C856" s="61">
        <v>41417.875</v>
      </c>
      <c r="D856" s="60">
        <v>6710</v>
      </c>
      <c r="E856" s="59" t="s">
        <v>250</v>
      </c>
    </row>
    <row r="857" spans="3:5" ht="15" x14ac:dyDescent="0.2">
      <c r="C857" s="61">
        <v>41417.885416666664</v>
      </c>
      <c r="D857" s="60">
        <v>6730</v>
      </c>
      <c r="E857" s="59" t="s">
        <v>249</v>
      </c>
    </row>
    <row r="858" spans="3:5" ht="15" x14ac:dyDescent="0.2">
      <c r="C858" s="61">
        <v>41417.895833333336</v>
      </c>
      <c r="D858" s="60">
        <v>6730</v>
      </c>
      <c r="E858" s="59" t="s">
        <v>249</v>
      </c>
    </row>
    <row r="859" spans="3:5" ht="15" x14ac:dyDescent="0.2">
      <c r="C859" s="61">
        <v>41417.90625</v>
      </c>
      <c r="D859" s="60">
        <v>6740</v>
      </c>
      <c r="E859" s="59" t="s">
        <v>437</v>
      </c>
    </row>
    <row r="860" spans="3:5" ht="15" x14ac:dyDescent="0.2">
      <c r="C860" s="61">
        <v>41417.916666666664</v>
      </c>
      <c r="D860" s="60">
        <v>6740</v>
      </c>
      <c r="E860" s="59" t="s">
        <v>437</v>
      </c>
    </row>
    <row r="861" spans="3:5" ht="15" x14ac:dyDescent="0.2">
      <c r="C861" s="61">
        <v>41417.927083333336</v>
      </c>
      <c r="D861" s="60">
        <v>6760</v>
      </c>
      <c r="E861" s="59" t="s">
        <v>248</v>
      </c>
    </row>
    <row r="862" spans="3:5" ht="15" x14ac:dyDescent="0.2">
      <c r="C862" s="61">
        <v>41417.9375</v>
      </c>
      <c r="D862" s="60">
        <v>6780</v>
      </c>
      <c r="E862" s="59" t="s">
        <v>247</v>
      </c>
    </row>
    <row r="863" spans="3:5" ht="15" x14ac:dyDescent="0.2">
      <c r="C863" s="61">
        <v>41417.947916666664</v>
      </c>
      <c r="D863" s="60">
        <v>6790</v>
      </c>
      <c r="E863" s="59" t="s">
        <v>246</v>
      </c>
    </row>
    <row r="864" spans="3:5" ht="15" x14ac:dyDescent="0.2">
      <c r="C864" s="61">
        <v>41417.958333333336</v>
      </c>
      <c r="D864" s="60">
        <v>6790</v>
      </c>
      <c r="E864" s="59" t="s">
        <v>246</v>
      </c>
    </row>
    <row r="865" spans="3:5" ht="15" x14ac:dyDescent="0.2">
      <c r="C865" s="61">
        <v>41417.96875</v>
      </c>
      <c r="D865" s="60">
        <v>6810</v>
      </c>
      <c r="E865" s="59" t="s">
        <v>438</v>
      </c>
    </row>
    <row r="866" spans="3:5" ht="15" x14ac:dyDescent="0.2">
      <c r="C866" s="61">
        <v>41417.979166666664</v>
      </c>
      <c r="D866" s="60">
        <v>6810</v>
      </c>
      <c r="E866" s="59" t="s">
        <v>438</v>
      </c>
    </row>
    <row r="867" spans="3:5" ht="15" x14ac:dyDescent="0.2">
      <c r="C867" s="61">
        <v>41417.989583333336</v>
      </c>
      <c r="D867" s="60">
        <v>6810</v>
      </c>
      <c r="E867" s="59" t="s">
        <v>438</v>
      </c>
    </row>
    <row r="868" spans="3:5" ht="15" x14ac:dyDescent="0.2">
      <c r="C868" s="61">
        <v>41418</v>
      </c>
      <c r="D868" s="60">
        <v>6810</v>
      </c>
      <c r="E868" s="59" t="s">
        <v>438</v>
      </c>
    </row>
    <row r="869" spans="3:5" ht="15" x14ac:dyDescent="0.2">
      <c r="C869" s="61">
        <v>41418.010416666664</v>
      </c>
      <c r="D869" s="60">
        <v>6790</v>
      </c>
      <c r="E869" s="59" t="s">
        <v>246</v>
      </c>
    </row>
    <row r="870" spans="3:5" ht="15" x14ac:dyDescent="0.2">
      <c r="C870" s="61">
        <v>41418.020833333336</v>
      </c>
      <c r="D870" s="60">
        <v>6790</v>
      </c>
      <c r="E870" s="59" t="s">
        <v>246</v>
      </c>
    </row>
    <row r="871" spans="3:5" ht="15" x14ac:dyDescent="0.2">
      <c r="C871" s="61">
        <v>41418.03125</v>
      </c>
      <c r="D871" s="60">
        <v>6790</v>
      </c>
      <c r="E871" s="59" t="s">
        <v>246</v>
      </c>
    </row>
    <row r="872" spans="3:5" ht="15" x14ac:dyDescent="0.2">
      <c r="C872" s="61">
        <v>41418.041666666664</v>
      </c>
      <c r="D872" s="60">
        <v>6790</v>
      </c>
      <c r="E872" s="59" t="s">
        <v>246</v>
      </c>
    </row>
    <row r="873" spans="3:5" ht="15" x14ac:dyDescent="0.2">
      <c r="C873" s="61">
        <v>41418.052083333336</v>
      </c>
      <c r="D873" s="60">
        <v>6790</v>
      </c>
      <c r="E873" s="59" t="s">
        <v>246</v>
      </c>
    </row>
    <row r="874" spans="3:5" ht="15" x14ac:dyDescent="0.2">
      <c r="C874" s="61">
        <v>41418.0625</v>
      </c>
      <c r="D874" s="60">
        <v>6780</v>
      </c>
      <c r="E874" s="59" t="s">
        <v>247</v>
      </c>
    </row>
    <row r="875" spans="3:5" ht="15" x14ac:dyDescent="0.2">
      <c r="C875" s="61">
        <v>41418.072916666664</v>
      </c>
      <c r="D875" s="60">
        <v>6780</v>
      </c>
      <c r="E875" s="59" t="s">
        <v>247</v>
      </c>
    </row>
    <row r="876" spans="3:5" ht="15" x14ac:dyDescent="0.2">
      <c r="C876" s="61">
        <v>41418.083333333336</v>
      </c>
      <c r="D876" s="60">
        <v>6780</v>
      </c>
      <c r="E876" s="59" t="s">
        <v>247</v>
      </c>
    </row>
    <row r="877" spans="3:5" ht="15" x14ac:dyDescent="0.2">
      <c r="C877" s="61">
        <v>41418.09375</v>
      </c>
      <c r="D877" s="60">
        <v>6760</v>
      </c>
      <c r="E877" s="59" t="s">
        <v>248</v>
      </c>
    </row>
    <row r="878" spans="3:5" ht="15" x14ac:dyDescent="0.2">
      <c r="C878" s="61">
        <v>41418.104166666664</v>
      </c>
      <c r="D878" s="60">
        <v>6760</v>
      </c>
      <c r="E878" s="59" t="s">
        <v>248</v>
      </c>
    </row>
    <row r="879" spans="3:5" ht="15" x14ac:dyDescent="0.2">
      <c r="C879" s="61">
        <v>41418.114583333336</v>
      </c>
      <c r="D879" s="60">
        <v>6760</v>
      </c>
      <c r="E879" s="59" t="s">
        <v>248</v>
      </c>
    </row>
    <row r="880" spans="3:5" ht="15" x14ac:dyDescent="0.2">
      <c r="C880" s="61">
        <v>41418.125</v>
      </c>
      <c r="D880" s="60">
        <v>6760</v>
      </c>
      <c r="E880" s="59" t="s">
        <v>248</v>
      </c>
    </row>
    <row r="881" spans="3:5" ht="15" x14ac:dyDescent="0.2">
      <c r="C881" s="61">
        <v>41418.135416666664</v>
      </c>
      <c r="D881" s="60">
        <v>6760</v>
      </c>
      <c r="E881" s="59" t="s">
        <v>248</v>
      </c>
    </row>
    <row r="882" spans="3:5" ht="15" x14ac:dyDescent="0.2">
      <c r="C882" s="61">
        <v>41418.145833333336</v>
      </c>
      <c r="D882" s="60">
        <v>6760</v>
      </c>
      <c r="E882" s="59" t="s">
        <v>248</v>
      </c>
    </row>
    <row r="883" spans="3:5" ht="15" x14ac:dyDescent="0.2">
      <c r="C883" s="61">
        <v>41418.15625</v>
      </c>
      <c r="D883" s="60">
        <v>6740</v>
      </c>
      <c r="E883" s="59" t="s">
        <v>437</v>
      </c>
    </row>
    <row r="884" spans="3:5" ht="15" x14ac:dyDescent="0.2">
      <c r="C884" s="61">
        <v>41418.166666666664</v>
      </c>
      <c r="D884" s="60">
        <v>6740</v>
      </c>
      <c r="E884" s="59" t="s">
        <v>437</v>
      </c>
    </row>
    <row r="885" spans="3:5" ht="15" x14ac:dyDescent="0.2">
      <c r="C885" s="61">
        <v>41418.177083333336</v>
      </c>
      <c r="D885" s="60">
        <v>6740</v>
      </c>
      <c r="E885" s="59" t="s">
        <v>437</v>
      </c>
    </row>
    <row r="886" spans="3:5" ht="15" x14ac:dyDescent="0.2">
      <c r="C886" s="61">
        <v>41418.1875</v>
      </c>
      <c r="D886" s="60">
        <v>6760</v>
      </c>
      <c r="E886" s="59" t="s">
        <v>248</v>
      </c>
    </row>
    <row r="887" spans="3:5" ht="15" x14ac:dyDescent="0.2">
      <c r="C887" s="61">
        <v>41418.197916666664</v>
      </c>
      <c r="D887" s="60">
        <v>6760</v>
      </c>
      <c r="E887" s="59" t="s">
        <v>248</v>
      </c>
    </row>
    <row r="888" spans="3:5" ht="15" x14ac:dyDescent="0.2">
      <c r="C888" s="61">
        <v>41418.208333333336</v>
      </c>
      <c r="D888" s="60">
        <v>6760</v>
      </c>
      <c r="E888" s="59" t="s">
        <v>248</v>
      </c>
    </row>
    <row r="889" spans="3:5" ht="15" x14ac:dyDescent="0.2">
      <c r="C889" s="61">
        <v>41418.21875</v>
      </c>
      <c r="D889" s="60">
        <v>6760</v>
      </c>
      <c r="E889" s="59" t="s">
        <v>248</v>
      </c>
    </row>
    <row r="890" spans="3:5" ht="15" x14ac:dyDescent="0.2">
      <c r="C890" s="61">
        <v>41418.229166666664</v>
      </c>
      <c r="D890" s="60">
        <v>6780</v>
      </c>
      <c r="E890" s="59" t="s">
        <v>247</v>
      </c>
    </row>
    <row r="891" spans="3:5" ht="15" x14ac:dyDescent="0.2">
      <c r="C891" s="61">
        <v>41418.239583333336</v>
      </c>
      <c r="D891" s="60">
        <v>6790</v>
      </c>
      <c r="E891" s="59" t="s">
        <v>246</v>
      </c>
    </row>
    <row r="892" spans="3:5" ht="15" x14ac:dyDescent="0.2">
      <c r="C892" s="61">
        <v>41418.25</v>
      </c>
      <c r="D892" s="60">
        <v>6810</v>
      </c>
      <c r="E892" s="59" t="s">
        <v>438</v>
      </c>
    </row>
    <row r="893" spans="3:5" ht="15" x14ac:dyDescent="0.2">
      <c r="C893" s="61">
        <v>41418.260416666664</v>
      </c>
      <c r="D893" s="60">
        <v>6830</v>
      </c>
      <c r="E893" s="59" t="s">
        <v>245</v>
      </c>
    </row>
    <row r="894" spans="3:5" ht="15" x14ac:dyDescent="0.2">
      <c r="C894" s="61">
        <v>41418.270833333336</v>
      </c>
      <c r="D894" s="60">
        <v>6840</v>
      </c>
      <c r="E894" s="59" t="s">
        <v>244</v>
      </c>
    </row>
    <row r="895" spans="3:5" ht="15" x14ac:dyDescent="0.2">
      <c r="C895" s="61">
        <v>41418.28125</v>
      </c>
      <c r="D895" s="60">
        <v>6860</v>
      </c>
      <c r="E895" s="59" t="s">
        <v>243</v>
      </c>
    </row>
    <row r="896" spans="3:5" ht="15" x14ac:dyDescent="0.2">
      <c r="C896" s="61">
        <v>41418.291666666664</v>
      </c>
      <c r="D896" s="60">
        <v>6860</v>
      </c>
      <c r="E896" s="59" t="s">
        <v>243</v>
      </c>
    </row>
    <row r="897" spans="3:5" ht="15" x14ac:dyDescent="0.2">
      <c r="C897" s="61">
        <v>41418.302083333336</v>
      </c>
      <c r="D897" s="60">
        <v>6880</v>
      </c>
      <c r="E897" s="59" t="s">
        <v>439</v>
      </c>
    </row>
    <row r="898" spans="3:5" ht="15" x14ac:dyDescent="0.2">
      <c r="C898" s="61">
        <v>41418.3125</v>
      </c>
      <c r="D898" s="60">
        <v>6890</v>
      </c>
      <c r="E898" s="59" t="s">
        <v>242</v>
      </c>
    </row>
    <row r="899" spans="3:5" ht="15" x14ac:dyDescent="0.2">
      <c r="C899" s="61">
        <v>41418.322916666664</v>
      </c>
      <c r="D899" s="60">
        <v>6910</v>
      </c>
      <c r="E899" s="59" t="s">
        <v>241</v>
      </c>
    </row>
    <row r="900" spans="3:5" ht="15" x14ac:dyDescent="0.2">
      <c r="C900" s="61">
        <v>41418.333333333336</v>
      </c>
      <c r="D900" s="60">
        <v>6910</v>
      </c>
      <c r="E900" s="59" t="s">
        <v>241</v>
      </c>
    </row>
    <row r="901" spans="3:5" ht="15" x14ac:dyDescent="0.2">
      <c r="C901" s="61">
        <v>41418.34375</v>
      </c>
      <c r="D901" s="60">
        <v>6930</v>
      </c>
      <c r="E901" s="59" t="s">
        <v>440</v>
      </c>
    </row>
    <row r="902" spans="3:5" ht="15" x14ac:dyDescent="0.2">
      <c r="C902" s="61">
        <v>41418.354166666664</v>
      </c>
      <c r="D902" s="60">
        <v>6930</v>
      </c>
      <c r="E902" s="59" t="s">
        <v>440</v>
      </c>
    </row>
    <row r="903" spans="3:5" ht="15" x14ac:dyDescent="0.2">
      <c r="C903" s="61">
        <v>41418.364583333336</v>
      </c>
      <c r="D903" s="60">
        <v>6930</v>
      </c>
      <c r="E903" s="59" t="s">
        <v>440</v>
      </c>
    </row>
    <row r="904" spans="3:5" ht="15" x14ac:dyDescent="0.2">
      <c r="C904" s="61">
        <v>41418.375</v>
      </c>
      <c r="D904" s="60">
        <v>6950</v>
      </c>
      <c r="E904" s="59" t="s">
        <v>240</v>
      </c>
    </row>
    <row r="905" spans="3:5" ht="15" x14ac:dyDescent="0.2">
      <c r="C905" s="61">
        <v>41418.385416666664</v>
      </c>
      <c r="D905" s="60">
        <v>6950</v>
      </c>
      <c r="E905" s="59" t="s">
        <v>240</v>
      </c>
    </row>
    <row r="906" spans="3:5" ht="15" x14ac:dyDescent="0.2">
      <c r="C906" s="61">
        <v>41418.395833333336</v>
      </c>
      <c r="D906" s="60">
        <v>6950</v>
      </c>
      <c r="E906" s="59" t="s">
        <v>240</v>
      </c>
    </row>
    <row r="907" spans="3:5" ht="15" x14ac:dyDescent="0.2">
      <c r="C907" s="61">
        <v>41418.40625</v>
      </c>
      <c r="D907" s="60">
        <v>6950</v>
      </c>
      <c r="E907" s="59" t="s">
        <v>240</v>
      </c>
    </row>
    <row r="908" spans="3:5" ht="15" x14ac:dyDescent="0.2">
      <c r="C908" s="61">
        <v>41418.416666666664</v>
      </c>
      <c r="D908" s="60">
        <v>6950</v>
      </c>
      <c r="E908" s="59" t="s">
        <v>240</v>
      </c>
    </row>
    <row r="909" spans="3:5" ht="15" x14ac:dyDescent="0.2">
      <c r="C909" s="61">
        <v>41418.427083333336</v>
      </c>
      <c r="D909" s="60">
        <v>6950</v>
      </c>
      <c r="E909" s="59" t="s">
        <v>240</v>
      </c>
    </row>
    <row r="910" spans="3:5" ht="15" x14ac:dyDescent="0.2">
      <c r="C910" s="61">
        <v>41418.4375</v>
      </c>
      <c r="D910" s="60">
        <v>6950</v>
      </c>
      <c r="E910" s="59" t="s">
        <v>240</v>
      </c>
    </row>
    <row r="911" spans="3:5" ht="15" x14ac:dyDescent="0.2">
      <c r="C911" s="61">
        <v>41418.447916666664</v>
      </c>
      <c r="D911" s="60">
        <v>6950</v>
      </c>
      <c r="E911" s="59" t="s">
        <v>240</v>
      </c>
    </row>
    <row r="912" spans="3:5" ht="15" x14ac:dyDescent="0.2">
      <c r="C912" s="61">
        <v>41418.458333333336</v>
      </c>
      <c r="D912" s="60">
        <v>6950</v>
      </c>
      <c r="E912" s="59" t="s">
        <v>240</v>
      </c>
    </row>
    <row r="913" spans="3:5" ht="15" x14ac:dyDescent="0.2">
      <c r="C913" s="61">
        <v>41418.46875</v>
      </c>
      <c r="D913" s="60">
        <v>6950</v>
      </c>
      <c r="E913" s="59" t="s">
        <v>240</v>
      </c>
    </row>
    <row r="914" spans="3:5" ht="15" x14ac:dyDescent="0.2">
      <c r="C914" s="61">
        <v>41418.479166666664</v>
      </c>
      <c r="D914" s="60">
        <v>6950</v>
      </c>
      <c r="E914" s="59" t="s">
        <v>240</v>
      </c>
    </row>
    <row r="915" spans="3:5" ht="15" x14ac:dyDescent="0.2">
      <c r="C915" s="61">
        <v>41418.489583333336</v>
      </c>
      <c r="D915" s="60">
        <v>6950</v>
      </c>
      <c r="E915" s="59" t="s">
        <v>240</v>
      </c>
    </row>
    <row r="916" spans="3:5" ht="15" x14ac:dyDescent="0.2">
      <c r="C916" s="61">
        <v>41418.5</v>
      </c>
      <c r="D916" s="60">
        <v>6950</v>
      </c>
      <c r="E916" s="59" t="s">
        <v>240</v>
      </c>
    </row>
    <row r="917" spans="3:5" ht="15" x14ac:dyDescent="0.2">
      <c r="C917" s="61">
        <v>41418.510416666664</v>
      </c>
      <c r="D917" s="60">
        <v>6960</v>
      </c>
      <c r="E917" s="59" t="s">
        <v>239</v>
      </c>
    </row>
    <row r="918" spans="3:5" ht="15" x14ac:dyDescent="0.2">
      <c r="C918" s="61">
        <v>41418.520833333336</v>
      </c>
      <c r="D918" s="60">
        <v>6950</v>
      </c>
      <c r="E918" s="59" t="s">
        <v>240</v>
      </c>
    </row>
    <row r="919" spans="3:5" ht="15" x14ac:dyDescent="0.2">
      <c r="C919" s="61">
        <v>41418.53125</v>
      </c>
      <c r="D919" s="60">
        <v>6950</v>
      </c>
      <c r="E919" s="59" t="s">
        <v>240</v>
      </c>
    </row>
    <row r="920" spans="3:5" ht="15" x14ac:dyDescent="0.2">
      <c r="C920" s="61">
        <v>41418.541666666664</v>
      </c>
      <c r="D920" s="60">
        <v>6950</v>
      </c>
      <c r="E920" s="59" t="s">
        <v>240</v>
      </c>
    </row>
    <row r="921" spans="3:5" ht="15" x14ac:dyDescent="0.2">
      <c r="C921" s="61">
        <v>41418.552083333336</v>
      </c>
      <c r="D921" s="60">
        <v>6930</v>
      </c>
      <c r="E921" s="59" t="s">
        <v>440</v>
      </c>
    </row>
    <row r="922" spans="3:5" ht="15" x14ac:dyDescent="0.2">
      <c r="C922" s="61">
        <v>41418.5625</v>
      </c>
      <c r="D922" s="60">
        <v>6930</v>
      </c>
      <c r="E922" s="59" t="s">
        <v>440</v>
      </c>
    </row>
    <row r="923" spans="3:5" ht="15" x14ac:dyDescent="0.2">
      <c r="C923" s="61">
        <v>41418.572916666664</v>
      </c>
      <c r="D923" s="60">
        <v>6910</v>
      </c>
      <c r="E923" s="59" t="s">
        <v>241</v>
      </c>
    </row>
    <row r="924" spans="3:5" ht="15" x14ac:dyDescent="0.2">
      <c r="C924" s="61">
        <v>41418.583333333336</v>
      </c>
      <c r="D924" s="60">
        <v>6910</v>
      </c>
      <c r="E924" s="59" t="s">
        <v>241</v>
      </c>
    </row>
    <row r="925" spans="3:5" ht="15" x14ac:dyDescent="0.2">
      <c r="C925" s="61">
        <v>41418.59375</v>
      </c>
      <c r="D925" s="60">
        <v>6910</v>
      </c>
      <c r="E925" s="59" t="s">
        <v>241</v>
      </c>
    </row>
    <row r="926" spans="3:5" ht="15" x14ac:dyDescent="0.2">
      <c r="C926" s="61">
        <v>41418.604166666664</v>
      </c>
      <c r="D926" s="60">
        <v>6910</v>
      </c>
      <c r="E926" s="59" t="s">
        <v>241</v>
      </c>
    </row>
    <row r="927" spans="3:5" ht="15" x14ac:dyDescent="0.2">
      <c r="C927" s="61">
        <v>41418.614583333336</v>
      </c>
      <c r="D927" s="60">
        <v>6910</v>
      </c>
      <c r="E927" s="59" t="s">
        <v>241</v>
      </c>
    </row>
    <row r="928" spans="3:5" ht="15" x14ac:dyDescent="0.2">
      <c r="C928" s="61">
        <v>41418.625</v>
      </c>
      <c r="D928" s="60">
        <v>6910</v>
      </c>
      <c r="E928" s="59" t="s">
        <v>241</v>
      </c>
    </row>
    <row r="929" spans="3:5" ht="15" x14ac:dyDescent="0.2">
      <c r="C929" s="61">
        <v>41418.635416666664</v>
      </c>
      <c r="D929" s="60">
        <v>6890</v>
      </c>
      <c r="E929" s="59" t="s">
        <v>242</v>
      </c>
    </row>
    <row r="930" spans="3:5" ht="15" x14ac:dyDescent="0.2">
      <c r="C930" s="61">
        <v>41418.645833333336</v>
      </c>
      <c r="D930" s="60">
        <v>6890</v>
      </c>
      <c r="E930" s="59" t="s">
        <v>242</v>
      </c>
    </row>
    <row r="931" spans="3:5" ht="15" x14ac:dyDescent="0.2">
      <c r="C931" s="61">
        <v>41418.65625</v>
      </c>
      <c r="D931" s="60">
        <v>6890</v>
      </c>
      <c r="E931" s="59" t="s">
        <v>242</v>
      </c>
    </row>
    <row r="932" spans="3:5" ht="15" x14ac:dyDescent="0.2">
      <c r="C932" s="61">
        <v>41418.666666666664</v>
      </c>
      <c r="D932" s="60">
        <v>6890</v>
      </c>
      <c r="E932" s="59" t="s">
        <v>242</v>
      </c>
    </row>
    <row r="933" spans="3:5" ht="15" x14ac:dyDescent="0.2">
      <c r="C933" s="61">
        <v>41418.677083333336</v>
      </c>
      <c r="D933" s="60">
        <v>6890</v>
      </c>
      <c r="E933" s="59" t="s">
        <v>242</v>
      </c>
    </row>
    <row r="934" spans="3:5" ht="15" x14ac:dyDescent="0.2">
      <c r="C934" s="61">
        <v>41418.6875</v>
      </c>
      <c r="D934" s="60">
        <v>6890</v>
      </c>
      <c r="E934" s="59" t="s">
        <v>242</v>
      </c>
    </row>
    <row r="935" spans="3:5" ht="15" x14ac:dyDescent="0.2">
      <c r="C935" s="61">
        <v>41418.697916666664</v>
      </c>
      <c r="D935" s="60">
        <v>6890</v>
      </c>
      <c r="E935" s="59" t="s">
        <v>242</v>
      </c>
    </row>
    <row r="936" spans="3:5" ht="15" x14ac:dyDescent="0.2">
      <c r="C936" s="61">
        <v>41418.708333333336</v>
      </c>
      <c r="D936" s="60">
        <v>6890</v>
      </c>
      <c r="E936" s="59" t="s">
        <v>242</v>
      </c>
    </row>
    <row r="937" spans="3:5" ht="15" x14ac:dyDescent="0.2">
      <c r="C937" s="61">
        <v>41418.71875</v>
      </c>
      <c r="D937" s="60">
        <v>6890</v>
      </c>
      <c r="E937" s="59" t="s">
        <v>242</v>
      </c>
    </row>
    <row r="938" spans="3:5" ht="15" x14ac:dyDescent="0.2">
      <c r="C938" s="61">
        <v>41418.729166666664</v>
      </c>
      <c r="D938" s="60">
        <v>6890</v>
      </c>
      <c r="E938" s="59" t="s">
        <v>242</v>
      </c>
    </row>
    <row r="939" spans="3:5" ht="15" x14ac:dyDescent="0.2">
      <c r="C939" s="61">
        <v>41418.739583333336</v>
      </c>
      <c r="D939" s="60">
        <v>6890</v>
      </c>
      <c r="E939" s="59" t="s">
        <v>242</v>
      </c>
    </row>
    <row r="940" spans="3:5" ht="15" x14ac:dyDescent="0.2">
      <c r="C940" s="61">
        <v>41418.75</v>
      </c>
      <c r="D940" s="60">
        <v>6890</v>
      </c>
      <c r="E940" s="59" t="s">
        <v>242</v>
      </c>
    </row>
    <row r="941" spans="3:5" ht="15" x14ac:dyDescent="0.2">
      <c r="C941" s="61">
        <v>41418.760416666664</v>
      </c>
      <c r="D941" s="60">
        <v>6890</v>
      </c>
      <c r="E941" s="59" t="s">
        <v>242</v>
      </c>
    </row>
    <row r="942" spans="3:5" ht="15" x14ac:dyDescent="0.2">
      <c r="C942" s="61">
        <v>41418.770833333336</v>
      </c>
      <c r="D942" s="60">
        <v>6890</v>
      </c>
      <c r="E942" s="59" t="s">
        <v>242</v>
      </c>
    </row>
    <row r="943" spans="3:5" ht="15" x14ac:dyDescent="0.2">
      <c r="C943" s="61">
        <v>41418.78125</v>
      </c>
      <c r="D943" s="60">
        <v>6890</v>
      </c>
      <c r="E943" s="59" t="s">
        <v>242</v>
      </c>
    </row>
    <row r="944" spans="3:5" ht="15" x14ac:dyDescent="0.2">
      <c r="C944" s="61">
        <v>41418.791666666664</v>
      </c>
      <c r="D944" s="60">
        <v>6890</v>
      </c>
      <c r="E944" s="59" t="s">
        <v>242</v>
      </c>
    </row>
    <row r="945" spans="3:5" ht="15" x14ac:dyDescent="0.2">
      <c r="C945" s="61">
        <v>41418.802083333336</v>
      </c>
      <c r="D945" s="60">
        <v>6890</v>
      </c>
      <c r="E945" s="59" t="s">
        <v>242</v>
      </c>
    </row>
    <row r="946" spans="3:5" ht="15" x14ac:dyDescent="0.2">
      <c r="C946" s="61">
        <v>41418.8125</v>
      </c>
      <c r="D946" s="60">
        <v>6890</v>
      </c>
      <c r="E946" s="59" t="s">
        <v>242</v>
      </c>
    </row>
    <row r="947" spans="3:5" ht="15" x14ac:dyDescent="0.2">
      <c r="C947" s="61">
        <v>41418.822916666664</v>
      </c>
      <c r="D947" s="60">
        <v>6890</v>
      </c>
      <c r="E947" s="59" t="s">
        <v>242</v>
      </c>
    </row>
    <row r="948" spans="3:5" ht="15" x14ac:dyDescent="0.2">
      <c r="C948" s="61">
        <v>41418.833333333336</v>
      </c>
      <c r="D948" s="60">
        <v>6890</v>
      </c>
      <c r="E948" s="59" t="s">
        <v>242</v>
      </c>
    </row>
    <row r="949" spans="3:5" ht="15" x14ac:dyDescent="0.2">
      <c r="C949" s="61">
        <v>41418.84375</v>
      </c>
      <c r="D949" s="60">
        <v>6890</v>
      </c>
      <c r="E949" s="59" t="s">
        <v>242</v>
      </c>
    </row>
    <row r="950" spans="3:5" ht="15" x14ac:dyDescent="0.2">
      <c r="C950" s="61">
        <v>41418.854166666664</v>
      </c>
      <c r="D950" s="60">
        <v>6890</v>
      </c>
      <c r="E950" s="59" t="s">
        <v>242</v>
      </c>
    </row>
    <row r="951" spans="3:5" ht="15" x14ac:dyDescent="0.2">
      <c r="C951" s="61">
        <v>41418.864583333336</v>
      </c>
      <c r="D951" s="60">
        <v>6890</v>
      </c>
      <c r="E951" s="59" t="s">
        <v>242</v>
      </c>
    </row>
    <row r="952" spans="3:5" ht="15" x14ac:dyDescent="0.2">
      <c r="C952" s="61">
        <v>41418.875</v>
      </c>
      <c r="D952" s="60">
        <v>6890</v>
      </c>
      <c r="E952" s="59" t="s">
        <v>242</v>
      </c>
    </row>
    <row r="953" spans="3:5" ht="15" x14ac:dyDescent="0.2">
      <c r="C953" s="61">
        <v>41418.885416666664</v>
      </c>
      <c r="D953" s="60">
        <v>6880</v>
      </c>
      <c r="E953" s="59" t="s">
        <v>439</v>
      </c>
    </row>
    <row r="954" spans="3:5" ht="15" x14ac:dyDescent="0.2">
      <c r="C954" s="61">
        <v>41418.895833333336</v>
      </c>
      <c r="D954" s="60">
        <v>6880</v>
      </c>
      <c r="E954" s="59" t="s">
        <v>439</v>
      </c>
    </row>
    <row r="955" spans="3:5" ht="15" x14ac:dyDescent="0.2">
      <c r="C955" s="61">
        <v>41418.90625</v>
      </c>
      <c r="D955" s="60">
        <v>6860</v>
      </c>
      <c r="E955" s="59" t="s">
        <v>243</v>
      </c>
    </row>
    <row r="956" spans="3:5" ht="15" x14ac:dyDescent="0.2">
      <c r="C956" s="61">
        <v>41418.916666666664</v>
      </c>
      <c r="D956" s="60">
        <v>6860</v>
      </c>
      <c r="E956" s="59" t="s">
        <v>243</v>
      </c>
    </row>
    <row r="957" spans="3:5" ht="15" x14ac:dyDescent="0.2">
      <c r="C957" s="61">
        <v>41418.927083333336</v>
      </c>
      <c r="D957" s="60">
        <v>6840</v>
      </c>
      <c r="E957" s="59" t="s">
        <v>244</v>
      </c>
    </row>
    <row r="958" spans="3:5" ht="15" x14ac:dyDescent="0.2">
      <c r="C958" s="61">
        <v>41418.9375</v>
      </c>
      <c r="D958" s="60">
        <v>6830</v>
      </c>
      <c r="E958" s="59" t="s">
        <v>245</v>
      </c>
    </row>
    <row r="959" spans="3:5" ht="15" x14ac:dyDescent="0.2">
      <c r="C959" s="61">
        <v>41418.947916666664</v>
      </c>
      <c r="D959" s="60">
        <v>6830</v>
      </c>
      <c r="E959" s="59" t="s">
        <v>245</v>
      </c>
    </row>
    <row r="960" spans="3:5" ht="15" x14ac:dyDescent="0.2">
      <c r="C960" s="61">
        <v>41418.958333333336</v>
      </c>
      <c r="D960" s="60">
        <v>6810</v>
      </c>
      <c r="E960" s="59" t="s">
        <v>438</v>
      </c>
    </row>
    <row r="961" spans="3:5" ht="15" x14ac:dyDescent="0.2">
      <c r="C961" s="61">
        <v>41418.96875</v>
      </c>
      <c r="D961" s="60">
        <v>6810</v>
      </c>
      <c r="E961" s="59" t="s">
        <v>438</v>
      </c>
    </row>
    <row r="962" spans="3:5" ht="15" x14ac:dyDescent="0.2">
      <c r="C962" s="61">
        <v>41418.979166666664</v>
      </c>
      <c r="D962" s="60">
        <v>6790</v>
      </c>
      <c r="E962" s="59" t="s">
        <v>246</v>
      </c>
    </row>
    <row r="963" spans="3:5" ht="15" x14ac:dyDescent="0.2">
      <c r="C963" s="61">
        <v>41418.989583333336</v>
      </c>
      <c r="D963" s="60">
        <v>6790</v>
      </c>
      <c r="E963" s="59" t="s">
        <v>246</v>
      </c>
    </row>
    <row r="964" spans="3:5" ht="15" x14ac:dyDescent="0.2">
      <c r="C964" s="61">
        <v>41419</v>
      </c>
      <c r="D964" s="60">
        <v>6780</v>
      </c>
      <c r="E964" s="59" t="s">
        <v>247</v>
      </c>
    </row>
    <row r="965" spans="3:5" ht="15" x14ac:dyDescent="0.2">
      <c r="C965" s="61">
        <v>41419.010416666664</v>
      </c>
      <c r="D965" s="60">
        <v>6780</v>
      </c>
      <c r="E965" s="59" t="s">
        <v>247</v>
      </c>
    </row>
    <row r="966" spans="3:5" ht="15" x14ac:dyDescent="0.2">
      <c r="C966" s="61">
        <v>41419.020833333336</v>
      </c>
      <c r="D966" s="60">
        <v>6760</v>
      </c>
      <c r="E966" s="59" t="s">
        <v>248</v>
      </c>
    </row>
    <row r="967" spans="3:5" ht="15" x14ac:dyDescent="0.2">
      <c r="C967" s="61">
        <v>41419.03125</v>
      </c>
      <c r="D967" s="60">
        <v>6760</v>
      </c>
      <c r="E967" s="59" t="s">
        <v>248</v>
      </c>
    </row>
    <row r="968" spans="3:5" ht="15" x14ac:dyDescent="0.2">
      <c r="C968" s="61">
        <v>41419.041666666664</v>
      </c>
      <c r="D968" s="60">
        <v>6740</v>
      </c>
      <c r="E968" s="59" t="s">
        <v>437</v>
      </c>
    </row>
    <row r="969" spans="3:5" ht="15" x14ac:dyDescent="0.2">
      <c r="C969" s="61">
        <v>41419.052083333336</v>
      </c>
      <c r="D969" s="60">
        <v>6740</v>
      </c>
      <c r="E969" s="59" t="s">
        <v>437</v>
      </c>
    </row>
    <row r="970" spans="3:5" ht="15" x14ac:dyDescent="0.2">
      <c r="C970" s="61">
        <v>41419.0625</v>
      </c>
      <c r="D970" s="60">
        <v>6730</v>
      </c>
      <c r="E970" s="59" t="s">
        <v>249</v>
      </c>
    </row>
    <row r="971" spans="3:5" ht="15" x14ac:dyDescent="0.2">
      <c r="C971" s="61">
        <v>41419.072916666664</v>
      </c>
      <c r="D971" s="60">
        <v>6730</v>
      </c>
      <c r="E971" s="59" t="s">
        <v>249</v>
      </c>
    </row>
    <row r="972" spans="3:5" ht="15" x14ac:dyDescent="0.2">
      <c r="C972" s="61">
        <v>41419.083333333336</v>
      </c>
      <c r="D972" s="60">
        <v>6730</v>
      </c>
      <c r="E972" s="59" t="s">
        <v>249</v>
      </c>
    </row>
    <row r="973" spans="3:5" ht="15" x14ac:dyDescent="0.2">
      <c r="C973" s="61">
        <v>41419.09375</v>
      </c>
      <c r="D973" s="60">
        <v>6730</v>
      </c>
      <c r="E973" s="59" t="s">
        <v>249</v>
      </c>
    </row>
    <row r="974" spans="3:5" ht="15" x14ac:dyDescent="0.2">
      <c r="C974" s="61">
        <v>41419.104166666664</v>
      </c>
      <c r="D974" s="60">
        <v>6730</v>
      </c>
      <c r="E974" s="59" t="s">
        <v>249</v>
      </c>
    </row>
    <row r="975" spans="3:5" ht="15" x14ac:dyDescent="0.2">
      <c r="C975" s="61">
        <v>41419.114583333336</v>
      </c>
      <c r="D975" s="60">
        <v>6730</v>
      </c>
      <c r="E975" s="59" t="s">
        <v>249</v>
      </c>
    </row>
    <row r="976" spans="3:5" ht="15" x14ac:dyDescent="0.2">
      <c r="C976" s="61">
        <v>41419.125</v>
      </c>
      <c r="D976" s="60">
        <v>6730</v>
      </c>
      <c r="E976" s="59" t="s">
        <v>249</v>
      </c>
    </row>
    <row r="977" spans="3:5" ht="15" x14ac:dyDescent="0.2">
      <c r="C977" s="61">
        <v>41419.135416666664</v>
      </c>
      <c r="D977" s="60">
        <v>6730</v>
      </c>
      <c r="E977" s="59" t="s">
        <v>249</v>
      </c>
    </row>
    <row r="978" spans="3:5" ht="15" x14ac:dyDescent="0.2">
      <c r="C978" s="61">
        <v>41419.145833333336</v>
      </c>
      <c r="D978" s="60">
        <v>6730</v>
      </c>
      <c r="E978" s="59" t="s">
        <v>249</v>
      </c>
    </row>
    <row r="979" spans="3:5" ht="15" x14ac:dyDescent="0.2">
      <c r="C979" s="61">
        <v>41419.15625</v>
      </c>
      <c r="D979" s="60">
        <v>6730</v>
      </c>
      <c r="E979" s="59" t="s">
        <v>249</v>
      </c>
    </row>
    <row r="980" spans="3:5" ht="15" x14ac:dyDescent="0.2">
      <c r="C980" s="61">
        <v>41419.166666666664</v>
      </c>
      <c r="D980" s="60">
        <v>6730</v>
      </c>
      <c r="E980" s="59" t="s">
        <v>249</v>
      </c>
    </row>
    <row r="981" spans="3:5" ht="15" x14ac:dyDescent="0.2">
      <c r="C981" s="61">
        <v>41419.177083333336</v>
      </c>
      <c r="D981" s="60">
        <v>6710</v>
      </c>
      <c r="E981" s="59" t="s">
        <v>250</v>
      </c>
    </row>
    <row r="982" spans="3:5" ht="15" x14ac:dyDescent="0.2">
      <c r="C982" s="61">
        <v>41419.1875</v>
      </c>
      <c r="D982" s="60">
        <v>6710</v>
      </c>
      <c r="E982" s="59" t="s">
        <v>250</v>
      </c>
    </row>
    <row r="983" spans="3:5" ht="15" x14ac:dyDescent="0.2">
      <c r="C983" s="61">
        <v>41419.197916666664</v>
      </c>
      <c r="D983" s="60">
        <v>6710</v>
      </c>
      <c r="E983" s="59" t="s">
        <v>250</v>
      </c>
    </row>
    <row r="984" spans="3:5" ht="15" x14ac:dyDescent="0.2">
      <c r="C984" s="61">
        <v>41419.208333333336</v>
      </c>
      <c r="D984" s="60">
        <v>6710</v>
      </c>
      <c r="E984" s="59" t="s">
        <v>250</v>
      </c>
    </row>
    <row r="985" spans="3:5" ht="15" x14ac:dyDescent="0.2">
      <c r="C985" s="61">
        <v>41419.21875</v>
      </c>
      <c r="D985" s="60">
        <v>6710</v>
      </c>
      <c r="E985" s="59" t="s">
        <v>250</v>
      </c>
    </row>
    <row r="986" spans="3:5" ht="15" x14ac:dyDescent="0.2">
      <c r="C986" s="61">
        <v>41419.229166666664</v>
      </c>
      <c r="D986" s="60">
        <v>6710</v>
      </c>
      <c r="E986" s="59" t="s">
        <v>250</v>
      </c>
    </row>
    <row r="987" spans="3:5" ht="15" x14ac:dyDescent="0.2">
      <c r="C987" s="61">
        <v>41419.239583333336</v>
      </c>
      <c r="D987" s="60">
        <v>6710</v>
      </c>
      <c r="E987" s="59" t="s">
        <v>250</v>
      </c>
    </row>
    <row r="988" spans="3:5" ht="15" x14ac:dyDescent="0.2">
      <c r="C988" s="61">
        <v>41419.25</v>
      </c>
      <c r="D988" s="60">
        <v>6710</v>
      </c>
      <c r="E988" s="59" t="s">
        <v>250</v>
      </c>
    </row>
    <row r="989" spans="3:5" ht="15" x14ac:dyDescent="0.2">
      <c r="C989" s="61">
        <v>41419.260416666664</v>
      </c>
      <c r="D989" s="60">
        <v>6730</v>
      </c>
      <c r="E989" s="59" t="s">
        <v>249</v>
      </c>
    </row>
    <row r="990" spans="3:5" ht="15" x14ac:dyDescent="0.2">
      <c r="C990" s="61">
        <v>41419.270833333336</v>
      </c>
      <c r="D990" s="60">
        <v>6730</v>
      </c>
      <c r="E990" s="59" t="s">
        <v>249</v>
      </c>
    </row>
    <row r="991" spans="3:5" ht="15" x14ac:dyDescent="0.2">
      <c r="C991" s="61">
        <v>41419.28125</v>
      </c>
      <c r="D991" s="60">
        <v>6730</v>
      </c>
      <c r="E991" s="59" t="s">
        <v>249</v>
      </c>
    </row>
    <row r="992" spans="3:5" ht="15" x14ac:dyDescent="0.2">
      <c r="C992" s="61">
        <v>41419.291666666664</v>
      </c>
      <c r="D992" s="60">
        <v>6730</v>
      </c>
      <c r="E992" s="59" t="s">
        <v>249</v>
      </c>
    </row>
    <row r="993" spans="3:5" ht="15" x14ac:dyDescent="0.2">
      <c r="C993" s="61">
        <v>41419.302083333336</v>
      </c>
      <c r="D993" s="60">
        <v>6730</v>
      </c>
      <c r="E993" s="59" t="s">
        <v>249</v>
      </c>
    </row>
    <row r="994" spans="3:5" ht="15" x14ac:dyDescent="0.2">
      <c r="C994" s="61">
        <v>41419.3125</v>
      </c>
      <c r="D994" s="60">
        <v>6730</v>
      </c>
      <c r="E994" s="59" t="s">
        <v>249</v>
      </c>
    </row>
    <row r="995" spans="3:5" ht="15" x14ac:dyDescent="0.2">
      <c r="C995" s="61">
        <v>41419.322916666664</v>
      </c>
      <c r="D995" s="60">
        <v>6730</v>
      </c>
      <c r="E995" s="59" t="s">
        <v>249</v>
      </c>
    </row>
    <row r="996" spans="3:5" ht="15" x14ac:dyDescent="0.2">
      <c r="C996" s="61">
        <v>41419.333333333336</v>
      </c>
      <c r="D996" s="60">
        <v>6730</v>
      </c>
      <c r="E996" s="59" t="s">
        <v>249</v>
      </c>
    </row>
    <row r="997" spans="3:5" ht="15" x14ac:dyDescent="0.2">
      <c r="C997" s="61">
        <v>41419.34375</v>
      </c>
      <c r="D997" s="60">
        <v>6730</v>
      </c>
      <c r="E997" s="59" t="s">
        <v>249</v>
      </c>
    </row>
    <row r="998" spans="3:5" ht="15" x14ac:dyDescent="0.2">
      <c r="C998" s="61">
        <v>41419.354166666664</v>
      </c>
      <c r="D998" s="60">
        <v>6730</v>
      </c>
      <c r="E998" s="59" t="s">
        <v>249</v>
      </c>
    </row>
    <row r="999" spans="3:5" ht="15" x14ac:dyDescent="0.2">
      <c r="C999" s="61">
        <v>41419.364583333336</v>
      </c>
      <c r="D999" s="60">
        <v>6730</v>
      </c>
      <c r="E999" s="59" t="s">
        <v>249</v>
      </c>
    </row>
    <row r="1000" spans="3:5" ht="15" x14ac:dyDescent="0.2">
      <c r="C1000" s="61">
        <v>41419.375</v>
      </c>
      <c r="D1000" s="60">
        <v>6730</v>
      </c>
      <c r="E1000" s="59" t="s">
        <v>249</v>
      </c>
    </row>
    <row r="1001" spans="3:5" ht="15" x14ac:dyDescent="0.2">
      <c r="C1001" s="61">
        <v>41419.385416666664</v>
      </c>
      <c r="D1001" s="60">
        <v>6730</v>
      </c>
      <c r="E1001" s="59" t="s">
        <v>249</v>
      </c>
    </row>
    <row r="1002" spans="3:5" ht="15" x14ac:dyDescent="0.2">
      <c r="C1002" s="61">
        <v>41419.395833333336</v>
      </c>
      <c r="D1002" s="60">
        <v>6730</v>
      </c>
      <c r="E1002" s="59" t="s">
        <v>249</v>
      </c>
    </row>
    <row r="1003" spans="3:5" ht="15" x14ac:dyDescent="0.2">
      <c r="C1003" s="61">
        <v>41419.40625</v>
      </c>
      <c r="D1003" s="60">
        <v>6730</v>
      </c>
      <c r="E1003" s="59" t="s">
        <v>249</v>
      </c>
    </row>
    <row r="1004" spans="3:5" ht="15" x14ac:dyDescent="0.2">
      <c r="C1004" s="61">
        <v>41419.416666666664</v>
      </c>
      <c r="D1004" s="60">
        <v>6740</v>
      </c>
      <c r="E1004" s="59" t="s">
        <v>437</v>
      </c>
    </row>
    <row r="1005" spans="3:5" ht="15" x14ac:dyDescent="0.2">
      <c r="C1005" s="61">
        <v>41419.427083333336</v>
      </c>
      <c r="D1005" s="60">
        <v>6740</v>
      </c>
      <c r="E1005" s="59" t="s">
        <v>437</v>
      </c>
    </row>
    <row r="1006" spans="3:5" ht="15" x14ac:dyDescent="0.2">
      <c r="C1006" s="61">
        <v>41419.4375</v>
      </c>
      <c r="D1006" s="60">
        <v>6740</v>
      </c>
      <c r="E1006" s="59" t="s">
        <v>437</v>
      </c>
    </row>
    <row r="1007" spans="3:5" ht="15" x14ac:dyDescent="0.2">
      <c r="C1007" s="61">
        <v>41419.447916666664</v>
      </c>
      <c r="D1007" s="60">
        <v>6740</v>
      </c>
      <c r="E1007" s="59" t="s">
        <v>437</v>
      </c>
    </row>
    <row r="1008" spans="3:5" ht="15" x14ac:dyDescent="0.2">
      <c r="C1008" s="61">
        <v>41419.458333333336</v>
      </c>
      <c r="D1008" s="60">
        <v>6740</v>
      </c>
      <c r="E1008" s="59" t="s">
        <v>437</v>
      </c>
    </row>
    <row r="1009" spans="3:5" ht="15" x14ac:dyDescent="0.2">
      <c r="C1009" s="61">
        <v>41419.46875</v>
      </c>
      <c r="D1009" s="60">
        <v>6740</v>
      </c>
      <c r="E1009" s="59" t="s">
        <v>437</v>
      </c>
    </row>
    <row r="1010" spans="3:5" ht="15" x14ac:dyDescent="0.2">
      <c r="C1010" s="61">
        <v>41419.479166666664</v>
      </c>
      <c r="D1010" s="60">
        <v>6740</v>
      </c>
      <c r="E1010" s="59" t="s">
        <v>437</v>
      </c>
    </row>
    <row r="1011" spans="3:5" ht="15" x14ac:dyDescent="0.2">
      <c r="C1011" s="61">
        <v>41419.489583333336</v>
      </c>
      <c r="D1011" s="60">
        <v>6740</v>
      </c>
      <c r="E1011" s="59" t="s">
        <v>437</v>
      </c>
    </row>
    <row r="1012" spans="3:5" ht="15" x14ac:dyDescent="0.2">
      <c r="C1012" s="61">
        <v>41419.5</v>
      </c>
      <c r="D1012" s="60">
        <v>6760</v>
      </c>
      <c r="E1012" s="59" t="s">
        <v>248</v>
      </c>
    </row>
    <row r="1013" spans="3:5" ht="15" x14ac:dyDescent="0.2">
      <c r="C1013" s="61">
        <v>41419.510416666664</v>
      </c>
      <c r="D1013" s="60">
        <v>6760</v>
      </c>
      <c r="E1013" s="59" t="s">
        <v>248</v>
      </c>
    </row>
    <row r="1014" spans="3:5" ht="15" x14ac:dyDescent="0.2">
      <c r="C1014" s="61">
        <v>41419.520833333336</v>
      </c>
      <c r="D1014" s="60">
        <v>6760</v>
      </c>
      <c r="E1014" s="59" t="s">
        <v>248</v>
      </c>
    </row>
    <row r="1015" spans="3:5" ht="15" x14ac:dyDescent="0.2">
      <c r="C1015" s="61">
        <v>41419.53125</v>
      </c>
      <c r="D1015" s="60">
        <v>6760</v>
      </c>
      <c r="E1015" s="59" t="s">
        <v>248</v>
      </c>
    </row>
    <row r="1016" spans="3:5" ht="15" x14ac:dyDescent="0.2">
      <c r="C1016" s="61">
        <v>41419.541666666664</v>
      </c>
      <c r="D1016" s="60">
        <v>6760</v>
      </c>
      <c r="E1016" s="59" t="s">
        <v>248</v>
      </c>
    </row>
    <row r="1017" spans="3:5" ht="15" x14ac:dyDescent="0.2">
      <c r="C1017" s="61">
        <v>41419.552083333336</v>
      </c>
      <c r="D1017" s="60">
        <v>6760</v>
      </c>
      <c r="E1017" s="59" t="s">
        <v>248</v>
      </c>
    </row>
    <row r="1018" spans="3:5" ht="15" x14ac:dyDescent="0.2">
      <c r="C1018" s="61">
        <v>41419.5625</v>
      </c>
      <c r="D1018" s="60">
        <v>6760</v>
      </c>
      <c r="E1018" s="59" t="s">
        <v>248</v>
      </c>
    </row>
    <row r="1019" spans="3:5" ht="15" x14ac:dyDescent="0.2">
      <c r="C1019" s="61">
        <v>41419.572916666664</v>
      </c>
      <c r="D1019" s="60">
        <v>6760</v>
      </c>
      <c r="E1019" s="59" t="s">
        <v>248</v>
      </c>
    </row>
    <row r="1020" spans="3:5" ht="15" x14ac:dyDescent="0.2">
      <c r="C1020" s="61">
        <v>41419.583333333336</v>
      </c>
      <c r="D1020" s="60">
        <v>6760</v>
      </c>
      <c r="E1020" s="59" t="s">
        <v>248</v>
      </c>
    </row>
    <row r="1021" spans="3:5" ht="15" x14ac:dyDescent="0.2">
      <c r="C1021" s="61">
        <v>41419.59375</v>
      </c>
      <c r="D1021" s="60">
        <v>6760</v>
      </c>
      <c r="E1021" s="59" t="s">
        <v>248</v>
      </c>
    </row>
    <row r="1022" spans="3:5" ht="15" x14ac:dyDescent="0.2">
      <c r="C1022" s="61">
        <v>41419.604166666664</v>
      </c>
      <c r="D1022" s="60">
        <v>6760</v>
      </c>
      <c r="E1022" s="59" t="s">
        <v>248</v>
      </c>
    </row>
    <row r="1023" spans="3:5" ht="15" x14ac:dyDescent="0.2">
      <c r="C1023" s="61">
        <v>41419.614583333336</v>
      </c>
      <c r="D1023" s="60">
        <v>6760</v>
      </c>
      <c r="E1023" s="59" t="s">
        <v>248</v>
      </c>
    </row>
    <row r="1024" spans="3:5" ht="15" x14ac:dyDescent="0.2">
      <c r="C1024" s="61">
        <v>41419.625</v>
      </c>
      <c r="D1024" s="60">
        <v>6760</v>
      </c>
      <c r="E1024" s="59" t="s">
        <v>248</v>
      </c>
    </row>
    <row r="1025" spans="3:5" ht="15" x14ac:dyDescent="0.2">
      <c r="C1025" s="61">
        <v>41419.635416666664</v>
      </c>
      <c r="D1025" s="60">
        <v>6760</v>
      </c>
      <c r="E1025" s="59" t="s">
        <v>248</v>
      </c>
    </row>
    <row r="1026" spans="3:5" ht="15" x14ac:dyDescent="0.2">
      <c r="C1026" s="61">
        <v>41419.645833333336</v>
      </c>
      <c r="D1026" s="60">
        <v>6760</v>
      </c>
      <c r="E1026" s="59" t="s">
        <v>248</v>
      </c>
    </row>
    <row r="1027" spans="3:5" ht="15" x14ac:dyDescent="0.2">
      <c r="C1027" s="61">
        <v>41419.65625</v>
      </c>
      <c r="D1027" s="60">
        <v>6760</v>
      </c>
      <c r="E1027" s="59" t="s">
        <v>248</v>
      </c>
    </row>
    <row r="1028" spans="3:5" ht="15" x14ac:dyDescent="0.2">
      <c r="C1028" s="61">
        <v>41419.666666666664</v>
      </c>
      <c r="D1028" s="60">
        <v>6740</v>
      </c>
      <c r="E1028" s="59" t="s">
        <v>437</v>
      </c>
    </row>
    <row r="1029" spans="3:5" ht="15" x14ac:dyDescent="0.2">
      <c r="C1029" s="61">
        <v>41419.677083333336</v>
      </c>
      <c r="D1029" s="60">
        <v>6740</v>
      </c>
      <c r="E1029" s="59" t="s">
        <v>437</v>
      </c>
    </row>
    <row r="1030" spans="3:5" ht="15" x14ac:dyDescent="0.2">
      <c r="C1030" s="61">
        <v>41419.6875</v>
      </c>
      <c r="D1030" s="60">
        <v>6740</v>
      </c>
      <c r="E1030" s="59" t="s">
        <v>437</v>
      </c>
    </row>
    <row r="1031" spans="3:5" ht="15" x14ac:dyDescent="0.2">
      <c r="C1031" s="61">
        <v>41419.697916666664</v>
      </c>
      <c r="D1031" s="60">
        <v>6730</v>
      </c>
      <c r="E1031" s="59" t="s">
        <v>249</v>
      </c>
    </row>
    <row r="1032" spans="3:5" ht="15" x14ac:dyDescent="0.2">
      <c r="C1032" s="61">
        <v>41419.708333333336</v>
      </c>
      <c r="D1032" s="60">
        <v>6730</v>
      </c>
      <c r="E1032" s="59" t="s">
        <v>249</v>
      </c>
    </row>
    <row r="1033" spans="3:5" ht="15" x14ac:dyDescent="0.2">
      <c r="C1033" s="61">
        <v>41419.71875</v>
      </c>
      <c r="D1033" s="60">
        <v>6730</v>
      </c>
      <c r="E1033" s="59" t="s">
        <v>249</v>
      </c>
    </row>
    <row r="1034" spans="3:5" ht="15" x14ac:dyDescent="0.2">
      <c r="C1034" s="61">
        <v>41419.729166666664</v>
      </c>
      <c r="D1034" s="60">
        <v>6730</v>
      </c>
      <c r="E1034" s="59" t="s">
        <v>249</v>
      </c>
    </row>
    <row r="1035" spans="3:5" ht="15" x14ac:dyDescent="0.2">
      <c r="C1035" s="61">
        <v>41419.739583333336</v>
      </c>
      <c r="D1035" s="60">
        <v>6710</v>
      </c>
      <c r="E1035" s="59" t="s">
        <v>250</v>
      </c>
    </row>
    <row r="1036" spans="3:5" ht="15" x14ac:dyDescent="0.2">
      <c r="C1036" s="61">
        <v>41419.75</v>
      </c>
      <c r="D1036" s="60">
        <v>6710</v>
      </c>
      <c r="E1036" s="59" t="s">
        <v>250</v>
      </c>
    </row>
    <row r="1037" spans="3:5" ht="15" x14ac:dyDescent="0.2">
      <c r="C1037" s="61">
        <v>41419.760416666664</v>
      </c>
      <c r="D1037" s="60">
        <v>6690</v>
      </c>
      <c r="E1037" s="59" t="s">
        <v>436</v>
      </c>
    </row>
    <row r="1038" spans="3:5" ht="15" x14ac:dyDescent="0.2">
      <c r="C1038" s="61">
        <v>41419.770833333336</v>
      </c>
      <c r="D1038" s="60">
        <v>6690</v>
      </c>
      <c r="E1038" s="59" t="s">
        <v>436</v>
      </c>
    </row>
    <row r="1039" spans="3:5" ht="15" x14ac:dyDescent="0.2">
      <c r="C1039" s="61">
        <v>41419.78125</v>
      </c>
      <c r="D1039" s="60">
        <v>6690</v>
      </c>
      <c r="E1039" s="59" t="s">
        <v>436</v>
      </c>
    </row>
    <row r="1040" spans="3:5" ht="15" x14ac:dyDescent="0.2">
      <c r="C1040" s="61">
        <v>41419.791666666664</v>
      </c>
      <c r="D1040" s="60">
        <v>6690</v>
      </c>
      <c r="E1040" s="59" t="s">
        <v>436</v>
      </c>
    </row>
    <row r="1041" spans="3:5" ht="15" x14ac:dyDescent="0.2">
      <c r="C1041" s="61">
        <v>41419.802083333336</v>
      </c>
      <c r="D1041" s="60">
        <v>6690</v>
      </c>
      <c r="E1041" s="59" t="s">
        <v>436</v>
      </c>
    </row>
    <row r="1042" spans="3:5" ht="15" x14ac:dyDescent="0.2">
      <c r="C1042" s="61">
        <v>41419.8125</v>
      </c>
      <c r="D1042" s="60">
        <v>6680</v>
      </c>
      <c r="E1042" s="59" t="s">
        <v>251</v>
      </c>
    </row>
    <row r="1043" spans="3:5" ht="15" x14ac:dyDescent="0.2">
      <c r="C1043" s="61">
        <v>41419.822916666664</v>
      </c>
      <c r="D1043" s="60">
        <v>6680</v>
      </c>
      <c r="E1043" s="59" t="s">
        <v>251</v>
      </c>
    </row>
    <row r="1044" spans="3:5" ht="15" x14ac:dyDescent="0.2">
      <c r="C1044" s="61">
        <v>41419.833333333336</v>
      </c>
      <c r="D1044" s="60">
        <v>6680</v>
      </c>
      <c r="E1044" s="59" t="s">
        <v>251</v>
      </c>
    </row>
    <row r="1045" spans="3:5" ht="15" x14ac:dyDescent="0.2">
      <c r="C1045" s="61">
        <v>41419.84375</v>
      </c>
      <c r="D1045" s="60">
        <v>6660</v>
      </c>
      <c r="E1045" s="59" t="s">
        <v>252</v>
      </c>
    </row>
    <row r="1046" spans="3:5" ht="15" x14ac:dyDescent="0.2">
      <c r="C1046" s="61">
        <v>41419.854166666664</v>
      </c>
      <c r="D1046" s="60">
        <v>6660</v>
      </c>
      <c r="E1046" s="59" t="s">
        <v>252</v>
      </c>
    </row>
    <row r="1047" spans="3:5" ht="15" x14ac:dyDescent="0.2">
      <c r="C1047" s="61">
        <v>41419.864583333336</v>
      </c>
      <c r="D1047" s="60">
        <v>6660</v>
      </c>
      <c r="E1047" s="59" t="s">
        <v>252</v>
      </c>
    </row>
    <row r="1048" spans="3:5" ht="15" x14ac:dyDescent="0.2">
      <c r="C1048" s="61">
        <v>41419.875</v>
      </c>
      <c r="D1048" s="60">
        <v>6640</v>
      </c>
      <c r="E1048" s="59" t="s">
        <v>435</v>
      </c>
    </row>
    <row r="1049" spans="3:5" ht="15" x14ac:dyDescent="0.2">
      <c r="C1049" s="61">
        <v>41419.885416666664</v>
      </c>
      <c r="D1049" s="60">
        <v>6640</v>
      </c>
      <c r="E1049" s="59" t="s">
        <v>435</v>
      </c>
    </row>
    <row r="1050" spans="3:5" ht="15" x14ac:dyDescent="0.2">
      <c r="C1050" s="61">
        <v>41419.895833333336</v>
      </c>
      <c r="D1050" s="60">
        <v>6640</v>
      </c>
      <c r="E1050" s="59" t="s">
        <v>435</v>
      </c>
    </row>
    <row r="1051" spans="3:5" ht="15" x14ac:dyDescent="0.2">
      <c r="C1051" s="61">
        <v>41419.90625</v>
      </c>
      <c r="D1051" s="60">
        <v>6630</v>
      </c>
      <c r="E1051" s="59" t="s">
        <v>253</v>
      </c>
    </row>
    <row r="1052" spans="3:5" ht="15" x14ac:dyDescent="0.2">
      <c r="C1052" s="61">
        <v>41419.916666666664</v>
      </c>
      <c r="D1052" s="60">
        <v>6630</v>
      </c>
      <c r="E1052" s="59" t="s">
        <v>253</v>
      </c>
    </row>
    <row r="1053" spans="3:5" ht="15" x14ac:dyDescent="0.2">
      <c r="C1053" s="61">
        <v>41419.927083333336</v>
      </c>
      <c r="D1053" s="60">
        <v>6630</v>
      </c>
      <c r="E1053" s="59" t="s">
        <v>253</v>
      </c>
    </row>
    <row r="1054" spans="3:5" ht="15" x14ac:dyDescent="0.2">
      <c r="C1054" s="61">
        <v>41419.9375</v>
      </c>
      <c r="D1054" s="60">
        <v>6610</v>
      </c>
      <c r="E1054" s="59" t="s">
        <v>254</v>
      </c>
    </row>
    <row r="1055" spans="3:5" ht="15" x14ac:dyDescent="0.2">
      <c r="C1055" s="61">
        <v>41419.947916666664</v>
      </c>
      <c r="D1055" s="60">
        <v>6610</v>
      </c>
      <c r="E1055" s="59" t="s">
        <v>254</v>
      </c>
    </row>
    <row r="1056" spans="3:5" ht="15" x14ac:dyDescent="0.2">
      <c r="C1056" s="61">
        <v>41419.958333333336</v>
      </c>
      <c r="D1056" s="60">
        <v>6590</v>
      </c>
      <c r="E1056" s="59" t="s">
        <v>434</v>
      </c>
    </row>
    <row r="1057" spans="3:5" ht="15" x14ac:dyDescent="0.2">
      <c r="C1057" s="61">
        <v>41419.96875</v>
      </c>
      <c r="D1057" s="60">
        <v>6590</v>
      </c>
      <c r="E1057" s="59" t="s">
        <v>434</v>
      </c>
    </row>
    <row r="1058" spans="3:5" ht="15" x14ac:dyDescent="0.2">
      <c r="C1058" s="61">
        <v>41419.979166666664</v>
      </c>
      <c r="D1058" s="60">
        <v>6580</v>
      </c>
      <c r="E1058" s="59" t="s">
        <v>255</v>
      </c>
    </row>
    <row r="1059" spans="3:5" ht="15" x14ac:dyDescent="0.2">
      <c r="C1059" s="61">
        <v>41419.989583333336</v>
      </c>
      <c r="D1059" s="60">
        <v>6560</v>
      </c>
      <c r="E1059" s="59" t="s">
        <v>256</v>
      </c>
    </row>
    <row r="1060" spans="3:5" ht="15" x14ac:dyDescent="0.2">
      <c r="C1060" s="61">
        <v>41420</v>
      </c>
      <c r="D1060" s="60">
        <v>6560</v>
      </c>
      <c r="E1060" s="59" t="s">
        <v>256</v>
      </c>
    </row>
    <row r="1061" spans="3:5" ht="15" x14ac:dyDescent="0.2">
      <c r="C1061" s="61">
        <v>41420.010416666664</v>
      </c>
      <c r="D1061" s="60">
        <v>6540</v>
      </c>
      <c r="E1061" s="59" t="s">
        <v>433</v>
      </c>
    </row>
    <row r="1062" spans="3:5" ht="15" x14ac:dyDescent="0.2">
      <c r="C1062" s="61">
        <v>41420.020833333336</v>
      </c>
      <c r="D1062" s="60">
        <v>6540</v>
      </c>
      <c r="E1062" s="59" t="s">
        <v>433</v>
      </c>
    </row>
    <row r="1063" spans="3:5" ht="15" x14ac:dyDescent="0.2">
      <c r="C1063" s="61">
        <v>41420.03125</v>
      </c>
      <c r="D1063" s="60">
        <v>6530</v>
      </c>
      <c r="E1063" s="59" t="s">
        <v>257</v>
      </c>
    </row>
    <row r="1064" spans="3:5" ht="15" x14ac:dyDescent="0.2">
      <c r="C1064" s="61">
        <v>41420.041666666664</v>
      </c>
      <c r="D1064" s="60">
        <v>6530</v>
      </c>
      <c r="E1064" s="59" t="s">
        <v>257</v>
      </c>
    </row>
    <row r="1065" spans="3:5" ht="15" x14ac:dyDescent="0.2">
      <c r="C1065" s="61">
        <v>41420.052083333336</v>
      </c>
      <c r="D1065" s="60">
        <v>6510</v>
      </c>
      <c r="E1065" s="59" t="s">
        <v>432</v>
      </c>
    </row>
    <row r="1066" spans="3:5" ht="15" x14ac:dyDescent="0.2">
      <c r="C1066" s="61">
        <v>41420.0625</v>
      </c>
      <c r="D1066" s="60">
        <v>6500</v>
      </c>
      <c r="E1066" s="59" t="s">
        <v>258</v>
      </c>
    </row>
    <row r="1067" spans="3:5" ht="15" x14ac:dyDescent="0.2">
      <c r="C1067" s="61">
        <v>41420.072916666664</v>
      </c>
      <c r="D1067" s="60">
        <v>6500</v>
      </c>
      <c r="E1067" s="59" t="s">
        <v>258</v>
      </c>
    </row>
    <row r="1068" spans="3:5" ht="15" x14ac:dyDescent="0.2">
      <c r="C1068" s="61">
        <v>41420.083333333336</v>
      </c>
      <c r="D1068" s="60">
        <v>6480</v>
      </c>
      <c r="E1068" s="59" t="s">
        <v>259</v>
      </c>
    </row>
    <row r="1069" spans="3:5" ht="15" x14ac:dyDescent="0.2">
      <c r="C1069" s="61">
        <v>41420.09375</v>
      </c>
      <c r="D1069" s="60">
        <v>6460</v>
      </c>
      <c r="E1069" s="59" t="s">
        <v>260</v>
      </c>
    </row>
    <row r="1070" spans="3:5" ht="15" x14ac:dyDescent="0.2">
      <c r="C1070" s="61">
        <v>41420.104166666664</v>
      </c>
      <c r="D1070" s="60">
        <v>6460</v>
      </c>
      <c r="E1070" s="59" t="s">
        <v>260</v>
      </c>
    </row>
    <row r="1071" spans="3:5" ht="15" x14ac:dyDescent="0.2">
      <c r="C1071" s="61">
        <v>41420.114583333336</v>
      </c>
      <c r="D1071" s="60">
        <v>6450</v>
      </c>
      <c r="E1071" s="59" t="s">
        <v>431</v>
      </c>
    </row>
    <row r="1072" spans="3:5" ht="15" x14ac:dyDescent="0.2">
      <c r="C1072" s="61">
        <v>41420.125</v>
      </c>
      <c r="D1072" s="60">
        <v>6450</v>
      </c>
      <c r="E1072" s="59" t="s">
        <v>431</v>
      </c>
    </row>
    <row r="1073" spans="3:5" ht="15" x14ac:dyDescent="0.2">
      <c r="C1073" s="61">
        <v>41420.135416666664</v>
      </c>
      <c r="D1073" s="60">
        <v>6430</v>
      </c>
      <c r="E1073" s="59" t="s">
        <v>261</v>
      </c>
    </row>
    <row r="1074" spans="3:5" ht="15" x14ac:dyDescent="0.2">
      <c r="C1074" s="61">
        <v>41420.145833333336</v>
      </c>
      <c r="D1074" s="60">
        <v>6430</v>
      </c>
      <c r="E1074" s="59" t="s">
        <v>261</v>
      </c>
    </row>
    <row r="1075" spans="3:5" ht="15" x14ac:dyDescent="0.2">
      <c r="C1075" s="61">
        <v>41420.15625</v>
      </c>
      <c r="D1075" s="60">
        <v>6410</v>
      </c>
      <c r="E1075" s="59" t="s">
        <v>262</v>
      </c>
    </row>
    <row r="1076" spans="3:5" ht="15" x14ac:dyDescent="0.2">
      <c r="C1076" s="61">
        <v>41420.166666666664</v>
      </c>
      <c r="D1076" s="60">
        <v>6410</v>
      </c>
      <c r="E1076" s="59" t="s">
        <v>262</v>
      </c>
    </row>
    <row r="1077" spans="3:5" ht="15" x14ac:dyDescent="0.2">
      <c r="C1077" s="61">
        <v>41420.177083333336</v>
      </c>
      <c r="D1077" s="60">
        <v>6400</v>
      </c>
      <c r="E1077" s="59" t="s">
        <v>263</v>
      </c>
    </row>
    <row r="1078" spans="3:5" ht="15" x14ac:dyDescent="0.2">
      <c r="C1078" s="61">
        <v>41420.1875</v>
      </c>
      <c r="D1078" s="60">
        <v>6400</v>
      </c>
      <c r="E1078" s="59" t="s">
        <v>263</v>
      </c>
    </row>
    <row r="1079" spans="3:5" ht="15" x14ac:dyDescent="0.2">
      <c r="C1079" s="61">
        <v>41420.197916666664</v>
      </c>
      <c r="D1079" s="60">
        <v>6380</v>
      </c>
      <c r="E1079" s="59" t="s">
        <v>264</v>
      </c>
    </row>
    <row r="1080" spans="3:5" ht="15" x14ac:dyDescent="0.2">
      <c r="C1080" s="61">
        <v>41420.208333333336</v>
      </c>
      <c r="D1080" s="60">
        <v>6380</v>
      </c>
      <c r="E1080" s="59" t="s">
        <v>264</v>
      </c>
    </row>
    <row r="1081" spans="3:5" ht="15" x14ac:dyDescent="0.2">
      <c r="C1081" s="61">
        <v>41420.21875</v>
      </c>
      <c r="D1081" s="60">
        <v>6360</v>
      </c>
      <c r="E1081" s="59" t="s">
        <v>265</v>
      </c>
    </row>
    <row r="1082" spans="3:5" ht="15" x14ac:dyDescent="0.2">
      <c r="C1082" s="61">
        <v>41420.229166666664</v>
      </c>
      <c r="D1082" s="60">
        <v>6360</v>
      </c>
      <c r="E1082" s="59" t="s">
        <v>265</v>
      </c>
    </row>
    <row r="1083" spans="3:5" ht="15" x14ac:dyDescent="0.2">
      <c r="C1083" s="61">
        <v>41420.239583333336</v>
      </c>
      <c r="D1083" s="60">
        <v>6360</v>
      </c>
      <c r="E1083" s="59" t="s">
        <v>265</v>
      </c>
    </row>
    <row r="1084" spans="3:5" ht="15" x14ac:dyDescent="0.2">
      <c r="C1084" s="61">
        <v>41420.25</v>
      </c>
      <c r="D1084" s="60">
        <v>6350</v>
      </c>
      <c r="E1084" s="59" t="s">
        <v>266</v>
      </c>
    </row>
    <row r="1085" spans="3:5" ht="15" x14ac:dyDescent="0.2">
      <c r="C1085" s="61">
        <v>41420.260416666664</v>
      </c>
      <c r="D1085" s="60">
        <v>6350</v>
      </c>
      <c r="E1085" s="59" t="s">
        <v>266</v>
      </c>
    </row>
    <row r="1086" spans="3:5" ht="15" x14ac:dyDescent="0.2">
      <c r="C1086" s="61">
        <v>41420.270833333336</v>
      </c>
      <c r="D1086" s="60">
        <v>6330</v>
      </c>
      <c r="E1086" s="59" t="s">
        <v>267</v>
      </c>
    </row>
    <row r="1087" spans="3:5" ht="15" x14ac:dyDescent="0.2">
      <c r="C1087" s="61">
        <v>41420.28125</v>
      </c>
      <c r="D1087" s="60">
        <v>6330</v>
      </c>
      <c r="E1087" s="59" t="s">
        <v>267</v>
      </c>
    </row>
    <row r="1088" spans="3:5" ht="15" x14ac:dyDescent="0.2">
      <c r="C1088" s="61">
        <v>41420.291666666664</v>
      </c>
      <c r="D1088" s="60">
        <v>6330</v>
      </c>
      <c r="E1088" s="59" t="s">
        <v>267</v>
      </c>
    </row>
    <row r="1089" spans="3:5" ht="15" x14ac:dyDescent="0.2">
      <c r="C1089" s="61">
        <v>41420.302083333336</v>
      </c>
      <c r="D1089" s="60">
        <v>6310</v>
      </c>
      <c r="E1089" s="59" t="s">
        <v>441</v>
      </c>
    </row>
    <row r="1090" spans="3:5" ht="15" x14ac:dyDescent="0.2">
      <c r="C1090" s="61">
        <v>41420.3125</v>
      </c>
      <c r="D1090" s="60">
        <v>6310</v>
      </c>
      <c r="E1090" s="59" t="s">
        <v>441</v>
      </c>
    </row>
    <row r="1091" spans="3:5" ht="15" x14ac:dyDescent="0.2">
      <c r="C1091" s="61">
        <v>41420.322916666664</v>
      </c>
      <c r="D1091" s="60">
        <v>6300</v>
      </c>
      <c r="E1091" s="59" t="s">
        <v>268</v>
      </c>
    </row>
    <row r="1092" spans="3:5" ht="15" x14ac:dyDescent="0.2">
      <c r="C1092" s="61">
        <v>41420.333333333336</v>
      </c>
      <c r="D1092" s="60">
        <v>6300</v>
      </c>
      <c r="E1092" s="59" t="s">
        <v>268</v>
      </c>
    </row>
    <row r="1093" spans="3:5" ht="15" x14ac:dyDescent="0.2">
      <c r="C1093" s="61">
        <v>41420.34375</v>
      </c>
      <c r="D1093" s="60">
        <v>6300</v>
      </c>
      <c r="E1093" s="59" t="s">
        <v>268</v>
      </c>
    </row>
    <row r="1094" spans="3:5" ht="15" x14ac:dyDescent="0.2">
      <c r="C1094" s="61">
        <v>41420.354166666664</v>
      </c>
      <c r="D1094" s="60">
        <v>6300</v>
      </c>
      <c r="E1094" s="59" t="s">
        <v>268</v>
      </c>
    </row>
    <row r="1095" spans="3:5" ht="15" x14ac:dyDescent="0.2">
      <c r="C1095" s="61">
        <v>41420.364583333336</v>
      </c>
      <c r="D1095" s="60">
        <v>6280</v>
      </c>
      <c r="E1095" s="59" t="s">
        <v>269</v>
      </c>
    </row>
    <row r="1096" spans="3:5" ht="15" x14ac:dyDescent="0.2">
      <c r="C1096" s="61">
        <v>41420.375</v>
      </c>
      <c r="D1096" s="60">
        <v>6280</v>
      </c>
      <c r="E1096" s="59" t="s">
        <v>269</v>
      </c>
    </row>
    <row r="1097" spans="3:5" ht="15" x14ac:dyDescent="0.2">
      <c r="C1097" s="61">
        <v>41420.385416666664</v>
      </c>
      <c r="D1097" s="60">
        <v>6280</v>
      </c>
      <c r="E1097" s="59" t="s">
        <v>269</v>
      </c>
    </row>
    <row r="1098" spans="3:5" ht="15" x14ac:dyDescent="0.2">
      <c r="C1098" s="61">
        <v>41420.395833333336</v>
      </c>
      <c r="D1098" s="60">
        <v>6270</v>
      </c>
      <c r="E1098" s="59" t="s">
        <v>270</v>
      </c>
    </row>
    <row r="1099" spans="3:5" ht="15" x14ac:dyDescent="0.2">
      <c r="C1099" s="61">
        <v>41420.40625</v>
      </c>
      <c r="D1099" s="60">
        <v>6270</v>
      </c>
      <c r="E1099" s="59" t="s">
        <v>270</v>
      </c>
    </row>
    <row r="1100" spans="3:5" ht="15" x14ac:dyDescent="0.2">
      <c r="C1100" s="61">
        <v>41420.416666666664</v>
      </c>
      <c r="D1100" s="60">
        <v>6270</v>
      </c>
      <c r="E1100" s="59" t="s">
        <v>270</v>
      </c>
    </row>
    <row r="1101" spans="3:5" ht="15" x14ac:dyDescent="0.2">
      <c r="C1101" s="61">
        <v>41420.427083333336</v>
      </c>
      <c r="D1101" s="60">
        <v>6270</v>
      </c>
      <c r="E1101" s="59" t="s">
        <v>270</v>
      </c>
    </row>
    <row r="1102" spans="3:5" ht="15" x14ac:dyDescent="0.2">
      <c r="C1102" s="61">
        <v>41420.4375</v>
      </c>
      <c r="D1102" s="60">
        <v>6250</v>
      </c>
      <c r="E1102" s="59" t="s">
        <v>430</v>
      </c>
    </row>
    <row r="1103" spans="3:5" ht="15" x14ac:dyDescent="0.2">
      <c r="C1103" s="61">
        <v>41420.447916666664</v>
      </c>
      <c r="D1103" s="60">
        <v>6250</v>
      </c>
      <c r="E1103" s="59" t="s">
        <v>430</v>
      </c>
    </row>
    <row r="1104" spans="3:5" ht="15" x14ac:dyDescent="0.2">
      <c r="C1104" s="61">
        <v>41420.458333333336</v>
      </c>
      <c r="D1104" s="60">
        <v>6250</v>
      </c>
      <c r="E1104" s="59" t="s">
        <v>430</v>
      </c>
    </row>
    <row r="1105" spans="3:5" ht="15" x14ac:dyDescent="0.2">
      <c r="C1105" s="61">
        <v>41420.46875</v>
      </c>
      <c r="D1105" s="60">
        <v>6250</v>
      </c>
      <c r="E1105" s="59" t="s">
        <v>430</v>
      </c>
    </row>
    <row r="1106" spans="3:5" ht="15" x14ac:dyDescent="0.2">
      <c r="C1106" s="61">
        <v>41420.479166666664</v>
      </c>
      <c r="D1106" s="60">
        <v>6250</v>
      </c>
      <c r="E1106" s="59" t="s">
        <v>430</v>
      </c>
    </row>
    <row r="1107" spans="3:5" ht="15" x14ac:dyDescent="0.2">
      <c r="C1107" s="61">
        <v>41420.489583333336</v>
      </c>
      <c r="D1107" s="60">
        <v>6250</v>
      </c>
      <c r="E1107" s="59" t="s">
        <v>430</v>
      </c>
    </row>
    <row r="1108" spans="3:5" ht="15" x14ac:dyDescent="0.2">
      <c r="C1108" s="61">
        <v>41420.5</v>
      </c>
      <c r="D1108" s="60">
        <v>6250</v>
      </c>
      <c r="E1108" s="59" t="s">
        <v>430</v>
      </c>
    </row>
    <row r="1109" spans="3:5" ht="15" x14ac:dyDescent="0.2">
      <c r="C1109" s="61">
        <v>41420.510416666664</v>
      </c>
      <c r="D1109" s="60">
        <v>6230</v>
      </c>
      <c r="E1109" s="59" t="s">
        <v>271</v>
      </c>
    </row>
    <row r="1110" spans="3:5" ht="15" x14ac:dyDescent="0.2">
      <c r="C1110" s="61">
        <v>41420.520833333336</v>
      </c>
      <c r="D1110" s="60">
        <v>6230</v>
      </c>
      <c r="E1110" s="59" t="s">
        <v>271</v>
      </c>
    </row>
    <row r="1111" spans="3:5" ht="15" x14ac:dyDescent="0.2">
      <c r="C1111" s="61">
        <v>41420.53125</v>
      </c>
      <c r="D1111" s="60">
        <v>6230</v>
      </c>
      <c r="E1111" s="59" t="s">
        <v>271</v>
      </c>
    </row>
    <row r="1112" spans="3:5" ht="15" x14ac:dyDescent="0.2">
      <c r="C1112" s="61">
        <v>41420.541666666664</v>
      </c>
      <c r="D1112" s="60">
        <v>6230</v>
      </c>
      <c r="E1112" s="59" t="s">
        <v>271</v>
      </c>
    </row>
    <row r="1113" spans="3:5" ht="15" x14ac:dyDescent="0.2">
      <c r="C1113" s="61">
        <v>41420.552083333336</v>
      </c>
      <c r="D1113" s="60">
        <v>6230</v>
      </c>
      <c r="E1113" s="59" t="s">
        <v>271</v>
      </c>
    </row>
    <row r="1114" spans="3:5" ht="15" x14ac:dyDescent="0.2">
      <c r="C1114" s="61">
        <v>41420.5625</v>
      </c>
      <c r="D1114" s="60">
        <v>6220</v>
      </c>
      <c r="E1114" s="59" t="s">
        <v>272</v>
      </c>
    </row>
    <row r="1115" spans="3:5" ht="15" x14ac:dyDescent="0.2">
      <c r="C1115" s="61">
        <v>41420.572916666664</v>
      </c>
      <c r="D1115" s="60">
        <v>6220</v>
      </c>
      <c r="E1115" s="59" t="s">
        <v>272</v>
      </c>
    </row>
    <row r="1116" spans="3:5" ht="15" x14ac:dyDescent="0.2">
      <c r="C1116" s="61">
        <v>41420.583333333336</v>
      </c>
      <c r="D1116" s="60">
        <v>6220</v>
      </c>
      <c r="E1116" s="59" t="s">
        <v>272</v>
      </c>
    </row>
    <row r="1117" spans="3:5" ht="15" x14ac:dyDescent="0.2">
      <c r="C1117" s="61">
        <v>41420.59375</v>
      </c>
      <c r="D1117" s="60">
        <v>6220</v>
      </c>
      <c r="E1117" s="59" t="s">
        <v>272</v>
      </c>
    </row>
    <row r="1118" spans="3:5" ht="15" x14ac:dyDescent="0.2">
      <c r="C1118" s="61">
        <v>41420.604166666664</v>
      </c>
      <c r="D1118" s="60">
        <v>6220</v>
      </c>
      <c r="E1118" s="59" t="s">
        <v>272</v>
      </c>
    </row>
    <row r="1119" spans="3:5" ht="15" x14ac:dyDescent="0.2">
      <c r="C1119" s="61">
        <v>41420.614583333336</v>
      </c>
      <c r="D1119" s="60">
        <v>6200</v>
      </c>
      <c r="E1119" s="59" t="s">
        <v>273</v>
      </c>
    </row>
    <row r="1120" spans="3:5" ht="15" x14ac:dyDescent="0.2">
      <c r="C1120" s="61">
        <v>41420.625</v>
      </c>
      <c r="D1120" s="60">
        <v>6200</v>
      </c>
      <c r="E1120" s="59" t="s">
        <v>273</v>
      </c>
    </row>
    <row r="1121" spans="3:5" ht="15" x14ac:dyDescent="0.2">
      <c r="C1121" s="61">
        <v>41420.635416666664</v>
      </c>
      <c r="D1121" s="60">
        <v>6200</v>
      </c>
      <c r="E1121" s="59" t="s">
        <v>273</v>
      </c>
    </row>
    <row r="1122" spans="3:5" ht="15" x14ac:dyDescent="0.2">
      <c r="C1122" s="61">
        <v>41420.645833333336</v>
      </c>
      <c r="D1122" s="60">
        <v>6180</v>
      </c>
      <c r="E1122" s="59" t="s">
        <v>442</v>
      </c>
    </row>
    <row r="1123" spans="3:5" ht="15" x14ac:dyDescent="0.2">
      <c r="C1123" s="61">
        <v>41420.65625</v>
      </c>
      <c r="D1123" s="60">
        <v>6180</v>
      </c>
      <c r="E1123" s="59" t="s">
        <v>442</v>
      </c>
    </row>
    <row r="1124" spans="3:5" ht="15" x14ac:dyDescent="0.2">
      <c r="C1124" s="61">
        <v>41420.666666666664</v>
      </c>
      <c r="D1124" s="60">
        <v>6180</v>
      </c>
      <c r="E1124" s="59" t="s">
        <v>442</v>
      </c>
    </row>
    <row r="1125" spans="3:5" ht="15" x14ac:dyDescent="0.2">
      <c r="C1125" s="61">
        <v>41420.677083333336</v>
      </c>
      <c r="D1125" s="60">
        <v>6170</v>
      </c>
      <c r="E1125" s="59" t="s">
        <v>274</v>
      </c>
    </row>
    <row r="1126" spans="3:5" ht="15" x14ac:dyDescent="0.2">
      <c r="C1126" s="61">
        <v>41420.6875</v>
      </c>
      <c r="D1126" s="60">
        <v>6170</v>
      </c>
      <c r="E1126" s="59" t="s">
        <v>274</v>
      </c>
    </row>
    <row r="1127" spans="3:5" ht="15" x14ac:dyDescent="0.2">
      <c r="C1127" s="61">
        <v>41420.697916666664</v>
      </c>
      <c r="D1127" s="60">
        <v>6170</v>
      </c>
      <c r="E1127" s="59" t="s">
        <v>274</v>
      </c>
    </row>
    <row r="1128" spans="3:5" ht="15" x14ac:dyDescent="0.2">
      <c r="C1128" s="61">
        <v>41420.708333333336</v>
      </c>
      <c r="D1128" s="60">
        <v>6150</v>
      </c>
      <c r="E1128" s="59" t="s">
        <v>275</v>
      </c>
    </row>
    <row r="1129" spans="3:5" ht="15" x14ac:dyDescent="0.2">
      <c r="C1129" s="61">
        <v>41420.71875</v>
      </c>
      <c r="D1129" s="60">
        <v>6150</v>
      </c>
      <c r="E1129" s="59" t="s">
        <v>275</v>
      </c>
    </row>
    <row r="1130" spans="3:5" ht="15" x14ac:dyDescent="0.2">
      <c r="C1130" s="61">
        <v>41420.729166666664</v>
      </c>
      <c r="D1130" s="60">
        <v>6140</v>
      </c>
      <c r="E1130" s="59" t="s">
        <v>276</v>
      </c>
    </row>
    <row r="1131" spans="3:5" ht="15" x14ac:dyDescent="0.2">
      <c r="C1131" s="61">
        <v>41420.739583333336</v>
      </c>
      <c r="D1131" s="60">
        <v>6140</v>
      </c>
      <c r="E1131" s="59" t="s">
        <v>276</v>
      </c>
    </row>
    <row r="1132" spans="3:5" ht="15" x14ac:dyDescent="0.2">
      <c r="C1132" s="61">
        <v>41420.75</v>
      </c>
      <c r="D1132" s="60">
        <v>6140</v>
      </c>
      <c r="E1132" s="59" t="s">
        <v>276</v>
      </c>
    </row>
    <row r="1133" spans="3:5" ht="15" x14ac:dyDescent="0.2">
      <c r="C1133" s="61">
        <v>41420.760416666664</v>
      </c>
      <c r="D1133" s="60">
        <v>6120</v>
      </c>
      <c r="E1133" s="59" t="s">
        <v>429</v>
      </c>
    </row>
    <row r="1134" spans="3:5" ht="15" x14ac:dyDescent="0.2">
      <c r="C1134" s="61">
        <v>41420.770833333336</v>
      </c>
      <c r="D1134" s="60">
        <v>6120</v>
      </c>
      <c r="E1134" s="59" t="s">
        <v>429</v>
      </c>
    </row>
    <row r="1135" spans="3:5" ht="15" x14ac:dyDescent="0.2">
      <c r="C1135" s="61">
        <v>41420.78125</v>
      </c>
      <c r="D1135" s="60">
        <v>6100</v>
      </c>
      <c r="E1135" s="59" t="s">
        <v>277</v>
      </c>
    </row>
    <row r="1136" spans="3:5" ht="15" x14ac:dyDescent="0.2">
      <c r="C1136" s="61">
        <v>41420.791666666664</v>
      </c>
      <c r="D1136" s="60">
        <v>6100</v>
      </c>
      <c r="E1136" s="59" t="s">
        <v>277</v>
      </c>
    </row>
    <row r="1137" spans="3:5" ht="15" x14ac:dyDescent="0.2">
      <c r="C1137" s="61">
        <v>41420.802083333336</v>
      </c>
      <c r="D1137" s="60">
        <v>6090</v>
      </c>
      <c r="E1137" s="59" t="s">
        <v>278</v>
      </c>
    </row>
    <row r="1138" spans="3:5" ht="15" x14ac:dyDescent="0.2">
      <c r="C1138" s="61">
        <v>41420.8125</v>
      </c>
      <c r="D1138" s="60">
        <v>6070</v>
      </c>
      <c r="E1138" s="59" t="s">
        <v>279</v>
      </c>
    </row>
    <row r="1139" spans="3:5" ht="15" x14ac:dyDescent="0.2">
      <c r="C1139" s="61">
        <v>41420.822916666664</v>
      </c>
      <c r="D1139" s="60">
        <v>6070</v>
      </c>
      <c r="E1139" s="59" t="s">
        <v>279</v>
      </c>
    </row>
    <row r="1140" spans="3:5" ht="15" x14ac:dyDescent="0.2">
      <c r="C1140" s="61">
        <v>41420.833333333336</v>
      </c>
      <c r="D1140" s="60">
        <v>6050</v>
      </c>
      <c r="E1140" s="59" t="s">
        <v>280</v>
      </c>
    </row>
    <row r="1141" spans="3:5" ht="15" x14ac:dyDescent="0.2">
      <c r="C1141" s="61">
        <v>41420.84375</v>
      </c>
      <c r="D1141" s="60">
        <v>6050</v>
      </c>
      <c r="E1141" s="59" t="s">
        <v>280</v>
      </c>
    </row>
    <row r="1142" spans="3:5" ht="15" x14ac:dyDescent="0.2">
      <c r="C1142" s="61">
        <v>41420.854166666664</v>
      </c>
      <c r="D1142" s="60">
        <v>6040</v>
      </c>
      <c r="E1142" s="59" t="s">
        <v>281</v>
      </c>
    </row>
    <row r="1143" spans="3:5" ht="15" x14ac:dyDescent="0.2">
      <c r="C1143" s="61">
        <v>41420.864583333336</v>
      </c>
      <c r="D1143" s="60">
        <v>6040</v>
      </c>
      <c r="E1143" s="59" t="s">
        <v>281</v>
      </c>
    </row>
    <row r="1144" spans="3:5" ht="15" x14ac:dyDescent="0.2">
      <c r="C1144" s="61">
        <v>41420.875</v>
      </c>
      <c r="D1144" s="60">
        <v>6020</v>
      </c>
      <c r="E1144" s="59" t="s">
        <v>282</v>
      </c>
    </row>
    <row r="1145" spans="3:5" ht="15" x14ac:dyDescent="0.2">
      <c r="C1145" s="61">
        <v>41420.885416666664</v>
      </c>
      <c r="D1145" s="60">
        <v>6020</v>
      </c>
      <c r="E1145" s="59" t="s">
        <v>282</v>
      </c>
    </row>
    <row r="1146" spans="3:5" ht="15" x14ac:dyDescent="0.2">
      <c r="C1146" s="61">
        <v>41420.895833333336</v>
      </c>
      <c r="D1146" s="60">
        <v>6020</v>
      </c>
      <c r="E1146" s="59" t="s">
        <v>282</v>
      </c>
    </row>
    <row r="1147" spans="3:5" ht="15" x14ac:dyDescent="0.2">
      <c r="C1147" s="61">
        <v>41420.90625</v>
      </c>
      <c r="D1147" s="60">
        <v>6010</v>
      </c>
      <c r="E1147" s="59" t="s">
        <v>283</v>
      </c>
    </row>
    <row r="1148" spans="3:5" ht="15" x14ac:dyDescent="0.2">
      <c r="C1148" s="61">
        <v>41420.916666666664</v>
      </c>
      <c r="D1148" s="60">
        <v>6010</v>
      </c>
      <c r="E1148" s="59" t="s">
        <v>283</v>
      </c>
    </row>
    <row r="1149" spans="3:5" ht="15" x14ac:dyDescent="0.2">
      <c r="C1149" s="61">
        <v>41420.927083333336</v>
      </c>
      <c r="D1149" s="60">
        <v>6010</v>
      </c>
      <c r="E1149" s="59" t="s">
        <v>283</v>
      </c>
    </row>
    <row r="1150" spans="3:5" ht="15" x14ac:dyDescent="0.2">
      <c r="C1150" s="61">
        <v>41420.9375</v>
      </c>
      <c r="D1150" s="60">
        <v>5990</v>
      </c>
      <c r="E1150" s="59" t="s">
        <v>284</v>
      </c>
    </row>
    <row r="1151" spans="3:5" ht="15" x14ac:dyDescent="0.2">
      <c r="C1151" s="61">
        <v>41420.947916666664</v>
      </c>
      <c r="D1151" s="60">
        <v>5990</v>
      </c>
      <c r="E1151" s="59" t="s">
        <v>284</v>
      </c>
    </row>
    <row r="1152" spans="3:5" ht="15" x14ac:dyDescent="0.2">
      <c r="C1152" s="61">
        <v>41420.958333333336</v>
      </c>
      <c r="D1152" s="60">
        <v>5990</v>
      </c>
      <c r="E1152" s="59" t="s">
        <v>284</v>
      </c>
    </row>
    <row r="1153" spans="3:5" ht="15" x14ac:dyDescent="0.2">
      <c r="C1153" s="61">
        <v>41420.96875</v>
      </c>
      <c r="D1153" s="60">
        <v>5970</v>
      </c>
      <c r="E1153" s="59" t="s">
        <v>285</v>
      </c>
    </row>
    <row r="1154" spans="3:5" ht="15" x14ac:dyDescent="0.2">
      <c r="C1154" s="61">
        <v>41420.979166666664</v>
      </c>
      <c r="D1154" s="60">
        <v>5970</v>
      </c>
      <c r="E1154" s="59" t="s">
        <v>285</v>
      </c>
    </row>
    <row r="1155" spans="3:5" ht="15" x14ac:dyDescent="0.2">
      <c r="C1155" s="61">
        <v>41420.989583333336</v>
      </c>
      <c r="D1155" s="60">
        <v>5970</v>
      </c>
      <c r="E1155" s="59" t="s">
        <v>285</v>
      </c>
    </row>
    <row r="1156" spans="3:5" ht="15" x14ac:dyDescent="0.2">
      <c r="C1156" s="61">
        <v>41421</v>
      </c>
      <c r="D1156" s="60">
        <v>5960</v>
      </c>
      <c r="E1156" s="59" t="s">
        <v>286</v>
      </c>
    </row>
    <row r="1157" spans="3:5" ht="15" x14ac:dyDescent="0.2">
      <c r="C1157" s="61">
        <v>41421.010416666664</v>
      </c>
      <c r="D1157" s="60">
        <v>5960</v>
      </c>
      <c r="E1157" s="59" t="s">
        <v>286</v>
      </c>
    </row>
    <row r="1158" spans="3:5" ht="15" x14ac:dyDescent="0.2">
      <c r="C1158" s="61">
        <v>41421.020833333336</v>
      </c>
      <c r="D1158" s="60">
        <v>5940</v>
      </c>
      <c r="E1158" s="59" t="s">
        <v>287</v>
      </c>
    </row>
    <row r="1159" spans="3:5" ht="15" x14ac:dyDescent="0.2">
      <c r="C1159" s="61">
        <v>41421.03125</v>
      </c>
      <c r="D1159" s="60">
        <v>5940</v>
      </c>
      <c r="E1159" s="59" t="s">
        <v>287</v>
      </c>
    </row>
    <row r="1160" spans="3:5" ht="15" x14ac:dyDescent="0.2">
      <c r="C1160" s="61">
        <v>41421.041666666664</v>
      </c>
      <c r="D1160" s="60">
        <v>5930</v>
      </c>
      <c r="E1160" s="59" t="s">
        <v>288</v>
      </c>
    </row>
    <row r="1161" spans="3:5" ht="15" x14ac:dyDescent="0.2">
      <c r="C1161" s="61">
        <v>41421.052083333336</v>
      </c>
      <c r="D1161" s="60">
        <v>5930</v>
      </c>
      <c r="E1161" s="59" t="s">
        <v>288</v>
      </c>
    </row>
    <row r="1162" spans="3:5" ht="15" x14ac:dyDescent="0.2">
      <c r="C1162" s="61">
        <v>41421.0625</v>
      </c>
      <c r="D1162" s="60">
        <v>5910</v>
      </c>
      <c r="E1162" s="59" t="s">
        <v>289</v>
      </c>
    </row>
    <row r="1163" spans="3:5" ht="15" x14ac:dyDescent="0.2">
      <c r="C1163" s="61">
        <v>41421.072916666664</v>
      </c>
      <c r="D1163" s="60">
        <v>5910</v>
      </c>
      <c r="E1163" s="59" t="s">
        <v>289</v>
      </c>
    </row>
    <row r="1164" spans="3:5" ht="15" x14ac:dyDescent="0.2">
      <c r="C1164" s="61">
        <v>41421.083333333336</v>
      </c>
      <c r="D1164" s="60">
        <v>5910</v>
      </c>
      <c r="E1164" s="59" t="s">
        <v>289</v>
      </c>
    </row>
    <row r="1165" spans="3:5" ht="15" x14ac:dyDescent="0.2">
      <c r="C1165" s="61">
        <v>41421.09375</v>
      </c>
      <c r="D1165" s="60">
        <v>5890</v>
      </c>
      <c r="E1165" s="59" t="s">
        <v>290</v>
      </c>
    </row>
    <row r="1166" spans="3:5" ht="15" x14ac:dyDescent="0.2">
      <c r="C1166" s="61">
        <v>41421.104166666664</v>
      </c>
      <c r="D1166" s="60">
        <v>5890</v>
      </c>
      <c r="E1166" s="59" t="s">
        <v>290</v>
      </c>
    </row>
    <row r="1167" spans="3:5" ht="15" x14ac:dyDescent="0.2">
      <c r="C1167" s="61">
        <v>41421.114583333336</v>
      </c>
      <c r="D1167" s="60">
        <v>5880</v>
      </c>
      <c r="E1167" s="59" t="s">
        <v>291</v>
      </c>
    </row>
    <row r="1168" spans="3:5" ht="15" x14ac:dyDescent="0.2">
      <c r="C1168" s="61">
        <v>41421.125</v>
      </c>
      <c r="D1168" s="60">
        <v>5880</v>
      </c>
      <c r="E1168" s="59" t="s">
        <v>291</v>
      </c>
    </row>
    <row r="1169" spans="3:5" ht="15" x14ac:dyDescent="0.2">
      <c r="C1169" s="61">
        <v>41421.135416666664</v>
      </c>
      <c r="D1169" s="60">
        <v>5860</v>
      </c>
      <c r="E1169" s="59" t="s">
        <v>292</v>
      </c>
    </row>
    <row r="1170" spans="3:5" ht="15" x14ac:dyDescent="0.2">
      <c r="C1170" s="61">
        <v>41421.145833333336</v>
      </c>
      <c r="D1170" s="60">
        <v>5860</v>
      </c>
      <c r="E1170" s="59" t="s">
        <v>292</v>
      </c>
    </row>
    <row r="1171" spans="3:5" ht="15" x14ac:dyDescent="0.2">
      <c r="C1171" s="61">
        <v>41421.15625</v>
      </c>
      <c r="D1171" s="60">
        <v>5850</v>
      </c>
      <c r="E1171" s="59" t="s">
        <v>293</v>
      </c>
    </row>
    <row r="1172" spans="3:5" ht="15" x14ac:dyDescent="0.2">
      <c r="C1172" s="61">
        <v>41421.166666666664</v>
      </c>
      <c r="D1172" s="60">
        <v>5850</v>
      </c>
      <c r="E1172" s="59" t="s">
        <v>293</v>
      </c>
    </row>
    <row r="1173" spans="3:5" ht="15" x14ac:dyDescent="0.2">
      <c r="C1173" s="61">
        <v>41421.177083333336</v>
      </c>
      <c r="D1173" s="60">
        <v>5850</v>
      </c>
      <c r="E1173" s="59" t="s">
        <v>293</v>
      </c>
    </row>
    <row r="1174" spans="3:5" ht="15" x14ac:dyDescent="0.2">
      <c r="C1174" s="61">
        <v>41421.1875</v>
      </c>
      <c r="D1174" s="60">
        <v>5850</v>
      </c>
      <c r="E1174" s="59" t="s">
        <v>293</v>
      </c>
    </row>
    <row r="1175" spans="3:5" ht="15" x14ac:dyDescent="0.2">
      <c r="C1175" s="61">
        <v>41421.197916666664</v>
      </c>
      <c r="D1175" s="60">
        <v>5830</v>
      </c>
      <c r="E1175" s="59" t="s">
        <v>294</v>
      </c>
    </row>
    <row r="1176" spans="3:5" ht="15" x14ac:dyDescent="0.2">
      <c r="C1176" s="61">
        <v>41421.208333333336</v>
      </c>
      <c r="D1176" s="60">
        <v>5830</v>
      </c>
      <c r="E1176" s="59" t="s">
        <v>294</v>
      </c>
    </row>
    <row r="1177" spans="3:5" ht="15" x14ac:dyDescent="0.2">
      <c r="C1177" s="61">
        <v>41421.21875</v>
      </c>
      <c r="D1177" s="60">
        <v>5830</v>
      </c>
      <c r="E1177" s="59" t="s">
        <v>294</v>
      </c>
    </row>
    <row r="1178" spans="3:5" ht="15" x14ac:dyDescent="0.2">
      <c r="C1178" s="61">
        <v>41421.229166666664</v>
      </c>
      <c r="D1178" s="60">
        <v>5810</v>
      </c>
      <c r="E1178" s="59" t="s">
        <v>295</v>
      </c>
    </row>
    <row r="1179" spans="3:5" ht="15" x14ac:dyDescent="0.2">
      <c r="C1179" s="61">
        <v>41421.239583333336</v>
      </c>
      <c r="D1179" s="60">
        <v>5810</v>
      </c>
      <c r="E1179" s="59" t="s">
        <v>295</v>
      </c>
    </row>
    <row r="1180" spans="3:5" ht="15" x14ac:dyDescent="0.2">
      <c r="C1180" s="61">
        <v>41421.25</v>
      </c>
      <c r="D1180" s="60">
        <v>5810</v>
      </c>
      <c r="E1180" s="59" t="s">
        <v>295</v>
      </c>
    </row>
    <row r="1181" spans="3:5" ht="15" x14ac:dyDescent="0.2">
      <c r="C1181" s="61">
        <v>41421.260416666664</v>
      </c>
      <c r="D1181" s="60">
        <v>5800</v>
      </c>
      <c r="E1181" s="59" t="s">
        <v>296</v>
      </c>
    </row>
    <row r="1182" spans="3:5" ht="15" x14ac:dyDescent="0.2">
      <c r="C1182" s="61">
        <v>41421.270833333336</v>
      </c>
      <c r="D1182" s="60">
        <v>5800</v>
      </c>
      <c r="E1182" s="59" t="s">
        <v>296</v>
      </c>
    </row>
    <row r="1183" spans="3:5" ht="15" x14ac:dyDescent="0.2">
      <c r="C1183" s="61">
        <v>41421.28125</v>
      </c>
      <c r="D1183" s="60">
        <v>5780</v>
      </c>
      <c r="E1183" s="59" t="s">
        <v>297</v>
      </c>
    </row>
    <row r="1184" spans="3:5" ht="15" x14ac:dyDescent="0.2">
      <c r="C1184" s="61">
        <v>41421.291666666664</v>
      </c>
      <c r="D1184" s="60">
        <v>5780</v>
      </c>
      <c r="E1184" s="59" t="s">
        <v>297</v>
      </c>
    </row>
    <row r="1185" spans="3:5" ht="15" x14ac:dyDescent="0.2">
      <c r="C1185" s="61">
        <v>41421.302083333336</v>
      </c>
      <c r="D1185" s="60">
        <v>5780</v>
      </c>
      <c r="E1185" s="59" t="s">
        <v>297</v>
      </c>
    </row>
    <row r="1186" spans="3:5" ht="15" x14ac:dyDescent="0.2">
      <c r="C1186" s="61">
        <v>41421.3125</v>
      </c>
      <c r="D1186" s="60">
        <v>5770</v>
      </c>
      <c r="E1186" s="59" t="s">
        <v>298</v>
      </c>
    </row>
    <row r="1187" spans="3:5" ht="15" x14ac:dyDescent="0.2">
      <c r="C1187" s="61">
        <v>41421.322916666664</v>
      </c>
      <c r="D1187" s="60">
        <v>5770</v>
      </c>
      <c r="E1187" s="59" t="s">
        <v>298</v>
      </c>
    </row>
    <row r="1188" spans="3:5" ht="15" x14ac:dyDescent="0.2">
      <c r="C1188" s="61">
        <v>41421.333333333336</v>
      </c>
      <c r="D1188" s="60">
        <v>5770</v>
      </c>
      <c r="E1188" s="59" t="s">
        <v>298</v>
      </c>
    </row>
    <row r="1189" spans="3:5" ht="15" x14ac:dyDescent="0.2">
      <c r="C1189" s="61">
        <v>41421.34375</v>
      </c>
      <c r="D1189" s="60">
        <v>5750</v>
      </c>
      <c r="E1189" s="59" t="s">
        <v>299</v>
      </c>
    </row>
    <row r="1190" spans="3:5" ht="15" x14ac:dyDescent="0.2">
      <c r="C1190" s="61">
        <v>41421.354166666664</v>
      </c>
      <c r="D1190" s="60">
        <v>5750</v>
      </c>
      <c r="E1190" s="59" t="s">
        <v>299</v>
      </c>
    </row>
    <row r="1191" spans="3:5" ht="15" x14ac:dyDescent="0.2">
      <c r="C1191" s="61">
        <v>41421.364583333336</v>
      </c>
      <c r="D1191" s="60">
        <v>5750</v>
      </c>
      <c r="E1191" s="59" t="s">
        <v>299</v>
      </c>
    </row>
    <row r="1192" spans="3:5" ht="15" x14ac:dyDescent="0.2">
      <c r="C1192" s="61">
        <v>41421.375</v>
      </c>
      <c r="D1192" s="60">
        <v>5750</v>
      </c>
      <c r="E1192" s="59" t="s">
        <v>299</v>
      </c>
    </row>
    <row r="1193" spans="3:5" ht="15" x14ac:dyDescent="0.2">
      <c r="C1193" s="61">
        <v>41421.385416666664</v>
      </c>
      <c r="D1193" s="60">
        <v>5740</v>
      </c>
      <c r="E1193" s="59" t="s">
        <v>300</v>
      </c>
    </row>
    <row r="1194" spans="3:5" ht="15" x14ac:dyDescent="0.2">
      <c r="C1194" s="61">
        <v>41421.395833333336</v>
      </c>
      <c r="D1194" s="60">
        <v>5740</v>
      </c>
      <c r="E1194" s="59" t="s">
        <v>300</v>
      </c>
    </row>
    <row r="1195" spans="3:5" ht="15" x14ac:dyDescent="0.2">
      <c r="C1195" s="61">
        <v>41421.40625</v>
      </c>
      <c r="D1195" s="60">
        <v>5740</v>
      </c>
      <c r="E1195" s="59" t="s">
        <v>300</v>
      </c>
    </row>
    <row r="1196" spans="3:5" ht="15" x14ac:dyDescent="0.2">
      <c r="C1196" s="61">
        <v>41421.416666666664</v>
      </c>
      <c r="D1196" s="60">
        <v>5740</v>
      </c>
      <c r="E1196" s="59" t="s">
        <v>300</v>
      </c>
    </row>
    <row r="1197" spans="3:5" ht="15" x14ac:dyDescent="0.2">
      <c r="C1197" s="61">
        <v>41421.427083333336</v>
      </c>
      <c r="D1197" s="60">
        <v>5720</v>
      </c>
      <c r="E1197" s="59" t="s">
        <v>301</v>
      </c>
    </row>
    <row r="1198" spans="3:5" ht="15" x14ac:dyDescent="0.2">
      <c r="C1198" s="61">
        <v>41421.4375</v>
      </c>
      <c r="D1198" s="60">
        <v>5720</v>
      </c>
      <c r="E1198" s="59" t="s">
        <v>301</v>
      </c>
    </row>
    <row r="1199" spans="3:5" ht="15" x14ac:dyDescent="0.2">
      <c r="C1199" s="61">
        <v>41421.447916666664</v>
      </c>
      <c r="D1199" s="60">
        <v>5720</v>
      </c>
      <c r="E1199" s="59" t="s">
        <v>301</v>
      </c>
    </row>
    <row r="1200" spans="3:5" ht="15" x14ac:dyDescent="0.2">
      <c r="C1200" s="61">
        <v>41421.458333333336</v>
      </c>
      <c r="D1200" s="60">
        <v>5720</v>
      </c>
      <c r="E1200" s="59" t="s">
        <v>301</v>
      </c>
    </row>
    <row r="1201" spans="3:5" ht="15" x14ac:dyDescent="0.2">
      <c r="C1201" s="61">
        <v>41421.46875</v>
      </c>
      <c r="D1201" s="60">
        <v>5720</v>
      </c>
      <c r="E1201" s="59" t="s">
        <v>301</v>
      </c>
    </row>
    <row r="1202" spans="3:5" ht="15" x14ac:dyDescent="0.2">
      <c r="C1202" s="61">
        <v>41421.479166666664</v>
      </c>
      <c r="D1202" s="60">
        <v>5700</v>
      </c>
      <c r="E1202" s="59" t="s">
        <v>302</v>
      </c>
    </row>
    <row r="1203" spans="3:5" ht="15" x14ac:dyDescent="0.2">
      <c r="C1203" s="61">
        <v>41421.489583333336</v>
      </c>
      <c r="D1203" s="60">
        <v>5700</v>
      </c>
      <c r="E1203" s="59" t="s">
        <v>302</v>
      </c>
    </row>
    <row r="1204" spans="3:5" ht="15" x14ac:dyDescent="0.2">
      <c r="C1204" s="61">
        <v>41421.5</v>
      </c>
      <c r="D1204" s="60">
        <v>5700</v>
      </c>
      <c r="E1204" s="59" t="s">
        <v>302</v>
      </c>
    </row>
    <row r="1205" spans="3:5" ht="15" x14ac:dyDescent="0.2">
      <c r="C1205" s="61">
        <v>41421.510416666664</v>
      </c>
      <c r="D1205" s="60">
        <v>5700</v>
      </c>
      <c r="E1205" s="59" t="s">
        <v>302</v>
      </c>
    </row>
    <row r="1206" spans="3:5" ht="15" x14ac:dyDescent="0.2">
      <c r="C1206" s="61">
        <v>41421.520833333336</v>
      </c>
      <c r="D1206" s="60">
        <v>5690</v>
      </c>
      <c r="E1206" s="59" t="s">
        <v>303</v>
      </c>
    </row>
    <row r="1207" spans="3:5" ht="15" x14ac:dyDescent="0.2">
      <c r="C1207" s="61">
        <v>41421.53125</v>
      </c>
      <c r="D1207" s="60">
        <v>5690</v>
      </c>
      <c r="E1207" s="59" t="s">
        <v>303</v>
      </c>
    </row>
    <row r="1208" spans="3:5" ht="15" x14ac:dyDescent="0.2">
      <c r="C1208" s="61">
        <v>41421.541666666664</v>
      </c>
      <c r="D1208" s="60">
        <v>5690</v>
      </c>
      <c r="E1208" s="59" t="s">
        <v>303</v>
      </c>
    </row>
    <row r="1209" spans="3:5" ht="15" x14ac:dyDescent="0.2">
      <c r="C1209" s="61">
        <v>41421.552083333336</v>
      </c>
      <c r="D1209" s="60">
        <v>5690</v>
      </c>
      <c r="E1209" s="59" t="s">
        <v>303</v>
      </c>
    </row>
    <row r="1210" spans="3:5" ht="15" x14ac:dyDescent="0.2">
      <c r="C1210" s="61">
        <v>41421.5625</v>
      </c>
      <c r="D1210" s="60">
        <v>5670</v>
      </c>
      <c r="E1210" s="59" t="s">
        <v>304</v>
      </c>
    </row>
    <row r="1211" spans="3:5" ht="15" x14ac:dyDescent="0.2">
      <c r="C1211" s="61">
        <v>41421.572916666664</v>
      </c>
      <c r="D1211" s="60">
        <v>5670</v>
      </c>
      <c r="E1211" s="59" t="s">
        <v>304</v>
      </c>
    </row>
    <row r="1212" spans="3:5" ht="15" x14ac:dyDescent="0.2">
      <c r="C1212" s="61">
        <v>41421.583333333336</v>
      </c>
      <c r="D1212" s="60">
        <v>5670</v>
      </c>
      <c r="E1212" s="59" t="s">
        <v>304</v>
      </c>
    </row>
    <row r="1213" spans="3:5" ht="15" x14ac:dyDescent="0.2">
      <c r="C1213" s="61">
        <v>41421.59375</v>
      </c>
      <c r="D1213" s="60">
        <v>5670</v>
      </c>
      <c r="E1213" s="59" t="s">
        <v>304</v>
      </c>
    </row>
    <row r="1214" spans="3:5" ht="15" x14ac:dyDescent="0.2">
      <c r="C1214" s="61">
        <v>41421.604166666664</v>
      </c>
      <c r="D1214" s="60">
        <v>5670</v>
      </c>
      <c r="E1214" s="59" t="s">
        <v>304</v>
      </c>
    </row>
    <row r="1215" spans="3:5" ht="15" x14ac:dyDescent="0.2">
      <c r="C1215" s="61">
        <v>41421.614583333336</v>
      </c>
      <c r="D1215" s="60">
        <v>5670</v>
      </c>
      <c r="E1215" s="59" t="s">
        <v>304</v>
      </c>
    </row>
    <row r="1216" spans="3:5" ht="15" x14ac:dyDescent="0.2">
      <c r="C1216" s="61">
        <v>41421.625</v>
      </c>
      <c r="D1216" s="60">
        <v>5670</v>
      </c>
      <c r="E1216" s="59" t="s">
        <v>304</v>
      </c>
    </row>
    <row r="1217" spans="3:5" ht="15" x14ac:dyDescent="0.2">
      <c r="C1217" s="61">
        <v>41421.635416666664</v>
      </c>
      <c r="D1217" s="60">
        <v>5660</v>
      </c>
      <c r="E1217" s="59" t="s">
        <v>305</v>
      </c>
    </row>
    <row r="1218" spans="3:5" ht="15" x14ac:dyDescent="0.2">
      <c r="C1218" s="61">
        <v>41421.645833333336</v>
      </c>
      <c r="D1218" s="60">
        <v>5660</v>
      </c>
      <c r="E1218" s="59" t="s">
        <v>305</v>
      </c>
    </row>
    <row r="1219" spans="3:5" ht="15" x14ac:dyDescent="0.2">
      <c r="C1219" s="61">
        <v>41421.65625</v>
      </c>
      <c r="D1219" s="60">
        <v>5660</v>
      </c>
      <c r="E1219" s="59" t="s">
        <v>305</v>
      </c>
    </row>
    <row r="1220" spans="3:5" ht="15" x14ac:dyDescent="0.2">
      <c r="C1220" s="61">
        <v>41421.666666666664</v>
      </c>
      <c r="D1220" s="60">
        <v>5660</v>
      </c>
      <c r="E1220" s="59" t="s">
        <v>305</v>
      </c>
    </row>
    <row r="1221" spans="3:5" ht="15" x14ac:dyDescent="0.2">
      <c r="C1221" s="61">
        <v>41421.677083333336</v>
      </c>
      <c r="D1221" s="60">
        <v>5660</v>
      </c>
      <c r="E1221" s="59" t="s">
        <v>305</v>
      </c>
    </row>
    <row r="1222" spans="3:5" ht="15" x14ac:dyDescent="0.2">
      <c r="C1222" s="61">
        <v>41421.6875</v>
      </c>
      <c r="D1222" s="60">
        <v>5660</v>
      </c>
      <c r="E1222" s="59" t="s">
        <v>305</v>
      </c>
    </row>
    <row r="1223" spans="3:5" ht="15" x14ac:dyDescent="0.2">
      <c r="C1223" s="61">
        <v>41421.697916666664</v>
      </c>
      <c r="D1223" s="60">
        <v>5660</v>
      </c>
      <c r="E1223" s="59" t="s">
        <v>305</v>
      </c>
    </row>
    <row r="1224" spans="3:5" ht="15" x14ac:dyDescent="0.2">
      <c r="C1224" s="61">
        <v>41421.708333333336</v>
      </c>
      <c r="D1224" s="60">
        <v>5660</v>
      </c>
      <c r="E1224" s="59" t="s">
        <v>305</v>
      </c>
    </row>
    <row r="1225" spans="3:5" ht="15" x14ac:dyDescent="0.2">
      <c r="C1225" s="61">
        <v>41421.71875</v>
      </c>
      <c r="D1225" s="60">
        <v>5660</v>
      </c>
      <c r="E1225" s="59" t="s">
        <v>305</v>
      </c>
    </row>
    <row r="1226" spans="3:5" ht="15" x14ac:dyDescent="0.2">
      <c r="C1226" s="61">
        <v>41421.729166666664</v>
      </c>
      <c r="D1226" s="60">
        <v>5660</v>
      </c>
      <c r="E1226" s="59" t="s">
        <v>305</v>
      </c>
    </row>
    <row r="1227" spans="3:5" ht="15" x14ac:dyDescent="0.2">
      <c r="C1227" s="61">
        <v>41421.739583333336</v>
      </c>
      <c r="D1227" s="60">
        <v>5660</v>
      </c>
      <c r="E1227" s="59" t="s">
        <v>305</v>
      </c>
    </row>
    <row r="1228" spans="3:5" ht="15" x14ac:dyDescent="0.2">
      <c r="C1228" s="61">
        <v>41421.75</v>
      </c>
      <c r="D1228" s="60">
        <v>5660</v>
      </c>
      <c r="E1228" s="59" t="s">
        <v>305</v>
      </c>
    </row>
    <row r="1229" spans="3:5" ht="15" x14ac:dyDescent="0.2">
      <c r="C1229" s="61">
        <v>41421.760416666664</v>
      </c>
      <c r="D1229" s="60">
        <v>5660</v>
      </c>
      <c r="E1229" s="59" t="s">
        <v>305</v>
      </c>
    </row>
    <row r="1230" spans="3:5" ht="15" x14ac:dyDescent="0.2">
      <c r="C1230" s="61">
        <v>41421.770833333336</v>
      </c>
      <c r="D1230" s="60">
        <v>5660</v>
      </c>
      <c r="E1230" s="59" t="s">
        <v>305</v>
      </c>
    </row>
    <row r="1231" spans="3:5" ht="15" x14ac:dyDescent="0.2">
      <c r="C1231" s="61">
        <v>41421.78125</v>
      </c>
      <c r="D1231" s="60">
        <v>5660</v>
      </c>
      <c r="E1231" s="59" t="s">
        <v>305</v>
      </c>
    </row>
    <row r="1232" spans="3:5" ht="15" x14ac:dyDescent="0.2">
      <c r="C1232" s="61">
        <v>41421.791666666664</v>
      </c>
      <c r="D1232" s="60">
        <v>5660</v>
      </c>
      <c r="E1232" s="59" t="s">
        <v>305</v>
      </c>
    </row>
    <row r="1233" spans="3:5" ht="15" x14ac:dyDescent="0.2">
      <c r="C1233" s="61">
        <v>41421.802083333336</v>
      </c>
      <c r="D1233" s="60">
        <v>5660</v>
      </c>
      <c r="E1233" s="59" t="s">
        <v>305</v>
      </c>
    </row>
    <row r="1234" spans="3:5" ht="15" x14ac:dyDescent="0.2">
      <c r="C1234" s="61">
        <v>41421.8125</v>
      </c>
      <c r="D1234" s="60">
        <v>5640</v>
      </c>
      <c r="E1234" s="59" t="s">
        <v>306</v>
      </c>
    </row>
    <row r="1235" spans="3:5" ht="15" x14ac:dyDescent="0.2">
      <c r="C1235" s="61">
        <v>41421.822916666664</v>
      </c>
      <c r="D1235" s="60">
        <v>5640</v>
      </c>
      <c r="E1235" s="59" t="s">
        <v>306</v>
      </c>
    </row>
    <row r="1236" spans="3:5" ht="15" x14ac:dyDescent="0.2">
      <c r="C1236" s="61">
        <v>41421.833333333336</v>
      </c>
      <c r="D1236" s="60">
        <v>5640</v>
      </c>
      <c r="E1236" s="59" t="s">
        <v>306</v>
      </c>
    </row>
    <row r="1237" spans="3:5" ht="15" x14ac:dyDescent="0.2">
      <c r="C1237" s="61">
        <v>41421.84375</v>
      </c>
      <c r="D1237" s="60">
        <v>5640</v>
      </c>
      <c r="E1237" s="59" t="s">
        <v>306</v>
      </c>
    </row>
    <row r="1238" spans="3:5" ht="15" x14ac:dyDescent="0.2">
      <c r="C1238" s="61">
        <v>41421.854166666664</v>
      </c>
      <c r="D1238" s="60">
        <v>5640</v>
      </c>
      <c r="E1238" s="59" t="s">
        <v>306</v>
      </c>
    </row>
    <row r="1239" spans="3:5" ht="15" x14ac:dyDescent="0.2">
      <c r="C1239" s="61">
        <v>41421.864583333336</v>
      </c>
      <c r="D1239" s="60">
        <v>5640</v>
      </c>
      <c r="E1239" s="59" t="s">
        <v>306</v>
      </c>
    </row>
    <row r="1240" spans="3:5" ht="15" x14ac:dyDescent="0.2">
      <c r="C1240" s="61">
        <v>41421.875</v>
      </c>
      <c r="D1240" s="60">
        <v>5640</v>
      </c>
      <c r="E1240" s="59" t="s">
        <v>306</v>
      </c>
    </row>
    <row r="1241" spans="3:5" ht="15" x14ac:dyDescent="0.2">
      <c r="C1241" s="61">
        <v>41421.885416666664</v>
      </c>
      <c r="D1241" s="60">
        <v>5620</v>
      </c>
      <c r="E1241" s="59" t="s">
        <v>307</v>
      </c>
    </row>
    <row r="1242" spans="3:5" ht="15" x14ac:dyDescent="0.2">
      <c r="C1242" s="61">
        <v>41421.895833333336</v>
      </c>
      <c r="D1242" s="60">
        <v>5620</v>
      </c>
      <c r="E1242" s="59" t="s">
        <v>307</v>
      </c>
    </row>
    <row r="1243" spans="3:5" ht="15" x14ac:dyDescent="0.2">
      <c r="C1243" s="61">
        <v>41421.90625</v>
      </c>
      <c r="D1243" s="60">
        <v>5620</v>
      </c>
      <c r="E1243" s="59" t="s">
        <v>307</v>
      </c>
    </row>
    <row r="1244" spans="3:5" ht="15" x14ac:dyDescent="0.2">
      <c r="C1244" s="61">
        <v>41421.916666666664</v>
      </c>
      <c r="D1244" s="60">
        <v>5620</v>
      </c>
      <c r="E1244" s="59" t="s">
        <v>307</v>
      </c>
    </row>
    <row r="1245" spans="3:5" ht="15" x14ac:dyDescent="0.2">
      <c r="C1245" s="61">
        <v>41421.927083333336</v>
      </c>
      <c r="D1245" s="60">
        <v>5610</v>
      </c>
      <c r="E1245" s="59" t="s">
        <v>308</v>
      </c>
    </row>
    <row r="1246" spans="3:5" ht="15" x14ac:dyDescent="0.2">
      <c r="C1246" s="61">
        <v>41421.9375</v>
      </c>
      <c r="D1246" s="60">
        <v>5610</v>
      </c>
      <c r="E1246" s="59" t="s">
        <v>308</v>
      </c>
    </row>
    <row r="1247" spans="3:5" ht="15" x14ac:dyDescent="0.2">
      <c r="C1247" s="61">
        <v>41421.947916666664</v>
      </c>
      <c r="D1247" s="60">
        <v>5610</v>
      </c>
      <c r="E1247" s="59" t="s">
        <v>308</v>
      </c>
    </row>
    <row r="1248" spans="3:5" ht="15" x14ac:dyDescent="0.2">
      <c r="C1248" s="61">
        <v>41421.958333333336</v>
      </c>
      <c r="D1248" s="60">
        <v>5610</v>
      </c>
      <c r="E1248" s="59" t="s">
        <v>308</v>
      </c>
    </row>
    <row r="1249" spans="3:5" ht="15" x14ac:dyDescent="0.2">
      <c r="C1249" s="61">
        <v>41421.96875</v>
      </c>
      <c r="D1249" s="60">
        <v>5610</v>
      </c>
      <c r="E1249" s="59" t="s">
        <v>308</v>
      </c>
    </row>
    <row r="1250" spans="3:5" ht="15" x14ac:dyDescent="0.2">
      <c r="C1250" s="61">
        <v>41421.979166666664</v>
      </c>
      <c r="D1250" s="60">
        <v>5610</v>
      </c>
      <c r="E1250" s="59" t="s">
        <v>308</v>
      </c>
    </row>
    <row r="1251" spans="3:5" ht="15" x14ac:dyDescent="0.2">
      <c r="C1251" s="61">
        <v>41421.989583333336</v>
      </c>
      <c r="D1251" s="60">
        <v>5610</v>
      </c>
      <c r="E1251" s="59" t="s">
        <v>308</v>
      </c>
    </row>
    <row r="1252" spans="3:5" ht="15" x14ac:dyDescent="0.2">
      <c r="C1252" s="61">
        <v>41422</v>
      </c>
      <c r="D1252" s="60">
        <v>5610</v>
      </c>
      <c r="E1252" s="59" t="s">
        <v>308</v>
      </c>
    </row>
    <row r="1253" spans="3:5" ht="15" x14ac:dyDescent="0.2">
      <c r="C1253" s="61">
        <v>41422.010416666664</v>
      </c>
      <c r="D1253" s="60">
        <v>5610</v>
      </c>
      <c r="E1253" s="59" t="s">
        <v>308</v>
      </c>
    </row>
    <row r="1254" spans="3:5" ht="15" x14ac:dyDescent="0.2">
      <c r="C1254" s="61">
        <v>41422.020833333336</v>
      </c>
      <c r="D1254" s="60">
        <v>5610</v>
      </c>
      <c r="E1254" s="59" t="s">
        <v>308</v>
      </c>
    </row>
    <row r="1255" spans="3:5" ht="15" x14ac:dyDescent="0.2">
      <c r="C1255" s="61">
        <v>41422.03125</v>
      </c>
      <c r="D1255" s="60">
        <v>5610</v>
      </c>
      <c r="E1255" s="59" t="s">
        <v>308</v>
      </c>
    </row>
    <row r="1256" spans="3:5" ht="15" x14ac:dyDescent="0.2">
      <c r="C1256" s="61">
        <v>41422.041666666664</v>
      </c>
      <c r="D1256" s="60">
        <v>5610</v>
      </c>
      <c r="E1256" s="59" t="s">
        <v>308</v>
      </c>
    </row>
    <row r="1257" spans="3:5" ht="15" x14ac:dyDescent="0.2">
      <c r="C1257" s="61">
        <v>41422.052083333336</v>
      </c>
      <c r="D1257" s="60">
        <v>5590</v>
      </c>
      <c r="E1257" s="59" t="s">
        <v>309</v>
      </c>
    </row>
    <row r="1258" spans="3:5" ht="15" x14ac:dyDescent="0.2">
      <c r="C1258" s="61">
        <v>41422.0625</v>
      </c>
      <c r="D1258" s="60">
        <v>5590</v>
      </c>
      <c r="E1258" s="59" t="s">
        <v>309</v>
      </c>
    </row>
    <row r="1259" spans="3:5" ht="15" x14ac:dyDescent="0.2">
      <c r="C1259" s="61">
        <v>41422.072916666664</v>
      </c>
      <c r="D1259" s="60">
        <v>5590</v>
      </c>
      <c r="E1259" s="59" t="s">
        <v>309</v>
      </c>
    </row>
    <row r="1260" spans="3:5" ht="15" x14ac:dyDescent="0.2">
      <c r="C1260" s="61">
        <v>41422.083333333336</v>
      </c>
      <c r="D1260" s="60">
        <v>5590</v>
      </c>
      <c r="E1260" s="59" t="s">
        <v>309</v>
      </c>
    </row>
    <row r="1261" spans="3:5" ht="15" x14ac:dyDescent="0.2">
      <c r="C1261" s="61">
        <v>41422.09375</v>
      </c>
      <c r="D1261" s="60">
        <v>5590</v>
      </c>
      <c r="E1261" s="59" t="s">
        <v>309</v>
      </c>
    </row>
    <row r="1262" spans="3:5" ht="15" x14ac:dyDescent="0.2">
      <c r="C1262" s="61">
        <v>41422.104166666664</v>
      </c>
      <c r="D1262" s="60">
        <v>5590</v>
      </c>
      <c r="E1262" s="59" t="s">
        <v>309</v>
      </c>
    </row>
    <row r="1263" spans="3:5" ht="15" x14ac:dyDescent="0.2">
      <c r="C1263" s="61">
        <v>41422.114583333336</v>
      </c>
      <c r="D1263" s="60">
        <v>5590</v>
      </c>
      <c r="E1263" s="59" t="s">
        <v>309</v>
      </c>
    </row>
    <row r="1264" spans="3:5" ht="15" x14ac:dyDescent="0.2">
      <c r="C1264" s="61">
        <v>41422.125</v>
      </c>
      <c r="D1264" s="60">
        <v>5590</v>
      </c>
      <c r="E1264" s="59" t="s">
        <v>309</v>
      </c>
    </row>
    <row r="1265" spans="3:5" ht="15" x14ac:dyDescent="0.2">
      <c r="C1265" s="61">
        <v>41422.135416666664</v>
      </c>
      <c r="D1265" s="60">
        <v>5590</v>
      </c>
      <c r="E1265" s="59" t="s">
        <v>309</v>
      </c>
    </row>
    <row r="1266" spans="3:5" ht="15" x14ac:dyDescent="0.2">
      <c r="C1266" s="61">
        <v>41422.145833333336</v>
      </c>
      <c r="D1266" s="60">
        <v>5590</v>
      </c>
      <c r="E1266" s="59" t="s">
        <v>309</v>
      </c>
    </row>
    <row r="1267" spans="3:5" ht="15" x14ac:dyDescent="0.2">
      <c r="C1267" s="61">
        <v>41422.15625</v>
      </c>
      <c r="D1267" s="60">
        <v>5590</v>
      </c>
      <c r="E1267" s="59" t="s">
        <v>309</v>
      </c>
    </row>
    <row r="1268" spans="3:5" ht="15" x14ac:dyDescent="0.2">
      <c r="C1268" s="61">
        <v>41422.166666666664</v>
      </c>
      <c r="D1268" s="60">
        <v>5590</v>
      </c>
      <c r="E1268" s="59" t="s">
        <v>309</v>
      </c>
    </row>
    <row r="1269" spans="3:5" ht="15" x14ac:dyDescent="0.2">
      <c r="C1269" s="61">
        <v>41422.177083333336</v>
      </c>
      <c r="D1269" s="60">
        <v>5590</v>
      </c>
      <c r="E1269" s="59" t="s">
        <v>309</v>
      </c>
    </row>
    <row r="1270" spans="3:5" ht="15" x14ac:dyDescent="0.2">
      <c r="C1270" s="61">
        <v>41422.1875</v>
      </c>
      <c r="D1270" s="60">
        <v>5590</v>
      </c>
      <c r="E1270" s="59" t="s">
        <v>309</v>
      </c>
    </row>
    <row r="1271" spans="3:5" ht="15" x14ac:dyDescent="0.2">
      <c r="C1271" s="61">
        <v>41422.197916666664</v>
      </c>
      <c r="D1271" s="60">
        <v>5590</v>
      </c>
      <c r="E1271" s="59" t="s">
        <v>309</v>
      </c>
    </row>
    <row r="1272" spans="3:5" ht="15" x14ac:dyDescent="0.2">
      <c r="C1272" s="61">
        <v>41422.208333333336</v>
      </c>
      <c r="D1272" s="60">
        <v>5590</v>
      </c>
      <c r="E1272" s="59" t="s">
        <v>309</v>
      </c>
    </row>
    <row r="1273" spans="3:5" ht="15" x14ac:dyDescent="0.2">
      <c r="C1273" s="61">
        <v>41422.21875</v>
      </c>
      <c r="D1273" s="60">
        <v>5580</v>
      </c>
      <c r="E1273" s="59" t="s">
        <v>310</v>
      </c>
    </row>
    <row r="1274" spans="3:5" ht="15" x14ac:dyDescent="0.2">
      <c r="C1274" s="61">
        <v>41422.229166666664</v>
      </c>
      <c r="D1274" s="60">
        <v>5580</v>
      </c>
      <c r="E1274" s="59" t="s">
        <v>310</v>
      </c>
    </row>
    <row r="1275" spans="3:5" ht="15" x14ac:dyDescent="0.2">
      <c r="C1275" s="61">
        <v>41422.239583333336</v>
      </c>
      <c r="D1275" s="60">
        <v>5580</v>
      </c>
      <c r="E1275" s="59" t="s">
        <v>310</v>
      </c>
    </row>
    <row r="1276" spans="3:5" ht="15" x14ac:dyDescent="0.2">
      <c r="C1276" s="61">
        <v>41422.25</v>
      </c>
      <c r="D1276" s="60">
        <v>5580</v>
      </c>
      <c r="E1276" s="59" t="s">
        <v>310</v>
      </c>
    </row>
    <row r="1277" spans="3:5" ht="15" x14ac:dyDescent="0.2">
      <c r="C1277" s="61">
        <v>41422.260416666664</v>
      </c>
      <c r="D1277" s="60">
        <v>5580</v>
      </c>
      <c r="E1277" s="59" t="s">
        <v>310</v>
      </c>
    </row>
    <row r="1278" spans="3:5" ht="15" x14ac:dyDescent="0.2">
      <c r="C1278" s="61">
        <v>41422.270833333336</v>
      </c>
      <c r="D1278" s="60">
        <v>5580</v>
      </c>
      <c r="E1278" s="59" t="s">
        <v>310</v>
      </c>
    </row>
    <row r="1279" spans="3:5" ht="15" x14ac:dyDescent="0.2">
      <c r="C1279" s="61">
        <v>41422.28125</v>
      </c>
      <c r="D1279" s="60">
        <v>5580</v>
      </c>
      <c r="E1279" s="59" t="s">
        <v>310</v>
      </c>
    </row>
    <row r="1280" spans="3:5" ht="15" x14ac:dyDescent="0.2">
      <c r="C1280" s="61">
        <v>41422.291666666664</v>
      </c>
      <c r="D1280" s="60">
        <v>5580</v>
      </c>
      <c r="E1280" s="59" t="s">
        <v>310</v>
      </c>
    </row>
    <row r="1281" spans="3:5" ht="15" x14ac:dyDescent="0.2">
      <c r="C1281" s="61">
        <v>41422.302083333336</v>
      </c>
      <c r="D1281" s="60">
        <v>5580</v>
      </c>
      <c r="E1281" s="59" t="s">
        <v>310</v>
      </c>
    </row>
    <row r="1282" spans="3:5" ht="15" x14ac:dyDescent="0.2">
      <c r="C1282" s="61">
        <v>41422.3125</v>
      </c>
      <c r="D1282" s="60">
        <v>5580</v>
      </c>
      <c r="E1282" s="59" t="s">
        <v>310</v>
      </c>
    </row>
    <row r="1283" spans="3:5" ht="15" x14ac:dyDescent="0.2">
      <c r="C1283" s="61">
        <v>41422.322916666664</v>
      </c>
      <c r="D1283" s="60">
        <v>5580</v>
      </c>
      <c r="E1283" s="59" t="s">
        <v>310</v>
      </c>
    </row>
    <row r="1284" spans="3:5" ht="15" x14ac:dyDescent="0.2">
      <c r="C1284" s="61">
        <v>41422.333333333336</v>
      </c>
      <c r="D1284" s="60">
        <v>5560</v>
      </c>
      <c r="E1284" s="59" t="s">
        <v>311</v>
      </c>
    </row>
    <row r="1285" spans="3:5" ht="15" x14ac:dyDescent="0.2">
      <c r="C1285" s="61">
        <v>41422.34375</v>
      </c>
      <c r="D1285" s="60">
        <v>5560</v>
      </c>
      <c r="E1285" s="59" t="s">
        <v>311</v>
      </c>
    </row>
    <row r="1286" spans="3:5" ht="15" x14ac:dyDescent="0.2">
      <c r="C1286" s="61">
        <v>41422.354166666664</v>
      </c>
      <c r="D1286" s="60">
        <v>5560</v>
      </c>
      <c r="E1286" s="59" t="s">
        <v>311</v>
      </c>
    </row>
    <row r="1287" spans="3:5" ht="15" x14ac:dyDescent="0.2">
      <c r="C1287" s="61">
        <v>41422.364583333336</v>
      </c>
      <c r="D1287" s="60">
        <v>5560</v>
      </c>
      <c r="E1287" s="59" t="s">
        <v>311</v>
      </c>
    </row>
    <row r="1288" spans="3:5" ht="15" x14ac:dyDescent="0.2">
      <c r="C1288" s="61">
        <v>41422.375</v>
      </c>
      <c r="D1288" s="60">
        <v>5560</v>
      </c>
      <c r="E1288" s="59" t="s">
        <v>311</v>
      </c>
    </row>
    <row r="1289" spans="3:5" ht="15" x14ac:dyDescent="0.2">
      <c r="C1289" s="61">
        <v>41422.385416666664</v>
      </c>
      <c r="D1289" s="60">
        <v>5560</v>
      </c>
      <c r="E1289" s="59" t="s">
        <v>311</v>
      </c>
    </row>
    <row r="1290" spans="3:5" ht="15" x14ac:dyDescent="0.2">
      <c r="C1290" s="61">
        <v>41422.395833333336</v>
      </c>
      <c r="D1290" s="60">
        <v>5560</v>
      </c>
      <c r="E1290" s="59" t="s">
        <v>311</v>
      </c>
    </row>
    <row r="1291" spans="3:5" ht="15" x14ac:dyDescent="0.2">
      <c r="C1291" s="61">
        <v>41422.40625</v>
      </c>
      <c r="D1291" s="60">
        <v>5560</v>
      </c>
      <c r="E1291" s="59" t="s">
        <v>311</v>
      </c>
    </row>
    <row r="1292" spans="3:5" ht="15" x14ac:dyDescent="0.2">
      <c r="C1292" s="61">
        <v>41422.416666666664</v>
      </c>
      <c r="D1292" s="60">
        <v>5560</v>
      </c>
      <c r="E1292" s="59" t="s">
        <v>311</v>
      </c>
    </row>
    <row r="1293" spans="3:5" ht="15" x14ac:dyDescent="0.2">
      <c r="C1293" s="61">
        <v>41422.427083333336</v>
      </c>
      <c r="D1293" s="60">
        <v>5560</v>
      </c>
      <c r="E1293" s="59" t="s">
        <v>311</v>
      </c>
    </row>
    <row r="1294" spans="3:5" ht="15" x14ac:dyDescent="0.2">
      <c r="C1294" s="61">
        <v>41422.4375</v>
      </c>
      <c r="D1294" s="60">
        <v>5560</v>
      </c>
      <c r="E1294" s="59" t="s">
        <v>311</v>
      </c>
    </row>
    <row r="1295" spans="3:5" ht="15" x14ac:dyDescent="0.2">
      <c r="C1295" s="61">
        <v>41422.447916666664</v>
      </c>
      <c r="D1295" s="60">
        <v>5550</v>
      </c>
      <c r="E1295" s="59" t="s">
        <v>312</v>
      </c>
    </row>
    <row r="1296" spans="3:5" ht="15" x14ac:dyDescent="0.2">
      <c r="C1296" s="61">
        <v>41422.458333333336</v>
      </c>
      <c r="D1296" s="60">
        <v>5550</v>
      </c>
      <c r="E1296" s="59" t="s">
        <v>312</v>
      </c>
    </row>
    <row r="1297" spans="3:5" ht="15" x14ac:dyDescent="0.2">
      <c r="C1297" s="61">
        <v>41422.46875</v>
      </c>
      <c r="D1297" s="60">
        <v>5550</v>
      </c>
      <c r="E1297" s="59" t="s">
        <v>312</v>
      </c>
    </row>
    <row r="1298" spans="3:5" ht="15" x14ac:dyDescent="0.2">
      <c r="C1298" s="61">
        <v>41422.479166666664</v>
      </c>
      <c r="D1298" s="60">
        <v>5550</v>
      </c>
      <c r="E1298" s="59" t="s">
        <v>312</v>
      </c>
    </row>
    <row r="1299" spans="3:5" ht="15" x14ac:dyDescent="0.2">
      <c r="C1299" s="61">
        <v>41422.489583333336</v>
      </c>
      <c r="D1299" s="60">
        <v>5550</v>
      </c>
      <c r="E1299" s="59" t="s">
        <v>312</v>
      </c>
    </row>
    <row r="1300" spans="3:5" ht="15" x14ac:dyDescent="0.2">
      <c r="C1300" s="61">
        <v>41422.5</v>
      </c>
      <c r="D1300" s="60">
        <v>5550</v>
      </c>
      <c r="E1300" s="59" t="s">
        <v>312</v>
      </c>
    </row>
    <row r="1301" spans="3:5" ht="15" x14ac:dyDescent="0.2">
      <c r="C1301" s="61">
        <v>41422.510416666664</v>
      </c>
      <c r="D1301" s="60">
        <v>5550</v>
      </c>
      <c r="E1301" s="59" t="s">
        <v>312</v>
      </c>
    </row>
    <row r="1302" spans="3:5" ht="15" x14ac:dyDescent="0.2">
      <c r="C1302" s="61">
        <v>41422.520833333336</v>
      </c>
      <c r="D1302" s="60">
        <v>5550</v>
      </c>
      <c r="E1302" s="59" t="s">
        <v>312</v>
      </c>
    </row>
    <row r="1303" spans="3:5" ht="15" x14ac:dyDescent="0.2">
      <c r="C1303" s="61">
        <v>41422.53125</v>
      </c>
      <c r="D1303" s="60">
        <v>5550</v>
      </c>
      <c r="E1303" s="59" t="s">
        <v>312</v>
      </c>
    </row>
    <row r="1304" spans="3:5" ht="15" x14ac:dyDescent="0.2">
      <c r="C1304" s="61">
        <v>41422.541666666664</v>
      </c>
      <c r="D1304" s="60">
        <v>5550</v>
      </c>
      <c r="E1304" s="59" t="s">
        <v>312</v>
      </c>
    </row>
    <row r="1305" spans="3:5" ht="15" x14ac:dyDescent="0.2">
      <c r="C1305" s="61">
        <v>41422.552083333336</v>
      </c>
      <c r="D1305" s="60">
        <v>5550</v>
      </c>
      <c r="E1305" s="59" t="s">
        <v>312</v>
      </c>
    </row>
    <row r="1306" spans="3:5" ht="15" x14ac:dyDescent="0.2">
      <c r="C1306" s="61">
        <v>41422.5625</v>
      </c>
      <c r="D1306" s="60">
        <v>5550</v>
      </c>
      <c r="E1306" s="59" t="s">
        <v>312</v>
      </c>
    </row>
    <row r="1307" spans="3:5" ht="15" x14ac:dyDescent="0.2">
      <c r="C1307" s="61">
        <v>41422.572916666664</v>
      </c>
      <c r="D1307" s="60">
        <v>5550</v>
      </c>
      <c r="E1307" s="59" t="s">
        <v>312</v>
      </c>
    </row>
    <row r="1308" spans="3:5" ht="15" x14ac:dyDescent="0.2">
      <c r="C1308" s="61">
        <v>41422.583333333336</v>
      </c>
      <c r="D1308" s="60">
        <v>5550</v>
      </c>
      <c r="E1308" s="59" t="s">
        <v>312</v>
      </c>
    </row>
    <row r="1309" spans="3:5" ht="15" x14ac:dyDescent="0.2">
      <c r="C1309" s="61">
        <v>41422.59375</v>
      </c>
      <c r="D1309" s="60">
        <v>5550</v>
      </c>
      <c r="E1309" s="59" t="s">
        <v>312</v>
      </c>
    </row>
    <row r="1310" spans="3:5" ht="15" x14ac:dyDescent="0.2">
      <c r="C1310" s="61">
        <v>41422.604166666664</v>
      </c>
      <c r="D1310" s="60">
        <v>5550</v>
      </c>
      <c r="E1310" s="59" t="s">
        <v>312</v>
      </c>
    </row>
    <row r="1311" spans="3:5" ht="15" x14ac:dyDescent="0.2">
      <c r="C1311" s="61">
        <v>41422.614583333336</v>
      </c>
      <c r="D1311" s="60">
        <v>5550</v>
      </c>
      <c r="E1311" s="59" t="s">
        <v>312</v>
      </c>
    </row>
    <row r="1312" spans="3:5" ht="15" x14ac:dyDescent="0.2">
      <c r="C1312" s="61">
        <v>41422.625</v>
      </c>
      <c r="D1312" s="60">
        <v>5550</v>
      </c>
      <c r="E1312" s="59" t="s">
        <v>312</v>
      </c>
    </row>
    <row r="1313" spans="3:5" ht="15" x14ac:dyDescent="0.2">
      <c r="C1313" s="61">
        <v>41422.635416666664</v>
      </c>
      <c r="D1313" s="60">
        <v>5550</v>
      </c>
      <c r="E1313" s="59" t="s">
        <v>312</v>
      </c>
    </row>
    <row r="1314" spans="3:5" ht="15" x14ac:dyDescent="0.2">
      <c r="C1314" s="61">
        <v>41422.645833333336</v>
      </c>
      <c r="D1314" s="60">
        <v>5550</v>
      </c>
      <c r="E1314" s="59" t="s">
        <v>312</v>
      </c>
    </row>
    <row r="1315" spans="3:5" ht="15" x14ac:dyDescent="0.2">
      <c r="C1315" s="61">
        <v>41422.65625</v>
      </c>
      <c r="D1315" s="60">
        <v>5550</v>
      </c>
      <c r="E1315" s="59" t="s">
        <v>312</v>
      </c>
    </row>
    <row r="1316" spans="3:5" ht="15" x14ac:dyDescent="0.2">
      <c r="C1316" s="61">
        <v>41422.666666666664</v>
      </c>
      <c r="D1316" s="60">
        <v>5550</v>
      </c>
      <c r="E1316" s="59" t="s">
        <v>312</v>
      </c>
    </row>
    <row r="1317" spans="3:5" ht="15" x14ac:dyDescent="0.2">
      <c r="C1317" s="61">
        <v>41422.677083333336</v>
      </c>
      <c r="D1317" s="60">
        <v>5550</v>
      </c>
      <c r="E1317" s="59" t="s">
        <v>312</v>
      </c>
    </row>
    <row r="1318" spans="3:5" ht="15" x14ac:dyDescent="0.2">
      <c r="C1318" s="61">
        <v>41422.6875</v>
      </c>
      <c r="D1318" s="60">
        <v>5550</v>
      </c>
      <c r="E1318" s="59" t="s">
        <v>312</v>
      </c>
    </row>
    <row r="1319" spans="3:5" ht="15" x14ac:dyDescent="0.2">
      <c r="C1319" s="61">
        <v>41422.697916666664</v>
      </c>
      <c r="D1319" s="60">
        <v>5550</v>
      </c>
      <c r="E1319" s="59" t="s">
        <v>312</v>
      </c>
    </row>
    <row r="1320" spans="3:5" ht="15" x14ac:dyDescent="0.2">
      <c r="C1320" s="61">
        <v>41422.708333333336</v>
      </c>
      <c r="D1320" s="60">
        <v>5550</v>
      </c>
      <c r="E1320" s="59" t="s">
        <v>312</v>
      </c>
    </row>
    <row r="1321" spans="3:5" ht="15" x14ac:dyDescent="0.2">
      <c r="C1321" s="61">
        <v>41422.71875</v>
      </c>
      <c r="D1321" s="60">
        <v>5550</v>
      </c>
      <c r="E1321" s="59" t="s">
        <v>312</v>
      </c>
    </row>
    <row r="1322" spans="3:5" ht="15" x14ac:dyDescent="0.2">
      <c r="C1322" s="61">
        <v>41422.729166666664</v>
      </c>
      <c r="D1322" s="60">
        <v>5550</v>
      </c>
      <c r="E1322" s="59" t="s">
        <v>312</v>
      </c>
    </row>
    <row r="1323" spans="3:5" ht="15" x14ac:dyDescent="0.2">
      <c r="C1323" s="61">
        <v>41422.739583333336</v>
      </c>
      <c r="D1323" s="60">
        <v>5550</v>
      </c>
      <c r="E1323" s="59" t="s">
        <v>312</v>
      </c>
    </row>
    <row r="1324" spans="3:5" ht="15" x14ac:dyDescent="0.2">
      <c r="C1324" s="61">
        <v>41422.75</v>
      </c>
      <c r="D1324" s="60">
        <v>5550</v>
      </c>
      <c r="E1324" s="59" t="s">
        <v>312</v>
      </c>
    </row>
    <row r="1325" spans="3:5" ht="15" x14ac:dyDescent="0.2">
      <c r="C1325" s="61">
        <v>41422.760416666664</v>
      </c>
      <c r="D1325" s="60">
        <v>5550</v>
      </c>
      <c r="E1325" s="59" t="s">
        <v>312</v>
      </c>
    </row>
    <row r="1326" spans="3:5" ht="15" x14ac:dyDescent="0.2">
      <c r="C1326" s="61">
        <v>41422.770833333336</v>
      </c>
      <c r="D1326" s="60">
        <v>5550</v>
      </c>
      <c r="E1326" s="59" t="s">
        <v>312</v>
      </c>
    </row>
    <row r="1327" spans="3:5" ht="15" x14ac:dyDescent="0.2">
      <c r="C1327" s="61">
        <v>41422.78125</v>
      </c>
      <c r="D1327" s="60">
        <v>5550</v>
      </c>
      <c r="E1327" s="59" t="s">
        <v>312</v>
      </c>
    </row>
    <row r="1328" spans="3:5" ht="15" x14ac:dyDescent="0.2">
      <c r="C1328" s="61">
        <v>41422.791666666664</v>
      </c>
      <c r="D1328" s="60">
        <v>5550</v>
      </c>
      <c r="E1328" s="59" t="s">
        <v>312</v>
      </c>
    </row>
    <row r="1329" spans="3:5" ht="15" x14ac:dyDescent="0.2">
      <c r="C1329" s="61">
        <v>41422.802083333336</v>
      </c>
      <c r="D1329" s="60">
        <v>5550</v>
      </c>
      <c r="E1329" s="59" t="s">
        <v>312</v>
      </c>
    </row>
    <row r="1330" spans="3:5" ht="15" x14ac:dyDescent="0.2">
      <c r="C1330" s="61">
        <v>41422.8125</v>
      </c>
      <c r="D1330" s="60">
        <v>5550</v>
      </c>
      <c r="E1330" s="59" t="s">
        <v>312</v>
      </c>
    </row>
    <row r="1331" spans="3:5" ht="15" x14ac:dyDescent="0.2">
      <c r="C1331" s="61">
        <v>41422.822916666664</v>
      </c>
      <c r="D1331" s="60">
        <v>5550</v>
      </c>
      <c r="E1331" s="59" t="s">
        <v>312</v>
      </c>
    </row>
    <row r="1332" spans="3:5" ht="15" x14ac:dyDescent="0.2">
      <c r="C1332" s="61">
        <v>41422.833333333336</v>
      </c>
      <c r="D1332" s="60">
        <v>5550</v>
      </c>
      <c r="E1332" s="59" t="s">
        <v>312</v>
      </c>
    </row>
    <row r="1333" spans="3:5" ht="15" x14ac:dyDescent="0.2">
      <c r="C1333" s="61">
        <v>41422.84375</v>
      </c>
      <c r="D1333" s="60">
        <v>5550</v>
      </c>
      <c r="E1333" s="59" t="s">
        <v>312</v>
      </c>
    </row>
    <row r="1334" spans="3:5" ht="15" x14ac:dyDescent="0.2">
      <c r="C1334" s="61">
        <v>41422.854166666664</v>
      </c>
      <c r="D1334" s="60">
        <v>5550</v>
      </c>
      <c r="E1334" s="59" t="s">
        <v>312</v>
      </c>
    </row>
    <row r="1335" spans="3:5" ht="15" x14ac:dyDescent="0.2">
      <c r="C1335" s="61">
        <v>41422.864583333336</v>
      </c>
      <c r="D1335" s="60">
        <v>5560</v>
      </c>
      <c r="E1335" s="59" t="s">
        <v>311</v>
      </c>
    </row>
    <row r="1336" spans="3:5" ht="15" x14ac:dyDescent="0.2">
      <c r="C1336" s="61">
        <v>41422.875</v>
      </c>
      <c r="D1336" s="60">
        <v>5560</v>
      </c>
      <c r="E1336" s="59" t="s">
        <v>311</v>
      </c>
    </row>
    <row r="1337" spans="3:5" ht="15" x14ac:dyDescent="0.2">
      <c r="C1337" s="61">
        <v>41422.885416666664</v>
      </c>
      <c r="D1337" s="60">
        <v>5560</v>
      </c>
      <c r="E1337" s="59" t="s">
        <v>311</v>
      </c>
    </row>
    <row r="1338" spans="3:5" ht="15" x14ac:dyDescent="0.2">
      <c r="C1338" s="61">
        <v>41422.895833333336</v>
      </c>
      <c r="D1338" s="60">
        <v>5560</v>
      </c>
      <c r="E1338" s="59" t="s">
        <v>311</v>
      </c>
    </row>
    <row r="1339" spans="3:5" ht="15" x14ac:dyDescent="0.2">
      <c r="C1339" s="61">
        <v>41422.90625</v>
      </c>
      <c r="D1339" s="60">
        <v>5550</v>
      </c>
      <c r="E1339" s="59" t="s">
        <v>312</v>
      </c>
    </row>
    <row r="1340" spans="3:5" ht="15" x14ac:dyDescent="0.2">
      <c r="C1340" s="61">
        <v>41422.916666666664</v>
      </c>
      <c r="D1340" s="60">
        <v>5550</v>
      </c>
      <c r="E1340" s="59" t="s">
        <v>312</v>
      </c>
    </row>
    <row r="1341" spans="3:5" ht="15" x14ac:dyDescent="0.2">
      <c r="C1341" s="61">
        <v>41422.927083333336</v>
      </c>
      <c r="D1341" s="60">
        <v>5550</v>
      </c>
      <c r="E1341" s="59" t="s">
        <v>312</v>
      </c>
    </row>
    <row r="1342" spans="3:5" ht="15" x14ac:dyDescent="0.2">
      <c r="C1342" s="61">
        <v>41422.9375</v>
      </c>
      <c r="D1342" s="60">
        <v>5550</v>
      </c>
      <c r="E1342" s="59" t="s">
        <v>312</v>
      </c>
    </row>
    <row r="1343" spans="3:5" ht="15" x14ac:dyDescent="0.2">
      <c r="C1343" s="61">
        <v>41422.947916666664</v>
      </c>
      <c r="D1343" s="60">
        <v>5550</v>
      </c>
      <c r="E1343" s="59" t="s">
        <v>312</v>
      </c>
    </row>
    <row r="1344" spans="3:5" ht="15" x14ac:dyDescent="0.2">
      <c r="C1344" s="61">
        <v>41422.958333333336</v>
      </c>
      <c r="D1344" s="60">
        <v>5550</v>
      </c>
      <c r="E1344" s="59" t="s">
        <v>312</v>
      </c>
    </row>
    <row r="1345" spans="3:5" ht="15" x14ac:dyDescent="0.2">
      <c r="C1345" s="61">
        <v>41422.96875</v>
      </c>
      <c r="D1345" s="60">
        <v>5550</v>
      </c>
      <c r="E1345" s="59" t="s">
        <v>312</v>
      </c>
    </row>
    <row r="1346" spans="3:5" ht="15" x14ac:dyDescent="0.2">
      <c r="C1346" s="61">
        <v>41422.979166666664</v>
      </c>
      <c r="D1346" s="60">
        <v>5560</v>
      </c>
      <c r="E1346" s="59" t="s">
        <v>311</v>
      </c>
    </row>
    <row r="1347" spans="3:5" ht="15" x14ac:dyDescent="0.2">
      <c r="C1347" s="61">
        <v>41422.989583333336</v>
      </c>
      <c r="D1347" s="60">
        <v>5560</v>
      </c>
      <c r="E1347" s="59" t="s">
        <v>311</v>
      </c>
    </row>
    <row r="1348" spans="3:5" ht="15" x14ac:dyDescent="0.2">
      <c r="C1348" s="61">
        <v>41423</v>
      </c>
      <c r="D1348" s="60">
        <v>5560</v>
      </c>
      <c r="E1348" s="59" t="s">
        <v>311</v>
      </c>
    </row>
    <row r="1349" spans="3:5" ht="15" x14ac:dyDescent="0.2">
      <c r="C1349" s="61">
        <v>41423.010416666664</v>
      </c>
      <c r="D1349" s="60">
        <v>5560</v>
      </c>
      <c r="E1349" s="59" t="s">
        <v>311</v>
      </c>
    </row>
    <row r="1350" spans="3:5" ht="15" x14ac:dyDescent="0.2">
      <c r="C1350" s="61">
        <v>41423.020833333336</v>
      </c>
      <c r="D1350" s="60">
        <v>5560</v>
      </c>
      <c r="E1350" s="59" t="s">
        <v>311</v>
      </c>
    </row>
    <row r="1351" spans="3:5" ht="15" x14ac:dyDescent="0.2">
      <c r="C1351" s="61">
        <v>41423.03125</v>
      </c>
      <c r="D1351" s="60">
        <v>5560</v>
      </c>
      <c r="E1351" s="59" t="s">
        <v>311</v>
      </c>
    </row>
    <row r="1352" spans="3:5" ht="15" x14ac:dyDescent="0.2">
      <c r="C1352" s="61">
        <v>41423.041666666664</v>
      </c>
      <c r="D1352" s="60">
        <v>5560</v>
      </c>
      <c r="E1352" s="59" t="s">
        <v>311</v>
      </c>
    </row>
    <row r="1353" spans="3:5" ht="15" x14ac:dyDescent="0.2">
      <c r="C1353" s="61">
        <v>41423.052083333336</v>
      </c>
      <c r="D1353" s="60">
        <v>5560</v>
      </c>
      <c r="E1353" s="59" t="s">
        <v>311</v>
      </c>
    </row>
    <row r="1354" spans="3:5" ht="15" x14ac:dyDescent="0.2">
      <c r="C1354" s="61">
        <v>41423.0625</v>
      </c>
      <c r="D1354" s="60">
        <v>5560</v>
      </c>
      <c r="E1354" s="59" t="s">
        <v>311</v>
      </c>
    </row>
    <row r="1355" spans="3:5" ht="15" x14ac:dyDescent="0.2">
      <c r="C1355" s="61">
        <v>41423.072916666664</v>
      </c>
      <c r="D1355" s="60">
        <v>5560</v>
      </c>
      <c r="E1355" s="59" t="s">
        <v>311</v>
      </c>
    </row>
    <row r="1356" spans="3:5" ht="15" x14ac:dyDescent="0.2">
      <c r="C1356" s="61">
        <v>41423.083333333336</v>
      </c>
      <c r="D1356" s="60">
        <v>5560</v>
      </c>
      <c r="E1356" s="59" t="s">
        <v>311</v>
      </c>
    </row>
    <row r="1357" spans="3:5" ht="15" x14ac:dyDescent="0.2">
      <c r="C1357" s="61">
        <v>41423.09375</v>
      </c>
      <c r="D1357" s="60">
        <v>5560</v>
      </c>
      <c r="E1357" s="59" t="s">
        <v>311</v>
      </c>
    </row>
    <row r="1358" spans="3:5" ht="15" x14ac:dyDescent="0.2">
      <c r="C1358" s="61">
        <v>41423.104166666664</v>
      </c>
      <c r="D1358" s="60">
        <v>5560</v>
      </c>
      <c r="E1358" s="59" t="s">
        <v>311</v>
      </c>
    </row>
    <row r="1359" spans="3:5" ht="15" x14ac:dyDescent="0.2">
      <c r="C1359" s="61">
        <v>41423.114583333336</v>
      </c>
      <c r="D1359" s="60">
        <v>5560</v>
      </c>
      <c r="E1359" s="59" t="s">
        <v>311</v>
      </c>
    </row>
    <row r="1360" spans="3:5" ht="15" x14ac:dyDescent="0.2">
      <c r="C1360" s="61">
        <v>41423.125</v>
      </c>
      <c r="D1360" s="60">
        <v>5560</v>
      </c>
      <c r="E1360" s="59" t="s">
        <v>311</v>
      </c>
    </row>
    <row r="1361" spans="3:5" ht="15" x14ac:dyDescent="0.2">
      <c r="C1361" s="61">
        <v>41423.135416666664</v>
      </c>
      <c r="D1361" s="60">
        <v>5560</v>
      </c>
      <c r="E1361" s="59" t="s">
        <v>311</v>
      </c>
    </row>
    <row r="1362" spans="3:5" ht="15" x14ac:dyDescent="0.2">
      <c r="C1362" s="61">
        <v>41423.145833333336</v>
      </c>
      <c r="D1362" s="60">
        <v>5560</v>
      </c>
      <c r="E1362" s="59" t="s">
        <v>311</v>
      </c>
    </row>
    <row r="1363" spans="3:5" ht="15" x14ac:dyDescent="0.2">
      <c r="C1363" s="61">
        <v>41423.15625</v>
      </c>
      <c r="D1363" s="60">
        <v>5560</v>
      </c>
      <c r="E1363" s="59" t="s">
        <v>311</v>
      </c>
    </row>
    <row r="1364" spans="3:5" ht="15" x14ac:dyDescent="0.2">
      <c r="C1364" s="61">
        <v>41423.166666666664</v>
      </c>
      <c r="D1364" s="60">
        <v>5580</v>
      </c>
      <c r="E1364" s="59" t="s">
        <v>310</v>
      </c>
    </row>
    <row r="1365" spans="3:5" ht="15" x14ac:dyDescent="0.2">
      <c r="C1365" s="61">
        <v>41423.177083333336</v>
      </c>
      <c r="D1365" s="60">
        <v>5580</v>
      </c>
      <c r="E1365" s="59" t="s">
        <v>310</v>
      </c>
    </row>
    <row r="1366" spans="3:5" ht="15" x14ac:dyDescent="0.2">
      <c r="C1366" s="61">
        <v>41423.1875</v>
      </c>
      <c r="D1366" s="60">
        <v>5580</v>
      </c>
      <c r="E1366" s="59" t="s">
        <v>310</v>
      </c>
    </row>
    <row r="1367" spans="3:5" ht="15" x14ac:dyDescent="0.2">
      <c r="C1367" s="61">
        <v>41423.197916666664</v>
      </c>
      <c r="D1367" s="60">
        <v>5580</v>
      </c>
      <c r="E1367" s="59" t="s">
        <v>310</v>
      </c>
    </row>
    <row r="1368" spans="3:5" ht="15" x14ac:dyDescent="0.2">
      <c r="C1368" s="61">
        <v>41423.208333333336</v>
      </c>
      <c r="D1368" s="60">
        <v>5580</v>
      </c>
      <c r="E1368" s="59" t="s">
        <v>310</v>
      </c>
    </row>
    <row r="1369" spans="3:5" ht="15" x14ac:dyDescent="0.2">
      <c r="C1369" s="61">
        <v>41423.21875</v>
      </c>
      <c r="D1369" s="60">
        <v>5590</v>
      </c>
      <c r="E1369" s="59" t="s">
        <v>309</v>
      </c>
    </row>
    <row r="1370" spans="3:5" ht="15" x14ac:dyDescent="0.2">
      <c r="C1370" s="61">
        <v>41423.229166666664</v>
      </c>
      <c r="D1370" s="60">
        <v>5590</v>
      </c>
      <c r="E1370" s="59" t="s">
        <v>309</v>
      </c>
    </row>
    <row r="1371" spans="3:5" ht="15" x14ac:dyDescent="0.2">
      <c r="C1371" s="61">
        <v>41423.239583333336</v>
      </c>
      <c r="D1371" s="60">
        <v>5590</v>
      </c>
      <c r="E1371" s="59" t="s">
        <v>309</v>
      </c>
    </row>
    <row r="1372" spans="3:5" ht="15" x14ac:dyDescent="0.2">
      <c r="C1372" s="61">
        <v>41423.25</v>
      </c>
      <c r="D1372" s="60">
        <v>5590</v>
      </c>
      <c r="E1372" s="59" t="s">
        <v>309</v>
      </c>
    </row>
    <row r="1373" spans="3:5" ht="15" x14ac:dyDescent="0.2">
      <c r="C1373" s="61">
        <v>41423.260416666664</v>
      </c>
      <c r="D1373" s="60">
        <v>5590</v>
      </c>
      <c r="E1373" s="59" t="s">
        <v>309</v>
      </c>
    </row>
    <row r="1374" spans="3:5" ht="15" x14ac:dyDescent="0.2">
      <c r="C1374" s="61">
        <v>41423.270833333336</v>
      </c>
      <c r="D1374" s="60">
        <v>5590</v>
      </c>
      <c r="E1374" s="59" t="s">
        <v>309</v>
      </c>
    </row>
    <row r="1375" spans="3:5" ht="15" x14ac:dyDescent="0.2">
      <c r="C1375" s="61">
        <v>41423.28125</v>
      </c>
      <c r="D1375" s="60">
        <v>5610</v>
      </c>
      <c r="E1375" s="59" t="s">
        <v>308</v>
      </c>
    </row>
    <row r="1376" spans="3:5" ht="15" x14ac:dyDescent="0.2">
      <c r="C1376" s="61">
        <v>41423.291666666664</v>
      </c>
      <c r="D1376" s="60">
        <v>5610</v>
      </c>
      <c r="E1376" s="59" t="s">
        <v>308</v>
      </c>
    </row>
    <row r="1377" spans="3:5" ht="15" x14ac:dyDescent="0.2">
      <c r="C1377" s="61">
        <v>41423.302083333336</v>
      </c>
      <c r="D1377" s="60">
        <v>5610</v>
      </c>
      <c r="E1377" s="59" t="s">
        <v>308</v>
      </c>
    </row>
    <row r="1378" spans="3:5" ht="15" x14ac:dyDescent="0.2">
      <c r="C1378" s="61">
        <v>41423.3125</v>
      </c>
      <c r="D1378" s="60">
        <v>5620</v>
      </c>
      <c r="E1378" s="59" t="s">
        <v>307</v>
      </c>
    </row>
    <row r="1379" spans="3:5" ht="15" x14ac:dyDescent="0.2">
      <c r="C1379" s="61">
        <v>41423.322916666664</v>
      </c>
      <c r="D1379" s="60">
        <v>5620</v>
      </c>
      <c r="E1379" s="59" t="s">
        <v>307</v>
      </c>
    </row>
    <row r="1380" spans="3:5" ht="15" x14ac:dyDescent="0.2">
      <c r="C1380" s="61">
        <v>41423.333333333336</v>
      </c>
      <c r="D1380" s="60">
        <v>5620</v>
      </c>
      <c r="E1380" s="59" t="s">
        <v>307</v>
      </c>
    </row>
    <row r="1381" spans="3:5" ht="15" x14ac:dyDescent="0.2">
      <c r="C1381" s="61">
        <v>41423.34375</v>
      </c>
      <c r="D1381" s="60">
        <v>5620</v>
      </c>
      <c r="E1381" s="59" t="s">
        <v>307</v>
      </c>
    </row>
    <row r="1382" spans="3:5" ht="15" x14ac:dyDescent="0.2">
      <c r="C1382" s="61">
        <v>41423.354166666664</v>
      </c>
      <c r="D1382" s="60">
        <v>5640</v>
      </c>
      <c r="E1382" s="59" t="s">
        <v>306</v>
      </c>
    </row>
    <row r="1383" spans="3:5" ht="15" x14ac:dyDescent="0.2">
      <c r="C1383" s="61">
        <v>41423.364583333336</v>
      </c>
      <c r="D1383" s="60">
        <v>5640</v>
      </c>
      <c r="E1383" s="59" t="s">
        <v>306</v>
      </c>
    </row>
    <row r="1384" spans="3:5" ht="15" x14ac:dyDescent="0.2">
      <c r="C1384" s="61">
        <v>41423.375</v>
      </c>
      <c r="D1384" s="60">
        <v>5660</v>
      </c>
      <c r="E1384" s="59" t="s">
        <v>305</v>
      </c>
    </row>
    <row r="1385" spans="3:5" ht="15" x14ac:dyDescent="0.2">
      <c r="C1385" s="61">
        <v>41423.385416666664</v>
      </c>
      <c r="D1385" s="60">
        <v>5660</v>
      </c>
      <c r="E1385" s="59" t="s">
        <v>305</v>
      </c>
    </row>
    <row r="1386" spans="3:5" ht="15" x14ac:dyDescent="0.2">
      <c r="C1386" s="61">
        <v>41423.395833333336</v>
      </c>
      <c r="D1386" s="60">
        <v>5670</v>
      </c>
      <c r="E1386" s="59" t="s">
        <v>304</v>
      </c>
    </row>
    <row r="1387" spans="3:5" ht="15" x14ac:dyDescent="0.2">
      <c r="C1387" s="61">
        <v>41423.40625</v>
      </c>
      <c r="D1387" s="60">
        <v>5670</v>
      </c>
      <c r="E1387" s="59" t="s">
        <v>304</v>
      </c>
    </row>
    <row r="1388" spans="3:5" ht="15" x14ac:dyDescent="0.2">
      <c r="C1388" s="61">
        <v>41423.416666666664</v>
      </c>
      <c r="D1388" s="60">
        <v>5690</v>
      </c>
      <c r="E1388" s="59" t="s">
        <v>303</v>
      </c>
    </row>
    <row r="1389" spans="3:5" ht="15" x14ac:dyDescent="0.2">
      <c r="C1389" s="61">
        <v>41423.427083333336</v>
      </c>
      <c r="D1389" s="60">
        <v>5690</v>
      </c>
      <c r="E1389" s="59" t="s">
        <v>303</v>
      </c>
    </row>
    <row r="1390" spans="3:5" ht="15" x14ac:dyDescent="0.2">
      <c r="C1390" s="61">
        <v>41423.4375</v>
      </c>
      <c r="D1390" s="60">
        <v>5690</v>
      </c>
      <c r="E1390" s="59" t="s">
        <v>303</v>
      </c>
    </row>
    <row r="1391" spans="3:5" ht="15" x14ac:dyDescent="0.2">
      <c r="C1391" s="61">
        <v>41423.447916666664</v>
      </c>
      <c r="D1391" s="60">
        <v>5700</v>
      </c>
      <c r="E1391" s="59" t="s">
        <v>302</v>
      </c>
    </row>
    <row r="1392" spans="3:5" ht="15" x14ac:dyDescent="0.2">
      <c r="C1392" s="61">
        <v>41423.458333333336</v>
      </c>
      <c r="D1392" s="60">
        <v>5700</v>
      </c>
      <c r="E1392" s="59" t="s">
        <v>302</v>
      </c>
    </row>
    <row r="1393" spans="3:5" ht="15" x14ac:dyDescent="0.2">
      <c r="C1393" s="61">
        <v>41423.46875</v>
      </c>
      <c r="D1393" s="60">
        <v>5720</v>
      </c>
      <c r="E1393" s="59" t="s">
        <v>301</v>
      </c>
    </row>
    <row r="1394" spans="3:5" ht="15" x14ac:dyDescent="0.2">
      <c r="C1394" s="61">
        <v>41423.479166666664</v>
      </c>
      <c r="D1394" s="60">
        <v>5720</v>
      </c>
      <c r="E1394" s="59" t="s">
        <v>301</v>
      </c>
    </row>
    <row r="1395" spans="3:5" ht="15" x14ac:dyDescent="0.2">
      <c r="C1395" s="61">
        <v>41423.489583333336</v>
      </c>
      <c r="D1395" s="60">
        <v>5740</v>
      </c>
      <c r="E1395" s="59" t="s">
        <v>300</v>
      </c>
    </row>
    <row r="1396" spans="3:5" ht="15" x14ac:dyDescent="0.2">
      <c r="C1396" s="61">
        <v>41423.5</v>
      </c>
      <c r="D1396" s="60">
        <v>5750</v>
      </c>
      <c r="E1396" s="59" t="s">
        <v>299</v>
      </c>
    </row>
    <row r="1397" spans="3:5" ht="15" x14ac:dyDescent="0.2">
      <c r="C1397" s="61">
        <v>41423.510416666664</v>
      </c>
      <c r="D1397" s="60">
        <v>5750</v>
      </c>
      <c r="E1397" s="59" t="s">
        <v>299</v>
      </c>
    </row>
    <row r="1398" spans="3:5" ht="15" x14ac:dyDescent="0.2">
      <c r="C1398" s="61">
        <v>41423.520833333336</v>
      </c>
      <c r="D1398" s="60">
        <v>5770</v>
      </c>
      <c r="E1398" s="59" t="s">
        <v>298</v>
      </c>
    </row>
    <row r="1399" spans="3:5" ht="15" x14ac:dyDescent="0.2">
      <c r="C1399" s="61">
        <v>41423.53125</v>
      </c>
      <c r="D1399" s="60">
        <v>5770</v>
      </c>
      <c r="E1399" s="59" t="s">
        <v>298</v>
      </c>
    </row>
    <row r="1400" spans="3:5" ht="15" x14ac:dyDescent="0.2">
      <c r="C1400" s="61">
        <v>41423.541666666664</v>
      </c>
      <c r="D1400" s="60">
        <v>5780</v>
      </c>
      <c r="E1400" s="59" t="s">
        <v>297</v>
      </c>
    </row>
    <row r="1401" spans="3:5" ht="15" x14ac:dyDescent="0.2">
      <c r="C1401" s="61">
        <v>41423.552083333336</v>
      </c>
      <c r="D1401" s="60">
        <v>5780</v>
      </c>
      <c r="E1401" s="59" t="s">
        <v>297</v>
      </c>
    </row>
    <row r="1402" spans="3:5" ht="15" x14ac:dyDescent="0.2">
      <c r="C1402" s="61">
        <v>41423.5625</v>
      </c>
      <c r="D1402" s="60">
        <v>5800</v>
      </c>
      <c r="E1402" s="59" t="s">
        <v>296</v>
      </c>
    </row>
    <row r="1403" spans="3:5" ht="15" x14ac:dyDescent="0.2">
      <c r="C1403" s="61">
        <v>41423.572916666664</v>
      </c>
      <c r="D1403" s="60">
        <v>5800</v>
      </c>
      <c r="E1403" s="59" t="s">
        <v>296</v>
      </c>
    </row>
    <row r="1404" spans="3:5" ht="15" x14ac:dyDescent="0.2">
      <c r="C1404" s="61">
        <v>41423.583333333336</v>
      </c>
      <c r="D1404" s="60">
        <v>5810</v>
      </c>
      <c r="E1404" s="59" t="s">
        <v>295</v>
      </c>
    </row>
    <row r="1405" spans="3:5" ht="15" x14ac:dyDescent="0.2">
      <c r="C1405" s="61">
        <v>41423.59375</v>
      </c>
      <c r="D1405" s="60">
        <v>5810</v>
      </c>
      <c r="E1405" s="59" t="s">
        <v>295</v>
      </c>
    </row>
    <row r="1406" spans="3:5" ht="15" x14ac:dyDescent="0.2">
      <c r="C1406" s="61">
        <v>41423.604166666664</v>
      </c>
      <c r="D1406" s="60">
        <v>5830</v>
      </c>
      <c r="E1406" s="59" t="s">
        <v>294</v>
      </c>
    </row>
    <row r="1407" spans="3:5" ht="15" x14ac:dyDescent="0.2">
      <c r="C1407" s="61">
        <v>41423.614583333336</v>
      </c>
      <c r="D1407" s="60">
        <v>5830</v>
      </c>
      <c r="E1407" s="59" t="s">
        <v>294</v>
      </c>
    </row>
    <row r="1408" spans="3:5" ht="15" x14ac:dyDescent="0.2">
      <c r="C1408" s="61">
        <v>41423.625</v>
      </c>
      <c r="D1408" s="60">
        <v>5850</v>
      </c>
      <c r="E1408" s="59" t="s">
        <v>293</v>
      </c>
    </row>
    <row r="1409" spans="3:5" ht="15" x14ac:dyDescent="0.2">
      <c r="C1409" s="61">
        <v>41423.635416666664</v>
      </c>
      <c r="D1409" s="60">
        <v>5850</v>
      </c>
      <c r="E1409" s="59" t="s">
        <v>293</v>
      </c>
    </row>
    <row r="1410" spans="3:5" ht="15" x14ac:dyDescent="0.2">
      <c r="C1410" s="61">
        <v>41423.645833333336</v>
      </c>
      <c r="D1410" s="60">
        <v>5860</v>
      </c>
      <c r="E1410" s="59" t="s">
        <v>292</v>
      </c>
    </row>
    <row r="1411" spans="3:5" ht="15" x14ac:dyDescent="0.2">
      <c r="C1411" s="61">
        <v>41423.65625</v>
      </c>
      <c r="D1411" s="60">
        <v>5860</v>
      </c>
      <c r="E1411" s="59" t="s">
        <v>292</v>
      </c>
    </row>
    <row r="1412" spans="3:5" ht="15" x14ac:dyDescent="0.2">
      <c r="C1412" s="61">
        <v>41423.666666666664</v>
      </c>
      <c r="D1412" s="60">
        <v>5880</v>
      </c>
      <c r="E1412" s="59" t="s">
        <v>291</v>
      </c>
    </row>
    <row r="1413" spans="3:5" ht="15" x14ac:dyDescent="0.2">
      <c r="C1413" s="61">
        <v>41423.677083333336</v>
      </c>
      <c r="D1413" s="60">
        <v>5890</v>
      </c>
      <c r="E1413" s="59" t="s">
        <v>290</v>
      </c>
    </row>
    <row r="1414" spans="3:5" ht="15" x14ac:dyDescent="0.2">
      <c r="C1414" s="61">
        <v>41423.6875</v>
      </c>
      <c r="D1414" s="60">
        <v>5890</v>
      </c>
      <c r="E1414" s="59" t="s">
        <v>290</v>
      </c>
    </row>
    <row r="1415" spans="3:5" ht="15" x14ac:dyDescent="0.2">
      <c r="C1415" s="61">
        <v>41423.697916666664</v>
      </c>
      <c r="D1415" s="60">
        <v>5910</v>
      </c>
      <c r="E1415" s="59" t="s">
        <v>289</v>
      </c>
    </row>
    <row r="1416" spans="3:5" ht="15" x14ac:dyDescent="0.2">
      <c r="C1416" s="61">
        <v>41423.708333333336</v>
      </c>
      <c r="D1416" s="60">
        <v>5910</v>
      </c>
      <c r="E1416" s="59" t="s">
        <v>289</v>
      </c>
    </row>
    <row r="1417" spans="3:5" ht="15" x14ac:dyDescent="0.2">
      <c r="C1417" s="61">
        <v>41423.71875</v>
      </c>
      <c r="D1417" s="60">
        <v>5910</v>
      </c>
      <c r="E1417" s="59" t="s">
        <v>289</v>
      </c>
    </row>
    <row r="1418" spans="3:5" ht="15" x14ac:dyDescent="0.2">
      <c r="C1418" s="61">
        <v>41423.729166666664</v>
      </c>
      <c r="D1418" s="60">
        <v>5930</v>
      </c>
      <c r="E1418" s="59" t="s">
        <v>288</v>
      </c>
    </row>
    <row r="1419" spans="3:5" ht="15" x14ac:dyDescent="0.2">
      <c r="C1419" s="61">
        <v>41423.739583333336</v>
      </c>
      <c r="D1419" s="60">
        <v>5930</v>
      </c>
      <c r="E1419" s="59" t="s">
        <v>288</v>
      </c>
    </row>
    <row r="1420" spans="3:5" ht="15" x14ac:dyDescent="0.2">
      <c r="C1420" s="61">
        <v>41423.75</v>
      </c>
      <c r="D1420" s="60">
        <v>5940</v>
      </c>
      <c r="E1420" s="59" t="s">
        <v>287</v>
      </c>
    </row>
    <row r="1421" spans="3:5" ht="15" x14ac:dyDescent="0.2">
      <c r="C1421" s="61">
        <v>41423.760416666664</v>
      </c>
      <c r="D1421" s="60">
        <v>5940</v>
      </c>
      <c r="E1421" s="59" t="s">
        <v>287</v>
      </c>
    </row>
    <row r="1422" spans="3:5" ht="15" x14ac:dyDescent="0.2">
      <c r="C1422" s="61">
        <v>41423.770833333336</v>
      </c>
      <c r="D1422" s="60">
        <v>5960</v>
      </c>
      <c r="E1422" s="59" t="s">
        <v>286</v>
      </c>
    </row>
    <row r="1423" spans="3:5" ht="15" x14ac:dyDescent="0.2">
      <c r="C1423" s="61">
        <v>41423.78125</v>
      </c>
      <c r="D1423" s="60">
        <v>5960</v>
      </c>
      <c r="E1423" s="59" t="s">
        <v>286</v>
      </c>
    </row>
    <row r="1424" spans="3:5" ht="15" x14ac:dyDescent="0.2">
      <c r="C1424" s="61">
        <v>41423.791666666664</v>
      </c>
      <c r="D1424" s="60">
        <v>5970</v>
      </c>
      <c r="E1424" s="59" t="s">
        <v>285</v>
      </c>
    </row>
    <row r="1425" spans="3:5" ht="15" x14ac:dyDescent="0.2">
      <c r="C1425" s="61">
        <v>41423.802083333336</v>
      </c>
      <c r="D1425" s="60">
        <v>5970</v>
      </c>
      <c r="E1425" s="59" t="s">
        <v>285</v>
      </c>
    </row>
    <row r="1426" spans="3:5" ht="15" x14ac:dyDescent="0.2">
      <c r="C1426" s="61">
        <v>41423.8125</v>
      </c>
      <c r="D1426" s="60">
        <v>5990</v>
      </c>
      <c r="E1426" s="59" t="s">
        <v>284</v>
      </c>
    </row>
    <row r="1427" spans="3:5" ht="15" x14ac:dyDescent="0.2">
      <c r="C1427" s="61">
        <v>41423.822916666664</v>
      </c>
      <c r="D1427" s="60">
        <v>5990</v>
      </c>
      <c r="E1427" s="59" t="s">
        <v>284</v>
      </c>
    </row>
    <row r="1428" spans="3:5" ht="15" x14ac:dyDescent="0.2">
      <c r="C1428" s="61">
        <v>41423.833333333336</v>
      </c>
      <c r="D1428" s="60">
        <v>6010</v>
      </c>
      <c r="E1428" s="59" t="s">
        <v>283</v>
      </c>
    </row>
    <row r="1429" spans="3:5" ht="15" x14ac:dyDescent="0.2">
      <c r="C1429" s="61">
        <v>41423.84375</v>
      </c>
      <c r="D1429" s="60">
        <v>6010</v>
      </c>
      <c r="E1429" s="59" t="s">
        <v>283</v>
      </c>
    </row>
    <row r="1430" spans="3:5" ht="15" x14ac:dyDescent="0.2">
      <c r="C1430" s="61">
        <v>41423.854166666664</v>
      </c>
      <c r="D1430" s="60">
        <v>6040</v>
      </c>
      <c r="E1430" s="59" t="s">
        <v>281</v>
      </c>
    </row>
    <row r="1431" spans="3:5" ht="15" x14ac:dyDescent="0.2">
      <c r="C1431" s="61">
        <v>41423.864583333336</v>
      </c>
      <c r="D1431" s="60">
        <v>6050</v>
      </c>
      <c r="E1431" s="59" t="s">
        <v>280</v>
      </c>
    </row>
    <row r="1432" spans="3:5" ht="15" x14ac:dyDescent="0.2">
      <c r="C1432" s="61">
        <v>41423.875</v>
      </c>
      <c r="D1432" s="60">
        <v>6070</v>
      </c>
      <c r="E1432" s="59" t="s">
        <v>279</v>
      </c>
    </row>
    <row r="1433" spans="3:5" ht="15" x14ac:dyDescent="0.2">
      <c r="C1433" s="61">
        <v>41423.885416666664</v>
      </c>
      <c r="D1433" s="60">
        <v>6100</v>
      </c>
      <c r="E1433" s="59" t="s">
        <v>277</v>
      </c>
    </row>
    <row r="1434" spans="3:5" ht="15" x14ac:dyDescent="0.2">
      <c r="C1434" s="61">
        <v>41423.895833333336</v>
      </c>
      <c r="D1434" s="60">
        <v>6120</v>
      </c>
      <c r="E1434" s="59" t="s">
        <v>429</v>
      </c>
    </row>
    <row r="1435" spans="3:5" ht="15" x14ac:dyDescent="0.2">
      <c r="C1435" s="61">
        <v>41423.90625</v>
      </c>
      <c r="D1435" s="60">
        <v>6140</v>
      </c>
      <c r="E1435" s="59" t="s">
        <v>276</v>
      </c>
    </row>
    <row r="1436" spans="3:5" ht="15" x14ac:dyDescent="0.2">
      <c r="C1436" s="61">
        <v>41423.916666666664</v>
      </c>
      <c r="D1436" s="60">
        <v>6150</v>
      </c>
      <c r="E1436" s="59" t="s">
        <v>275</v>
      </c>
    </row>
    <row r="1437" spans="3:5" ht="15" x14ac:dyDescent="0.2">
      <c r="C1437" s="61">
        <v>41423.927083333336</v>
      </c>
      <c r="D1437" s="60">
        <v>6170</v>
      </c>
      <c r="E1437" s="59" t="s">
        <v>274</v>
      </c>
    </row>
    <row r="1438" spans="3:5" ht="15" x14ac:dyDescent="0.2">
      <c r="C1438" s="61">
        <v>41423.9375</v>
      </c>
      <c r="D1438" s="60">
        <v>6180</v>
      </c>
      <c r="E1438" s="59" t="s">
        <v>442</v>
      </c>
    </row>
    <row r="1439" spans="3:5" ht="15" x14ac:dyDescent="0.2">
      <c r="C1439" s="61">
        <v>41423.947916666664</v>
      </c>
      <c r="D1439" s="60">
        <v>6200</v>
      </c>
      <c r="E1439" s="59" t="s">
        <v>273</v>
      </c>
    </row>
    <row r="1440" spans="3:5" ht="15" x14ac:dyDescent="0.2">
      <c r="C1440" s="61">
        <v>41423.958333333336</v>
      </c>
      <c r="D1440" s="60">
        <v>6200</v>
      </c>
      <c r="E1440" s="59" t="s">
        <v>273</v>
      </c>
    </row>
    <row r="1441" spans="3:5" ht="15" x14ac:dyDescent="0.2">
      <c r="C1441" s="61">
        <v>41423.96875</v>
      </c>
      <c r="D1441" s="60">
        <v>6220</v>
      </c>
      <c r="E1441" s="59" t="s">
        <v>272</v>
      </c>
    </row>
    <row r="1442" spans="3:5" ht="15" x14ac:dyDescent="0.2">
      <c r="C1442" s="61">
        <v>41423.979166666664</v>
      </c>
      <c r="D1442" s="60">
        <v>6230</v>
      </c>
      <c r="E1442" s="59" t="s">
        <v>271</v>
      </c>
    </row>
    <row r="1443" spans="3:5" ht="15" x14ac:dyDescent="0.2">
      <c r="C1443" s="61">
        <v>41423.989583333336</v>
      </c>
      <c r="D1443" s="60">
        <v>6230</v>
      </c>
      <c r="E1443" s="59" t="s">
        <v>271</v>
      </c>
    </row>
    <row r="1444" spans="3:5" ht="15" x14ac:dyDescent="0.2">
      <c r="C1444" s="61">
        <v>41424</v>
      </c>
      <c r="D1444" s="60">
        <v>6250</v>
      </c>
      <c r="E1444" s="59" t="s">
        <v>430</v>
      </c>
    </row>
    <row r="1445" spans="3:5" ht="15" x14ac:dyDescent="0.2">
      <c r="C1445" s="61">
        <v>41424.010416666664</v>
      </c>
      <c r="D1445" s="60">
        <v>6250</v>
      </c>
      <c r="E1445" s="59" t="s">
        <v>430</v>
      </c>
    </row>
    <row r="1446" spans="3:5" ht="15" x14ac:dyDescent="0.2">
      <c r="C1446" s="61">
        <v>41424.020833333336</v>
      </c>
      <c r="D1446" s="60">
        <v>6270</v>
      </c>
      <c r="E1446" s="59" t="s">
        <v>270</v>
      </c>
    </row>
    <row r="1447" spans="3:5" ht="15" x14ac:dyDescent="0.2">
      <c r="C1447" s="61">
        <v>41424.03125</v>
      </c>
      <c r="D1447" s="60">
        <v>6270</v>
      </c>
      <c r="E1447" s="59" t="s">
        <v>270</v>
      </c>
    </row>
    <row r="1448" spans="3:5" ht="15" x14ac:dyDescent="0.2">
      <c r="C1448" s="61">
        <v>41424.041666666664</v>
      </c>
      <c r="D1448" s="60">
        <v>6280</v>
      </c>
      <c r="E1448" s="59" t="s">
        <v>269</v>
      </c>
    </row>
    <row r="1449" spans="3:5" ht="15" x14ac:dyDescent="0.2">
      <c r="C1449" s="61">
        <v>41424.052083333336</v>
      </c>
      <c r="D1449" s="60">
        <v>6280</v>
      </c>
      <c r="E1449" s="59" t="s">
        <v>269</v>
      </c>
    </row>
    <row r="1450" spans="3:5" ht="15" x14ac:dyDescent="0.2">
      <c r="C1450" s="61">
        <v>41424.0625</v>
      </c>
      <c r="D1450" s="60">
        <v>6280</v>
      </c>
      <c r="E1450" s="59" t="s">
        <v>269</v>
      </c>
    </row>
    <row r="1451" spans="3:5" ht="15" x14ac:dyDescent="0.2">
      <c r="C1451" s="61">
        <v>41424.072916666664</v>
      </c>
      <c r="D1451" s="60">
        <v>6300</v>
      </c>
      <c r="E1451" s="59" t="s">
        <v>268</v>
      </c>
    </row>
    <row r="1452" spans="3:5" ht="15" x14ac:dyDescent="0.2">
      <c r="C1452" s="61">
        <v>41424.083333333336</v>
      </c>
      <c r="D1452" s="60">
        <v>6300</v>
      </c>
      <c r="E1452" s="59" t="s">
        <v>268</v>
      </c>
    </row>
    <row r="1453" spans="3:5" ht="15" x14ac:dyDescent="0.2">
      <c r="C1453" s="61">
        <v>41424.09375</v>
      </c>
      <c r="D1453" s="60">
        <v>6300</v>
      </c>
      <c r="E1453" s="59" t="s">
        <v>268</v>
      </c>
    </row>
    <row r="1454" spans="3:5" ht="15" x14ac:dyDescent="0.2">
      <c r="C1454" s="61">
        <v>41424.104166666664</v>
      </c>
      <c r="D1454" s="60">
        <v>6310</v>
      </c>
      <c r="E1454" s="59" t="s">
        <v>441</v>
      </c>
    </row>
    <row r="1455" spans="3:5" ht="15" x14ac:dyDescent="0.2">
      <c r="C1455" s="61">
        <v>41424.114583333336</v>
      </c>
      <c r="D1455" s="60">
        <v>6310</v>
      </c>
      <c r="E1455" s="59" t="s">
        <v>441</v>
      </c>
    </row>
    <row r="1456" spans="3:5" ht="15" x14ac:dyDescent="0.2">
      <c r="C1456" s="61">
        <v>41424.125</v>
      </c>
      <c r="D1456" s="60">
        <v>6310</v>
      </c>
      <c r="E1456" s="59" t="s">
        <v>441</v>
      </c>
    </row>
    <row r="1457" spans="3:5" ht="15" x14ac:dyDescent="0.2">
      <c r="C1457" s="61">
        <v>41424.135416666664</v>
      </c>
      <c r="D1457" s="60">
        <v>6330</v>
      </c>
      <c r="E1457" s="59" t="s">
        <v>267</v>
      </c>
    </row>
    <row r="1458" spans="3:5" ht="15" x14ac:dyDescent="0.2">
      <c r="C1458" s="61">
        <v>41424.145833333336</v>
      </c>
      <c r="D1458" s="60">
        <v>6330</v>
      </c>
      <c r="E1458" s="59" t="s">
        <v>267</v>
      </c>
    </row>
    <row r="1459" spans="3:5" ht="15" x14ac:dyDescent="0.2">
      <c r="C1459" s="61">
        <v>41424.15625</v>
      </c>
      <c r="D1459" s="60">
        <v>6330</v>
      </c>
      <c r="E1459" s="59" t="s">
        <v>267</v>
      </c>
    </row>
    <row r="1460" spans="3:5" ht="15" x14ac:dyDescent="0.2">
      <c r="C1460" s="61">
        <v>41424.166666666664</v>
      </c>
      <c r="D1460" s="60">
        <v>6330</v>
      </c>
      <c r="E1460" s="59" t="s">
        <v>267</v>
      </c>
    </row>
    <row r="1461" spans="3:5" ht="15" x14ac:dyDescent="0.2">
      <c r="C1461" s="61">
        <v>41424.177083333336</v>
      </c>
      <c r="D1461" s="60">
        <v>6350</v>
      </c>
      <c r="E1461" s="59" t="s">
        <v>266</v>
      </c>
    </row>
    <row r="1462" spans="3:5" ht="15" x14ac:dyDescent="0.2">
      <c r="C1462" s="61">
        <v>41424.1875</v>
      </c>
      <c r="D1462" s="60">
        <v>6350</v>
      </c>
      <c r="E1462" s="59" t="s">
        <v>266</v>
      </c>
    </row>
    <row r="1463" spans="3:5" ht="15" x14ac:dyDescent="0.2">
      <c r="C1463" s="61">
        <v>41424.197916666664</v>
      </c>
      <c r="D1463" s="60">
        <v>6350</v>
      </c>
      <c r="E1463" s="59" t="s">
        <v>266</v>
      </c>
    </row>
    <row r="1464" spans="3:5" ht="15" x14ac:dyDescent="0.2">
      <c r="C1464" s="61">
        <v>41424.208333333336</v>
      </c>
      <c r="D1464" s="60">
        <v>6350</v>
      </c>
      <c r="E1464" s="59" t="s">
        <v>266</v>
      </c>
    </row>
    <row r="1465" spans="3:5" ht="15" x14ac:dyDescent="0.2">
      <c r="C1465" s="61">
        <v>41424.21875</v>
      </c>
      <c r="D1465" s="60">
        <v>6360</v>
      </c>
      <c r="E1465" s="59" t="s">
        <v>265</v>
      </c>
    </row>
    <row r="1466" spans="3:5" ht="15" x14ac:dyDescent="0.2">
      <c r="C1466" s="61">
        <v>41424.229166666664</v>
      </c>
      <c r="D1466" s="60">
        <v>6360</v>
      </c>
      <c r="E1466" s="59" t="s">
        <v>265</v>
      </c>
    </row>
    <row r="1467" spans="3:5" ht="15" x14ac:dyDescent="0.2">
      <c r="C1467" s="61">
        <v>41424.239583333336</v>
      </c>
      <c r="D1467" s="60">
        <v>6360</v>
      </c>
      <c r="E1467" s="59" t="s">
        <v>265</v>
      </c>
    </row>
    <row r="1468" spans="3:5" ht="15" x14ac:dyDescent="0.2">
      <c r="C1468" s="61">
        <v>41424.25</v>
      </c>
      <c r="D1468" s="60">
        <v>6360</v>
      </c>
      <c r="E1468" s="59" t="s">
        <v>265</v>
      </c>
    </row>
    <row r="1469" spans="3:5" ht="15" x14ac:dyDescent="0.2">
      <c r="C1469" s="61">
        <v>41424.260416666664</v>
      </c>
      <c r="D1469" s="60">
        <v>6360</v>
      </c>
      <c r="E1469" s="59" t="s">
        <v>265</v>
      </c>
    </row>
    <row r="1470" spans="3:5" ht="15" x14ac:dyDescent="0.2">
      <c r="C1470" s="61">
        <v>41424.270833333336</v>
      </c>
      <c r="D1470" s="60">
        <v>6380</v>
      </c>
      <c r="E1470" s="59" t="s">
        <v>264</v>
      </c>
    </row>
    <row r="1471" spans="3:5" ht="15" x14ac:dyDescent="0.2">
      <c r="C1471" s="61">
        <v>41424.28125</v>
      </c>
      <c r="D1471" s="60">
        <v>6380</v>
      </c>
      <c r="E1471" s="59" t="s">
        <v>264</v>
      </c>
    </row>
    <row r="1472" spans="3:5" ht="15" x14ac:dyDescent="0.2">
      <c r="C1472" s="61">
        <v>41424.291666666664</v>
      </c>
      <c r="D1472" s="60">
        <v>6380</v>
      </c>
      <c r="E1472" s="59" t="s">
        <v>264</v>
      </c>
    </row>
    <row r="1473" spans="3:5" ht="15" x14ac:dyDescent="0.2">
      <c r="C1473" s="61">
        <v>41424.302083333336</v>
      </c>
      <c r="D1473" s="60">
        <v>6400</v>
      </c>
      <c r="E1473" s="59" t="s">
        <v>263</v>
      </c>
    </row>
    <row r="1474" spans="3:5" ht="15" x14ac:dyDescent="0.2">
      <c r="C1474" s="61">
        <v>41424.3125</v>
      </c>
      <c r="D1474" s="60">
        <v>6400</v>
      </c>
      <c r="E1474" s="59" t="s">
        <v>263</v>
      </c>
    </row>
    <row r="1475" spans="3:5" ht="15" x14ac:dyDescent="0.2">
      <c r="C1475" s="61">
        <v>41424.322916666664</v>
      </c>
      <c r="D1475" s="60">
        <v>6400</v>
      </c>
      <c r="E1475" s="59" t="s">
        <v>263</v>
      </c>
    </row>
    <row r="1476" spans="3:5" ht="15" x14ac:dyDescent="0.2">
      <c r="C1476" s="61">
        <v>41424.333333333336</v>
      </c>
      <c r="D1476" s="60">
        <v>6400</v>
      </c>
      <c r="E1476" s="59" t="s">
        <v>263</v>
      </c>
    </row>
    <row r="1477" spans="3:5" ht="15" x14ac:dyDescent="0.2">
      <c r="C1477" s="61">
        <v>41424.34375</v>
      </c>
      <c r="D1477" s="60">
        <v>6410</v>
      </c>
      <c r="E1477" s="59" t="s">
        <v>262</v>
      </c>
    </row>
    <row r="1478" spans="3:5" ht="15" x14ac:dyDescent="0.2">
      <c r="C1478" s="61">
        <v>41424.354166666664</v>
      </c>
      <c r="D1478" s="60">
        <v>6410</v>
      </c>
      <c r="E1478" s="59" t="s">
        <v>262</v>
      </c>
    </row>
    <row r="1479" spans="3:5" ht="15" x14ac:dyDescent="0.2">
      <c r="C1479" s="61">
        <v>41424.364583333336</v>
      </c>
      <c r="D1479" s="60">
        <v>6410</v>
      </c>
      <c r="E1479" s="59" t="s">
        <v>262</v>
      </c>
    </row>
    <row r="1480" spans="3:5" ht="15" x14ac:dyDescent="0.2">
      <c r="C1480" s="61">
        <v>41424.375</v>
      </c>
      <c r="D1480" s="60">
        <v>6410</v>
      </c>
      <c r="E1480" s="59" t="s">
        <v>262</v>
      </c>
    </row>
    <row r="1481" spans="3:5" ht="15" x14ac:dyDescent="0.2">
      <c r="C1481" s="61">
        <v>41424.385416666664</v>
      </c>
      <c r="D1481" s="60">
        <v>6430</v>
      </c>
      <c r="E1481" s="59" t="s">
        <v>261</v>
      </c>
    </row>
    <row r="1482" spans="3:5" ht="15" x14ac:dyDescent="0.2">
      <c r="C1482" s="61">
        <v>41424.395833333336</v>
      </c>
      <c r="D1482" s="60">
        <v>6430</v>
      </c>
      <c r="E1482" s="59" t="s">
        <v>261</v>
      </c>
    </row>
    <row r="1483" spans="3:5" ht="15" x14ac:dyDescent="0.2">
      <c r="C1483" s="61">
        <v>41424.40625</v>
      </c>
      <c r="D1483" s="60">
        <v>6430</v>
      </c>
      <c r="E1483" s="59" t="s">
        <v>261</v>
      </c>
    </row>
    <row r="1484" spans="3:5" ht="15" x14ac:dyDescent="0.2">
      <c r="C1484" s="61">
        <v>41424.416666666664</v>
      </c>
      <c r="D1484" s="60">
        <v>6430</v>
      </c>
      <c r="E1484" s="59" t="s">
        <v>261</v>
      </c>
    </row>
    <row r="1485" spans="3:5" ht="15" x14ac:dyDescent="0.2">
      <c r="C1485" s="61">
        <v>41424.427083333336</v>
      </c>
      <c r="D1485" s="60">
        <v>6450</v>
      </c>
      <c r="E1485" s="59" t="s">
        <v>431</v>
      </c>
    </row>
    <row r="1486" spans="3:5" ht="15" x14ac:dyDescent="0.2">
      <c r="C1486" s="61">
        <v>41424.4375</v>
      </c>
      <c r="D1486" s="60">
        <v>6450</v>
      </c>
      <c r="E1486" s="59" t="s">
        <v>431</v>
      </c>
    </row>
    <row r="1487" spans="3:5" ht="15" x14ac:dyDescent="0.2">
      <c r="C1487" s="61">
        <v>41424.447916666664</v>
      </c>
      <c r="D1487" s="60">
        <v>6450</v>
      </c>
      <c r="E1487" s="59" t="s">
        <v>431</v>
      </c>
    </row>
    <row r="1488" spans="3:5" ht="15" x14ac:dyDescent="0.2">
      <c r="C1488" s="61">
        <v>41424.458333333336</v>
      </c>
      <c r="D1488" s="60">
        <v>6450</v>
      </c>
      <c r="E1488" s="59" t="s">
        <v>431</v>
      </c>
    </row>
    <row r="1489" spans="3:5" ht="15" x14ac:dyDescent="0.2">
      <c r="C1489" s="61">
        <v>41424.46875</v>
      </c>
      <c r="D1489" s="60">
        <v>6460</v>
      </c>
      <c r="E1489" s="59" t="s">
        <v>260</v>
      </c>
    </row>
    <row r="1490" spans="3:5" ht="15" x14ac:dyDescent="0.2">
      <c r="C1490" s="61">
        <v>41424.479166666664</v>
      </c>
      <c r="D1490" s="60">
        <v>6460</v>
      </c>
      <c r="E1490" s="59" t="s">
        <v>260</v>
      </c>
    </row>
    <row r="1491" spans="3:5" ht="15" x14ac:dyDescent="0.2">
      <c r="C1491" s="61">
        <v>41424.489583333336</v>
      </c>
      <c r="D1491" s="60">
        <v>6460</v>
      </c>
      <c r="E1491" s="59" t="s">
        <v>260</v>
      </c>
    </row>
    <row r="1492" spans="3:5" ht="15" x14ac:dyDescent="0.2">
      <c r="C1492" s="61">
        <v>41424.5</v>
      </c>
      <c r="D1492" s="60">
        <v>6480</v>
      </c>
      <c r="E1492" s="59" t="s">
        <v>259</v>
      </c>
    </row>
    <row r="1493" spans="3:5" ht="15" x14ac:dyDescent="0.2">
      <c r="C1493" s="61">
        <v>41424.510416666664</v>
      </c>
      <c r="D1493" s="60">
        <v>6480</v>
      </c>
      <c r="E1493" s="59" t="s">
        <v>259</v>
      </c>
    </row>
    <row r="1494" spans="3:5" ht="15" x14ac:dyDescent="0.2">
      <c r="C1494" s="61">
        <v>41424.520833333336</v>
      </c>
      <c r="D1494" s="60">
        <v>6480</v>
      </c>
      <c r="E1494" s="59" t="s">
        <v>259</v>
      </c>
    </row>
    <row r="1495" spans="3:5" ht="15" x14ac:dyDescent="0.2">
      <c r="C1495" s="61">
        <v>41424.53125</v>
      </c>
      <c r="D1495" s="60">
        <v>6480</v>
      </c>
      <c r="E1495" s="59" t="s">
        <v>259</v>
      </c>
    </row>
    <row r="1496" spans="3:5" ht="15" x14ac:dyDescent="0.2">
      <c r="C1496" s="61">
        <v>41424.541666666664</v>
      </c>
      <c r="D1496" s="60">
        <v>6500</v>
      </c>
      <c r="E1496" s="59" t="s">
        <v>258</v>
      </c>
    </row>
    <row r="1497" spans="3:5" ht="15" x14ac:dyDescent="0.2">
      <c r="C1497" s="61">
        <v>41424.552083333336</v>
      </c>
      <c r="D1497" s="60">
        <v>6500</v>
      </c>
      <c r="E1497" s="59" t="s">
        <v>258</v>
      </c>
    </row>
    <row r="1498" spans="3:5" ht="15" x14ac:dyDescent="0.2">
      <c r="C1498" s="61">
        <v>41424.5625</v>
      </c>
      <c r="D1498" s="60">
        <v>6500</v>
      </c>
      <c r="E1498" s="59" t="s">
        <v>258</v>
      </c>
    </row>
    <row r="1499" spans="3:5" ht="15" x14ac:dyDescent="0.2">
      <c r="C1499" s="61">
        <v>41424.572916666664</v>
      </c>
      <c r="D1499" s="60">
        <v>6500</v>
      </c>
      <c r="E1499" s="59" t="s">
        <v>258</v>
      </c>
    </row>
    <row r="1500" spans="3:5" ht="15" x14ac:dyDescent="0.2">
      <c r="C1500" s="61">
        <v>41424.583333333336</v>
      </c>
      <c r="D1500" s="60">
        <v>6510</v>
      </c>
      <c r="E1500" s="59" t="s">
        <v>432</v>
      </c>
    </row>
    <row r="1501" spans="3:5" ht="15" x14ac:dyDescent="0.2">
      <c r="C1501" s="61">
        <v>41424.59375</v>
      </c>
      <c r="D1501" s="60">
        <v>6510</v>
      </c>
      <c r="E1501" s="59" t="s">
        <v>432</v>
      </c>
    </row>
    <row r="1502" spans="3:5" ht="15" x14ac:dyDescent="0.2">
      <c r="C1502" s="61">
        <v>41424.604166666664</v>
      </c>
      <c r="D1502" s="60">
        <v>6510</v>
      </c>
      <c r="E1502" s="59" t="s">
        <v>432</v>
      </c>
    </row>
    <row r="1503" spans="3:5" ht="15" x14ac:dyDescent="0.2">
      <c r="C1503" s="61">
        <v>41424.614583333336</v>
      </c>
      <c r="D1503" s="60">
        <v>6530</v>
      </c>
      <c r="E1503" s="59" t="s">
        <v>257</v>
      </c>
    </row>
    <row r="1504" spans="3:5" ht="15" x14ac:dyDescent="0.2">
      <c r="C1504" s="61">
        <v>41424.625</v>
      </c>
      <c r="D1504" s="60">
        <v>6530</v>
      </c>
      <c r="E1504" s="59" t="s">
        <v>257</v>
      </c>
    </row>
    <row r="1505" spans="3:5" ht="15" x14ac:dyDescent="0.2">
      <c r="C1505" s="61">
        <v>41424.635416666664</v>
      </c>
      <c r="D1505" s="60">
        <v>6530</v>
      </c>
      <c r="E1505" s="59" t="s">
        <v>257</v>
      </c>
    </row>
    <row r="1506" spans="3:5" ht="15" x14ac:dyDescent="0.2">
      <c r="C1506" s="61">
        <v>41424.645833333336</v>
      </c>
      <c r="D1506" s="60">
        <v>6530</v>
      </c>
      <c r="E1506" s="59" t="s">
        <v>257</v>
      </c>
    </row>
    <row r="1507" spans="3:5" ht="15" x14ac:dyDescent="0.2">
      <c r="C1507" s="61">
        <v>41424.65625</v>
      </c>
      <c r="D1507" s="60">
        <v>6540</v>
      </c>
      <c r="E1507" s="59" t="s">
        <v>433</v>
      </c>
    </row>
    <row r="1508" spans="3:5" ht="15" x14ac:dyDescent="0.2">
      <c r="C1508" s="61">
        <v>41424.666666666664</v>
      </c>
      <c r="D1508" s="60">
        <v>6540</v>
      </c>
      <c r="E1508" s="59" t="s">
        <v>433</v>
      </c>
    </row>
    <row r="1509" spans="3:5" ht="15" x14ac:dyDescent="0.2">
      <c r="C1509" s="61">
        <v>41424.677083333336</v>
      </c>
      <c r="D1509" s="60">
        <v>6560</v>
      </c>
      <c r="E1509" s="59" t="s">
        <v>256</v>
      </c>
    </row>
    <row r="1510" spans="3:5" ht="15" x14ac:dyDescent="0.2">
      <c r="C1510" s="61">
        <v>41424.6875</v>
      </c>
      <c r="D1510" s="60">
        <v>6560</v>
      </c>
      <c r="E1510" s="59" t="s">
        <v>256</v>
      </c>
    </row>
    <row r="1511" spans="3:5" ht="15" x14ac:dyDescent="0.2">
      <c r="C1511" s="61">
        <v>41424.697916666664</v>
      </c>
      <c r="D1511" s="60">
        <v>6560</v>
      </c>
      <c r="E1511" s="59" t="s">
        <v>256</v>
      </c>
    </row>
    <row r="1512" spans="3:5" ht="15" x14ac:dyDescent="0.2">
      <c r="C1512" s="61">
        <v>41424.708333333336</v>
      </c>
      <c r="D1512" s="60">
        <v>6560</v>
      </c>
      <c r="E1512" s="59" t="s">
        <v>256</v>
      </c>
    </row>
    <row r="1513" spans="3:5" ht="15" x14ac:dyDescent="0.2">
      <c r="C1513" s="61">
        <v>41424.71875</v>
      </c>
      <c r="D1513" s="60">
        <v>6580</v>
      </c>
      <c r="E1513" s="59" t="s">
        <v>255</v>
      </c>
    </row>
    <row r="1514" spans="3:5" ht="15" x14ac:dyDescent="0.2">
      <c r="C1514" s="61">
        <v>41424.729166666664</v>
      </c>
      <c r="D1514" s="60">
        <v>6580</v>
      </c>
      <c r="E1514" s="59" t="s">
        <v>255</v>
      </c>
    </row>
    <row r="1515" spans="3:5" ht="15" x14ac:dyDescent="0.2">
      <c r="C1515" s="61">
        <v>41424.739583333336</v>
      </c>
      <c r="D1515" s="60">
        <v>6580</v>
      </c>
      <c r="E1515" s="59" t="s">
        <v>255</v>
      </c>
    </row>
    <row r="1516" spans="3:5" ht="15" x14ac:dyDescent="0.2">
      <c r="C1516" s="61">
        <v>41424.75</v>
      </c>
      <c r="D1516" s="60">
        <v>6590</v>
      </c>
      <c r="E1516" s="59" t="s">
        <v>434</v>
      </c>
    </row>
    <row r="1517" spans="3:5" ht="15" x14ac:dyDescent="0.2">
      <c r="C1517" s="61">
        <v>41424.760416666664</v>
      </c>
      <c r="D1517" s="60">
        <v>6590</v>
      </c>
      <c r="E1517" s="59" t="s">
        <v>434</v>
      </c>
    </row>
    <row r="1518" spans="3:5" ht="15" x14ac:dyDescent="0.2">
      <c r="C1518" s="61">
        <v>41424.770833333336</v>
      </c>
      <c r="D1518" s="60">
        <v>6590</v>
      </c>
      <c r="E1518" s="59" t="s">
        <v>434</v>
      </c>
    </row>
    <row r="1519" spans="3:5" ht="15" x14ac:dyDescent="0.2">
      <c r="C1519" s="61">
        <v>41424.78125</v>
      </c>
      <c r="D1519" s="60">
        <v>6610</v>
      </c>
      <c r="E1519" s="59" t="s">
        <v>254</v>
      </c>
    </row>
    <row r="1520" spans="3:5" ht="15" x14ac:dyDescent="0.2">
      <c r="C1520" s="61">
        <v>41424.791666666664</v>
      </c>
      <c r="D1520" s="60">
        <v>6610</v>
      </c>
      <c r="E1520" s="59" t="s">
        <v>254</v>
      </c>
    </row>
    <row r="1521" spans="3:5" ht="15" x14ac:dyDescent="0.2">
      <c r="C1521" s="61">
        <v>41424.802083333336</v>
      </c>
      <c r="D1521" s="60">
        <v>6630</v>
      </c>
      <c r="E1521" s="59" t="s">
        <v>253</v>
      </c>
    </row>
    <row r="1522" spans="3:5" ht="15" x14ac:dyDescent="0.2">
      <c r="C1522" s="61">
        <v>41424.8125</v>
      </c>
      <c r="D1522" s="60">
        <v>6630</v>
      </c>
      <c r="E1522" s="59" t="s">
        <v>253</v>
      </c>
    </row>
    <row r="1523" spans="3:5" ht="15" x14ac:dyDescent="0.2">
      <c r="C1523" s="61">
        <v>41424.822916666664</v>
      </c>
      <c r="D1523" s="60">
        <v>6630</v>
      </c>
      <c r="E1523" s="59" t="s">
        <v>253</v>
      </c>
    </row>
    <row r="1524" spans="3:5" ht="15" x14ac:dyDescent="0.2">
      <c r="C1524" s="61">
        <v>41424.833333333336</v>
      </c>
      <c r="D1524" s="60">
        <v>6640</v>
      </c>
      <c r="E1524" s="59" t="s">
        <v>435</v>
      </c>
    </row>
    <row r="1525" spans="3:5" ht="15" x14ac:dyDescent="0.2">
      <c r="C1525" s="61">
        <v>41424.84375</v>
      </c>
      <c r="D1525" s="60">
        <v>6640</v>
      </c>
      <c r="E1525" s="59" t="s">
        <v>435</v>
      </c>
    </row>
    <row r="1526" spans="3:5" ht="15" x14ac:dyDescent="0.2">
      <c r="C1526" s="61">
        <v>41424.854166666664</v>
      </c>
      <c r="D1526" s="60">
        <v>6660</v>
      </c>
      <c r="E1526" s="59" t="s">
        <v>252</v>
      </c>
    </row>
    <row r="1527" spans="3:5" ht="15" x14ac:dyDescent="0.2">
      <c r="C1527" s="61">
        <v>41424.864583333336</v>
      </c>
      <c r="D1527" s="60">
        <v>6660</v>
      </c>
      <c r="E1527" s="59" t="s">
        <v>252</v>
      </c>
    </row>
    <row r="1528" spans="3:5" ht="15" x14ac:dyDescent="0.2">
      <c r="C1528" s="61">
        <v>41424.875</v>
      </c>
      <c r="D1528" s="60">
        <v>6680</v>
      </c>
      <c r="E1528" s="59" t="s">
        <v>251</v>
      </c>
    </row>
    <row r="1529" spans="3:5" ht="15" x14ac:dyDescent="0.2">
      <c r="C1529" s="61">
        <v>41424.885416666664</v>
      </c>
      <c r="D1529" s="60">
        <v>6680</v>
      </c>
      <c r="E1529" s="59" t="s">
        <v>251</v>
      </c>
    </row>
    <row r="1530" spans="3:5" ht="15" x14ac:dyDescent="0.2">
      <c r="C1530" s="61">
        <v>41424.895833333336</v>
      </c>
      <c r="D1530" s="60">
        <v>6680</v>
      </c>
      <c r="E1530" s="59" t="s">
        <v>251</v>
      </c>
    </row>
    <row r="1531" spans="3:5" ht="15" x14ac:dyDescent="0.2">
      <c r="C1531" s="61">
        <v>41424.90625</v>
      </c>
      <c r="D1531" s="60">
        <v>6690</v>
      </c>
      <c r="E1531" s="59" t="s">
        <v>436</v>
      </c>
    </row>
    <row r="1532" spans="3:5" ht="15" x14ac:dyDescent="0.2">
      <c r="C1532" s="61">
        <v>41424.916666666664</v>
      </c>
      <c r="D1532" s="60">
        <v>6690</v>
      </c>
      <c r="E1532" s="59" t="s">
        <v>436</v>
      </c>
    </row>
    <row r="1533" spans="3:5" ht="15" x14ac:dyDescent="0.2">
      <c r="C1533" s="61">
        <v>41424.927083333336</v>
      </c>
      <c r="D1533" s="60">
        <v>6690</v>
      </c>
      <c r="E1533" s="59" t="s">
        <v>436</v>
      </c>
    </row>
    <row r="1534" spans="3:5" ht="15" x14ac:dyDescent="0.2">
      <c r="C1534" s="61">
        <v>41424.9375</v>
      </c>
      <c r="D1534" s="60">
        <v>6710</v>
      </c>
      <c r="E1534" s="59" t="s">
        <v>250</v>
      </c>
    </row>
    <row r="1535" spans="3:5" ht="15" x14ac:dyDescent="0.2">
      <c r="C1535" s="61">
        <v>41424.947916666664</v>
      </c>
      <c r="D1535" s="60">
        <v>6710</v>
      </c>
      <c r="E1535" s="59" t="s">
        <v>250</v>
      </c>
    </row>
    <row r="1536" spans="3:5" ht="15" x14ac:dyDescent="0.2">
      <c r="C1536" s="61">
        <v>41424.958333333336</v>
      </c>
      <c r="D1536" s="60">
        <v>6710</v>
      </c>
      <c r="E1536" s="59" t="s">
        <v>250</v>
      </c>
    </row>
    <row r="1537" spans="3:5" ht="15" x14ac:dyDescent="0.2">
      <c r="C1537" s="61">
        <v>41424.96875</v>
      </c>
      <c r="D1537" s="60">
        <v>6730</v>
      </c>
      <c r="E1537" s="59" t="s">
        <v>249</v>
      </c>
    </row>
    <row r="1538" spans="3:5" ht="15" x14ac:dyDescent="0.2">
      <c r="C1538" s="61">
        <v>41424.979166666664</v>
      </c>
      <c r="D1538" s="60">
        <v>6730</v>
      </c>
      <c r="E1538" s="59" t="s">
        <v>249</v>
      </c>
    </row>
    <row r="1539" spans="3:5" ht="15" x14ac:dyDescent="0.2">
      <c r="C1539" s="61">
        <v>41424.989583333336</v>
      </c>
      <c r="D1539" s="60">
        <v>6730</v>
      </c>
      <c r="E1539" s="59" t="s">
        <v>249</v>
      </c>
    </row>
    <row r="1540" spans="3:5" ht="15" x14ac:dyDescent="0.2">
      <c r="C1540" s="61">
        <v>41425</v>
      </c>
      <c r="D1540" s="60">
        <v>6730</v>
      </c>
      <c r="E1540" s="59" t="s">
        <v>249</v>
      </c>
    </row>
    <row r="1541" spans="3:5" ht="15" x14ac:dyDescent="0.2">
      <c r="C1541" s="61">
        <v>41425.010416666664</v>
      </c>
      <c r="D1541" s="60">
        <v>6740</v>
      </c>
      <c r="E1541" s="59" t="s">
        <v>437</v>
      </c>
    </row>
    <row r="1542" spans="3:5" ht="15" x14ac:dyDescent="0.2">
      <c r="C1542" s="61">
        <v>41425.020833333336</v>
      </c>
      <c r="D1542" s="60">
        <v>6740</v>
      </c>
      <c r="E1542" s="59" t="s">
        <v>437</v>
      </c>
    </row>
    <row r="1543" spans="3:5" ht="15" x14ac:dyDescent="0.2">
      <c r="C1543" s="61">
        <v>41425.03125</v>
      </c>
      <c r="D1543" s="60">
        <v>6740</v>
      </c>
      <c r="E1543" s="59" t="s">
        <v>437</v>
      </c>
    </row>
    <row r="1544" spans="3:5" ht="15" x14ac:dyDescent="0.2">
      <c r="C1544" s="61">
        <v>41425.041666666664</v>
      </c>
      <c r="D1544" s="60">
        <v>6760</v>
      </c>
      <c r="E1544" s="59" t="s">
        <v>248</v>
      </c>
    </row>
    <row r="1545" spans="3:5" ht="15" x14ac:dyDescent="0.2">
      <c r="C1545" s="61">
        <v>41425.052083333336</v>
      </c>
      <c r="D1545" s="60">
        <v>6760</v>
      </c>
      <c r="E1545" s="59" t="s">
        <v>248</v>
      </c>
    </row>
    <row r="1546" spans="3:5" ht="15" x14ac:dyDescent="0.2">
      <c r="C1546" s="61">
        <v>41425.0625</v>
      </c>
      <c r="D1546" s="60">
        <v>6760</v>
      </c>
      <c r="E1546" s="59" t="s">
        <v>248</v>
      </c>
    </row>
    <row r="1547" spans="3:5" ht="15" x14ac:dyDescent="0.2">
      <c r="C1547" s="61">
        <v>41425.072916666664</v>
      </c>
      <c r="D1547" s="60">
        <v>6760</v>
      </c>
      <c r="E1547" s="59" t="s">
        <v>248</v>
      </c>
    </row>
    <row r="1548" spans="3:5" ht="15" x14ac:dyDescent="0.2">
      <c r="C1548" s="61">
        <v>41425.083333333336</v>
      </c>
      <c r="D1548" s="60">
        <v>6760</v>
      </c>
      <c r="E1548" s="59" t="s">
        <v>248</v>
      </c>
    </row>
    <row r="1549" spans="3:5" ht="15" x14ac:dyDescent="0.2">
      <c r="C1549" s="61">
        <v>41425.09375</v>
      </c>
      <c r="D1549" s="60">
        <v>6780</v>
      </c>
      <c r="E1549" s="59" t="s">
        <v>247</v>
      </c>
    </row>
    <row r="1550" spans="3:5" ht="15" x14ac:dyDescent="0.2">
      <c r="C1550" s="61">
        <v>41425.104166666664</v>
      </c>
      <c r="D1550" s="60">
        <v>6780</v>
      </c>
      <c r="E1550" s="59" t="s">
        <v>247</v>
      </c>
    </row>
    <row r="1551" spans="3:5" ht="15" x14ac:dyDescent="0.2">
      <c r="C1551" s="61">
        <v>41425.114583333336</v>
      </c>
      <c r="D1551" s="60">
        <v>6780</v>
      </c>
      <c r="E1551" s="59" t="s">
        <v>247</v>
      </c>
    </row>
    <row r="1552" spans="3:5" ht="15" x14ac:dyDescent="0.2">
      <c r="C1552" s="61">
        <v>41425.125</v>
      </c>
      <c r="D1552" s="60">
        <v>6790</v>
      </c>
      <c r="E1552" s="59" t="s">
        <v>246</v>
      </c>
    </row>
    <row r="1553" spans="3:5" ht="15" x14ac:dyDescent="0.2">
      <c r="C1553" s="61">
        <v>41425.135416666664</v>
      </c>
      <c r="D1553" s="60">
        <v>6790</v>
      </c>
      <c r="E1553" s="59" t="s">
        <v>246</v>
      </c>
    </row>
    <row r="1554" spans="3:5" ht="15" x14ac:dyDescent="0.2">
      <c r="C1554" s="61">
        <v>41425.145833333336</v>
      </c>
      <c r="D1554" s="60">
        <v>6790</v>
      </c>
      <c r="E1554" s="59" t="s">
        <v>246</v>
      </c>
    </row>
    <row r="1555" spans="3:5" ht="15" x14ac:dyDescent="0.2">
      <c r="C1555" s="61">
        <v>41425.15625</v>
      </c>
      <c r="D1555" s="60">
        <v>6790</v>
      </c>
      <c r="E1555" s="59" t="s">
        <v>246</v>
      </c>
    </row>
    <row r="1556" spans="3:5" ht="15" x14ac:dyDescent="0.2">
      <c r="C1556" s="61">
        <v>41425.166666666664</v>
      </c>
      <c r="D1556" s="60">
        <v>6790</v>
      </c>
      <c r="E1556" s="59" t="s">
        <v>246</v>
      </c>
    </row>
    <row r="1557" spans="3:5" ht="15" x14ac:dyDescent="0.2">
      <c r="C1557" s="61">
        <v>41425.177083333336</v>
      </c>
      <c r="D1557" s="60">
        <v>6810</v>
      </c>
      <c r="E1557" s="59" t="s">
        <v>438</v>
      </c>
    </row>
    <row r="1558" spans="3:5" ht="15" x14ac:dyDescent="0.2">
      <c r="C1558" s="61">
        <v>41425.1875</v>
      </c>
      <c r="D1558" s="60">
        <v>6810</v>
      </c>
      <c r="E1558" s="59" t="s">
        <v>438</v>
      </c>
    </row>
    <row r="1559" spans="3:5" ht="15" x14ac:dyDescent="0.2">
      <c r="C1559" s="61">
        <v>41425.197916666664</v>
      </c>
      <c r="D1559" s="60">
        <v>6810</v>
      </c>
      <c r="E1559" s="59" t="s">
        <v>438</v>
      </c>
    </row>
    <row r="1560" spans="3:5" ht="15" x14ac:dyDescent="0.2">
      <c r="C1560" s="61">
        <v>41425.208333333336</v>
      </c>
      <c r="D1560" s="60">
        <v>6810</v>
      </c>
      <c r="E1560" s="59" t="s">
        <v>438</v>
      </c>
    </row>
    <row r="1561" spans="3:5" ht="15" x14ac:dyDescent="0.2">
      <c r="C1561" s="61">
        <v>41425.21875</v>
      </c>
      <c r="D1561" s="60">
        <v>6830</v>
      </c>
      <c r="E1561" s="59" t="s">
        <v>245</v>
      </c>
    </row>
    <row r="1562" spans="3:5" ht="15" x14ac:dyDescent="0.2">
      <c r="C1562" s="61">
        <v>41425.229166666664</v>
      </c>
      <c r="D1562" s="60">
        <v>6830</v>
      </c>
      <c r="E1562" s="59" t="s">
        <v>245</v>
      </c>
    </row>
    <row r="1563" spans="3:5" ht="15" x14ac:dyDescent="0.2">
      <c r="C1563" s="61">
        <v>41425.239583333336</v>
      </c>
      <c r="D1563" s="60">
        <v>6830</v>
      </c>
      <c r="E1563" s="59" t="s">
        <v>245</v>
      </c>
    </row>
    <row r="1564" spans="3:5" ht="15" x14ac:dyDescent="0.2">
      <c r="C1564" s="61">
        <v>41425.25</v>
      </c>
      <c r="D1564" s="60">
        <v>6830</v>
      </c>
      <c r="E1564" s="59" t="s">
        <v>245</v>
      </c>
    </row>
    <row r="1565" spans="3:5" ht="15" x14ac:dyDescent="0.2">
      <c r="C1565" s="61">
        <v>41425.260416666664</v>
      </c>
      <c r="D1565" s="60">
        <v>6830</v>
      </c>
      <c r="E1565" s="59" t="s">
        <v>245</v>
      </c>
    </row>
    <row r="1566" spans="3:5" ht="15" x14ac:dyDescent="0.2">
      <c r="C1566" s="61">
        <v>41425.270833333336</v>
      </c>
      <c r="D1566" s="60">
        <v>6830</v>
      </c>
      <c r="E1566" s="59" t="s">
        <v>245</v>
      </c>
    </row>
    <row r="1567" spans="3:5" ht="15" x14ac:dyDescent="0.2">
      <c r="C1567" s="61">
        <v>41425.28125</v>
      </c>
      <c r="D1567" s="60">
        <v>6840</v>
      </c>
      <c r="E1567" s="59" t="s">
        <v>244</v>
      </c>
    </row>
    <row r="1568" spans="3:5" ht="15" x14ac:dyDescent="0.2">
      <c r="C1568" s="61">
        <v>41425.291666666664</v>
      </c>
      <c r="D1568" s="60">
        <v>6840</v>
      </c>
      <c r="E1568" s="59" t="s">
        <v>244</v>
      </c>
    </row>
    <row r="1569" spans="3:5" ht="15" x14ac:dyDescent="0.2">
      <c r="C1569" s="61">
        <v>41425.302083333336</v>
      </c>
      <c r="D1569" s="60">
        <v>6840</v>
      </c>
      <c r="E1569" s="59" t="s">
        <v>244</v>
      </c>
    </row>
    <row r="1570" spans="3:5" ht="15" x14ac:dyDescent="0.2">
      <c r="C1570" s="61">
        <v>41425.3125</v>
      </c>
      <c r="D1570" s="60">
        <v>6840</v>
      </c>
      <c r="E1570" s="59" t="s">
        <v>244</v>
      </c>
    </row>
    <row r="1571" spans="3:5" ht="15" x14ac:dyDescent="0.2">
      <c r="C1571" s="61">
        <v>41425.322916666664</v>
      </c>
      <c r="D1571" s="60">
        <v>6840</v>
      </c>
      <c r="E1571" s="59" t="s">
        <v>244</v>
      </c>
    </row>
    <row r="1572" spans="3:5" ht="15" x14ac:dyDescent="0.2">
      <c r="C1572" s="61">
        <v>41425.333333333336</v>
      </c>
      <c r="D1572" s="60">
        <v>6860</v>
      </c>
      <c r="E1572" s="59" t="s">
        <v>243</v>
      </c>
    </row>
    <row r="1573" spans="3:5" ht="15" x14ac:dyDescent="0.2">
      <c r="C1573" s="61">
        <v>41425.34375</v>
      </c>
      <c r="D1573" s="60">
        <v>6860</v>
      </c>
      <c r="E1573" s="59" t="s">
        <v>243</v>
      </c>
    </row>
    <row r="1574" spans="3:5" ht="15" x14ac:dyDescent="0.2">
      <c r="C1574" s="61">
        <v>41425.354166666664</v>
      </c>
      <c r="D1574" s="60">
        <v>6860</v>
      </c>
      <c r="E1574" s="59" t="s">
        <v>243</v>
      </c>
    </row>
    <row r="1575" spans="3:5" ht="15" x14ac:dyDescent="0.2">
      <c r="C1575" s="61">
        <v>41425.364583333336</v>
      </c>
      <c r="D1575" s="60">
        <v>6860</v>
      </c>
      <c r="E1575" s="59" t="s">
        <v>243</v>
      </c>
    </row>
    <row r="1576" spans="3:5" ht="15" x14ac:dyDescent="0.2">
      <c r="C1576" s="61">
        <v>41425.375</v>
      </c>
      <c r="D1576" s="60">
        <v>6860</v>
      </c>
      <c r="E1576" s="59" t="s">
        <v>243</v>
      </c>
    </row>
    <row r="1577" spans="3:5" ht="15" x14ac:dyDescent="0.2">
      <c r="C1577" s="61">
        <v>41425.385416666664</v>
      </c>
      <c r="D1577" s="60">
        <v>6860</v>
      </c>
      <c r="E1577" s="59" t="s">
        <v>243</v>
      </c>
    </row>
    <row r="1578" spans="3:5" ht="15" x14ac:dyDescent="0.2">
      <c r="C1578" s="61">
        <v>41425.395833333336</v>
      </c>
      <c r="D1578" s="60">
        <v>6880</v>
      </c>
      <c r="E1578" s="59" t="s">
        <v>439</v>
      </c>
    </row>
    <row r="1579" spans="3:5" ht="15" x14ac:dyDescent="0.2">
      <c r="C1579" s="61">
        <v>41425.40625</v>
      </c>
      <c r="D1579" s="60">
        <v>6880</v>
      </c>
      <c r="E1579" s="59" t="s">
        <v>439</v>
      </c>
    </row>
    <row r="1580" spans="3:5" ht="15" x14ac:dyDescent="0.2">
      <c r="C1580" s="61">
        <v>41425.416666666664</v>
      </c>
      <c r="D1580" s="60">
        <v>6880</v>
      </c>
      <c r="E1580" s="59" t="s">
        <v>439</v>
      </c>
    </row>
    <row r="1581" spans="3:5" ht="15" x14ac:dyDescent="0.2">
      <c r="C1581" s="61">
        <v>41425.427083333336</v>
      </c>
      <c r="D1581" s="60">
        <v>6880</v>
      </c>
      <c r="E1581" s="59" t="s">
        <v>439</v>
      </c>
    </row>
    <row r="1582" spans="3:5" ht="15" x14ac:dyDescent="0.2">
      <c r="C1582" s="61">
        <v>41425.4375</v>
      </c>
      <c r="D1582" s="60">
        <v>6880</v>
      </c>
      <c r="E1582" s="59" t="s">
        <v>439</v>
      </c>
    </row>
    <row r="1583" spans="3:5" ht="15" x14ac:dyDescent="0.2">
      <c r="C1583" s="61">
        <v>41425.447916666664</v>
      </c>
      <c r="D1583" s="60">
        <v>6880</v>
      </c>
      <c r="E1583" s="59" t="s">
        <v>439</v>
      </c>
    </row>
    <row r="1584" spans="3:5" ht="15" x14ac:dyDescent="0.2">
      <c r="C1584" s="61">
        <v>41425.458333333336</v>
      </c>
      <c r="D1584" s="60">
        <v>6890</v>
      </c>
      <c r="E1584" s="59" t="s">
        <v>242</v>
      </c>
    </row>
    <row r="1585" spans="3:5" ht="15" x14ac:dyDescent="0.2">
      <c r="C1585" s="61">
        <v>41425.46875</v>
      </c>
      <c r="D1585" s="60">
        <v>6890</v>
      </c>
      <c r="E1585" s="59" t="s">
        <v>242</v>
      </c>
    </row>
    <row r="1586" spans="3:5" ht="15" x14ac:dyDescent="0.2">
      <c r="C1586" s="61">
        <v>41425.479166666664</v>
      </c>
      <c r="D1586" s="60">
        <v>6890</v>
      </c>
      <c r="E1586" s="59" t="s">
        <v>242</v>
      </c>
    </row>
    <row r="1587" spans="3:5" ht="15" x14ac:dyDescent="0.2">
      <c r="C1587" s="61">
        <v>41425.489583333336</v>
      </c>
      <c r="D1587" s="60">
        <v>6890</v>
      </c>
      <c r="E1587" s="59" t="s">
        <v>242</v>
      </c>
    </row>
    <row r="1588" spans="3:5" ht="15" x14ac:dyDescent="0.2">
      <c r="C1588" s="61">
        <v>41425.5</v>
      </c>
      <c r="D1588" s="60">
        <v>6890</v>
      </c>
      <c r="E1588" s="59" t="s">
        <v>242</v>
      </c>
    </row>
    <row r="1589" spans="3:5" ht="15" x14ac:dyDescent="0.2">
      <c r="C1589" s="61">
        <v>41425.510416666664</v>
      </c>
      <c r="D1589" s="60">
        <v>6890</v>
      </c>
      <c r="E1589" s="59" t="s">
        <v>242</v>
      </c>
    </row>
    <row r="1590" spans="3:5" ht="15" x14ac:dyDescent="0.2">
      <c r="C1590" s="61">
        <v>41425.520833333336</v>
      </c>
      <c r="D1590" s="60">
        <v>6890</v>
      </c>
      <c r="E1590" s="59" t="s">
        <v>242</v>
      </c>
    </row>
    <row r="1591" spans="3:5" ht="15" x14ac:dyDescent="0.2">
      <c r="C1591" s="61">
        <v>41425.53125</v>
      </c>
      <c r="D1591" s="60">
        <v>6890</v>
      </c>
      <c r="E1591" s="59" t="s">
        <v>242</v>
      </c>
    </row>
    <row r="1592" spans="3:5" ht="15" x14ac:dyDescent="0.2">
      <c r="C1592" s="61">
        <v>41425.541666666664</v>
      </c>
      <c r="D1592" s="60">
        <v>6910</v>
      </c>
      <c r="E1592" s="59" t="s">
        <v>241</v>
      </c>
    </row>
    <row r="1593" spans="3:5" ht="15" x14ac:dyDescent="0.2">
      <c r="C1593" s="61">
        <v>41425.552083333336</v>
      </c>
      <c r="D1593" s="60">
        <v>6910</v>
      </c>
      <c r="E1593" s="59" t="s">
        <v>241</v>
      </c>
    </row>
    <row r="1594" spans="3:5" ht="15" x14ac:dyDescent="0.2">
      <c r="C1594" s="61">
        <v>41425.5625</v>
      </c>
      <c r="D1594" s="60">
        <v>6910</v>
      </c>
      <c r="E1594" s="59" t="s">
        <v>241</v>
      </c>
    </row>
    <row r="1595" spans="3:5" ht="15" x14ac:dyDescent="0.2">
      <c r="C1595" s="61">
        <v>41425.572916666664</v>
      </c>
      <c r="D1595" s="60">
        <v>6910</v>
      </c>
      <c r="E1595" s="59" t="s">
        <v>241</v>
      </c>
    </row>
    <row r="1596" spans="3:5" ht="15" x14ac:dyDescent="0.2">
      <c r="C1596" s="61">
        <v>41425.583333333336</v>
      </c>
      <c r="D1596" s="60">
        <v>6910</v>
      </c>
      <c r="E1596" s="59" t="s">
        <v>241</v>
      </c>
    </row>
    <row r="1597" spans="3:5" ht="15" x14ac:dyDescent="0.2">
      <c r="C1597" s="61">
        <v>41425.59375</v>
      </c>
      <c r="D1597" s="60">
        <v>6910</v>
      </c>
      <c r="E1597" s="59" t="s">
        <v>241</v>
      </c>
    </row>
    <row r="1598" spans="3:5" ht="15" x14ac:dyDescent="0.2">
      <c r="C1598" s="61">
        <v>41425.604166666664</v>
      </c>
      <c r="D1598" s="60">
        <v>6910</v>
      </c>
      <c r="E1598" s="59" t="s">
        <v>241</v>
      </c>
    </row>
    <row r="1599" spans="3:5" ht="15" x14ac:dyDescent="0.2">
      <c r="C1599" s="61">
        <v>41425.614583333336</v>
      </c>
      <c r="D1599" s="60">
        <v>6910</v>
      </c>
      <c r="E1599" s="59" t="s">
        <v>241</v>
      </c>
    </row>
    <row r="1600" spans="3:5" ht="15" x14ac:dyDescent="0.2">
      <c r="C1600" s="61">
        <v>41425.625</v>
      </c>
      <c r="D1600" s="60">
        <v>6910</v>
      </c>
      <c r="E1600" s="59" t="s">
        <v>241</v>
      </c>
    </row>
    <row r="1601" spans="3:5" ht="15" x14ac:dyDescent="0.2">
      <c r="C1601" s="61">
        <v>41425.635416666664</v>
      </c>
      <c r="D1601" s="60">
        <v>6910</v>
      </c>
      <c r="E1601" s="59" t="s">
        <v>241</v>
      </c>
    </row>
    <row r="1602" spans="3:5" ht="15" x14ac:dyDescent="0.2">
      <c r="C1602" s="61">
        <v>41425.645833333336</v>
      </c>
      <c r="D1602" s="60">
        <v>6910</v>
      </c>
      <c r="E1602" s="59" t="s">
        <v>241</v>
      </c>
    </row>
    <row r="1603" spans="3:5" ht="15" x14ac:dyDescent="0.2">
      <c r="C1603" s="61">
        <v>41425.65625</v>
      </c>
      <c r="D1603" s="60">
        <v>6910</v>
      </c>
      <c r="E1603" s="59" t="s">
        <v>241</v>
      </c>
    </row>
    <row r="1604" spans="3:5" ht="15" x14ac:dyDescent="0.2">
      <c r="C1604" s="61">
        <v>41425.666666666664</v>
      </c>
      <c r="D1604" s="60">
        <v>6910</v>
      </c>
      <c r="E1604" s="59" t="s">
        <v>241</v>
      </c>
    </row>
    <row r="1605" spans="3:5" ht="15" x14ac:dyDescent="0.2">
      <c r="C1605" s="61">
        <v>41425.677083333336</v>
      </c>
      <c r="D1605" s="60">
        <v>6910</v>
      </c>
      <c r="E1605" s="59" t="s">
        <v>241</v>
      </c>
    </row>
    <row r="1606" spans="3:5" ht="15" x14ac:dyDescent="0.2">
      <c r="C1606" s="61">
        <v>41425.6875</v>
      </c>
      <c r="D1606" s="60">
        <v>6910</v>
      </c>
      <c r="E1606" s="59" t="s">
        <v>241</v>
      </c>
    </row>
    <row r="1607" spans="3:5" ht="15" x14ac:dyDescent="0.2">
      <c r="C1607" s="61">
        <v>41425.697916666664</v>
      </c>
      <c r="D1607" s="60">
        <v>6910</v>
      </c>
      <c r="E1607" s="59" t="s">
        <v>241</v>
      </c>
    </row>
    <row r="1608" spans="3:5" ht="15" x14ac:dyDescent="0.2">
      <c r="C1608" s="61">
        <v>41425.708333333336</v>
      </c>
      <c r="D1608" s="60">
        <v>6890</v>
      </c>
      <c r="E1608" s="59" t="s">
        <v>242</v>
      </c>
    </row>
    <row r="1609" spans="3:5" ht="15" x14ac:dyDescent="0.2">
      <c r="C1609" s="61">
        <v>41425.71875</v>
      </c>
      <c r="D1609" s="60">
        <v>6890</v>
      </c>
      <c r="E1609" s="59" t="s">
        <v>242</v>
      </c>
    </row>
    <row r="1610" spans="3:5" ht="15" x14ac:dyDescent="0.2">
      <c r="C1610" s="61">
        <v>41425.729166666664</v>
      </c>
      <c r="D1610" s="60">
        <v>6890</v>
      </c>
      <c r="E1610" s="59" t="s">
        <v>242</v>
      </c>
    </row>
    <row r="1611" spans="3:5" ht="15" x14ac:dyDescent="0.2">
      <c r="C1611" s="61">
        <v>41425.739583333336</v>
      </c>
      <c r="D1611" s="60">
        <v>6890</v>
      </c>
      <c r="E1611" s="59" t="s">
        <v>242</v>
      </c>
    </row>
    <row r="1612" spans="3:5" ht="15" x14ac:dyDescent="0.2">
      <c r="C1612" s="61">
        <v>41425.75</v>
      </c>
      <c r="D1612" s="60">
        <v>6890</v>
      </c>
      <c r="E1612" s="59" t="s">
        <v>242</v>
      </c>
    </row>
    <row r="1613" spans="3:5" ht="15" x14ac:dyDescent="0.2">
      <c r="C1613" s="61">
        <v>41425.760416666664</v>
      </c>
      <c r="D1613" s="60">
        <v>6890</v>
      </c>
      <c r="E1613" s="59" t="s">
        <v>242</v>
      </c>
    </row>
    <row r="1614" spans="3:5" ht="15" x14ac:dyDescent="0.2">
      <c r="C1614" s="61">
        <v>41425.770833333336</v>
      </c>
      <c r="D1614" s="60">
        <v>6880</v>
      </c>
      <c r="E1614" s="59" t="s">
        <v>439</v>
      </c>
    </row>
    <row r="1615" spans="3:5" ht="15" x14ac:dyDescent="0.2">
      <c r="C1615" s="61">
        <v>41425.78125</v>
      </c>
      <c r="D1615" s="60">
        <v>6860</v>
      </c>
      <c r="E1615" s="59" t="s">
        <v>243</v>
      </c>
    </row>
    <row r="1616" spans="3:5" ht="15" x14ac:dyDescent="0.2">
      <c r="C1616" s="61">
        <v>41425.791666666664</v>
      </c>
      <c r="D1616" s="60">
        <v>6840</v>
      </c>
      <c r="E1616" s="59" t="s">
        <v>244</v>
      </c>
    </row>
    <row r="1617" spans="3:5" ht="15" x14ac:dyDescent="0.2">
      <c r="C1617" s="61">
        <v>41425.802083333336</v>
      </c>
      <c r="D1617" s="60">
        <v>6840</v>
      </c>
      <c r="E1617" s="59" t="s">
        <v>244</v>
      </c>
    </row>
    <row r="1618" spans="3:5" ht="15" x14ac:dyDescent="0.2">
      <c r="C1618" s="61">
        <v>41425.8125</v>
      </c>
      <c r="D1618" s="60">
        <v>6830</v>
      </c>
      <c r="E1618" s="59" t="s">
        <v>245</v>
      </c>
    </row>
    <row r="1619" spans="3:5" ht="15" x14ac:dyDescent="0.2">
      <c r="C1619" s="61">
        <v>41425.822916666664</v>
      </c>
      <c r="D1619" s="60">
        <v>6830</v>
      </c>
      <c r="E1619" s="59" t="s">
        <v>245</v>
      </c>
    </row>
    <row r="1620" spans="3:5" ht="15" x14ac:dyDescent="0.2">
      <c r="C1620" s="61">
        <v>41425.833333333336</v>
      </c>
      <c r="D1620" s="60">
        <v>6830</v>
      </c>
      <c r="E1620" s="59" t="s">
        <v>245</v>
      </c>
    </row>
    <row r="1621" spans="3:5" ht="15" x14ac:dyDescent="0.2">
      <c r="C1621" s="61">
        <v>41425.84375</v>
      </c>
      <c r="D1621" s="60">
        <v>6830</v>
      </c>
      <c r="E1621" s="59" t="s">
        <v>245</v>
      </c>
    </row>
    <row r="1622" spans="3:5" ht="15" x14ac:dyDescent="0.2">
      <c r="C1622" s="61">
        <v>41425.854166666664</v>
      </c>
      <c r="D1622" s="60">
        <v>6810</v>
      </c>
      <c r="E1622" s="59" t="s">
        <v>438</v>
      </c>
    </row>
    <row r="1623" spans="3:5" ht="15" x14ac:dyDescent="0.2">
      <c r="C1623" s="61">
        <v>41425.864583333336</v>
      </c>
      <c r="D1623" s="60">
        <v>6810</v>
      </c>
      <c r="E1623" s="59" t="s">
        <v>438</v>
      </c>
    </row>
    <row r="1624" spans="3:5" ht="15" x14ac:dyDescent="0.2">
      <c r="C1624" s="61">
        <v>41425.875</v>
      </c>
      <c r="D1624" s="60">
        <v>6810</v>
      </c>
      <c r="E1624" s="59" t="s">
        <v>438</v>
      </c>
    </row>
    <row r="1625" spans="3:5" ht="15" x14ac:dyDescent="0.2">
      <c r="C1625" s="61">
        <v>41425.885416666664</v>
      </c>
      <c r="D1625" s="60">
        <v>6790</v>
      </c>
      <c r="E1625" s="59" t="s">
        <v>246</v>
      </c>
    </row>
    <row r="1626" spans="3:5" ht="15" x14ac:dyDescent="0.2">
      <c r="C1626" s="61">
        <v>41425.895833333336</v>
      </c>
      <c r="D1626" s="60">
        <v>6790</v>
      </c>
      <c r="E1626" s="59" t="s">
        <v>246</v>
      </c>
    </row>
    <row r="1627" spans="3:5" ht="15" x14ac:dyDescent="0.2">
      <c r="C1627" s="61">
        <v>41425.90625</v>
      </c>
      <c r="D1627" s="60">
        <v>6780</v>
      </c>
      <c r="E1627" s="59" t="s">
        <v>247</v>
      </c>
    </row>
    <row r="1628" spans="3:5" ht="15" x14ac:dyDescent="0.2">
      <c r="C1628" s="61">
        <v>41425.916666666664</v>
      </c>
      <c r="D1628" s="60">
        <v>6780</v>
      </c>
      <c r="E1628" s="59" t="s">
        <v>247</v>
      </c>
    </row>
    <row r="1629" spans="3:5" ht="15" x14ac:dyDescent="0.2">
      <c r="C1629" s="61">
        <v>41425.927083333336</v>
      </c>
      <c r="D1629" s="60">
        <v>6760</v>
      </c>
      <c r="E1629" s="59" t="s">
        <v>248</v>
      </c>
    </row>
    <row r="1630" spans="3:5" ht="15" x14ac:dyDescent="0.2">
      <c r="C1630" s="61">
        <v>41425.9375</v>
      </c>
      <c r="D1630" s="60">
        <v>6730</v>
      </c>
      <c r="E1630" s="59" t="s">
        <v>249</v>
      </c>
    </row>
    <row r="1631" spans="3:5" ht="15" x14ac:dyDescent="0.2">
      <c r="C1631" s="61">
        <v>41425.947916666664</v>
      </c>
      <c r="D1631" s="60">
        <v>6710</v>
      </c>
      <c r="E1631" s="59" t="s">
        <v>250</v>
      </c>
    </row>
    <row r="1632" spans="3:5" ht="15" x14ac:dyDescent="0.2">
      <c r="C1632" s="61">
        <v>41425.958333333336</v>
      </c>
      <c r="D1632" s="60">
        <v>6690</v>
      </c>
      <c r="E1632" s="59" t="s">
        <v>436</v>
      </c>
    </row>
    <row r="1633" spans="3:5" ht="15" x14ac:dyDescent="0.2">
      <c r="C1633" s="61">
        <v>41425.96875</v>
      </c>
      <c r="D1633" s="60">
        <v>6690</v>
      </c>
      <c r="E1633" s="59" t="s">
        <v>436</v>
      </c>
    </row>
    <row r="1634" spans="3:5" ht="15" x14ac:dyDescent="0.2">
      <c r="C1634" s="61">
        <v>41425.979166666664</v>
      </c>
      <c r="D1634" s="60">
        <v>6690</v>
      </c>
      <c r="E1634" s="59" t="s">
        <v>436</v>
      </c>
    </row>
    <row r="1635" spans="3:5" ht="15" x14ac:dyDescent="0.2">
      <c r="C1635" s="61">
        <v>41425.989583333336</v>
      </c>
      <c r="D1635" s="60">
        <v>6680</v>
      </c>
      <c r="E1635" s="59" t="s">
        <v>251</v>
      </c>
    </row>
    <row r="1636" spans="3:5" ht="15" x14ac:dyDescent="0.2">
      <c r="C1636" s="61">
        <v>41426</v>
      </c>
      <c r="D1636" s="60">
        <v>6680</v>
      </c>
      <c r="E1636" s="59" t="s">
        <v>251</v>
      </c>
    </row>
    <row r="1637" spans="3:5" ht="15" x14ac:dyDescent="0.2">
      <c r="C1637" s="61">
        <v>41426.010416666664</v>
      </c>
      <c r="D1637" s="60">
        <v>6680</v>
      </c>
      <c r="E1637" s="59" t="s">
        <v>251</v>
      </c>
    </row>
    <row r="1638" spans="3:5" ht="15" x14ac:dyDescent="0.2">
      <c r="C1638" s="61">
        <v>41426.020833333336</v>
      </c>
      <c r="D1638" s="60">
        <v>6660</v>
      </c>
      <c r="E1638" s="59" t="s">
        <v>252</v>
      </c>
    </row>
    <row r="1639" spans="3:5" ht="15" x14ac:dyDescent="0.2">
      <c r="C1639" s="61">
        <v>41426.03125</v>
      </c>
      <c r="D1639" s="60">
        <v>6660</v>
      </c>
      <c r="E1639" s="59" t="s">
        <v>252</v>
      </c>
    </row>
    <row r="1640" spans="3:5" ht="15" x14ac:dyDescent="0.2">
      <c r="C1640" s="61">
        <v>41426.041666666664</v>
      </c>
      <c r="D1640" s="60">
        <v>6660</v>
      </c>
      <c r="E1640" s="59" t="s">
        <v>252</v>
      </c>
    </row>
    <row r="1641" spans="3:5" ht="15" x14ac:dyDescent="0.2">
      <c r="C1641" s="61">
        <v>41426.052083333336</v>
      </c>
      <c r="D1641" s="60">
        <v>6640</v>
      </c>
      <c r="E1641" s="59" t="s">
        <v>435</v>
      </c>
    </row>
    <row r="1642" spans="3:5" ht="15" x14ac:dyDescent="0.2">
      <c r="C1642" s="61">
        <v>41426.0625</v>
      </c>
      <c r="D1642" s="60">
        <v>6640</v>
      </c>
      <c r="E1642" s="59" t="s">
        <v>435</v>
      </c>
    </row>
    <row r="1643" spans="3:5" ht="15" x14ac:dyDescent="0.2">
      <c r="C1643" s="61">
        <v>41426.072916666664</v>
      </c>
      <c r="D1643" s="60">
        <v>6630</v>
      </c>
      <c r="E1643" s="59" t="s">
        <v>253</v>
      </c>
    </row>
    <row r="1644" spans="3:5" ht="15" x14ac:dyDescent="0.2">
      <c r="C1644" s="61">
        <v>41426.083333333336</v>
      </c>
      <c r="D1644" s="60">
        <v>6630</v>
      </c>
      <c r="E1644" s="59" t="s">
        <v>253</v>
      </c>
    </row>
    <row r="1645" spans="3:5" ht="15" x14ac:dyDescent="0.2">
      <c r="C1645" s="61">
        <v>41426.09375</v>
      </c>
      <c r="D1645" s="60">
        <v>6610</v>
      </c>
      <c r="E1645" s="59" t="s">
        <v>254</v>
      </c>
    </row>
    <row r="1646" spans="3:5" ht="15" x14ac:dyDescent="0.2">
      <c r="C1646" s="61">
        <v>41426.104166666664</v>
      </c>
      <c r="D1646" s="60">
        <v>6580</v>
      </c>
      <c r="E1646" s="59" t="s">
        <v>255</v>
      </c>
    </row>
    <row r="1647" spans="3:5" ht="15" x14ac:dyDescent="0.2">
      <c r="C1647" s="61">
        <v>41426.114583333336</v>
      </c>
      <c r="D1647" s="60">
        <v>6540</v>
      </c>
      <c r="E1647" s="59" t="s">
        <v>433</v>
      </c>
    </row>
    <row r="1648" spans="3:5" ht="15" x14ac:dyDescent="0.2">
      <c r="C1648" s="61">
        <v>41426.125</v>
      </c>
      <c r="D1648" s="60">
        <v>6530</v>
      </c>
      <c r="E1648" s="59" t="s">
        <v>257</v>
      </c>
    </row>
    <row r="1649" spans="3:5" ht="15" x14ac:dyDescent="0.2">
      <c r="C1649" s="61">
        <v>41426.135416666664</v>
      </c>
      <c r="D1649" s="60">
        <v>6530</v>
      </c>
      <c r="E1649" s="59" t="s">
        <v>257</v>
      </c>
    </row>
    <row r="1650" spans="3:5" ht="15" x14ac:dyDescent="0.2">
      <c r="C1650" s="61">
        <v>41426.145833333336</v>
      </c>
      <c r="D1650" s="60">
        <v>6510</v>
      </c>
      <c r="E1650" s="59" t="s">
        <v>432</v>
      </c>
    </row>
    <row r="1651" spans="3:5" ht="15" x14ac:dyDescent="0.2">
      <c r="C1651" s="61">
        <v>41426.15625</v>
      </c>
      <c r="D1651" s="60">
        <v>6510</v>
      </c>
      <c r="E1651" s="59" t="s">
        <v>432</v>
      </c>
    </row>
    <row r="1652" spans="3:5" ht="15" x14ac:dyDescent="0.2">
      <c r="C1652" s="61">
        <v>41426.166666666664</v>
      </c>
      <c r="D1652" s="60">
        <v>6500</v>
      </c>
      <c r="E1652" s="59" t="s">
        <v>258</v>
      </c>
    </row>
    <row r="1653" spans="3:5" ht="15" x14ac:dyDescent="0.2">
      <c r="C1653" s="61">
        <v>41426.177083333336</v>
      </c>
      <c r="D1653" s="60">
        <v>6500</v>
      </c>
      <c r="E1653" s="59" t="s">
        <v>258</v>
      </c>
    </row>
    <row r="1654" spans="3:5" ht="15" x14ac:dyDescent="0.2">
      <c r="C1654" s="61">
        <v>41426.1875</v>
      </c>
      <c r="D1654" s="60">
        <v>6500</v>
      </c>
      <c r="E1654" s="59" t="s">
        <v>258</v>
      </c>
    </row>
    <row r="1655" spans="3:5" ht="15" x14ac:dyDescent="0.2">
      <c r="C1655" s="61">
        <v>41426.197916666664</v>
      </c>
      <c r="D1655" s="60">
        <v>6500</v>
      </c>
      <c r="E1655" s="59" t="s">
        <v>258</v>
      </c>
    </row>
    <row r="1656" spans="3:5" ht="15" x14ac:dyDescent="0.2">
      <c r="C1656" s="61">
        <v>41426.208333333336</v>
      </c>
      <c r="D1656" s="60">
        <v>6500</v>
      </c>
      <c r="E1656" s="59" t="s">
        <v>258</v>
      </c>
    </row>
    <row r="1657" spans="3:5" ht="15" x14ac:dyDescent="0.2">
      <c r="C1657" s="61">
        <v>41426.21875</v>
      </c>
      <c r="D1657" s="60">
        <v>6500</v>
      </c>
      <c r="E1657" s="59" t="s">
        <v>258</v>
      </c>
    </row>
    <row r="1658" spans="3:5" ht="15" x14ac:dyDescent="0.2">
      <c r="C1658" s="61">
        <v>41426.229166666664</v>
      </c>
      <c r="D1658" s="60">
        <v>6480</v>
      </c>
      <c r="E1658" s="59" t="s">
        <v>259</v>
      </c>
    </row>
    <row r="1659" spans="3:5" ht="15" x14ac:dyDescent="0.2">
      <c r="C1659" s="61">
        <v>41426.239583333336</v>
      </c>
      <c r="D1659" s="60">
        <v>6480</v>
      </c>
      <c r="E1659" s="59" t="s">
        <v>259</v>
      </c>
    </row>
    <row r="1660" spans="3:5" ht="15" x14ac:dyDescent="0.2">
      <c r="C1660" s="61">
        <v>41426.25</v>
      </c>
      <c r="D1660" s="60">
        <v>6480</v>
      </c>
      <c r="E1660" s="59" t="s">
        <v>259</v>
      </c>
    </row>
    <row r="1661" spans="3:5" ht="15" x14ac:dyDescent="0.2">
      <c r="C1661" s="61">
        <v>41426.260416666664</v>
      </c>
      <c r="D1661" s="60">
        <v>6480</v>
      </c>
      <c r="E1661" s="59" t="s">
        <v>259</v>
      </c>
    </row>
    <row r="1662" spans="3:5" ht="15" x14ac:dyDescent="0.2">
      <c r="C1662" s="61">
        <v>41426.270833333336</v>
      </c>
      <c r="D1662" s="60">
        <v>6480</v>
      </c>
      <c r="E1662" s="59" t="s">
        <v>259</v>
      </c>
    </row>
    <row r="1663" spans="3:5" ht="15" x14ac:dyDescent="0.2">
      <c r="C1663" s="61">
        <v>41426.28125</v>
      </c>
      <c r="D1663" s="60">
        <v>6480</v>
      </c>
      <c r="E1663" s="59" t="s">
        <v>259</v>
      </c>
    </row>
    <row r="1664" spans="3:5" ht="15" x14ac:dyDescent="0.2">
      <c r="C1664" s="61">
        <v>41426.291666666664</v>
      </c>
      <c r="D1664" s="60">
        <v>6460</v>
      </c>
      <c r="E1664" s="59" t="s">
        <v>260</v>
      </c>
    </row>
    <row r="1665" spans="3:5" ht="15" x14ac:dyDescent="0.2">
      <c r="C1665" s="61">
        <v>41426.302083333336</v>
      </c>
      <c r="D1665" s="60">
        <v>6460</v>
      </c>
      <c r="E1665" s="59" t="s">
        <v>260</v>
      </c>
    </row>
    <row r="1666" spans="3:5" ht="15" x14ac:dyDescent="0.2">
      <c r="C1666" s="61">
        <v>41426.3125</v>
      </c>
      <c r="D1666" s="60">
        <v>6460</v>
      </c>
      <c r="E1666" s="59" t="s">
        <v>260</v>
      </c>
    </row>
    <row r="1667" spans="3:5" ht="15" x14ac:dyDescent="0.2">
      <c r="C1667" s="61">
        <v>41426.322916666664</v>
      </c>
      <c r="D1667" s="60">
        <v>6450</v>
      </c>
      <c r="E1667" s="59" t="s">
        <v>431</v>
      </c>
    </row>
    <row r="1668" spans="3:5" ht="15" x14ac:dyDescent="0.2">
      <c r="C1668" s="61">
        <v>41426.333333333336</v>
      </c>
      <c r="D1668" s="60">
        <v>6450</v>
      </c>
      <c r="E1668" s="59" t="s">
        <v>431</v>
      </c>
    </row>
    <row r="1669" spans="3:5" ht="15" x14ac:dyDescent="0.2">
      <c r="C1669" s="61">
        <v>41426.34375</v>
      </c>
      <c r="D1669" s="60">
        <v>6430</v>
      </c>
      <c r="E1669" s="59" t="s">
        <v>261</v>
      </c>
    </row>
    <row r="1670" spans="3:5" ht="15" x14ac:dyDescent="0.2">
      <c r="C1670" s="61">
        <v>41426.354166666664</v>
      </c>
      <c r="D1670" s="60">
        <v>6430</v>
      </c>
      <c r="E1670" s="59" t="s">
        <v>261</v>
      </c>
    </row>
    <row r="1671" spans="3:5" ht="15" x14ac:dyDescent="0.2">
      <c r="C1671" s="61">
        <v>41426.364583333336</v>
      </c>
      <c r="D1671" s="60">
        <v>6430</v>
      </c>
      <c r="E1671" s="59" t="s">
        <v>261</v>
      </c>
    </row>
    <row r="1672" spans="3:5" ht="15" x14ac:dyDescent="0.2">
      <c r="C1672" s="61">
        <v>41426.375</v>
      </c>
      <c r="D1672" s="60">
        <v>6430</v>
      </c>
      <c r="E1672" s="59" t="s">
        <v>261</v>
      </c>
    </row>
    <row r="1673" spans="3:5" ht="15" x14ac:dyDescent="0.2">
      <c r="C1673" s="61">
        <v>41426.385416666664</v>
      </c>
      <c r="D1673" s="60">
        <v>6430</v>
      </c>
      <c r="E1673" s="59" t="s">
        <v>261</v>
      </c>
    </row>
    <row r="1674" spans="3:5" ht="15" x14ac:dyDescent="0.2">
      <c r="C1674" s="61">
        <v>41426.395833333336</v>
      </c>
      <c r="D1674" s="60">
        <v>6410</v>
      </c>
      <c r="E1674" s="59" t="s">
        <v>262</v>
      </c>
    </row>
    <row r="1675" spans="3:5" ht="15" x14ac:dyDescent="0.2">
      <c r="C1675" s="61">
        <v>41426.40625</v>
      </c>
      <c r="D1675" s="60">
        <v>6410</v>
      </c>
      <c r="E1675" s="59" t="s">
        <v>262</v>
      </c>
    </row>
    <row r="1676" spans="3:5" ht="15" x14ac:dyDescent="0.2">
      <c r="C1676" s="61">
        <v>41426.416666666664</v>
      </c>
      <c r="D1676" s="60">
        <v>6410</v>
      </c>
      <c r="E1676" s="59" t="s">
        <v>262</v>
      </c>
    </row>
    <row r="1677" spans="3:5" ht="15" x14ac:dyDescent="0.2">
      <c r="C1677" s="61">
        <v>41426.427083333336</v>
      </c>
      <c r="D1677" s="60">
        <v>6410</v>
      </c>
      <c r="E1677" s="59" t="s">
        <v>262</v>
      </c>
    </row>
    <row r="1678" spans="3:5" ht="15" x14ac:dyDescent="0.2">
      <c r="C1678" s="61">
        <v>41426.4375</v>
      </c>
      <c r="D1678" s="60">
        <v>6400</v>
      </c>
      <c r="E1678" s="59" t="s">
        <v>263</v>
      </c>
    </row>
    <row r="1679" spans="3:5" ht="15" x14ac:dyDescent="0.2">
      <c r="C1679" s="61">
        <v>41426.447916666664</v>
      </c>
      <c r="D1679" s="60">
        <v>6400</v>
      </c>
      <c r="E1679" s="59" t="s">
        <v>263</v>
      </c>
    </row>
    <row r="1680" spans="3:5" ht="15" x14ac:dyDescent="0.2">
      <c r="C1680" s="61">
        <v>41426.458333333336</v>
      </c>
      <c r="D1680" s="60">
        <v>6400</v>
      </c>
      <c r="E1680" s="59" t="s">
        <v>263</v>
      </c>
    </row>
    <row r="1681" spans="3:5" ht="15" x14ac:dyDescent="0.2">
      <c r="C1681" s="61">
        <v>41426.46875</v>
      </c>
      <c r="D1681" s="60">
        <v>6400</v>
      </c>
      <c r="E1681" s="59" t="s">
        <v>263</v>
      </c>
    </row>
    <row r="1682" spans="3:5" ht="15" x14ac:dyDescent="0.2">
      <c r="C1682" s="61">
        <v>41426.479166666664</v>
      </c>
      <c r="D1682" s="60">
        <v>6400</v>
      </c>
      <c r="E1682" s="59" t="s">
        <v>263</v>
      </c>
    </row>
    <row r="1683" spans="3:5" ht="15" x14ac:dyDescent="0.2">
      <c r="C1683" s="61">
        <v>41426.489583333336</v>
      </c>
      <c r="D1683" s="60">
        <v>6380</v>
      </c>
      <c r="E1683" s="59" t="s">
        <v>264</v>
      </c>
    </row>
    <row r="1684" spans="3:5" ht="15" x14ac:dyDescent="0.2">
      <c r="C1684" s="61">
        <v>41426.5</v>
      </c>
      <c r="D1684" s="60">
        <v>6380</v>
      </c>
      <c r="E1684" s="59" t="s">
        <v>264</v>
      </c>
    </row>
    <row r="1685" spans="3:5" ht="15" x14ac:dyDescent="0.2">
      <c r="C1685" s="61">
        <v>41426.510416666664</v>
      </c>
      <c r="D1685" s="60">
        <v>6380</v>
      </c>
      <c r="E1685" s="59" t="s">
        <v>264</v>
      </c>
    </row>
    <row r="1686" spans="3:5" ht="15" x14ac:dyDescent="0.2">
      <c r="C1686" s="61">
        <v>41426.520833333336</v>
      </c>
      <c r="D1686" s="60">
        <v>6380</v>
      </c>
      <c r="E1686" s="59" t="s">
        <v>264</v>
      </c>
    </row>
    <row r="1687" spans="3:5" ht="15" x14ac:dyDescent="0.2">
      <c r="C1687" s="61">
        <v>41426.53125</v>
      </c>
      <c r="D1687" s="60">
        <v>6360</v>
      </c>
      <c r="E1687" s="59" t="s">
        <v>265</v>
      </c>
    </row>
    <row r="1688" spans="3:5" ht="15" x14ac:dyDescent="0.2">
      <c r="C1688" s="61">
        <v>41426.541666666664</v>
      </c>
      <c r="D1688" s="60">
        <v>6360</v>
      </c>
      <c r="E1688" s="59" t="s">
        <v>265</v>
      </c>
    </row>
    <row r="1689" spans="3:5" ht="15" x14ac:dyDescent="0.2">
      <c r="C1689" s="61">
        <v>41426.552083333336</v>
      </c>
      <c r="D1689" s="60">
        <v>6360</v>
      </c>
      <c r="E1689" s="59" t="s">
        <v>265</v>
      </c>
    </row>
    <row r="1690" spans="3:5" ht="15" x14ac:dyDescent="0.2">
      <c r="C1690" s="61">
        <v>41426.5625</v>
      </c>
      <c r="D1690" s="60">
        <v>6360</v>
      </c>
      <c r="E1690" s="59" t="s">
        <v>265</v>
      </c>
    </row>
    <row r="1691" spans="3:5" ht="15" x14ac:dyDescent="0.2">
      <c r="C1691" s="61">
        <v>41426.572916666664</v>
      </c>
      <c r="D1691" s="60">
        <v>6360</v>
      </c>
      <c r="E1691" s="59" t="s">
        <v>265</v>
      </c>
    </row>
    <row r="1692" spans="3:5" ht="15" x14ac:dyDescent="0.2">
      <c r="C1692" s="61">
        <v>41426.583333333336</v>
      </c>
      <c r="D1692" s="60">
        <v>6350</v>
      </c>
      <c r="E1692" s="59" t="s">
        <v>266</v>
      </c>
    </row>
    <row r="1693" spans="3:5" ht="15" x14ac:dyDescent="0.2">
      <c r="C1693" s="61">
        <v>41426.59375</v>
      </c>
      <c r="D1693" s="60">
        <v>6350</v>
      </c>
      <c r="E1693" s="59" t="s">
        <v>266</v>
      </c>
    </row>
    <row r="1694" spans="3:5" ht="15" x14ac:dyDescent="0.2">
      <c r="C1694" s="61">
        <v>41426.604166666664</v>
      </c>
      <c r="D1694" s="60">
        <v>6350</v>
      </c>
      <c r="E1694" s="59" t="s">
        <v>266</v>
      </c>
    </row>
    <row r="1695" spans="3:5" ht="15" x14ac:dyDescent="0.2">
      <c r="C1695" s="61">
        <v>41426.614583333336</v>
      </c>
      <c r="D1695" s="60">
        <v>6330</v>
      </c>
      <c r="E1695" s="59" t="s">
        <v>267</v>
      </c>
    </row>
    <row r="1696" spans="3:5" ht="15" x14ac:dyDescent="0.2">
      <c r="C1696" s="61">
        <v>41426.625</v>
      </c>
      <c r="D1696" s="60">
        <v>6330</v>
      </c>
      <c r="E1696" s="59" t="s">
        <v>267</v>
      </c>
    </row>
    <row r="1697" spans="3:5" ht="15" x14ac:dyDescent="0.2">
      <c r="C1697" s="61">
        <v>41426.635416666664</v>
      </c>
      <c r="D1697" s="60">
        <v>6330</v>
      </c>
      <c r="E1697" s="59" t="s">
        <v>267</v>
      </c>
    </row>
    <row r="1698" spans="3:5" ht="15" x14ac:dyDescent="0.2">
      <c r="C1698" s="61">
        <v>41426.645833333336</v>
      </c>
      <c r="D1698" s="60">
        <v>6330</v>
      </c>
      <c r="E1698" s="59" t="s">
        <v>267</v>
      </c>
    </row>
    <row r="1699" spans="3:5" ht="15" x14ac:dyDescent="0.2">
      <c r="C1699" s="61">
        <v>41426.65625</v>
      </c>
      <c r="D1699" s="60">
        <v>6330</v>
      </c>
      <c r="E1699" s="59" t="s">
        <v>267</v>
      </c>
    </row>
    <row r="1700" spans="3:5" ht="15" x14ac:dyDescent="0.2">
      <c r="C1700" s="61">
        <v>41426.666666666664</v>
      </c>
      <c r="D1700" s="60">
        <v>6330</v>
      </c>
      <c r="E1700" s="59" t="s">
        <v>267</v>
      </c>
    </row>
    <row r="1701" spans="3:5" ht="15" x14ac:dyDescent="0.2">
      <c r="C1701" s="61">
        <v>41426.677083333336</v>
      </c>
      <c r="D1701" s="60">
        <v>6310</v>
      </c>
      <c r="E1701" s="59" t="s">
        <v>441</v>
      </c>
    </row>
    <row r="1702" spans="3:5" ht="15" x14ac:dyDescent="0.2">
      <c r="C1702" s="61">
        <v>41426.6875</v>
      </c>
      <c r="D1702" s="60">
        <v>6310</v>
      </c>
      <c r="E1702" s="59" t="s">
        <v>441</v>
      </c>
    </row>
    <row r="1703" spans="3:5" ht="15" x14ac:dyDescent="0.2">
      <c r="C1703" s="61">
        <v>41426.697916666664</v>
      </c>
      <c r="D1703" s="60">
        <v>6310</v>
      </c>
      <c r="E1703" s="59" t="s">
        <v>441</v>
      </c>
    </row>
    <row r="1704" spans="3:5" ht="15" x14ac:dyDescent="0.2">
      <c r="C1704" s="61">
        <v>41426.708333333336</v>
      </c>
      <c r="D1704" s="60">
        <v>6310</v>
      </c>
      <c r="E1704" s="59" t="s">
        <v>441</v>
      </c>
    </row>
    <row r="1705" spans="3:5" ht="15" x14ac:dyDescent="0.2">
      <c r="C1705" s="61">
        <v>41426.71875</v>
      </c>
      <c r="D1705" s="60">
        <v>6300</v>
      </c>
      <c r="E1705" s="59" t="s">
        <v>268</v>
      </c>
    </row>
    <row r="1706" spans="3:5" ht="15" x14ac:dyDescent="0.2">
      <c r="C1706" s="61">
        <v>41426.729166666664</v>
      </c>
      <c r="D1706" s="60">
        <v>6300</v>
      </c>
      <c r="E1706" s="59" t="s">
        <v>268</v>
      </c>
    </row>
    <row r="1707" spans="3:5" ht="15" x14ac:dyDescent="0.2">
      <c r="C1707" s="61">
        <v>41426.739583333336</v>
      </c>
      <c r="D1707" s="60">
        <v>6300</v>
      </c>
      <c r="E1707" s="59" t="s">
        <v>268</v>
      </c>
    </row>
    <row r="1708" spans="3:5" ht="15" x14ac:dyDescent="0.2">
      <c r="C1708" s="61">
        <v>41426.75</v>
      </c>
      <c r="D1708" s="60">
        <v>6300</v>
      </c>
      <c r="E1708" s="59" t="s">
        <v>268</v>
      </c>
    </row>
    <row r="1709" spans="3:5" ht="15" x14ac:dyDescent="0.2">
      <c r="C1709" s="61">
        <v>41426.760416666664</v>
      </c>
      <c r="D1709" s="60">
        <v>6280</v>
      </c>
      <c r="E1709" s="59" t="s">
        <v>269</v>
      </c>
    </row>
    <row r="1710" spans="3:5" ht="15" x14ac:dyDescent="0.2">
      <c r="C1710" s="61">
        <v>41426.770833333336</v>
      </c>
      <c r="D1710" s="60">
        <v>6280</v>
      </c>
      <c r="E1710" s="59" t="s">
        <v>269</v>
      </c>
    </row>
    <row r="1711" spans="3:5" ht="15" x14ac:dyDescent="0.2">
      <c r="C1711" s="61">
        <v>41426.78125</v>
      </c>
      <c r="D1711" s="60">
        <v>6280</v>
      </c>
      <c r="E1711" s="59" t="s">
        <v>269</v>
      </c>
    </row>
    <row r="1712" spans="3:5" ht="15" x14ac:dyDescent="0.2">
      <c r="C1712" s="61">
        <v>41426.791666666664</v>
      </c>
      <c r="D1712" s="60">
        <v>6280</v>
      </c>
      <c r="E1712" s="59" t="s">
        <v>269</v>
      </c>
    </row>
    <row r="1713" spans="3:5" ht="15" x14ac:dyDescent="0.2">
      <c r="C1713" s="61">
        <v>41426.802083333336</v>
      </c>
      <c r="D1713" s="60">
        <v>6270</v>
      </c>
      <c r="E1713" s="59" t="s">
        <v>270</v>
      </c>
    </row>
    <row r="1714" spans="3:5" ht="15" x14ac:dyDescent="0.2">
      <c r="C1714" s="61">
        <v>41426.8125</v>
      </c>
      <c r="D1714" s="60">
        <v>6270</v>
      </c>
      <c r="E1714" s="59" t="s">
        <v>270</v>
      </c>
    </row>
    <row r="1715" spans="3:5" ht="15" x14ac:dyDescent="0.2">
      <c r="C1715" s="61">
        <v>41426.822916666664</v>
      </c>
      <c r="D1715" s="60">
        <v>6270</v>
      </c>
      <c r="E1715" s="59" t="s">
        <v>270</v>
      </c>
    </row>
    <row r="1716" spans="3:5" ht="15" x14ac:dyDescent="0.2">
      <c r="C1716" s="61">
        <v>41426.833333333336</v>
      </c>
      <c r="D1716" s="60">
        <v>6270</v>
      </c>
      <c r="E1716" s="59" t="s">
        <v>270</v>
      </c>
    </row>
    <row r="1717" spans="3:5" ht="15" x14ac:dyDescent="0.2">
      <c r="C1717" s="61">
        <v>41426.84375</v>
      </c>
      <c r="D1717" s="60">
        <v>6250</v>
      </c>
      <c r="E1717" s="59" t="s">
        <v>430</v>
      </c>
    </row>
    <row r="1718" spans="3:5" ht="15" x14ac:dyDescent="0.2">
      <c r="C1718" s="61">
        <v>41426.854166666664</v>
      </c>
      <c r="D1718" s="60">
        <v>6250</v>
      </c>
      <c r="E1718" s="59" t="s">
        <v>430</v>
      </c>
    </row>
    <row r="1719" spans="3:5" ht="15" x14ac:dyDescent="0.2">
      <c r="C1719" s="61">
        <v>41426.864583333336</v>
      </c>
      <c r="D1719" s="60">
        <v>6250</v>
      </c>
      <c r="E1719" s="59" t="s">
        <v>430</v>
      </c>
    </row>
    <row r="1720" spans="3:5" ht="15" x14ac:dyDescent="0.2">
      <c r="C1720" s="61">
        <v>41426.875</v>
      </c>
      <c r="D1720" s="60">
        <v>6230</v>
      </c>
      <c r="E1720" s="59" t="s">
        <v>271</v>
      </c>
    </row>
    <row r="1721" spans="3:5" ht="15" x14ac:dyDescent="0.2">
      <c r="C1721" s="61">
        <v>41426.885416666664</v>
      </c>
      <c r="D1721" s="60">
        <v>6230</v>
      </c>
      <c r="E1721" s="59" t="s">
        <v>271</v>
      </c>
    </row>
    <row r="1722" spans="3:5" ht="15" x14ac:dyDescent="0.2">
      <c r="C1722" s="61">
        <v>41426.895833333336</v>
      </c>
      <c r="D1722" s="60">
        <v>6230</v>
      </c>
      <c r="E1722" s="59" t="s">
        <v>271</v>
      </c>
    </row>
    <row r="1723" spans="3:5" ht="15" x14ac:dyDescent="0.2">
      <c r="C1723" s="61">
        <v>41426.90625</v>
      </c>
      <c r="D1723" s="60">
        <v>6220</v>
      </c>
      <c r="E1723" s="59" t="s">
        <v>272</v>
      </c>
    </row>
    <row r="1724" spans="3:5" ht="15" x14ac:dyDescent="0.2">
      <c r="C1724" s="61">
        <v>41426.916666666664</v>
      </c>
      <c r="D1724" s="60">
        <v>6220</v>
      </c>
      <c r="E1724" s="59" t="s">
        <v>272</v>
      </c>
    </row>
    <row r="1725" spans="3:5" ht="15" x14ac:dyDescent="0.2">
      <c r="C1725" s="61">
        <v>41426.927083333336</v>
      </c>
      <c r="D1725" s="60">
        <v>6220</v>
      </c>
      <c r="E1725" s="59" t="s">
        <v>272</v>
      </c>
    </row>
    <row r="1726" spans="3:5" ht="15" x14ac:dyDescent="0.2">
      <c r="C1726" s="61">
        <v>41426.9375</v>
      </c>
      <c r="D1726" s="60">
        <v>6200</v>
      </c>
      <c r="E1726" s="59" t="s">
        <v>273</v>
      </c>
    </row>
    <row r="1727" spans="3:5" ht="15" x14ac:dyDescent="0.2">
      <c r="C1727" s="61">
        <v>41426.947916666664</v>
      </c>
      <c r="D1727" s="60">
        <v>6200</v>
      </c>
      <c r="E1727" s="59" t="s">
        <v>273</v>
      </c>
    </row>
    <row r="1728" spans="3:5" ht="15" x14ac:dyDescent="0.2">
      <c r="C1728" s="61">
        <v>41426.958333333336</v>
      </c>
      <c r="D1728" s="60">
        <v>6200</v>
      </c>
      <c r="E1728" s="59" t="s">
        <v>273</v>
      </c>
    </row>
    <row r="1729" spans="3:5" ht="15" x14ac:dyDescent="0.2">
      <c r="C1729" s="61">
        <v>41426.96875</v>
      </c>
      <c r="D1729" s="60">
        <v>6180</v>
      </c>
      <c r="E1729" s="59" t="s">
        <v>442</v>
      </c>
    </row>
    <row r="1730" spans="3:5" ht="15" x14ac:dyDescent="0.2">
      <c r="C1730" s="61">
        <v>41426.979166666664</v>
      </c>
      <c r="D1730" s="60">
        <v>6180</v>
      </c>
      <c r="E1730" s="59" t="s">
        <v>442</v>
      </c>
    </row>
    <row r="1731" spans="3:5" ht="15" x14ac:dyDescent="0.2">
      <c r="C1731" s="61">
        <v>41426.989583333336</v>
      </c>
      <c r="D1731" s="60">
        <v>6180</v>
      </c>
      <c r="E1731" s="59" t="s">
        <v>442</v>
      </c>
    </row>
    <row r="1732" spans="3:5" ht="15" x14ac:dyDescent="0.2">
      <c r="C1732" s="61">
        <v>41427</v>
      </c>
      <c r="D1732" s="60">
        <v>6170</v>
      </c>
      <c r="E1732" s="59" t="s">
        <v>274</v>
      </c>
    </row>
    <row r="1733" spans="3:5" ht="15" x14ac:dyDescent="0.2">
      <c r="C1733" s="61">
        <v>41427.010416666664</v>
      </c>
      <c r="D1733" s="60">
        <v>6170</v>
      </c>
      <c r="E1733" s="59" t="s">
        <v>274</v>
      </c>
    </row>
    <row r="1734" spans="3:5" ht="15" x14ac:dyDescent="0.2">
      <c r="C1734" s="61">
        <v>41427.020833333336</v>
      </c>
      <c r="D1734" s="60">
        <v>6170</v>
      </c>
      <c r="E1734" s="59" t="s">
        <v>274</v>
      </c>
    </row>
    <row r="1735" spans="3:5" ht="15" x14ac:dyDescent="0.2">
      <c r="C1735" s="61">
        <v>41427.03125</v>
      </c>
      <c r="D1735" s="60">
        <v>6170</v>
      </c>
      <c r="E1735" s="59" t="s">
        <v>274</v>
      </c>
    </row>
    <row r="1736" spans="3:5" ht="15" x14ac:dyDescent="0.2">
      <c r="C1736" s="61">
        <v>41427.041666666664</v>
      </c>
      <c r="D1736" s="60">
        <v>6170</v>
      </c>
      <c r="E1736" s="59" t="s">
        <v>274</v>
      </c>
    </row>
    <row r="1737" spans="3:5" ht="15" x14ac:dyDescent="0.2">
      <c r="C1737" s="61">
        <v>41427.052083333336</v>
      </c>
      <c r="D1737" s="60">
        <v>6150</v>
      </c>
      <c r="E1737" s="59" t="s">
        <v>275</v>
      </c>
    </row>
    <row r="1738" spans="3:5" ht="15" x14ac:dyDescent="0.2">
      <c r="C1738" s="61">
        <v>41427.0625</v>
      </c>
      <c r="D1738" s="60">
        <v>6150</v>
      </c>
      <c r="E1738" s="59" t="s">
        <v>275</v>
      </c>
    </row>
    <row r="1739" spans="3:5" ht="15" x14ac:dyDescent="0.2">
      <c r="C1739" s="61">
        <v>41427.072916666664</v>
      </c>
      <c r="D1739" s="60">
        <v>6150</v>
      </c>
      <c r="E1739" s="59" t="s">
        <v>275</v>
      </c>
    </row>
    <row r="1740" spans="3:5" ht="15" x14ac:dyDescent="0.2">
      <c r="C1740" s="61">
        <v>41427.083333333336</v>
      </c>
      <c r="D1740" s="60">
        <v>6140</v>
      </c>
      <c r="E1740" s="59" t="s">
        <v>276</v>
      </c>
    </row>
    <row r="1741" spans="3:5" ht="15" x14ac:dyDescent="0.2">
      <c r="C1741" s="61">
        <v>41427.09375</v>
      </c>
      <c r="D1741" s="60">
        <v>6140</v>
      </c>
      <c r="E1741" s="59" t="s">
        <v>276</v>
      </c>
    </row>
    <row r="1742" spans="3:5" ht="15" x14ac:dyDescent="0.2">
      <c r="C1742" s="61">
        <v>41427.104166666664</v>
      </c>
      <c r="D1742" s="60">
        <v>6140</v>
      </c>
      <c r="E1742" s="59" t="s">
        <v>276</v>
      </c>
    </row>
    <row r="1743" spans="3:5" ht="15" x14ac:dyDescent="0.2">
      <c r="C1743" s="61">
        <v>41427.114583333336</v>
      </c>
      <c r="D1743" s="60">
        <v>6140</v>
      </c>
      <c r="E1743" s="59" t="s">
        <v>276</v>
      </c>
    </row>
    <row r="1744" spans="3:5" ht="15" x14ac:dyDescent="0.2">
      <c r="C1744" s="61">
        <v>41427.125</v>
      </c>
      <c r="D1744" s="60">
        <v>6120</v>
      </c>
      <c r="E1744" s="59" t="s">
        <v>429</v>
      </c>
    </row>
    <row r="1745" spans="3:5" ht="15" x14ac:dyDescent="0.2">
      <c r="C1745" s="61">
        <v>41427.135416666664</v>
      </c>
      <c r="D1745" s="60">
        <v>6120</v>
      </c>
      <c r="E1745" s="59" t="s">
        <v>429</v>
      </c>
    </row>
    <row r="1746" spans="3:5" ht="15" x14ac:dyDescent="0.2">
      <c r="C1746" s="61">
        <v>41427.145833333336</v>
      </c>
      <c r="D1746" s="60">
        <v>6120</v>
      </c>
      <c r="E1746" s="59" t="s">
        <v>429</v>
      </c>
    </row>
    <row r="1747" spans="3:5" ht="15" x14ac:dyDescent="0.2">
      <c r="C1747" s="61">
        <v>41427.15625</v>
      </c>
      <c r="D1747" s="60">
        <v>6120</v>
      </c>
      <c r="E1747" s="59" t="s">
        <v>429</v>
      </c>
    </row>
    <row r="1748" spans="3:5" ht="15" x14ac:dyDescent="0.2">
      <c r="C1748" s="61">
        <v>41427.166666666664</v>
      </c>
      <c r="D1748" s="60">
        <v>6120</v>
      </c>
      <c r="E1748" s="59" t="s">
        <v>429</v>
      </c>
    </row>
    <row r="1749" spans="3:5" ht="15" x14ac:dyDescent="0.2">
      <c r="C1749" s="61">
        <v>41427.177083333336</v>
      </c>
      <c r="D1749" s="60">
        <v>6120</v>
      </c>
      <c r="E1749" s="59" t="s">
        <v>429</v>
      </c>
    </row>
    <row r="1750" spans="3:5" ht="15" x14ac:dyDescent="0.2">
      <c r="C1750" s="61">
        <v>41427.1875</v>
      </c>
      <c r="D1750" s="60">
        <v>6120</v>
      </c>
      <c r="E1750" s="59" t="s">
        <v>429</v>
      </c>
    </row>
    <row r="1751" spans="3:5" ht="15" x14ac:dyDescent="0.2">
      <c r="C1751" s="61">
        <v>41427.197916666664</v>
      </c>
      <c r="D1751" s="60">
        <v>6120</v>
      </c>
      <c r="E1751" s="59" t="s">
        <v>429</v>
      </c>
    </row>
    <row r="1752" spans="3:5" ht="15" x14ac:dyDescent="0.2">
      <c r="C1752" s="61">
        <v>41427.208333333336</v>
      </c>
      <c r="D1752" s="60">
        <v>6120</v>
      </c>
      <c r="E1752" s="59" t="s">
        <v>429</v>
      </c>
    </row>
    <row r="1753" spans="3:5" ht="15" x14ac:dyDescent="0.2">
      <c r="C1753" s="61">
        <v>41427.21875</v>
      </c>
      <c r="D1753" s="60">
        <v>6120</v>
      </c>
      <c r="E1753" s="59" t="s">
        <v>429</v>
      </c>
    </row>
    <row r="1754" spans="3:5" ht="15" x14ac:dyDescent="0.2">
      <c r="C1754" s="61">
        <v>41427.229166666664</v>
      </c>
      <c r="D1754" s="60">
        <v>6120</v>
      </c>
      <c r="E1754" s="59" t="s">
        <v>429</v>
      </c>
    </row>
    <row r="1755" spans="3:5" ht="15" x14ac:dyDescent="0.2">
      <c r="C1755" s="61">
        <v>41427.239583333336</v>
      </c>
      <c r="D1755" s="60">
        <v>6120</v>
      </c>
      <c r="E1755" s="59" t="s">
        <v>429</v>
      </c>
    </row>
    <row r="1756" spans="3:5" ht="15" x14ac:dyDescent="0.2">
      <c r="C1756" s="61">
        <v>41427.25</v>
      </c>
      <c r="D1756" s="60">
        <v>6120</v>
      </c>
      <c r="E1756" s="59" t="s">
        <v>429</v>
      </c>
    </row>
    <row r="1757" spans="3:5" ht="15" x14ac:dyDescent="0.2">
      <c r="C1757" s="61">
        <v>41427.260416666664</v>
      </c>
      <c r="D1757" s="60">
        <v>6120</v>
      </c>
      <c r="E1757" s="59" t="s">
        <v>429</v>
      </c>
    </row>
    <row r="1758" spans="3:5" ht="15" x14ac:dyDescent="0.2">
      <c r="C1758" s="61">
        <v>41427.270833333336</v>
      </c>
      <c r="D1758" s="60">
        <v>6120</v>
      </c>
      <c r="E1758" s="59" t="s">
        <v>429</v>
      </c>
    </row>
    <row r="1759" spans="3:5" ht="15" x14ac:dyDescent="0.2">
      <c r="C1759" s="61">
        <v>41427.28125</v>
      </c>
      <c r="D1759" s="60">
        <v>6120</v>
      </c>
      <c r="E1759" s="59" t="s">
        <v>429</v>
      </c>
    </row>
    <row r="1760" spans="3:5" ht="15" x14ac:dyDescent="0.2">
      <c r="C1760" s="61">
        <v>41427.291666666664</v>
      </c>
      <c r="D1760" s="60">
        <v>6120</v>
      </c>
      <c r="E1760" s="59" t="s">
        <v>429</v>
      </c>
    </row>
    <row r="1761" spans="3:5" ht="15" x14ac:dyDescent="0.2">
      <c r="C1761" s="61">
        <v>41427.302083333336</v>
      </c>
      <c r="D1761" s="60">
        <v>6120</v>
      </c>
      <c r="E1761" s="59" t="s">
        <v>429</v>
      </c>
    </row>
    <row r="1762" spans="3:5" ht="15" x14ac:dyDescent="0.2">
      <c r="C1762" s="61">
        <v>41427.3125</v>
      </c>
      <c r="D1762" s="60">
        <v>6120</v>
      </c>
      <c r="E1762" s="59" t="s">
        <v>429</v>
      </c>
    </row>
    <row r="1763" spans="3:5" ht="15" x14ac:dyDescent="0.2">
      <c r="C1763" s="61">
        <v>41427.322916666664</v>
      </c>
      <c r="D1763" s="60">
        <v>6120</v>
      </c>
      <c r="E1763" s="59" t="s">
        <v>429</v>
      </c>
    </row>
    <row r="1764" spans="3:5" ht="15" x14ac:dyDescent="0.2">
      <c r="C1764" s="61">
        <v>41427.333333333336</v>
      </c>
      <c r="D1764" s="60">
        <v>6120</v>
      </c>
      <c r="E1764" s="59" t="s">
        <v>429</v>
      </c>
    </row>
    <row r="1765" spans="3:5" ht="15" x14ac:dyDescent="0.2">
      <c r="C1765" s="61">
        <v>41427.34375</v>
      </c>
      <c r="D1765" s="60">
        <v>6120</v>
      </c>
      <c r="E1765" s="59" t="s">
        <v>429</v>
      </c>
    </row>
    <row r="1766" spans="3:5" ht="15" x14ac:dyDescent="0.2">
      <c r="C1766" s="61">
        <v>41427.354166666664</v>
      </c>
      <c r="D1766" s="60">
        <v>6120</v>
      </c>
      <c r="E1766" s="59" t="s">
        <v>429</v>
      </c>
    </row>
    <row r="1767" spans="3:5" ht="15" x14ac:dyDescent="0.2">
      <c r="C1767" s="61">
        <v>41427.364583333336</v>
      </c>
      <c r="D1767" s="60">
        <v>6120</v>
      </c>
      <c r="E1767" s="59" t="s">
        <v>429</v>
      </c>
    </row>
    <row r="1768" spans="3:5" ht="15" x14ac:dyDescent="0.2">
      <c r="C1768" s="61">
        <v>41427.375</v>
      </c>
      <c r="D1768" s="60">
        <v>6120</v>
      </c>
      <c r="E1768" s="59" t="s">
        <v>429</v>
      </c>
    </row>
    <row r="1769" spans="3:5" ht="15" x14ac:dyDescent="0.2">
      <c r="C1769" s="61">
        <v>41427.385416666664</v>
      </c>
      <c r="D1769" s="60">
        <v>6120</v>
      </c>
      <c r="E1769" s="59" t="s">
        <v>429</v>
      </c>
    </row>
    <row r="1770" spans="3:5" ht="15" x14ac:dyDescent="0.2">
      <c r="C1770" s="61">
        <v>41427.395833333336</v>
      </c>
      <c r="D1770" s="60">
        <v>6120</v>
      </c>
      <c r="E1770" s="59" t="s">
        <v>429</v>
      </c>
    </row>
    <row r="1771" spans="3:5" ht="15" x14ac:dyDescent="0.2">
      <c r="C1771" s="61">
        <v>41427.40625</v>
      </c>
      <c r="D1771" s="60">
        <v>6120</v>
      </c>
      <c r="E1771" s="59" t="s">
        <v>429</v>
      </c>
    </row>
    <row r="1772" spans="3:5" ht="15" x14ac:dyDescent="0.2">
      <c r="C1772" s="61">
        <v>41427.416666666664</v>
      </c>
      <c r="D1772" s="60">
        <v>6120</v>
      </c>
      <c r="E1772" s="59" t="s">
        <v>429</v>
      </c>
    </row>
    <row r="1773" spans="3:5" ht="15" x14ac:dyDescent="0.2">
      <c r="C1773" s="61">
        <v>41427.427083333336</v>
      </c>
      <c r="D1773" s="60">
        <v>6120</v>
      </c>
      <c r="E1773" s="59" t="s">
        <v>429</v>
      </c>
    </row>
    <row r="1774" spans="3:5" ht="15" x14ac:dyDescent="0.2">
      <c r="C1774" s="61">
        <v>41427.4375</v>
      </c>
      <c r="D1774" s="60">
        <v>6120</v>
      </c>
      <c r="E1774" s="59" t="s">
        <v>429</v>
      </c>
    </row>
    <row r="1775" spans="3:5" ht="15" x14ac:dyDescent="0.2">
      <c r="C1775" s="61">
        <v>41427.447916666664</v>
      </c>
      <c r="D1775" s="60">
        <v>6120</v>
      </c>
      <c r="E1775" s="59" t="s">
        <v>429</v>
      </c>
    </row>
    <row r="1776" spans="3:5" ht="15" x14ac:dyDescent="0.2">
      <c r="C1776" s="61">
        <v>41427.458333333336</v>
      </c>
      <c r="D1776" s="60">
        <v>6120</v>
      </c>
      <c r="E1776" s="59" t="s">
        <v>429</v>
      </c>
    </row>
    <row r="1777" spans="3:5" ht="15" x14ac:dyDescent="0.2">
      <c r="C1777" s="61">
        <v>41427.46875</v>
      </c>
      <c r="D1777" s="60">
        <v>6120</v>
      </c>
      <c r="E1777" s="59" t="s">
        <v>429</v>
      </c>
    </row>
    <row r="1778" spans="3:5" ht="15" x14ac:dyDescent="0.2">
      <c r="C1778" s="61">
        <v>41427.479166666664</v>
      </c>
      <c r="D1778" s="60">
        <v>6120</v>
      </c>
      <c r="E1778" s="59" t="s">
        <v>429</v>
      </c>
    </row>
    <row r="1779" spans="3:5" ht="15" x14ac:dyDescent="0.2">
      <c r="C1779" s="61">
        <v>41427.489583333336</v>
      </c>
      <c r="D1779" s="60">
        <v>6120</v>
      </c>
      <c r="E1779" s="59" t="s">
        <v>429</v>
      </c>
    </row>
    <row r="1780" spans="3:5" ht="15" x14ac:dyDescent="0.2">
      <c r="C1780" s="61">
        <v>41427.5</v>
      </c>
      <c r="D1780" s="60">
        <v>6120</v>
      </c>
      <c r="E1780" s="59" t="s">
        <v>429</v>
      </c>
    </row>
    <row r="1781" spans="3:5" ht="15" x14ac:dyDescent="0.2">
      <c r="C1781" s="61">
        <v>41427.510416666664</v>
      </c>
      <c r="D1781" s="60">
        <v>6120</v>
      </c>
      <c r="E1781" s="59" t="s">
        <v>429</v>
      </c>
    </row>
    <row r="1782" spans="3:5" ht="15" x14ac:dyDescent="0.2">
      <c r="C1782" s="61">
        <v>41427.520833333336</v>
      </c>
      <c r="D1782" s="60">
        <v>6120</v>
      </c>
      <c r="E1782" s="59" t="s">
        <v>429</v>
      </c>
    </row>
    <row r="1783" spans="3:5" ht="15" x14ac:dyDescent="0.2">
      <c r="C1783" s="61">
        <v>41427.53125</v>
      </c>
      <c r="D1783" s="60">
        <v>6120</v>
      </c>
      <c r="E1783" s="59" t="s">
        <v>429</v>
      </c>
    </row>
    <row r="1784" spans="3:5" ht="15" x14ac:dyDescent="0.2">
      <c r="C1784" s="61">
        <v>41427.541666666664</v>
      </c>
      <c r="D1784" s="60">
        <v>6120</v>
      </c>
      <c r="E1784" s="59" t="s">
        <v>429</v>
      </c>
    </row>
    <row r="1785" spans="3:5" ht="15" x14ac:dyDescent="0.2">
      <c r="C1785" s="61">
        <v>41427.552083333336</v>
      </c>
      <c r="D1785" s="60">
        <v>6120</v>
      </c>
      <c r="E1785" s="59" t="s">
        <v>429</v>
      </c>
    </row>
    <row r="1786" spans="3:5" ht="15" x14ac:dyDescent="0.2">
      <c r="C1786" s="61">
        <v>41427.5625</v>
      </c>
      <c r="D1786" s="60">
        <v>6120</v>
      </c>
      <c r="E1786" s="59" t="s">
        <v>429</v>
      </c>
    </row>
    <row r="1787" spans="3:5" ht="15" x14ac:dyDescent="0.2">
      <c r="C1787" s="61">
        <v>41427.572916666664</v>
      </c>
      <c r="D1787" s="60">
        <v>6120</v>
      </c>
      <c r="E1787" s="59" t="s">
        <v>429</v>
      </c>
    </row>
    <row r="1788" spans="3:5" ht="15" x14ac:dyDescent="0.2">
      <c r="C1788" s="61">
        <v>41427.583333333336</v>
      </c>
      <c r="D1788" s="60">
        <v>6100</v>
      </c>
      <c r="E1788" s="59" t="s">
        <v>277</v>
      </c>
    </row>
    <row r="1789" spans="3:5" ht="15" x14ac:dyDescent="0.2">
      <c r="C1789" s="61">
        <v>41427.59375</v>
      </c>
      <c r="D1789" s="60">
        <v>6100</v>
      </c>
      <c r="E1789" s="59" t="s">
        <v>277</v>
      </c>
    </row>
    <row r="1790" spans="3:5" ht="15" x14ac:dyDescent="0.2">
      <c r="C1790" s="61">
        <v>41427.604166666664</v>
      </c>
      <c r="D1790" s="60">
        <v>6100</v>
      </c>
      <c r="E1790" s="59" t="s">
        <v>277</v>
      </c>
    </row>
    <row r="1791" spans="3:5" ht="15" x14ac:dyDescent="0.2">
      <c r="C1791" s="61">
        <v>41427.614583333336</v>
      </c>
      <c r="D1791" s="60">
        <v>6100</v>
      </c>
      <c r="E1791" s="59" t="s">
        <v>277</v>
      </c>
    </row>
    <row r="1792" spans="3:5" ht="15" x14ac:dyDescent="0.2">
      <c r="C1792" s="61">
        <v>41427.625</v>
      </c>
      <c r="D1792" s="60">
        <v>6100</v>
      </c>
      <c r="E1792" s="59" t="s">
        <v>277</v>
      </c>
    </row>
    <row r="1793" spans="3:5" ht="15" x14ac:dyDescent="0.2">
      <c r="C1793" s="61">
        <v>41427.635416666664</v>
      </c>
      <c r="D1793" s="60">
        <v>6100</v>
      </c>
      <c r="E1793" s="59" t="s">
        <v>277</v>
      </c>
    </row>
    <row r="1794" spans="3:5" ht="15" x14ac:dyDescent="0.2">
      <c r="C1794" s="61">
        <v>41427.645833333336</v>
      </c>
      <c r="D1794" s="60">
        <v>6100</v>
      </c>
      <c r="E1794" s="59" t="s">
        <v>277</v>
      </c>
    </row>
    <row r="1795" spans="3:5" ht="15" x14ac:dyDescent="0.2">
      <c r="C1795" s="61">
        <v>41427.65625</v>
      </c>
      <c r="D1795" s="60">
        <v>6100</v>
      </c>
      <c r="E1795" s="59" t="s">
        <v>277</v>
      </c>
    </row>
    <row r="1796" spans="3:5" ht="15" x14ac:dyDescent="0.2">
      <c r="C1796" s="61">
        <v>41427.666666666664</v>
      </c>
      <c r="D1796" s="60">
        <v>6100</v>
      </c>
      <c r="E1796" s="59" t="s">
        <v>277</v>
      </c>
    </row>
    <row r="1797" spans="3:5" ht="15" x14ac:dyDescent="0.2">
      <c r="C1797" s="61">
        <v>41427.677083333336</v>
      </c>
      <c r="D1797" s="60">
        <v>6100</v>
      </c>
      <c r="E1797" s="59" t="s">
        <v>277</v>
      </c>
    </row>
    <row r="1798" spans="3:5" ht="15" x14ac:dyDescent="0.2">
      <c r="C1798" s="61">
        <v>41427.6875</v>
      </c>
      <c r="D1798" s="60">
        <v>6090</v>
      </c>
      <c r="E1798" s="59" t="s">
        <v>278</v>
      </c>
    </row>
    <row r="1799" spans="3:5" ht="15" x14ac:dyDescent="0.2">
      <c r="C1799" s="61">
        <v>41427.697916666664</v>
      </c>
      <c r="D1799" s="60">
        <v>6090</v>
      </c>
      <c r="E1799" s="59" t="s">
        <v>278</v>
      </c>
    </row>
    <row r="1800" spans="3:5" ht="15" x14ac:dyDescent="0.2">
      <c r="C1800" s="61">
        <v>41427.708333333336</v>
      </c>
      <c r="D1800" s="60">
        <v>6090</v>
      </c>
      <c r="E1800" s="59" t="s">
        <v>278</v>
      </c>
    </row>
    <row r="1801" spans="3:5" ht="15" x14ac:dyDescent="0.2">
      <c r="C1801" s="61">
        <v>41427.71875</v>
      </c>
      <c r="D1801" s="60">
        <v>6090</v>
      </c>
      <c r="E1801" s="59" t="s">
        <v>278</v>
      </c>
    </row>
    <row r="1802" spans="3:5" ht="15" x14ac:dyDescent="0.2">
      <c r="C1802" s="61">
        <v>41427.729166666664</v>
      </c>
      <c r="D1802" s="60">
        <v>6090</v>
      </c>
      <c r="E1802" s="59" t="s">
        <v>278</v>
      </c>
    </row>
    <row r="1803" spans="3:5" ht="15" x14ac:dyDescent="0.2">
      <c r="C1803" s="61">
        <v>41427.739583333336</v>
      </c>
      <c r="D1803" s="60">
        <v>6090</v>
      </c>
      <c r="E1803" s="59" t="s">
        <v>278</v>
      </c>
    </row>
    <row r="1804" spans="3:5" ht="15" x14ac:dyDescent="0.2">
      <c r="C1804" s="61">
        <v>41427.75</v>
      </c>
      <c r="D1804" s="60">
        <v>6090</v>
      </c>
      <c r="E1804" s="59" t="s">
        <v>278</v>
      </c>
    </row>
    <row r="1805" spans="3:5" ht="15" x14ac:dyDescent="0.2">
      <c r="C1805" s="61">
        <v>41427.760416666664</v>
      </c>
      <c r="D1805" s="60">
        <v>6090</v>
      </c>
      <c r="E1805" s="59" t="s">
        <v>278</v>
      </c>
    </row>
    <row r="1806" spans="3:5" ht="15" x14ac:dyDescent="0.2">
      <c r="C1806" s="61">
        <v>41427.770833333336</v>
      </c>
      <c r="D1806" s="60">
        <v>6090</v>
      </c>
      <c r="E1806" s="59" t="s">
        <v>278</v>
      </c>
    </row>
    <row r="1807" spans="3:5" ht="15" x14ac:dyDescent="0.2">
      <c r="C1807" s="61">
        <v>41427.78125</v>
      </c>
      <c r="D1807" s="60">
        <v>6090</v>
      </c>
      <c r="E1807" s="59" t="s">
        <v>278</v>
      </c>
    </row>
    <row r="1808" spans="3:5" ht="15" x14ac:dyDescent="0.2">
      <c r="C1808" s="61">
        <v>41427.791666666664</v>
      </c>
      <c r="D1808" s="60">
        <v>6090</v>
      </c>
      <c r="E1808" s="59" t="s">
        <v>278</v>
      </c>
    </row>
    <row r="1809" spans="3:5" ht="15" x14ac:dyDescent="0.2">
      <c r="C1809" s="61">
        <v>41427.802083333336</v>
      </c>
      <c r="D1809" s="60">
        <v>6090</v>
      </c>
      <c r="E1809" s="59" t="s">
        <v>278</v>
      </c>
    </row>
    <row r="1810" spans="3:5" ht="15" x14ac:dyDescent="0.2">
      <c r="C1810" s="61">
        <v>41427.8125</v>
      </c>
      <c r="D1810" s="60">
        <v>6070</v>
      </c>
      <c r="E1810" s="59" t="s">
        <v>279</v>
      </c>
    </row>
    <row r="1811" spans="3:5" ht="15" x14ac:dyDescent="0.2">
      <c r="C1811" s="61">
        <v>41427.822916666664</v>
      </c>
      <c r="D1811" s="60">
        <v>6070</v>
      </c>
      <c r="E1811" s="59" t="s">
        <v>279</v>
      </c>
    </row>
    <row r="1812" spans="3:5" ht="15" x14ac:dyDescent="0.2">
      <c r="C1812" s="61">
        <v>41427.833333333336</v>
      </c>
      <c r="D1812" s="60">
        <v>6070</v>
      </c>
      <c r="E1812" s="59" t="s">
        <v>279</v>
      </c>
    </row>
    <row r="1813" spans="3:5" ht="15" x14ac:dyDescent="0.2">
      <c r="C1813" s="61">
        <v>41427.84375</v>
      </c>
      <c r="D1813" s="60">
        <v>6070</v>
      </c>
      <c r="E1813" s="59" t="s">
        <v>279</v>
      </c>
    </row>
    <row r="1814" spans="3:5" ht="15" x14ac:dyDescent="0.2">
      <c r="C1814" s="61">
        <v>41427.854166666664</v>
      </c>
      <c r="D1814" s="60">
        <v>6070</v>
      </c>
      <c r="E1814" s="59" t="s">
        <v>279</v>
      </c>
    </row>
    <row r="1815" spans="3:5" ht="15" x14ac:dyDescent="0.2">
      <c r="C1815" s="61">
        <v>41427.864583333336</v>
      </c>
      <c r="D1815" s="60">
        <v>6070</v>
      </c>
      <c r="E1815" s="59" t="s">
        <v>279</v>
      </c>
    </row>
    <row r="1816" spans="3:5" ht="15" x14ac:dyDescent="0.2">
      <c r="C1816" s="61">
        <v>41427.875</v>
      </c>
      <c r="D1816" s="60">
        <v>6070</v>
      </c>
      <c r="E1816" s="59" t="s">
        <v>279</v>
      </c>
    </row>
    <row r="1817" spans="3:5" ht="15" x14ac:dyDescent="0.2">
      <c r="C1817" s="61">
        <v>41427.885416666664</v>
      </c>
      <c r="D1817" s="60">
        <v>6070</v>
      </c>
      <c r="E1817" s="59" t="s">
        <v>279</v>
      </c>
    </row>
    <row r="1818" spans="3:5" ht="15" x14ac:dyDescent="0.2">
      <c r="C1818" s="61">
        <v>41427.895833333336</v>
      </c>
      <c r="D1818" s="60">
        <v>6070</v>
      </c>
      <c r="E1818" s="59" t="s">
        <v>279</v>
      </c>
    </row>
    <row r="1819" spans="3:5" ht="15" x14ac:dyDescent="0.2">
      <c r="C1819" s="61">
        <v>41427.90625</v>
      </c>
      <c r="D1819" s="60">
        <v>6050</v>
      </c>
      <c r="E1819" s="59" t="s">
        <v>280</v>
      </c>
    </row>
    <row r="1820" spans="3:5" ht="15" x14ac:dyDescent="0.2">
      <c r="C1820" s="61">
        <v>41427.916666666664</v>
      </c>
      <c r="D1820" s="60">
        <v>6050</v>
      </c>
      <c r="E1820" s="59" t="s">
        <v>280</v>
      </c>
    </row>
    <row r="1821" spans="3:5" ht="15" x14ac:dyDescent="0.2">
      <c r="C1821" s="61">
        <v>41427.927083333336</v>
      </c>
      <c r="D1821" s="60">
        <v>6050</v>
      </c>
      <c r="E1821" s="59" t="s">
        <v>280</v>
      </c>
    </row>
    <row r="1822" spans="3:5" ht="15" x14ac:dyDescent="0.2">
      <c r="C1822" s="61">
        <v>41427.9375</v>
      </c>
      <c r="D1822" s="60">
        <v>6040</v>
      </c>
      <c r="E1822" s="59" t="s">
        <v>281</v>
      </c>
    </row>
    <row r="1823" spans="3:5" ht="15" x14ac:dyDescent="0.2">
      <c r="C1823" s="61">
        <v>41427.947916666664</v>
      </c>
      <c r="D1823" s="60">
        <v>6040</v>
      </c>
      <c r="E1823" s="59" t="s">
        <v>281</v>
      </c>
    </row>
    <row r="1824" spans="3:5" ht="15" x14ac:dyDescent="0.2">
      <c r="C1824" s="61">
        <v>41427.958333333336</v>
      </c>
      <c r="D1824" s="60">
        <v>6020</v>
      </c>
      <c r="E1824" s="59" t="s">
        <v>282</v>
      </c>
    </row>
    <row r="1825" spans="3:5" ht="15" x14ac:dyDescent="0.2">
      <c r="C1825" s="61">
        <v>41427.96875</v>
      </c>
      <c r="D1825" s="60">
        <v>6020</v>
      </c>
      <c r="E1825" s="59" t="s">
        <v>282</v>
      </c>
    </row>
    <row r="1826" spans="3:5" ht="15" x14ac:dyDescent="0.2">
      <c r="C1826" s="61">
        <v>41427.979166666664</v>
      </c>
      <c r="D1826" s="60">
        <v>6010</v>
      </c>
      <c r="E1826" s="59" t="s">
        <v>283</v>
      </c>
    </row>
    <row r="1827" spans="3:5" ht="15" x14ac:dyDescent="0.2">
      <c r="C1827" s="61">
        <v>41427.989583333336</v>
      </c>
      <c r="D1827" s="60">
        <v>6010</v>
      </c>
      <c r="E1827" s="59" t="s">
        <v>283</v>
      </c>
    </row>
    <row r="1828" spans="3:5" ht="15" x14ac:dyDescent="0.2">
      <c r="C1828" s="61">
        <v>41428</v>
      </c>
      <c r="D1828" s="60">
        <v>5990</v>
      </c>
      <c r="E1828" s="59" t="s">
        <v>284</v>
      </c>
    </row>
    <row r="1829" spans="3:5" ht="15" x14ac:dyDescent="0.2">
      <c r="C1829" s="61">
        <v>41428.010416666664</v>
      </c>
      <c r="D1829" s="60">
        <v>5990</v>
      </c>
      <c r="E1829" s="59" t="s">
        <v>284</v>
      </c>
    </row>
    <row r="1830" spans="3:5" ht="15" x14ac:dyDescent="0.2">
      <c r="C1830" s="61">
        <v>41428.020833333336</v>
      </c>
      <c r="D1830" s="60">
        <v>5970</v>
      </c>
      <c r="E1830" s="59" t="s">
        <v>285</v>
      </c>
    </row>
    <row r="1831" spans="3:5" ht="15" x14ac:dyDescent="0.2">
      <c r="C1831" s="61">
        <v>41428.03125</v>
      </c>
      <c r="D1831" s="60">
        <v>5970</v>
      </c>
      <c r="E1831" s="59" t="s">
        <v>285</v>
      </c>
    </row>
    <row r="1832" spans="3:5" ht="15" x14ac:dyDescent="0.2">
      <c r="C1832" s="61">
        <v>41428.041666666664</v>
      </c>
      <c r="D1832" s="60">
        <v>5970</v>
      </c>
      <c r="E1832" s="59" t="s">
        <v>285</v>
      </c>
    </row>
    <row r="1833" spans="3:5" ht="15" x14ac:dyDescent="0.2">
      <c r="C1833" s="61">
        <v>41428.052083333336</v>
      </c>
      <c r="D1833" s="60">
        <v>5960</v>
      </c>
      <c r="E1833" s="59" t="s">
        <v>286</v>
      </c>
    </row>
    <row r="1834" spans="3:5" ht="15" x14ac:dyDescent="0.2">
      <c r="C1834" s="61">
        <v>41428.0625</v>
      </c>
      <c r="D1834" s="60">
        <v>5960</v>
      </c>
      <c r="E1834" s="59" t="s">
        <v>286</v>
      </c>
    </row>
    <row r="1835" spans="3:5" ht="15" x14ac:dyDescent="0.2">
      <c r="C1835" s="61">
        <v>41428.072916666664</v>
      </c>
      <c r="D1835" s="60">
        <v>5940</v>
      </c>
      <c r="E1835" s="59" t="s">
        <v>287</v>
      </c>
    </row>
    <row r="1836" spans="3:5" ht="15" x14ac:dyDescent="0.2">
      <c r="C1836" s="61">
        <v>41428.083333333336</v>
      </c>
      <c r="D1836" s="60">
        <v>5940</v>
      </c>
      <c r="E1836" s="59" t="s">
        <v>287</v>
      </c>
    </row>
    <row r="1837" spans="3:5" ht="15" x14ac:dyDescent="0.2">
      <c r="C1837" s="61">
        <v>41428.09375</v>
      </c>
      <c r="D1837" s="60">
        <v>5930</v>
      </c>
      <c r="E1837" s="59" t="s">
        <v>288</v>
      </c>
    </row>
    <row r="1838" spans="3:5" ht="15" x14ac:dyDescent="0.2">
      <c r="C1838" s="61">
        <v>41428.104166666664</v>
      </c>
      <c r="D1838" s="60">
        <v>5930</v>
      </c>
      <c r="E1838" s="59" t="s">
        <v>288</v>
      </c>
    </row>
    <row r="1839" spans="3:5" ht="15" x14ac:dyDescent="0.2">
      <c r="C1839" s="61">
        <v>41428.114583333336</v>
      </c>
      <c r="D1839" s="60">
        <v>5930</v>
      </c>
      <c r="E1839" s="59" t="s">
        <v>288</v>
      </c>
    </row>
    <row r="1840" spans="3:5" ht="15" x14ac:dyDescent="0.2">
      <c r="C1840" s="61">
        <v>41428.125</v>
      </c>
      <c r="D1840" s="60">
        <v>5910</v>
      </c>
      <c r="E1840" s="59" t="s">
        <v>289</v>
      </c>
    </row>
    <row r="1841" spans="3:5" ht="15" x14ac:dyDescent="0.2">
      <c r="C1841" s="61">
        <v>41428.135416666664</v>
      </c>
      <c r="D1841" s="60">
        <v>5910</v>
      </c>
      <c r="E1841" s="59" t="s">
        <v>289</v>
      </c>
    </row>
    <row r="1842" spans="3:5" ht="15" x14ac:dyDescent="0.2">
      <c r="C1842" s="61">
        <v>41428.145833333336</v>
      </c>
      <c r="D1842" s="60">
        <v>5910</v>
      </c>
      <c r="E1842" s="59" t="s">
        <v>289</v>
      </c>
    </row>
    <row r="1843" spans="3:5" ht="15" x14ac:dyDescent="0.2">
      <c r="C1843" s="61">
        <v>41428.15625</v>
      </c>
      <c r="D1843" s="60">
        <v>5910</v>
      </c>
      <c r="E1843" s="59" t="s">
        <v>289</v>
      </c>
    </row>
    <row r="1844" spans="3:5" ht="15" x14ac:dyDescent="0.2">
      <c r="C1844" s="61">
        <v>41428.166666666664</v>
      </c>
      <c r="D1844" s="60">
        <v>5890</v>
      </c>
      <c r="E1844" s="59" t="s">
        <v>290</v>
      </c>
    </row>
    <row r="1845" spans="3:5" ht="15" x14ac:dyDescent="0.2">
      <c r="C1845" s="61">
        <v>41428.177083333336</v>
      </c>
      <c r="D1845" s="60">
        <v>5890</v>
      </c>
      <c r="E1845" s="59" t="s">
        <v>290</v>
      </c>
    </row>
    <row r="1846" spans="3:5" ht="15" x14ac:dyDescent="0.2">
      <c r="C1846" s="61">
        <v>41428.1875</v>
      </c>
      <c r="D1846" s="60">
        <v>5890</v>
      </c>
      <c r="E1846" s="59" t="s">
        <v>290</v>
      </c>
    </row>
    <row r="1847" spans="3:5" ht="15" x14ac:dyDescent="0.2">
      <c r="C1847" s="61">
        <v>41428.197916666664</v>
      </c>
      <c r="D1847" s="60">
        <v>5890</v>
      </c>
      <c r="E1847" s="59" t="s">
        <v>290</v>
      </c>
    </row>
    <row r="1848" spans="3:5" ht="15" x14ac:dyDescent="0.2">
      <c r="C1848" s="61">
        <v>41428.208333333336</v>
      </c>
      <c r="D1848" s="60">
        <v>5890</v>
      </c>
      <c r="E1848" s="59" t="s">
        <v>290</v>
      </c>
    </row>
    <row r="1849" spans="3:5" ht="15" x14ac:dyDescent="0.2">
      <c r="C1849" s="61">
        <v>41428.21875</v>
      </c>
      <c r="D1849" s="60">
        <v>5890</v>
      </c>
      <c r="E1849" s="59" t="s">
        <v>290</v>
      </c>
    </row>
    <row r="1850" spans="3:5" ht="15" x14ac:dyDescent="0.2">
      <c r="C1850" s="61">
        <v>41428.229166666664</v>
      </c>
      <c r="D1850" s="60">
        <v>5890</v>
      </c>
      <c r="E1850" s="59" t="s">
        <v>290</v>
      </c>
    </row>
    <row r="1851" spans="3:5" ht="15" x14ac:dyDescent="0.2">
      <c r="C1851" s="61">
        <v>41428.239583333336</v>
      </c>
      <c r="D1851" s="60">
        <v>5890</v>
      </c>
      <c r="E1851" s="59" t="s">
        <v>290</v>
      </c>
    </row>
    <row r="1852" spans="3:5" ht="15" x14ac:dyDescent="0.2">
      <c r="C1852" s="61">
        <v>41428.25</v>
      </c>
      <c r="D1852" s="60">
        <v>5890</v>
      </c>
      <c r="E1852" s="59" t="s">
        <v>290</v>
      </c>
    </row>
    <row r="1853" spans="3:5" ht="15" x14ac:dyDescent="0.2">
      <c r="C1853" s="61">
        <v>41428.260416666664</v>
      </c>
      <c r="D1853" s="60">
        <v>5890</v>
      </c>
      <c r="E1853" s="59" t="s">
        <v>290</v>
      </c>
    </row>
    <row r="1854" spans="3:5" ht="15" x14ac:dyDescent="0.2">
      <c r="C1854" s="61">
        <v>41428.270833333336</v>
      </c>
      <c r="D1854" s="60">
        <v>5890</v>
      </c>
      <c r="E1854" s="59" t="s">
        <v>290</v>
      </c>
    </row>
    <row r="1855" spans="3:5" ht="15" x14ac:dyDescent="0.2">
      <c r="C1855" s="61">
        <v>41428.28125</v>
      </c>
      <c r="D1855" s="60">
        <v>5890</v>
      </c>
      <c r="E1855" s="59" t="s">
        <v>290</v>
      </c>
    </row>
    <row r="1856" spans="3:5" ht="15" x14ac:dyDescent="0.2">
      <c r="C1856" s="61">
        <v>41428.291666666664</v>
      </c>
      <c r="D1856" s="60">
        <v>5890</v>
      </c>
      <c r="E1856" s="59" t="s">
        <v>290</v>
      </c>
    </row>
    <row r="1857" spans="3:5" ht="15" x14ac:dyDescent="0.2">
      <c r="C1857" s="61">
        <v>41428.302083333336</v>
      </c>
      <c r="D1857" s="60">
        <v>5890</v>
      </c>
      <c r="E1857" s="59" t="s">
        <v>290</v>
      </c>
    </row>
    <row r="1858" spans="3:5" ht="15" x14ac:dyDescent="0.2">
      <c r="C1858" s="61">
        <v>41428.3125</v>
      </c>
      <c r="D1858" s="60">
        <v>5890</v>
      </c>
      <c r="E1858" s="59" t="s">
        <v>290</v>
      </c>
    </row>
    <row r="1859" spans="3:5" ht="15" x14ac:dyDescent="0.2">
      <c r="C1859" s="61">
        <v>41428.322916666664</v>
      </c>
      <c r="D1859" s="60">
        <v>5890</v>
      </c>
      <c r="E1859" s="59" t="s">
        <v>290</v>
      </c>
    </row>
    <row r="1860" spans="3:5" ht="15" x14ac:dyDescent="0.2">
      <c r="C1860" s="61">
        <v>41428.333333333336</v>
      </c>
      <c r="D1860" s="60">
        <v>5890</v>
      </c>
      <c r="E1860" s="59" t="s">
        <v>290</v>
      </c>
    </row>
    <row r="1861" spans="3:5" ht="15" x14ac:dyDescent="0.2">
      <c r="C1861" s="61">
        <v>41428.34375</v>
      </c>
      <c r="D1861" s="60">
        <v>5890</v>
      </c>
      <c r="E1861" s="59" t="s">
        <v>290</v>
      </c>
    </row>
    <row r="1862" spans="3:5" ht="15" x14ac:dyDescent="0.2">
      <c r="C1862" s="61">
        <v>41428.354166666664</v>
      </c>
      <c r="D1862" s="60">
        <v>5890</v>
      </c>
      <c r="E1862" s="59" t="s">
        <v>290</v>
      </c>
    </row>
    <row r="1863" spans="3:5" ht="15" x14ac:dyDescent="0.2">
      <c r="C1863" s="61">
        <v>41428.364583333336</v>
      </c>
      <c r="D1863" s="60">
        <v>5890</v>
      </c>
      <c r="E1863" s="59" t="s">
        <v>290</v>
      </c>
    </row>
    <row r="1864" spans="3:5" ht="15" x14ac:dyDescent="0.2">
      <c r="C1864" s="61">
        <v>41428.375</v>
      </c>
      <c r="D1864" s="60">
        <v>5890</v>
      </c>
      <c r="E1864" s="59" t="s">
        <v>290</v>
      </c>
    </row>
    <row r="1865" spans="3:5" ht="15" x14ac:dyDescent="0.2">
      <c r="C1865" s="61">
        <v>41428.385416666664</v>
      </c>
      <c r="D1865" s="60">
        <v>5890</v>
      </c>
      <c r="E1865" s="59" t="s">
        <v>290</v>
      </c>
    </row>
    <row r="1866" spans="3:5" ht="15" x14ac:dyDescent="0.2">
      <c r="C1866" s="61">
        <v>41428.395833333336</v>
      </c>
      <c r="D1866" s="60">
        <v>5890</v>
      </c>
      <c r="E1866" s="59" t="s">
        <v>290</v>
      </c>
    </row>
    <row r="1867" spans="3:5" ht="15" x14ac:dyDescent="0.2">
      <c r="C1867" s="61">
        <v>41428.40625</v>
      </c>
      <c r="D1867" s="60">
        <v>5890</v>
      </c>
      <c r="E1867" s="59" t="s">
        <v>290</v>
      </c>
    </row>
    <row r="1868" spans="3:5" ht="15" x14ac:dyDescent="0.2">
      <c r="C1868" s="61">
        <v>41428.416666666664</v>
      </c>
      <c r="D1868" s="60">
        <v>5890</v>
      </c>
      <c r="E1868" s="59" t="s">
        <v>290</v>
      </c>
    </row>
    <row r="1869" spans="3:5" ht="15" x14ac:dyDescent="0.2">
      <c r="C1869" s="61">
        <v>41428.427083333336</v>
      </c>
      <c r="D1869" s="60">
        <v>5890</v>
      </c>
      <c r="E1869" s="59" t="s">
        <v>290</v>
      </c>
    </row>
    <row r="1870" spans="3:5" ht="15" x14ac:dyDescent="0.2">
      <c r="C1870" s="61">
        <v>41428.4375</v>
      </c>
      <c r="D1870" s="60">
        <v>5910</v>
      </c>
      <c r="E1870" s="59" t="s">
        <v>289</v>
      </c>
    </row>
    <row r="1871" spans="3:5" ht="15" x14ac:dyDescent="0.2">
      <c r="C1871" s="61">
        <v>41428.447916666664</v>
      </c>
      <c r="D1871" s="60">
        <v>5910</v>
      </c>
      <c r="E1871" s="59" t="s">
        <v>289</v>
      </c>
    </row>
    <row r="1872" spans="3:5" ht="15" x14ac:dyDescent="0.2">
      <c r="C1872" s="61">
        <v>41428.458333333336</v>
      </c>
      <c r="D1872" s="60">
        <v>5910</v>
      </c>
      <c r="E1872" s="59" t="s">
        <v>289</v>
      </c>
    </row>
    <row r="1873" spans="3:5" ht="15" x14ac:dyDescent="0.2">
      <c r="C1873" s="61">
        <v>41428.46875</v>
      </c>
      <c r="D1873" s="60">
        <v>5910</v>
      </c>
      <c r="E1873" s="59" t="s">
        <v>289</v>
      </c>
    </row>
    <row r="1874" spans="3:5" ht="15" x14ac:dyDescent="0.2">
      <c r="C1874" s="61">
        <v>41428.479166666664</v>
      </c>
      <c r="D1874" s="60">
        <v>5910</v>
      </c>
      <c r="E1874" s="59" t="s">
        <v>289</v>
      </c>
    </row>
    <row r="1875" spans="3:5" ht="15" x14ac:dyDescent="0.2">
      <c r="C1875" s="61">
        <v>41428.489583333336</v>
      </c>
      <c r="D1875" s="60">
        <v>5910</v>
      </c>
      <c r="E1875" s="59" t="s">
        <v>289</v>
      </c>
    </row>
    <row r="1876" spans="3:5" ht="15" x14ac:dyDescent="0.2">
      <c r="C1876" s="61">
        <v>41428.5</v>
      </c>
      <c r="D1876" s="60">
        <v>5910</v>
      </c>
      <c r="E1876" s="59" t="s">
        <v>289</v>
      </c>
    </row>
    <row r="1877" spans="3:5" ht="15" x14ac:dyDescent="0.2">
      <c r="C1877" s="61">
        <v>41428.510416666664</v>
      </c>
      <c r="D1877" s="60">
        <v>5910</v>
      </c>
      <c r="E1877" s="59" t="s">
        <v>289</v>
      </c>
    </row>
    <row r="1878" spans="3:5" ht="15" x14ac:dyDescent="0.2">
      <c r="C1878" s="61">
        <v>41428.520833333336</v>
      </c>
      <c r="D1878" s="60">
        <v>5930</v>
      </c>
      <c r="E1878" s="59" t="s">
        <v>288</v>
      </c>
    </row>
    <row r="1879" spans="3:5" ht="15" x14ac:dyDescent="0.2">
      <c r="C1879" s="61">
        <v>41428.53125</v>
      </c>
      <c r="D1879" s="60">
        <v>5930</v>
      </c>
      <c r="E1879" s="59" t="s">
        <v>288</v>
      </c>
    </row>
    <row r="1880" spans="3:5" ht="15" x14ac:dyDescent="0.2">
      <c r="C1880" s="61">
        <v>41428.541666666664</v>
      </c>
      <c r="D1880" s="60">
        <v>5930</v>
      </c>
      <c r="E1880" s="59" t="s">
        <v>288</v>
      </c>
    </row>
    <row r="1881" spans="3:5" ht="15" x14ac:dyDescent="0.2">
      <c r="C1881" s="61">
        <v>41428.552083333336</v>
      </c>
      <c r="D1881" s="60">
        <v>5930</v>
      </c>
      <c r="E1881" s="59" t="s">
        <v>288</v>
      </c>
    </row>
    <row r="1882" spans="3:5" ht="15" x14ac:dyDescent="0.2">
      <c r="C1882" s="61">
        <v>41428.5625</v>
      </c>
      <c r="D1882" s="60">
        <v>5930</v>
      </c>
      <c r="E1882" s="59" t="s">
        <v>288</v>
      </c>
    </row>
    <row r="1883" spans="3:5" ht="15" x14ac:dyDescent="0.2">
      <c r="C1883" s="61">
        <v>41428.572916666664</v>
      </c>
      <c r="D1883" s="60">
        <v>5930</v>
      </c>
      <c r="E1883" s="59" t="s">
        <v>288</v>
      </c>
    </row>
    <row r="1884" spans="3:5" ht="15" x14ac:dyDescent="0.2">
      <c r="C1884" s="61">
        <v>41428.583333333336</v>
      </c>
      <c r="D1884" s="60">
        <v>5930</v>
      </c>
      <c r="E1884" s="59" t="s">
        <v>288</v>
      </c>
    </row>
    <row r="1885" spans="3:5" ht="15" x14ac:dyDescent="0.2">
      <c r="C1885" s="61">
        <v>41428.59375</v>
      </c>
      <c r="D1885" s="60">
        <v>5930</v>
      </c>
      <c r="E1885" s="59" t="s">
        <v>288</v>
      </c>
    </row>
    <row r="1886" spans="3:5" ht="15" x14ac:dyDescent="0.2">
      <c r="C1886" s="61">
        <v>41428.604166666664</v>
      </c>
      <c r="D1886" s="60">
        <v>5930</v>
      </c>
      <c r="E1886" s="59" t="s">
        <v>288</v>
      </c>
    </row>
    <row r="1887" spans="3:5" ht="15" x14ac:dyDescent="0.2">
      <c r="C1887" s="61">
        <v>41428.614583333336</v>
      </c>
      <c r="D1887" s="60">
        <v>5940</v>
      </c>
      <c r="E1887" s="59" t="s">
        <v>287</v>
      </c>
    </row>
    <row r="1888" spans="3:5" ht="15" x14ac:dyDescent="0.2">
      <c r="C1888" s="61">
        <v>41428.625</v>
      </c>
      <c r="D1888" s="60">
        <v>5940</v>
      </c>
      <c r="E1888" s="59" t="s">
        <v>287</v>
      </c>
    </row>
    <row r="1889" spans="3:5" ht="15" x14ac:dyDescent="0.2">
      <c r="C1889" s="61">
        <v>41428.635416666664</v>
      </c>
      <c r="D1889" s="60">
        <v>5940</v>
      </c>
      <c r="E1889" s="59" t="s">
        <v>287</v>
      </c>
    </row>
    <row r="1890" spans="3:5" ht="15" x14ac:dyDescent="0.2">
      <c r="C1890" s="61">
        <v>41428.645833333336</v>
      </c>
      <c r="D1890" s="60">
        <v>5940</v>
      </c>
      <c r="E1890" s="59" t="s">
        <v>287</v>
      </c>
    </row>
    <row r="1891" spans="3:5" ht="15" x14ac:dyDescent="0.2">
      <c r="C1891" s="61">
        <v>41428.65625</v>
      </c>
      <c r="D1891" s="60">
        <v>5940</v>
      </c>
      <c r="E1891" s="59" t="s">
        <v>287</v>
      </c>
    </row>
    <row r="1892" spans="3:5" ht="15" x14ac:dyDescent="0.2">
      <c r="C1892" s="61">
        <v>41428.666666666664</v>
      </c>
      <c r="D1892" s="60">
        <v>5930</v>
      </c>
      <c r="E1892" s="59" t="s">
        <v>288</v>
      </c>
    </row>
    <row r="1893" spans="3:5" ht="15" x14ac:dyDescent="0.2">
      <c r="C1893" s="61">
        <v>41428.677083333336</v>
      </c>
      <c r="D1893" s="60">
        <v>5930</v>
      </c>
      <c r="E1893" s="59" t="s">
        <v>288</v>
      </c>
    </row>
    <row r="1894" spans="3:5" ht="15" x14ac:dyDescent="0.2">
      <c r="C1894" s="61">
        <v>41428.6875</v>
      </c>
      <c r="D1894" s="60">
        <v>5930</v>
      </c>
      <c r="E1894" s="59" t="s">
        <v>288</v>
      </c>
    </row>
    <row r="1895" spans="3:5" ht="15" x14ac:dyDescent="0.2">
      <c r="C1895" s="61">
        <v>41428.697916666664</v>
      </c>
      <c r="D1895" s="60">
        <v>5930</v>
      </c>
      <c r="E1895" s="59" t="s">
        <v>288</v>
      </c>
    </row>
    <row r="1896" spans="3:5" ht="15" x14ac:dyDescent="0.2">
      <c r="C1896" s="61">
        <v>41428.708333333336</v>
      </c>
      <c r="D1896" s="60">
        <v>5930</v>
      </c>
      <c r="E1896" s="59" t="s">
        <v>288</v>
      </c>
    </row>
    <row r="1897" spans="3:5" ht="15" x14ac:dyDescent="0.2">
      <c r="C1897" s="61">
        <v>41428.71875</v>
      </c>
      <c r="D1897" s="60">
        <v>5930</v>
      </c>
      <c r="E1897" s="59" t="s">
        <v>288</v>
      </c>
    </row>
    <row r="1898" spans="3:5" ht="15" x14ac:dyDescent="0.2">
      <c r="C1898" s="61">
        <v>41428.729166666664</v>
      </c>
      <c r="D1898" s="60">
        <v>5930</v>
      </c>
      <c r="E1898" s="59" t="s">
        <v>288</v>
      </c>
    </row>
    <row r="1899" spans="3:5" ht="15" x14ac:dyDescent="0.2">
      <c r="C1899" s="61">
        <v>41428.739583333336</v>
      </c>
      <c r="D1899" s="60">
        <v>5930</v>
      </c>
      <c r="E1899" s="59" t="s">
        <v>288</v>
      </c>
    </row>
    <row r="1900" spans="3:5" ht="15" x14ac:dyDescent="0.2">
      <c r="C1900" s="61">
        <v>41428.75</v>
      </c>
      <c r="D1900" s="60">
        <v>5910</v>
      </c>
      <c r="E1900" s="59" t="s">
        <v>289</v>
      </c>
    </row>
    <row r="1901" spans="3:5" ht="15" x14ac:dyDescent="0.2">
      <c r="C1901" s="61">
        <v>41428.760416666664</v>
      </c>
      <c r="D1901" s="60">
        <v>5910</v>
      </c>
      <c r="E1901" s="59" t="s">
        <v>289</v>
      </c>
    </row>
    <row r="1902" spans="3:5" ht="15" x14ac:dyDescent="0.2">
      <c r="C1902" s="61">
        <v>41428.770833333336</v>
      </c>
      <c r="D1902" s="60">
        <v>5910</v>
      </c>
      <c r="E1902" s="59" t="s">
        <v>289</v>
      </c>
    </row>
    <row r="1903" spans="3:5" ht="15" x14ac:dyDescent="0.2">
      <c r="C1903" s="61">
        <v>41428.78125</v>
      </c>
      <c r="D1903" s="60">
        <v>5910</v>
      </c>
      <c r="E1903" s="59" t="s">
        <v>289</v>
      </c>
    </row>
    <row r="1904" spans="3:5" ht="15" x14ac:dyDescent="0.2">
      <c r="C1904" s="61">
        <v>41428.791666666664</v>
      </c>
      <c r="D1904" s="60">
        <v>5890</v>
      </c>
      <c r="E1904" s="59" t="s">
        <v>290</v>
      </c>
    </row>
    <row r="1905" spans="3:5" ht="15" x14ac:dyDescent="0.2">
      <c r="C1905" s="61">
        <v>41428.802083333336</v>
      </c>
      <c r="D1905" s="60">
        <v>5890</v>
      </c>
      <c r="E1905" s="59" t="s">
        <v>290</v>
      </c>
    </row>
    <row r="1906" spans="3:5" ht="15" x14ac:dyDescent="0.2">
      <c r="C1906" s="61">
        <v>41428.8125</v>
      </c>
      <c r="D1906" s="60">
        <v>5890</v>
      </c>
      <c r="E1906" s="59" t="s">
        <v>290</v>
      </c>
    </row>
    <row r="1907" spans="3:5" ht="15" x14ac:dyDescent="0.2">
      <c r="C1907" s="61">
        <v>41428.822916666664</v>
      </c>
      <c r="D1907" s="60">
        <v>5880</v>
      </c>
      <c r="E1907" s="59" t="s">
        <v>291</v>
      </c>
    </row>
    <row r="1908" spans="3:5" ht="15" x14ac:dyDescent="0.2">
      <c r="C1908" s="61">
        <v>41428.833333333336</v>
      </c>
      <c r="D1908" s="60">
        <v>5880</v>
      </c>
      <c r="E1908" s="59" t="s">
        <v>291</v>
      </c>
    </row>
    <row r="1909" spans="3:5" ht="15" x14ac:dyDescent="0.2">
      <c r="C1909" s="61">
        <v>41428.84375</v>
      </c>
      <c r="D1909" s="60">
        <v>5860</v>
      </c>
      <c r="E1909" s="59" t="s">
        <v>292</v>
      </c>
    </row>
    <row r="1910" spans="3:5" ht="15" x14ac:dyDescent="0.2">
      <c r="C1910" s="61">
        <v>41428.854166666664</v>
      </c>
      <c r="D1910" s="60">
        <v>5860</v>
      </c>
      <c r="E1910" s="59" t="s">
        <v>292</v>
      </c>
    </row>
    <row r="1911" spans="3:5" ht="15" x14ac:dyDescent="0.2">
      <c r="C1911" s="61">
        <v>41428.864583333336</v>
      </c>
      <c r="D1911" s="60">
        <v>5850</v>
      </c>
      <c r="E1911" s="59" t="s">
        <v>293</v>
      </c>
    </row>
    <row r="1912" spans="3:5" ht="15" x14ac:dyDescent="0.2">
      <c r="C1912" s="61">
        <v>41428.875</v>
      </c>
      <c r="D1912" s="60">
        <v>5850</v>
      </c>
      <c r="E1912" s="59" t="s">
        <v>293</v>
      </c>
    </row>
    <row r="1913" spans="3:5" ht="15" x14ac:dyDescent="0.2">
      <c r="C1913" s="61">
        <v>41428.885416666664</v>
      </c>
      <c r="D1913" s="60">
        <v>5850</v>
      </c>
      <c r="E1913" s="59" t="s">
        <v>293</v>
      </c>
    </row>
    <row r="1914" spans="3:5" ht="15" x14ac:dyDescent="0.2">
      <c r="C1914" s="61">
        <v>41428.895833333336</v>
      </c>
      <c r="D1914" s="60">
        <v>5830</v>
      </c>
      <c r="E1914" s="59" t="s">
        <v>294</v>
      </c>
    </row>
    <row r="1915" spans="3:5" ht="15" x14ac:dyDescent="0.2">
      <c r="C1915" s="61">
        <v>41428.90625</v>
      </c>
      <c r="D1915" s="60">
        <v>5830</v>
      </c>
      <c r="E1915" s="59" t="s">
        <v>294</v>
      </c>
    </row>
    <row r="1916" spans="3:5" ht="15" x14ac:dyDescent="0.2">
      <c r="C1916" s="61">
        <v>41428.916666666664</v>
      </c>
      <c r="D1916" s="60">
        <v>5810</v>
      </c>
      <c r="E1916" s="59" t="s">
        <v>295</v>
      </c>
    </row>
    <row r="1917" spans="3:5" ht="15" x14ac:dyDescent="0.2">
      <c r="C1917" s="61">
        <v>41428.927083333336</v>
      </c>
      <c r="D1917" s="60">
        <v>5810</v>
      </c>
      <c r="E1917" s="59" t="s">
        <v>295</v>
      </c>
    </row>
    <row r="1918" spans="3:5" ht="15" x14ac:dyDescent="0.2">
      <c r="C1918" s="61">
        <v>41428.9375</v>
      </c>
      <c r="D1918" s="60">
        <v>5800</v>
      </c>
      <c r="E1918" s="59" t="s">
        <v>296</v>
      </c>
    </row>
    <row r="1919" spans="3:5" ht="15" x14ac:dyDescent="0.2">
      <c r="C1919" s="61">
        <v>41428.947916666664</v>
      </c>
      <c r="D1919" s="60">
        <v>5800</v>
      </c>
      <c r="E1919" s="59" t="s">
        <v>296</v>
      </c>
    </row>
    <row r="1920" spans="3:5" ht="15" x14ac:dyDescent="0.2">
      <c r="C1920" s="61">
        <v>41428.958333333336</v>
      </c>
      <c r="D1920" s="60">
        <v>5780</v>
      </c>
      <c r="E1920" s="59" t="s">
        <v>297</v>
      </c>
    </row>
    <row r="1921" spans="3:5" ht="15" x14ac:dyDescent="0.2">
      <c r="C1921" s="61">
        <v>41428.96875</v>
      </c>
      <c r="D1921" s="60">
        <v>5780</v>
      </c>
      <c r="E1921" s="59" t="s">
        <v>297</v>
      </c>
    </row>
    <row r="1922" spans="3:5" ht="15" x14ac:dyDescent="0.2">
      <c r="C1922" s="61">
        <v>41428.979166666664</v>
      </c>
      <c r="D1922" s="60">
        <v>5780</v>
      </c>
      <c r="E1922" s="59" t="s">
        <v>297</v>
      </c>
    </row>
    <row r="1923" spans="3:5" ht="15" x14ac:dyDescent="0.2">
      <c r="C1923" s="61">
        <v>41428.989583333336</v>
      </c>
      <c r="D1923" s="60">
        <v>5770</v>
      </c>
      <c r="E1923" s="59" t="s">
        <v>298</v>
      </c>
    </row>
    <row r="1924" spans="3:5" ht="15" x14ac:dyDescent="0.2">
      <c r="C1924" s="61">
        <v>41429</v>
      </c>
      <c r="D1924" s="60">
        <v>5770</v>
      </c>
      <c r="E1924" s="59" t="s">
        <v>298</v>
      </c>
    </row>
    <row r="1925" spans="3:5" ht="15" x14ac:dyDescent="0.2">
      <c r="C1925" s="61">
        <v>41429.010416666664</v>
      </c>
      <c r="D1925" s="60">
        <v>5750</v>
      </c>
      <c r="E1925" s="59" t="s">
        <v>299</v>
      </c>
    </row>
    <row r="1926" spans="3:5" ht="15" x14ac:dyDescent="0.2">
      <c r="C1926" s="61">
        <v>41429.020833333336</v>
      </c>
      <c r="D1926" s="60">
        <v>5750</v>
      </c>
      <c r="E1926" s="59" t="s">
        <v>299</v>
      </c>
    </row>
    <row r="1927" spans="3:5" ht="15" x14ac:dyDescent="0.2">
      <c r="C1927" s="61">
        <v>41429.03125</v>
      </c>
      <c r="D1927" s="60">
        <v>5740</v>
      </c>
      <c r="E1927" s="59" t="s">
        <v>300</v>
      </c>
    </row>
    <row r="1928" spans="3:5" ht="15" x14ac:dyDescent="0.2">
      <c r="C1928" s="61">
        <v>41429.041666666664</v>
      </c>
      <c r="D1928" s="60">
        <v>5740</v>
      </c>
      <c r="E1928" s="59" t="s">
        <v>300</v>
      </c>
    </row>
    <row r="1929" spans="3:5" ht="15" x14ac:dyDescent="0.2">
      <c r="C1929" s="61">
        <v>41429.052083333336</v>
      </c>
      <c r="D1929" s="60">
        <v>5720</v>
      </c>
      <c r="E1929" s="59" t="s">
        <v>301</v>
      </c>
    </row>
    <row r="1930" spans="3:5" ht="15" x14ac:dyDescent="0.2">
      <c r="C1930" s="61">
        <v>41429.0625</v>
      </c>
      <c r="D1930" s="60">
        <v>5720</v>
      </c>
      <c r="E1930" s="59" t="s">
        <v>301</v>
      </c>
    </row>
    <row r="1931" spans="3:5" ht="15" x14ac:dyDescent="0.2">
      <c r="C1931" s="61">
        <v>41429.072916666664</v>
      </c>
      <c r="D1931" s="60">
        <v>5700</v>
      </c>
      <c r="E1931" s="59" t="s">
        <v>302</v>
      </c>
    </row>
    <row r="1932" spans="3:5" ht="15" x14ac:dyDescent="0.2">
      <c r="C1932" s="61">
        <v>41429.083333333336</v>
      </c>
      <c r="D1932" s="60">
        <v>5700</v>
      </c>
      <c r="E1932" s="59" t="s">
        <v>302</v>
      </c>
    </row>
    <row r="1933" spans="3:5" ht="15" x14ac:dyDescent="0.2">
      <c r="C1933" s="61">
        <v>41429.09375</v>
      </c>
      <c r="D1933" s="60">
        <v>5690</v>
      </c>
      <c r="E1933" s="59" t="s">
        <v>303</v>
      </c>
    </row>
    <row r="1934" spans="3:5" ht="15" x14ac:dyDescent="0.2">
      <c r="C1934" s="61">
        <v>41429.104166666664</v>
      </c>
      <c r="D1934" s="60">
        <v>5690</v>
      </c>
      <c r="E1934" s="59" t="s">
        <v>303</v>
      </c>
    </row>
    <row r="1935" spans="3:5" ht="15" x14ac:dyDescent="0.2">
      <c r="C1935" s="61">
        <v>41429.114583333336</v>
      </c>
      <c r="D1935" s="60">
        <v>5690</v>
      </c>
      <c r="E1935" s="59" t="s">
        <v>303</v>
      </c>
    </row>
    <row r="1936" spans="3:5" ht="15" x14ac:dyDescent="0.2">
      <c r="C1936" s="61">
        <v>41429.125</v>
      </c>
      <c r="D1936" s="60">
        <v>5670</v>
      </c>
      <c r="E1936" s="59" t="s">
        <v>304</v>
      </c>
    </row>
    <row r="1937" spans="3:5" ht="15" x14ac:dyDescent="0.2">
      <c r="C1937" s="61">
        <v>41429.135416666664</v>
      </c>
      <c r="D1937" s="60">
        <v>5670</v>
      </c>
      <c r="E1937" s="59" t="s">
        <v>304</v>
      </c>
    </row>
    <row r="1938" spans="3:5" ht="15" x14ac:dyDescent="0.2">
      <c r="C1938" s="61">
        <v>41429.145833333336</v>
      </c>
      <c r="D1938" s="60">
        <v>5670</v>
      </c>
      <c r="E1938" s="59" t="s">
        <v>304</v>
      </c>
    </row>
    <row r="1939" spans="3:5" ht="15" x14ac:dyDescent="0.2">
      <c r="C1939" s="61">
        <v>41429.15625</v>
      </c>
      <c r="D1939" s="60">
        <v>5660</v>
      </c>
      <c r="E1939" s="59" t="s">
        <v>305</v>
      </c>
    </row>
    <row r="1940" spans="3:5" ht="15" x14ac:dyDescent="0.2">
      <c r="C1940" s="61">
        <v>41429.166666666664</v>
      </c>
      <c r="D1940" s="60">
        <v>5660</v>
      </c>
      <c r="E1940" s="59" t="s">
        <v>305</v>
      </c>
    </row>
    <row r="1941" spans="3:5" ht="15" x14ac:dyDescent="0.2">
      <c r="C1941" s="61">
        <v>41429.177083333336</v>
      </c>
      <c r="D1941" s="60">
        <v>5660</v>
      </c>
      <c r="E1941" s="59" t="s">
        <v>305</v>
      </c>
    </row>
    <row r="1942" spans="3:5" ht="15" x14ac:dyDescent="0.2">
      <c r="C1942" s="61">
        <v>41429.1875</v>
      </c>
      <c r="D1942" s="60">
        <v>5640</v>
      </c>
      <c r="E1942" s="59" t="s">
        <v>306</v>
      </c>
    </row>
    <row r="1943" spans="3:5" ht="15" x14ac:dyDescent="0.2">
      <c r="C1943" s="61">
        <v>41429.197916666664</v>
      </c>
      <c r="D1943" s="60">
        <v>5640</v>
      </c>
      <c r="E1943" s="59" t="s">
        <v>306</v>
      </c>
    </row>
    <row r="1944" spans="3:5" ht="15" x14ac:dyDescent="0.2">
      <c r="C1944" s="61">
        <v>41429.208333333336</v>
      </c>
      <c r="D1944" s="60">
        <v>5620</v>
      </c>
      <c r="E1944" s="59" t="s">
        <v>307</v>
      </c>
    </row>
    <row r="1945" spans="3:5" ht="15" x14ac:dyDescent="0.2">
      <c r="C1945" s="61">
        <v>41429.21875</v>
      </c>
      <c r="D1945" s="60">
        <v>5620</v>
      </c>
      <c r="E1945" s="59" t="s">
        <v>307</v>
      </c>
    </row>
    <row r="1946" spans="3:5" ht="15" x14ac:dyDescent="0.2">
      <c r="C1946" s="61">
        <v>41429.229166666664</v>
      </c>
      <c r="D1946" s="60">
        <v>5610</v>
      </c>
      <c r="E1946" s="59" t="s">
        <v>308</v>
      </c>
    </row>
    <row r="1947" spans="3:5" ht="15" x14ac:dyDescent="0.2">
      <c r="C1947" s="61">
        <v>41429.239583333336</v>
      </c>
      <c r="D1947" s="60">
        <v>5610</v>
      </c>
      <c r="E1947" s="59" t="s">
        <v>308</v>
      </c>
    </row>
    <row r="1948" spans="3:5" ht="15" x14ac:dyDescent="0.2">
      <c r="C1948" s="61">
        <v>41429.25</v>
      </c>
      <c r="D1948" s="60">
        <v>5590</v>
      </c>
      <c r="E1948" s="59" t="s">
        <v>309</v>
      </c>
    </row>
    <row r="1949" spans="3:5" ht="15" x14ac:dyDescent="0.2">
      <c r="C1949" s="61">
        <v>41429.260416666664</v>
      </c>
      <c r="D1949" s="60">
        <v>5590</v>
      </c>
      <c r="E1949" s="59" t="s">
        <v>309</v>
      </c>
    </row>
    <row r="1950" spans="3:5" ht="15" x14ac:dyDescent="0.2">
      <c r="C1950" s="61">
        <v>41429.270833333336</v>
      </c>
      <c r="D1950" s="60">
        <v>5590</v>
      </c>
      <c r="E1950" s="59" t="s">
        <v>309</v>
      </c>
    </row>
    <row r="1951" spans="3:5" ht="15" x14ac:dyDescent="0.2">
      <c r="C1951" s="61">
        <v>41429.28125</v>
      </c>
      <c r="D1951" s="60">
        <v>5580</v>
      </c>
      <c r="E1951" s="59" t="s">
        <v>310</v>
      </c>
    </row>
    <row r="1952" spans="3:5" ht="15" x14ac:dyDescent="0.2">
      <c r="C1952" s="61">
        <v>41429.291666666664</v>
      </c>
      <c r="D1952" s="60">
        <v>5580</v>
      </c>
      <c r="E1952" s="59" t="s">
        <v>310</v>
      </c>
    </row>
    <row r="1953" spans="3:5" ht="15" x14ac:dyDescent="0.2">
      <c r="C1953" s="61">
        <v>41429.302083333336</v>
      </c>
      <c r="D1953" s="60">
        <v>5580</v>
      </c>
      <c r="E1953" s="59" t="s">
        <v>310</v>
      </c>
    </row>
    <row r="1954" spans="3:5" ht="15" x14ac:dyDescent="0.2">
      <c r="C1954" s="61">
        <v>41429.3125</v>
      </c>
      <c r="D1954" s="60">
        <v>5560</v>
      </c>
      <c r="E1954" s="59" t="s">
        <v>311</v>
      </c>
    </row>
    <row r="1955" spans="3:5" ht="15" x14ac:dyDescent="0.2">
      <c r="C1955" s="61">
        <v>41429.322916666664</v>
      </c>
      <c r="D1955" s="60">
        <v>5560</v>
      </c>
      <c r="E1955" s="59" t="s">
        <v>311</v>
      </c>
    </row>
    <row r="1956" spans="3:5" ht="15" x14ac:dyDescent="0.2">
      <c r="C1956" s="61">
        <v>41429.333333333336</v>
      </c>
      <c r="D1956" s="60">
        <v>5560</v>
      </c>
      <c r="E1956" s="59" t="s">
        <v>311</v>
      </c>
    </row>
    <row r="1957" spans="3:5" ht="15" x14ac:dyDescent="0.2">
      <c r="C1957" s="61">
        <v>41429.34375</v>
      </c>
      <c r="D1957" s="60">
        <v>5550</v>
      </c>
      <c r="E1957" s="59" t="s">
        <v>312</v>
      </c>
    </row>
    <row r="1958" spans="3:5" ht="15" x14ac:dyDescent="0.2">
      <c r="C1958" s="61">
        <v>41429.354166666664</v>
      </c>
      <c r="D1958" s="60">
        <v>5550</v>
      </c>
      <c r="E1958" s="59" t="s">
        <v>312</v>
      </c>
    </row>
    <row r="1959" spans="3:5" ht="15" x14ac:dyDescent="0.2">
      <c r="C1959" s="61">
        <v>41429.364583333336</v>
      </c>
      <c r="D1959" s="60">
        <v>5550</v>
      </c>
      <c r="E1959" s="59" t="s">
        <v>312</v>
      </c>
    </row>
    <row r="1960" spans="3:5" ht="15" x14ac:dyDescent="0.2">
      <c r="C1960" s="61">
        <v>41429.375</v>
      </c>
      <c r="D1960" s="60">
        <v>5530</v>
      </c>
      <c r="E1960" s="59" t="s">
        <v>313</v>
      </c>
    </row>
    <row r="1961" spans="3:5" ht="15" x14ac:dyDescent="0.2">
      <c r="C1961" s="61">
        <v>41429.385416666664</v>
      </c>
      <c r="D1961" s="60">
        <v>5530</v>
      </c>
      <c r="E1961" s="59" t="s">
        <v>313</v>
      </c>
    </row>
    <row r="1962" spans="3:5" ht="15" x14ac:dyDescent="0.2">
      <c r="C1962" s="61">
        <v>41429.395833333336</v>
      </c>
      <c r="D1962" s="60">
        <v>5530</v>
      </c>
      <c r="E1962" s="59" t="s">
        <v>313</v>
      </c>
    </row>
    <row r="1963" spans="3:5" ht="15" x14ac:dyDescent="0.2">
      <c r="C1963" s="61">
        <v>41429.40625</v>
      </c>
      <c r="D1963" s="60">
        <v>5530</v>
      </c>
      <c r="E1963" s="59" t="s">
        <v>313</v>
      </c>
    </row>
    <row r="1964" spans="3:5" ht="15" x14ac:dyDescent="0.2">
      <c r="C1964" s="61">
        <v>41429.416666666664</v>
      </c>
      <c r="D1964" s="60">
        <v>5510</v>
      </c>
      <c r="E1964" s="59" t="s">
        <v>314</v>
      </c>
    </row>
    <row r="1965" spans="3:5" ht="15" x14ac:dyDescent="0.2">
      <c r="C1965" s="61">
        <v>41429.427083333336</v>
      </c>
      <c r="D1965" s="60">
        <v>5510</v>
      </c>
      <c r="E1965" s="59" t="s">
        <v>314</v>
      </c>
    </row>
    <row r="1966" spans="3:5" ht="15" x14ac:dyDescent="0.2">
      <c r="C1966" s="61">
        <v>41429.4375</v>
      </c>
      <c r="D1966" s="60">
        <v>5500</v>
      </c>
      <c r="E1966" s="59" t="s">
        <v>315</v>
      </c>
    </row>
    <row r="1967" spans="3:5" ht="15" x14ac:dyDescent="0.2">
      <c r="C1967" s="61">
        <v>41429.447916666664</v>
      </c>
      <c r="D1967" s="60">
        <v>5500</v>
      </c>
      <c r="E1967" s="59" t="s">
        <v>315</v>
      </c>
    </row>
    <row r="1968" spans="3:5" ht="15" x14ac:dyDescent="0.2">
      <c r="C1968" s="61">
        <v>41429.458333333336</v>
      </c>
      <c r="D1968" s="60">
        <v>5500</v>
      </c>
      <c r="E1968" s="59" t="s">
        <v>315</v>
      </c>
    </row>
    <row r="1969" spans="3:5" ht="15" x14ac:dyDescent="0.2">
      <c r="C1969" s="61">
        <v>41429.46875</v>
      </c>
      <c r="D1969" s="60">
        <v>5500</v>
      </c>
      <c r="E1969" s="59" t="s">
        <v>315</v>
      </c>
    </row>
    <row r="1970" spans="3:5" ht="15" x14ac:dyDescent="0.2">
      <c r="C1970" s="61">
        <v>41429.479166666664</v>
      </c>
      <c r="D1970" s="60">
        <v>5500</v>
      </c>
      <c r="E1970" s="59" t="s">
        <v>315</v>
      </c>
    </row>
    <row r="1971" spans="3:5" ht="15" x14ac:dyDescent="0.2">
      <c r="C1971" s="61">
        <v>41429.489583333336</v>
      </c>
      <c r="D1971" s="60">
        <v>5500</v>
      </c>
      <c r="E1971" s="59" t="s">
        <v>315</v>
      </c>
    </row>
    <row r="1972" spans="3:5" ht="15" x14ac:dyDescent="0.2">
      <c r="C1972" s="61">
        <v>41429.5</v>
      </c>
      <c r="D1972" s="60">
        <v>5500</v>
      </c>
      <c r="E1972" s="59" t="s">
        <v>315</v>
      </c>
    </row>
    <row r="1973" spans="3:5" ht="15" x14ac:dyDescent="0.2">
      <c r="C1973" s="61">
        <v>41429.510416666664</v>
      </c>
      <c r="D1973" s="60">
        <v>5480</v>
      </c>
      <c r="E1973" s="59" t="s">
        <v>316</v>
      </c>
    </row>
    <row r="1974" spans="3:5" ht="15" x14ac:dyDescent="0.2">
      <c r="C1974" s="61">
        <v>41429.520833333336</v>
      </c>
      <c r="D1974" s="60">
        <v>5480</v>
      </c>
      <c r="E1974" s="59" t="s">
        <v>316</v>
      </c>
    </row>
    <row r="1975" spans="3:5" ht="15" x14ac:dyDescent="0.2">
      <c r="C1975" s="61">
        <v>41429.53125</v>
      </c>
      <c r="D1975" s="60">
        <v>5480</v>
      </c>
      <c r="E1975" s="59" t="s">
        <v>316</v>
      </c>
    </row>
    <row r="1976" spans="3:5" ht="15" x14ac:dyDescent="0.2">
      <c r="C1976" s="61">
        <v>41429.541666666664</v>
      </c>
      <c r="D1976" s="60">
        <v>5480</v>
      </c>
      <c r="E1976" s="59" t="s">
        <v>316</v>
      </c>
    </row>
    <row r="1977" spans="3:5" ht="15" x14ac:dyDescent="0.2">
      <c r="C1977" s="61">
        <v>41429.552083333336</v>
      </c>
      <c r="D1977" s="60">
        <v>5470</v>
      </c>
      <c r="E1977" s="59" t="s">
        <v>317</v>
      </c>
    </row>
    <row r="1978" spans="3:5" ht="15" x14ac:dyDescent="0.2">
      <c r="C1978" s="61">
        <v>41429.5625</v>
      </c>
      <c r="D1978" s="60">
        <v>5470</v>
      </c>
      <c r="E1978" s="59" t="s">
        <v>317</v>
      </c>
    </row>
    <row r="1979" spans="3:5" ht="15" x14ac:dyDescent="0.2">
      <c r="C1979" s="61">
        <v>41429.572916666664</v>
      </c>
      <c r="D1979" s="60">
        <v>5470</v>
      </c>
      <c r="E1979" s="59" t="s">
        <v>317</v>
      </c>
    </row>
    <row r="1980" spans="3:5" ht="15" x14ac:dyDescent="0.2">
      <c r="C1980" s="61">
        <v>41429.583333333336</v>
      </c>
      <c r="D1980" s="60">
        <v>5450</v>
      </c>
      <c r="E1980" s="59" t="s">
        <v>318</v>
      </c>
    </row>
    <row r="1981" spans="3:5" ht="15" x14ac:dyDescent="0.2">
      <c r="C1981" s="61">
        <v>41429.59375</v>
      </c>
      <c r="D1981" s="60">
        <v>5450</v>
      </c>
      <c r="E1981" s="59" t="s">
        <v>318</v>
      </c>
    </row>
    <row r="1982" spans="3:5" ht="15" x14ac:dyDescent="0.2">
      <c r="C1982" s="61">
        <v>41429.604166666664</v>
      </c>
      <c r="D1982" s="60">
        <v>5450</v>
      </c>
      <c r="E1982" s="59" t="s">
        <v>318</v>
      </c>
    </row>
    <row r="1983" spans="3:5" ht="15" x14ac:dyDescent="0.2">
      <c r="C1983" s="61">
        <v>41429.614583333336</v>
      </c>
      <c r="D1983" s="60">
        <v>5440</v>
      </c>
      <c r="E1983" s="59" t="s">
        <v>319</v>
      </c>
    </row>
    <row r="1984" spans="3:5" ht="15" x14ac:dyDescent="0.2">
      <c r="C1984" s="61">
        <v>41429.625</v>
      </c>
      <c r="D1984" s="60">
        <v>5440</v>
      </c>
      <c r="E1984" s="59" t="s">
        <v>319</v>
      </c>
    </row>
    <row r="1985" spans="3:5" ht="15" x14ac:dyDescent="0.2">
      <c r="C1985" s="61">
        <v>41429.635416666664</v>
      </c>
      <c r="D1985" s="60">
        <v>5440</v>
      </c>
      <c r="E1985" s="59" t="s">
        <v>319</v>
      </c>
    </row>
    <row r="1986" spans="3:5" ht="15" x14ac:dyDescent="0.2">
      <c r="C1986" s="61">
        <v>41429.645833333336</v>
      </c>
      <c r="D1986" s="60">
        <v>5420</v>
      </c>
      <c r="E1986" s="59" t="s">
        <v>320</v>
      </c>
    </row>
    <row r="1987" spans="3:5" ht="15" x14ac:dyDescent="0.2">
      <c r="C1987" s="61">
        <v>41429.65625</v>
      </c>
      <c r="D1987" s="60">
        <v>5420</v>
      </c>
      <c r="E1987" s="59" t="s">
        <v>320</v>
      </c>
    </row>
    <row r="1988" spans="3:5" ht="15" x14ac:dyDescent="0.2">
      <c r="C1988" s="61">
        <v>41429.666666666664</v>
      </c>
      <c r="D1988" s="60">
        <v>5410</v>
      </c>
      <c r="E1988" s="59" t="s">
        <v>321</v>
      </c>
    </row>
    <row r="1989" spans="3:5" ht="15" x14ac:dyDescent="0.2">
      <c r="C1989" s="61">
        <v>41429.677083333336</v>
      </c>
      <c r="D1989" s="60">
        <v>5410</v>
      </c>
      <c r="E1989" s="59" t="s">
        <v>321</v>
      </c>
    </row>
    <row r="1990" spans="3:5" ht="15" x14ac:dyDescent="0.2">
      <c r="C1990" s="61">
        <v>41429.6875</v>
      </c>
      <c r="D1990" s="60">
        <v>5410</v>
      </c>
      <c r="E1990" s="59" t="s">
        <v>321</v>
      </c>
    </row>
    <row r="1991" spans="3:5" ht="15" x14ac:dyDescent="0.2">
      <c r="C1991" s="61">
        <v>41429.697916666664</v>
      </c>
      <c r="D1991" s="60">
        <v>5390</v>
      </c>
      <c r="E1991" s="59" t="s">
        <v>322</v>
      </c>
    </row>
    <row r="1992" spans="3:5" ht="15" x14ac:dyDescent="0.2">
      <c r="C1992" s="61">
        <v>41429.708333333336</v>
      </c>
      <c r="D1992" s="60">
        <v>5390</v>
      </c>
      <c r="E1992" s="59" t="s">
        <v>322</v>
      </c>
    </row>
    <row r="1993" spans="3:5" ht="15" x14ac:dyDescent="0.2">
      <c r="C1993" s="61">
        <v>41429.71875</v>
      </c>
      <c r="D1993" s="60">
        <v>5370</v>
      </c>
      <c r="E1993" s="59" t="s">
        <v>323</v>
      </c>
    </row>
    <row r="1994" spans="3:5" ht="15" x14ac:dyDescent="0.2">
      <c r="C1994" s="61">
        <v>41429.729166666664</v>
      </c>
      <c r="D1994" s="60">
        <v>5360</v>
      </c>
      <c r="E1994" s="59" t="s">
        <v>324</v>
      </c>
    </row>
    <row r="1995" spans="3:5" ht="15" x14ac:dyDescent="0.2">
      <c r="C1995" s="61">
        <v>41429.739583333336</v>
      </c>
      <c r="D1995" s="60">
        <v>5340</v>
      </c>
      <c r="E1995" s="59" t="s">
        <v>325</v>
      </c>
    </row>
    <row r="1996" spans="3:5" ht="15" x14ac:dyDescent="0.2">
      <c r="C1996" s="61">
        <v>41429.75</v>
      </c>
      <c r="D1996" s="60">
        <v>5310</v>
      </c>
      <c r="E1996" s="59" t="s">
        <v>327</v>
      </c>
    </row>
    <row r="1997" spans="3:5" ht="15" x14ac:dyDescent="0.2">
      <c r="C1997" s="61">
        <v>41429.760416666664</v>
      </c>
      <c r="D1997" s="60">
        <v>5300</v>
      </c>
      <c r="E1997" s="59" t="s">
        <v>328</v>
      </c>
    </row>
    <row r="1998" spans="3:5" ht="15" x14ac:dyDescent="0.2">
      <c r="C1998" s="61">
        <v>41429.770833333336</v>
      </c>
      <c r="D1998" s="60">
        <v>5280</v>
      </c>
      <c r="E1998" s="59" t="s">
        <v>329</v>
      </c>
    </row>
    <row r="1999" spans="3:5" ht="15" x14ac:dyDescent="0.2">
      <c r="C1999" s="61">
        <v>41429.78125</v>
      </c>
      <c r="D1999" s="60">
        <v>5270</v>
      </c>
      <c r="E1999" s="59" t="s">
        <v>330</v>
      </c>
    </row>
    <row r="2000" spans="3:5" ht="15" x14ac:dyDescent="0.2">
      <c r="C2000" s="61">
        <v>41429.791666666664</v>
      </c>
      <c r="D2000" s="60">
        <v>5250</v>
      </c>
      <c r="E2000" s="59" t="s">
        <v>331</v>
      </c>
    </row>
    <row r="2001" spans="3:5" ht="15" x14ac:dyDescent="0.2">
      <c r="C2001" s="61">
        <v>41429.802083333336</v>
      </c>
      <c r="D2001" s="60">
        <v>5250</v>
      </c>
      <c r="E2001" s="59" t="s">
        <v>331</v>
      </c>
    </row>
    <row r="2002" spans="3:5" ht="15" x14ac:dyDescent="0.2">
      <c r="C2002" s="61">
        <v>41429.8125</v>
      </c>
      <c r="D2002" s="60">
        <v>5250</v>
      </c>
      <c r="E2002" s="59" t="s">
        <v>331</v>
      </c>
    </row>
    <row r="2003" spans="3:5" ht="15" x14ac:dyDescent="0.2">
      <c r="C2003" s="61">
        <v>41429.822916666664</v>
      </c>
      <c r="D2003" s="60">
        <v>5250</v>
      </c>
      <c r="E2003" s="59" t="s">
        <v>331</v>
      </c>
    </row>
    <row r="2004" spans="3:5" ht="15" x14ac:dyDescent="0.2">
      <c r="C2004" s="61">
        <v>41429.833333333336</v>
      </c>
      <c r="D2004" s="60">
        <v>5240</v>
      </c>
      <c r="E2004" s="59" t="s">
        <v>332</v>
      </c>
    </row>
    <row r="2005" spans="3:5" ht="15" x14ac:dyDescent="0.2">
      <c r="C2005" s="61">
        <v>41429.84375</v>
      </c>
      <c r="D2005" s="60">
        <v>5240</v>
      </c>
      <c r="E2005" s="59" t="s">
        <v>332</v>
      </c>
    </row>
    <row r="2006" spans="3:5" ht="15" x14ac:dyDescent="0.2">
      <c r="C2006" s="61">
        <v>41429.854166666664</v>
      </c>
      <c r="D2006" s="60">
        <v>5240</v>
      </c>
      <c r="E2006" s="59" t="s">
        <v>332</v>
      </c>
    </row>
    <row r="2007" spans="3:5" ht="15" x14ac:dyDescent="0.2">
      <c r="C2007" s="61">
        <v>41429.864583333336</v>
      </c>
      <c r="D2007" s="60">
        <v>5240</v>
      </c>
      <c r="E2007" s="59" t="s">
        <v>332</v>
      </c>
    </row>
    <row r="2008" spans="3:5" ht="15" x14ac:dyDescent="0.2">
      <c r="C2008" s="61">
        <v>41429.875</v>
      </c>
      <c r="D2008" s="60">
        <v>5220</v>
      </c>
      <c r="E2008" s="59" t="s">
        <v>333</v>
      </c>
    </row>
    <row r="2009" spans="3:5" ht="15" x14ac:dyDescent="0.2">
      <c r="C2009" s="61">
        <v>41429.885416666664</v>
      </c>
      <c r="D2009" s="60">
        <v>5220</v>
      </c>
      <c r="E2009" s="59" t="s">
        <v>333</v>
      </c>
    </row>
    <row r="2010" spans="3:5" ht="15" x14ac:dyDescent="0.2">
      <c r="C2010" s="61">
        <v>41429.895833333336</v>
      </c>
      <c r="D2010" s="60">
        <v>5220</v>
      </c>
      <c r="E2010" s="59" t="s">
        <v>333</v>
      </c>
    </row>
    <row r="2011" spans="3:5" ht="15" x14ac:dyDescent="0.2">
      <c r="C2011" s="61">
        <v>41429.90625</v>
      </c>
      <c r="D2011" s="60">
        <v>5200</v>
      </c>
      <c r="E2011" s="59" t="s">
        <v>334</v>
      </c>
    </row>
    <row r="2012" spans="3:5" ht="15" x14ac:dyDescent="0.2">
      <c r="C2012" s="61">
        <v>41429.916666666664</v>
      </c>
      <c r="D2012" s="60">
        <v>5200</v>
      </c>
      <c r="E2012" s="59" t="s">
        <v>334</v>
      </c>
    </row>
    <row r="2013" spans="3:5" ht="15" x14ac:dyDescent="0.2">
      <c r="C2013" s="61">
        <v>41429.927083333336</v>
      </c>
      <c r="D2013" s="60">
        <v>5190</v>
      </c>
      <c r="E2013" s="59" t="s">
        <v>335</v>
      </c>
    </row>
    <row r="2014" spans="3:5" ht="15" x14ac:dyDescent="0.2">
      <c r="C2014" s="61">
        <v>41429.9375</v>
      </c>
      <c r="D2014" s="60">
        <v>5160</v>
      </c>
      <c r="E2014" s="59" t="s">
        <v>337</v>
      </c>
    </row>
    <row r="2015" spans="3:5" ht="15" x14ac:dyDescent="0.2">
      <c r="C2015" s="61">
        <v>41429.947916666664</v>
      </c>
      <c r="D2015" s="60">
        <v>5140</v>
      </c>
      <c r="E2015" s="59" t="s">
        <v>338</v>
      </c>
    </row>
    <row r="2016" spans="3:5" ht="15" x14ac:dyDescent="0.2">
      <c r="C2016" s="61">
        <v>41429.958333333336</v>
      </c>
      <c r="D2016" s="60">
        <v>5130</v>
      </c>
      <c r="E2016" s="59" t="s">
        <v>339</v>
      </c>
    </row>
    <row r="2017" spans="3:5" ht="15" x14ac:dyDescent="0.2">
      <c r="C2017" s="61">
        <v>41429.96875</v>
      </c>
      <c r="D2017" s="60">
        <v>5130</v>
      </c>
      <c r="E2017" s="59" t="s">
        <v>339</v>
      </c>
    </row>
    <row r="2018" spans="3:5" ht="15" x14ac:dyDescent="0.2">
      <c r="C2018" s="61">
        <v>41429.979166666664</v>
      </c>
      <c r="D2018" s="60">
        <v>5110</v>
      </c>
      <c r="E2018" s="59" t="s">
        <v>340</v>
      </c>
    </row>
    <row r="2019" spans="3:5" ht="15" x14ac:dyDescent="0.2">
      <c r="C2019" s="61">
        <v>41429.989583333336</v>
      </c>
      <c r="D2019" s="60">
        <v>5100</v>
      </c>
      <c r="E2019" s="59" t="s">
        <v>341</v>
      </c>
    </row>
    <row r="2020" spans="3:5" ht="15" x14ac:dyDescent="0.2">
      <c r="C2020" s="61">
        <v>41430</v>
      </c>
      <c r="D2020" s="60">
        <v>5100</v>
      </c>
      <c r="E2020" s="59" t="s">
        <v>341</v>
      </c>
    </row>
    <row r="2021" spans="3:5" ht="15" x14ac:dyDescent="0.2">
      <c r="C2021" s="61">
        <v>41430.010416666664</v>
      </c>
      <c r="D2021" s="60">
        <v>5080</v>
      </c>
      <c r="E2021" s="59" t="s">
        <v>342</v>
      </c>
    </row>
    <row r="2022" spans="3:5" ht="15" x14ac:dyDescent="0.2">
      <c r="C2022" s="61">
        <v>41430.020833333336</v>
      </c>
      <c r="D2022" s="60">
        <v>5070</v>
      </c>
      <c r="E2022" s="59" t="s">
        <v>343</v>
      </c>
    </row>
    <row r="2023" spans="3:5" ht="15" x14ac:dyDescent="0.2">
      <c r="C2023" s="61">
        <v>41430.03125</v>
      </c>
      <c r="D2023" s="60">
        <v>5070</v>
      </c>
      <c r="E2023" s="59" t="s">
        <v>343</v>
      </c>
    </row>
    <row r="2024" spans="3:5" ht="15" x14ac:dyDescent="0.2">
      <c r="C2024" s="61">
        <v>41430.041666666664</v>
      </c>
      <c r="D2024" s="60">
        <v>5070</v>
      </c>
      <c r="E2024" s="59" t="s">
        <v>343</v>
      </c>
    </row>
    <row r="2025" spans="3:5" ht="15" x14ac:dyDescent="0.2">
      <c r="C2025" s="61">
        <v>41430.052083333336</v>
      </c>
      <c r="D2025" s="60">
        <v>5050</v>
      </c>
      <c r="E2025" s="59" t="s">
        <v>344</v>
      </c>
    </row>
    <row r="2026" spans="3:5" ht="15" x14ac:dyDescent="0.2">
      <c r="C2026" s="61">
        <v>41430.0625</v>
      </c>
      <c r="D2026" s="60">
        <v>5050</v>
      </c>
      <c r="E2026" s="59" t="s">
        <v>344</v>
      </c>
    </row>
    <row r="2027" spans="3:5" ht="15" x14ac:dyDescent="0.2">
      <c r="C2027" s="61">
        <v>41430.072916666664</v>
      </c>
      <c r="D2027" s="60">
        <v>5050</v>
      </c>
      <c r="E2027" s="59" t="s">
        <v>344</v>
      </c>
    </row>
    <row r="2028" spans="3:5" ht="15" x14ac:dyDescent="0.2">
      <c r="C2028" s="61">
        <v>41430.083333333336</v>
      </c>
      <c r="D2028" s="60">
        <v>5050</v>
      </c>
      <c r="E2028" s="59" t="s">
        <v>344</v>
      </c>
    </row>
    <row r="2029" spans="3:5" ht="15" x14ac:dyDescent="0.2">
      <c r="C2029" s="61">
        <v>41430.09375</v>
      </c>
      <c r="D2029" s="60">
        <v>5040</v>
      </c>
      <c r="E2029" s="59" t="s">
        <v>345</v>
      </c>
    </row>
    <row r="2030" spans="3:5" ht="15" x14ac:dyDescent="0.2">
      <c r="C2030" s="61">
        <v>41430.104166666664</v>
      </c>
      <c r="D2030" s="60">
        <v>5040</v>
      </c>
      <c r="E2030" s="59" t="s">
        <v>345</v>
      </c>
    </row>
    <row r="2031" spans="3:5" ht="15" x14ac:dyDescent="0.2">
      <c r="C2031" s="61">
        <v>41430.114583333336</v>
      </c>
      <c r="D2031" s="60">
        <v>5040</v>
      </c>
      <c r="E2031" s="59" t="s">
        <v>345</v>
      </c>
    </row>
    <row r="2032" spans="3:5" ht="15" x14ac:dyDescent="0.2">
      <c r="C2032" s="61">
        <v>41430.125</v>
      </c>
      <c r="D2032" s="60">
        <v>5020</v>
      </c>
      <c r="E2032" s="59" t="s">
        <v>346</v>
      </c>
    </row>
    <row r="2033" spans="3:5" ht="15" x14ac:dyDescent="0.2">
      <c r="C2033" s="61">
        <v>41430.135416666664</v>
      </c>
      <c r="D2033" s="60">
        <v>5020</v>
      </c>
      <c r="E2033" s="59" t="s">
        <v>346</v>
      </c>
    </row>
    <row r="2034" spans="3:5" ht="15" x14ac:dyDescent="0.2">
      <c r="C2034" s="61">
        <v>41430.145833333336</v>
      </c>
      <c r="D2034" s="60">
        <v>5020</v>
      </c>
      <c r="E2034" s="59" t="s">
        <v>346</v>
      </c>
    </row>
    <row r="2035" spans="3:5" ht="15" x14ac:dyDescent="0.2">
      <c r="C2035" s="61">
        <v>41430.15625</v>
      </c>
      <c r="D2035" s="60">
        <v>5010</v>
      </c>
      <c r="E2035" s="59" t="s">
        <v>347</v>
      </c>
    </row>
    <row r="2036" spans="3:5" ht="15" x14ac:dyDescent="0.2">
      <c r="C2036" s="61">
        <v>41430.166666666664</v>
      </c>
      <c r="D2036" s="60">
        <v>5010</v>
      </c>
      <c r="E2036" s="59" t="s">
        <v>347</v>
      </c>
    </row>
    <row r="2037" spans="3:5" ht="15" x14ac:dyDescent="0.2">
      <c r="C2037" s="61">
        <v>41430.177083333336</v>
      </c>
      <c r="D2037" s="60">
        <v>5010</v>
      </c>
      <c r="E2037" s="59" t="s">
        <v>347</v>
      </c>
    </row>
    <row r="2038" spans="3:5" ht="15" x14ac:dyDescent="0.2">
      <c r="C2038" s="61">
        <v>41430.1875</v>
      </c>
      <c r="D2038" s="60">
        <v>4990</v>
      </c>
      <c r="E2038" s="59" t="s">
        <v>348</v>
      </c>
    </row>
    <row r="2039" spans="3:5" ht="15" x14ac:dyDescent="0.2">
      <c r="C2039" s="61">
        <v>41430.197916666664</v>
      </c>
      <c r="D2039" s="60">
        <v>4990</v>
      </c>
      <c r="E2039" s="59" t="s">
        <v>348</v>
      </c>
    </row>
    <row r="2040" spans="3:5" ht="15" x14ac:dyDescent="0.2">
      <c r="C2040" s="61">
        <v>41430.208333333336</v>
      </c>
      <c r="D2040" s="60">
        <v>4990</v>
      </c>
      <c r="E2040" s="59" t="s">
        <v>348</v>
      </c>
    </row>
    <row r="2041" spans="3:5" ht="15" x14ac:dyDescent="0.2">
      <c r="C2041" s="61">
        <v>41430.21875</v>
      </c>
      <c r="D2041" s="60">
        <v>4980</v>
      </c>
      <c r="E2041" s="59" t="s">
        <v>349</v>
      </c>
    </row>
    <row r="2042" spans="3:5" ht="15" x14ac:dyDescent="0.2">
      <c r="C2042" s="61">
        <v>41430.229166666664</v>
      </c>
      <c r="D2042" s="60">
        <v>4980</v>
      </c>
      <c r="E2042" s="59" t="s">
        <v>349</v>
      </c>
    </row>
    <row r="2043" spans="3:5" ht="15" x14ac:dyDescent="0.2">
      <c r="C2043" s="61">
        <v>41430.239583333336</v>
      </c>
      <c r="D2043" s="60">
        <v>4980</v>
      </c>
      <c r="E2043" s="59" t="s">
        <v>349</v>
      </c>
    </row>
    <row r="2044" spans="3:5" ht="15" x14ac:dyDescent="0.2">
      <c r="C2044" s="61">
        <v>41430.25</v>
      </c>
      <c r="D2044" s="60">
        <v>4980</v>
      </c>
      <c r="E2044" s="59" t="s">
        <v>349</v>
      </c>
    </row>
    <row r="2045" spans="3:5" ht="15" x14ac:dyDescent="0.2">
      <c r="C2045" s="61">
        <v>41430.260416666664</v>
      </c>
      <c r="D2045" s="60">
        <v>4960</v>
      </c>
      <c r="E2045" s="59" t="s">
        <v>350</v>
      </c>
    </row>
    <row r="2046" spans="3:5" ht="15" x14ac:dyDescent="0.2">
      <c r="C2046" s="61">
        <v>41430.270833333336</v>
      </c>
      <c r="D2046" s="60">
        <v>4960</v>
      </c>
      <c r="E2046" s="59" t="s">
        <v>350</v>
      </c>
    </row>
    <row r="2047" spans="3:5" ht="15" x14ac:dyDescent="0.2">
      <c r="C2047" s="61">
        <v>41430.28125</v>
      </c>
      <c r="D2047" s="60">
        <v>4960</v>
      </c>
      <c r="E2047" s="59" t="s">
        <v>350</v>
      </c>
    </row>
    <row r="2048" spans="3:5" ht="15" x14ac:dyDescent="0.2">
      <c r="C2048" s="61">
        <v>41430.291666666664</v>
      </c>
      <c r="D2048" s="60">
        <v>4960</v>
      </c>
      <c r="E2048" s="59" t="s">
        <v>350</v>
      </c>
    </row>
    <row r="2049" spans="3:5" ht="15" x14ac:dyDescent="0.2">
      <c r="C2049" s="61">
        <v>41430.302083333336</v>
      </c>
      <c r="D2049" s="60">
        <v>4950</v>
      </c>
      <c r="E2049" s="59" t="s">
        <v>351</v>
      </c>
    </row>
    <row r="2050" spans="3:5" ht="15" x14ac:dyDescent="0.2">
      <c r="C2050" s="61">
        <v>41430.3125</v>
      </c>
      <c r="D2050" s="60">
        <v>4950</v>
      </c>
      <c r="E2050" s="59" t="s">
        <v>351</v>
      </c>
    </row>
    <row r="2051" spans="3:5" ht="15" x14ac:dyDescent="0.2">
      <c r="C2051" s="61">
        <v>41430.322916666664</v>
      </c>
      <c r="D2051" s="60">
        <v>4950</v>
      </c>
      <c r="E2051" s="59" t="s">
        <v>351</v>
      </c>
    </row>
    <row r="2052" spans="3:5" ht="15" x14ac:dyDescent="0.2">
      <c r="C2052" s="61">
        <v>41430.333333333336</v>
      </c>
      <c r="D2052" s="60">
        <v>4950</v>
      </c>
      <c r="E2052" s="59" t="s">
        <v>351</v>
      </c>
    </row>
    <row r="2053" spans="3:5" ht="15" x14ac:dyDescent="0.2">
      <c r="C2053" s="61">
        <v>41430.34375</v>
      </c>
      <c r="D2053" s="60">
        <v>4950</v>
      </c>
      <c r="E2053" s="59" t="s">
        <v>351</v>
      </c>
    </row>
    <row r="2054" spans="3:5" ht="15" x14ac:dyDescent="0.2">
      <c r="C2054" s="61">
        <v>41430.354166666664</v>
      </c>
      <c r="D2054" s="60">
        <v>4950</v>
      </c>
      <c r="E2054" s="59" t="s">
        <v>351</v>
      </c>
    </row>
    <row r="2055" spans="3:5" ht="15" x14ac:dyDescent="0.2">
      <c r="C2055" s="61">
        <v>41430.364583333336</v>
      </c>
      <c r="D2055" s="60">
        <v>4950</v>
      </c>
      <c r="E2055" s="59" t="s">
        <v>351</v>
      </c>
    </row>
    <row r="2056" spans="3:5" ht="15" x14ac:dyDescent="0.2">
      <c r="C2056" s="61">
        <v>41430.375</v>
      </c>
      <c r="D2056" s="60">
        <v>4950</v>
      </c>
      <c r="E2056" s="59" t="s">
        <v>351</v>
      </c>
    </row>
    <row r="2057" spans="3:5" ht="15" x14ac:dyDescent="0.2">
      <c r="C2057" s="61">
        <v>41430.385416666664</v>
      </c>
      <c r="D2057" s="60">
        <v>4950</v>
      </c>
      <c r="E2057" s="59" t="s">
        <v>351</v>
      </c>
    </row>
    <row r="2058" spans="3:5" ht="15" x14ac:dyDescent="0.2">
      <c r="C2058" s="61">
        <v>41430.395833333336</v>
      </c>
      <c r="D2058" s="60">
        <v>4950</v>
      </c>
      <c r="E2058" s="59" t="s">
        <v>351</v>
      </c>
    </row>
    <row r="2059" spans="3:5" ht="15" x14ac:dyDescent="0.2">
      <c r="C2059" s="61">
        <v>41430.40625</v>
      </c>
      <c r="D2059" s="60">
        <v>4950</v>
      </c>
      <c r="E2059" s="59" t="s">
        <v>351</v>
      </c>
    </row>
    <row r="2060" spans="3:5" ht="15" x14ac:dyDescent="0.2">
      <c r="C2060" s="61">
        <v>41430.416666666664</v>
      </c>
      <c r="D2060" s="60">
        <v>4950</v>
      </c>
      <c r="E2060" s="59" t="s">
        <v>351</v>
      </c>
    </row>
    <row r="2061" spans="3:5" ht="15" x14ac:dyDescent="0.2">
      <c r="C2061" s="61">
        <v>41430.427083333336</v>
      </c>
      <c r="D2061" s="60">
        <v>4950</v>
      </c>
      <c r="E2061" s="59" t="s">
        <v>351</v>
      </c>
    </row>
    <row r="2062" spans="3:5" ht="15" x14ac:dyDescent="0.2">
      <c r="C2062" s="61">
        <v>41430.4375</v>
      </c>
      <c r="D2062" s="60">
        <v>4950</v>
      </c>
      <c r="E2062" s="59" t="s">
        <v>351</v>
      </c>
    </row>
    <row r="2063" spans="3:5" ht="15" x14ac:dyDescent="0.2">
      <c r="C2063" s="61">
        <v>41430.447916666664</v>
      </c>
      <c r="D2063" s="60">
        <v>4950</v>
      </c>
      <c r="E2063" s="59" t="s">
        <v>351</v>
      </c>
    </row>
    <row r="2064" spans="3:5" ht="15" x14ac:dyDescent="0.2">
      <c r="C2064" s="61">
        <v>41430.458333333336</v>
      </c>
      <c r="D2064" s="60">
        <v>4950</v>
      </c>
      <c r="E2064" s="59" t="s">
        <v>351</v>
      </c>
    </row>
    <row r="2065" spans="3:5" ht="15" x14ac:dyDescent="0.2">
      <c r="C2065" s="61">
        <v>41430.46875</v>
      </c>
      <c r="D2065" s="60">
        <v>4930</v>
      </c>
      <c r="E2065" s="59" t="s">
        <v>352</v>
      </c>
    </row>
    <row r="2066" spans="3:5" ht="15" x14ac:dyDescent="0.2">
      <c r="C2066" s="61">
        <v>41430.479166666664</v>
      </c>
      <c r="D2066" s="60">
        <v>4930</v>
      </c>
      <c r="E2066" s="59" t="s">
        <v>352</v>
      </c>
    </row>
    <row r="2067" spans="3:5" ht="15" x14ac:dyDescent="0.2">
      <c r="C2067" s="61">
        <v>41430.489583333336</v>
      </c>
      <c r="D2067" s="60">
        <v>4930</v>
      </c>
      <c r="E2067" s="59" t="s">
        <v>352</v>
      </c>
    </row>
    <row r="2068" spans="3:5" ht="15" x14ac:dyDescent="0.2">
      <c r="C2068" s="61">
        <v>41430.5</v>
      </c>
      <c r="D2068" s="60">
        <v>4930</v>
      </c>
      <c r="E2068" s="59" t="s">
        <v>352</v>
      </c>
    </row>
    <row r="2069" spans="3:5" ht="15" x14ac:dyDescent="0.2">
      <c r="C2069" s="61">
        <v>41430.510416666664</v>
      </c>
      <c r="D2069" s="60">
        <v>4930</v>
      </c>
      <c r="E2069" s="59" t="s">
        <v>352</v>
      </c>
    </row>
    <row r="2070" spans="3:5" ht="15" x14ac:dyDescent="0.2">
      <c r="C2070" s="61">
        <v>41430.520833333336</v>
      </c>
      <c r="D2070" s="60">
        <v>4930</v>
      </c>
      <c r="E2070" s="59" t="s">
        <v>352</v>
      </c>
    </row>
    <row r="2071" spans="3:5" ht="15" x14ac:dyDescent="0.2">
      <c r="C2071" s="61">
        <v>41430.53125</v>
      </c>
      <c r="D2071" s="60">
        <v>4930</v>
      </c>
      <c r="E2071" s="59" t="s">
        <v>352</v>
      </c>
    </row>
    <row r="2072" spans="3:5" ht="15" x14ac:dyDescent="0.2">
      <c r="C2072" s="61">
        <v>41430.541666666664</v>
      </c>
      <c r="D2072" s="60">
        <v>4930</v>
      </c>
      <c r="E2072" s="59" t="s">
        <v>352</v>
      </c>
    </row>
    <row r="2073" spans="3:5" ht="15" x14ac:dyDescent="0.2">
      <c r="C2073" s="61">
        <v>41430.552083333336</v>
      </c>
      <c r="D2073" s="60">
        <v>4920</v>
      </c>
      <c r="E2073" s="59" t="s">
        <v>353</v>
      </c>
    </row>
    <row r="2074" spans="3:5" ht="15" x14ac:dyDescent="0.2">
      <c r="C2074" s="61">
        <v>41430.5625</v>
      </c>
      <c r="D2074" s="60">
        <v>4920</v>
      </c>
      <c r="E2074" s="59" t="s">
        <v>353</v>
      </c>
    </row>
    <row r="2075" spans="3:5" ht="15" x14ac:dyDescent="0.2">
      <c r="C2075" s="61">
        <v>41430.572916666664</v>
      </c>
      <c r="D2075" s="60">
        <v>4920</v>
      </c>
      <c r="E2075" s="59" t="s">
        <v>353</v>
      </c>
    </row>
    <row r="2076" spans="3:5" ht="15" x14ac:dyDescent="0.2">
      <c r="C2076" s="61">
        <v>41430.583333333336</v>
      </c>
      <c r="D2076" s="60">
        <v>4920</v>
      </c>
      <c r="E2076" s="59" t="s">
        <v>353</v>
      </c>
    </row>
    <row r="2077" spans="3:5" ht="15" x14ac:dyDescent="0.2">
      <c r="C2077" s="61">
        <v>41430.59375</v>
      </c>
      <c r="D2077" s="60">
        <v>4920</v>
      </c>
      <c r="E2077" s="59" t="s">
        <v>353</v>
      </c>
    </row>
    <row r="2078" spans="3:5" ht="15" x14ac:dyDescent="0.2">
      <c r="C2078" s="61">
        <v>41430.604166666664</v>
      </c>
      <c r="D2078" s="60">
        <v>4920</v>
      </c>
      <c r="E2078" s="59" t="s">
        <v>353</v>
      </c>
    </row>
    <row r="2079" spans="3:5" ht="15" x14ac:dyDescent="0.2">
      <c r="C2079" s="61">
        <v>41430.614583333336</v>
      </c>
      <c r="D2079" s="60">
        <v>4920</v>
      </c>
      <c r="E2079" s="59" t="s">
        <v>353</v>
      </c>
    </row>
    <row r="2080" spans="3:5" ht="15" x14ac:dyDescent="0.2">
      <c r="C2080" s="61">
        <v>41430.625</v>
      </c>
      <c r="D2080" s="60">
        <v>4920</v>
      </c>
      <c r="E2080" s="59" t="s">
        <v>353</v>
      </c>
    </row>
    <row r="2081" spans="3:5" ht="15" x14ac:dyDescent="0.2">
      <c r="C2081" s="61">
        <v>41430.635416666664</v>
      </c>
      <c r="D2081" s="60">
        <v>4900</v>
      </c>
      <c r="E2081" s="59" t="s">
        <v>354</v>
      </c>
    </row>
    <row r="2082" spans="3:5" ht="15" x14ac:dyDescent="0.2">
      <c r="C2082" s="61">
        <v>41430.645833333336</v>
      </c>
      <c r="D2082" s="60">
        <v>4900</v>
      </c>
      <c r="E2082" s="59" t="s">
        <v>354</v>
      </c>
    </row>
    <row r="2083" spans="3:5" ht="15" x14ac:dyDescent="0.2">
      <c r="C2083" s="61">
        <v>41430.65625</v>
      </c>
      <c r="D2083" s="60">
        <v>4900</v>
      </c>
      <c r="E2083" s="59" t="s">
        <v>354</v>
      </c>
    </row>
    <row r="2084" spans="3:5" ht="15" x14ac:dyDescent="0.2">
      <c r="C2084" s="61">
        <v>41430.666666666664</v>
      </c>
      <c r="D2084" s="60">
        <v>4900</v>
      </c>
      <c r="E2084" s="59" t="s">
        <v>354</v>
      </c>
    </row>
    <row r="2085" spans="3:5" ht="15" x14ac:dyDescent="0.2">
      <c r="C2085" s="61">
        <v>41430.677083333336</v>
      </c>
      <c r="D2085" s="60">
        <v>4900</v>
      </c>
      <c r="E2085" s="59" t="s">
        <v>354</v>
      </c>
    </row>
    <row r="2086" spans="3:5" ht="15" x14ac:dyDescent="0.2">
      <c r="C2086" s="61">
        <v>41430.6875</v>
      </c>
      <c r="D2086" s="60">
        <v>4890</v>
      </c>
      <c r="E2086" s="59" t="s">
        <v>355</v>
      </c>
    </row>
    <row r="2087" spans="3:5" ht="15" x14ac:dyDescent="0.2">
      <c r="C2087" s="61">
        <v>41430.697916666664</v>
      </c>
      <c r="D2087" s="60">
        <v>4890</v>
      </c>
      <c r="E2087" s="59" t="s">
        <v>355</v>
      </c>
    </row>
    <row r="2088" spans="3:5" ht="15" x14ac:dyDescent="0.2">
      <c r="C2088" s="61">
        <v>41430.708333333336</v>
      </c>
      <c r="D2088" s="60">
        <v>4890</v>
      </c>
      <c r="E2088" s="59" t="s">
        <v>355</v>
      </c>
    </row>
    <row r="2089" spans="3:5" ht="15" x14ac:dyDescent="0.2">
      <c r="C2089" s="61">
        <v>41430.71875</v>
      </c>
      <c r="D2089" s="60">
        <v>4890</v>
      </c>
      <c r="E2089" s="59" t="s">
        <v>355</v>
      </c>
    </row>
    <row r="2090" spans="3:5" ht="15" x14ac:dyDescent="0.2">
      <c r="C2090" s="61">
        <v>41430.729166666664</v>
      </c>
      <c r="D2090" s="60">
        <v>4870</v>
      </c>
      <c r="E2090" s="59" t="s">
        <v>356</v>
      </c>
    </row>
    <row r="2091" spans="3:5" ht="15" x14ac:dyDescent="0.2">
      <c r="C2091" s="61">
        <v>41430.739583333336</v>
      </c>
      <c r="D2091" s="60">
        <v>4870</v>
      </c>
      <c r="E2091" s="59" t="s">
        <v>356</v>
      </c>
    </row>
    <row r="2092" spans="3:5" ht="15" x14ac:dyDescent="0.2">
      <c r="C2092" s="61">
        <v>41430.75</v>
      </c>
      <c r="D2092" s="60">
        <v>4860</v>
      </c>
      <c r="E2092" s="59" t="s">
        <v>357</v>
      </c>
    </row>
    <row r="2093" spans="3:5" ht="15" x14ac:dyDescent="0.2">
      <c r="C2093" s="61">
        <v>41430.760416666664</v>
      </c>
      <c r="D2093" s="60">
        <v>4860</v>
      </c>
      <c r="E2093" s="59" t="s">
        <v>357</v>
      </c>
    </row>
    <row r="2094" spans="3:5" ht="15" x14ac:dyDescent="0.2">
      <c r="C2094" s="61">
        <v>41430.770833333336</v>
      </c>
      <c r="D2094" s="60">
        <v>4860</v>
      </c>
      <c r="E2094" s="59" t="s">
        <v>357</v>
      </c>
    </row>
    <row r="2095" spans="3:5" ht="15" x14ac:dyDescent="0.2">
      <c r="C2095" s="61">
        <v>41430.78125</v>
      </c>
      <c r="D2095" s="60">
        <v>4840</v>
      </c>
      <c r="E2095" s="59" t="s">
        <v>358</v>
      </c>
    </row>
    <row r="2096" spans="3:5" ht="15" x14ac:dyDescent="0.2">
      <c r="C2096" s="61">
        <v>41430.791666666664</v>
      </c>
      <c r="D2096" s="60">
        <v>4840</v>
      </c>
      <c r="E2096" s="59" t="s">
        <v>358</v>
      </c>
    </row>
    <row r="2097" spans="3:5" ht="15" x14ac:dyDescent="0.2">
      <c r="C2097" s="61">
        <v>41430.802083333336</v>
      </c>
      <c r="D2097" s="60">
        <v>4840</v>
      </c>
      <c r="E2097" s="59" t="s">
        <v>358</v>
      </c>
    </row>
    <row r="2098" spans="3:5" ht="15" x14ac:dyDescent="0.2">
      <c r="C2098" s="61">
        <v>41430.8125</v>
      </c>
      <c r="D2098" s="60">
        <v>4840</v>
      </c>
      <c r="E2098" s="59" t="s">
        <v>358</v>
      </c>
    </row>
    <row r="2099" spans="3:5" ht="15" x14ac:dyDescent="0.2">
      <c r="C2099" s="61">
        <v>41430.822916666664</v>
      </c>
      <c r="D2099" s="60">
        <v>4830</v>
      </c>
      <c r="E2099" s="59" t="s">
        <v>359</v>
      </c>
    </row>
    <row r="2100" spans="3:5" ht="15" x14ac:dyDescent="0.2">
      <c r="C2100" s="61">
        <v>41430.833333333336</v>
      </c>
      <c r="D2100" s="60">
        <v>4830</v>
      </c>
      <c r="E2100" s="59" t="s">
        <v>359</v>
      </c>
    </row>
    <row r="2101" spans="3:5" ht="15" x14ac:dyDescent="0.2">
      <c r="C2101" s="61">
        <v>41430.84375</v>
      </c>
      <c r="D2101" s="60">
        <v>4830</v>
      </c>
      <c r="E2101" s="59" t="s">
        <v>359</v>
      </c>
    </row>
    <row r="2102" spans="3:5" ht="15" x14ac:dyDescent="0.2">
      <c r="C2102" s="61">
        <v>41430.854166666664</v>
      </c>
      <c r="D2102" s="60">
        <v>4830</v>
      </c>
      <c r="E2102" s="59" t="s">
        <v>359</v>
      </c>
    </row>
    <row r="2103" spans="3:5" ht="15" x14ac:dyDescent="0.2">
      <c r="C2103" s="61">
        <v>41430.864583333336</v>
      </c>
      <c r="D2103" s="60">
        <v>4830</v>
      </c>
      <c r="E2103" s="59" t="s">
        <v>359</v>
      </c>
    </row>
    <row r="2104" spans="3:5" ht="15" x14ac:dyDescent="0.2">
      <c r="C2104" s="61">
        <v>41430.875</v>
      </c>
      <c r="D2104" s="60">
        <v>4810</v>
      </c>
      <c r="E2104" s="59" t="s">
        <v>360</v>
      </c>
    </row>
    <row r="2105" spans="3:5" ht="15" x14ac:dyDescent="0.2">
      <c r="C2105" s="61">
        <v>41430.885416666664</v>
      </c>
      <c r="D2105" s="60">
        <v>4810</v>
      </c>
      <c r="E2105" s="59" t="s">
        <v>360</v>
      </c>
    </row>
    <row r="2106" spans="3:5" ht="15" x14ac:dyDescent="0.2">
      <c r="C2106" s="61">
        <v>41430.895833333336</v>
      </c>
      <c r="D2106" s="60">
        <v>4810</v>
      </c>
      <c r="E2106" s="59" t="s">
        <v>360</v>
      </c>
    </row>
    <row r="2107" spans="3:5" ht="15" x14ac:dyDescent="0.2">
      <c r="C2107" s="61">
        <v>41430.90625</v>
      </c>
      <c r="D2107" s="60">
        <v>4800</v>
      </c>
      <c r="E2107" s="59" t="s">
        <v>361</v>
      </c>
    </row>
    <row r="2108" spans="3:5" ht="15" x14ac:dyDescent="0.2">
      <c r="C2108" s="61">
        <v>41430.916666666664</v>
      </c>
      <c r="D2108" s="60">
        <v>4800</v>
      </c>
      <c r="E2108" s="59" t="s">
        <v>361</v>
      </c>
    </row>
    <row r="2109" spans="3:5" ht="15" x14ac:dyDescent="0.2">
      <c r="C2109" s="61">
        <v>41430.927083333336</v>
      </c>
      <c r="D2109" s="60">
        <v>4800</v>
      </c>
      <c r="E2109" s="59" t="s">
        <v>361</v>
      </c>
    </row>
    <row r="2110" spans="3:5" ht="15" x14ac:dyDescent="0.2">
      <c r="C2110" s="61">
        <v>41430.9375</v>
      </c>
      <c r="D2110" s="60">
        <v>4800</v>
      </c>
      <c r="E2110" s="59" t="s">
        <v>361</v>
      </c>
    </row>
    <row r="2111" spans="3:5" ht="15" x14ac:dyDescent="0.2">
      <c r="C2111" s="61">
        <v>41430.947916666664</v>
      </c>
      <c r="D2111" s="60">
        <v>4800</v>
      </c>
      <c r="E2111" s="59" t="s">
        <v>361</v>
      </c>
    </row>
    <row r="2112" spans="3:5" ht="15" x14ac:dyDescent="0.2">
      <c r="C2112" s="61">
        <v>41430.958333333336</v>
      </c>
      <c r="D2112" s="60">
        <v>4800</v>
      </c>
      <c r="E2112" s="59" t="s">
        <v>361</v>
      </c>
    </row>
    <row r="2113" spans="3:5" ht="15" x14ac:dyDescent="0.2">
      <c r="C2113" s="61">
        <v>41430.96875</v>
      </c>
      <c r="D2113" s="60">
        <v>4800</v>
      </c>
      <c r="E2113" s="59" t="s">
        <v>361</v>
      </c>
    </row>
    <row r="2114" spans="3:5" ht="15" x14ac:dyDescent="0.2">
      <c r="C2114" s="61">
        <v>41430.979166666664</v>
      </c>
      <c r="D2114" s="60">
        <v>4800</v>
      </c>
      <c r="E2114" s="59" t="s">
        <v>361</v>
      </c>
    </row>
    <row r="2115" spans="3:5" ht="15" x14ac:dyDescent="0.2">
      <c r="C2115" s="61">
        <v>41430.989583333336</v>
      </c>
      <c r="D2115" s="60">
        <v>4780</v>
      </c>
      <c r="E2115" s="59" t="s">
        <v>362</v>
      </c>
    </row>
    <row r="2116" spans="3:5" ht="15" x14ac:dyDescent="0.2">
      <c r="C2116" s="61">
        <v>41431</v>
      </c>
      <c r="D2116" s="60">
        <v>4780</v>
      </c>
      <c r="E2116" s="59" t="s">
        <v>362</v>
      </c>
    </row>
    <row r="2117" spans="3:5" ht="15" x14ac:dyDescent="0.2">
      <c r="C2117" s="61">
        <v>41431.010416666664</v>
      </c>
      <c r="D2117" s="60">
        <v>4780</v>
      </c>
      <c r="E2117" s="59" t="s">
        <v>362</v>
      </c>
    </row>
    <row r="2118" spans="3:5" ht="15" x14ac:dyDescent="0.2">
      <c r="C2118" s="61">
        <v>41431.020833333336</v>
      </c>
      <c r="D2118" s="60">
        <v>4780</v>
      </c>
      <c r="E2118" s="59" t="s">
        <v>362</v>
      </c>
    </row>
    <row r="2119" spans="3:5" ht="15" x14ac:dyDescent="0.2">
      <c r="C2119" s="61">
        <v>41431.03125</v>
      </c>
      <c r="D2119" s="60">
        <v>4780</v>
      </c>
      <c r="E2119" s="59" t="s">
        <v>362</v>
      </c>
    </row>
    <row r="2120" spans="3:5" ht="15" x14ac:dyDescent="0.2">
      <c r="C2120" s="61">
        <v>41431.041666666664</v>
      </c>
      <c r="D2120" s="60">
        <v>4780</v>
      </c>
      <c r="E2120" s="59" t="s">
        <v>362</v>
      </c>
    </row>
    <row r="2121" spans="3:5" ht="15" x14ac:dyDescent="0.2">
      <c r="C2121" s="61">
        <v>41431.052083333336</v>
      </c>
      <c r="D2121" s="60">
        <v>4780</v>
      </c>
      <c r="E2121" s="59" t="s">
        <v>362</v>
      </c>
    </row>
    <row r="2122" spans="3:5" ht="15" x14ac:dyDescent="0.2">
      <c r="C2122" s="61">
        <v>41431.0625</v>
      </c>
      <c r="D2122" s="60">
        <v>4780</v>
      </c>
      <c r="E2122" s="59" t="s">
        <v>362</v>
      </c>
    </row>
    <row r="2123" spans="3:5" ht="15" x14ac:dyDescent="0.2">
      <c r="C2123" s="61">
        <v>41431.072916666664</v>
      </c>
      <c r="D2123" s="60">
        <v>4800</v>
      </c>
      <c r="E2123" s="59" t="s">
        <v>361</v>
      </c>
    </row>
    <row r="2124" spans="3:5" ht="15" x14ac:dyDescent="0.2">
      <c r="C2124" s="61">
        <v>41431.083333333336</v>
      </c>
      <c r="D2124" s="60">
        <v>4800</v>
      </c>
      <c r="E2124" s="59" t="s">
        <v>361</v>
      </c>
    </row>
    <row r="2125" spans="3:5" ht="15" x14ac:dyDescent="0.2">
      <c r="C2125" s="61">
        <v>41431.09375</v>
      </c>
      <c r="D2125" s="60">
        <v>4800</v>
      </c>
      <c r="E2125" s="59" t="s">
        <v>361</v>
      </c>
    </row>
    <row r="2126" spans="3:5" ht="15" x14ac:dyDescent="0.2">
      <c r="C2126" s="61">
        <v>41431.104166666664</v>
      </c>
      <c r="D2126" s="60">
        <v>4800</v>
      </c>
      <c r="E2126" s="59" t="s">
        <v>361</v>
      </c>
    </row>
    <row r="2127" spans="3:5" ht="15" x14ac:dyDescent="0.2">
      <c r="C2127" s="61">
        <v>41431.114583333336</v>
      </c>
      <c r="D2127" s="60">
        <v>4800</v>
      </c>
      <c r="E2127" s="59" t="s">
        <v>361</v>
      </c>
    </row>
    <row r="2128" spans="3:5" ht="15" x14ac:dyDescent="0.2">
      <c r="C2128" s="61">
        <v>41431.125</v>
      </c>
      <c r="D2128" s="60">
        <v>4800</v>
      </c>
      <c r="E2128" s="59" t="s">
        <v>361</v>
      </c>
    </row>
    <row r="2129" spans="3:5" ht="15" x14ac:dyDescent="0.2">
      <c r="C2129" s="61">
        <v>41431.135416666664</v>
      </c>
      <c r="D2129" s="60">
        <v>4800</v>
      </c>
      <c r="E2129" s="59" t="s">
        <v>361</v>
      </c>
    </row>
    <row r="2130" spans="3:5" ht="15" x14ac:dyDescent="0.2">
      <c r="C2130" s="61">
        <v>41431.145833333336</v>
      </c>
      <c r="D2130" s="60">
        <v>4800</v>
      </c>
      <c r="E2130" s="59" t="s">
        <v>361</v>
      </c>
    </row>
    <row r="2131" spans="3:5" ht="15" x14ac:dyDescent="0.2">
      <c r="C2131" s="61">
        <v>41431.15625</v>
      </c>
      <c r="D2131" s="60">
        <v>4810</v>
      </c>
      <c r="E2131" s="59" t="s">
        <v>360</v>
      </c>
    </row>
    <row r="2132" spans="3:5" ht="15" x14ac:dyDescent="0.2">
      <c r="C2132" s="61">
        <v>41431.166666666664</v>
      </c>
      <c r="D2132" s="60">
        <v>4810</v>
      </c>
      <c r="E2132" s="59" t="s">
        <v>360</v>
      </c>
    </row>
    <row r="2133" spans="3:5" ht="15" x14ac:dyDescent="0.2">
      <c r="C2133" s="61">
        <v>41431.177083333336</v>
      </c>
      <c r="D2133" s="60">
        <v>4810</v>
      </c>
      <c r="E2133" s="59" t="s">
        <v>360</v>
      </c>
    </row>
    <row r="2134" spans="3:5" ht="15" x14ac:dyDescent="0.2">
      <c r="C2134" s="61">
        <v>41431.1875</v>
      </c>
      <c r="D2134" s="60">
        <v>4810</v>
      </c>
      <c r="E2134" s="59" t="s">
        <v>360</v>
      </c>
    </row>
    <row r="2135" spans="3:5" ht="15" x14ac:dyDescent="0.2">
      <c r="C2135" s="61">
        <v>41431.197916666664</v>
      </c>
      <c r="D2135" s="60">
        <v>4810</v>
      </c>
      <c r="E2135" s="59" t="s">
        <v>360</v>
      </c>
    </row>
    <row r="2136" spans="3:5" ht="15" x14ac:dyDescent="0.2">
      <c r="C2136" s="61">
        <v>41431.208333333336</v>
      </c>
      <c r="D2136" s="60">
        <v>4810</v>
      </c>
      <c r="E2136" s="59" t="s">
        <v>360</v>
      </c>
    </row>
    <row r="2137" spans="3:5" ht="15" x14ac:dyDescent="0.2">
      <c r="C2137" s="61">
        <v>41431.21875</v>
      </c>
      <c r="D2137" s="60">
        <v>4830</v>
      </c>
      <c r="E2137" s="59" t="s">
        <v>359</v>
      </c>
    </row>
    <row r="2138" spans="3:5" ht="15" x14ac:dyDescent="0.2">
      <c r="C2138" s="61">
        <v>41431.229166666664</v>
      </c>
      <c r="D2138" s="60">
        <v>4830</v>
      </c>
      <c r="E2138" s="59" t="s">
        <v>359</v>
      </c>
    </row>
    <row r="2139" spans="3:5" ht="15" x14ac:dyDescent="0.2">
      <c r="C2139" s="61">
        <v>41431.239583333336</v>
      </c>
      <c r="D2139" s="60">
        <v>4830</v>
      </c>
      <c r="E2139" s="59" t="s">
        <v>359</v>
      </c>
    </row>
    <row r="2140" spans="3:5" ht="15" x14ac:dyDescent="0.2">
      <c r="C2140" s="61">
        <v>41431.25</v>
      </c>
      <c r="D2140" s="60">
        <v>4830</v>
      </c>
      <c r="E2140" s="59" t="s">
        <v>359</v>
      </c>
    </row>
    <row r="2141" spans="3:5" ht="15" x14ac:dyDescent="0.2">
      <c r="C2141" s="61">
        <v>41431.260416666664</v>
      </c>
      <c r="D2141" s="60">
        <v>4830</v>
      </c>
      <c r="E2141" s="59" t="s">
        <v>359</v>
      </c>
    </row>
    <row r="2142" spans="3:5" ht="15" x14ac:dyDescent="0.2">
      <c r="C2142" s="61">
        <v>41431.270833333336</v>
      </c>
      <c r="D2142" s="60">
        <v>4830</v>
      </c>
      <c r="E2142" s="59" t="s">
        <v>359</v>
      </c>
    </row>
    <row r="2143" spans="3:5" ht="15" x14ac:dyDescent="0.2">
      <c r="C2143" s="61">
        <v>41431.28125</v>
      </c>
      <c r="D2143" s="60">
        <v>4840</v>
      </c>
      <c r="E2143" s="59" t="s">
        <v>358</v>
      </c>
    </row>
    <row r="2144" spans="3:5" ht="15" x14ac:dyDescent="0.2">
      <c r="C2144" s="61">
        <v>41431.291666666664</v>
      </c>
      <c r="D2144" s="60">
        <v>4840</v>
      </c>
      <c r="E2144" s="59" t="s">
        <v>358</v>
      </c>
    </row>
    <row r="2145" spans="3:5" ht="15" x14ac:dyDescent="0.2">
      <c r="C2145" s="61">
        <v>41431.302083333336</v>
      </c>
      <c r="D2145" s="60">
        <v>4840</v>
      </c>
      <c r="E2145" s="59" t="s">
        <v>358</v>
      </c>
    </row>
    <row r="2146" spans="3:5" ht="15" x14ac:dyDescent="0.2">
      <c r="C2146" s="61">
        <v>41431.3125</v>
      </c>
      <c r="D2146" s="60">
        <v>4840</v>
      </c>
      <c r="E2146" s="59" t="s">
        <v>358</v>
      </c>
    </row>
    <row r="2147" spans="3:5" ht="15" x14ac:dyDescent="0.2">
      <c r="C2147" s="61">
        <v>41431.322916666664</v>
      </c>
      <c r="D2147" s="60">
        <v>4860</v>
      </c>
      <c r="E2147" s="59" t="s">
        <v>357</v>
      </c>
    </row>
    <row r="2148" spans="3:5" ht="15" x14ac:dyDescent="0.2">
      <c r="C2148" s="61">
        <v>41431.333333333336</v>
      </c>
      <c r="D2148" s="60">
        <v>4860</v>
      </c>
      <c r="E2148" s="59" t="s">
        <v>357</v>
      </c>
    </row>
    <row r="2149" spans="3:5" ht="15" x14ac:dyDescent="0.2">
      <c r="C2149" s="61">
        <v>41431.34375</v>
      </c>
      <c r="D2149" s="60">
        <v>4860</v>
      </c>
      <c r="E2149" s="59" t="s">
        <v>357</v>
      </c>
    </row>
    <row r="2150" spans="3:5" ht="15" x14ac:dyDescent="0.2">
      <c r="C2150" s="61">
        <v>41431.354166666664</v>
      </c>
      <c r="D2150" s="60">
        <v>4860</v>
      </c>
      <c r="E2150" s="59" t="s">
        <v>357</v>
      </c>
    </row>
    <row r="2151" spans="3:5" ht="15" x14ac:dyDescent="0.2">
      <c r="C2151" s="61">
        <v>41431.364583333336</v>
      </c>
      <c r="D2151" s="60">
        <v>4860</v>
      </c>
      <c r="E2151" s="59" t="s">
        <v>357</v>
      </c>
    </row>
    <row r="2152" spans="3:5" ht="15" x14ac:dyDescent="0.2">
      <c r="C2152" s="61">
        <v>41431.375</v>
      </c>
      <c r="D2152" s="60">
        <v>4870</v>
      </c>
      <c r="E2152" s="59" t="s">
        <v>356</v>
      </c>
    </row>
    <row r="2153" spans="3:5" ht="15" x14ac:dyDescent="0.2">
      <c r="C2153" s="61">
        <v>41431.385416666664</v>
      </c>
      <c r="D2153" s="60">
        <v>4870</v>
      </c>
      <c r="E2153" s="59" t="s">
        <v>356</v>
      </c>
    </row>
    <row r="2154" spans="3:5" ht="15" x14ac:dyDescent="0.2">
      <c r="C2154" s="61">
        <v>41431.395833333336</v>
      </c>
      <c r="D2154" s="60">
        <v>4870</v>
      </c>
      <c r="E2154" s="59" t="s">
        <v>356</v>
      </c>
    </row>
    <row r="2155" spans="3:5" ht="15" x14ac:dyDescent="0.2">
      <c r="C2155" s="61">
        <v>41431.40625</v>
      </c>
      <c r="D2155" s="60">
        <v>4870</v>
      </c>
      <c r="E2155" s="59" t="s">
        <v>356</v>
      </c>
    </row>
    <row r="2156" spans="3:5" ht="15" x14ac:dyDescent="0.2">
      <c r="C2156" s="61">
        <v>41431.416666666664</v>
      </c>
      <c r="D2156" s="60">
        <v>4890</v>
      </c>
      <c r="E2156" s="59" t="s">
        <v>355</v>
      </c>
    </row>
    <row r="2157" spans="3:5" ht="15" x14ac:dyDescent="0.2">
      <c r="C2157" s="61">
        <v>41431.427083333336</v>
      </c>
      <c r="D2157" s="60">
        <v>4890</v>
      </c>
      <c r="E2157" s="59" t="s">
        <v>355</v>
      </c>
    </row>
    <row r="2158" spans="3:5" ht="15" x14ac:dyDescent="0.2">
      <c r="C2158" s="61">
        <v>41431.4375</v>
      </c>
      <c r="D2158" s="60">
        <v>4890</v>
      </c>
      <c r="E2158" s="59" t="s">
        <v>355</v>
      </c>
    </row>
    <row r="2159" spans="3:5" ht="15" x14ac:dyDescent="0.2">
      <c r="C2159" s="61">
        <v>41431.447916666664</v>
      </c>
      <c r="D2159" s="60">
        <v>4890</v>
      </c>
      <c r="E2159" s="59" t="s">
        <v>355</v>
      </c>
    </row>
    <row r="2160" spans="3:5" ht="15" x14ac:dyDescent="0.2">
      <c r="C2160" s="61">
        <v>41431.458333333336</v>
      </c>
      <c r="D2160" s="60">
        <v>4890</v>
      </c>
      <c r="E2160" s="59" t="s">
        <v>355</v>
      </c>
    </row>
    <row r="2161" spans="3:5" ht="15" x14ac:dyDescent="0.2">
      <c r="C2161" s="61">
        <v>41431.46875</v>
      </c>
      <c r="D2161" s="60">
        <v>4900</v>
      </c>
      <c r="E2161" s="59" t="s">
        <v>354</v>
      </c>
    </row>
    <row r="2162" spans="3:5" ht="15" x14ac:dyDescent="0.2">
      <c r="C2162" s="61">
        <v>41431.479166666664</v>
      </c>
      <c r="D2162" s="60">
        <v>4900</v>
      </c>
      <c r="E2162" s="59" t="s">
        <v>354</v>
      </c>
    </row>
    <row r="2163" spans="3:5" ht="15" x14ac:dyDescent="0.2">
      <c r="C2163" s="61">
        <v>41431.489583333336</v>
      </c>
      <c r="D2163" s="60">
        <v>4900</v>
      </c>
      <c r="E2163" s="59" t="s">
        <v>354</v>
      </c>
    </row>
    <row r="2164" spans="3:5" ht="15" x14ac:dyDescent="0.2">
      <c r="C2164" s="61">
        <v>41431.5</v>
      </c>
      <c r="D2164" s="60">
        <v>4900</v>
      </c>
      <c r="E2164" s="59" t="s">
        <v>354</v>
      </c>
    </row>
    <row r="2165" spans="3:5" ht="15" x14ac:dyDescent="0.2">
      <c r="C2165" s="61">
        <v>41431.510416666664</v>
      </c>
      <c r="D2165" s="60">
        <v>4920</v>
      </c>
      <c r="E2165" s="59" t="s">
        <v>353</v>
      </c>
    </row>
    <row r="2166" spans="3:5" ht="15" x14ac:dyDescent="0.2">
      <c r="C2166" s="61">
        <v>41431.520833333336</v>
      </c>
      <c r="D2166" s="60">
        <v>4920</v>
      </c>
      <c r="E2166" s="59" t="s">
        <v>353</v>
      </c>
    </row>
    <row r="2167" spans="3:5" ht="15" x14ac:dyDescent="0.2">
      <c r="C2167" s="61">
        <v>41431.53125</v>
      </c>
      <c r="D2167" s="60">
        <v>4920</v>
      </c>
      <c r="E2167" s="59" t="s">
        <v>353</v>
      </c>
    </row>
    <row r="2168" spans="3:5" ht="15" x14ac:dyDescent="0.2">
      <c r="C2168" s="61">
        <v>41431.541666666664</v>
      </c>
      <c r="D2168" s="60">
        <v>4920</v>
      </c>
      <c r="E2168" s="59" t="s">
        <v>353</v>
      </c>
    </row>
    <row r="2169" spans="3:5" ht="15" x14ac:dyDescent="0.2">
      <c r="C2169" s="61">
        <v>41431.552083333336</v>
      </c>
      <c r="D2169" s="60">
        <v>4920</v>
      </c>
      <c r="E2169" s="59" t="s">
        <v>353</v>
      </c>
    </row>
    <row r="2170" spans="3:5" ht="15" x14ac:dyDescent="0.2">
      <c r="C2170" s="61">
        <v>41431.5625</v>
      </c>
      <c r="D2170" s="60">
        <v>4930</v>
      </c>
      <c r="E2170" s="59" t="s">
        <v>352</v>
      </c>
    </row>
    <row r="2171" spans="3:5" ht="15" x14ac:dyDescent="0.2">
      <c r="C2171" s="61">
        <v>41431.572916666664</v>
      </c>
      <c r="D2171" s="60">
        <v>4930</v>
      </c>
      <c r="E2171" s="59" t="s">
        <v>352</v>
      </c>
    </row>
    <row r="2172" spans="3:5" ht="15" x14ac:dyDescent="0.2">
      <c r="C2172" s="61">
        <v>41431.583333333336</v>
      </c>
      <c r="D2172" s="60">
        <v>4930</v>
      </c>
      <c r="E2172" s="59" t="s">
        <v>352</v>
      </c>
    </row>
    <row r="2173" spans="3:5" ht="15" x14ac:dyDescent="0.2">
      <c r="C2173" s="61">
        <v>41431.59375</v>
      </c>
      <c r="D2173" s="60">
        <v>4950</v>
      </c>
      <c r="E2173" s="59" t="s">
        <v>351</v>
      </c>
    </row>
    <row r="2174" spans="3:5" ht="15" x14ac:dyDescent="0.2">
      <c r="C2174" s="61">
        <v>41431.604166666664</v>
      </c>
      <c r="D2174" s="60">
        <v>4950</v>
      </c>
      <c r="E2174" s="59" t="s">
        <v>351</v>
      </c>
    </row>
    <row r="2175" spans="3:5" ht="15" x14ac:dyDescent="0.2">
      <c r="C2175" s="61">
        <v>41431.614583333336</v>
      </c>
      <c r="D2175" s="60">
        <v>4950</v>
      </c>
      <c r="E2175" s="59" t="s">
        <v>351</v>
      </c>
    </row>
    <row r="2176" spans="3:5" ht="15" x14ac:dyDescent="0.2">
      <c r="C2176" s="61">
        <v>41431.625</v>
      </c>
      <c r="D2176" s="60">
        <v>4950</v>
      </c>
      <c r="E2176" s="59" t="s">
        <v>351</v>
      </c>
    </row>
    <row r="2177" spans="3:5" ht="15" x14ac:dyDescent="0.2">
      <c r="C2177" s="61">
        <v>41431.635416666664</v>
      </c>
      <c r="D2177" s="60">
        <v>4960</v>
      </c>
      <c r="E2177" s="59" t="s">
        <v>350</v>
      </c>
    </row>
    <row r="2178" spans="3:5" ht="15" x14ac:dyDescent="0.2">
      <c r="C2178" s="61">
        <v>41431.645833333336</v>
      </c>
      <c r="D2178" s="60">
        <v>4960</v>
      </c>
      <c r="E2178" s="59" t="s">
        <v>350</v>
      </c>
    </row>
    <row r="2179" spans="3:5" ht="15" x14ac:dyDescent="0.2">
      <c r="C2179" s="61">
        <v>41431.65625</v>
      </c>
      <c r="D2179" s="60">
        <v>4960</v>
      </c>
      <c r="E2179" s="59" t="s">
        <v>350</v>
      </c>
    </row>
    <row r="2180" spans="3:5" ht="15" x14ac:dyDescent="0.2">
      <c r="C2180" s="61">
        <v>41431.666666666664</v>
      </c>
      <c r="D2180" s="60">
        <v>4960</v>
      </c>
      <c r="E2180" s="59" t="s">
        <v>350</v>
      </c>
    </row>
    <row r="2181" spans="3:5" ht="15" x14ac:dyDescent="0.2">
      <c r="C2181" s="61">
        <v>41431.677083333336</v>
      </c>
      <c r="D2181" s="60">
        <v>4980</v>
      </c>
      <c r="E2181" s="59" t="s">
        <v>349</v>
      </c>
    </row>
    <row r="2182" spans="3:5" ht="15" x14ac:dyDescent="0.2">
      <c r="C2182" s="61">
        <v>41431.6875</v>
      </c>
      <c r="D2182" s="60">
        <v>4980</v>
      </c>
      <c r="E2182" s="59" t="s">
        <v>349</v>
      </c>
    </row>
    <row r="2183" spans="3:5" ht="15" x14ac:dyDescent="0.2">
      <c r="C2183" s="61">
        <v>41431.697916666664</v>
      </c>
      <c r="D2183" s="60">
        <v>4980</v>
      </c>
      <c r="E2183" s="59" t="s">
        <v>349</v>
      </c>
    </row>
    <row r="2184" spans="3:5" ht="15" x14ac:dyDescent="0.2">
      <c r="C2184" s="61">
        <v>41431.708333333336</v>
      </c>
      <c r="D2184" s="60">
        <v>4980</v>
      </c>
      <c r="E2184" s="59" t="s">
        <v>349</v>
      </c>
    </row>
    <row r="2185" spans="3:5" ht="15" x14ac:dyDescent="0.2">
      <c r="C2185" s="61">
        <v>41431.71875</v>
      </c>
      <c r="D2185" s="60">
        <v>4980</v>
      </c>
      <c r="E2185" s="59" t="s">
        <v>349</v>
      </c>
    </row>
    <row r="2186" spans="3:5" ht="15" x14ac:dyDescent="0.2">
      <c r="C2186" s="61">
        <v>41431.729166666664</v>
      </c>
      <c r="D2186" s="60">
        <v>4980</v>
      </c>
      <c r="E2186" s="59" t="s">
        <v>349</v>
      </c>
    </row>
    <row r="2187" spans="3:5" ht="15" x14ac:dyDescent="0.2">
      <c r="C2187" s="61">
        <v>41431.739583333336</v>
      </c>
      <c r="D2187" s="60">
        <v>4990</v>
      </c>
      <c r="E2187" s="59" t="s">
        <v>348</v>
      </c>
    </row>
    <row r="2188" spans="3:5" ht="15" x14ac:dyDescent="0.2">
      <c r="C2188" s="61">
        <v>41431.75</v>
      </c>
      <c r="D2188" s="60">
        <v>4990</v>
      </c>
      <c r="E2188" s="59" t="s">
        <v>348</v>
      </c>
    </row>
    <row r="2189" spans="3:5" ht="15" x14ac:dyDescent="0.2">
      <c r="C2189" s="61">
        <v>41431.760416666664</v>
      </c>
      <c r="D2189" s="60">
        <v>4990</v>
      </c>
      <c r="E2189" s="59" t="s">
        <v>348</v>
      </c>
    </row>
    <row r="2190" spans="3:5" ht="15" x14ac:dyDescent="0.2">
      <c r="C2190" s="61">
        <v>41431.770833333336</v>
      </c>
      <c r="D2190" s="60">
        <v>4990</v>
      </c>
      <c r="E2190" s="59" t="s">
        <v>348</v>
      </c>
    </row>
    <row r="2191" spans="3:5" ht="15" x14ac:dyDescent="0.2">
      <c r="C2191" s="61">
        <v>41431.78125</v>
      </c>
      <c r="D2191" s="60">
        <v>4990</v>
      </c>
      <c r="E2191" s="59" t="s">
        <v>348</v>
      </c>
    </row>
    <row r="2192" spans="3:5" ht="15" x14ac:dyDescent="0.2">
      <c r="C2192" s="61">
        <v>41431.791666666664</v>
      </c>
      <c r="D2192" s="60">
        <v>4990</v>
      </c>
      <c r="E2192" s="59" t="s">
        <v>348</v>
      </c>
    </row>
    <row r="2193" spans="3:5" ht="15" x14ac:dyDescent="0.2">
      <c r="C2193" s="61">
        <v>41431.802083333336</v>
      </c>
      <c r="D2193" s="60">
        <v>4990</v>
      </c>
      <c r="E2193" s="59" t="s">
        <v>348</v>
      </c>
    </row>
    <row r="2194" spans="3:5" ht="15" x14ac:dyDescent="0.2">
      <c r="C2194" s="61">
        <v>41431.8125</v>
      </c>
      <c r="D2194" s="60">
        <v>5010</v>
      </c>
      <c r="E2194" s="59" t="s">
        <v>347</v>
      </c>
    </row>
    <row r="2195" spans="3:5" ht="15" x14ac:dyDescent="0.2">
      <c r="C2195" s="61">
        <v>41431.822916666664</v>
      </c>
      <c r="D2195" s="60">
        <v>5010</v>
      </c>
      <c r="E2195" s="59" t="s">
        <v>347</v>
      </c>
    </row>
    <row r="2196" spans="3:5" ht="15" x14ac:dyDescent="0.2">
      <c r="C2196" s="61">
        <v>41431.833333333336</v>
      </c>
      <c r="D2196" s="60">
        <v>5010</v>
      </c>
      <c r="E2196" s="59" t="s">
        <v>347</v>
      </c>
    </row>
    <row r="2197" spans="3:5" ht="15" x14ac:dyDescent="0.2">
      <c r="C2197" s="61">
        <v>41431.84375</v>
      </c>
      <c r="D2197" s="60">
        <v>5010</v>
      </c>
      <c r="E2197" s="59" t="s">
        <v>347</v>
      </c>
    </row>
    <row r="2198" spans="3:5" ht="15" x14ac:dyDescent="0.2">
      <c r="C2198" s="61">
        <v>41431.854166666664</v>
      </c>
      <c r="D2198" s="60">
        <v>5010</v>
      </c>
      <c r="E2198" s="59" t="s">
        <v>347</v>
      </c>
    </row>
    <row r="2199" spans="3:5" ht="15" x14ac:dyDescent="0.2">
      <c r="C2199" s="61">
        <v>41431.864583333336</v>
      </c>
      <c r="D2199" s="60">
        <v>5010</v>
      </c>
      <c r="E2199" s="59" t="s">
        <v>347</v>
      </c>
    </row>
    <row r="2200" spans="3:5" ht="15" x14ac:dyDescent="0.2">
      <c r="C2200" s="61">
        <v>41431.875</v>
      </c>
      <c r="D2200" s="60">
        <v>5010</v>
      </c>
      <c r="E2200" s="59" t="s">
        <v>347</v>
      </c>
    </row>
    <row r="2201" spans="3:5" ht="15" x14ac:dyDescent="0.2">
      <c r="C2201" s="61">
        <v>41431.885416666664</v>
      </c>
      <c r="D2201" s="60">
        <v>5010</v>
      </c>
      <c r="E2201" s="59" t="s">
        <v>347</v>
      </c>
    </row>
    <row r="2202" spans="3:5" ht="15" x14ac:dyDescent="0.2">
      <c r="C2202" s="61">
        <v>41431.895833333336</v>
      </c>
      <c r="D2202" s="60">
        <v>5010</v>
      </c>
      <c r="E2202" s="59" t="s">
        <v>347</v>
      </c>
    </row>
    <row r="2203" spans="3:5" ht="15" x14ac:dyDescent="0.2">
      <c r="C2203" s="61">
        <v>41431.90625</v>
      </c>
      <c r="D2203" s="60">
        <v>5010</v>
      </c>
      <c r="E2203" s="59" t="s">
        <v>347</v>
      </c>
    </row>
    <row r="2204" spans="3:5" ht="15" x14ac:dyDescent="0.2">
      <c r="C2204" s="61">
        <v>41431.916666666664</v>
      </c>
      <c r="D2204" s="60">
        <v>5010</v>
      </c>
      <c r="E2204" s="59" t="s">
        <v>347</v>
      </c>
    </row>
    <row r="2205" spans="3:5" ht="15" x14ac:dyDescent="0.2">
      <c r="C2205" s="61">
        <v>41431.927083333336</v>
      </c>
      <c r="D2205" s="60">
        <v>5010</v>
      </c>
      <c r="E2205" s="59" t="s">
        <v>347</v>
      </c>
    </row>
    <row r="2206" spans="3:5" ht="15" x14ac:dyDescent="0.2">
      <c r="C2206" s="61">
        <v>41431.9375</v>
      </c>
      <c r="D2206" s="60">
        <v>5010</v>
      </c>
      <c r="E2206" s="59" t="s">
        <v>347</v>
      </c>
    </row>
    <row r="2207" spans="3:5" ht="15" x14ac:dyDescent="0.2">
      <c r="C2207" s="61">
        <v>41431.947916666664</v>
      </c>
      <c r="D2207" s="60">
        <v>5010</v>
      </c>
      <c r="E2207" s="59" t="s">
        <v>347</v>
      </c>
    </row>
    <row r="2208" spans="3:5" ht="15" x14ac:dyDescent="0.2">
      <c r="C2208" s="61">
        <v>41431.958333333336</v>
      </c>
      <c r="D2208" s="60">
        <v>5010</v>
      </c>
      <c r="E2208" s="59" t="s">
        <v>347</v>
      </c>
    </row>
    <row r="2209" spans="3:5" ht="15" x14ac:dyDescent="0.2">
      <c r="C2209" s="61">
        <v>41431.96875</v>
      </c>
      <c r="D2209" s="60">
        <v>5010</v>
      </c>
      <c r="E2209" s="59" t="s">
        <v>347</v>
      </c>
    </row>
    <row r="2210" spans="3:5" ht="15" x14ac:dyDescent="0.2">
      <c r="C2210" s="61">
        <v>41431.979166666664</v>
      </c>
      <c r="D2210" s="60">
        <v>5010</v>
      </c>
      <c r="E2210" s="59" t="s">
        <v>347</v>
      </c>
    </row>
    <row r="2211" spans="3:5" ht="15" x14ac:dyDescent="0.2">
      <c r="C2211" s="61">
        <v>41431.989583333336</v>
      </c>
      <c r="D2211" s="60">
        <v>5010</v>
      </c>
      <c r="E2211" s="59" t="s">
        <v>347</v>
      </c>
    </row>
    <row r="2212" spans="3:5" ht="15" x14ac:dyDescent="0.2">
      <c r="C2212" s="61">
        <v>41432</v>
      </c>
      <c r="D2212" s="60">
        <v>5010</v>
      </c>
      <c r="E2212" s="59" t="s">
        <v>347</v>
      </c>
    </row>
    <row r="2213" spans="3:5" ht="15" x14ac:dyDescent="0.2">
      <c r="C2213" s="61">
        <v>41432.010416666664</v>
      </c>
      <c r="D2213" s="60">
        <v>5010</v>
      </c>
      <c r="E2213" s="59" t="s">
        <v>347</v>
      </c>
    </row>
    <row r="2214" spans="3:5" ht="15" x14ac:dyDescent="0.2">
      <c r="C2214" s="61">
        <v>41432.020833333336</v>
      </c>
      <c r="D2214" s="60">
        <v>5010</v>
      </c>
      <c r="E2214" s="59" t="s">
        <v>347</v>
      </c>
    </row>
    <row r="2215" spans="3:5" ht="15" x14ac:dyDescent="0.2">
      <c r="C2215" s="61">
        <v>41432.03125</v>
      </c>
      <c r="D2215" s="60">
        <v>5010</v>
      </c>
      <c r="E2215" s="59" t="s">
        <v>347</v>
      </c>
    </row>
    <row r="2216" spans="3:5" ht="15" x14ac:dyDescent="0.2">
      <c r="C2216" s="61">
        <v>41432.041666666664</v>
      </c>
      <c r="D2216" s="60">
        <v>5010</v>
      </c>
      <c r="E2216" s="59" t="s">
        <v>347</v>
      </c>
    </row>
    <row r="2217" spans="3:5" ht="15" x14ac:dyDescent="0.2">
      <c r="C2217" s="61">
        <v>41432.052083333336</v>
      </c>
      <c r="D2217" s="60">
        <v>5010</v>
      </c>
      <c r="E2217" s="59" t="s">
        <v>347</v>
      </c>
    </row>
    <row r="2218" spans="3:5" ht="15" x14ac:dyDescent="0.2">
      <c r="C2218" s="61">
        <v>41432.0625</v>
      </c>
      <c r="D2218" s="60">
        <v>5010</v>
      </c>
      <c r="E2218" s="59" t="s">
        <v>347</v>
      </c>
    </row>
    <row r="2219" spans="3:5" ht="15" x14ac:dyDescent="0.2">
      <c r="C2219" s="61">
        <v>41432.072916666664</v>
      </c>
      <c r="D2219" s="60">
        <v>5010</v>
      </c>
      <c r="E2219" s="59" t="s">
        <v>347</v>
      </c>
    </row>
    <row r="2220" spans="3:5" ht="15" x14ac:dyDescent="0.2">
      <c r="C2220" s="61">
        <v>41432.083333333336</v>
      </c>
      <c r="D2220" s="60">
        <v>5010</v>
      </c>
      <c r="E2220" s="59" t="s">
        <v>347</v>
      </c>
    </row>
    <row r="2221" spans="3:5" ht="15" x14ac:dyDescent="0.2">
      <c r="C2221" s="61">
        <v>41432.09375</v>
      </c>
      <c r="D2221" s="60">
        <v>5010</v>
      </c>
      <c r="E2221" s="59" t="s">
        <v>347</v>
      </c>
    </row>
    <row r="2222" spans="3:5" ht="15" x14ac:dyDescent="0.2">
      <c r="C2222" s="61">
        <v>41432.104166666664</v>
      </c>
      <c r="D2222" s="60">
        <v>5010</v>
      </c>
      <c r="E2222" s="59" t="s">
        <v>347</v>
      </c>
    </row>
    <row r="2223" spans="3:5" ht="15" x14ac:dyDescent="0.2">
      <c r="C2223" s="61">
        <v>41432.114583333336</v>
      </c>
      <c r="D2223" s="60">
        <v>5010</v>
      </c>
      <c r="E2223" s="59" t="s">
        <v>347</v>
      </c>
    </row>
    <row r="2224" spans="3:5" ht="15" x14ac:dyDescent="0.2">
      <c r="C2224" s="61">
        <v>41432.125</v>
      </c>
      <c r="D2224" s="60">
        <v>5010</v>
      </c>
      <c r="E2224" s="59" t="s">
        <v>347</v>
      </c>
    </row>
    <row r="2225" spans="3:5" ht="15" x14ac:dyDescent="0.2">
      <c r="C2225" s="61">
        <v>41432.135416666664</v>
      </c>
      <c r="D2225" s="60">
        <v>5010</v>
      </c>
      <c r="E2225" s="59" t="s">
        <v>347</v>
      </c>
    </row>
    <row r="2226" spans="3:5" ht="15" x14ac:dyDescent="0.2">
      <c r="C2226" s="61">
        <v>41432.145833333336</v>
      </c>
      <c r="D2226" s="60">
        <v>5010</v>
      </c>
      <c r="E2226" s="59" t="s">
        <v>347</v>
      </c>
    </row>
    <row r="2227" spans="3:5" ht="15" x14ac:dyDescent="0.2">
      <c r="C2227" s="61">
        <v>41432.15625</v>
      </c>
      <c r="D2227" s="60">
        <v>5010</v>
      </c>
      <c r="E2227" s="59" t="s">
        <v>347</v>
      </c>
    </row>
    <row r="2228" spans="3:5" ht="15" x14ac:dyDescent="0.2">
      <c r="C2228" s="61">
        <v>41432.166666666664</v>
      </c>
      <c r="D2228" s="60">
        <v>5010</v>
      </c>
      <c r="E2228" s="59" t="s">
        <v>347</v>
      </c>
    </row>
    <row r="2229" spans="3:5" ht="15" x14ac:dyDescent="0.2">
      <c r="C2229" s="61">
        <v>41432.177083333336</v>
      </c>
      <c r="D2229" s="60">
        <v>5010</v>
      </c>
      <c r="E2229" s="59" t="s">
        <v>347</v>
      </c>
    </row>
    <row r="2230" spans="3:5" ht="15" x14ac:dyDescent="0.2">
      <c r="C2230" s="61">
        <v>41432.1875</v>
      </c>
      <c r="D2230" s="60">
        <v>5010</v>
      </c>
      <c r="E2230" s="59" t="s">
        <v>347</v>
      </c>
    </row>
    <row r="2231" spans="3:5" ht="15" x14ac:dyDescent="0.2">
      <c r="C2231" s="61">
        <v>41432.197916666664</v>
      </c>
      <c r="D2231" s="60">
        <v>5010</v>
      </c>
      <c r="E2231" s="59" t="s">
        <v>347</v>
      </c>
    </row>
    <row r="2232" spans="3:5" ht="15" x14ac:dyDescent="0.2">
      <c r="C2232" s="61">
        <v>41432.208333333336</v>
      </c>
      <c r="D2232" s="60">
        <v>5010</v>
      </c>
      <c r="E2232" s="59" t="s">
        <v>347</v>
      </c>
    </row>
    <row r="2233" spans="3:5" ht="15" x14ac:dyDescent="0.2">
      <c r="C2233" s="61">
        <v>41432.21875</v>
      </c>
      <c r="D2233" s="60">
        <v>5010</v>
      </c>
      <c r="E2233" s="59" t="s">
        <v>347</v>
      </c>
    </row>
    <row r="2234" spans="3:5" ht="15" x14ac:dyDescent="0.2">
      <c r="C2234" s="61">
        <v>41432.229166666664</v>
      </c>
      <c r="D2234" s="60">
        <v>5010</v>
      </c>
      <c r="E2234" s="59" t="s">
        <v>347</v>
      </c>
    </row>
    <row r="2235" spans="3:5" ht="15" x14ac:dyDescent="0.2">
      <c r="C2235" s="61">
        <v>41432.239583333336</v>
      </c>
      <c r="D2235" s="60">
        <v>5010</v>
      </c>
      <c r="E2235" s="59" t="s">
        <v>347</v>
      </c>
    </row>
    <row r="2236" spans="3:5" ht="15" x14ac:dyDescent="0.2">
      <c r="C2236" s="61">
        <v>41432.25</v>
      </c>
      <c r="D2236" s="60">
        <v>5010</v>
      </c>
      <c r="E2236" s="59" t="s">
        <v>347</v>
      </c>
    </row>
    <row r="2237" spans="3:5" ht="15" x14ac:dyDescent="0.2">
      <c r="C2237" s="61">
        <v>41432.260416666664</v>
      </c>
      <c r="D2237" s="60">
        <v>5010</v>
      </c>
      <c r="E2237" s="59" t="s">
        <v>347</v>
      </c>
    </row>
    <row r="2238" spans="3:5" ht="15" x14ac:dyDescent="0.2">
      <c r="C2238" s="61">
        <v>41432.270833333336</v>
      </c>
      <c r="D2238" s="60">
        <v>5010</v>
      </c>
      <c r="E2238" s="59" t="s">
        <v>347</v>
      </c>
    </row>
    <row r="2239" spans="3:5" ht="15" x14ac:dyDescent="0.2">
      <c r="C2239" s="61">
        <v>41432.28125</v>
      </c>
      <c r="D2239" s="60">
        <v>5010</v>
      </c>
      <c r="E2239" s="59" t="s">
        <v>347</v>
      </c>
    </row>
    <row r="2240" spans="3:5" ht="15" x14ac:dyDescent="0.2">
      <c r="C2240" s="61">
        <v>41432.291666666664</v>
      </c>
      <c r="D2240" s="60">
        <v>5010</v>
      </c>
      <c r="E2240" s="59" t="s">
        <v>347</v>
      </c>
    </row>
    <row r="2241" spans="3:5" ht="15" x14ac:dyDescent="0.2">
      <c r="C2241" s="61">
        <v>41432.302083333336</v>
      </c>
      <c r="D2241" s="60">
        <v>5010</v>
      </c>
      <c r="E2241" s="59" t="s">
        <v>347</v>
      </c>
    </row>
    <row r="2242" spans="3:5" ht="15" x14ac:dyDescent="0.2">
      <c r="C2242" s="61">
        <v>41432.3125</v>
      </c>
      <c r="D2242" s="60">
        <v>5010</v>
      </c>
      <c r="E2242" s="59" t="s">
        <v>347</v>
      </c>
    </row>
    <row r="2243" spans="3:5" ht="15" x14ac:dyDescent="0.2">
      <c r="C2243" s="61">
        <v>41432.322916666664</v>
      </c>
      <c r="D2243" s="60">
        <v>5010</v>
      </c>
      <c r="E2243" s="59" t="s">
        <v>347</v>
      </c>
    </row>
    <row r="2244" spans="3:5" ht="15" x14ac:dyDescent="0.2">
      <c r="C2244" s="61">
        <v>41432.333333333336</v>
      </c>
      <c r="D2244" s="60">
        <v>5020</v>
      </c>
      <c r="E2244" s="59" t="s">
        <v>346</v>
      </c>
    </row>
    <row r="2245" spans="3:5" ht="15" x14ac:dyDescent="0.2">
      <c r="C2245" s="61">
        <v>41432.34375</v>
      </c>
      <c r="D2245" s="60">
        <v>5020</v>
      </c>
      <c r="E2245" s="59" t="s">
        <v>346</v>
      </c>
    </row>
    <row r="2246" spans="3:5" ht="15" x14ac:dyDescent="0.2">
      <c r="C2246" s="61">
        <v>41432.354166666664</v>
      </c>
      <c r="D2246" s="60">
        <v>5020</v>
      </c>
      <c r="E2246" s="59" t="s">
        <v>346</v>
      </c>
    </row>
    <row r="2247" spans="3:5" ht="15" x14ac:dyDescent="0.2">
      <c r="C2247" s="61">
        <v>41432.364583333336</v>
      </c>
      <c r="D2247" s="60">
        <v>5020</v>
      </c>
      <c r="E2247" s="59" t="s">
        <v>346</v>
      </c>
    </row>
    <row r="2248" spans="3:5" ht="15" x14ac:dyDescent="0.2">
      <c r="C2248" s="61">
        <v>41432.375</v>
      </c>
      <c r="D2248" s="60">
        <v>5020</v>
      </c>
      <c r="E2248" s="59" t="s">
        <v>346</v>
      </c>
    </row>
    <row r="2249" spans="3:5" ht="15" x14ac:dyDescent="0.2">
      <c r="C2249" s="61">
        <v>41432.385416666664</v>
      </c>
      <c r="D2249" s="60">
        <v>5020</v>
      </c>
      <c r="E2249" s="59" t="s">
        <v>346</v>
      </c>
    </row>
    <row r="2250" spans="3:5" ht="15" x14ac:dyDescent="0.2">
      <c r="C2250" s="61">
        <v>41432.395833333336</v>
      </c>
      <c r="D2250" s="60">
        <v>5040</v>
      </c>
      <c r="E2250" s="59" t="s">
        <v>345</v>
      </c>
    </row>
    <row r="2251" spans="3:5" ht="15" x14ac:dyDescent="0.2">
      <c r="C2251" s="61">
        <v>41432.40625</v>
      </c>
      <c r="D2251" s="60">
        <v>5040</v>
      </c>
      <c r="E2251" s="59" t="s">
        <v>345</v>
      </c>
    </row>
    <row r="2252" spans="3:5" ht="15" x14ac:dyDescent="0.2">
      <c r="C2252" s="61">
        <v>41432.416666666664</v>
      </c>
      <c r="D2252" s="60">
        <v>5040</v>
      </c>
      <c r="E2252" s="59" t="s">
        <v>345</v>
      </c>
    </row>
    <row r="2253" spans="3:5" ht="15" x14ac:dyDescent="0.2">
      <c r="C2253" s="61">
        <v>41432.427083333336</v>
      </c>
      <c r="D2253" s="60">
        <v>5040</v>
      </c>
      <c r="E2253" s="59" t="s">
        <v>345</v>
      </c>
    </row>
    <row r="2254" spans="3:5" ht="15" x14ac:dyDescent="0.2">
      <c r="C2254" s="61">
        <v>41432.4375</v>
      </c>
      <c r="D2254" s="60">
        <v>5040</v>
      </c>
      <c r="E2254" s="59" t="s">
        <v>345</v>
      </c>
    </row>
    <row r="2255" spans="3:5" ht="15" x14ac:dyDescent="0.2">
      <c r="C2255" s="61">
        <v>41432.447916666664</v>
      </c>
      <c r="D2255" s="60">
        <v>5040</v>
      </c>
      <c r="E2255" s="59" t="s">
        <v>345</v>
      </c>
    </row>
    <row r="2256" spans="3:5" ht="15" x14ac:dyDescent="0.2">
      <c r="C2256" s="61">
        <v>41432.458333333336</v>
      </c>
      <c r="D2256" s="60">
        <v>5050</v>
      </c>
      <c r="E2256" s="59" t="s">
        <v>344</v>
      </c>
    </row>
    <row r="2257" spans="3:5" ht="15" x14ac:dyDescent="0.2">
      <c r="C2257" s="61">
        <v>41432.46875</v>
      </c>
      <c r="D2257" s="60">
        <v>5050</v>
      </c>
      <c r="E2257" s="59" t="s">
        <v>344</v>
      </c>
    </row>
    <row r="2258" spans="3:5" ht="15" x14ac:dyDescent="0.2">
      <c r="C2258" s="61">
        <v>41432.479166666664</v>
      </c>
      <c r="D2258" s="60">
        <v>5050</v>
      </c>
      <c r="E2258" s="59" t="s">
        <v>344</v>
      </c>
    </row>
    <row r="2259" spans="3:5" ht="15" x14ac:dyDescent="0.2">
      <c r="C2259" s="61">
        <v>41432.489583333336</v>
      </c>
      <c r="D2259" s="60">
        <v>5070</v>
      </c>
      <c r="E2259" s="59" t="s">
        <v>343</v>
      </c>
    </row>
    <row r="2260" spans="3:5" ht="15" x14ac:dyDescent="0.2">
      <c r="C2260" s="61">
        <v>41432.5</v>
      </c>
      <c r="D2260" s="60">
        <v>5070</v>
      </c>
      <c r="E2260" s="59" t="s">
        <v>343</v>
      </c>
    </row>
    <row r="2261" spans="3:5" ht="15" x14ac:dyDescent="0.2">
      <c r="C2261" s="61">
        <v>41432.510416666664</v>
      </c>
      <c r="D2261" s="60">
        <v>5070</v>
      </c>
      <c r="E2261" s="59" t="s">
        <v>343</v>
      </c>
    </row>
    <row r="2262" spans="3:5" ht="15" x14ac:dyDescent="0.2">
      <c r="C2262" s="61">
        <v>41432.520833333336</v>
      </c>
      <c r="D2262" s="60">
        <v>5070</v>
      </c>
      <c r="E2262" s="59" t="s">
        <v>343</v>
      </c>
    </row>
    <row r="2263" spans="3:5" ht="15" x14ac:dyDescent="0.2">
      <c r="C2263" s="61">
        <v>41432.53125</v>
      </c>
      <c r="D2263" s="60">
        <v>5080</v>
      </c>
      <c r="E2263" s="59" t="s">
        <v>342</v>
      </c>
    </row>
    <row r="2264" spans="3:5" ht="15" x14ac:dyDescent="0.2">
      <c r="C2264" s="61">
        <v>41432.541666666664</v>
      </c>
      <c r="D2264" s="60">
        <v>5080</v>
      </c>
      <c r="E2264" s="59" t="s">
        <v>342</v>
      </c>
    </row>
    <row r="2265" spans="3:5" ht="15" x14ac:dyDescent="0.2">
      <c r="C2265" s="61">
        <v>41432.552083333336</v>
      </c>
      <c r="D2265" s="60">
        <v>5080</v>
      </c>
      <c r="E2265" s="59" t="s">
        <v>342</v>
      </c>
    </row>
    <row r="2266" spans="3:5" ht="15" x14ac:dyDescent="0.2">
      <c r="C2266" s="61">
        <v>41432.5625</v>
      </c>
      <c r="D2266" s="60">
        <v>5100</v>
      </c>
      <c r="E2266" s="59" t="s">
        <v>341</v>
      </c>
    </row>
    <row r="2267" spans="3:5" ht="15" x14ac:dyDescent="0.2">
      <c r="C2267" s="61">
        <v>41432.572916666664</v>
      </c>
      <c r="D2267" s="60">
        <v>5100</v>
      </c>
      <c r="E2267" s="59" t="s">
        <v>341</v>
      </c>
    </row>
    <row r="2268" spans="3:5" ht="15" x14ac:dyDescent="0.2">
      <c r="C2268" s="61">
        <v>41432.583333333336</v>
      </c>
      <c r="D2268" s="60">
        <v>5100</v>
      </c>
      <c r="E2268" s="59" t="s">
        <v>341</v>
      </c>
    </row>
    <row r="2269" spans="3:5" ht="15" x14ac:dyDescent="0.2">
      <c r="C2269" s="61">
        <v>41432.59375</v>
      </c>
      <c r="D2269" s="60">
        <v>5110</v>
      </c>
      <c r="E2269" s="59" t="s">
        <v>340</v>
      </c>
    </row>
    <row r="2270" spans="3:5" ht="15" x14ac:dyDescent="0.2">
      <c r="C2270" s="61">
        <v>41432.604166666664</v>
      </c>
      <c r="D2270" s="60">
        <v>5110</v>
      </c>
      <c r="E2270" s="59" t="s">
        <v>340</v>
      </c>
    </row>
    <row r="2271" spans="3:5" ht="15" x14ac:dyDescent="0.2">
      <c r="C2271" s="61">
        <v>41432.614583333336</v>
      </c>
      <c r="D2271" s="60">
        <v>5110</v>
      </c>
      <c r="E2271" s="59" t="s">
        <v>340</v>
      </c>
    </row>
    <row r="2272" spans="3:5" ht="15" x14ac:dyDescent="0.2">
      <c r="C2272" s="61">
        <v>41432.625</v>
      </c>
      <c r="D2272" s="60">
        <v>5110</v>
      </c>
      <c r="E2272" s="59" t="s">
        <v>340</v>
      </c>
    </row>
    <row r="2273" spans="3:5" ht="15" x14ac:dyDescent="0.2">
      <c r="C2273" s="61">
        <v>41432.635416666664</v>
      </c>
      <c r="D2273" s="60">
        <v>5130</v>
      </c>
      <c r="E2273" s="59" t="s">
        <v>339</v>
      </c>
    </row>
    <row r="2274" spans="3:5" ht="15" x14ac:dyDescent="0.2">
      <c r="C2274" s="61">
        <v>41432.645833333336</v>
      </c>
      <c r="D2274" s="60">
        <v>5130</v>
      </c>
      <c r="E2274" s="59" t="s">
        <v>339</v>
      </c>
    </row>
    <row r="2275" spans="3:5" ht="15" x14ac:dyDescent="0.2">
      <c r="C2275" s="61">
        <v>41432.65625</v>
      </c>
      <c r="D2275" s="60">
        <v>5130</v>
      </c>
      <c r="E2275" s="59" t="s">
        <v>339</v>
      </c>
    </row>
    <row r="2276" spans="3:5" ht="15" x14ac:dyDescent="0.2">
      <c r="C2276" s="61">
        <v>41432.666666666664</v>
      </c>
      <c r="D2276" s="60">
        <v>5140</v>
      </c>
      <c r="E2276" s="59" t="s">
        <v>338</v>
      </c>
    </row>
    <row r="2277" spans="3:5" ht="15" x14ac:dyDescent="0.2">
      <c r="C2277" s="61">
        <v>41432.677083333336</v>
      </c>
      <c r="D2277" s="60">
        <v>5140</v>
      </c>
      <c r="E2277" s="59" t="s">
        <v>338</v>
      </c>
    </row>
    <row r="2278" spans="3:5" ht="15" x14ac:dyDescent="0.2">
      <c r="C2278" s="61">
        <v>41432.6875</v>
      </c>
      <c r="D2278" s="60">
        <v>5160</v>
      </c>
      <c r="E2278" s="59" t="s">
        <v>337</v>
      </c>
    </row>
    <row r="2279" spans="3:5" ht="15" x14ac:dyDescent="0.2">
      <c r="C2279" s="61">
        <v>41432.697916666664</v>
      </c>
      <c r="D2279" s="60">
        <v>5160</v>
      </c>
      <c r="E2279" s="59" t="s">
        <v>337</v>
      </c>
    </row>
    <row r="2280" spans="3:5" ht="15" x14ac:dyDescent="0.2">
      <c r="C2280" s="61">
        <v>41432.708333333336</v>
      </c>
      <c r="D2280" s="60">
        <v>5160</v>
      </c>
      <c r="E2280" s="59" t="s">
        <v>337</v>
      </c>
    </row>
    <row r="2281" spans="3:5" ht="15" x14ac:dyDescent="0.2">
      <c r="C2281" s="61">
        <v>41432.71875</v>
      </c>
      <c r="D2281" s="60">
        <v>5160</v>
      </c>
      <c r="E2281" s="59" t="s">
        <v>337</v>
      </c>
    </row>
    <row r="2282" spans="3:5" ht="15" x14ac:dyDescent="0.2">
      <c r="C2282" s="61">
        <v>41432.729166666664</v>
      </c>
      <c r="D2282" s="60">
        <v>5170</v>
      </c>
      <c r="E2282" s="59" t="s">
        <v>336</v>
      </c>
    </row>
    <row r="2283" spans="3:5" ht="15" x14ac:dyDescent="0.2">
      <c r="C2283" s="61">
        <v>41432.739583333336</v>
      </c>
      <c r="D2283" s="60">
        <v>5170</v>
      </c>
      <c r="E2283" s="59" t="s">
        <v>336</v>
      </c>
    </row>
    <row r="2284" spans="3:5" ht="15" x14ac:dyDescent="0.2">
      <c r="C2284" s="61">
        <v>41432.75</v>
      </c>
      <c r="D2284" s="60">
        <v>5190</v>
      </c>
      <c r="E2284" s="59" t="s">
        <v>335</v>
      </c>
    </row>
    <row r="2285" spans="3:5" ht="15" x14ac:dyDescent="0.2">
      <c r="C2285" s="61">
        <v>41432.760416666664</v>
      </c>
      <c r="D2285" s="60">
        <v>5190</v>
      </c>
      <c r="E2285" s="59" t="s">
        <v>335</v>
      </c>
    </row>
    <row r="2286" spans="3:5" ht="15" x14ac:dyDescent="0.2">
      <c r="C2286" s="61">
        <v>41432.770833333336</v>
      </c>
      <c r="D2286" s="60">
        <v>5200</v>
      </c>
      <c r="E2286" s="59" t="s">
        <v>334</v>
      </c>
    </row>
    <row r="2287" spans="3:5" ht="15" x14ac:dyDescent="0.2">
      <c r="C2287" s="61">
        <v>41432.78125</v>
      </c>
      <c r="D2287" s="60">
        <v>5200</v>
      </c>
      <c r="E2287" s="59" t="s">
        <v>334</v>
      </c>
    </row>
    <row r="2288" spans="3:5" ht="15" x14ac:dyDescent="0.2">
      <c r="C2288" s="61">
        <v>41432.791666666664</v>
      </c>
      <c r="D2288" s="60">
        <v>5220</v>
      </c>
      <c r="E2288" s="59" t="s">
        <v>333</v>
      </c>
    </row>
    <row r="2289" spans="3:5" ht="15" x14ac:dyDescent="0.2">
      <c r="C2289" s="61">
        <v>41432.802083333336</v>
      </c>
      <c r="D2289" s="60">
        <v>5220</v>
      </c>
      <c r="E2289" s="59" t="s">
        <v>333</v>
      </c>
    </row>
    <row r="2290" spans="3:5" ht="15" x14ac:dyDescent="0.2">
      <c r="C2290" s="61">
        <v>41432.8125</v>
      </c>
      <c r="D2290" s="60">
        <v>5240</v>
      </c>
      <c r="E2290" s="59" t="s">
        <v>332</v>
      </c>
    </row>
    <row r="2291" spans="3:5" ht="15" x14ac:dyDescent="0.2">
      <c r="C2291" s="61">
        <v>41432.822916666664</v>
      </c>
      <c r="D2291" s="60">
        <v>5240</v>
      </c>
      <c r="E2291" s="59" t="s">
        <v>332</v>
      </c>
    </row>
    <row r="2292" spans="3:5" ht="15" x14ac:dyDescent="0.2">
      <c r="C2292" s="61">
        <v>41432.833333333336</v>
      </c>
      <c r="D2292" s="60">
        <v>5250</v>
      </c>
      <c r="E2292" s="59" t="s">
        <v>331</v>
      </c>
    </row>
    <row r="2293" spans="3:5" ht="15" x14ac:dyDescent="0.2">
      <c r="C2293" s="61">
        <v>41432.84375</v>
      </c>
      <c r="D2293" s="60">
        <v>5250</v>
      </c>
      <c r="E2293" s="59" t="s">
        <v>331</v>
      </c>
    </row>
    <row r="2294" spans="3:5" ht="15" x14ac:dyDescent="0.2">
      <c r="C2294" s="61">
        <v>41432.854166666664</v>
      </c>
      <c r="D2294" s="60">
        <v>5270</v>
      </c>
      <c r="E2294" s="59" t="s">
        <v>330</v>
      </c>
    </row>
    <row r="2295" spans="3:5" ht="15" x14ac:dyDescent="0.2">
      <c r="C2295" s="61">
        <v>41432.864583333336</v>
      </c>
      <c r="D2295" s="60">
        <v>5280</v>
      </c>
      <c r="E2295" s="59" t="s">
        <v>329</v>
      </c>
    </row>
    <row r="2296" spans="3:5" ht="15" x14ac:dyDescent="0.2">
      <c r="C2296" s="61">
        <v>41432.875</v>
      </c>
      <c r="D2296" s="60">
        <v>5280</v>
      </c>
      <c r="E2296" s="59" t="s">
        <v>329</v>
      </c>
    </row>
    <row r="2297" spans="3:5" ht="15" x14ac:dyDescent="0.2">
      <c r="C2297" s="61">
        <v>41432.885416666664</v>
      </c>
      <c r="D2297" s="60">
        <v>5300</v>
      </c>
      <c r="E2297" s="59" t="s">
        <v>328</v>
      </c>
    </row>
    <row r="2298" spans="3:5" ht="15" x14ac:dyDescent="0.2">
      <c r="C2298" s="61">
        <v>41432.895833333336</v>
      </c>
      <c r="D2298" s="60">
        <v>5330</v>
      </c>
      <c r="E2298" s="59" t="s">
        <v>326</v>
      </c>
    </row>
    <row r="2299" spans="3:5" ht="15" x14ac:dyDescent="0.2">
      <c r="C2299" s="61">
        <v>41432.90625</v>
      </c>
      <c r="D2299" s="60">
        <v>5440</v>
      </c>
      <c r="E2299" s="59" t="s">
        <v>319</v>
      </c>
    </row>
    <row r="2300" spans="3:5" ht="15" x14ac:dyDescent="0.2">
      <c r="C2300" s="61">
        <v>41432.916666666664</v>
      </c>
      <c r="D2300" s="60">
        <v>5550</v>
      </c>
      <c r="E2300" s="59" t="s">
        <v>312</v>
      </c>
    </row>
    <row r="2301" spans="3:5" ht="15" x14ac:dyDescent="0.2">
      <c r="C2301" s="61">
        <v>41432.927083333336</v>
      </c>
      <c r="D2301" s="60">
        <v>5560</v>
      </c>
      <c r="E2301" s="59" t="s">
        <v>311</v>
      </c>
    </row>
    <row r="2302" spans="3:5" ht="15" x14ac:dyDescent="0.2">
      <c r="C2302" s="61">
        <v>41432.9375</v>
      </c>
      <c r="D2302" s="60">
        <v>5560</v>
      </c>
      <c r="E2302" s="59" t="s">
        <v>311</v>
      </c>
    </row>
    <row r="2303" spans="3:5" ht="15" x14ac:dyDescent="0.2">
      <c r="C2303" s="61">
        <v>41432.947916666664</v>
      </c>
      <c r="D2303" s="60">
        <v>5560</v>
      </c>
      <c r="E2303" s="59" t="s">
        <v>311</v>
      </c>
    </row>
    <row r="2304" spans="3:5" ht="15" x14ac:dyDescent="0.2">
      <c r="C2304" s="61">
        <v>41432.958333333336</v>
      </c>
      <c r="D2304" s="60">
        <v>5580</v>
      </c>
      <c r="E2304" s="59" t="s">
        <v>310</v>
      </c>
    </row>
    <row r="2305" spans="3:5" ht="15" x14ac:dyDescent="0.2">
      <c r="C2305" s="61">
        <v>41432.96875</v>
      </c>
      <c r="D2305" s="60">
        <v>5580</v>
      </c>
      <c r="E2305" s="59" t="s">
        <v>310</v>
      </c>
    </row>
    <row r="2306" spans="3:5" ht="15" x14ac:dyDescent="0.2">
      <c r="C2306" s="61">
        <v>41432.979166666664</v>
      </c>
      <c r="D2306" s="60">
        <v>5590</v>
      </c>
      <c r="E2306" s="59" t="s">
        <v>309</v>
      </c>
    </row>
    <row r="2307" spans="3:5" ht="15" x14ac:dyDescent="0.2">
      <c r="C2307" s="61">
        <v>41432.989583333336</v>
      </c>
      <c r="D2307" s="60">
        <v>5590</v>
      </c>
      <c r="E2307" s="59" t="s">
        <v>309</v>
      </c>
    </row>
    <row r="2308" spans="3:5" ht="15" x14ac:dyDescent="0.2">
      <c r="C2308" s="61">
        <v>41433</v>
      </c>
      <c r="D2308" s="60">
        <v>5580</v>
      </c>
      <c r="E2308" s="59" t="s">
        <v>310</v>
      </c>
    </row>
    <row r="2309" spans="3:5" ht="15" x14ac:dyDescent="0.2">
      <c r="C2309" s="61">
        <v>41433.010416666664</v>
      </c>
      <c r="D2309" s="60">
        <v>5590</v>
      </c>
      <c r="E2309" s="59" t="s">
        <v>309</v>
      </c>
    </row>
    <row r="2310" spans="3:5" ht="15" x14ac:dyDescent="0.2">
      <c r="C2310" s="61">
        <v>41433.020833333336</v>
      </c>
      <c r="D2310" s="60">
        <v>5590</v>
      </c>
      <c r="E2310" s="59" t="s">
        <v>309</v>
      </c>
    </row>
    <row r="2311" spans="3:5" ht="15" x14ac:dyDescent="0.2">
      <c r="C2311" s="61">
        <v>41433.03125</v>
      </c>
      <c r="D2311" s="60">
        <v>5610</v>
      </c>
      <c r="E2311" s="59" t="s">
        <v>308</v>
      </c>
    </row>
    <row r="2312" spans="3:5" ht="15" x14ac:dyDescent="0.2">
      <c r="C2312" s="61">
        <v>41433.041666666664</v>
      </c>
      <c r="D2312" s="60">
        <v>5620</v>
      </c>
      <c r="E2312" s="59" t="s">
        <v>307</v>
      </c>
    </row>
    <row r="2313" spans="3:5" ht="15" x14ac:dyDescent="0.2">
      <c r="C2313" s="61">
        <v>41433.052083333336</v>
      </c>
      <c r="D2313" s="60">
        <v>5620</v>
      </c>
      <c r="E2313" s="59" t="s">
        <v>307</v>
      </c>
    </row>
    <row r="2314" spans="3:5" ht="15" x14ac:dyDescent="0.2">
      <c r="C2314" s="61">
        <v>41433.0625</v>
      </c>
      <c r="D2314" s="60">
        <v>5640</v>
      </c>
      <c r="E2314" s="59" t="s">
        <v>306</v>
      </c>
    </row>
    <row r="2315" spans="3:5" ht="15" x14ac:dyDescent="0.2">
      <c r="C2315" s="61">
        <v>41433.072916666664</v>
      </c>
      <c r="D2315" s="60">
        <v>5660</v>
      </c>
      <c r="E2315" s="59" t="s">
        <v>305</v>
      </c>
    </row>
    <row r="2316" spans="3:5" ht="15" x14ac:dyDescent="0.2">
      <c r="C2316" s="61">
        <v>41433.083333333336</v>
      </c>
      <c r="D2316" s="60">
        <v>5660</v>
      </c>
      <c r="E2316" s="59" t="s">
        <v>305</v>
      </c>
    </row>
    <row r="2317" spans="3:5" ht="15" x14ac:dyDescent="0.2">
      <c r="C2317" s="61">
        <v>41433.09375</v>
      </c>
      <c r="D2317" s="60">
        <v>5660</v>
      </c>
      <c r="E2317" s="59" t="s">
        <v>305</v>
      </c>
    </row>
    <row r="2318" spans="3:5" ht="15" x14ac:dyDescent="0.2">
      <c r="C2318" s="61">
        <v>41433.104166666664</v>
      </c>
      <c r="D2318" s="60">
        <v>5660</v>
      </c>
      <c r="E2318" s="59" t="s">
        <v>305</v>
      </c>
    </row>
    <row r="2319" spans="3:5" ht="15" x14ac:dyDescent="0.2">
      <c r="C2319" s="61">
        <v>41433.114583333336</v>
      </c>
      <c r="D2319" s="60">
        <v>5670</v>
      </c>
      <c r="E2319" s="59" t="s">
        <v>304</v>
      </c>
    </row>
    <row r="2320" spans="3:5" ht="15" x14ac:dyDescent="0.2">
      <c r="C2320" s="61">
        <v>41433.125</v>
      </c>
      <c r="D2320" s="60">
        <v>5670</v>
      </c>
      <c r="E2320" s="59" t="s">
        <v>304</v>
      </c>
    </row>
    <row r="2321" spans="3:5" ht="15" x14ac:dyDescent="0.2">
      <c r="C2321" s="61">
        <v>41433.135416666664</v>
      </c>
      <c r="D2321" s="60">
        <v>5690</v>
      </c>
      <c r="E2321" s="59" t="s">
        <v>303</v>
      </c>
    </row>
    <row r="2322" spans="3:5" ht="15" x14ac:dyDescent="0.2">
      <c r="C2322" s="61">
        <v>41433.145833333336</v>
      </c>
      <c r="D2322" s="60">
        <v>5690</v>
      </c>
      <c r="E2322" s="59" t="s">
        <v>303</v>
      </c>
    </row>
    <row r="2323" spans="3:5" ht="15" x14ac:dyDescent="0.2">
      <c r="C2323" s="61">
        <v>41433.15625</v>
      </c>
      <c r="D2323" s="60">
        <v>5700</v>
      </c>
      <c r="E2323" s="59" t="s">
        <v>302</v>
      </c>
    </row>
    <row r="2324" spans="3:5" ht="15" x14ac:dyDescent="0.2">
      <c r="C2324" s="61">
        <v>41433.166666666664</v>
      </c>
      <c r="D2324" s="60">
        <v>5700</v>
      </c>
      <c r="E2324" s="59" t="s">
        <v>302</v>
      </c>
    </row>
    <row r="2325" spans="3:5" ht="15" x14ac:dyDescent="0.2">
      <c r="C2325" s="61">
        <v>41433.177083333336</v>
      </c>
      <c r="D2325" s="60">
        <v>5720</v>
      </c>
      <c r="E2325" s="59" t="s">
        <v>301</v>
      </c>
    </row>
    <row r="2326" spans="3:5" ht="15" x14ac:dyDescent="0.2">
      <c r="C2326" s="61">
        <v>41433.1875</v>
      </c>
      <c r="D2326" s="60">
        <v>5720</v>
      </c>
      <c r="E2326" s="59" t="s">
        <v>301</v>
      </c>
    </row>
    <row r="2327" spans="3:5" ht="15" x14ac:dyDescent="0.2">
      <c r="C2327" s="61">
        <v>41433.197916666664</v>
      </c>
      <c r="D2327" s="60">
        <v>5740</v>
      </c>
      <c r="E2327" s="59" t="s">
        <v>300</v>
      </c>
    </row>
    <row r="2328" spans="3:5" ht="15" x14ac:dyDescent="0.2">
      <c r="C2328" s="61">
        <v>41433.208333333336</v>
      </c>
      <c r="D2328" s="60">
        <v>5740</v>
      </c>
      <c r="E2328" s="59" t="s">
        <v>300</v>
      </c>
    </row>
    <row r="2329" spans="3:5" ht="15" x14ac:dyDescent="0.2">
      <c r="C2329" s="61">
        <v>41433.21875</v>
      </c>
      <c r="D2329" s="60">
        <v>5740</v>
      </c>
      <c r="E2329" s="59" t="s">
        <v>300</v>
      </c>
    </row>
    <row r="2330" spans="3:5" ht="15" x14ac:dyDescent="0.2">
      <c r="C2330" s="61">
        <v>41433.229166666664</v>
      </c>
      <c r="D2330" s="60">
        <v>5750</v>
      </c>
      <c r="E2330" s="59" t="s">
        <v>299</v>
      </c>
    </row>
    <row r="2331" spans="3:5" ht="15" x14ac:dyDescent="0.2">
      <c r="C2331" s="61">
        <v>41433.239583333336</v>
      </c>
      <c r="D2331" s="60">
        <v>5750</v>
      </c>
      <c r="E2331" s="59" t="s">
        <v>299</v>
      </c>
    </row>
    <row r="2332" spans="3:5" ht="15" x14ac:dyDescent="0.2">
      <c r="C2332" s="61">
        <v>41433.25</v>
      </c>
      <c r="D2332" s="60">
        <v>5750</v>
      </c>
      <c r="E2332" s="59" t="s">
        <v>299</v>
      </c>
    </row>
    <row r="2333" spans="3:5" ht="15" x14ac:dyDescent="0.2">
      <c r="C2333" s="61">
        <v>41433.260416666664</v>
      </c>
      <c r="D2333" s="60">
        <v>5770</v>
      </c>
      <c r="E2333" s="59" t="s">
        <v>298</v>
      </c>
    </row>
    <row r="2334" spans="3:5" ht="15" x14ac:dyDescent="0.2">
      <c r="C2334" s="61">
        <v>41433.270833333336</v>
      </c>
      <c r="D2334" s="60">
        <v>5770</v>
      </c>
      <c r="E2334" s="59" t="s">
        <v>298</v>
      </c>
    </row>
    <row r="2335" spans="3:5" ht="15" x14ac:dyDescent="0.2">
      <c r="C2335" s="61">
        <v>41433.28125</v>
      </c>
      <c r="D2335" s="60">
        <v>5780</v>
      </c>
      <c r="E2335" s="59" t="s">
        <v>297</v>
      </c>
    </row>
    <row r="2336" spans="3:5" ht="15" x14ac:dyDescent="0.2">
      <c r="C2336" s="61">
        <v>41433.291666666664</v>
      </c>
      <c r="D2336" s="60">
        <v>5780</v>
      </c>
      <c r="E2336" s="59" t="s">
        <v>297</v>
      </c>
    </row>
    <row r="2337" spans="3:5" ht="15" x14ac:dyDescent="0.2">
      <c r="C2337" s="61">
        <v>41433.302083333336</v>
      </c>
      <c r="D2337" s="60">
        <v>5800</v>
      </c>
      <c r="E2337" s="59" t="s">
        <v>296</v>
      </c>
    </row>
    <row r="2338" spans="3:5" ht="15" x14ac:dyDescent="0.2">
      <c r="C2338" s="61">
        <v>41433.3125</v>
      </c>
      <c r="D2338" s="60">
        <v>5800</v>
      </c>
      <c r="E2338" s="59" t="s">
        <v>296</v>
      </c>
    </row>
    <row r="2339" spans="3:5" ht="15" x14ac:dyDescent="0.2">
      <c r="C2339" s="61">
        <v>41433.322916666664</v>
      </c>
      <c r="D2339" s="60">
        <v>5810</v>
      </c>
      <c r="E2339" s="59" t="s">
        <v>295</v>
      </c>
    </row>
    <row r="2340" spans="3:5" ht="15" x14ac:dyDescent="0.2">
      <c r="C2340" s="61">
        <v>41433.333333333336</v>
      </c>
      <c r="D2340" s="60">
        <v>5830</v>
      </c>
      <c r="E2340" s="59" t="s">
        <v>294</v>
      </c>
    </row>
    <row r="2341" spans="3:5" ht="15" x14ac:dyDescent="0.2">
      <c r="C2341" s="61">
        <v>41433.34375</v>
      </c>
      <c r="D2341" s="60">
        <v>5830</v>
      </c>
      <c r="E2341" s="59" t="s">
        <v>294</v>
      </c>
    </row>
    <row r="2342" spans="3:5" ht="15" x14ac:dyDescent="0.2">
      <c r="C2342" s="61">
        <v>41433.354166666664</v>
      </c>
      <c r="D2342" s="60">
        <v>5850</v>
      </c>
      <c r="E2342" s="59" t="s">
        <v>293</v>
      </c>
    </row>
    <row r="2343" spans="3:5" ht="15" x14ac:dyDescent="0.2">
      <c r="C2343" s="61">
        <v>41433.364583333336</v>
      </c>
      <c r="D2343" s="60">
        <v>5850</v>
      </c>
      <c r="E2343" s="59" t="s">
        <v>293</v>
      </c>
    </row>
    <row r="2344" spans="3:5" ht="15" x14ac:dyDescent="0.2">
      <c r="C2344" s="61">
        <v>41433.375</v>
      </c>
      <c r="D2344" s="60">
        <v>5860</v>
      </c>
      <c r="E2344" s="59" t="s">
        <v>292</v>
      </c>
    </row>
    <row r="2345" spans="3:5" ht="15" x14ac:dyDescent="0.2">
      <c r="C2345" s="61">
        <v>41433.385416666664</v>
      </c>
      <c r="D2345" s="60">
        <v>5860</v>
      </c>
      <c r="E2345" s="59" t="s">
        <v>292</v>
      </c>
    </row>
    <row r="2346" spans="3:5" ht="15" x14ac:dyDescent="0.2">
      <c r="C2346" s="61">
        <v>41433.395833333336</v>
      </c>
      <c r="D2346" s="60">
        <v>5880</v>
      </c>
      <c r="E2346" s="59" t="s">
        <v>291</v>
      </c>
    </row>
    <row r="2347" spans="3:5" ht="15" x14ac:dyDescent="0.2">
      <c r="C2347" s="61">
        <v>41433.40625</v>
      </c>
      <c r="D2347" s="60">
        <v>5890</v>
      </c>
      <c r="E2347" s="59" t="s">
        <v>290</v>
      </c>
    </row>
    <row r="2348" spans="3:5" ht="15" x14ac:dyDescent="0.2">
      <c r="C2348" s="61">
        <v>41433.416666666664</v>
      </c>
      <c r="D2348" s="60">
        <v>5890</v>
      </c>
      <c r="E2348" s="59" t="s">
        <v>290</v>
      </c>
    </row>
    <row r="2349" spans="3:5" ht="15" x14ac:dyDescent="0.2">
      <c r="C2349" s="61">
        <v>41433.427083333336</v>
      </c>
      <c r="D2349" s="60">
        <v>5890</v>
      </c>
      <c r="E2349" s="59" t="s">
        <v>290</v>
      </c>
    </row>
    <row r="2350" spans="3:5" ht="15" x14ac:dyDescent="0.2">
      <c r="C2350" s="61">
        <v>41433.4375</v>
      </c>
      <c r="D2350" s="60">
        <v>5910</v>
      </c>
      <c r="E2350" s="59" t="s">
        <v>289</v>
      </c>
    </row>
    <row r="2351" spans="3:5" ht="15" x14ac:dyDescent="0.2">
      <c r="C2351" s="61">
        <v>41433.447916666664</v>
      </c>
      <c r="D2351" s="60">
        <v>5910</v>
      </c>
      <c r="E2351" s="59" t="s">
        <v>289</v>
      </c>
    </row>
    <row r="2352" spans="3:5" ht="15" x14ac:dyDescent="0.2">
      <c r="C2352" s="61">
        <v>41433.458333333336</v>
      </c>
      <c r="D2352" s="60">
        <v>5930</v>
      </c>
      <c r="E2352" s="59" t="s">
        <v>288</v>
      </c>
    </row>
    <row r="2353" spans="3:5" ht="15" x14ac:dyDescent="0.2">
      <c r="C2353" s="61">
        <v>41433.46875</v>
      </c>
      <c r="D2353" s="60">
        <v>5940</v>
      </c>
      <c r="E2353" s="59" t="s">
        <v>287</v>
      </c>
    </row>
    <row r="2354" spans="3:5" ht="15" x14ac:dyDescent="0.2">
      <c r="C2354" s="61">
        <v>41433.479166666664</v>
      </c>
      <c r="D2354" s="60">
        <v>5940</v>
      </c>
      <c r="E2354" s="59" t="s">
        <v>287</v>
      </c>
    </row>
    <row r="2355" spans="3:5" ht="15" x14ac:dyDescent="0.2">
      <c r="C2355" s="61">
        <v>41433.489583333336</v>
      </c>
      <c r="D2355" s="60">
        <v>5960</v>
      </c>
      <c r="E2355" s="59" t="s">
        <v>286</v>
      </c>
    </row>
    <row r="2356" spans="3:5" ht="15" x14ac:dyDescent="0.2">
      <c r="C2356" s="61">
        <v>41433.5</v>
      </c>
      <c r="D2356" s="60">
        <v>5960</v>
      </c>
      <c r="E2356" s="59" t="s">
        <v>286</v>
      </c>
    </row>
    <row r="2357" spans="3:5" ht="15" x14ac:dyDescent="0.2">
      <c r="C2357" s="61">
        <v>41433.510416666664</v>
      </c>
      <c r="D2357" s="60">
        <v>5970</v>
      </c>
      <c r="E2357" s="59" t="s">
        <v>285</v>
      </c>
    </row>
    <row r="2358" spans="3:5" ht="15" x14ac:dyDescent="0.2">
      <c r="C2358" s="61">
        <v>41433.520833333336</v>
      </c>
      <c r="D2358" s="60">
        <v>5970</v>
      </c>
      <c r="E2358" s="59" t="s">
        <v>285</v>
      </c>
    </row>
    <row r="2359" spans="3:5" ht="15" x14ac:dyDescent="0.2">
      <c r="C2359" s="61">
        <v>41433.53125</v>
      </c>
      <c r="D2359" s="60">
        <v>5970</v>
      </c>
      <c r="E2359" s="59" t="s">
        <v>285</v>
      </c>
    </row>
    <row r="2360" spans="3:5" ht="15" x14ac:dyDescent="0.2">
      <c r="C2360" s="61">
        <v>41433.541666666664</v>
      </c>
      <c r="D2360" s="60">
        <v>5970</v>
      </c>
      <c r="E2360" s="59" t="s">
        <v>285</v>
      </c>
    </row>
    <row r="2361" spans="3:5" ht="15" x14ac:dyDescent="0.2">
      <c r="C2361" s="61">
        <v>41433.552083333336</v>
      </c>
      <c r="D2361" s="60">
        <v>5970</v>
      </c>
      <c r="E2361" s="59" t="s">
        <v>285</v>
      </c>
    </row>
    <row r="2362" spans="3:5" ht="15" x14ac:dyDescent="0.2">
      <c r="C2362" s="61">
        <v>41433.5625</v>
      </c>
      <c r="D2362" s="60">
        <v>5990</v>
      </c>
      <c r="E2362" s="59" t="s">
        <v>284</v>
      </c>
    </row>
    <row r="2363" spans="3:5" ht="15" x14ac:dyDescent="0.2">
      <c r="C2363" s="61">
        <v>41433.572916666664</v>
      </c>
      <c r="D2363" s="60">
        <v>5990</v>
      </c>
      <c r="E2363" s="59" t="s">
        <v>284</v>
      </c>
    </row>
    <row r="2364" spans="3:5" ht="15" x14ac:dyDescent="0.2">
      <c r="C2364" s="61">
        <v>41433.583333333336</v>
      </c>
      <c r="D2364" s="60">
        <v>5990</v>
      </c>
      <c r="E2364" s="59" t="s">
        <v>284</v>
      </c>
    </row>
    <row r="2365" spans="3:5" ht="15" x14ac:dyDescent="0.2">
      <c r="C2365" s="61">
        <v>41433.59375</v>
      </c>
      <c r="D2365" s="60">
        <v>6010</v>
      </c>
      <c r="E2365" s="59" t="s">
        <v>283</v>
      </c>
    </row>
    <row r="2366" spans="3:5" ht="15" x14ac:dyDescent="0.2">
      <c r="C2366" s="61">
        <v>41433.604166666664</v>
      </c>
      <c r="D2366" s="60">
        <v>6020</v>
      </c>
      <c r="E2366" s="59" t="s">
        <v>282</v>
      </c>
    </row>
    <row r="2367" spans="3:5" ht="15" x14ac:dyDescent="0.2">
      <c r="C2367" s="61">
        <v>41433.614583333336</v>
      </c>
      <c r="D2367" s="60">
        <v>6020</v>
      </c>
      <c r="E2367" s="59" t="s">
        <v>282</v>
      </c>
    </row>
    <row r="2368" spans="3:5" ht="15" x14ac:dyDescent="0.2">
      <c r="C2368" s="61">
        <v>41433.625</v>
      </c>
      <c r="D2368" s="60">
        <v>6020</v>
      </c>
      <c r="E2368" s="59" t="s">
        <v>282</v>
      </c>
    </row>
    <row r="2369" spans="3:5" ht="15" x14ac:dyDescent="0.2">
      <c r="C2369" s="61">
        <v>41433.635416666664</v>
      </c>
      <c r="D2369" s="60">
        <v>6020</v>
      </c>
      <c r="E2369" s="59" t="s">
        <v>282</v>
      </c>
    </row>
    <row r="2370" spans="3:5" ht="15" x14ac:dyDescent="0.2">
      <c r="C2370" s="61">
        <v>41433.645833333336</v>
      </c>
      <c r="D2370" s="60">
        <v>6020</v>
      </c>
      <c r="E2370" s="59" t="s">
        <v>282</v>
      </c>
    </row>
    <row r="2371" spans="3:5" ht="15" x14ac:dyDescent="0.2">
      <c r="C2371" s="61">
        <v>41433.65625</v>
      </c>
      <c r="D2371" s="60">
        <v>6020</v>
      </c>
      <c r="E2371" s="59" t="s">
        <v>282</v>
      </c>
    </row>
    <row r="2372" spans="3:5" ht="15" x14ac:dyDescent="0.2">
      <c r="C2372" s="61">
        <v>41433.666666666664</v>
      </c>
      <c r="D2372" s="60">
        <v>6020</v>
      </c>
      <c r="E2372" s="59" t="s">
        <v>282</v>
      </c>
    </row>
    <row r="2373" spans="3:5" ht="15" x14ac:dyDescent="0.2">
      <c r="C2373" s="61">
        <v>41433.677083333336</v>
      </c>
      <c r="D2373" s="60">
        <v>6020</v>
      </c>
      <c r="E2373" s="59" t="s">
        <v>282</v>
      </c>
    </row>
    <row r="2374" spans="3:5" ht="15" x14ac:dyDescent="0.2">
      <c r="C2374" s="61">
        <v>41433.6875</v>
      </c>
      <c r="D2374" s="60">
        <v>6020</v>
      </c>
      <c r="E2374" s="59" t="s">
        <v>282</v>
      </c>
    </row>
    <row r="2375" spans="3:5" ht="15" x14ac:dyDescent="0.2">
      <c r="C2375" s="61">
        <v>41433.697916666664</v>
      </c>
      <c r="D2375" s="60">
        <v>6020</v>
      </c>
      <c r="E2375" s="59" t="s">
        <v>282</v>
      </c>
    </row>
    <row r="2376" spans="3:5" ht="15" x14ac:dyDescent="0.2">
      <c r="C2376" s="61">
        <v>41433.708333333336</v>
      </c>
      <c r="D2376" s="60">
        <v>6020</v>
      </c>
      <c r="E2376" s="59" t="s">
        <v>282</v>
      </c>
    </row>
    <row r="2377" spans="3:5" ht="15" x14ac:dyDescent="0.2">
      <c r="C2377" s="61">
        <v>41433.71875</v>
      </c>
      <c r="D2377" s="60">
        <v>6020</v>
      </c>
      <c r="E2377" s="59" t="s">
        <v>282</v>
      </c>
    </row>
    <row r="2378" spans="3:5" ht="15" x14ac:dyDescent="0.2">
      <c r="C2378" s="61">
        <v>41433.729166666664</v>
      </c>
      <c r="D2378" s="60">
        <v>6010</v>
      </c>
      <c r="E2378" s="59" t="s">
        <v>283</v>
      </c>
    </row>
    <row r="2379" spans="3:5" ht="15" x14ac:dyDescent="0.2">
      <c r="C2379" s="61">
        <v>41433.739583333336</v>
      </c>
      <c r="D2379" s="60">
        <v>6010</v>
      </c>
      <c r="E2379" s="59" t="s">
        <v>283</v>
      </c>
    </row>
    <row r="2380" spans="3:5" ht="15" x14ac:dyDescent="0.2">
      <c r="C2380" s="61">
        <v>41433.75</v>
      </c>
      <c r="D2380" s="60">
        <v>6010</v>
      </c>
      <c r="E2380" s="59" t="s">
        <v>283</v>
      </c>
    </row>
    <row r="2381" spans="3:5" ht="15" x14ac:dyDescent="0.2">
      <c r="C2381" s="61">
        <v>41433.760416666664</v>
      </c>
      <c r="D2381" s="60">
        <v>6010</v>
      </c>
      <c r="E2381" s="59" t="s">
        <v>283</v>
      </c>
    </row>
    <row r="2382" spans="3:5" ht="15" x14ac:dyDescent="0.2">
      <c r="C2382" s="61">
        <v>41433.770833333336</v>
      </c>
      <c r="D2382" s="60">
        <v>6010</v>
      </c>
      <c r="E2382" s="59" t="s">
        <v>283</v>
      </c>
    </row>
    <row r="2383" spans="3:5" ht="15" x14ac:dyDescent="0.2">
      <c r="C2383" s="61">
        <v>41433.78125</v>
      </c>
      <c r="D2383" s="60">
        <v>5990</v>
      </c>
      <c r="E2383" s="59" t="s">
        <v>284</v>
      </c>
    </row>
    <row r="2384" spans="3:5" ht="15" x14ac:dyDescent="0.2">
      <c r="C2384" s="61">
        <v>41433.791666666664</v>
      </c>
      <c r="D2384" s="60">
        <v>5990</v>
      </c>
      <c r="E2384" s="59" t="s">
        <v>284</v>
      </c>
    </row>
    <row r="2385" spans="3:5" ht="15" x14ac:dyDescent="0.2">
      <c r="C2385" s="61">
        <v>41433.802083333336</v>
      </c>
      <c r="D2385" s="60">
        <v>5990</v>
      </c>
      <c r="E2385" s="59" t="s">
        <v>284</v>
      </c>
    </row>
    <row r="2386" spans="3:5" ht="15" x14ac:dyDescent="0.2">
      <c r="C2386" s="61">
        <v>41433.8125</v>
      </c>
      <c r="D2386" s="60">
        <v>5990</v>
      </c>
      <c r="E2386" s="59" t="s">
        <v>284</v>
      </c>
    </row>
    <row r="2387" spans="3:5" ht="15" x14ac:dyDescent="0.2">
      <c r="C2387" s="61">
        <v>41433.822916666664</v>
      </c>
      <c r="D2387" s="60">
        <v>5990</v>
      </c>
      <c r="E2387" s="59" t="s">
        <v>284</v>
      </c>
    </row>
    <row r="2388" spans="3:5" ht="15" x14ac:dyDescent="0.2">
      <c r="C2388" s="61">
        <v>41433.833333333336</v>
      </c>
      <c r="D2388" s="60">
        <v>5990</v>
      </c>
      <c r="E2388" s="59" t="s">
        <v>284</v>
      </c>
    </row>
    <row r="2389" spans="3:5" ht="15" x14ac:dyDescent="0.2">
      <c r="C2389" s="61">
        <v>41433.84375</v>
      </c>
      <c r="D2389" s="60">
        <v>5970</v>
      </c>
      <c r="E2389" s="59" t="s">
        <v>285</v>
      </c>
    </row>
    <row r="2390" spans="3:5" ht="15" x14ac:dyDescent="0.2">
      <c r="C2390" s="61">
        <v>41433.854166666664</v>
      </c>
      <c r="D2390" s="60">
        <v>5970</v>
      </c>
      <c r="E2390" s="59" t="s">
        <v>285</v>
      </c>
    </row>
    <row r="2391" spans="3:5" ht="15" x14ac:dyDescent="0.2">
      <c r="C2391" s="61">
        <v>41433.864583333336</v>
      </c>
      <c r="D2391" s="60">
        <v>5970</v>
      </c>
      <c r="E2391" s="59" t="s">
        <v>285</v>
      </c>
    </row>
    <row r="2392" spans="3:5" ht="15" x14ac:dyDescent="0.2">
      <c r="C2392" s="61">
        <v>41433.875</v>
      </c>
      <c r="D2392" s="60">
        <v>5970</v>
      </c>
      <c r="E2392" s="59" t="s">
        <v>285</v>
      </c>
    </row>
    <row r="2393" spans="3:5" ht="15" x14ac:dyDescent="0.2">
      <c r="C2393" s="61">
        <v>41433.885416666664</v>
      </c>
      <c r="D2393" s="60">
        <v>5960</v>
      </c>
      <c r="E2393" s="59" t="s">
        <v>286</v>
      </c>
    </row>
    <row r="2394" spans="3:5" ht="15" x14ac:dyDescent="0.2">
      <c r="C2394" s="61">
        <v>41433.895833333336</v>
      </c>
      <c r="D2394" s="60">
        <v>5960</v>
      </c>
      <c r="E2394" s="59" t="s">
        <v>286</v>
      </c>
    </row>
    <row r="2395" spans="3:5" ht="15" x14ac:dyDescent="0.2">
      <c r="C2395" s="61">
        <v>41433.90625</v>
      </c>
      <c r="D2395" s="60">
        <v>5960</v>
      </c>
      <c r="E2395" s="59" t="s">
        <v>286</v>
      </c>
    </row>
    <row r="2396" spans="3:5" ht="15" x14ac:dyDescent="0.2">
      <c r="C2396" s="61">
        <v>41433.916666666664</v>
      </c>
      <c r="D2396" s="60">
        <v>5960</v>
      </c>
      <c r="E2396" s="59" t="s">
        <v>286</v>
      </c>
    </row>
    <row r="2397" spans="3:5" ht="15" x14ac:dyDescent="0.2">
      <c r="C2397" s="61">
        <v>41433.927083333336</v>
      </c>
      <c r="D2397" s="60">
        <v>5940</v>
      </c>
      <c r="E2397" s="59" t="s">
        <v>287</v>
      </c>
    </row>
    <row r="2398" spans="3:5" ht="15" x14ac:dyDescent="0.2">
      <c r="C2398" s="61">
        <v>41433.9375</v>
      </c>
      <c r="D2398" s="60">
        <v>5940</v>
      </c>
      <c r="E2398" s="59" t="s">
        <v>287</v>
      </c>
    </row>
    <row r="2399" spans="3:5" ht="15" x14ac:dyDescent="0.2">
      <c r="C2399" s="61">
        <v>41433.947916666664</v>
      </c>
      <c r="D2399" s="60">
        <v>5940</v>
      </c>
      <c r="E2399" s="59" t="s">
        <v>287</v>
      </c>
    </row>
    <row r="2400" spans="3:5" ht="15" x14ac:dyDescent="0.2">
      <c r="C2400" s="61">
        <v>41433.958333333336</v>
      </c>
      <c r="D2400" s="60">
        <v>5930</v>
      </c>
      <c r="E2400" s="59" t="s">
        <v>288</v>
      </c>
    </row>
    <row r="2401" spans="3:5" ht="15" x14ac:dyDescent="0.2">
      <c r="C2401" s="61">
        <v>41433.96875</v>
      </c>
      <c r="D2401" s="60">
        <v>5930</v>
      </c>
      <c r="E2401" s="59" t="s">
        <v>288</v>
      </c>
    </row>
    <row r="2402" spans="3:5" ht="15" x14ac:dyDescent="0.2">
      <c r="C2402" s="61">
        <v>41433.979166666664</v>
      </c>
      <c r="D2402" s="60">
        <v>5930</v>
      </c>
      <c r="E2402" s="59" t="s">
        <v>288</v>
      </c>
    </row>
    <row r="2403" spans="3:5" ht="15" x14ac:dyDescent="0.2">
      <c r="C2403" s="61">
        <v>41433.989583333336</v>
      </c>
      <c r="D2403" s="60">
        <v>5910</v>
      </c>
      <c r="E2403" s="59" t="s">
        <v>289</v>
      </c>
    </row>
    <row r="2404" spans="3:5" ht="15" x14ac:dyDescent="0.2">
      <c r="C2404" s="61">
        <v>41434</v>
      </c>
      <c r="D2404" s="60">
        <v>5910</v>
      </c>
      <c r="E2404" s="59" t="s">
        <v>289</v>
      </c>
    </row>
    <row r="2405" spans="3:5" ht="15" x14ac:dyDescent="0.2">
      <c r="C2405" s="61">
        <v>41434.010416666664</v>
      </c>
      <c r="D2405" s="60">
        <v>5910</v>
      </c>
      <c r="E2405" s="59" t="s">
        <v>289</v>
      </c>
    </row>
    <row r="2406" spans="3:5" ht="15" x14ac:dyDescent="0.2">
      <c r="C2406" s="61">
        <v>41434.020833333336</v>
      </c>
      <c r="D2406" s="60">
        <v>5910</v>
      </c>
      <c r="E2406" s="59" t="s">
        <v>289</v>
      </c>
    </row>
    <row r="2407" spans="3:5" ht="15" x14ac:dyDescent="0.2">
      <c r="C2407" s="61">
        <v>41434.03125</v>
      </c>
      <c r="D2407" s="60">
        <v>5890</v>
      </c>
      <c r="E2407" s="59" t="s">
        <v>290</v>
      </c>
    </row>
    <row r="2408" spans="3:5" ht="15" x14ac:dyDescent="0.2">
      <c r="C2408" s="61">
        <v>41434.041666666664</v>
      </c>
      <c r="D2408" s="60">
        <v>5890</v>
      </c>
      <c r="E2408" s="59" t="s">
        <v>290</v>
      </c>
    </row>
    <row r="2409" spans="3:5" ht="15" x14ac:dyDescent="0.2">
      <c r="C2409" s="61">
        <v>41434.052083333336</v>
      </c>
      <c r="D2409" s="60">
        <v>5890</v>
      </c>
      <c r="E2409" s="59" t="s">
        <v>290</v>
      </c>
    </row>
    <row r="2410" spans="3:5" ht="15" x14ac:dyDescent="0.2">
      <c r="C2410" s="61">
        <v>41434.0625</v>
      </c>
      <c r="D2410" s="60">
        <v>5890</v>
      </c>
      <c r="E2410" s="59" t="s">
        <v>290</v>
      </c>
    </row>
    <row r="2411" spans="3:5" ht="15" x14ac:dyDescent="0.2">
      <c r="C2411" s="61">
        <v>41434.072916666664</v>
      </c>
      <c r="D2411" s="60">
        <v>5880</v>
      </c>
      <c r="E2411" s="59" t="s">
        <v>291</v>
      </c>
    </row>
    <row r="2412" spans="3:5" ht="15" x14ac:dyDescent="0.2">
      <c r="C2412" s="61">
        <v>41434.083333333336</v>
      </c>
      <c r="D2412" s="60">
        <v>5880</v>
      </c>
      <c r="E2412" s="59" t="s">
        <v>291</v>
      </c>
    </row>
    <row r="2413" spans="3:5" ht="15" x14ac:dyDescent="0.2">
      <c r="C2413" s="61">
        <v>41434.09375</v>
      </c>
      <c r="D2413" s="60">
        <v>5880</v>
      </c>
      <c r="E2413" s="59" t="s">
        <v>291</v>
      </c>
    </row>
    <row r="2414" spans="3:5" ht="15" x14ac:dyDescent="0.2">
      <c r="C2414" s="61">
        <v>41434.104166666664</v>
      </c>
      <c r="D2414" s="60">
        <v>5860</v>
      </c>
      <c r="E2414" s="59" t="s">
        <v>292</v>
      </c>
    </row>
    <row r="2415" spans="3:5" ht="15" x14ac:dyDescent="0.2">
      <c r="C2415" s="61">
        <v>41434.114583333336</v>
      </c>
      <c r="D2415" s="60">
        <v>5860</v>
      </c>
      <c r="E2415" s="59" t="s">
        <v>292</v>
      </c>
    </row>
    <row r="2416" spans="3:5" ht="15" x14ac:dyDescent="0.2">
      <c r="C2416" s="61">
        <v>41434.125</v>
      </c>
      <c r="D2416" s="60">
        <v>5860</v>
      </c>
      <c r="E2416" s="59" t="s">
        <v>292</v>
      </c>
    </row>
    <row r="2417" spans="3:5" ht="15" x14ac:dyDescent="0.2">
      <c r="C2417" s="61">
        <v>41434.135416666664</v>
      </c>
      <c r="D2417" s="60">
        <v>5860</v>
      </c>
      <c r="E2417" s="59" t="s">
        <v>292</v>
      </c>
    </row>
    <row r="2418" spans="3:5" ht="15" x14ac:dyDescent="0.2">
      <c r="C2418" s="61">
        <v>41434.145833333336</v>
      </c>
      <c r="D2418" s="60">
        <v>5850</v>
      </c>
      <c r="E2418" s="59" t="s">
        <v>293</v>
      </c>
    </row>
    <row r="2419" spans="3:5" ht="15" x14ac:dyDescent="0.2">
      <c r="C2419" s="61">
        <v>41434.15625</v>
      </c>
      <c r="D2419" s="60">
        <v>5850</v>
      </c>
      <c r="E2419" s="59" t="s">
        <v>293</v>
      </c>
    </row>
    <row r="2420" spans="3:5" ht="15" x14ac:dyDescent="0.2">
      <c r="C2420" s="61">
        <v>41434.166666666664</v>
      </c>
      <c r="D2420" s="60">
        <v>5850</v>
      </c>
      <c r="E2420" s="59" t="s">
        <v>293</v>
      </c>
    </row>
    <row r="2421" spans="3:5" ht="15" x14ac:dyDescent="0.2">
      <c r="C2421" s="61">
        <v>41434.177083333336</v>
      </c>
      <c r="D2421" s="60">
        <v>5850</v>
      </c>
      <c r="E2421" s="59" t="s">
        <v>293</v>
      </c>
    </row>
    <row r="2422" spans="3:5" ht="15" x14ac:dyDescent="0.2">
      <c r="C2422" s="61">
        <v>41434.1875</v>
      </c>
      <c r="D2422" s="60">
        <v>5850</v>
      </c>
      <c r="E2422" s="59" t="s">
        <v>293</v>
      </c>
    </row>
    <row r="2423" spans="3:5" ht="15" x14ac:dyDescent="0.2">
      <c r="C2423" s="61">
        <v>41434.197916666664</v>
      </c>
      <c r="D2423" s="60">
        <v>5830</v>
      </c>
      <c r="E2423" s="59" t="s">
        <v>294</v>
      </c>
    </row>
    <row r="2424" spans="3:5" ht="15" x14ac:dyDescent="0.2">
      <c r="C2424" s="61">
        <v>41434.208333333336</v>
      </c>
      <c r="D2424" s="60">
        <v>5830</v>
      </c>
      <c r="E2424" s="59" t="s">
        <v>294</v>
      </c>
    </row>
    <row r="2425" spans="3:5" ht="15" x14ac:dyDescent="0.2">
      <c r="C2425" s="61">
        <v>41434.21875</v>
      </c>
      <c r="D2425" s="60">
        <v>5830</v>
      </c>
      <c r="E2425" s="59" t="s">
        <v>294</v>
      </c>
    </row>
    <row r="2426" spans="3:5" ht="15" x14ac:dyDescent="0.2">
      <c r="C2426" s="61">
        <v>41434.229166666664</v>
      </c>
      <c r="D2426" s="60">
        <v>5810</v>
      </c>
      <c r="E2426" s="59" t="s">
        <v>295</v>
      </c>
    </row>
    <row r="2427" spans="3:5" ht="15" x14ac:dyDescent="0.2">
      <c r="C2427" s="61">
        <v>41434.239583333336</v>
      </c>
      <c r="D2427" s="60">
        <v>5810</v>
      </c>
      <c r="E2427" s="59" t="s">
        <v>295</v>
      </c>
    </row>
    <row r="2428" spans="3:5" ht="15" x14ac:dyDescent="0.2">
      <c r="C2428" s="61">
        <v>41434.25</v>
      </c>
      <c r="D2428" s="60">
        <v>5810</v>
      </c>
      <c r="E2428" s="59" t="s">
        <v>295</v>
      </c>
    </row>
    <row r="2429" spans="3:5" ht="15" x14ac:dyDescent="0.2">
      <c r="C2429" s="61">
        <v>41434.260416666664</v>
      </c>
      <c r="D2429" s="60">
        <v>5810</v>
      </c>
      <c r="E2429" s="59" t="s">
        <v>295</v>
      </c>
    </row>
    <row r="2430" spans="3:5" ht="15" x14ac:dyDescent="0.2">
      <c r="C2430" s="61">
        <v>41434.270833333336</v>
      </c>
      <c r="D2430" s="60">
        <v>5810</v>
      </c>
      <c r="E2430" s="59" t="s">
        <v>295</v>
      </c>
    </row>
    <row r="2431" spans="3:5" ht="15" x14ac:dyDescent="0.2">
      <c r="C2431" s="61">
        <v>41434.28125</v>
      </c>
      <c r="D2431" s="60">
        <v>5810</v>
      </c>
      <c r="E2431" s="59" t="s">
        <v>295</v>
      </c>
    </row>
    <row r="2432" spans="3:5" ht="15" x14ac:dyDescent="0.2">
      <c r="C2432" s="61">
        <v>41434.291666666664</v>
      </c>
      <c r="D2432" s="60">
        <v>5810</v>
      </c>
      <c r="E2432" s="59" t="s">
        <v>295</v>
      </c>
    </row>
    <row r="2433" spans="3:5" ht="15" x14ac:dyDescent="0.2">
      <c r="C2433" s="61">
        <v>41434.302083333336</v>
      </c>
      <c r="D2433" s="60">
        <v>5810</v>
      </c>
      <c r="E2433" s="59" t="s">
        <v>295</v>
      </c>
    </row>
    <row r="2434" spans="3:5" ht="15" x14ac:dyDescent="0.2">
      <c r="C2434" s="61">
        <v>41434.3125</v>
      </c>
      <c r="D2434" s="60">
        <v>5810</v>
      </c>
      <c r="E2434" s="59" t="s">
        <v>295</v>
      </c>
    </row>
    <row r="2435" spans="3:5" ht="15" x14ac:dyDescent="0.2">
      <c r="C2435" s="61">
        <v>41434.322916666664</v>
      </c>
      <c r="D2435" s="60">
        <v>5810</v>
      </c>
      <c r="E2435" s="59" t="s">
        <v>295</v>
      </c>
    </row>
    <row r="2436" spans="3:5" ht="15" x14ac:dyDescent="0.2">
      <c r="C2436" s="61">
        <v>41434.333333333336</v>
      </c>
      <c r="D2436" s="60">
        <v>5810</v>
      </c>
      <c r="E2436" s="59" t="s">
        <v>295</v>
      </c>
    </row>
    <row r="2437" spans="3:5" ht="15" x14ac:dyDescent="0.2">
      <c r="C2437" s="61">
        <v>41434.34375</v>
      </c>
      <c r="D2437" s="60">
        <v>5810</v>
      </c>
      <c r="E2437" s="59" t="s">
        <v>295</v>
      </c>
    </row>
    <row r="2438" spans="3:5" ht="15" x14ac:dyDescent="0.2">
      <c r="C2438" s="61">
        <v>41434.354166666664</v>
      </c>
      <c r="D2438" s="60">
        <v>5810</v>
      </c>
      <c r="E2438" s="59" t="s">
        <v>295</v>
      </c>
    </row>
    <row r="2439" spans="3:5" ht="15" x14ac:dyDescent="0.2">
      <c r="C2439" s="61">
        <v>41434.364583333336</v>
      </c>
      <c r="D2439" s="60">
        <v>5810</v>
      </c>
      <c r="E2439" s="59" t="s">
        <v>295</v>
      </c>
    </row>
    <row r="2440" spans="3:5" ht="15" x14ac:dyDescent="0.2">
      <c r="C2440" s="61">
        <v>41434.375</v>
      </c>
      <c r="D2440" s="60">
        <v>5800</v>
      </c>
      <c r="E2440" s="59" t="s">
        <v>296</v>
      </c>
    </row>
    <row r="2441" spans="3:5" ht="15" x14ac:dyDescent="0.2">
      <c r="C2441" s="61">
        <v>41434.385416666664</v>
      </c>
      <c r="D2441" s="60">
        <v>5800</v>
      </c>
      <c r="E2441" s="59" t="s">
        <v>296</v>
      </c>
    </row>
    <row r="2442" spans="3:5" ht="15" x14ac:dyDescent="0.2">
      <c r="C2442" s="61">
        <v>41434.395833333336</v>
      </c>
      <c r="D2442" s="60">
        <v>5800</v>
      </c>
      <c r="E2442" s="59" t="s">
        <v>296</v>
      </c>
    </row>
    <row r="2443" spans="3:5" ht="15" x14ac:dyDescent="0.2">
      <c r="C2443" s="61">
        <v>41434.40625</v>
      </c>
      <c r="D2443" s="60">
        <v>5800</v>
      </c>
      <c r="E2443" s="59" t="s">
        <v>296</v>
      </c>
    </row>
    <row r="2444" spans="3:5" ht="15" x14ac:dyDescent="0.2">
      <c r="C2444" s="61">
        <v>41434.416666666664</v>
      </c>
      <c r="D2444" s="60">
        <v>5800</v>
      </c>
      <c r="E2444" s="59" t="s">
        <v>296</v>
      </c>
    </row>
    <row r="2445" spans="3:5" ht="15" x14ac:dyDescent="0.2">
      <c r="C2445" s="61">
        <v>41434.427083333336</v>
      </c>
      <c r="D2445" s="60">
        <v>5800</v>
      </c>
      <c r="E2445" s="59" t="s">
        <v>296</v>
      </c>
    </row>
    <row r="2446" spans="3:5" ht="15" x14ac:dyDescent="0.2">
      <c r="C2446" s="61">
        <v>41434.4375</v>
      </c>
      <c r="D2446" s="60">
        <v>5800</v>
      </c>
      <c r="E2446" s="59" t="s">
        <v>296</v>
      </c>
    </row>
    <row r="2447" spans="3:5" ht="15" x14ac:dyDescent="0.2">
      <c r="C2447" s="61">
        <v>41434.447916666664</v>
      </c>
      <c r="D2447" s="60">
        <v>5800</v>
      </c>
      <c r="E2447" s="59" t="s">
        <v>296</v>
      </c>
    </row>
    <row r="2448" spans="3:5" ht="15" x14ac:dyDescent="0.2">
      <c r="C2448" s="61">
        <v>41434.458333333336</v>
      </c>
      <c r="D2448" s="60">
        <v>5800</v>
      </c>
      <c r="E2448" s="59" t="s">
        <v>296</v>
      </c>
    </row>
    <row r="2449" spans="3:5" ht="15" x14ac:dyDescent="0.2">
      <c r="C2449" s="61">
        <v>41434.46875</v>
      </c>
      <c r="D2449" s="60">
        <v>5800</v>
      </c>
      <c r="E2449" s="59" t="s">
        <v>296</v>
      </c>
    </row>
    <row r="2450" spans="3:5" ht="15" x14ac:dyDescent="0.2">
      <c r="C2450" s="61">
        <v>41434.479166666664</v>
      </c>
      <c r="D2450" s="60">
        <v>5800</v>
      </c>
      <c r="E2450" s="59" t="s">
        <v>296</v>
      </c>
    </row>
    <row r="2451" spans="3:5" ht="15" x14ac:dyDescent="0.2">
      <c r="C2451" s="61">
        <v>41434.489583333336</v>
      </c>
      <c r="D2451" s="60">
        <v>5800</v>
      </c>
      <c r="E2451" s="59" t="s">
        <v>296</v>
      </c>
    </row>
    <row r="2452" spans="3:5" ht="15" x14ac:dyDescent="0.2">
      <c r="C2452" s="61">
        <v>41434.5</v>
      </c>
      <c r="D2452" s="60">
        <v>5800</v>
      </c>
      <c r="E2452" s="59" t="s">
        <v>296</v>
      </c>
    </row>
    <row r="2453" spans="3:5" ht="15" x14ac:dyDescent="0.2">
      <c r="C2453" s="61">
        <v>41434.510416666664</v>
      </c>
      <c r="D2453" s="60">
        <v>5800</v>
      </c>
      <c r="E2453" s="59" t="s">
        <v>296</v>
      </c>
    </row>
    <row r="2454" spans="3:5" ht="15" x14ac:dyDescent="0.2">
      <c r="C2454" s="61">
        <v>41434.520833333336</v>
      </c>
      <c r="D2454" s="60">
        <v>5800</v>
      </c>
      <c r="E2454" s="59" t="s">
        <v>296</v>
      </c>
    </row>
    <row r="2455" spans="3:5" ht="15" x14ac:dyDescent="0.2">
      <c r="C2455" s="61">
        <v>41434.53125</v>
      </c>
      <c r="D2455" s="60">
        <v>5800</v>
      </c>
      <c r="E2455" s="59" t="s">
        <v>296</v>
      </c>
    </row>
    <row r="2456" spans="3:5" ht="15" x14ac:dyDescent="0.2">
      <c r="C2456" s="61">
        <v>41434.541666666664</v>
      </c>
      <c r="D2456" s="60">
        <v>5800</v>
      </c>
      <c r="E2456" s="59" t="s">
        <v>296</v>
      </c>
    </row>
    <row r="2457" spans="3:5" ht="15" x14ac:dyDescent="0.2">
      <c r="C2457" s="61">
        <v>41434.552083333336</v>
      </c>
      <c r="D2457" s="60">
        <v>5800</v>
      </c>
      <c r="E2457" s="59" t="s">
        <v>296</v>
      </c>
    </row>
    <row r="2458" spans="3:5" ht="15" x14ac:dyDescent="0.2">
      <c r="C2458" s="61">
        <v>41434.5625</v>
      </c>
      <c r="D2458" s="60">
        <v>5780</v>
      </c>
      <c r="E2458" s="59" t="s">
        <v>297</v>
      </c>
    </row>
    <row r="2459" spans="3:5" ht="15" x14ac:dyDescent="0.2">
      <c r="C2459" s="61">
        <v>41434.572916666664</v>
      </c>
      <c r="D2459" s="60">
        <v>5780</v>
      </c>
      <c r="E2459" s="59" t="s">
        <v>297</v>
      </c>
    </row>
    <row r="2460" spans="3:5" ht="15" x14ac:dyDescent="0.2">
      <c r="C2460" s="61">
        <v>41434.583333333336</v>
      </c>
      <c r="D2460" s="60">
        <v>5780</v>
      </c>
      <c r="E2460" s="59" t="s">
        <v>297</v>
      </c>
    </row>
    <row r="2461" spans="3:5" ht="15" x14ac:dyDescent="0.2">
      <c r="C2461" s="61">
        <v>41434.59375</v>
      </c>
      <c r="D2461" s="60">
        <v>5770</v>
      </c>
      <c r="E2461" s="59" t="s">
        <v>298</v>
      </c>
    </row>
    <row r="2462" spans="3:5" ht="15" x14ac:dyDescent="0.2">
      <c r="C2462" s="61">
        <v>41434.604166666664</v>
      </c>
      <c r="D2462" s="60">
        <v>5770</v>
      </c>
      <c r="E2462" s="59" t="s">
        <v>298</v>
      </c>
    </row>
    <row r="2463" spans="3:5" ht="15" x14ac:dyDescent="0.2">
      <c r="C2463" s="61">
        <v>41434.614583333336</v>
      </c>
      <c r="D2463" s="60">
        <v>5750</v>
      </c>
      <c r="E2463" s="59" t="s">
        <v>299</v>
      </c>
    </row>
    <row r="2464" spans="3:5" ht="15" x14ac:dyDescent="0.2">
      <c r="C2464" s="61">
        <v>41434.625</v>
      </c>
      <c r="D2464" s="60">
        <v>5750</v>
      </c>
      <c r="E2464" s="59" t="s">
        <v>299</v>
      </c>
    </row>
    <row r="2465" spans="3:5" ht="15" x14ac:dyDescent="0.2">
      <c r="C2465" s="61">
        <v>41434.635416666664</v>
      </c>
      <c r="D2465" s="60">
        <v>5750</v>
      </c>
      <c r="E2465" s="59" t="s">
        <v>299</v>
      </c>
    </row>
    <row r="2466" spans="3:5" ht="15" x14ac:dyDescent="0.2">
      <c r="C2466" s="61">
        <v>41434.645833333336</v>
      </c>
      <c r="D2466" s="60">
        <v>5750</v>
      </c>
      <c r="E2466" s="59" t="s">
        <v>299</v>
      </c>
    </row>
    <row r="2467" spans="3:5" ht="15" x14ac:dyDescent="0.2">
      <c r="C2467" s="61">
        <v>41434.65625</v>
      </c>
      <c r="D2467" s="60">
        <v>5750</v>
      </c>
      <c r="E2467" s="59" t="s">
        <v>299</v>
      </c>
    </row>
    <row r="2468" spans="3:5" ht="15" x14ac:dyDescent="0.2">
      <c r="C2468" s="61">
        <v>41434.666666666664</v>
      </c>
      <c r="D2468" s="60">
        <v>5740</v>
      </c>
      <c r="E2468" s="59" t="s">
        <v>300</v>
      </c>
    </row>
    <row r="2469" spans="3:5" ht="15" x14ac:dyDescent="0.2">
      <c r="C2469" s="61">
        <v>41434.677083333336</v>
      </c>
      <c r="D2469" s="60">
        <v>5740</v>
      </c>
      <c r="E2469" s="59" t="s">
        <v>300</v>
      </c>
    </row>
    <row r="2470" spans="3:5" ht="15" x14ac:dyDescent="0.2">
      <c r="C2470" s="61">
        <v>41434.6875</v>
      </c>
      <c r="D2470" s="60">
        <v>5740</v>
      </c>
      <c r="E2470" s="59" t="s">
        <v>300</v>
      </c>
    </row>
    <row r="2471" spans="3:5" ht="15" x14ac:dyDescent="0.2">
      <c r="C2471" s="61">
        <v>41434.697916666664</v>
      </c>
      <c r="D2471" s="60">
        <v>5720</v>
      </c>
      <c r="E2471" s="59" t="s">
        <v>301</v>
      </c>
    </row>
    <row r="2472" spans="3:5" ht="15" x14ac:dyDescent="0.2">
      <c r="C2472" s="61">
        <v>41434.708333333336</v>
      </c>
      <c r="D2472" s="60">
        <v>5720</v>
      </c>
      <c r="E2472" s="59" t="s">
        <v>301</v>
      </c>
    </row>
    <row r="2473" spans="3:5" ht="15" x14ac:dyDescent="0.2">
      <c r="C2473" s="61">
        <v>41434.71875</v>
      </c>
      <c r="D2473" s="60">
        <v>5700</v>
      </c>
      <c r="E2473" s="59" t="s">
        <v>302</v>
      </c>
    </row>
    <row r="2474" spans="3:5" ht="15" x14ac:dyDescent="0.2">
      <c r="C2474" s="61">
        <v>41434.729166666664</v>
      </c>
      <c r="D2474" s="60">
        <v>5700</v>
      </c>
      <c r="E2474" s="59" t="s">
        <v>302</v>
      </c>
    </row>
    <row r="2475" spans="3:5" ht="15" x14ac:dyDescent="0.2">
      <c r="C2475" s="61">
        <v>41434.739583333336</v>
      </c>
      <c r="D2475" s="60">
        <v>5690</v>
      </c>
      <c r="E2475" s="59" t="s">
        <v>303</v>
      </c>
    </row>
    <row r="2476" spans="3:5" ht="15" x14ac:dyDescent="0.2">
      <c r="C2476" s="61">
        <v>41434.75</v>
      </c>
      <c r="D2476" s="60">
        <v>5690</v>
      </c>
      <c r="E2476" s="59" t="s">
        <v>303</v>
      </c>
    </row>
    <row r="2477" spans="3:5" ht="15" x14ac:dyDescent="0.2">
      <c r="C2477" s="61">
        <v>41434.760416666664</v>
      </c>
      <c r="D2477" s="60">
        <v>5670</v>
      </c>
      <c r="E2477" s="59" t="s">
        <v>304</v>
      </c>
    </row>
    <row r="2478" spans="3:5" ht="15" x14ac:dyDescent="0.2">
      <c r="C2478" s="61">
        <v>41434.770833333336</v>
      </c>
      <c r="D2478" s="60">
        <v>5670</v>
      </c>
      <c r="E2478" s="59" t="s">
        <v>304</v>
      </c>
    </row>
    <row r="2479" spans="3:5" ht="15" x14ac:dyDescent="0.2">
      <c r="C2479" s="61">
        <v>41434.78125</v>
      </c>
      <c r="D2479" s="60">
        <v>5660</v>
      </c>
      <c r="E2479" s="59" t="s">
        <v>305</v>
      </c>
    </row>
    <row r="2480" spans="3:5" ht="15" x14ac:dyDescent="0.2">
      <c r="C2480" s="61">
        <v>41434.791666666664</v>
      </c>
      <c r="D2480" s="60">
        <v>5660</v>
      </c>
      <c r="E2480" s="59" t="s">
        <v>305</v>
      </c>
    </row>
    <row r="2481" spans="3:5" ht="15" x14ac:dyDescent="0.2">
      <c r="C2481" s="61">
        <v>41434.802083333336</v>
      </c>
      <c r="D2481" s="60">
        <v>5660</v>
      </c>
      <c r="E2481" s="59" t="s">
        <v>305</v>
      </c>
    </row>
    <row r="2482" spans="3:5" ht="15" x14ac:dyDescent="0.2">
      <c r="C2482" s="61">
        <v>41434.8125</v>
      </c>
      <c r="D2482" s="60">
        <v>5640</v>
      </c>
      <c r="E2482" s="59" t="s">
        <v>306</v>
      </c>
    </row>
    <row r="2483" spans="3:5" ht="15" x14ac:dyDescent="0.2">
      <c r="C2483" s="61">
        <v>41434.822916666664</v>
      </c>
      <c r="D2483" s="60">
        <v>5640</v>
      </c>
      <c r="E2483" s="59" t="s">
        <v>306</v>
      </c>
    </row>
    <row r="2484" spans="3:5" ht="15" x14ac:dyDescent="0.2">
      <c r="C2484" s="61">
        <v>41434.833333333336</v>
      </c>
      <c r="D2484" s="60">
        <v>5620</v>
      </c>
      <c r="E2484" s="59" t="s">
        <v>307</v>
      </c>
    </row>
    <row r="2485" spans="3:5" ht="15" x14ac:dyDescent="0.2">
      <c r="C2485" s="61">
        <v>41434.84375</v>
      </c>
      <c r="D2485" s="60">
        <v>5620</v>
      </c>
      <c r="E2485" s="59" t="s">
        <v>307</v>
      </c>
    </row>
    <row r="2486" spans="3:5" ht="15" x14ac:dyDescent="0.2">
      <c r="C2486" s="61">
        <v>41434.854166666664</v>
      </c>
      <c r="D2486" s="60">
        <v>5610</v>
      </c>
      <c r="E2486" s="59" t="s">
        <v>308</v>
      </c>
    </row>
    <row r="2487" spans="3:5" ht="15" x14ac:dyDescent="0.2">
      <c r="C2487" s="61">
        <v>41434.864583333336</v>
      </c>
      <c r="D2487" s="60">
        <v>5610</v>
      </c>
      <c r="E2487" s="59" t="s">
        <v>308</v>
      </c>
    </row>
    <row r="2488" spans="3:5" ht="15" x14ac:dyDescent="0.2">
      <c r="C2488" s="61">
        <v>41434.875</v>
      </c>
      <c r="D2488" s="60">
        <v>5590</v>
      </c>
      <c r="E2488" s="59" t="s">
        <v>309</v>
      </c>
    </row>
    <row r="2489" spans="3:5" ht="15" x14ac:dyDescent="0.2">
      <c r="C2489" s="61">
        <v>41434.885416666664</v>
      </c>
      <c r="D2489" s="60">
        <v>5590</v>
      </c>
      <c r="E2489" s="59" t="s">
        <v>309</v>
      </c>
    </row>
    <row r="2490" spans="3:5" ht="15" x14ac:dyDescent="0.2">
      <c r="C2490" s="61">
        <v>41434.895833333336</v>
      </c>
      <c r="D2490" s="60">
        <v>5580</v>
      </c>
      <c r="E2490" s="59" t="s">
        <v>310</v>
      </c>
    </row>
    <row r="2491" spans="3:5" ht="15" x14ac:dyDescent="0.2">
      <c r="C2491" s="61">
        <v>41434.90625</v>
      </c>
      <c r="D2491" s="60">
        <v>5580</v>
      </c>
      <c r="E2491" s="59" t="s">
        <v>310</v>
      </c>
    </row>
    <row r="2492" spans="3:5" ht="15" x14ac:dyDescent="0.2">
      <c r="C2492" s="61">
        <v>41434.916666666664</v>
      </c>
      <c r="D2492" s="60">
        <v>5560</v>
      </c>
      <c r="E2492" s="59" t="s">
        <v>311</v>
      </c>
    </row>
    <row r="2493" spans="3:5" ht="15" x14ac:dyDescent="0.2">
      <c r="C2493" s="61">
        <v>41434.927083333336</v>
      </c>
      <c r="D2493" s="60">
        <v>5560</v>
      </c>
      <c r="E2493" s="59" t="s">
        <v>311</v>
      </c>
    </row>
    <row r="2494" spans="3:5" ht="15" x14ac:dyDescent="0.2">
      <c r="C2494" s="61">
        <v>41434.9375</v>
      </c>
      <c r="D2494" s="60">
        <v>5550</v>
      </c>
      <c r="E2494" s="59" t="s">
        <v>312</v>
      </c>
    </row>
    <row r="2495" spans="3:5" ht="15" x14ac:dyDescent="0.2">
      <c r="C2495" s="61">
        <v>41434.947916666664</v>
      </c>
      <c r="D2495" s="60">
        <v>5550</v>
      </c>
      <c r="E2495" s="59" t="s">
        <v>312</v>
      </c>
    </row>
    <row r="2496" spans="3:5" ht="15" x14ac:dyDescent="0.2">
      <c r="C2496" s="61">
        <v>41434.958333333336</v>
      </c>
      <c r="D2496" s="60">
        <v>5530</v>
      </c>
      <c r="E2496" s="59" t="s">
        <v>313</v>
      </c>
    </row>
    <row r="2497" spans="3:5" ht="15" x14ac:dyDescent="0.2">
      <c r="C2497" s="61">
        <v>41434.96875</v>
      </c>
      <c r="D2497" s="60">
        <v>5530</v>
      </c>
      <c r="E2497" s="59" t="s">
        <v>313</v>
      </c>
    </row>
    <row r="2498" spans="3:5" ht="15" x14ac:dyDescent="0.2">
      <c r="C2498" s="61">
        <v>41434.979166666664</v>
      </c>
      <c r="D2498" s="60">
        <v>5530</v>
      </c>
      <c r="E2498" s="59" t="s">
        <v>313</v>
      </c>
    </row>
    <row r="2499" spans="3:5" ht="15" x14ac:dyDescent="0.2">
      <c r="C2499" s="61">
        <v>41434.989583333336</v>
      </c>
      <c r="D2499" s="60">
        <v>5510</v>
      </c>
      <c r="E2499" s="59" t="s">
        <v>314</v>
      </c>
    </row>
    <row r="2500" spans="3:5" ht="15" x14ac:dyDescent="0.2">
      <c r="C2500" s="61">
        <v>41435</v>
      </c>
      <c r="D2500" s="60">
        <v>5510</v>
      </c>
      <c r="E2500" s="59" t="s">
        <v>314</v>
      </c>
    </row>
    <row r="2501" spans="3:5" ht="15" x14ac:dyDescent="0.2">
      <c r="C2501" s="61">
        <v>41435.010416666664</v>
      </c>
      <c r="D2501" s="60">
        <v>5500</v>
      </c>
      <c r="E2501" s="59" t="s">
        <v>315</v>
      </c>
    </row>
    <row r="2502" spans="3:5" ht="15" x14ac:dyDescent="0.2">
      <c r="C2502" s="61">
        <v>41435.020833333336</v>
      </c>
      <c r="D2502" s="60">
        <v>5500</v>
      </c>
      <c r="E2502" s="59" t="s">
        <v>315</v>
      </c>
    </row>
    <row r="2503" spans="3:5" ht="15" x14ac:dyDescent="0.2">
      <c r="C2503" s="61">
        <v>41435.03125</v>
      </c>
      <c r="D2503" s="60">
        <v>5500</v>
      </c>
      <c r="E2503" s="59" t="s">
        <v>315</v>
      </c>
    </row>
    <row r="2504" spans="3:5" ht="15" x14ac:dyDescent="0.2">
      <c r="C2504" s="61">
        <v>41435.041666666664</v>
      </c>
      <c r="D2504" s="60">
        <v>5480</v>
      </c>
      <c r="E2504" s="59" t="s">
        <v>316</v>
      </c>
    </row>
    <row r="2505" spans="3:5" ht="15" x14ac:dyDescent="0.2">
      <c r="C2505" s="61">
        <v>41435.052083333336</v>
      </c>
      <c r="D2505" s="60">
        <v>5480</v>
      </c>
      <c r="E2505" s="59" t="s">
        <v>316</v>
      </c>
    </row>
    <row r="2506" spans="3:5" ht="15" x14ac:dyDescent="0.2">
      <c r="C2506" s="61">
        <v>41435.0625</v>
      </c>
      <c r="D2506" s="60">
        <v>5480</v>
      </c>
      <c r="E2506" s="59" t="s">
        <v>316</v>
      </c>
    </row>
    <row r="2507" spans="3:5" ht="15" x14ac:dyDescent="0.2">
      <c r="C2507" s="61">
        <v>41435.072916666664</v>
      </c>
      <c r="D2507" s="60">
        <v>5480</v>
      </c>
      <c r="E2507" s="59" t="s">
        <v>316</v>
      </c>
    </row>
    <row r="2508" spans="3:5" ht="15" x14ac:dyDescent="0.2">
      <c r="C2508" s="61">
        <v>41435.083333333336</v>
      </c>
      <c r="D2508" s="60">
        <v>5480</v>
      </c>
      <c r="E2508" s="59" t="s">
        <v>316</v>
      </c>
    </row>
    <row r="2509" spans="3:5" ht="15" x14ac:dyDescent="0.2">
      <c r="C2509" s="61">
        <v>41435.09375</v>
      </c>
      <c r="D2509" s="60">
        <v>5480</v>
      </c>
      <c r="E2509" s="59" t="s">
        <v>316</v>
      </c>
    </row>
    <row r="2510" spans="3:5" ht="15" x14ac:dyDescent="0.2">
      <c r="C2510" s="61">
        <v>41435.104166666664</v>
      </c>
      <c r="D2510" s="60">
        <v>5480</v>
      </c>
      <c r="E2510" s="59" t="s">
        <v>316</v>
      </c>
    </row>
    <row r="2511" spans="3:5" ht="15" x14ac:dyDescent="0.2">
      <c r="C2511" s="61">
        <v>41435.114583333336</v>
      </c>
      <c r="D2511" s="60">
        <v>5480</v>
      </c>
      <c r="E2511" s="59" t="s">
        <v>316</v>
      </c>
    </row>
    <row r="2512" spans="3:5" ht="15" x14ac:dyDescent="0.2">
      <c r="C2512" s="61">
        <v>41435.125</v>
      </c>
      <c r="D2512" s="60">
        <v>5480</v>
      </c>
      <c r="E2512" s="59" t="s">
        <v>316</v>
      </c>
    </row>
    <row r="2513" spans="3:5" ht="15" x14ac:dyDescent="0.2">
      <c r="C2513" s="61">
        <v>41435.135416666664</v>
      </c>
      <c r="D2513" s="60">
        <v>5470</v>
      </c>
      <c r="E2513" s="59" t="s">
        <v>317</v>
      </c>
    </row>
    <row r="2514" spans="3:5" ht="15" x14ac:dyDescent="0.2">
      <c r="C2514" s="61">
        <v>41435.145833333336</v>
      </c>
      <c r="D2514" s="60">
        <v>5470</v>
      </c>
      <c r="E2514" s="59" t="s">
        <v>317</v>
      </c>
    </row>
    <row r="2515" spans="3:5" ht="15" x14ac:dyDescent="0.2">
      <c r="C2515" s="61">
        <v>41435.15625</v>
      </c>
      <c r="D2515" s="60">
        <v>5470</v>
      </c>
      <c r="E2515" s="59" t="s">
        <v>317</v>
      </c>
    </row>
    <row r="2516" spans="3:5" ht="15" x14ac:dyDescent="0.2">
      <c r="C2516" s="61">
        <v>41435.166666666664</v>
      </c>
      <c r="D2516" s="60">
        <v>5470</v>
      </c>
      <c r="E2516" s="59" t="s">
        <v>317</v>
      </c>
    </row>
    <row r="2517" spans="3:5" ht="15" x14ac:dyDescent="0.2">
      <c r="C2517" s="61">
        <v>41435.177083333336</v>
      </c>
      <c r="D2517" s="60">
        <v>5450</v>
      </c>
      <c r="E2517" s="59" t="s">
        <v>318</v>
      </c>
    </row>
    <row r="2518" spans="3:5" ht="15" x14ac:dyDescent="0.2">
      <c r="C2518" s="61">
        <v>41435.1875</v>
      </c>
      <c r="D2518" s="60">
        <v>5450</v>
      </c>
      <c r="E2518" s="59" t="s">
        <v>318</v>
      </c>
    </row>
    <row r="2519" spans="3:5" ht="15" x14ac:dyDescent="0.2">
      <c r="C2519" s="61">
        <v>41435.197916666664</v>
      </c>
      <c r="D2519" s="60">
        <v>5440</v>
      </c>
      <c r="E2519" s="59" t="s">
        <v>319</v>
      </c>
    </row>
    <row r="2520" spans="3:5" ht="15" x14ac:dyDescent="0.2">
      <c r="C2520" s="61">
        <v>41435.208333333336</v>
      </c>
      <c r="D2520" s="60">
        <v>5440</v>
      </c>
      <c r="E2520" s="59" t="s">
        <v>319</v>
      </c>
    </row>
    <row r="2521" spans="3:5" ht="15" x14ac:dyDescent="0.2">
      <c r="C2521" s="61">
        <v>41435.21875</v>
      </c>
      <c r="D2521" s="60">
        <v>5420</v>
      </c>
      <c r="E2521" s="59" t="s">
        <v>320</v>
      </c>
    </row>
    <row r="2522" spans="3:5" ht="15" x14ac:dyDescent="0.2">
      <c r="C2522" s="61">
        <v>41435.229166666664</v>
      </c>
      <c r="D2522" s="60">
        <v>5410</v>
      </c>
      <c r="E2522" s="59" t="s">
        <v>321</v>
      </c>
    </row>
    <row r="2523" spans="3:5" ht="15" x14ac:dyDescent="0.2">
      <c r="C2523" s="61">
        <v>41435.239583333336</v>
      </c>
      <c r="D2523" s="60">
        <v>5410</v>
      </c>
      <c r="E2523" s="59" t="s">
        <v>321</v>
      </c>
    </row>
    <row r="2524" spans="3:5" ht="15" x14ac:dyDescent="0.2">
      <c r="C2524" s="61">
        <v>41435.25</v>
      </c>
      <c r="D2524" s="60">
        <v>5390</v>
      </c>
      <c r="E2524" s="59" t="s">
        <v>322</v>
      </c>
    </row>
    <row r="2525" spans="3:5" ht="15" x14ac:dyDescent="0.2">
      <c r="C2525" s="61">
        <v>41435.260416666664</v>
      </c>
      <c r="D2525" s="60">
        <v>5390</v>
      </c>
      <c r="E2525" s="59" t="s">
        <v>322</v>
      </c>
    </row>
    <row r="2526" spans="3:5" ht="15" x14ac:dyDescent="0.2">
      <c r="C2526" s="61">
        <v>41435.270833333336</v>
      </c>
      <c r="D2526" s="60">
        <v>5390</v>
      </c>
      <c r="E2526" s="59" t="s">
        <v>322</v>
      </c>
    </row>
    <row r="2527" spans="3:5" ht="15" x14ac:dyDescent="0.2">
      <c r="C2527" s="61">
        <v>41435.28125</v>
      </c>
      <c r="D2527" s="60">
        <v>5370</v>
      </c>
      <c r="E2527" s="59" t="s">
        <v>323</v>
      </c>
    </row>
    <row r="2528" spans="3:5" ht="15" x14ac:dyDescent="0.2">
      <c r="C2528" s="61">
        <v>41435.291666666664</v>
      </c>
      <c r="D2528" s="60">
        <v>5370</v>
      </c>
      <c r="E2528" s="59" t="s">
        <v>323</v>
      </c>
    </row>
    <row r="2529" spans="3:5" ht="15" x14ac:dyDescent="0.2">
      <c r="C2529" s="61">
        <v>41435.302083333336</v>
      </c>
      <c r="D2529" s="60">
        <v>5370</v>
      </c>
      <c r="E2529" s="59" t="s">
        <v>323</v>
      </c>
    </row>
    <row r="2530" spans="3:5" ht="15" x14ac:dyDescent="0.2">
      <c r="C2530" s="61">
        <v>41435.3125</v>
      </c>
      <c r="D2530" s="60">
        <v>5370</v>
      </c>
      <c r="E2530" s="59" t="s">
        <v>323</v>
      </c>
    </row>
    <row r="2531" spans="3:5" ht="15" x14ac:dyDescent="0.2">
      <c r="C2531" s="61">
        <v>41435.322916666664</v>
      </c>
      <c r="D2531" s="60">
        <v>5360</v>
      </c>
      <c r="E2531" s="59" t="s">
        <v>324</v>
      </c>
    </row>
    <row r="2532" spans="3:5" ht="15" x14ac:dyDescent="0.2">
      <c r="C2532" s="61">
        <v>41435.333333333336</v>
      </c>
      <c r="D2532" s="60">
        <v>5360</v>
      </c>
      <c r="E2532" s="59" t="s">
        <v>324</v>
      </c>
    </row>
    <row r="2533" spans="3:5" ht="15" x14ac:dyDescent="0.2">
      <c r="C2533" s="61">
        <v>41435.34375</v>
      </c>
      <c r="D2533" s="60">
        <v>5360</v>
      </c>
      <c r="E2533" s="59" t="s">
        <v>324</v>
      </c>
    </row>
    <row r="2534" spans="3:5" ht="15" x14ac:dyDescent="0.2">
      <c r="C2534" s="61">
        <v>41435.354166666664</v>
      </c>
      <c r="D2534" s="60">
        <v>5360</v>
      </c>
      <c r="E2534" s="59" t="s">
        <v>324</v>
      </c>
    </row>
    <row r="2535" spans="3:5" ht="15" x14ac:dyDescent="0.2">
      <c r="C2535" s="61">
        <v>41435.364583333336</v>
      </c>
      <c r="D2535" s="60">
        <v>5360</v>
      </c>
      <c r="E2535" s="59" t="s">
        <v>324</v>
      </c>
    </row>
    <row r="2536" spans="3:5" ht="15" x14ac:dyDescent="0.2">
      <c r="C2536" s="61">
        <v>41435.375</v>
      </c>
      <c r="D2536" s="60">
        <v>5360</v>
      </c>
      <c r="E2536" s="59" t="s">
        <v>324</v>
      </c>
    </row>
    <row r="2537" spans="3:5" ht="15" x14ac:dyDescent="0.2">
      <c r="C2537" s="61">
        <v>41435.385416666664</v>
      </c>
      <c r="D2537" s="60">
        <v>5360</v>
      </c>
      <c r="E2537" s="59" t="s">
        <v>324</v>
      </c>
    </row>
    <row r="2538" spans="3:5" ht="15" x14ac:dyDescent="0.2">
      <c r="C2538" s="61">
        <v>41435.395833333336</v>
      </c>
      <c r="D2538" s="60">
        <v>5360</v>
      </c>
      <c r="E2538" s="59" t="s">
        <v>324</v>
      </c>
    </row>
    <row r="2539" spans="3:5" ht="15" x14ac:dyDescent="0.2">
      <c r="C2539" s="61">
        <v>41435.40625</v>
      </c>
      <c r="D2539" s="60">
        <v>5360</v>
      </c>
      <c r="E2539" s="59" t="s">
        <v>324</v>
      </c>
    </row>
    <row r="2540" spans="3:5" ht="15" x14ac:dyDescent="0.2">
      <c r="C2540" s="61">
        <v>41435.416666666664</v>
      </c>
      <c r="D2540" s="60">
        <v>5340</v>
      </c>
      <c r="E2540" s="59" t="s">
        <v>325</v>
      </c>
    </row>
    <row r="2541" spans="3:5" ht="15" x14ac:dyDescent="0.2">
      <c r="C2541" s="61">
        <v>41435.427083333336</v>
      </c>
      <c r="D2541" s="60">
        <v>5340</v>
      </c>
      <c r="E2541" s="59" t="s">
        <v>325</v>
      </c>
    </row>
    <row r="2542" spans="3:5" ht="15" x14ac:dyDescent="0.2">
      <c r="C2542" s="61">
        <v>41435.4375</v>
      </c>
      <c r="D2542" s="60">
        <v>5340</v>
      </c>
      <c r="E2542" s="59" t="s">
        <v>325</v>
      </c>
    </row>
    <row r="2543" spans="3:5" ht="15" x14ac:dyDescent="0.2">
      <c r="C2543" s="61">
        <v>41435.447916666664</v>
      </c>
      <c r="D2543" s="60">
        <v>5340</v>
      </c>
      <c r="E2543" s="59" t="s">
        <v>325</v>
      </c>
    </row>
    <row r="2544" spans="3:5" ht="15" x14ac:dyDescent="0.2">
      <c r="C2544" s="61">
        <v>41435.458333333336</v>
      </c>
      <c r="D2544" s="60">
        <v>5340</v>
      </c>
      <c r="E2544" s="59" t="s">
        <v>325</v>
      </c>
    </row>
    <row r="2545" spans="3:5" ht="15" x14ac:dyDescent="0.2">
      <c r="C2545" s="61">
        <v>41435.46875</v>
      </c>
      <c r="D2545" s="60">
        <v>5340</v>
      </c>
      <c r="E2545" s="59" t="s">
        <v>325</v>
      </c>
    </row>
    <row r="2546" spans="3:5" ht="15" x14ac:dyDescent="0.2">
      <c r="C2546" s="61">
        <v>41435.479166666664</v>
      </c>
      <c r="D2546" s="60">
        <v>5340</v>
      </c>
      <c r="E2546" s="59" t="s">
        <v>325</v>
      </c>
    </row>
    <row r="2547" spans="3:5" ht="15" x14ac:dyDescent="0.2">
      <c r="C2547" s="61">
        <v>41435.489583333336</v>
      </c>
      <c r="D2547" s="60">
        <v>5340</v>
      </c>
      <c r="E2547" s="59" t="s">
        <v>325</v>
      </c>
    </row>
    <row r="2548" spans="3:5" ht="15" x14ac:dyDescent="0.2">
      <c r="C2548" s="61">
        <v>41435.5</v>
      </c>
      <c r="D2548" s="60">
        <v>5340</v>
      </c>
      <c r="E2548" s="59" t="s">
        <v>325</v>
      </c>
    </row>
    <row r="2549" spans="3:5" ht="15" x14ac:dyDescent="0.2">
      <c r="C2549" s="61">
        <v>41435.510416666664</v>
      </c>
      <c r="D2549" s="60">
        <v>5340</v>
      </c>
      <c r="E2549" s="59" t="s">
        <v>325</v>
      </c>
    </row>
    <row r="2550" spans="3:5" ht="15" x14ac:dyDescent="0.2">
      <c r="C2550" s="61">
        <v>41435.520833333336</v>
      </c>
      <c r="D2550" s="60">
        <v>5340</v>
      </c>
      <c r="E2550" s="59" t="s">
        <v>325</v>
      </c>
    </row>
    <row r="2551" spans="3:5" ht="15" x14ac:dyDescent="0.2">
      <c r="C2551" s="61">
        <v>41435.53125</v>
      </c>
      <c r="D2551" s="60">
        <v>5340</v>
      </c>
      <c r="E2551" s="59" t="s">
        <v>325</v>
      </c>
    </row>
    <row r="2552" spans="3:5" ht="15" x14ac:dyDescent="0.2">
      <c r="C2552" s="61">
        <v>41435.541666666664</v>
      </c>
      <c r="D2552" s="60">
        <v>5340</v>
      </c>
      <c r="E2552" s="59" t="s">
        <v>325</v>
      </c>
    </row>
    <row r="2553" spans="3:5" ht="15" x14ac:dyDescent="0.2">
      <c r="C2553" s="61">
        <v>41435.552083333336</v>
      </c>
      <c r="D2553" s="60">
        <v>5340</v>
      </c>
      <c r="E2553" s="59" t="s">
        <v>325</v>
      </c>
    </row>
    <row r="2554" spans="3:5" ht="15" x14ac:dyDescent="0.2">
      <c r="C2554" s="61">
        <v>41435.5625</v>
      </c>
      <c r="D2554" s="60">
        <v>5340</v>
      </c>
      <c r="E2554" s="59" t="s">
        <v>325</v>
      </c>
    </row>
    <row r="2555" spans="3:5" ht="15" x14ac:dyDescent="0.2">
      <c r="C2555" s="61">
        <v>41435.572916666664</v>
      </c>
      <c r="D2555" s="60">
        <v>5340</v>
      </c>
      <c r="E2555" s="59" t="s">
        <v>325</v>
      </c>
    </row>
    <row r="2556" spans="3:5" ht="15" x14ac:dyDescent="0.2">
      <c r="C2556" s="61">
        <v>41435.583333333336</v>
      </c>
      <c r="D2556" s="60">
        <v>5340</v>
      </c>
      <c r="E2556" s="59" t="s">
        <v>325</v>
      </c>
    </row>
    <row r="2557" spans="3:5" ht="15" x14ac:dyDescent="0.2">
      <c r="C2557" s="61">
        <v>41435.59375</v>
      </c>
      <c r="D2557" s="60">
        <v>5340</v>
      </c>
      <c r="E2557" s="59" t="s">
        <v>325</v>
      </c>
    </row>
    <row r="2558" spans="3:5" ht="15" x14ac:dyDescent="0.2">
      <c r="C2558" s="61">
        <v>41435.604166666664</v>
      </c>
      <c r="D2558" s="60">
        <v>5340</v>
      </c>
      <c r="E2558" s="59" t="s">
        <v>325</v>
      </c>
    </row>
    <row r="2559" spans="3:5" ht="15" x14ac:dyDescent="0.2">
      <c r="C2559" s="61">
        <v>41435.614583333336</v>
      </c>
      <c r="D2559" s="60">
        <v>5330</v>
      </c>
      <c r="E2559" s="59" t="s">
        <v>326</v>
      </c>
    </row>
    <row r="2560" spans="3:5" ht="15" x14ac:dyDescent="0.2">
      <c r="C2560" s="61">
        <v>41435.625</v>
      </c>
      <c r="D2560" s="60">
        <v>5330</v>
      </c>
      <c r="E2560" s="59" t="s">
        <v>326</v>
      </c>
    </row>
    <row r="2561" spans="3:5" ht="15" x14ac:dyDescent="0.2">
      <c r="C2561" s="61">
        <v>41435.635416666664</v>
      </c>
      <c r="D2561" s="60">
        <v>5310</v>
      </c>
      <c r="E2561" s="59" t="s">
        <v>327</v>
      </c>
    </row>
    <row r="2562" spans="3:5" ht="15" x14ac:dyDescent="0.2">
      <c r="C2562" s="61">
        <v>41435.645833333336</v>
      </c>
      <c r="D2562" s="60">
        <v>5310</v>
      </c>
      <c r="E2562" s="59" t="s">
        <v>327</v>
      </c>
    </row>
    <row r="2563" spans="3:5" ht="15" x14ac:dyDescent="0.2">
      <c r="C2563" s="61">
        <v>41435.65625</v>
      </c>
      <c r="D2563" s="60">
        <v>5300</v>
      </c>
      <c r="E2563" s="59" t="s">
        <v>328</v>
      </c>
    </row>
    <row r="2564" spans="3:5" ht="15" x14ac:dyDescent="0.2">
      <c r="C2564" s="61">
        <v>41435.666666666664</v>
      </c>
      <c r="D2564" s="60">
        <v>5300</v>
      </c>
      <c r="E2564" s="59" t="s">
        <v>328</v>
      </c>
    </row>
    <row r="2565" spans="3:5" ht="15" x14ac:dyDescent="0.2">
      <c r="C2565" s="61">
        <v>41435.677083333336</v>
      </c>
      <c r="D2565" s="60">
        <v>5280</v>
      </c>
      <c r="E2565" s="59" t="s">
        <v>329</v>
      </c>
    </row>
    <row r="2566" spans="3:5" ht="15" x14ac:dyDescent="0.2">
      <c r="C2566" s="61">
        <v>41435.6875</v>
      </c>
      <c r="D2566" s="60">
        <v>5280</v>
      </c>
      <c r="E2566" s="59" t="s">
        <v>329</v>
      </c>
    </row>
    <row r="2567" spans="3:5" ht="15" x14ac:dyDescent="0.2">
      <c r="C2567" s="61">
        <v>41435.697916666664</v>
      </c>
      <c r="D2567" s="60">
        <v>5270</v>
      </c>
      <c r="E2567" s="59" t="s">
        <v>330</v>
      </c>
    </row>
    <row r="2568" spans="3:5" ht="15" x14ac:dyDescent="0.2">
      <c r="C2568" s="61">
        <v>41435.708333333336</v>
      </c>
      <c r="D2568" s="60">
        <v>5250</v>
      </c>
      <c r="E2568" s="59" t="s">
        <v>331</v>
      </c>
    </row>
    <row r="2569" spans="3:5" ht="15" x14ac:dyDescent="0.2">
      <c r="C2569" s="61">
        <v>41435.71875</v>
      </c>
      <c r="D2569" s="60">
        <v>5250</v>
      </c>
      <c r="E2569" s="59" t="s">
        <v>331</v>
      </c>
    </row>
    <row r="2570" spans="3:5" ht="15" x14ac:dyDescent="0.2">
      <c r="C2570" s="61">
        <v>41435.729166666664</v>
      </c>
      <c r="D2570" s="60">
        <v>5240</v>
      </c>
      <c r="E2570" s="59" t="s">
        <v>332</v>
      </c>
    </row>
    <row r="2571" spans="3:5" ht="15" x14ac:dyDescent="0.2">
      <c r="C2571" s="61">
        <v>41435.739583333336</v>
      </c>
      <c r="D2571" s="60">
        <v>5220</v>
      </c>
      <c r="E2571" s="59" t="s">
        <v>333</v>
      </c>
    </row>
    <row r="2572" spans="3:5" ht="15" x14ac:dyDescent="0.2">
      <c r="C2572" s="61">
        <v>41435.75</v>
      </c>
      <c r="D2572" s="60">
        <v>5220</v>
      </c>
      <c r="E2572" s="59" t="s">
        <v>333</v>
      </c>
    </row>
    <row r="2573" spans="3:5" ht="15" x14ac:dyDescent="0.2">
      <c r="C2573" s="61">
        <v>41435.760416666664</v>
      </c>
      <c r="D2573" s="60">
        <v>5200</v>
      </c>
      <c r="E2573" s="59" t="s">
        <v>334</v>
      </c>
    </row>
    <row r="2574" spans="3:5" ht="15" x14ac:dyDescent="0.2">
      <c r="C2574" s="61">
        <v>41435.770833333336</v>
      </c>
      <c r="D2574" s="60">
        <v>5190</v>
      </c>
      <c r="E2574" s="59" t="s">
        <v>335</v>
      </c>
    </row>
    <row r="2575" spans="3:5" ht="15" x14ac:dyDescent="0.2">
      <c r="C2575" s="61">
        <v>41435.78125</v>
      </c>
      <c r="D2575" s="60">
        <v>5190</v>
      </c>
      <c r="E2575" s="59" t="s">
        <v>335</v>
      </c>
    </row>
    <row r="2576" spans="3:5" ht="15" x14ac:dyDescent="0.2">
      <c r="C2576" s="61">
        <v>41435.791666666664</v>
      </c>
      <c r="D2576" s="60">
        <v>5170</v>
      </c>
      <c r="E2576" s="59" t="s">
        <v>336</v>
      </c>
    </row>
    <row r="2577" spans="3:5" ht="15" x14ac:dyDescent="0.2">
      <c r="C2577" s="61">
        <v>41435.802083333336</v>
      </c>
      <c r="D2577" s="60">
        <v>5160</v>
      </c>
      <c r="E2577" s="59" t="s">
        <v>337</v>
      </c>
    </row>
    <row r="2578" spans="3:5" ht="15" x14ac:dyDescent="0.2">
      <c r="C2578" s="61">
        <v>41435.8125</v>
      </c>
      <c r="D2578" s="60">
        <v>5160</v>
      </c>
      <c r="E2578" s="59" t="s">
        <v>337</v>
      </c>
    </row>
    <row r="2579" spans="3:5" ht="15" x14ac:dyDescent="0.2">
      <c r="C2579" s="61">
        <v>41435.822916666664</v>
      </c>
      <c r="D2579" s="60">
        <v>5140</v>
      </c>
      <c r="E2579" s="59" t="s">
        <v>338</v>
      </c>
    </row>
    <row r="2580" spans="3:5" ht="15" x14ac:dyDescent="0.2">
      <c r="C2580" s="61">
        <v>41435.833333333336</v>
      </c>
      <c r="D2580" s="60">
        <v>5130</v>
      </c>
      <c r="E2580" s="59" t="s">
        <v>339</v>
      </c>
    </row>
    <row r="2581" spans="3:5" ht="15" x14ac:dyDescent="0.2">
      <c r="C2581" s="61">
        <v>41435.84375</v>
      </c>
      <c r="D2581" s="60">
        <v>5130</v>
      </c>
      <c r="E2581" s="59" t="s">
        <v>339</v>
      </c>
    </row>
    <row r="2582" spans="3:5" ht="15" x14ac:dyDescent="0.2">
      <c r="C2582" s="61">
        <v>41435.854166666664</v>
      </c>
      <c r="D2582" s="60">
        <v>5110</v>
      </c>
      <c r="E2582" s="59" t="s">
        <v>340</v>
      </c>
    </row>
    <row r="2583" spans="3:5" ht="15" x14ac:dyDescent="0.2">
      <c r="C2583" s="61">
        <v>41435.864583333336</v>
      </c>
      <c r="D2583" s="60">
        <v>5100</v>
      </c>
      <c r="E2583" s="59" t="s">
        <v>341</v>
      </c>
    </row>
    <row r="2584" spans="3:5" ht="15" x14ac:dyDescent="0.2">
      <c r="C2584" s="61">
        <v>41435.875</v>
      </c>
      <c r="D2584" s="60">
        <v>5100</v>
      </c>
      <c r="E2584" s="59" t="s">
        <v>341</v>
      </c>
    </row>
    <row r="2585" spans="3:5" ht="15" x14ac:dyDescent="0.2">
      <c r="C2585" s="61">
        <v>41435.885416666664</v>
      </c>
      <c r="D2585" s="60">
        <v>5080</v>
      </c>
      <c r="E2585" s="59" t="s">
        <v>342</v>
      </c>
    </row>
    <row r="2586" spans="3:5" ht="15" x14ac:dyDescent="0.2">
      <c r="C2586" s="61">
        <v>41435.895833333336</v>
      </c>
      <c r="D2586" s="60">
        <v>5070</v>
      </c>
      <c r="E2586" s="59" t="s">
        <v>343</v>
      </c>
    </row>
    <row r="2587" spans="3:5" ht="15" x14ac:dyDescent="0.2">
      <c r="C2587" s="61">
        <v>41435.90625</v>
      </c>
      <c r="D2587" s="60">
        <v>5050</v>
      </c>
      <c r="E2587" s="59" t="s">
        <v>344</v>
      </c>
    </row>
    <row r="2588" spans="3:5" ht="15" x14ac:dyDescent="0.2">
      <c r="C2588" s="61">
        <v>41435.916666666664</v>
      </c>
      <c r="D2588" s="60">
        <v>5040</v>
      </c>
      <c r="E2588" s="59" t="s">
        <v>345</v>
      </c>
    </row>
    <row r="2589" spans="3:5" ht="15" x14ac:dyDescent="0.2">
      <c r="C2589" s="61">
        <v>41435.927083333336</v>
      </c>
      <c r="D2589" s="60">
        <v>5020</v>
      </c>
      <c r="E2589" s="59" t="s">
        <v>346</v>
      </c>
    </row>
    <row r="2590" spans="3:5" ht="15" x14ac:dyDescent="0.2">
      <c r="C2590" s="61">
        <v>41435.9375</v>
      </c>
      <c r="D2590" s="60">
        <v>5010</v>
      </c>
      <c r="E2590" s="59" t="s">
        <v>347</v>
      </c>
    </row>
    <row r="2591" spans="3:5" ht="15" x14ac:dyDescent="0.2">
      <c r="C2591" s="61">
        <v>41435.947916666664</v>
      </c>
      <c r="D2591" s="60">
        <v>4990</v>
      </c>
      <c r="E2591" s="59" t="s">
        <v>348</v>
      </c>
    </row>
    <row r="2592" spans="3:5" ht="15" x14ac:dyDescent="0.2">
      <c r="C2592" s="61">
        <v>41435.958333333336</v>
      </c>
      <c r="D2592" s="60">
        <v>4980</v>
      </c>
      <c r="E2592" s="59" t="s">
        <v>349</v>
      </c>
    </row>
    <row r="2593" spans="3:5" ht="15" x14ac:dyDescent="0.2">
      <c r="C2593" s="61">
        <v>41435.96875</v>
      </c>
      <c r="D2593" s="60">
        <v>4960</v>
      </c>
      <c r="E2593" s="59" t="s">
        <v>350</v>
      </c>
    </row>
    <row r="2594" spans="3:5" ht="15" x14ac:dyDescent="0.2">
      <c r="C2594" s="61">
        <v>41435.979166666664</v>
      </c>
      <c r="D2594" s="60">
        <v>4950</v>
      </c>
      <c r="E2594" s="59" t="s">
        <v>351</v>
      </c>
    </row>
    <row r="2595" spans="3:5" ht="15" x14ac:dyDescent="0.2">
      <c r="C2595" s="61">
        <v>41435.989583333336</v>
      </c>
      <c r="D2595" s="60">
        <v>4930</v>
      </c>
      <c r="E2595" s="59" t="s">
        <v>352</v>
      </c>
    </row>
    <row r="2596" spans="3:5" ht="15" x14ac:dyDescent="0.2">
      <c r="C2596" s="61">
        <v>41436</v>
      </c>
      <c r="D2596" s="60">
        <v>4920</v>
      </c>
      <c r="E2596" s="59" t="s">
        <v>353</v>
      </c>
    </row>
    <row r="2597" spans="3:5" ht="15" x14ac:dyDescent="0.2">
      <c r="C2597" s="61">
        <v>41436.010416666664</v>
      </c>
      <c r="D2597" s="60">
        <v>4900</v>
      </c>
      <c r="E2597" s="59" t="s">
        <v>354</v>
      </c>
    </row>
    <row r="2598" spans="3:5" ht="15" x14ac:dyDescent="0.2">
      <c r="C2598" s="61">
        <v>41436.020833333336</v>
      </c>
      <c r="D2598" s="60">
        <v>4890</v>
      </c>
      <c r="E2598" s="59" t="s">
        <v>355</v>
      </c>
    </row>
    <row r="2599" spans="3:5" ht="15" x14ac:dyDescent="0.2">
      <c r="C2599" s="61">
        <v>41436.03125</v>
      </c>
      <c r="D2599" s="60">
        <v>4870</v>
      </c>
      <c r="E2599" s="59" t="s">
        <v>356</v>
      </c>
    </row>
    <row r="2600" spans="3:5" ht="15" x14ac:dyDescent="0.2">
      <c r="C2600" s="61">
        <v>41436.041666666664</v>
      </c>
      <c r="D2600" s="60">
        <v>4860</v>
      </c>
      <c r="E2600" s="59" t="s">
        <v>357</v>
      </c>
    </row>
    <row r="2601" spans="3:5" ht="15" x14ac:dyDescent="0.2">
      <c r="C2601" s="61">
        <v>41436.052083333336</v>
      </c>
      <c r="D2601" s="60">
        <v>4840</v>
      </c>
      <c r="E2601" s="59" t="s">
        <v>358</v>
      </c>
    </row>
    <row r="2602" spans="3:5" ht="15" x14ac:dyDescent="0.2">
      <c r="C2602" s="61">
        <v>41436.0625</v>
      </c>
      <c r="D2602" s="60">
        <v>4830</v>
      </c>
      <c r="E2602" s="59" t="s">
        <v>359</v>
      </c>
    </row>
    <row r="2603" spans="3:5" ht="15" x14ac:dyDescent="0.2">
      <c r="C2603" s="61">
        <v>41436.072916666664</v>
      </c>
      <c r="D2603" s="60">
        <v>4810</v>
      </c>
      <c r="E2603" s="59" t="s">
        <v>360</v>
      </c>
    </row>
    <row r="2604" spans="3:5" ht="15" x14ac:dyDescent="0.2">
      <c r="C2604" s="61">
        <v>41436.083333333336</v>
      </c>
      <c r="D2604" s="60">
        <v>4800</v>
      </c>
      <c r="E2604" s="59" t="s">
        <v>361</v>
      </c>
    </row>
    <row r="2605" spans="3:5" ht="15" x14ac:dyDescent="0.2">
      <c r="C2605" s="61">
        <v>41436.09375</v>
      </c>
      <c r="D2605" s="60">
        <v>4800</v>
      </c>
      <c r="E2605" s="59" t="s">
        <v>361</v>
      </c>
    </row>
    <row r="2606" spans="3:5" ht="15" x14ac:dyDescent="0.2">
      <c r="C2606" s="61">
        <v>41436.104166666664</v>
      </c>
      <c r="D2606" s="60">
        <v>4780</v>
      </c>
      <c r="E2606" s="59" t="s">
        <v>362</v>
      </c>
    </row>
    <row r="2607" spans="3:5" ht="15" x14ac:dyDescent="0.2">
      <c r="C2607" s="61">
        <v>41436.114583333336</v>
      </c>
      <c r="D2607" s="60">
        <v>4770</v>
      </c>
      <c r="E2607" s="59" t="s">
        <v>363</v>
      </c>
    </row>
    <row r="2608" spans="3:5" ht="15" x14ac:dyDescent="0.2">
      <c r="C2608" s="61">
        <v>41436.125</v>
      </c>
      <c r="D2608" s="60">
        <v>4770</v>
      </c>
      <c r="E2608" s="59" t="s">
        <v>363</v>
      </c>
    </row>
    <row r="2609" spans="3:5" ht="15" x14ac:dyDescent="0.2">
      <c r="C2609" s="61">
        <v>41436.135416666664</v>
      </c>
      <c r="D2609" s="60">
        <v>4750</v>
      </c>
      <c r="E2609" s="59" t="s">
        <v>364</v>
      </c>
    </row>
    <row r="2610" spans="3:5" ht="15" x14ac:dyDescent="0.2">
      <c r="C2610" s="61">
        <v>41436.145833333336</v>
      </c>
      <c r="D2610" s="60">
        <v>4750</v>
      </c>
      <c r="E2610" s="59" t="s">
        <v>364</v>
      </c>
    </row>
    <row r="2611" spans="3:5" ht="15" x14ac:dyDescent="0.2">
      <c r="C2611" s="61">
        <v>41436.15625</v>
      </c>
      <c r="D2611" s="60">
        <v>4740</v>
      </c>
      <c r="E2611" s="59" t="s">
        <v>365</v>
      </c>
    </row>
    <row r="2612" spans="3:5" ht="15" x14ac:dyDescent="0.2">
      <c r="C2612" s="61">
        <v>41436.166666666664</v>
      </c>
      <c r="D2612" s="60">
        <v>4740</v>
      </c>
      <c r="E2612" s="59" t="s">
        <v>365</v>
      </c>
    </row>
    <row r="2613" spans="3:5" ht="15" x14ac:dyDescent="0.2">
      <c r="C2613" s="61">
        <v>41436.177083333336</v>
      </c>
      <c r="D2613" s="60">
        <v>4740</v>
      </c>
      <c r="E2613" s="59" t="s">
        <v>365</v>
      </c>
    </row>
    <row r="2614" spans="3:5" ht="15" x14ac:dyDescent="0.2">
      <c r="C2614" s="61">
        <v>41436.1875</v>
      </c>
      <c r="D2614" s="60">
        <v>4720</v>
      </c>
      <c r="E2614" s="59" t="s">
        <v>366</v>
      </c>
    </row>
    <row r="2615" spans="3:5" ht="15" x14ac:dyDescent="0.2">
      <c r="C2615" s="61">
        <v>41436.197916666664</v>
      </c>
      <c r="D2615" s="60">
        <v>4710</v>
      </c>
      <c r="E2615" s="59" t="s">
        <v>367</v>
      </c>
    </row>
    <row r="2616" spans="3:5" ht="15" x14ac:dyDescent="0.2">
      <c r="C2616" s="61">
        <v>41436.208333333336</v>
      </c>
      <c r="D2616" s="60">
        <v>4710</v>
      </c>
      <c r="E2616" s="59" t="s">
        <v>367</v>
      </c>
    </row>
    <row r="2617" spans="3:5" ht="15" x14ac:dyDescent="0.2">
      <c r="C2617" s="61">
        <v>41436.21875</v>
      </c>
      <c r="D2617" s="60">
        <v>4690</v>
      </c>
      <c r="E2617" s="59" t="s">
        <v>368</v>
      </c>
    </row>
    <row r="2618" spans="3:5" ht="15" x14ac:dyDescent="0.2">
      <c r="C2618" s="61">
        <v>41436.229166666664</v>
      </c>
      <c r="D2618" s="60">
        <v>4690</v>
      </c>
      <c r="E2618" s="59" t="s">
        <v>368</v>
      </c>
    </row>
    <row r="2619" spans="3:5" ht="15" x14ac:dyDescent="0.2">
      <c r="C2619" s="61">
        <v>41436.239583333336</v>
      </c>
      <c r="D2619" s="60">
        <v>4680</v>
      </c>
      <c r="E2619" s="59" t="s">
        <v>369</v>
      </c>
    </row>
    <row r="2620" spans="3:5" ht="15" x14ac:dyDescent="0.2">
      <c r="C2620" s="61">
        <v>41436.25</v>
      </c>
      <c r="D2620" s="60">
        <v>4660</v>
      </c>
      <c r="E2620" s="59" t="s">
        <v>370</v>
      </c>
    </row>
    <row r="2621" spans="3:5" ht="15" x14ac:dyDescent="0.2">
      <c r="C2621" s="61">
        <v>41436.260416666664</v>
      </c>
      <c r="D2621" s="60">
        <v>4660</v>
      </c>
      <c r="E2621" s="59" t="s">
        <v>370</v>
      </c>
    </row>
    <row r="2622" spans="3:5" ht="15" x14ac:dyDescent="0.2">
      <c r="C2622" s="61">
        <v>41436.270833333336</v>
      </c>
      <c r="D2622" s="60">
        <v>4660</v>
      </c>
      <c r="E2622" s="59" t="s">
        <v>370</v>
      </c>
    </row>
    <row r="2623" spans="3:5" ht="15" x14ac:dyDescent="0.2">
      <c r="C2623" s="61">
        <v>41436.28125</v>
      </c>
      <c r="D2623" s="60">
        <v>4650</v>
      </c>
      <c r="E2623" s="59" t="s">
        <v>371</v>
      </c>
    </row>
    <row r="2624" spans="3:5" ht="15" x14ac:dyDescent="0.2">
      <c r="C2624" s="61">
        <v>41436.291666666664</v>
      </c>
      <c r="D2624" s="60">
        <v>4650</v>
      </c>
      <c r="E2624" s="59" t="s">
        <v>371</v>
      </c>
    </row>
    <row r="2625" spans="3:5" ht="15" x14ac:dyDescent="0.2">
      <c r="C2625" s="61">
        <v>41436.302083333336</v>
      </c>
      <c r="D2625" s="60">
        <v>4630</v>
      </c>
      <c r="E2625" s="59" t="s">
        <v>372</v>
      </c>
    </row>
    <row r="2626" spans="3:5" ht="15" x14ac:dyDescent="0.2">
      <c r="C2626" s="61">
        <v>41436.3125</v>
      </c>
      <c r="D2626" s="60">
        <v>4620</v>
      </c>
      <c r="E2626" s="59" t="s">
        <v>373</v>
      </c>
    </row>
    <row r="2627" spans="3:5" ht="15" x14ac:dyDescent="0.2">
      <c r="C2627" s="61">
        <v>41436.322916666664</v>
      </c>
      <c r="D2627" s="60">
        <v>4620</v>
      </c>
      <c r="E2627" s="59" t="s">
        <v>373</v>
      </c>
    </row>
    <row r="2628" spans="3:5" ht="15" x14ac:dyDescent="0.2">
      <c r="C2628" s="61">
        <v>41436.333333333336</v>
      </c>
      <c r="D2628" s="60">
        <v>4620</v>
      </c>
      <c r="E2628" s="59" t="s">
        <v>373</v>
      </c>
    </row>
    <row r="2629" spans="3:5" ht="15" x14ac:dyDescent="0.2">
      <c r="C2629" s="61">
        <v>41436.34375</v>
      </c>
      <c r="D2629" s="60">
        <v>4620</v>
      </c>
      <c r="E2629" s="59" t="s">
        <v>373</v>
      </c>
    </row>
    <row r="2630" spans="3:5" ht="15" x14ac:dyDescent="0.2">
      <c r="C2630" s="61">
        <v>41436.354166666664</v>
      </c>
      <c r="D2630" s="60">
        <v>4620</v>
      </c>
      <c r="E2630" s="59" t="s">
        <v>373</v>
      </c>
    </row>
    <row r="2631" spans="3:5" ht="15" x14ac:dyDescent="0.2">
      <c r="C2631" s="61">
        <v>41436.364583333336</v>
      </c>
      <c r="D2631" s="60">
        <v>4600</v>
      </c>
      <c r="E2631" s="59" t="s">
        <v>374</v>
      </c>
    </row>
    <row r="2632" spans="3:5" ht="15" x14ac:dyDescent="0.2">
      <c r="C2632" s="61">
        <v>41436.375</v>
      </c>
      <c r="D2632" s="60">
        <v>4600</v>
      </c>
      <c r="E2632" s="59" t="s">
        <v>374</v>
      </c>
    </row>
    <row r="2633" spans="3:5" ht="15" x14ac:dyDescent="0.2">
      <c r="C2633" s="61">
        <v>41436.385416666664</v>
      </c>
      <c r="D2633" s="60">
        <v>4600</v>
      </c>
      <c r="E2633" s="59" t="s">
        <v>374</v>
      </c>
    </row>
    <row r="2634" spans="3:5" ht="15" x14ac:dyDescent="0.2">
      <c r="C2634" s="61">
        <v>41436.395833333336</v>
      </c>
      <c r="D2634" s="60">
        <v>4600</v>
      </c>
      <c r="E2634" s="59" t="s">
        <v>374</v>
      </c>
    </row>
    <row r="2635" spans="3:5" ht="15" x14ac:dyDescent="0.2">
      <c r="C2635" s="61">
        <v>41436.40625</v>
      </c>
      <c r="D2635" s="60">
        <v>4600</v>
      </c>
      <c r="E2635" s="59" t="s">
        <v>374</v>
      </c>
    </row>
    <row r="2636" spans="3:5" ht="15" x14ac:dyDescent="0.2">
      <c r="C2636" s="61">
        <v>41436.416666666664</v>
      </c>
      <c r="D2636" s="60">
        <v>4600</v>
      </c>
      <c r="E2636" s="59" t="s">
        <v>374</v>
      </c>
    </row>
    <row r="2637" spans="3:5" ht="15" x14ac:dyDescent="0.2">
      <c r="C2637" s="61">
        <v>41436.427083333336</v>
      </c>
      <c r="D2637" s="60">
        <v>4600</v>
      </c>
      <c r="E2637" s="59" t="s">
        <v>374</v>
      </c>
    </row>
    <row r="2638" spans="3:5" ht="15" x14ac:dyDescent="0.2">
      <c r="C2638" s="61">
        <v>41436.4375</v>
      </c>
      <c r="D2638" s="60">
        <v>4600</v>
      </c>
      <c r="E2638" s="59" t="s">
        <v>374</v>
      </c>
    </row>
    <row r="2639" spans="3:5" ht="15" x14ac:dyDescent="0.2">
      <c r="C2639" s="61">
        <v>41436.447916666664</v>
      </c>
      <c r="D2639" s="60">
        <v>4600</v>
      </c>
      <c r="E2639" s="59" t="s">
        <v>374</v>
      </c>
    </row>
    <row r="2640" spans="3:5" ht="15" x14ac:dyDescent="0.2">
      <c r="C2640" s="61">
        <v>41436.458333333336</v>
      </c>
      <c r="D2640" s="60">
        <v>4600</v>
      </c>
      <c r="E2640" s="59" t="s">
        <v>374</v>
      </c>
    </row>
    <row r="2641" spans="3:5" ht="15" x14ac:dyDescent="0.2">
      <c r="C2641" s="61">
        <v>41436.46875</v>
      </c>
      <c r="D2641" s="60">
        <v>4600</v>
      </c>
      <c r="E2641" s="59" t="s">
        <v>374</v>
      </c>
    </row>
    <row r="2642" spans="3:5" ht="15" x14ac:dyDescent="0.2">
      <c r="C2642" s="61">
        <v>41436.479166666664</v>
      </c>
      <c r="D2642" s="60">
        <v>4600</v>
      </c>
      <c r="E2642" s="59" t="s">
        <v>374</v>
      </c>
    </row>
    <row r="2643" spans="3:5" ht="15" x14ac:dyDescent="0.2">
      <c r="C2643" s="61">
        <v>41436.489583333336</v>
      </c>
      <c r="D2643" s="60">
        <v>4600</v>
      </c>
      <c r="E2643" s="59" t="s">
        <v>374</v>
      </c>
    </row>
    <row r="2644" spans="3:5" ht="15" x14ac:dyDescent="0.2">
      <c r="C2644" s="61">
        <v>41436.5</v>
      </c>
      <c r="D2644" s="60">
        <v>4600</v>
      </c>
      <c r="E2644" s="59" t="s">
        <v>374</v>
      </c>
    </row>
    <row r="2645" spans="3:5" ht="15" x14ac:dyDescent="0.2">
      <c r="C2645" s="61">
        <v>41436.510416666664</v>
      </c>
      <c r="D2645" s="60">
        <v>4600</v>
      </c>
      <c r="E2645" s="59" t="s">
        <v>374</v>
      </c>
    </row>
    <row r="2646" spans="3:5" ht="15" x14ac:dyDescent="0.2">
      <c r="C2646" s="61">
        <v>41436.520833333336</v>
      </c>
      <c r="D2646" s="60">
        <v>4600</v>
      </c>
      <c r="E2646" s="59" t="s">
        <v>374</v>
      </c>
    </row>
    <row r="2647" spans="3:5" ht="15" x14ac:dyDescent="0.2">
      <c r="C2647" s="61">
        <v>41436.53125</v>
      </c>
      <c r="D2647" s="60">
        <v>4600</v>
      </c>
      <c r="E2647" s="59" t="s">
        <v>374</v>
      </c>
    </row>
    <row r="2648" spans="3:5" ht="15" x14ac:dyDescent="0.2">
      <c r="C2648" s="61">
        <v>41436.541666666664</v>
      </c>
      <c r="D2648" s="60">
        <v>4600</v>
      </c>
      <c r="E2648" s="59" t="s">
        <v>374</v>
      </c>
    </row>
    <row r="2649" spans="3:5" ht="15" x14ac:dyDescent="0.2">
      <c r="C2649" s="61">
        <v>41436.552083333336</v>
      </c>
      <c r="D2649" s="60">
        <v>4600</v>
      </c>
      <c r="E2649" s="59" t="s">
        <v>374</v>
      </c>
    </row>
    <row r="2650" spans="3:5" ht="15" x14ac:dyDescent="0.2">
      <c r="C2650" s="61">
        <v>41436.5625</v>
      </c>
      <c r="D2650" s="60">
        <v>4600</v>
      </c>
      <c r="E2650" s="59" t="s">
        <v>374</v>
      </c>
    </row>
    <row r="2651" spans="3:5" ht="15" x14ac:dyDescent="0.2">
      <c r="C2651" s="61">
        <v>41436.572916666664</v>
      </c>
      <c r="D2651" s="60">
        <v>4600</v>
      </c>
      <c r="E2651" s="59" t="s">
        <v>374</v>
      </c>
    </row>
    <row r="2652" spans="3:5" ht="15" x14ac:dyDescent="0.2">
      <c r="C2652" s="61">
        <v>41436.583333333336</v>
      </c>
      <c r="D2652" s="60">
        <v>4590</v>
      </c>
      <c r="E2652" s="59" t="s">
        <v>375</v>
      </c>
    </row>
    <row r="2653" spans="3:5" ht="15" x14ac:dyDescent="0.2">
      <c r="C2653" s="61">
        <v>41436.59375</v>
      </c>
      <c r="D2653" s="60">
        <v>4590</v>
      </c>
      <c r="E2653" s="59" t="s">
        <v>375</v>
      </c>
    </row>
    <row r="2654" spans="3:5" ht="15" x14ac:dyDescent="0.2">
      <c r="C2654" s="61">
        <v>41436.604166666664</v>
      </c>
      <c r="D2654" s="60">
        <v>4590</v>
      </c>
      <c r="E2654" s="59" t="s">
        <v>375</v>
      </c>
    </row>
    <row r="2655" spans="3:5" ht="15" x14ac:dyDescent="0.2">
      <c r="C2655" s="61">
        <v>41436.614583333336</v>
      </c>
      <c r="D2655" s="60">
        <v>4590</v>
      </c>
      <c r="E2655" s="59" t="s">
        <v>375</v>
      </c>
    </row>
    <row r="2656" spans="3:5" ht="15" x14ac:dyDescent="0.2">
      <c r="C2656" s="61">
        <v>41436.625</v>
      </c>
      <c r="D2656" s="60">
        <v>4570</v>
      </c>
      <c r="E2656" s="59" t="s">
        <v>376</v>
      </c>
    </row>
    <row r="2657" spans="3:5" ht="15" x14ac:dyDescent="0.2">
      <c r="C2657" s="61">
        <v>41436.635416666664</v>
      </c>
      <c r="D2657" s="60">
        <v>4570</v>
      </c>
      <c r="E2657" s="59" t="s">
        <v>376</v>
      </c>
    </row>
    <row r="2658" spans="3:5" ht="15" x14ac:dyDescent="0.2">
      <c r="C2658" s="61">
        <v>41436.645833333336</v>
      </c>
      <c r="D2658" s="60">
        <v>4560</v>
      </c>
      <c r="E2658" s="59" t="s">
        <v>377</v>
      </c>
    </row>
    <row r="2659" spans="3:5" ht="15" x14ac:dyDescent="0.2">
      <c r="C2659" s="61">
        <v>41436.65625</v>
      </c>
      <c r="D2659" s="60">
        <v>4560</v>
      </c>
      <c r="E2659" s="59" t="s">
        <v>377</v>
      </c>
    </row>
    <row r="2660" spans="3:5" ht="15" x14ac:dyDescent="0.2">
      <c r="C2660" s="61">
        <v>41436.666666666664</v>
      </c>
      <c r="D2660" s="60">
        <v>4560</v>
      </c>
      <c r="E2660" s="59" t="s">
        <v>377</v>
      </c>
    </row>
    <row r="2661" spans="3:5" ht="15" x14ac:dyDescent="0.2">
      <c r="C2661" s="61">
        <v>41436.677083333336</v>
      </c>
      <c r="D2661" s="60">
        <v>4560</v>
      </c>
      <c r="E2661" s="59" t="s">
        <v>377</v>
      </c>
    </row>
    <row r="2662" spans="3:5" ht="15" x14ac:dyDescent="0.2">
      <c r="C2662" s="61">
        <v>41436.6875</v>
      </c>
      <c r="D2662" s="60">
        <v>4560</v>
      </c>
      <c r="E2662" s="59" t="s">
        <v>377</v>
      </c>
    </row>
    <row r="2663" spans="3:5" ht="15" x14ac:dyDescent="0.2">
      <c r="C2663" s="61">
        <v>41436.697916666664</v>
      </c>
      <c r="D2663" s="60">
        <v>4560</v>
      </c>
      <c r="E2663" s="59" t="s">
        <v>377</v>
      </c>
    </row>
    <row r="2664" spans="3:5" ht="15" x14ac:dyDescent="0.2">
      <c r="C2664" s="61">
        <v>41436.708333333336</v>
      </c>
      <c r="D2664" s="60">
        <v>4560</v>
      </c>
      <c r="E2664" s="59" t="s">
        <v>377</v>
      </c>
    </row>
    <row r="2665" spans="3:5" ht="15" x14ac:dyDescent="0.2">
      <c r="C2665" s="61">
        <v>41436.71875</v>
      </c>
      <c r="D2665" s="60">
        <v>4540</v>
      </c>
      <c r="E2665" s="59" t="s">
        <v>378</v>
      </c>
    </row>
    <row r="2666" spans="3:5" ht="15" x14ac:dyDescent="0.2">
      <c r="C2666" s="61">
        <v>41436.729166666664</v>
      </c>
      <c r="D2666" s="60">
        <v>4540</v>
      </c>
      <c r="E2666" s="59" t="s">
        <v>378</v>
      </c>
    </row>
    <row r="2667" spans="3:5" ht="15" x14ac:dyDescent="0.2">
      <c r="C2667" s="61">
        <v>41436.739583333336</v>
      </c>
      <c r="D2667" s="60">
        <v>4540</v>
      </c>
      <c r="E2667" s="59" t="s">
        <v>378</v>
      </c>
    </row>
    <row r="2668" spans="3:5" ht="15" x14ac:dyDescent="0.2">
      <c r="C2668" s="61">
        <v>41436.75</v>
      </c>
      <c r="D2668" s="60">
        <v>4530</v>
      </c>
      <c r="E2668" s="59" t="s">
        <v>379</v>
      </c>
    </row>
    <row r="2669" spans="3:5" ht="15" x14ac:dyDescent="0.2">
      <c r="C2669" s="61">
        <v>41436.760416666664</v>
      </c>
      <c r="D2669" s="60">
        <v>4530</v>
      </c>
      <c r="E2669" s="59" t="s">
        <v>379</v>
      </c>
    </row>
    <row r="2670" spans="3:5" ht="15" x14ac:dyDescent="0.2">
      <c r="C2670" s="61">
        <v>41436.770833333336</v>
      </c>
      <c r="D2670" s="60">
        <v>4530</v>
      </c>
      <c r="E2670" s="59" t="s">
        <v>379</v>
      </c>
    </row>
    <row r="2671" spans="3:5" ht="15" x14ac:dyDescent="0.2">
      <c r="C2671" s="61">
        <v>41436.78125</v>
      </c>
      <c r="D2671" s="60">
        <v>4510</v>
      </c>
      <c r="E2671" s="59" t="s">
        <v>380</v>
      </c>
    </row>
    <row r="2672" spans="3:5" ht="15" x14ac:dyDescent="0.2">
      <c r="C2672" s="61">
        <v>41436.791666666664</v>
      </c>
      <c r="D2672" s="60">
        <v>4510</v>
      </c>
      <c r="E2672" s="59" t="s">
        <v>380</v>
      </c>
    </row>
    <row r="2673" spans="3:5" ht="15" x14ac:dyDescent="0.2">
      <c r="C2673" s="61">
        <v>41436.802083333336</v>
      </c>
      <c r="D2673" s="60">
        <v>4500</v>
      </c>
      <c r="E2673" s="59" t="s">
        <v>381</v>
      </c>
    </row>
    <row r="2674" spans="3:5" ht="15" x14ac:dyDescent="0.2">
      <c r="C2674" s="61">
        <v>41436.8125</v>
      </c>
      <c r="D2674" s="60">
        <v>4500</v>
      </c>
      <c r="E2674" s="59" t="s">
        <v>381</v>
      </c>
    </row>
    <row r="2675" spans="3:5" ht="15" x14ac:dyDescent="0.2">
      <c r="C2675" s="61">
        <v>41436.822916666664</v>
      </c>
      <c r="D2675" s="60">
        <v>4500</v>
      </c>
      <c r="E2675" s="59" t="s">
        <v>381</v>
      </c>
    </row>
    <row r="2676" spans="3:5" ht="15" x14ac:dyDescent="0.2">
      <c r="C2676" s="61">
        <v>41436.833333333336</v>
      </c>
      <c r="D2676" s="60">
        <v>4490</v>
      </c>
      <c r="E2676" s="59" t="s">
        <v>382</v>
      </c>
    </row>
    <row r="2677" spans="3:5" ht="15" x14ac:dyDescent="0.2">
      <c r="C2677" s="61">
        <v>41436.84375</v>
      </c>
      <c r="D2677" s="60">
        <v>4490</v>
      </c>
      <c r="E2677" s="59" t="s">
        <v>382</v>
      </c>
    </row>
    <row r="2678" spans="3:5" ht="15" x14ac:dyDescent="0.2">
      <c r="C2678" s="61">
        <v>41436.854166666664</v>
      </c>
      <c r="D2678" s="60">
        <v>4470</v>
      </c>
      <c r="E2678" s="59" t="s">
        <v>383</v>
      </c>
    </row>
    <row r="2679" spans="3:5" ht="15" x14ac:dyDescent="0.2">
      <c r="C2679" s="61">
        <v>41436.864583333336</v>
      </c>
      <c r="D2679" s="60">
        <v>4460</v>
      </c>
      <c r="E2679" s="59" t="s">
        <v>384</v>
      </c>
    </row>
    <row r="2680" spans="3:5" ht="15" x14ac:dyDescent="0.2">
      <c r="C2680" s="61">
        <v>41436.875</v>
      </c>
      <c r="D2680" s="60">
        <v>4440</v>
      </c>
      <c r="E2680" s="59" t="s">
        <v>385</v>
      </c>
    </row>
    <row r="2681" spans="3:5" ht="15" x14ac:dyDescent="0.2">
      <c r="C2681" s="61">
        <v>41436.885416666664</v>
      </c>
      <c r="D2681" s="60">
        <v>4440</v>
      </c>
      <c r="E2681" s="59" t="s">
        <v>385</v>
      </c>
    </row>
    <row r="2682" spans="3:5" ht="15" x14ac:dyDescent="0.2">
      <c r="C2682" s="61">
        <v>41436.895833333336</v>
      </c>
      <c r="D2682" s="60">
        <v>4430</v>
      </c>
      <c r="E2682" s="59" t="s">
        <v>386</v>
      </c>
    </row>
    <row r="2683" spans="3:5" ht="15" x14ac:dyDescent="0.2">
      <c r="C2683" s="61">
        <v>41436.90625</v>
      </c>
      <c r="D2683" s="60">
        <v>4410</v>
      </c>
      <c r="E2683" s="59" t="s">
        <v>387</v>
      </c>
    </row>
    <row r="2684" spans="3:5" ht="15" x14ac:dyDescent="0.2">
      <c r="C2684" s="61">
        <v>41436.916666666664</v>
      </c>
      <c r="D2684" s="60">
        <v>4400</v>
      </c>
      <c r="E2684" s="59" t="s">
        <v>388</v>
      </c>
    </row>
    <row r="2685" spans="3:5" ht="15" x14ac:dyDescent="0.2">
      <c r="C2685" s="61">
        <v>41436.927083333336</v>
      </c>
      <c r="D2685" s="60">
        <v>4400</v>
      </c>
      <c r="E2685" s="59" t="s">
        <v>388</v>
      </c>
    </row>
    <row r="2686" spans="3:5" ht="15" x14ac:dyDescent="0.2">
      <c r="C2686" s="61">
        <v>41436.9375</v>
      </c>
      <c r="D2686" s="60">
        <v>4380</v>
      </c>
      <c r="E2686" s="59" t="s">
        <v>389</v>
      </c>
    </row>
    <row r="2687" spans="3:5" ht="15" x14ac:dyDescent="0.2">
      <c r="C2687" s="61">
        <v>41436.947916666664</v>
      </c>
      <c r="D2687" s="60">
        <v>4370</v>
      </c>
      <c r="E2687" s="59" t="s">
        <v>390</v>
      </c>
    </row>
    <row r="2688" spans="3:5" ht="15" x14ac:dyDescent="0.2">
      <c r="C2688" s="61">
        <v>41436.958333333336</v>
      </c>
      <c r="D2688" s="60">
        <v>4350</v>
      </c>
      <c r="E2688" s="59" t="s">
        <v>391</v>
      </c>
    </row>
    <row r="2689" spans="3:5" ht="15" x14ac:dyDescent="0.2">
      <c r="C2689" s="61">
        <v>41436.96875</v>
      </c>
      <c r="D2689" s="60">
        <v>4340</v>
      </c>
      <c r="E2689" s="59" t="s">
        <v>392</v>
      </c>
    </row>
    <row r="2690" spans="3:5" ht="15" x14ac:dyDescent="0.2">
      <c r="C2690" s="61">
        <v>41436.979166666664</v>
      </c>
      <c r="D2690" s="60">
        <v>4320</v>
      </c>
      <c r="E2690" s="59" t="s">
        <v>393</v>
      </c>
    </row>
    <row r="2691" spans="3:5" ht="15" x14ac:dyDescent="0.2">
      <c r="C2691" s="61">
        <v>41436.989583333336</v>
      </c>
      <c r="D2691" s="60">
        <v>4320</v>
      </c>
      <c r="E2691" s="59" t="s">
        <v>393</v>
      </c>
    </row>
    <row r="2692" spans="3:5" ht="15" x14ac:dyDescent="0.2">
      <c r="C2692" s="61">
        <v>41437</v>
      </c>
      <c r="D2692" s="60">
        <v>4300</v>
      </c>
      <c r="E2692" s="59" t="s">
        <v>395</v>
      </c>
    </row>
    <row r="2693" spans="3:5" ht="15" x14ac:dyDescent="0.2">
      <c r="C2693" s="61">
        <v>41437.010416666664</v>
      </c>
      <c r="D2693" s="60">
        <v>4280</v>
      </c>
      <c r="E2693" s="59" t="s">
        <v>396</v>
      </c>
    </row>
    <row r="2694" spans="3:5" ht="15" x14ac:dyDescent="0.2">
      <c r="C2694" s="61">
        <v>41437.020833333336</v>
      </c>
      <c r="D2694" s="60">
        <v>4270</v>
      </c>
      <c r="E2694" s="59" t="s">
        <v>397</v>
      </c>
    </row>
    <row r="2695" spans="3:5" ht="15" x14ac:dyDescent="0.2">
      <c r="C2695" s="61">
        <v>41437.03125</v>
      </c>
      <c r="D2695" s="60">
        <v>4250</v>
      </c>
      <c r="E2695" s="59" t="s">
        <v>398</v>
      </c>
    </row>
    <row r="2696" spans="3:5" ht="15" x14ac:dyDescent="0.2">
      <c r="C2696" s="61">
        <v>41437.041666666664</v>
      </c>
      <c r="D2696" s="60">
        <v>4240</v>
      </c>
      <c r="E2696" s="59" t="s">
        <v>399</v>
      </c>
    </row>
    <row r="2697" spans="3:5" ht="15" x14ac:dyDescent="0.2">
      <c r="C2697" s="61">
        <v>41437.052083333336</v>
      </c>
      <c r="D2697" s="60">
        <v>4220</v>
      </c>
      <c r="E2697" s="59" t="s">
        <v>400</v>
      </c>
    </row>
    <row r="2698" spans="3:5" ht="15" x14ac:dyDescent="0.2">
      <c r="C2698" s="61">
        <v>41437.0625</v>
      </c>
      <c r="D2698" s="60">
        <v>4210</v>
      </c>
      <c r="E2698" s="59" t="s">
        <v>401</v>
      </c>
    </row>
    <row r="2699" spans="3:5" ht="15" x14ac:dyDescent="0.2">
      <c r="C2699" s="61">
        <v>41437.072916666664</v>
      </c>
      <c r="D2699" s="60">
        <v>4200</v>
      </c>
      <c r="E2699" s="59" t="s">
        <v>402</v>
      </c>
    </row>
    <row r="2700" spans="3:5" ht="15" x14ac:dyDescent="0.2">
      <c r="C2700" s="61">
        <v>41437.083333333336</v>
      </c>
      <c r="D2700" s="60">
        <v>4180</v>
      </c>
      <c r="E2700" s="59" t="s">
        <v>403</v>
      </c>
    </row>
    <row r="2701" spans="3:5" ht="15" x14ac:dyDescent="0.2">
      <c r="C2701" s="61">
        <v>41437.09375</v>
      </c>
      <c r="D2701" s="60">
        <v>4170</v>
      </c>
      <c r="E2701" s="59" t="s">
        <v>404</v>
      </c>
    </row>
    <row r="2702" spans="3:5" ht="15" x14ac:dyDescent="0.2">
      <c r="C2702" s="61">
        <v>41437.104166666664</v>
      </c>
      <c r="D2702" s="60">
        <v>4150</v>
      </c>
      <c r="E2702" s="59" t="s">
        <v>405</v>
      </c>
    </row>
    <row r="2703" spans="3:5" ht="15" x14ac:dyDescent="0.2">
      <c r="C2703" s="61">
        <v>41437.114583333336</v>
      </c>
      <c r="D2703" s="60">
        <v>4140</v>
      </c>
      <c r="E2703" s="59" t="s">
        <v>406</v>
      </c>
    </row>
    <row r="2704" spans="3:5" ht="15" x14ac:dyDescent="0.2">
      <c r="C2704" s="61">
        <v>41437.125</v>
      </c>
      <c r="D2704" s="60">
        <v>4120</v>
      </c>
      <c r="E2704" s="59" t="s">
        <v>407</v>
      </c>
    </row>
    <row r="2705" spans="3:5" ht="15" x14ac:dyDescent="0.2">
      <c r="C2705" s="61">
        <v>41437.135416666664</v>
      </c>
      <c r="D2705" s="60">
        <v>4100</v>
      </c>
      <c r="E2705" s="59" t="s">
        <v>409</v>
      </c>
    </row>
    <row r="2706" spans="3:5" ht="15" x14ac:dyDescent="0.2">
      <c r="C2706" s="61">
        <v>41437.145833333336</v>
      </c>
      <c r="D2706" s="60">
        <v>4080</v>
      </c>
      <c r="E2706" s="59" t="s">
        <v>410</v>
      </c>
    </row>
    <row r="2707" spans="3:5" ht="15" x14ac:dyDescent="0.2">
      <c r="C2707" s="61">
        <v>41437.15625</v>
      </c>
      <c r="D2707" s="60">
        <v>4070</v>
      </c>
      <c r="E2707" s="59" t="s">
        <v>411</v>
      </c>
    </row>
    <row r="2708" spans="3:5" ht="15" x14ac:dyDescent="0.2">
      <c r="C2708" s="61">
        <v>41437.166666666664</v>
      </c>
      <c r="D2708" s="60">
        <v>4050</v>
      </c>
      <c r="E2708" s="59" t="s">
        <v>412</v>
      </c>
    </row>
    <row r="2709" spans="3:5" ht="15" x14ac:dyDescent="0.2">
      <c r="C2709" s="61">
        <v>41437.177083333336</v>
      </c>
      <c r="D2709" s="60">
        <v>4040</v>
      </c>
      <c r="E2709" s="59" t="s">
        <v>413</v>
      </c>
    </row>
    <row r="2710" spans="3:5" ht="15" x14ac:dyDescent="0.2">
      <c r="C2710" s="61">
        <v>41437.1875</v>
      </c>
      <c r="D2710" s="60">
        <v>4040</v>
      </c>
      <c r="E2710" s="59" t="s">
        <v>413</v>
      </c>
    </row>
    <row r="2711" spans="3:5" ht="15" x14ac:dyDescent="0.2">
      <c r="C2711" s="61">
        <v>41437.197916666664</v>
      </c>
      <c r="D2711" s="60">
        <v>4020</v>
      </c>
      <c r="E2711" s="59" t="s">
        <v>414</v>
      </c>
    </row>
    <row r="2712" spans="3:5" ht="15" x14ac:dyDescent="0.2">
      <c r="C2712" s="61">
        <v>41437.208333333336</v>
      </c>
      <c r="D2712" s="60">
        <v>4010</v>
      </c>
      <c r="E2712" s="59" t="s">
        <v>415</v>
      </c>
    </row>
    <row r="2713" spans="3:5" ht="15" x14ac:dyDescent="0.2">
      <c r="C2713" s="61">
        <v>41437.21875</v>
      </c>
      <c r="D2713" s="60">
        <v>4010</v>
      </c>
      <c r="E2713" s="59" t="s">
        <v>415</v>
      </c>
    </row>
    <row r="2714" spans="3:5" ht="15" x14ac:dyDescent="0.2">
      <c r="C2714" s="61">
        <v>41437.229166666664</v>
      </c>
      <c r="D2714" s="60">
        <v>4000</v>
      </c>
      <c r="E2714" s="59" t="s">
        <v>416</v>
      </c>
    </row>
    <row r="2715" spans="3:5" ht="15" x14ac:dyDescent="0.2">
      <c r="C2715" s="61">
        <v>41437.239583333336</v>
      </c>
      <c r="D2715" s="60">
        <v>3980</v>
      </c>
      <c r="E2715" s="59" t="s">
        <v>417</v>
      </c>
    </row>
    <row r="2716" spans="3:5" ht="15" x14ac:dyDescent="0.2">
      <c r="C2716" s="61">
        <v>41437.25</v>
      </c>
      <c r="D2716" s="60">
        <v>3980</v>
      </c>
      <c r="E2716" s="59" t="s">
        <v>417</v>
      </c>
    </row>
    <row r="2717" spans="3:5" ht="15" x14ac:dyDescent="0.2">
      <c r="C2717" s="61">
        <v>41437.260416666664</v>
      </c>
      <c r="D2717" s="60">
        <v>3970</v>
      </c>
      <c r="E2717" s="59" t="s">
        <v>418</v>
      </c>
    </row>
    <row r="2718" spans="3:5" ht="15" x14ac:dyDescent="0.2">
      <c r="C2718" s="61">
        <v>41437.270833333336</v>
      </c>
      <c r="D2718" s="60">
        <v>3950</v>
      </c>
      <c r="E2718" s="59" t="s">
        <v>419</v>
      </c>
    </row>
    <row r="2719" spans="3:5" ht="15" x14ac:dyDescent="0.2">
      <c r="C2719" s="61">
        <v>41437.28125</v>
      </c>
      <c r="D2719" s="60">
        <v>3950</v>
      </c>
      <c r="E2719" s="59" t="s">
        <v>419</v>
      </c>
    </row>
    <row r="2720" spans="3:5" ht="15" x14ac:dyDescent="0.2">
      <c r="C2720" s="61">
        <v>41437.291666666664</v>
      </c>
      <c r="D2720" s="60">
        <v>3940</v>
      </c>
      <c r="E2720" s="59" t="s">
        <v>420</v>
      </c>
    </row>
    <row r="2721" spans="3:5" ht="15" x14ac:dyDescent="0.2">
      <c r="C2721" s="61">
        <v>41437.302083333336</v>
      </c>
      <c r="D2721" s="60">
        <v>3940</v>
      </c>
      <c r="E2721" s="59" t="s">
        <v>420</v>
      </c>
    </row>
    <row r="2722" spans="3:5" ht="15" x14ac:dyDescent="0.2">
      <c r="C2722" s="61">
        <v>41437.3125</v>
      </c>
      <c r="D2722" s="60">
        <v>3930</v>
      </c>
      <c r="E2722" s="59" t="s">
        <v>421</v>
      </c>
    </row>
    <row r="2723" spans="3:5" ht="15" x14ac:dyDescent="0.2">
      <c r="C2723" s="61">
        <v>41437.322916666664</v>
      </c>
      <c r="D2723" s="60">
        <v>3930</v>
      </c>
      <c r="E2723" s="59" t="s">
        <v>421</v>
      </c>
    </row>
    <row r="2724" spans="3:5" ht="15" x14ac:dyDescent="0.2">
      <c r="C2724" s="61">
        <v>41437.333333333336</v>
      </c>
      <c r="D2724" s="60">
        <v>3910</v>
      </c>
      <c r="E2724" s="59" t="s">
        <v>422</v>
      </c>
    </row>
    <row r="2725" spans="3:5" ht="15" x14ac:dyDescent="0.2">
      <c r="C2725" s="61">
        <v>41437.34375</v>
      </c>
      <c r="D2725" s="60">
        <v>3910</v>
      </c>
      <c r="E2725" s="59" t="s">
        <v>422</v>
      </c>
    </row>
    <row r="2726" spans="3:5" ht="15" x14ac:dyDescent="0.2">
      <c r="C2726" s="61">
        <v>41437.354166666664</v>
      </c>
      <c r="D2726" s="60">
        <v>3900</v>
      </c>
      <c r="E2726" s="59" t="s">
        <v>423</v>
      </c>
    </row>
    <row r="2727" spans="3:5" ht="15" x14ac:dyDescent="0.2">
      <c r="C2727" s="61">
        <v>41437.364583333336</v>
      </c>
      <c r="D2727" s="60">
        <v>3900</v>
      </c>
      <c r="E2727" s="59" t="s">
        <v>423</v>
      </c>
    </row>
    <row r="2728" spans="3:5" ht="15" x14ac:dyDescent="0.2">
      <c r="C2728" s="61">
        <v>41437.375</v>
      </c>
      <c r="D2728" s="60">
        <v>3900</v>
      </c>
      <c r="E2728" s="59" t="s">
        <v>423</v>
      </c>
    </row>
    <row r="2729" spans="3:5" ht="15" x14ac:dyDescent="0.2">
      <c r="C2729" s="61">
        <v>41437.385416666664</v>
      </c>
      <c r="D2729" s="60">
        <v>3880</v>
      </c>
      <c r="E2729" s="59" t="s">
        <v>424</v>
      </c>
    </row>
    <row r="2730" spans="3:5" ht="15" x14ac:dyDescent="0.2">
      <c r="C2730" s="61">
        <v>41437.395833333336</v>
      </c>
      <c r="D2730" s="60">
        <v>3880</v>
      </c>
      <c r="E2730" s="59" t="s">
        <v>424</v>
      </c>
    </row>
    <row r="2731" spans="3:5" ht="15" x14ac:dyDescent="0.2">
      <c r="C2731" s="61">
        <v>41437.40625</v>
      </c>
      <c r="D2731" s="60">
        <v>3880</v>
      </c>
      <c r="E2731" s="59" t="s">
        <v>424</v>
      </c>
    </row>
    <row r="2732" spans="3:5" ht="15" x14ac:dyDescent="0.2">
      <c r="C2732" s="61">
        <v>41437.416666666664</v>
      </c>
      <c r="D2732" s="60">
        <v>3870</v>
      </c>
      <c r="E2732" s="59" t="s">
        <v>425</v>
      </c>
    </row>
    <row r="2733" spans="3:5" ht="15" x14ac:dyDescent="0.2">
      <c r="C2733" s="61">
        <v>41437.427083333336</v>
      </c>
      <c r="D2733" s="60">
        <v>3870</v>
      </c>
      <c r="E2733" s="59" t="s">
        <v>425</v>
      </c>
    </row>
    <row r="2734" spans="3:5" ht="15" x14ac:dyDescent="0.2">
      <c r="C2734" s="61">
        <v>41437.4375</v>
      </c>
      <c r="D2734" s="60">
        <v>3870</v>
      </c>
      <c r="E2734" s="59" t="s">
        <v>425</v>
      </c>
    </row>
    <row r="2735" spans="3:5" ht="15" x14ac:dyDescent="0.2">
      <c r="C2735" s="61">
        <v>41437.447916666664</v>
      </c>
      <c r="D2735" s="60">
        <v>3860</v>
      </c>
      <c r="E2735" s="59" t="s">
        <v>426</v>
      </c>
    </row>
    <row r="2736" spans="3:5" ht="15" x14ac:dyDescent="0.2">
      <c r="C2736" s="61">
        <v>41437.458333333336</v>
      </c>
      <c r="D2736" s="60">
        <v>3860</v>
      </c>
      <c r="E2736" s="59" t="s">
        <v>426</v>
      </c>
    </row>
    <row r="2737" spans="3:5" ht="15" x14ac:dyDescent="0.2">
      <c r="C2737" s="61">
        <v>41437.46875</v>
      </c>
      <c r="D2737" s="60">
        <v>3860</v>
      </c>
      <c r="E2737" s="59" t="s">
        <v>426</v>
      </c>
    </row>
    <row r="2738" spans="3:5" ht="15" x14ac:dyDescent="0.2">
      <c r="C2738" s="61">
        <v>41437.479166666664</v>
      </c>
      <c r="D2738" s="60">
        <v>3860</v>
      </c>
      <c r="E2738" s="59" t="s">
        <v>426</v>
      </c>
    </row>
    <row r="2739" spans="3:5" ht="15" x14ac:dyDescent="0.2">
      <c r="C2739" s="61">
        <v>41437.489583333336</v>
      </c>
      <c r="D2739" s="60">
        <v>3860</v>
      </c>
      <c r="E2739" s="59" t="s">
        <v>426</v>
      </c>
    </row>
    <row r="2740" spans="3:5" ht="15" x14ac:dyDescent="0.2">
      <c r="C2740" s="61">
        <v>41437.5</v>
      </c>
      <c r="D2740" s="60">
        <v>3840</v>
      </c>
      <c r="E2740" s="59" t="s">
        <v>427</v>
      </c>
    </row>
    <row r="2741" spans="3:5" ht="15" x14ac:dyDescent="0.2">
      <c r="C2741" s="61">
        <v>41437.510416666664</v>
      </c>
      <c r="D2741" s="60">
        <v>3840</v>
      </c>
      <c r="E2741" s="59" t="s">
        <v>427</v>
      </c>
    </row>
    <row r="2742" spans="3:5" ht="15" x14ac:dyDescent="0.2">
      <c r="C2742" s="61">
        <v>41437.520833333336</v>
      </c>
      <c r="D2742" s="60">
        <v>3840</v>
      </c>
      <c r="E2742" s="59" t="s">
        <v>427</v>
      </c>
    </row>
    <row r="2743" spans="3:5" ht="15" x14ac:dyDescent="0.2">
      <c r="C2743" s="61">
        <v>41437.53125</v>
      </c>
      <c r="D2743" s="60">
        <v>3840</v>
      </c>
      <c r="E2743" s="59" t="s">
        <v>427</v>
      </c>
    </row>
    <row r="2744" spans="3:5" ht="15" x14ac:dyDescent="0.2">
      <c r="C2744" s="61">
        <v>41437.541666666664</v>
      </c>
      <c r="D2744" s="60">
        <v>3840</v>
      </c>
      <c r="E2744" s="59" t="s">
        <v>427</v>
      </c>
    </row>
    <row r="2745" spans="3:5" ht="15" x14ac:dyDescent="0.2">
      <c r="C2745" s="61">
        <v>41437.552083333336</v>
      </c>
      <c r="D2745" s="60">
        <v>3860</v>
      </c>
      <c r="E2745" s="59" t="s">
        <v>426</v>
      </c>
    </row>
    <row r="2746" spans="3:5" ht="15" x14ac:dyDescent="0.2">
      <c r="C2746" s="61">
        <v>41437.5625</v>
      </c>
      <c r="D2746" s="60">
        <v>3860</v>
      </c>
      <c r="E2746" s="59" t="s">
        <v>426</v>
      </c>
    </row>
    <row r="2747" spans="3:5" ht="15" x14ac:dyDescent="0.2">
      <c r="C2747" s="61">
        <v>41437.572916666664</v>
      </c>
      <c r="D2747" s="60">
        <v>3860</v>
      </c>
      <c r="E2747" s="59" t="s">
        <v>426</v>
      </c>
    </row>
    <row r="2748" spans="3:5" ht="15" x14ac:dyDescent="0.2">
      <c r="C2748" s="61">
        <v>41437.583333333336</v>
      </c>
      <c r="D2748" s="60">
        <v>3860</v>
      </c>
      <c r="E2748" s="59" t="s">
        <v>426</v>
      </c>
    </row>
    <row r="2749" spans="3:5" ht="15" x14ac:dyDescent="0.2">
      <c r="C2749" s="61">
        <v>41437.59375</v>
      </c>
      <c r="D2749" s="60">
        <v>3860</v>
      </c>
      <c r="E2749" s="59" t="s">
        <v>426</v>
      </c>
    </row>
    <row r="2750" spans="3:5" ht="15" x14ac:dyDescent="0.2">
      <c r="C2750" s="61">
        <v>41437.604166666664</v>
      </c>
      <c r="D2750" s="60">
        <v>3860</v>
      </c>
      <c r="E2750" s="59" t="s">
        <v>426</v>
      </c>
    </row>
    <row r="2751" spans="3:5" ht="15" x14ac:dyDescent="0.2">
      <c r="C2751" s="61">
        <v>41437.614583333336</v>
      </c>
      <c r="D2751" s="60">
        <v>3860</v>
      </c>
      <c r="E2751" s="59" t="s">
        <v>426</v>
      </c>
    </row>
    <row r="2752" spans="3:5" ht="15" x14ac:dyDescent="0.2">
      <c r="C2752" s="61">
        <v>41437.625</v>
      </c>
      <c r="D2752" s="60">
        <v>3860</v>
      </c>
      <c r="E2752" s="59" t="s">
        <v>426</v>
      </c>
    </row>
    <row r="2753" spans="3:5" ht="15" x14ac:dyDescent="0.2">
      <c r="C2753" s="61">
        <v>41437.635416666664</v>
      </c>
      <c r="D2753" s="60">
        <v>3860</v>
      </c>
      <c r="E2753" s="59" t="s">
        <v>426</v>
      </c>
    </row>
    <row r="2754" spans="3:5" ht="15" x14ac:dyDescent="0.2">
      <c r="C2754" s="61">
        <v>41437.645833333336</v>
      </c>
      <c r="D2754" s="60">
        <v>3840</v>
      </c>
      <c r="E2754" s="59" t="s">
        <v>427</v>
      </c>
    </row>
    <row r="2755" spans="3:5" ht="15" x14ac:dyDescent="0.2">
      <c r="C2755" s="61">
        <v>41437.65625</v>
      </c>
      <c r="D2755" s="60">
        <v>3840</v>
      </c>
      <c r="E2755" s="59" t="s">
        <v>427</v>
      </c>
    </row>
    <row r="2756" spans="3:5" ht="15" x14ac:dyDescent="0.2">
      <c r="C2756" s="61">
        <v>41437.666666666664</v>
      </c>
      <c r="D2756" s="60">
        <v>3840</v>
      </c>
      <c r="E2756" s="59" t="s">
        <v>427</v>
      </c>
    </row>
    <row r="2757" spans="3:5" ht="15" x14ac:dyDescent="0.2">
      <c r="C2757" s="61">
        <v>41437.677083333336</v>
      </c>
      <c r="D2757" s="60">
        <v>3840</v>
      </c>
      <c r="E2757" s="59" t="s">
        <v>427</v>
      </c>
    </row>
    <row r="2758" spans="3:5" ht="15" x14ac:dyDescent="0.2">
      <c r="C2758" s="61">
        <v>41437.6875</v>
      </c>
      <c r="D2758" s="60">
        <v>3840</v>
      </c>
      <c r="E2758" s="59" t="s">
        <v>427</v>
      </c>
    </row>
    <row r="2759" spans="3:5" ht="15" x14ac:dyDescent="0.2">
      <c r="C2759" s="61">
        <v>41437.697916666664</v>
      </c>
      <c r="D2759" s="60">
        <v>3840</v>
      </c>
      <c r="E2759" s="59" t="s">
        <v>427</v>
      </c>
    </row>
    <row r="2760" spans="3:5" ht="15" x14ac:dyDescent="0.2">
      <c r="C2760" s="61">
        <v>41437.708333333336</v>
      </c>
      <c r="D2760" s="60">
        <v>3830</v>
      </c>
      <c r="E2760" s="59" t="s">
        <v>428</v>
      </c>
    </row>
    <row r="2761" spans="3:5" ht="15" x14ac:dyDescent="0.2">
      <c r="C2761" s="61">
        <v>41437.71875</v>
      </c>
      <c r="D2761" s="60">
        <v>3830</v>
      </c>
      <c r="E2761" s="59" t="s">
        <v>428</v>
      </c>
    </row>
    <row r="2762" spans="3:5" ht="15" x14ac:dyDescent="0.2">
      <c r="C2762" s="61">
        <v>41437.729166666664</v>
      </c>
      <c r="D2762" s="60">
        <v>3830</v>
      </c>
      <c r="E2762" s="59" t="s">
        <v>428</v>
      </c>
    </row>
    <row r="2763" spans="3:5" ht="15" x14ac:dyDescent="0.2">
      <c r="C2763" s="61">
        <v>41437.739583333336</v>
      </c>
      <c r="D2763" s="60">
        <v>3830</v>
      </c>
      <c r="E2763" s="59" t="s">
        <v>428</v>
      </c>
    </row>
    <row r="2764" spans="3:5" ht="15" x14ac:dyDescent="0.2">
      <c r="C2764" s="61">
        <v>41437.75</v>
      </c>
      <c r="D2764" s="60">
        <v>3830</v>
      </c>
      <c r="E2764" s="59" t="s">
        <v>428</v>
      </c>
    </row>
    <row r="2765" spans="3:5" ht="15" x14ac:dyDescent="0.2">
      <c r="C2765" s="61">
        <v>41437.760416666664</v>
      </c>
      <c r="D2765" s="60">
        <v>3810</v>
      </c>
      <c r="E2765" s="59" t="s">
        <v>443</v>
      </c>
    </row>
    <row r="2766" spans="3:5" ht="15" x14ac:dyDescent="0.2">
      <c r="C2766" s="61">
        <v>41437.770833333336</v>
      </c>
      <c r="D2766" s="60">
        <v>3810</v>
      </c>
      <c r="E2766" s="59" t="s">
        <v>443</v>
      </c>
    </row>
    <row r="2767" spans="3:5" ht="15" x14ac:dyDescent="0.2">
      <c r="C2767" s="61">
        <v>41437.78125</v>
      </c>
      <c r="D2767" s="60">
        <v>3810</v>
      </c>
      <c r="E2767" s="59" t="s">
        <v>443</v>
      </c>
    </row>
    <row r="2768" spans="3:5" ht="15" x14ac:dyDescent="0.2">
      <c r="C2768" s="61">
        <v>41437.791666666664</v>
      </c>
      <c r="D2768" s="60">
        <v>3810</v>
      </c>
      <c r="E2768" s="59" t="s">
        <v>443</v>
      </c>
    </row>
    <row r="2769" spans="3:5" ht="15" x14ac:dyDescent="0.2">
      <c r="C2769" s="61">
        <v>41437.802083333336</v>
      </c>
      <c r="D2769" s="60">
        <v>3810</v>
      </c>
      <c r="E2769" s="59" t="s">
        <v>443</v>
      </c>
    </row>
    <row r="2770" spans="3:5" ht="15" x14ac:dyDescent="0.2">
      <c r="C2770" s="61">
        <v>41437.8125</v>
      </c>
      <c r="D2770" s="60">
        <v>3800</v>
      </c>
      <c r="E2770" s="59" t="s">
        <v>444</v>
      </c>
    </row>
    <row r="2771" spans="3:5" ht="15" x14ac:dyDescent="0.2">
      <c r="C2771" s="61">
        <v>41437.822916666664</v>
      </c>
      <c r="D2771" s="60">
        <v>3800</v>
      </c>
      <c r="E2771" s="59" t="s">
        <v>444</v>
      </c>
    </row>
    <row r="2772" spans="3:5" ht="15" x14ac:dyDescent="0.2">
      <c r="C2772" s="61">
        <v>41437.833333333336</v>
      </c>
      <c r="D2772" s="60">
        <v>3790</v>
      </c>
      <c r="E2772" s="59" t="s">
        <v>445</v>
      </c>
    </row>
    <row r="2773" spans="3:5" ht="15" x14ac:dyDescent="0.2">
      <c r="C2773" s="61">
        <v>41437.84375</v>
      </c>
      <c r="D2773" s="60">
        <v>3790</v>
      </c>
      <c r="E2773" s="59" t="s">
        <v>445</v>
      </c>
    </row>
    <row r="2774" spans="3:5" ht="15" x14ac:dyDescent="0.2">
      <c r="C2774" s="61">
        <v>41437.854166666664</v>
      </c>
      <c r="D2774" s="60">
        <v>3770</v>
      </c>
      <c r="E2774" s="59" t="s">
        <v>446</v>
      </c>
    </row>
    <row r="2775" spans="3:5" ht="15" x14ac:dyDescent="0.2">
      <c r="C2775" s="61">
        <v>41437.864583333336</v>
      </c>
      <c r="D2775" s="60">
        <v>3760</v>
      </c>
      <c r="E2775" s="59" t="s">
        <v>447</v>
      </c>
    </row>
    <row r="2776" spans="3:5" ht="15" x14ac:dyDescent="0.2">
      <c r="C2776" s="61">
        <v>41437.875</v>
      </c>
      <c r="D2776" s="60">
        <v>3760</v>
      </c>
      <c r="E2776" s="59" t="s">
        <v>447</v>
      </c>
    </row>
    <row r="2777" spans="3:5" ht="15" x14ac:dyDescent="0.2">
      <c r="C2777" s="61">
        <v>41437.885416666664</v>
      </c>
      <c r="D2777" s="60">
        <v>3760</v>
      </c>
      <c r="E2777" s="59" t="s">
        <v>447</v>
      </c>
    </row>
    <row r="2778" spans="3:5" ht="15" x14ac:dyDescent="0.2">
      <c r="C2778" s="61">
        <v>41437.895833333336</v>
      </c>
      <c r="D2778" s="60">
        <v>3740</v>
      </c>
      <c r="E2778" s="59" t="s">
        <v>448</v>
      </c>
    </row>
    <row r="2779" spans="3:5" ht="15" x14ac:dyDescent="0.2">
      <c r="C2779" s="61">
        <v>41437.90625</v>
      </c>
      <c r="D2779" s="60">
        <v>3730</v>
      </c>
      <c r="E2779" s="59" t="s">
        <v>449</v>
      </c>
    </row>
    <row r="2780" spans="3:5" ht="15" x14ac:dyDescent="0.2">
      <c r="C2780" s="61">
        <v>41437.916666666664</v>
      </c>
      <c r="D2780" s="60">
        <v>3720</v>
      </c>
      <c r="E2780" s="59" t="s">
        <v>450</v>
      </c>
    </row>
    <row r="2781" spans="3:5" ht="15" x14ac:dyDescent="0.2">
      <c r="C2781" s="61">
        <v>41437.927083333336</v>
      </c>
      <c r="D2781" s="60">
        <v>3700</v>
      </c>
      <c r="E2781" s="59" t="s">
        <v>451</v>
      </c>
    </row>
    <row r="2782" spans="3:5" ht="15" x14ac:dyDescent="0.2">
      <c r="C2782" s="61">
        <v>41437.9375</v>
      </c>
      <c r="D2782" s="60">
        <v>3690</v>
      </c>
      <c r="E2782" s="59" t="s">
        <v>452</v>
      </c>
    </row>
    <row r="2783" spans="3:5" ht="15" x14ac:dyDescent="0.2">
      <c r="C2783" s="61">
        <v>41437.947916666664</v>
      </c>
      <c r="D2783" s="60">
        <v>3680</v>
      </c>
      <c r="E2783" s="59" t="s">
        <v>453</v>
      </c>
    </row>
    <row r="2784" spans="3:5" ht="15" x14ac:dyDescent="0.2">
      <c r="C2784" s="61">
        <v>41437.958333333336</v>
      </c>
      <c r="D2784" s="60">
        <v>3660</v>
      </c>
      <c r="E2784" s="59" t="s">
        <v>454</v>
      </c>
    </row>
    <row r="2785" spans="3:5" ht="15" x14ac:dyDescent="0.2">
      <c r="C2785" s="61">
        <v>41437.96875</v>
      </c>
      <c r="D2785" s="60">
        <v>3650</v>
      </c>
      <c r="E2785" s="59" t="s">
        <v>455</v>
      </c>
    </row>
    <row r="2786" spans="3:5" ht="15" x14ac:dyDescent="0.2">
      <c r="C2786" s="61">
        <v>41437.979166666664</v>
      </c>
      <c r="D2786" s="60">
        <v>3650</v>
      </c>
      <c r="E2786" s="59" t="s">
        <v>455</v>
      </c>
    </row>
    <row r="2787" spans="3:5" ht="15" x14ac:dyDescent="0.2">
      <c r="C2787" s="61">
        <v>41437.989583333336</v>
      </c>
      <c r="D2787" s="60">
        <v>3630</v>
      </c>
      <c r="E2787" s="59" t="s">
        <v>456</v>
      </c>
    </row>
    <row r="2788" spans="3:5" ht="15" x14ac:dyDescent="0.2">
      <c r="C2788" s="61">
        <v>41438</v>
      </c>
      <c r="D2788" s="60">
        <v>3620</v>
      </c>
      <c r="E2788" s="59" t="s">
        <v>457</v>
      </c>
    </row>
    <row r="2789" spans="3:5" ht="15" x14ac:dyDescent="0.2">
      <c r="C2789" s="61">
        <v>41438.010416666664</v>
      </c>
      <c r="D2789" s="60">
        <v>3620</v>
      </c>
      <c r="E2789" s="59" t="s">
        <v>457</v>
      </c>
    </row>
    <row r="2790" spans="3:5" ht="15" x14ac:dyDescent="0.2">
      <c r="C2790" s="61">
        <v>41438.020833333336</v>
      </c>
      <c r="D2790" s="60">
        <v>3610</v>
      </c>
      <c r="E2790" s="59" t="s">
        <v>458</v>
      </c>
    </row>
    <row r="2791" spans="3:5" ht="15" x14ac:dyDescent="0.2">
      <c r="C2791" s="61">
        <v>41438.03125</v>
      </c>
      <c r="D2791" s="60">
        <v>3590</v>
      </c>
      <c r="E2791" s="59" t="s">
        <v>459</v>
      </c>
    </row>
    <row r="2792" spans="3:5" ht="15" x14ac:dyDescent="0.2">
      <c r="C2792" s="61">
        <v>41438.041666666664</v>
      </c>
      <c r="D2792" s="60">
        <v>3580</v>
      </c>
      <c r="E2792" s="59" t="s">
        <v>460</v>
      </c>
    </row>
    <row r="2793" spans="3:5" ht="15" x14ac:dyDescent="0.2">
      <c r="C2793" s="61">
        <v>41438.052083333336</v>
      </c>
      <c r="D2793" s="60">
        <v>3570</v>
      </c>
      <c r="E2793" s="59" t="s">
        <v>461</v>
      </c>
    </row>
    <row r="2794" spans="3:5" ht="15" x14ac:dyDescent="0.2">
      <c r="C2794" s="61">
        <v>41438.0625</v>
      </c>
      <c r="D2794" s="60">
        <v>3570</v>
      </c>
      <c r="E2794" s="59" t="s">
        <v>461</v>
      </c>
    </row>
    <row r="2795" spans="3:5" ht="15" x14ac:dyDescent="0.2">
      <c r="C2795" s="61">
        <v>41438.072916666664</v>
      </c>
      <c r="D2795" s="60">
        <v>3550</v>
      </c>
      <c r="E2795" s="59" t="s">
        <v>462</v>
      </c>
    </row>
    <row r="2796" spans="3:5" ht="15" x14ac:dyDescent="0.2">
      <c r="C2796" s="61">
        <v>41438.083333333336</v>
      </c>
      <c r="D2796" s="60">
        <v>3540</v>
      </c>
      <c r="E2796" s="59" t="s">
        <v>463</v>
      </c>
    </row>
    <row r="2797" spans="3:5" ht="15" x14ac:dyDescent="0.2">
      <c r="C2797" s="61">
        <v>41438.09375</v>
      </c>
      <c r="D2797" s="60">
        <v>3540</v>
      </c>
      <c r="E2797" s="59" t="s">
        <v>463</v>
      </c>
    </row>
    <row r="2798" spans="3:5" ht="15" x14ac:dyDescent="0.2">
      <c r="C2798" s="61">
        <v>41438.104166666664</v>
      </c>
      <c r="D2798" s="60">
        <v>3530</v>
      </c>
      <c r="E2798" s="59" t="s">
        <v>464</v>
      </c>
    </row>
    <row r="2799" spans="3:5" ht="15" x14ac:dyDescent="0.2">
      <c r="C2799" s="61">
        <v>41438.114583333336</v>
      </c>
      <c r="D2799" s="60">
        <v>3510</v>
      </c>
      <c r="E2799" s="59" t="s">
        <v>465</v>
      </c>
    </row>
    <row r="2800" spans="3:5" ht="15" x14ac:dyDescent="0.2">
      <c r="C2800" s="61">
        <v>41438.125</v>
      </c>
      <c r="D2800" s="60">
        <v>3510</v>
      </c>
      <c r="E2800" s="59" t="s">
        <v>465</v>
      </c>
    </row>
    <row r="2801" spans="3:5" ht="15" x14ac:dyDescent="0.2">
      <c r="C2801" s="61">
        <v>41438.135416666664</v>
      </c>
      <c r="D2801" s="60">
        <v>3500</v>
      </c>
      <c r="E2801" s="59" t="s">
        <v>466</v>
      </c>
    </row>
    <row r="2802" spans="3:5" ht="15" x14ac:dyDescent="0.2">
      <c r="C2802" s="61">
        <v>41438.145833333336</v>
      </c>
      <c r="D2802" s="60">
        <v>3490</v>
      </c>
      <c r="E2802" s="59" t="s">
        <v>467</v>
      </c>
    </row>
    <row r="2803" spans="3:5" ht="15" x14ac:dyDescent="0.2">
      <c r="C2803" s="61">
        <v>41438.15625</v>
      </c>
      <c r="D2803" s="60">
        <v>3490</v>
      </c>
      <c r="E2803" s="59" t="s">
        <v>467</v>
      </c>
    </row>
    <row r="2804" spans="3:5" ht="15" x14ac:dyDescent="0.2">
      <c r="C2804" s="61">
        <v>41438.166666666664</v>
      </c>
      <c r="D2804" s="60">
        <v>3470</v>
      </c>
      <c r="E2804" s="59" t="s">
        <v>468</v>
      </c>
    </row>
    <row r="2805" spans="3:5" ht="15" x14ac:dyDescent="0.2">
      <c r="C2805" s="61">
        <v>41438.177083333336</v>
      </c>
      <c r="D2805" s="60">
        <v>3460</v>
      </c>
      <c r="E2805" s="59" t="s">
        <v>469</v>
      </c>
    </row>
    <row r="2806" spans="3:5" ht="15" x14ac:dyDescent="0.2">
      <c r="C2806" s="61">
        <v>41438.1875</v>
      </c>
      <c r="D2806" s="60">
        <v>3440</v>
      </c>
      <c r="E2806" s="59" t="s">
        <v>470</v>
      </c>
    </row>
    <row r="2807" spans="3:5" ht="15" x14ac:dyDescent="0.2">
      <c r="C2807" s="61">
        <v>41438.197916666664</v>
      </c>
      <c r="D2807" s="60">
        <v>3440</v>
      </c>
      <c r="E2807" s="59" t="s">
        <v>470</v>
      </c>
    </row>
    <row r="2808" spans="3:5" ht="15" x14ac:dyDescent="0.2">
      <c r="C2808" s="61">
        <v>41438.208333333336</v>
      </c>
      <c r="D2808" s="60">
        <v>3430</v>
      </c>
      <c r="E2808" s="59" t="s">
        <v>471</v>
      </c>
    </row>
    <row r="2809" spans="3:5" ht="15" x14ac:dyDescent="0.2">
      <c r="C2809" s="61">
        <v>41438.21875</v>
      </c>
      <c r="D2809" s="60">
        <v>3420</v>
      </c>
      <c r="E2809" s="59" t="s">
        <v>472</v>
      </c>
    </row>
    <row r="2810" spans="3:5" ht="15" x14ac:dyDescent="0.2">
      <c r="C2810" s="61">
        <v>41438.229166666664</v>
      </c>
      <c r="D2810" s="60">
        <v>3400</v>
      </c>
      <c r="E2810" s="59" t="s">
        <v>473</v>
      </c>
    </row>
    <row r="2811" spans="3:5" ht="15" x14ac:dyDescent="0.2">
      <c r="C2811" s="61">
        <v>41438.239583333336</v>
      </c>
      <c r="D2811" s="60">
        <v>3400</v>
      </c>
      <c r="E2811" s="59" t="s">
        <v>473</v>
      </c>
    </row>
    <row r="2812" spans="3:5" ht="15" x14ac:dyDescent="0.2">
      <c r="C2812" s="61">
        <v>41438.25</v>
      </c>
      <c r="D2812" s="60">
        <v>3390</v>
      </c>
      <c r="E2812" s="59" t="s">
        <v>474</v>
      </c>
    </row>
    <row r="2813" spans="3:5" ht="15" x14ac:dyDescent="0.2">
      <c r="C2813" s="61">
        <v>41438.260416666664</v>
      </c>
      <c r="D2813" s="60">
        <v>3390</v>
      </c>
      <c r="E2813" s="59" t="s">
        <v>474</v>
      </c>
    </row>
    <row r="2814" spans="3:5" ht="15" x14ac:dyDescent="0.2">
      <c r="C2814" s="61">
        <v>41438.270833333336</v>
      </c>
      <c r="D2814" s="60">
        <v>3380</v>
      </c>
      <c r="E2814" s="59" t="s">
        <v>475</v>
      </c>
    </row>
    <row r="2815" spans="3:5" ht="15" x14ac:dyDescent="0.2">
      <c r="C2815" s="61">
        <v>41438.28125</v>
      </c>
      <c r="D2815" s="60">
        <v>3360</v>
      </c>
      <c r="E2815" s="59" t="s">
        <v>476</v>
      </c>
    </row>
    <row r="2816" spans="3:5" ht="15" x14ac:dyDescent="0.2">
      <c r="C2816" s="61">
        <v>41438.291666666664</v>
      </c>
      <c r="D2816" s="60">
        <v>3350</v>
      </c>
      <c r="E2816" s="59" t="s">
        <v>477</v>
      </c>
    </row>
    <row r="2817" spans="3:5" ht="15" x14ac:dyDescent="0.2">
      <c r="C2817" s="61">
        <v>41438.302083333336</v>
      </c>
      <c r="D2817" s="60">
        <v>3340</v>
      </c>
      <c r="E2817" s="59" t="s">
        <v>478</v>
      </c>
    </row>
    <row r="2818" spans="3:5" ht="15" x14ac:dyDescent="0.2">
      <c r="C2818" s="61">
        <v>41438.3125</v>
      </c>
      <c r="D2818" s="60">
        <v>3320</v>
      </c>
      <c r="E2818" s="59" t="s">
        <v>479</v>
      </c>
    </row>
    <row r="2819" spans="3:5" ht="15" x14ac:dyDescent="0.2">
      <c r="C2819" s="61">
        <v>41438.322916666664</v>
      </c>
      <c r="D2819" s="60">
        <v>3310</v>
      </c>
      <c r="E2819" s="59" t="s">
        <v>480</v>
      </c>
    </row>
    <row r="2820" spans="3:5" ht="15" x14ac:dyDescent="0.2">
      <c r="C2820" s="61">
        <v>41438.333333333336</v>
      </c>
      <c r="D2820" s="60">
        <v>3300</v>
      </c>
      <c r="E2820" s="59" t="s">
        <v>481</v>
      </c>
    </row>
    <row r="2821" spans="3:5" ht="15" x14ac:dyDescent="0.2">
      <c r="C2821" s="61">
        <v>41438.34375</v>
      </c>
      <c r="D2821" s="60">
        <v>3300</v>
      </c>
      <c r="E2821" s="59" t="s">
        <v>481</v>
      </c>
    </row>
    <row r="2822" spans="3:5" ht="15" x14ac:dyDescent="0.2">
      <c r="C2822" s="61">
        <v>41438.354166666664</v>
      </c>
      <c r="D2822" s="60">
        <v>3280</v>
      </c>
      <c r="E2822" s="59" t="s">
        <v>482</v>
      </c>
    </row>
    <row r="2823" spans="3:5" ht="15" x14ac:dyDescent="0.2">
      <c r="C2823" s="61">
        <v>41438.364583333336</v>
      </c>
      <c r="D2823" s="60">
        <v>3270</v>
      </c>
      <c r="E2823" s="59" t="s">
        <v>483</v>
      </c>
    </row>
    <row r="2824" spans="3:5" ht="15" x14ac:dyDescent="0.2">
      <c r="C2824" s="61">
        <v>41438.375</v>
      </c>
      <c r="D2824" s="60">
        <v>3270</v>
      </c>
      <c r="E2824" s="59" t="s">
        <v>483</v>
      </c>
    </row>
    <row r="2825" spans="3:5" ht="15" x14ac:dyDescent="0.2">
      <c r="C2825" s="61">
        <v>41438.385416666664</v>
      </c>
      <c r="D2825" s="60">
        <v>3260</v>
      </c>
      <c r="E2825" s="59" t="s">
        <v>484</v>
      </c>
    </row>
    <row r="2826" spans="3:5" ht="15" x14ac:dyDescent="0.2">
      <c r="C2826" s="61">
        <v>41438.395833333336</v>
      </c>
      <c r="D2826" s="60">
        <v>3260</v>
      </c>
      <c r="E2826" s="59" t="s">
        <v>484</v>
      </c>
    </row>
    <row r="2827" spans="3:5" ht="15" x14ac:dyDescent="0.2">
      <c r="C2827" s="61">
        <v>41438.40625</v>
      </c>
      <c r="D2827" s="60">
        <v>3260</v>
      </c>
      <c r="E2827" s="59" t="s">
        <v>484</v>
      </c>
    </row>
    <row r="2828" spans="3:5" ht="15" x14ac:dyDescent="0.2">
      <c r="C2828" s="61">
        <v>41438.416666666664</v>
      </c>
      <c r="D2828" s="60">
        <v>3250</v>
      </c>
      <c r="E2828" s="59" t="s">
        <v>485</v>
      </c>
    </row>
    <row r="2829" spans="3:5" ht="15" x14ac:dyDescent="0.2">
      <c r="C2829" s="61">
        <v>41438.427083333336</v>
      </c>
      <c r="D2829" s="60">
        <v>3250</v>
      </c>
      <c r="E2829" s="59" t="s">
        <v>485</v>
      </c>
    </row>
    <row r="2830" spans="3:5" ht="15" x14ac:dyDescent="0.2">
      <c r="C2830" s="61">
        <v>41438.4375</v>
      </c>
      <c r="D2830" s="60">
        <v>3230</v>
      </c>
      <c r="E2830" s="59" t="s">
        <v>486</v>
      </c>
    </row>
    <row r="2831" spans="3:5" ht="15" x14ac:dyDescent="0.2">
      <c r="C2831" s="61">
        <v>41438.447916666664</v>
      </c>
      <c r="D2831" s="60">
        <v>3230</v>
      </c>
      <c r="E2831" s="59" t="s">
        <v>486</v>
      </c>
    </row>
    <row r="2832" spans="3:5" ht="15" x14ac:dyDescent="0.2">
      <c r="C2832" s="61">
        <v>41438.458333333336</v>
      </c>
      <c r="D2832" s="60">
        <v>3230</v>
      </c>
      <c r="E2832" s="59" t="s">
        <v>486</v>
      </c>
    </row>
    <row r="2833" spans="3:5" ht="15" x14ac:dyDescent="0.2">
      <c r="C2833" s="61">
        <v>41438.46875</v>
      </c>
      <c r="D2833" s="60">
        <v>3220</v>
      </c>
      <c r="E2833" s="59" t="s">
        <v>487</v>
      </c>
    </row>
    <row r="2834" spans="3:5" ht="15" x14ac:dyDescent="0.2">
      <c r="C2834" s="61">
        <v>41438.479166666664</v>
      </c>
      <c r="D2834" s="60">
        <v>3220</v>
      </c>
      <c r="E2834" s="59" t="s">
        <v>487</v>
      </c>
    </row>
    <row r="2835" spans="3:5" ht="15" x14ac:dyDescent="0.2">
      <c r="C2835" s="61">
        <v>41438.489583333336</v>
      </c>
      <c r="D2835" s="60">
        <v>3220</v>
      </c>
      <c r="E2835" s="59" t="s">
        <v>487</v>
      </c>
    </row>
    <row r="2836" spans="3:5" ht="15" x14ac:dyDescent="0.2">
      <c r="C2836" s="61">
        <v>41438.5</v>
      </c>
      <c r="D2836" s="60">
        <v>3210</v>
      </c>
      <c r="E2836" s="59" t="s">
        <v>488</v>
      </c>
    </row>
    <row r="2837" spans="3:5" ht="15" x14ac:dyDescent="0.2">
      <c r="C2837" s="61">
        <v>41438.510416666664</v>
      </c>
      <c r="D2837" s="60">
        <v>3210</v>
      </c>
      <c r="E2837" s="59" t="s">
        <v>488</v>
      </c>
    </row>
    <row r="2838" spans="3:5" ht="15" x14ac:dyDescent="0.2">
      <c r="C2838" s="61">
        <v>41438.520833333336</v>
      </c>
      <c r="D2838" s="60">
        <v>3190</v>
      </c>
      <c r="E2838" s="59" t="s">
        <v>489</v>
      </c>
    </row>
    <row r="2839" spans="3:5" ht="15" x14ac:dyDescent="0.2">
      <c r="C2839" s="61">
        <v>41438.53125</v>
      </c>
      <c r="D2839" s="60">
        <v>3190</v>
      </c>
      <c r="E2839" s="59" t="s">
        <v>489</v>
      </c>
    </row>
    <row r="2840" spans="3:5" ht="15" x14ac:dyDescent="0.2">
      <c r="C2840" s="61">
        <v>41438.541666666664</v>
      </c>
      <c r="D2840" s="60">
        <v>3180</v>
      </c>
      <c r="E2840" s="59" t="s">
        <v>490</v>
      </c>
    </row>
    <row r="2841" spans="3:5" ht="15" x14ac:dyDescent="0.2">
      <c r="C2841" s="61">
        <v>41438.552083333336</v>
      </c>
      <c r="D2841" s="60">
        <v>3170</v>
      </c>
      <c r="E2841" s="59" t="s">
        <v>491</v>
      </c>
    </row>
    <row r="2842" spans="3:5" ht="15" x14ac:dyDescent="0.2">
      <c r="C2842" s="61">
        <v>41438.5625</v>
      </c>
      <c r="D2842" s="60">
        <v>3170</v>
      </c>
      <c r="E2842" s="59" t="s">
        <v>491</v>
      </c>
    </row>
    <row r="2843" spans="3:5" ht="15" x14ac:dyDescent="0.2">
      <c r="C2843" s="61">
        <v>41438.572916666664</v>
      </c>
      <c r="D2843" s="60">
        <v>3170</v>
      </c>
      <c r="E2843" s="59" t="s">
        <v>491</v>
      </c>
    </row>
    <row r="2844" spans="3:5" ht="15" x14ac:dyDescent="0.2">
      <c r="C2844" s="61">
        <v>41438.583333333336</v>
      </c>
      <c r="D2844" s="60">
        <v>3150</v>
      </c>
      <c r="E2844" s="59" t="s">
        <v>492</v>
      </c>
    </row>
    <row r="2845" spans="3:5" ht="15" x14ac:dyDescent="0.2">
      <c r="C2845" s="61">
        <v>41438.59375</v>
      </c>
      <c r="D2845" s="60">
        <v>3150</v>
      </c>
      <c r="E2845" s="59" t="s">
        <v>492</v>
      </c>
    </row>
    <row r="2846" spans="3:5" ht="15" x14ac:dyDescent="0.2">
      <c r="C2846" s="61">
        <v>41438.604166666664</v>
      </c>
      <c r="D2846" s="60">
        <v>3140</v>
      </c>
      <c r="E2846" s="59" t="s">
        <v>493</v>
      </c>
    </row>
    <row r="2847" spans="3:5" ht="15" x14ac:dyDescent="0.2">
      <c r="C2847" s="61">
        <v>41438.614583333336</v>
      </c>
      <c r="D2847" s="60">
        <v>3140</v>
      </c>
      <c r="E2847" s="59" t="s">
        <v>493</v>
      </c>
    </row>
    <row r="2848" spans="3:5" ht="15" x14ac:dyDescent="0.2">
      <c r="C2848" s="61">
        <v>41438.625</v>
      </c>
      <c r="D2848" s="60">
        <v>3140</v>
      </c>
      <c r="E2848" s="59" t="s">
        <v>493</v>
      </c>
    </row>
    <row r="2849" spans="3:5" ht="15" x14ac:dyDescent="0.2">
      <c r="C2849" s="61">
        <v>41438.635416666664</v>
      </c>
      <c r="D2849" s="60">
        <v>3130</v>
      </c>
      <c r="E2849" s="59" t="s">
        <v>494</v>
      </c>
    </row>
    <row r="2850" spans="3:5" ht="15" x14ac:dyDescent="0.2">
      <c r="C2850" s="61">
        <v>41438.645833333336</v>
      </c>
      <c r="D2850" s="60">
        <v>3130</v>
      </c>
      <c r="E2850" s="59" t="s">
        <v>494</v>
      </c>
    </row>
    <row r="2851" spans="3:5" ht="15" x14ac:dyDescent="0.2">
      <c r="C2851" s="61">
        <v>41438.65625</v>
      </c>
      <c r="D2851" s="60">
        <v>3110</v>
      </c>
      <c r="E2851" s="59" t="s">
        <v>495</v>
      </c>
    </row>
    <row r="2852" spans="3:5" ht="15" x14ac:dyDescent="0.2">
      <c r="C2852" s="61">
        <v>41438.666666666664</v>
      </c>
      <c r="D2852" s="60">
        <v>3110</v>
      </c>
      <c r="E2852" s="59" t="s">
        <v>495</v>
      </c>
    </row>
    <row r="2853" spans="3:5" ht="15" x14ac:dyDescent="0.2">
      <c r="C2853" s="61">
        <v>41438.677083333336</v>
      </c>
      <c r="D2853" s="60">
        <v>3100</v>
      </c>
      <c r="E2853" s="59" t="s">
        <v>496</v>
      </c>
    </row>
    <row r="2854" spans="3:5" ht="15" x14ac:dyDescent="0.2">
      <c r="C2854" s="61">
        <v>41438.6875</v>
      </c>
      <c r="D2854" s="60">
        <v>3100</v>
      </c>
      <c r="E2854" s="59" t="s">
        <v>496</v>
      </c>
    </row>
    <row r="2855" spans="3:5" ht="15" x14ac:dyDescent="0.2">
      <c r="C2855" s="61">
        <v>41438.697916666664</v>
      </c>
      <c r="D2855" s="60">
        <v>3100</v>
      </c>
      <c r="E2855" s="59" t="s">
        <v>496</v>
      </c>
    </row>
    <row r="2856" spans="3:5" ht="15" x14ac:dyDescent="0.2">
      <c r="C2856" s="61">
        <v>41438.708333333336</v>
      </c>
      <c r="D2856" s="60">
        <v>3090</v>
      </c>
      <c r="E2856" s="59" t="s">
        <v>497</v>
      </c>
    </row>
    <row r="2857" spans="3:5" ht="15" x14ac:dyDescent="0.2">
      <c r="C2857" s="61">
        <v>41438.71875</v>
      </c>
      <c r="D2857" s="60">
        <v>3090</v>
      </c>
      <c r="E2857" s="59" t="s">
        <v>497</v>
      </c>
    </row>
    <row r="2858" spans="3:5" ht="15" x14ac:dyDescent="0.2">
      <c r="C2858" s="61">
        <v>41438.729166666664</v>
      </c>
      <c r="D2858" s="60">
        <v>3080</v>
      </c>
      <c r="E2858" s="59" t="s">
        <v>498</v>
      </c>
    </row>
    <row r="2859" spans="3:5" ht="15" x14ac:dyDescent="0.2">
      <c r="C2859" s="61">
        <v>41438.739583333336</v>
      </c>
      <c r="D2859" s="60">
        <v>3080</v>
      </c>
      <c r="E2859" s="59" t="s">
        <v>498</v>
      </c>
    </row>
    <row r="2860" spans="3:5" ht="15" x14ac:dyDescent="0.2">
      <c r="C2860" s="61">
        <v>41438.75</v>
      </c>
      <c r="D2860" s="60">
        <v>3060</v>
      </c>
      <c r="E2860" s="59" t="s">
        <v>499</v>
      </c>
    </row>
    <row r="2861" spans="3:5" ht="15" x14ac:dyDescent="0.2">
      <c r="C2861" s="61">
        <v>41438.760416666664</v>
      </c>
      <c r="D2861" s="60">
        <v>3060</v>
      </c>
      <c r="E2861" s="59" t="s">
        <v>499</v>
      </c>
    </row>
    <row r="2862" spans="3:5" ht="15" x14ac:dyDescent="0.2">
      <c r="C2862" s="61">
        <v>41438.770833333336</v>
      </c>
      <c r="D2862" s="60">
        <v>3050</v>
      </c>
      <c r="E2862" s="59" t="s">
        <v>500</v>
      </c>
    </row>
    <row r="2863" spans="3:5" ht="15" x14ac:dyDescent="0.2">
      <c r="C2863" s="61">
        <v>41438.78125</v>
      </c>
      <c r="D2863" s="60">
        <v>3050</v>
      </c>
      <c r="E2863" s="59" t="s">
        <v>500</v>
      </c>
    </row>
    <row r="2864" spans="3:5" ht="15" x14ac:dyDescent="0.2">
      <c r="C2864" s="61">
        <v>41438.791666666664</v>
      </c>
      <c r="D2864" s="60">
        <v>3040</v>
      </c>
      <c r="E2864" s="59" t="s">
        <v>501</v>
      </c>
    </row>
    <row r="2865" spans="3:5" ht="15" x14ac:dyDescent="0.2">
      <c r="C2865" s="61">
        <v>41438.802083333336</v>
      </c>
      <c r="D2865" s="60">
        <v>3040</v>
      </c>
      <c r="E2865" s="59" t="s">
        <v>501</v>
      </c>
    </row>
    <row r="2866" spans="3:5" ht="15" x14ac:dyDescent="0.2">
      <c r="C2866" s="61">
        <v>41438.8125</v>
      </c>
      <c r="D2866" s="60">
        <v>3040</v>
      </c>
      <c r="E2866" s="59" t="s">
        <v>501</v>
      </c>
    </row>
    <row r="2867" spans="3:5" ht="15" x14ac:dyDescent="0.2">
      <c r="C2867" s="61">
        <v>41438.822916666664</v>
      </c>
      <c r="D2867" s="60">
        <v>3020</v>
      </c>
      <c r="E2867" s="59" t="s">
        <v>502</v>
      </c>
    </row>
    <row r="2868" spans="3:5" ht="15" x14ac:dyDescent="0.2">
      <c r="C2868" s="61">
        <v>41438.833333333336</v>
      </c>
      <c r="D2868" s="60">
        <v>3020</v>
      </c>
      <c r="E2868" s="59" t="s">
        <v>502</v>
      </c>
    </row>
    <row r="2869" spans="3:5" ht="15" x14ac:dyDescent="0.2">
      <c r="C2869" s="61">
        <v>41438.84375</v>
      </c>
      <c r="D2869" s="60">
        <v>3020</v>
      </c>
      <c r="E2869" s="59" t="s">
        <v>502</v>
      </c>
    </row>
    <row r="2870" spans="3:5" ht="15" x14ac:dyDescent="0.2">
      <c r="C2870" s="61">
        <v>41438.854166666664</v>
      </c>
      <c r="D2870" s="60">
        <v>3010</v>
      </c>
      <c r="E2870" s="59" t="s">
        <v>503</v>
      </c>
    </row>
    <row r="2871" spans="3:5" ht="15" x14ac:dyDescent="0.2">
      <c r="C2871" s="61">
        <v>41438.864583333336</v>
      </c>
      <c r="D2871" s="60">
        <v>3010</v>
      </c>
      <c r="E2871" s="59" t="s">
        <v>503</v>
      </c>
    </row>
    <row r="2872" spans="3:5" ht="15" x14ac:dyDescent="0.2">
      <c r="C2872" s="61">
        <v>41438.875</v>
      </c>
      <c r="D2872" s="60">
        <v>3010</v>
      </c>
      <c r="E2872" s="59" t="s">
        <v>503</v>
      </c>
    </row>
    <row r="2873" spans="3:5" ht="15" x14ac:dyDescent="0.2">
      <c r="C2873" s="61">
        <v>41438.885416666664</v>
      </c>
      <c r="D2873" s="60">
        <v>3010</v>
      </c>
      <c r="E2873" s="59" t="s">
        <v>503</v>
      </c>
    </row>
    <row r="2874" spans="3:5" ht="15" x14ac:dyDescent="0.2">
      <c r="C2874" s="61">
        <v>41438.895833333336</v>
      </c>
      <c r="D2874" s="60">
        <v>3010</v>
      </c>
      <c r="E2874" s="59" t="s">
        <v>503</v>
      </c>
    </row>
    <row r="2875" spans="3:5" ht="15" x14ac:dyDescent="0.2">
      <c r="C2875" s="61">
        <v>41438.90625</v>
      </c>
      <c r="D2875" s="60">
        <v>3010</v>
      </c>
      <c r="E2875" s="59" t="s">
        <v>503</v>
      </c>
    </row>
    <row r="2876" spans="3:5" ht="15" x14ac:dyDescent="0.2">
      <c r="C2876" s="61">
        <v>41438.916666666664</v>
      </c>
      <c r="D2876" s="60">
        <v>3010</v>
      </c>
      <c r="E2876" s="59" t="s">
        <v>503</v>
      </c>
    </row>
    <row r="2877" spans="3:5" ht="15" x14ac:dyDescent="0.2">
      <c r="C2877" s="61">
        <v>41438.927083333336</v>
      </c>
      <c r="D2877" s="60">
        <v>3010</v>
      </c>
      <c r="E2877" s="59" t="s">
        <v>503</v>
      </c>
    </row>
    <row r="2878" spans="3:5" ht="15" x14ac:dyDescent="0.2">
      <c r="C2878" s="61">
        <v>41438.9375</v>
      </c>
      <c r="D2878" s="60">
        <v>3000</v>
      </c>
      <c r="E2878" s="59" t="s">
        <v>504</v>
      </c>
    </row>
    <row r="2879" spans="3:5" ht="15" x14ac:dyDescent="0.2">
      <c r="C2879" s="61">
        <v>41438.947916666664</v>
      </c>
      <c r="D2879" s="60">
        <v>3000</v>
      </c>
      <c r="E2879" s="59" t="s">
        <v>504</v>
      </c>
    </row>
    <row r="2880" spans="3:5" ht="15" x14ac:dyDescent="0.2">
      <c r="C2880" s="61">
        <v>41438.958333333336</v>
      </c>
      <c r="D2880" s="60">
        <v>3000</v>
      </c>
      <c r="E2880" s="59" t="s">
        <v>504</v>
      </c>
    </row>
    <row r="2881" spans="3:5" ht="15" x14ac:dyDescent="0.2">
      <c r="C2881" s="61">
        <v>41438.96875</v>
      </c>
      <c r="D2881" s="60">
        <v>2980</v>
      </c>
      <c r="E2881" s="59" t="s">
        <v>505</v>
      </c>
    </row>
    <row r="2882" spans="3:5" ht="15" x14ac:dyDescent="0.2">
      <c r="C2882" s="61">
        <v>41438.979166666664</v>
      </c>
      <c r="D2882" s="60">
        <v>2980</v>
      </c>
      <c r="E2882" s="59" t="s">
        <v>505</v>
      </c>
    </row>
    <row r="2883" spans="3:5" ht="15" x14ac:dyDescent="0.2">
      <c r="C2883" s="61">
        <v>41438.989583333336</v>
      </c>
      <c r="D2883" s="60">
        <v>2970</v>
      </c>
      <c r="E2883" s="59" t="s">
        <v>506</v>
      </c>
    </row>
    <row r="2884" spans="3:5" ht="15" x14ac:dyDescent="0.2">
      <c r="C2884" s="61">
        <v>41439</v>
      </c>
      <c r="D2884" s="60">
        <v>2970</v>
      </c>
      <c r="E2884" s="59" t="s">
        <v>506</v>
      </c>
    </row>
    <row r="2885" spans="3:5" ht="15" x14ac:dyDescent="0.2">
      <c r="C2885" s="61">
        <v>41439.010416666664</v>
      </c>
      <c r="D2885" s="60">
        <v>2960</v>
      </c>
      <c r="E2885" s="59" t="s">
        <v>507</v>
      </c>
    </row>
    <row r="2886" spans="3:5" ht="15" x14ac:dyDescent="0.2">
      <c r="C2886" s="61">
        <v>41439.020833333336</v>
      </c>
      <c r="D2886" s="60">
        <v>2950</v>
      </c>
      <c r="E2886" s="59" t="s">
        <v>508</v>
      </c>
    </row>
    <row r="2887" spans="3:5" ht="15" x14ac:dyDescent="0.2">
      <c r="C2887" s="61">
        <v>41439.03125</v>
      </c>
      <c r="D2887" s="60">
        <v>2950</v>
      </c>
      <c r="E2887" s="59" t="s">
        <v>508</v>
      </c>
    </row>
    <row r="2888" spans="3:5" ht="15" x14ac:dyDescent="0.2">
      <c r="C2888" s="61">
        <v>41439.041666666664</v>
      </c>
      <c r="D2888" s="60">
        <v>2930</v>
      </c>
      <c r="E2888" s="59" t="s">
        <v>509</v>
      </c>
    </row>
    <row r="2889" spans="3:5" ht="15" x14ac:dyDescent="0.2">
      <c r="C2889" s="61">
        <v>41439.052083333336</v>
      </c>
      <c r="D2889" s="60">
        <v>2920</v>
      </c>
      <c r="E2889" s="59" t="s">
        <v>510</v>
      </c>
    </row>
    <row r="2890" spans="3:5" ht="15" x14ac:dyDescent="0.2">
      <c r="C2890" s="61">
        <v>41439.0625</v>
      </c>
      <c r="D2890" s="60">
        <v>2910</v>
      </c>
      <c r="E2890" s="59" t="s">
        <v>511</v>
      </c>
    </row>
    <row r="2891" spans="3:5" ht="15" x14ac:dyDescent="0.2">
      <c r="C2891" s="61">
        <v>41439.072916666664</v>
      </c>
      <c r="D2891" s="60">
        <v>2910</v>
      </c>
      <c r="E2891" s="59" t="s">
        <v>511</v>
      </c>
    </row>
    <row r="2892" spans="3:5" ht="15" x14ac:dyDescent="0.2">
      <c r="C2892" s="61">
        <v>41439.083333333336</v>
      </c>
      <c r="D2892" s="60">
        <v>2900</v>
      </c>
      <c r="E2892" s="59" t="s">
        <v>512</v>
      </c>
    </row>
    <row r="2893" spans="3:5" ht="15" x14ac:dyDescent="0.2">
      <c r="C2893" s="61">
        <v>41439.09375</v>
      </c>
      <c r="D2893" s="60">
        <v>2880</v>
      </c>
      <c r="E2893" s="59" t="s">
        <v>513</v>
      </c>
    </row>
    <row r="2894" spans="3:5" ht="15" x14ac:dyDescent="0.2">
      <c r="C2894" s="61">
        <v>41439.104166666664</v>
      </c>
      <c r="D2894" s="60">
        <v>2870</v>
      </c>
      <c r="E2894" s="59" t="s">
        <v>514</v>
      </c>
    </row>
    <row r="2895" spans="3:5" ht="15" x14ac:dyDescent="0.2">
      <c r="C2895" s="61">
        <v>41439.114583333336</v>
      </c>
      <c r="D2895" s="60">
        <v>2860</v>
      </c>
      <c r="E2895" s="59" t="s">
        <v>515</v>
      </c>
    </row>
    <row r="2896" spans="3:5" ht="15" x14ac:dyDescent="0.2">
      <c r="C2896" s="61">
        <v>41439.125</v>
      </c>
      <c r="D2896" s="60">
        <v>2860</v>
      </c>
      <c r="E2896" s="59" t="s">
        <v>515</v>
      </c>
    </row>
    <row r="2897" spans="3:5" ht="15" x14ac:dyDescent="0.2">
      <c r="C2897" s="61">
        <v>41439.135416666664</v>
      </c>
      <c r="D2897" s="60">
        <v>2840</v>
      </c>
      <c r="E2897" s="59" t="s">
        <v>516</v>
      </c>
    </row>
    <row r="2898" spans="3:5" ht="15" x14ac:dyDescent="0.2">
      <c r="C2898" s="61">
        <v>41439.145833333336</v>
      </c>
      <c r="D2898" s="60">
        <v>2830</v>
      </c>
      <c r="E2898" s="59" t="s">
        <v>517</v>
      </c>
    </row>
    <row r="2899" spans="3:5" ht="15" x14ac:dyDescent="0.2">
      <c r="C2899" s="61">
        <v>41439.15625</v>
      </c>
      <c r="D2899" s="60">
        <v>2830</v>
      </c>
      <c r="E2899" s="59" t="s">
        <v>517</v>
      </c>
    </row>
    <row r="2900" spans="3:5" ht="15" x14ac:dyDescent="0.2">
      <c r="C2900" s="61">
        <v>41439.166666666664</v>
      </c>
      <c r="D2900" s="60">
        <v>2820</v>
      </c>
      <c r="E2900" s="59" t="s">
        <v>518</v>
      </c>
    </row>
    <row r="2901" spans="3:5" ht="15" x14ac:dyDescent="0.2">
      <c r="C2901" s="61">
        <v>41439.177083333336</v>
      </c>
      <c r="D2901" s="60">
        <v>2810</v>
      </c>
      <c r="E2901" s="59" t="s">
        <v>519</v>
      </c>
    </row>
    <row r="2902" spans="3:5" ht="15" x14ac:dyDescent="0.2">
      <c r="C2902" s="61">
        <v>41439.1875</v>
      </c>
      <c r="D2902" s="60">
        <v>2790</v>
      </c>
      <c r="E2902" s="59" t="s">
        <v>520</v>
      </c>
    </row>
    <row r="2903" spans="3:5" ht="15" x14ac:dyDescent="0.2">
      <c r="C2903" s="61">
        <v>41439.197916666664</v>
      </c>
      <c r="D2903" s="60">
        <v>2790</v>
      </c>
      <c r="E2903" s="59" t="s">
        <v>520</v>
      </c>
    </row>
    <row r="2904" spans="3:5" ht="15" x14ac:dyDescent="0.2">
      <c r="C2904" s="61">
        <v>41439.208333333336</v>
      </c>
      <c r="D2904" s="60">
        <v>2780</v>
      </c>
      <c r="E2904" s="59" t="s">
        <v>521</v>
      </c>
    </row>
    <row r="2905" spans="3:5" ht="15" x14ac:dyDescent="0.2">
      <c r="C2905" s="61">
        <v>41439.21875</v>
      </c>
      <c r="D2905" s="60">
        <v>2770</v>
      </c>
      <c r="E2905" s="59" t="s">
        <v>522</v>
      </c>
    </row>
    <row r="2906" spans="3:5" ht="15" x14ac:dyDescent="0.2">
      <c r="C2906" s="61">
        <v>41439.229166666664</v>
      </c>
      <c r="D2906" s="60">
        <v>2760</v>
      </c>
      <c r="E2906" s="59" t="s">
        <v>523</v>
      </c>
    </row>
    <row r="2907" spans="3:5" ht="15" x14ac:dyDescent="0.2">
      <c r="C2907" s="61">
        <v>41439.239583333336</v>
      </c>
      <c r="D2907" s="60">
        <v>2740</v>
      </c>
      <c r="E2907" s="59" t="s">
        <v>524</v>
      </c>
    </row>
    <row r="2908" spans="3:5" ht="15" x14ac:dyDescent="0.2">
      <c r="C2908" s="61">
        <v>41439.25</v>
      </c>
      <c r="D2908" s="60">
        <v>2740</v>
      </c>
      <c r="E2908" s="59" t="s">
        <v>524</v>
      </c>
    </row>
    <row r="2909" spans="3:5" ht="15" x14ac:dyDescent="0.2">
      <c r="C2909" s="61">
        <v>41439.260416666664</v>
      </c>
      <c r="D2909" s="60">
        <v>2730</v>
      </c>
      <c r="E2909" s="59" t="s">
        <v>525</v>
      </c>
    </row>
    <row r="2910" spans="3:5" ht="15" x14ac:dyDescent="0.2">
      <c r="C2910" s="61">
        <v>41439.270833333336</v>
      </c>
      <c r="D2910" s="60">
        <v>2720</v>
      </c>
      <c r="E2910" s="59" t="s">
        <v>526</v>
      </c>
    </row>
    <row r="2911" spans="3:5" ht="15" x14ac:dyDescent="0.2">
      <c r="C2911" s="61">
        <v>41439.28125</v>
      </c>
      <c r="D2911" s="60">
        <v>2710</v>
      </c>
      <c r="E2911" s="59" t="s">
        <v>527</v>
      </c>
    </row>
    <row r="2912" spans="3:5" ht="15" x14ac:dyDescent="0.2">
      <c r="C2912" s="61">
        <v>41439.291666666664</v>
      </c>
      <c r="D2912" s="60">
        <v>2710</v>
      </c>
      <c r="E2912" s="59" t="s">
        <v>527</v>
      </c>
    </row>
    <row r="2913" spans="3:5" ht="15" x14ac:dyDescent="0.2">
      <c r="C2913" s="61">
        <v>41439.302083333336</v>
      </c>
      <c r="D2913" s="60">
        <v>2690</v>
      </c>
      <c r="E2913" s="59" t="s">
        <v>528</v>
      </c>
    </row>
    <row r="2914" spans="3:5" ht="15" x14ac:dyDescent="0.2">
      <c r="C2914" s="61">
        <v>41439.3125</v>
      </c>
      <c r="D2914" s="60">
        <v>2680</v>
      </c>
      <c r="E2914" s="59" t="s">
        <v>529</v>
      </c>
    </row>
    <row r="2915" spans="3:5" ht="15" x14ac:dyDescent="0.2">
      <c r="C2915" s="61">
        <v>41439.322916666664</v>
      </c>
      <c r="D2915" s="60">
        <v>2670</v>
      </c>
      <c r="E2915" s="59" t="s">
        <v>530</v>
      </c>
    </row>
    <row r="2916" spans="3:5" ht="15" x14ac:dyDescent="0.2">
      <c r="C2916" s="61">
        <v>41439.333333333336</v>
      </c>
      <c r="D2916" s="60">
        <v>2670</v>
      </c>
      <c r="E2916" s="59" t="s">
        <v>530</v>
      </c>
    </row>
    <row r="2917" spans="3:5" ht="15" x14ac:dyDescent="0.2">
      <c r="C2917" s="61">
        <v>41439.34375</v>
      </c>
      <c r="D2917" s="60">
        <v>2660</v>
      </c>
      <c r="E2917" s="59" t="s">
        <v>531</v>
      </c>
    </row>
    <row r="2918" spans="3:5" ht="15" x14ac:dyDescent="0.2">
      <c r="C2918" s="61">
        <v>41439.354166666664</v>
      </c>
      <c r="D2918" s="60">
        <v>2640</v>
      </c>
      <c r="E2918" s="59" t="s">
        <v>532</v>
      </c>
    </row>
    <row r="2919" spans="3:5" ht="15" x14ac:dyDescent="0.2">
      <c r="C2919" s="61">
        <v>41439.364583333336</v>
      </c>
      <c r="D2919" s="60">
        <v>2630</v>
      </c>
      <c r="E2919" s="59" t="s">
        <v>533</v>
      </c>
    </row>
    <row r="2920" spans="3:5" ht="15" x14ac:dyDescent="0.2">
      <c r="C2920" s="61">
        <v>41439.375</v>
      </c>
      <c r="D2920" s="60">
        <v>2620</v>
      </c>
      <c r="E2920" s="59" t="s">
        <v>534</v>
      </c>
    </row>
    <row r="2921" spans="3:5" ht="15" x14ac:dyDescent="0.2">
      <c r="C2921" s="61">
        <v>41439.385416666664</v>
      </c>
      <c r="D2921" s="60">
        <v>2610</v>
      </c>
      <c r="E2921" s="59" t="s">
        <v>535</v>
      </c>
    </row>
    <row r="2922" spans="3:5" ht="15" x14ac:dyDescent="0.2">
      <c r="C2922" s="61">
        <v>41439.395833333336</v>
      </c>
      <c r="D2922" s="60">
        <v>2610</v>
      </c>
      <c r="E2922" s="59" t="s">
        <v>535</v>
      </c>
    </row>
    <row r="2923" spans="3:5" ht="15" x14ac:dyDescent="0.2">
      <c r="C2923" s="61">
        <v>41439.40625</v>
      </c>
      <c r="D2923" s="60">
        <v>2600</v>
      </c>
      <c r="E2923" s="59" t="s">
        <v>536</v>
      </c>
    </row>
    <row r="2924" spans="3:5" ht="15" x14ac:dyDescent="0.2">
      <c r="C2924" s="61">
        <v>41439.416666666664</v>
      </c>
      <c r="D2924" s="60">
        <v>2580</v>
      </c>
      <c r="E2924" s="59" t="s">
        <v>537</v>
      </c>
    </row>
    <row r="2925" spans="3:5" ht="15" x14ac:dyDescent="0.2">
      <c r="C2925" s="61">
        <v>41439.427083333336</v>
      </c>
      <c r="D2925" s="60">
        <v>2570</v>
      </c>
      <c r="E2925" s="59" t="s">
        <v>538</v>
      </c>
    </row>
    <row r="2926" spans="3:5" ht="15" x14ac:dyDescent="0.2">
      <c r="C2926" s="61">
        <v>41439.4375</v>
      </c>
      <c r="D2926" s="60">
        <v>2560</v>
      </c>
      <c r="E2926" s="59" t="s">
        <v>539</v>
      </c>
    </row>
    <row r="2927" spans="3:5" ht="15" x14ac:dyDescent="0.2">
      <c r="C2927" s="61">
        <v>41439.447916666664</v>
      </c>
      <c r="D2927" s="60">
        <v>2560</v>
      </c>
      <c r="E2927" s="59" t="s">
        <v>539</v>
      </c>
    </row>
    <row r="2928" spans="3:5" ht="15" x14ac:dyDescent="0.2">
      <c r="C2928" s="61">
        <v>41439.458333333336</v>
      </c>
      <c r="D2928" s="60">
        <v>2550</v>
      </c>
      <c r="E2928" s="59" t="s">
        <v>540</v>
      </c>
    </row>
    <row r="2929" spans="3:5" ht="15" x14ac:dyDescent="0.2">
      <c r="C2929" s="61">
        <v>41439.46875</v>
      </c>
      <c r="D2929" s="60">
        <v>2530</v>
      </c>
      <c r="E2929" s="59" t="s">
        <v>541</v>
      </c>
    </row>
    <row r="2930" spans="3:5" ht="15" x14ac:dyDescent="0.2">
      <c r="C2930" s="61">
        <v>41439.479166666664</v>
      </c>
      <c r="D2930" s="60">
        <v>2530</v>
      </c>
      <c r="E2930" s="59" t="s">
        <v>541</v>
      </c>
    </row>
    <row r="2931" spans="3:5" ht="15" x14ac:dyDescent="0.2">
      <c r="C2931" s="61">
        <v>41439.489583333336</v>
      </c>
      <c r="D2931" s="60">
        <v>2520</v>
      </c>
      <c r="E2931" s="59" t="s">
        <v>542</v>
      </c>
    </row>
    <row r="2932" spans="3:5" ht="15" x14ac:dyDescent="0.2">
      <c r="C2932" s="61">
        <v>41439.5</v>
      </c>
      <c r="D2932" s="60">
        <v>2510</v>
      </c>
      <c r="E2932" s="59" t="s">
        <v>543</v>
      </c>
    </row>
    <row r="2933" spans="3:5" ht="15" x14ac:dyDescent="0.2">
      <c r="C2933" s="61">
        <v>41439.510416666664</v>
      </c>
      <c r="D2933" s="60">
        <v>2500</v>
      </c>
      <c r="E2933" s="59" t="s">
        <v>544</v>
      </c>
    </row>
    <row r="2934" spans="3:5" ht="15" x14ac:dyDescent="0.2">
      <c r="C2934" s="61">
        <v>41439.520833333336</v>
      </c>
      <c r="D2934" s="60">
        <v>2490</v>
      </c>
      <c r="E2934" s="59" t="s">
        <v>545</v>
      </c>
    </row>
    <row r="2935" spans="3:5" ht="15" x14ac:dyDescent="0.2">
      <c r="C2935" s="61">
        <v>41439.53125</v>
      </c>
      <c r="D2935" s="60">
        <v>2490</v>
      </c>
      <c r="E2935" s="59" t="s">
        <v>545</v>
      </c>
    </row>
    <row r="2936" spans="3:5" ht="15" x14ac:dyDescent="0.2">
      <c r="C2936" s="61">
        <v>41439.541666666664</v>
      </c>
      <c r="D2936" s="60">
        <v>2470</v>
      </c>
      <c r="E2936" s="59" t="s">
        <v>546</v>
      </c>
    </row>
    <row r="2937" spans="3:5" ht="15" x14ac:dyDescent="0.2">
      <c r="C2937" s="61">
        <v>41439.552083333336</v>
      </c>
      <c r="D2937" s="60">
        <v>2470</v>
      </c>
      <c r="E2937" s="59" t="s">
        <v>546</v>
      </c>
    </row>
    <row r="2938" spans="3:5" ht="15" x14ac:dyDescent="0.2">
      <c r="C2938" s="61">
        <v>41439.5625</v>
      </c>
      <c r="D2938" s="60">
        <v>2460</v>
      </c>
      <c r="E2938" s="59" t="s">
        <v>547</v>
      </c>
    </row>
    <row r="2939" spans="3:5" ht="15" x14ac:dyDescent="0.2">
      <c r="C2939" s="61">
        <v>41439.572916666664</v>
      </c>
      <c r="D2939" s="60">
        <v>2460</v>
      </c>
      <c r="E2939" s="59" t="s">
        <v>547</v>
      </c>
    </row>
    <row r="2940" spans="3:5" ht="15" x14ac:dyDescent="0.2">
      <c r="C2940" s="61">
        <v>41439.583333333336</v>
      </c>
      <c r="D2940" s="60">
        <v>2460</v>
      </c>
      <c r="E2940" s="59" t="s">
        <v>547</v>
      </c>
    </row>
    <row r="2941" spans="3:5" ht="15" x14ac:dyDescent="0.2">
      <c r="C2941" s="61">
        <v>41439.59375</v>
      </c>
      <c r="D2941" s="60">
        <v>2460</v>
      </c>
      <c r="E2941" s="59" t="s">
        <v>547</v>
      </c>
    </row>
    <row r="2942" spans="3:5" ht="15" x14ac:dyDescent="0.2">
      <c r="C2942" s="61">
        <v>41439.604166666664</v>
      </c>
      <c r="D2942" s="60">
        <v>2450</v>
      </c>
      <c r="E2942" s="59" t="s">
        <v>548</v>
      </c>
    </row>
    <row r="2943" spans="3:5" ht="15" x14ac:dyDescent="0.2">
      <c r="C2943" s="61">
        <v>41439.614583333336</v>
      </c>
      <c r="D2943" s="60">
        <v>2450</v>
      </c>
      <c r="E2943" s="59" t="s">
        <v>548</v>
      </c>
    </row>
    <row r="2944" spans="3:5" ht="15" x14ac:dyDescent="0.2">
      <c r="C2944" s="61">
        <v>41439.625</v>
      </c>
      <c r="D2944" s="60">
        <v>2450</v>
      </c>
      <c r="E2944" s="59" t="s">
        <v>548</v>
      </c>
    </row>
    <row r="2945" spans="3:5" ht="15" x14ac:dyDescent="0.2">
      <c r="C2945" s="61">
        <v>41439.635416666664</v>
      </c>
      <c r="D2945" s="60">
        <v>2440</v>
      </c>
      <c r="E2945" s="59" t="s">
        <v>549</v>
      </c>
    </row>
    <row r="2946" spans="3:5" ht="15" x14ac:dyDescent="0.2">
      <c r="C2946" s="61">
        <v>41439.645833333336</v>
      </c>
      <c r="D2946" s="60">
        <v>2440</v>
      </c>
      <c r="E2946" s="59" t="s">
        <v>549</v>
      </c>
    </row>
    <row r="2947" spans="3:5" ht="15" x14ac:dyDescent="0.2">
      <c r="C2947" s="61">
        <v>41439.65625</v>
      </c>
      <c r="D2947" s="60">
        <v>2440</v>
      </c>
      <c r="E2947" s="59" t="s">
        <v>549</v>
      </c>
    </row>
    <row r="2948" spans="3:5" ht="15" x14ac:dyDescent="0.2">
      <c r="C2948" s="61">
        <v>41439.666666666664</v>
      </c>
      <c r="D2948" s="60">
        <v>2420</v>
      </c>
      <c r="E2948" s="59" t="s">
        <v>550</v>
      </c>
    </row>
    <row r="2949" spans="3:5" ht="15" x14ac:dyDescent="0.2">
      <c r="C2949" s="61">
        <v>41439.677083333336</v>
      </c>
      <c r="D2949" s="60">
        <v>2410</v>
      </c>
      <c r="E2949" s="59" t="s">
        <v>551</v>
      </c>
    </row>
    <row r="2950" spans="3:5" ht="15" x14ac:dyDescent="0.2">
      <c r="C2950" s="61">
        <v>41439.6875</v>
      </c>
      <c r="D2950" s="60">
        <v>2410</v>
      </c>
      <c r="E2950" s="59" t="s">
        <v>551</v>
      </c>
    </row>
    <row r="2951" spans="3:5" ht="15" x14ac:dyDescent="0.2">
      <c r="C2951" s="61">
        <v>41439.697916666664</v>
      </c>
      <c r="D2951" s="60">
        <v>2400</v>
      </c>
      <c r="E2951" s="59" t="s">
        <v>552</v>
      </c>
    </row>
    <row r="2952" spans="3:5" ht="15" x14ac:dyDescent="0.2">
      <c r="C2952" s="61">
        <v>41439.708333333336</v>
      </c>
      <c r="D2952" s="60">
        <v>2390</v>
      </c>
      <c r="E2952" s="59" t="s">
        <v>553</v>
      </c>
    </row>
    <row r="2953" spans="3:5" ht="15" x14ac:dyDescent="0.2">
      <c r="C2953" s="61">
        <v>41439.71875</v>
      </c>
      <c r="D2953" s="60">
        <v>2380</v>
      </c>
      <c r="E2953" s="59" t="s">
        <v>554</v>
      </c>
    </row>
    <row r="2954" spans="3:5" ht="15" x14ac:dyDescent="0.2">
      <c r="C2954" s="61">
        <v>41439.729166666664</v>
      </c>
      <c r="D2954" s="60">
        <v>2380</v>
      </c>
      <c r="E2954" s="59" t="s">
        <v>554</v>
      </c>
    </row>
    <row r="2955" spans="3:5" ht="15" x14ac:dyDescent="0.2">
      <c r="C2955" s="61">
        <v>41439.739583333336</v>
      </c>
      <c r="D2955" s="60">
        <v>2370</v>
      </c>
      <c r="E2955" s="59" t="s">
        <v>555</v>
      </c>
    </row>
    <row r="2956" spans="3:5" ht="15" x14ac:dyDescent="0.2">
      <c r="C2956" s="61">
        <v>41439.75</v>
      </c>
      <c r="D2956" s="60">
        <v>2370</v>
      </c>
      <c r="E2956" s="59" t="s">
        <v>555</v>
      </c>
    </row>
    <row r="2957" spans="3:5" ht="15" x14ac:dyDescent="0.2">
      <c r="C2957" s="61">
        <v>41439.760416666664</v>
      </c>
      <c r="D2957" s="60">
        <v>2350</v>
      </c>
      <c r="E2957" s="59" t="s">
        <v>556</v>
      </c>
    </row>
    <row r="2958" spans="3:5" ht="15" x14ac:dyDescent="0.2">
      <c r="C2958" s="61">
        <v>41439.770833333336</v>
      </c>
      <c r="D2958" s="60">
        <v>2350</v>
      </c>
      <c r="E2958" s="59" t="s">
        <v>556</v>
      </c>
    </row>
    <row r="2959" spans="3:5" ht="15" x14ac:dyDescent="0.2">
      <c r="C2959" s="61">
        <v>41439.78125</v>
      </c>
      <c r="D2959" s="60">
        <v>2350</v>
      </c>
      <c r="E2959" s="59" t="s">
        <v>556</v>
      </c>
    </row>
    <row r="2960" spans="3:5" ht="15" x14ac:dyDescent="0.2">
      <c r="C2960" s="61">
        <v>41439.791666666664</v>
      </c>
      <c r="D2960" s="60">
        <v>2340</v>
      </c>
      <c r="E2960" s="59" t="s">
        <v>557</v>
      </c>
    </row>
    <row r="2961" spans="3:5" ht="15" x14ac:dyDescent="0.2">
      <c r="C2961" s="61">
        <v>41439.802083333336</v>
      </c>
      <c r="D2961" s="60">
        <v>2340</v>
      </c>
      <c r="E2961" s="59" t="s">
        <v>557</v>
      </c>
    </row>
    <row r="2962" spans="3:5" ht="15" x14ac:dyDescent="0.2">
      <c r="C2962" s="61">
        <v>41439.8125</v>
      </c>
      <c r="D2962" s="60">
        <v>2330</v>
      </c>
      <c r="E2962" s="59" t="s">
        <v>558</v>
      </c>
    </row>
    <row r="2963" spans="3:5" ht="15" x14ac:dyDescent="0.2">
      <c r="C2963" s="61">
        <v>41439.822916666664</v>
      </c>
      <c r="D2963" s="60">
        <v>2330</v>
      </c>
      <c r="E2963" s="59" t="s">
        <v>558</v>
      </c>
    </row>
    <row r="2964" spans="3:5" ht="15" x14ac:dyDescent="0.2">
      <c r="C2964" s="61">
        <v>41439.833333333336</v>
      </c>
      <c r="D2964" s="60">
        <v>2320</v>
      </c>
      <c r="E2964" s="59" t="s">
        <v>559</v>
      </c>
    </row>
    <row r="2965" spans="3:5" ht="15" x14ac:dyDescent="0.2">
      <c r="C2965" s="61">
        <v>41439.84375</v>
      </c>
      <c r="D2965" s="60">
        <v>2310</v>
      </c>
      <c r="E2965" s="59" t="s">
        <v>560</v>
      </c>
    </row>
    <row r="2966" spans="3:5" ht="15" x14ac:dyDescent="0.2">
      <c r="C2966" s="61">
        <v>41439.854166666664</v>
      </c>
      <c r="D2966" s="60">
        <v>2310</v>
      </c>
      <c r="E2966" s="59" t="s">
        <v>560</v>
      </c>
    </row>
    <row r="2967" spans="3:5" ht="15" x14ac:dyDescent="0.2">
      <c r="C2967" s="61">
        <v>41439.864583333336</v>
      </c>
      <c r="D2967" s="60">
        <v>2290</v>
      </c>
      <c r="E2967" s="59" t="s">
        <v>561</v>
      </c>
    </row>
    <row r="2968" spans="3:5" ht="15" x14ac:dyDescent="0.2">
      <c r="C2968" s="61">
        <v>41439.875</v>
      </c>
      <c r="D2968" s="60">
        <v>2290</v>
      </c>
      <c r="E2968" s="59" t="s">
        <v>561</v>
      </c>
    </row>
    <row r="2969" spans="3:5" ht="15" x14ac:dyDescent="0.2">
      <c r="C2969" s="61">
        <v>41439.885416666664</v>
      </c>
      <c r="D2969" s="60">
        <v>2290</v>
      </c>
      <c r="E2969" s="59" t="s">
        <v>561</v>
      </c>
    </row>
    <row r="2970" spans="3:5" ht="15" x14ac:dyDescent="0.2">
      <c r="C2970" s="61">
        <v>41439.895833333336</v>
      </c>
      <c r="D2970" s="60">
        <v>2290</v>
      </c>
      <c r="E2970" s="59" t="s">
        <v>561</v>
      </c>
    </row>
    <row r="2971" spans="3:5" ht="15" x14ac:dyDescent="0.2">
      <c r="C2971" s="61">
        <v>41439.90625</v>
      </c>
      <c r="D2971" s="60">
        <v>2290</v>
      </c>
      <c r="E2971" s="59" t="s">
        <v>561</v>
      </c>
    </row>
    <row r="2972" spans="3:5" ht="15" x14ac:dyDescent="0.2">
      <c r="C2972" s="61">
        <v>41439.916666666664</v>
      </c>
      <c r="D2972" s="60">
        <v>2310</v>
      </c>
      <c r="E2972" s="59" t="s">
        <v>560</v>
      </c>
    </row>
    <row r="2973" spans="3:5" ht="15" x14ac:dyDescent="0.2">
      <c r="C2973" s="61">
        <v>41439.927083333336</v>
      </c>
      <c r="D2973" s="60">
        <v>2310</v>
      </c>
      <c r="E2973" s="59" t="s">
        <v>560</v>
      </c>
    </row>
    <row r="2974" spans="3:5" ht="15" x14ac:dyDescent="0.2">
      <c r="C2974" s="61">
        <v>41439.9375</v>
      </c>
      <c r="D2974" s="60">
        <v>2320</v>
      </c>
      <c r="E2974" s="59" t="s">
        <v>559</v>
      </c>
    </row>
    <row r="2975" spans="3:5" ht="15" x14ac:dyDescent="0.2">
      <c r="C2975" s="61">
        <v>41439.947916666664</v>
      </c>
      <c r="D2975" s="60">
        <v>2320</v>
      </c>
      <c r="E2975" s="59" t="s">
        <v>559</v>
      </c>
    </row>
    <row r="2976" spans="3:5" ht="15" x14ac:dyDescent="0.2">
      <c r="C2976" s="61">
        <v>41439.958333333336</v>
      </c>
      <c r="D2976" s="60">
        <v>2320</v>
      </c>
      <c r="E2976" s="59" t="s">
        <v>559</v>
      </c>
    </row>
    <row r="2977" spans="3:5" ht="15" x14ac:dyDescent="0.2">
      <c r="C2977" s="61">
        <v>41439.96875</v>
      </c>
      <c r="D2977" s="60">
        <v>2330</v>
      </c>
      <c r="E2977" s="59" t="s">
        <v>558</v>
      </c>
    </row>
    <row r="2978" spans="3:5" ht="15" x14ac:dyDescent="0.2">
      <c r="C2978" s="61">
        <v>41439.979166666664</v>
      </c>
      <c r="D2978" s="60">
        <v>2330</v>
      </c>
      <c r="E2978" s="59" t="s">
        <v>558</v>
      </c>
    </row>
    <row r="2979" spans="3:5" ht="15" x14ac:dyDescent="0.2">
      <c r="C2979" s="61">
        <v>41439.989583333336</v>
      </c>
      <c r="D2979" s="60">
        <v>2340</v>
      </c>
      <c r="E2979" s="59" t="s">
        <v>557</v>
      </c>
    </row>
    <row r="2980" spans="3:5" ht="15" x14ac:dyDescent="0.2">
      <c r="C2980" s="61">
        <v>41440</v>
      </c>
      <c r="D2980" s="60">
        <v>2340</v>
      </c>
      <c r="E2980" s="59" t="s">
        <v>557</v>
      </c>
    </row>
    <row r="2981" spans="3:5" ht="15" x14ac:dyDescent="0.2">
      <c r="C2981" s="61">
        <v>41440.010416666664</v>
      </c>
      <c r="D2981" s="60">
        <v>2340</v>
      </c>
      <c r="E2981" s="59" t="s">
        <v>557</v>
      </c>
    </row>
    <row r="2982" spans="3:5" ht="15" x14ac:dyDescent="0.2">
      <c r="C2982" s="61">
        <v>41440.020833333336</v>
      </c>
      <c r="D2982" s="60">
        <v>2350</v>
      </c>
      <c r="E2982" s="59" t="s">
        <v>556</v>
      </c>
    </row>
    <row r="2983" spans="3:5" ht="15" x14ac:dyDescent="0.2">
      <c r="C2983" s="61">
        <v>41440.03125</v>
      </c>
      <c r="D2983" s="60">
        <v>2340</v>
      </c>
      <c r="E2983" s="59" t="s">
        <v>557</v>
      </c>
    </row>
    <row r="2984" spans="3:5" ht="15" x14ac:dyDescent="0.2">
      <c r="C2984" s="61">
        <v>41440.041666666664</v>
      </c>
      <c r="D2984" s="60">
        <v>2340</v>
      </c>
      <c r="E2984" s="59" t="s">
        <v>557</v>
      </c>
    </row>
    <row r="2985" spans="3:5" ht="15" x14ac:dyDescent="0.2">
      <c r="C2985" s="61">
        <v>41440.052083333336</v>
      </c>
      <c r="D2985" s="60">
        <v>2340</v>
      </c>
      <c r="E2985" s="59" t="s">
        <v>557</v>
      </c>
    </row>
    <row r="2986" spans="3:5" ht="15" x14ac:dyDescent="0.2">
      <c r="C2986" s="61">
        <v>41440.0625</v>
      </c>
      <c r="D2986" s="60">
        <v>2340</v>
      </c>
      <c r="E2986" s="59" t="s">
        <v>557</v>
      </c>
    </row>
    <row r="2987" spans="3:5" ht="15" x14ac:dyDescent="0.2">
      <c r="C2987" s="61">
        <v>41440.072916666664</v>
      </c>
      <c r="D2987" s="60">
        <v>2340</v>
      </c>
      <c r="E2987" s="59" t="s">
        <v>557</v>
      </c>
    </row>
    <row r="2988" spans="3:5" ht="15" x14ac:dyDescent="0.2">
      <c r="C2988" s="61">
        <v>41440.083333333336</v>
      </c>
      <c r="D2988" s="60">
        <v>2340</v>
      </c>
      <c r="E2988" s="59" t="s">
        <v>557</v>
      </c>
    </row>
    <row r="2989" spans="3:5" ht="15" x14ac:dyDescent="0.2">
      <c r="C2989" s="61">
        <v>41440.09375</v>
      </c>
      <c r="D2989" s="60">
        <v>2340</v>
      </c>
      <c r="E2989" s="59" t="s">
        <v>557</v>
      </c>
    </row>
    <row r="2990" spans="3:5" ht="15" x14ac:dyDescent="0.2">
      <c r="C2990" s="61">
        <v>41440.104166666664</v>
      </c>
      <c r="D2990" s="60">
        <v>2340</v>
      </c>
      <c r="E2990" s="59" t="s">
        <v>557</v>
      </c>
    </row>
    <row r="2991" spans="3:5" ht="15" x14ac:dyDescent="0.2">
      <c r="C2991" s="61">
        <v>41440.114583333336</v>
      </c>
      <c r="D2991" s="60">
        <v>2330</v>
      </c>
      <c r="E2991" s="59" t="s">
        <v>558</v>
      </c>
    </row>
    <row r="2992" spans="3:5" ht="15" x14ac:dyDescent="0.2">
      <c r="C2992" s="61">
        <v>41440.125</v>
      </c>
      <c r="D2992" s="60">
        <v>2330</v>
      </c>
      <c r="E2992" s="59" t="s">
        <v>558</v>
      </c>
    </row>
    <row r="2993" spans="3:5" ht="15" x14ac:dyDescent="0.2">
      <c r="C2993" s="61">
        <v>41440.135416666664</v>
      </c>
      <c r="D2993" s="60">
        <v>2330</v>
      </c>
      <c r="E2993" s="59" t="s">
        <v>558</v>
      </c>
    </row>
    <row r="2994" spans="3:5" ht="15" x14ac:dyDescent="0.2">
      <c r="C2994" s="61">
        <v>41440.145833333336</v>
      </c>
      <c r="D2994" s="60">
        <v>2330</v>
      </c>
      <c r="E2994" s="59" t="s">
        <v>558</v>
      </c>
    </row>
    <row r="2995" spans="3:5" ht="15" x14ac:dyDescent="0.2">
      <c r="C2995" s="61">
        <v>41440.15625</v>
      </c>
      <c r="D2995" s="60">
        <v>2330</v>
      </c>
      <c r="E2995" s="59" t="s">
        <v>558</v>
      </c>
    </row>
    <row r="2996" spans="3:5" ht="15" x14ac:dyDescent="0.2">
      <c r="C2996" s="61">
        <v>41440.166666666664</v>
      </c>
      <c r="D2996" s="60">
        <v>2320</v>
      </c>
      <c r="E2996" s="59" t="s">
        <v>559</v>
      </c>
    </row>
    <row r="2997" spans="3:5" ht="15" x14ac:dyDescent="0.2">
      <c r="C2997" s="61">
        <v>41440.177083333336</v>
      </c>
      <c r="D2997" s="60">
        <v>2320</v>
      </c>
      <c r="E2997" s="59" t="s">
        <v>559</v>
      </c>
    </row>
    <row r="2998" spans="3:5" ht="15" x14ac:dyDescent="0.2">
      <c r="C2998" s="61">
        <v>41440.1875</v>
      </c>
      <c r="D2998" s="60">
        <v>2320</v>
      </c>
      <c r="E2998" s="59" t="s">
        <v>559</v>
      </c>
    </row>
    <row r="2999" spans="3:5" ht="15" x14ac:dyDescent="0.2">
      <c r="C2999" s="61">
        <v>41440.197916666664</v>
      </c>
      <c r="D2999" s="60">
        <v>2310</v>
      </c>
      <c r="E2999" s="59" t="s">
        <v>560</v>
      </c>
    </row>
    <row r="3000" spans="3:5" ht="15" x14ac:dyDescent="0.2">
      <c r="C3000" s="61">
        <v>41440.208333333336</v>
      </c>
      <c r="D3000" s="60">
        <v>2310</v>
      </c>
      <c r="E3000" s="59" t="s">
        <v>560</v>
      </c>
    </row>
    <row r="3001" spans="3:5" ht="15" x14ac:dyDescent="0.2">
      <c r="C3001" s="61">
        <v>41440.21875</v>
      </c>
      <c r="D3001" s="60">
        <v>2310</v>
      </c>
      <c r="E3001" s="59" t="s">
        <v>560</v>
      </c>
    </row>
    <row r="3002" spans="3:5" ht="15" x14ac:dyDescent="0.2">
      <c r="C3002" s="61">
        <v>41440.229166666664</v>
      </c>
      <c r="D3002" s="60">
        <v>2310</v>
      </c>
      <c r="E3002" s="59" t="s">
        <v>560</v>
      </c>
    </row>
    <row r="3003" spans="3:5" ht="15" x14ac:dyDescent="0.2">
      <c r="C3003" s="61">
        <v>41440.239583333336</v>
      </c>
      <c r="D3003" s="60">
        <v>2290</v>
      </c>
      <c r="E3003" s="59" t="s">
        <v>561</v>
      </c>
    </row>
    <row r="3004" spans="3:5" ht="15" x14ac:dyDescent="0.2">
      <c r="C3004" s="61">
        <v>41440.25</v>
      </c>
      <c r="D3004" s="60">
        <v>2290</v>
      </c>
      <c r="E3004" s="59" t="s">
        <v>561</v>
      </c>
    </row>
    <row r="3005" spans="3:5" ht="15" x14ac:dyDescent="0.2">
      <c r="C3005" s="61">
        <v>41440.260416666664</v>
      </c>
      <c r="D3005" s="60">
        <v>2290</v>
      </c>
      <c r="E3005" s="59" t="s">
        <v>561</v>
      </c>
    </row>
    <row r="3006" spans="3:5" ht="15" x14ac:dyDescent="0.2">
      <c r="C3006" s="61">
        <v>41440.270833333336</v>
      </c>
      <c r="D3006" s="60">
        <v>2290</v>
      </c>
      <c r="E3006" s="59" t="s">
        <v>561</v>
      </c>
    </row>
    <row r="3007" spans="3:5" ht="15" x14ac:dyDescent="0.2">
      <c r="C3007" s="61">
        <v>41440.28125</v>
      </c>
      <c r="D3007" s="60">
        <v>2280</v>
      </c>
      <c r="E3007" s="59" t="s">
        <v>562</v>
      </c>
    </row>
    <row r="3008" spans="3:5" ht="15" x14ac:dyDescent="0.2">
      <c r="C3008" s="61">
        <v>41440.291666666664</v>
      </c>
      <c r="D3008" s="60">
        <v>2280</v>
      </c>
      <c r="E3008" s="59" t="s">
        <v>562</v>
      </c>
    </row>
    <row r="3009" spans="3:5" ht="15" x14ac:dyDescent="0.2">
      <c r="C3009" s="61">
        <v>41440.302083333336</v>
      </c>
      <c r="D3009" s="60">
        <v>2280</v>
      </c>
      <c r="E3009" s="59" t="s">
        <v>562</v>
      </c>
    </row>
    <row r="3010" spans="3:5" ht="15" x14ac:dyDescent="0.2">
      <c r="C3010" s="61">
        <v>41440.3125</v>
      </c>
      <c r="D3010" s="60">
        <v>2270</v>
      </c>
      <c r="E3010" s="59" t="s">
        <v>563</v>
      </c>
    </row>
    <row r="3011" spans="3:5" ht="15" x14ac:dyDescent="0.2">
      <c r="C3011" s="61">
        <v>41440.322916666664</v>
      </c>
      <c r="D3011" s="60">
        <v>2270</v>
      </c>
      <c r="E3011" s="59" t="s">
        <v>563</v>
      </c>
    </row>
    <row r="3012" spans="3:5" ht="15" x14ac:dyDescent="0.2">
      <c r="C3012" s="61">
        <v>41440.333333333336</v>
      </c>
      <c r="D3012" s="60">
        <v>2270</v>
      </c>
      <c r="E3012" s="59" t="s">
        <v>563</v>
      </c>
    </row>
    <row r="3013" spans="3:5" ht="15" x14ac:dyDescent="0.2">
      <c r="C3013" s="61">
        <v>41440.34375</v>
      </c>
      <c r="D3013" s="60">
        <v>2270</v>
      </c>
      <c r="E3013" s="59" t="s">
        <v>563</v>
      </c>
    </row>
    <row r="3014" spans="3:5" ht="15" x14ac:dyDescent="0.2">
      <c r="C3014" s="61">
        <v>41440.354166666664</v>
      </c>
      <c r="D3014" s="60">
        <v>2260</v>
      </c>
      <c r="E3014" s="59" t="s">
        <v>564</v>
      </c>
    </row>
    <row r="3015" spans="3:5" ht="15" x14ac:dyDescent="0.2">
      <c r="C3015" s="61">
        <v>41440.364583333336</v>
      </c>
      <c r="D3015" s="60">
        <v>2260</v>
      </c>
      <c r="E3015" s="59" t="s">
        <v>564</v>
      </c>
    </row>
    <row r="3016" spans="3:5" ht="15" x14ac:dyDescent="0.2">
      <c r="C3016" s="61">
        <v>41440.375</v>
      </c>
      <c r="D3016" s="60">
        <v>2250</v>
      </c>
      <c r="E3016" s="59" t="s">
        <v>565</v>
      </c>
    </row>
    <row r="3017" spans="3:5" ht="15" x14ac:dyDescent="0.2">
      <c r="C3017" s="61">
        <v>41440.385416666664</v>
      </c>
      <c r="D3017" s="60">
        <v>2250</v>
      </c>
      <c r="E3017" s="59" t="s">
        <v>565</v>
      </c>
    </row>
    <row r="3018" spans="3:5" ht="15" x14ac:dyDescent="0.2">
      <c r="C3018" s="61">
        <v>41440.395833333336</v>
      </c>
      <c r="D3018" s="60">
        <v>2240</v>
      </c>
      <c r="E3018" s="59" t="s">
        <v>566</v>
      </c>
    </row>
    <row r="3019" spans="3:5" ht="15" x14ac:dyDescent="0.2">
      <c r="C3019" s="61">
        <v>41440.40625</v>
      </c>
      <c r="D3019" s="60">
        <v>2240</v>
      </c>
      <c r="E3019" s="59" t="s">
        <v>566</v>
      </c>
    </row>
    <row r="3020" spans="3:5" ht="15" x14ac:dyDescent="0.2">
      <c r="C3020" s="61">
        <v>41440.416666666664</v>
      </c>
      <c r="D3020" s="60">
        <v>2240</v>
      </c>
      <c r="E3020" s="59" t="s">
        <v>566</v>
      </c>
    </row>
    <row r="3021" spans="3:5" ht="15" x14ac:dyDescent="0.2">
      <c r="C3021" s="61">
        <v>41440.427083333336</v>
      </c>
      <c r="D3021" s="60">
        <v>2220</v>
      </c>
      <c r="E3021" s="59" t="s">
        <v>567</v>
      </c>
    </row>
    <row r="3022" spans="3:5" ht="15" x14ac:dyDescent="0.2">
      <c r="C3022" s="61">
        <v>41440.4375</v>
      </c>
      <c r="D3022" s="60">
        <v>2220</v>
      </c>
      <c r="E3022" s="59" t="s">
        <v>567</v>
      </c>
    </row>
    <row r="3023" spans="3:5" ht="15" x14ac:dyDescent="0.2">
      <c r="C3023" s="61">
        <v>41440.447916666664</v>
      </c>
      <c r="D3023" s="60">
        <v>2220</v>
      </c>
      <c r="E3023" s="59" t="s">
        <v>567</v>
      </c>
    </row>
    <row r="3024" spans="3:5" ht="15" x14ac:dyDescent="0.2">
      <c r="C3024" s="61">
        <v>41440.458333333336</v>
      </c>
      <c r="D3024" s="60">
        <v>2220</v>
      </c>
      <c r="E3024" s="59" t="s">
        <v>567</v>
      </c>
    </row>
    <row r="3025" spans="3:5" ht="15" x14ac:dyDescent="0.2">
      <c r="C3025" s="61">
        <v>41440.46875</v>
      </c>
      <c r="D3025" s="60">
        <v>2210</v>
      </c>
      <c r="E3025" s="59" t="s">
        <v>568</v>
      </c>
    </row>
    <row r="3026" spans="3:5" ht="15" x14ac:dyDescent="0.2">
      <c r="C3026" s="61">
        <v>41440.479166666664</v>
      </c>
      <c r="D3026" s="60">
        <v>2210</v>
      </c>
      <c r="E3026" s="59" t="s">
        <v>568</v>
      </c>
    </row>
    <row r="3027" spans="3:5" ht="15" x14ac:dyDescent="0.2">
      <c r="C3027" s="61">
        <v>41440.489583333336</v>
      </c>
      <c r="D3027" s="60">
        <v>2210</v>
      </c>
      <c r="E3027" s="59" t="s">
        <v>568</v>
      </c>
    </row>
    <row r="3028" spans="3:5" ht="15" x14ac:dyDescent="0.2">
      <c r="C3028" s="61">
        <v>41440.5</v>
      </c>
      <c r="D3028" s="60">
        <v>2200</v>
      </c>
      <c r="E3028" s="59" t="s">
        <v>569</v>
      </c>
    </row>
    <row r="3029" spans="3:5" ht="15" x14ac:dyDescent="0.2">
      <c r="C3029" s="61">
        <v>41440.510416666664</v>
      </c>
      <c r="D3029" s="60">
        <v>2190</v>
      </c>
      <c r="E3029" s="59" t="s">
        <v>570</v>
      </c>
    </row>
    <row r="3030" spans="3:5" ht="15" x14ac:dyDescent="0.2">
      <c r="C3030" s="61">
        <v>41440.520833333336</v>
      </c>
      <c r="D3030" s="60">
        <v>2180</v>
      </c>
      <c r="E3030" s="59" t="s">
        <v>571</v>
      </c>
    </row>
    <row r="3031" spans="3:5" ht="15" x14ac:dyDescent="0.2">
      <c r="C3031" s="61">
        <v>41440.53125</v>
      </c>
      <c r="D3031" s="60">
        <v>2180</v>
      </c>
      <c r="E3031" s="59" t="s">
        <v>571</v>
      </c>
    </row>
    <row r="3032" spans="3:5" ht="15" x14ac:dyDescent="0.2">
      <c r="C3032" s="61">
        <v>41440.541666666664</v>
      </c>
      <c r="D3032" s="60">
        <v>2170</v>
      </c>
      <c r="E3032" s="59" t="s">
        <v>572</v>
      </c>
    </row>
    <row r="3033" spans="3:5" ht="15" x14ac:dyDescent="0.2">
      <c r="C3033" s="61">
        <v>41440.552083333336</v>
      </c>
      <c r="D3033" s="60">
        <v>2170</v>
      </c>
      <c r="E3033" s="59" t="s">
        <v>572</v>
      </c>
    </row>
    <row r="3034" spans="3:5" ht="15" x14ac:dyDescent="0.2">
      <c r="C3034" s="61">
        <v>41440.5625</v>
      </c>
      <c r="D3034" s="60">
        <v>2150</v>
      </c>
      <c r="E3034" s="59" t="s">
        <v>573</v>
      </c>
    </row>
    <row r="3035" spans="3:5" ht="15" x14ac:dyDescent="0.2">
      <c r="C3035" s="61">
        <v>41440.572916666664</v>
      </c>
      <c r="D3035" s="60">
        <v>2150</v>
      </c>
      <c r="E3035" s="59" t="s">
        <v>573</v>
      </c>
    </row>
    <row r="3036" spans="3:5" ht="15" x14ac:dyDescent="0.2">
      <c r="C3036" s="61">
        <v>41440.583333333336</v>
      </c>
      <c r="D3036" s="60">
        <v>2140</v>
      </c>
      <c r="E3036" s="59" t="s">
        <v>574</v>
      </c>
    </row>
    <row r="3037" spans="3:5" ht="15" x14ac:dyDescent="0.2">
      <c r="C3037" s="61">
        <v>41440.59375</v>
      </c>
      <c r="D3037" s="60">
        <v>2140</v>
      </c>
      <c r="E3037" s="59" t="s">
        <v>574</v>
      </c>
    </row>
    <row r="3038" spans="3:5" ht="15" x14ac:dyDescent="0.2">
      <c r="C3038" s="61">
        <v>41440.604166666664</v>
      </c>
      <c r="D3038" s="60">
        <v>2140</v>
      </c>
      <c r="E3038" s="59" t="s">
        <v>574</v>
      </c>
    </row>
    <row r="3039" spans="3:5" ht="15" x14ac:dyDescent="0.2">
      <c r="C3039" s="61">
        <v>41440.614583333336</v>
      </c>
      <c r="D3039" s="60">
        <v>2130</v>
      </c>
      <c r="E3039" s="59" t="s">
        <v>575</v>
      </c>
    </row>
    <row r="3040" spans="3:5" ht="15" x14ac:dyDescent="0.2">
      <c r="C3040" s="61">
        <v>41440.625</v>
      </c>
      <c r="D3040" s="60">
        <v>2130</v>
      </c>
      <c r="E3040" s="59" t="s">
        <v>575</v>
      </c>
    </row>
    <row r="3041" spans="3:5" ht="15" x14ac:dyDescent="0.2">
      <c r="C3041" s="61">
        <v>41440.635416666664</v>
      </c>
      <c r="D3041" s="60">
        <v>2130</v>
      </c>
      <c r="E3041" s="59" t="s">
        <v>575</v>
      </c>
    </row>
    <row r="3042" spans="3:5" ht="15" x14ac:dyDescent="0.2">
      <c r="C3042" s="61">
        <v>41440.645833333336</v>
      </c>
      <c r="D3042" s="60">
        <v>2130</v>
      </c>
      <c r="E3042" s="59" t="s">
        <v>575</v>
      </c>
    </row>
    <row r="3043" spans="3:5" ht="15" x14ac:dyDescent="0.2">
      <c r="C3043" s="61">
        <v>41440.65625</v>
      </c>
      <c r="D3043" s="60">
        <v>2130</v>
      </c>
      <c r="E3043" s="59" t="s">
        <v>575</v>
      </c>
    </row>
    <row r="3044" spans="3:5" ht="15" x14ac:dyDescent="0.2">
      <c r="C3044" s="61">
        <v>41440.666666666664</v>
      </c>
      <c r="D3044" s="60">
        <v>2130</v>
      </c>
      <c r="E3044" s="59" t="s">
        <v>575</v>
      </c>
    </row>
    <row r="3045" spans="3:5" ht="15" x14ac:dyDescent="0.2">
      <c r="C3045" s="61">
        <v>41440.677083333336</v>
      </c>
      <c r="D3045" s="60">
        <v>2130</v>
      </c>
      <c r="E3045" s="59" t="s">
        <v>575</v>
      </c>
    </row>
    <row r="3046" spans="3:5" ht="15" x14ac:dyDescent="0.2">
      <c r="C3046" s="61">
        <v>41440.6875</v>
      </c>
      <c r="D3046" s="60">
        <v>2130</v>
      </c>
      <c r="E3046" s="59" t="s">
        <v>575</v>
      </c>
    </row>
    <row r="3047" spans="3:5" ht="15" x14ac:dyDescent="0.2">
      <c r="C3047" s="61">
        <v>41440.697916666664</v>
      </c>
      <c r="D3047" s="60">
        <v>2130</v>
      </c>
      <c r="E3047" s="59" t="s">
        <v>575</v>
      </c>
    </row>
    <row r="3048" spans="3:5" ht="15" x14ac:dyDescent="0.2">
      <c r="C3048" s="61">
        <v>41440.708333333336</v>
      </c>
      <c r="D3048" s="60">
        <v>2130</v>
      </c>
      <c r="E3048" s="59" t="s">
        <v>575</v>
      </c>
    </row>
    <row r="3049" spans="3:5" ht="15" x14ac:dyDescent="0.2">
      <c r="C3049" s="61">
        <v>41440.71875</v>
      </c>
      <c r="D3049" s="60">
        <v>2130</v>
      </c>
      <c r="E3049" s="59" t="s">
        <v>575</v>
      </c>
    </row>
    <row r="3050" spans="3:5" ht="15" x14ac:dyDescent="0.2">
      <c r="C3050" s="61">
        <v>41440.729166666664</v>
      </c>
      <c r="D3050" s="60">
        <v>2130</v>
      </c>
      <c r="E3050" s="59" t="s">
        <v>575</v>
      </c>
    </row>
    <row r="3051" spans="3:5" ht="15" x14ac:dyDescent="0.2">
      <c r="C3051" s="61">
        <v>41440.739583333336</v>
      </c>
      <c r="D3051" s="60">
        <v>2130</v>
      </c>
      <c r="E3051" s="59" t="s">
        <v>575</v>
      </c>
    </row>
    <row r="3052" spans="3:5" ht="15" x14ac:dyDescent="0.2">
      <c r="C3052" s="61">
        <v>41440.75</v>
      </c>
      <c r="D3052" s="60">
        <v>2130</v>
      </c>
      <c r="E3052" s="59" t="s">
        <v>575</v>
      </c>
    </row>
    <row r="3053" spans="3:5" ht="15" x14ac:dyDescent="0.2">
      <c r="C3053" s="61">
        <v>41440.760416666664</v>
      </c>
      <c r="D3053" s="60">
        <v>2130</v>
      </c>
      <c r="E3053" s="59" t="s">
        <v>575</v>
      </c>
    </row>
    <row r="3054" spans="3:5" ht="15" x14ac:dyDescent="0.2">
      <c r="C3054" s="61">
        <v>41440.770833333336</v>
      </c>
      <c r="D3054" s="60">
        <v>2130</v>
      </c>
      <c r="E3054" s="59" t="s">
        <v>575</v>
      </c>
    </row>
    <row r="3055" spans="3:5" ht="15" x14ac:dyDescent="0.2">
      <c r="C3055" s="61">
        <v>41440.78125</v>
      </c>
      <c r="D3055" s="60">
        <v>2130</v>
      </c>
      <c r="E3055" s="59" t="s">
        <v>575</v>
      </c>
    </row>
    <row r="3056" spans="3:5" ht="15" x14ac:dyDescent="0.2">
      <c r="C3056" s="61">
        <v>41440.791666666664</v>
      </c>
      <c r="D3056" s="60">
        <v>2130</v>
      </c>
      <c r="E3056" s="59" t="s">
        <v>575</v>
      </c>
    </row>
    <row r="3057" spans="3:5" ht="15" x14ac:dyDescent="0.2">
      <c r="C3057" s="61">
        <v>41440.802083333336</v>
      </c>
      <c r="D3057" s="60">
        <v>2130</v>
      </c>
      <c r="E3057" s="59" t="s">
        <v>575</v>
      </c>
    </row>
    <row r="3058" spans="3:5" ht="15" x14ac:dyDescent="0.2">
      <c r="C3058" s="61">
        <v>41440.8125</v>
      </c>
      <c r="D3058" s="60">
        <v>2130</v>
      </c>
      <c r="E3058" s="59" t="s">
        <v>575</v>
      </c>
    </row>
    <row r="3059" spans="3:5" ht="15" x14ac:dyDescent="0.2">
      <c r="C3059" s="61">
        <v>41440.822916666664</v>
      </c>
      <c r="D3059" s="60">
        <v>2130</v>
      </c>
      <c r="E3059" s="59" t="s">
        <v>575</v>
      </c>
    </row>
    <row r="3060" spans="3:5" ht="15" x14ac:dyDescent="0.2">
      <c r="C3060" s="61">
        <v>41440.833333333336</v>
      </c>
      <c r="D3060" s="60">
        <v>2130</v>
      </c>
      <c r="E3060" s="59" t="s">
        <v>575</v>
      </c>
    </row>
    <row r="3061" spans="3:5" ht="15" x14ac:dyDescent="0.2">
      <c r="C3061" s="61">
        <v>41440.84375</v>
      </c>
      <c r="D3061" s="60">
        <v>2130</v>
      </c>
      <c r="E3061" s="59" t="s">
        <v>575</v>
      </c>
    </row>
    <row r="3062" spans="3:5" ht="15" x14ac:dyDescent="0.2">
      <c r="C3062" s="61">
        <v>41440.854166666664</v>
      </c>
      <c r="D3062" s="60">
        <v>2130</v>
      </c>
      <c r="E3062" s="59" t="s">
        <v>575</v>
      </c>
    </row>
    <row r="3063" spans="3:5" ht="15" x14ac:dyDescent="0.2">
      <c r="C3063" s="61">
        <v>41440.864583333336</v>
      </c>
      <c r="D3063" s="60">
        <v>2120</v>
      </c>
      <c r="E3063" s="59" t="s">
        <v>576</v>
      </c>
    </row>
    <row r="3064" spans="3:5" ht="15" x14ac:dyDescent="0.2">
      <c r="C3064" s="61">
        <v>41440.875</v>
      </c>
      <c r="D3064" s="60">
        <v>2120</v>
      </c>
      <c r="E3064" s="59" t="s">
        <v>576</v>
      </c>
    </row>
    <row r="3065" spans="3:5" ht="15" x14ac:dyDescent="0.2">
      <c r="C3065" s="61">
        <v>41440.885416666664</v>
      </c>
      <c r="D3065" s="60">
        <v>2120</v>
      </c>
      <c r="E3065" s="59" t="s">
        <v>576</v>
      </c>
    </row>
    <row r="3066" spans="3:5" ht="15" x14ac:dyDescent="0.2">
      <c r="C3066" s="61">
        <v>41440.895833333336</v>
      </c>
      <c r="D3066" s="60">
        <v>2120</v>
      </c>
      <c r="E3066" s="59" t="s">
        <v>576</v>
      </c>
    </row>
    <row r="3067" spans="3:5" ht="15" x14ac:dyDescent="0.2">
      <c r="C3067" s="61">
        <v>41440.90625</v>
      </c>
      <c r="D3067" s="60">
        <v>2120</v>
      </c>
      <c r="E3067" s="59" t="s">
        <v>576</v>
      </c>
    </row>
    <row r="3068" spans="3:5" ht="15" x14ac:dyDescent="0.2">
      <c r="C3068" s="61">
        <v>41440.916666666664</v>
      </c>
      <c r="D3068" s="60">
        <v>2120</v>
      </c>
      <c r="E3068" s="59" t="s">
        <v>576</v>
      </c>
    </row>
    <row r="3069" spans="3:5" ht="15" x14ac:dyDescent="0.2">
      <c r="C3069" s="61">
        <v>41440.927083333336</v>
      </c>
      <c r="D3069" s="60">
        <v>2120</v>
      </c>
      <c r="E3069" s="59" t="s">
        <v>576</v>
      </c>
    </row>
    <row r="3070" spans="3:5" ht="15" x14ac:dyDescent="0.2">
      <c r="C3070" s="61">
        <v>41440.9375</v>
      </c>
      <c r="D3070" s="60">
        <v>2120</v>
      </c>
      <c r="E3070" s="59" t="s">
        <v>576</v>
      </c>
    </row>
    <row r="3071" spans="3:5" ht="15" x14ac:dyDescent="0.2">
      <c r="C3071" s="61">
        <v>41440.947916666664</v>
      </c>
      <c r="D3071" s="60">
        <v>2120</v>
      </c>
      <c r="E3071" s="59" t="s">
        <v>576</v>
      </c>
    </row>
    <row r="3072" spans="3:5" ht="15" x14ac:dyDescent="0.2">
      <c r="C3072" s="61">
        <v>41440.958333333336</v>
      </c>
      <c r="D3072" s="60">
        <v>2120</v>
      </c>
      <c r="E3072" s="59" t="s">
        <v>576</v>
      </c>
    </row>
    <row r="3073" spans="3:5" ht="15" x14ac:dyDescent="0.2">
      <c r="C3073" s="61">
        <v>41440.96875</v>
      </c>
      <c r="D3073" s="60">
        <v>2110</v>
      </c>
      <c r="E3073" s="59" t="s">
        <v>577</v>
      </c>
    </row>
    <row r="3074" spans="3:5" ht="15" x14ac:dyDescent="0.2">
      <c r="C3074" s="61">
        <v>41440.979166666664</v>
      </c>
      <c r="D3074" s="60">
        <v>2110</v>
      </c>
      <c r="E3074" s="59" t="s">
        <v>577</v>
      </c>
    </row>
    <row r="3075" spans="3:5" ht="15" x14ac:dyDescent="0.2">
      <c r="C3075" s="61">
        <v>41440.989583333336</v>
      </c>
      <c r="D3075" s="60">
        <v>2110</v>
      </c>
      <c r="E3075" s="59" t="s">
        <v>577</v>
      </c>
    </row>
    <row r="3076" spans="3:5" ht="15" x14ac:dyDescent="0.2">
      <c r="C3076" s="61">
        <v>41441</v>
      </c>
      <c r="D3076" s="60">
        <v>2110</v>
      </c>
      <c r="E3076" s="59" t="s">
        <v>577</v>
      </c>
    </row>
    <row r="3077" spans="3:5" ht="15" x14ac:dyDescent="0.2">
      <c r="C3077" s="61">
        <v>41441.010416666664</v>
      </c>
      <c r="D3077" s="60">
        <v>2110</v>
      </c>
      <c r="E3077" s="59" t="s">
        <v>577</v>
      </c>
    </row>
    <row r="3078" spans="3:5" ht="15" x14ac:dyDescent="0.2">
      <c r="C3078" s="61">
        <v>41441.020833333336</v>
      </c>
      <c r="D3078" s="60">
        <v>2110</v>
      </c>
      <c r="E3078" s="59" t="s">
        <v>577</v>
      </c>
    </row>
    <row r="3079" spans="3:5" ht="15" x14ac:dyDescent="0.2">
      <c r="C3079" s="61">
        <v>41441.03125</v>
      </c>
      <c r="D3079" s="60">
        <v>2110</v>
      </c>
      <c r="E3079" s="59" t="s">
        <v>577</v>
      </c>
    </row>
    <row r="3080" spans="3:5" ht="15" x14ac:dyDescent="0.2">
      <c r="C3080" s="61">
        <v>41441.041666666664</v>
      </c>
      <c r="D3080" s="60">
        <v>2110</v>
      </c>
      <c r="E3080" s="59" t="s">
        <v>577</v>
      </c>
    </row>
    <row r="3081" spans="3:5" ht="15" x14ac:dyDescent="0.2">
      <c r="C3081" s="61">
        <v>41441.052083333336</v>
      </c>
      <c r="D3081" s="60">
        <v>2110</v>
      </c>
      <c r="E3081" s="59" t="s">
        <v>577</v>
      </c>
    </row>
    <row r="3082" spans="3:5" ht="15" x14ac:dyDescent="0.2">
      <c r="C3082" s="61">
        <v>41441.0625</v>
      </c>
      <c r="D3082" s="60">
        <v>2110</v>
      </c>
      <c r="E3082" s="59" t="s">
        <v>577</v>
      </c>
    </row>
    <row r="3083" spans="3:5" ht="15" x14ac:dyDescent="0.2">
      <c r="C3083" s="61">
        <v>41441.072916666664</v>
      </c>
      <c r="D3083" s="60">
        <v>2110</v>
      </c>
      <c r="E3083" s="59" t="s">
        <v>577</v>
      </c>
    </row>
    <row r="3084" spans="3:5" ht="15" x14ac:dyDescent="0.2">
      <c r="C3084" s="61">
        <v>41441.083333333336</v>
      </c>
      <c r="D3084" s="60">
        <v>2110</v>
      </c>
      <c r="E3084" s="59" t="s">
        <v>577</v>
      </c>
    </row>
    <row r="3085" spans="3:5" ht="15" x14ac:dyDescent="0.2">
      <c r="C3085" s="61">
        <v>41441.09375</v>
      </c>
      <c r="D3085" s="60">
        <v>2100</v>
      </c>
      <c r="E3085" s="59" t="s">
        <v>578</v>
      </c>
    </row>
    <row r="3086" spans="3:5" ht="15" x14ac:dyDescent="0.2">
      <c r="C3086" s="61">
        <v>41441.104166666664</v>
      </c>
      <c r="D3086" s="60">
        <v>2100</v>
      </c>
      <c r="E3086" s="59" t="s">
        <v>578</v>
      </c>
    </row>
    <row r="3087" spans="3:5" ht="15" x14ac:dyDescent="0.2">
      <c r="C3087" s="61">
        <v>41441.114583333336</v>
      </c>
      <c r="D3087" s="60">
        <v>2100</v>
      </c>
      <c r="E3087" s="59" t="s">
        <v>578</v>
      </c>
    </row>
    <row r="3088" spans="3:5" ht="15" x14ac:dyDescent="0.2">
      <c r="C3088" s="61">
        <v>41441.125</v>
      </c>
      <c r="D3088" s="60">
        <v>2100</v>
      </c>
      <c r="E3088" s="59" t="s">
        <v>578</v>
      </c>
    </row>
    <row r="3089" spans="3:5" ht="15" x14ac:dyDescent="0.2">
      <c r="C3089" s="61">
        <v>41441.135416666664</v>
      </c>
      <c r="D3089" s="60">
        <v>2100</v>
      </c>
      <c r="E3089" s="59" t="s">
        <v>578</v>
      </c>
    </row>
    <row r="3090" spans="3:5" ht="15" x14ac:dyDescent="0.2">
      <c r="C3090" s="61">
        <v>41441.145833333336</v>
      </c>
      <c r="D3090" s="60">
        <v>2100</v>
      </c>
      <c r="E3090" s="59" t="s">
        <v>578</v>
      </c>
    </row>
    <row r="3091" spans="3:5" ht="15" x14ac:dyDescent="0.2">
      <c r="C3091" s="61">
        <v>41441.15625</v>
      </c>
      <c r="D3091" s="60">
        <v>2080</v>
      </c>
      <c r="E3091" s="59" t="s">
        <v>579</v>
      </c>
    </row>
    <row r="3092" spans="3:5" ht="15" x14ac:dyDescent="0.2">
      <c r="C3092" s="61">
        <v>41441.166666666664</v>
      </c>
      <c r="D3092" s="60">
        <v>2080</v>
      </c>
      <c r="E3092" s="59" t="s">
        <v>579</v>
      </c>
    </row>
    <row r="3093" spans="3:5" ht="15" x14ac:dyDescent="0.2">
      <c r="C3093" s="61">
        <v>41441.177083333336</v>
      </c>
      <c r="D3093" s="60">
        <v>2080</v>
      </c>
      <c r="E3093" s="59" t="s">
        <v>579</v>
      </c>
    </row>
    <row r="3094" spans="3:5" ht="15" x14ac:dyDescent="0.2">
      <c r="C3094" s="61">
        <v>41441.1875</v>
      </c>
      <c r="D3094" s="60">
        <v>2080</v>
      </c>
      <c r="E3094" s="59" t="s">
        <v>579</v>
      </c>
    </row>
    <row r="3095" spans="3:5" ht="15" x14ac:dyDescent="0.2">
      <c r="C3095" s="61">
        <v>41441.197916666664</v>
      </c>
      <c r="D3095" s="60">
        <v>2080</v>
      </c>
      <c r="E3095" s="59" t="s">
        <v>579</v>
      </c>
    </row>
    <row r="3096" spans="3:5" ht="15" x14ac:dyDescent="0.2">
      <c r="C3096" s="61">
        <v>41441.208333333336</v>
      </c>
      <c r="D3096" s="60">
        <v>2070</v>
      </c>
      <c r="E3096" s="59" t="s">
        <v>580</v>
      </c>
    </row>
    <row r="3097" spans="3:5" ht="15" x14ac:dyDescent="0.2">
      <c r="C3097" s="61">
        <v>41441.21875</v>
      </c>
      <c r="D3097" s="60">
        <v>2070</v>
      </c>
      <c r="E3097" s="59" t="s">
        <v>580</v>
      </c>
    </row>
    <row r="3098" spans="3:5" ht="15" x14ac:dyDescent="0.2">
      <c r="C3098" s="61">
        <v>41441.229166666664</v>
      </c>
      <c r="D3098" s="60">
        <v>2070</v>
      </c>
      <c r="E3098" s="59" t="s">
        <v>580</v>
      </c>
    </row>
    <row r="3099" spans="3:5" ht="15" x14ac:dyDescent="0.2">
      <c r="C3099" s="61">
        <v>41441.239583333336</v>
      </c>
      <c r="D3099" s="60">
        <v>2070</v>
      </c>
      <c r="E3099" s="59" t="s">
        <v>580</v>
      </c>
    </row>
    <row r="3100" spans="3:5" ht="15" x14ac:dyDescent="0.2">
      <c r="C3100" s="61">
        <v>41441.25</v>
      </c>
      <c r="D3100" s="60">
        <v>2060</v>
      </c>
      <c r="E3100" s="59" t="s">
        <v>581</v>
      </c>
    </row>
    <row r="3101" spans="3:5" ht="15" x14ac:dyDescent="0.2">
      <c r="C3101" s="61">
        <v>41441.260416666664</v>
      </c>
      <c r="D3101" s="60">
        <v>2060</v>
      </c>
      <c r="E3101" s="59" t="s">
        <v>581</v>
      </c>
    </row>
    <row r="3102" spans="3:5" ht="15" x14ac:dyDescent="0.2">
      <c r="C3102" s="61">
        <v>41441.270833333336</v>
      </c>
      <c r="D3102" s="60">
        <v>2060</v>
      </c>
      <c r="E3102" s="59" t="s">
        <v>581</v>
      </c>
    </row>
    <row r="3103" spans="3:5" ht="15" x14ac:dyDescent="0.2">
      <c r="C3103" s="61">
        <v>41441.28125</v>
      </c>
      <c r="D3103" s="60">
        <v>2060</v>
      </c>
      <c r="E3103" s="59" t="s">
        <v>581</v>
      </c>
    </row>
    <row r="3104" spans="3:5" ht="15" x14ac:dyDescent="0.2">
      <c r="C3104" s="61">
        <v>41441.291666666664</v>
      </c>
      <c r="D3104" s="60">
        <v>2060</v>
      </c>
      <c r="E3104" s="59" t="s">
        <v>581</v>
      </c>
    </row>
    <row r="3105" spans="3:5" ht="15" x14ac:dyDescent="0.2">
      <c r="C3105" s="61">
        <v>41441.302083333336</v>
      </c>
      <c r="D3105" s="60">
        <v>2050</v>
      </c>
      <c r="E3105" s="59" t="s">
        <v>582</v>
      </c>
    </row>
    <row r="3106" spans="3:5" ht="15" x14ac:dyDescent="0.2">
      <c r="C3106" s="61">
        <v>41441.3125</v>
      </c>
      <c r="D3106" s="60">
        <v>2050</v>
      </c>
      <c r="E3106" s="59" t="s">
        <v>582</v>
      </c>
    </row>
    <row r="3107" spans="3:5" ht="15" x14ac:dyDescent="0.2">
      <c r="C3107" s="61">
        <v>41441.322916666664</v>
      </c>
      <c r="D3107" s="60">
        <v>2050</v>
      </c>
      <c r="E3107" s="59" t="s">
        <v>582</v>
      </c>
    </row>
    <row r="3108" spans="3:5" ht="15" x14ac:dyDescent="0.2">
      <c r="C3108" s="61">
        <v>41441.333333333336</v>
      </c>
      <c r="D3108" s="60">
        <v>2050</v>
      </c>
      <c r="E3108" s="59" t="s">
        <v>582</v>
      </c>
    </row>
    <row r="3109" spans="3:5" ht="15" x14ac:dyDescent="0.2">
      <c r="C3109" s="61">
        <v>41441.34375</v>
      </c>
      <c r="D3109" s="60">
        <v>2050</v>
      </c>
      <c r="E3109" s="59" t="s">
        <v>582</v>
      </c>
    </row>
    <row r="3110" spans="3:5" ht="15" x14ac:dyDescent="0.2">
      <c r="C3110" s="61">
        <v>41441.354166666664</v>
      </c>
      <c r="D3110" s="60">
        <v>2040</v>
      </c>
      <c r="E3110" s="59" t="s">
        <v>583</v>
      </c>
    </row>
    <row r="3111" spans="3:5" ht="15" x14ac:dyDescent="0.2">
      <c r="C3111" s="61">
        <v>41441.364583333336</v>
      </c>
      <c r="D3111" s="60">
        <v>2040</v>
      </c>
      <c r="E3111" s="59" t="s">
        <v>583</v>
      </c>
    </row>
    <row r="3112" spans="3:5" ht="15" x14ac:dyDescent="0.2">
      <c r="C3112" s="61">
        <v>41441.375</v>
      </c>
      <c r="D3112" s="60">
        <v>2040</v>
      </c>
      <c r="E3112" s="59" t="s">
        <v>583</v>
      </c>
    </row>
    <row r="3113" spans="3:5" ht="15" x14ac:dyDescent="0.2">
      <c r="C3113" s="61">
        <v>41441.385416666664</v>
      </c>
      <c r="D3113" s="60">
        <v>2040</v>
      </c>
      <c r="E3113" s="59" t="s">
        <v>583</v>
      </c>
    </row>
    <row r="3114" spans="3:5" ht="15" x14ac:dyDescent="0.2">
      <c r="C3114" s="61">
        <v>41441.395833333336</v>
      </c>
      <c r="D3114" s="60">
        <v>2040</v>
      </c>
      <c r="E3114" s="59" t="s">
        <v>583</v>
      </c>
    </row>
    <row r="3115" spans="3:5" ht="15" x14ac:dyDescent="0.2">
      <c r="C3115" s="61">
        <v>41441.40625</v>
      </c>
      <c r="D3115" s="60">
        <v>2040</v>
      </c>
      <c r="E3115" s="59" t="s">
        <v>583</v>
      </c>
    </row>
    <row r="3116" spans="3:5" ht="15" x14ac:dyDescent="0.2">
      <c r="C3116" s="61">
        <v>41441.416666666664</v>
      </c>
      <c r="D3116" s="60">
        <v>2040</v>
      </c>
      <c r="E3116" s="59" t="s">
        <v>583</v>
      </c>
    </row>
    <row r="3117" spans="3:5" ht="15" x14ac:dyDescent="0.2">
      <c r="C3117" s="61">
        <v>41441.427083333336</v>
      </c>
      <c r="D3117" s="60">
        <v>2030</v>
      </c>
      <c r="E3117" s="59" t="s">
        <v>584</v>
      </c>
    </row>
    <row r="3118" spans="3:5" ht="15" x14ac:dyDescent="0.2">
      <c r="C3118" s="61">
        <v>41441.4375</v>
      </c>
      <c r="D3118" s="60">
        <v>2030</v>
      </c>
      <c r="E3118" s="59" t="s">
        <v>584</v>
      </c>
    </row>
    <row r="3119" spans="3:5" ht="15" x14ac:dyDescent="0.2">
      <c r="C3119" s="61">
        <v>41441.447916666664</v>
      </c>
      <c r="D3119" s="60">
        <v>2030</v>
      </c>
      <c r="E3119" s="59" t="s">
        <v>584</v>
      </c>
    </row>
    <row r="3120" spans="3:5" ht="15" x14ac:dyDescent="0.2">
      <c r="C3120" s="61">
        <v>41441.458333333336</v>
      </c>
      <c r="D3120" s="60">
        <v>2020</v>
      </c>
      <c r="E3120" s="59" t="s">
        <v>585</v>
      </c>
    </row>
    <row r="3121" spans="3:5" ht="15" x14ac:dyDescent="0.2">
      <c r="C3121" s="61">
        <v>41441.46875</v>
      </c>
      <c r="D3121" s="60">
        <v>2020</v>
      </c>
      <c r="E3121" s="59" t="s">
        <v>585</v>
      </c>
    </row>
    <row r="3122" spans="3:5" ht="15" x14ac:dyDescent="0.2">
      <c r="C3122" s="61">
        <v>41441.479166666664</v>
      </c>
      <c r="D3122" s="60">
        <v>2000</v>
      </c>
      <c r="E3122" s="59" t="s">
        <v>586</v>
      </c>
    </row>
    <row r="3123" spans="3:5" ht="15" x14ac:dyDescent="0.2">
      <c r="C3123" s="61">
        <v>41441.489583333336</v>
      </c>
      <c r="D3123" s="60">
        <v>2000</v>
      </c>
      <c r="E3123" s="59" t="s">
        <v>586</v>
      </c>
    </row>
    <row r="3124" spans="3:5" ht="15" x14ac:dyDescent="0.2">
      <c r="C3124" s="61">
        <v>41441.5</v>
      </c>
      <c r="D3124" s="60">
        <v>1990</v>
      </c>
      <c r="E3124" s="59" t="s">
        <v>587</v>
      </c>
    </row>
    <row r="3125" spans="3:5" ht="15" x14ac:dyDescent="0.2">
      <c r="C3125" s="61">
        <v>41441.510416666664</v>
      </c>
      <c r="D3125" s="60">
        <v>1990</v>
      </c>
      <c r="E3125" s="59" t="s">
        <v>587</v>
      </c>
    </row>
    <row r="3126" spans="3:5" ht="15" x14ac:dyDescent="0.2">
      <c r="C3126" s="61">
        <v>41441.520833333336</v>
      </c>
      <c r="D3126" s="60">
        <v>1990</v>
      </c>
      <c r="E3126" s="59" t="s">
        <v>587</v>
      </c>
    </row>
    <row r="3127" spans="3:5" ht="15" x14ac:dyDescent="0.2">
      <c r="C3127" s="61">
        <v>41441.53125</v>
      </c>
      <c r="D3127" s="60">
        <v>1980</v>
      </c>
      <c r="E3127" s="59" t="s">
        <v>588</v>
      </c>
    </row>
    <row r="3128" spans="3:5" ht="15" x14ac:dyDescent="0.2">
      <c r="C3128" s="61">
        <v>41441.541666666664</v>
      </c>
      <c r="D3128" s="60">
        <v>1980</v>
      </c>
      <c r="E3128" s="59" t="s">
        <v>588</v>
      </c>
    </row>
    <row r="3129" spans="3:5" ht="15" x14ac:dyDescent="0.2">
      <c r="C3129" s="61">
        <v>41441.552083333336</v>
      </c>
      <c r="D3129" s="60">
        <v>1980</v>
      </c>
      <c r="E3129" s="59" t="s">
        <v>588</v>
      </c>
    </row>
    <row r="3130" spans="3:5" ht="15" x14ac:dyDescent="0.2">
      <c r="C3130" s="61">
        <v>41441.5625</v>
      </c>
      <c r="D3130" s="60">
        <v>1970</v>
      </c>
      <c r="E3130" s="59" t="s">
        <v>589</v>
      </c>
    </row>
    <row r="3131" spans="3:5" ht="15" x14ac:dyDescent="0.2">
      <c r="C3131" s="61">
        <v>41441.572916666664</v>
      </c>
      <c r="D3131" s="60">
        <v>1970</v>
      </c>
      <c r="E3131" s="59" t="s">
        <v>589</v>
      </c>
    </row>
    <row r="3132" spans="3:5" ht="15" x14ac:dyDescent="0.2">
      <c r="C3132" s="61">
        <v>41441.583333333336</v>
      </c>
      <c r="D3132" s="60">
        <v>1970</v>
      </c>
      <c r="E3132" s="59" t="s">
        <v>589</v>
      </c>
    </row>
    <row r="3133" spans="3:5" ht="15" x14ac:dyDescent="0.2">
      <c r="C3133" s="61">
        <v>41441.59375</v>
      </c>
      <c r="D3133" s="60">
        <v>1970</v>
      </c>
      <c r="E3133" s="59" t="s">
        <v>589</v>
      </c>
    </row>
    <row r="3134" spans="3:5" ht="15" x14ac:dyDescent="0.2">
      <c r="C3134" s="61">
        <v>41441.604166666664</v>
      </c>
      <c r="D3134" s="60">
        <v>1970</v>
      </c>
      <c r="E3134" s="59" t="s">
        <v>589</v>
      </c>
    </row>
    <row r="3135" spans="3:5" ht="15" x14ac:dyDescent="0.2">
      <c r="C3135" s="61">
        <v>41441.614583333336</v>
      </c>
      <c r="D3135" s="60">
        <v>1970</v>
      </c>
      <c r="E3135" s="59" t="s">
        <v>589</v>
      </c>
    </row>
    <row r="3136" spans="3:5" ht="15" x14ac:dyDescent="0.2">
      <c r="C3136" s="61">
        <v>41441.625</v>
      </c>
      <c r="D3136" s="60">
        <v>1970</v>
      </c>
      <c r="E3136" s="59" t="s">
        <v>589</v>
      </c>
    </row>
    <row r="3137" spans="3:5" ht="15" x14ac:dyDescent="0.2">
      <c r="C3137" s="61">
        <v>41441.635416666664</v>
      </c>
      <c r="D3137" s="60">
        <v>1970</v>
      </c>
      <c r="E3137" s="59" t="s">
        <v>589</v>
      </c>
    </row>
    <row r="3138" spans="3:5" ht="15" x14ac:dyDescent="0.2">
      <c r="C3138" s="61">
        <v>41441.645833333336</v>
      </c>
      <c r="D3138" s="60">
        <v>1970</v>
      </c>
      <c r="E3138" s="59" t="s">
        <v>589</v>
      </c>
    </row>
    <row r="3139" spans="3:5" ht="15" x14ac:dyDescent="0.2">
      <c r="C3139" s="61">
        <v>41441.65625</v>
      </c>
      <c r="D3139" s="60">
        <v>1970</v>
      </c>
      <c r="E3139" s="59" t="s">
        <v>589</v>
      </c>
    </row>
    <row r="3140" spans="3:5" ht="15" x14ac:dyDescent="0.2">
      <c r="C3140" s="61">
        <v>41441.666666666664</v>
      </c>
      <c r="D3140" s="60">
        <v>1970</v>
      </c>
      <c r="E3140" s="59" t="s">
        <v>589</v>
      </c>
    </row>
    <row r="3141" spans="3:5" ht="15" x14ac:dyDescent="0.2">
      <c r="C3141" s="61">
        <v>41441.677083333336</v>
      </c>
      <c r="D3141" s="60">
        <v>1970</v>
      </c>
      <c r="E3141" s="59" t="s">
        <v>589</v>
      </c>
    </row>
    <row r="3142" spans="3:5" ht="15" x14ac:dyDescent="0.2">
      <c r="C3142" s="61">
        <v>41441.6875</v>
      </c>
      <c r="D3142" s="60">
        <v>1970</v>
      </c>
      <c r="E3142" s="59" t="s">
        <v>589</v>
      </c>
    </row>
    <row r="3143" spans="3:5" ht="15" x14ac:dyDescent="0.2">
      <c r="C3143" s="61">
        <v>41441.697916666664</v>
      </c>
      <c r="D3143" s="60">
        <v>1970</v>
      </c>
      <c r="E3143" s="59" t="s">
        <v>589</v>
      </c>
    </row>
    <row r="3144" spans="3:5" ht="15" x14ac:dyDescent="0.2">
      <c r="C3144" s="61">
        <v>41441.708333333336</v>
      </c>
      <c r="D3144" s="60">
        <v>1970</v>
      </c>
      <c r="E3144" s="59" t="s">
        <v>589</v>
      </c>
    </row>
    <row r="3145" spans="3:5" ht="15" x14ac:dyDescent="0.2">
      <c r="C3145" s="61">
        <v>41441.71875</v>
      </c>
      <c r="D3145" s="60">
        <v>1970</v>
      </c>
      <c r="E3145" s="59" t="s">
        <v>589</v>
      </c>
    </row>
    <row r="3146" spans="3:5" ht="15" x14ac:dyDescent="0.2">
      <c r="C3146" s="61">
        <v>41441.729166666664</v>
      </c>
      <c r="D3146" s="60">
        <v>1970</v>
      </c>
      <c r="E3146" s="59" t="s">
        <v>589</v>
      </c>
    </row>
    <row r="3147" spans="3:5" ht="15" x14ac:dyDescent="0.2">
      <c r="C3147" s="61">
        <v>41441.739583333336</v>
      </c>
      <c r="D3147" s="60">
        <v>1970</v>
      </c>
      <c r="E3147" s="59" t="s">
        <v>589</v>
      </c>
    </row>
    <row r="3148" spans="3:5" ht="15" x14ac:dyDescent="0.2">
      <c r="C3148" s="61">
        <v>41441.75</v>
      </c>
      <c r="D3148" s="60">
        <v>1970</v>
      </c>
      <c r="E3148" s="59" t="s">
        <v>589</v>
      </c>
    </row>
    <row r="3149" spans="3:5" ht="15" x14ac:dyDescent="0.2">
      <c r="C3149" s="61">
        <v>41441.760416666664</v>
      </c>
      <c r="D3149" s="60">
        <v>1970</v>
      </c>
      <c r="E3149" s="59" t="s">
        <v>589</v>
      </c>
    </row>
    <row r="3150" spans="3:5" ht="15" x14ac:dyDescent="0.2">
      <c r="C3150" s="61">
        <v>41441.770833333336</v>
      </c>
      <c r="D3150" s="60">
        <v>1970</v>
      </c>
      <c r="E3150" s="59" t="s">
        <v>589</v>
      </c>
    </row>
    <row r="3151" spans="3:5" ht="15" x14ac:dyDescent="0.2">
      <c r="C3151" s="61">
        <v>41441.78125</v>
      </c>
      <c r="D3151" s="60">
        <v>1970</v>
      </c>
      <c r="E3151" s="59" t="s">
        <v>589</v>
      </c>
    </row>
    <row r="3152" spans="3:5" ht="15" x14ac:dyDescent="0.2">
      <c r="C3152" s="61">
        <v>41441.791666666664</v>
      </c>
      <c r="D3152" s="60">
        <v>1970</v>
      </c>
      <c r="E3152" s="59" t="s">
        <v>589</v>
      </c>
    </row>
    <row r="3153" spans="3:5" ht="15" x14ac:dyDescent="0.2">
      <c r="C3153" s="61">
        <v>41441.802083333336</v>
      </c>
      <c r="D3153" s="60">
        <v>1980</v>
      </c>
      <c r="E3153" s="59" t="s">
        <v>588</v>
      </c>
    </row>
    <row r="3154" spans="3:5" ht="15" x14ac:dyDescent="0.2">
      <c r="C3154" s="61">
        <v>41441.8125</v>
      </c>
      <c r="D3154" s="60">
        <v>1980</v>
      </c>
      <c r="E3154" s="59" t="s">
        <v>588</v>
      </c>
    </row>
    <row r="3155" spans="3:5" ht="15" x14ac:dyDescent="0.2">
      <c r="C3155" s="61">
        <v>41441.822916666664</v>
      </c>
      <c r="D3155" s="60">
        <v>1980</v>
      </c>
      <c r="E3155" s="59" t="s">
        <v>588</v>
      </c>
    </row>
    <row r="3156" spans="3:5" ht="15" x14ac:dyDescent="0.2">
      <c r="C3156" s="61">
        <v>41441.833333333336</v>
      </c>
      <c r="D3156" s="60">
        <v>1980</v>
      </c>
      <c r="E3156" s="59" t="s">
        <v>588</v>
      </c>
    </row>
    <row r="3157" spans="3:5" ht="15" x14ac:dyDescent="0.2">
      <c r="C3157" s="61">
        <v>41441.84375</v>
      </c>
      <c r="D3157" s="60">
        <v>1980</v>
      </c>
      <c r="E3157" s="59" t="s">
        <v>588</v>
      </c>
    </row>
    <row r="3158" spans="3:5" ht="15" x14ac:dyDescent="0.2">
      <c r="C3158" s="61">
        <v>41441.854166666664</v>
      </c>
      <c r="D3158" s="60">
        <v>1980</v>
      </c>
      <c r="E3158" s="59" t="s">
        <v>588</v>
      </c>
    </row>
    <row r="3159" spans="3:5" ht="15" x14ac:dyDescent="0.2">
      <c r="C3159" s="61">
        <v>41441.864583333336</v>
      </c>
      <c r="D3159" s="60">
        <v>1980</v>
      </c>
      <c r="E3159" s="59" t="s">
        <v>588</v>
      </c>
    </row>
    <row r="3160" spans="3:5" ht="15" x14ac:dyDescent="0.2">
      <c r="C3160" s="61">
        <v>41441.875</v>
      </c>
      <c r="D3160" s="60">
        <v>1990</v>
      </c>
      <c r="E3160" s="59" t="s">
        <v>587</v>
      </c>
    </row>
    <row r="3161" spans="3:5" ht="15" x14ac:dyDescent="0.2">
      <c r="C3161" s="61">
        <v>41441.885416666664</v>
      </c>
      <c r="D3161" s="60">
        <v>1990</v>
      </c>
      <c r="E3161" s="59" t="s">
        <v>587</v>
      </c>
    </row>
    <row r="3162" spans="3:5" ht="15" x14ac:dyDescent="0.2">
      <c r="C3162" s="61">
        <v>41441.895833333336</v>
      </c>
      <c r="D3162" s="60">
        <v>1990</v>
      </c>
      <c r="E3162" s="59" t="s">
        <v>587</v>
      </c>
    </row>
    <row r="3163" spans="3:5" ht="15" x14ac:dyDescent="0.2">
      <c r="C3163" s="61">
        <v>41441.90625</v>
      </c>
      <c r="D3163" s="60">
        <v>1990</v>
      </c>
      <c r="E3163" s="59" t="s">
        <v>587</v>
      </c>
    </row>
    <row r="3164" spans="3:5" ht="15" x14ac:dyDescent="0.2">
      <c r="C3164" s="61">
        <v>41441.916666666664</v>
      </c>
      <c r="D3164" s="60">
        <v>1990</v>
      </c>
      <c r="E3164" s="59" t="s">
        <v>587</v>
      </c>
    </row>
    <row r="3165" spans="3:5" ht="15" x14ac:dyDescent="0.2">
      <c r="C3165" s="61">
        <v>41441.927083333336</v>
      </c>
      <c r="D3165" s="60">
        <v>1980</v>
      </c>
      <c r="E3165" s="59" t="s">
        <v>588</v>
      </c>
    </row>
    <row r="3166" spans="3:5" ht="15" x14ac:dyDescent="0.2">
      <c r="C3166" s="61">
        <v>41441.9375</v>
      </c>
      <c r="D3166" s="60">
        <v>1980</v>
      </c>
      <c r="E3166" s="59" t="s">
        <v>588</v>
      </c>
    </row>
    <row r="3167" spans="3:5" ht="15" x14ac:dyDescent="0.2">
      <c r="C3167" s="61">
        <v>41441.947916666664</v>
      </c>
      <c r="D3167" s="60">
        <v>1980</v>
      </c>
      <c r="E3167" s="59" t="s">
        <v>588</v>
      </c>
    </row>
    <row r="3168" spans="3:5" ht="15" x14ac:dyDescent="0.2">
      <c r="C3168" s="61">
        <v>41441.958333333336</v>
      </c>
      <c r="D3168" s="60">
        <v>1980</v>
      </c>
      <c r="E3168" s="59" t="s">
        <v>588</v>
      </c>
    </row>
    <row r="3169" spans="3:5" ht="15" x14ac:dyDescent="0.2">
      <c r="C3169" s="61">
        <v>41441.96875</v>
      </c>
      <c r="D3169" s="60">
        <v>1980</v>
      </c>
      <c r="E3169" s="59" t="s">
        <v>588</v>
      </c>
    </row>
    <row r="3170" spans="3:5" ht="15" x14ac:dyDescent="0.2">
      <c r="C3170" s="61">
        <v>41441.979166666664</v>
      </c>
      <c r="D3170" s="60">
        <v>1980</v>
      </c>
      <c r="E3170" s="59" t="s">
        <v>588</v>
      </c>
    </row>
    <row r="3171" spans="3:5" ht="15" x14ac:dyDescent="0.2">
      <c r="C3171" s="61">
        <v>41441.989583333336</v>
      </c>
      <c r="D3171" s="60">
        <v>1980</v>
      </c>
      <c r="E3171" s="59" t="s">
        <v>588</v>
      </c>
    </row>
    <row r="3172" spans="3:5" ht="15" x14ac:dyDescent="0.2">
      <c r="C3172" s="61">
        <v>41442</v>
      </c>
      <c r="D3172" s="60">
        <v>1980</v>
      </c>
      <c r="E3172" s="59" t="s">
        <v>588</v>
      </c>
    </row>
    <row r="3173" spans="3:5" ht="15" x14ac:dyDescent="0.2">
      <c r="C3173" s="61">
        <v>41442.010416666664</v>
      </c>
      <c r="D3173" s="60">
        <v>1980</v>
      </c>
      <c r="E3173" s="59" t="s">
        <v>588</v>
      </c>
    </row>
    <row r="3174" spans="3:5" ht="15" x14ac:dyDescent="0.2">
      <c r="C3174" s="61">
        <v>41442.020833333336</v>
      </c>
      <c r="D3174" s="60">
        <v>1980</v>
      </c>
      <c r="E3174" s="59" t="s">
        <v>588</v>
      </c>
    </row>
    <row r="3175" spans="3:5" ht="15" x14ac:dyDescent="0.2">
      <c r="C3175" s="61">
        <v>41442.03125</v>
      </c>
      <c r="D3175" s="60">
        <v>1980</v>
      </c>
      <c r="E3175" s="59" t="s">
        <v>588</v>
      </c>
    </row>
    <row r="3176" spans="3:5" ht="15" x14ac:dyDescent="0.2">
      <c r="C3176" s="61">
        <v>41442.041666666664</v>
      </c>
      <c r="D3176" s="60">
        <v>1980</v>
      </c>
      <c r="E3176" s="59" t="s">
        <v>588</v>
      </c>
    </row>
    <row r="3177" spans="3:5" ht="15" x14ac:dyDescent="0.2">
      <c r="C3177" s="61">
        <v>41442.052083333336</v>
      </c>
      <c r="D3177" s="60">
        <v>1980</v>
      </c>
      <c r="E3177" s="59" t="s">
        <v>588</v>
      </c>
    </row>
    <row r="3178" spans="3:5" ht="15" x14ac:dyDescent="0.2">
      <c r="C3178" s="61">
        <v>41442.0625</v>
      </c>
      <c r="D3178" s="60">
        <v>1980</v>
      </c>
      <c r="E3178" s="59" t="s">
        <v>588</v>
      </c>
    </row>
    <row r="3179" spans="3:5" ht="15" x14ac:dyDescent="0.2">
      <c r="C3179" s="61">
        <v>41442.072916666664</v>
      </c>
      <c r="D3179" s="60">
        <v>1980</v>
      </c>
      <c r="E3179" s="59" t="s">
        <v>588</v>
      </c>
    </row>
    <row r="3180" spans="3:5" ht="15" x14ac:dyDescent="0.2">
      <c r="C3180" s="61">
        <v>41442.083333333336</v>
      </c>
      <c r="D3180" s="60">
        <v>1980</v>
      </c>
      <c r="E3180" s="59" t="s">
        <v>588</v>
      </c>
    </row>
    <row r="3181" spans="3:5" ht="15" x14ac:dyDescent="0.2">
      <c r="C3181" s="61">
        <v>41442.09375</v>
      </c>
      <c r="D3181" s="60">
        <v>1980</v>
      </c>
      <c r="E3181" s="59" t="s">
        <v>588</v>
      </c>
    </row>
    <row r="3182" spans="3:5" ht="15" x14ac:dyDescent="0.2">
      <c r="C3182" s="61">
        <v>41442.104166666664</v>
      </c>
      <c r="D3182" s="60">
        <v>1970</v>
      </c>
      <c r="E3182" s="59" t="s">
        <v>589</v>
      </c>
    </row>
    <row r="3183" spans="3:5" ht="15" x14ac:dyDescent="0.2">
      <c r="C3183" s="61">
        <v>41442.114583333336</v>
      </c>
      <c r="D3183" s="60">
        <v>1970</v>
      </c>
      <c r="E3183" s="59" t="s">
        <v>589</v>
      </c>
    </row>
    <row r="3184" spans="3:5" ht="15" x14ac:dyDescent="0.2">
      <c r="C3184" s="61">
        <v>41442.125</v>
      </c>
      <c r="D3184" s="60">
        <v>1970</v>
      </c>
      <c r="E3184" s="59" t="s">
        <v>589</v>
      </c>
    </row>
    <row r="3185" spans="3:5" ht="15" x14ac:dyDescent="0.2">
      <c r="C3185" s="61">
        <v>41442.135416666664</v>
      </c>
      <c r="D3185" s="60">
        <v>1970</v>
      </c>
      <c r="E3185" s="59" t="s">
        <v>589</v>
      </c>
    </row>
    <row r="3186" spans="3:5" ht="15" x14ac:dyDescent="0.2">
      <c r="C3186" s="61">
        <v>41442.145833333336</v>
      </c>
      <c r="D3186" s="60">
        <v>1970</v>
      </c>
      <c r="E3186" s="59" t="s">
        <v>589</v>
      </c>
    </row>
    <row r="3187" spans="3:5" ht="15" x14ac:dyDescent="0.2">
      <c r="C3187" s="61">
        <v>41442.15625</v>
      </c>
      <c r="D3187" s="60">
        <v>1970</v>
      </c>
      <c r="E3187" s="59" t="s">
        <v>589</v>
      </c>
    </row>
    <row r="3188" spans="3:5" ht="15" x14ac:dyDescent="0.2">
      <c r="C3188" s="61">
        <v>41442.166666666664</v>
      </c>
      <c r="D3188" s="60">
        <v>1970</v>
      </c>
      <c r="E3188" s="59" t="s">
        <v>589</v>
      </c>
    </row>
    <row r="3189" spans="3:5" ht="15" x14ac:dyDescent="0.2">
      <c r="C3189" s="61">
        <v>41442.177083333336</v>
      </c>
      <c r="D3189" s="60">
        <v>1970</v>
      </c>
      <c r="E3189" s="59" t="s">
        <v>589</v>
      </c>
    </row>
    <row r="3190" spans="3:5" ht="15" x14ac:dyDescent="0.2">
      <c r="C3190" s="61">
        <v>41442.1875</v>
      </c>
      <c r="D3190" s="60">
        <v>1970</v>
      </c>
      <c r="E3190" s="59" t="s">
        <v>589</v>
      </c>
    </row>
    <row r="3191" spans="3:5" ht="15" x14ac:dyDescent="0.2">
      <c r="C3191" s="61">
        <v>41442.197916666664</v>
      </c>
      <c r="D3191" s="60">
        <v>1970</v>
      </c>
      <c r="E3191" s="59" t="s">
        <v>589</v>
      </c>
    </row>
    <row r="3192" spans="3:5" ht="15" x14ac:dyDescent="0.2">
      <c r="C3192" s="61">
        <v>41442.208333333336</v>
      </c>
      <c r="D3192" s="60">
        <v>1970</v>
      </c>
      <c r="E3192" s="59" t="s">
        <v>589</v>
      </c>
    </row>
    <row r="3193" spans="3:5" ht="15" x14ac:dyDescent="0.2">
      <c r="C3193" s="61">
        <v>41442.21875</v>
      </c>
      <c r="D3193" s="60">
        <v>1970</v>
      </c>
      <c r="E3193" s="59" t="s">
        <v>589</v>
      </c>
    </row>
    <row r="3194" spans="3:5" ht="15" x14ac:dyDescent="0.2">
      <c r="C3194" s="61">
        <v>41442.229166666664</v>
      </c>
      <c r="D3194" s="60">
        <v>1960</v>
      </c>
      <c r="E3194" s="59" t="s">
        <v>590</v>
      </c>
    </row>
    <row r="3195" spans="3:5" ht="15" x14ac:dyDescent="0.2">
      <c r="C3195" s="61">
        <v>41442.239583333336</v>
      </c>
      <c r="D3195" s="60">
        <v>1960</v>
      </c>
      <c r="E3195" s="59" t="s">
        <v>590</v>
      </c>
    </row>
    <row r="3196" spans="3:5" ht="15" x14ac:dyDescent="0.2">
      <c r="C3196" s="61">
        <v>41442.25</v>
      </c>
      <c r="D3196" s="60">
        <v>1960</v>
      </c>
      <c r="E3196" s="59" t="s">
        <v>590</v>
      </c>
    </row>
    <row r="3197" spans="3:5" ht="15" x14ac:dyDescent="0.2">
      <c r="C3197" s="61">
        <v>41442.260416666664</v>
      </c>
      <c r="D3197" s="60">
        <v>1960</v>
      </c>
      <c r="E3197" s="59" t="s">
        <v>590</v>
      </c>
    </row>
    <row r="3198" spans="3:5" ht="15" x14ac:dyDescent="0.2">
      <c r="C3198" s="61">
        <v>41442.270833333336</v>
      </c>
      <c r="D3198" s="60">
        <v>1960</v>
      </c>
      <c r="E3198" s="59" t="s">
        <v>590</v>
      </c>
    </row>
    <row r="3199" spans="3:5" ht="15" x14ac:dyDescent="0.2">
      <c r="C3199" s="61">
        <v>41442.28125</v>
      </c>
      <c r="D3199" s="60">
        <v>1950</v>
      </c>
      <c r="E3199" s="59" t="s">
        <v>591</v>
      </c>
    </row>
    <row r="3200" spans="3:5" ht="15" x14ac:dyDescent="0.2">
      <c r="C3200" s="61">
        <v>41442.291666666664</v>
      </c>
      <c r="D3200" s="60">
        <v>1950</v>
      </c>
      <c r="E3200" s="59" t="s">
        <v>591</v>
      </c>
    </row>
    <row r="3201" spans="3:5" ht="15" x14ac:dyDescent="0.2">
      <c r="C3201" s="61">
        <v>41442.302083333336</v>
      </c>
      <c r="D3201" s="60">
        <v>1950</v>
      </c>
      <c r="E3201" s="59" t="s">
        <v>591</v>
      </c>
    </row>
    <row r="3202" spans="3:5" ht="15" x14ac:dyDescent="0.2">
      <c r="C3202" s="61">
        <v>41442.3125</v>
      </c>
      <c r="D3202" s="60">
        <v>1950</v>
      </c>
      <c r="E3202" s="59" t="s">
        <v>591</v>
      </c>
    </row>
    <row r="3203" spans="3:5" ht="15" x14ac:dyDescent="0.2">
      <c r="C3203" s="61">
        <v>41442.322916666664</v>
      </c>
      <c r="D3203" s="60">
        <v>1950</v>
      </c>
      <c r="E3203" s="59" t="s">
        <v>591</v>
      </c>
    </row>
    <row r="3204" spans="3:5" ht="15" x14ac:dyDescent="0.2">
      <c r="C3204" s="61">
        <v>41442.333333333336</v>
      </c>
      <c r="D3204" s="60">
        <v>1950</v>
      </c>
      <c r="E3204" s="59" t="s">
        <v>591</v>
      </c>
    </row>
    <row r="3205" spans="3:5" ht="15" x14ac:dyDescent="0.2">
      <c r="C3205" s="61">
        <v>41442.34375</v>
      </c>
      <c r="D3205" s="60">
        <v>1940</v>
      </c>
      <c r="E3205" s="59" t="s">
        <v>592</v>
      </c>
    </row>
    <row r="3206" spans="3:5" ht="15" x14ac:dyDescent="0.2">
      <c r="C3206" s="61">
        <v>41442.354166666664</v>
      </c>
      <c r="D3206" s="60">
        <v>1940</v>
      </c>
      <c r="E3206" s="59" t="s">
        <v>592</v>
      </c>
    </row>
    <row r="3207" spans="3:5" ht="15" x14ac:dyDescent="0.2">
      <c r="C3207" s="61">
        <v>41442.364583333336</v>
      </c>
      <c r="D3207" s="60">
        <v>1940</v>
      </c>
      <c r="E3207" s="59" t="s">
        <v>592</v>
      </c>
    </row>
    <row r="3208" spans="3:5" ht="15" x14ac:dyDescent="0.2">
      <c r="C3208" s="61">
        <v>41442.375</v>
      </c>
      <c r="D3208" s="60">
        <v>1940</v>
      </c>
      <c r="E3208" s="59" t="s">
        <v>592</v>
      </c>
    </row>
    <row r="3209" spans="3:5" ht="15" x14ac:dyDescent="0.2">
      <c r="C3209" s="61">
        <v>41442.385416666664</v>
      </c>
      <c r="D3209" s="60">
        <v>1940</v>
      </c>
      <c r="E3209" s="59" t="s">
        <v>592</v>
      </c>
    </row>
    <row r="3210" spans="3:5" ht="15" x14ac:dyDescent="0.2">
      <c r="C3210" s="61">
        <v>41442.395833333336</v>
      </c>
      <c r="D3210" s="60">
        <v>1930</v>
      </c>
      <c r="E3210" s="59" t="s">
        <v>593</v>
      </c>
    </row>
    <row r="3211" spans="3:5" ht="15" x14ac:dyDescent="0.2">
      <c r="C3211" s="61">
        <v>41442.40625</v>
      </c>
      <c r="D3211" s="60">
        <v>1930</v>
      </c>
      <c r="E3211" s="59" t="s">
        <v>593</v>
      </c>
    </row>
    <row r="3212" spans="3:5" ht="15" x14ac:dyDescent="0.2">
      <c r="C3212" s="61">
        <v>41442.416666666664</v>
      </c>
      <c r="D3212" s="60">
        <v>1930</v>
      </c>
      <c r="E3212" s="59" t="s">
        <v>593</v>
      </c>
    </row>
    <row r="3213" spans="3:5" ht="15" x14ac:dyDescent="0.2">
      <c r="C3213" s="61">
        <v>41442.427083333336</v>
      </c>
      <c r="D3213" s="60">
        <v>1930</v>
      </c>
      <c r="E3213" s="59" t="s">
        <v>593</v>
      </c>
    </row>
    <row r="3214" spans="3:5" ht="15" x14ac:dyDescent="0.2">
      <c r="C3214" s="61">
        <v>41442.4375</v>
      </c>
      <c r="D3214" s="60">
        <v>1930</v>
      </c>
      <c r="E3214" s="59" t="s">
        <v>593</v>
      </c>
    </row>
    <row r="3215" spans="3:5" ht="15" x14ac:dyDescent="0.2">
      <c r="C3215" s="61">
        <v>41442.447916666664</v>
      </c>
      <c r="D3215" s="60">
        <v>1930</v>
      </c>
      <c r="E3215" s="59" t="s">
        <v>593</v>
      </c>
    </row>
    <row r="3216" spans="3:5" ht="15" x14ac:dyDescent="0.2">
      <c r="C3216" s="61">
        <v>41442.458333333336</v>
      </c>
      <c r="D3216" s="60">
        <v>1930</v>
      </c>
      <c r="E3216" s="59" t="s">
        <v>593</v>
      </c>
    </row>
    <row r="3217" spans="3:5" ht="15" x14ac:dyDescent="0.2">
      <c r="C3217" s="61">
        <v>41442.46875</v>
      </c>
      <c r="D3217" s="60">
        <v>1930</v>
      </c>
      <c r="E3217" s="59" t="s">
        <v>593</v>
      </c>
    </row>
    <row r="3218" spans="3:5" ht="15" x14ac:dyDescent="0.2">
      <c r="C3218" s="61">
        <v>41442.479166666664</v>
      </c>
      <c r="D3218" s="60">
        <v>1930</v>
      </c>
      <c r="E3218" s="59" t="s">
        <v>593</v>
      </c>
    </row>
    <row r="3219" spans="3:5" ht="15" x14ac:dyDescent="0.2">
      <c r="C3219" s="61">
        <v>41442.489583333336</v>
      </c>
      <c r="D3219" s="60">
        <v>1930</v>
      </c>
      <c r="E3219" s="59" t="s">
        <v>593</v>
      </c>
    </row>
    <row r="3220" spans="3:5" ht="15" x14ac:dyDescent="0.2">
      <c r="C3220" s="61">
        <v>41442.5</v>
      </c>
      <c r="D3220" s="60">
        <v>1930</v>
      </c>
      <c r="E3220" s="59" t="s">
        <v>593</v>
      </c>
    </row>
    <row r="3221" spans="3:5" ht="15" x14ac:dyDescent="0.2">
      <c r="C3221" s="61">
        <v>41442.510416666664</v>
      </c>
      <c r="D3221" s="60">
        <v>1930</v>
      </c>
      <c r="E3221" s="59" t="s">
        <v>593</v>
      </c>
    </row>
    <row r="3222" spans="3:5" ht="15" x14ac:dyDescent="0.2">
      <c r="C3222" s="61">
        <v>41442.520833333336</v>
      </c>
      <c r="D3222" s="60">
        <v>1930</v>
      </c>
      <c r="E3222" s="59" t="s">
        <v>593</v>
      </c>
    </row>
    <row r="3223" spans="3:5" ht="15" x14ac:dyDescent="0.2">
      <c r="C3223" s="61">
        <v>41442.53125</v>
      </c>
      <c r="D3223" s="60">
        <v>1930</v>
      </c>
      <c r="E3223" s="59" t="s">
        <v>593</v>
      </c>
    </row>
    <row r="3224" spans="3:5" ht="15" x14ac:dyDescent="0.2">
      <c r="C3224" s="61">
        <v>41442.541666666664</v>
      </c>
      <c r="D3224" s="60">
        <v>1920</v>
      </c>
      <c r="E3224" s="59" t="s">
        <v>594</v>
      </c>
    </row>
    <row r="3225" spans="3:5" ht="15" x14ac:dyDescent="0.2">
      <c r="C3225" s="61">
        <v>41442.552083333336</v>
      </c>
      <c r="D3225" s="60">
        <v>1920</v>
      </c>
      <c r="E3225" s="59" t="s">
        <v>594</v>
      </c>
    </row>
    <row r="3226" spans="3:5" ht="15" x14ac:dyDescent="0.2">
      <c r="C3226" s="61">
        <v>41442.5625</v>
      </c>
      <c r="D3226" s="60">
        <v>1920</v>
      </c>
      <c r="E3226" s="59" t="s">
        <v>594</v>
      </c>
    </row>
    <row r="3227" spans="3:5" ht="15" x14ac:dyDescent="0.2">
      <c r="C3227" s="61">
        <v>41442.572916666664</v>
      </c>
      <c r="D3227" s="60">
        <v>1920</v>
      </c>
      <c r="E3227" s="59" t="s">
        <v>594</v>
      </c>
    </row>
    <row r="3228" spans="3:5" ht="15" x14ac:dyDescent="0.2">
      <c r="C3228" s="61">
        <v>41442.583333333336</v>
      </c>
      <c r="D3228" s="60">
        <v>1900</v>
      </c>
      <c r="E3228" s="59" t="s">
        <v>595</v>
      </c>
    </row>
    <row r="3229" spans="3:5" ht="15" x14ac:dyDescent="0.2">
      <c r="C3229" s="61">
        <v>41442.59375</v>
      </c>
      <c r="D3229" s="60">
        <v>1900</v>
      </c>
      <c r="E3229" s="59" t="s">
        <v>595</v>
      </c>
    </row>
    <row r="3230" spans="3:5" ht="15" x14ac:dyDescent="0.2">
      <c r="C3230" s="61">
        <v>41442.604166666664</v>
      </c>
      <c r="D3230" s="60">
        <v>1900</v>
      </c>
      <c r="E3230" s="59" t="s">
        <v>595</v>
      </c>
    </row>
    <row r="3231" spans="3:5" ht="15" x14ac:dyDescent="0.2">
      <c r="C3231" s="61">
        <v>41442.614583333336</v>
      </c>
      <c r="D3231" s="60">
        <v>1900</v>
      </c>
      <c r="E3231" s="59" t="s">
        <v>595</v>
      </c>
    </row>
    <row r="3232" spans="3:5" ht="15" x14ac:dyDescent="0.2">
      <c r="C3232" s="61">
        <v>41442.625</v>
      </c>
      <c r="D3232" s="60">
        <v>1900</v>
      </c>
      <c r="E3232" s="59" t="s">
        <v>595</v>
      </c>
    </row>
    <row r="3233" spans="3:5" ht="15" x14ac:dyDescent="0.2">
      <c r="C3233" s="61">
        <v>41442.635416666664</v>
      </c>
      <c r="D3233" s="60">
        <v>1900</v>
      </c>
      <c r="E3233" s="59" t="s">
        <v>595</v>
      </c>
    </row>
    <row r="3234" spans="3:5" ht="15" x14ac:dyDescent="0.2">
      <c r="C3234" s="61">
        <v>41442.645833333336</v>
      </c>
      <c r="D3234" s="60">
        <v>1900</v>
      </c>
      <c r="E3234" s="59" t="s">
        <v>595</v>
      </c>
    </row>
    <row r="3235" spans="3:5" ht="15" x14ac:dyDescent="0.2">
      <c r="C3235" s="61">
        <v>41442.65625</v>
      </c>
      <c r="D3235" s="60">
        <v>1900</v>
      </c>
      <c r="E3235" s="59" t="s">
        <v>595</v>
      </c>
    </row>
    <row r="3236" spans="3:5" ht="15" x14ac:dyDescent="0.2">
      <c r="C3236" s="61">
        <v>41442.666666666664</v>
      </c>
      <c r="D3236" s="60">
        <v>1900</v>
      </c>
      <c r="E3236" s="59" t="s">
        <v>595</v>
      </c>
    </row>
    <row r="3237" spans="3:5" ht="15" x14ac:dyDescent="0.2">
      <c r="C3237" s="61">
        <v>41442.677083333336</v>
      </c>
      <c r="D3237" s="60">
        <v>1900</v>
      </c>
      <c r="E3237" s="59" t="s">
        <v>595</v>
      </c>
    </row>
    <row r="3238" spans="3:5" ht="15" x14ac:dyDescent="0.2">
      <c r="C3238" s="61">
        <v>41442.6875</v>
      </c>
      <c r="D3238" s="60">
        <v>1900</v>
      </c>
      <c r="E3238" s="59" t="s">
        <v>595</v>
      </c>
    </row>
    <row r="3239" spans="3:5" ht="15" x14ac:dyDescent="0.2">
      <c r="C3239" s="61">
        <v>41442.697916666664</v>
      </c>
      <c r="D3239" s="60">
        <v>1900</v>
      </c>
      <c r="E3239" s="59" t="s">
        <v>595</v>
      </c>
    </row>
    <row r="3240" spans="3:5" ht="15" x14ac:dyDescent="0.2">
      <c r="C3240" s="61">
        <v>41442.708333333336</v>
      </c>
      <c r="D3240" s="60">
        <v>1900</v>
      </c>
      <c r="E3240" s="59" t="s">
        <v>595</v>
      </c>
    </row>
    <row r="3241" spans="3:5" ht="15" x14ac:dyDescent="0.2">
      <c r="C3241" s="61">
        <v>41442.71875</v>
      </c>
      <c r="D3241" s="60">
        <v>1900</v>
      </c>
      <c r="E3241" s="59" t="s">
        <v>595</v>
      </c>
    </row>
    <row r="3242" spans="3:5" ht="15" x14ac:dyDescent="0.2">
      <c r="C3242" s="61">
        <v>41442.729166666664</v>
      </c>
      <c r="D3242" s="60">
        <v>1920</v>
      </c>
      <c r="E3242" s="59" t="s">
        <v>594</v>
      </c>
    </row>
    <row r="3243" spans="3:5" ht="15" x14ac:dyDescent="0.2">
      <c r="C3243" s="61">
        <v>41442.739583333336</v>
      </c>
      <c r="D3243" s="60">
        <v>1920</v>
      </c>
      <c r="E3243" s="59" t="s">
        <v>594</v>
      </c>
    </row>
    <row r="3244" spans="3:5" ht="15" x14ac:dyDescent="0.2">
      <c r="C3244" s="61">
        <v>41442.75</v>
      </c>
      <c r="D3244" s="60">
        <v>1920</v>
      </c>
      <c r="E3244" s="59" t="s">
        <v>594</v>
      </c>
    </row>
    <row r="3245" spans="3:5" ht="15" x14ac:dyDescent="0.2">
      <c r="C3245" s="61">
        <v>41442.760416666664</v>
      </c>
      <c r="D3245" s="60">
        <v>1930</v>
      </c>
      <c r="E3245" s="59" t="s">
        <v>593</v>
      </c>
    </row>
    <row r="3246" spans="3:5" ht="15" x14ac:dyDescent="0.2">
      <c r="C3246" s="61">
        <v>41442.770833333336</v>
      </c>
      <c r="D3246" s="60">
        <v>1930</v>
      </c>
      <c r="E3246" s="59" t="s">
        <v>593</v>
      </c>
    </row>
    <row r="3247" spans="3:5" ht="15" x14ac:dyDescent="0.2">
      <c r="C3247" s="61">
        <v>41442.78125</v>
      </c>
      <c r="D3247" s="60">
        <v>1940</v>
      </c>
      <c r="E3247" s="59" t="s">
        <v>592</v>
      </c>
    </row>
    <row r="3248" spans="3:5" ht="15" x14ac:dyDescent="0.2">
      <c r="C3248" s="61">
        <v>41442.791666666664</v>
      </c>
      <c r="D3248" s="60">
        <v>1950</v>
      </c>
      <c r="E3248" s="59" t="s">
        <v>591</v>
      </c>
    </row>
    <row r="3249" spans="3:5" ht="15" x14ac:dyDescent="0.2">
      <c r="C3249" s="61">
        <v>41442.802083333336</v>
      </c>
      <c r="D3249" s="60">
        <v>1950</v>
      </c>
      <c r="E3249" s="59" t="s">
        <v>591</v>
      </c>
    </row>
    <row r="3250" spans="3:5" ht="15" x14ac:dyDescent="0.2">
      <c r="C3250" s="61">
        <v>41442.8125</v>
      </c>
      <c r="D3250" s="60">
        <v>1950</v>
      </c>
      <c r="E3250" s="59" t="s">
        <v>591</v>
      </c>
    </row>
    <row r="3251" spans="3:5" ht="15" x14ac:dyDescent="0.2">
      <c r="C3251" s="61">
        <v>41442.822916666664</v>
      </c>
      <c r="D3251" s="60">
        <v>1960</v>
      </c>
      <c r="E3251" s="59" t="s">
        <v>590</v>
      </c>
    </row>
    <row r="3252" spans="3:5" ht="15" x14ac:dyDescent="0.2">
      <c r="C3252" s="61">
        <v>41442.833333333336</v>
      </c>
      <c r="D3252" s="60">
        <v>1960</v>
      </c>
      <c r="E3252" s="59" t="s">
        <v>590</v>
      </c>
    </row>
    <row r="3253" spans="3:5" ht="15" x14ac:dyDescent="0.2">
      <c r="C3253" s="61">
        <v>41442.84375</v>
      </c>
      <c r="D3253" s="60">
        <v>1970</v>
      </c>
      <c r="E3253" s="59" t="s">
        <v>589</v>
      </c>
    </row>
    <row r="3254" spans="3:5" ht="15" x14ac:dyDescent="0.2">
      <c r="C3254" s="61">
        <v>41442.854166666664</v>
      </c>
      <c r="D3254" s="60">
        <v>1970</v>
      </c>
      <c r="E3254" s="59" t="s">
        <v>589</v>
      </c>
    </row>
    <row r="3255" spans="3:5" ht="15" x14ac:dyDescent="0.2">
      <c r="C3255" s="61">
        <v>41442.864583333336</v>
      </c>
      <c r="D3255" s="60">
        <v>1970</v>
      </c>
      <c r="E3255" s="59" t="s">
        <v>589</v>
      </c>
    </row>
    <row r="3256" spans="3:5" ht="15" x14ac:dyDescent="0.2">
      <c r="C3256" s="61">
        <v>41442.875</v>
      </c>
      <c r="D3256" s="60">
        <v>1970</v>
      </c>
      <c r="E3256" s="59" t="s">
        <v>589</v>
      </c>
    </row>
    <row r="3257" spans="3:5" ht="15" x14ac:dyDescent="0.2">
      <c r="C3257" s="61">
        <v>41442.885416666664</v>
      </c>
      <c r="D3257" s="60">
        <v>1970</v>
      </c>
      <c r="E3257" s="59" t="s">
        <v>589</v>
      </c>
    </row>
    <row r="3258" spans="3:5" ht="15" x14ac:dyDescent="0.2">
      <c r="C3258" s="61">
        <v>41442.895833333336</v>
      </c>
      <c r="D3258" s="60">
        <v>1980</v>
      </c>
      <c r="E3258" s="59" t="s">
        <v>588</v>
      </c>
    </row>
    <row r="3259" spans="3:5" ht="15" x14ac:dyDescent="0.2">
      <c r="C3259" s="61">
        <v>41442.90625</v>
      </c>
      <c r="D3259" s="60">
        <v>1980</v>
      </c>
      <c r="E3259" s="59" t="s">
        <v>588</v>
      </c>
    </row>
    <row r="3260" spans="3:5" ht="15" x14ac:dyDescent="0.2">
      <c r="C3260" s="61">
        <v>41442.916666666664</v>
      </c>
      <c r="D3260" s="60">
        <v>1980</v>
      </c>
      <c r="E3260" s="59" t="s">
        <v>588</v>
      </c>
    </row>
    <row r="3261" spans="3:5" ht="15" x14ac:dyDescent="0.2">
      <c r="C3261" s="61">
        <v>41442.927083333336</v>
      </c>
      <c r="D3261" s="60">
        <v>1980</v>
      </c>
      <c r="E3261" s="59" t="s">
        <v>588</v>
      </c>
    </row>
    <row r="3262" spans="3:5" ht="15" x14ac:dyDescent="0.2">
      <c r="C3262" s="61">
        <v>41442.9375</v>
      </c>
      <c r="D3262" s="60">
        <v>1980</v>
      </c>
      <c r="E3262" s="59" t="s">
        <v>588</v>
      </c>
    </row>
    <row r="3263" spans="3:5" ht="15" x14ac:dyDescent="0.2">
      <c r="C3263" s="61">
        <v>41442.947916666664</v>
      </c>
      <c r="D3263" s="60">
        <v>1980</v>
      </c>
      <c r="E3263" s="59" t="s">
        <v>588</v>
      </c>
    </row>
    <row r="3264" spans="3:5" ht="15" x14ac:dyDescent="0.2">
      <c r="C3264" s="61">
        <v>41442.958333333336</v>
      </c>
      <c r="D3264" s="60">
        <v>1980</v>
      </c>
      <c r="E3264" s="59" t="s">
        <v>588</v>
      </c>
    </row>
    <row r="3265" spans="3:5" ht="15" x14ac:dyDescent="0.2">
      <c r="C3265" s="61">
        <v>41442.96875</v>
      </c>
      <c r="D3265" s="60">
        <v>1980</v>
      </c>
      <c r="E3265" s="59" t="s">
        <v>588</v>
      </c>
    </row>
    <row r="3266" spans="3:5" ht="15" x14ac:dyDescent="0.2">
      <c r="C3266" s="61">
        <v>41442.979166666664</v>
      </c>
      <c r="D3266" s="60">
        <v>1980</v>
      </c>
      <c r="E3266" s="59" t="s">
        <v>588</v>
      </c>
    </row>
    <row r="3267" spans="3:5" ht="15" x14ac:dyDescent="0.2">
      <c r="C3267" s="61">
        <v>41442.989583333336</v>
      </c>
      <c r="D3267" s="60">
        <v>1970</v>
      </c>
      <c r="E3267" s="59" t="s">
        <v>589</v>
      </c>
    </row>
    <row r="3268" spans="3:5" ht="15" x14ac:dyDescent="0.2">
      <c r="C3268" s="61">
        <v>41443</v>
      </c>
      <c r="D3268" s="60">
        <v>1970</v>
      </c>
      <c r="E3268" s="59" t="s">
        <v>589</v>
      </c>
    </row>
    <row r="3269" spans="3:5" ht="15" x14ac:dyDescent="0.2">
      <c r="C3269" s="61">
        <v>41443.010416666664</v>
      </c>
      <c r="D3269" s="60">
        <v>1970</v>
      </c>
      <c r="E3269" s="59" t="s">
        <v>589</v>
      </c>
    </row>
    <row r="3270" spans="3:5" ht="15" x14ac:dyDescent="0.2">
      <c r="C3270" s="61">
        <v>41443.020833333336</v>
      </c>
      <c r="D3270" s="60">
        <v>1970</v>
      </c>
      <c r="E3270" s="59" t="s">
        <v>589</v>
      </c>
    </row>
    <row r="3271" spans="3:5" ht="15" x14ac:dyDescent="0.2">
      <c r="C3271" s="61">
        <v>41443.03125</v>
      </c>
      <c r="D3271" s="60">
        <v>1970</v>
      </c>
      <c r="E3271" s="59" t="s">
        <v>589</v>
      </c>
    </row>
    <row r="3272" spans="3:5" ht="15" x14ac:dyDescent="0.2">
      <c r="C3272" s="61">
        <v>41443.041666666664</v>
      </c>
      <c r="D3272" s="60">
        <v>1970</v>
      </c>
      <c r="E3272" s="59" t="s">
        <v>589</v>
      </c>
    </row>
    <row r="3273" spans="3:5" ht="15" x14ac:dyDescent="0.2">
      <c r="C3273" s="61">
        <v>41443.052083333336</v>
      </c>
      <c r="D3273" s="60">
        <v>1960</v>
      </c>
      <c r="E3273" s="59" t="s">
        <v>590</v>
      </c>
    </row>
    <row r="3274" spans="3:5" ht="15" x14ac:dyDescent="0.2">
      <c r="C3274" s="61">
        <v>41443.0625</v>
      </c>
      <c r="D3274" s="60">
        <v>1960</v>
      </c>
      <c r="E3274" s="59" t="s">
        <v>590</v>
      </c>
    </row>
    <row r="3275" spans="3:5" ht="15" x14ac:dyDescent="0.2">
      <c r="C3275" s="61">
        <v>41443.072916666664</v>
      </c>
      <c r="D3275" s="60">
        <v>1960</v>
      </c>
      <c r="E3275" s="59" t="s">
        <v>590</v>
      </c>
    </row>
    <row r="3276" spans="3:5" ht="15" x14ac:dyDescent="0.2">
      <c r="C3276" s="61">
        <v>41443.083333333336</v>
      </c>
      <c r="D3276" s="60">
        <v>1960</v>
      </c>
      <c r="E3276" s="59" t="s">
        <v>590</v>
      </c>
    </row>
    <row r="3277" spans="3:5" ht="15" x14ac:dyDescent="0.2">
      <c r="C3277" s="61">
        <v>41443.09375</v>
      </c>
      <c r="D3277" s="60">
        <v>1960</v>
      </c>
      <c r="E3277" s="59" t="s">
        <v>590</v>
      </c>
    </row>
    <row r="3278" spans="3:5" ht="15" x14ac:dyDescent="0.2">
      <c r="C3278" s="61">
        <v>41443.104166666664</v>
      </c>
      <c r="D3278" s="60">
        <v>1960</v>
      </c>
      <c r="E3278" s="59" t="s">
        <v>590</v>
      </c>
    </row>
    <row r="3279" spans="3:5" ht="15" x14ac:dyDescent="0.2">
      <c r="C3279" s="61">
        <v>41443.114583333336</v>
      </c>
      <c r="D3279" s="60">
        <v>1960</v>
      </c>
      <c r="E3279" s="59" t="s">
        <v>590</v>
      </c>
    </row>
    <row r="3280" spans="3:5" ht="15" x14ac:dyDescent="0.2">
      <c r="C3280" s="61">
        <v>41443.125</v>
      </c>
      <c r="D3280" s="60">
        <v>1960</v>
      </c>
      <c r="E3280" s="59" t="s">
        <v>590</v>
      </c>
    </row>
    <row r="3281" spans="3:5" ht="15" x14ac:dyDescent="0.2">
      <c r="C3281" s="61">
        <v>41443.135416666664</v>
      </c>
      <c r="D3281" s="60">
        <v>1960</v>
      </c>
      <c r="E3281" s="59" t="s">
        <v>590</v>
      </c>
    </row>
    <row r="3282" spans="3:5" ht="15" x14ac:dyDescent="0.2">
      <c r="C3282" s="61">
        <v>41443.145833333336</v>
      </c>
      <c r="D3282" s="60">
        <v>1960</v>
      </c>
      <c r="E3282" s="59" t="s">
        <v>590</v>
      </c>
    </row>
    <row r="3283" spans="3:5" ht="15" x14ac:dyDescent="0.2">
      <c r="C3283" s="61">
        <v>41443.15625</v>
      </c>
      <c r="D3283" s="60">
        <v>1960</v>
      </c>
      <c r="E3283" s="59" t="s">
        <v>590</v>
      </c>
    </row>
    <row r="3284" spans="3:5" ht="15" x14ac:dyDescent="0.2">
      <c r="C3284" s="61">
        <v>41443.166666666664</v>
      </c>
      <c r="D3284" s="60">
        <v>1960</v>
      </c>
      <c r="E3284" s="59" t="s">
        <v>590</v>
      </c>
    </row>
    <row r="3285" spans="3:5" ht="15" x14ac:dyDescent="0.2">
      <c r="C3285" s="61">
        <v>41443.177083333336</v>
      </c>
      <c r="D3285" s="60">
        <v>1960</v>
      </c>
      <c r="E3285" s="59" t="s">
        <v>590</v>
      </c>
    </row>
    <row r="3286" spans="3:5" ht="15" x14ac:dyDescent="0.2">
      <c r="C3286" s="61">
        <v>41443.1875</v>
      </c>
      <c r="D3286" s="60">
        <v>1960</v>
      </c>
      <c r="E3286" s="59" t="s">
        <v>590</v>
      </c>
    </row>
    <row r="3287" spans="3:5" ht="15" x14ac:dyDescent="0.2">
      <c r="C3287" s="61">
        <v>41443.197916666664</v>
      </c>
      <c r="D3287" s="60">
        <v>1960</v>
      </c>
      <c r="E3287" s="59" t="s">
        <v>590</v>
      </c>
    </row>
    <row r="3288" spans="3:5" ht="15" x14ac:dyDescent="0.2">
      <c r="C3288" s="61">
        <v>41443.208333333336</v>
      </c>
      <c r="D3288" s="60">
        <v>1960</v>
      </c>
      <c r="E3288" s="59" t="s">
        <v>590</v>
      </c>
    </row>
    <row r="3289" spans="3:5" ht="15" x14ac:dyDescent="0.2">
      <c r="C3289" s="61">
        <v>41443.21875</v>
      </c>
      <c r="D3289" s="60">
        <v>1960</v>
      </c>
      <c r="E3289" s="59" t="s">
        <v>590</v>
      </c>
    </row>
    <row r="3290" spans="3:5" ht="15" x14ac:dyDescent="0.2">
      <c r="C3290" s="61">
        <v>41443.229166666664</v>
      </c>
      <c r="D3290" s="60">
        <v>1970</v>
      </c>
      <c r="E3290" s="59" t="s">
        <v>589</v>
      </c>
    </row>
    <row r="3291" spans="3:5" ht="15" x14ac:dyDescent="0.2">
      <c r="C3291" s="61">
        <v>41443.239583333336</v>
      </c>
      <c r="D3291" s="60">
        <v>1970</v>
      </c>
      <c r="E3291" s="59" t="s">
        <v>589</v>
      </c>
    </row>
    <row r="3292" spans="3:5" ht="15" x14ac:dyDescent="0.2">
      <c r="C3292" s="61">
        <v>41443.25</v>
      </c>
      <c r="D3292" s="60">
        <v>1970</v>
      </c>
      <c r="E3292" s="59" t="s">
        <v>589</v>
      </c>
    </row>
    <row r="3293" spans="3:5" ht="15" x14ac:dyDescent="0.2">
      <c r="C3293" s="61">
        <v>41443.260416666664</v>
      </c>
      <c r="D3293" s="60">
        <v>1970</v>
      </c>
      <c r="E3293" s="59" t="s">
        <v>589</v>
      </c>
    </row>
    <row r="3294" spans="3:5" ht="15" x14ac:dyDescent="0.2">
      <c r="C3294" s="61">
        <v>41443.270833333336</v>
      </c>
      <c r="D3294" s="60">
        <v>1980</v>
      </c>
      <c r="E3294" s="59" t="s">
        <v>588</v>
      </c>
    </row>
    <row r="3295" spans="3:5" ht="15" x14ac:dyDescent="0.2">
      <c r="C3295" s="61">
        <v>41443.28125</v>
      </c>
      <c r="D3295" s="60">
        <v>1980</v>
      </c>
      <c r="E3295" s="59" t="s">
        <v>588</v>
      </c>
    </row>
    <row r="3296" spans="3:5" ht="15" x14ac:dyDescent="0.2">
      <c r="C3296" s="61">
        <v>41443.291666666664</v>
      </c>
      <c r="D3296" s="60">
        <v>1990</v>
      </c>
      <c r="E3296" s="59" t="s">
        <v>587</v>
      </c>
    </row>
    <row r="3297" spans="3:5" ht="15" x14ac:dyDescent="0.2">
      <c r="C3297" s="61">
        <v>41443.302083333336</v>
      </c>
      <c r="D3297" s="60">
        <v>1990</v>
      </c>
      <c r="E3297" s="59" t="s">
        <v>587</v>
      </c>
    </row>
    <row r="3298" spans="3:5" ht="15" x14ac:dyDescent="0.2">
      <c r="C3298" s="61">
        <v>41443.3125</v>
      </c>
      <c r="D3298" s="60">
        <v>1990</v>
      </c>
      <c r="E3298" s="59" t="s">
        <v>587</v>
      </c>
    </row>
    <row r="3299" spans="3:5" ht="15" x14ac:dyDescent="0.2">
      <c r="C3299" s="61">
        <v>41443.322916666664</v>
      </c>
      <c r="D3299" s="60">
        <v>2000</v>
      </c>
      <c r="E3299" s="59" t="s">
        <v>586</v>
      </c>
    </row>
    <row r="3300" spans="3:5" ht="15" x14ac:dyDescent="0.2">
      <c r="C3300" s="61">
        <v>41443.333333333336</v>
      </c>
      <c r="D3300" s="60">
        <v>2000</v>
      </c>
      <c r="E3300" s="59" t="s">
        <v>586</v>
      </c>
    </row>
    <row r="3301" spans="3:5" ht="15" x14ac:dyDescent="0.2">
      <c r="C3301" s="61">
        <v>41443.34375</v>
      </c>
      <c r="D3301" s="60">
        <v>2020</v>
      </c>
      <c r="E3301" s="59" t="s">
        <v>585</v>
      </c>
    </row>
    <row r="3302" spans="3:5" ht="15" x14ac:dyDescent="0.2">
      <c r="C3302" s="61">
        <v>41443.354166666664</v>
      </c>
      <c r="D3302" s="60">
        <v>2020</v>
      </c>
      <c r="E3302" s="59" t="s">
        <v>585</v>
      </c>
    </row>
    <row r="3303" spans="3:5" ht="15" x14ac:dyDescent="0.2">
      <c r="C3303" s="61">
        <v>41443.364583333336</v>
      </c>
      <c r="D3303" s="60">
        <v>2020</v>
      </c>
      <c r="E3303" s="59" t="s">
        <v>585</v>
      </c>
    </row>
    <row r="3304" spans="3:5" ht="15" x14ac:dyDescent="0.2">
      <c r="C3304" s="61">
        <v>41443.375</v>
      </c>
      <c r="D3304" s="60">
        <v>2030</v>
      </c>
      <c r="E3304" s="59" t="s">
        <v>584</v>
      </c>
    </row>
    <row r="3305" spans="3:5" ht="15" x14ac:dyDescent="0.2">
      <c r="C3305" s="61">
        <v>41443.385416666664</v>
      </c>
      <c r="D3305" s="60">
        <v>2030</v>
      </c>
      <c r="E3305" s="59" t="s">
        <v>584</v>
      </c>
    </row>
    <row r="3306" spans="3:5" ht="15" x14ac:dyDescent="0.2">
      <c r="C3306" s="61">
        <v>41443.395833333336</v>
      </c>
      <c r="D3306" s="60">
        <v>2030</v>
      </c>
      <c r="E3306" s="59" t="s">
        <v>584</v>
      </c>
    </row>
    <row r="3307" spans="3:5" ht="15" x14ac:dyDescent="0.2">
      <c r="C3307" s="61">
        <v>41443.40625</v>
      </c>
      <c r="D3307" s="60">
        <v>2040</v>
      </c>
      <c r="E3307" s="59" t="s">
        <v>583</v>
      </c>
    </row>
    <row r="3308" spans="3:5" ht="15" x14ac:dyDescent="0.2">
      <c r="C3308" s="61">
        <v>41443.416666666664</v>
      </c>
      <c r="D3308" s="60">
        <v>2040</v>
      </c>
      <c r="E3308" s="59" t="s">
        <v>583</v>
      </c>
    </row>
    <row r="3309" spans="3:5" ht="15" x14ac:dyDescent="0.2">
      <c r="C3309" s="61">
        <v>41443.427083333336</v>
      </c>
      <c r="D3309" s="60">
        <v>2040</v>
      </c>
      <c r="E3309" s="59" t="s">
        <v>583</v>
      </c>
    </row>
    <row r="3310" spans="3:5" ht="15" x14ac:dyDescent="0.2">
      <c r="C3310" s="61">
        <v>41443.4375</v>
      </c>
      <c r="D3310" s="60">
        <v>2050</v>
      </c>
      <c r="E3310" s="59" t="s">
        <v>582</v>
      </c>
    </row>
    <row r="3311" spans="3:5" ht="15" x14ac:dyDescent="0.2">
      <c r="C3311" s="61">
        <v>41443.447916666664</v>
      </c>
      <c r="D3311" s="60">
        <v>2050</v>
      </c>
      <c r="E3311" s="59" t="s">
        <v>582</v>
      </c>
    </row>
    <row r="3312" spans="3:5" ht="15" x14ac:dyDescent="0.2">
      <c r="C3312" s="61">
        <v>41443.458333333336</v>
      </c>
      <c r="D3312" s="60">
        <v>2060</v>
      </c>
      <c r="E3312" s="59" t="s">
        <v>581</v>
      </c>
    </row>
    <row r="3313" spans="3:5" ht="15" x14ac:dyDescent="0.2">
      <c r="C3313" s="61">
        <v>41443.46875</v>
      </c>
      <c r="D3313" s="60">
        <v>2060</v>
      </c>
      <c r="E3313" s="59" t="s">
        <v>581</v>
      </c>
    </row>
    <row r="3314" spans="3:5" ht="15" x14ac:dyDescent="0.2">
      <c r="C3314" s="61">
        <v>41443.479166666664</v>
      </c>
      <c r="D3314" s="60">
        <v>2060</v>
      </c>
      <c r="E3314" s="59" t="s">
        <v>581</v>
      </c>
    </row>
    <row r="3315" spans="3:5" ht="15" x14ac:dyDescent="0.2">
      <c r="C3315" s="61">
        <v>41443.489583333336</v>
      </c>
      <c r="D3315" s="60">
        <v>2070</v>
      </c>
      <c r="E3315" s="59" t="s">
        <v>580</v>
      </c>
    </row>
    <row r="3316" spans="3:5" ht="15" x14ac:dyDescent="0.2">
      <c r="C3316" s="61">
        <v>41443.5</v>
      </c>
      <c r="D3316" s="60">
        <v>2070</v>
      </c>
      <c r="E3316" s="59" t="s">
        <v>580</v>
      </c>
    </row>
    <row r="3317" spans="3:5" ht="15" x14ac:dyDescent="0.2">
      <c r="C3317" s="61">
        <v>41443.510416666664</v>
      </c>
      <c r="D3317" s="60">
        <v>2080</v>
      </c>
      <c r="E3317" s="59" t="s">
        <v>579</v>
      </c>
    </row>
    <row r="3318" spans="3:5" ht="15" x14ac:dyDescent="0.2">
      <c r="C3318" s="61">
        <v>41443.520833333336</v>
      </c>
      <c r="D3318" s="60">
        <v>2080</v>
      </c>
      <c r="E3318" s="59" t="s">
        <v>579</v>
      </c>
    </row>
    <row r="3319" spans="3:5" ht="15" x14ac:dyDescent="0.2">
      <c r="C3319" s="61">
        <v>41443.53125</v>
      </c>
      <c r="D3319" s="60">
        <v>2100</v>
      </c>
      <c r="E3319" s="59" t="s">
        <v>578</v>
      </c>
    </row>
    <row r="3320" spans="3:5" ht="15" x14ac:dyDescent="0.2">
      <c r="C3320" s="61">
        <v>41443.541666666664</v>
      </c>
      <c r="D3320" s="60">
        <v>2100</v>
      </c>
      <c r="E3320" s="59" t="s">
        <v>578</v>
      </c>
    </row>
    <row r="3321" spans="3:5" ht="15" x14ac:dyDescent="0.2">
      <c r="C3321" s="61">
        <v>41443.552083333336</v>
      </c>
      <c r="D3321" s="60">
        <v>2110</v>
      </c>
      <c r="E3321" s="59" t="s">
        <v>577</v>
      </c>
    </row>
    <row r="3322" spans="3:5" ht="15" x14ac:dyDescent="0.2">
      <c r="C3322" s="61">
        <v>41443.5625</v>
      </c>
      <c r="D3322" s="60">
        <v>2120</v>
      </c>
      <c r="E3322" s="59" t="s">
        <v>576</v>
      </c>
    </row>
    <row r="3323" spans="3:5" ht="15" x14ac:dyDescent="0.2">
      <c r="C3323" s="61">
        <v>41443.572916666664</v>
      </c>
      <c r="D3323" s="60">
        <v>2120</v>
      </c>
      <c r="E3323" s="59" t="s">
        <v>576</v>
      </c>
    </row>
    <row r="3324" spans="3:5" ht="15" x14ac:dyDescent="0.2">
      <c r="C3324" s="61">
        <v>41443.583333333336</v>
      </c>
      <c r="D3324" s="60">
        <v>2130</v>
      </c>
      <c r="E3324" s="59" t="s">
        <v>575</v>
      </c>
    </row>
    <row r="3325" spans="3:5" ht="15" x14ac:dyDescent="0.2">
      <c r="C3325" s="61">
        <v>41443.59375</v>
      </c>
      <c r="D3325" s="60">
        <v>2130</v>
      </c>
      <c r="E3325" s="59" t="s">
        <v>575</v>
      </c>
    </row>
    <row r="3326" spans="3:5" ht="15" x14ac:dyDescent="0.2">
      <c r="C3326" s="61">
        <v>41443.604166666664</v>
      </c>
      <c r="D3326" s="60">
        <v>2140</v>
      </c>
      <c r="E3326" s="59" t="s">
        <v>574</v>
      </c>
    </row>
    <row r="3327" spans="3:5" ht="15" x14ac:dyDescent="0.2">
      <c r="C3327" s="61">
        <v>41443.614583333336</v>
      </c>
      <c r="D3327" s="60">
        <v>2150</v>
      </c>
      <c r="E3327" s="59" t="s">
        <v>573</v>
      </c>
    </row>
    <row r="3328" spans="3:5" ht="15" x14ac:dyDescent="0.2">
      <c r="C3328" s="61">
        <v>41443.625</v>
      </c>
      <c r="D3328" s="60">
        <v>2150</v>
      </c>
      <c r="E3328" s="59" t="s">
        <v>573</v>
      </c>
    </row>
    <row r="3329" spans="3:5" ht="15" x14ac:dyDescent="0.2">
      <c r="C3329" s="61">
        <v>41443.635416666664</v>
      </c>
      <c r="D3329" s="60">
        <v>2170</v>
      </c>
      <c r="E3329" s="59" t="s">
        <v>572</v>
      </c>
    </row>
    <row r="3330" spans="3:5" ht="15" x14ac:dyDescent="0.2">
      <c r="C3330" s="61">
        <v>41443.645833333336</v>
      </c>
      <c r="D3330" s="60">
        <v>2170</v>
      </c>
      <c r="E3330" s="59" t="s">
        <v>572</v>
      </c>
    </row>
    <row r="3331" spans="3:5" ht="15" x14ac:dyDescent="0.2">
      <c r="C3331" s="61">
        <v>41443.65625</v>
      </c>
      <c r="D3331" s="60">
        <v>2180</v>
      </c>
      <c r="E3331" s="59" t="s">
        <v>571</v>
      </c>
    </row>
    <row r="3332" spans="3:5" ht="15" x14ac:dyDescent="0.2">
      <c r="C3332" s="61">
        <v>41443.666666666664</v>
      </c>
      <c r="D3332" s="60">
        <v>2180</v>
      </c>
      <c r="E3332" s="59" t="s">
        <v>571</v>
      </c>
    </row>
    <row r="3333" spans="3:5" ht="15" x14ac:dyDescent="0.2">
      <c r="C3333" s="61">
        <v>41443.677083333336</v>
      </c>
      <c r="D3333" s="60">
        <v>2190</v>
      </c>
      <c r="E3333" s="59" t="s">
        <v>570</v>
      </c>
    </row>
    <row r="3334" spans="3:5" ht="15" x14ac:dyDescent="0.2">
      <c r="C3334" s="61">
        <v>41443.6875</v>
      </c>
      <c r="D3334" s="60">
        <v>2190</v>
      </c>
      <c r="E3334" s="59" t="s">
        <v>570</v>
      </c>
    </row>
    <row r="3335" spans="3:5" ht="15" x14ac:dyDescent="0.2">
      <c r="C3335" s="61">
        <v>41443.697916666664</v>
      </c>
      <c r="D3335" s="60">
        <v>2200</v>
      </c>
      <c r="E3335" s="59" t="s">
        <v>569</v>
      </c>
    </row>
    <row r="3336" spans="3:5" ht="15" x14ac:dyDescent="0.2">
      <c r="C3336" s="61">
        <v>41443.708333333336</v>
      </c>
      <c r="D3336" s="60">
        <v>2200</v>
      </c>
      <c r="E3336" s="59" t="s">
        <v>569</v>
      </c>
    </row>
    <row r="3337" spans="3:5" ht="15" x14ac:dyDescent="0.2">
      <c r="C3337" s="61">
        <v>41443.71875</v>
      </c>
      <c r="D3337" s="60">
        <v>2200</v>
      </c>
      <c r="E3337" s="59" t="s">
        <v>569</v>
      </c>
    </row>
    <row r="3338" spans="3:5" ht="15" x14ac:dyDescent="0.2">
      <c r="C3338" s="61">
        <v>41443.729166666664</v>
      </c>
      <c r="D3338" s="60">
        <v>2210</v>
      </c>
      <c r="E3338" s="59" t="s">
        <v>568</v>
      </c>
    </row>
    <row r="3339" spans="3:5" ht="15" x14ac:dyDescent="0.2">
      <c r="C3339" s="61">
        <v>41443.739583333336</v>
      </c>
      <c r="D3339" s="60">
        <v>2210</v>
      </c>
      <c r="E3339" s="59" t="s">
        <v>568</v>
      </c>
    </row>
    <row r="3340" spans="3:5" ht="15" x14ac:dyDescent="0.2">
      <c r="C3340" s="61">
        <v>41443.75</v>
      </c>
      <c r="D3340" s="60">
        <v>2210</v>
      </c>
      <c r="E3340" s="59" t="s">
        <v>568</v>
      </c>
    </row>
    <row r="3341" spans="3:5" ht="15" x14ac:dyDescent="0.2">
      <c r="C3341" s="61">
        <v>41443.760416666664</v>
      </c>
      <c r="D3341" s="60">
        <v>2220</v>
      </c>
      <c r="E3341" s="59" t="s">
        <v>567</v>
      </c>
    </row>
    <row r="3342" spans="3:5" ht="15" x14ac:dyDescent="0.2">
      <c r="C3342" s="61">
        <v>41443.770833333336</v>
      </c>
      <c r="D3342" s="60">
        <v>2220</v>
      </c>
      <c r="E3342" s="59" t="s">
        <v>567</v>
      </c>
    </row>
    <row r="3343" spans="3:5" ht="15" x14ac:dyDescent="0.2">
      <c r="C3343" s="61">
        <v>41443.78125</v>
      </c>
      <c r="D3343" s="60">
        <v>2220</v>
      </c>
      <c r="E3343" s="59" t="s">
        <v>567</v>
      </c>
    </row>
    <row r="3344" spans="3:5" ht="15" x14ac:dyDescent="0.2">
      <c r="C3344" s="61">
        <v>41443.791666666664</v>
      </c>
      <c r="D3344" s="60">
        <v>2220</v>
      </c>
      <c r="E3344" s="59" t="s">
        <v>567</v>
      </c>
    </row>
    <row r="3345" spans="3:5" ht="15" x14ac:dyDescent="0.2">
      <c r="C3345" s="61">
        <v>41443.802083333336</v>
      </c>
      <c r="D3345" s="60">
        <v>2240</v>
      </c>
      <c r="E3345" s="59" t="s">
        <v>566</v>
      </c>
    </row>
    <row r="3346" spans="3:5" ht="15" x14ac:dyDescent="0.2">
      <c r="C3346" s="61">
        <v>41443.8125</v>
      </c>
      <c r="D3346" s="60">
        <v>2240</v>
      </c>
      <c r="E3346" s="59" t="s">
        <v>566</v>
      </c>
    </row>
    <row r="3347" spans="3:5" ht="15" x14ac:dyDescent="0.2">
      <c r="C3347" s="61">
        <v>41443.822916666664</v>
      </c>
      <c r="D3347" s="60">
        <v>2240</v>
      </c>
      <c r="E3347" s="59" t="s">
        <v>566</v>
      </c>
    </row>
    <row r="3348" spans="3:5" ht="15" x14ac:dyDescent="0.2">
      <c r="C3348" s="61">
        <v>41443.833333333336</v>
      </c>
      <c r="D3348" s="60">
        <v>2250</v>
      </c>
      <c r="E3348" s="59" t="s">
        <v>565</v>
      </c>
    </row>
    <row r="3349" spans="3:5" ht="15" x14ac:dyDescent="0.2">
      <c r="C3349" s="61">
        <v>41443.84375</v>
      </c>
      <c r="D3349" s="60">
        <v>2250</v>
      </c>
      <c r="E3349" s="59" t="s">
        <v>565</v>
      </c>
    </row>
    <row r="3350" spans="3:5" ht="15" x14ac:dyDescent="0.2">
      <c r="C3350" s="61">
        <v>41443.854166666664</v>
      </c>
      <c r="D3350" s="60">
        <v>2250</v>
      </c>
      <c r="E3350" s="59" t="s">
        <v>565</v>
      </c>
    </row>
    <row r="3351" spans="3:5" ht="15" x14ac:dyDescent="0.2">
      <c r="C3351" s="61">
        <v>41443.864583333336</v>
      </c>
      <c r="D3351" s="60">
        <v>2250</v>
      </c>
      <c r="E3351" s="59" t="s">
        <v>565</v>
      </c>
    </row>
    <row r="3352" spans="3:5" ht="15" x14ac:dyDescent="0.2">
      <c r="C3352" s="61">
        <v>41443.875</v>
      </c>
      <c r="D3352" s="60">
        <v>2260</v>
      </c>
      <c r="E3352" s="59" t="s">
        <v>564</v>
      </c>
    </row>
    <row r="3353" spans="3:5" ht="15" x14ac:dyDescent="0.2">
      <c r="C3353" s="61">
        <v>41443.885416666664</v>
      </c>
      <c r="D3353" s="60">
        <v>2260</v>
      </c>
      <c r="E3353" s="59" t="s">
        <v>564</v>
      </c>
    </row>
    <row r="3354" spans="3:5" ht="15" x14ac:dyDescent="0.2">
      <c r="C3354" s="61">
        <v>41443.895833333336</v>
      </c>
      <c r="D3354" s="60">
        <v>2260</v>
      </c>
      <c r="E3354" s="59" t="s">
        <v>564</v>
      </c>
    </row>
    <row r="3355" spans="3:5" ht="15" x14ac:dyDescent="0.2">
      <c r="C3355" s="61">
        <v>41443.90625</v>
      </c>
      <c r="D3355" s="60">
        <v>2260</v>
      </c>
      <c r="E3355" s="59" t="s">
        <v>564</v>
      </c>
    </row>
    <row r="3356" spans="3:5" ht="15" x14ac:dyDescent="0.2">
      <c r="C3356" s="61">
        <v>41443.916666666664</v>
      </c>
      <c r="D3356" s="60">
        <v>2270</v>
      </c>
      <c r="E3356" s="59" t="s">
        <v>563</v>
      </c>
    </row>
    <row r="3357" spans="3:5" ht="15" x14ac:dyDescent="0.2">
      <c r="C3357" s="61">
        <v>41443.927083333336</v>
      </c>
      <c r="D3357" s="60">
        <v>2270</v>
      </c>
      <c r="E3357" s="59" t="s">
        <v>563</v>
      </c>
    </row>
    <row r="3358" spans="3:5" ht="15" x14ac:dyDescent="0.2">
      <c r="C3358" s="61">
        <v>41443.9375</v>
      </c>
      <c r="D3358" s="60">
        <v>2270</v>
      </c>
      <c r="E3358" s="59" t="s">
        <v>563</v>
      </c>
    </row>
    <row r="3359" spans="3:5" ht="15" x14ac:dyDescent="0.2">
      <c r="C3359" s="61">
        <v>41443.947916666664</v>
      </c>
      <c r="D3359" s="60">
        <v>2270</v>
      </c>
      <c r="E3359" s="59" t="s">
        <v>563</v>
      </c>
    </row>
    <row r="3360" spans="3:5" ht="15" x14ac:dyDescent="0.2">
      <c r="C3360" s="61">
        <v>41443.958333333336</v>
      </c>
      <c r="D3360" s="60">
        <v>2270</v>
      </c>
      <c r="E3360" s="59" t="s">
        <v>563</v>
      </c>
    </row>
    <row r="3361" spans="3:5" ht="15" x14ac:dyDescent="0.2">
      <c r="C3361" s="61">
        <v>41443.96875</v>
      </c>
      <c r="D3361" s="60">
        <v>2270</v>
      </c>
      <c r="E3361" s="59" t="s">
        <v>563</v>
      </c>
    </row>
    <row r="3362" spans="3:5" ht="15" x14ac:dyDescent="0.2">
      <c r="C3362" s="61">
        <v>41443.979166666664</v>
      </c>
      <c r="D3362" s="60">
        <v>2270</v>
      </c>
      <c r="E3362" s="59" t="s">
        <v>563</v>
      </c>
    </row>
    <row r="3363" spans="3:5" ht="15" x14ac:dyDescent="0.2">
      <c r="C3363" s="61">
        <v>41443.989583333336</v>
      </c>
      <c r="D3363" s="60">
        <v>2280</v>
      </c>
      <c r="E3363" s="59" t="s">
        <v>562</v>
      </c>
    </row>
    <row r="3364" spans="3:5" ht="15" x14ac:dyDescent="0.2">
      <c r="C3364" s="61">
        <v>41444</v>
      </c>
      <c r="D3364" s="60">
        <v>2280</v>
      </c>
      <c r="E3364" s="59" t="s">
        <v>562</v>
      </c>
    </row>
    <row r="3365" spans="3:5" ht="15" x14ac:dyDescent="0.2">
      <c r="C3365" s="61">
        <v>41444.010416666664</v>
      </c>
      <c r="D3365" s="60">
        <v>2280</v>
      </c>
      <c r="E3365" s="59" t="s">
        <v>562</v>
      </c>
    </row>
    <row r="3366" spans="3:5" ht="15" x14ac:dyDescent="0.2">
      <c r="C3366" s="61">
        <v>41444.020833333336</v>
      </c>
      <c r="D3366" s="60">
        <v>2280</v>
      </c>
      <c r="E3366" s="59" t="s">
        <v>562</v>
      </c>
    </row>
    <row r="3367" spans="3:5" ht="15" x14ac:dyDescent="0.2">
      <c r="C3367" s="61">
        <v>41444.03125</v>
      </c>
      <c r="D3367" s="60">
        <v>2280</v>
      </c>
      <c r="E3367" s="59" t="s">
        <v>562</v>
      </c>
    </row>
    <row r="3368" spans="3:5" ht="15" x14ac:dyDescent="0.2">
      <c r="C3368" s="61">
        <v>41444.041666666664</v>
      </c>
      <c r="D3368" s="60">
        <v>2280</v>
      </c>
      <c r="E3368" s="59" t="s">
        <v>562</v>
      </c>
    </row>
    <row r="3369" spans="3:5" ht="15" x14ac:dyDescent="0.2">
      <c r="C3369" s="61">
        <v>41444.052083333336</v>
      </c>
      <c r="D3369" s="60">
        <v>2290</v>
      </c>
      <c r="E3369" s="59" t="s">
        <v>561</v>
      </c>
    </row>
    <row r="3370" spans="3:5" ht="15" x14ac:dyDescent="0.2">
      <c r="C3370" s="61">
        <v>41444.0625</v>
      </c>
      <c r="D3370" s="60">
        <v>2290</v>
      </c>
      <c r="E3370" s="59" t="s">
        <v>561</v>
      </c>
    </row>
    <row r="3371" spans="3:5" ht="15" x14ac:dyDescent="0.2">
      <c r="C3371" s="61">
        <v>41444.072916666664</v>
      </c>
      <c r="D3371" s="60">
        <v>2290</v>
      </c>
      <c r="E3371" s="59" t="s">
        <v>561</v>
      </c>
    </row>
    <row r="3372" spans="3:5" ht="15" x14ac:dyDescent="0.2">
      <c r="C3372" s="61">
        <v>41444.083333333336</v>
      </c>
      <c r="D3372" s="60">
        <v>2290</v>
      </c>
      <c r="E3372" s="59" t="s">
        <v>561</v>
      </c>
    </row>
    <row r="3373" spans="3:5" ht="15" x14ac:dyDescent="0.2">
      <c r="C3373" s="61">
        <v>41444.09375</v>
      </c>
      <c r="D3373" s="60">
        <v>2290</v>
      </c>
      <c r="E3373" s="59" t="s">
        <v>561</v>
      </c>
    </row>
    <row r="3374" spans="3:5" ht="15" x14ac:dyDescent="0.2">
      <c r="C3374" s="61">
        <v>41444.104166666664</v>
      </c>
      <c r="D3374" s="60">
        <v>2290</v>
      </c>
      <c r="E3374" s="59" t="s">
        <v>561</v>
      </c>
    </row>
    <row r="3375" spans="3:5" ht="15" x14ac:dyDescent="0.2">
      <c r="C3375" s="61">
        <v>41444.114583333336</v>
      </c>
      <c r="D3375" s="60">
        <v>2310</v>
      </c>
      <c r="E3375" s="59" t="s">
        <v>560</v>
      </c>
    </row>
    <row r="3376" spans="3:5" ht="15" x14ac:dyDescent="0.2">
      <c r="C3376" s="61">
        <v>41444.125</v>
      </c>
      <c r="D3376" s="60">
        <v>2310</v>
      </c>
      <c r="E3376" s="59" t="s">
        <v>560</v>
      </c>
    </row>
    <row r="3377" spans="3:5" ht="15" x14ac:dyDescent="0.2">
      <c r="C3377" s="61">
        <v>41444.135416666664</v>
      </c>
      <c r="D3377" s="60">
        <v>2310</v>
      </c>
      <c r="E3377" s="59" t="s">
        <v>560</v>
      </c>
    </row>
    <row r="3378" spans="3:5" ht="15" x14ac:dyDescent="0.2">
      <c r="C3378" s="61">
        <v>41444.145833333336</v>
      </c>
      <c r="D3378" s="60">
        <v>2310</v>
      </c>
      <c r="E3378" s="59" t="s">
        <v>560</v>
      </c>
    </row>
    <row r="3379" spans="3:5" ht="15" x14ac:dyDescent="0.2">
      <c r="C3379" s="61">
        <v>41444.15625</v>
      </c>
      <c r="D3379" s="60">
        <v>2310</v>
      </c>
      <c r="E3379" s="59" t="s">
        <v>560</v>
      </c>
    </row>
    <row r="3380" spans="3:5" ht="15" x14ac:dyDescent="0.2">
      <c r="C3380" s="61">
        <v>41444.166666666664</v>
      </c>
      <c r="D3380" s="60">
        <v>2310</v>
      </c>
      <c r="E3380" s="59" t="s">
        <v>560</v>
      </c>
    </row>
    <row r="3381" spans="3:5" ht="15" x14ac:dyDescent="0.2">
      <c r="C3381" s="61">
        <v>41444.177083333336</v>
      </c>
      <c r="D3381" s="60">
        <v>2320</v>
      </c>
      <c r="E3381" s="59" t="s">
        <v>559</v>
      </c>
    </row>
    <row r="3382" spans="3:5" ht="15" x14ac:dyDescent="0.2">
      <c r="C3382" s="61">
        <v>41444.1875</v>
      </c>
      <c r="D3382" s="60">
        <v>2320</v>
      </c>
      <c r="E3382" s="59" t="s">
        <v>559</v>
      </c>
    </row>
    <row r="3383" spans="3:5" ht="15" x14ac:dyDescent="0.2">
      <c r="C3383" s="61">
        <v>41444.197916666664</v>
      </c>
      <c r="D3383" s="60">
        <v>2320</v>
      </c>
      <c r="E3383" s="59" t="s">
        <v>559</v>
      </c>
    </row>
    <row r="3384" spans="3:5" ht="15" x14ac:dyDescent="0.2">
      <c r="C3384" s="61">
        <v>41444.208333333336</v>
      </c>
      <c r="D3384" s="60">
        <v>2320</v>
      </c>
      <c r="E3384" s="59" t="s">
        <v>559</v>
      </c>
    </row>
    <row r="3385" spans="3:5" ht="15" x14ac:dyDescent="0.2">
      <c r="C3385" s="61">
        <v>41444.21875</v>
      </c>
      <c r="D3385" s="60">
        <v>2320</v>
      </c>
      <c r="E3385" s="59" t="s">
        <v>559</v>
      </c>
    </row>
    <row r="3386" spans="3:5" ht="15" x14ac:dyDescent="0.2">
      <c r="C3386" s="61">
        <v>41444.229166666664</v>
      </c>
      <c r="D3386" s="60">
        <v>2320</v>
      </c>
      <c r="E3386" s="59" t="s">
        <v>559</v>
      </c>
    </row>
    <row r="3387" spans="3:5" ht="15" x14ac:dyDescent="0.2">
      <c r="C3387" s="61">
        <v>41444.239583333336</v>
      </c>
      <c r="D3387" s="60">
        <v>2330</v>
      </c>
      <c r="E3387" s="59" t="s">
        <v>558</v>
      </c>
    </row>
    <row r="3388" spans="3:5" ht="15" x14ac:dyDescent="0.2">
      <c r="C3388" s="61">
        <v>41444.25</v>
      </c>
      <c r="D3388" s="60">
        <v>2330</v>
      </c>
      <c r="E3388" s="59" t="s">
        <v>558</v>
      </c>
    </row>
    <row r="3389" spans="3:5" ht="15" x14ac:dyDescent="0.2">
      <c r="C3389" s="61">
        <v>41444.260416666664</v>
      </c>
      <c r="D3389" s="60">
        <v>2330</v>
      </c>
      <c r="E3389" s="59" t="s">
        <v>558</v>
      </c>
    </row>
    <row r="3390" spans="3:5" ht="15" x14ac:dyDescent="0.2">
      <c r="C3390" s="61">
        <v>41444.270833333336</v>
      </c>
      <c r="D3390" s="60">
        <v>2330</v>
      </c>
      <c r="E3390" s="59" t="s">
        <v>558</v>
      </c>
    </row>
    <row r="3391" spans="3:5" ht="15" x14ac:dyDescent="0.2">
      <c r="C3391" s="61">
        <v>41444.28125</v>
      </c>
      <c r="D3391" s="60">
        <v>2330</v>
      </c>
      <c r="E3391" s="59" t="s">
        <v>558</v>
      </c>
    </row>
    <row r="3392" spans="3:5" ht="15" x14ac:dyDescent="0.2">
      <c r="C3392" s="61">
        <v>41444.291666666664</v>
      </c>
      <c r="D3392" s="60">
        <v>2340</v>
      </c>
      <c r="E3392" s="59" t="s">
        <v>557</v>
      </c>
    </row>
    <row r="3393" spans="3:5" ht="15" x14ac:dyDescent="0.2">
      <c r="C3393" s="61">
        <v>41444.302083333336</v>
      </c>
      <c r="D3393" s="60">
        <v>2340</v>
      </c>
      <c r="E3393" s="59" t="s">
        <v>557</v>
      </c>
    </row>
    <row r="3394" spans="3:5" ht="15" x14ac:dyDescent="0.2">
      <c r="C3394" s="61">
        <v>41444.3125</v>
      </c>
      <c r="D3394" s="60">
        <v>2340</v>
      </c>
      <c r="E3394" s="59" t="s">
        <v>557</v>
      </c>
    </row>
    <row r="3395" spans="3:5" ht="15" x14ac:dyDescent="0.2">
      <c r="C3395" s="61">
        <v>41444.322916666664</v>
      </c>
      <c r="D3395" s="60">
        <v>2340</v>
      </c>
      <c r="E3395" s="59" t="s">
        <v>557</v>
      </c>
    </row>
    <row r="3396" spans="3:5" ht="15" x14ac:dyDescent="0.2">
      <c r="C3396" s="61">
        <v>41444.333333333336</v>
      </c>
      <c r="D3396" s="60">
        <v>2340</v>
      </c>
      <c r="E3396" s="59" t="s">
        <v>557</v>
      </c>
    </row>
    <row r="3397" spans="3:5" ht="15" x14ac:dyDescent="0.2">
      <c r="C3397" s="61">
        <v>41444.34375</v>
      </c>
      <c r="D3397" s="60">
        <v>2340</v>
      </c>
      <c r="E3397" s="59" t="s">
        <v>557</v>
      </c>
    </row>
    <row r="3398" spans="3:5" ht="15" x14ac:dyDescent="0.2">
      <c r="C3398" s="61">
        <v>41444.354166666664</v>
      </c>
      <c r="D3398" s="60">
        <v>2350</v>
      </c>
      <c r="E3398" s="59" t="s">
        <v>556</v>
      </c>
    </row>
    <row r="3399" spans="3:5" ht="15" x14ac:dyDescent="0.2">
      <c r="C3399" s="61">
        <v>41444.364583333336</v>
      </c>
      <c r="D3399" s="60">
        <v>2350</v>
      </c>
      <c r="E3399" s="59" t="s">
        <v>556</v>
      </c>
    </row>
    <row r="3400" spans="3:5" ht="15" x14ac:dyDescent="0.2">
      <c r="C3400" s="61">
        <v>41444.375</v>
      </c>
      <c r="D3400" s="60">
        <v>2350</v>
      </c>
      <c r="E3400" s="59" t="s">
        <v>556</v>
      </c>
    </row>
    <row r="3401" spans="3:5" ht="15" x14ac:dyDescent="0.2">
      <c r="C3401" s="61">
        <v>41444.385416666664</v>
      </c>
      <c r="D3401" s="60">
        <v>2350</v>
      </c>
      <c r="E3401" s="59" t="s">
        <v>556</v>
      </c>
    </row>
    <row r="3402" spans="3:5" ht="15" x14ac:dyDescent="0.2">
      <c r="C3402" s="61">
        <v>41444.395833333336</v>
      </c>
      <c r="D3402" s="60">
        <v>2350</v>
      </c>
      <c r="E3402" s="59" t="s">
        <v>556</v>
      </c>
    </row>
    <row r="3403" spans="3:5" ht="15" x14ac:dyDescent="0.2">
      <c r="C3403" s="61">
        <v>41444.40625</v>
      </c>
      <c r="D3403" s="60">
        <v>2350</v>
      </c>
      <c r="E3403" s="59" t="s">
        <v>556</v>
      </c>
    </row>
    <row r="3404" spans="3:5" ht="15" x14ac:dyDescent="0.2">
      <c r="C3404" s="61">
        <v>41444.416666666664</v>
      </c>
      <c r="D3404" s="60">
        <v>2370</v>
      </c>
      <c r="E3404" s="59" t="s">
        <v>555</v>
      </c>
    </row>
    <row r="3405" spans="3:5" ht="15" x14ac:dyDescent="0.2">
      <c r="C3405" s="61">
        <v>41444.427083333336</v>
      </c>
      <c r="D3405" s="60">
        <v>2370</v>
      </c>
      <c r="E3405" s="59" t="s">
        <v>555</v>
      </c>
    </row>
    <row r="3406" spans="3:5" ht="15" x14ac:dyDescent="0.2">
      <c r="C3406" s="61">
        <v>41444.4375</v>
      </c>
      <c r="D3406" s="60">
        <v>2370</v>
      </c>
      <c r="E3406" s="59" t="s">
        <v>555</v>
      </c>
    </row>
    <row r="3407" spans="3:5" ht="15" x14ac:dyDescent="0.2">
      <c r="C3407" s="61">
        <v>41444.447916666664</v>
      </c>
      <c r="D3407" s="60">
        <v>2370</v>
      </c>
      <c r="E3407" s="59" t="s">
        <v>555</v>
      </c>
    </row>
    <row r="3408" spans="3:5" ht="15" x14ac:dyDescent="0.2">
      <c r="C3408" s="61">
        <v>41444.458333333336</v>
      </c>
      <c r="D3408" s="60">
        <v>2370</v>
      </c>
      <c r="E3408" s="59" t="s">
        <v>555</v>
      </c>
    </row>
    <row r="3409" spans="3:5" ht="15" x14ac:dyDescent="0.2">
      <c r="C3409" s="61">
        <v>41444.46875</v>
      </c>
      <c r="D3409" s="60">
        <v>2370</v>
      </c>
      <c r="E3409" s="59" t="s">
        <v>555</v>
      </c>
    </row>
    <row r="3410" spans="3:5" ht="15" x14ac:dyDescent="0.2">
      <c r="C3410" s="61">
        <v>41444.479166666664</v>
      </c>
      <c r="D3410" s="60">
        <v>2380</v>
      </c>
      <c r="E3410" s="59" t="s">
        <v>554</v>
      </c>
    </row>
    <row r="3411" spans="3:5" ht="15" x14ac:dyDescent="0.2">
      <c r="C3411" s="61">
        <v>41444.489583333336</v>
      </c>
      <c r="D3411" s="60">
        <v>2380</v>
      </c>
      <c r="E3411" s="59" t="s">
        <v>554</v>
      </c>
    </row>
    <row r="3412" spans="3:5" ht="15" x14ac:dyDescent="0.2">
      <c r="C3412" s="61">
        <v>41444.5</v>
      </c>
      <c r="D3412" s="60">
        <v>2380</v>
      </c>
      <c r="E3412" s="59" t="s">
        <v>554</v>
      </c>
    </row>
    <row r="3413" spans="3:5" ht="15" x14ac:dyDescent="0.2">
      <c r="C3413" s="61">
        <v>41444.510416666664</v>
      </c>
      <c r="D3413" s="60">
        <v>2380</v>
      </c>
      <c r="E3413" s="59" t="s">
        <v>554</v>
      </c>
    </row>
    <row r="3414" spans="3:5" ht="15" x14ac:dyDescent="0.2">
      <c r="C3414" s="61">
        <v>41444.520833333336</v>
      </c>
      <c r="D3414" s="60">
        <v>2390</v>
      </c>
      <c r="E3414" s="59" t="s">
        <v>553</v>
      </c>
    </row>
    <row r="3415" spans="3:5" ht="15" x14ac:dyDescent="0.2">
      <c r="C3415" s="61">
        <v>41444.53125</v>
      </c>
      <c r="D3415" s="60">
        <v>2390</v>
      </c>
      <c r="E3415" s="59" t="s">
        <v>553</v>
      </c>
    </row>
    <row r="3416" spans="3:5" ht="15" x14ac:dyDescent="0.2">
      <c r="C3416" s="61">
        <v>41444.541666666664</v>
      </c>
      <c r="D3416" s="60">
        <v>2390</v>
      </c>
      <c r="E3416" s="59" t="s">
        <v>553</v>
      </c>
    </row>
    <row r="3417" spans="3:5" ht="15" x14ac:dyDescent="0.2">
      <c r="C3417" s="61">
        <v>41444.552083333336</v>
      </c>
      <c r="D3417" s="60">
        <v>2390</v>
      </c>
      <c r="E3417" s="59" t="s">
        <v>553</v>
      </c>
    </row>
    <row r="3418" spans="3:5" ht="15" x14ac:dyDescent="0.2">
      <c r="C3418" s="61">
        <v>41444.5625</v>
      </c>
      <c r="D3418" s="60">
        <v>2400</v>
      </c>
      <c r="E3418" s="59" t="s">
        <v>552</v>
      </c>
    </row>
    <row r="3419" spans="3:5" ht="15" x14ac:dyDescent="0.2">
      <c r="C3419" s="61">
        <v>41444.572916666664</v>
      </c>
      <c r="D3419" s="60">
        <v>2400</v>
      </c>
      <c r="E3419" s="59" t="s">
        <v>552</v>
      </c>
    </row>
    <row r="3420" spans="3:5" ht="15" x14ac:dyDescent="0.2">
      <c r="C3420" s="61">
        <v>41444.583333333336</v>
      </c>
      <c r="D3420" s="60">
        <v>2400</v>
      </c>
      <c r="E3420" s="59" t="s">
        <v>552</v>
      </c>
    </row>
    <row r="3421" spans="3:5" ht="15" x14ac:dyDescent="0.2">
      <c r="C3421" s="61">
        <v>41444.59375</v>
      </c>
      <c r="D3421" s="60">
        <v>2410</v>
      </c>
      <c r="E3421" s="59" t="s">
        <v>551</v>
      </c>
    </row>
    <row r="3422" spans="3:5" ht="15" x14ac:dyDescent="0.2">
      <c r="C3422" s="61">
        <v>41444.604166666664</v>
      </c>
      <c r="D3422" s="60">
        <v>2410</v>
      </c>
      <c r="E3422" s="59" t="s">
        <v>551</v>
      </c>
    </row>
    <row r="3423" spans="3:5" ht="15" x14ac:dyDescent="0.2">
      <c r="C3423" s="61">
        <v>41444.614583333336</v>
      </c>
      <c r="D3423" s="60">
        <v>2410</v>
      </c>
      <c r="E3423" s="59" t="s">
        <v>551</v>
      </c>
    </row>
    <row r="3424" spans="3:5" ht="15" x14ac:dyDescent="0.2">
      <c r="C3424" s="61">
        <v>41444.625</v>
      </c>
      <c r="D3424" s="60">
        <v>2410</v>
      </c>
      <c r="E3424" s="59" t="s">
        <v>551</v>
      </c>
    </row>
    <row r="3425" spans="3:5" ht="15" x14ac:dyDescent="0.2">
      <c r="C3425" s="61">
        <v>41444.635416666664</v>
      </c>
      <c r="D3425" s="60">
        <v>2410</v>
      </c>
      <c r="E3425" s="59" t="s">
        <v>551</v>
      </c>
    </row>
    <row r="3426" spans="3:5" ht="15" x14ac:dyDescent="0.2">
      <c r="C3426" s="61">
        <v>41444.645833333336</v>
      </c>
      <c r="D3426" s="60">
        <v>2410</v>
      </c>
      <c r="E3426" s="59" t="s">
        <v>551</v>
      </c>
    </row>
    <row r="3427" spans="3:5" ht="15" x14ac:dyDescent="0.2">
      <c r="C3427" s="61">
        <v>41444.65625</v>
      </c>
      <c r="D3427" s="60">
        <v>2420</v>
      </c>
      <c r="E3427" s="59" t="s">
        <v>550</v>
      </c>
    </row>
    <row r="3428" spans="3:5" ht="15" x14ac:dyDescent="0.2">
      <c r="C3428" s="61">
        <v>41444.666666666664</v>
      </c>
      <c r="D3428" s="60">
        <v>2420</v>
      </c>
      <c r="E3428" s="59" t="s">
        <v>550</v>
      </c>
    </row>
    <row r="3429" spans="3:5" ht="15" x14ac:dyDescent="0.2">
      <c r="C3429" s="61">
        <v>41444.677083333336</v>
      </c>
      <c r="D3429" s="60">
        <v>2420</v>
      </c>
      <c r="E3429" s="59" t="s">
        <v>550</v>
      </c>
    </row>
    <row r="3430" spans="3:5" ht="15" x14ac:dyDescent="0.2">
      <c r="C3430" s="61">
        <v>41444.6875</v>
      </c>
      <c r="D3430" s="60">
        <v>2440</v>
      </c>
      <c r="E3430" s="59" t="s">
        <v>549</v>
      </c>
    </row>
    <row r="3431" spans="3:5" ht="15" x14ac:dyDescent="0.2">
      <c r="C3431" s="61">
        <v>41444.697916666664</v>
      </c>
      <c r="D3431" s="60">
        <v>2440</v>
      </c>
      <c r="E3431" s="59" t="s">
        <v>549</v>
      </c>
    </row>
    <row r="3432" spans="3:5" ht="15" x14ac:dyDescent="0.2">
      <c r="C3432" s="61">
        <v>41444.708333333336</v>
      </c>
      <c r="D3432" s="60">
        <v>2440</v>
      </c>
      <c r="E3432" s="59" t="s">
        <v>549</v>
      </c>
    </row>
    <row r="3433" spans="3:5" ht="15" x14ac:dyDescent="0.2">
      <c r="C3433" s="61">
        <v>41444.71875</v>
      </c>
      <c r="D3433" s="60">
        <v>2440</v>
      </c>
      <c r="E3433" s="59" t="s">
        <v>549</v>
      </c>
    </row>
    <row r="3434" spans="3:5" ht="15" x14ac:dyDescent="0.2">
      <c r="C3434" s="61">
        <v>41444.729166666664</v>
      </c>
      <c r="D3434" s="60">
        <v>2450</v>
      </c>
      <c r="E3434" s="59" t="s">
        <v>548</v>
      </c>
    </row>
    <row r="3435" spans="3:5" ht="15" x14ac:dyDescent="0.2">
      <c r="C3435" s="61">
        <v>41444.739583333336</v>
      </c>
      <c r="D3435" s="60">
        <v>2450</v>
      </c>
      <c r="E3435" s="59" t="s">
        <v>548</v>
      </c>
    </row>
    <row r="3436" spans="3:5" ht="15" x14ac:dyDescent="0.2">
      <c r="C3436" s="61">
        <v>41444.75</v>
      </c>
      <c r="D3436" s="60">
        <v>2460</v>
      </c>
      <c r="E3436" s="59" t="s">
        <v>547</v>
      </c>
    </row>
    <row r="3437" spans="3:5" ht="15" x14ac:dyDescent="0.2">
      <c r="C3437" s="61">
        <v>41444.760416666664</v>
      </c>
      <c r="D3437" s="60">
        <v>2460</v>
      </c>
      <c r="E3437" s="59" t="s">
        <v>547</v>
      </c>
    </row>
    <row r="3438" spans="3:5" ht="15" x14ac:dyDescent="0.2">
      <c r="C3438" s="61">
        <v>41444.770833333336</v>
      </c>
      <c r="D3438" s="60">
        <v>2460</v>
      </c>
      <c r="E3438" s="59" t="s">
        <v>547</v>
      </c>
    </row>
    <row r="3439" spans="3:5" ht="15" x14ac:dyDescent="0.2">
      <c r="C3439" s="61">
        <v>41444.78125</v>
      </c>
      <c r="D3439" s="60">
        <v>2460</v>
      </c>
      <c r="E3439" s="59" t="s">
        <v>547</v>
      </c>
    </row>
    <row r="3440" spans="3:5" ht="15" x14ac:dyDescent="0.2">
      <c r="C3440" s="61">
        <v>41444.791666666664</v>
      </c>
      <c r="D3440" s="60">
        <v>2470</v>
      </c>
      <c r="E3440" s="59" t="s">
        <v>546</v>
      </c>
    </row>
    <row r="3441" spans="3:5" ht="15" x14ac:dyDescent="0.2">
      <c r="C3441" s="61">
        <v>41444.802083333336</v>
      </c>
      <c r="D3441" s="60">
        <v>2470</v>
      </c>
      <c r="E3441" s="59" t="s">
        <v>546</v>
      </c>
    </row>
    <row r="3442" spans="3:5" ht="15" x14ac:dyDescent="0.2">
      <c r="C3442" s="61">
        <v>41444.8125</v>
      </c>
      <c r="D3442" s="60">
        <v>2490</v>
      </c>
      <c r="E3442" s="59" t="s">
        <v>545</v>
      </c>
    </row>
    <row r="3443" spans="3:5" ht="15" x14ac:dyDescent="0.2">
      <c r="C3443" s="61">
        <v>41444.822916666664</v>
      </c>
      <c r="D3443" s="60">
        <v>2490</v>
      </c>
      <c r="E3443" s="59" t="s">
        <v>545</v>
      </c>
    </row>
    <row r="3444" spans="3:5" ht="15" x14ac:dyDescent="0.2">
      <c r="C3444" s="61">
        <v>41444.833333333336</v>
      </c>
      <c r="D3444" s="60">
        <v>2490</v>
      </c>
      <c r="E3444" s="59" t="s">
        <v>545</v>
      </c>
    </row>
    <row r="3445" spans="3:5" ht="15" x14ac:dyDescent="0.2">
      <c r="C3445" s="61">
        <v>41444.84375</v>
      </c>
      <c r="D3445" s="60">
        <v>2490</v>
      </c>
      <c r="E3445" s="59" t="s">
        <v>545</v>
      </c>
    </row>
    <row r="3446" spans="3:5" ht="15" x14ac:dyDescent="0.2">
      <c r="C3446" s="61">
        <v>41444.854166666664</v>
      </c>
      <c r="D3446" s="60">
        <v>2500</v>
      </c>
      <c r="E3446" s="59" t="s">
        <v>544</v>
      </c>
    </row>
    <row r="3447" spans="3:5" ht="15" x14ac:dyDescent="0.2">
      <c r="C3447" s="61">
        <v>41444.864583333336</v>
      </c>
      <c r="D3447" s="60">
        <v>2500</v>
      </c>
      <c r="E3447" s="59" t="s">
        <v>544</v>
      </c>
    </row>
    <row r="3448" spans="3:5" ht="15" x14ac:dyDescent="0.2">
      <c r="C3448" s="61">
        <v>41444.875</v>
      </c>
      <c r="D3448" s="60">
        <v>2500</v>
      </c>
      <c r="E3448" s="59" t="s">
        <v>544</v>
      </c>
    </row>
    <row r="3449" spans="3:5" ht="15" x14ac:dyDescent="0.2">
      <c r="C3449" s="61">
        <v>41444.885416666664</v>
      </c>
      <c r="D3449" s="60">
        <v>2500</v>
      </c>
      <c r="E3449" s="59" t="s">
        <v>544</v>
      </c>
    </row>
    <row r="3450" spans="3:5" ht="15" x14ac:dyDescent="0.2">
      <c r="C3450" s="61">
        <v>41444.895833333336</v>
      </c>
      <c r="D3450" s="60">
        <v>2500</v>
      </c>
      <c r="E3450" s="59" t="s">
        <v>544</v>
      </c>
    </row>
    <row r="3451" spans="3:5" ht="15" x14ac:dyDescent="0.2">
      <c r="C3451" s="61">
        <v>41444.90625</v>
      </c>
      <c r="D3451" s="60">
        <v>2500</v>
      </c>
      <c r="E3451" s="59" t="s">
        <v>544</v>
      </c>
    </row>
    <row r="3452" spans="3:5" ht="15" x14ac:dyDescent="0.2">
      <c r="C3452" s="61">
        <v>41444.916666666664</v>
      </c>
      <c r="D3452" s="60">
        <v>2510</v>
      </c>
      <c r="E3452" s="59" t="s">
        <v>543</v>
      </c>
    </row>
    <row r="3453" spans="3:5" ht="15" x14ac:dyDescent="0.2">
      <c r="C3453" s="61">
        <v>41444.927083333336</v>
      </c>
      <c r="D3453" s="60">
        <v>2510</v>
      </c>
      <c r="E3453" s="59" t="s">
        <v>543</v>
      </c>
    </row>
    <row r="3454" spans="3:5" ht="15" x14ac:dyDescent="0.2">
      <c r="C3454" s="61">
        <v>41444.9375</v>
      </c>
      <c r="D3454" s="60">
        <v>2510</v>
      </c>
      <c r="E3454" s="59" t="s">
        <v>543</v>
      </c>
    </row>
    <row r="3455" spans="3:5" ht="15" x14ac:dyDescent="0.2">
      <c r="C3455" s="61">
        <v>41444.947916666664</v>
      </c>
      <c r="D3455" s="60">
        <v>2510</v>
      </c>
      <c r="E3455" s="59" t="s">
        <v>543</v>
      </c>
    </row>
    <row r="3456" spans="3:5" ht="15" x14ac:dyDescent="0.2">
      <c r="C3456" s="61">
        <v>41444.958333333336</v>
      </c>
      <c r="D3456" s="60">
        <v>2520</v>
      </c>
      <c r="E3456" s="59" t="s">
        <v>542</v>
      </c>
    </row>
    <row r="3457" spans="3:5" ht="15" x14ac:dyDescent="0.2">
      <c r="C3457" s="61">
        <v>41444.96875</v>
      </c>
      <c r="D3457" s="60">
        <v>2530</v>
      </c>
      <c r="E3457" s="59" t="s">
        <v>541</v>
      </c>
    </row>
    <row r="3458" spans="3:5" ht="15" x14ac:dyDescent="0.2">
      <c r="C3458" s="61">
        <v>41444.979166666664</v>
      </c>
      <c r="D3458" s="60">
        <v>2530</v>
      </c>
      <c r="E3458" s="59" t="s">
        <v>541</v>
      </c>
    </row>
    <row r="3459" spans="3:5" ht="15" x14ac:dyDescent="0.2">
      <c r="C3459" s="61">
        <v>41444.989583333336</v>
      </c>
      <c r="D3459" s="60">
        <v>2530</v>
      </c>
      <c r="E3459" s="59" t="s">
        <v>541</v>
      </c>
    </row>
    <row r="3460" spans="3:5" ht="15" x14ac:dyDescent="0.2">
      <c r="C3460" s="61">
        <v>41445</v>
      </c>
      <c r="D3460" s="60">
        <v>2550</v>
      </c>
      <c r="E3460" s="59" t="s">
        <v>540</v>
      </c>
    </row>
    <row r="3461" spans="3:5" ht="15" x14ac:dyDescent="0.2">
      <c r="C3461" s="61">
        <v>41445.010416666664</v>
      </c>
      <c r="D3461" s="60">
        <v>2550</v>
      </c>
      <c r="E3461" s="59" t="s">
        <v>540</v>
      </c>
    </row>
    <row r="3462" spans="3:5" ht="15" x14ac:dyDescent="0.2">
      <c r="C3462" s="61">
        <v>41445.020833333336</v>
      </c>
      <c r="D3462" s="60">
        <v>2560</v>
      </c>
      <c r="E3462" s="59" t="s">
        <v>539</v>
      </c>
    </row>
    <row r="3463" spans="3:5" ht="15" x14ac:dyDescent="0.2">
      <c r="C3463" s="61">
        <v>41445.03125</v>
      </c>
      <c r="D3463" s="60">
        <v>2560</v>
      </c>
      <c r="E3463" s="59" t="s">
        <v>539</v>
      </c>
    </row>
    <row r="3464" spans="3:5" ht="15" x14ac:dyDescent="0.2">
      <c r="C3464" s="61">
        <v>41445.041666666664</v>
      </c>
      <c r="D3464" s="60">
        <v>2560</v>
      </c>
      <c r="E3464" s="59" t="s">
        <v>539</v>
      </c>
    </row>
    <row r="3465" spans="3:5" ht="15" x14ac:dyDescent="0.2">
      <c r="C3465" s="61">
        <v>41445.052083333336</v>
      </c>
      <c r="D3465" s="60">
        <v>2570</v>
      </c>
      <c r="E3465" s="59" t="s">
        <v>538</v>
      </c>
    </row>
    <row r="3466" spans="3:5" ht="15" x14ac:dyDescent="0.2">
      <c r="C3466" s="61">
        <v>41445.0625</v>
      </c>
      <c r="D3466" s="60">
        <v>2570</v>
      </c>
      <c r="E3466" s="59" t="s">
        <v>538</v>
      </c>
    </row>
    <row r="3467" spans="3:5" ht="15" x14ac:dyDescent="0.2">
      <c r="C3467" s="61">
        <v>41445.072916666664</v>
      </c>
      <c r="D3467" s="60">
        <v>2580</v>
      </c>
      <c r="E3467" s="59" t="s">
        <v>537</v>
      </c>
    </row>
    <row r="3468" spans="3:5" ht="15" x14ac:dyDescent="0.2">
      <c r="C3468" s="61">
        <v>41445.083333333336</v>
      </c>
      <c r="D3468" s="60">
        <v>2580</v>
      </c>
      <c r="E3468" s="59" t="s">
        <v>537</v>
      </c>
    </row>
    <row r="3469" spans="3:5" ht="15" x14ac:dyDescent="0.2">
      <c r="C3469" s="61">
        <v>41445.09375</v>
      </c>
      <c r="D3469" s="60">
        <v>2580</v>
      </c>
      <c r="E3469" s="59" t="s">
        <v>537</v>
      </c>
    </row>
    <row r="3470" spans="3:5" ht="15" x14ac:dyDescent="0.2">
      <c r="C3470" s="61">
        <v>41445.104166666664</v>
      </c>
      <c r="D3470" s="60">
        <v>2600</v>
      </c>
      <c r="E3470" s="59" t="s">
        <v>536</v>
      </c>
    </row>
    <row r="3471" spans="3:5" ht="15" x14ac:dyDescent="0.2">
      <c r="C3471" s="61">
        <v>41445.114583333336</v>
      </c>
      <c r="D3471" s="60">
        <v>2610</v>
      </c>
      <c r="E3471" s="59" t="s">
        <v>535</v>
      </c>
    </row>
    <row r="3472" spans="3:5" ht="15" x14ac:dyDescent="0.2">
      <c r="C3472" s="61">
        <v>41445.125</v>
      </c>
      <c r="D3472" s="60">
        <v>2610</v>
      </c>
      <c r="E3472" s="59" t="s">
        <v>535</v>
      </c>
    </row>
    <row r="3473" spans="3:5" ht="15" x14ac:dyDescent="0.2">
      <c r="C3473" s="61">
        <v>41445.135416666664</v>
      </c>
      <c r="D3473" s="60">
        <v>2620</v>
      </c>
      <c r="E3473" s="59" t="s">
        <v>534</v>
      </c>
    </row>
    <row r="3474" spans="3:5" ht="15" x14ac:dyDescent="0.2">
      <c r="C3474" s="61">
        <v>41445.145833333336</v>
      </c>
      <c r="D3474" s="60">
        <v>2620</v>
      </c>
      <c r="E3474" s="59" t="s">
        <v>534</v>
      </c>
    </row>
    <row r="3475" spans="3:5" ht="15" x14ac:dyDescent="0.2">
      <c r="C3475" s="61">
        <v>41445.15625</v>
      </c>
      <c r="D3475" s="60">
        <v>2630</v>
      </c>
      <c r="E3475" s="59" t="s">
        <v>533</v>
      </c>
    </row>
    <row r="3476" spans="3:5" ht="15" x14ac:dyDescent="0.2">
      <c r="C3476" s="61">
        <v>41445.166666666664</v>
      </c>
      <c r="D3476" s="60">
        <v>2630</v>
      </c>
      <c r="E3476" s="59" t="s">
        <v>533</v>
      </c>
    </row>
    <row r="3477" spans="3:5" ht="15" x14ac:dyDescent="0.2">
      <c r="C3477" s="61">
        <v>41445.177083333336</v>
      </c>
      <c r="D3477" s="60">
        <v>2630</v>
      </c>
      <c r="E3477" s="59" t="s">
        <v>533</v>
      </c>
    </row>
    <row r="3478" spans="3:5" ht="15" x14ac:dyDescent="0.2">
      <c r="C3478" s="61">
        <v>41445.1875</v>
      </c>
      <c r="D3478" s="60">
        <v>2640</v>
      </c>
      <c r="E3478" s="59" t="s">
        <v>532</v>
      </c>
    </row>
    <row r="3479" spans="3:5" ht="15" x14ac:dyDescent="0.2">
      <c r="C3479" s="61">
        <v>41445.197916666664</v>
      </c>
      <c r="D3479" s="60">
        <v>2640</v>
      </c>
      <c r="E3479" s="59" t="s">
        <v>532</v>
      </c>
    </row>
    <row r="3480" spans="3:5" ht="15" x14ac:dyDescent="0.2">
      <c r="C3480" s="61">
        <v>41445.208333333336</v>
      </c>
      <c r="D3480" s="60">
        <v>2660</v>
      </c>
      <c r="E3480" s="59" t="s">
        <v>531</v>
      </c>
    </row>
    <row r="3481" spans="3:5" ht="15" x14ac:dyDescent="0.2">
      <c r="C3481" s="61">
        <v>41445.21875</v>
      </c>
      <c r="D3481" s="60">
        <v>2660</v>
      </c>
      <c r="E3481" s="59" t="s">
        <v>531</v>
      </c>
    </row>
    <row r="3482" spans="3:5" ht="15" x14ac:dyDescent="0.2">
      <c r="C3482" s="61">
        <v>41445.229166666664</v>
      </c>
      <c r="D3482" s="60">
        <v>2670</v>
      </c>
      <c r="E3482" s="59" t="s">
        <v>530</v>
      </c>
    </row>
    <row r="3483" spans="3:5" ht="15" x14ac:dyDescent="0.2">
      <c r="C3483" s="61">
        <v>41445.239583333336</v>
      </c>
      <c r="D3483" s="60">
        <v>2670</v>
      </c>
      <c r="E3483" s="59" t="s">
        <v>530</v>
      </c>
    </row>
    <row r="3484" spans="3:5" ht="15" x14ac:dyDescent="0.2">
      <c r="C3484" s="61">
        <v>41445.25</v>
      </c>
      <c r="D3484" s="60">
        <v>2680</v>
      </c>
      <c r="E3484" s="59" t="s">
        <v>529</v>
      </c>
    </row>
    <row r="3485" spans="3:5" ht="15" x14ac:dyDescent="0.2">
      <c r="C3485" s="61">
        <v>41445.260416666664</v>
      </c>
      <c r="D3485" s="60">
        <v>2690</v>
      </c>
      <c r="E3485" s="59" t="s">
        <v>528</v>
      </c>
    </row>
    <row r="3486" spans="3:5" ht="15" x14ac:dyDescent="0.2">
      <c r="C3486" s="61">
        <v>41445.270833333336</v>
      </c>
      <c r="D3486" s="60">
        <v>2690</v>
      </c>
      <c r="E3486" s="59" t="s">
        <v>528</v>
      </c>
    </row>
    <row r="3487" spans="3:5" ht="15" x14ac:dyDescent="0.2">
      <c r="C3487" s="61">
        <v>41445.28125</v>
      </c>
      <c r="D3487" s="60">
        <v>2690</v>
      </c>
      <c r="E3487" s="59" t="s">
        <v>528</v>
      </c>
    </row>
    <row r="3488" spans="3:5" ht="15" x14ac:dyDescent="0.2">
      <c r="C3488" s="61">
        <v>41445.291666666664</v>
      </c>
      <c r="D3488" s="60">
        <v>2710</v>
      </c>
      <c r="E3488" s="59" t="s">
        <v>527</v>
      </c>
    </row>
    <row r="3489" spans="3:5" ht="15" x14ac:dyDescent="0.2">
      <c r="C3489" s="61">
        <v>41445.302083333336</v>
      </c>
      <c r="D3489" s="60">
        <v>2710</v>
      </c>
      <c r="E3489" s="59" t="s">
        <v>527</v>
      </c>
    </row>
    <row r="3490" spans="3:5" ht="15" x14ac:dyDescent="0.2">
      <c r="C3490" s="61">
        <v>41445.3125</v>
      </c>
      <c r="D3490" s="60">
        <v>2710</v>
      </c>
      <c r="E3490" s="59" t="s">
        <v>527</v>
      </c>
    </row>
    <row r="3491" spans="3:5" ht="15" x14ac:dyDescent="0.2">
      <c r="C3491" s="61">
        <v>41445.322916666664</v>
      </c>
      <c r="D3491" s="60">
        <v>2710</v>
      </c>
      <c r="E3491" s="59" t="s">
        <v>527</v>
      </c>
    </row>
    <row r="3492" spans="3:5" ht="15" x14ac:dyDescent="0.2">
      <c r="C3492" s="61">
        <v>41445.333333333336</v>
      </c>
      <c r="D3492" s="60">
        <v>2720</v>
      </c>
      <c r="E3492" s="59" t="s">
        <v>526</v>
      </c>
    </row>
    <row r="3493" spans="3:5" ht="15" x14ac:dyDescent="0.2">
      <c r="C3493" s="61">
        <v>41445.34375</v>
      </c>
      <c r="D3493" s="60">
        <v>2720</v>
      </c>
      <c r="E3493" s="59" t="s">
        <v>526</v>
      </c>
    </row>
    <row r="3494" spans="3:5" ht="15" x14ac:dyDescent="0.2">
      <c r="C3494" s="61">
        <v>41445.354166666664</v>
      </c>
      <c r="D3494" s="60">
        <v>2730</v>
      </c>
      <c r="E3494" s="59" t="s">
        <v>525</v>
      </c>
    </row>
    <row r="3495" spans="3:5" ht="15" x14ac:dyDescent="0.2">
      <c r="C3495" s="61">
        <v>41445.364583333336</v>
      </c>
      <c r="D3495" s="60">
        <v>2730</v>
      </c>
      <c r="E3495" s="59" t="s">
        <v>525</v>
      </c>
    </row>
    <row r="3496" spans="3:5" ht="15" x14ac:dyDescent="0.2">
      <c r="C3496" s="61">
        <v>41445.375</v>
      </c>
      <c r="D3496" s="60">
        <v>2740</v>
      </c>
      <c r="E3496" s="59" t="s">
        <v>524</v>
      </c>
    </row>
    <row r="3497" spans="3:5" ht="15" x14ac:dyDescent="0.2">
      <c r="C3497" s="61">
        <v>41445.385416666664</v>
      </c>
      <c r="D3497" s="60">
        <v>2740</v>
      </c>
      <c r="E3497" s="59" t="s">
        <v>524</v>
      </c>
    </row>
    <row r="3498" spans="3:5" ht="15" x14ac:dyDescent="0.2">
      <c r="C3498" s="61">
        <v>41445.395833333336</v>
      </c>
      <c r="D3498" s="60">
        <v>2760</v>
      </c>
      <c r="E3498" s="59" t="s">
        <v>523</v>
      </c>
    </row>
    <row r="3499" spans="3:5" ht="15" x14ac:dyDescent="0.2">
      <c r="C3499" s="61">
        <v>41445.40625</v>
      </c>
      <c r="D3499" s="60">
        <v>2760</v>
      </c>
      <c r="E3499" s="59" t="s">
        <v>523</v>
      </c>
    </row>
    <row r="3500" spans="3:5" ht="15" x14ac:dyDescent="0.2">
      <c r="C3500" s="61">
        <v>41445.416666666664</v>
      </c>
      <c r="D3500" s="60">
        <v>2760</v>
      </c>
      <c r="E3500" s="59" t="s">
        <v>523</v>
      </c>
    </row>
    <row r="3501" spans="3:5" ht="15" x14ac:dyDescent="0.2">
      <c r="C3501" s="61">
        <v>41445.427083333336</v>
      </c>
      <c r="D3501" s="60">
        <v>2770</v>
      </c>
      <c r="E3501" s="59" t="s">
        <v>522</v>
      </c>
    </row>
    <row r="3502" spans="3:5" ht="15" x14ac:dyDescent="0.2">
      <c r="C3502" s="61">
        <v>41445.4375</v>
      </c>
      <c r="D3502" s="60">
        <v>2770</v>
      </c>
      <c r="E3502" s="59" t="s">
        <v>522</v>
      </c>
    </row>
    <row r="3503" spans="3:5" ht="15" x14ac:dyDescent="0.2">
      <c r="C3503" s="61">
        <v>41445.447916666664</v>
      </c>
      <c r="D3503" s="60">
        <v>2770</v>
      </c>
      <c r="E3503" s="59" t="s">
        <v>522</v>
      </c>
    </row>
    <row r="3504" spans="3:5" ht="15" x14ac:dyDescent="0.2">
      <c r="C3504" s="61">
        <v>41445.458333333336</v>
      </c>
      <c r="D3504" s="60">
        <v>2780</v>
      </c>
      <c r="E3504" s="59" t="s">
        <v>521</v>
      </c>
    </row>
    <row r="3505" spans="3:5" ht="15" x14ac:dyDescent="0.2">
      <c r="C3505" s="61">
        <v>41445.46875</v>
      </c>
      <c r="D3505" s="60">
        <v>2780</v>
      </c>
      <c r="E3505" s="59" t="s">
        <v>521</v>
      </c>
    </row>
    <row r="3506" spans="3:5" ht="15" x14ac:dyDescent="0.2">
      <c r="C3506" s="61">
        <v>41445.479166666664</v>
      </c>
      <c r="D3506" s="60">
        <v>2780</v>
      </c>
      <c r="E3506" s="59" t="s">
        <v>521</v>
      </c>
    </row>
    <row r="3507" spans="3:5" ht="15" x14ac:dyDescent="0.2">
      <c r="C3507" s="61">
        <v>41445.489583333336</v>
      </c>
      <c r="D3507" s="60">
        <v>2790</v>
      </c>
      <c r="E3507" s="59" t="s">
        <v>520</v>
      </c>
    </row>
    <row r="3508" spans="3:5" ht="15" x14ac:dyDescent="0.2">
      <c r="C3508" s="61">
        <v>41445.5</v>
      </c>
      <c r="D3508" s="60">
        <v>2790</v>
      </c>
      <c r="E3508" s="59" t="s">
        <v>520</v>
      </c>
    </row>
    <row r="3509" spans="3:5" ht="15" x14ac:dyDescent="0.2">
      <c r="C3509" s="61">
        <v>41445.510416666664</v>
      </c>
      <c r="D3509" s="60">
        <v>2790</v>
      </c>
      <c r="E3509" s="59" t="s">
        <v>520</v>
      </c>
    </row>
    <row r="3510" spans="3:5" ht="15" x14ac:dyDescent="0.2">
      <c r="C3510" s="61">
        <v>41445.520833333336</v>
      </c>
      <c r="D3510" s="60">
        <v>2810</v>
      </c>
      <c r="E3510" s="59" t="s">
        <v>519</v>
      </c>
    </row>
    <row r="3511" spans="3:5" ht="15" x14ac:dyDescent="0.2">
      <c r="C3511" s="61">
        <v>41445.53125</v>
      </c>
      <c r="D3511" s="60">
        <v>2810</v>
      </c>
      <c r="E3511" s="59" t="s">
        <v>519</v>
      </c>
    </row>
    <row r="3512" spans="3:5" ht="15" x14ac:dyDescent="0.2">
      <c r="C3512" s="61">
        <v>41445.541666666664</v>
      </c>
      <c r="D3512" s="60">
        <v>2810</v>
      </c>
      <c r="E3512" s="59" t="s">
        <v>519</v>
      </c>
    </row>
    <row r="3513" spans="3:5" ht="15" x14ac:dyDescent="0.2">
      <c r="C3513" s="61">
        <v>41445.552083333336</v>
      </c>
      <c r="D3513" s="60">
        <v>2810</v>
      </c>
      <c r="E3513" s="59" t="s">
        <v>519</v>
      </c>
    </row>
    <row r="3514" spans="3:5" ht="15" x14ac:dyDescent="0.2">
      <c r="C3514" s="61">
        <v>41445.5625</v>
      </c>
      <c r="D3514" s="60">
        <v>2820</v>
      </c>
      <c r="E3514" s="59" t="s">
        <v>518</v>
      </c>
    </row>
    <row r="3515" spans="3:5" ht="15" x14ac:dyDescent="0.2">
      <c r="C3515" s="61">
        <v>41445.572916666664</v>
      </c>
      <c r="D3515" s="60">
        <v>2820</v>
      </c>
      <c r="E3515" s="59" t="s">
        <v>518</v>
      </c>
    </row>
    <row r="3516" spans="3:5" ht="15" x14ac:dyDescent="0.2">
      <c r="C3516" s="61">
        <v>41445.583333333336</v>
      </c>
      <c r="D3516" s="60">
        <v>2830</v>
      </c>
      <c r="E3516" s="59" t="s">
        <v>517</v>
      </c>
    </row>
    <row r="3517" spans="3:5" ht="15" x14ac:dyDescent="0.2">
      <c r="C3517" s="61">
        <v>41445.59375</v>
      </c>
      <c r="D3517" s="60">
        <v>2830</v>
      </c>
      <c r="E3517" s="59" t="s">
        <v>517</v>
      </c>
    </row>
    <row r="3518" spans="3:5" ht="15" x14ac:dyDescent="0.2">
      <c r="C3518" s="61">
        <v>41445.604166666664</v>
      </c>
      <c r="D3518" s="60">
        <v>2830</v>
      </c>
      <c r="E3518" s="59" t="s">
        <v>517</v>
      </c>
    </row>
    <row r="3519" spans="3:5" ht="15" x14ac:dyDescent="0.2">
      <c r="C3519" s="61">
        <v>41445.614583333336</v>
      </c>
      <c r="D3519" s="60">
        <v>2830</v>
      </c>
      <c r="E3519" s="59" t="s">
        <v>517</v>
      </c>
    </row>
    <row r="3520" spans="3:5" ht="15" x14ac:dyDescent="0.2">
      <c r="C3520" s="61">
        <v>41445.625</v>
      </c>
      <c r="D3520" s="60">
        <v>2840</v>
      </c>
      <c r="E3520" s="59" t="s">
        <v>516</v>
      </c>
    </row>
    <row r="3521" spans="3:5" ht="15" x14ac:dyDescent="0.2">
      <c r="C3521" s="61">
        <v>41445.635416666664</v>
      </c>
      <c r="D3521" s="60">
        <v>2840</v>
      </c>
      <c r="E3521" s="59" t="s">
        <v>516</v>
      </c>
    </row>
    <row r="3522" spans="3:5" ht="15" x14ac:dyDescent="0.2">
      <c r="C3522" s="61">
        <v>41445.645833333336</v>
      </c>
      <c r="D3522" s="60">
        <v>2840</v>
      </c>
      <c r="E3522" s="59" t="s">
        <v>516</v>
      </c>
    </row>
    <row r="3523" spans="3:5" ht="15" x14ac:dyDescent="0.2">
      <c r="C3523" s="61">
        <v>41445.65625</v>
      </c>
      <c r="D3523" s="60">
        <v>2860</v>
      </c>
      <c r="E3523" s="59" t="s">
        <v>515</v>
      </c>
    </row>
    <row r="3524" spans="3:5" ht="15" x14ac:dyDescent="0.2">
      <c r="C3524" s="61">
        <v>41445.666666666664</v>
      </c>
      <c r="D3524" s="60">
        <v>2860</v>
      </c>
      <c r="E3524" s="59" t="s">
        <v>515</v>
      </c>
    </row>
    <row r="3525" spans="3:5" ht="15" x14ac:dyDescent="0.2">
      <c r="C3525" s="61">
        <v>41445.677083333336</v>
      </c>
      <c r="D3525" s="60">
        <v>2860</v>
      </c>
      <c r="E3525" s="59" t="s">
        <v>515</v>
      </c>
    </row>
    <row r="3526" spans="3:5" ht="15" x14ac:dyDescent="0.2">
      <c r="C3526" s="61">
        <v>41445.6875</v>
      </c>
      <c r="D3526" s="60">
        <v>2860</v>
      </c>
      <c r="E3526" s="59" t="s">
        <v>515</v>
      </c>
    </row>
    <row r="3527" spans="3:5" ht="15" x14ac:dyDescent="0.2">
      <c r="C3527" s="61">
        <v>41445.697916666664</v>
      </c>
      <c r="D3527" s="60">
        <v>2860</v>
      </c>
      <c r="E3527" s="59" t="s">
        <v>515</v>
      </c>
    </row>
    <row r="3528" spans="3:5" ht="15" x14ac:dyDescent="0.2">
      <c r="C3528" s="61">
        <v>41445.708333333336</v>
      </c>
      <c r="D3528" s="60">
        <v>2870</v>
      </c>
      <c r="E3528" s="59" t="s">
        <v>514</v>
      </c>
    </row>
    <row r="3529" spans="3:5" ht="15" x14ac:dyDescent="0.2">
      <c r="C3529" s="61">
        <v>41445.71875</v>
      </c>
      <c r="D3529" s="60">
        <v>2870</v>
      </c>
      <c r="E3529" s="59" t="s">
        <v>514</v>
      </c>
    </row>
    <row r="3530" spans="3:5" ht="15" x14ac:dyDescent="0.2">
      <c r="C3530" s="61">
        <v>41445.729166666664</v>
      </c>
      <c r="D3530" s="60">
        <v>2870</v>
      </c>
      <c r="E3530" s="59" t="s">
        <v>514</v>
      </c>
    </row>
    <row r="3531" spans="3:5" ht="15" x14ac:dyDescent="0.2">
      <c r="C3531" s="61">
        <v>41445.739583333336</v>
      </c>
      <c r="D3531" s="60">
        <v>2870</v>
      </c>
      <c r="E3531" s="59" t="s">
        <v>514</v>
      </c>
    </row>
    <row r="3532" spans="3:5" ht="15" x14ac:dyDescent="0.2">
      <c r="C3532" s="61">
        <v>41445.75</v>
      </c>
      <c r="D3532" s="60">
        <v>2880</v>
      </c>
      <c r="E3532" s="59" t="s">
        <v>513</v>
      </c>
    </row>
    <row r="3533" spans="3:5" ht="15" x14ac:dyDescent="0.2">
      <c r="C3533" s="61">
        <v>41445.760416666664</v>
      </c>
      <c r="D3533" s="60">
        <v>2880</v>
      </c>
      <c r="E3533" s="59" t="s">
        <v>513</v>
      </c>
    </row>
    <row r="3534" spans="3:5" ht="15" x14ac:dyDescent="0.2">
      <c r="C3534" s="61">
        <v>41445.770833333336</v>
      </c>
      <c r="D3534" s="60">
        <v>2880</v>
      </c>
      <c r="E3534" s="59" t="s">
        <v>513</v>
      </c>
    </row>
    <row r="3535" spans="3:5" ht="15" x14ac:dyDescent="0.2">
      <c r="C3535" s="61">
        <v>41445.78125</v>
      </c>
      <c r="D3535" s="60">
        <v>2880</v>
      </c>
      <c r="E3535" s="59" t="s">
        <v>513</v>
      </c>
    </row>
    <row r="3536" spans="3:5" ht="15" x14ac:dyDescent="0.2">
      <c r="C3536" s="61">
        <v>41445.791666666664</v>
      </c>
      <c r="D3536" s="60">
        <v>2880</v>
      </c>
      <c r="E3536" s="59" t="s">
        <v>513</v>
      </c>
    </row>
    <row r="3537" spans="3:5" ht="15" x14ac:dyDescent="0.2">
      <c r="C3537" s="61">
        <v>41445.802083333336</v>
      </c>
      <c r="D3537" s="60">
        <v>2880</v>
      </c>
      <c r="E3537" s="59" t="s">
        <v>513</v>
      </c>
    </row>
    <row r="3538" spans="3:5" ht="15" x14ac:dyDescent="0.2">
      <c r="C3538" s="61">
        <v>41445.8125</v>
      </c>
      <c r="D3538" s="60">
        <v>2900</v>
      </c>
      <c r="E3538" s="59" t="s">
        <v>512</v>
      </c>
    </row>
    <row r="3539" spans="3:5" ht="15" x14ac:dyDescent="0.2">
      <c r="C3539" s="61">
        <v>41445.822916666664</v>
      </c>
      <c r="D3539" s="60">
        <v>2900</v>
      </c>
      <c r="E3539" s="59" t="s">
        <v>512</v>
      </c>
    </row>
    <row r="3540" spans="3:5" ht="15" x14ac:dyDescent="0.2">
      <c r="C3540" s="61">
        <v>41445.833333333336</v>
      </c>
      <c r="D3540" s="60">
        <v>2900</v>
      </c>
      <c r="E3540" s="59" t="s">
        <v>512</v>
      </c>
    </row>
    <row r="3541" spans="3:5" ht="15" x14ac:dyDescent="0.2">
      <c r="C3541" s="61">
        <v>41445.84375</v>
      </c>
      <c r="D3541" s="60">
        <v>2900</v>
      </c>
      <c r="E3541" s="59" t="s">
        <v>512</v>
      </c>
    </row>
    <row r="3542" spans="3:5" ht="15" x14ac:dyDescent="0.2">
      <c r="C3542" s="61">
        <v>41445.854166666664</v>
      </c>
      <c r="D3542" s="60">
        <v>2900</v>
      </c>
      <c r="E3542" s="59" t="s">
        <v>512</v>
      </c>
    </row>
    <row r="3543" spans="3:5" ht="15" x14ac:dyDescent="0.2">
      <c r="C3543" s="61">
        <v>41445.864583333336</v>
      </c>
      <c r="D3543" s="60">
        <v>2900</v>
      </c>
      <c r="E3543" s="59" t="s">
        <v>512</v>
      </c>
    </row>
    <row r="3544" spans="3:5" ht="15" x14ac:dyDescent="0.2">
      <c r="C3544" s="61">
        <v>41445.875</v>
      </c>
      <c r="D3544" s="60">
        <v>2900</v>
      </c>
      <c r="E3544" s="59" t="s">
        <v>512</v>
      </c>
    </row>
    <row r="3545" spans="3:5" ht="15" x14ac:dyDescent="0.2">
      <c r="C3545" s="61">
        <v>41445.885416666664</v>
      </c>
      <c r="D3545" s="60">
        <v>2910</v>
      </c>
      <c r="E3545" s="59" t="s">
        <v>511</v>
      </c>
    </row>
    <row r="3546" spans="3:5" ht="15" x14ac:dyDescent="0.2">
      <c r="C3546" s="61">
        <v>41445.895833333336</v>
      </c>
      <c r="D3546" s="60">
        <v>2910</v>
      </c>
      <c r="E3546" s="59" t="s">
        <v>511</v>
      </c>
    </row>
    <row r="3547" spans="3:5" ht="15" x14ac:dyDescent="0.2">
      <c r="C3547" s="61">
        <v>41445.90625</v>
      </c>
      <c r="D3547" s="60">
        <v>2910</v>
      </c>
      <c r="E3547" s="59" t="s">
        <v>511</v>
      </c>
    </row>
    <row r="3548" spans="3:5" ht="15" x14ac:dyDescent="0.2">
      <c r="C3548" s="61">
        <v>41445.916666666664</v>
      </c>
      <c r="D3548" s="60">
        <v>2910</v>
      </c>
      <c r="E3548" s="59" t="s">
        <v>511</v>
      </c>
    </row>
    <row r="3549" spans="3:5" ht="15" x14ac:dyDescent="0.2">
      <c r="C3549" s="61">
        <v>41445.927083333336</v>
      </c>
      <c r="D3549" s="60">
        <v>2910</v>
      </c>
      <c r="E3549" s="59" t="s">
        <v>511</v>
      </c>
    </row>
    <row r="3550" spans="3:5" ht="15" x14ac:dyDescent="0.2">
      <c r="C3550" s="61">
        <v>41445.9375</v>
      </c>
      <c r="D3550" s="60">
        <v>2910</v>
      </c>
      <c r="E3550" s="59" t="s">
        <v>511</v>
      </c>
    </row>
    <row r="3551" spans="3:5" ht="15" x14ac:dyDescent="0.2">
      <c r="C3551" s="61">
        <v>41445.947916666664</v>
      </c>
      <c r="D3551" s="60">
        <v>2910</v>
      </c>
      <c r="E3551" s="59" t="s">
        <v>511</v>
      </c>
    </row>
    <row r="3552" spans="3:5" ht="15" x14ac:dyDescent="0.2">
      <c r="C3552" s="61">
        <v>41445.958333333336</v>
      </c>
      <c r="D3552" s="60">
        <v>2910</v>
      </c>
      <c r="E3552" s="59" t="s">
        <v>511</v>
      </c>
    </row>
    <row r="3553" spans="3:5" ht="15" x14ac:dyDescent="0.2">
      <c r="C3553" s="61">
        <v>41445.96875</v>
      </c>
      <c r="D3553" s="60">
        <v>2910</v>
      </c>
      <c r="E3553" s="59" t="s">
        <v>511</v>
      </c>
    </row>
    <row r="3554" spans="3:5" ht="15" x14ac:dyDescent="0.2">
      <c r="C3554" s="61">
        <v>41445.979166666664</v>
      </c>
      <c r="D3554" s="60">
        <v>2920</v>
      </c>
      <c r="E3554" s="59" t="s">
        <v>510</v>
      </c>
    </row>
    <row r="3555" spans="3:5" ht="15" x14ac:dyDescent="0.2">
      <c r="C3555" s="61">
        <v>41445.989583333336</v>
      </c>
      <c r="D3555" s="60">
        <v>2920</v>
      </c>
      <c r="E3555" s="59" t="s">
        <v>510</v>
      </c>
    </row>
    <row r="3556" spans="3:5" ht="15" x14ac:dyDescent="0.2">
      <c r="C3556" s="61">
        <v>41446</v>
      </c>
      <c r="D3556" s="60">
        <v>2920</v>
      </c>
      <c r="E3556" s="59" t="s">
        <v>510</v>
      </c>
    </row>
    <row r="3557" spans="3:5" ht="15" x14ac:dyDescent="0.2">
      <c r="C3557" s="61">
        <v>41446.010416666664</v>
      </c>
      <c r="D3557" s="60">
        <v>2920</v>
      </c>
      <c r="E3557" s="59" t="s">
        <v>510</v>
      </c>
    </row>
    <row r="3558" spans="3:5" ht="15" x14ac:dyDescent="0.2">
      <c r="C3558" s="61">
        <v>41446.020833333336</v>
      </c>
      <c r="D3558" s="60">
        <v>2920</v>
      </c>
      <c r="E3558" s="59" t="s">
        <v>510</v>
      </c>
    </row>
    <row r="3559" spans="3:5" ht="15" x14ac:dyDescent="0.2">
      <c r="C3559" s="61">
        <v>41446.03125</v>
      </c>
      <c r="D3559" s="60">
        <v>2920</v>
      </c>
      <c r="E3559" s="59" t="s">
        <v>510</v>
      </c>
    </row>
    <row r="3560" spans="3:5" ht="15" x14ac:dyDescent="0.2">
      <c r="C3560" s="61">
        <v>41446.041666666664</v>
      </c>
      <c r="D3560" s="60">
        <v>2920</v>
      </c>
      <c r="E3560" s="59" t="s">
        <v>510</v>
      </c>
    </row>
    <row r="3561" spans="3:5" ht="15" x14ac:dyDescent="0.2">
      <c r="C3561" s="61">
        <v>41446.052083333336</v>
      </c>
      <c r="D3561" s="60">
        <v>2920</v>
      </c>
      <c r="E3561" s="59" t="s">
        <v>510</v>
      </c>
    </row>
    <row r="3562" spans="3:5" ht="15" x14ac:dyDescent="0.2">
      <c r="C3562" s="61">
        <v>41446.0625</v>
      </c>
      <c r="D3562" s="60">
        <v>2920</v>
      </c>
      <c r="E3562" s="59" t="s">
        <v>510</v>
      </c>
    </row>
    <row r="3563" spans="3:5" ht="15" x14ac:dyDescent="0.2">
      <c r="C3563" s="61">
        <v>41446.072916666664</v>
      </c>
      <c r="D3563" s="60">
        <v>2920</v>
      </c>
      <c r="E3563" s="59" t="s">
        <v>510</v>
      </c>
    </row>
    <row r="3564" spans="3:5" ht="15" x14ac:dyDescent="0.2">
      <c r="C3564" s="61">
        <v>41446.083333333336</v>
      </c>
      <c r="D3564" s="60">
        <v>2920</v>
      </c>
      <c r="E3564" s="59" t="s">
        <v>510</v>
      </c>
    </row>
    <row r="3565" spans="3:5" ht="15" x14ac:dyDescent="0.2">
      <c r="C3565" s="61">
        <v>41446.09375</v>
      </c>
      <c r="D3565" s="60">
        <v>2920</v>
      </c>
      <c r="E3565" s="59" t="s">
        <v>510</v>
      </c>
    </row>
    <row r="3566" spans="3:5" ht="15" x14ac:dyDescent="0.2">
      <c r="C3566" s="61">
        <v>41446.104166666664</v>
      </c>
      <c r="D3566" s="60">
        <v>2920</v>
      </c>
      <c r="E3566" s="59" t="s">
        <v>510</v>
      </c>
    </row>
    <row r="3567" spans="3:5" ht="15" x14ac:dyDescent="0.2">
      <c r="C3567" s="61">
        <v>41446.114583333336</v>
      </c>
      <c r="D3567" s="60">
        <v>2910</v>
      </c>
      <c r="E3567" s="59" t="s">
        <v>511</v>
      </c>
    </row>
    <row r="3568" spans="3:5" ht="15" x14ac:dyDescent="0.2">
      <c r="C3568" s="61">
        <v>41446.125</v>
      </c>
      <c r="D3568" s="60">
        <v>2910</v>
      </c>
      <c r="E3568" s="59" t="s">
        <v>511</v>
      </c>
    </row>
    <row r="3569" spans="3:5" ht="15" x14ac:dyDescent="0.2">
      <c r="C3569" s="61">
        <v>41446.135416666664</v>
      </c>
      <c r="D3569" s="60">
        <v>2910</v>
      </c>
      <c r="E3569" s="59" t="s">
        <v>511</v>
      </c>
    </row>
    <row r="3570" spans="3:5" ht="15" x14ac:dyDescent="0.2">
      <c r="C3570" s="61">
        <v>41446.145833333336</v>
      </c>
      <c r="D3570" s="60">
        <v>2910</v>
      </c>
      <c r="E3570" s="59" t="s">
        <v>511</v>
      </c>
    </row>
    <row r="3571" spans="3:5" ht="15" x14ac:dyDescent="0.2">
      <c r="C3571" s="61">
        <v>41446.15625</v>
      </c>
      <c r="D3571" s="60">
        <v>2910</v>
      </c>
      <c r="E3571" s="59" t="s">
        <v>511</v>
      </c>
    </row>
    <row r="3572" spans="3:5" ht="15" x14ac:dyDescent="0.2">
      <c r="C3572" s="61">
        <v>41446.166666666664</v>
      </c>
      <c r="D3572" s="60">
        <v>2910</v>
      </c>
      <c r="E3572" s="59" t="s">
        <v>511</v>
      </c>
    </row>
    <row r="3573" spans="3:5" ht="15" x14ac:dyDescent="0.2">
      <c r="C3573" s="61">
        <v>41446.177083333336</v>
      </c>
      <c r="D3573" s="60">
        <v>2910</v>
      </c>
      <c r="E3573" s="59" t="s">
        <v>511</v>
      </c>
    </row>
    <row r="3574" spans="3:5" ht="15" x14ac:dyDescent="0.2">
      <c r="C3574" s="61">
        <v>41446.1875</v>
      </c>
      <c r="D3574" s="60">
        <v>2910</v>
      </c>
      <c r="E3574" s="59" t="s">
        <v>511</v>
      </c>
    </row>
    <row r="3575" spans="3:5" ht="15" x14ac:dyDescent="0.2">
      <c r="C3575" s="61">
        <v>41446.197916666664</v>
      </c>
      <c r="D3575" s="60">
        <v>2900</v>
      </c>
      <c r="E3575" s="59" t="s">
        <v>512</v>
      </c>
    </row>
    <row r="3576" spans="3:5" ht="15" x14ac:dyDescent="0.2">
      <c r="C3576" s="61">
        <v>41446.208333333336</v>
      </c>
      <c r="D3576" s="60">
        <v>2900</v>
      </c>
      <c r="E3576" s="59" t="s">
        <v>512</v>
      </c>
    </row>
    <row r="3577" spans="3:5" ht="15" x14ac:dyDescent="0.2">
      <c r="C3577" s="61">
        <v>41446.21875</v>
      </c>
      <c r="D3577" s="60">
        <v>2900</v>
      </c>
      <c r="E3577" s="59" t="s">
        <v>512</v>
      </c>
    </row>
    <row r="3578" spans="3:5" ht="15" x14ac:dyDescent="0.2">
      <c r="C3578" s="61">
        <v>41446.229166666664</v>
      </c>
      <c r="D3578" s="60">
        <v>2900</v>
      </c>
      <c r="E3578" s="59" t="s">
        <v>512</v>
      </c>
    </row>
    <row r="3579" spans="3:5" ht="15" x14ac:dyDescent="0.2">
      <c r="C3579" s="61">
        <v>41446.239583333336</v>
      </c>
      <c r="D3579" s="60">
        <v>2900</v>
      </c>
      <c r="E3579" s="59" t="s">
        <v>512</v>
      </c>
    </row>
    <row r="3580" spans="3:5" ht="15" x14ac:dyDescent="0.2">
      <c r="C3580" s="61">
        <v>41446.25</v>
      </c>
      <c r="D3580" s="60">
        <v>2880</v>
      </c>
      <c r="E3580" s="59" t="s">
        <v>513</v>
      </c>
    </row>
    <row r="3581" spans="3:5" ht="15" x14ac:dyDescent="0.2">
      <c r="C3581" s="61">
        <v>41446.260416666664</v>
      </c>
      <c r="D3581" s="60">
        <v>2880</v>
      </c>
      <c r="E3581" s="59" t="s">
        <v>513</v>
      </c>
    </row>
    <row r="3582" spans="3:5" ht="15" x14ac:dyDescent="0.2">
      <c r="C3582" s="61">
        <v>41446.270833333336</v>
      </c>
      <c r="D3582" s="60">
        <v>2880</v>
      </c>
      <c r="E3582" s="59" t="s">
        <v>513</v>
      </c>
    </row>
    <row r="3583" spans="3:5" ht="15" x14ac:dyDescent="0.2">
      <c r="C3583" s="61">
        <v>41446.28125</v>
      </c>
      <c r="D3583" s="60">
        <v>2880</v>
      </c>
      <c r="E3583" s="59" t="s">
        <v>513</v>
      </c>
    </row>
    <row r="3584" spans="3:5" ht="15" x14ac:dyDescent="0.2">
      <c r="C3584" s="61">
        <v>41446.291666666664</v>
      </c>
      <c r="D3584" s="60">
        <v>2880</v>
      </c>
      <c r="E3584" s="59" t="s">
        <v>513</v>
      </c>
    </row>
    <row r="3585" spans="3:5" ht="15" x14ac:dyDescent="0.2">
      <c r="C3585" s="61">
        <v>41446.302083333336</v>
      </c>
      <c r="D3585" s="60">
        <v>2870</v>
      </c>
      <c r="E3585" s="59" t="s">
        <v>514</v>
      </c>
    </row>
    <row r="3586" spans="3:5" ht="15" x14ac:dyDescent="0.2">
      <c r="C3586" s="61">
        <v>41446.3125</v>
      </c>
      <c r="D3586" s="60">
        <v>2870</v>
      </c>
      <c r="E3586" s="59" t="s">
        <v>514</v>
      </c>
    </row>
    <row r="3587" spans="3:5" ht="15" x14ac:dyDescent="0.2">
      <c r="C3587" s="61">
        <v>41446.322916666664</v>
      </c>
      <c r="D3587" s="60">
        <v>2870</v>
      </c>
      <c r="E3587" s="59" t="s">
        <v>514</v>
      </c>
    </row>
    <row r="3588" spans="3:5" ht="15" x14ac:dyDescent="0.2">
      <c r="C3588" s="61">
        <v>41446.333333333336</v>
      </c>
      <c r="D3588" s="60">
        <v>2870</v>
      </c>
      <c r="E3588" s="59" t="s">
        <v>514</v>
      </c>
    </row>
    <row r="3589" spans="3:5" ht="15" x14ac:dyDescent="0.2">
      <c r="C3589" s="61">
        <v>41446.34375</v>
      </c>
      <c r="D3589" s="60">
        <v>2860</v>
      </c>
      <c r="E3589" s="59" t="s">
        <v>515</v>
      </c>
    </row>
    <row r="3590" spans="3:5" ht="15" x14ac:dyDescent="0.2">
      <c r="C3590" s="61">
        <v>41446.354166666664</v>
      </c>
      <c r="D3590" s="60">
        <v>2860</v>
      </c>
      <c r="E3590" s="59" t="s">
        <v>515</v>
      </c>
    </row>
    <row r="3591" spans="3:5" ht="15" x14ac:dyDescent="0.2">
      <c r="C3591" s="61">
        <v>41446.364583333336</v>
      </c>
      <c r="D3591" s="60">
        <v>2860</v>
      </c>
      <c r="E3591" s="59" t="s">
        <v>515</v>
      </c>
    </row>
    <row r="3592" spans="3:5" ht="15" x14ac:dyDescent="0.2">
      <c r="C3592" s="61">
        <v>41446.375</v>
      </c>
      <c r="D3592" s="60">
        <v>2860</v>
      </c>
      <c r="E3592" s="59" t="s">
        <v>515</v>
      </c>
    </row>
    <row r="3593" spans="3:5" ht="15" x14ac:dyDescent="0.2">
      <c r="C3593" s="61">
        <v>41446.385416666664</v>
      </c>
      <c r="D3593" s="60">
        <v>2860</v>
      </c>
      <c r="E3593" s="59" t="s">
        <v>515</v>
      </c>
    </row>
    <row r="3594" spans="3:5" ht="15" x14ac:dyDescent="0.2">
      <c r="C3594" s="61">
        <v>41446.395833333336</v>
      </c>
      <c r="D3594" s="60">
        <v>2860</v>
      </c>
      <c r="E3594" s="59" t="s">
        <v>515</v>
      </c>
    </row>
    <row r="3595" spans="3:5" ht="15" x14ac:dyDescent="0.2">
      <c r="C3595" s="61">
        <v>41446.40625</v>
      </c>
      <c r="D3595" s="60">
        <v>2860</v>
      </c>
      <c r="E3595" s="59" t="s">
        <v>515</v>
      </c>
    </row>
    <row r="3596" spans="3:5" ht="15" x14ac:dyDescent="0.2">
      <c r="C3596" s="61">
        <v>41446.416666666664</v>
      </c>
      <c r="D3596" s="60">
        <v>2840</v>
      </c>
      <c r="E3596" s="59" t="s">
        <v>516</v>
      </c>
    </row>
    <row r="3597" spans="3:5" ht="15" x14ac:dyDescent="0.2">
      <c r="C3597" s="61">
        <v>41446.427083333336</v>
      </c>
      <c r="D3597" s="60">
        <v>2840</v>
      </c>
      <c r="E3597" s="59" t="s">
        <v>516</v>
      </c>
    </row>
    <row r="3598" spans="3:5" ht="15" x14ac:dyDescent="0.2">
      <c r="C3598" s="61">
        <v>41446.4375</v>
      </c>
      <c r="D3598" s="60">
        <v>2840</v>
      </c>
      <c r="E3598" s="59" t="s">
        <v>516</v>
      </c>
    </row>
    <row r="3599" spans="3:5" ht="15" x14ac:dyDescent="0.2">
      <c r="C3599" s="61">
        <v>41446.447916666664</v>
      </c>
      <c r="D3599" s="60">
        <v>2840</v>
      </c>
      <c r="E3599" s="59" t="s">
        <v>516</v>
      </c>
    </row>
    <row r="3600" spans="3:5" ht="15" x14ac:dyDescent="0.2">
      <c r="C3600" s="61">
        <v>41446.458333333336</v>
      </c>
      <c r="D3600" s="60">
        <v>2840</v>
      </c>
      <c r="E3600" s="59" t="s">
        <v>516</v>
      </c>
    </row>
    <row r="3601" spans="3:5" ht="15" x14ac:dyDescent="0.2">
      <c r="C3601" s="61">
        <v>41446.46875</v>
      </c>
      <c r="D3601" s="60">
        <v>2840</v>
      </c>
      <c r="E3601" s="59" t="s">
        <v>516</v>
      </c>
    </row>
    <row r="3602" spans="3:5" ht="15" x14ac:dyDescent="0.2">
      <c r="C3602" s="61">
        <v>41446.479166666664</v>
      </c>
      <c r="D3602" s="60">
        <v>2830</v>
      </c>
      <c r="E3602" s="59" t="s">
        <v>517</v>
      </c>
    </row>
    <row r="3603" spans="3:5" ht="15" x14ac:dyDescent="0.2">
      <c r="C3603" s="61">
        <v>41446.489583333336</v>
      </c>
      <c r="D3603" s="60">
        <v>2830</v>
      </c>
      <c r="E3603" s="59" t="s">
        <v>517</v>
      </c>
    </row>
    <row r="3604" spans="3:5" ht="15" x14ac:dyDescent="0.2">
      <c r="C3604" s="61">
        <v>41446.5</v>
      </c>
      <c r="D3604" s="60">
        <v>2830</v>
      </c>
      <c r="E3604" s="59" t="s">
        <v>517</v>
      </c>
    </row>
    <row r="3605" spans="3:5" ht="15" x14ac:dyDescent="0.2">
      <c r="C3605" s="61">
        <v>41446.510416666664</v>
      </c>
      <c r="D3605" s="60">
        <v>2830</v>
      </c>
      <c r="E3605" s="59" t="s">
        <v>517</v>
      </c>
    </row>
    <row r="3606" spans="3:5" ht="15" x14ac:dyDescent="0.2">
      <c r="C3606" s="61">
        <v>41446.520833333336</v>
      </c>
      <c r="D3606" s="60">
        <v>2830</v>
      </c>
      <c r="E3606" s="59" t="s">
        <v>517</v>
      </c>
    </row>
    <row r="3607" spans="3:5" ht="15" x14ac:dyDescent="0.2">
      <c r="C3607" s="61">
        <v>41446.53125</v>
      </c>
      <c r="D3607" s="60">
        <v>2830</v>
      </c>
      <c r="E3607" s="59" t="s">
        <v>517</v>
      </c>
    </row>
    <row r="3608" spans="3:5" ht="15" x14ac:dyDescent="0.2">
      <c r="C3608" s="61">
        <v>41446.541666666664</v>
      </c>
      <c r="D3608" s="60">
        <v>2830</v>
      </c>
      <c r="E3608" s="59" t="s">
        <v>517</v>
      </c>
    </row>
    <row r="3609" spans="3:5" ht="15" x14ac:dyDescent="0.2">
      <c r="C3609" s="61">
        <v>41446.552083333336</v>
      </c>
      <c r="D3609" s="60">
        <v>2830</v>
      </c>
      <c r="E3609" s="59" t="s">
        <v>517</v>
      </c>
    </row>
    <row r="3610" spans="3:5" ht="15" x14ac:dyDescent="0.2">
      <c r="C3610" s="61">
        <v>41446.5625</v>
      </c>
      <c r="D3610" s="60">
        <v>2830</v>
      </c>
      <c r="E3610" s="59" t="s">
        <v>517</v>
      </c>
    </row>
    <row r="3611" spans="3:5" ht="15" x14ac:dyDescent="0.2">
      <c r="C3611" s="61">
        <v>41446.572916666664</v>
      </c>
      <c r="D3611" s="60">
        <v>2830</v>
      </c>
      <c r="E3611" s="59" t="s">
        <v>517</v>
      </c>
    </row>
    <row r="3612" spans="3:5" ht="15" x14ac:dyDescent="0.2">
      <c r="C3612" s="61">
        <v>41446.583333333336</v>
      </c>
      <c r="D3612" s="60">
        <v>2830</v>
      </c>
      <c r="E3612" s="59" t="s">
        <v>517</v>
      </c>
    </row>
    <row r="3613" spans="3:5" ht="15" x14ac:dyDescent="0.2">
      <c r="C3613" s="61">
        <v>41446.59375</v>
      </c>
      <c r="D3613" s="60">
        <v>2830</v>
      </c>
      <c r="E3613" s="59" t="s">
        <v>517</v>
      </c>
    </row>
    <row r="3614" spans="3:5" ht="15" x14ac:dyDescent="0.2">
      <c r="C3614" s="61">
        <v>41446.604166666664</v>
      </c>
      <c r="D3614" s="60">
        <v>2830</v>
      </c>
      <c r="E3614" s="59" t="s">
        <v>517</v>
      </c>
    </row>
    <row r="3615" spans="3:5" ht="15" x14ac:dyDescent="0.2">
      <c r="C3615" s="61">
        <v>41446.614583333336</v>
      </c>
      <c r="D3615" s="60">
        <v>2830</v>
      </c>
      <c r="E3615" s="59" t="s">
        <v>517</v>
      </c>
    </row>
    <row r="3616" spans="3:5" ht="15" x14ac:dyDescent="0.2">
      <c r="C3616" s="61">
        <v>41446.625</v>
      </c>
      <c r="D3616" s="60">
        <v>2830</v>
      </c>
      <c r="E3616" s="59" t="s">
        <v>517</v>
      </c>
    </row>
    <row r="3617" spans="3:5" ht="15" x14ac:dyDescent="0.2">
      <c r="C3617" s="61">
        <v>41446.635416666664</v>
      </c>
      <c r="D3617" s="60">
        <v>2830</v>
      </c>
      <c r="E3617" s="59" t="s">
        <v>517</v>
      </c>
    </row>
    <row r="3618" spans="3:5" ht="15" x14ac:dyDescent="0.2">
      <c r="C3618" s="61">
        <v>41446.645833333336</v>
      </c>
      <c r="D3618" s="60">
        <v>2830</v>
      </c>
      <c r="E3618" s="59" t="s">
        <v>517</v>
      </c>
    </row>
    <row r="3619" spans="3:5" ht="15" x14ac:dyDescent="0.2">
      <c r="C3619" s="61">
        <v>41446.65625</v>
      </c>
      <c r="D3619" s="60">
        <v>2830</v>
      </c>
      <c r="E3619" s="59" t="s">
        <v>517</v>
      </c>
    </row>
    <row r="3620" spans="3:5" ht="15" x14ac:dyDescent="0.2">
      <c r="C3620" s="61">
        <v>41446.666666666664</v>
      </c>
      <c r="D3620" s="60">
        <v>2830</v>
      </c>
      <c r="E3620" s="59" t="s">
        <v>517</v>
      </c>
    </row>
    <row r="3621" spans="3:5" ht="15" x14ac:dyDescent="0.2">
      <c r="C3621" s="61">
        <v>41446.677083333336</v>
      </c>
      <c r="D3621" s="60">
        <v>2830</v>
      </c>
      <c r="E3621" s="59" t="s">
        <v>517</v>
      </c>
    </row>
    <row r="3622" spans="3:5" ht="15" x14ac:dyDescent="0.2">
      <c r="C3622" s="61">
        <v>41446.6875</v>
      </c>
      <c r="D3622" s="60">
        <v>2820</v>
      </c>
      <c r="E3622" s="59" t="s">
        <v>518</v>
      </c>
    </row>
    <row r="3623" spans="3:5" ht="15" x14ac:dyDescent="0.2">
      <c r="C3623" s="61">
        <v>41446.697916666664</v>
      </c>
      <c r="D3623" s="60">
        <v>2820</v>
      </c>
      <c r="E3623" s="59" t="s">
        <v>518</v>
      </c>
    </row>
    <row r="3624" spans="3:5" ht="15" x14ac:dyDescent="0.2">
      <c r="C3624" s="61">
        <v>41446.708333333336</v>
      </c>
      <c r="D3624" s="60">
        <v>2820</v>
      </c>
      <c r="E3624" s="59" t="s">
        <v>518</v>
      </c>
    </row>
    <row r="3625" spans="3:5" ht="15" x14ac:dyDescent="0.2">
      <c r="C3625" s="61">
        <v>41446.71875</v>
      </c>
      <c r="D3625" s="60">
        <v>2820</v>
      </c>
      <c r="E3625" s="59" t="s">
        <v>518</v>
      </c>
    </row>
    <row r="3626" spans="3:5" ht="15" x14ac:dyDescent="0.2">
      <c r="C3626" s="61">
        <v>41446.729166666664</v>
      </c>
      <c r="D3626" s="60">
        <v>2820</v>
      </c>
      <c r="E3626" s="59" t="s">
        <v>518</v>
      </c>
    </row>
    <row r="3627" spans="3:5" ht="15" x14ac:dyDescent="0.2">
      <c r="C3627" s="61">
        <v>41446.739583333336</v>
      </c>
      <c r="D3627" s="60">
        <v>2820</v>
      </c>
      <c r="E3627" s="59" t="s">
        <v>518</v>
      </c>
    </row>
    <row r="3628" spans="3:5" ht="15" x14ac:dyDescent="0.2">
      <c r="C3628" s="61">
        <v>41446.75</v>
      </c>
      <c r="D3628" s="60">
        <v>2820</v>
      </c>
      <c r="E3628" s="59" t="s">
        <v>518</v>
      </c>
    </row>
    <row r="3629" spans="3:5" ht="15" x14ac:dyDescent="0.2">
      <c r="C3629" s="61">
        <v>41446.760416666664</v>
      </c>
      <c r="D3629" s="60">
        <v>2830</v>
      </c>
      <c r="E3629" s="59" t="s">
        <v>517</v>
      </c>
    </row>
    <row r="3630" spans="3:5" ht="15" x14ac:dyDescent="0.2">
      <c r="C3630" s="61">
        <v>41446.770833333336</v>
      </c>
      <c r="D3630" s="60">
        <v>2830</v>
      </c>
      <c r="E3630" s="59" t="s">
        <v>517</v>
      </c>
    </row>
    <row r="3631" spans="3:5" ht="15" x14ac:dyDescent="0.2">
      <c r="C3631" s="61">
        <v>41446.78125</v>
      </c>
      <c r="D3631" s="60">
        <v>2830</v>
      </c>
      <c r="E3631" s="59" t="s">
        <v>517</v>
      </c>
    </row>
    <row r="3632" spans="3:5" ht="15" x14ac:dyDescent="0.2">
      <c r="C3632" s="61">
        <v>41446.791666666664</v>
      </c>
      <c r="D3632" s="60">
        <v>2830</v>
      </c>
      <c r="E3632" s="59" t="s">
        <v>517</v>
      </c>
    </row>
    <row r="3633" spans="3:5" ht="15" x14ac:dyDescent="0.2">
      <c r="C3633" s="61">
        <v>41446.802083333336</v>
      </c>
      <c r="D3633" s="60">
        <v>2830</v>
      </c>
      <c r="E3633" s="59" t="s">
        <v>517</v>
      </c>
    </row>
    <row r="3634" spans="3:5" ht="15" x14ac:dyDescent="0.2">
      <c r="C3634" s="61">
        <v>41446.8125</v>
      </c>
      <c r="D3634" s="60">
        <v>2830</v>
      </c>
      <c r="E3634" s="59" t="s">
        <v>517</v>
      </c>
    </row>
    <row r="3635" spans="3:5" ht="15" x14ac:dyDescent="0.2">
      <c r="C3635" s="61">
        <v>41446.822916666664</v>
      </c>
      <c r="D3635" s="60">
        <v>2830</v>
      </c>
      <c r="E3635" s="59" t="s">
        <v>517</v>
      </c>
    </row>
    <row r="3636" spans="3:5" ht="15" x14ac:dyDescent="0.2">
      <c r="C3636" s="61">
        <v>41446.833333333336</v>
      </c>
      <c r="D3636" s="60">
        <v>2830</v>
      </c>
      <c r="E3636" s="59" t="s">
        <v>517</v>
      </c>
    </row>
    <row r="3637" spans="3:5" ht="15" x14ac:dyDescent="0.2">
      <c r="C3637" s="61">
        <v>41446.84375</v>
      </c>
      <c r="D3637" s="60">
        <v>2830</v>
      </c>
      <c r="E3637" s="59" t="s">
        <v>517</v>
      </c>
    </row>
    <row r="3638" spans="3:5" ht="15" x14ac:dyDescent="0.2">
      <c r="C3638" s="61">
        <v>41446.854166666664</v>
      </c>
      <c r="D3638" s="60">
        <v>2830</v>
      </c>
      <c r="E3638" s="59" t="s">
        <v>517</v>
      </c>
    </row>
    <row r="3639" spans="3:5" ht="15" x14ac:dyDescent="0.2">
      <c r="C3639" s="61">
        <v>41446.864583333336</v>
      </c>
      <c r="D3639" s="60">
        <v>2830</v>
      </c>
      <c r="E3639" s="59" t="s">
        <v>517</v>
      </c>
    </row>
    <row r="3640" spans="3:5" ht="15" x14ac:dyDescent="0.2">
      <c r="C3640" s="61">
        <v>41446.875</v>
      </c>
      <c r="D3640" s="60">
        <v>2840</v>
      </c>
      <c r="E3640" s="59" t="s">
        <v>516</v>
      </c>
    </row>
    <row r="3641" spans="3:5" ht="15" x14ac:dyDescent="0.2">
      <c r="C3641" s="61">
        <v>41446.885416666664</v>
      </c>
      <c r="D3641" s="60">
        <v>2840</v>
      </c>
      <c r="E3641" s="59" t="s">
        <v>516</v>
      </c>
    </row>
    <row r="3642" spans="3:5" ht="15" x14ac:dyDescent="0.2">
      <c r="C3642" s="61">
        <v>41446.895833333336</v>
      </c>
      <c r="D3642" s="60">
        <v>2840</v>
      </c>
      <c r="E3642" s="59" t="s">
        <v>516</v>
      </c>
    </row>
    <row r="3643" spans="3:5" ht="15" x14ac:dyDescent="0.2">
      <c r="C3643" s="61">
        <v>41446.90625</v>
      </c>
      <c r="D3643" s="60">
        <v>2840</v>
      </c>
      <c r="E3643" s="59" t="s">
        <v>516</v>
      </c>
    </row>
    <row r="3644" spans="3:5" ht="15" x14ac:dyDescent="0.2">
      <c r="C3644" s="61">
        <v>41446.916666666664</v>
      </c>
      <c r="D3644" s="60">
        <v>2840</v>
      </c>
      <c r="E3644" s="59" t="s">
        <v>516</v>
      </c>
    </row>
    <row r="3645" spans="3:5" ht="15" x14ac:dyDescent="0.2">
      <c r="C3645" s="61">
        <v>41446.927083333336</v>
      </c>
      <c r="D3645" s="60">
        <v>2840</v>
      </c>
      <c r="E3645" s="59" t="s">
        <v>516</v>
      </c>
    </row>
    <row r="3646" spans="3:5" ht="15" x14ac:dyDescent="0.2">
      <c r="C3646" s="61">
        <v>41446.9375</v>
      </c>
      <c r="D3646" s="60">
        <v>2840</v>
      </c>
      <c r="E3646" s="59" t="s">
        <v>516</v>
      </c>
    </row>
    <row r="3647" spans="3:5" ht="15" x14ac:dyDescent="0.2">
      <c r="C3647" s="61">
        <v>41446.947916666664</v>
      </c>
      <c r="D3647" s="60">
        <v>2840</v>
      </c>
      <c r="E3647" s="59" t="s">
        <v>516</v>
      </c>
    </row>
    <row r="3648" spans="3:5" ht="15" x14ac:dyDescent="0.2">
      <c r="C3648" s="61">
        <v>41446.958333333336</v>
      </c>
      <c r="D3648" s="60">
        <v>2840</v>
      </c>
      <c r="E3648" s="59" t="s">
        <v>516</v>
      </c>
    </row>
    <row r="3649" spans="3:5" ht="15" x14ac:dyDescent="0.2">
      <c r="C3649" s="61">
        <v>41446.96875</v>
      </c>
      <c r="D3649" s="60">
        <v>2840</v>
      </c>
      <c r="E3649" s="59" t="s">
        <v>516</v>
      </c>
    </row>
    <row r="3650" spans="3:5" ht="15" x14ac:dyDescent="0.2">
      <c r="C3650" s="61">
        <v>41446.979166666664</v>
      </c>
      <c r="D3650" s="60">
        <v>2840</v>
      </c>
      <c r="E3650" s="59" t="s">
        <v>516</v>
      </c>
    </row>
    <row r="3651" spans="3:5" ht="15" x14ac:dyDescent="0.2">
      <c r="C3651" s="61">
        <v>41446.989583333336</v>
      </c>
      <c r="D3651" s="60">
        <v>2840</v>
      </c>
      <c r="E3651" s="59" t="s">
        <v>516</v>
      </c>
    </row>
    <row r="3652" spans="3:5" ht="15" x14ac:dyDescent="0.2">
      <c r="C3652" s="61">
        <v>41447</v>
      </c>
      <c r="D3652" s="60">
        <v>2840</v>
      </c>
      <c r="E3652" s="59" t="s">
        <v>516</v>
      </c>
    </row>
    <row r="3653" spans="3:5" ht="15" x14ac:dyDescent="0.2">
      <c r="C3653" s="61">
        <v>41447.010416666664</v>
      </c>
      <c r="D3653" s="60">
        <v>2840</v>
      </c>
      <c r="E3653" s="59" t="s">
        <v>516</v>
      </c>
    </row>
    <row r="3654" spans="3:5" ht="15" x14ac:dyDescent="0.2">
      <c r="C3654" s="61">
        <v>41447.020833333336</v>
      </c>
      <c r="D3654" s="60">
        <v>2840</v>
      </c>
      <c r="E3654" s="59" t="s">
        <v>516</v>
      </c>
    </row>
    <row r="3655" spans="3:5" ht="15" x14ac:dyDescent="0.2">
      <c r="C3655" s="61">
        <v>41447.03125</v>
      </c>
      <c r="D3655" s="60">
        <v>2840</v>
      </c>
      <c r="E3655" s="59" t="s">
        <v>516</v>
      </c>
    </row>
    <row r="3656" spans="3:5" ht="15" x14ac:dyDescent="0.2">
      <c r="C3656" s="61">
        <v>41447.041666666664</v>
      </c>
      <c r="D3656" s="60">
        <v>2840</v>
      </c>
      <c r="E3656" s="59" t="s">
        <v>516</v>
      </c>
    </row>
    <row r="3657" spans="3:5" ht="15" x14ac:dyDescent="0.2">
      <c r="C3657" s="61">
        <v>41447.052083333336</v>
      </c>
      <c r="D3657" s="60">
        <v>2840</v>
      </c>
      <c r="E3657" s="59" t="s">
        <v>516</v>
      </c>
    </row>
    <row r="3658" spans="3:5" ht="15" x14ac:dyDescent="0.2">
      <c r="C3658" s="61">
        <v>41447.0625</v>
      </c>
      <c r="D3658" s="60">
        <v>2840</v>
      </c>
      <c r="E3658" s="59" t="s">
        <v>516</v>
      </c>
    </row>
    <row r="3659" spans="3:5" ht="15" x14ac:dyDescent="0.2">
      <c r="C3659" s="61">
        <v>41447.072916666664</v>
      </c>
      <c r="D3659" s="60">
        <v>2840</v>
      </c>
      <c r="E3659" s="59" t="s">
        <v>516</v>
      </c>
    </row>
    <row r="3660" spans="3:5" ht="15" x14ac:dyDescent="0.2">
      <c r="C3660" s="61">
        <v>41447.083333333336</v>
      </c>
      <c r="D3660" s="60">
        <v>2840</v>
      </c>
      <c r="E3660" s="59" t="s">
        <v>516</v>
      </c>
    </row>
    <row r="3661" spans="3:5" ht="15" x14ac:dyDescent="0.2">
      <c r="C3661" s="61">
        <v>41447.09375</v>
      </c>
      <c r="D3661" s="60">
        <v>2840</v>
      </c>
      <c r="E3661" s="59" t="s">
        <v>516</v>
      </c>
    </row>
    <row r="3662" spans="3:5" ht="15" x14ac:dyDescent="0.2">
      <c r="C3662" s="61">
        <v>41447.104166666664</v>
      </c>
      <c r="D3662" s="60">
        <v>2840</v>
      </c>
      <c r="E3662" s="59" t="s">
        <v>516</v>
      </c>
    </row>
    <row r="3663" spans="3:5" ht="15" x14ac:dyDescent="0.2">
      <c r="C3663" s="61">
        <v>41447.114583333336</v>
      </c>
      <c r="D3663" s="60">
        <v>2840</v>
      </c>
      <c r="E3663" s="59" t="s">
        <v>516</v>
      </c>
    </row>
    <row r="3664" spans="3:5" ht="15" x14ac:dyDescent="0.2">
      <c r="C3664" s="61">
        <v>41447.125</v>
      </c>
      <c r="D3664" s="60">
        <v>2840</v>
      </c>
      <c r="E3664" s="59" t="s">
        <v>516</v>
      </c>
    </row>
    <row r="3665" spans="3:5" ht="15" x14ac:dyDescent="0.2">
      <c r="C3665" s="61">
        <v>41447.135416666664</v>
      </c>
      <c r="D3665" s="60">
        <v>2830</v>
      </c>
      <c r="E3665" s="59" t="s">
        <v>517</v>
      </c>
    </row>
    <row r="3666" spans="3:5" ht="15" x14ac:dyDescent="0.2">
      <c r="C3666" s="61">
        <v>41447.145833333336</v>
      </c>
      <c r="D3666" s="60">
        <v>2830</v>
      </c>
      <c r="E3666" s="59" t="s">
        <v>517</v>
      </c>
    </row>
    <row r="3667" spans="3:5" ht="15" x14ac:dyDescent="0.2">
      <c r="C3667" s="61">
        <v>41447.15625</v>
      </c>
      <c r="D3667" s="60">
        <v>2830</v>
      </c>
      <c r="E3667" s="59" t="s">
        <v>517</v>
      </c>
    </row>
    <row r="3668" spans="3:5" ht="15" x14ac:dyDescent="0.2">
      <c r="C3668" s="61">
        <v>41447.166666666664</v>
      </c>
      <c r="D3668" s="60">
        <v>2830</v>
      </c>
      <c r="E3668" s="59" t="s">
        <v>517</v>
      </c>
    </row>
    <row r="3669" spans="3:5" ht="15" x14ac:dyDescent="0.2">
      <c r="C3669" s="61">
        <v>41447.177083333336</v>
      </c>
      <c r="D3669" s="60">
        <v>2830</v>
      </c>
      <c r="E3669" s="59" t="s">
        <v>517</v>
      </c>
    </row>
    <row r="3670" spans="3:5" ht="15" x14ac:dyDescent="0.2">
      <c r="C3670" s="61">
        <v>41447.1875</v>
      </c>
      <c r="D3670" s="60">
        <v>2830</v>
      </c>
      <c r="E3670" s="59" t="s">
        <v>517</v>
      </c>
    </row>
    <row r="3671" spans="3:5" ht="15" x14ac:dyDescent="0.2">
      <c r="C3671" s="61">
        <v>41447.197916666664</v>
      </c>
      <c r="D3671" s="60">
        <v>2830</v>
      </c>
      <c r="E3671" s="59" t="s">
        <v>517</v>
      </c>
    </row>
    <row r="3672" spans="3:5" ht="15" x14ac:dyDescent="0.2">
      <c r="C3672" s="61">
        <v>41447.208333333336</v>
      </c>
      <c r="D3672" s="60">
        <v>2830</v>
      </c>
      <c r="E3672" s="59" t="s">
        <v>517</v>
      </c>
    </row>
    <row r="3673" spans="3:5" ht="15" x14ac:dyDescent="0.2">
      <c r="C3673" s="61">
        <v>41447.21875</v>
      </c>
      <c r="D3673" s="60">
        <v>2830</v>
      </c>
      <c r="E3673" s="59" t="s">
        <v>517</v>
      </c>
    </row>
    <row r="3674" spans="3:5" ht="15" x14ac:dyDescent="0.2">
      <c r="C3674" s="61">
        <v>41447.229166666664</v>
      </c>
      <c r="D3674" s="60">
        <v>2830</v>
      </c>
      <c r="E3674" s="59" t="s">
        <v>517</v>
      </c>
    </row>
    <row r="3675" spans="3:5" ht="15" x14ac:dyDescent="0.2">
      <c r="C3675" s="61">
        <v>41447.239583333336</v>
      </c>
      <c r="D3675" s="60">
        <v>2820</v>
      </c>
      <c r="E3675" s="59" t="s">
        <v>518</v>
      </c>
    </row>
    <row r="3676" spans="3:5" ht="15" x14ac:dyDescent="0.2">
      <c r="C3676" s="61">
        <v>41447.25</v>
      </c>
      <c r="D3676" s="60">
        <v>2820</v>
      </c>
      <c r="E3676" s="59" t="s">
        <v>518</v>
      </c>
    </row>
    <row r="3677" spans="3:5" ht="15" x14ac:dyDescent="0.2">
      <c r="C3677" s="61">
        <v>41447.260416666664</v>
      </c>
      <c r="D3677" s="60">
        <v>2820</v>
      </c>
      <c r="E3677" s="59" t="s">
        <v>518</v>
      </c>
    </row>
    <row r="3678" spans="3:5" ht="15" x14ac:dyDescent="0.2">
      <c r="C3678" s="61">
        <v>41447.270833333336</v>
      </c>
      <c r="D3678" s="60">
        <v>2820</v>
      </c>
      <c r="E3678" s="59" t="s">
        <v>518</v>
      </c>
    </row>
    <row r="3679" spans="3:5" ht="15" x14ac:dyDescent="0.2">
      <c r="C3679" s="61">
        <v>41447.28125</v>
      </c>
      <c r="D3679" s="60">
        <v>2820</v>
      </c>
      <c r="E3679" s="59" t="s">
        <v>518</v>
      </c>
    </row>
    <row r="3680" spans="3:5" ht="15" x14ac:dyDescent="0.2">
      <c r="C3680" s="61">
        <v>41447.291666666664</v>
      </c>
      <c r="D3680" s="60">
        <v>2820</v>
      </c>
      <c r="E3680" s="59" t="s">
        <v>518</v>
      </c>
    </row>
    <row r="3681" spans="3:5" ht="15" x14ac:dyDescent="0.2">
      <c r="C3681" s="61">
        <v>41447.302083333336</v>
      </c>
      <c r="D3681" s="60">
        <v>2810</v>
      </c>
      <c r="E3681" s="59" t="s">
        <v>519</v>
      </c>
    </row>
    <row r="3682" spans="3:5" ht="15" x14ac:dyDescent="0.2">
      <c r="C3682" s="61">
        <v>41447.3125</v>
      </c>
      <c r="D3682" s="60">
        <v>2810</v>
      </c>
      <c r="E3682" s="59" t="s">
        <v>519</v>
      </c>
    </row>
    <row r="3683" spans="3:5" ht="15" x14ac:dyDescent="0.2">
      <c r="C3683" s="61">
        <v>41447.322916666664</v>
      </c>
      <c r="D3683" s="60">
        <v>2810</v>
      </c>
      <c r="E3683" s="59" t="s">
        <v>519</v>
      </c>
    </row>
    <row r="3684" spans="3:5" ht="15" x14ac:dyDescent="0.2">
      <c r="C3684" s="61">
        <v>41447.333333333336</v>
      </c>
      <c r="D3684" s="60">
        <v>2810</v>
      </c>
      <c r="E3684" s="59" t="s">
        <v>519</v>
      </c>
    </row>
    <row r="3685" spans="3:5" ht="15" x14ac:dyDescent="0.2">
      <c r="C3685" s="61">
        <v>41447.34375</v>
      </c>
      <c r="D3685" s="60">
        <v>2810</v>
      </c>
      <c r="E3685" s="59" t="s">
        <v>519</v>
      </c>
    </row>
    <row r="3686" spans="3:5" ht="15" x14ac:dyDescent="0.2">
      <c r="C3686" s="61">
        <v>41447.354166666664</v>
      </c>
      <c r="D3686" s="60">
        <v>2790</v>
      </c>
      <c r="E3686" s="59" t="s">
        <v>520</v>
      </c>
    </row>
    <row r="3687" spans="3:5" ht="15" x14ac:dyDescent="0.2">
      <c r="C3687" s="61">
        <v>41447.364583333336</v>
      </c>
      <c r="D3687" s="60">
        <v>2790</v>
      </c>
      <c r="E3687" s="59" t="s">
        <v>520</v>
      </c>
    </row>
    <row r="3688" spans="3:5" ht="15" x14ac:dyDescent="0.2">
      <c r="C3688" s="61">
        <v>41447.375</v>
      </c>
      <c r="D3688" s="60">
        <v>2790</v>
      </c>
      <c r="E3688" s="59" t="s">
        <v>520</v>
      </c>
    </row>
    <row r="3689" spans="3:5" ht="15" x14ac:dyDescent="0.2">
      <c r="C3689" s="61">
        <v>41447.385416666664</v>
      </c>
      <c r="D3689" s="60">
        <v>2790</v>
      </c>
      <c r="E3689" s="59" t="s">
        <v>520</v>
      </c>
    </row>
    <row r="3690" spans="3:5" ht="15" x14ac:dyDescent="0.2">
      <c r="C3690" s="61">
        <v>41447.395833333336</v>
      </c>
      <c r="D3690" s="60">
        <v>2790</v>
      </c>
      <c r="E3690" s="59" t="s">
        <v>520</v>
      </c>
    </row>
    <row r="3691" spans="3:5" ht="15" x14ac:dyDescent="0.2">
      <c r="C3691" s="61">
        <v>41447.40625</v>
      </c>
      <c r="D3691" s="60">
        <v>2780</v>
      </c>
      <c r="E3691" s="59" t="s">
        <v>521</v>
      </c>
    </row>
    <row r="3692" spans="3:5" ht="15" x14ac:dyDescent="0.2">
      <c r="C3692" s="61">
        <v>41447.416666666664</v>
      </c>
      <c r="D3692" s="60">
        <v>2780</v>
      </c>
      <c r="E3692" s="59" t="s">
        <v>521</v>
      </c>
    </row>
    <row r="3693" spans="3:5" ht="15" x14ac:dyDescent="0.2">
      <c r="C3693" s="61">
        <v>41447.427083333336</v>
      </c>
      <c r="D3693" s="60">
        <v>2780</v>
      </c>
      <c r="E3693" s="59" t="s">
        <v>521</v>
      </c>
    </row>
    <row r="3694" spans="3:5" ht="15" x14ac:dyDescent="0.2">
      <c r="C3694" s="61">
        <v>41447.4375</v>
      </c>
      <c r="D3694" s="60">
        <v>2780</v>
      </c>
      <c r="E3694" s="59" t="s">
        <v>521</v>
      </c>
    </row>
    <row r="3695" spans="3:5" ht="15" x14ac:dyDescent="0.2">
      <c r="C3695" s="61">
        <v>41447.447916666664</v>
      </c>
      <c r="D3695" s="60">
        <v>2780</v>
      </c>
      <c r="E3695" s="59" t="s">
        <v>521</v>
      </c>
    </row>
    <row r="3696" spans="3:5" ht="15" x14ac:dyDescent="0.2">
      <c r="C3696" s="61">
        <v>41447.458333333336</v>
      </c>
      <c r="D3696" s="60">
        <v>2770</v>
      </c>
      <c r="E3696" s="59" t="s">
        <v>522</v>
      </c>
    </row>
    <row r="3697" spans="3:5" ht="15" x14ac:dyDescent="0.2">
      <c r="C3697" s="61">
        <v>41447.46875</v>
      </c>
      <c r="D3697" s="60">
        <v>2770</v>
      </c>
      <c r="E3697" s="59" t="s">
        <v>522</v>
      </c>
    </row>
    <row r="3698" spans="3:5" ht="15" x14ac:dyDescent="0.2">
      <c r="C3698" s="61">
        <v>41447.479166666664</v>
      </c>
      <c r="D3698" s="60">
        <v>2770</v>
      </c>
      <c r="E3698" s="59" t="s">
        <v>522</v>
      </c>
    </row>
    <row r="3699" spans="3:5" ht="15" x14ac:dyDescent="0.2">
      <c r="C3699" s="61">
        <v>41447.489583333336</v>
      </c>
      <c r="D3699" s="60">
        <v>2770</v>
      </c>
      <c r="E3699" s="59" t="s">
        <v>522</v>
      </c>
    </row>
    <row r="3700" spans="3:5" ht="15" x14ac:dyDescent="0.2">
      <c r="C3700" s="61">
        <v>41447.5</v>
      </c>
      <c r="D3700" s="60">
        <v>2770</v>
      </c>
      <c r="E3700" s="59" t="s">
        <v>522</v>
      </c>
    </row>
    <row r="3701" spans="3:5" ht="15" x14ac:dyDescent="0.2">
      <c r="C3701" s="61">
        <v>41447.510416666664</v>
      </c>
      <c r="D3701" s="60">
        <v>2770</v>
      </c>
      <c r="E3701" s="59" t="s">
        <v>522</v>
      </c>
    </row>
    <row r="3702" spans="3:5" ht="15" x14ac:dyDescent="0.2">
      <c r="C3702" s="61">
        <v>41447.520833333336</v>
      </c>
      <c r="D3702" s="60">
        <v>2760</v>
      </c>
      <c r="E3702" s="59" t="s">
        <v>523</v>
      </c>
    </row>
    <row r="3703" spans="3:5" ht="15" x14ac:dyDescent="0.2">
      <c r="C3703" s="61">
        <v>41447.53125</v>
      </c>
      <c r="D3703" s="60">
        <v>2760</v>
      </c>
      <c r="E3703" s="59" t="s">
        <v>523</v>
      </c>
    </row>
    <row r="3704" spans="3:5" ht="15" x14ac:dyDescent="0.2">
      <c r="C3704" s="61">
        <v>41447.541666666664</v>
      </c>
      <c r="D3704" s="60">
        <v>2760</v>
      </c>
      <c r="E3704" s="59" t="s">
        <v>523</v>
      </c>
    </row>
    <row r="3705" spans="3:5" ht="15" x14ac:dyDescent="0.2">
      <c r="C3705" s="61">
        <v>41447.552083333336</v>
      </c>
      <c r="D3705" s="60">
        <v>2760</v>
      </c>
      <c r="E3705" s="59" t="s">
        <v>523</v>
      </c>
    </row>
    <row r="3706" spans="3:5" ht="15" x14ac:dyDescent="0.2">
      <c r="C3706" s="61">
        <v>41447.5625</v>
      </c>
      <c r="D3706" s="60">
        <v>2760</v>
      </c>
      <c r="E3706" s="59" t="s">
        <v>523</v>
      </c>
    </row>
    <row r="3707" spans="3:5" ht="15" x14ac:dyDescent="0.2">
      <c r="C3707" s="61">
        <v>41447.572916666664</v>
      </c>
      <c r="D3707" s="60">
        <v>2760</v>
      </c>
      <c r="E3707" s="59" t="s">
        <v>523</v>
      </c>
    </row>
    <row r="3708" spans="3:5" ht="15" x14ac:dyDescent="0.2">
      <c r="C3708" s="61">
        <v>41447.583333333336</v>
      </c>
      <c r="D3708" s="60">
        <v>2760</v>
      </c>
      <c r="E3708" s="59" t="s">
        <v>523</v>
      </c>
    </row>
    <row r="3709" spans="3:5" ht="15" x14ac:dyDescent="0.2">
      <c r="C3709" s="61">
        <v>41447.59375</v>
      </c>
      <c r="D3709" s="60">
        <v>2760</v>
      </c>
      <c r="E3709" s="59" t="s">
        <v>523</v>
      </c>
    </row>
    <row r="3710" spans="3:5" ht="15" x14ac:dyDescent="0.2">
      <c r="C3710" s="61">
        <v>41447.604166666664</v>
      </c>
      <c r="D3710" s="60">
        <v>2740</v>
      </c>
      <c r="E3710" s="59" t="s">
        <v>524</v>
      </c>
    </row>
    <row r="3711" spans="3:5" ht="15" x14ac:dyDescent="0.2">
      <c r="C3711" s="61">
        <v>41447.614583333336</v>
      </c>
      <c r="D3711" s="60">
        <v>2740</v>
      </c>
      <c r="E3711" s="59" t="s">
        <v>524</v>
      </c>
    </row>
    <row r="3712" spans="3:5" ht="15" x14ac:dyDescent="0.2">
      <c r="C3712" s="61">
        <v>41447.625</v>
      </c>
      <c r="D3712" s="60">
        <v>2740</v>
      </c>
      <c r="E3712" s="59" t="s">
        <v>524</v>
      </c>
    </row>
    <row r="3713" spans="3:5" ht="15" x14ac:dyDescent="0.2">
      <c r="C3713" s="61">
        <v>41447.635416666664</v>
      </c>
      <c r="D3713" s="60">
        <v>2740</v>
      </c>
      <c r="E3713" s="59" t="s">
        <v>524</v>
      </c>
    </row>
    <row r="3714" spans="3:5" ht="15" x14ac:dyDescent="0.2">
      <c r="C3714" s="61">
        <v>41447.645833333336</v>
      </c>
      <c r="D3714" s="60">
        <v>2740</v>
      </c>
      <c r="E3714" s="59" t="s">
        <v>524</v>
      </c>
    </row>
    <row r="3715" spans="3:5" ht="15" x14ac:dyDescent="0.2">
      <c r="C3715" s="61">
        <v>41447.65625</v>
      </c>
      <c r="D3715" s="60">
        <v>2740</v>
      </c>
      <c r="E3715" s="59" t="s">
        <v>524</v>
      </c>
    </row>
    <row r="3716" spans="3:5" ht="15" x14ac:dyDescent="0.2">
      <c r="C3716" s="61">
        <v>41447.666666666664</v>
      </c>
      <c r="D3716" s="60">
        <v>2740</v>
      </c>
      <c r="E3716" s="59" t="s">
        <v>524</v>
      </c>
    </row>
    <row r="3717" spans="3:5" ht="15" x14ac:dyDescent="0.2">
      <c r="C3717" s="61">
        <v>41447.677083333336</v>
      </c>
      <c r="D3717" s="60">
        <v>2740</v>
      </c>
      <c r="E3717" s="59" t="s">
        <v>524</v>
      </c>
    </row>
    <row r="3718" spans="3:5" ht="15" x14ac:dyDescent="0.2">
      <c r="C3718" s="61">
        <v>41447.6875</v>
      </c>
      <c r="D3718" s="60">
        <v>2730</v>
      </c>
      <c r="E3718" s="59" t="s">
        <v>525</v>
      </c>
    </row>
    <row r="3719" spans="3:5" ht="15" x14ac:dyDescent="0.2">
      <c r="C3719" s="61">
        <v>41447.697916666664</v>
      </c>
      <c r="D3719" s="60">
        <v>2730</v>
      </c>
      <c r="E3719" s="59" t="s">
        <v>525</v>
      </c>
    </row>
    <row r="3720" spans="3:5" ht="15" x14ac:dyDescent="0.2">
      <c r="C3720" s="61">
        <v>41447.708333333336</v>
      </c>
      <c r="D3720" s="60">
        <v>2730</v>
      </c>
      <c r="E3720" s="59" t="s">
        <v>525</v>
      </c>
    </row>
    <row r="3721" spans="3:5" ht="15" x14ac:dyDescent="0.2">
      <c r="C3721" s="61">
        <v>41447.71875</v>
      </c>
      <c r="D3721" s="60">
        <v>2730</v>
      </c>
      <c r="E3721" s="59" t="s">
        <v>525</v>
      </c>
    </row>
    <row r="3722" spans="3:5" ht="15" x14ac:dyDescent="0.2">
      <c r="C3722" s="61">
        <v>41447.729166666664</v>
      </c>
      <c r="D3722" s="60">
        <v>2730</v>
      </c>
      <c r="E3722" s="59" t="s">
        <v>525</v>
      </c>
    </row>
    <row r="3723" spans="3:5" ht="15" x14ac:dyDescent="0.2">
      <c r="C3723" s="61">
        <v>41447.739583333336</v>
      </c>
      <c r="D3723" s="60">
        <v>2730</v>
      </c>
      <c r="E3723" s="59" t="s">
        <v>525</v>
      </c>
    </row>
    <row r="3724" spans="3:5" ht="15" x14ac:dyDescent="0.2">
      <c r="C3724" s="61">
        <v>41447.75</v>
      </c>
      <c r="D3724" s="60">
        <v>2730</v>
      </c>
      <c r="E3724" s="59" t="s">
        <v>525</v>
      </c>
    </row>
    <row r="3725" spans="3:5" ht="15" x14ac:dyDescent="0.2">
      <c r="C3725" s="61">
        <v>41447.760416666664</v>
      </c>
      <c r="D3725" s="60">
        <v>2730</v>
      </c>
      <c r="E3725" s="59" t="s">
        <v>525</v>
      </c>
    </row>
    <row r="3726" spans="3:5" ht="15" x14ac:dyDescent="0.2">
      <c r="C3726" s="61">
        <v>41447.770833333336</v>
      </c>
      <c r="D3726" s="60">
        <v>2730</v>
      </c>
      <c r="E3726" s="59" t="s">
        <v>525</v>
      </c>
    </row>
    <row r="3727" spans="3:5" ht="15" x14ac:dyDescent="0.2">
      <c r="C3727" s="61">
        <v>41447.78125</v>
      </c>
      <c r="D3727" s="60">
        <v>2730</v>
      </c>
      <c r="E3727" s="59" t="s">
        <v>525</v>
      </c>
    </row>
    <row r="3728" spans="3:5" ht="15" x14ac:dyDescent="0.2">
      <c r="C3728" s="61">
        <v>41447.791666666664</v>
      </c>
      <c r="D3728" s="60">
        <v>2720</v>
      </c>
      <c r="E3728" s="59" t="s">
        <v>526</v>
      </c>
    </row>
    <row r="3729" spans="3:5" ht="15" x14ac:dyDescent="0.2">
      <c r="C3729" s="61">
        <v>41447.802083333336</v>
      </c>
      <c r="D3729" s="60">
        <v>2720</v>
      </c>
      <c r="E3729" s="59" t="s">
        <v>526</v>
      </c>
    </row>
    <row r="3730" spans="3:5" ht="15" x14ac:dyDescent="0.2">
      <c r="C3730" s="61">
        <v>41447.8125</v>
      </c>
      <c r="D3730" s="60">
        <v>2720</v>
      </c>
      <c r="E3730" s="59" t="s">
        <v>526</v>
      </c>
    </row>
    <row r="3731" spans="3:5" ht="15" x14ac:dyDescent="0.2">
      <c r="C3731" s="61">
        <v>41447.822916666664</v>
      </c>
      <c r="D3731" s="60">
        <v>2720</v>
      </c>
      <c r="E3731" s="59" t="s">
        <v>526</v>
      </c>
    </row>
    <row r="3732" spans="3:5" ht="15" x14ac:dyDescent="0.2">
      <c r="C3732" s="61">
        <v>41447.833333333336</v>
      </c>
      <c r="D3732" s="60">
        <v>2720</v>
      </c>
      <c r="E3732" s="59" t="s">
        <v>526</v>
      </c>
    </row>
    <row r="3733" spans="3:5" ht="15" x14ac:dyDescent="0.2">
      <c r="C3733" s="61">
        <v>41447.84375</v>
      </c>
      <c r="D3733" s="60">
        <v>2720</v>
      </c>
      <c r="E3733" s="59" t="s">
        <v>526</v>
      </c>
    </row>
    <row r="3734" spans="3:5" ht="15" x14ac:dyDescent="0.2">
      <c r="C3734" s="61">
        <v>41447.854166666664</v>
      </c>
      <c r="D3734" s="60">
        <v>2710</v>
      </c>
      <c r="E3734" s="59" t="s">
        <v>527</v>
      </c>
    </row>
    <row r="3735" spans="3:5" ht="15" x14ac:dyDescent="0.2">
      <c r="C3735" s="61">
        <v>41447.864583333336</v>
      </c>
      <c r="D3735" s="60">
        <v>2710</v>
      </c>
      <c r="E3735" s="59" t="s">
        <v>527</v>
      </c>
    </row>
    <row r="3736" spans="3:5" ht="15" x14ac:dyDescent="0.2">
      <c r="C3736" s="61">
        <v>41447.875</v>
      </c>
      <c r="D3736" s="60">
        <v>2710</v>
      </c>
      <c r="E3736" s="59" t="s">
        <v>527</v>
      </c>
    </row>
    <row r="3737" spans="3:5" ht="15" x14ac:dyDescent="0.2">
      <c r="C3737" s="61">
        <v>41447.885416666664</v>
      </c>
      <c r="D3737" s="60">
        <v>2710</v>
      </c>
      <c r="E3737" s="59" t="s">
        <v>527</v>
      </c>
    </row>
    <row r="3738" spans="3:5" ht="15" x14ac:dyDescent="0.2">
      <c r="C3738" s="61">
        <v>41447.895833333336</v>
      </c>
      <c r="D3738" s="60">
        <v>2710</v>
      </c>
      <c r="E3738" s="59" t="s">
        <v>527</v>
      </c>
    </row>
    <row r="3739" spans="3:5" ht="15" x14ac:dyDescent="0.2">
      <c r="C3739" s="61">
        <v>41447.90625</v>
      </c>
      <c r="D3739" s="60">
        <v>2710</v>
      </c>
      <c r="E3739" s="59" t="s">
        <v>527</v>
      </c>
    </row>
    <row r="3740" spans="3:5" ht="15" x14ac:dyDescent="0.2">
      <c r="C3740" s="61">
        <v>41447.916666666664</v>
      </c>
      <c r="D3740" s="60">
        <v>2710</v>
      </c>
      <c r="E3740" s="59" t="s">
        <v>527</v>
      </c>
    </row>
    <row r="3741" spans="3:5" ht="15" x14ac:dyDescent="0.2">
      <c r="C3741" s="61">
        <v>41447.927083333336</v>
      </c>
      <c r="D3741" s="60">
        <v>2710</v>
      </c>
      <c r="E3741" s="59" t="s">
        <v>527</v>
      </c>
    </row>
    <row r="3742" spans="3:5" ht="15" x14ac:dyDescent="0.2">
      <c r="C3742" s="61">
        <v>41447.9375</v>
      </c>
      <c r="D3742" s="60">
        <v>2710</v>
      </c>
      <c r="E3742" s="59" t="s">
        <v>527</v>
      </c>
    </row>
    <row r="3743" spans="3:5" ht="15" x14ac:dyDescent="0.2">
      <c r="C3743" s="61">
        <v>41447.947916666664</v>
      </c>
      <c r="D3743" s="60">
        <v>2710</v>
      </c>
      <c r="E3743" s="59" t="s">
        <v>527</v>
      </c>
    </row>
    <row r="3744" spans="3:5" ht="15" x14ac:dyDescent="0.2">
      <c r="C3744" s="61">
        <v>41447.958333333336</v>
      </c>
      <c r="D3744" s="60">
        <v>2710</v>
      </c>
      <c r="E3744" s="59" t="s">
        <v>527</v>
      </c>
    </row>
    <row r="3745" spans="3:5" ht="15" x14ac:dyDescent="0.2">
      <c r="C3745" s="61">
        <v>41447.96875</v>
      </c>
      <c r="D3745" s="60">
        <v>2710</v>
      </c>
      <c r="E3745" s="59" t="s">
        <v>527</v>
      </c>
    </row>
    <row r="3746" spans="3:5" ht="15" x14ac:dyDescent="0.2">
      <c r="C3746" s="61">
        <v>41447.979166666664</v>
      </c>
      <c r="D3746" s="60">
        <v>2710</v>
      </c>
      <c r="E3746" s="59" t="s">
        <v>527</v>
      </c>
    </row>
    <row r="3747" spans="3:5" ht="15" x14ac:dyDescent="0.2">
      <c r="C3747" s="61">
        <v>41447.989583333336</v>
      </c>
      <c r="D3747" s="60">
        <v>2710</v>
      </c>
      <c r="E3747" s="59" t="s">
        <v>527</v>
      </c>
    </row>
    <row r="3748" spans="3:5" ht="15" x14ac:dyDescent="0.2">
      <c r="C3748" s="61">
        <v>41448</v>
      </c>
      <c r="D3748" s="60">
        <v>2710</v>
      </c>
      <c r="E3748" s="59" t="s">
        <v>527</v>
      </c>
    </row>
    <row r="3749" spans="3:5" ht="15" x14ac:dyDescent="0.2">
      <c r="C3749" s="61">
        <v>41448.010416666664</v>
      </c>
      <c r="D3749" s="60">
        <v>2710</v>
      </c>
      <c r="E3749" s="59" t="s">
        <v>527</v>
      </c>
    </row>
    <row r="3750" spans="3:5" ht="15" x14ac:dyDescent="0.2">
      <c r="C3750" s="61">
        <v>41448.020833333336</v>
      </c>
      <c r="D3750" s="60">
        <v>2710</v>
      </c>
      <c r="E3750" s="59" t="s">
        <v>527</v>
      </c>
    </row>
    <row r="3751" spans="3:5" ht="15" x14ac:dyDescent="0.2">
      <c r="C3751" s="61">
        <v>41448.03125</v>
      </c>
      <c r="D3751" s="60">
        <v>2690</v>
      </c>
      <c r="E3751" s="59" t="s">
        <v>528</v>
      </c>
    </row>
    <row r="3752" spans="3:5" ht="15" x14ac:dyDescent="0.2">
      <c r="C3752" s="61">
        <v>41448.041666666664</v>
      </c>
      <c r="D3752" s="60">
        <v>2690</v>
      </c>
      <c r="E3752" s="59" t="s">
        <v>528</v>
      </c>
    </row>
    <row r="3753" spans="3:5" ht="15" x14ac:dyDescent="0.2">
      <c r="C3753" s="61">
        <v>41448.052083333336</v>
      </c>
      <c r="D3753" s="60">
        <v>2690</v>
      </c>
      <c r="E3753" s="59" t="s">
        <v>528</v>
      </c>
    </row>
    <row r="3754" spans="3:5" ht="15" x14ac:dyDescent="0.2">
      <c r="C3754" s="61">
        <v>41448.0625</v>
      </c>
      <c r="D3754" s="60">
        <v>2690</v>
      </c>
      <c r="E3754" s="59" t="s">
        <v>528</v>
      </c>
    </row>
    <row r="3755" spans="3:5" ht="15" x14ac:dyDescent="0.2">
      <c r="C3755" s="61">
        <v>41448.072916666664</v>
      </c>
      <c r="D3755" s="60">
        <v>2680</v>
      </c>
      <c r="E3755" s="59" t="s">
        <v>529</v>
      </c>
    </row>
    <row r="3756" spans="3:5" ht="15" x14ac:dyDescent="0.2">
      <c r="C3756" s="61">
        <v>41448.083333333336</v>
      </c>
      <c r="D3756" s="60">
        <v>2680</v>
      </c>
      <c r="E3756" s="59" t="s">
        <v>529</v>
      </c>
    </row>
    <row r="3757" spans="3:5" ht="15" x14ac:dyDescent="0.2">
      <c r="C3757" s="61">
        <v>41448.09375</v>
      </c>
      <c r="D3757" s="60">
        <v>2680</v>
      </c>
      <c r="E3757" s="59" t="s">
        <v>529</v>
      </c>
    </row>
    <row r="3758" spans="3:5" ht="15" x14ac:dyDescent="0.2">
      <c r="C3758" s="61">
        <v>41448.104166666664</v>
      </c>
      <c r="D3758" s="60">
        <v>2680</v>
      </c>
      <c r="E3758" s="59" t="s">
        <v>529</v>
      </c>
    </row>
    <row r="3759" spans="3:5" ht="15" x14ac:dyDescent="0.2">
      <c r="C3759" s="61">
        <v>41448.114583333336</v>
      </c>
      <c r="D3759" s="60">
        <v>2680</v>
      </c>
      <c r="E3759" s="59" t="s">
        <v>529</v>
      </c>
    </row>
    <row r="3760" spans="3:5" ht="15" x14ac:dyDescent="0.2">
      <c r="C3760" s="61">
        <v>41448.125</v>
      </c>
      <c r="D3760" s="60">
        <v>2680</v>
      </c>
      <c r="E3760" s="59" t="s">
        <v>529</v>
      </c>
    </row>
    <row r="3761" spans="3:5" ht="15" x14ac:dyDescent="0.2">
      <c r="C3761" s="61">
        <v>41448.135416666664</v>
      </c>
      <c r="D3761" s="60">
        <v>2670</v>
      </c>
      <c r="E3761" s="59" t="s">
        <v>530</v>
      </c>
    </row>
    <row r="3762" spans="3:5" ht="15" x14ac:dyDescent="0.2">
      <c r="C3762" s="61">
        <v>41448.145833333336</v>
      </c>
      <c r="D3762" s="60">
        <v>2670</v>
      </c>
      <c r="E3762" s="59" t="s">
        <v>530</v>
      </c>
    </row>
    <row r="3763" spans="3:5" ht="15" x14ac:dyDescent="0.2">
      <c r="C3763" s="61">
        <v>41448.15625</v>
      </c>
      <c r="D3763" s="60">
        <v>2670</v>
      </c>
      <c r="E3763" s="59" t="s">
        <v>530</v>
      </c>
    </row>
    <row r="3764" spans="3:5" ht="15" x14ac:dyDescent="0.2">
      <c r="C3764" s="61">
        <v>41448.166666666664</v>
      </c>
      <c r="D3764" s="60">
        <v>2670</v>
      </c>
      <c r="E3764" s="59" t="s">
        <v>530</v>
      </c>
    </row>
    <row r="3765" spans="3:5" ht="15" x14ac:dyDescent="0.2">
      <c r="C3765" s="61">
        <v>41448.177083333336</v>
      </c>
      <c r="D3765" s="60">
        <v>2670</v>
      </c>
      <c r="E3765" s="59" t="s">
        <v>530</v>
      </c>
    </row>
    <row r="3766" spans="3:5" ht="15" x14ac:dyDescent="0.2">
      <c r="C3766" s="61">
        <v>41448.1875</v>
      </c>
      <c r="D3766" s="60">
        <v>2670</v>
      </c>
      <c r="E3766" s="59" t="s">
        <v>530</v>
      </c>
    </row>
    <row r="3767" spans="3:5" ht="15" x14ac:dyDescent="0.2">
      <c r="C3767" s="61">
        <v>41448.197916666664</v>
      </c>
      <c r="D3767" s="60">
        <v>2660</v>
      </c>
      <c r="E3767" s="59" t="s">
        <v>531</v>
      </c>
    </row>
    <row r="3768" spans="3:5" ht="15" x14ac:dyDescent="0.2">
      <c r="C3768" s="61">
        <v>41448.208333333336</v>
      </c>
      <c r="D3768" s="60">
        <v>2660</v>
      </c>
      <c r="E3768" s="59" t="s">
        <v>531</v>
      </c>
    </row>
    <row r="3769" spans="3:5" ht="15" x14ac:dyDescent="0.2">
      <c r="C3769" s="61">
        <v>41448.21875</v>
      </c>
      <c r="D3769" s="60">
        <v>2660</v>
      </c>
      <c r="E3769" s="59" t="s">
        <v>531</v>
      </c>
    </row>
    <row r="3770" spans="3:5" ht="15" x14ac:dyDescent="0.2">
      <c r="C3770" s="61">
        <v>41448.229166666664</v>
      </c>
      <c r="D3770" s="60">
        <v>2660</v>
      </c>
      <c r="E3770" s="59" t="s">
        <v>531</v>
      </c>
    </row>
    <row r="3771" spans="3:5" ht="15" x14ac:dyDescent="0.2">
      <c r="C3771" s="61">
        <v>41448.239583333336</v>
      </c>
      <c r="D3771" s="60">
        <v>2660</v>
      </c>
      <c r="E3771" s="59" t="s">
        <v>531</v>
      </c>
    </row>
    <row r="3772" spans="3:5" ht="15" x14ac:dyDescent="0.2">
      <c r="C3772" s="61">
        <v>41448.25</v>
      </c>
      <c r="D3772" s="60">
        <v>2640</v>
      </c>
      <c r="E3772" s="59" t="s">
        <v>532</v>
      </c>
    </row>
    <row r="3773" spans="3:5" ht="15" x14ac:dyDescent="0.2">
      <c r="C3773" s="61">
        <v>41448.260416666664</v>
      </c>
      <c r="D3773" s="60">
        <v>2640</v>
      </c>
      <c r="E3773" s="59" t="s">
        <v>532</v>
      </c>
    </row>
    <row r="3774" spans="3:5" ht="15" x14ac:dyDescent="0.2">
      <c r="C3774" s="61">
        <v>41448.270833333336</v>
      </c>
      <c r="D3774" s="60">
        <v>2640</v>
      </c>
      <c r="E3774" s="59" t="s">
        <v>532</v>
      </c>
    </row>
    <row r="3775" spans="3:5" ht="15" x14ac:dyDescent="0.2">
      <c r="C3775" s="61">
        <v>41448.28125</v>
      </c>
      <c r="D3775" s="60">
        <v>2640</v>
      </c>
      <c r="E3775" s="59" t="s">
        <v>532</v>
      </c>
    </row>
    <row r="3776" spans="3:5" ht="15" x14ac:dyDescent="0.2">
      <c r="C3776" s="61">
        <v>41448.291666666664</v>
      </c>
      <c r="D3776" s="60">
        <v>2640</v>
      </c>
      <c r="E3776" s="59" t="s">
        <v>532</v>
      </c>
    </row>
    <row r="3777" spans="3:5" ht="15" x14ac:dyDescent="0.2">
      <c r="C3777" s="61">
        <v>41448.302083333336</v>
      </c>
      <c r="D3777" s="60">
        <v>2630</v>
      </c>
      <c r="E3777" s="59" t="s">
        <v>533</v>
      </c>
    </row>
    <row r="3778" spans="3:5" ht="15" x14ac:dyDescent="0.2">
      <c r="C3778" s="61">
        <v>41448.3125</v>
      </c>
      <c r="D3778" s="60">
        <v>2630</v>
      </c>
      <c r="E3778" s="59" t="s">
        <v>533</v>
      </c>
    </row>
    <row r="3779" spans="3:5" ht="15" x14ac:dyDescent="0.2">
      <c r="C3779" s="61">
        <v>41448.322916666664</v>
      </c>
      <c r="D3779" s="60">
        <v>2630</v>
      </c>
      <c r="E3779" s="59" t="s">
        <v>533</v>
      </c>
    </row>
    <row r="3780" spans="3:5" ht="15" x14ac:dyDescent="0.2">
      <c r="C3780" s="61">
        <v>41448.333333333336</v>
      </c>
      <c r="D3780" s="60">
        <v>2630</v>
      </c>
      <c r="E3780" s="59" t="s">
        <v>533</v>
      </c>
    </row>
    <row r="3781" spans="3:5" ht="15" x14ac:dyDescent="0.2">
      <c r="C3781" s="61">
        <v>41448.34375</v>
      </c>
      <c r="D3781" s="60">
        <v>2630</v>
      </c>
      <c r="E3781" s="59" t="s">
        <v>533</v>
      </c>
    </row>
    <row r="3782" spans="3:5" ht="15" x14ac:dyDescent="0.2">
      <c r="C3782" s="61">
        <v>41448.354166666664</v>
      </c>
      <c r="D3782" s="60">
        <v>2630</v>
      </c>
      <c r="E3782" s="59" t="s">
        <v>533</v>
      </c>
    </row>
    <row r="3783" spans="3:5" ht="15" x14ac:dyDescent="0.2">
      <c r="C3783" s="61">
        <v>41448.364583333336</v>
      </c>
      <c r="D3783" s="60">
        <v>2630</v>
      </c>
      <c r="E3783" s="59" t="s">
        <v>533</v>
      </c>
    </row>
    <row r="3784" spans="3:5" ht="15" x14ac:dyDescent="0.2">
      <c r="C3784" s="61">
        <v>41448.375</v>
      </c>
      <c r="D3784" s="60">
        <v>2620</v>
      </c>
      <c r="E3784" s="59" t="s">
        <v>534</v>
      </c>
    </row>
    <row r="3785" spans="3:5" ht="15" x14ac:dyDescent="0.2">
      <c r="C3785" s="61">
        <v>41448.385416666664</v>
      </c>
      <c r="D3785" s="60">
        <v>2620</v>
      </c>
      <c r="E3785" s="59" t="s">
        <v>534</v>
      </c>
    </row>
    <row r="3786" spans="3:5" ht="15" x14ac:dyDescent="0.2">
      <c r="C3786" s="61">
        <v>41448.395833333336</v>
      </c>
      <c r="D3786" s="60">
        <v>2620</v>
      </c>
      <c r="E3786" s="59" t="s">
        <v>534</v>
      </c>
    </row>
    <row r="3787" spans="3:5" ht="15" x14ac:dyDescent="0.2">
      <c r="C3787" s="61">
        <v>41448.40625</v>
      </c>
      <c r="D3787" s="60">
        <v>2620</v>
      </c>
      <c r="E3787" s="59" t="s">
        <v>534</v>
      </c>
    </row>
    <row r="3788" spans="3:5" ht="15" x14ac:dyDescent="0.2">
      <c r="C3788" s="61">
        <v>41448.416666666664</v>
      </c>
      <c r="D3788" s="60">
        <v>2620</v>
      </c>
      <c r="E3788" s="59" t="s">
        <v>534</v>
      </c>
    </row>
    <row r="3789" spans="3:5" ht="15" x14ac:dyDescent="0.2">
      <c r="C3789" s="61">
        <v>41448.427083333336</v>
      </c>
      <c r="D3789" s="60">
        <v>2620</v>
      </c>
      <c r="E3789" s="59" t="s">
        <v>534</v>
      </c>
    </row>
    <row r="3790" spans="3:5" ht="15" x14ac:dyDescent="0.2">
      <c r="C3790" s="61">
        <v>41448.4375</v>
      </c>
      <c r="D3790" s="60">
        <v>2620</v>
      </c>
      <c r="E3790" s="59" t="s">
        <v>534</v>
      </c>
    </row>
    <row r="3791" spans="3:5" ht="15" x14ac:dyDescent="0.2">
      <c r="C3791" s="61">
        <v>41448.447916666664</v>
      </c>
      <c r="D3791" s="60">
        <v>2620</v>
      </c>
      <c r="E3791" s="59" t="s">
        <v>534</v>
      </c>
    </row>
    <row r="3792" spans="3:5" ht="15" x14ac:dyDescent="0.2">
      <c r="C3792" s="61">
        <v>41448.458333333336</v>
      </c>
      <c r="D3792" s="60">
        <v>2610</v>
      </c>
      <c r="E3792" s="59" t="s">
        <v>535</v>
      </c>
    </row>
    <row r="3793" spans="3:5" ht="15" x14ac:dyDescent="0.2">
      <c r="C3793" s="61">
        <v>41448.46875</v>
      </c>
      <c r="D3793" s="60">
        <v>2610</v>
      </c>
      <c r="E3793" s="59" t="s">
        <v>535</v>
      </c>
    </row>
    <row r="3794" spans="3:5" ht="15" x14ac:dyDescent="0.2">
      <c r="C3794" s="61">
        <v>41448.479166666664</v>
      </c>
      <c r="D3794" s="60">
        <v>2610</v>
      </c>
      <c r="E3794" s="59" t="s">
        <v>535</v>
      </c>
    </row>
    <row r="3795" spans="3:5" ht="15" x14ac:dyDescent="0.2">
      <c r="C3795" s="61">
        <v>41448.489583333336</v>
      </c>
      <c r="D3795" s="60">
        <v>2610</v>
      </c>
      <c r="E3795" s="59" t="s">
        <v>535</v>
      </c>
    </row>
    <row r="3796" spans="3:5" ht="15" x14ac:dyDescent="0.2">
      <c r="C3796" s="61">
        <v>41448.5</v>
      </c>
      <c r="D3796" s="60">
        <v>2610</v>
      </c>
      <c r="E3796" s="59" t="s">
        <v>535</v>
      </c>
    </row>
    <row r="3797" spans="3:5" ht="15" x14ac:dyDescent="0.2">
      <c r="C3797" s="61">
        <v>41448.510416666664</v>
      </c>
      <c r="D3797" s="60">
        <v>2610</v>
      </c>
      <c r="E3797" s="59" t="s">
        <v>535</v>
      </c>
    </row>
    <row r="3798" spans="3:5" ht="15" x14ac:dyDescent="0.2">
      <c r="C3798" s="61">
        <v>41448.520833333336</v>
      </c>
      <c r="D3798" s="60">
        <v>2610</v>
      </c>
      <c r="E3798" s="59" t="s">
        <v>535</v>
      </c>
    </row>
    <row r="3799" spans="3:5" ht="15" x14ac:dyDescent="0.2">
      <c r="C3799" s="61">
        <v>41448.53125</v>
      </c>
      <c r="D3799" s="60">
        <v>2610</v>
      </c>
      <c r="E3799" s="59" t="s">
        <v>535</v>
      </c>
    </row>
    <row r="3800" spans="3:5" ht="15" x14ac:dyDescent="0.2">
      <c r="C3800" s="61">
        <v>41448.541666666664</v>
      </c>
      <c r="D3800" s="60">
        <v>2610</v>
      </c>
      <c r="E3800" s="59" t="s">
        <v>535</v>
      </c>
    </row>
    <row r="3801" spans="3:5" ht="15" x14ac:dyDescent="0.2">
      <c r="C3801" s="61">
        <v>41448.552083333336</v>
      </c>
      <c r="D3801" s="60">
        <v>2610</v>
      </c>
      <c r="E3801" s="59" t="s">
        <v>535</v>
      </c>
    </row>
    <row r="3802" spans="3:5" ht="15" x14ac:dyDescent="0.2">
      <c r="C3802" s="61">
        <v>41448.5625</v>
      </c>
      <c r="D3802" s="60">
        <v>2610</v>
      </c>
      <c r="E3802" s="59" t="s">
        <v>535</v>
      </c>
    </row>
    <row r="3803" spans="3:5" ht="15" x14ac:dyDescent="0.2">
      <c r="C3803" s="61">
        <v>41448.572916666664</v>
      </c>
      <c r="D3803" s="60">
        <v>2610</v>
      </c>
      <c r="E3803" s="59" t="s">
        <v>535</v>
      </c>
    </row>
    <row r="3804" spans="3:5" ht="15" x14ac:dyDescent="0.2">
      <c r="C3804" s="61">
        <v>41448.583333333336</v>
      </c>
      <c r="D3804" s="60">
        <v>2610</v>
      </c>
      <c r="E3804" s="59" t="s">
        <v>535</v>
      </c>
    </row>
    <row r="3805" spans="3:5" ht="15" x14ac:dyDescent="0.2">
      <c r="C3805" s="61">
        <v>41448.59375</v>
      </c>
      <c r="D3805" s="60">
        <v>2610</v>
      </c>
      <c r="E3805" s="59" t="s">
        <v>535</v>
      </c>
    </row>
    <row r="3806" spans="3:5" ht="15" x14ac:dyDescent="0.2">
      <c r="C3806" s="61">
        <v>41448.604166666664</v>
      </c>
      <c r="D3806" s="60">
        <v>2610</v>
      </c>
      <c r="E3806" s="59" t="s">
        <v>535</v>
      </c>
    </row>
    <row r="3807" spans="3:5" ht="15" x14ac:dyDescent="0.2">
      <c r="C3807" s="61">
        <v>41448.614583333336</v>
      </c>
      <c r="D3807" s="60">
        <v>2610</v>
      </c>
      <c r="E3807" s="59" t="s">
        <v>535</v>
      </c>
    </row>
    <row r="3808" spans="3:5" ht="15" x14ac:dyDescent="0.2">
      <c r="C3808" s="61">
        <v>41448.625</v>
      </c>
      <c r="D3808" s="60">
        <v>2610</v>
      </c>
      <c r="E3808" s="59" t="s">
        <v>535</v>
      </c>
    </row>
    <row r="3809" spans="3:5" ht="15" x14ac:dyDescent="0.2">
      <c r="C3809" s="61">
        <v>41448.635416666664</v>
      </c>
      <c r="D3809" s="60">
        <v>2610</v>
      </c>
      <c r="E3809" s="59" t="s">
        <v>535</v>
      </c>
    </row>
    <row r="3810" spans="3:5" ht="15" x14ac:dyDescent="0.2">
      <c r="C3810" s="61">
        <v>41448.645833333336</v>
      </c>
      <c r="D3810" s="60">
        <v>2610</v>
      </c>
      <c r="E3810" s="59" t="s">
        <v>535</v>
      </c>
    </row>
    <row r="3811" spans="3:5" ht="15" x14ac:dyDescent="0.2">
      <c r="C3811" s="61">
        <v>41448.65625</v>
      </c>
      <c r="D3811" s="60">
        <v>2610</v>
      </c>
      <c r="E3811" s="59" t="s">
        <v>535</v>
      </c>
    </row>
    <row r="3812" spans="3:5" ht="15" x14ac:dyDescent="0.2">
      <c r="C3812" s="61">
        <v>41448.666666666664</v>
      </c>
      <c r="D3812" s="60">
        <v>2610</v>
      </c>
      <c r="E3812" s="59" t="s">
        <v>535</v>
      </c>
    </row>
    <row r="3813" spans="3:5" ht="15" x14ac:dyDescent="0.2">
      <c r="C3813" s="61">
        <v>41448.677083333336</v>
      </c>
      <c r="D3813" s="60">
        <v>2610</v>
      </c>
      <c r="E3813" s="59" t="s">
        <v>535</v>
      </c>
    </row>
    <row r="3814" spans="3:5" ht="15" x14ac:dyDescent="0.2">
      <c r="C3814" s="61">
        <v>41448.6875</v>
      </c>
      <c r="D3814" s="60">
        <v>2610</v>
      </c>
      <c r="E3814" s="59" t="s">
        <v>535</v>
      </c>
    </row>
    <row r="3815" spans="3:5" ht="15" x14ac:dyDescent="0.2">
      <c r="C3815" s="61">
        <v>41448.697916666664</v>
      </c>
      <c r="D3815" s="60">
        <v>2610</v>
      </c>
      <c r="E3815" s="59" t="s">
        <v>535</v>
      </c>
    </row>
    <row r="3816" spans="3:5" ht="15" x14ac:dyDescent="0.2">
      <c r="C3816" s="61">
        <v>41448.708333333336</v>
      </c>
      <c r="D3816" s="60">
        <v>2610</v>
      </c>
      <c r="E3816" s="59" t="s">
        <v>535</v>
      </c>
    </row>
    <row r="3817" spans="3:5" ht="15" x14ac:dyDescent="0.2">
      <c r="C3817" s="61">
        <v>41448.71875</v>
      </c>
      <c r="D3817" s="60">
        <v>2610</v>
      </c>
      <c r="E3817" s="59" t="s">
        <v>535</v>
      </c>
    </row>
    <row r="3818" spans="3:5" ht="15" x14ac:dyDescent="0.2">
      <c r="C3818" s="61">
        <v>41448.729166666664</v>
      </c>
      <c r="D3818" s="60">
        <v>2610</v>
      </c>
      <c r="E3818" s="59" t="s">
        <v>535</v>
      </c>
    </row>
    <row r="3819" spans="3:5" ht="15" x14ac:dyDescent="0.2">
      <c r="C3819" s="61">
        <v>41448.739583333336</v>
      </c>
      <c r="D3819" s="60">
        <v>2610</v>
      </c>
      <c r="E3819" s="59" t="s">
        <v>535</v>
      </c>
    </row>
    <row r="3820" spans="3:5" ht="15" x14ac:dyDescent="0.2">
      <c r="C3820" s="61">
        <v>41448.75</v>
      </c>
      <c r="D3820" s="60">
        <v>2610</v>
      </c>
      <c r="E3820" s="59" t="s">
        <v>535</v>
      </c>
    </row>
    <row r="3821" spans="3:5" ht="15" x14ac:dyDescent="0.2">
      <c r="C3821" s="61">
        <v>41448.760416666664</v>
      </c>
      <c r="D3821" s="60">
        <v>2610</v>
      </c>
      <c r="E3821" s="59" t="s">
        <v>535</v>
      </c>
    </row>
    <row r="3822" spans="3:5" ht="15" x14ac:dyDescent="0.2">
      <c r="C3822" s="61">
        <v>41448.770833333336</v>
      </c>
      <c r="D3822" s="60">
        <v>2610</v>
      </c>
      <c r="E3822" s="59" t="s">
        <v>535</v>
      </c>
    </row>
    <row r="3823" spans="3:5" ht="15" x14ac:dyDescent="0.2">
      <c r="C3823" s="61">
        <v>41448.78125</v>
      </c>
      <c r="D3823" s="60">
        <v>2610</v>
      </c>
      <c r="E3823" s="59" t="s">
        <v>535</v>
      </c>
    </row>
    <row r="3824" spans="3:5" ht="15" x14ac:dyDescent="0.2">
      <c r="C3824" s="61">
        <v>41448.791666666664</v>
      </c>
      <c r="D3824" s="60">
        <v>2610</v>
      </c>
      <c r="E3824" s="59" t="s">
        <v>535</v>
      </c>
    </row>
    <row r="3825" spans="3:5" ht="15" x14ac:dyDescent="0.2">
      <c r="C3825" s="61">
        <v>41448.802083333336</v>
      </c>
      <c r="D3825" s="60">
        <v>2620</v>
      </c>
      <c r="E3825" s="59" t="s">
        <v>534</v>
      </c>
    </row>
    <row r="3826" spans="3:5" ht="15" x14ac:dyDescent="0.2">
      <c r="C3826" s="61">
        <v>41448.8125</v>
      </c>
      <c r="D3826" s="60">
        <v>2620</v>
      </c>
      <c r="E3826" s="59" t="s">
        <v>534</v>
      </c>
    </row>
    <row r="3827" spans="3:5" ht="15" x14ac:dyDescent="0.2">
      <c r="C3827" s="61">
        <v>41448.822916666664</v>
      </c>
      <c r="D3827" s="60">
        <v>2620</v>
      </c>
      <c r="E3827" s="59" t="s">
        <v>534</v>
      </c>
    </row>
    <row r="3828" spans="3:5" ht="15" x14ac:dyDescent="0.2">
      <c r="C3828" s="61">
        <v>41448.833333333336</v>
      </c>
      <c r="D3828" s="60">
        <v>2620</v>
      </c>
      <c r="E3828" s="59" t="s">
        <v>534</v>
      </c>
    </row>
    <row r="3829" spans="3:5" ht="15" x14ac:dyDescent="0.2">
      <c r="C3829" s="61">
        <v>41448.84375</v>
      </c>
      <c r="D3829" s="60">
        <v>2620</v>
      </c>
      <c r="E3829" s="59" t="s">
        <v>534</v>
      </c>
    </row>
    <row r="3830" spans="3:5" ht="15" x14ac:dyDescent="0.2">
      <c r="C3830" s="61">
        <v>41448.854166666664</v>
      </c>
      <c r="D3830" s="60">
        <v>2620</v>
      </c>
      <c r="E3830" s="59" t="s">
        <v>534</v>
      </c>
    </row>
    <row r="3831" spans="3:5" ht="15" x14ac:dyDescent="0.2">
      <c r="C3831" s="61">
        <v>41448.864583333336</v>
      </c>
      <c r="D3831" s="60">
        <v>2620</v>
      </c>
      <c r="E3831" s="59" t="s">
        <v>534</v>
      </c>
    </row>
    <row r="3832" spans="3:5" ht="15" x14ac:dyDescent="0.2">
      <c r="C3832" s="61">
        <v>41448.875</v>
      </c>
      <c r="D3832" s="60">
        <v>2620</v>
      </c>
      <c r="E3832" s="59" t="s">
        <v>534</v>
      </c>
    </row>
    <row r="3833" spans="3:5" ht="15" x14ac:dyDescent="0.2">
      <c r="C3833" s="61">
        <v>41448.885416666664</v>
      </c>
      <c r="D3833" s="60">
        <v>2620</v>
      </c>
      <c r="E3833" s="59" t="s">
        <v>534</v>
      </c>
    </row>
    <row r="3834" spans="3:5" ht="15" x14ac:dyDescent="0.2">
      <c r="C3834" s="61">
        <v>41448.895833333336</v>
      </c>
      <c r="D3834" s="60">
        <v>2620</v>
      </c>
      <c r="E3834" s="59" t="s">
        <v>534</v>
      </c>
    </row>
    <row r="3835" spans="3:5" ht="15" x14ac:dyDescent="0.2">
      <c r="C3835" s="61">
        <v>41448.90625</v>
      </c>
      <c r="D3835" s="60">
        <v>2630</v>
      </c>
      <c r="E3835" s="59" t="s">
        <v>533</v>
      </c>
    </row>
    <row r="3836" spans="3:5" ht="15" x14ac:dyDescent="0.2">
      <c r="C3836" s="61">
        <v>41448.916666666664</v>
      </c>
      <c r="D3836" s="60">
        <v>2630</v>
      </c>
      <c r="E3836" s="59" t="s">
        <v>533</v>
      </c>
    </row>
    <row r="3837" spans="3:5" ht="15" x14ac:dyDescent="0.2">
      <c r="C3837" s="61">
        <v>41448.927083333336</v>
      </c>
      <c r="D3837" s="60">
        <v>2630</v>
      </c>
      <c r="E3837" s="59" t="s">
        <v>533</v>
      </c>
    </row>
    <row r="3838" spans="3:5" ht="15" x14ac:dyDescent="0.2">
      <c r="C3838" s="61">
        <v>41448.9375</v>
      </c>
      <c r="D3838" s="60">
        <v>2630</v>
      </c>
      <c r="E3838" s="59" t="s">
        <v>533</v>
      </c>
    </row>
    <row r="3839" spans="3:5" ht="15" x14ac:dyDescent="0.2">
      <c r="C3839" s="61">
        <v>41448.947916666664</v>
      </c>
      <c r="D3839" s="60">
        <v>2630</v>
      </c>
      <c r="E3839" s="59" t="s">
        <v>533</v>
      </c>
    </row>
    <row r="3840" spans="3:5" ht="15" x14ac:dyDescent="0.2">
      <c r="C3840" s="61">
        <v>41448.958333333336</v>
      </c>
      <c r="D3840" s="60">
        <v>2630</v>
      </c>
      <c r="E3840" s="59" t="s">
        <v>533</v>
      </c>
    </row>
    <row r="3841" spans="3:5" ht="15" x14ac:dyDescent="0.2">
      <c r="C3841" s="61">
        <v>41448.96875</v>
      </c>
      <c r="D3841" s="60">
        <v>2630</v>
      </c>
      <c r="E3841" s="59" t="s">
        <v>533</v>
      </c>
    </row>
    <row r="3842" spans="3:5" ht="15" x14ac:dyDescent="0.2">
      <c r="C3842" s="61">
        <v>41448.979166666664</v>
      </c>
      <c r="D3842" s="60">
        <v>2630</v>
      </c>
      <c r="E3842" s="59" t="s">
        <v>533</v>
      </c>
    </row>
    <row r="3843" spans="3:5" ht="15" x14ac:dyDescent="0.2">
      <c r="C3843" s="61">
        <v>41448.989583333336</v>
      </c>
      <c r="D3843" s="60">
        <v>2630</v>
      </c>
      <c r="E3843" s="59" t="s">
        <v>533</v>
      </c>
    </row>
    <row r="3844" spans="3:5" ht="15" x14ac:dyDescent="0.2">
      <c r="C3844" s="61">
        <v>41449</v>
      </c>
      <c r="D3844" s="60">
        <v>2630</v>
      </c>
      <c r="E3844" s="59" t="s">
        <v>533</v>
      </c>
    </row>
    <row r="3845" spans="3:5" ht="15" x14ac:dyDescent="0.2">
      <c r="C3845" s="61">
        <v>41449.010416666664</v>
      </c>
      <c r="D3845" s="60">
        <v>2640</v>
      </c>
      <c r="E3845" s="59" t="s">
        <v>532</v>
      </c>
    </row>
    <row r="3846" spans="3:5" ht="15" x14ac:dyDescent="0.2">
      <c r="C3846" s="61">
        <v>41449.020833333336</v>
      </c>
      <c r="D3846" s="60">
        <v>2640</v>
      </c>
      <c r="E3846" s="59" t="s">
        <v>532</v>
      </c>
    </row>
    <row r="3847" spans="3:5" ht="15" x14ac:dyDescent="0.2">
      <c r="C3847" s="61">
        <v>41449.03125</v>
      </c>
      <c r="D3847" s="60">
        <v>2640</v>
      </c>
      <c r="E3847" s="59" t="s">
        <v>532</v>
      </c>
    </row>
    <row r="3848" spans="3:5" ht="15" x14ac:dyDescent="0.2">
      <c r="C3848" s="61">
        <v>41449.041666666664</v>
      </c>
      <c r="D3848" s="60">
        <v>2640</v>
      </c>
      <c r="E3848" s="59" t="s">
        <v>532</v>
      </c>
    </row>
    <row r="3849" spans="3:5" ht="15" x14ac:dyDescent="0.2">
      <c r="C3849" s="61">
        <v>41449.052083333336</v>
      </c>
      <c r="D3849" s="60">
        <v>2640</v>
      </c>
      <c r="E3849" s="59" t="s">
        <v>532</v>
      </c>
    </row>
    <row r="3850" spans="3:5" ht="15" x14ac:dyDescent="0.2">
      <c r="C3850" s="61">
        <v>41449.0625</v>
      </c>
      <c r="D3850" s="60">
        <v>2640</v>
      </c>
      <c r="E3850" s="59" t="s">
        <v>532</v>
      </c>
    </row>
    <row r="3851" spans="3:5" ht="15" x14ac:dyDescent="0.2">
      <c r="C3851" s="61">
        <v>41449.072916666664</v>
      </c>
      <c r="D3851" s="60">
        <v>2640</v>
      </c>
      <c r="E3851" s="59" t="s">
        <v>532</v>
      </c>
    </row>
    <row r="3852" spans="3:5" ht="15" x14ac:dyDescent="0.2">
      <c r="C3852" s="61">
        <v>41449.083333333336</v>
      </c>
      <c r="D3852" s="60">
        <v>2640</v>
      </c>
      <c r="E3852" s="59" t="s">
        <v>532</v>
      </c>
    </row>
    <row r="3853" spans="3:5" ht="15" x14ac:dyDescent="0.2">
      <c r="C3853" s="61">
        <v>41449.09375</v>
      </c>
      <c r="D3853" s="60">
        <v>2640</v>
      </c>
      <c r="E3853" s="59" t="s">
        <v>532</v>
      </c>
    </row>
    <row r="3854" spans="3:5" ht="15" x14ac:dyDescent="0.2">
      <c r="C3854" s="61">
        <v>41449.104166666664</v>
      </c>
      <c r="D3854" s="60">
        <v>2640</v>
      </c>
      <c r="E3854" s="59" t="s">
        <v>532</v>
      </c>
    </row>
    <row r="3855" spans="3:5" ht="15" x14ac:dyDescent="0.2">
      <c r="C3855" s="61">
        <v>41449.114583333336</v>
      </c>
      <c r="D3855" s="60">
        <v>2640</v>
      </c>
      <c r="E3855" s="59" t="s">
        <v>532</v>
      </c>
    </row>
    <row r="3856" spans="3:5" ht="15" x14ac:dyDescent="0.2">
      <c r="C3856" s="61">
        <v>41449.125</v>
      </c>
      <c r="D3856" s="60">
        <v>2640</v>
      </c>
      <c r="E3856" s="59" t="s">
        <v>532</v>
      </c>
    </row>
    <row r="3857" spans="3:5" ht="15" x14ac:dyDescent="0.2">
      <c r="C3857" s="61">
        <v>41449.135416666664</v>
      </c>
      <c r="D3857" s="60">
        <v>2640</v>
      </c>
      <c r="E3857" s="59" t="s">
        <v>532</v>
      </c>
    </row>
    <row r="3858" spans="3:5" ht="15" x14ac:dyDescent="0.2">
      <c r="C3858" s="61">
        <v>41449.145833333336</v>
      </c>
      <c r="D3858" s="60">
        <v>2640</v>
      </c>
      <c r="E3858" s="59" t="s">
        <v>532</v>
      </c>
    </row>
    <row r="3859" spans="3:5" ht="15" x14ac:dyDescent="0.2">
      <c r="C3859" s="61">
        <v>41449.15625</v>
      </c>
      <c r="D3859" s="60">
        <v>2640</v>
      </c>
      <c r="E3859" s="59" t="s">
        <v>532</v>
      </c>
    </row>
    <row r="3860" spans="3:5" ht="15" x14ac:dyDescent="0.2">
      <c r="C3860" s="61">
        <v>41449.166666666664</v>
      </c>
      <c r="D3860" s="60">
        <v>2640</v>
      </c>
      <c r="E3860" s="59" t="s">
        <v>532</v>
      </c>
    </row>
    <row r="3861" spans="3:5" ht="15" x14ac:dyDescent="0.2">
      <c r="C3861" s="61">
        <v>41449.177083333336</v>
      </c>
      <c r="D3861" s="60">
        <v>2640</v>
      </c>
      <c r="E3861" s="59" t="s">
        <v>532</v>
      </c>
    </row>
    <row r="3862" spans="3:5" ht="15" x14ac:dyDescent="0.2">
      <c r="C3862" s="61">
        <v>41449.1875</v>
      </c>
      <c r="D3862" s="60">
        <v>2660</v>
      </c>
      <c r="E3862" s="59" t="s">
        <v>531</v>
      </c>
    </row>
    <row r="3863" spans="3:5" ht="15" x14ac:dyDescent="0.2">
      <c r="C3863" s="61">
        <v>41449.197916666664</v>
      </c>
      <c r="D3863" s="60">
        <v>2660</v>
      </c>
      <c r="E3863" s="59" t="s">
        <v>531</v>
      </c>
    </row>
    <row r="3864" spans="3:5" ht="15" x14ac:dyDescent="0.2">
      <c r="C3864" s="61">
        <v>41449.208333333336</v>
      </c>
      <c r="D3864" s="60">
        <v>2660</v>
      </c>
      <c r="E3864" s="59" t="s">
        <v>531</v>
      </c>
    </row>
    <row r="3865" spans="3:5" ht="15" x14ac:dyDescent="0.2">
      <c r="C3865" s="61">
        <v>41449.21875</v>
      </c>
      <c r="D3865" s="60">
        <v>2660</v>
      </c>
      <c r="E3865" s="59" t="s">
        <v>531</v>
      </c>
    </row>
    <row r="3866" spans="3:5" ht="15" x14ac:dyDescent="0.2">
      <c r="C3866" s="61">
        <v>41449.229166666664</v>
      </c>
      <c r="D3866" s="60">
        <v>2660</v>
      </c>
      <c r="E3866" s="59" t="s">
        <v>531</v>
      </c>
    </row>
    <row r="3867" spans="3:5" ht="15" x14ac:dyDescent="0.2">
      <c r="C3867" s="61">
        <v>41449.239583333336</v>
      </c>
      <c r="D3867" s="60">
        <v>2660</v>
      </c>
      <c r="E3867" s="59" t="s">
        <v>531</v>
      </c>
    </row>
    <row r="3868" spans="3:5" ht="15" x14ac:dyDescent="0.2">
      <c r="C3868" s="61">
        <v>41449.25</v>
      </c>
      <c r="D3868" s="60">
        <v>2660</v>
      </c>
      <c r="E3868" s="59" t="s">
        <v>531</v>
      </c>
    </row>
    <row r="3869" spans="3:5" ht="15" x14ac:dyDescent="0.2">
      <c r="C3869" s="61">
        <v>41449.260416666664</v>
      </c>
      <c r="D3869" s="60">
        <v>2660</v>
      </c>
      <c r="E3869" s="59" t="s">
        <v>531</v>
      </c>
    </row>
    <row r="3870" spans="3:5" ht="15" x14ac:dyDescent="0.2">
      <c r="C3870" s="61">
        <v>41449.270833333336</v>
      </c>
      <c r="D3870" s="60">
        <v>2640</v>
      </c>
      <c r="E3870" s="59" t="s">
        <v>532</v>
      </c>
    </row>
    <row r="3871" spans="3:5" ht="15" x14ac:dyDescent="0.2">
      <c r="C3871" s="61">
        <v>41449.28125</v>
      </c>
      <c r="D3871" s="60">
        <v>2640</v>
      </c>
      <c r="E3871" s="59" t="s">
        <v>532</v>
      </c>
    </row>
    <row r="3872" spans="3:5" ht="15" x14ac:dyDescent="0.2">
      <c r="C3872" s="61">
        <v>41449.291666666664</v>
      </c>
      <c r="D3872" s="60">
        <v>2640</v>
      </c>
      <c r="E3872" s="59" t="s">
        <v>532</v>
      </c>
    </row>
    <row r="3873" spans="3:5" ht="15" x14ac:dyDescent="0.2">
      <c r="C3873" s="61">
        <v>41449.302083333336</v>
      </c>
      <c r="D3873" s="60">
        <v>2640</v>
      </c>
      <c r="E3873" s="59" t="s">
        <v>532</v>
      </c>
    </row>
    <row r="3874" spans="3:5" ht="15" x14ac:dyDescent="0.2">
      <c r="C3874" s="61">
        <v>41449.3125</v>
      </c>
      <c r="D3874" s="60">
        <v>2640</v>
      </c>
      <c r="E3874" s="59" t="s">
        <v>532</v>
      </c>
    </row>
    <row r="3875" spans="3:5" ht="15" x14ac:dyDescent="0.2">
      <c r="C3875" s="61">
        <v>41449.322916666664</v>
      </c>
      <c r="D3875" s="60">
        <v>2640</v>
      </c>
      <c r="E3875" s="59" t="s">
        <v>532</v>
      </c>
    </row>
    <row r="3876" spans="3:5" ht="15" x14ac:dyDescent="0.2">
      <c r="C3876" s="61">
        <v>41449.333333333336</v>
      </c>
      <c r="D3876" s="60">
        <v>2640</v>
      </c>
      <c r="E3876" s="59" t="s">
        <v>532</v>
      </c>
    </row>
    <row r="3877" spans="3:5" ht="15" x14ac:dyDescent="0.2">
      <c r="C3877" s="61">
        <v>41449.34375</v>
      </c>
      <c r="D3877" s="60">
        <v>2640</v>
      </c>
      <c r="E3877" s="59" t="s">
        <v>532</v>
      </c>
    </row>
    <row r="3878" spans="3:5" ht="15" x14ac:dyDescent="0.2">
      <c r="C3878" s="61">
        <v>41449.354166666664</v>
      </c>
      <c r="D3878" s="60">
        <v>2640</v>
      </c>
      <c r="E3878" s="59" t="s">
        <v>532</v>
      </c>
    </row>
    <row r="3879" spans="3:5" ht="15" x14ac:dyDescent="0.2">
      <c r="C3879" s="61">
        <v>41449.364583333336</v>
      </c>
      <c r="D3879" s="60">
        <v>2630</v>
      </c>
      <c r="E3879" s="59" t="s">
        <v>533</v>
      </c>
    </row>
    <row r="3880" spans="3:5" ht="15" x14ac:dyDescent="0.2">
      <c r="C3880" s="61">
        <v>41449.375</v>
      </c>
      <c r="D3880" s="60">
        <v>2630</v>
      </c>
      <c r="E3880" s="59" t="s">
        <v>533</v>
      </c>
    </row>
    <row r="3881" spans="3:5" ht="15" x14ac:dyDescent="0.2">
      <c r="C3881" s="61">
        <v>41449.385416666664</v>
      </c>
      <c r="D3881" s="60">
        <v>2630</v>
      </c>
      <c r="E3881" s="59" t="s">
        <v>533</v>
      </c>
    </row>
    <row r="3882" spans="3:5" ht="15" x14ac:dyDescent="0.2">
      <c r="C3882" s="61">
        <v>41449.395833333336</v>
      </c>
      <c r="D3882" s="60">
        <v>2630</v>
      </c>
      <c r="E3882" s="59" t="s">
        <v>533</v>
      </c>
    </row>
    <row r="3883" spans="3:5" ht="15" x14ac:dyDescent="0.2">
      <c r="C3883" s="61">
        <v>41449.40625</v>
      </c>
      <c r="D3883" s="60">
        <v>2630</v>
      </c>
      <c r="E3883" s="59" t="s">
        <v>533</v>
      </c>
    </row>
    <row r="3884" spans="3:5" ht="15" x14ac:dyDescent="0.2">
      <c r="C3884" s="61">
        <v>41449.416666666664</v>
      </c>
      <c r="D3884" s="60">
        <v>2630</v>
      </c>
      <c r="E3884" s="59" t="s">
        <v>533</v>
      </c>
    </row>
    <row r="3885" spans="3:5" ht="15" x14ac:dyDescent="0.2">
      <c r="C3885" s="61">
        <v>41449.427083333336</v>
      </c>
      <c r="D3885" s="60">
        <v>2630</v>
      </c>
      <c r="E3885" s="59" t="s">
        <v>533</v>
      </c>
    </row>
    <row r="3886" spans="3:5" ht="15" x14ac:dyDescent="0.2">
      <c r="C3886" s="61">
        <v>41449.4375</v>
      </c>
      <c r="D3886" s="60">
        <v>2620</v>
      </c>
      <c r="E3886" s="59" t="s">
        <v>534</v>
      </c>
    </row>
    <row r="3887" spans="3:5" ht="15" x14ac:dyDescent="0.2">
      <c r="C3887" s="61">
        <v>41449.447916666664</v>
      </c>
      <c r="D3887" s="60">
        <v>2620</v>
      </c>
      <c r="E3887" s="59" t="s">
        <v>534</v>
      </c>
    </row>
    <row r="3888" spans="3:5" ht="15" x14ac:dyDescent="0.2">
      <c r="C3888" s="61">
        <v>41449.458333333336</v>
      </c>
      <c r="D3888" s="60">
        <v>2620</v>
      </c>
      <c r="E3888" s="59" t="s">
        <v>534</v>
      </c>
    </row>
    <row r="3889" spans="3:5" ht="15" x14ac:dyDescent="0.2">
      <c r="C3889" s="61">
        <v>41449.46875</v>
      </c>
      <c r="D3889" s="60">
        <v>2620</v>
      </c>
      <c r="E3889" s="59" t="s">
        <v>534</v>
      </c>
    </row>
    <row r="3890" spans="3:5" ht="15" x14ac:dyDescent="0.2">
      <c r="C3890" s="61">
        <v>41449.479166666664</v>
      </c>
      <c r="D3890" s="60">
        <v>2620</v>
      </c>
      <c r="E3890" s="59" t="s">
        <v>534</v>
      </c>
    </row>
    <row r="3891" spans="3:5" ht="15" x14ac:dyDescent="0.2">
      <c r="C3891" s="61">
        <v>41449.489583333336</v>
      </c>
      <c r="D3891" s="60">
        <v>2610</v>
      </c>
      <c r="E3891" s="59" t="s">
        <v>535</v>
      </c>
    </row>
    <row r="3892" spans="3:5" ht="15" x14ac:dyDescent="0.2">
      <c r="C3892" s="61">
        <v>41449.5</v>
      </c>
      <c r="D3892" s="60">
        <v>2610</v>
      </c>
      <c r="E3892" s="59" t="s">
        <v>535</v>
      </c>
    </row>
    <row r="3893" spans="3:5" ht="15" x14ac:dyDescent="0.2">
      <c r="C3893" s="61">
        <v>41449.510416666664</v>
      </c>
      <c r="D3893" s="60">
        <v>2610</v>
      </c>
      <c r="E3893" s="59" t="s">
        <v>535</v>
      </c>
    </row>
    <row r="3894" spans="3:5" ht="15" x14ac:dyDescent="0.2">
      <c r="C3894" s="61">
        <v>41449.520833333336</v>
      </c>
      <c r="D3894" s="60">
        <v>2610</v>
      </c>
      <c r="E3894" s="59" t="s">
        <v>535</v>
      </c>
    </row>
    <row r="3895" spans="3:5" ht="15" x14ac:dyDescent="0.2">
      <c r="C3895" s="61">
        <v>41449.53125</v>
      </c>
      <c r="D3895" s="60">
        <v>2610</v>
      </c>
      <c r="E3895" s="59" t="s">
        <v>535</v>
      </c>
    </row>
    <row r="3896" spans="3:5" ht="15" x14ac:dyDescent="0.2">
      <c r="C3896" s="61">
        <v>41449.541666666664</v>
      </c>
      <c r="D3896" s="60">
        <v>2600</v>
      </c>
      <c r="E3896" s="59" t="s">
        <v>536</v>
      </c>
    </row>
    <row r="3897" spans="3:5" ht="15" x14ac:dyDescent="0.2">
      <c r="C3897" s="61">
        <v>41449.552083333336</v>
      </c>
      <c r="D3897" s="60">
        <v>2600</v>
      </c>
      <c r="E3897" s="59" t="s">
        <v>536</v>
      </c>
    </row>
    <row r="3898" spans="3:5" ht="15" x14ac:dyDescent="0.2">
      <c r="C3898" s="61">
        <v>41449.5625</v>
      </c>
      <c r="D3898" s="60">
        <v>2600</v>
      </c>
      <c r="E3898" s="59" t="s">
        <v>536</v>
      </c>
    </row>
    <row r="3899" spans="3:5" ht="15" x14ac:dyDescent="0.2">
      <c r="C3899" s="61">
        <v>41449.572916666664</v>
      </c>
      <c r="D3899" s="60">
        <v>2600</v>
      </c>
      <c r="E3899" s="59" t="s">
        <v>536</v>
      </c>
    </row>
    <row r="3900" spans="3:5" ht="15" x14ac:dyDescent="0.2">
      <c r="C3900" s="61">
        <v>41449.583333333336</v>
      </c>
      <c r="D3900" s="60">
        <v>2580</v>
      </c>
      <c r="E3900" s="59" t="s">
        <v>537</v>
      </c>
    </row>
    <row r="3901" spans="3:5" ht="15" x14ac:dyDescent="0.2">
      <c r="C3901" s="61">
        <v>41449.59375</v>
      </c>
      <c r="D3901" s="60">
        <v>2580</v>
      </c>
      <c r="E3901" s="59" t="s">
        <v>537</v>
      </c>
    </row>
    <row r="3902" spans="3:5" ht="15" x14ac:dyDescent="0.2">
      <c r="C3902" s="61">
        <v>41449.604166666664</v>
      </c>
      <c r="D3902" s="60">
        <v>2580</v>
      </c>
      <c r="E3902" s="59" t="s">
        <v>537</v>
      </c>
    </row>
    <row r="3903" spans="3:5" ht="15" x14ac:dyDescent="0.2">
      <c r="C3903" s="61">
        <v>41449.614583333336</v>
      </c>
      <c r="D3903" s="60">
        <v>2580</v>
      </c>
      <c r="E3903" s="59" t="s">
        <v>537</v>
      </c>
    </row>
    <row r="3904" spans="3:5" ht="15" x14ac:dyDescent="0.2">
      <c r="C3904" s="61">
        <v>41449.625</v>
      </c>
      <c r="D3904" s="60">
        <v>2580</v>
      </c>
      <c r="E3904" s="59" t="s">
        <v>537</v>
      </c>
    </row>
    <row r="3905" spans="3:5" ht="15" x14ac:dyDescent="0.2">
      <c r="C3905" s="61">
        <v>41449.635416666664</v>
      </c>
      <c r="D3905" s="60">
        <v>2580</v>
      </c>
      <c r="E3905" s="59" t="s">
        <v>537</v>
      </c>
    </row>
    <row r="3906" spans="3:5" ht="15" x14ac:dyDescent="0.2">
      <c r="C3906" s="61">
        <v>41449.645833333336</v>
      </c>
      <c r="D3906" s="60">
        <v>2580</v>
      </c>
      <c r="E3906" s="59" t="s">
        <v>537</v>
      </c>
    </row>
    <row r="3907" spans="3:5" ht="15" x14ac:dyDescent="0.2">
      <c r="C3907" s="61">
        <v>41449.65625</v>
      </c>
      <c r="D3907" s="60">
        <v>2570</v>
      </c>
      <c r="E3907" s="59" t="s">
        <v>538</v>
      </c>
    </row>
    <row r="3908" spans="3:5" ht="15" x14ac:dyDescent="0.2">
      <c r="C3908" s="61">
        <v>41449.666666666664</v>
      </c>
      <c r="D3908" s="60">
        <v>2570</v>
      </c>
      <c r="E3908" s="59" t="s">
        <v>538</v>
      </c>
    </row>
    <row r="3909" spans="3:5" ht="15" x14ac:dyDescent="0.2">
      <c r="C3909" s="61">
        <v>41449.677083333336</v>
      </c>
      <c r="D3909" s="60">
        <v>2570</v>
      </c>
      <c r="E3909" s="59" t="s">
        <v>538</v>
      </c>
    </row>
    <row r="3910" spans="3:5" ht="15" x14ac:dyDescent="0.2">
      <c r="C3910" s="61">
        <v>41449.6875</v>
      </c>
      <c r="D3910" s="60">
        <v>2570</v>
      </c>
      <c r="E3910" s="59" t="s">
        <v>538</v>
      </c>
    </row>
    <row r="3911" spans="3:5" ht="15" x14ac:dyDescent="0.2">
      <c r="C3911" s="61">
        <v>41449.697916666664</v>
      </c>
      <c r="D3911" s="60">
        <v>2570</v>
      </c>
      <c r="E3911" s="59" t="s">
        <v>538</v>
      </c>
    </row>
    <row r="3912" spans="3:5" ht="15" x14ac:dyDescent="0.2">
      <c r="C3912" s="61">
        <v>41449.708333333336</v>
      </c>
      <c r="D3912" s="60">
        <v>2570</v>
      </c>
      <c r="E3912" s="59" t="s">
        <v>538</v>
      </c>
    </row>
    <row r="3913" spans="3:5" ht="15" x14ac:dyDescent="0.2">
      <c r="C3913" s="61">
        <v>41449.71875</v>
      </c>
      <c r="D3913" s="60">
        <v>2570</v>
      </c>
      <c r="E3913" s="59" t="s">
        <v>538</v>
      </c>
    </row>
    <row r="3914" spans="3:5" ht="15" x14ac:dyDescent="0.2">
      <c r="C3914" s="61">
        <v>41449.729166666664</v>
      </c>
      <c r="D3914" s="60">
        <v>2570</v>
      </c>
      <c r="E3914" s="59" t="s">
        <v>538</v>
      </c>
    </row>
    <row r="3915" spans="3:5" ht="15" x14ac:dyDescent="0.2">
      <c r="C3915" s="61">
        <v>41449.739583333336</v>
      </c>
      <c r="D3915" s="60">
        <v>2560</v>
      </c>
      <c r="E3915" s="59" t="s">
        <v>539</v>
      </c>
    </row>
    <row r="3916" spans="3:5" ht="15" x14ac:dyDescent="0.2">
      <c r="C3916" s="61">
        <v>41449.75</v>
      </c>
      <c r="D3916" s="60">
        <v>2560</v>
      </c>
      <c r="E3916" s="59" t="s">
        <v>539</v>
      </c>
    </row>
    <row r="3917" spans="3:5" ht="15" x14ac:dyDescent="0.2">
      <c r="C3917" s="61">
        <v>41449.760416666664</v>
      </c>
      <c r="D3917" s="60">
        <v>2560</v>
      </c>
      <c r="E3917" s="59" t="s">
        <v>539</v>
      </c>
    </row>
    <row r="3918" spans="3:5" ht="15" x14ac:dyDescent="0.2">
      <c r="C3918" s="61">
        <v>41449.770833333336</v>
      </c>
      <c r="D3918" s="60">
        <v>2560</v>
      </c>
      <c r="E3918" s="59" t="s">
        <v>539</v>
      </c>
    </row>
    <row r="3919" spans="3:5" ht="15" x14ac:dyDescent="0.2">
      <c r="C3919" s="61">
        <v>41449.78125</v>
      </c>
      <c r="D3919" s="60">
        <v>2560</v>
      </c>
      <c r="E3919" s="59" t="s">
        <v>539</v>
      </c>
    </row>
    <row r="3920" spans="3:5" ht="15" x14ac:dyDescent="0.2">
      <c r="C3920" s="61">
        <v>41449.791666666664</v>
      </c>
      <c r="D3920" s="60">
        <v>2560</v>
      </c>
      <c r="E3920" s="59" t="s">
        <v>539</v>
      </c>
    </row>
    <row r="3921" spans="3:5" ht="15" x14ac:dyDescent="0.2">
      <c r="C3921" s="61">
        <v>41449.802083333336</v>
      </c>
      <c r="D3921" s="60">
        <v>2560</v>
      </c>
      <c r="E3921" s="59" t="s">
        <v>539</v>
      </c>
    </row>
    <row r="3922" spans="3:5" ht="15" x14ac:dyDescent="0.2">
      <c r="C3922" s="61">
        <v>41449.8125</v>
      </c>
      <c r="D3922" s="60">
        <v>2560</v>
      </c>
      <c r="E3922" s="59" t="s">
        <v>539</v>
      </c>
    </row>
    <row r="3923" spans="3:5" ht="15" x14ac:dyDescent="0.2">
      <c r="C3923" s="61">
        <v>41449.822916666664</v>
      </c>
      <c r="D3923" s="60">
        <v>2560</v>
      </c>
      <c r="E3923" s="59" t="s">
        <v>539</v>
      </c>
    </row>
    <row r="3924" spans="3:5" ht="15" x14ac:dyDescent="0.2">
      <c r="C3924" s="61">
        <v>41449.833333333336</v>
      </c>
      <c r="D3924" s="60">
        <v>2560</v>
      </c>
      <c r="E3924" s="59" t="s">
        <v>539</v>
      </c>
    </row>
    <row r="3925" spans="3:5" ht="15" x14ac:dyDescent="0.2">
      <c r="C3925" s="61">
        <v>41449.84375</v>
      </c>
      <c r="D3925" s="60">
        <v>2560</v>
      </c>
      <c r="E3925" s="59" t="s">
        <v>539</v>
      </c>
    </row>
    <row r="3926" spans="3:5" ht="15" x14ac:dyDescent="0.2">
      <c r="C3926" s="61">
        <v>41449.854166666664</v>
      </c>
      <c r="D3926" s="60">
        <v>2560</v>
      </c>
      <c r="E3926" s="59" t="s">
        <v>539</v>
      </c>
    </row>
    <row r="3927" spans="3:5" ht="15" x14ac:dyDescent="0.2">
      <c r="C3927" s="61">
        <v>41449.864583333336</v>
      </c>
      <c r="D3927" s="60">
        <v>2560</v>
      </c>
      <c r="E3927" s="59" t="s">
        <v>539</v>
      </c>
    </row>
    <row r="3928" spans="3:5" ht="15" x14ac:dyDescent="0.2">
      <c r="C3928" s="61">
        <v>41449.875</v>
      </c>
      <c r="D3928" s="60">
        <v>2560</v>
      </c>
      <c r="E3928" s="59" t="s">
        <v>539</v>
      </c>
    </row>
    <row r="3929" spans="3:5" ht="15" x14ac:dyDescent="0.2">
      <c r="C3929" s="61">
        <v>41449.885416666664</v>
      </c>
      <c r="D3929" s="60">
        <v>2560</v>
      </c>
      <c r="E3929" s="59" t="s">
        <v>539</v>
      </c>
    </row>
    <row r="3930" spans="3:5" ht="15" x14ac:dyDescent="0.2">
      <c r="C3930" s="61">
        <v>41449.895833333336</v>
      </c>
      <c r="D3930" s="60">
        <v>2560</v>
      </c>
      <c r="E3930" s="59" t="s">
        <v>539</v>
      </c>
    </row>
    <row r="3931" spans="3:5" ht="15" x14ac:dyDescent="0.2">
      <c r="C3931" s="61">
        <v>41449.90625</v>
      </c>
      <c r="D3931" s="60">
        <v>2560</v>
      </c>
      <c r="E3931" s="59" t="s">
        <v>539</v>
      </c>
    </row>
    <row r="3932" spans="3:5" ht="15" x14ac:dyDescent="0.2">
      <c r="C3932" s="61">
        <v>41449.916666666664</v>
      </c>
      <c r="D3932" s="60">
        <v>2560</v>
      </c>
      <c r="E3932" s="59" t="s">
        <v>539</v>
      </c>
    </row>
    <row r="3933" spans="3:5" ht="15" x14ac:dyDescent="0.2">
      <c r="C3933" s="61">
        <v>41449.927083333336</v>
      </c>
      <c r="D3933" s="60">
        <v>2560</v>
      </c>
      <c r="E3933" s="59" t="s">
        <v>539</v>
      </c>
    </row>
    <row r="3934" spans="3:5" ht="15" x14ac:dyDescent="0.2">
      <c r="C3934" s="61">
        <v>41449.9375</v>
      </c>
      <c r="D3934" s="60">
        <v>2560</v>
      </c>
      <c r="E3934" s="59" t="s">
        <v>539</v>
      </c>
    </row>
    <row r="3935" spans="3:5" ht="15" x14ac:dyDescent="0.2">
      <c r="C3935" s="61">
        <v>41449.947916666664</v>
      </c>
      <c r="D3935" s="60">
        <v>2560</v>
      </c>
      <c r="E3935" s="59" t="s">
        <v>539</v>
      </c>
    </row>
    <row r="3936" spans="3:5" ht="15" x14ac:dyDescent="0.2">
      <c r="C3936" s="61">
        <v>41449.958333333336</v>
      </c>
      <c r="D3936" s="60">
        <v>2560</v>
      </c>
      <c r="E3936" s="59" t="s">
        <v>539</v>
      </c>
    </row>
    <row r="3937" spans="3:5" ht="15" x14ac:dyDescent="0.2">
      <c r="C3937" s="61">
        <v>41449.96875</v>
      </c>
      <c r="D3937" s="60">
        <v>2560</v>
      </c>
      <c r="E3937" s="59" t="s">
        <v>539</v>
      </c>
    </row>
    <row r="3938" spans="3:5" ht="15" x14ac:dyDescent="0.2">
      <c r="C3938" s="61">
        <v>41449.979166666664</v>
      </c>
      <c r="D3938" s="60">
        <v>2560</v>
      </c>
      <c r="E3938" s="59" t="s">
        <v>539</v>
      </c>
    </row>
    <row r="3939" spans="3:5" ht="15" x14ac:dyDescent="0.2">
      <c r="C3939" s="61">
        <v>41449.989583333336</v>
      </c>
      <c r="D3939" s="60">
        <v>2560</v>
      </c>
      <c r="E3939" s="59" t="s">
        <v>539</v>
      </c>
    </row>
    <row r="3940" spans="3:5" ht="15" x14ac:dyDescent="0.2">
      <c r="C3940" s="61">
        <v>41450</v>
      </c>
      <c r="D3940" s="60">
        <v>2560</v>
      </c>
      <c r="E3940" s="59" t="s">
        <v>539</v>
      </c>
    </row>
    <row r="3941" spans="3:5" ht="15" x14ac:dyDescent="0.2">
      <c r="C3941" s="61">
        <v>41450.010416666664</v>
      </c>
      <c r="D3941" s="60">
        <v>2560</v>
      </c>
      <c r="E3941" s="59" t="s">
        <v>539</v>
      </c>
    </row>
    <row r="3942" spans="3:5" ht="15" x14ac:dyDescent="0.2">
      <c r="C3942" s="61">
        <v>41450.020833333336</v>
      </c>
      <c r="D3942" s="60">
        <v>2560</v>
      </c>
      <c r="E3942" s="59" t="s">
        <v>539</v>
      </c>
    </row>
    <row r="3943" spans="3:5" ht="15" x14ac:dyDescent="0.2">
      <c r="C3943" s="61">
        <v>41450.03125</v>
      </c>
      <c r="D3943" s="60">
        <v>2560</v>
      </c>
      <c r="E3943" s="59" t="s">
        <v>539</v>
      </c>
    </row>
    <row r="3944" spans="3:5" ht="15" x14ac:dyDescent="0.2">
      <c r="C3944" s="61">
        <v>41450.041666666664</v>
      </c>
      <c r="D3944" s="60">
        <v>2560</v>
      </c>
      <c r="E3944" s="59" t="s">
        <v>539</v>
      </c>
    </row>
    <row r="3945" spans="3:5" ht="15" x14ac:dyDescent="0.2">
      <c r="C3945" s="61">
        <v>41450.052083333336</v>
      </c>
      <c r="D3945" s="60">
        <v>2560</v>
      </c>
      <c r="E3945" s="59" t="s">
        <v>539</v>
      </c>
    </row>
    <row r="3946" spans="3:5" ht="15" x14ac:dyDescent="0.2">
      <c r="C3946" s="61">
        <v>41450.0625</v>
      </c>
      <c r="D3946" s="60">
        <v>2560</v>
      </c>
      <c r="E3946" s="59" t="s">
        <v>539</v>
      </c>
    </row>
    <row r="3947" spans="3:5" ht="15" x14ac:dyDescent="0.2">
      <c r="C3947" s="61">
        <v>41450.072916666664</v>
      </c>
      <c r="D3947" s="60">
        <v>2560</v>
      </c>
      <c r="E3947" s="59" t="s">
        <v>539</v>
      </c>
    </row>
    <row r="3948" spans="3:5" ht="15" x14ac:dyDescent="0.2">
      <c r="C3948" s="61">
        <v>41450.083333333336</v>
      </c>
      <c r="D3948" s="60">
        <v>2560</v>
      </c>
      <c r="E3948" s="59" t="s">
        <v>539</v>
      </c>
    </row>
    <row r="3949" spans="3:5" ht="15" x14ac:dyDescent="0.2">
      <c r="C3949" s="61">
        <v>41450.09375</v>
      </c>
      <c r="D3949" s="60">
        <v>2560</v>
      </c>
      <c r="E3949" s="59" t="s">
        <v>539</v>
      </c>
    </row>
    <row r="3950" spans="3:5" ht="15" x14ac:dyDescent="0.2">
      <c r="C3950" s="61">
        <v>41450.104166666664</v>
      </c>
      <c r="D3950" s="60">
        <v>2560</v>
      </c>
      <c r="E3950" s="59" t="s">
        <v>539</v>
      </c>
    </row>
    <row r="3951" spans="3:5" ht="15" x14ac:dyDescent="0.2">
      <c r="C3951" s="61">
        <v>41450.114583333336</v>
      </c>
      <c r="D3951" s="60">
        <v>2560</v>
      </c>
      <c r="E3951" s="59" t="s">
        <v>539</v>
      </c>
    </row>
    <row r="3952" spans="3:5" ht="15" x14ac:dyDescent="0.2">
      <c r="C3952" s="61">
        <v>41450.125</v>
      </c>
      <c r="D3952" s="60">
        <v>2560</v>
      </c>
      <c r="E3952" s="59" t="s">
        <v>539</v>
      </c>
    </row>
    <row r="3953" spans="3:5" ht="15" x14ac:dyDescent="0.2">
      <c r="C3953" s="61">
        <v>41450.135416666664</v>
      </c>
      <c r="D3953" s="60">
        <v>2560</v>
      </c>
      <c r="E3953" s="59" t="s">
        <v>539</v>
      </c>
    </row>
    <row r="3954" spans="3:5" ht="15" x14ac:dyDescent="0.2">
      <c r="C3954" s="61">
        <v>41450.145833333336</v>
      </c>
      <c r="D3954" s="60">
        <v>2560</v>
      </c>
      <c r="E3954" s="59" t="s">
        <v>539</v>
      </c>
    </row>
    <row r="3955" spans="3:5" ht="15" x14ac:dyDescent="0.2">
      <c r="C3955" s="61">
        <v>41450.15625</v>
      </c>
      <c r="D3955" s="60">
        <v>2560</v>
      </c>
      <c r="E3955" s="59" t="s">
        <v>539</v>
      </c>
    </row>
    <row r="3956" spans="3:5" ht="15" x14ac:dyDescent="0.2">
      <c r="C3956" s="61">
        <v>41450.166666666664</v>
      </c>
      <c r="D3956" s="60">
        <v>2560</v>
      </c>
      <c r="E3956" s="59" t="s">
        <v>539</v>
      </c>
    </row>
    <row r="3957" spans="3:5" ht="15" x14ac:dyDescent="0.2">
      <c r="C3957" s="61">
        <v>41450.177083333336</v>
      </c>
      <c r="D3957" s="60">
        <v>2560</v>
      </c>
      <c r="E3957" s="59" t="s">
        <v>539</v>
      </c>
    </row>
    <row r="3958" spans="3:5" ht="15" x14ac:dyDescent="0.2">
      <c r="C3958" s="61">
        <v>41450.1875</v>
      </c>
      <c r="D3958" s="60">
        <v>2560</v>
      </c>
      <c r="E3958" s="59" t="s">
        <v>539</v>
      </c>
    </row>
    <row r="3959" spans="3:5" ht="15" x14ac:dyDescent="0.2">
      <c r="C3959" s="61">
        <v>41450.197916666664</v>
      </c>
      <c r="D3959" s="60">
        <v>2560</v>
      </c>
      <c r="E3959" s="59" t="s">
        <v>539</v>
      </c>
    </row>
    <row r="3960" spans="3:5" ht="15" x14ac:dyDescent="0.2">
      <c r="C3960" s="61">
        <v>41450.208333333336</v>
      </c>
      <c r="D3960" s="60">
        <v>2560</v>
      </c>
      <c r="E3960" s="59" t="s">
        <v>539</v>
      </c>
    </row>
    <row r="3961" spans="3:5" ht="15" x14ac:dyDescent="0.2">
      <c r="C3961" s="61">
        <v>41450.21875</v>
      </c>
      <c r="D3961" s="60">
        <v>2560</v>
      </c>
      <c r="E3961" s="59" t="s">
        <v>539</v>
      </c>
    </row>
    <row r="3962" spans="3:5" ht="15" x14ac:dyDescent="0.2">
      <c r="C3962" s="61">
        <v>41450.229166666664</v>
      </c>
      <c r="D3962" s="60">
        <v>2560</v>
      </c>
      <c r="E3962" s="59" t="s">
        <v>539</v>
      </c>
    </row>
    <row r="3963" spans="3:5" ht="15" x14ac:dyDescent="0.2">
      <c r="C3963" s="61">
        <v>41450.239583333336</v>
      </c>
      <c r="D3963" s="60">
        <v>2560</v>
      </c>
      <c r="E3963" s="59" t="s">
        <v>539</v>
      </c>
    </row>
    <row r="3964" spans="3:5" ht="15" x14ac:dyDescent="0.2">
      <c r="C3964" s="61">
        <v>41450.25</v>
      </c>
      <c r="D3964" s="60">
        <v>2560</v>
      </c>
      <c r="E3964" s="59" t="s">
        <v>539</v>
      </c>
    </row>
    <row r="3965" spans="3:5" ht="15" x14ac:dyDescent="0.2">
      <c r="C3965" s="61">
        <v>41450.260416666664</v>
      </c>
      <c r="D3965" s="60">
        <v>2560</v>
      </c>
      <c r="E3965" s="59" t="s">
        <v>539</v>
      </c>
    </row>
    <row r="3966" spans="3:5" ht="15" x14ac:dyDescent="0.2">
      <c r="C3966" s="61">
        <v>41450.270833333336</v>
      </c>
      <c r="D3966" s="60">
        <v>2560</v>
      </c>
      <c r="E3966" s="59" t="s">
        <v>539</v>
      </c>
    </row>
    <row r="3967" spans="3:5" ht="15" x14ac:dyDescent="0.2">
      <c r="C3967" s="61">
        <v>41450.28125</v>
      </c>
      <c r="D3967" s="60">
        <v>2560</v>
      </c>
      <c r="E3967" s="59" t="s">
        <v>539</v>
      </c>
    </row>
    <row r="3968" spans="3:5" ht="15" x14ac:dyDescent="0.2">
      <c r="C3968" s="61">
        <v>41450.291666666664</v>
      </c>
      <c r="D3968" s="60">
        <v>2560</v>
      </c>
      <c r="E3968" s="59" t="s">
        <v>539</v>
      </c>
    </row>
    <row r="3969" spans="3:5" ht="15" x14ac:dyDescent="0.2">
      <c r="C3969" s="61">
        <v>41450.302083333336</v>
      </c>
      <c r="D3969" s="60">
        <v>2560</v>
      </c>
      <c r="E3969" s="59" t="s">
        <v>539</v>
      </c>
    </row>
    <row r="3970" spans="3:5" ht="15" x14ac:dyDescent="0.2">
      <c r="C3970" s="61">
        <v>41450.3125</v>
      </c>
      <c r="D3970" s="60">
        <v>2560</v>
      </c>
      <c r="E3970" s="59" t="s">
        <v>539</v>
      </c>
    </row>
    <row r="3971" spans="3:5" ht="15" x14ac:dyDescent="0.2">
      <c r="C3971" s="61">
        <v>41450.322916666664</v>
      </c>
      <c r="D3971" s="60">
        <v>2570</v>
      </c>
      <c r="E3971" s="59" t="s">
        <v>538</v>
      </c>
    </row>
    <row r="3972" spans="3:5" ht="15" x14ac:dyDescent="0.2">
      <c r="C3972" s="61">
        <v>41450.333333333336</v>
      </c>
      <c r="D3972" s="60">
        <v>2570</v>
      </c>
      <c r="E3972" s="59" t="s">
        <v>538</v>
      </c>
    </row>
    <row r="3973" spans="3:5" ht="15" x14ac:dyDescent="0.2">
      <c r="C3973" s="61">
        <v>41450.34375</v>
      </c>
      <c r="D3973" s="60">
        <v>2570</v>
      </c>
      <c r="E3973" s="59" t="s">
        <v>538</v>
      </c>
    </row>
    <row r="3974" spans="3:5" ht="15" x14ac:dyDescent="0.2">
      <c r="C3974" s="61">
        <v>41450.354166666664</v>
      </c>
      <c r="D3974" s="60">
        <v>2570</v>
      </c>
      <c r="E3974" s="59" t="s">
        <v>538</v>
      </c>
    </row>
    <row r="3975" spans="3:5" ht="15" x14ac:dyDescent="0.2">
      <c r="C3975" s="61">
        <v>41450.364583333336</v>
      </c>
      <c r="D3975" s="60">
        <v>2580</v>
      </c>
      <c r="E3975" s="59" t="s">
        <v>537</v>
      </c>
    </row>
    <row r="3976" spans="3:5" ht="15" x14ac:dyDescent="0.2">
      <c r="C3976" s="61">
        <v>41450.375</v>
      </c>
      <c r="D3976" s="60">
        <v>2580</v>
      </c>
      <c r="E3976" s="59" t="s">
        <v>537</v>
      </c>
    </row>
    <row r="3977" spans="3:5" ht="15" x14ac:dyDescent="0.2">
      <c r="C3977" s="61">
        <v>41450.385416666664</v>
      </c>
      <c r="D3977" s="60">
        <v>2580</v>
      </c>
      <c r="E3977" s="59" t="s">
        <v>537</v>
      </c>
    </row>
    <row r="3978" spans="3:5" ht="15" x14ac:dyDescent="0.2">
      <c r="C3978" s="61">
        <v>41450.395833333336</v>
      </c>
      <c r="D3978" s="60">
        <v>2580</v>
      </c>
      <c r="E3978" s="59" t="s">
        <v>537</v>
      </c>
    </row>
    <row r="3979" spans="3:5" ht="15" x14ac:dyDescent="0.2">
      <c r="C3979" s="61">
        <v>41450.40625</v>
      </c>
      <c r="D3979" s="60">
        <v>2580</v>
      </c>
      <c r="E3979" s="59" t="s">
        <v>537</v>
      </c>
    </row>
    <row r="3980" spans="3:5" ht="15" x14ac:dyDescent="0.2">
      <c r="C3980" s="61">
        <v>41450.416666666664</v>
      </c>
      <c r="D3980" s="60">
        <v>2600</v>
      </c>
      <c r="E3980" s="59" t="s">
        <v>536</v>
      </c>
    </row>
    <row r="3981" spans="3:5" ht="15" x14ac:dyDescent="0.2">
      <c r="C3981" s="61">
        <v>41450.427083333336</v>
      </c>
      <c r="D3981" s="60">
        <v>2600</v>
      </c>
      <c r="E3981" s="59" t="s">
        <v>536</v>
      </c>
    </row>
    <row r="3982" spans="3:5" ht="15" x14ac:dyDescent="0.2">
      <c r="C3982" s="61">
        <v>41450.4375</v>
      </c>
      <c r="D3982" s="60">
        <v>2600</v>
      </c>
      <c r="E3982" s="59" t="s">
        <v>536</v>
      </c>
    </row>
    <row r="3983" spans="3:5" ht="15" x14ac:dyDescent="0.2">
      <c r="C3983" s="61">
        <v>41450.447916666664</v>
      </c>
      <c r="D3983" s="60">
        <v>2600</v>
      </c>
      <c r="E3983" s="59" t="s">
        <v>536</v>
      </c>
    </row>
    <row r="3984" spans="3:5" ht="15" x14ac:dyDescent="0.2">
      <c r="C3984" s="61">
        <v>41450.458333333336</v>
      </c>
      <c r="D3984" s="60">
        <v>2600</v>
      </c>
      <c r="E3984" s="59" t="s">
        <v>536</v>
      </c>
    </row>
    <row r="3985" spans="3:5" ht="15" x14ac:dyDescent="0.2">
      <c r="C3985" s="61">
        <v>41450.46875</v>
      </c>
      <c r="D3985" s="60">
        <v>2600</v>
      </c>
      <c r="E3985" s="59" t="s">
        <v>536</v>
      </c>
    </row>
    <row r="3986" spans="3:5" ht="15" x14ac:dyDescent="0.2">
      <c r="C3986" s="61">
        <v>41450.479166666664</v>
      </c>
      <c r="D3986" s="60">
        <v>2600</v>
      </c>
      <c r="E3986" s="59" t="s">
        <v>536</v>
      </c>
    </row>
    <row r="3987" spans="3:5" ht="15" x14ac:dyDescent="0.2">
      <c r="C3987" s="61">
        <v>41450.489583333336</v>
      </c>
      <c r="D3987" s="60">
        <v>2610</v>
      </c>
      <c r="E3987" s="59" t="s">
        <v>535</v>
      </c>
    </row>
    <row r="3988" spans="3:5" ht="15" x14ac:dyDescent="0.2">
      <c r="C3988" s="61">
        <v>41450.5</v>
      </c>
      <c r="D3988" s="60">
        <v>2610</v>
      </c>
      <c r="E3988" s="59" t="s">
        <v>535</v>
      </c>
    </row>
    <row r="3989" spans="3:5" ht="15" x14ac:dyDescent="0.2">
      <c r="C3989" s="61">
        <v>41450.510416666664</v>
      </c>
      <c r="D3989" s="60">
        <v>2610</v>
      </c>
      <c r="E3989" s="59" t="s">
        <v>535</v>
      </c>
    </row>
    <row r="3990" spans="3:5" ht="15" x14ac:dyDescent="0.2">
      <c r="C3990" s="61">
        <v>41450.520833333336</v>
      </c>
      <c r="D3990" s="60">
        <v>2610</v>
      </c>
      <c r="E3990" s="59" t="s">
        <v>535</v>
      </c>
    </row>
    <row r="3991" spans="3:5" ht="15" x14ac:dyDescent="0.2">
      <c r="C3991" s="61">
        <v>41450.53125</v>
      </c>
      <c r="D3991" s="60">
        <v>2620</v>
      </c>
      <c r="E3991" s="59" t="s">
        <v>534</v>
      </c>
    </row>
    <row r="3992" spans="3:5" ht="15" x14ac:dyDescent="0.2">
      <c r="C3992" s="61">
        <v>41450.541666666664</v>
      </c>
      <c r="D3992" s="60">
        <v>2620</v>
      </c>
      <c r="E3992" s="59" t="s">
        <v>534</v>
      </c>
    </row>
    <row r="3993" spans="3:5" ht="15" x14ac:dyDescent="0.2">
      <c r="C3993" s="61">
        <v>41450.552083333336</v>
      </c>
      <c r="D3993" s="60">
        <v>2620</v>
      </c>
      <c r="E3993" s="59" t="s">
        <v>534</v>
      </c>
    </row>
    <row r="3994" spans="3:5" ht="15" x14ac:dyDescent="0.2">
      <c r="C3994" s="61">
        <v>41450.5625</v>
      </c>
      <c r="D3994" s="60">
        <v>2620</v>
      </c>
      <c r="E3994" s="59" t="s">
        <v>534</v>
      </c>
    </row>
    <row r="3995" spans="3:5" ht="15" x14ac:dyDescent="0.2">
      <c r="C3995" s="61">
        <v>41450.572916666664</v>
      </c>
      <c r="D3995" s="60">
        <v>2630</v>
      </c>
      <c r="E3995" s="59" t="s">
        <v>533</v>
      </c>
    </row>
    <row r="3996" spans="3:5" ht="15" x14ac:dyDescent="0.2">
      <c r="C3996" s="61">
        <v>41450.583333333336</v>
      </c>
      <c r="D3996" s="60">
        <v>2630</v>
      </c>
      <c r="E3996" s="59" t="s">
        <v>533</v>
      </c>
    </row>
    <row r="3997" spans="3:5" ht="15" x14ac:dyDescent="0.2">
      <c r="C3997" s="61">
        <v>41450.59375</v>
      </c>
      <c r="D3997" s="60">
        <v>2630</v>
      </c>
      <c r="E3997" s="59" t="s">
        <v>533</v>
      </c>
    </row>
    <row r="3998" spans="3:5" ht="15" x14ac:dyDescent="0.2">
      <c r="C3998" s="61">
        <v>41450.604166666664</v>
      </c>
      <c r="D3998" s="60">
        <v>2630</v>
      </c>
      <c r="E3998" s="59" t="s">
        <v>533</v>
      </c>
    </row>
    <row r="3999" spans="3:5" ht="15" x14ac:dyDescent="0.2">
      <c r="C3999" s="61">
        <v>41450.614583333336</v>
      </c>
      <c r="D3999" s="60">
        <v>2630</v>
      </c>
      <c r="E3999" s="59" t="s">
        <v>533</v>
      </c>
    </row>
    <row r="4000" spans="3:5" ht="15" x14ac:dyDescent="0.2">
      <c r="C4000" s="61">
        <v>41450.625</v>
      </c>
      <c r="D4000" s="60">
        <v>2630</v>
      </c>
      <c r="E4000" s="59" t="s">
        <v>533</v>
      </c>
    </row>
    <row r="4001" spans="3:5" ht="15" x14ac:dyDescent="0.2">
      <c r="C4001" s="61">
        <v>41450.635416666664</v>
      </c>
      <c r="D4001" s="60">
        <v>2640</v>
      </c>
      <c r="E4001" s="59" t="s">
        <v>532</v>
      </c>
    </row>
    <row r="4002" spans="3:5" ht="15" x14ac:dyDescent="0.2">
      <c r="C4002" s="61">
        <v>41450.645833333336</v>
      </c>
      <c r="D4002" s="60">
        <v>2640</v>
      </c>
      <c r="E4002" s="59" t="s">
        <v>532</v>
      </c>
    </row>
    <row r="4003" spans="3:5" ht="15" x14ac:dyDescent="0.2">
      <c r="C4003" s="61">
        <v>41450.65625</v>
      </c>
      <c r="D4003" s="60">
        <v>2640</v>
      </c>
      <c r="E4003" s="59" t="s">
        <v>532</v>
      </c>
    </row>
    <row r="4004" spans="3:5" ht="15" x14ac:dyDescent="0.2">
      <c r="C4004" s="61">
        <v>41450.666666666664</v>
      </c>
      <c r="D4004" s="60">
        <v>2640</v>
      </c>
      <c r="E4004" s="59" t="s">
        <v>532</v>
      </c>
    </row>
    <row r="4005" spans="3:5" ht="15" x14ac:dyDescent="0.2">
      <c r="C4005" s="61">
        <v>41450.677083333336</v>
      </c>
      <c r="D4005" s="60">
        <v>2640</v>
      </c>
      <c r="E4005" s="59" t="s">
        <v>532</v>
      </c>
    </row>
    <row r="4006" spans="3:5" ht="15" x14ac:dyDescent="0.2">
      <c r="C4006" s="61">
        <v>41450.6875</v>
      </c>
      <c r="D4006" s="60">
        <v>2640</v>
      </c>
      <c r="E4006" s="59" t="s">
        <v>532</v>
      </c>
    </row>
    <row r="4007" spans="3:5" ht="15" x14ac:dyDescent="0.2">
      <c r="C4007" s="61">
        <v>41450.697916666664</v>
      </c>
      <c r="D4007" s="60">
        <v>2640</v>
      </c>
      <c r="E4007" s="59" t="s">
        <v>532</v>
      </c>
    </row>
    <row r="4008" spans="3:5" ht="15" x14ac:dyDescent="0.2">
      <c r="C4008" s="61">
        <v>41450.708333333336</v>
      </c>
      <c r="D4008" s="60">
        <v>2640</v>
      </c>
      <c r="E4008" s="59" t="s">
        <v>532</v>
      </c>
    </row>
    <row r="4009" spans="3:5" ht="15" x14ac:dyDescent="0.2">
      <c r="C4009" s="61">
        <v>41450.71875</v>
      </c>
      <c r="D4009" s="60">
        <v>2640</v>
      </c>
      <c r="E4009" s="59" t="s">
        <v>532</v>
      </c>
    </row>
    <row r="4010" spans="3:5" ht="15" x14ac:dyDescent="0.2">
      <c r="C4010" s="61">
        <v>41450.729166666664</v>
      </c>
      <c r="D4010" s="60">
        <v>2640</v>
      </c>
      <c r="E4010" s="59" t="s">
        <v>532</v>
      </c>
    </row>
    <row r="4011" spans="3:5" ht="15" x14ac:dyDescent="0.2">
      <c r="C4011" s="61">
        <v>41450.739583333336</v>
      </c>
      <c r="D4011" s="60">
        <v>2630</v>
      </c>
      <c r="E4011" s="59" t="s">
        <v>533</v>
      </c>
    </row>
    <row r="4012" spans="3:5" ht="15" x14ac:dyDescent="0.2">
      <c r="C4012" s="61">
        <v>41450.75</v>
      </c>
      <c r="D4012" s="60">
        <v>2600</v>
      </c>
      <c r="E4012" s="59" t="s">
        <v>536</v>
      </c>
    </row>
    <row r="4013" spans="3:5" ht="15" x14ac:dyDescent="0.2">
      <c r="C4013" s="61">
        <v>41450.760416666664</v>
      </c>
      <c r="D4013" s="60">
        <v>2530</v>
      </c>
      <c r="E4013" s="59" t="s">
        <v>541</v>
      </c>
    </row>
    <row r="4014" spans="3:5" ht="15" x14ac:dyDescent="0.2">
      <c r="C4014" s="61">
        <v>41450.770833333336</v>
      </c>
      <c r="D4014" s="60">
        <v>2500</v>
      </c>
      <c r="E4014" s="59" t="s">
        <v>544</v>
      </c>
    </row>
    <row r="4015" spans="3:5" ht="15" x14ac:dyDescent="0.2">
      <c r="C4015" s="61">
        <v>41450.78125</v>
      </c>
      <c r="D4015" s="60">
        <v>2470</v>
      </c>
      <c r="E4015" s="59" t="s">
        <v>546</v>
      </c>
    </row>
    <row r="4016" spans="3:5" ht="15" x14ac:dyDescent="0.2">
      <c r="C4016" s="61">
        <v>41450.791666666664</v>
      </c>
      <c r="D4016" s="60">
        <v>2470</v>
      </c>
      <c r="E4016" s="59" t="s">
        <v>546</v>
      </c>
    </row>
    <row r="4017" spans="3:5" ht="15" x14ac:dyDescent="0.2">
      <c r="C4017" s="61">
        <v>41450.802083333336</v>
      </c>
      <c r="D4017" s="60">
        <v>2490</v>
      </c>
      <c r="E4017" s="59" t="s">
        <v>545</v>
      </c>
    </row>
    <row r="4018" spans="3:5" ht="15" x14ac:dyDescent="0.2">
      <c r="C4018" s="61">
        <v>41450.8125</v>
      </c>
      <c r="D4018" s="60">
        <v>2500</v>
      </c>
      <c r="E4018" s="59" t="s">
        <v>544</v>
      </c>
    </row>
    <row r="4019" spans="3:5" ht="15" x14ac:dyDescent="0.2">
      <c r="C4019" s="61">
        <v>41450.822916666664</v>
      </c>
      <c r="D4019" s="60">
        <v>2510</v>
      </c>
      <c r="E4019" s="59" t="s">
        <v>543</v>
      </c>
    </row>
    <row r="4020" spans="3:5" ht="15" x14ac:dyDescent="0.2">
      <c r="C4020" s="61">
        <v>41450.833333333336</v>
      </c>
      <c r="D4020" s="60">
        <v>2520</v>
      </c>
      <c r="E4020" s="59" t="s">
        <v>542</v>
      </c>
    </row>
    <row r="4021" spans="3:5" ht="15" x14ac:dyDescent="0.2">
      <c r="C4021" s="61">
        <v>41450.84375</v>
      </c>
      <c r="D4021" s="60">
        <v>2530</v>
      </c>
      <c r="E4021" s="59" t="s">
        <v>541</v>
      </c>
    </row>
    <row r="4022" spans="3:5" ht="15" x14ac:dyDescent="0.2">
      <c r="C4022" s="61">
        <v>41450.854166666664</v>
      </c>
      <c r="D4022" s="60">
        <v>2550</v>
      </c>
      <c r="E4022" s="59" t="s">
        <v>540</v>
      </c>
    </row>
    <row r="4023" spans="3:5" ht="15" x14ac:dyDescent="0.2">
      <c r="C4023" s="61">
        <v>41450.864583333336</v>
      </c>
      <c r="D4023" s="60">
        <v>2560</v>
      </c>
      <c r="E4023" s="59" t="s">
        <v>539</v>
      </c>
    </row>
    <row r="4024" spans="3:5" ht="15" x14ac:dyDescent="0.2">
      <c r="C4024" s="61">
        <v>41450.875</v>
      </c>
      <c r="D4024" s="60">
        <v>2580</v>
      </c>
      <c r="E4024" s="59" t="s">
        <v>537</v>
      </c>
    </row>
    <row r="4025" spans="3:5" ht="15" x14ac:dyDescent="0.2">
      <c r="C4025" s="61">
        <v>41450.885416666664</v>
      </c>
      <c r="D4025" s="60">
        <v>2600</v>
      </c>
      <c r="E4025" s="59" t="s">
        <v>536</v>
      </c>
    </row>
    <row r="4026" spans="3:5" ht="15" x14ac:dyDescent="0.2">
      <c r="C4026" s="61">
        <v>41450.895833333336</v>
      </c>
      <c r="D4026" s="60">
        <v>2610</v>
      </c>
      <c r="E4026" s="59" t="s">
        <v>535</v>
      </c>
    </row>
    <row r="4027" spans="3:5" ht="15" x14ac:dyDescent="0.2">
      <c r="C4027" s="61">
        <v>41450.90625</v>
      </c>
      <c r="D4027" s="60">
        <v>2620</v>
      </c>
      <c r="E4027" s="59" t="s">
        <v>534</v>
      </c>
    </row>
    <row r="4028" spans="3:5" ht="15" x14ac:dyDescent="0.2">
      <c r="C4028" s="61">
        <v>41450.916666666664</v>
      </c>
      <c r="D4028" s="60">
        <v>2630</v>
      </c>
      <c r="E4028" s="59" t="s">
        <v>533</v>
      </c>
    </row>
    <row r="4029" spans="3:5" ht="15" x14ac:dyDescent="0.2">
      <c r="C4029" s="61">
        <v>41450.927083333336</v>
      </c>
      <c r="D4029" s="60">
        <v>2640</v>
      </c>
      <c r="E4029" s="59" t="s">
        <v>532</v>
      </c>
    </row>
    <row r="4030" spans="3:5" ht="15" x14ac:dyDescent="0.2">
      <c r="C4030" s="61">
        <v>41450.9375</v>
      </c>
      <c r="D4030" s="60">
        <v>2660</v>
      </c>
      <c r="E4030" s="59" t="s">
        <v>531</v>
      </c>
    </row>
    <row r="4031" spans="3:5" ht="15" x14ac:dyDescent="0.2">
      <c r="C4031" s="61">
        <v>41450.947916666664</v>
      </c>
      <c r="D4031" s="60">
        <v>2660</v>
      </c>
      <c r="E4031" s="59" t="s">
        <v>531</v>
      </c>
    </row>
    <row r="4032" spans="3:5" ht="15" x14ac:dyDescent="0.2">
      <c r="C4032" s="61">
        <v>41450.958333333336</v>
      </c>
      <c r="D4032" s="60">
        <v>2670</v>
      </c>
      <c r="E4032" s="59" t="s">
        <v>530</v>
      </c>
    </row>
    <row r="4033" spans="3:5" ht="15" x14ac:dyDescent="0.2">
      <c r="C4033" s="61">
        <v>41450.96875</v>
      </c>
      <c r="D4033" s="60">
        <v>2680</v>
      </c>
      <c r="E4033" s="59" t="s">
        <v>529</v>
      </c>
    </row>
    <row r="4034" spans="3:5" ht="15" x14ac:dyDescent="0.2">
      <c r="C4034" s="61">
        <v>41450.979166666664</v>
      </c>
      <c r="D4034" s="60">
        <v>2690</v>
      </c>
      <c r="E4034" s="59" t="s">
        <v>528</v>
      </c>
    </row>
    <row r="4035" spans="3:5" ht="15" x14ac:dyDescent="0.2">
      <c r="C4035" s="61">
        <v>41450.989583333336</v>
      </c>
      <c r="D4035" s="60">
        <v>2710</v>
      </c>
      <c r="E4035" s="59" t="s">
        <v>527</v>
      </c>
    </row>
    <row r="4036" spans="3:5" ht="15" x14ac:dyDescent="0.2">
      <c r="C4036" s="61">
        <v>41451</v>
      </c>
      <c r="D4036" s="60">
        <v>2710</v>
      </c>
      <c r="E4036" s="59" t="s">
        <v>527</v>
      </c>
    </row>
    <row r="4037" spans="3:5" ht="15" x14ac:dyDescent="0.2">
      <c r="C4037" s="61">
        <v>41451.010416666664</v>
      </c>
      <c r="D4037" s="60">
        <v>2710</v>
      </c>
      <c r="E4037" s="59" t="s">
        <v>527</v>
      </c>
    </row>
    <row r="4038" spans="3:5" ht="15" x14ac:dyDescent="0.2">
      <c r="C4038" s="61">
        <v>41451.020833333336</v>
      </c>
      <c r="D4038" s="60">
        <v>2720</v>
      </c>
      <c r="E4038" s="59" t="s">
        <v>526</v>
      </c>
    </row>
    <row r="4039" spans="3:5" ht="15" x14ac:dyDescent="0.2">
      <c r="C4039" s="61">
        <v>41451.03125</v>
      </c>
      <c r="D4039" s="60">
        <v>2730</v>
      </c>
      <c r="E4039" s="59" t="s">
        <v>525</v>
      </c>
    </row>
    <row r="4040" spans="3:5" ht="15" x14ac:dyDescent="0.2">
      <c r="C4040" s="61">
        <v>41451.041666666664</v>
      </c>
      <c r="D4040" s="60">
        <v>2730</v>
      </c>
      <c r="E4040" s="59" t="s">
        <v>525</v>
      </c>
    </row>
    <row r="4041" spans="3:5" ht="15" x14ac:dyDescent="0.2">
      <c r="C4041" s="61">
        <v>41451.052083333336</v>
      </c>
      <c r="D4041" s="60">
        <v>2740</v>
      </c>
      <c r="E4041" s="59" t="s">
        <v>524</v>
      </c>
    </row>
    <row r="4042" spans="3:5" ht="15" x14ac:dyDescent="0.2">
      <c r="C4042" s="61">
        <v>41451.0625</v>
      </c>
      <c r="D4042" s="60">
        <v>2740</v>
      </c>
      <c r="E4042" s="59" t="s">
        <v>524</v>
      </c>
    </row>
    <row r="4043" spans="3:5" ht="15" x14ac:dyDescent="0.2">
      <c r="C4043" s="61">
        <v>41451.072916666664</v>
      </c>
      <c r="D4043" s="60">
        <v>2760</v>
      </c>
      <c r="E4043" s="59" t="s">
        <v>523</v>
      </c>
    </row>
    <row r="4044" spans="3:5" ht="15" x14ac:dyDescent="0.2">
      <c r="C4044" s="61">
        <v>41451.083333333336</v>
      </c>
      <c r="D4044" s="60">
        <v>2760</v>
      </c>
      <c r="E4044" s="59" t="s">
        <v>523</v>
      </c>
    </row>
    <row r="4045" spans="3:5" ht="15" x14ac:dyDescent="0.2">
      <c r="C4045" s="61">
        <v>41451.09375</v>
      </c>
      <c r="D4045" s="60">
        <v>2770</v>
      </c>
      <c r="E4045" s="59" t="s">
        <v>522</v>
      </c>
    </row>
    <row r="4046" spans="3:5" ht="15" x14ac:dyDescent="0.2">
      <c r="C4046" s="61">
        <v>41451.104166666664</v>
      </c>
      <c r="D4046" s="60">
        <v>2780</v>
      </c>
      <c r="E4046" s="59" t="s">
        <v>521</v>
      </c>
    </row>
    <row r="4047" spans="3:5" ht="15" x14ac:dyDescent="0.2">
      <c r="C4047" s="61">
        <v>41451.114583333336</v>
      </c>
      <c r="D4047" s="60">
        <v>2780</v>
      </c>
      <c r="E4047" s="59" t="s">
        <v>521</v>
      </c>
    </row>
    <row r="4048" spans="3:5" ht="15" x14ac:dyDescent="0.2">
      <c r="C4048" s="61">
        <v>41451.125</v>
      </c>
      <c r="D4048" s="60">
        <v>2790</v>
      </c>
      <c r="E4048" s="59" t="s">
        <v>520</v>
      </c>
    </row>
    <row r="4049" spans="3:5" ht="15" x14ac:dyDescent="0.2">
      <c r="C4049" s="61">
        <v>41451.135416666664</v>
      </c>
      <c r="D4049" s="60">
        <v>2790</v>
      </c>
      <c r="E4049" s="59" t="s">
        <v>520</v>
      </c>
    </row>
    <row r="4050" spans="3:5" ht="15" x14ac:dyDescent="0.2">
      <c r="C4050" s="61">
        <v>41451.145833333336</v>
      </c>
      <c r="D4050" s="60">
        <v>2810</v>
      </c>
      <c r="E4050" s="59" t="s">
        <v>519</v>
      </c>
    </row>
    <row r="4051" spans="3:5" ht="15" x14ac:dyDescent="0.2">
      <c r="C4051" s="61">
        <v>41451.15625</v>
      </c>
      <c r="D4051" s="60">
        <v>2810</v>
      </c>
      <c r="E4051" s="59" t="s">
        <v>519</v>
      </c>
    </row>
    <row r="4052" spans="3:5" ht="15" x14ac:dyDescent="0.2">
      <c r="C4052" s="61">
        <v>41451.166666666664</v>
      </c>
      <c r="D4052" s="60">
        <v>2810</v>
      </c>
      <c r="E4052" s="59" t="s">
        <v>519</v>
      </c>
    </row>
    <row r="4053" spans="3:5" ht="15" x14ac:dyDescent="0.2">
      <c r="C4053" s="61">
        <v>41451.177083333336</v>
      </c>
      <c r="D4053" s="60">
        <v>2820</v>
      </c>
      <c r="E4053" s="59" t="s">
        <v>518</v>
      </c>
    </row>
    <row r="4054" spans="3:5" ht="15" x14ac:dyDescent="0.2">
      <c r="C4054" s="61">
        <v>41451.1875</v>
      </c>
      <c r="D4054" s="60">
        <v>2820</v>
      </c>
      <c r="E4054" s="59" t="s">
        <v>518</v>
      </c>
    </row>
    <row r="4055" spans="3:5" ht="15" x14ac:dyDescent="0.2">
      <c r="C4055" s="61">
        <v>41451.197916666664</v>
      </c>
      <c r="D4055" s="60">
        <v>2820</v>
      </c>
      <c r="E4055" s="59" t="s">
        <v>518</v>
      </c>
    </row>
    <row r="4056" spans="3:5" ht="15" x14ac:dyDescent="0.2">
      <c r="C4056" s="61">
        <v>41451.208333333336</v>
      </c>
      <c r="D4056" s="60">
        <v>2830</v>
      </c>
      <c r="E4056" s="59" t="s">
        <v>517</v>
      </c>
    </row>
    <row r="4057" spans="3:5" ht="15" x14ac:dyDescent="0.2">
      <c r="C4057" s="61">
        <v>41451.21875</v>
      </c>
      <c r="D4057" s="60">
        <v>2830</v>
      </c>
      <c r="E4057" s="59" t="s">
        <v>517</v>
      </c>
    </row>
    <row r="4058" spans="3:5" ht="15" x14ac:dyDescent="0.2">
      <c r="C4058" s="61">
        <v>41451.229166666664</v>
      </c>
      <c r="D4058" s="60">
        <v>2830</v>
      </c>
      <c r="E4058" s="59" t="s">
        <v>517</v>
      </c>
    </row>
    <row r="4059" spans="3:5" ht="15" x14ac:dyDescent="0.2">
      <c r="C4059" s="61">
        <v>41451.239583333336</v>
      </c>
      <c r="D4059" s="60">
        <v>2840</v>
      </c>
      <c r="E4059" s="59" t="s">
        <v>516</v>
      </c>
    </row>
    <row r="4060" spans="3:5" ht="15" x14ac:dyDescent="0.2">
      <c r="C4060" s="61">
        <v>41451.25</v>
      </c>
      <c r="D4060" s="60">
        <v>2840</v>
      </c>
      <c r="E4060" s="59" t="s">
        <v>516</v>
      </c>
    </row>
    <row r="4061" spans="3:5" ht="15" x14ac:dyDescent="0.2">
      <c r="C4061" s="61">
        <v>41451.260416666664</v>
      </c>
      <c r="D4061" s="60">
        <v>2840</v>
      </c>
      <c r="E4061" s="59" t="s">
        <v>516</v>
      </c>
    </row>
    <row r="4062" spans="3:5" ht="15" x14ac:dyDescent="0.2">
      <c r="C4062" s="61">
        <v>41451.270833333336</v>
      </c>
      <c r="D4062" s="60">
        <v>2840</v>
      </c>
      <c r="E4062" s="59" t="s">
        <v>516</v>
      </c>
    </row>
    <row r="4063" spans="3:5" ht="15" x14ac:dyDescent="0.2">
      <c r="C4063" s="61">
        <v>41451.28125</v>
      </c>
      <c r="D4063" s="60">
        <v>2840</v>
      </c>
      <c r="E4063" s="59" t="s">
        <v>516</v>
      </c>
    </row>
    <row r="4064" spans="3:5" ht="15" x14ac:dyDescent="0.2">
      <c r="C4064" s="61">
        <v>41451.291666666664</v>
      </c>
      <c r="D4064" s="60">
        <v>2840</v>
      </c>
      <c r="E4064" s="59" t="s">
        <v>516</v>
      </c>
    </row>
    <row r="4065" spans="3:5" ht="15" x14ac:dyDescent="0.2">
      <c r="C4065" s="61">
        <v>41451.302083333336</v>
      </c>
      <c r="D4065" s="60">
        <v>2840</v>
      </c>
      <c r="E4065" s="59" t="s">
        <v>516</v>
      </c>
    </row>
    <row r="4066" spans="3:5" ht="15" x14ac:dyDescent="0.2">
      <c r="C4066" s="61">
        <v>41451.3125</v>
      </c>
      <c r="D4066" s="60">
        <v>2860</v>
      </c>
      <c r="E4066" s="59" t="s">
        <v>515</v>
      </c>
    </row>
    <row r="4067" spans="3:5" ht="15" x14ac:dyDescent="0.2">
      <c r="C4067" s="61">
        <v>41451.322916666664</v>
      </c>
      <c r="D4067" s="60">
        <v>2860</v>
      </c>
      <c r="E4067" s="59" t="s">
        <v>515</v>
      </c>
    </row>
    <row r="4068" spans="3:5" ht="15" x14ac:dyDescent="0.2">
      <c r="C4068" s="61">
        <v>41451.333333333336</v>
      </c>
      <c r="D4068" s="60">
        <v>2860</v>
      </c>
      <c r="E4068" s="59" t="s">
        <v>515</v>
      </c>
    </row>
    <row r="4069" spans="3:5" ht="15" x14ac:dyDescent="0.2">
      <c r="C4069" s="61">
        <v>41451.34375</v>
      </c>
      <c r="D4069" s="60">
        <v>2860</v>
      </c>
      <c r="E4069" s="59" t="s">
        <v>515</v>
      </c>
    </row>
    <row r="4070" spans="3:5" ht="15" x14ac:dyDescent="0.2">
      <c r="C4070" s="61">
        <v>41451.354166666664</v>
      </c>
      <c r="D4070" s="60">
        <v>2860</v>
      </c>
      <c r="E4070" s="59" t="s">
        <v>515</v>
      </c>
    </row>
    <row r="4071" spans="3:5" ht="15" x14ac:dyDescent="0.2">
      <c r="C4071" s="61">
        <v>41451.364583333336</v>
      </c>
      <c r="D4071" s="60">
        <v>2840</v>
      </c>
      <c r="E4071" s="59" t="s">
        <v>516</v>
      </c>
    </row>
    <row r="4072" spans="3:5" ht="15" x14ac:dyDescent="0.2">
      <c r="C4072" s="61">
        <v>41451.375</v>
      </c>
      <c r="D4072" s="60">
        <v>2830</v>
      </c>
      <c r="E4072" s="59" t="s">
        <v>517</v>
      </c>
    </row>
    <row r="4073" spans="3:5" ht="15" x14ac:dyDescent="0.2">
      <c r="C4073" s="61">
        <v>41451.385416666664</v>
      </c>
      <c r="D4073" s="60">
        <v>2820</v>
      </c>
      <c r="E4073" s="59" t="s">
        <v>518</v>
      </c>
    </row>
    <row r="4074" spans="3:5" ht="15" x14ac:dyDescent="0.2">
      <c r="C4074" s="61">
        <v>41451.395833333336</v>
      </c>
      <c r="D4074" s="60">
        <v>2810</v>
      </c>
      <c r="E4074" s="59" t="s">
        <v>519</v>
      </c>
    </row>
    <row r="4075" spans="3:5" ht="15" x14ac:dyDescent="0.2">
      <c r="C4075" s="61">
        <v>41451.40625</v>
      </c>
      <c r="D4075" s="60">
        <v>2810</v>
      </c>
      <c r="E4075" s="59" t="s">
        <v>519</v>
      </c>
    </row>
    <row r="4076" spans="3:5" ht="15" x14ac:dyDescent="0.2">
      <c r="C4076" s="61">
        <v>41451.416666666664</v>
      </c>
      <c r="D4076" s="60">
        <v>2790</v>
      </c>
      <c r="E4076" s="59" t="s">
        <v>520</v>
      </c>
    </row>
    <row r="4077" spans="3:5" ht="15" x14ac:dyDescent="0.2">
      <c r="C4077" s="61">
        <v>41451.427083333336</v>
      </c>
      <c r="D4077" s="60">
        <v>2780</v>
      </c>
      <c r="E4077" s="59" t="s">
        <v>521</v>
      </c>
    </row>
    <row r="4078" spans="3:5" ht="15" x14ac:dyDescent="0.2">
      <c r="C4078" s="61">
        <v>41451.4375</v>
      </c>
      <c r="D4078" s="60">
        <v>2780</v>
      </c>
      <c r="E4078" s="59" t="s">
        <v>521</v>
      </c>
    </row>
    <row r="4079" spans="3:5" ht="15" x14ac:dyDescent="0.2">
      <c r="C4079" s="61">
        <v>41451.447916666664</v>
      </c>
      <c r="D4079" s="60">
        <v>2780</v>
      </c>
      <c r="E4079" s="59" t="s">
        <v>521</v>
      </c>
    </row>
    <row r="4080" spans="3:5" ht="15" x14ac:dyDescent="0.2">
      <c r="C4080" s="61">
        <v>41451.458333333336</v>
      </c>
      <c r="D4080" s="60">
        <v>2790</v>
      </c>
      <c r="E4080" s="59" t="s">
        <v>520</v>
      </c>
    </row>
    <row r="4081" spans="3:5" ht="15" x14ac:dyDescent="0.2">
      <c r="C4081" s="61">
        <v>41451.46875</v>
      </c>
      <c r="D4081" s="60">
        <v>2790</v>
      </c>
      <c r="E4081" s="59" t="s">
        <v>520</v>
      </c>
    </row>
    <row r="4082" spans="3:5" ht="15" x14ac:dyDescent="0.2">
      <c r="C4082" s="61">
        <v>41451.479166666664</v>
      </c>
      <c r="D4082" s="60">
        <v>2790</v>
      </c>
      <c r="E4082" s="59" t="s">
        <v>520</v>
      </c>
    </row>
    <row r="4083" spans="3:5" ht="15" x14ac:dyDescent="0.2">
      <c r="C4083" s="61">
        <v>41451.489583333336</v>
      </c>
      <c r="D4083" s="60">
        <v>2790</v>
      </c>
      <c r="E4083" s="59" t="s">
        <v>520</v>
      </c>
    </row>
    <row r="4084" spans="3:5" ht="15" x14ac:dyDescent="0.2">
      <c r="C4084" s="61">
        <v>41451.5</v>
      </c>
      <c r="D4084" s="60">
        <v>2790</v>
      </c>
      <c r="E4084" s="59" t="s">
        <v>520</v>
      </c>
    </row>
    <row r="4085" spans="3:5" ht="15" x14ac:dyDescent="0.2">
      <c r="C4085" s="61">
        <v>41451.510416666664</v>
      </c>
      <c r="D4085" s="60">
        <v>2810</v>
      </c>
      <c r="E4085" s="59" t="s">
        <v>519</v>
      </c>
    </row>
    <row r="4086" spans="3:5" ht="15" x14ac:dyDescent="0.2">
      <c r="C4086" s="61">
        <v>41451.520833333336</v>
      </c>
      <c r="D4086" s="60">
        <v>2810</v>
      </c>
      <c r="E4086" s="59" t="s">
        <v>519</v>
      </c>
    </row>
    <row r="4087" spans="3:5" ht="15" x14ac:dyDescent="0.2">
      <c r="C4087" s="61">
        <v>41451.53125</v>
      </c>
      <c r="D4087" s="60">
        <v>2820</v>
      </c>
      <c r="E4087" s="59" t="s">
        <v>518</v>
      </c>
    </row>
    <row r="4088" spans="3:5" ht="15" x14ac:dyDescent="0.2">
      <c r="C4088" s="61">
        <v>41451.541666666664</v>
      </c>
      <c r="D4088" s="60">
        <v>2820</v>
      </c>
      <c r="E4088" s="59" t="s">
        <v>518</v>
      </c>
    </row>
    <row r="4089" spans="3:5" ht="15" x14ac:dyDescent="0.2">
      <c r="C4089" s="61">
        <v>41451.552083333336</v>
      </c>
      <c r="D4089" s="60">
        <v>2830</v>
      </c>
      <c r="E4089" s="59" t="s">
        <v>517</v>
      </c>
    </row>
    <row r="4090" spans="3:5" ht="15" x14ac:dyDescent="0.2">
      <c r="C4090" s="61">
        <v>41451.5625</v>
      </c>
      <c r="D4090" s="60">
        <v>2830</v>
      </c>
      <c r="E4090" s="59" t="s">
        <v>517</v>
      </c>
    </row>
    <row r="4091" spans="3:5" ht="15" x14ac:dyDescent="0.2">
      <c r="C4091" s="61">
        <v>41451.572916666664</v>
      </c>
      <c r="D4091" s="60">
        <v>2840</v>
      </c>
      <c r="E4091" s="59" t="s">
        <v>516</v>
      </c>
    </row>
    <row r="4092" spans="3:5" ht="15" x14ac:dyDescent="0.2">
      <c r="C4092" s="61">
        <v>41451.583333333336</v>
      </c>
      <c r="D4092" s="60">
        <v>2860</v>
      </c>
      <c r="E4092" s="59" t="s">
        <v>515</v>
      </c>
    </row>
    <row r="4093" spans="3:5" ht="15" x14ac:dyDescent="0.2">
      <c r="C4093" s="61">
        <v>41451.59375</v>
      </c>
      <c r="D4093" s="60">
        <v>2860</v>
      </c>
      <c r="E4093" s="59" t="s">
        <v>515</v>
      </c>
    </row>
    <row r="4094" spans="3:5" ht="15" x14ac:dyDescent="0.2">
      <c r="C4094" s="61">
        <v>41451.604166666664</v>
      </c>
      <c r="D4094" s="60">
        <v>2870</v>
      </c>
      <c r="E4094" s="59" t="s">
        <v>514</v>
      </c>
    </row>
    <row r="4095" spans="3:5" ht="15" x14ac:dyDescent="0.2">
      <c r="C4095" s="61">
        <v>41451.614583333336</v>
      </c>
      <c r="D4095" s="60">
        <v>2870</v>
      </c>
      <c r="E4095" s="59" t="s">
        <v>514</v>
      </c>
    </row>
    <row r="4096" spans="3:5" ht="15" x14ac:dyDescent="0.2">
      <c r="C4096" s="61">
        <v>41451.625</v>
      </c>
      <c r="D4096" s="60">
        <v>2880</v>
      </c>
      <c r="E4096" s="59" t="s">
        <v>513</v>
      </c>
    </row>
    <row r="4097" spans="3:5" ht="15" x14ac:dyDescent="0.2">
      <c r="C4097" s="61">
        <v>41451.635416666664</v>
      </c>
      <c r="D4097" s="60">
        <v>2900</v>
      </c>
      <c r="E4097" s="59" t="s">
        <v>512</v>
      </c>
    </row>
    <row r="4098" spans="3:5" ht="15" x14ac:dyDescent="0.2">
      <c r="C4098" s="61">
        <v>41451.645833333336</v>
      </c>
      <c r="D4098" s="60">
        <v>2910</v>
      </c>
      <c r="E4098" s="59" t="s">
        <v>511</v>
      </c>
    </row>
    <row r="4099" spans="3:5" ht="15" x14ac:dyDescent="0.2">
      <c r="C4099" s="61">
        <v>41451.65625</v>
      </c>
      <c r="D4099" s="60">
        <v>2930</v>
      </c>
      <c r="E4099" s="59" t="s">
        <v>509</v>
      </c>
    </row>
    <row r="4100" spans="3:5" ht="15" x14ac:dyDescent="0.2">
      <c r="C4100" s="61">
        <v>41451.666666666664</v>
      </c>
      <c r="D4100" s="60">
        <v>2950</v>
      </c>
      <c r="E4100" s="59" t="s">
        <v>508</v>
      </c>
    </row>
    <row r="4101" spans="3:5" ht="15" x14ac:dyDescent="0.2">
      <c r="C4101" s="61">
        <v>41451.677083333336</v>
      </c>
      <c r="D4101" s="60">
        <v>2960</v>
      </c>
      <c r="E4101" s="59" t="s">
        <v>507</v>
      </c>
    </row>
    <row r="4102" spans="3:5" ht="15" x14ac:dyDescent="0.2">
      <c r="C4102" s="61">
        <v>41451.6875</v>
      </c>
      <c r="D4102" s="60">
        <v>2960</v>
      </c>
      <c r="E4102" s="59" t="s">
        <v>507</v>
      </c>
    </row>
    <row r="4103" spans="3:5" ht="15" x14ac:dyDescent="0.2">
      <c r="C4103" s="61">
        <v>41451.697916666664</v>
      </c>
      <c r="D4103" s="60">
        <v>2960</v>
      </c>
      <c r="E4103" s="59" t="s">
        <v>507</v>
      </c>
    </row>
    <row r="4104" spans="3:5" ht="15" x14ac:dyDescent="0.2">
      <c r="C4104" s="61">
        <v>41451.708333333336</v>
      </c>
      <c r="D4104" s="60">
        <v>2960</v>
      </c>
      <c r="E4104" s="59" t="s">
        <v>507</v>
      </c>
    </row>
    <row r="4105" spans="3:5" ht="15" x14ac:dyDescent="0.2">
      <c r="C4105" s="61">
        <v>41451.71875</v>
      </c>
      <c r="D4105" s="60">
        <v>2960</v>
      </c>
      <c r="E4105" s="59" t="s">
        <v>507</v>
      </c>
    </row>
    <row r="4106" spans="3:5" ht="15" x14ac:dyDescent="0.2">
      <c r="C4106" s="61">
        <v>41451.729166666664</v>
      </c>
      <c r="D4106" s="60">
        <v>2960</v>
      </c>
      <c r="E4106" s="59" t="s">
        <v>507</v>
      </c>
    </row>
    <row r="4107" spans="3:5" ht="15" x14ac:dyDescent="0.2">
      <c r="C4107" s="61">
        <v>41451.739583333336</v>
      </c>
      <c r="D4107" s="60">
        <v>2950</v>
      </c>
      <c r="E4107" s="59" t="s">
        <v>508</v>
      </c>
    </row>
    <row r="4108" spans="3:5" ht="15" x14ac:dyDescent="0.2">
      <c r="C4108" s="61">
        <v>41451.75</v>
      </c>
      <c r="D4108" s="60">
        <v>2930</v>
      </c>
      <c r="E4108" s="59" t="s">
        <v>509</v>
      </c>
    </row>
    <row r="4109" spans="3:5" ht="15" x14ac:dyDescent="0.2">
      <c r="C4109" s="61">
        <v>41451.760416666664</v>
      </c>
      <c r="D4109" s="60">
        <v>2920</v>
      </c>
      <c r="E4109" s="59" t="s">
        <v>510</v>
      </c>
    </row>
    <row r="4110" spans="3:5" ht="15" x14ac:dyDescent="0.2">
      <c r="C4110" s="61">
        <v>41451.770833333336</v>
      </c>
      <c r="D4110" s="60">
        <v>2910</v>
      </c>
      <c r="E4110" s="59" t="s">
        <v>511</v>
      </c>
    </row>
    <row r="4111" spans="3:5" ht="15" x14ac:dyDescent="0.2">
      <c r="C4111" s="61">
        <v>41451.78125</v>
      </c>
      <c r="D4111" s="60">
        <v>2900</v>
      </c>
      <c r="E4111" s="59" t="s">
        <v>512</v>
      </c>
    </row>
    <row r="4112" spans="3:5" ht="15" x14ac:dyDescent="0.2">
      <c r="C4112" s="61">
        <v>41451.791666666664</v>
      </c>
      <c r="D4112" s="60">
        <v>2880</v>
      </c>
      <c r="E4112" s="59" t="s">
        <v>513</v>
      </c>
    </row>
    <row r="4113" spans="3:5" ht="15" x14ac:dyDescent="0.2">
      <c r="C4113" s="61">
        <v>41451.802083333336</v>
      </c>
      <c r="D4113" s="60">
        <v>2880</v>
      </c>
      <c r="E4113" s="59" t="s">
        <v>513</v>
      </c>
    </row>
    <row r="4114" spans="3:5" ht="15" x14ac:dyDescent="0.2">
      <c r="C4114" s="61">
        <v>41451.8125</v>
      </c>
      <c r="D4114" s="60">
        <v>2870</v>
      </c>
      <c r="E4114" s="59" t="s">
        <v>514</v>
      </c>
    </row>
    <row r="4115" spans="3:5" ht="15" x14ac:dyDescent="0.2">
      <c r="C4115" s="61">
        <v>41451.822916666664</v>
      </c>
      <c r="D4115" s="60">
        <v>2860</v>
      </c>
      <c r="E4115" s="59" t="s">
        <v>515</v>
      </c>
    </row>
    <row r="4116" spans="3:5" ht="15" x14ac:dyDescent="0.2">
      <c r="C4116" s="61">
        <v>41451.833333333336</v>
      </c>
      <c r="D4116" s="60">
        <v>2860</v>
      </c>
      <c r="E4116" s="59" t="s">
        <v>515</v>
      </c>
    </row>
    <row r="4117" spans="3:5" ht="15" x14ac:dyDescent="0.2">
      <c r="C4117" s="61">
        <v>41451.84375</v>
      </c>
      <c r="D4117" s="60">
        <v>2840</v>
      </c>
      <c r="E4117" s="59" t="s">
        <v>516</v>
      </c>
    </row>
    <row r="4118" spans="3:5" ht="15" x14ac:dyDescent="0.2">
      <c r="C4118" s="61">
        <v>41451.854166666664</v>
      </c>
      <c r="D4118" s="60">
        <v>2840</v>
      </c>
      <c r="E4118" s="59" t="s">
        <v>516</v>
      </c>
    </row>
    <row r="4119" spans="3:5" ht="15" x14ac:dyDescent="0.2">
      <c r="C4119" s="61">
        <v>41451.864583333336</v>
      </c>
      <c r="D4119" s="60">
        <v>2830</v>
      </c>
      <c r="E4119" s="59" t="s">
        <v>517</v>
      </c>
    </row>
    <row r="4120" spans="3:5" ht="15" x14ac:dyDescent="0.2">
      <c r="C4120" s="61">
        <v>41451.875</v>
      </c>
      <c r="D4120" s="60">
        <v>2820</v>
      </c>
      <c r="E4120" s="59" t="s">
        <v>518</v>
      </c>
    </row>
    <row r="4121" spans="3:5" ht="15" x14ac:dyDescent="0.2">
      <c r="C4121" s="61">
        <v>41451.885416666664</v>
      </c>
      <c r="D4121" s="60">
        <v>2820</v>
      </c>
      <c r="E4121" s="59" t="s">
        <v>518</v>
      </c>
    </row>
    <row r="4122" spans="3:5" ht="15" x14ac:dyDescent="0.2">
      <c r="C4122" s="61">
        <v>41451.895833333336</v>
      </c>
      <c r="D4122" s="60">
        <v>2820</v>
      </c>
      <c r="E4122" s="59" t="s">
        <v>518</v>
      </c>
    </row>
    <row r="4123" spans="3:5" ht="15" x14ac:dyDescent="0.2">
      <c r="C4123" s="61">
        <v>41451.90625</v>
      </c>
      <c r="D4123" s="60">
        <v>2810</v>
      </c>
      <c r="E4123" s="59" t="s">
        <v>519</v>
      </c>
    </row>
    <row r="4124" spans="3:5" ht="15" x14ac:dyDescent="0.2">
      <c r="C4124" s="61">
        <v>41451.916666666664</v>
      </c>
      <c r="D4124" s="60">
        <v>2810</v>
      </c>
      <c r="E4124" s="59" t="s">
        <v>519</v>
      </c>
    </row>
    <row r="4125" spans="3:5" ht="15" x14ac:dyDescent="0.2">
      <c r="C4125" s="61">
        <v>41451.927083333336</v>
      </c>
      <c r="D4125" s="60">
        <v>2790</v>
      </c>
      <c r="E4125" s="59" t="s">
        <v>520</v>
      </c>
    </row>
    <row r="4126" spans="3:5" ht="15" x14ac:dyDescent="0.2">
      <c r="C4126" s="61">
        <v>41451.9375</v>
      </c>
      <c r="D4126" s="60">
        <v>2790</v>
      </c>
      <c r="E4126" s="59" t="s">
        <v>520</v>
      </c>
    </row>
    <row r="4127" spans="3:5" ht="15" x14ac:dyDescent="0.2">
      <c r="C4127" s="61">
        <v>41451.947916666664</v>
      </c>
      <c r="D4127" s="60">
        <v>2790</v>
      </c>
      <c r="E4127" s="59" t="s">
        <v>520</v>
      </c>
    </row>
    <row r="4128" spans="3:5" ht="15" x14ac:dyDescent="0.2">
      <c r="C4128" s="61">
        <v>41451.958333333336</v>
      </c>
      <c r="D4128" s="60">
        <v>2790</v>
      </c>
      <c r="E4128" s="59" t="s">
        <v>520</v>
      </c>
    </row>
    <row r="4129" spans="3:5" ht="15" x14ac:dyDescent="0.2">
      <c r="C4129" s="61">
        <v>41451.96875</v>
      </c>
      <c r="D4129" s="60">
        <v>2790</v>
      </c>
      <c r="E4129" s="59" t="s">
        <v>520</v>
      </c>
    </row>
    <row r="4130" spans="3:5" ht="15" x14ac:dyDescent="0.2">
      <c r="C4130" s="61">
        <v>41451.979166666664</v>
      </c>
      <c r="D4130" s="60">
        <v>2790</v>
      </c>
      <c r="E4130" s="59" t="s">
        <v>520</v>
      </c>
    </row>
    <row r="4131" spans="3:5" ht="15" x14ac:dyDescent="0.2">
      <c r="C4131" s="61">
        <v>41451.989583333336</v>
      </c>
      <c r="D4131" s="60">
        <v>2790</v>
      </c>
      <c r="E4131" s="59" t="s">
        <v>520</v>
      </c>
    </row>
    <row r="4132" spans="3:5" ht="15" x14ac:dyDescent="0.2">
      <c r="C4132" s="61">
        <v>41452</v>
      </c>
      <c r="D4132" s="60">
        <v>2790</v>
      </c>
      <c r="E4132" s="59" t="s">
        <v>520</v>
      </c>
    </row>
    <row r="4133" spans="3:5" ht="15" x14ac:dyDescent="0.2">
      <c r="C4133" s="61">
        <v>41452.010416666664</v>
      </c>
      <c r="D4133" s="60">
        <v>2790</v>
      </c>
      <c r="E4133" s="59" t="s">
        <v>520</v>
      </c>
    </row>
    <row r="4134" spans="3:5" ht="15" x14ac:dyDescent="0.2">
      <c r="C4134" s="61">
        <v>41452.020833333336</v>
      </c>
      <c r="D4134" s="60">
        <v>2790</v>
      </c>
      <c r="E4134" s="59" t="s">
        <v>520</v>
      </c>
    </row>
    <row r="4135" spans="3:5" ht="15" x14ac:dyDescent="0.2">
      <c r="C4135" s="61">
        <v>41452.03125</v>
      </c>
      <c r="D4135" s="60">
        <v>2790</v>
      </c>
      <c r="E4135" s="59" t="s">
        <v>520</v>
      </c>
    </row>
    <row r="4136" spans="3:5" ht="15" x14ac:dyDescent="0.2">
      <c r="C4136" s="61">
        <v>41452.041666666664</v>
      </c>
      <c r="D4136" s="60">
        <v>2790</v>
      </c>
      <c r="E4136" s="59" t="s">
        <v>520</v>
      </c>
    </row>
    <row r="4137" spans="3:5" ht="15" x14ac:dyDescent="0.2">
      <c r="C4137" s="61">
        <v>41452.052083333336</v>
      </c>
      <c r="D4137" s="60">
        <v>2810</v>
      </c>
      <c r="E4137" s="59" t="s">
        <v>519</v>
      </c>
    </row>
    <row r="4138" spans="3:5" ht="15" x14ac:dyDescent="0.2">
      <c r="C4138" s="61">
        <v>41452.0625</v>
      </c>
      <c r="D4138" s="60">
        <v>2810</v>
      </c>
      <c r="E4138" s="59" t="s">
        <v>519</v>
      </c>
    </row>
    <row r="4139" spans="3:5" ht="15" x14ac:dyDescent="0.2">
      <c r="C4139" s="61">
        <v>41452.072916666664</v>
      </c>
      <c r="D4139" s="60">
        <v>2810</v>
      </c>
      <c r="E4139" s="59" t="s">
        <v>519</v>
      </c>
    </row>
    <row r="4140" spans="3:5" ht="15" x14ac:dyDescent="0.2">
      <c r="C4140" s="61">
        <v>41452.083333333336</v>
      </c>
      <c r="D4140" s="60">
        <v>2810</v>
      </c>
      <c r="E4140" s="59" t="s">
        <v>519</v>
      </c>
    </row>
    <row r="4141" spans="3:5" ht="15" x14ac:dyDescent="0.2">
      <c r="C4141" s="61">
        <v>41452.09375</v>
      </c>
      <c r="D4141" s="60">
        <v>2810</v>
      </c>
      <c r="E4141" s="59" t="s">
        <v>519</v>
      </c>
    </row>
    <row r="4142" spans="3:5" ht="15" x14ac:dyDescent="0.2">
      <c r="C4142" s="61">
        <v>41452.104166666664</v>
      </c>
      <c r="D4142" s="60">
        <v>2810</v>
      </c>
      <c r="E4142" s="59" t="s">
        <v>519</v>
      </c>
    </row>
    <row r="4143" spans="3:5" ht="15" x14ac:dyDescent="0.2">
      <c r="C4143" s="61">
        <v>41452.114583333336</v>
      </c>
      <c r="D4143" s="60">
        <v>2810</v>
      </c>
      <c r="E4143" s="59" t="s">
        <v>519</v>
      </c>
    </row>
    <row r="4144" spans="3:5" ht="15" x14ac:dyDescent="0.2">
      <c r="C4144" s="61">
        <v>41452.125</v>
      </c>
      <c r="D4144" s="60">
        <v>2810</v>
      </c>
      <c r="E4144" s="59" t="s">
        <v>519</v>
      </c>
    </row>
    <row r="4145" spans="3:5" ht="15" x14ac:dyDescent="0.2">
      <c r="C4145" s="61">
        <v>41452.135416666664</v>
      </c>
      <c r="D4145" s="60">
        <v>2810</v>
      </c>
      <c r="E4145" s="59" t="s">
        <v>519</v>
      </c>
    </row>
    <row r="4146" spans="3:5" ht="15" x14ac:dyDescent="0.2">
      <c r="C4146" s="61">
        <v>41452.145833333336</v>
      </c>
      <c r="D4146" s="60">
        <v>2810</v>
      </c>
      <c r="E4146" s="59" t="s">
        <v>519</v>
      </c>
    </row>
    <row r="4147" spans="3:5" ht="15" x14ac:dyDescent="0.2">
      <c r="C4147" s="61">
        <v>41452.15625</v>
      </c>
      <c r="D4147" s="60">
        <v>2810</v>
      </c>
      <c r="E4147" s="59" t="s">
        <v>519</v>
      </c>
    </row>
    <row r="4148" spans="3:5" ht="15" x14ac:dyDescent="0.2">
      <c r="C4148" s="61">
        <v>41452.166666666664</v>
      </c>
      <c r="D4148" s="60">
        <v>2820</v>
      </c>
      <c r="E4148" s="59" t="s">
        <v>518</v>
      </c>
    </row>
    <row r="4149" spans="3:5" ht="15" x14ac:dyDescent="0.2">
      <c r="C4149" s="61">
        <v>41452.177083333336</v>
      </c>
      <c r="D4149" s="60">
        <v>2820</v>
      </c>
      <c r="E4149" s="59" t="s">
        <v>518</v>
      </c>
    </row>
    <row r="4150" spans="3:5" ht="15" x14ac:dyDescent="0.2">
      <c r="C4150" s="61">
        <v>41452.1875</v>
      </c>
      <c r="D4150" s="60">
        <v>2820</v>
      </c>
      <c r="E4150" s="59" t="s">
        <v>518</v>
      </c>
    </row>
    <row r="4151" spans="3:5" ht="15" x14ac:dyDescent="0.2">
      <c r="C4151" s="61">
        <v>41452.197916666664</v>
      </c>
      <c r="D4151" s="60">
        <v>2820</v>
      </c>
      <c r="E4151" s="59" t="s">
        <v>518</v>
      </c>
    </row>
    <row r="4152" spans="3:5" ht="15" x14ac:dyDescent="0.2">
      <c r="C4152" s="61">
        <v>41452.208333333336</v>
      </c>
      <c r="D4152" s="60">
        <v>2820</v>
      </c>
      <c r="E4152" s="59" t="s">
        <v>518</v>
      </c>
    </row>
    <row r="4153" spans="3:5" ht="15" x14ac:dyDescent="0.2">
      <c r="C4153" s="61">
        <v>41452.21875</v>
      </c>
      <c r="D4153" s="60">
        <v>2820</v>
      </c>
      <c r="E4153" s="59" t="s">
        <v>518</v>
      </c>
    </row>
    <row r="4154" spans="3:5" ht="15" x14ac:dyDescent="0.2">
      <c r="C4154" s="61">
        <v>41452.229166666664</v>
      </c>
      <c r="D4154" s="60">
        <v>2820</v>
      </c>
      <c r="E4154" s="59" t="s">
        <v>518</v>
      </c>
    </row>
    <row r="4155" spans="3:5" ht="15" x14ac:dyDescent="0.2">
      <c r="C4155" s="61">
        <v>41452.239583333336</v>
      </c>
      <c r="D4155" s="60">
        <v>2820</v>
      </c>
      <c r="E4155" s="59" t="s">
        <v>518</v>
      </c>
    </row>
    <row r="4156" spans="3:5" ht="15" x14ac:dyDescent="0.2">
      <c r="C4156" s="61">
        <v>41452.25</v>
      </c>
      <c r="D4156" s="60">
        <v>2820</v>
      </c>
      <c r="E4156" s="59" t="s">
        <v>518</v>
      </c>
    </row>
    <row r="4157" spans="3:5" ht="15" x14ac:dyDescent="0.2">
      <c r="C4157" s="61">
        <v>41452.260416666664</v>
      </c>
      <c r="D4157" s="60">
        <v>2820</v>
      </c>
      <c r="E4157" s="59" t="s">
        <v>518</v>
      </c>
    </row>
    <row r="4158" spans="3:5" ht="15" x14ac:dyDescent="0.2">
      <c r="C4158" s="61">
        <v>41452.270833333336</v>
      </c>
      <c r="D4158" s="60">
        <v>2820</v>
      </c>
      <c r="E4158" s="59" t="s">
        <v>518</v>
      </c>
    </row>
    <row r="4159" spans="3:5" ht="15" x14ac:dyDescent="0.2">
      <c r="C4159" s="61">
        <v>41452.28125</v>
      </c>
      <c r="D4159" s="60">
        <v>2820</v>
      </c>
      <c r="E4159" s="59" t="s">
        <v>518</v>
      </c>
    </row>
    <row r="4160" spans="3:5" ht="15" x14ac:dyDescent="0.2">
      <c r="C4160" s="61">
        <v>41452.291666666664</v>
      </c>
      <c r="D4160" s="60">
        <v>2820</v>
      </c>
      <c r="E4160" s="59" t="s">
        <v>518</v>
      </c>
    </row>
    <row r="4161" spans="3:5" ht="15" x14ac:dyDescent="0.2">
      <c r="C4161" s="61">
        <v>41452.302083333336</v>
      </c>
      <c r="D4161" s="60">
        <v>2820</v>
      </c>
      <c r="E4161" s="59" t="s">
        <v>518</v>
      </c>
    </row>
    <row r="4162" spans="3:5" ht="15" x14ac:dyDescent="0.2">
      <c r="C4162" s="61">
        <v>41452.3125</v>
      </c>
      <c r="D4162" s="60">
        <v>2820</v>
      </c>
      <c r="E4162" s="59" t="s">
        <v>518</v>
      </c>
    </row>
    <row r="4163" spans="3:5" ht="15" x14ac:dyDescent="0.2">
      <c r="C4163" s="61">
        <v>41452.322916666664</v>
      </c>
      <c r="D4163" s="60">
        <v>2820</v>
      </c>
      <c r="E4163" s="59" t="s">
        <v>518</v>
      </c>
    </row>
    <row r="4164" spans="3:5" ht="15" x14ac:dyDescent="0.2">
      <c r="C4164" s="61">
        <v>41452.333333333336</v>
      </c>
      <c r="D4164" s="60">
        <v>2820</v>
      </c>
      <c r="E4164" s="59" t="s">
        <v>518</v>
      </c>
    </row>
    <row r="4165" spans="3:5" ht="15" x14ac:dyDescent="0.2">
      <c r="C4165" s="61">
        <v>41452.34375</v>
      </c>
      <c r="D4165" s="60">
        <v>2820</v>
      </c>
      <c r="E4165" s="59" t="s">
        <v>518</v>
      </c>
    </row>
    <row r="4166" spans="3:5" ht="15" x14ac:dyDescent="0.2">
      <c r="C4166" s="61">
        <v>41452.354166666664</v>
      </c>
      <c r="D4166" s="60">
        <v>2820</v>
      </c>
      <c r="E4166" s="59" t="s">
        <v>518</v>
      </c>
    </row>
    <row r="4167" spans="3:5" ht="15" x14ac:dyDescent="0.2">
      <c r="C4167" s="61">
        <v>41452.364583333336</v>
      </c>
      <c r="D4167" s="60">
        <v>2820</v>
      </c>
      <c r="E4167" s="59" t="s">
        <v>518</v>
      </c>
    </row>
    <row r="4168" spans="3:5" ht="15" x14ac:dyDescent="0.2">
      <c r="C4168" s="61">
        <v>41452.375</v>
      </c>
      <c r="D4168" s="60">
        <v>2820</v>
      </c>
      <c r="E4168" s="59" t="s">
        <v>518</v>
      </c>
    </row>
    <row r="4169" spans="3:5" ht="15" x14ac:dyDescent="0.2">
      <c r="C4169" s="61">
        <v>41452.385416666664</v>
      </c>
      <c r="D4169" s="60">
        <v>2820</v>
      </c>
      <c r="E4169" s="59" t="s">
        <v>518</v>
      </c>
    </row>
    <row r="4170" spans="3:5" ht="15" x14ac:dyDescent="0.2">
      <c r="C4170" s="61">
        <v>41452.395833333336</v>
      </c>
      <c r="D4170" s="60">
        <v>2820</v>
      </c>
      <c r="E4170" s="59" t="s">
        <v>518</v>
      </c>
    </row>
    <row r="4171" spans="3:5" ht="15" x14ac:dyDescent="0.2">
      <c r="C4171" s="61">
        <v>41452.40625</v>
      </c>
      <c r="D4171" s="60">
        <v>2820</v>
      </c>
      <c r="E4171" s="59" t="s">
        <v>518</v>
      </c>
    </row>
    <row r="4172" spans="3:5" ht="15" x14ac:dyDescent="0.2">
      <c r="C4172" s="61">
        <v>41452.416666666664</v>
      </c>
      <c r="D4172" s="60">
        <v>2810</v>
      </c>
      <c r="E4172" s="59" t="s">
        <v>519</v>
      </c>
    </row>
    <row r="4173" spans="3:5" ht="15" x14ac:dyDescent="0.2">
      <c r="C4173" s="61">
        <v>41452.427083333336</v>
      </c>
      <c r="D4173" s="60">
        <v>2810</v>
      </c>
      <c r="E4173" s="59" t="s">
        <v>519</v>
      </c>
    </row>
    <row r="4174" spans="3:5" ht="15" x14ac:dyDescent="0.2">
      <c r="C4174" s="61">
        <v>41452.4375</v>
      </c>
      <c r="D4174" s="60">
        <v>2810</v>
      </c>
      <c r="E4174" s="59" t="s">
        <v>519</v>
      </c>
    </row>
    <row r="4175" spans="3:5" ht="15" x14ac:dyDescent="0.2">
      <c r="C4175" s="61">
        <v>41452.447916666664</v>
      </c>
      <c r="D4175" s="60">
        <v>2810</v>
      </c>
      <c r="E4175" s="59" t="s">
        <v>519</v>
      </c>
    </row>
    <row r="4176" spans="3:5" ht="15" x14ac:dyDescent="0.2">
      <c r="C4176" s="61">
        <v>41452.458333333336</v>
      </c>
      <c r="D4176" s="60">
        <v>2810</v>
      </c>
      <c r="E4176" s="59" t="s">
        <v>519</v>
      </c>
    </row>
    <row r="4177" spans="3:5" ht="15" x14ac:dyDescent="0.2">
      <c r="C4177" s="61">
        <v>41452.46875</v>
      </c>
      <c r="D4177" s="60">
        <v>2810</v>
      </c>
      <c r="E4177" s="59" t="s">
        <v>519</v>
      </c>
    </row>
    <row r="4178" spans="3:5" ht="15" x14ac:dyDescent="0.2">
      <c r="C4178" s="61">
        <v>41452.479166666664</v>
      </c>
      <c r="D4178" s="60">
        <v>2810</v>
      </c>
      <c r="E4178" s="59" t="s">
        <v>519</v>
      </c>
    </row>
    <row r="4179" spans="3:5" ht="15" x14ac:dyDescent="0.2">
      <c r="C4179" s="61">
        <v>41452.489583333336</v>
      </c>
      <c r="D4179" s="60">
        <v>2790</v>
      </c>
      <c r="E4179" s="59" t="s">
        <v>520</v>
      </c>
    </row>
    <row r="4180" spans="3:5" ht="15" x14ac:dyDescent="0.2">
      <c r="C4180" s="61">
        <v>41452.5</v>
      </c>
      <c r="D4180" s="60">
        <v>2790</v>
      </c>
      <c r="E4180" s="59" t="s">
        <v>520</v>
      </c>
    </row>
    <row r="4181" spans="3:5" ht="15" x14ac:dyDescent="0.2">
      <c r="C4181" s="61">
        <v>41452.510416666664</v>
      </c>
      <c r="D4181" s="60">
        <v>2790</v>
      </c>
      <c r="E4181" s="59" t="s">
        <v>520</v>
      </c>
    </row>
    <row r="4182" spans="3:5" ht="15" x14ac:dyDescent="0.2">
      <c r="C4182" s="61">
        <v>41452.520833333336</v>
      </c>
      <c r="D4182" s="60">
        <v>2790</v>
      </c>
      <c r="E4182" s="59" t="s">
        <v>520</v>
      </c>
    </row>
    <row r="4183" spans="3:5" ht="15" x14ac:dyDescent="0.2">
      <c r="C4183" s="61">
        <v>41452.53125</v>
      </c>
      <c r="D4183" s="60">
        <v>2810</v>
      </c>
      <c r="E4183" s="59" t="s">
        <v>519</v>
      </c>
    </row>
    <row r="4184" spans="3:5" ht="15" x14ac:dyDescent="0.2">
      <c r="C4184" s="61">
        <v>41452.541666666664</v>
      </c>
      <c r="D4184" s="60">
        <v>2810</v>
      </c>
      <c r="E4184" s="59" t="s">
        <v>519</v>
      </c>
    </row>
    <row r="4185" spans="3:5" ht="15" x14ac:dyDescent="0.2">
      <c r="C4185" s="61">
        <v>41452.552083333336</v>
      </c>
      <c r="D4185" s="60">
        <v>2810</v>
      </c>
      <c r="E4185" s="59" t="s">
        <v>519</v>
      </c>
    </row>
    <row r="4186" spans="3:5" ht="15" x14ac:dyDescent="0.2">
      <c r="C4186" s="61">
        <v>41452.5625</v>
      </c>
      <c r="D4186" s="60">
        <v>2810</v>
      </c>
      <c r="E4186" s="59" t="s">
        <v>519</v>
      </c>
    </row>
    <row r="4187" spans="3:5" ht="15" x14ac:dyDescent="0.2">
      <c r="C4187" s="61">
        <v>41452.572916666664</v>
      </c>
      <c r="D4187" s="60">
        <v>2810</v>
      </c>
      <c r="E4187" s="59" t="s">
        <v>519</v>
      </c>
    </row>
    <row r="4188" spans="3:5" ht="15" x14ac:dyDescent="0.2">
      <c r="C4188" s="61">
        <v>41452.583333333336</v>
      </c>
      <c r="D4188" s="60">
        <v>2820</v>
      </c>
      <c r="E4188" s="59" t="s">
        <v>518</v>
      </c>
    </row>
    <row r="4189" spans="3:5" ht="15" x14ac:dyDescent="0.2">
      <c r="C4189" s="61">
        <v>41452.59375</v>
      </c>
      <c r="D4189" s="60">
        <v>2820</v>
      </c>
      <c r="E4189" s="59" t="s">
        <v>518</v>
      </c>
    </row>
    <row r="4190" spans="3:5" ht="15" x14ac:dyDescent="0.2">
      <c r="C4190" s="61">
        <v>41452.604166666664</v>
      </c>
      <c r="D4190" s="60">
        <v>2820</v>
      </c>
      <c r="E4190" s="59" t="s">
        <v>518</v>
      </c>
    </row>
    <row r="4191" spans="3:5" ht="15" x14ac:dyDescent="0.2">
      <c r="C4191" s="61">
        <v>41452.614583333336</v>
      </c>
      <c r="D4191" s="60">
        <v>2820</v>
      </c>
      <c r="E4191" s="59" t="s">
        <v>518</v>
      </c>
    </row>
    <row r="4192" spans="3:5" ht="15" x14ac:dyDescent="0.2">
      <c r="C4192" s="61">
        <v>41452.625</v>
      </c>
      <c r="D4192" s="60">
        <v>2820</v>
      </c>
      <c r="E4192" s="59" t="s">
        <v>518</v>
      </c>
    </row>
    <row r="4193" spans="3:5" ht="15" x14ac:dyDescent="0.2">
      <c r="C4193" s="61">
        <v>41452.635416666664</v>
      </c>
      <c r="D4193" s="60">
        <v>2810</v>
      </c>
      <c r="E4193" s="59" t="s">
        <v>519</v>
      </c>
    </row>
    <row r="4194" spans="3:5" ht="15" x14ac:dyDescent="0.2">
      <c r="C4194" s="61">
        <v>41452.645833333336</v>
      </c>
      <c r="D4194" s="60">
        <v>2810</v>
      </c>
      <c r="E4194" s="59" t="s">
        <v>519</v>
      </c>
    </row>
    <row r="4195" spans="3:5" ht="15" x14ac:dyDescent="0.2">
      <c r="C4195" s="61">
        <v>41452.65625</v>
      </c>
      <c r="D4195" s="60">
        <v>2810</v>
      </c>
      <c r="E4195" s="59" t="s">
        <v>519</v>
      </c>
    </row>
    <row r="4196" spans="3:5" ht="15" x14ac:dyDescent="0.2">
      <c r="C4196" s="61">
        <v>41452.666666666664</v>
      </c>
      <c r="D4196" s="60">
        <v>2790</v>
      </c>
      <c r="E4196" s="59" t="s">
        <v>520</v>
      </c>
    </row>
    <row r="4197" spans="3:5" ht="15" x14ac:dyDescent="0.2">
      <c r="C4197" s="61">
        <v>41452.677083333336</v>
      </c>
      <c r="D4197" s="60">
        <v>2790</v>
      </c>
      <c r="E4197" s="59" t="s">
        <v>520</v>
      </c>
    </row>
    <row r="4198" spans="3:5" ht="15" x14ac:dyDescent="0.2">
      <c r="C4198" s="61">
        <v>41452.6875</v>
      </c>
      <c r="D4198" s="60">
        <v>2780</v>
      </c>
      <c r="E4198" s="59" t="s">
        <v>521</v>
      </c>
    </row>
    <row r="4199" spans="3:5" ht="15" x14ac:dyDescent="0.2">
      <c r="C4199" s="61">
        <v>41452.697916666664</v>
      </c>
      <c r="D4199" s="60">
        <v>2780</v>
      </c>
      <c r="E4199" s="59" t="s">
        <v>521</v>
      </c>
    </row>
    <row r="4200" spans="3:5" ht="15" x14ac:dyDescent="0.2">
      <c r="C4200" s="61">
        <v>41452.708333333336</v>
      </c>
      <c r="D4200" s="60">
        <v>2770</v>
      </c>
      <c r="E4200" s="59" t="s">
        <v>522</v>
      </c>
    </row>
    <row r="4201" spans="3:5" ht="15" x14ac:dyDescent="0.2">
      <c r="C4201" s="61">
        <v>41452.71875</v>
      </c>
      <c r="D4201" s="60">
        <v>2770</v>
      </c>
      <c r="E4201" s="59" t="s">
        <v>522</v>
      </c>
    </row>
    <row r="4202" spans="3:5" ht="15" x14ac:dyDescent="0.2">
      <c r="C4202" s="61">
        <v>41452.729166666664</v>
      </c>
      <c r="D4202" s="60">
        <v>2770</v>
      </c>
      <c r="E4202" s="59" t="s">
        <v>522</v>
      </c>
    </row>
    <row r="4203" spans="3:5" ht="15" x14ac:dyDescent="0.2">
      <c r="C4203" s="61">
        <v>41452.739583333336</v>
      </c>
      <c r="D4203" s="60">
        <v>2770</v>
      </c>
      <c r="E4203" s="59" t="s">
        <v>522</v>
      </c>
    </row>
    <row r="4204" spans="3:5" ht="15" x14ac:dyDescent="0.2">
      <c r="C4204" s="61">
        <v>41452.75</v>
      </c>
      <c r="D4204" s="60">
        <v>2770</v>
      </c>
      <c r="E4204" s="59" t="s">
        <v>522</v>
      </c>
    </row>
    <row r="4205" spans="3:5" ht="15" x14ac:dyDescent="0.2">
      <c r="C4205" s="61">
        <v>41452.760416666664</v>
      </c>
      <c r="D4205" s="60">
        <v>2770</v>
      </c>
      <c r="E4205" s="59" t="s">
        <v>522</v>
      </c>
    </row>
    <row r="4206" spans="3:5" ht="15" x14ac:dyDescent="0.2">
      <c r="C4206" s="61">
        <v>41452.770833333336</v>
      </c>
      <c r="D4206" s="60">
        <v>2770</v>
      </c>
      <c r="E4206" s="59" t="s">
        <v>522</v>
      </c>
    </row>
    <row r="4207" spans="3:5" ht="15" x14ac:dyDescent="0.2">
      <c r="C4207" s="61">
        <v>41452.78125</v>
      </c>
      <c r="D4207" s="60">
        <v>2760</v>
      </c>
      <c r="E4207" s="59" t="s">
        <v>523</v>
      </c>
    </row>
    <row r="4208" spans="3:5" ht="15" x14ac:dyDescent="0.2">
      <c r="C4208" s="61">
        <v>41452.791666666664</v>
      </c>
      <c r="D4208" s="60">
        <v>2760</v>
      </c>
      <c r="E4208" s="59" t="s">
        <v>523</v>
      </c>
    </row>
    <row r="4209" spans="3:5" ht="15" x14ac:dyDescent="0.2">
      <c r="C4209" s="61">
        <v>41452.802083333336</v>
      </c>
      <c r="D4209" s="60">
        <v>2760</v>
      </c>
      <c r="E4209" s="59" t="s">
        <v>523</v>
      </c>
    </row>
    <row r="4210" spans="3:5" ht="15" x14ac:dyDescent="0.2">
      <c r="C4210" s="61">
        <v>41452.8125</v>
      </c>
      <c r="D4210" s="60">
        <v>2760</v>
      </c>
      <c r="E4210" s="59" t="s">
        <v>523</v>
      </c>
    </row>
    <row r="4211" spans="3:5" ht="15" x14ac:dyDescent="0.2">
      <c r="C4211" s="61">
        <v>41452.822916666664</v>
      </c>
      <c r="D4211" s="60">
        <v>2760</v>
      </c>
      <c r="E4211" s="59" t="s">
        <v>523</v>
      </c>
    </row>
    <row r="4212" spans="3:5" ht="15" x14ac:dyDescent="0.2">
      <c r="C4212" s="61">
        <v>41452.833333333336</v>
      </c>
      <c r="D4212" s="60">
        <v>2760</v>
      </c>
      <c r="E4212" s="59" t="s">
        <v>523</v>
      </c>
    </row>
    <row r="4213" spans="3:5" ht="15" x14ac:dyDescent="0.2">
      <c r="C4213" s="61">
        <v>41452.84375</v>
      </c>
      <c r="D4213" s="60">
        <v>2760</v>
      </c>
      <c r="E4213" s="59" t="s">
        <v>523</v>
      </c>
    </row>
    <row r="4214" spans="3:5" ht="15" x14ac:dyDescent="0.2">
      <c r="C4214" s="61">
        <v>41452.854166666664</v>
      </c>
      <c r="D4214" s="60">
        <v>2760</v>
      </c>
      <c r="E4214" s="59" t="s">
        <v>523</v>
      </c>
    </row>
    <row r="4215" spans="3:5" ht="15" x14ac:dyDescent="0.2">
      <c r="C4215" s="61">
        <v>41452.864583333336</v>
      </c>
      <c r="D4215" s="60">
        <v>2740</v>
      </c>
      <c r="E4215" s="59" t="s">
        <v>524</v>
      </c>
    </row>
    <row r="4216" spans="3:5" ht="15" x14ac:dyDescent="0.2">
      <c r="C4216" s="61">
        <v>41452.875</v>
      </c>
      <c r="D4216" s="60">
        <v>2740</v>
      </c>
      <c r="E4216" s="59" t="s">
        <v>524</v>
      </c>
    </row>
    <row r="4217" spans="3:5" ht="15" x14ac:dyDescent="0.2">
      <c r="C4217" s="61">
        <v>41452.885416666664</v>
      </c>
      <c r="D4217" s="60">
        <v>2740</v>
      </c>
      <c r="E4217" s="59" t="s">
        <v>524</v>
      </c>
    </row>
    <row r="4218" spans="3:5" ht="15" x14ac:dyDescent="0.2">
      <c r="C4218" s="61">
        <v>41452.895833333336</v>
      </c>
      <c r="D4218" s="60">
        <v>2740</v>
      </c>
      <c r="E4218" s="59" t="s">
        <v>524</v>
      </c>
    </row>
    <row r="4219" spans="3:5" ht="15" x14ac:dyDescent="0.2">
      <c r="C4219" s="61">
        <v>41452.90625</v>
      </c>
      <c r="D4219" s="60">
        <v>2740</v>
      </c>
      <c r="E4219" s="59" t="s">
        <v>524</v>
      </c>
    </row>
    <row r="4220" spans="3:5" ht="15" x14ac:dyDescent="0.2">
      <c r="C4220" s="61">
        <v>41452.916666666664</v>
      </c>
      <c r="D4220" s="60">
        <v>2740</v>
      </c>
      <c r="E4220" s="59" t="s">
        <v>524</v>
      </c>
    </row>
    <row r="4221" spans="3:5" ht="15" x14ac:dyDescent="0.2">
      <c r="C4221" s="61">
        <v>41452.927083333336</v>
      </c>
      <c r="D4221" s="60">
        <v>2740</v>
      </c>
      <c r="E4221" s="59" t="s">
        <v>524</v>
      </c>
    </row>
    <row r="4222" spans="3:5" ht="15" x14ac:dyDescent="0.2">
      <c r="C4222" s="61">
        <v>41452.9375</v>
      </c>
      <c r="D4222" s="60">
        <v>2730</v>
      </c>
      <c r="E4222" s="59" t="s">
        <v>525</v>
      </c>
    </row>
    <row r="4223" spans="3:5" ht="15" x14ac:dyDescent="0.2">
      <c r="C4223" s="61">
        <v>41452.947916666664</v>
      </c>
      <c r="D4223" s="60">
        <v>2730</v>
      </c>
      <c r="E4223" s="59" t="s">
        <v>525</v>
      </c>
    </row>
    <row r="4224" spans="3:5" ht="15" x14ac:dyDescent="0.2">
      <c r="C4224" s="61">
        <v>41452.958333333336</v>
      </c>
      <c r="D4224" s="60">
        <v>2720</v>
      </c>
      <c r="E4224" s="59" t="s">
        <v>526</v>
      </c>
    </row>
    <row r="4225" spans="3:5" ht="15" x14ac:dyDescent="0.2">
      <c r="C4225" s="61">
        <v>41452.96875</v>
      </c>
      <c r="D4225" s="60">
        <v>2720</v>
      </c>
      <c r="E4225" s="59" t="s">
        <v>526</v>
      </c>
    </row>
    <row r="4226" spans="3:5" ht="15" x14ac:dyDescent="0.2">
      <c r="C4226" s="61">
        <v>41452.979166666664</v>
      </c>
      <c r="D4226" s="60">
        <v>2710</v>
      </c>
      <c r="E4226" s="59" t="s">
        <v>527</v>
      </c>
    </row>
    <row r="4227" spans="3:5" ht="15" x14ac:dyDescent="0.2">
      <c r="C4227" s="61">
        <v>41452.989583333336</v>
      </c>
      <c r="D4227" s="60">
        <v>2710</v>
      </c>
      <c r="E4227" s="59" t="s">
        <v>527</v>
      </c>
    </row>
    <row r="4228" spans="3:5" ht="15" x14ac:dyDescent="0.2">
      <c r="C4228" s="61">
        <v>41453</v>
      </c>
      <c r="D4228" s="60">
        <v>2690</v>
      </c>
      <c r="E4228" s="59" t="s">
        <v>528</v>
      </c>
    </row>
    <row r="4229" spans="3:5" ht="15" x14ac:dyDescent="0.2">
      <c r="C4229" s="61">
        <v>41453.010416666664</v>
      </c>
      <c r="D4229" s="60">
        <v>2690</v>
      </c>
      <c r="E4229" s="59" t="s">
        <v>528</v>
      </c>
    </row>
    <row r="4230" spans="3:5" ht="15" x14ac:dyDescent="0.2">
      <c r="C4230" s="61">
        <v>41453.020833333336</v>
      </c>
      <c r="D4230" s="60">
        <v>2680</v>
      </c>
      <c r="E4230" s="59" t="s">
        <v>529</v>
      </c>
    </row>
    <row r="4231" spans="3:5" ht="15" x14ac:dyDescent="0.2">
      <c r="C4231" s="61">
        <v>41453.03125</v>
      </c>
      <c r="D4231" s="60">
        <v>2680</v>
      </c>
      <c r="E4231" s="59" t="s">
        <v>529</v>
      </c>
    </row>
    <row r="4232" spans="3:5" ht="15" x14ac:dyDescent="0.2">
      <c r="C4232" s="61">
        <v>41453.041666666664</v>
      </c>
      <c r="D4232" s="60">
        <v>2680</v>
      </c>
      <c r="E4232" s="59" t="s">
        <v>529</v>
      </c>
    </row>
    <row r="4233" spans="3:5" ht="15" x14ac:dyDescent="0.2">
      <c r="C4233" s="61">
        <v>41453.052083333336</v>
      </c>
      <c r="D4233" s="60">
        <v>2670</v>
      </c>
      <c r="E4233" s="59" t="s">
        <v>530</v>
      </c>
    </row>
    <row r="4234" spans="3:5" ht="15" x14ac:dyDescent="0.2">
      <c r="C4234" s="61">
        <v>41453.0625</v>
      </c>
      <c r="D4234" s="60">
        <v>2670</v>
      </c>
      <c r="E4234" s="59" t="s">
        <v>530</v>
      </c>
    </row>
    <row r="4235" spans="3:5" ht="15" x14ac:dyDescent="0.2">
      <c r="C4235" s="61">
        <v>41453.072916666664</v>
      </c>
      <c r="D4235" s="60">
        <v>2660</v>
      </c>
      <c r="E4235" s="59" t="s">
        <v>531</v>
      </c>
    </row>
    <row r="4236" spans="3:5" ht="15" x14ac:dyDescent="0.2">
      <c r="C4236" s="61">
        <v>41453.083333333336</v>
      </c>
      <c r="D4236" s="60">
        <v>2660</v>
      </c>
      <c r="E4236" s="59" t="s">
        <v>531</v>
      </c>
    </row>
    <row r="4237" spans="3:5" ht="15" x14ac:dyDescent="0.2">
      <c r="C4237" s="61">
        <v>41453.09375</v>
      </c>
      <c r="D4237" s="60">
        <v>2660</v>
      </c>
      <c r="E4237" s="59" t="s">
        <v>531</v>
      </c>
    </row>
    <row r="4238" spans="3:5" ht="15" x14ac:dyDescent="0.2">
      <c r="C4238" s="61">
        <v>41453.104166666664</v>
      </c>
      <c r="D4238" s="60">
        <v>2660</v>
      </c>
      <c r="E4238" s="59" t="s">
        <v>531</v>
      </c>
    </row>
    <row r="4239" spans="3:5" ht="15" x14ac:dyDescent="0.2">
      <c r="C4239" s="61">
        <v>41453.114583333336</v>
      </c>
      <c r="D4239" s="60">
        <v>2660</v>
      </c>
      <c r="E4239" s="59" t="s">
        <v>531</v>
      </c>
    </row>
    <row r="4240" spans="3:5" ht="15" x14ac:dyDescent="0.2">
      <c r="C4240" s="61">
        <v>41453.125</v>
      </c>
      <c r="D4240" s="60">
        <v>2660</v>
      </c>
      <c r="E4240" s="59" t="s">
        <v>531</v>
      </c>
    </row>
    <row r="4241" spans="3:5" ht="15" x14ac:dyDescent="0.2">
      <c r="C4241" s="61">
        <v>41453.135416666664</v>
      </c>
      <c r="D4241" s="60">
        <v>2660</v>
      </c>
      <c r="E4241" s="59" t="s">
        <v>531</v>
      </c>
    </row>
    <row r="4242" spans="3:5" ht="15" x14ac:dyDescent="0.2">
      <c r="C4242" s="61">
        <v>41453.145833333336</v>
      </c>
      <c r="D4242" s="60">
        <v>2660</v>
      </c>
      <c r="E4242" s="59" t="s">
        <v>531</v>
      </c>
    </row>
    <row r="4243" spans="3:5" ht="15" x14ac:dyDescent="0.2">
      <c r="C4243" s="61">
        <v>41453.15625</v>
      </c>
      <c r="D4243" s="60">
        <v>2660</v>
      </c>
      <c r="E4243" s="59" t="s">
        <v>531</v>
      </c>
    </row>
    <row r="4244" spans="3:5" ht="15" x14ac:dyDescent="0.2">
      <c r="C4244" s="61">
        <v>41453.166666666664</v>
      </c>
      <c r="D4244" s="60">
        <v>2660</v>
      </c>
      <c r="E4244" s="59" t="s">
        <v>531</v>
      </c>
    </row>
    <row r="4245" spans="3:5" ht="15" x14ac:dyDescent="0.2">
      <c r="C4245" s="61">
        <v>41453.177083333336</v>
      </c>
      <c r="D4245" s="60">
        <v>2660</v>
      </c>
      <c r="E4245" s="59" t="s">
        <v>531</v>
      </c>
    </row>
    <row r="4246" spans="3:5" ht="15" x14ac:dyDescent="0.2">
      <c r="C4246" s="61">
        <v>41453.1875</v>
      </c>
      <c r="D4246" s="60">
        <v>2660</v>
      </c>
      <c r="E4246" s="59" t="s">
        <v>531</v>
      </c>
    </row>
    <row r="4247" spans="3:5" ht="15" x14ac:dyDescent="0.2">
      <c r="C4247" s="61">
        <v>41453.197916666664</v>
      </c>
      <c r="D4247" s="60">
        <v>2640</v>
      </c>
      <c r="E4247" s="59" t="s">
        <v>532</v>
      </c>
    </row>
    <row r="4248" spans="3:5" ht="15" x14ac:dyDescent="0.2">
      <c r="C4248" s="61">
        <v>41453.208333333336</v>
      </c>
      <c r="D4248" s="60">
        <v>2640</v>
      </c>
      <c r="E4248" s="59" t="s">
        <v>532</v>
      </c>
    </row>
    <row r="4249" spans="3:5" ht="15" x14ac:dyDescent="0.2">
      <c r="C4249" s="61">
        <v>41453.21875</v>
      </c>
      <c r="D4249" s="60">
        <v>2640</v>
      </c>
      <c r="E4249" s="59" t="s">
        <v>532</v>
      </c>
    </row>
    <row r="4250" spans="3:5" ht="15" x14ac:dyDescent="0.2">
      <c r="C4250" s="61">
        <v>41453.229166666664</v>
      </c>
      <c r="D4250" s="60">
        <v>2640</v>
      </c>
      <c r="E4250" s="59" t="s">
        <v>532</v>
      </c>
    </row>
    <row r="4251" spans="3:5" ht="15" x14ac:dyDescent="0.2">
      <c r="C4251" s="61">
        <v>41453.239583333336</v>
      </c>
      <c r="D4251" s="60">
        <v>2630</v>
      </c>
      <c r="E4251" s="59" t="s">
        <v>533</v>
      </c>
    </row>
    <row r="4252" spans="3:5" ht="15" x14ac:dyDescent="0.2">
      <c r="C4252" s="61">
        <v>41453.25</v>
      </c>
      <c r="D4252" s="60">
        <v>2630</v>
      </c>
      <c r="E4252" s="59" t="s">
        <v>533</v>
      </c>
    </row>
    <row r="4253" spans="3:5" ht="15" x14ac:dyDescent="0.2">
      <c r="C4253" s="61">
        <v>41453.260416666664</v>
      </c>
      <c r="D4253" s="60">
        <v>2630</v>
      </c>
      <c r="E4253" s="59" t="s">
        <v>533</v>
      </c>
    </row>
    <row r="4254" spans="3:5" ht="15" x14ac:dyDescent="0.2">
      <c r="C4254" s="61">
        <v>41453.270833333336</v>
      </c>
      <c r="D4254" s="60">
        <v>2620</v>
      </c>
      <c r="E4254" s="59" t="s">
        <v>534</v>
      </c>
    </row>
    <row r="4255" spans="3:5" ht="15" x14ac:dyDescent="0.2">
      <c r="C4255" s="61">
        <v>41453.28125</v>
      </c>
      <c r="D4255" s="60">
        <v>2620</v>
      </c>
      <c r="E4255" s="59" t="s">
        <v>534</v>
      </c>
    </row>
    <row r="4256" spans="3:5" ht="15" x14ac:dyDescent="0.2">
      <c r="C4256" s="61">
        <v>41453.291666666664</v>
      </c>
      <c r="D4256" s="60">
        <v>2620</v>
      </c>
      <c r="E4256" s="59" t="s">
        <v>534</v>
      </c>
    </row>
    <row r="4257" spans="3:5" ht="15" x14ac:dyDescent="0.2">
      <c r="C4257" s="61">
        <v>41453.302083333336</v>
      </c>
      <c r="D4257" s="60">
        <v>2620</v>
      </c>
      <c r="E4257" s="59" t="s">
        <v>534</v>
      </c>
    </row>
    <row r="4258" spans="3:5" ht="15" x14ac:dyDescent="0.2">
      <c r="C4258" s="61">
        <v>41453.3125</v>
      </c>
      <c r="D4258" s="60">
        <v>2620</v>
      </c>
      <c r="E4258" s="59" t="s">
        <v>534</v>
      </c>
    </row>
    <row r="4259" spans="3:5" ht="15" x14ac:dyDescent="0.2">
      <c r="C4259" s="61">
        <v>41453.322916666664</v>
      </c>
      <c r="D4259" s="60">
        <v>2610</v>
      </c>
      <c r="E4259" s="59" t="s">
        <v>535</v>
      </c>
    </row>
    <row r="4260" spans="3:5" ht="15" x14ac:dyDescent="0.2">
      <c r="C4260" s="61">
        <v>41453.333333333336</v>
      </c>
      <c r="D4260" s="60">
        <v>2610</v>
      </c>
      <c r="E4260" s="59" t="s">
        <v>535</v>
      </c>
    </row>
    <row r="4261" spans="3:5" ht="15" x14ac:dyDescent="0.2">
      <c r="C4261" s="61">
        <v>41453.34375</v>
      </c>
      <c r="D4261" s="60">
        <v>2610</v>
      </c>
      <c r="E4261" s="59" t="s">
        <v>535</v>
      </c>
    </row>
    <row r="4262" spans="3:5" ht="15" x14ac:dyDescent="0.2">
      <c r="C4262" s="61">
        <v>41453.354166666664</v>
      </c>
      <c r="D4262" s="60">
        <v>2610</v>
      </c>
      <c r="E4262" s="59" t="s">
        <v>535</v>
      </c>
    </row>
    <row r="4263" spans="3:5" ht="15" x14ac:dyDescent="0.2">
      <c r="C4263" s="61">
        <v>41453.364583333336</v>
      </c>
      <c r="D4263" s="60">
        <v>2610</v>
      </c>
      <c r="E4263" s="59" t="s">
        <v>535</v>
      </c>
    </row>
    <row r="4264" spans="3:5" ht="15" x14ac:dyDescent="0.2">
      <c r="C4264" s="61">
        <v>41453.375</v>
      </c>
      <c r="D4264" s="60">
        <v>2610</v>
      </c>
      <c r="E4264" s="59" t="s">
        <v>535</v>
      </c>
    </row>
    <row r="4265" spans="3:5" ht="15" x14ac:dyDescent="0.2">
      <c r="C4265" s="61">
        <v>41453.385416666664</v>
      </c>
      <c r="D4265" s="60">
        <v>2610</v>
      </c>
      <c r="E4265" s="59" t="s">
        <v>535</v>
      </c>
    </row>
    <row r="4266" spans="3:5" ht="15" x14ac:dyDescent="0.2">
      <c r="C4266" s="61">
        <v>41453.395833333336</v>
      </c>
      <c r="D4266" s="60">
        <v>2610</v>
      </c>
      <c r="E4266" s="59" t="s">
        <v>535</v>
      </c>
    </row>
    <row r="4267" spans="3:5" ht="15" x14ac:dyDescent="0.2">
      <c r="C4267" s="61">
        <v>41453.40625</v>
      </c>
      <c r="D4267" s="60">
        <v>2610</v>
      </c>
      <c r="E4267" s="59" t="s">
        <v>535</v>
      </c>
    </row>
    <row r="4268" spans="3:5" ht="15" x14ac:dyDescent="0.2">
      <c r="C4268" s="61">
        <v>41453.416666666664</v>
      </c>
      <c r="D4268" s="60">
        <v>2610</v>
      </c>
      <c r="E4268" s="59" t="s">
        <v>535</v>
      </c>
    </row>
    <row r="4269" spans="3:5" ht="15" x14ac:dyDescent="0.2">
      <c r="C4269" s="61">
        <v>41453.427083333336</v>
      </c>
      <c r="D4269" s="60">
        <v>2610</v>
      </c>
      <c r="E4269" s="59" t="s">
        <v>535</v>
      </c>
    </row>
    <row r="4270" spans="3:5" ht="15" x14ac:dyDescent="0.2">
      <c r="C4270" s="61">
        <v>41453.4375</v>
      </c>
      <c r="D4270" s="60">
        <v>2610</v>
      </c>
      <c r="E4270" s="59" t="s">
        <v>535</v>
      </c>
    </row>
    <row r="4271" spans="3:5" ht="15" x14ac:dyDescent="0.2">
      <c r="C4271" s="61">
        <v>41453.447916666664</v>
      </c>
      <c r="D4271" s="60">
        <v>2600</v>
      </c>
      <c r="E4271" s="59" t="s">
        <v>536</v>
      </c>
    </row>
    <row r="4272" spans="3:5" ht="15" x14ac:dyDescent="0.2">
      <c r="C4272" s="61">
        <v>41453.458333333336</v>
      </c>
      <c r="D4272" s="60">
        <v>2600</v>
      </c>
      <c r="E4272" s="59" t="s">
        <v>536</v>
      </c>
    </row>
    <row r="4273" spans="3:5" ht="15" x14ac:dyDescent="0.2">
      <c r="C4273" s="61">
        <v>41453.46875</v>
      </c>
      <c r="D4273" s="60">
        <v>2600</v>
      </c>
      <c r="E4273" s="59" t="s">
        <v>536</v>
      </c>
    </row>
    <row r="4274" spans="3:5" ht="15" x14ac:dyDescent="0.2">
      <c r="C4274" s="61">
        <v>41453.479166666664</v>
      </c>
      <c r="D4274" s="60">
        <v>2600</v>
      </c>
      <c r="E4274" s="59" t="s">
        <v>536</v>
      </c>
    </row>
    <row r="4275" spans="3:5" ht="15" x14ac:dyDescent="0.2">
      <c r="C4275" s="61">
        <v>41453.489583333336</v>
      </c>
      <c r="D4275" s="60">
        <v>2600</v>
      </c>
      <c r="E4275" s="59" t="s">
        <v>536</v>
      </c>
    </row>
    <row r="4276" spans="3:5" ht="15" x14ac:dyDescent="0.2">
      <c r="C4276" s="61">
        <v>41453.5</v>
      </c>
      <c r="D4276" s="60">
        <v>2600</v>
      </c>
      <c r="E4276" s="59" t="s">
        <v>536</v>
      </c>
    </row>
    <row r="4277" spans="3:5" ht="15" x14ac:dyDescent="0.2">
      <c r="C4277" s="61">
        <v>41453.510416666664</v>
      </c>
      <c r="D4277" s="60">
        <v>2600</v>
      </c>
      <c r="E4277" s="59" t="s">
        <v>536</v>
      </c>
    </row>
    <row r="4278" spans="3:5" ht="15" x14ac:dyDescent="0.2">
      <c r="C4278" s="61">
        <v>41453.520833333336</v>
      </c>
      <c r="D4278" s="60">
        <v>2600</v>
      </c>
      <c r="E4278" s="59" t="s">
        <v>536</v>
      </c>
    </row>
    <row r="4279" spans="3:5" ht="15" x14ac:dyDescent="0.2">
      <c r="C4279" s="61">
        <v>41453.53125</v>
      </c>
      <c r="D4279" s="60">
        <v>2600</v>
      </c>
      <c r="E4279" s="59" t="s">
        <v>536</v>
      </c>
    </row>
    <row r="4280" spans="3:5" ht="15" x14ac:dyDescent="0.2">
      <c r="C4280" s="61">
        <v>41453.541666666664</v>
      </c>
      <c r="D4280" s="60">
        <v>2600</v>
      </c>
      <c r="E4280" s="59" t="s">
        <v>536</v>
      </c>
    </row>
    <row r="4281" spans="3:5" ht="15" x14ac:dyDescent="0.2">
      <c r="C4281" s="61">
        <v>41453.552083333336</v>
      </c>
      <c r="D4281" s="60">
        <v>2580</v>
      </c>
      <c r="E4281" s="59" t="s">
        <v>537</v>
      </c>
    </row>
    <row r="4282" spans="3:5" ht="15" x14ac:dyDescent="0.2">
      <c r="C4282" s="61">
        <v>41453.5625</v>
      </c>
      <c r="D4282" s="60">
        <v>2580</v>
      </c>
      <c r="E4282" s="59" t="s">
        <v>537</v>
      </c>
    </row>
    <row r="4283" spans="3:5" ht="15" x14ac:dyDescent="0.2">
      <c r="C4283" s="61">
        <v>41453.572916666664</v>
      </c>
      <c r="D4283" s="60">
        <v>2580</v>
      </c>
      <c r="E4283" s="59" t="s">
        <v>537</v>
      </c>
    </row>
    <row r="4284" spans="3:5" ht="15" x14ac:dyDescent="0.2">
      <c r="C4284" s="61">
        <v>41453.583333333336</v>
      </c>
      <c r="D4284" s="60">
        <v>2580</v>
      </c>
      <c r="E4284" s="59" t="s">
        <v>537</v>
      </c>
    </row>
    <row r="4285" spans="3:5" ht="15" x14ac:dyDescent="0.2">
      <c r="C4285" s="61">
        <v>41453.59375</v>
      </c>
      <c r="D4285" s="60">
        <v>2580</v>
      </c>
      <c r="E4285" s="59" t="s">
        <v>537</v>
      </c>
    </row>
    <row r="4286" spans="3:5" ht="15" x14ac:dyDescent="0.2">
      <c r="C4286" s="61">
        <v>41453.604166666664</v>
      </c>
      <c r="D4286" s="60">
        <v>2570</v>
      </c>
      <c r="E4286" s="59" t="s">
        <v>538</v>
      </c>
    </row>
    <row r="4287" spans="3:5" ht="15" x14ac:dyDescent="0.2">
      <c r="C4287" s="61">
        <v>41453.614583333336</v>
      </c>
      <c r="D4287" s="60">
        <v>2570</v>
      </c>
      <c r="E4287" s="59" t="s">
        <v>538</v>
      </c>
    </row>
    <row r="4288" spans="3:5" ht="15" x14ac:dyDescent="0.2">
      <c r="C4288" s="61">
        <v>41453.625</v>
      </c>
      <c r="D4288" s="60">
        <v>2570</v>
      </c>
      <c r="E4288" s="59" t="s">
        <v>538</v>
      </c>
    </row>
    <row r="4289" spans="3:5" ht="15" x14ac:dyDescent="0.2">
      <c r="C4289" s="61">
        <v>41453.635416666664</v>
      </c>
      <c r="D4289" s="60">
        <v>2570</v>
      </c>
      <c r="E4289" s="59" t="s">
        <v>538</v>
      </c>
    </row>
    <row r="4290" spans="3:5" ht="15" x14ac:dyDescent="0.2">
      <c r="C4290" s="61">
        <v>41453.645833333336</v>
      </c>
      <c r="D4290" s="60">
        <v>2570</v>
      </c>
      <c r="E4290" s="59" t="s">
        <v>538</v>
      </c>
    </row>
    <row r="4291" spans="3:5" ht="15" x14ac:dyDescent="0.2">
      <c r="C4291" s="61">
        <v>41453.65625</v>
      </c>
      <c r="D4291" s="60">
        <v>2570</v>
      </c>
      <c r="E4291" s="59" t="s">
        <v>538</v>
      </c>
    </row>
    <row r="4292" spans="3:5" ht="15" x14ac:dyDescent="0.2">
      <c r="C4292" s="61">
        <v>41453.666666666664</v>
      </c>
      <c r="D4292" s="60">
        <v>2570</v>
      </c>
      <c r="E4292" s="59" t="s">
        <v>538</v>
      </c>
    </row>
    <row r="4293" spans="3:5" ht="15" x14ac:dyDescent="0.2">
      <c r="C4293" s="61">
        <v>41453.677083333336</v>
      </c>
      <c r="D4293" s="60">
        <v>2570</v>
      </c>
      <c r="E4293" s="59" t="s">
        <v>538</v>
      </c>
    </row>
    <row r="4294" spans="3:5" ht="15" x14ac:dyDescent="0.2">
      <c r="C4294" s="61">
        <v>41453.6875</v>
      </c>
      <c r="D4294" s="60">
        <v>2570</v>
      </c>
      <c r="E4294" s="59" t="s">
        <v>538</v>
      </c>
    </row>
    <row r="4295" spans="3:5" ht="15" x14ac:dyDescent="0.2">
      <c r="C4295" s="61">
        <v>41453.697916666664</v>
      </c>
      <c r="D4295" s="60">
        <v>2570</v>
      </c>
      <c r="E4295" s="59" t="s">
        <v>538</v>
      </c>
    </row>
    <row r="4296" spans="3:5" ht="15" x14ac:dyDescent="0.2">
      <c r="C4296" s="61">
        <v>41453.708333333336</v>
      </c>
      <c r="D4296" s="60">
        <v>2570</v>
      </c>
      <c r="E4296" s="59" t="s">
        <v>538</v>
      </c>
    </row>
    <row r="4297" spans="3:5" ht="15" x14ac:dyDescent="0.2">
      <c r="C4297" s="61">
        <v>41453.71875</v>
      </c>
      <c r="D4297" s="60">
        <v>2570</v>
      </c>
      <c r="E4297" s="59" t="s">
        <v>538</v>
      </c>
    </row>
    <row r="4298" spans="3:5" ht="15" x14ac:dyDescent="0.2">
      <c r="C4298" s="61">
        <v>41453.729166666664</v>
      </c>
      <c r="D4298" s="60">
        <v>2570</v>
      </c>
      <c r="E4298" s="59" t="s">
        <v>538</v>
      </c>
    </row>
    <row r="4299" spans="3:5" ht="15" x14ac:dyDescent="0.2">
      <c r="C4299" s="61">
        <v>41453.739583333336</v>
      </c>
      <c r="D4299" s="60">
        <v>2570</v>
      </c>
      <c r="E4299" s="59" t="s">
        <v>538</v>
      </c>
    </row>
    <row r="4300" spans="3:5" ht="15" x14ac:dyDescent="0.2">
      <c r="C4300" s="61">
        <v>41453.75</v>
      </c>
      <c r="D4300" s="60">
        <v>2560</v>
      </c>
      <c r="E4300" s="59" t="s">
        <v>539</v>
      </c>
    </row>
    <row r="4301" spans="3:5" ht="15" x14ac:dyDescent="0.2">
      <c r="C4301" s="61">
        <v>41453.760416666664</v>
      </c>
      <c r="D4301" s="60">
        <v>2560</v>
      </c>
      <c r="E4301" s="59" t="s">
        <v>539</v>
      </c>
    </row>
    <row r="4302" spans="3:5" ht="15" x14ac:dyDescent="0.2">
      <c r="C4302" s="61">
        <v>41453.770833333336</v>
      </c>
      <c r="D4302" s="60">
        <v>2560</v>
      </c>
      <c r="E4302" s="59" t="s">
        <v>539</v>
      </c>
    </row>
    <row r="4303" spans="3:5" ht="15" x14ac:dyDescent="0.2">
      <c r="C4303" s="61">
        <v>41453.78125</v>
      </c>
      <c r="D4303" s="60">
        <v>2560</v>
      </c>
      <c r="E4303" s="59" t="s">
        <v>539</v>
      </c>
    </row>
    <row r="4304" spans="3:5" ht="15" x14ac:dyDescent="0.2">
      <c r="C4304" s="61">
        <v>41453.791666666664</v>
      </c>
      <c r="D4304" s="60">
        <v>2560</v>
      </c>
      <c r="E4304" s="59" t="s">
        <v>539</v>
      </c>
    </row>
    <row r="4305" spans="3:5" ht="15" x14ac:dyDescent="0.2">
      <c r="C4305" s="61">
        <v>41453.802083333336</v>
      </c>
      <c r="D4305" s="60">
        <v>2550</v>
      </c>
      <c r="E4305" s="59" t="s">
        <v>540</v>
      </c>
    </row>
    <row r="4306" spans="3:5" ht="15" x14ac:dyDescent="0.2">
      <c r="C4306" s="61">
        <v>41453.8125</v>
      </c>
      <c r="D4306" s="60">
        <v>2550</v>
      </c>
      <c r="E4306" s="59" t="s">
        <v>540</v>
      </c>
    </row>
    <row r="4307" spans="3:5" ht="15" x14ac:dyDescent="0.2">
      <c r="C4307" s="61">
        <v>41453.822916666664</v>
      </c>
      <c r="D4307" s="60">
        <v>2550</v>
      </c>
      <c r="E4307" s="59" t="s">
        <v>540</v>
      </c>
    </row>
    <row r="4308" spans="3:5" ht="15" x14ac:dyDescent="0.2">
      <c r="C4308" s="61">
        <v>41453.833333333336</v>
      </c>
      <c r="D4308" s="60">
        <v>2550</v>
      </c>
      <c r="E4308" s="59" t="s">
        <v>540</v>
      </c>
    </row>
    <row r="4309" spans="3:5" ht="15" x14ac:dyDescent="0.2">
      <c r="C4309" s="61">
        <v>41453.84375</v>
      </c>
      <c r="D4309" s="60">
        <v>2530</v>
      </c>
      <c r="E4309" s="59" t="s">
        <v>541</v>
      </c>
    </row>
    <row r="4310" spans="3:5" ht="15" x14ac:dyDescent="0.2">
      <c r="C4310" s="61">
        <v>41453.854166666664</v>
      </c>
      <c r="D4310" s="60">
        <v>2530</v>
      </c>
      <c r="E4310" s="59" t="s">
        <v>541</v>
      </c>
    </row>
    <row r="4311" spans="3:5" ht="15" x14ac:dyDescent="0.2">
      <c r="C4311" s="61">
        <v>41453.864583333336</v>
      </c>
      <c r="D4311" s="60">
        <v>2530</v>
      </c>
      <c r="E4311" s="59" t="s">
        <v>541</v>
      </c>
    </row>
    <row r="4312" spans="3:5" ht="15" x14ac:dyDescent="0.2">
      <c r="C4312" s="61">
        <v>41453.875</v>
      </c>
      <c r="D4312" s="60">
        <v>2530</v>
      </c>
      <c r="E4312" s="59" t="s">
        <v>541</v>
      </c>
    </row>
    <row r="4313" spans="3:5" ht="15" x14ac:dyDescent="0.2">
      <c r="C4313" s="61">
        <v>41453.885416666664</v>
      </c>
      <c r="D4313" s="60">
        <v>2520</v>
      </c>
      <c r="E4313" s="59" t="s">
        <v>542</v>
      </c>
    </row>
    <row r="4314" spans="3:5" ht="15" x14ac:dyDescent="0.2">
      <c r="C4314" s="61">
        <v>41453.895833333336</v>
      </c>
      <c r="D4314" s="60">
        <v>2520</v>
      </c>
      <c r="E4314" s="59" t="s">
        <v>542</v>
      </c>
    </row>
    <row r="4315" spans="3:5" ht="15" x14ac:dyDescent="0.2">
      <c r="C4315" s="61">
        <v>41453.90625</v>
      </c>
      <c r="D4315" s="60">
        <v>2520</v>
      </c>
      <c r="E4315" s="59" t="s">
        <v>542</v>
      </c>
    </row>
    <row r="4316" spans="3:5" ht="15" x14ac:dyDescent="0.2">
      <c r="C4316" s="61">
        <v>41453.916666666664</v>
      </c>
      <c r="D4316" s="60">
        <v>2510</v>
      </c>
      <c r="E4316" s="59" t="s">
        <v>543</v>
      </c>
    </row>
    <row r="4317" spans="3:5" ht="15" x14ac:dyDescent="0.2">
      <c r="C4317" s="61">
        <v>41453.927083333336</v>
      </c>
      <c r="D4317" s="60">
        <v>2510</v>
      </c>
      <c r="E4317" s="59" t="s">
        <v>543</v>
      </c>
    </row>
    <row r="4318" spans="3:5" ht="15" x14ac:dyDescent="0.2">
      <c r="C4318" s="61">
        <v>41453.9375</v>
      </c>
      <c r="D4318" s="60">
        <v>2510</v>
      </c>
      <c r="E4318" s="59" t="s">
        <v>543</v>
      </c>
    </row>
    <row r="4319" spans="3:5" ht="15" x14ac:dyDescent="0.2">
      <c r="C4319" s="61">
        <v>41453.947916666664</v>
      </c>
      <c r="D4319" s="60">
        <v>2510</v>
      </c>
      <c r="E4319" s="59" t="s">
        <v>543</v>
      </c>
    </row>
    <row r="4320" spans="3:5" ht="15" x14ac:dyDescent="0.2">
      <c r="C4320" s="61">
        <v>41453.958333333336</v>
      </c>
      <c r="D4320" s="60">
        <v>2510</v>
      </c>
      <c r="E4320" s="59" t="s">
        <v>543</v>
      </c>
    </row>
    <row r="4321" spans="3:5" ht="15" x14ac:dyDescent="0.2">
      <c r="C4321" s="61">
        <v>41453.96875</v>
      </c>
      <c r="D4321" s="60">
        <v>2500</v>
      </c>
      <c r="E4321" s="59" t="s">
        <v>544</v>
      </c>
    </row>
    <row r="4322" spans="3:5" ht="15" x14ac:dyDescent="0.2">
      <c r="C4322" s="61">
        <v>41453.979166666664</v>
      </c>
      <c r="D4322" s="60">
        <v>2500</v>
      </c>
      <c r="E4322" s="59" t="s">
        <v>544</v>
      </c>
    </row>
    <row r="4323" spans="3:5" ht="15" x14ac:dyDescent="0.2">
      <c r="C4323" s="61">
        <v>41453.989583333336</v>
      </c>
      <c r="D4323" s="60">
        <v>2500</v>
      </c>
      <c r="E4323" s="59" t="s">
        <v>544</v>
      </c>
    </row>
    <row r="4324" spans="3:5" ht="15" x14ac:dyDescent="0.2">
      <c r="C4324" s="61">
        <v>41454</v>
      </c>
      <c r="D4324" s="60">
        <v>2490</v>
      </c>
      <c r="E4324" s="59" t="s">
        <v>545</v>
      </c>
    </row>
    <row r="4325" spans="3:5" ht="15" x14ac:dyDescent="0.2">
      <c r="C4325" s="61">
        <v>41454.010416666664</v>
      </c>
      <c r="D4325" s="60">
        <v>2490</v>
      </c>
      <c r="E4325" s="59" t="s">
        <v>545</v>
      </c>
    </row>
    <row r="4326" spans="3:5" ht="15" x14ac:dyDescent="0.2">
      <c r="C4326" s="61">
        <v>41454.020833333336</v>
      </c>
      <c r="D4326" s="60">
        <v>2490</v>
      </c>
      <c r="E4326" s="59" t="s">
        <v>545</v>
      </c>
    </row>
    <row r="4327" spans="3:5" ht="15" x14ac:dyDescent="0.2">
      <c r="C4327" s="61">
        <v>41454.03125</v>
      </c>
      <c r="D4327" s="60">
        <v>2490</v>
      </c>
      <c r="E4327" s="59" t="s">
        <v>545</v>
      </c>
    </row>
    <row r="4328" spans="3:5" ht="15" x14ac:dyDescent="0.2">
      <c r="C4328" s="61">
        <v>41454.041666666664</v>
      </c>
      <c r="D4328" s="60">
        <v>2470</v>
      </c>
      <c r="E4328" s="59" t="s">
        <v>546</v>
      </c>
    </row>
    <row r="4329" spans="3:5" ht="15" x14ac:dyDescent="0.2">
      <c r="C4329" s="61">
        <v>41454.052083333336</v>
      </c>
      <c r="D4329" s="60">
        <v>2470</v>
      </c>
      <c r="E4329" s="59" t="s">
        <v>546</v>
      </c>
    </row>
    <row r="4330" spans="3:5" ht="15" x14ac:dyDescent="0.2">
      <c r="C4330" s="61">
        <v>41454.0625</v>
      </c>
      <c r="D4330" s="60">
        <v>2470</v>
      </c>
      <c r="E4330" s="59" t="s">
        <v>546</v>
      </c>
    </row>
    <row r="4331" spans="3:5" ht="15" x14ac:dyDescent="0.2">
      <c r="C4331" s="61">
        <v>41454.072916666664</v>
      </c>
      <c r="D4331" s="60">
        <v>2460</v>
      </c>
      <c r="E4331" s="59" t="s">
        <v>547</v>
      </c>
    </row>
    <row r="4332" spans="3:5" ht="15" x14ac:dyDescent="0.2">
      <c r="C4332" s="61">
        <v>41454.083333333336</v>
      </c>
      <c r="D4332" s="60">
        <v>2460</v>
      </c>
      <c r="E4332" s="59" t="s">
        <v>547</v>
      </c>
    </row>
    <row r="4333" spans="3:5" ht="15" x14ac:dyDescent="0.2">
      <c r="C4333" s="61">
        <v>41454.09375</v>
      </c>
      <c r="D4333" s="60">
        <v>2460</v>
      </c>
      <c r="E4333" s="59" t="s">
        <v>547</v>
      </c>
    </row>
    <row r="4334" spans="3:5" ht="15" x14ac:dyDescent="0.2">
      <c r="C4334" s="61">
        <v>41454.104166666664</v>
      </c>
      <c r="D4334" s="60">
        <v>2460</v>
      </c>
      <c r="E4334" s="59" t="s">
        <v>547</v>
      </c>
    </row>
    <row r="4335" spans="3:5" ht="15" x14ac:dyDescent="0.2">
      <c r="C4335" s="61">
        <v>41454.114583333336</v>
      </c>
      <c r="D4335" s="60">
        <v>2460</v>
      </c>
      <c r="E4335" s="59" t="s">
        <v>547</v>
      </c>
    </row>
    <row r="4336" spans="3:5" ht="15" x14ac:dyDescent="0.2">
      <c r="C4336" s="61">
        <v>41454.125</v>
      </c>
      <c r="D4336" s="60">
        <v>2460</v>
      </c>
      <c r="E4336" s="59" t="s">
        <v>547</v>
      </c>
    </row>
    <row r="4337" spans="3:5" ht="15" x14ac:dyDescent="0.2">
      <c r="C4337" s="61">
        <v>41454.135416666664</v>
      </c>
      <c r="D4337" s="60">
        <v>2450</v>
      </c>
      <c r="E4337" s="59" t="s">
        <v>548</v>
      </c>
    </row>
    <row r="4338" spans="3:5" ht="15" x14ac:dyDescent="0.2">
      <c r="C4338" s="61">
        <v>41454.145833333336</v>
      </c>
      <c r="D4338" s="60">
        <v>2450</v>
      </c>
      <c r="E4338" s="59" t="s">
        <v>548</v>
      </c>
    </row>
    <row r="4339" spans="3:5" ht="15" x14ac:dyDescent="0.2">
      <c r="C4339" s="61">
        <v>41454.15625</v>
      </c>
      <c r="D4339" s="60">
        <v>2450</v>
      </c>
      <c r="E4339" s="59" t="s">
        <v>548</v>
      </c>
    </row>
    <row r="4340" spans="3:5" ht="15" x14ac:dyDescent="0.2">
      <c r="C4340" s="61">
        <v>41454.166666666664</v>
      </c>
      <c r="D4340" s="60">
        <v>2450</v>
      </c>
      <c r="E4340" s="59" t="s">
        <v>548</v>
      </c>
    </row>
    <row r="4341" spans="3:5" ht="15" x14ac:dyDescent="0.2">
      <c r="C4341" s="61">
        <v>41454.177083333336</v>
      </c>
      <c r="D4341" s="60">
        <v>2450</v>
      </c>
      <c r="E4341" s="59" t="s">
        <v>548</v>
      </c>
    </row>
    <row r="4342" spans="3:5" ht="15" x14ac:dyDescent="0.2">
      <c r="C4342" s="61">
        <v>41454.1875</v>
      </c>
      <c r="D4342" s="60">
        <v>2450</v>
      </c>
      <c r="E4342" s="59" t="s">
        <v>548</v>
      </c>
    </row>
    <row r="4343" spans="3:5" ht="15" x14ac:dyDescent="0.2">
      <c r="C4343" s="61">
        <v>41454.197916666664</v>
      </c>
      <c r="D4343" s="60">
        <v>2450</v>
      </c>
      <c r="E4343" s="59" t="s">
        <v>548</v>
      </c>
    </row>
    <row r="4344" spans="3:5" ht="15" x14ac:dyDescent="0.2">
      <c r="C4344" s="61">
        <v>41454.208333333336</v>
      </c>
      <c r="D4344" s="60">
        <v>2450</v>
      </c>
      <c r="E4344" s="59" t="s">
        <v>548</v>
      </c>
    </row>
    <row r="4345" spans="3:5" ht="15" x14ac:dyDescent="0.2">
      <c r="C4345" s="61">
        <v>41454.21875</v>
      </c>
      <c r="D4345" s="60">
        <v>2440</v>
      </c>
      <c r="E4345" s="59" t="s">
        <v>549</v>
      </c>
    </row>
    <row r="4346" spans="3:5" ht="15" x14ac:dyDescent="0.2">
      <c r="C4346" s="61">
        <v>41454.229166666664</v>
      </c>
      <c r="D4346" s="60">
        <v>2440</v>
      </c>
      <c r="E4346" s="59" t="s">
        <v>549</v>
      </c>
    </row>
    <row r="4347" spans="3:5" ht="15" x14ac:dyDescent="0.2">
      <c r="C4347" s="61">
        <v>41454.239583333336</v>
      </c>
      <c r="D4347" s="60">
        <v>2440</v>
      </c>
      <c r="E4347" s="59" t="s">
        <v>549</v>
      </c>
    </row>
    <row r="4348" spans="3:5" ht="15" x14ac:dyDescent="0.2">
      <c r="C4348" s="61">
        <v>41454.25</v>
      </c>
      <c r="D4348" s="60">
        <v>2440</v>
      </c>
      <c r="E4348" s="59" t="s">
        <v>549</v>
      </c>
    </row>
    <row r="4349" spans="3:5" ht="15" x14ac:dyDescent="0.2">
      <c r="C4349" s="61">
        <v>41454.260416666664</v>
      </c>
      <c r="D4349" s="60">
        <v>2440</v>
      </c>
      <c r="E4349" s="59" t="s">
        <v>549</v>
      </c>
    </row>
    <row r="4350" spans="3:5" ht="15" x14ac:dyDescent="0.2">
      <c r="C4350" s="61">
        <v>41454.270833333336</v>
      </c>
      <c r="D4350" s="60">
        <v>2440</v>
      </c>
      <c r="E4350" s="59" t="s">
        <v>549</v>
      </c>
    </row>
    <row r="4351" spans="3:5" ht="15" x14ac:dyDescent="0.2">
      <c r="C4351" s="61">
        <v>41454.28125</v>
      </c>
      <c r="D4351" s="60">
        <v>2440</v>
      </c>
      <c r="E4351" s="59" t="s">
        <v>549</v>
      </c>
    </row>
    <row r="4352" spans="3:5" ht="15" x14ac:dyDescent="0.2">
      <c r="C4352" s="61">
        <v>41454.291666666664</v>
      </c>
      <c r="D4352" s="60">
        <v>2440</v>
      </c>
      <c r="E4352" s="59" t="s">
        <v>549</v>
      </c>
    </row>
    <row r="4353" spans="3:5" ht="15" x14ac:dyDescent="0.2">
      <c r="C4353" s="61">
        <v>41454.302083333336</v>
      </c>
      <c r="D4353" s="60">
        <v>2420</v>
      </c>
      <c r="E4353" s="59" t="s">
        <v>550</v>
      </c>
    </row>
    <row r="4354" spans="3:5" ht="15" x14ac:dyDescent="0.2">
      <c r="C4354" s="61">
        <v>41454.3125</v>
      </c>
      <c r="D4354" s="60">
        <v>2420</v>
      </c>
      <c r="E4354" s="59" t="s">
        <v>550</v>
      </c>
    </row>
    <row r="4355" spans="3:5" ht="15" x14ac:dyDescent="0.2">
      <c r="C4355" s="61">
        <v>41454.322916666664</v>
      </c>
      <c r="D4355" s="60">
        <v>2420</v>
      </c>
      <c r="E4355" s="59" t="s">
        <v>550</v>
      </c>
    </row>
    <row r="4356" spans="3:5" ht="15" x14ac:dyDescent="0.2">
      <c r="C4356" s="61">
        <v>41454.333333333336</v>
      </c>
      <c r="D4356" s="60">
        <v>2420</v>
      </c>
      <c r="E4356" s="59" t="s">
        <v>550</v>
      </c>
    </row>
    <row r="4357" spans="3:5" ht="15" x14ac:dyDescent="0.2">
      <c r="C4357" s="61">
        <v>41454.34375</v>
      </c>
      <c r="D4357" s="60">
        <v>2420</v>
      </c>
      <c r="E4357" s="59" t="s">
        <v>550</v>
      </c>
    </row>
    <row r="4358" spans="3:5" ht="15" x14ac:dyDescent="0.2">
      <c r="C4358" s="61">
        <v>41454.354166666664</v>
      </c>
      <c r="D4358" s="60">
        <v>2420</v>
      </c>
      <c r="E4358" s="59" t="s">
        <v>550</v>
      </c>
    </row>
    <row r="4359" spans="3:5" ht="15" x14ac:dyDescent="0.2">
      <c r="C4359" s="61">
        <v>41454.364583333336</v>
      </c>
      <c r="D4359" s="60">
        <v>2440</v>
      </c>
      <c r="E4359" s="59" t="s">
        <v>549</v>
      </c>
    </row>
    <row r="4360" spans="3:5" ht="15" x14ac:dyDescent="0.2">
      <c r="C4360" s="61">
        <v>41454.375</v>
      </c>
      <c r="D4360" s="60">
        <v>2440</v>
      </c>
      <c r="E4360" s="59" t="s">
        <v>549</v>
      </c>
    </row>
    <row r="4361" spans="3:5" ht="15" x14ac:dyDescent="0.2">
      <c r="C4361" s="61">
        <v>41454.385416666664</v>
      </c>
      <c r="D4361" s="60">
        <v>2440</v>
      </c>
      <c r="E4361" s="59" t="s">
        <v>549</v>
      </c>
    </row>
    <row r="4362" spans="3:5" ht="15" x14ac:dyDescent="0.2">
      <c r="C4362" s="61">
        <v>41454.395833333336</v>
      </c>
      <c r="D4362" s="60">
        <v>2440</v>
      </c>
      <c r="E4362" s="59" t="s">
        <v>549</v>
      </c>
    </row>
    <row r="4363" spans="3:5" ht="15" x14ac:dyDescent="0.2">
      <c r="C4363" s="61">
        <v>41454.40625</v>
      </c>
      <c r="D4363" s="60">
        <v>2420</v>
      </c>
      <c r="E4363" s="59" t="s">
        <v>550</v>
      </c>
    </row>
    <row r="4364" spans="3:5" ht="15" x14ac:dyDescent="0.2">
      <c r="C4364" s="61">
        <v>41454.416666666664</v>
      </c>
      <c r="D4364" s="60">
        <v>2420</v>
      </c>
      <c r="E4364" s="59" t="s">
        <v>550</v>
      </c>
    </row>
    <row r="4365" spans="3:5" ht="15" x14ac:dyDescent="0.2">
      <c r="C4365" s="61">
        <v>41454.427083333336</v>
      </c>
      <c r="D4365" s="60">
        <v>2420</v>
      </c>
      <c r="E4365" s="59" t="s">
        <v>550</v>
      </c>
    </row>
    <row r="4366" spans="3:5" ht="15" x14ac:dyDescent="0.2">
      <c r="C4366" s="61">
        <v>41454.4375</v>
      </c>
      <c r="D4366" s="60">
        <v>2420</v>
      </c>
      <c r="E4366" s="59" t="s">
        <v>550</v>
      </c>
    </row>
    <row r="4367" spans="3:5" ht="15" x14ac:dyDescent="0.2">
      <c r="C4367" s="61">
        <v>41454.447916666664</v>
      </c>
      <c r="D4367" s="60">
        <v>2420</v>
      </c>
      <c r="E4367" s="59" t="s">
        <v>550</v>
      </c>
    </row>
    <row r="4368" spans="3:5" ht="15" x14ac:dyDescent="0.2">
      <c r="C4368" s="61">
        <v>41454.458333333336</v>
      </c>
      <c r="D4368" s="60">
        <v>2420</v>
      </c>
      <c r="E4368" s="59" t="s">
        <v>550</v>
      </c>
    </row>
    <row r="4369" spans="3:5" ht="15" x14ac:dyDescent="0.2">
      <c r="C4369" s="61">
        <v>41454.46875</v>
      </c>
      <c r="D4369" s="60">
        <v>2420</v>
      </c>
      <c r="E4369" s="59" t="s">
        <v>550</v>
      </c>
    </row>
    <row r="4370" spans="3:5" ht="15" x14ac:dyDescent="0.2">
      <c r="C4370" s="61">
        <v>41454.479166666664</v>
      </c>
      <c r="D4370" s="60">
        <v>2420</v>
      </c>
      <c r="E4370" s="59" t="s">
        <v>550</v>
      </c>
    </row>
    <row r="4371" spans="3:5" ht="15" x14ac:dyDescent="0.2">
      <c r="C4371" s="61">
        <v>41454.489583333336</v>
      </c>
      <c r="D4371" s="60">
        <v>2410</v>
      </c>
      <c r="E4371" s="59" t="s">
        <v>551</v>
      </c>
    </row>
    <row r="4372" spans="3:5" ht="15" x14ac:dyDescent="0.2">
      <c r="C4372" s="61">
        <v>41454.5</v>
      </c>
      <c r="D4372" s="60">
        <v>2410</v>
      </c>
      <c r="E4372" s="59" t="s">
        <v>551</v>
      </c>
    </row>
    <row r="4373" spans="3:5" ht="15" x14ac:dyDescent="0.2">
      <c r="C4373" s="61">
        <v>41454.510416666664</v>
      </c>
      <c r="D4373" s="60">
        <v>2410</v>
      </c>
      <c r="E4373" s="59" t="s">
        <v>551</v>
      </c>
    </row>
    <row r="4374" spans="3:5" ht="15" x14ac:dyDescent="0.2">
      <c r="C4374" s="61">
        <v>41454.520833333336</v>
      </c>
      <c r="D4374" s="60">
        <v>2410</v>
      </c>
      <c r="E4374" s="59" t="s">
        <v>551</v>
      </c>
    </row>
    <row r="4375" spans="3:5" ht="15" x14ac:dyDescent="0.2">
      <c r="C4375" s="61">
        <v>41454.53125</v>
      </c>
      <c r="D4375" s="60">
        <v>2410</v>
      </c>
      <c r="E4375" s="59" t="s">
        <v>551</v>
      </c>
    </row>
    <row r="4376" spans="3:5" ht="15" x14ac:dyDescent="0.2">
      <c r="C4376" s="61">
        <v>41454.541666666664</v>
      </c>
      <c r="D4376" s="60">
        <v>2400</v>
      </c>
      <c r="E4376" s="59" t="s">
        <v>552</v>
      </c>
    </row>
    <row r="4377" spans="3:5" ht="15" x14ac:dyDescent="0.2">
      <c r="C4377" s="61">
        <v>41454.552083333336</v>
      </c>
      <c r="D4377" s="60">
        <v>2400</v>
      </c>
      <c r="E4377" s="59" t="s">
        <v>552</v>
      </c>
    </row>
    <row r="4378" spans="3:5" ht="15" x14ac:dyDescent="0.2">
      <c r="C4378" s="61">
        <v>41454.5625</v>
      </c>
      <c r="D4378" s="60">
        <v>2400</v>
      </c>
      <c r="E4378" s="59" t="s">
        <v>552</v>
      </c>
    </row>
    <row r="4379" spans="3:5" ht="15" x14ac:dyDescent="0.2">
      <c r="C4379" s="61">
        <v>41454.572916666664</v>
      </c>
      <c r="D4379" s="60">
        <v>2390</v>
      </c>
      <c r="E4379" s="59" t="s">
        <v>553</v>
      </c>
    </row>
    <row r="4380" spans="3:5" ht="15" x14ac:dyDescent="0.2">
      <c r="C4380" s="61">
        <v>41454.583333333336</v>
      </c>
      <c r="D4380" s="60">
        <v>2390</v>
      </c>
      <c r="E4380" s="59" t="s">
        <v>553</v>
      </c>
    </row>
    <row r="4381" spans="3:5" ht="15" x14ac:dyDescent="0.2">
      <c r="C4381" s="61">
        <v>41454.59375</v>
      </c>
      <c r="D4381" s="60">
        <v>2390</v>
      </c>
      <c r="E4381" s="59" t="s">
        <v>553</v>
      </c>
    </row>
    <row r="4382" spans="3:5" ht="15" x14ac:dyDescent="0.2">
      <c r="C4382" s="61">
        <v>41454.604166666664</v>
      </c>
      <c r="D4382" s="60">
        <v>2390</v>
      </c>
      <c r="E4382" s="59" t="s">
        <v>553</v>
      </c>
    </row>
    <row r="4383" spans="3:5" ht="15" x14ac:dyDescent="0.2">
      <c r="C4383" s="61">
        <v>41454.614583333336</v>
      </c>
      <c r="D4383" s="60">
        <v>2380</v>
      </c>
      <c r="E4383" s="59" t="s">
        <v>554</v>
      </c>
    </row>
    <row r="4384" spans="3:5" ht="15" x14ac:dyDescent="0.2">
      <c r="C4384" s="61">
        <v>41454.625</v>
      </c>
      <c r="D4384" s="60">
        <v>2380</v>
      </c>
      <c r="E4384" s="59" t="s">
        <v>554</v>
      </c>
    </row>
    <row r="4385" spans="3:5" ht="15" x14ac:dyDescent="0.2">
      <c r="C4385" s="61">
        <v>41454.635416666664</v>
      </c>
      <c r="D4385" s="60">
        <v>2380</v>
      </c>
      <c r="E4385" s="59" t="s">
        <v>554</v>
      </c>
    </row>
    <row r="4386" spans="3:5" ht="15" x14ac:dyDescent="0.2">
      <c r="C4386" s="61">
        <v>41454.645833333336</v>
      </c>
      <c r="D4386" s="60">
        <v>2380</v>
      </c>
      <c r="E4386" s="59" t="s">
        <v>554</v>
      </c>
    </row>
    <row r="4387" spans="3:5" ht="15" x14ac:dyDescent="0.2">
      <c r="C4387" s="61">
        <v>41454.65625</v>
      </c>
      <c r="D4387" s="60">
        <v>2390</v>
      </c>
      <c r="E4387" s="59" t="s">
        <v>553</v>
      </c>
    </row>
    <row r="4388" spans="3:5" ht="15" x14ac:dyDescent="0.2">
      <c r="C4388" s="61">
        <v>41454.666666666664</v>
      </c>
      <c r="D4388" s="60">
        <v>2390</v>
      </c>
      <c r="E4388" s="59" t="s">
        <v>553</v>
      </c>
    </row>
    <row r="4389" spans="3:5" ht="15" x14ac:dyDescent="0.2">
      <c r="C4389" s="61">
        <v>41454.677083333336</v>
      </c>
      <c r="D4389" s="60">
        <v>2390</v>
      </c>
      <c r="E4389" s="59" t="s">
        <v>553</v>
      </c>
    </row>
    <row r="4390" spans="3:5" ht="15" x14ac:dyDescent="0.2">
      <c r="C4390" s="61">
        <v>41454.6875</v>
      </c>
      <c r="D4390" s="60">
        <v>2390</v>
      </c>
      <c r="E4390" s="59" t="s">
        <v>553</v>
      </c>
    </row>
    <row r="4391" spans="3:5" ht="15" x14ac:dyDescent="0.2">
      <c r="C4391" s="61">
        <v>41454.697916666664</v>
      </c>
      <c r="D4391" s="60">
        <v>2390</v>
      </c>
      <c r="E4391" s="59" t="s">
        <v>553</v>
      </c>
    </row>
    <row r="4392" spans="3:5" ht="15" x14ac:dyDescent="0.2">
      <c r="C4392" s="61">
        <v>41454.708333333336</v>
      </c>
      <c r="D4392" s="60">
        <v>2390</v>
      </c>
      <c r="E4392" s="59" t="s">
        <v>553</v>
      </c>
    </row>
    <row r="4393" spans="3:5" ht="15" x14ac:dyDescent="0.2">
      <c r="C4393" s="61">
        <v>41454.71875</v>
      </c>
      <c r="D4393" s="60">
        <v>2390</v>
      </c>
      <c r="E4393" s="59" t="s">
        <v>553</v>
      </c>
    </row>
    <row r="4394" spans="3:5" ht="15" x14ac:dyDescent="0.2">
      <c r="C4394" s="61">
        <v>41454.729166666664</v>
      </c>
      <c r="D4394" s="60">
        <v>2390</v>
      </c>
      <c r="E4394" s="59" t="s">
        <v>553</v>
      </c>
    </row>
    <row r="4395" spans="3:5" ht="15" x14ac:dyDescent="0.2">
      <c r="C4395" s="61">
        <v>41454.739583333336</v>
      </c>
      <c r="D4395" s="60">
        <v>2390</v>
      </c>
      <c r="E4395" s="59" t="s">
        <v>553</v>
      </c>
    </row>
    <row r="4396" spans="3:5" ht="15" x14ac:dyDescent="0.2">
      <c r="C4396" s="61">
        <v>41454.75</v>
      </c>
      <c r="D4396" s="60">
        <v>2390</v>
      </c>
      <c r="E4396" s="59" t="s">
        <v>553</v>
      </c>
    </row>
    <row r="4397" spans="3:5" ht="15" x14ac:dyDescent="0.2">
      <c r="C4397" s="61">
        <v>41454.760416666664</v>
      </c>
      <c r="D4397" s="60">
        <v>2390</v>
      </c>
      <c r="E4397" s="59" t="s">
        <v>553</v>
      </c>
    </row>
    <row r="4398" spans="3:5" ht="15" x14ac:dyDescent="0.2">
      <c r="C4398" s="61">
        <v>41454.770833333336</v>
      </c>
      <c r="D4398" s="60">
        <v>2380</v>
      </c>
      <c r="E4398" s="59" t="s">
        <v>554</v>
      </c>
    </row>
    <row r="4399" spans="3:5" ht="15" x14ac:dyDescent="0.2">
      <c r="C4399" s="61">
        <v>41454.78125</v>
      </c>
      <c r="D4399" s="60">
        <v>2380</v>
      </c>
      <c r="E4399" s="59" t="s">
        <v>554</v>
      </c>
    </row>
    <row r="4400" spans="3:5" ht="15" x14ac:dyDescent="0.2">
      <c r="C4400" s="61">
        <v>41454.791666666664</v>
      </c>
      <c r="D4400" s="60">
        <v>2380</v>
      </c>
      <c r="E4400" s="59" t="s">
        <v>554</v>
      </c>
    </row>
    <row r="4401" spans="3:5" ht="15" x14ac:dyDescent="0.2">
      <c r="C4401" s="61">
        <v>41454.802083333336</v>
      </c>
      <c r="D4401" s="60">
        <v>2380</v>
      </c>
      <c r="E4401" s="59" t="s">
        <v>554</v>
      </c>
    </row>
    <row r="4402" spans="3:5" ht="15" x14ac:dyDescent="0.2">
      <c r="C4402" s="61">
        <v>41454.8125</v>
      </c>
      <c r="D4402" s="60">
        <v>2380</v>
      </c>
      <c r="E4402" s="59" t="s">
        <v>554</v>
      </c>
    </row>
    <row r="4403" spans="3:5" ht="15" x14ac:dyDescent="0.2">
      <c r="C4403" s="61">
        <v>41454.822916666664</v>
      </c>
      <c r="D4403" s="60">
        <v>2370</v>
      </c>
      <c r="E4403" s="59" t="s">
        <v>555</v>
      </c>
    </row>
    <row r="4404" spans="3:5" ht="15" x14ac:dyDescent="0.2">
      <c r="C4404" s="61">
        <v>41454.833333333336</v>
      </c>
      <c r="D4404" s="60">
        <v>2370</v>
      </c>
      <c r="E4404" s="59" t="s">
        <v>555</v>
      </c>
    </row>
    <row r="4405" spans="3:5" ht="15" x14ac:dyDescent="0.2">
      <c r="C4405" s="61">
        <v>41454.84375</v>
      </c>
      <c r="D4405" s="60">
        <v>2370</v>
      </c>
      <c r="E4405" s="59" t="s">
        <v>555</v>
      </c>
    </row>
    <row r="4406" spans="3:5" ht="15" x14ac:dyDescent="0.2">
      <c r="C4406" s="61">
        <v>41454.854166666664</v>
      </c>
      <c r="D4406" s="60">
        <v>2370</v>
      </c>
      <c r="E4406" s="59" t="s">
        <v>555</v>
      </c>
    </row>
    <row r="4407" spans="3:5" ht="15" x14ac:dyDescent="0.2">
      <c r="C4407" s="61">
        <v>41454.864583333336</v>
      </c>
      <c r="D4407" s="60">
        <v>2370</v>
      </c>
      <c r="E4407" s="59" t="s">
        <v>555</v>
      </c>
    </row>
    <row r="4408" spans="3:5" ht="15" x14ac:dyDescent="0.2">
      <c r="C4408" s="61">
        <v>41454.875</v>
      </c>
      <c r="D4408" s="60">
        <v>2370</v>
      </c>
      <c r="E4408" s="59" t="s">
        <v>555</v>
      </c>
    </row>
    <row r="4409" spans="3:5" ht="15" x14ac:dyDescent="0.2">
      <c r="C4409" s="61">
        <v>41454.885416666664</v>
      </c>
      <c r="D4409" s="60">
        <v>2350</v>
      </c>
      <c r="E4409" s="59" t="s">
        <v>556</v>
      </c>
    </row>
    <row r="4410" spans="3:5" ht="15" x14ac:dyDescent="0.2">
      <c r="C4410" s="61">
        <v>41454.895833333336</v>
      </c>
      <c r="D4410" s="60">
        <v>2350</v>
      </c>
      <c r="E4410" s="59" t="s">
        <v>556</v>
      </c>
    </row>
    <row r="4411" spans="3:5" ht="15" x14ac:dyDescent="0.2">
      <c r="C4411" s="61">
        <v>41454.90625</v>
      </c>
      <c r="D4411" s="60">
        <v>2350</v>
      </c>
      <c r="E4411" s="59" t="s">
        <v>556</v>
      </c>
    </row>
    <row r="4412" spans="3:5" ht="15" x14ac:dyDescent="0.2">
      <c r="C4412" s="61">
        <v>41454.916666666664</v>
      </c>
      <c r="D4412" s="60">
        <v>2340</v>
      </c>
      <c r="E4412" s="59" t="s">
        <v>557</v>
      </c>
    </row>
    <row r="4413" spans="3:5" ht="15" x14ac:dyDescent="0.2">
      <c r="C4413" s="61">
        <v>41454.927083333336</v>
      </c>
      <c r="D4413" s="60">
        <v>2340</v>
      </c>
      <c r="E4413" s="59" t="s">
        <v>557</v>
      </c>
    </row>
    <row r="4414" spans="3:5" ht="15" x14ac:dyDescent="0.2">
      <c r="C4414" s="61">
        <v>41454.9375</v>
      </c>
      <c r="D4414" s="60">
        <v>2340</v>
      </c>
      <c r="E4414" s="59" t="s">
        <v>557</v>
      </c>
    </row>
    <row r="4415" spans="3:5" ht="15" x14ac:dyDescent="0.2">
      <c r="C4415" s="61">
        <v>41454.947916666664</v>
      </c>
      <c r="D4415" s="60">
        <v>2330</v>
      </c>
      <c r="E4415" s="59" t="s">
        <v>558</v>
      </c>
    </row>
    <row r="4416" spans="3:5" ht="15" x14ac:dyDescent="0.2">
      <c r="C4416" s="61">
        <v>41454.958333333336</v>
      </c>
      <c r="D4416" s="60">
        <v>2330</v>
      </c>
      <c r="E4416" s="59" t="s">
        <v>558</v>
      </c>
    </row>
    <row r="4417" spans="3:5" ht="15" x14ac:dyDescent="0.2">
      <c r="C4417" s="61">
        <v>41454.96875</v>
      </c>
      <c r="D4417" s="60">
        <v>2320</v>
      </c>
      <c r="E4417" s="59" t="s">
        <v>559</v>
      </c>
    </row>
    <row r="4418" spans="3:5" ht="15" x14ac:dyDescent="0.2">
      <c r="C4418" s="61">
        <v>41454.979166666664</v>
      </c>
      <c r="D4418" s="60">
        <v>2320</v>
      </c>
      <c r="E4418" s="59" t="s">
        <v>559</v>
      </c>
    </row>
    <row r="4419" spans="3:5" ht="15" x14ac:dyDescent="0.2">
      <c r="C4419" s="61">
        <v>41454.989583333336</v>
      </c>
      <c r="D4419" s="60">
        <v>2310</v>
      </c>
      <c r="E4419" s="59" t="s">
        <v>560</v>
      </c>
    </row>
    <row r="4420" spans="3:5" ht="15" x14ac:dyDescent="0.2">
      <c r="C4420" s="61">
        <v>41455</v>
      </c>
      <c r="D4420" s="60">
        <v>2310</v>
      </c>
      <c r="E4420" s="59" t="s">
        <v>560</v>
      </c>
    </row>
    <row r="4421" spans="3:5" ht="15" x14ac:dyDescent="0.2">
      <c r="C4421" s="61">
        <v>41455.010416666664</v>
      </c>
      <c r="D4421" s="60">
        <v>2290</v>
      </c>
      <c r="E4421" s="59" t="s">
        <v>561</v>
      </c>
    </row>
    <row r="4422" spans="3:5" ht="15" x14ac:dyDescent="0.2">
      <c r="C4422" s="61">
        <v>41455.020833333336</v>
      </c>
      <c r="D4422" s="60">
        <v>2290</v>
      </c>
      <c r="E4422" s="59" t="s">
        <v>561</v>
      </c>
    </row>
    <row r="4423" spans="3:5" ht="15" x14ac:dyDescent="0.2">
      <c r="C4423" s="61">
        <v>41455.03125</v>
      </c>
      <c r="D4423" s="60">
        <v>2290</v>
      </c>
      <c r="E4423" s="59" t="s">
        <v>561</v>
      </c>
    </row>
    <row r="4424" spans="3:5" ht="15" x14ac:dyDescent="0.2">
      <c r="C4424" s="61">
        <v>41455.041666666664</v>
      </c>
      <c r="D4424" s="60">
        <v>2280</v>
      </c>
      <c r="E4424" s="59" t="s">
        <v>562</v>
      </c>
    </row>
    <row r="4425" spans="3:5" ht="15" x14ac:dyDescent="0.2">
      <c r="C4425" s="61">
        <v>41455.052083333336</v>
      </c>
      <c r="D4425" s="60">
        <v>2280</v>
      </c>
      <c r="E4425" s="59" t="s">
        <v>562</v>
      </c>
    </row>
    <row r="4426" spans="3:5" ht="15" x14ac:dyDescent="0.2">
      <c r="C4426" s="61">
        <v>41455.0625</v>
      </c>
      <c r="D4426" s="60">
        <v>2280</v>
      </c>
      <c r="E4426" s="59" t="s">
        <v>562</v>
      </c>
    </row>
    <row r="4427" spans="3:5" ht="15" x14ac:dyDescent="0.2">
      <c r="C4427" s="61">
        <v>41455.072916666664</v>
      </c>
      <c r="D4427" s="60">
        <v>2270</v>
      </c>
      <c r="E4427" s="59" t="s">
        <v>563</v>
      </c>
    </row>
    <row r="4428" spans="3:5" ht="15" x14ac:dyDescent="0.2">
      <c r="C4428" s="61">
        <v>41455.083333333336</v>
      </c>
      <c r="D4428" s="60">
        <v>2270</v>
      </c>
      <c r="E4428" s="59" t="s">
        <v>563</v>
      </c>
    </row>
    <row r="4429" spans="3:5" ht="15" x14ac:dyDescent="0.2">
      <c r="C4429" s="61">
        <v>41455.09375</v>
      </c>
      <c r="D4429" s="60">
        <v>2270</v>
      </c>
      <c r="E4429" s="59" t="s">
        <v>563</v>
      </c>
    </row>
    <row r="4430" spans="3:5" ht="15" x14ac:dyDescent="0.2">
      <c r="C4430" s="61">
        <v>41455.104166666664</v>
      </c>
      <c r="D4430" s="60">
        <v>2260</v>
      </c>
      <c r="E4430" s="59" t="s">
        <v>564</v>
      </c>
    </row>
    <row r="4431" spans="3:5" ht="15" x14ac:dyDescent="0.2">
      <c r="C4431" s="61">
        <v>41455.114583333336</v>
      </c>
      <c r="D4431" s="60">
        <v>2260</v>
      </c>
      <c r="E4431" s="59" t="s">
        <v>564</v>
      </c>
    </row>
    <row r="4432" spans="3:5" ht="15" x14ac:dyDescent="0.2">
      <c r="C4432" s="61">
        <v>41455.125</v>
      </c>
      <c r="D4432" s="60">
        <v>2250</v>
      </c>
      <c r="E4432" s="59" t="s">
        <v>565</v>
      </c>
    </row>
    <row r="4433" spans="3:5" ht="15" x14ac:dyDescent="0.2">
      <c r="C4433" s="61">
        <v>41455.135416666664</v>
      </c>
      <c r="D4433" s="60">
        <v>2250</v>
      </c>
      <c r="E4433" s="59" t="s">
        <v>565</v>
      </c>
    </row>
    <row r="4434" spans="3:5" ht="15" x14ac:dyDescent="0.2">
      <c r="C4434" s="61">
        <v>41455.145833333336</v>
      </c>
      <c r="D4434" s="60">
        <v>2250</v>
      </c>
      <c r="E4434" s="59" t="s">
        <v>565</v>
      </c>
    </row>
    <row r="4435" spans="3:5" ht="15" x14ac:dyDescent="0.2">
      <c r="C4435" s="61">
        <v>41455.15625</v>
      </c>
      <c r="D4435" s="60">
        <v>2250</v>
      </c>
      <c r="E4435" s="59" t="s">
        <v>565</v>
      </c>
    </row>
    <row r="4436" spans="3:5" ht="15" x14ac:dyDescent="0.2">
      <c r="C4436" s="61">
        <v>41455.166666666664</v>
      </c>
      <c r="D4436" s="60">
        <v>2250</v>
      </c>
      <c r="E4436" s="59" t="s">
        <v>565</v>
      </c>
    </row>
    <row r="4437" spans="3:5" ht="15" x14ac:dyDescent="0.2">
      <c r="C4437" s="61">
        <v>41455.177083333336</v>
      </c>
      <c r="D4437" s="60">
        <v>2250</v>
      </c>
      <c r="E4437" s="59" t="s">
        <v>565</v>
      </c>
    </row>
    <row r="4438" spans="3:5" ht="15" x14ac:dyDescent="0.2">
      <c r="C4438" s="61">
        <v>41455.1875</v>
      </c>
      <c r="D4438" s="60">
        <v>2250</v>
      </c>
      <c r="E4438" s="59" t="s">
        <v>565</v>
      </c>
    </row>
    <row r="4439" spans="3:5" ht="15" x14ac:dyDescent="0.2">
      <c r="C4439" s="61">
        <v>41455.197916666664</v>
      </c>
      <c r="D4439" s="60">
        <v>2250</v>
      </c>
      <c r="E4439" s="59" t="s">
        <v>565</v>
      </c>
    </row>
    <row r="4440" spans="3:5" ht="15" x14ac:dyDescent="0.2">
      <c r="C4440" s="61">
        <v>41455.208333333336</v>
      </c>
      <c r="D4440" s="60">
        <v>2250</v>
      </c>
      <c r="E4440" s="59" t="s">
        <v>565</v>
      </c>
    </row>
    <row r="4441" spans="3:5" ht="15" x14ac:dyDescent="0.2">
      <c r="C4441" s="61">
        <v>41455.21875</v>
      </c>
      <c r="D4441" s="60">
        <v>2250</v>
      </c>
      <c r="E4441" s="59" t="s">
        <v>565</v>
      </c>
    </row>
    <row r="4442" spans="3:5" ht="15" x14ac:dyDescent="0.2">
      <c r="C4442" s="61">
        <v>41455.229166666664</v>
      </c>
      <c r="D4442" s="60">
        <v>2250</v>
      </c>
      <c r="E4442" s="59" t="s">
        <v>565</v>
      </c>
    </row>
    <row r="4443" spans="3:5" ht="15" x14ac:dyDescent="0.2">
      <c r="C4443" s="61">
        <v>41455.239583333336</v>
      </c>
      <c r="D4443" s="60">
        <v>2250</v>
      </c>
      <c r="E4443" s="59" t="s">
        <v>565</v>
      </c>
    </row>
    <row r="4444" spans="3:5" ht="15" x14ac:dyDescent="0.2">
      <c r="C4444" s="61">
        <v>41455.25</v>
      </c>
      <c r="D4444" s="60">
        <v>2250</v>
      </c>
      <c r="E4444" s="59" t="s">
        <v>565</v>
      </c>
    </row>
    <row r="4445" spans="3:5" ht="15" x14ac:dyDescent="0.2">
      <c r="C4445" s="61">
        <v>41455.260416666664</v>
      </c>
      <c r="D4445" s="60">
        <v>2250</v>
      </c>
      <c r="E4445" s="59" t="s">
        <v>565</v>
      </c>
    </row>
    <row r="4446" spans="3:5" ht="15" x14ac:dyDescent="0.2">
      <c r="C4446" s="61">
        <v>41455.270833333336</v>
      </c>
      <c r="D4446" s="60">
        <v>2260</v>
      </c>
      <c r="E4446" s="59" t="s">
        <v>564</v>
      </c>
    </row>
    <row r="4447" spans="3:5" ht="15" x14ac:dyDescent="0.2">
      <c r="C4447" s="61">
        <v>41455.28125</v>
      </c>
      <c r="D4447" s="60">
        <v>2260</v>
      </c>
      <c r="E4447" s="59" t="s">
        <v>564</v>
      </c>
    </row>
    <row r="4448" spans="3:5" ht="15" x14ac:dyDescent="0.2">
      <c r="C4448" s="61">
        <v>41455.291666666664</v>
      </c>
      <c r="D4448" s="60">
        <v>2260</v>
      </c>
      <c r="E4448" s="59" t="s">
        <v>564</v>
      </c>
    </row>
    <row r="4449" spans="3:5" ht="15" x14ac:dyDescent="0.2">
      <c r="C4449" s="61">
        <v>41455.302083333336</v>
      </c>
      <c r="D4449" s="60">
        <v>2260</v>
      </c>
      <c r="E4449" s="59" t="s">
        <v>564</v>
      </c>
    </row>
    <row r="4450" spans="3:5" ht="15" x14ac:dyDescent="0.2">
      <c r="C4450" s="61">
        <v>41455.3125</v>
      </c>
      <c r="D4450" s="60">
        <v>2260</v>
      </c>
      <c r="E4450" s="59" t="s">
        <v>564</v>
      </c>
    </row>
    <row r="4451" spans="3:5" ht="15" x14ac:dyDescent="0.2">
      <c r="C4451" s="61">
        <v>41455.322916666664</v>
      </c>
      <c r="D4451" s="60">
        <v>2260</v>
      </c>
      <c r="E4451" s="59" t="s">
        <v>564</v>
      </c>
    </row>
    <row r="4452" spans="3:5" ht="15" x14ac:dyDescent="0.2">
      <c r="C4452" s="61">
        <v>41455.333333333336</v>
      </c>
      <c r="D4452" s="60">
        <v>2260</v>
      </c>
      <c r="E4452" s="59" t="s">
        <v>564</v>
      </c>
    </row>
    <row r="4453" spans="3:5" ht="15" x14ac:dyDescent="0.2">
      <c r="C4453" s="61">
        <v>41455.34375</v>
      </c>
      <c r="D4453" s="60">
        <v>2270</v>
      </c>
      <c r="E4453" s="59" t="s">
        <v>563</v>
      </c>
    </row>
    <row r="4454" spans="3:5" ht="15" x14ac:dyDescent="0.2">
      <c r="C4454" s="61">
        <v>41455.354166666664</v>
      </c>
      <c r="D4454" s="60">
        <v>2270</v>
      </c>
      <c r="E4454" s="59" t="s">
        <v>563</v>
      </c>
    </row>
    <row r="4455" spans="3:5" ht="15" x14ac:dyDescent="0.2">
      <c r="C4455" s="61">
        <v>41455.364583333336</v>
      </c>
      <c r="D4455" s="60">
        <v>2270</v>
      </c>
      <c r="E4455" s="59" t="s">
        <v>563</v>
      </c>
    </row>
    <row r="4456" spans="3:5" ht="15" x14ac:dyDescent="0.2">
      <c r="C4456" s="61">
        <v>41455.375</v>
      </c>
      <c r="D4456" s="60">
        <v>2270</v>
      </c>
      <c r="E4456" s="59" t="s">
        <v>563</v>
      </c>
    </row>
    <row r="4457" spans="3:5" ht="15" x14ac:dyDescent="0.2">
      <c r="C4457" s="61">
        <v>41455.385416666664</v>
      </c>
      <c r="D4457" s="60">
        <v>2270</v>
      </c>
      <c r="E4457" s="59" t="s">
        <v>563</v>
      </c>
    </row>
    <row r="4458" spans="3:5" ht="15" x14ac:dyDescent="0.2">
      <c r="C4458" s="61">
        <v>41455.395833333336</v>
      </c>
      <c r="D4458" s="60">
        <v>2280</v>
      </c>
      <c r="E4458" s="59" t="s">
        <v>562</v>
      </c>
    </row>
    <row r="4459" spans="3:5" ht="15" x14ac:dyDescent="0.2">
      <c r="C4459" s="61">
        <v>41455.40625</v>
      </c>
      <c r="D4459" s="60">
        <v>2280</v>
      </c>
      <c r="E4459" s="59" t="s">
        <v>562</v>
      </c>
    </row>
    <row r="4460" spans="3:5" ht="15" x14ac:dyDescent="0.2">
      <c r="C4460" s="61">
        <v>41455.416666666664</v>
      </c>
      <c r="D4460" s="60">
        <v>2280</v>
      </c>
      <c r="E4460" s="59" t="s">
        <v>562</v>
      </c>
    </row>
    <row r="4461" spans="3:5" ht="15" x14ac:dyDescent="0.2">
      <c r="C4461" s="61">
        <v>41455.427083333336</v>
      </c>
      <c r="D4461" s="60">
        <v>2280</v>
      </c>
      <c r="E4461" s="59" t="s">
        <v>562</v>
      </c>
    </row>
    <row r="4462" spans="3:5" ht="15" x14ac:dyDescent="0.2">
      <c r="C4462" s="61">
        <v>41455.4375</v>
      </c>
      <c r="D4462" s="60">
        <v>2290</v>
      </c>
      <c r="E4462" s="59" t="s">
        <v>561</v>
      </c>
    </row>
    <row r="4463" spans="3:5" ht="15" x14ac:dyDescent="0.2">
      <c r="C4463" s="61">
        <v>41455.447916666664</v>
      </c>
      <c r="D4463" s="60">
        <v>2290</v>
      </c>
      <c r="E4463" s="59" t="s">
        <v>561</v>
      </c>
    </row>
    <row r="4464" spans="3:5" ht="15" x14ac:dyDescent="0.2">
      <c r="C4464" s="61">
        <v>41455.458333333336</v>
      </c>
      <c r="D4464" s="60">
        <v>2290</v>
      </c>
      <c r="E4464" s="59" t="s">
        <v>561</v>
      </c>
    </row>
    <row r="4465" spans="3:5" ht="15" x14ac:dyDescent="0.2">
      <c r="C4465" s="61">
        <v>41455.46875</v>
      </c>
      <c r="D4465" s="60">
        <v>2310</v>
      </c>
      <c r="E4465" s="59" t="s">
        <v>560</v>
      </c>
    </row>
    <row r="4466" spans="3:5" ht="15" x14ac:dyDescent="0.2">
      <c r="C4466" s="61">
        <v>41455.479166666664</v>
      </c>
      <c r="D4466" s="60">
        <v>2310</v>
      </c>
      <c r="E4466" s="59" t="s">
        <v>560</v>
      </c>
    </row>
    <row r="4467" spans="3:5" ht="15" x14ac:dyDescent="0.2">
      <c r="C4467" s="61">
        <v>41455.489583333336</v>
      </c>
      <c r="D4467" s="60">
        <v>2320</v>
      </c>
      <c r="E4467" s="59" t="s">
        <v>559</v>
      </c>
    </row>
    <row r="4468" spans="3:5" ht="15" x14ac:dyDescent="0.2">
      <c r="C4468" s="61">
        <v>41455.5</v>
      </c>
      <c r="D4468" s="60">
        <v>2320</v>
      </c>
      <c r="E4468" s="59" t="s">
        <v>559</v>
      </c>
    </row>
    <row r="4469" spans="3:5" ht="15" x14ac:dyDescent="0.2">
      <c r="C4469" s="61">
        <v>41455.510416666664</v>
      </c>
      <c r="D4469" s="60">
        <v>2330</v>
      </c>
      <c r="E4469" s="59" t="s">
        <v>558</v>
      </c>
    </row>
    <row r="4470" spans="3:5" ht="15" x14ac:dyDescent="0.2">
      <c r="C4470" s="61">
        <v>41455.520833333336</v>
      </c>
      <c r="D4470" s="60">
        <v>2330</v>
      </c>
      <c r="E4470" s="59" t="s">
        <v>558</v>
      </c>
    </row>
    <row r="4471" spans="3:5" ht="15" x14ac:dyDescent="0.2">
      <c r="C4471" s="61">
        <v>41455.53125</v>
      </c>
      <c r="D4471" s="60">
        <v>2340</v>
      </c>
      <c r="E4471" s="59" t="s">
        <v>557</v>
      </c>
    </row>
    <row r="4472" spans="3:5" ht="15" x14ac:dyDescent="0.2">
      <c r="C4472" s="61">
        <v>41455.541666666664</v>
      </c>
      <c r="D4472" s="60">
        <v>2340</v>
      </c>
      <c r="E4472" s="59" t="s">
        <v>557</v>
      </c>
    </row>
    <row r="4473" spans="3:5" ht="15" x14ac:dyDescent="0.2">
      <c r="C4473" s="61">
        <v>41455.552083333336</v>
      </c>
      <c r="D4473" s="60">
        <v>2350</v>
      </c>
      <c r="E4473" s="59" t="s">
        <v>556</v>
      </c>
    </row>
    <row r="4474" spans="3:5" ht="15" x14ac:dyDescent="0.2">
      <c r="C4474" s="61">
        <v>41455.5625</v>
      </c>
      <c r="D4474" s="60">
        <v>2370</v>
      </c>
      <c r="E4474" s="59" t="s">
        <v>555</v>
      </c>
    </row>
    <row r="4475" spans="3:5" ht="15" x14ac:dyDescent="0.2">
      <c r="C4475" s="61">
        <v>41455.572916666664</v>
      </c>
      <c r="D4475" s="60">
        <v>2380</v>
      </c>
      <c r="E4475" s="59" t="s">
        <v>554</v>
      </c>
    </row>
    <row r="4476" spans="3:5" ht="15" x14ac:dyDescent="0.2">
      <c r="C4476" s="61">
        <v>41455.583333333336</v>
      </c>
      <c r="D4476" s="60">
        <v>2380</v>
      </c>
      <c r="E4476" s="59" t="s">
        <v>554</v>
      </c>
    </row>
    <row r="4477" spans="3:5" ht="15" x14ac:dyDescent="0.2">
      <c r="C4477" s="61">
        <v>41455.59375</v>
      </c>
      <c r="D4477" s="60">
        <v>2390</v>
      </c>
      <c r="E4477" s="59" t="s">
        <v>553</v>
      </c>
    </row>
    <row r="4478" spans="3:5" ht="15" x14ac:dyDescent="0.2">
      <c r="C4478" s="61">
        <v>41455.604166666664</v>
      </c>
      <c r="D4478" s="60">
        <v>2400</v>
      </c>
      <c r="E4478" s="59" t="s">
        <v>552</v>
      </c>
    </row>
    <row r="4479" spans="3:5" ht="15" x14ac:dyDescent="0.2">
      <c r="C4479" s="61">
        <v>41455.614583333336</v>
      </c>
      <c r="D4479" s="60">
        <v>2400</v>
      </c>
      <c r="E4479" s="59" t="s">
        <v>552</v>
      </c>
    </row>
    <row r="4480" spans="3:5" ht="15" x14ac:dyDescent="0.2">
      <c r="C4480" s="61">
        <v>41455.625</v>
      </c>
      <c r="D4480" s="60">
        <v>2410</v>
      </c>
      <c r="E4480" s="59" t="s">
        <v>551</v>
      </c>
    </row>
    <row r="4481" spans="3:5" ht="15" x14ac:dyDescent="0.2">
      <c r="C4481" s="61">
        <v>41455.635416666664</v>
      </c>
      <c r="D4481" s="60">
        <v>2420</v>
      </c>
      <c r="E4481" s="59" t="s">
        <v>550</v>
      </c>
    </row>
    <row r="4482" spans="3:5" ht="15" x14ac:dyDescent="0.2">
      <c r="C4482" s="61">
        <v>41455.645833333336</v>
      </c>
      <c r="D4482" s="60">
        <v>2440</v>
      </c>
      <c r="E4482" s="59" t="s">
        <v>549</v>
      </c>
    </row>
    <row r="4483" spans="3:5" ht="15" x14ac:dyDescent="0.2">
      <c r="C4483" s="61">
        <v>41455.65625</v>
      </c>
      <c r="D4483" s="60">
        <v>2440</v>
      </c>
      <c r="E4483" s="59" t="s">
        <v>549</v>
      </c>
    </row>
    <row r="4484" spans="3:5" ht="15" x14ac:dyDescent="0.2">
      <c r="C4484" s="61">
        <v>41455.666666666664</v>
      </c>
      <c r="D4484" s="60">
        <v>2450</v>
      </c>
      <c r="E4484" s="59" t="s">
        <v>548</v>
      </c>
    </row>
    <row r="4485" spans="3:5" ht="15" x14ac:dyDescent="0.2">
      <c r="C4485" s="61">
        <v>41455.677083333336</v>
      </c>
      <c r="D4485" s="60">
        <v>2450</v>
      </c>
      <c r="E4485" s="59" t="s">
        <v>548</v>
      </c>
    </row>
    <row r="4486" spans="3:5" ht="15" x14ac:dyDescent="0.2">
      <c r="C4486" s="61">
        <v>41455.6875</v>
      </c>
      <c r="D4486" s="60">
        <v>2460</v>
      </c>
      <c r="E4486" s="59" t="s">
        <v>547</v>
      </c>
    </row>
    <row r="4487" spans="3:5" ht="15" x14ac:dyDescent="0.2">
      <c r="C4487" s="61">
        <v>41455.697916666664</v>
      </c>
      <c r="D4487" s="60">
        <v>2460</v>
      </c>
      <c r="E4487" s="59" t="s">
        <v>547</v>
      </c>
    </row>
    <row r="4488" spans="3:5" ht="15" x14ac:dyDescent="0.2">
      <c r="C4488" s="61">
        <v>41455.708333333336</v>
      </c>
      <c r="D4488" s="60">
        <v>2470</v>
      </c>
      <c r="E4488" s="59" t="s">
        <v>546</v>
      </c>
    </row>
    <row r="4489" spans="3:5" ht="15" x14ac:dyDescent="0.2">
      <c r="C4489" s="61">
        <v>41455.71875</v>
      </c>
      <c r="D4489" s="60">
        <v>2470</v>
      </c>
      <c r="E4489" s="59" t="s">
        <v>546</v>
      </c>
    </row>
    <row r="4490" spans="3:5" ht="15" x14ac:dyDescent="0.2">
      <c r="C4490" s="61">
        <v>41455.729166666664</v>
      </c>
      <c r="D4490" s="60">
        <v>2490</v>
      </c>
      <c r="E4490" s="59" t="s">
        <v>545</v>
      </c>
    </row>
    <row r="4491" spans="3:5" ht="15" x14ac:dyDescent="0.2">
      <c r="C4491" s="61">
        <v>41455.739583333336</v>
      </c>
      <c r="D4491" s="60">
        <v>2490</v>
      </c>
      <c r="E4491" s="59" t="s">
        <v>545</v>
      </c>
    </row>
    <row r="4492" spans="3:5" ht="15" x14ac:dyDescent="0.2">
      <c r="C4492" s="61">
        <v>41455.75</v>
      </c>
      <c r="D4492" s="60">
        <v>2500</v>
      </c>
      <c r="E4492" s="59" t="s">
        <v>544</v>
      </c>
    </row>
    <row r="4493" spans="3:5" ht="15" x14ac:dyDescent="0.2">
      <c r="C4493" s="61">
        <v>41455.760416666664</v>
      </c>
      <c r="D4493" s="60">
        <v>2500</v>
      </c>
      <c r="E4493" s="59" t="s">
        <v>544</v>
      </c>
    </row>
    <row r="4494" spans="3:5" ht="15" x14ac:dyDescent="0.2">
      <c r="C4494" s="61">
        <v>41455.770833333336</v>
      </c>
      <c r="D4494" s="60">
        <v>2500</v>
      </c>
      <c r="E4494" s="59" t="s">
        <v>544</v>
      </c>
    </row>
    <row r="4495" spans="3:5" ht="15" x14ac:dyDescent="0.2">
      <c r="C4495" s="61">
        <v>41455.78125</v>
      </c>
      <c r="D4495" s="60">
        <v>2510</v>
      </c>
      <c r="E4495" s="59" t="s">
        <v>543</v>
      </c>
    </row>
    <row r="4496" spans="3:5" ht="15" x14ac:dyDescent="0.2">
      <c r="C4496" s="61">
        <v>41455.791666666664</v>
      </c>
      <c r="D4496" s="60">
        <v>2510</v>
      </c>
      <c r="E4496" s="59" t="s">
        <v>543</v>
      </c>
    </row>
    <row r="4497" spans="3:5" ht="15" x14ac:dyDescent="0.2">
      <c r="C4497" s="61">
        <v>41455.802083333336</v>
      </c>
      <c r="D4497" s="60">
        <v>2510</v>
      </c>
      <c r="E4497" s="59" t="s">
        <v>543</v>
      </c>
    </row>
    <row r="4498" spans="3:5" ht="15" x14ac:dyDescent="0.2">
      <c r="C4498" s="61">
        <v>41455.8125</v>
      </c>
      <c r="D4498" s="60">
        <v>2510</v>
      </c>
      <c r="E4498" s="59" t="s">
        <v>543</v>
      </c>
    </row>
    <row r="4499" spans="3:5" ht="15" x14ac:dyDescent="0.2">
      <c r="C4499" s="61">
        <v>41455.822916666664</v>
      </c>
      <c r="D4499" s="60">
        <v>2510</v>
      </c>
      <c r="E4499" s="59" t="s">
        <v>543</v>
      </c>
    </row>
    <row r="4500" spans="3:5" ht="15" x14ac:dyDescent="0.2">
      <c r="C4500" s="61">
        <v>41455.833333333336</v>
      </c>
      <c r="D4500" s="60">
        <v>2510</v>
      </c>
      <c r="E4500" s="59" t="s">
        <v>543</v>
      </c>
    </row>
    <row r="4501" spans="3:5" ht="15" x14ac:dyDescent="0.2">
      <c r="C4501" s="61">
        <v>41455.84375</v>
      </c>
      <c r="D4501" s="60">
        <v>2510</v>
      </c>
      <c r="E4501" s="59" t="s">
        <v>543</v>
      </c>
    </row>
    <row r="4502" spans="3:5" ht="15" x14ac:dyDescent="0.2">
      <c r="C4502" s="61">
        <v>41455.854166666664</v>
      </c>
      <c r="D4502" s="60">
        <v>2510</v>
      </c>
      <c r="E4502" s="59" t="s">
        <v>543</v>
      </c>
    </row>
    <row r="4503" spans="3:5" ht="15" x14ac:dyDescent="0.2">
      <c r="C4503" s="61">
        <v>41455.864583333336</v>
      </c>
      <c r="D4503" s="60">
        <v>2510</v>
      </c>
      <c r="E4503" s="59" t="s">
        <v>543</v>
      </c>
    </row>
    <row r="4504" spans="3:5" ht="15" x14ac:dyDescent="0.2">
      <c r="C4504" s="61">
        <v>41455.875</v>
      </c>
      <c r="D4504" s="60">
        <v>2510</v>
      </c>
      <c r="E4504" s="59" t="s">
        <v>543</v>
      </c>
    </row>
    <row r="4505" spans="3:5" ht="15" x14ac:dyDescent="0.2">
      <c r="C4505" s="61">
        <v>41455.885416666664</v>
      </c>
      <c r="D4505" s="60">
        <v>2510</v>
      </c>
      <c r="E4505" s="59" t="s">
        <v>543</v>
      </c>
    </row>
    <row r="4506" spans="3:5" ht="15" x14ac:dyDescent="0.2">
      <c r="C4506" s="61">
        <v>41455.895833333336</v>
      </c>
      <c r="D4506" s="60">
        <v>2510</v>
      </c>
      <c r="E4506" s="59" t="s">
        <v>543</v>
      </c>
    </row>
    <row r="4507" spans="3:5" ht="15" x14ac:dyDescent="0.2">
      <c r="C4507" s="61">
        <v>41455.90625</v>
      </c>
      <c r="D4507" s="60">
        <v>2510</v>
      </c>
      <c r="E4507" s="59" t="s">
        <v>543</v>
      </c>
    </row>
    <row r="4508" spans="3:5" ht="15" x14ac:dyDescent="0.2">
      <c r="C4508" s="61">
        <v>41455.916666666664</v>
      </c>
      <c r="D4508" s="60">
        <v>2510</v>
      </c>
      <c r="E4508" s="59" t="s">
        <v>543</v>
      </c>
    </row>
    <row r="4509" spans="3:5" ht="15" x14ac:dyDescent="0.2">
      <c r="C4509" s="61">
        <v>41455.927083333336</v>
      </c>
      <c r="D4509" s="60">
        <v>2510</v>
      </c>
      <c r="E4509" s="59" t="s">
        <v>543</v>
      </c>
    </row>
    <row r="4510" spans="3:5" ht="15" x14ac:dyDescent="0.2">
      <c r="C4510" s="61">
        <v>41455.9375</v>
      </c>
      <c r="D4510" s="60">
        <v>2510</v>
      </c>
      <c r="E4510" s="59" t="s">
        <v>543</v>
      </c>
    </row>
    <row r="4511" spans="3:5" ht="15" x14ac:dyDescent="0.2">
      <c r="C4511" s="61">
        <v>41455.947916666664</v>
      </c>
      <c r="D4511" s="60">
        <v>2510</v>
      </c>
      <c r="E4511" s="59" t="s">
        <v>543</v>
      </c>
    </row>
    <row r="4512" spans="3:5" ht="15" x14ac:dyDescent="0.2">
      <c r="C4512" s="61">
        <v>41455.958333333336</v>
      </c>
      <c r="D4512" s="60">
        <v>2510</v>
      </c>
      <c r="E4512" s="59" t="s">
        <v>543</v>
      </c>
    </row>
    <row r="4513" spans="3:5" ht="15" x14ac:dyDescent="0.2">
      <c r="C4513" s="61">
        <v>41455.96875</v>
      </c>
      <c r="D4513" s="60">
        <v>2510</v>
      </c>
      <c r="E4513" s="59" t="s">
        <v>543</v>
      </c>
    </row>
    <row r="4514" spans="3:5" ht="15" x14ac:dyDescent="0.2">
      <c r="C4514" s="61">
        <v>41455.979166666664</v>
      </c>
      <c r="D4514" s="60">
        <v>2510</v>
      </c>
      <c r="E4514" s="59" t="s">
        <v>543</v>
      </c>
    </row>
    <row r="4515" spans="3:5" ht="15" x14ac:dyDescent="0.2">
      <c r="C4515" s="61">
        <v>41455.989583333336</v>
      </c>
      <c r="D4515" s="60">
        <v>2510</v>
      </c>
      <c r="E4515" s="59" t="s">
        <v>543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4227"/>
  <sheetViews>
    <sheetView topLeftCell="F1" workbookViewId="0">
      <selection activeCell="I23" sqref="I23"/>
    </sheetView>
  </sheetViews>
  <sheetFormatPr defaultRowHeight="12.75" x14ac:dyDescent="0.2"/>
  <cols>
    <col min="2" max="2" width="29" customWidth="1"/>
    <col min="6" max="6" width="19.5" customWidth="1"/>
  </cols>
  <sheetData>
    <row r="1" spans="2:8" x14ac:dyDescent="0.2">
      <c r="G1" s="92">
        <f>AVERAGE(G4:G47)</f>
        <v>5436.136363636364</v>
      </c>
    </row>
    <row r="2" spans="2:8" x14ac:dyDescent="0.2">
      <c r="G2" s="92">
        <f>MIN(G4:G47)</f>
        <v>3310</v>
      </c>
    </row>
    <row r="3" spans="2:8" x14ac:dyDescent="0.2">
      <c r="B3" s="86" t="s">
        <v>4874</v>
      </c>
      <c r="G3" s="92">
        <f>MAX(G4:G47)</f>
        <v>7750</v>
      </c>
    </row>
    <row r="4" spans="2:8" ht="15" x14ac:dyDescent="0.2">
      <c r="B4" s="87" t="s">
        <v>650</v>
      </c>
      <c r="C4" s="88">
        <v>4500</v>
      </c>
      <c r="D4" s="87" t="s">
        <v>4875</v>
      </c>
      <c r="F4" s="89">
        <v>41762</v>
      </c>
      <c r="G4" s="90">
        <v>4950</v>
      </c>
      <c r="H4" s="91">
        <v>5.78</v>
      </c>
    </row>
    <row r="5" spans="2:8" ht="15" x14ac:dyDescent="0.2">
      <c r="B5" s="87" t="s">
        <v>651</v>
      </c>
      <c r="C5" s="88">
        <v>4500</v>
      </c>
      <c r="D5" s="87" t="s">
        <v>4875</v>
      </c>
      <c r="F5" s="89">
        <v>41763</v>
      </c>
      <c r="G5" s="90">
        <v>6050</v>
      </c>
      <c r="H5" s="91">
        <v>6.59</v>
      </c>
    </row>
    <row r="6" spans="2:8" ht="15" x14ac:dyDescent="0.2">
      <c r="B6" s="87" t="s">
        <v>652</v>
      </c>
      <c r="C6" s="88">
        <v>4510</v>
      </c>
      <c r="D6" s="87" t="s">
        <v>4876</v>
      </c>
      <c r="F6" s="89">
        <v>41764</v>
      </c>
      <c r="G6" s="90">
        <v>6620</v>
      </c>
      <c r="H6" s="91">
        <v>7.02</v>
      </c>
    </row>
    <row r="7" spans="2:8" ht="15" x14ac:dyDescent="0.2">
      <c r="B7" s="87" t="s">
        <v>653</v>
      </c>
      <c r="C7" s="88">
        <v>4510</v>
      </c>
      <c r="D7" s="87" t="s">
        <v>4876</v>
      </c>
      <c r="F7" s="89">
        <v>41765</v>
      </c>
      <c r="G7" s="90">
        <v>6380</v>
      </c>
      <c r="H7" s="91">
        <v>6.85</v>
      </c>
    </row>
    <row r="8" spans="2:8" ht="15" x14ac:dyDescent="0.2">
      <c r="B8" s="87" t="s">
        <v>654</v>
      </c>
      <c r="C8" s="88">
        <v>4510</v>
      </c>
      <c r="D8" s="87" t="s">
        <v>4876</v>
      </c>
      <c r="F8" s="89">
        <v>41766</v>
      </c>
      <c r="G8" s="90">
        <v>5870</v>
      </c>
      <c r="H8" s="91">
        <v>6.45</v>
      </c>
    </row>
    <row r="9" spans="2:8" ht="15" x14ac:dyDescent="0.2">
      <c r="B9" s="87" t="s">
        <v>655</v>
      </c>
      <c r="C9" s="88">
        <v>4530</v>
      </c>
      <c r="D9" s="87" t="s">
        <v>4877</v>
      </c>
      <c r="F9" s="89">
        <v>41767</v>
      </c>
      <c r="G9" s="90">
        <v>5540</v>
      </c>
      <c r="H9" s="91">
        <v>6.19</v>
      </c>
    </row>
    <row r="10" spans="2:8" ht="15" x14ac:dyDescent="0.2">
      <c r="B10" s="87" t="s">
        <v>656</v>
      </c>
      <c r="C10" s="88">
        <v>4530</v>
      </c>
      <c r="D10" s="87" t="s">
        <v>4877</v>
      </c>
      <c r="F10" s="89">
        <v>41768</v>
      </c>
      <c r="G10" s="90">
        <v>5330</v>
      </c>
      <c r="H10" s="91">
        <v>6.05</v>
      </c>
    </row>
    <row r="11" spans="2:8" ht="15" x14ac:dyDescent="0.2">
      <c r="B11" s="87" t="s">
        <v>657</v>
      </c>
      <c r="C11" s="88">
        <v>4530</v>
      </c>
      <c r="D11" s="87" t="s">
        <v>4877</v>
      </c>
      <c r="F11" s="89">
        <v>41769</v>
      </c>
      <c r="G11" s="90">
        <v>5480</v>
      </c>
      <c r="H11" s="91">
        <v>6.16</v>
      </c>
    </row>
    <row r="12" spans="2:8" ht="15" x14ac:dyDescent="0.2">
      <c r="B12" s="87" t="s">
        <v>658</v>
      </c>
      <c r="C12" s="88">
        <v>4530</v>
      </c>
      <c r="D12" s="87" t="s">
        <v>4877</v>
      </c>
      <c r="F12" s="89">
        <v>41770</v>
      </c>
      <c r="G12" s="90">
        <v>5550</v>
      </c>
      <c r="H12" s="91">
        <v>6.2</v>
      </c>
    </row>
    <row r="13" spans="2:8" ht="15" x14ac:dyDescent="0.2">
      <c r="B13" s="87" t="s">
        <v>659</v>
      </c>
      <c r="C13" s="88">
        <v>4530</v>
      </c>
      <c r="D13" s="87" t="s">
        <v>4877</v>
      </c>
      <c r="F13" s="89">
        <v>41771</v>
      </c>
      <c r="G13" s="90">
        <v>5250</v>
      </c>
      <c r="H13" s="91">
        <v>6</v>
      </c>
    </row>
    <row r="14" spans="2:8" ht="15" x14ac:dyDescent="0.2">
      <c r="B14" s="87" t="s">
        <v>660</v>
      </c>
      <c r="C14" s="88">
        <v>4530</v>
      </c>
      <c r="D14" s="87" t="s">
        <v>4877</v>
      </c>
      <c r="F14" s="89">
        <v>41772</v>
      </c>
      <c r="G14" s="90">
        <v>4800</v>
      </c>
      <c r="H14" s="91">
        <v>5.68</v>
      </c>
    </row>
    <row r="15" spans="2:8" ht="15" x14ac:dyDescent="0.2">
      <c r="B15" s="87" t="s">
        <v>661</v>
      </c>
      <c r="C15" s="88">
        <v>4540</v>
      </c>
      <c r="D15" s="87" t="s">
        <v>4878</v>
      </c>
      <c r="F15" s="89">
        <v>41773</v>
      </c>
      <c r="G15" s="90">
        <v>4370</v>
      </c>
      <c r="H15" s="91">
        <v>5.36</v>
      </c>
    </row>
    <row r="16" spans="2:8" ht="15" x14ac:dyDescent="0.2">
      <c r="B16" s="87" t="s">
        <v>662</v>
      </c>
      <c r="C16" s="88">
        <v>4540</v>
      </c>
      <c r="D16" s="87" t="s">
        <v>4878</v>
      </c>
      <c r="F16" s="89">
        <v>41774</v>
      </c>
      <c r="G16" s="90">
        <v>4190</v>
      </c>
      <c r="H16" s="91">
        <v>5.23</v>
      </c>
    </row>
    <row r="17" spans="2:8" ht="15" x14ac:dyDescent="0.2">
      <c r="B17" s="87" t="s">
        <v>663</v>
      </c>
      <c r="C17" s="88">
        <v>4540</v>
      </c>
      <c r="D17" s="87" t="s">
        <v>4878</v>
      </c>
      <c r="F17" s="89">
        <v>41775</v>
      </c>
      <c r="G17" s="90">
        <v>4680</v>
      </c>
      <c r="H17" s="91">
        <v>5.59</v>
      </c>
    </row>
    <row r="18" spans="2:8" ht="15" x14ac:dyDescent="0.2">
      <c r="B18" s="87" t="s">
        <v>664</v>
      </c>
      <c r="C18" s="88">
        <v>4560</v>
      </c>
      <c r="D18" s="87" t="s">
        <v>4879</v>
      </c>
      <c r="F18" s="89">
        <v>41776</v>
      </c>
      <c r="G18" s="90">
        <v>6050</v>
      </c>
      <c r="H18" s="91">
        <v>6.59</v>
      </c>
    </row>
    <row r="19" spans="2:8" ht="15" x14ac:dyDescent="0.2">
      <c r="B19" s="87" t="s">
        <v>665</v>
      </c>
      <c r="C19" s="88">
        <v>4560</v>
      </c>
      <c r="D19" s="87" t="s">
        <v>4879</v>
      </c>
      <c r="F19" s="89">
        <v>41777</v>
      </c>
      <c r="G19" s="90">
        <v>7280</v>
      </c>
      <c r="H19" s="91">
        <v>7.52</v>
      </c>
    </row>
    <row r="20" spans="2:8" ht="15" x14ac:dyDescent="0.2">
      <c r="B20" s="87" t="s">
        <v>666</v>
      </c>
      <c r="C20" s="88">
        <v>4570</v>
      </c>
      <c r="D20" s="87" t="s">
        <v>4880</v>
      </c>
      <c r="F20" s="89">
        <v>41778</v>
      </c>
      <c r="G20" s="90">
        <v>7750</v>
      </c>
      <c r="H20" s="91">
        <v>7.85</v>
      </c>
    </row>
    <row r="21" spans="2:8" ht="15" x14ac:dyDescent="0.2">
      <c r="B21" s="87" t="s">
        <v>667</v>
      </c>
      <c r="C21" s="88">
        <v>4570</v>
      </c>
      <c r="D21" s="87" t="s">
        <v>4880</v>
      </c>
      <c r="F21" s="89">
        <v>41779</v>
      </c>
      <c r="G21" s="90">
        <v>7420</v>
      </c>
      <c r="H21" s="91">
        <v>7.62</v>
      </c>
    </row>
    <row r="22" spans="2:8" ht="15" x14ac:dyDescent="0.2">
      <c r="B22" s="87" t="s">
        <v>668</v>
      </c>
      <c r="C22" s="88">
        <v>4580</v>
      </c>
      <c r="D22" s="87" t="s">
        <v>4881</v>
      </c>
      <c r="F22" s="89">
        <v>41780</v>
      </c>
      <c r="G22" s="90">
        <v>6870</v>
      </c>
      <c r="H22" s="91">
        <v>7.21</v>
      </c>
    </row>
    <row r="23" spans="2:8" ht="15" x14ac:dyDescent="0.2">
      <c r="B23" s="87" t="s">
        <v>669</v>
      </c>
      <c r="C23" s="88">
        <v>4580</v>
      </c>
      <c r="D23" s="87" t="s">
        <v>4881</v>
      </c>
      <c r="F23" s="89">
        <v>41781</v>
      </c>
      <c r="G23" s="90">
        <v>6290</v>
      </c>
      <c r="H23" s="91">
        <v>6.77</v>
      </c>
    </row>
    <row r="24" spans="2:8" ht="15" x14ac:dyDescent="0.2">
      <c r="B24" s="87" t="s">
        <v>670</v>
      </c>
      <c r="C24" s="88">
        <v>4600</v>
      </c>
      <c r="D24" s="87" t="s">
        <v>4882</v>
      </c>
      <c r="F24" s="89">
        <v>41782</v>
      </c>
      <c r="G24" s="90">
        <v>6070</v>
      </c>
      <c r="H24" s="91">
        <v>6.61</v>
      </c>
    </row>
    <row r="25" spans="2:8" ht="15" x14ac:dyDescent="0.2">
      <c r="B25" s="87" t="s">
        <v>671</v>
      </c>
      <c r="C25" s="88">
        <v>4600</v>
      </c>
      <c r="D25" s="87" t="s">
        <v>4882</v>
      </c>
      <c r="F25" s="89">
        <v>41783</v>
      </c>
      <c r="G25" s="90">
        <v>6270</v>
      </c>
      <c r="H25" s="91">
        <v>6.76</v>
      </c>
    </row>
    <row r="26" spans="2:8" ht="15" x14ac:dyDescent="0.2">
      <c r="B26" s="87" t="s">
        <v>672</v>
      </c>
      <c r="C26" s="88">
        <v>4610</v>
      </c>
      <c r="D26" s="87" t="s">
        <v>4883</v>
      </c>
      <c r="F26" s="89">
        <v>41784</v>
      </c>
      <c r="G26" s="90">
        <v>6660</v>
      </c>
      <c r="H26" s="91">
        <v>7.05</v>
      </c>
    </row>
    <row r="27" spans="2:8" ht="15" x14ac:dyDescent="0.2">
      <c r="B27" s="87" t="s">
        <v>673</v>
      </c>
      <c r="C27" s="88">
        <v>4610</v>
      </c>
      <c r="D27" s="87" t="s">
        <v>4883</v>
      </c>
      <c r="F27" s="89">
        <v>41785</v>
      </c>
      <c r="G27" s="90">
        <v>6870</v>
      </c>
      <c r="H27" s="91">
        <v>7.21</v>
      </c>
    </row>
    <row r="28" spans="2:8" ht="15" x14ac:dyDescent="0.2">
      <c r="B28" s="87" t="s">
        <v>674</v>
      </c>
      <c r="C28" s="88">
        <v>4620</v>
      </c>
      <c r="D28" s="87" t="s">
        <v>4884</v>
      </c>
      <c r="F28" s="89">
        <v>41786</v>
      </c>
      <c r="G28" s="90">
        <v>6610</v>
      </c>
      <c r="H28" s="91">
        <v>7.02</v>
      </c>
    </row>
    <row r="29" spans="2:8" ht="15" x14ac:dyDescent="0.2">
      <c r="B29" s="87" t="s">
        <v>675</v>
      </c>
      <c r="C29" s="88">
        <v>4620</v>
      </c>
      <c r="D29" s="87" t="s">
        <v>4884</v>
      </c>
      <c r="F29" s="89">
        <v>41787</v>
      </c>
      <c r="G29" s="90">
        <v>6210</v>
      </c>
      <c r="H29" s="91">
        <v>6.72</v>
      </c>
    </row>
    <row r="30" spans="2:8" ht="15" x14ac:dyDescent="0.2">
      <c r="B30" s="87" t="s">
        <v>676</v>
      </c>
      <c r="C30" s="88">
        <v>4640</v>
      </c>
      <c r="D30" s="87" t="s">
        <v>4885</v>
      </c>
      <c r="F30" s="89">
        <v>41788</v>
      </c>
      <c r="G30" s="90">
        <v>5860</v>
      </c>
      <c r="H30" s="91">
        <v>6.44</v>
      </c>
    </row>
    <row r="31" spans="2:8" ht="15" x14ac:dyDescent="0.2">
      <c r="B31" s="87" t="s">
        <v>677</v>
      </c>
      <c r="C31" s="88">
        <v>4640</v>
      </c>
      <c r="D31" s="87" t="s">
        <v>4885</v>
      </c>
      <c r="F31" s="89">
        <v>41789</v>
      </c>
      <c r="G31" s="90">
        <v>5420</v>
      </c>
      <c r="H31" s="91">
        <v>6.12</v>
      </c>
    </row>
    <row r="32" spans="2:8" ht="15" x14ac:dyDescent="0.2">
      <c r="B32" s="87" t="s">
        <v>678</v>
      </c>
      <c r="C32" s="88">
        <v>4650</v>
      </c>
      <c r="D32" s="87" t="s">
        <v>4886</v>
      </c>
      <c r="F32" s="89">
        <v>41790</v>
      </c>
      <c r="G32" s="90">
        <v>4940</v>
      </c>
      <c r="H32" s="91">
        <v>5.78</v>
      </c>
    </row>
    <row r="33" spans="2:8" ht="15" x14ac:dyDescent="0.2">
      <c r="B33" s="87" t="s">
        <v>679</v>
      </c>
      <c r="C33" s="88">
        <v>4650</v>
      </c>
      <c r="D33" s="87" t="s">
        <v>4886</v>
      </c>
      <c r="F33" s="89">
        <v>41791</v>
      </c>
      <c r="G33" s="90">
        <v>4720</v>
      </c>
      <c r="H33" s="91">
        <v>5.62</v>
      </c>
    </row>
    <row r="34" spans="2:8" ht="15" x14ac:dyDescent="0.2">
      <c r="B34" s="87" t="s">
        <v>680</v>
      </c>
      <c r="C34" s="88">
        <v>4670</v>
      </c>
      <c r="D34" s="87" t="s">
        <v>4887</v>
      </c>
      <c r="F34" s="89">
        <v>41792</v>
      </c>
      <c r="G34" s="90">
        <v>4540</v>
      </c>
      <c r="H34" s="91">
        <v>5.49</v>
      </c>
    </row>
    <row r="35" spans="2:8" ht="15" x14ac:dyDescent="0.2">
      <c r="B35" s="87" t="s">
        <v>681</v>
      </c>
      <c r="C35" s="88">
        <v>4670</v>
      </c>
      <c r="D35" s="87" t="s">
        <v>4887</v>
      </c>
      <c r="F35" s="89">
        <v>41793</v>
      </c>
      <c r="G35" s="90">
        <v>4460</v>
      </c>
      <c r="H35" s="91">
        <v>5.43</v>
      </c>
    </row>
    <row r="36" spans="2:8" ht="15" x14ac:dyDescent="0.2">
      <c r="B36" s="87" t="s">
        <v>682</v>
      </c>
      <c r="C36" s="88">
        <v>4680</v>
      </c>
      <c r="D36" s="87" t="s">
        <v>4888</v>
      </c>
      <c r="F36" s="89">
        <v>41794</v>
      </c>
      <c r="G36" s="90">
        <v>4690</v>
      </c>
      <c r="H36" s="91">
        <v>5.6</v>
      </c>
    </row>
    <row r="37" spans="2:8" ht="15" x14ac:dyDescent="0.2">
      <c r="B37" s="87" t="s">
        <v>683</v>
      </c>
      <c r="C37" s="88">
        <v>4690</v>
      </c>
      <c r="D37" s="87" t="s">
        <v>4889</v>
      </c>
      <c r="F37" s="89">
        <v>41795</v>
      </c>
      <c r="G37" s="90">
        <v>5510</v>
      </c>
      <c r="H37" s="91">
        <v>6.18</v>
      </c>
    </row>
    <row r="38" spans="2:8" ht="15" x14ac:dyDescent="0.2">
      <c r="B38" s="87" t="s">
        <v>684</v>
      </c>
      <c r="C38" s="88">
        <v>4710</v>
      </c>
      <c r="D38" s="87" t="s">
        <v>4890</v>
      </c>
      <c r="F38" s="89">
        <v>41796</v>
      </c>
      <c r="G38" s="90">
        <v>5970</v>
      </c>
      <c r="H38" s="91">
        <v>6.53</v>
      </c>
    </row>
    <row r="39" spans="2:8" ht="15" x14ac:dyDescent="0.2">
      <c r="B39" s="87" t="s">
        <v>685</v>
      </c>
      <c r="C39" s="88">
        <v>4710</v>
      </c>
      <c r="D39" s="87" t="s">
        <v>4890</v>
      </c>
      <c r="F39" s="89">
        <v>41797</v>
      </c>
      <c r="G39" s="90">
        <v>5470</v>
      </c>
      <c r="H39" s="91">
        <v>6.15</v>
      </c>
    </row>
    <row r="40" spans="2:8" ht="15" x14ac:dyDescent="0.2">
      <c r="B40" s="87" t="s">
        <v>686</v>
      </c>
      <c r="C40" s="88">
        <v>4720</v>
      </c>
      <c r="D40" s="87" t="s">
        <v>4891</v>
      </c>
      <c r="F40" s="89">
        <v>41798</v>
      </c>
      <c r="G40" s="90">
        <v>4690</v>
      </c>
      <c r="H40" s="91">
        <v>5.6</v>
      </c>
    </row>
    <row r="41" spans="2:8" ht="15" x14ac:dyDescent="0.2">
      <c r="B41" s="87" t="s">
        <v>687</v>
      </c>
      <c r="C41" s="88">
        <v>4730</v>
      </c>
      <c r="D41" s="87" t="s">
        <v>4892</v>
      </c>
      <c r="F41" s="89">
        <v>41799</v>
      </c>
      <c r="G41" s="90">
        <v>4230</v>
      </c>
      <c r="H41" s="91">
        <v>5.26</v>
      </c>
    </row>
    <row r="42" spans="2:8" ht="15" x14ac:dyDescent="0.2">
      <c r="B42" s="87" t="s">
        <v>688</v>
      </c>
      <c r="C42" s="88">
        <v>4750</v>
      </c>
      <c r="D42" s="87" t="s">
        <v>4893</v>
      </c>
      <c r="F42" s="89">
        <v>41800</v>
      </c>
      <c r="G42" s="90">
        <v>4200</v>
      </c>
      <c r="H42" s="91">
        <v>5.24</v>
      </c>
    </row>
    <row r="43" spans="2:8" ht="15" x14ac:dyDescent="0.2">
      <c r="B43" s="87" t="s">
        <v>689</v>
      </c>
      <c r="C43" s="88">
        <v>4760</v>
      </c>
      <c r="D43" s="87" t="s">
        <v>4894</v>
      </c>
      <c r="F43" s="89">
        <v>41801</v>
      </c>
      <c r="G43" s="90">
        <v>4410</v>
      </c>
      <c r="H43" s="91">
        <v>5.4</v>
      </c>
    </row>
    <row r="44" spans="2:8" ht="15" x14ac:dyDescent="0.2">
      <c r="B44" s="87" t="s">
        <v>690</v>
      </c>
      <c r="C44" s="88">
        <v>4780</v>
      </c>
      <c r="D44" s="87" t="s">
        <v>4895</v>
      </c>
      <c r="F44" s="89">
        <v>41802</v>
      </c>
      <c r="G44" s="90">
        <v>4300</v>
      </c>
      <c r="H44" s="91">
        <v>5.31</v>
      </c>
    </row>
    <row r="45" spans="2:8" ht="15" x14ac:dyDescent="0.2">
      <c r="B45" s="87" t="s">
        <v>691</v>
      </c>
      <c r="C45" s="88">
        <v>4790</v>
      </c>
      <c r="D45" s="87" t="s">
        <v>4896</v>
      </c>
      <c r="F45" s="89">
        <v>41803</v>
      </c>
      <c r="G45" s="90">
        <v>3580</v>
      </c>
      <c r="H45" s="91">
        <v>4.76</v>
      </c>
    </row>
    <row r="46" spans="2:8" ht="15" x14ac:dyDescent="0.2">
      <c r="B46" s="87" t="s">
        <v>692</v>
      </c>
      <c r="C46" s="88">
        <v>4800</v>
      </c>
      <c r="D46" s="87" t="s">
        <v>4897</v>
      </c>
      <c r="F46" s="89">
        <v>41804</v>
      </c>
      <c r="G46" s="90">
        <v>3480</v>
      </c>
      <c r="H46" s="91">
        <v>4.68</v>
      </c>
    </row>
    <row r="47" spans="2:8" ht="15" x14ac:dyDescent="0.2">
      <c r="B47" s="87" t="s">
        <v>693</v>
      </c>
      <c r="C47" s="88">
        <v>4820</v>
      </c>
      <c r="D47" s="87" t="s">
        <v>4898</v>
      </c>
      <c r="F47" s="89">
        <v>41805</v>
      </c>
      <c r="G47" s="90">
        <v>3310</v>
      </c>
      <c r="H47" s="91">
        <v>4.55</v>
      </c>
    </row>
    <row r="48" spans="2:8" ht="15" x14ac:dyDescent="0.2">
      <c r="B48" s="87" t="s">
        <v>694</v>
      </c>
      <c r="C48" s="88">
        <v>4830</v>
      </c>
      <c r="D48" s="87" t="s">
        <v>4899</v>
      </c>
    </row>
    <row r="49" spans="2:4" ht="15" x14ac:dyDescent="0.2">
      <c r="B49" s="87" t="s">
        <v>695</v>
      </c>
      <c r="C49" s="88">
        <v>4850</v>
      </c>
      <c r="D49" s="87" t="s">
        <v>4900</v>
      </c>
    </row>
    <row r="50" spans="2:4" ht="15" x14ac:dyDescent="0.2">
      <c r="B50" s="87" t="s">
        <v>696</v>
      </c>
      <c r="C50" s="88">
        <v>4860</v>
      </c>
      <c r="D50" s="87" t="s">
        <v>4901</v>
      </c>
    </row>
    <row r="51" spans="2:4" ht="15" x14ac:dyDescent="0.2">
      <c r="B51" s="87" t="s">
        <v>697</v>
      </c>
      <c r="C51" s="88">
        <v>4870</v>
      </c>
      <c r="D51" s="87" t="s">
        <v>4902</v>
      </c>
    </row>
    <row r="52" spans="2:4" ht="15" x14ac:dyDescent="0.2">
      <c r="B52" s="87" t="s">
        <v>698</v>
      </c>
      <c r="C52" s="88">
        <v>4890</v>
      </c>
      <c r="D52" s="87" t="s">
        <v>4903</v>
      </c>
    </row>
    <row r="53" spans="2:4" ht="15" x14ac:dyDescent="0.2">
      <c r="B53" s="87" t="s">
        <v>699</v>
      </c>
      <c r="C53" s="88">
        <v>4900</v>
      </c>
      <c r="D53" s="87" t="s">
        <v>4904</v>
      </c>
    </row>
    <row r="54" spans="2:4" ht="15" x14ac:dyDescent="0.2">
      <c r="B54" s="87" t="s">
        <v>700</v>
      </c>
      <c r="C54" s="88">
        <v>4920</v>
      </c>
      <c r="D54" s="87" t="s">
        <v>4905</v>
      </c>
    </row>
    <row r="55" spans="2:4" ht="15" x14ac:dyDescent="0.2">
      <c r="B55" s="87" t="s">
        <v>701</v>
      </c>
      <c r="C55" s="88">
        <v>4930</v>
      </c>
      <c r="D55" s="87" t="s">
        <v>4906</v>
      </c>
    </row>
    <row r="56" spans="2:4" ht="15" x14ac:dyDescent="0.2">
      <c r="B56" s="87" t="s">
        <v>702</v>
      </c>
      <c r="C56" s="88">
        <v>4950</v>
      </c>
      <c r="D56" s="87" t="s">
        <v>4907</v>
      </c>
    </row>
    <row r="57" spans="2:4" ht="15" x14ac:dyDescent="0.2">
      <c r="B57" s="87" t="s">
        <v>703</v>
      </c>
      <c r="C57" s="88">
        <v>4960</v>
      </c>
      <c r="D57" s="87" t="s">
        <v>4908</v>
      </c>
    </row>
    <row r="58" spans="2:4" ht="15" x14ac:dyDescent="0.2">
      <c r="B58" s="87" t="s">
        <v>704</v>
      </c>
      <c r="C58" s="88">
        <v>4970</v>
      </c>
      <c r="D58" s="87" t="s">
        <v>4909</v>
      </c>
    </row>
    <row r="59" spans="2:4" ht="15" x14ac:dyDescent="0.2">
      <c r="B59" s="87" t="s">
        <v>705</v>
      </c>
      <c r="C59" s="88">
        <v>4990</v>
      </c>
      <c r="D59" s="87" t="s">
        <v>4910</v>
      </c>
    </row>
    <row r="60" spans="2:4" ht="15" x14ac:dyDescent="0.2">
      <c r="B60" s="87" t="s">
        <v>706</v>
      </c>
      <c r="C60" s="88">
        <v>5000</v>
      </c>
      <c r="D60" s="87" t="s">
        <v>4911</v>
      </c>
    </row>
    <row r="61" spans="2:4" ht="15" x14ac:dyDescent="0.2">
      <c r="B61" s="87" t="s">
        <v>707</v>
      </c>
      <c r="C61" s="88">
        <v>5030</v>
      </c>
      <c r="D61" s="87" t="s">
        <v>4912</v>
      </c>
    </row>
    <row r="62" spans="2:4" ht="15" x14ac:dyDescent="0.2">
      <c r="B62" s="87" t="s">
        <v>708</v>
      </c>
      <c r="C62" s="88">
        <v>5040</v>
      </c>
      <c r="D62" s="87" t="s">
        <v>4913</v>
      </c>
    </row>
    <row r="63" spans="2:4" ht="15" x14ac:dyDescent="0.2">
      <c r="B63" s="87" t="s">
        <v>709</v>
      </c>
      <c r="C63" s="88">
        <v>5060</v>
      </c>
      <c r="D63" s="87" t="s">
        <v>4914</v>
      </c>
    </row>
    <row r="64" spans="2:4" ht="15" x14ac:dyDescent="0.2">
      <c r="B64" s="87" t="s">
        <v>710</v>
      </c>
      <c r="C64" s="88">
        <v>5090</v>
      </c>
      <c r="D64" s="87" t="s">
        <v>4915</v>
      </c>
    </row>
    <row r="65" spans="2:4" ht="15" x14ac:dyDescent="0.2">
      <c r="B65" s="87" t="s">
        <v>711</v>
      </c>
      <c r="C65" s="88">
        <v>5100</v>
      </c>
      <c r="D65" s="87" t="s">
        <v>4916</v>
      </c>
    </row>
    <row r="66" spans="2:4" ht="15" x14ac:dyDescent="0.2">
      <c r="B66" s="87" t="s">
        <v>712</v>
      </c>
      <c r="C66" s="88">
        <v>5120</v>
      </c>
      <c r="D66" s="87" t="s">
        <v>4917</v>
      </c>
    </row>
    <row r="67" spans="2:4" ht="15" x14ac:dyDescent="0.2">
      <c r="B67" s="87" t="s">
        <v>713</v>
      </c>
      <c r="C67" s="88">
        <v>5140</v>
      </c>
      <c r="D67" s="87" t="s">
        <v>4918</v>
      </c>
    </row>
    <row r="68" spans="2:4" ht="15" x14ac:dyDescent="0.2">
      <c r="B68" s="87" t="s">
        <v>714</v>
      </c>
      <c r="C68" s="88">
        <v>5160</v>
      </c>
      <c r="D68" s="87" t="s">
        <v>4919</v>
      </c>
    </row>
    <row r="69" spans="2:4" ht="15" x14ac:dyDescent="0.2">
      <c r="B69" s="87" t="s">
        <v>715</v>
      </c>
      <c r="C69" s="88">
        <v>5170</v>
      </c>
      <c r="D69" s="87" t="s">
        <v>4920</v>
      </c>
    </row>
    <row r="70" spans="2:4" ht="15" x14ac:dyDescent="0.2">
      <c r="B70" s="87" t="s">
        <v>716</v>
      </c>
      <c r="C70" s="88">
        <v>5200</v>
      </c>
      <c r="D70" s="87" t="s">
        <v>4921</v>
      </c>
    </row>
    <row r="71" spans="2:4" ht="15" x14ac:dyDescent="0.2">
      <c r="B71" s="87" t="s">
        <v>717</v>
      </c>
      <c r="C71" s="88">
        <v>5220</v>
      </c>
      <c r="D71" s="87" t="s">
        <v>4922</v>
      </c>
    </row>
    <row r="72" spans="2:4" ht="15" x14ac:dyDescent="0.2">
      <c r="B72" s="87" t="s">
        <v>718</v>
      </c>
      <c r="C72" s="88">
        <v>5230</v>
      </c>
      <c r="D72" s="87" t="s">
        <v>4923</v>
      </c>
    </row>
    <row r="73" spans="2:4" ht="15" x14ac:dyDescent="0.2">
      <c r="B73" s="87" t="s">
        <v>719</v>
      </c>
      <c r="C73" s="88">
        <v>5240</v>
      </c>
      <c r="D73" s="87" t="s">
        <v>4924</v>
      </c>
    </row>
    <row r="74" spans="2:4" ht="15" x14ac:dyDescent="0.2">
      <c r="B74" s="87" t="s">
        <v>720</v>
      </c>
      <c r="C74" s="88">
        <v>5260</v>
      </c>
      <c r="D74" s="87" t="s">
        <v>4925</v>
      </c>
    </row>
    <row r="75" spans="2:4" ht="15" x14ac:dyDescent="0.2">
      <c r="B75" s="87" t="s">
        <v>721</v>
      </c>
      <c r="C75" s="88">
        <v>5270</v>
      </c>
      <c r="D75" s="87" t="s">
        <v>4926</v>
      </c>
    </row>
    <row r="76" spans="2:4" ht="15" x14ac:dyDescent="0.2">
      <c r="B76" s="87" t="s">
        <v>722</v>
      </c>
      <c r="C76" s="88">
        <v>5290</v>
      </c>
      <c r="D76" s="87" t="s">
        <v>4927</v>
      </c>
    </row>
    <row r="77" spans="2:4" ht="15" x14ac:dyDescent="0.2">
      <c r="B77" s="87" t="s">
        <v>723</v>
      </c>
      <c r="C77" s="88">
        <v>5300</v>
      </c>
      <c r="D77" s="87" t="s">
        <v>4928</v>
      </c>
    </row>
    <row r="78" spans="2:4" ht="15" x14ac:dyDescent="0.2">
      <c r="B78" s="87" t="s">
        <v>724</v>
      </c>
      <c r="C78" s="88">
        <v>5320</v>
      </c>
      <c r="D78" s="87" t="s">
        <v>4929</v>
      </c>
    </row>
    <row r="79" spans="2:4" ht="15" x14ac:dyDescent="0.2">
      <c r="B79" s="87" t="s">
        <v>725</v>
      </c>
      <c r="C79" s="88">
        <v>5330</v>
      </c>
      <c r="D79" s="87" t="s">
        <v>4930</v>
      </c>
    </row>
    <row r="80" spans="2:4" ht="15" x14ac:dyDescent="0.2">
      <c r="B80" s="87" t="s">
        <v>726</v>
      </c>
      <c r="C80" s="88">
        <v>5350</v>
      </c>
      <c r="D80" s="87" t="s">
        <v>4931</v>
      </c>
    </row>
    <row r="81" spans="2:4" ht="15" x14ac:dyDescent="0.2">
      <c r="B81" s="87" t="s">
        <v>727</v>
      </c>
      <c r="C81" s="88">
        <v>5350</v>
      </c>
      <c r="D81" s="87" t="s">
        <v>4931</v>
      </c>
    </row>
    <row r="82" spans="2:4" ht="15" x14ac:dyDescent="0.2">
      <c r="B82" s="87" t="s">
        <v>728</v>
      </c>
      <c r="C82" s="88">
        <v>5360</v>
      </c>
      <c r="D82" s="87" t="s">
        <v>4932</v>
      </c>
    </row>
    <row r="83" spans="2:4" ht="15" x14ac:dyDescent="0.2">
      <c r="B83" s="87" t="s">
        <v>729</v>
      </c>
      <c r="C83" s="88">
        <v>5370</v>
      </c>
      <c r="D83" s="87" t="s">
        <v>4933</v>
      </c>
    </row>
    <row r="84" spans="2:4" ht="15" x14ac:dyDescent="0.2">
      <c r="B84" s="87" t="s">
        <v>730</v>
      </c>
      <c r="C84" s="88">
        <v>5370</v>
      </c>
      <c r="D84" s="87" t="s">
        <v>4933</v>
      </c>
    </row>
    <row r="85" spans="2:4" ht="15" x14ac:dyDescent="0.2">
      <c r="B85" s="87" t="s">
        <v>731</v>
      </c>
      <c r="C85" s="88">
        <v>5390</v>
      </c>
      <c r="D85" s="87" t="s">
        <v>4934</v>
      </c>
    </row>
    <row r="86" spans="2:4" ht="15" x14ac:dyDescent="0.2">
      <c r="B86" s="87" t="s">
        <v>732</v>
      </c>
      <c r="C86" s="88">
        <v>5400</v>
      </c>
      <c r="D86" s="87" t="s">
        <v>4935</v>
      </c>
    </row>
    <row r="87" spans="2:4" ht="15" x14ac:dyDescent="0.2">
      <c r="B87" s="87" t="s">
        <v>733</v>
      </c>
      <c r="C87" s="88">
        <v>5400</v>
      </c>
      <c r="D87" s="87" t="s">
        <v>4935</v>
      </c>
    </row>
    <row r="88" spans="2:4" ht="15" x14ac:dyDescent="0.2">
      <c r="B88" s="87" t="s">
        <v>734</v>
      </c>
      <c r="C88" s="88">
        <v>5420</v>
      </c>
      <c r="D88" s="87" t="s">
        <v>4936</v>
      </c>
    </row>
    <row r="89" spans="2:4" ht="15" x14ac:dyDescent="0.2">
      <c r="B89" s="87" t="s">
        <v>735</v>
      </c>
      <c r="C89" s="88">
        <v>5430</v>
      </c>
      <c r="D89" s="87" t="s">
        <v>4937</v>
      </c>
    </row>
    <row r="90" spans="2:4" ht="15" x14ac:dyDescent="0.2">
      <c r="B90" s="87" t="s">
        <v>736</v>
      </c>
      <c r="C90" s="88">
        <v>5430</v>
      </c>
      <c r="D90" s="87" t="s">
        <v>4937</v>
      </c>
    </row>
    <row r="91" spans="2:4" ht="15" x14ac:dyDescent="0.2">
      <c r="B91" s="87" t="s">
        <v>737</v>
      </c>
      <c r="C91" s="88">
        <v>5450</v>
      </c>
      <c r="D91" s="87" t="s">
        <v>4938</v>
      </c>
    </row>
    <row r="92" spans="2:4" ht="15" x14ac:dyDescent="0.2">
      <c r="B92" s="87" t="s">
        <v>738</v>
      </c>
      <c r="C92" s="88">
        <v>5450</v>
      </c>
      <c r="D92" s="87" t="s">
        <v>4938</v>
      </c>
    </row>
    <row r="93" spans="2:4" ht="15" x14ac:dyDescent="0.2">
      <c r="B93" s="87" t="s">
        <v>739</v>
      </c>
      <c r="C93" s="88">
        <v>5460</v>
      </c>
      <c r="D93" s="87" t="s">
        <v>4939</v>
      </c>
    </row>
    <row r="94" spans="2:4" ht="15" x14ac:dyDescent="0.2">
      <c r="B94" s="87" t="s">
        <v>740</v>
      </c>
      <c r="C94" s="88">
        <v>5460</v>
      </c>
      <c r="D94" s="87" t="s">
        <v>4939</v>
      </c>
    </row>
    <row r="95" spans="2:4" ht="15" x14ac:dyDescent="0.2">
      <c r="B95" s="87" t="s">
        <v>741</v>
      </c>
      <c r="C95" s="88">
        <v>5480</v>
      </c>
      <c r="D95" s="87" t="s">
        <v>4940</v>
      </c>
    </row>
    <row r="96" spans="2:4" ht="15" x14ac:dyDescent="0.2">
      <c r="B96" s="87" t="s">
        <v>742</v>
      </c>
      <c r="C96" s="88">
        <v>5480</v>
      </c>
      <c r="D96" s="87" t="s">
        <v>4940</v>
      </c>
    </row>
    <row r="97" spans="2:4" ht="15" x14ac:dyDescent="0.2">
      <c r="B97" s="87" t="s">
        <v>743</v>
      </c>
      <c r="C97" s="88">
        <v>5490</v>
      </c>
      <c r="D97" s="87" t="s">
        <v>4941</v>
      </c>
    </row>
    <row r="98" spans="2:4" ht="15" x14ac:dyDescent="0.2">
      <c r="B98" s="87" t="s">
        <v>744</v>
      </c>
      <c r="C98" s="88">
        <v>5490</v>
      </c>
      <c r="D98" s="87" t="s">
        <v>4941</v>
      </c>
    </row>
    <row r="99" spans="2:4" ht="15" x14ac:dyDescent="0.2">
      <c r="B99" s="87" t="s">
        <v>745</v>
      </c>
      <c r="C99" s="88">
        <v>5510</v>
      </c>
      <c r="D99" s="87" t="s">
        <v>4942</v>
      </c>
    </row>
    <row r="100" spans="2:4" ht="15" x14ac:dyDescent="0.2">
      <c r="B100" s="87" t="s">
        <v>746</v>
      </c>
      <c r="C100" s="88">
        <v>5510</v>
      </c>
      <c r="D100" s="87" t="s">
        <v>4942</v>
      </c>
    </row>
    <row r="101" spans="2:4" ht="15" x14ac:dyDescent="0.2">
      <c r="B101" s="87" t="s">
        <v>747</v>
      </c>
      <c r="C101" s="88">
        <v>5520</v>
      </c>
      <c r="D101" s="87" t="s">
        <v>4943</v>
      </c>
    </row>
    <row r="102" spans="2:4" ht="15" x14ac:dyDescent="0.2">
      <c r="B102" s="87" t="s">
        <v>748</v>
      </c>
      <c r="C102" s="88">
        <v>5520</v>
      </c>
      <c r="D102" s="87" t="s">
        <v>4943</v>
      </c>
    </row>
    <row r="103" spans="2:4" ht="15" x14ac:dyDescent="0.2">
      <c r="B103" s="87" t="s">
        <v>749</v>
      </c>
      <c r="C103" s="88">
        <v>5530</v>
      </c>
      <c r="D103" s="87" t="s">
        <v>4944</v>
      </c>
    </row>
    <row r="104" spans="2:4" ht="15" x14ac:dyDescent="0.2">
      <c r="B104" s="87" t="s">
        <v>750</v>
      </c>
      <c r="C104" s="88">
        <v>5550</v>
      </c>
      <c r="D104" s="87" t="s">
        <v>4945</v>
      </c>
    </row>
    <row r="105" spans="2:4" ht="15" x14ac:dyDescent="0.2">
      <c r="B105" s="87" t="s">
        <v>751</v>
      </c>
      <c r="C105" s="88">
        <v>5550</v>
      </c>
      <c r="D105" s="87" t="s">
        <v>4945</v>
      </c>
    </row>
    <row r="106" spans="2:4" ht="15" x14ac:dyDescent="0.2">
      <c r="B106" s="87" t="s">
        <v>752</v>
      </c>
      <c r="C106" s="88">
        <v>5560</v>
      </c>
      <c r="D106" s="87" t="s">
        <v>4946</v>
      </c>
    </row>
    <row r="107" spans="2:4" ht="15" x14ac:dyDescent="0.2">
      <c r="B107" s="87" t="s">
        <v>753</v>
      </c>
      <c r="C107" s="88">
        <v>5580</v>
      </c>
      <c r="D107" s="87" t="s">
        <v>4947</v>
      </c>
    </row>
    <row r="108" spans="2:4" ht="15" x14ac:dyDescent="0.2">
      <c r="B108" s="87" t="s">
        <v>754</v>
      </c>
      <c r="C108" s="88">
        <v>5580</v>
      </c>
      <c r="D108" s="87" t="s">
        <v>4947</v>
      </c>
    </row>
    <row r="109" spans="2:4" ht="15" x14ac:dyDescent="0.2">
      <c r="B109" s="87" t="s">
        <v>755</v>
      </c>
      <c r="C109" s="88">
        <v>5590</v>
      </c>
      <c r="D109" s="87" t="s">
        <v>4948</v>
      </c>
    </row>
    <row r="110" spans="2:4" ht="15" x14ac:dyDescent="0.2">
      <c r="B110" s="87" t="s">
        <v>756</v>
      </c>
      <c r="C110" s="88">
        <v>5610</v>
      </c>
      <c r="D110" s="87" t="s">
        <v>4949</v>
      </c>
    </row>
    <row r="111" spans="2:4" ht="15" x14ac:dyDescent="0.2">
      <c r="B111" s="87" t="s">
        <v>757</v>
      </c>
      <c r="C111" s="88">
        <v>5610</v>
      </c>
      <c r="D111" s="87" t="s">
        <v>4949</v>
      </c>
    </row>
    <row r="112" spans="2:4" ht="15" x14ac:dyDescent="0.2">
      <c r="B112" s="87" t="s">
        <v>758</v>
      </c>
      <c r="C112" s="88">
        <v>5610</v>
      </c>
      <c r="D112" s="87" t="s">
        <v>4950</v>
      </c>
    </row>
    <row r="113" spans="2:4" ht="15" x14ac:dyDescent="0.2">
      <c r="B113" s="87" t="s">
        <v>759</v>
      </c>
      <c r="C113" s="88">
        <v>5620</v>
      </c>
      <c r="D113" s="87" t="s">
        <v>4951</v>
      </c>
    </row>
    <row r="114" spans="2:4" ht="15" x14ac:dyDescent="0.2">
      <c r="B114" s="87" t="s">
        <v>760</v>
      </c>
      <c r="C114" s="88">
        <v>5640</v>
      </c>
      <c r="D114" s="87" t="s">
        <v>4952</v>
      </c>
    </row>
    <row r="115" spans="2:4" ht="15" x14ac:dyDescent="0.2">
      <c r="B115" s="87" t="s">
        <v>761</v>
      </c>
      <c r="C115" s="88">
        <v>5650</v>
      </c>
      <c r="D115" s="87" t="s">
        <v>4953</v>
      </c>
    </row>
    <row r="116" spans="2:4" ht="15" x14ac:dyDescent="0.2">
      <c r="B116" s="87" t="s">
        <v>762</v>
      </c>
      <c r="C116" s="88">
        <v>5650</v>
      </c>
      <c r="D116" s="87" t="s">
        <v>4953</v>
      </c>
    </row>
    <row r="117" spans="2:4" ht="15" x14ac:dyDescent="0.2">
      <c r="B117" s="87" t="s">
        <v>763</v>
      </c>
      <c r="C117" s="88">
        <v>5670</v>
      </c>
      <c r="D117" s="87" t="s">
        <v>4954</v>
      </c>
    </row>
    <row r="118" spans="2:4" ht="15" x14ac:dyDescent="0.2">
      <c r="B118" s="87" t="s">
        <v>764</v>
      </c>
      <c r="C118" s="88">
        <v>5680</v>
      </c>
      <c r="D118" s="87" t="s">
        <v>4955</v>
      </c>
    </row>
    <row r="119" spans="2:4" ht="15" x14ac:dyDescent="0.2">
      <c r="B119" s="87" t="s">
        <v>765</v>
      </c>
      <c r="C119" s="88">
        <v>5700</v>
      </c>
      <c r="D119" s="87" t="s">
        <v>4956</v>
      </c>
    </row>
    <row r="120" spans="2:4" ht="15" x14ac:dyDescent="0.2">
      <c r="B120" s="87" t="s">
        <v>766</v>
      </c>
      <c r="C120" s="88">
        <v>5700</v>
      </c>
      <c r="D120" s="87" t="s">
        <v>4957</v>
      </c>
    </row>
    <row r="121" spans="2:4" ht="15" x14ac:dyDescent="0.2">
      <c r="B121" s="87" t="s">
        <v>767</v>
      </c>
      <c r="C121" s="88">
        <v>5710</v>
      </c>
      <c r="D121" s="87" t="s">
        <v>4958</v>
      </c>
    </row>
    <row r="122" spans="2:4" ht="15" x14ac:dyDescent="0.2">
      <c r="B122" s="87" t="s">
        <v>768</v>
      </c>
      <c r="C122" s="88">
        <v>5730</v>
      </c>
      <c r="D122" s="87" t="s">
        <v>4959</v>
      </c>
    </row>
    <row r="123" spans="2:4" ht="15" x14ac:dyDescent="0.2">
      <c r="B123" s="87" t="s">
        <v>769</v>
      </c>
      <c r="C123" s="88">
        <v>5730</v>
      </c>
      <c r="D123" s="87" t="s">
        <v>4959</v>
      </c>
    </row>
    <row r="124" spans="2:4" ht="15" x14ac:dyDescent="0.2">
      <c r="B124" s="87" t="s">
        <v>770</v>
      </c>
      <c r="C124" s="88">
        <v>5740</v>
      </c>
      <c r="D124" s="87" t="s">
        <v>4960</v>
      </c>
    </row>
    <row r="125" spans="2:4" ht="15" x14ac:dyDescent="0.2">
      <c r="B125" s="87" t="s">
        <v>771</v>
      </c>
      <c r="C125" s="88">
        <v>5760</v>
      </c>
      <c r="D125" s="87" t="s">
        <v>4961</v>
      </c>
    </row>
    <row r="126" spans="2:4" ht="15" x14ac:dyDescent="0.2">
      <c r="B126" s="87" t="s">
        <v>772</v>
      </c>
      <c r="C126" s="88">
        <v>5770</v>
      </c>
      <c r="D126" s="87" t="s">
        <v>4962</v>
      </c>
    </row>
    <row r="127" spans="2:4" ht="15" x14ac:dyDescent="0.2">
      <c r="B127" s="87" t="s">
        <v>773</v>
      </c>
      <c r="C127" s="88">
        <v>5780</v>
      </c>
      <c r="D127" s="87" t="s">
        <v>4963</v>
      </c>
    </row>
    <row r="128" spans="2:4" ht="15" x14ac:dyDescent="0.2">
      <c r="B128" s="87" t="s">
        <v>774</v>
      </c>
      <c r="C128" s="88">
        <v>5780</v>
      </c>
      <c r="D128" s="87" t="s">
        <v>4964</v>
      </c>
    </row>
    <row r="129" spans="2:4" ht="15" x14ac:dyDescent="0.2">
      <c r="B129" s="87" t="s">
        <v>775</v>
      </c>
      <c r="C129" s="88">
        <v>5800</v>
      </c>
      <c r="D129" s="87" t="s">
        <v>4965</v>
      </c>
    </row>
    <row r="130" spans="2:4" ht="15" x14ac:dyDescent="0.2">
      <c r="B130" s="87" t="s">
        <v>776</v>
      </c>
      <c r="C130" s="88">
        <v>5810</v>
      </c>
      <c r="D130" s="87" t="s">
        <v>4966</v>
      </c>
    </row>
    <row r="131" spans="2:4" ht="15" x14ac:dyDescent="0.2">
      <c r="B131" s="87" t="s">
        <v>777</v>
      </c>
      <c r="C131" s="88">
        <v>5830</v>
      </c>
      <c r="D131" s="87" t="s">
        <v>4967</v>
      </c>
    </row>
    <row r="132" spans="2:4" ht="15" x14ac:dyDescent="0.2">
      <c r="B132" s="87" t="s">
        <v>778</v>
      </c>
      <c r="C132" s="88">
        <v>5840</v>
      </c>
      <c r="D132" s="87" t="s">
        <v>4968</v>
      </c>
    </row>
    <row r="133" spans="2:4" ht="15" x14ac:dyDescent="0.2">
      <c r="B133" s="87" t="s">
        <v>779</v>
      </c>
      <c r="C133" s="88">
        <v>5860</v>
      </c>
      <c r="D133" s="87" t="s">
        <v>4969</v>
      </c>
    </row>
    <row r="134" spans="2:4" ht="15" x14ac:dyDescent="0.2">
      <c r="B134" s="87" t="s">
        <v>780</v>
      </c>
      <c r="C134" s="88">
        <v>5870</v>
      </c>
      <c r="D134" s="87" t="s">
        <v>4970</v>
      </c>
    </row>
    <row r="135" spans="2:4" ht="15" x14ac:dyDescent="0.2">
      <c r="B135" s="87" t="s">
        <v>781</v>
      </c>
      <c r="C135" s="88">
        <v>5870</v>
      </c>
      <c r="D135" s="87" t="s">
        <v>4971</v>
      </c>
    </row>
    <row r="136" spans="2:4" ht="15" x14ac:dyDescent="0.2">
      <c r="B136" s="87" t="s">
        <v>782</v>
      </c>
      <c r="C136" s="88">
        <v>5890</v>
      </c>
      <c r="D136" s="87" t="s">
        <v>4972</v>
      </c>
    </row>
    <row r="137" spans="2:4" ht="15" x14ac:dyDescent="0.2">
      <c r="B137" s="87" t="s">
        <v>783</v>
      </c>
      <c r="C137" s="88">
        <v>5900</v>
      </c>
      <c r="D137" s="87" t="s">
        <v>4973</v>
      </c>
    </row>
    <row r="138" spans="2:4" ht="15" x14ac:dyDescent="0.2">
      <c r="B138" s="87" t="s">
        <v>784</v>
      </c>
      <c r="C138" s="88">
        <v>5900</v>
      </c>
      <c r="D138" s="87" t="s">
        <v>4973</v>
      </c>
    </row>
    <row r="139" spans="2:4" ht="15" x14ac:dyDescent="0.2">
      <c r="B139" s="87" t="s">
        <v>785</v>
      </c>
      <c r="C139" s="88">
        <v>5920</v>
      </c>
      <c r="D139" s="87" t="s">
        <v>4974</v>
      </c>
    </row>
    <row r="140" spans="2:4" ht="15" x14ac:dyDescent="0.2">
      <c r="B140" s="87" t="s">
        <v>786</v>
      </c>
      <c r="C140" s="88">
        <v>5930</v>
      </c>
      <c r="D140" s="87" t="s">
        <v>4975</v>
      </c>
    </row>
    <row r="141" spans="2:4" ht="15" x14ac:dyDescent="0.2">
      <c r="B141" s="87" t="s">
        <v>787</v>
      </c>
      <c r="C141" s="88">
        <v>5960</v>
      </c>
      <c r="D141" s="87" t="s">
        <v>4976</v>
      </c>
    </row>
    <row r="142" spans="2:4" ht="15" x14ac:dyDescent="0.2">
      <c r="B142" s="87" t="s">
        <v>788</v>
      </c>
      <c r="C142" s="88">
        <v>5960</v>
      </c>
      <c r="D142" s="87" t="s">
        <v>4977</v>
      </c>
    </row>
    <row r="143" spans="2:4" ht="15" x14ac:dyDescent="0.2">
      <c r="B143" s="87" t="s">
        <v>789</v>
      </c>
      <c r="C143" s="88">
        <v>5990</v>
      </c>
      <c r="D143" s="87" t="s">
        <v>4978</v>
      </c>
    </row>
    <row r="144" spans="2:4" ht="15" x14ac:dyDescent="0.2">
      <c r="B144" s="87" t="s">
        <v>790</v>
      </c>
      <c r="C144" s="88">
        <v>6010</v>
      </c>
      <c r="D144" s="87" t="s">
        <v>4979</v>
      </c>
    </row>
    <row r="145" spans="2:4" ht="15" x14ac:dyDescent="0.2">
      <c r="B145" s="87" t="s">
        <v>791</v>
      </c>
      <c r="C145" s="88">
        <v>6020</v>
      </c>
      <c r="D145" s="87" t="s">
        <v>4980</v>
      </c>
    </row>
    <row r="146" spans="2:4" ht="15" x14ac:dyDescent="0.2">
      <c r="B146" s="87" t="s">
        <v>792</v>
      </c>
      <c r="C146" s="88">
        <v>6040</v>
      </c>
      <c r="D146" s="87" t="s">
        <v>4981</v>
      </c>
    </row>
    <row r="147" spans="2:4" ht="15" x14ac:dyDescent="0.2">
      <c r="B147" s="87" t="s">
        <v>793</v>
      </c>
      <c r="C147" s="88">
        <v>6050</v>
      </c>
      <c r="D147" s="87" t="s">
        <v>4982</v>
      </c>
    </row>
    <row r="148" spans="2:4" ht="15" x14ac:dyDescent="0.2">
      <c r="B148" s="87" t="s">
        <v>794</v>
      </c>
      <c r="C148" s="88">
        <v>6070</v>
      </c>
      <c r="D148" s="87" t="s">
        <v>4983</v>
      </c>
    </row>
    <row r="149" spans="2:4" ht="15" x14ac:dyDescent="0.2">
      <c r="B149" s="87" t="s">
        <v>795</v>
      </c>
      <c r="C149" s="88">
        <v>6080</v>
      </c>
      <c r="D149" s="87" t="s">
        <v>4984</v>
      </c>
    </row>
    <row r="150" spans="2:4" ht="15" x14ac:dyDescent="0.2">
      <c r="B150" s="87" t="s">
        <v>796</v>
      </c>
      <c r="C150" s="88">
        <v>6100</v>
      </c>
      <c r="D150" s="87" t="s">
        <v>4985</v>
      </c>
    </row>
    <row r="151" spans="2:4" ht="15" x14ac:dyDescent="0.2">
      <c r="B151" s="87" t="s">
        <v>797</v>
      </c>
      <c r="C151" s="88">
        <v>6110</v>
      </c>
      <c r="D151" s="87" t="s">
        <v>4986</v>
      </c>
    </row>
    <row r="152" spans="2:4" ht="15" x14ac:dyDescent="0.2">
      <c r="B152" s="87" t="s">
        <v>798</v>
      </c>
      <c r="C152" s="88">
        <v>6130</v>
      </c>
      <c r="D152" s="87" t="s">
        <v>4987</v>
      </c>
    </row>
    <row r="153" spans="2:4" ht="15" x14ac:dyDescent="0.2">
      <c r="B153" s="87" t="s">
        <v>799</v>
      </c>
      <c r="C153" s="88">
        <v>6140</v>
      </c>
      <c r="D153" s="87" t="s">
        <v>4988</v>
      </c>
    </row>
    <row r="154" spans="2:4" ht="15" x14ac:dyDescent="0.2">
      <c r="B154" s="87" t="s">
        <v>800</v>
      </c>
      <c r="C154" s="88">
        <v>6160</v>
      </c>
      <c r="D154" s="87" t="s">
        <v>4989</v>
      </c>
    </row>
    <row r="155" spans="2:4" ht="15" x14ac:dyDescent="0.2">
      <c r="B155" s="87" t="s">
        <v>801</v>
      </c>
      <c r="C155" s="88">
        <v>6160</v>
      </c>
      <c r="D155" s="87" t="s">
        <v>4989</v>
      </c>
    </row>
    <row r="156" spans="2:4" ht="15" x14ac:dyDescent="0.2">
      <c r="B156" s="87" t="s">
        <v>802</v>
      </c>
      <c r="C156" s="88">
        <v>6170</v>
      </c>
      <c r="D156" s="87" t="s">
        <v>4990</v>
      </c>
    </row>
    <row r="157" spans="2:4" ht="15" x14ac:dyDescent="0.2">
      <c r="B157" s="87" t="s">
        <v>803</v>
      </c>
      <c r="C157" s="88">
        <v>6190</v>
      </c>
      <c r="D157" s="87" t="s">
        <v>4991</v>
      </c>
    </row>
    <row r="158" spans="2:4" ht="15" x14ac:dyDescent="0.2">
      <c r="B158" s="87" t="s">
        <v>804</v>
      </c>
      <c r="C158" s="88">
        <v>6210</v>
      </c>
      <c r="D158" s="87" t="s">
        <v>4992</v>
      </c>
    </row>
    <row r="159" spans="2:4" ht="15" x14ac:dyDescent="0.2">
      <c r="B159" s="87" t="s">
        <v>805</v>
      </c>
      <c r="C159" s="88">
        <v>6220</v>
      </c>
      <c r="D159" s="87" t="s">
        <v>4993</v>
      </c>
    </row>
    <row r="160" spans="2:4" ht="15" x14ac:dyDescent="0.2">
      <c r="B160" s="87" t="s">
        <v>806</v>
      </c>
      <c r="C160" s="88">
        <v>6240</v>
      </c>
      <c r="D160" s="87" t="s">
        <v>4994</v>
      </c>
    </row>
    <row r="161" spans="2:4" ht="15" x14ac:dyDescent="0.2">
      <c r="B161" s="87" t="s">
        <v>807</v>
      </c>
      <c r="C161" s="88">
        <v>6240</v>
      </c>
      <c r="D161" s="87" t="s">
        <v>4995</v>
      </c>
    </row>
    <row r="162" spans="2:4" ht="15" x14ac:dyDescent="0.2">
      <c r="B162" s="87" t="s">
        <v>808</v>
      </c>
      <c r="C162" s="88">
        <v>6250</v>
      </c>
      <c r="D162" s="87" t="s">
        <v>4996</v>
      </c>
    </row>
    <row r="163" spans="2:4" ht="15" x14ac:dyDescent="0.2">
      <c r="B163" s="87" t="s">
        <v>809</v>
      </c>
      <c r="C163" s="88">
        <v>6270</v>
      </c>
      <c r="D163" s="87" t="s">
        <v>4997</v>
      </c>
    </row>
    <row r="164" spans="2:4" ht="15" x14ac:dyDescent="0.2">
      <c r="B164" s="87" t="s">
        <v>810</v>
      </c>
      <c r="C164" s="88">
        <v>6280</v>
      </c>
      <c r="D164" s="87" t="s">
        <v>4998</v>
      </c>
    </row>
    <row r="165" spans="2:4" ht="15" x14ac:dyDescent="0.2">
      <c r="B165" s="87" t="s">
        <v>811</v>
      </c>
      <c r="C165" s="88">
        <v>6300</v>
      </c>
      <c r="D165" s="87" t="s">
        <v>4999</v>
      </c>
    </row>
    <row r="166" spans="2:4" ht="15" x14ac:dyDescent="0.2">
      <c r="B166" s="87" t="s">
        <v>812</v>
      </c>
      <c r="C166" s="88">
        <v>6310</v>
      </c>
      <c r="D166" s="87" t="s">
        <v>5000</v>
      </c>
    </row>
    <row r="167" spans="2:4" ht="15" x14ac:dyDescent="0.2">
      <c r="B167" s="87" t="s">
        <v>813</v>
      </c>
      <c r="C167" s="88">
        <v>6330</v>
      </c>
      <c r="D167" s="87" t="s">
        <v>5001</v>
      </c>
    </row>
    <row r="168" spans="2:4" ht="15" x14ac:dyDescent="0.2">
      <c r="B168" s="87" t="s">
        <v>814</v>
      </c>
      <c r="C168" s="88">
        <v>6330</v>
      </c>
      <c r="D168" s="87" t="s">
        <v>5001</v>
      </c>
    </row>
    <row r="169" spans="2:4" ht="15" x14ac:dyDescent="0.2">
      <c r="B169" s="87" t="s">
        <v>815</v>
      </c>
      <c r="C169" s="88">
        <v>6330</v>
      </c>
      <c r="D169" s="87" t="s">
        <v>5002</v>
      </c>
    </row>
    <row r="170" spans="2:4" ht="15" x14ac:dyDescent="0.2">
      <c r="B170" s="87" t="s">
        <v>816</v>
      </c>
      <c r="C170" s="88">
        <v>6340</v>
      </c>
      <c r="D170" s="87" t="s">
        <v>5003</v>
      </c>
    </row>
    <row r="171" spans="2:4" ht="15" x14ac:dyDescent="0.2">
      <c r="B171" s="87" t="s">
        <v>817</v>
      </c>
      <c r="C171" s="88">
        <v>6360</v>
      </c>
      <c r="D171" s="87" t="s">
        <v>5004</v>
      </c>
    </row>
    <row r="172" spans="2:4" ht="15" x14ac:dyDescent="0.2">
      <c r="B172" s="87" t="s">
        <v>818</v>
      </c>
      <c r="C172" s="88">
        <v>6360</v>
      </c>
      <c r="D172" s="87" t="s">
        <v>5004</v>
      </c>
    </row>
    <row r="173" spans="2:4" ht="15" x14ac:dyDescent="0.2">
      <c r="B173" s="87" t="s">
        <v>819</v>
      </c>
      <c r="C173" s="88">
        <v>6370</v>
      </c>
      <c r="D173" s="87" t="s">
        <v>5005</v>
      </c>
    </row>
    <row r="174" spans="2:4" ht="15" x14ac:dyDescent="0.2">
      <c r="B174" s="87" t="s">
        <v>820</v>
      </c>
      <c r="C174" s="88">
        <v>6390</v>
      </c>
      <c r="D174" s="87" t="s">
        <v>5006</v>
      </c>
    </row>
    <row r="175" spans="2:4" ht="15" x14ac:dyDescent="0.2">
      <c r="B175" s="87" t="s">
        <v>821</v>
      </c>
      <c r="C175" s="88">
        <v>6390</v>
      </c>
      <c r="D175" s="87" t="s">
        <v>5006</v>
      </c>
    </row>
    <row r="176" spans="2:4" ht="15" x14ac:dyDescent="0.2">
      <c r="B176" s="87" t="s">
        <v>822</v>
      </c>
      <c r="C176" s="88">
        <v>6400</v>
      </c>
      <c r="D176" s="87" t="s">
        <v>5007</v>
      </c>
    </row>
    <row r="177" spans="2:4" ht="15" x14ac:dyDescent="0.2">
      <c r="B177" s="87" t="s">
        <v>823</v>
      </c>
      <c r="C177" s="88">
        <v>6420</v>
      </c>
      <c r="D177" s="87" t="s">
        <v>5008</v>
      </c>
    </row>
    <row r="178" spans="2:4" ht="15" x14ac:dyDescent="0.2">
      <c r="B178" s="87" t="s">
        <v>824</v>
      </c>
      <c r="C178" s="88">
        <v>6420</v>
      </c>
      <c r="D178" s="87" t="s">
        <v>5008</v>
      </c>
    </row>
    <row r="179" spans="2:4" ht="15" x14ac:dyDescent="0.2">
      <c r="B179" s="87" t="s">
        <v>825</v>
      </c>
      <c r="C179" s="88">
        <v>6420</v>
      </c>
      <c r="D179" s="87" t="s">
        <v>5009</v>
      </c>
    </row>
    <row r="180" spans="2:4" ht="15" x14ac:dyDescent="0.2">
      <c r="B180" s="87" t="s">
        <v>826</v>
      </c>
      <c r="C180" s="88">
        <v>6420</v>
      </c>
      <c r="D180" s="87" t="s">
        <v>5009</v>
      </c>
    </row>
    <row r="181" spans="2:4" ht="15" x14ac:dyDescent="0.2">
      <c r="B181" s="87" t="s">
        <v>827</v>
      </c>
      <c r="C181" s="88">
        <v>6430</v>
      </c>
      <c r="D181" s="87" t="s">
        <v>5010</v>
      </c>
    </row>
    <row r="182" spans="2:4" ht="15" x14ac:dyDescent="0.2">
      <c r="B182" s="87" t="s">
        <v>828</v>
      </c>
      <c r="C182" s="88">
        <v>6430</v>
      </c>
      <c r="D182" s="87" t="s">
        <v>5010</v>
      </c>
    </row>
    <row r="183" spans="2:4" ht="15" x14ac:dyDescent="0.2">
      <c r="B183" s="87" t="s">
        <v>829</v>
      </c>
      <c r="C183" s="88">
        <v>6450</v>
      </c>
      <c r="D183" s="87" t="s">
        <v>5011</v>
      </c>
    </row>
    <row r="184" spans="2:4" ht="15" x14ac:dyDescent="0.2">
      <c r="B184" s="87" t="s">
        <v>830</v>
      </c>
      <c r="C184" s="88">
        <v>6450</v>
      </c>
      <c r="D184" s="87" t="s">
        <v>5011</v>
      </c>
    </row>
    <row r="185" spans="2:4" ht="15" x14ac:dyDescent="0.2">
      <c r="B185" s="87" t="s">
        <v>831</v>
      </c>
      <c r="C185" s="88">
        <v>6460</v>
      </c>
      <c r="D185" s="87" t="s">
        <v>5012</v>
      </c>
    </row>
    <row r="186" spans="2:4" ht="15" x14ac:dyDescent="0.2">
      <c r="B186" s="87" t="s">
        <v>832</v>
      </c>
      <c r="C186" s="88">
        <v>6460</v>
      </c>
      <c r="D186" s="87" t="s">
        <v>5012</v>
      </c>
    </row>
    <row r="187" spans="2:4" ht="15" x14ac:dyDescent="0.2">
      <c r="B187" s="87" t="s">
        <v>833</v>
      </c>
      <c r="C187" s="88">
        <v>6480</v>
      </c>
      <c r="D187" s="87" t="s">
        <v>5013</v>
      </c>
    </row>
    <row r="188" spans="2:4" ht="15" x14ac:dyDescent="0.2">
      <c r="B188" s="87" t="s">
        <v>834</v>
      </c>
      <c r="C188" s="88">
        <v>6480</v>
      </c>
      <c r="D188" s="87" t="s">
        <v>5013</v>
      </c>
    </row>
    <row r="189" spans="2:4" ht="15" x14ac:dyDescent="0.2">
      <c r="B189" s="87" t="s">
        <v>835</v>
      </c>
      <c r="C189" s="88">
        <v>6500</v>
      </c>
      <c r="D189" s="87" t="s">
        <v>5014</v>
      </c>
    </row>
    <row r="190" spans="2:4" ht="15" x14ac:dyDescent="0.2">
      <c r="B190" s="87" t="s">
        <v>836</v>
      </c>
      <c r="C190" s="88">
        <v>6500</v>
      </c>
      <c r="D190" s="87" t="s">
        <v>5014</v>
      </c>
    </row>
    <row r="191" spans="2:4" ht="15" x14ac:dyDescent="0.2">
      <c r="B191" s="87" t="s">
        <v>837</v>
      </c>
      <c r="C191" s="88">
        <v>6500</v>
      </c>
      <c r="D191" s="87" t="s">
        <v>5014</v>
      </c>
    </row>
    <row r="192" spans="2:4" ht="15" x14ac:dyDescent="0.2">
      <c r="B192" s="87" t="s">
        <v>838</v>
      </c>
      <c r="C192" s="88">
        <v>6510</v>
      </c>
      <c r="D192" s="87" t="s">
        <v>5015</v>
      </c>
    </row>
    <row r="193" spans="2:4" ht="15" x14ac:dyDescent="0.2">
      <c r="B193" s="87" t="s">
        <v>839</v>
      </c>
      <c r="C193" s="88">
        <v>6510</v>
      </c>
      <c r="D193" s="87" t="s">
        <v>5015</v>
      </c>
    </row>
    <row r="194" spans="2:4" ht="15" x14ac:dyDescent="0.2">
      <c r="B194" s="87" t="s">
        <v>840</v>
      </c>
      <c r="C194" s="88">
        <v>6510</v>
      </c>
      <c r="D194" s="87" t="s">
        <v>5015</v>
      </c>
    </row>
    <row r="195" spans="2:4" ht="15" x14ac:dyDescent="0.2">
      <c r="B195" s="87" t="s">
        <v>841</v>
      </c>
      <c r="C195" s="88">
        <v>6510</v>
      </c>
      <c r="D195" s="87" t="s">
        <v>5015</v>
      </c>
    </row>
    <row r="196" spans="2:4" ht="15" x14ac:dyDescent="0.2">
      <c r="B196" s="87" t="s">
        <v>842</v>
      </c>
      <c r="C196" s="88">
        <v>6510</v>
      </c>
      <c r="D196" s="87" t="s">
        <v>5015</v>
      </c>
    </row>
    <row r="197" spans="2:4" ht="15" x14ac:dyDescent="0.2">
      <c r="B197" s="87" t="s">
        <v>843</v>
      </c>
      <c r="C197" s="88">
        <v>6510</v>
      </c>
      <c r="D197" s="87" t="s">
        <v>5016</v>
      </c>
    </row>
    <row r="198" spans="2:4" ht="15" x14ac:dyDescent="0.2">
      <c r="B198" s="87" t="s">
        <v>844</v>
      </c>
      <c r="C198" s="88">
        <v>6510</v>
      </c>
      <c r="D198" s="87" t="s">
        <v>5016</v>
      </c>
    </row>
    <row r="199" spans="2:4" ht="15" x14ac:dyDescent="0.2">
      <c r="B199" s="87" t="s">
        <v>845</v>
      </c>
      <c r="C199" s="88">
        <v>6510</v>
      </c>
      <c r="D199" s="87" t="s">
        <v>5016</v>
      </c>
    </row>
    <row r="200" spans="2:4" ht="15" x14ac:dyDescent="0.2">
      <c r="B200" s="87" t="s">
        <v>846</v>
      </c>
      <c r="C200" s="88">
        <v>6510</v>
      </c>
      <c r="D200" s="87" t="s">
        <v>5016</v>
      </c>
    </row>
    <row r="201" spans="2:4" ht="15" x14ac:dyDescent="0.2">
      <c r="B201" s="87" t="s">
        <v>847</v>
      </c>
      <c r="C201" s="88">
        <v>6510</v>
      </c>
      <c r="D201" s="87" t="s">
        <v>5016</v>
      </c>
    </row>
    <row r="202" spans="2:4" ht="15" x14ac:dyDescent="0.2">
      <c r="B202" s="87" t="s">
        <v>848</v>
      </c>
      <c r="C202" s="88">
        <v>6530</v>
      </c>
      <c r="D202" s="87" t="s">
        <v>5017</v>
      </c>
    </row>
    <row r="203" spans="2:4" ht="15" x14ac:dyDescent="0.2">
      <c r="B203" s="87" t="s">
        <v>849</v>
      </c>
      <c r="C203" s="88">
        <v>6530</v>
      </c>
      <c r="D203" s="87" t="s">
        <v>5017</v>
      </c>
    </row>
    <row r="204" spans="2:4" ht="15" x14ac:dyDescent="0.2">
      <c r="B204" s="87" t="s">
        <v>850</v>
      </c>
      <c r="C204" s="88">
        <v>6530</v>
      </c>
      <c r="D204" s="87" t="s">
        <v>5017</v>
      </c>
    </row>
    <row r="205" spans="2:4" ht="15" x14ac:dyDescent="0.2">
      <c r="B205" s="87" t="s">
        <v>851</v>
      </c>
      <c r="C205" s="88">
        <v>6530</v>
      </c>
      <c r="D205" s="87" t="s">
        <v>5017</v>
      </c>
    </row>
    <row r="206" spans="2:4" ht="15" x14ac:dyDescent="0.2">
      <c r="B206" s="87" t="s">
        <v>852</v>
      </c>
      <c r="C206" s="88">
        <v>6530</v>
      </c>
      <c r="D206" s="87" t="s">
        <v>5017</v>
      </c>
    </row>
    <row r="207" spans="2:4" ht="15" x14ac:dyDescent="0.2">
      <c r="B207" s="87" t="s">
        <v>853</v>
      </c>
      <c r="C207" s="88">
        <v>6540</v>
      </c>
      <c r="D207" s="87" t="s">
        <v>5018</v>
      </c>
    </row>
    <row r="208" spans="2:4" ht="15" x14ac:dyDescent="0.2">
      <c r="B208" s="87" t="s">
        <v>854</v>
      </c>
      <c r="C208" s="88">
        <v>6540</v>
      </c>
      <c r="D208" s="87" t="s">
        <v>5018</v>
      </c>
    </row>
    <row r="209" spans="2:4" ht="15" x14ac:dyDescent="0.2">
      <c r="B209" s="87" t="s">
        <v>855</v>
      </c>
      <c r="C209" s="88">
        <v>6560</v>
      </c>
      <c r="D209" s="87" t="s">
        <v>5019</v>
      </c>
    </row>
    <row r="210" spans="2:4" ht="15" x14ac:dyDescent="0.2">
      <c r="B210" s="87" t="s">
        <v>856</v>
      </c>
      <c r="C210" s="88">
        <v>6560</v>
      </c>
      <c r="D210" s="87" t="s">
        <v>5019</v>
      </c>
    </row>
    <row r="211" spans="2:4" ht="15" x14ac:dyDescent="0.2">
      <c r="B211" s="87" t="s">
        <v>857</v>
      </c>
      <c r="C211" s="88">
        <v>6560</v>
      </c>
      <c r="D211" s="87" t="s">
        <v>5019</v>
      </c>
    </row>
    <row r="212" spans="2:4" ht="15" x14ac:dyDescent="0.2">
      <c r="B212" s="87" t="s">
        <v>858</v>
      </c>
      <c r="C212" s="88">
        <v>6570</v>
      </c>
      <c r="D212" s="87" t="s">
        <v>5020</v>
      </c>
    </row>
    <row r="213" spans="2:4" ht="15" x14ac:dyDescent="0.2">
      <c r="B213" s="87" t="s">
        <v>859</v>
      </c>
      <c r="C213" s="88">
        <v>6570</v>
      </c>
      <c r="D213" s="87" t="s">
        <v>5020</v>
      </c>
    </row>
    <row r="214" spans="2:4" ht="15" x14ac:dyDescent="0.2">
      <c r="B214" s="87" t="s">
        <v>860</v>
      </c>
      <c r="C214" s="88">
        <v>6570</v>
      </c>
      <c r="D214" s="87" t="s">
        <v>5020</v>
      </c>
    </row>
    <row r="215" spans="2:4" ht="15" x14ac:dyDescent="0.2">
      <c r="B215" s="87" t="s">
        <v>861</v>
      </c>
      <c r="C215" s="88">
        <v>6590</v>
      </c>
      <c r="D215" s="87" t="s">
        <v>5021</v>
      </c>
    </row>
    <row r="216" spans="2:4" ht="15" x14ac:dyDescent="0.2">
      <c r="B216" s="87" t="s">
        <v>862</v>
      </c>
      <c r="C216" s="88">
        <v>6590</v>
      </c>
      <c r="D216" s="87" t="s">
        <v>5021</v>
      </c>
    </row>
    <row r="217" spans="2:4" ht="15" x14ac:dyDescent="0.2">
      <c r="B217" s="87" t="s">
        <v>863</v>
      </c>
      <c r="C217" s="88">
        <v>6590</v>
      </c>
      <c r="D217" s="87" t="s">
        <v>5021</v>
      </c>
    </row>
    <row r="218" spans="2:4" ht="15" x14ac:dyDescent="0.2">
      <c r="B218" s="87" t="s">
        <v>864</v>
      </c>
      <c r="C218" s="88">
        <v>6600</v>
      </c>
      <c r="D218" s="87" t="s">
        <v>5022</v>
      </c>
    </row>
    <row r="219" spans="2:4" ht="15" x14ac:dyDescent="0.2">
      <c r="B219" s="87" t="s">
        <v>865</v>
      </c>
      <c r="C219" s="88">
        <v>6600</v>
      </c>
      <c r="D219" s="87" t="s">
        <v>5022</v>
      </c>
    </row>
    <row r="220" spans="2:4" ht="15" x14ac:dyDescent="0.2">
      <c r="B220" s="87" t="s">
        <v>866</v>
      </c>
      <c r="C220" s="88">
        <v>6600</v>
      </c>
      <c r="D220" s="87" t="s">
        <v>5022</v>
      </c>
    </row>
    <row r="221" spans="2:4" ht="15" x14ac:dyDescent="0.2">
      <c r="B221" s="87" t="s">
        <v>867</v>
      </c>
      <c r="C221" s="88">
        <v>6600</v>
      </c>
      <c r="D221" s="87" t="s">
        <v>5022</v>
      </c>
    </row>
    <row r="222" spans="2:4" ht="15" x14ac:dyDescent="0.2">
      <c r="B222" s="87" t="s">
        <v>868</v>
      </c>
      <c r="C222" s="88">
        <v>6600</v>
      </c>
      <c r="D222" s="87" t="s">
        <v>5023</v>
      </c>
    </row>
    <row r="223" spans="2:4" ht="15" x14ac:dyDescent="0.2">
      <c r="B223" s="87" t="s">
        <v>869</v>
      </c>
      <c r="C223" s="88">
        <v>6600</v>
      </c>
      <c r="D223" s="87" t="s">
        <v>5023</v>
      </c>
    </row>
    <row r="224" spans="2:4" ht="15" x14ac:dyDescent="0.2">
      <c r="B224" s="87" t="s">
        <v>870</v>
      </c>
      <c r="C224" s="88">
        <v>6600</v>
      </c>
      <c r="D224" s="87" t="s">
        <v>5023</v>
      </c>
    </row>
    <row r="225" spans="2:4" ht="15" x14ac:dyDescent="0.2">
      <c r="B225" s="87" t="s">
        <v>871</v>
      </c>
      <c r="C225" s="88">
        <v>6600</v>
      </c>
      <c r="D225" s="87" t="s">
        <v>5023</v>
      </c>
    </row>
    <row r="226" spans="2:4" ht="15" x14ac:dyDescent="0.2">
      <c r="B226" s="87" t="s">
        <v>872</v>
      </c>
      <c r="C226" s="88">
        <v>6600</v>
      </c>
      <c r="D226" s="87" t="s">
        <v>5023</v>
      </c>
    </row>
    <row r="227" spans="2:4" ht="15" x14ac:dyDescent="0.2">
      <c r="B227" s="87" t="s">
        <v>873</v>
      </c>
      <c r="C227" s="88">
        <v>6620</v>
      </c>
      <c r="D227" s="87" t="s">
        <v>5024</v>
      </c>
    </row>
    <row r="228" spans="2:4" ht="15" x14ac:dyDescent="0.2">
      <c r="B228" s="87" t="s">
        <v>874</v>
      </c>
      <c r="C228" s="88">
        <v>6620</v>
      </c>
      <c r="D228" s="87" t="s">
        <v>5024</v>
      </c>
    </row>
    <row r="229" spans="2:4" ht="15" x14ac:dyDescent="0.2">
      <c r="B229" s="87" t="s">
        <v>875</v>
      </c>
      <c r="C229" s="88">
        <v>6620</v>
      </c>
      <c r="D229" s="87" t="s">
        <v>5024</v>
      </c>
    </row>
    <row r="230" spans="2:4" ht="15" x14ac:dyDescent="0.2">
      <c r="B230" s="87" t="s">
        <v>876</v>
      </c>
      <c r="C230" s="88">
        <v>6620</v>
      </c>
      <c r="D230" s="87" t="s">
        <v>5024</v>
      </c>
    </row>
    <row r="231" spans="2:4" ht="15" x14ac:dyDescent="0.2">
      <c r="B231" s="87" t="s">
        <v>877</v>
      </c>
      <c r="C231" s="88">
        <v>6620</v>
      </c>
      <c r="D231" s="87" t="s">
        <v>5024</v>
      </c>
    </row>
    <row r="232" spans="2:4" ht="15" x14ac:dyDescent="0.2">
      <c r="B232" s="87" t="s">
        <v>878</v>
      </c>
      <c r="C232" s="88">
        <v>6630</v>
      </c>
      <c r="D232" s="87" t="s">
        <v>5025</v>
      </c>
    </row>
    <row r="233" spans="2:4" ht="15" x14ac:dyDescent="0.2">
      <c r="B233" s="87" t="s">
        <v>879</v>
      </c>
      <c r="C233" s="88">
        <v>6630</v>
      </c>
      <c r="D233" s="87" t="s">
        <v>5025</v>
      </c>
    </row>
    <row r="234" spans="2:4" ht="15" x14ac:dyDescent="0.2">
      <c r="B234" s="87" t="s">
        <v>880</v>
      </c>
      <c r="C234" s="88">
        <v>6630</v>
      </c>
      <c r="D234" s="87" t="s">
        <v>5025</v>
      </c>
    </row>
    <row r="235" spans="2:4" ht="15" x14ac:dyDescent="0.2">
      <c r="B235" s="87" t="s">
        <v>881</v>
      </c>
      <c r="C235" s="88">
        <v>6630</v>
      </c>
      <c r="D235" s="87" t="s">
        <v>5025</v>
      </c>
    </row>
    <row r="236" spans="2:4" ht="15" x14ac:dyDescent="0.2">
      <c r="B236" s="87" t="s">
        <v>882</v>
      </c>
      <c r="C236" s="88">
        <v>6630</v>
      </c>
      <c r="D236" s="87" t="s">
        <v>5025</v>
      </c>
    </row>
    <row r="237" spans="2:4" ht="15" x14ac:dyDescent="0.2">
      <c r="B237" s="87" t="s">
        <v>883</v>
      </c>
      <c r="C237" s="88">
        <v>6630</v>
      </c>
      <c r="D237" s="87" t="s">
        <v>5025</v>
      </c>
    </row>
    <row r="238" spans="2:4" ht="15" x14ac:dyDescent="0.2">
      <c r="B238" s="87" t="s">
        <v>884</v>
      </c>
      <c r="C238" s="88">
        <v>6630</v>
      </c>
      <c r="D238" s="87" t="s">
        <v>5025</v>
      </c>
    </row>
    <row r="239" spans="2:4" ht="15" x14ac:dyDescent="0.2">
      <c r="B239" s="87" t="s">
        <v>885</v>
      </c>
      <c r="C239" s="88">
        <v>6650</v>
      </c>
      <c r="D239" s="87" t="s">
        <v>5026</v>
      </c>
    </row>
    <row r="240" spans="2:4" ht="15" x14ac:dyDescent="0.2">
      <c r="B240" s="87" t="s">
        <v>886</v>
      </c>
      <c r="C240" s="88">
        <v>6650</v>
      </c>
      <c r="D240" s="87" t="s">
        <v>5026</v>
      </c>
    </row>
    <row r="241" spans="2:4" ht="15" x14ac:dyDescent="0.2">
      <c r="B241" s="87" t="s">
        <v>887</v>
      </c>
      <c r="C241" s="88">
        <v>6650</v>
      </c>
      <c r="D241" s="87" t="s">
        <v>5026</v>
      </c>
    </row>
    <row r="242" spans="2:4" ht="15" x14ac:dyDescent="0.2">
      <c r="B242" s="87" t="s">
        <v>888</v>
      </c>
      <c r="C242" s="88">
        <v>6650</v>
      </c>
      <c r="D242" s="87" t="s">
        <v>5026</v>
      </c>
    </row>
    <row r="243" spans="2:4" ht="15" x14ac:dyDescent="0.2">
      <c r="B243" s="87" t="s">
        <v>889</v>
      </c>
      <c r="C243" s="88">
        <v>6650</v>
      </c>
      <c r="D243" s="87" t="s">
        <v>5026</v>
      </c>
    </row>
    <row r="244" spans="2:4" ht="15" x14ac:dyDescent="0.2">
      <c r="B244" s="87" t="s">
        <v>890</v>
      </c>
      <c r="C244" s="88">
        <v>6670</v>
      </c>
      <c r="D244" s="87" t="s">
        <v>5027</v>
      </c>
    </row>
    <row r="245" spans="2:4" ht="15" x14ac:dyDescent="0.2">
      <c r="B245" s="87" t="s">
        <v>891</v>
      </c>
      <c r="C245" s="88">
        <v>6670</v>
      </c>
      <c r="D245" s="87" t="s">
        <v>5027</v>
      </c>
    </row>
    <row r="246" spans="2:4" ht="15" x14ac:dyDescent="0.2">
      <c r="B246" s="87" t="s">
        <v>892</v>
      </c>
      <c r="C246" s="88">
        <v>6670</v>
      </c>
      <c r="D246" s="87" t="s">
        <v>5027</v>
      </c>
    </row>
    <row r="247" spans="2:4" ht="15" x14ac:dyDescent="0.2">
      <c r="B247" s="87" t="s">
        <v>893</v>
      </c>
      <c r="C247" s="88">
        <v>6670</v>
      </c>
      <c r="D247" s="87" t="s">
        <v>5027</v>
      </c>
    </row>
    <row r="248" spans="2:4" ht="15" x14ac:dyDescent="0.2">
      <c r="B248" s="87" t="s">
        <v>894</v>
      </c>
      <c r="C248" s="88">
        <v>6670</v>
      </c>
      <c r="D248" s="87" t="s">
        <v>5027</v>
      </c>
    </row>
    <row r="249" spans="2:4" ht="15" x14ac:dyDescent="0.2">
      <c r="B249" s="87" t="s">
        <v>895</v>
      </c>
      <c r="C249" s="88">
        <v>6670</v>
      </c>
      <c r="D249" s="87" t="s">
        <v>5027</v>
      </c>
    </row>
    <row r="250" spans="2:4" ht="15" x14ac:dyDescent="0.2">
      <c r="B250" s="87" t="s">
        <v>896</v>
      </c>
      <c r="C250" s="88">
        <v>6670</v>
      </c>
      <c r="D250" s="87" t="s">
        <v>5027</v>
      </c>
    </row>
    <row r="251" spans="2:4" ht="15" x14ac:dyDescent="0.2">
      <c r="B251" s="87" t="s">
        <v>897</v>
      </c>
      <c r="C251" s="88">
        <v>6670</v>
      </c>
      <c r="D251" s="87" t="s">
        <v>5027</v>
      </c>
    </row>
    <row r="252" spans="2:4" ht="15" x14ac:dyDescent="0.2">
      <c r="B252" s="87" t="s">
        <v>898</v>
      </c>
      <c r="C252" s="88">
        <v>6680</v>
      </c>
      <c r="D252" s="87" t="s">
        <v>5028</v>
      </c>
    </row>
    <row r="253" spans="2:4" ht="15" x14ac:dyDescent="0.2">
      <c r="B253" s="87" t="s">
        <v>899</v>
      </c>
      <c r="C253" s="88">
        <v>6680</v>
      </c>
      <c r="D253" s="87" t="s">
        <v>5028</v>
      </c>
    </row>
    <row r="254" spans="2:4" ht="15" x14ac:dyDescent="0.2">
      <c r="B254" s="87" t="s">
        <v>900</v>
      </c>
      <c r="C254" s="88">
        <v>6680</v>
      </c>
      <c r="D254" s="87" t="s">
        <v>5028</v>
      </c>
    </row>
    <row r="255" spans="2:4" ht="15" x14ac:dyDescent="0.2">
      <c r="B255" s="87" t="s">
        <v>901</v>
      </c>
      <c r="C255" s="88">
        <v>6680</v>
      </c>
      <c r="D255" s="87" t="s">
        <v>5028</v>
      </c>
    </row>
    <row r="256" spans="2:4" ht="15" x14ac:dyDescent="0.2">
      <c r="B256" s="87" t="s">
        <v>902</v>
      </c>
      <c r="C256" s="88">
        <v>6680</v>
      </c>
      <c r="D256" s="87" t="s">
        <v>5028</v>
      </c>
    </row>
    <row r="257" spans="2:4" ht="15" x14ac:dyDescent="0.2">
      <c r="B257" s="87" t="s">
        <v>903</v>
      </c>
      <c r="C257" s="88">
        <v>6680</v>
      </c>
      <c r="D257" s="87" t="s">
        <v>5028</v>
      </c>
    </row>
    <row r="258" spans="2:4" ht="15" x14ac:dyDescent="0.2">
      <c r="B258" s="87" t="s">
        <v>904</v>
      </c>
      <c r="C258" s="88">
        <v>6680</v>
      </c>
      <c r="D258" s="87" t="s">
        <v>5028</v>
      </c>
    </row>
    <row r="259" spans="2:4" ht="15" x14ac:dyDescent="0.2">
      <c r="B259" s="87" t="s">
        <v>905</v>
      </c>
      <c r="C259" s="88">
        <v>6680</v>
      </c>
      <c r="D259" s="87" t="s">
        <v>5028</v>
      </c>
    </row>
    <row r="260" spans="2:4" ht="15" x14ac:dyDescent="0.2">
      <c r="B260" s="87" t="s">
        <v>906</v>
      </c>
      <c r="C260" s="88">
        <v>6680</v>
      </c>
      <c r="D260" s="87" t="s">
        <v>5028</v>
      </c>
    </row>
    <row r="261" spans="2:4" ht="15" x14ac:dyDescent="0.2">
      <c r="B261" s="87" t="s">
        <v>907</v>
      </c>
      <c r="C261" s="88">
        <v>6680</v>
      </c>
      <c r="D261" s="87" t="s">
        <v>5028</v>
      </c>
    </row>
    <row r="262" spans="2:4" ht="15" x14ac:dyDescent="0.2">
      <c r="B262" s="87" t="s">
        <v>908</v>
      </c>
      <c r="C262" s="88">
        <v>6680</v>
      </c>
      <c r="D262" s="87" t="s">
        <v>5028</v>
      </c>
    </row>
    <row r="263" spans="2:4" ht="15" x14ac:dyDescent="0.2">
      <c r="B263" s="87" t="s">
        <v>909</v>
      </c>
      <c r="C263" s="88">
        <v>6680</v>
      </c>
      <c r="D263" s="87" t="s">
        <v>5028</v>
      </c>
    </row>
    <row r="264" spans="2:4" ht="15" x14ac:dyDescent="0.2">
      <c r="B264" s="87" t="s">
        <v>910</v>
      </c>
      <c r="C264" s="88">
        <v>6680</v>
      </c>
      <c r="D264" s="87" t="s">
        <v>5028</v>
      </c>
    </row>
    <row r="265" spans="2:4" ht="15" x14ac:dyDescent="0.2">
      <c r="B265" s="87" t="s">
        <v>911</v>
      </c>
      <c r="C265" s="88">
        <v>6680</v>
      </c>
      <c r="D265" s="87" t="s">
        <v>5028</v>
      </c>
    </row>
    <row r="266" spans="2:4" ht="15" x14ac:dyDescent="0.2">
      <c r="B266" s="87" t="s">
        <v>912</v>
      </c>
      <c r="C266" s="88">
        <v>6670</v>
      </c>
      <c r="D266" s="87" t="s">
        <v>5027</v>
      </c>
    </row>
    <row r="267" spans="2:4" ht="15" x14ac:dyDescent="0.2">
      <c r="B267" s="87" t="s">
        <v>913</v>
      </c>
      <c r="C267" s="88">
        <v>6670</v>
      </c>
      <c r="D267" s="87" t="s">
        <v>5027</v>
      </c>
    </row>
    <row r="268" spans="2:4" ht="15" x14ac:dyDescent="0.2">
      <c r="B268" s="87" t="s">
        <v>914</v>
      </c>
      <c r="C268" s="88">
        <v>6670</v>
      </c>
      <c r="D268" s="87" t="s">
        <v>5027</v>
      </c>
    </row>
    <row r="269" spans="2:4" ht="15" x14ac:dyDescent="0.2">
      <c r="B269" s="87" t="s">
        <v>915</v>
      </c>
      <c r="C269" s="88">
        <v>6670</v>
      </c>
      <c r="D269" s="87" t="s">
        <v>5027</v>
      </c>
    </row>
    <row r="270" spans="2:4" ht="15" x14ac:dyDescent="0.2">
      <c r="B270" s="87" t="s">
        <v>916</v>
      </c>
      <c r="C270" s="88">
        <v>6670</v>
      </c>
      <c r="D270" s="87" t="s">
        <v>5027</v>
      </c>
    </row>
    <row r="271" spans="2:4" ht="15" x14ac:dyDescent="0.2">
      <c r="B271" s="87" t="s">
        <v>917</v>
      </c>
      <c r="C271" s="88">
        <v>6670</v>
      </c>
      <c r="D271" s="87" t="s">
        <v>5027</v>
      </c>
    </row>
    <row r="272" spans="2:4" ht="15" x14ac:dyDescent="0.2">
      <c r="B272" s="87" t="s">
        <v>918</v>
      </c>
      <c r="C272" s="88">
        <v>6650</v>
      </c>
      <c r="D272" s="87" t="s">
        <v>5026</v>
      </c>
    </row>
    <row r="273" spans="2:4" ht="15" x14ac:dyDescent="0.2">
      <c r="B273" s="87" t="s">
        <v>919</v>
      </c>
      <c r="C273" s="88">
        <v>6650</v>
      </c>
      <c r="D273" s="87" t="s">
        <v>5026</v>
      </c>
    </row>
    <row r="274" spans="2:4" ht="15" x14ac:dyDescent="0.2">
      <c r="B274" s="87" t="s">
        <v>920</v>
      </c>
      <c r="C274" s="88">
        <v>6650</v>
      </c>
      <c r="D274" s="87" t="s">
        <v>5026</v>
      </c>
    </row>
    <row r="275" spans="2:4" ht="15" x14ac:dyDescent="0.2">
      <c r="B275" s="87" t="s">
        <v>921</v>
      </c>
      <c r="C275" s="88">
        <v>6630</v>
      </c>
      <c r="D275" s="87" t="s">
        <v>5025</v>
      </c>
    </row>
    <row r="276" spans="2:4" ht="15" x14ac:dyDescent="0.2">
      <c r="B276" s="87" t="s">
        <v>922</v>
      </c>
      <c r="C276" s="88">
        <v>6630</v>
      </c>
      <c r="D276" s="87" t="s">
        <v>5025</v>
      </c>
    </row>
    <row r="277" spans="2:4" ht="15" x14ac:dyDescent="0.2">
      <c r="B277" s="87" t="s">
        <v>923</v>
      </c>
      <c r="C277" s="88">
        <v>6620</v>
      </c>
      <c r="D277" s="87" t="s">
        <v>5024</v>
      </c>
    </row>
    <row r="278" spans="2:4" ht="15" x14ac:dyDescent="0.2">
      <c r="B278" s="87" t="s">
        <v>924</v>
      </c>
      <c r="C278" s="88">
        <v>6620</v>
      </c>
      <c r="D278" s="87" t="s">
        <v>5024</v>
      </c>
    </row>
    <row r="279" spans="2:4" ht="15" x14ac:dyDescent="0.2">
      <c r="B279" s="87" t="s">
        <v>925</v>
      </c>
      <c r="C279" s="88">
        <v>6600</v>
      </c>
      <c r="D279" s="87" t="s">
        <v>5023</v>
      </c>
    </row>
    <row r="280" spans="2:4" ht="15" x14ac:dyDescent="0.2">
      <c r="B280" s="87" t="s">
        <v>926</v>
      </c>
      <c r="C280" s="88">
        <v>6600</v>
      </c>
      <c r="D280" s="87" t="s">
        <v>5023</v>
      </c>
    </row>
    <row r="281" spans="2:4" ht="15" x14ac:dyDescent="0.2">
      <c r="B281" s="87" t="s">
        <v>927</v>
      </c>
      <c r="C281" s="88">
        <v>6600</v>
      </c>
      <c r="D281" s="87" t="s">
        <v>5022</v>
      </c>
    </row>
    <row r="282" spans="2:4" ht="15" x14ac:dyDescent="0.2">
      <c r="B282" s="87" t="s">
        <v>928</v>
      </c>
      <c r="C282" s="88">
        <v>6590</v>
      </c>
      <c r="D282" s="87" t="s">
        <v>5021</v>
      </c>
    </row>
    <row r="283" spans="2:4" ht="15" x14ac:dyDescent="0.2">
      <c r="B283" s="87" t="s">
        <v>929</v>
      </c>
      <c r="C283" s="88">
        <v>6590</v>
      </c>
      <c r="D283" s="87" t="s">
        <v>5021</v>
      </c>
    </row>
    <row r="284" spans="2:4" ht="15" x14ac:dyDescent="0.2">
      <c r="B284" s="87" t="s">
        <v>930</v>
      </c>
      <c r="C284" s="88">
        <v>6590</v>
      </c>
      <c r="D284" s="87" t="s">
        <v>5021</v>
      </c>
    </row>
    <row r="285" spans="2:4" ht="15" x14ac:dyDescent="0.2">
      <c r="B285" s="87" t="s">
        <v>931</v>
      </c>
      <c r="C285" s="88">
        <v>6570</v>
      </c>
      <c r="D285" s="87" t="s">
        <v>5020</v>
      </c>
    </row>
    <row r="286" spans="2:4" ht="15" x14ac:dyDescent="0.2">
      <c r="B286" s="87" t="s">
        <v>932</v>
      </c>
      <c r="C286" s="88">
        <v>6570</v>
      </c>
      <c r="D286" s="87" t="s">
        <v>5020</v>
      </c>
    </row>
    <row r="287" spans="2:4" ht="15" x14ac:dyDescent="0.2">
      <c r="B287" s="87" t="s">
        <v>933</v>
      </c>
      <c r="C287" s="88">
        <v>6570</v>
      </c>
      <c r="D287" s="87" t="s">
        <v>5020</v>
      </c>
    </row>
    <row r="288" spans="2:4" ht="15" x14ac:dyDescent="0.2">
      <c r="B288" s="87" t="s">
        <v>934</v>
      </c>
      <c r="C288" s="88">
        <v>6570</v>
      </c>
      <c r="D288" s="87" t="s">
        <v>5020</v>
      </c>
    </row>
    <row r="289" spans="2:4" ht="15" x14ac:dyDescent="0.2">
      <c r="B289" s="87" t="s">
        <v>935</v>
      </c>
      <c r="C289" s="88">
        <v>6570</v>
      </c>
      <c r="D289" s="87" t="s">
        <v>5020</v>
      </c>
    </row>
    <row r="290" spans="2:4" ht="15" x14ac:dyDescent="0.2">
      <c r="B290" s="87" t="s">
        <v>936</v>
      </c>
      <c r="C290" s="88">
        <v>6560</v>
      </c>
      <c r="D290" s="87" t="s">
        <v>5019</v>
      </c>
    </row>
    <row r="291" spans="2:4" ht="15" x14ac:dyDescent="0.2">
      <c r="B291" s="87" t="s">
        <v>937</v>
      </c>
      <c r="C291" s="88">
        <v>6560</v>
      </c>
      <c r="D291" s="87" t="s">
        <v>5019</v>
      </c>
    </row>
    <row r="292" spans="2:4" ht="15" x14ac:dyDescent="0.2">
      <c r="B292" s="87" t="s">
        <v>938</v>
      </c>
      <c r="C292" s="88">
        <v>6560</v>
      </c>
      <c r="D292" s="87" t="s">
        <v>5019</v>
      </c>
    </row>
    <row r="293" spans="2:4" ht="15" x14ac:dyDescent="0.2">
      <c r="B293" s="87" t="s">
        <v>939</v>
      </c>
      <c r="C293" s="88">
        <v>6540</v>
      </c>
      <c r="D293" s="87" t="s">
        <v>5018</v>
      </c>
    </row>
    <row r="294" spans="2:4" ht="15" x14ac:dyDescent="0.2">
      <c r="B294" s="87" t="s">
        <v>940</v>
      </c>
      <c r="C294" s="88">
        <v>6540</v>
      </c>
      <c r="D294" s="87" t="s">
        <v>5018</v>
      </c>
    </row>
    <row r="295" spans="2:4" ht="15" x14ac:dyDescent="0.2">
      <c r="B295" s="87" t="s">
        <v>941</v>
      </c>
      <c r="C295" s="88">
        <v>6540</v>
      </c>
      <c r="D295" s="87" t="s">
        <v>5018</v>
      </c>
    </row>
    <row r="296" spans="2:4" ht="15" x14ac:dyDescent="0.2">
      <c r="B296" s="87" t="s">
        <v>942</v>
      </c>
      <c r="C296" s="88">
        <v>6540</v>
      </c>
      <c r="D296" s="87" t="s">
        <v>5018</v>
      </c>
    </row>
    <row r="297" spans="2:4" ht="15" x14ac:dyDescent="0.2">
      <c r="B297" s="87" t="s">
        <v>943</v>
      </c>
      <c r="C297" s="88">
        <v>6530</v>
      </c>
      <c r="D297" s="87" t="s">
        <v>5017</v>
      </c>
    </row>
    <row r="298" spans="2:4" ht="15" x14ac:dyDescent="0.2">
      <c r="B298" s="87" t="s">
        <v>944</v>
      </c>
      <c r="C298" s="88">
        <v>6530</v>
      </c>
      <c r="D298" s="87" t="s">
        <v>5017</v>
      </c>
    </row>
    <row r="299" spans="2:4" ht="15" x14ac:dyDescent="0.2">
      <c r="B299" s="87" t="s">
        <v>945</v>
      </c>
      <c r="C299" s="88">
        <v>6530</v>
      </c>
      <c r="D299" s="87" t="s">
        <v>5017</v>
      </c>
    </row>
    <row r="300" spans="2:4" ht="15" x14ac:dyDescent="0.2">
      <c r="B300" s="87" t="s">
        <v>946</v>
      </c>
      <c r="C300" s="88">
        <v>6530</v>
      </c>
      <c r="D300" s="87" t="s">
        <v>5017</v>
      </c>
    </row>
    <row r="301" spans="2:4" ht="15" x14ac:dyDescent="0.2">
      <c r="B301" s="87" t="s">
        <v>947</v>
      </c>
      <c r="C301" s="88">
        <v>6510</v>
      </c>
      <c r="D301" s="87" t="s">
        <v>5016</v>
      </c>
    </row>
    <row r="302" spans="2:4" ht="15" x14ac:dyDescent="0.2">
      <c r="B302" s="87" t="s">
        <v>948</v>
      </c>
      <c r="C302" s="88">
        <v>6510</v>
      </c>
      <c r="D302" s="87" t="s">
        <v>5016</v>
      </c>
    </row>
    <row r="303" spans="2:4" ht="15" x14ac:dyDescent="0.2">
      <c r="B303" s="87" t="s">
        <v>949</v>
      </c>
      <c r="C303" s="88">
        <v>6510</v>
      </c>
      <c r="D303" s="87" t="s">
        <v>5016</v>
      </c>
    </row>
    <row r="304" spans="2:4" ht="15" x14ac:dyDescent="0.2">
      <c r="B304" s="87" t="s">
        <v>950</v>
      </c>
      <c r="C304" s="88">
        <v>6510</v>
      </c>
      <c r="D304" s="87" t="s">
        <v>5016</v>
      </c>
    </row>
    <row r="305" spans="2:4" ht="15" x14ac:dyDescent="0.2">
      <c r="B305" s="87" t="s">
        <v>951</v>
      </c>
      <c r="C305" s="88">
        <v>6510</v>
      </c>
      <c r="D305" s="87" t="s">
        <v>5016</v>
      </c>
    </row>
    <row r="306" spans="2:4" ht="15" x14ac:dyDescent="0.2">
      <c r="B306" s="87" t="s">
        <v>952</v>
      </c>
      <c r="C306" s="88">
        <v>6510</v>
      </c>
      <c r="D306" s="87" t="s">
        <v>5015</v>
      </c>
    </row>
    <row r="307" spans="2:4" ht="15" x14ac:dyDescent="0.2">
      <c r="B307" s="87" t="s">
        <v>953</v>
      </c>
      <c r="C307" s="88">
        <v>6510</v>
      </c>
      <c r="D307" s="87" t="s">
        <v>5015</v>
      </c>
    </row>
    <row r="308" spans="2:4" ht="15" x14ac:dyDescent="0.2">
      <c r="B308" s="87" t="s">
        <v>954</v>
      </c>
      <c r="C308" s="88">
        <v>6510</v>
      </c>
      <c r="D308" s="87" t="s">
        <v>5015</v>
      </c>
    </row>
    <row r="309" spans="2:4" ht="15" x14ac:dyDescent="0.2">
      <c r="B309" s="87" t="s">
        <v>955</v>
      </c>
      <c r="C309" s="88">
        <v>6510</v>
      </c>
      <c r="D309" s="87" t="s">
        <v>5015</v>
      </c>
    </row>
    <row r="310" spans="2:4" ht="15" x14ac:dyDescent="0.2">
      <c r="B310" s="87" t="s">
        <v>956</v>
      </c>
      <c r="C310" s="88">
        <v>6510</v>
      </c>
      <c r="D310" s="87" t="s">
        <v>5015</v>
      </c>
    </row>
    <row r="311" spans="2:4" ht="15" x14ac:dyDescent="0.2">
      <c r="B311" s="87" t="s">
        <v>957</v>
      </c>
      <c r="C311" s="88">
        <v>6500</v>
      </c>
      <c r="D311" s="87" t="s">
        <v>5014</v>
      </c>
    </row>
    <row r="312" spans="2:4" ht="15" x14ac:dyDescent="0.2">
      <c r="B312" s="87" t="s">
        <v>958</v>
      </c>
      <c r="C312" s="88">
        <v>6500</v>
      </c>
      <c r="D312" s="87" t="s">
        <v>5014</v>
      </c>
    </row>
    <row r="313" spans="2:4" ht="15" x14ac:dyDescent="0.2">
      <c r="B313" s="87" t="s">
        <v>959</v>
      </c>
      <c r="C313" s="88">
        <v>6500</v>
      </c>
      <c r="D313" s="87" t="s">
        <v>5014</v>
      </c>
    </row>
    <row r="314" spans="2:4" ht="15" x14ac:dyDescent="0.2">
      <c r="B314" s="87" t="s">
        <v>960</v>
      </c>
      <c r="C314" s="88">
        <v>6500</v>
      </c>
      <c r="D314" s="87" t="s">
        <v>5014</v>
      </c>
    </row>
    <row r="315" spans="2:4" ht="15" x14ac:dyDescent="0.2">
      <c r="B315" s="87" t="s">
        <v>961</v>
      </c>
      <c r="C315" s="88">
        <v>6480</v>
      </c>
      <c r="D315" s="87" t="s">
        <v>5013</v>
      </c>
    </row>
    <row r="316" spans="2:4" ht="15" x14ac:dyDescent="0.2">
      <c r="B316" s="87" t="s">
        <v>962</v>
      </c>
      <c r="C316" s="88">
        <v>6480</v>
      </c>
      <c r="D316" s="87" t="s">
        <v>5013</v>
      </c>
    </row>
    <row r="317" spans="2:4" ht="15" x14ac:dyDescent="0.2">
      <c r="B317" s="87" t="s">
        <v>963</v>
      </c>
      <c r="C317" s="88">
        <v>6480</v>
      </c>
      <c r="D317" s="87" t="s">
        <v>5013</v>
      </c>
    </row>
    <row r="318" spans="2:4" ht="15" x14ac:dyDescent="0.2">
      <c r="B318" s="87" t="s">
        <v>964</v>
      </c>
      <c r="C318" s="88">
        <v>6480</v>
      </c>
      <c r="D318" s="87" t="s">
        <v>5013</v>
      </c>
    </row>
    <row r="319" spans="2:4" ht="15" x14ac:dyDescent="0.2">
      <c r="B319" s="87" t="s">
        <v>965</v>
      </c>
      <c r="C319" s="88">
        <v>6480</v>
      </c>
      <c r="D319" s="87" t="s">
        <v>5013</v>
      </c>
    </row>
    <row r="320" spans="2:4" ht="15" x14ac:dyDescent="0.2">
      <c r="B320" s="87" t="s">
        <v>966</v>
      </c>
      <c r="C320" s="88">
        <v>6460</v>
      </c>
      <c r="D320" s="87" t="s">
        <v>5012</v>
      </c>
    </row>
    <row r="321" spans="2:4" ht="15" x14ac:dyDescent="0.2">
      <c r="B321" s="87" t="s">
        <v>967</v>
      </c>
      <c r="C321" s="88">
        <v>6460</v>
      </c>
      <c r="D321" s="87" t="s">
        <v>5012</v>
      </c>
    </row>
    <row r="322" spans="2:4" ht="15" x14ac:dyDescent="0.2">
      <c r="B322" s="87" t="s">
        <v>968</v>
      </c>
      <c r="C322" s="88">
        <v>6460</v>
      </c>
      <c r="D322" s="87" t="s">
        <v>5012</v>
      </c>
    </row>
    <row r="323" spans="2:4" ht="15" x14ac:dyDescent="0.2">
      <c r="B323" s="87" t="s">
        <v>969</v>
      </c>
      <c r="C323" s="88">
        <v>6460</v>
      </c>
      <c r="D323" s="87" t="s">
        <v>5012</v>
      </c>
    </row>
    <row r="324" spans="2:4" ht="15" x14ac:dyDescent="0.2">
      <c r="B324" s="87" t="s">
        <v>970</v>
      </c>
      <c r="C324" s="88">
        <v>6460</v>
      </c>
      <c r="D324" s="87" t="s">
        <v>5012</v>
      </c>
    </row>
    <row r="325" spans="2:4" ht="15" x14ac:dyDescent="0.2">
      <c r="B325" s="87" t="s">
        <v>971</v>
      </c>
      <c r="C325" s="88">
        <v>6450</v>
      </c>
      <c r="D325" s="87" t="s">
        <v>5011</v>
      </c>
    </row>
    <row r="326" spans="2:4" ht="15" x14ac:dyDescent="0.2">
      <c r="B326" s="87" t="s">
        <v>972</v>
      </c>
      <c r="C326" s="88">
        <v>6450</v>
      </c>
      <c r="D326" s="87" t="s">
        <v>5011</v>
      </c>
    </row>
    <row r="327" spans="2:4" ht="15" x14ac:dyDescent="0.2">
      <c r="B327" s="87" t="s">
        <v>973</v>
      </c>
      <c r="C327" s="88">
        <v>6450</v>
      </c>
      <c r="D327" s="87" t="s">
        <v>5011</v>
      </c>
    </row>
    <row r="328" spans="2:4" ht="15" x14ac:dyDescent="0.2">
      <c r="B328" s="87" t="s">
        <v>974</v>
      </c>
      <c r="C328" s="88">
        <v>6450</v>
      </c>
      <c r="D328" s="87" t="s">
        <v>5011</v>
      </c>
    </row>
    <row r="329" spans="2:4" ht="15" x14ac:dyDescent="0.2">
      <c r="B329" s="87" t="s">
        <v>975</v>
      </c>
      <c r="C329" s="88">
        <v>6450</v>
      </c>
      <c r="D329" s="87" t="s">
        <v>5011</v>
      </c>
    </row>
    <row r="330" spans="2:4" ht="15" x14ac:dyDescent="0.2">
      <c r="B330" s="87" t="s">
        <v>976</v>
      </c>
      <c r="C330" s="88">
        <v>6430</v>
      </c>
      <c r="D330" s="87" t="s">
        <v>5010</v>
      </c>
    </row>
    <row r="331" spans="2:4" ht="15" x14ac:dyDescent="0.2">
      <c r="B331" s="87" t="s">
        <v>977</v>
      </c>
      <c r="C331" s="88">
        <v>6430</v>
      </c>
      <c r="D331" s="87" t="s">
        <v>5010</v>
      </c>
    </row>
    <row r="332" spans="2:4" ht="15" x14ac:dyDescent="0.2">
      <c r="B332" s="87" t="s">
        <v>978</v>
      </c>
      <c r="C332" s="88">
        <v>6430</v>
      </c>
      <c r="D332" s="87" t="s">
        <v>5010</v>
      </c>
    </row>
    <row r="333" spans="2:4" ht="15" x14ac:dyDescent="0.2">
      <c r="B333" s="87" t="s">
        <v>979</v>
      </c>
      <c r="C333" s="88">
        <v>6420</v>
      </c>
      <c r="D333" s="87" t="s">
        <v>5009</v>
      </c>
    </row>
    <row r="334" spans="2:4" ht="15" x14ac:dyDescent="0.2">
      <c r="B334" s="87" t="s">
        <v>980</v>
      </c>
      <c r="C334" s="88">
        <v>6420</v>
      </c>
      <c r="D334" s="87" t="s">
        <v>5009</v>
      </c>
    </row>
    <row r="335" spans="2:4" ht="15" x14ac:dyDescent="0.2">
      <c r="B335" s="87" t="s">
        <v>981</v>
      </c>
      <c r="C335" s="88">
        <v>6420</v>
      </c>
      <c r="D335" s="87" t="s">
        <v>5009</v>
      </c>
    </row>
    <row r="336" spans="2:4" ht="15" x14ac:dyDescent="0.2">
      <c r="B336" s="87" t="s">
        <v>982</v>
      </c>
      <c r="C336" s="88">
        <v>6420</v>
      </c>
      <c r="D336" s="87" t="s">
        <v>5009</v>
      </c>
    </row>
    <row r="337" spans="2:4" ht="15" x14ac:dyDescent="0.2">
      <c r="B337" s="87" t="s">
        <v>983</v>
      </c>
      <c r="C337" s="88">
        <v>6420</v>
      </c>
      <c r="D337" s="87" t="s">
        <v>5008</v>
      </c>
    </row>
    <row r="338" spans="2:4" ht="15" x14ac:dyDescent="0.2">
      <c r="B338" s="87" t="s">
        <v>984</v>
      </c>
      <c r="C338" s="88">
        <v>6420</v>
      </c>
      <c r="D338" s="87" t="s">
        <v>5008</v>
      </c>
    </row>
    <row r="339" spans="2:4" ht="15" x14ac:dyDescent="0.2">
      <c r="B339" s="87" t="s">
        <v>985</v>
      </c>
      <c r="C339" s="88">
        <v>6400</v>
      </c>
      <c r="D339" s="87" t="s">
        <v>5007</v>
      </c>
    </row>
    <row r="340" spans="2:4" ht="15" x14ac:dyDescent="0.2">
      <c r="B340" s="87" t="s">
        <v>986</v>
      </c>
      <c r="C340" s="88">
        <v>6400</v>
      </c>
      <c r="D340" s="87" t="s">
        <v>5007</v>
      </c>
    </row>
    <row r="341" spans="2:4" ht="15" x14ac:dyDescent="0.2">
      <c r="B341" s="87" t="s">
        <v>987</v>
      </c>
      <c r="C341" s="88">
        <v>6400</v>
      </c>
      <c r="D341" s="87" t="s">
        <v>5007</v>
      </c>
    </row>
    <row r="342" spans="2:4" ht="15" x14ac:dyDescent="0.2">
      <c r="B342" s="87" t="s">
        <v>988</v>
      </c>
      <c r="C342" s="88">
        <v>6390</v>
      </c>
      <c r="D342" s="87" t="s">
        <v>5006</v>
      </c>
    </row>
    <row r="343" spans="2:4" ht="15" x14ac:dyDescent="0.2">
      <c r="B343" s="87" t="s">
        <v>989</v>
      </c>
      <c r="C343" s="88">
        <v>6390</v>
      </c>
      <c r="D343" s="87" t="s">
        <v>5006</v>
      </c>
    </row>
    <row r="344" spans="2:4" ht="15" x14ac:dyDescent="0.2">
      <c r="B344" s="87" t="s">
        <v>990</v>
      </c>
      <c r="C344" s="88">
        <v>6390</v>
      </c>
      <c r="D344" s="87" t="s">
        <v>5006</v>
      </c>
    </row>
    <row r="345" spans="2:4" ht="15" x14ac:dyDescent="0.2">
      <c r="B345" s="87" t="s">
        <v>991</v>
      </c>
      <c r="C345" s="88">
        <v>6370</v>
      </c>
      <c r="D345" s="87" t="s">
        <v>5005</v>
      </c>
    </row>
    <row r="346" spans="2:4" ht="15" x14ac:dyDescent="0.2">
      <c r="B346" s="87" t="s">
        <v>992</v>
      </c>
      <c r="C346" s="88">
        <v>6370</v>
      </c>
      <c r="D346" s="87" t="s">
        <v>5005</v>
      </c>
    </row>
    <row r="347" spans="2:4" ht="15" x14ac:dyDescent="0.2">
      <c r="B347" s="87" t="s">
        <v>993</v>
      </c>
      <c r="C347" s="88">
        <v>6370</v>
      </c>
      <c r="D347" s="87" t="s">
        <v>5005</v>
      </c>
    </row>
    <row r="348" spans="2:4" ht="15" x14ac:dyDescent="0.2">
      <c r="B348" s="87" t="s">
        <v>994</v>
      </c>
      <c r="C348" s="88">
        <v>6370</v>
      </c>
      <c r="D348" s="87" t="s">
        <v>5005</v>
      </c>
    </row>
    <row r="349" spans="2:4" ht="15" x14ac:dyDescent="0.2">
      <c r="B349" s="87" t="s">
        <v>995</v>
      </c>
      <c r="C349" s="88">
        <v>6370</v>
      </c>
      <c r="D349" s="87" t="s">
        <v>5005</v>
      </c>
    </row>
    <row r="350" spans="2:4" ht="15" x14ac:dyDescent="0.2">
      <c r="B350" s="87" t="s">
        <v>996</v>
      </c>
      <c r="C350" s="88">
        <v>6370</v>
      </c>
      <c r="D350" s="87" t="s">
        <v>5005</v>
      </c>
    </row>
    <row r="351" spans="2:4" ht="15" x14ac:dyDescent="0.2">
      <c r="B351" s="87" t="s">
        <v>997</v>
      </c>
      <c r="C351" s="88">
        <v>6360</v>
      </c>
      <c r="D351" s="87" t="s">
        <v>5004</v>
      </c>
    </row>
    <row r="352" spans="2:4" ht="15" x14ac:dyDescent="0.2">
      <c r="B352" s="87" t="s">
        <v>998</v>
      </c>
      <c r="C352" s="88">
        <v>6360</v>
      </c>
      <c r="D352" s="87" t="s">
        <v>5004</v>
      </c>
    </row>
    <row r="353" spans="2:4" ht="15" x14ac:dyDescent="0.2">
      <c r="B353" s="87" t="s">
        <v>999</v>
      </c>
      <c r="C353" s="88">
        <v>6360</v>
      </c>
      <c r="D353" s="87" t="s">
        <v>5004</v>
      </c>
    </row>
    <row r="354" spans="2:4" ht="15" x14ac:dyDescent="0.2">
      <c r="B354" s="87" t="s">
        <v>1000</v>
      </c>
      <c r="C354" s="88">
        <v>6340</v>
      </c>
      <c r="D354" s="87" t="s">
        <v>5003</v>
      </c>
    </row>
    <row r="355" spans="2:4" ht="15" x14ac:dyDescent="0.2">
      <c r="B355" s="87" t="s">
        <v>1001</v>
      </c>
      <c r="C355" s="88">
        <v>6340</v>
      </c>
      <c r="D355" s="87" t="s">
        <v>5003</v>
      </c>
    </row>
    <row r="356" spans="2:4" ht="15" x14ac:dyDescent="0.2">
      <c r="B356" s="87" t="s">
        <v>1002</v>
      </c>
      <c r="C356" s="88">
        <v>6340</v>
      </c>
      <c r="D356" s="87" t="s">
        <v>5003</v>
      </c>
    </row>
    <row r="357" spans="2:4" ht="15" x14ac:dyDescent="0.2">
      <c r="B357" s="87" t="s">
        <v>1003</v>
      </c>
      <c r="C357" s="88">
        <v>6330</v>
      </c>
      <c r="D357" s="87" t="s">
        <v>5002</v>
      </c>
    </row>
    <row r="358" spans="2:4" ht="15" x14ac:dyDescent="0.2">
      <c r="B358" s="87" t="s">
        <v>1004</v>
      </c>
      <c r="C358" s="88">
        <v>6330</v>
      </c>
      <c r="D358" s="87" t="s">
        <v>5002</v>
      </c>
    </row>
    <row r="359" spans="2:4" ht="15" x14ac:dyDescent="0.2">
      <c r="B359" s="87" t="s">
        <v>1005</v>
      </c>
      <c r="C359" s="88">
        <v>6330</v>
      </c>
      <c r="D359" s="87" t="s">
        <v>5001</v>
      </c>
    </row>
    <row r="360" spans="2:4" ht="15" x14ac:dyDescent="0.2">
      <c r="B360" s="87" t="s">
        <v>1006</v>
      </c>
      <c r="C360" s="88">
        <v>6330</v>
      </c>
      <c r="D360" s="87" t="s">
        <v>5001</v>
      </c>
    </row>
    <row r="361" spans="2:4" ht="15" x14ac:dyDescent="0.2">
      <c r="B361" s="87" t="s">
        <v>1007</v>
      </c>
      <c r="C361" s="88">
        <v>6310</v>
      </c>
      <c r="D361" s="87" t="s">
        <v>5000</v>
      </c>
    </row>
    <row r="362" spans="2:4" ht="15" x14ac:dyDescent="0.2">
      <c r="B362" s="87" t="s">
        <v>1008</v>
      </c>
      <c r="C362" s="88">
        <v>6310</v>
      </c>
      <c r="D362" s="87" t="s">
        <v>5000</v>
      </c>
    </row>
    <row r="363" spans="2:4" ht="15" x14ac:dyDescent="0.2">
      <c r="B363" s="87" t="s">
        <v>1009</v>
      </c>
      <c r="C363" s="88">
        <v>6300</v>
      </c>
      <c r="D363" s="87" t="s">
        <v>4999</v>
      </c>
    </row>
    <row r="364" spans="2:4" ht="15" x14ac:dyDescent="0.2">
      <c r="B364" s="87" t="s">
        <v>1010</v>
      </c>
      <c r="C364" s="88">
        <v>6300</v>
      </c>
      <c r="D364" s="87" t="s">
        <v>4999</v>
      </c>
    </row>
    <row r="365" spans="2:4" ht="15" x14ac:dyDescent="0.2">
      <c r="B365" s="87" t="s">
        <v>1011</v>
      </c>
      <c r="C365" s="88">
        <v>6280</v>
      </c>
      <c r="D365" s="87" t="s">
        <v>4998</v>
      </c>
    </row>
    <row r="366" spans="2:4" ht="15" x14ac:dyDescent="0.2">
      <c r="B366" s="87" t="s">
        <v>1012</v>
      </c>
      <c r="C366" s="88">
        <v>6270</v>
      </c>
      <c r="D366" s="87" t="s">
        <v>4997</v>
      </c>
    </row>
    <row r="367" spans="2:4" ht="15" x14ac:dyDescent="0.2">
      <c r="B367" s="87" t="s">
        <v>1013</v>
      </c>
      <c r="C367" s="88">
        <v>6270</v>
      </c>
      <c r="D367" s="87" t="s">
        <v>4997</v>
      </c>
    </row>
    <row r="368" spans="2:4" ht="15" x14ac:dyDescent="0.2">
      <c r="B368" s="87" t="s">
        <v>1014</v>
      </c>
      <c r="C368" s="88">
        <v>6270</v>
      </c>
      <c r="D368" s="87" t="s">
        <v>4997</v>
      </c>
    </row>
    <row r="369" spans="2:4" ht="15" x14ac:dyDescent="0.2">
      <c r="B369" s="87" t="s">
        <v>1015</v>
      </c>
      <c r="C369" s="88">
        <v>6270</v>
      </c>
      <c r="D369" s="87" t="s">
        <v>4997</v>
      </c>
    </row>
    <row r="370" spans="2:4" ht="15" x14ac:dyDescent="0.2">
      <c r="B370" s="87" t="s">
        <v>1016</v>
      </c>
      <c r="C370" s="88">
        <v>6250</v>
      </c>
      <c r="D370" s="87" t="s">
        <v>4996</v>
      </c>
    </row>
    <row r="371" spans="2:4" ht="15" x14ac:dyDescent="0.2">
      <c r="B371" s="87" t="s">
        <v>1017</v>
      </c>
      <c r="C371" s="88">
        <v>6250</v>
      </c>
      <c r="D371" s="87" t="s">
        <v>4996</v>
      </c>
    </row>
    <row r="372" spans="2:4" ht="15" x14ac:dyDescent="0.2">
      <c r="B372" s="87" t="s">
        <v>1018</v>
      </c>
      <c r="C372" s="88">
        <v>6250</v>
      </c>
      <c r="D372" s="87" t="s">
        <v>4996</v>
      </c>
    </row>
    <row r="373" spans="2:4" ht="15" x14ac:dyDescent="0.2">
      <c r="B373" s="87" t="s">
        <v>1019</v>
      </c>
      <c r="C373" s="88">
        <v>6240</v>
      </c>
      <c r="D373" s="87" t="s">
        <v>4995</v>
      </c>
    </row>
    <row r="374" spans="2:4" ht="15" x14ac:dyDescent="0.2">
      <c r="B374" s="87" t="s">
        <v>1020</v>
      </c>
      <c r="C374" s="88">
        <v>6240</v>
      </c>
      <c r="D374" s="87" t="s">
        <v>4995</v>
      </c>
    </row>
    <row r="375" spans="2:4" ht="15" x14ac:dyDescent="0.2">
      <c r="B375" s="87" t="s">
        <v>1021</v>
      </c>
      <c r="C375" s="88">
        <v>6240</v>
      </c>
      <c r="D375" s="87" t="s">
        <v>4994</v>
      </c>
    </row>
    <row r="376" spans="2:4" ht="15" x14ac:dyDescent="0.2">
      <c r="B376" s="87" t="s">
        <v>1022</v>
      </c>
      <c r="C376" s="88">
        <v>6220</v>
      </c>
      <c r="D376" s="87" t="s">
        <v>4993</v>
      </c>
    </row>
    <row r="377" spans="2:4" ht="15" x14ac:dyDescent="0.2">
      <c r="B377" s="87" t="s">
        <v>1023</v>
      </c>
      <c r="C377" s="88">
        <v>6220</v>
      </c>
      <c r="D377" s="87" t="s">
        <v>4993</v>
      </c>
    </row>
    <row r="378" spans="2:4" ht="15" x14ac:dyDescent="0.2">
      <c r="B378" s="87" t="s">
        <v>1024</v>
      </c>
      <c r="C378" s="88">
        <v>6210</v>
      </c>
      <c r="D378" s="87" t="s">
        <v>4992</v>
      </c>
    </row>
    <row r="379" spans="2:4" ht="15" x14ac:dyDescent="0.2">
      <c r="B379" s="87" t="s">
        <v>1025</v>
      </c>
      <c r="C379" s="88">
        <v>6210</v>
      </c>
      <c r="D379" s="87" t="s">
        <v>4992</v>
      </c>
    </row>
    <row r="380" spans="2:4" ht="15" x14ac:dyDescent="0.2">
      <c r="B380" s="87" t="s">
        <v>1026</v>
      </c>
      <c r="C380" s="88">
        <v>6190</v>
      </c>
      <c r="D380" s="87" t="s">
        <v>4991</v>
      </c>
    </row>
    <row r="381" spans="2:4" ht="15" x14ac:dyDescent="0.2">
      <c r="B381" s="87" t="s">
        <v>1027</v>
      </c>
      <c r="C381" s="88">
        <v>6190</v>
      </c>
      <c r="D381" s="87" t="s">
        <v>4991</v>
      </c>
    </row>
    <row r="382" spans="2:4" ht="15" x14ac:dyDescent="0.2">
      <c r="B382" s="87" t="s">
        <v>1028</v>
      </c>
      <c r="C382" s="88">
        <v>6190</v>
      </c>
      <c r="D382" s="87" t="s">
        <v>4991</v>
      </c>
    </row>
    <row r="383" spans="2:4" ht="15" x14ac:dyDescent="0.2">
      <c r="B383" s="87" t="s">
        <v>1029</v>
      </c>
      <c r="C383" s="88">
        <v>6170</v>
      </c>
      <c r="D383" s="87" t="s">
        <v>4990</v>
      </c>
    </row>
    <row r="384" spans="2:4" ht="15" x14ac:dyDescent="0.2">
      <c r="B384" s="87" t="s">
        <v>1030</v>
      </c>
      <c r="C384" s="88">
        <v>6170</v>
      </c>
      <c r="D384" s="87" t="s">
        <v>4990</v>
      </c>
    </row>
    <row r="385" spans="2:4" ht="15" x14ac:dyDescent="0.2">
      <c r="B385" s="87" t="s">
        <v>1031</v>
      </c>
      <c r="C385" s="88">
        <v>6160</v>
      </c>
      <c r="D385" s="87" t="s">
        <v>4989</v>
      </c>
    </row>
    <row r="386" spans="2:4" ht="15" x14ac:dyDescent="0.2">
      <c r="B386" s="87" t="s">
        <v>1032</v>
      </c>
      <c r="C386" s="88">
        <v>6160</v>
      </c>
      <c r="D386" s="87" t="s">
        <v>4989</v>
      </c>
    </row>
    <row r="387" spans="2:4" ht="15" x14ac:dyDescent="0.2">
      <c r="B387" s="87" t="s">
        <v>1033</v>
      </c>
      <c r="C387" s="88">
        <v>6140</v>
      </c>
      <c r="D387" s="87" t="s">
        <v>5029</v>
      </c>
    </row>
    <row r="388" spans="2:4" ht="15" x14ac:dyDescent="0.2">
      <c r="B388" s="87" t="s">
        <v>1034</v>
      </c>
      <c r="C388" s="88">
        <v>6140</v>
      </c>
      <c r="D388" s="87" t="s">
        <v>4988</v>
      </c>
    </row>
    <row r="389" spans="2:4" ht="15" x14ac:dyDescent="0.2">
      <c r="B389" s="87" t="s">
        <v>1035</v>
      </c>
      <c r="C389" s="88">
        <v>6130</v>
      </c>
      <c r="D389" s="87" t="s">
        <v>4987</v>
      </c>
    </row>
    <row r="390" spans="2:4" ht="15" x14ac:dyDescent="0.2">
      <c r="B390" s="87" t="s">
        <v>1036</v>
      </c>
      <c r="C390" s="88">
        <v>6110</v>
      </c>
      <c r="D390" s="87" t="s">
        <v>4986</v>
      </c>
    </row>
    <row r="391" spans="2:4" ht="15" x14ac:dyDescent="0.2">
      <c r="B391" s="87" t="s">
        <v>1037</v>
      </c>
      <c r="C391" s="88">
        <v>6100</v>
      </c>
      <c r="D391" s="87" t="s">
        <v>4985</v>
      </c>
    </row>
    <row r="392" spans="2:4" ht="15" x14ac:dyDescent="0.2">
      <c r="B392" s="87" t="s">
        <v>1038</v>
      </c>
      <c r="C392" s="88">
        <v>6080</v>
      </c>
      <c r="D392" s="87" t="s">
        <v>4984</v>
      </c>
    </row>
    <row r="393" spans="2:4" ht="15" x14ac:dyDescent="0.2">
      <c r="B393" s="87" t="s">
        <v>1039</v>
      </c>
      <c r="C393" s="88">
        <v>6080</v>
      </c>
      <c r="D393" s="87" t="s">
        <v>4984</v>
      </c>
    </row>
    <row r="394" spans="2:4" ht="15" x14ac:dyDescent="0.2">
      <c r="B394" s="87" t="s">
        <v>1040</v>
      </c>
      <c r="C394" s="88">
        <v>6070</v>
      </c>
      <c r="D394" s="87" t="s">
        <v>4983</v>
      </c>
    </row>
    <row r="395" spans="2:4" ht="15" x14ac:dyDescent="0.2">
      <c r="B395" s="87" t="s">
        <v>1041</v>
      </c>
      <c r="C395" s="88">
        <v>6050</v>
      </c>
      <c r="D395" s="87" t="s">
        <v>4982</v>
      </c>
    </row>
    <row r="396" spans="2:4" ht="15" x14ac:dyDescent="0.2">
      <c r="B396" s="87" t="s">
        <v>1042</v>
      </c>
      <c r="C396" s="88">
        <v>6050</v>
      </c>
      <c r="D396" s="87" t="s">
        <v>4982</v>
      </c>
    </row>
    <row r="397" spans="2:4" ht="15" x14ac:dyDescent="0.2">
      <c r="B397" s="87" t="s">
        <v>1043</v>
      </c>
      <c r="C397" s="88">
        <v>6050</v>
      </c>
      <c r="D397" s="87" t="s">
        <v>5030</v>
      </c>
    </row>
    <row r="398" spans="2:4" ht="15" x14ac:dyDescent="0.2">
      <c r="B398" s="87" t="s">
        <v>1044</v>
      </c>
      <c r="C398" s="88">
        <v>6040</v>
      </c>
      <c r="D398" s="87" t="s">
        <v>4981</v>
      </c>
    </row>
    <row r="399" spans="2:4" ht="15" x14ac:dyDescent="0.2">
      <c r="B399" s="87" t="s">
        <v>1045</v>
      </c>
      <c r="C399" s="88">
        <v>6020</v>
      </c>
      <c r="D399" s="87" t="s">
        <v>4980</v>
      </c>
    </row>
    <row r="400" spans="2:4" ht="15" x14ac:dyDescent="0.2">
      <c r="B400" s="87" t="s">
        <v>1046</v>
      </c>
      <c r="C400" s="88">
        <v>6010</v>
      </c>
      <c r="D400" s="87" t="s">
        <v>4979</v>
      </c>
    </row>
    <row r="401" spans="2:4" ht="15" x14ac:dyDescent="0.2">
      <c r="B401" s="87" t="s">
        <v>1047</v>
      </c>
      <c r="C401" s="88">
        <v>6010</v>
      </c>
      <c r="D401" s="87" t="s">
        <v>4979</v>
      </c>
    </row>
    <row r="402" spans="2:4" ht="15" x14ac:dyDescent="0.2">
      <c r="B402" s="87" t="s">
        <v>1048</v>
      </c>
      <c r="C402" s="88">
        <v>5990</v>
      </c>
      <c r="D402" s="87" t="s">
        <v>4978</v>
      </c>
    </row>
    <row r="403" spans="2:4" ht="15" x14ac:dyDescent="0.2">
      <c r="B403" s="87" t="s">
        <v>1049</v>
      </c>
      <c r="C403" s="88">
        <v>5980</v>
      </c>
      <c r="D403" s="87" t="s">
        <v>5031</v>
      </c>
    </row>
    <row r="404" spans="2:4" ht="15" x14ac:dyDescent="0.2">
      <c r="B404" s="87" t="s">
        <v>1050</v>
      </c>
      <c r="C404" s="88">
        <v>5960</v>
      </c>
      <c r="D404" s="87" t="s">
        <v>4977</v>
      </c>
    </row>
    <row r="405" spans="2:4" ht="15" x14ac:dyDescent="0.2">
      <c r="B405" s="87" t="s">
        <v>1051</v>
      </c>
      <c r="C405" s="88">
        <v>5960</v>
      </c>
      <c r="D405" s="87" t="s">
        <v>4976</v>
      </c>
    </row>
    <row r="406" spans="2:4" ht="15" x14ac:dyDescent="0.2">
      <c r="B406" s="87" t="s">
        <v>1052</v>
      </c>
      <c r="C406" s="88">
        <v>5960</v>
      </c>
      <c r="D406" s="87" t="s">
        <v>4976</v>
      </c>
    </row>
    <row r="407" spans="2:4" ht="15" x14ac:dyDescent="0.2">
      <c r="B407" s="87" t="s">
        <v>1053</v>
      </c>
      <c r="C407" s="88">
        <v>5950</v>
      </c>
      <c r="D407" s="87" t="s">
        <v>5032</v>
      </c>
    </row>
    <row r="408" spans="2:4" ht="15" x14ac:dyDescent="0.2">
      <c r="B408" s="87" t="s">
        <v>1054</v>
      </c>
      <c r="C408" s="88">
        <v>5950</v>
      </c>
      <c r="D408" s="87" t="s">
        <v>5032</v>
      </c>
    </row>
    <row r="409" spans="2:4" ht="15" x14ac:dyDescent="0.2">
      <c r="B409" s="87" t="s">
        <v>1055</v>
      </c>
      <c r="C409" s="88">
        <v>5930</v>
      </c>
      <c r="D409" s="87" t="s">
        <v>4975</v>
      </c>
    </row>
    <row r="410" spans="2:4" ht="15" x14ac:dyDescent="0.2">
      <c r="B410" s="87" t="s">
        <v>1056</v>
      </c>
      <c r="C410" s="88">
        <v>5930</v>
      </c>
      <c r="D410" s="87" t="s">
        <v>4975</v>
      </c>
    </row>
    <row r="411" spans="2:4" ht="15" x14ac:dyDescent="0.2">
      <c r="B411" s="87" t="s">
        <v>1057</v>
      </c>
      <c r="C411" s="88">
        <v>5930</v>
      </c>
      <c r="D411" s="87" t="s">
        <v>4975</v>
      </c>
    </row>
    <row r="412" spans="2:4" ht="15" x14ac:dyDescent="0.2">
      <c r="B412" s="87" t="s">
        <v>1058</v>
      </c>
      <c r="C412" s="88">
        <v>5920</v>
      </c>
      <c r="D412" s="87" t="s">
        <v>4974</v>
      </c>
    </row>
    <row r="413" spans="2:4" ht="15" x14ac:dyDescent="0.2">
      <c r="B413" s="87" t="s">
        <v>1059</v>
      </c>
      <c r="C413" s="88">
        <v>5920</v>
      </c>
      <c r="D413" s="87" t="s">
        <v>4974</v>
      </c>
    </row>
    <row r="414" spans="2:4" ht="15" x14ac:dyDescent="0.2">
      <c r="B414" s="87" t="s">
        <v>1060</v>
      </c>
      <c r="C414" s="88">
        <v>5920</v>
      </c>
      <c r="D414" s="87" t="s">
        <v>4974</v>
      </c>
    </row>
    <row r="415" spans="2:4" ht="15" x14ac:dyDescent="0.2">
      <c r="B415" s="87" t="s">
        <v>1061</v>
      </c>
      <c r="C415" s="88">
        <v>5920</v>
      </c>
      <c r="D415" s="87" t="s">
        <v>4974</v>
      </c>
    </row>
    <row r="416" spans="2:4" ht="15" x14ac:dyDescent="0.2">
      <c r="B416" s="87" t="s">
        <v>1062</v>
      </c>
      <c r="C416" s="88">
        <v>5920</v>
      </c>
      <c r="D416" s="87" t="s">
        <v>4974</v>
      </c>
    </row>
    <row r="417" spans="2:4" ht="15" x14ac:dyDescent="0.2">
      <c r="B417" s="87" t="s">
        <v>1063</v>
      </c>
      <c r="C417" s="88">
        <v>5900</v>
      </c>
      <c r="D417" s="87" t="s">
        <v>4973</v>
      </c>
    </row>
    <row r="418" spans="2:4" ht="15" x14ac:dyDescent="0.2">
      <c r="B418" s="87" t="s">
        <v>1064</v>
      </c>
      <c r="C418" s="88">
        <v>5900</v>
      </c>
      <c r="D418" s="87" t="s">
        <v>4973</v>
      </c>
    </row>
    <row r="419" spans="2:4" ht="15" x14ac:dyDescent="0.2">
      <c r="B419" s="87" t="s">
        <v>1065</v>
      </c>
      <c r="C419" s="88">
        <v>5900</v>
      </c>
      <c r="D419" s="87" t="s">
        <v>4973</v>
      </c>
    </row>
    <row r="420" spans="2:4" ht="15" x14ac:dyDescent="0.2">
      <c r="B420" s="87" t="s">
        <v>1066</v>
      </c>
      <c r="C420" s="88">
        <v>5900</v>
      </c>
      <c r="D420" s="87" t="s">
        <v>4973</v>
      </c>
    </row>
    <row r="421" spans="2:4" ht="15" x14ac:dyDescent="0.2">
      <c r="B421" s="87" t="s">
        <v>1067</v>
      </c>
      <c r="C421" s="88">
        <v>5900</v>
      </c>
      <c r="D421" s="87" t="s">
        <v>4973</v>
      </c>
    </row>
    <row r="422" spans="2:4" ht="15" x14ac:dyDescent="0.2">
      <c r="B422" s="87" t="s">
        <v>1068</v>
      </c>
      <c r="C422" s="88">
        <v>5890</v>
      </c>
      <c r="D422" s="87" t="s">
        <v>4972</v>
      </c>
    </row>
    <row r="423" spans="2:4" ht="15" x14ac:dyDescent="0.2">
      <c r="B423" s="87" t="s">
        <v>1069</v>
      </c>
      <c r="C423" s="88">
        <v>5890</v>
      </c>
      <c r="D423" s="87" t="s">
        <v>4972</v>
      </c>
    </row>
    <row r="424" spans="2:4" ht="15" x14ac:dyDescent="0.2">
      <c r="B424" s="87" t="s">
        <v>1070</v>
      </c>
      <c r="C424" s="88">
        <v>5890</v>
      </c>
      <c r="D424" s="87" t="s">
        <v>4972</v>
      </c>
    </row>
    <row r="425" spans="2:4" ht="15" x14ac:dyDescent="0.2">
      <c r="B425" s="87" t="s">
        <v>1071</v>
      </c>
      <c r="C425" s="88">
        <v>5890</v>
      </c>
      <c r="D425" s="87" t="s">
        <v>4972</v>
      </c>
    </row>
    <row r="426" spans="2:4" ht="15" x14ac:dyDescent="0.2">
      <c r="B426" s="87" t="s">
        <v>1072</v>
      </c>
      <c r="C426" s="88">
        <v>5890</v>
      </c>
      <c r="D426" s="87" t="s">
        <v>4972</v>
      </c>
    </row>
    <row r="427" spans="2:4" ht="15" x14ac:dyDescent="0.2">
      <c r="B427" s="87" t="s">
        <v>1073</v>
      </c>
      <c r="C427" s="88">
        <v>5870</v>
      </c>
      <c r="D427" s="87" t="s">
        <v>4971</v>
      </c>
    </row>
    <row r="428" spans="2:4" ht="15" x14ac:dyDescent="0.2">
      <c r="B428" s="87" t="s">
        <v>1074</v>
      </c>
      <c r="C428" s="88">
        <v>5870</v>
      </c>
      <c r="D428" s="87" t="s">
        <v>4971</v>
      </c>
    </row>
    <row r="429" spans="2:4" ht="15" x14ac:dyDescent="0.2">
      <c r="B429" s="87" t="s">
        <v>1075</v>
      </c>
      <c r="C429" s="88">
        <v>5870</v>
      </c>
      <c r="D429" s="87" t="s">
        <v>4971</v>
      </c>
    </row>
    <row r="430" spans="2:4" ht="15" x14ac:dyDescent="0.2">
      <c r="B430" s="87" t="s">
        <v>1076</v>
      </c>
      <c r="C430" s="88">
        <v>5870</v>
      </c>
      <c r="D430" s="87" t="s">
        <v>4971</v>
      </c>
    </row>
    <row r="431" spans="2:4" ht="15" x14ac:dyDescent="0.2">
      <c r="B431" s="87" t="s">
        <v>1077</v>
      </c>
      <c r="C431" s="88">
        <v>5870</v>
      </c>
      <c r="D431" s="87" t="s">
        <v>4970</v>
      </c>
    </row>
    <row r="432" spans="2:4" ht="15" x14ac:dyDescent="0.2">
      <c r="B432" s="87" t="s">
        <v>1078</v>
      </c>
      <c r="C432" s="88">
        <v>5870</v>
      </c>
      <c r="D432" s="87" t="s">
        <v>4970</v>
      </c>
    </row>
    <row r="433" spans="2:4" ht="15" x14ac:dyDescent="0.2">
      <c r="B433" s="87" t="s">
        <v>1079</v>
      </c>
      <c r="C433" s="88">
        <v>5870</v>
      </c>
      <c r="D433" s="87" t="s">
        <v>4970</v>
      </c>
    </row>
    <row r="434" spans="2:4" ht="15" x14ac:dyDescent="0.2">
      <c r="B434" s="87" t="s">
        <v>1080</v>
      </c>
      <c r="C434" s="88">
        <v>5870</v>
      </c>
      <c r="D434" s="87" t="s">
        <v>4970</v>
      </c>
    </row>
    <row r="435" spans="2:4" ht="15" x14ac:dyDescent="0.2">
      <c r="B435" s="87" t="s">
        <v>1081</v>
      </c>
      <c r="C435" s="88">
        <v>5870</v>
      </c>
      <c r="D435" s="87" t="s">
        <v>4970</v>
      </c>
    </row>
    <row r="436" spans="2:4" ht="15" x14ac:dyDescent="0.2">
      <c r="B436" s="87" t="s">
        <v>1082</v>
      </c>
      <c r="C436" s="88">
        <v>5870</v>
      </c>
      <c r="D436" s="87" t="s">
        <v>4970</v>
      </c>
    </row>
    <row r="437" spans="2:4" ht="15" x14ac:dyDescent="0.2">
      <c r="B437" s="87" t="s">
        <v>1083</v>
      </c>
      <c r="C437" s="88">
        <v>5870</v>
      </c>
      <c r="D437" s="87" t="s">
        <v>4970</v>
      </c>
    </row>
    <row r="438" spans="2:4" ht="15" x14ac:dyDescent="0.2">
      <c r="B438" s="87" t="s">
        <v>1084</v>
      </c>
      <c r="C438" s="88">
        <v>5860</v>
      </c>
      <c r="D438" s="87" t="s">
        <v>4969</v>
      </c>
    </row>
    <row r="439" spans="2:4" ht="15" x14ac:dyDescent="0.2">
      <c r="B439" s="87" t="s">
        <v>1085</v>
      </c>
      <c r="C439" s="88">
        <v>5860</v>
      </c>
      <c r="D439" s="87" t="s">
        <v>4969</v>
      </c>
    </row>
    <row r="440" spans="2:4" ht="15" x14ac:dyDescent="0.2">
      <c r="B440" s="87" t="s">
        <v>1086</v>
      </c>
      <c r="C440" s="88">
        <v>5860</v>
      </c>
      <c r="D440" s="87" t="s">
        <v>4969</v>
      </c>
    </row>
    <row r="441" spans="2:4" ht="15" x14ac:dyDescent="0.2">
      <c r="B441" s="87" t="s">
        <v>1087</v>
      </c>
      <c r="C441" s="88">
        <v>5860</v>
      </c>
      <c r="D441" s="87" t="s">
        <v>4969</v>
      </c>
    </row>
    <row r="442" spans="2:4" ht="15" x14ac:dyDescent="0.2">
      <c r="B442" s="87" t="s">
        <v>1088</v>
      </c>
      <c r="C442" s="88">
        <v>5860</v>
      </c>
      <c r="D442" s="87" t="s">
        <v>4969</v>
      </c>
    </row>
    <row r="443" spans="2:4" ht="15" x14ac:dyDescent="0.2">
      <c r="B443" s="87" t="s">
        <v>1089</v>
      </c>
      <c r="C443" s="88">
        <v>5860</v>
      </c>
      <c r="D443" s="87" t="s">
        <v>4969</v>
      </c>
    </row>
    <row r="444" spans="2:4" ht="15" x14ac:dyDescent="0.2">
      <c r="B444" s="87" t="s">
        <v>1090</v>
      </c>
      <c r="C444" s="88">
        <v>5860</v>
      </c>
      <c r="D444" s="87" t="s">
        <v>4969</v>
      </c>
    </row>
    <row r="445" spans="2:4" ht="15" x14ac:dyDescent="0.2">
      <c r="B445" s="87" t="s">
        <v>1091</v>
      </c>
      <c r="C445" s="88">
        <v>5860</v>
      </c>
      <c r="D445" s="87" t="s">
        <v>4969</v>
      </c>
    </row>
    <row r="446" spans="2:4" ht="15" x14ac:dyDescent="0.2">
      <c r="B446" s="87" t="s">
        <v>1092</v>
      </c>
      <c r="C446" s="88">
        <v>5860</v>
      </c>
      <c r="D446" s="87" t="s">
        <v>4969</v>
      </c>
    </row>
    <row r="447" spans="2:4" ht="15" x14ac:dyDescent="0.2">
      <c r="B447" s="87" t="s">
        <v>1093</v>
      </c>
      <c r="C447" s="88">
        <v>5840</v>
      </c>
      <c r="D447" s="87" t="s">
        <v>4968</v>
      </c>
    </row>
    <row r="448" spans="2:4" ht="15" x14ac:dyDescent="0.2">
      <c r="B448" s="87" t="s">
        <v>1094</v>
      </c>
      <c r="C448" s="88">
        <v>5840</v>
      </c>
      <c r="D448" s="87" t="s">
        <v>4968</v>
      </c>
    </row>
    <row r="449" spans="2:4" ht="15" x14ac:dyDescent="0.2">
      <c r="B449" s="87" t="s">
        <v>1095</v>
      </c>
      <c r="C449" s="88">
        <v>5840</v>
      </c>
      <c r="D449" s="87" t="s">
        <v>4968</v>
      </c>
    </row>
    <row r="450" spans="2:4" ht="15" x14ac:dyDescent="0.2">
      <c r="B450" s="87" t="s">
        <v>1096</v>
      </c>
      <c r="C450" s="88">
        <v>5840</v>
      </c>
      <c r="D450" s="87" t="s">
        <v>4968</v>
      </c>
    </row>
    <row r="451" spans="2:4" ht="15" x14ac:dyDescent="0.2">
      <c r="B451" s="87" t="s">
        <v>1097</v>
      </c>
      <c r="C451" s="88">
        <v>5830</v>
      </c>
      <c r="D451" s="87" t="s">
        <v>4967</v>
      </c>
    </row>
    <row r="452" spans="2:4" ht="15" x14ac:dyDescent="0.2">
      <c r="B452" s="87" t="s">
        <v>1098</v>
      </c>
      <c r="C452" s="88">
        <v>5830</v>
      </c>
      <c r="D452" s="87" t="s">
        <v>4967</v>
      </c>
    </row>
    <row r="453" spans="2:4" ht="15" x14ac:dyDescent="0.2">
      <c r="B453" s="87" t="s">
        <v>1099</v>
      </c>
      <c r="C453" s="88">
        <v>5830</v>
      </c>
      <c r="D453" s="87" t="s">
        <v>4967</v>
      </c>
    </row>
    <row r="454" spans="2:4" ht="15" x14ac:dyDescent="0.2">
      <c r="B454" s="87" t="s">
        <v>1100</v>
      </c>
      <c r="C454" s="88">
        <v>5830</v>
      </c>
      <c r="D454" s="87" t="s">
        <v>4967</v>
      </c>
    </row>
    <row r="455" spans="2:4" ht="15" x14ac:dyDescent="0.2">
      <c r="B455" s="87" t="s">
        <v>1101</v>
      </c>
      <c r="C455" s="88">
        <v>5810</v>
      </c>
      <c r="D455" s="87" t="s">
        <v>4966</v>
      </c>
    </row>
    <row r="456" spans="2:4" ht="15" x14ac:dyDescent="0.2">
      <c r="B456" s="87" t="s">
        <v>1102</v>
      </c>
      <c r="C456" s="88">
        <v>5810</v>
      </c>
      <c r="D456" s="87" t="s">
        <v>4966</v>
      </c>
    </row>
    <row r="457" spans="2:4" ht="15" x14ac:dyDescent="0.2">
      <c r="B457" s="87" t="s">
        <v>1103</v>
      </c>
      <c r="C457" s="88">
        <v>5810</v>
      </c>
      <c r="D457" s="87" t="s">
        <v>4966</v>
      </c>
    </row>
    <row r="458" spans="2:4" ht="15" x14ac:dyDescent="0.2">
      <c r="B458" s="87" t="s">
        <v>1104</v>
      </c>
      <c r="C458" s="88">
        <v>5800</v>
      </c>
      <c r="D458" s="87" t="s">
        <v>4965</v>
      </c>
    </row>
    <row r="459" spans="2:4" ht="15" x14ac:dyDescent="0.2">
      <c r="B459" s="87" t="s">
        <v>1105</v>
      </c>
      <c r="C459" s="88">
        <v>5800</v>
      </c>
      <c r="D459" s="87" t="s">
        <v>4965</v>
      </c>
    </row>
    <row r="460" spans="2:4" ht="15" x14ac:dyDescent="0.2">
      <c r="B460" s="87" t="s">
        <v>1106</v>
      </c>
      <c r="C460" s="88">
        <v>5800</v>
      </c>
      <c r="D460" s="87" t="s">
        <v>4965</v>
      </c>
    </row>
    <row r="461" spans="2:4" ht="15" x14ac:dyDescent="0.2">
      <c r="B461" s="87" t="s">
        <v>1107</v>
      </c>
      <c r="C461" s="88">
        <v>5780</v>
      </c>
      <c r="D461" s="87" t="s">
        <v>4964</v>
      </c>
    </row>
    <row r="462" spans="2:4" ht="15" x14ac:dyDescent="0.2">
      <c r="B462" s="87" t="s">
        <v>1108</v>
      </c>
      <c r="C462" s="88">
        <v>5780</v>
      </c>
      <c r="D462" s="87" t="s">
        <v>4963</v>
      </c>
    </row>
    <row r="463" spans="2:4" ht="15" x14ac:dyDescent="0.2">
      <c r="B463" s="87" t="s">
        <v>1109</v>
      </c>
      <c r="C463" s="88">
        <v>5780</v>
      </c>
      <c r="D463" s="87" t="s">
        <v>4963</v>
      </c>
    </row>
    <row r="464" spans="2:4" ht="15" x14ac:dyDescent="0.2">
      <c r="B464" s="87" t="s">
        <v>1110</v>
      </c>
      <c r="C464" s="88">
        <v>5770</v>
      </c>
      <c r="D464" s="87" t="s">
        <v>4962</v>
      </c>
    </row>
    <row r="465" spans="2:4" ht="15" x14ac:dyDescent="0.2">
      <c r="B465" s="87" t="s">
        <v>1111</v>
      </c>
      <c r="C465" s="88">
        <v>5770</v>
      </c>
      <c r="D465" s="87" t="s">
        <v>4962</v>
      </c>
    </row>
    <row r="466" spans="2:4" ht="15" x14ac:dyDescent="0.2">
      <c r="B466" s="87" t="s">
        <v>1112</v>
      </c>
      <c r="C466" s="88">
        <v>5760</v>
      </c>
      <c r="D466" s="87" t="s">
        <v>4961</v>
      </c>
    </row>
    <row r="467" spans="2:4" ht="15" x14ac:dyDescent="0.2">
      <c r="B467" s="87" t="s">
        <v>1113</v>
      </c>
      <c r="C467" s="88">
        <v>5760</v>
      </c>
      <c r="D467" s="87" t="s">
        <v>4961</v>
      </c>
    </row>
    <row r="468" spans="2:4" ht="15" x14ac:dyDescent="0.2">
      <c r="B468" s="87" t="s">
        <v>1114</v>
      </c>
      <c r="C468" s="88">
        <v>5740</v>
      </c>
      <c r="D468" s="87" t="s">
        <v>4960</v>
      </c>
    </row>
    <row r="469" spans="2:4" ht="15" x14ac:dyDescent="0.2">
      <c r="B469" s="87" t="s">
        <v>1115</v>
      </c>
      <c r="C469" s="88">
        <v>5740</v>
      </c>
      <c r="D469" s="87" t="s">
        <v>4960</v>
      </c>
    </row>
    <row r="470" spans="2:4" ht="15" x14ac:dyDescent="0.2">
      <c r="B470" s="87" t="s">
        <v>1116</v>
      </c>
      <c r="C470" s="88">
        <v>5730</v>
      </c>
      <c r="D470" s="87" t="s">
        <v>4959</v>
      </c>
    </row>
    <row r="471" spans="2:4" ht="15" x14ac:dyDescent="0.2">
      <c r="B471" s="87" t="s">
        <v>1117</v>
      </c>
      <c r="C471" s="88">
        <v>5730</v>
      </c>
      <c r="D471" s="87" t="s">
        <v>4959</v>
      </c>
    </row>
    <row r="472" spans="2:4" ht="15" x14ac:dyDescent="0.2">
      <c r="B472" s="87" t="s">
        <v>1118</v>
      </c>
      <c r="C472" s="88">
        <v>5710</v>
      </c>
      <c r="D472" s="87" t="s">
        <v>4958</v>
      </c>
    </row>
    <row r="473" spans="2:4" ht="15" x14ac:dyDescent="0.2">
      <c r="B473" s="87" t="s">
        <v>1119</v>
      </c>
      <c r="C473" s="88">
        <v>5710</v>
      </c>
      <c r="D473" s="87" t="s">
        <v>4958</v>
      </c>
    </row>
    <row r="474" spans="2:4" ht="15" x14ac:dyDescent="0.2">
      <c r="B474" s="87" t="s">
        <v>1120</v>
      </c>
      <c r="C474" s="88">
        <v>5700</v>
      </c>
      <c r="D474" s="87" t="s">
        <v>4957</v>
      </c>
    </row>
    <row r="475" spans="2:4" ht="15" x14ac:dyDescent="0.2">
      <c r="B475" s="87" t="s">
        <v>1121</v>
      </c>
      <c r="C475" s="88">
        <v>5700</v>
      </c>
      <c r="D475" s="87" t="s">
        <v>4957</v>
      </c>
    </row>
    <row r="476" spans="2:4" ht="15" x14ac:dyDescent="0.2">
      <c r="B476" s="87" t="s">
        <v>1122</v>
      </c>
      <c r="C476" s="88">
        <v>5700</v>
      </c>
      <c r="D476" s="87" t="s">
        <v>4957</v>
      </c>
    </row>
    <row r="477" spans="2:4" ht="15" x14ac:dyDescent="0.2">
      <c r="B477" s="87" t="s">
        <v>1123</v>
      </c>
      <c r="C477" s="88">
        <v>5700</v>
      </c>
      <c r="D477" s="87" t="s">
        <v>4956</v>
      </c>
    </row>
    <row r="478" spans="2:4" ht="15" x14ac:dyDescent="0.2">
      <c r="B478" s="87" t="s">
        <v>1124</v>
      </c>
      <c r="C478" s="88">
        <v>5700</v>
      </c>
      <c r="D478" s="87" t="s">
        <v>4956</v>
      </c>
    </row>
    <row r="479" spans="2:4" ht="15" x14ac:dyDescent="0.2">
      <c r="B479" s="87" t="s">
        <v>1125</v>
      </c>
      <c r="C479" s="88">
        <v>5680</v>
      </c>
      <c r="D479" s="87" t="s">
        <v>4955</v>
      </c>
    </row>
    <row r="480" spans="2:4" ht="15" x14ac:dyDescent="0.2">
      <c r="B480" s="87" t="s">
        <v>1126</v>
      </c>
      <c r="C480" s="88">
        <v>5680</v>
      </c>
      <c r="D480" s="87" t="s">
        <v>4955</v>
      </c>
    </row>
    <row r="481" spans="2:4" ht="15" x14ac:dyDescent="0.2">
      <c r="B481" s="87" t="s">
        <v>1127</v>
      </c>
      <c r="C481" s="88">
        <v>5680</v>
      </c>
      <c r="D481" s="87" t="s">
        <v>4955</v>
      </c>
    </row>
    <row r="482" spans="2:4" ht="15" x14ac:dyDescent="0.2">
      <c r="B482" s="87" t="s">
        <v>1128</v>
      </c>
      <c r="C482" s="88">
        <v>5680</v>
      </c>
      <c r="D482" s="87" t="s">
        <v>4955</v>
      </c>
    </row>
    <row r="483" spans="2:4" ht="15" x14ac:dyDescent="0.2">
      <c r="B483" s="87" t="s">
        <v>1129</v>
      </c>
      <c r="C483" s="88">
        <v>5670</v>
      </c>
      <c r="D483" s="87" t="s">
        <v>4954</v>
      </c>
    </row>
    <row r="484" spans="2:4" ht="15" x14ac:dyDescent="0.2">
      <c r="B484" s="87" t="s">
        <v>1130</v>
      </c>
      <c r="C484" s="88">
        <v>5670</v>
      </c>
      <c r="D484" s="87" t="s">
        <v>4954</v>
      </c>
    </row>
    <row r="485" spans="2:4" ht="15" x14ac:dyDescent="0.2">
      <c r="B485" s="87" t="s">
        <v>1131</v>
      </c>
      <c r="C485" s="88">
        <v>5670</v>
      </c>
      <c r="D485" s="87" t="s">
        <v>4954</v>
      </c>
    </row>
    <row r="486" spans="2:4" ht="15" x14ac:dyDescent="0.2">
      <c r="B486" s="87" t="s">
        <v>1132</v>
      </c>
      <c r="C486" s="88">
        <v>5650</v>
      </c>
      <c r="D486" s="87" t="s">
        <v>4953</v>
      </c>
    </row>
    <row r="487" spans="2:4" ht="15" x14ac:dyDescent="0.2">
      <c r="B487" s="87" t="s">
        <v>1133</v>
      </c>
      <c r="C487" s="88">
        <v>5650</v>
      </c>
      <c r="D487" s="87" t="s">
        <v>4953</v>
      </c>
    </row>
    <row r="488" spans="2:4" ht="15" x14ac:dyDescent="0.2">
      <c r="B488" s="87" t="s">
        <v>1134</v>
      </c>
      <c r="C488" s="88">
        <v>5650</v>
      </c>
      <c r="D488" s="87" t="s">
        <v>4953</v>
      </c>
    </row>
    <row r="489" spans="2:4" ht="15" x14ac:dyDescent="0.2">
      <c r="B489" s="87" t="s">
        <v>1135</v>
      </c>
      <c r="C489" s="88">
        <v>5640</v>
      </c>
      <c r="D489" s="87" t="s">
        <v>4952</v>
      </c>
    </row>
    <row r="490" spans="2:4" ht="15" x14ac:dyDescent="0.2">
      <c r="B490" s="87" t="s">
        <v>1136</v>
      </c>
      <c r="C490" s="88">
        <v>5640</v>
      </c>
      <c r="D490" s="87" t="s">
        <v>4952</v>
      </c>
    </row>
    <row r="491" spans="2:4" ht="15" x14ac:dyDescent="0.2">
      <c r="B491" s="87" t="s">
        <v>1137</v>
      </c>
      <c r="C491" s="88">
        <v>5620</v>
      </c>
      <c r="D491" s="87" t="s">
        <v>4951</v>
      </c>
    </row>
    <row r="492" spans="2:4" ht="15" x14ac:dyDescent="0.2">
      <c r="B492" s="87" t="s">
        <v>1138</v>
      </c>
      <c r="C492" s="88">
        <v>5620</v>
      </c>
      <c r="D492" s="87" t="s">
        <v>4951</v>
      </c>
    </row>
    <row r="493" spans="2:4" ht="15" x14ac:dyDescent="0.2">
      <c r="B493" s="87" t="s">
        <v>1139</v>
      </c>
      <c r="C493" s="88">
        <v>5620</v>
      </c>
      <c r="D493" s="87" t="s">
        <v>4951</v>
      </c>
    </row>
    <row r="494" spans="2:4" ht="15" x14ac:dyDescent="0.2">
      <c r="B494" s="87" t="s">
        <v>1140</v>
      </c>
      <c r="C494" s="88">
        <v>5610</v>
      </c>
      <c r="D494" s="87" t="s">
        <v>4950</v>
      </c>
    </row>
    <row r="495" spans="2:4" ht="15" x14ac:dyDescent="0.2">
      <c r="B495" s="87" t="s">
        <v>1141</v>
      </c>
      <c r="C495" s="88">
        <v>5610</v>
      </c>
      <c r="D495" s="87" t="s">
        <v>4950</v>
      </c>
    </row>
    <row r="496" spans="2:4" ht="15" x14ac:dyDescent="0.2">
      <c r="B496" s="87" t="s">
        <v>1142</v>
      </c>
      <c r="C496" s="88">
        <v>5610</v>
      </c>
      <c r="D496" s="87" t="s">
        <v>4949</v>
      </c>
    </row>
    <row r="497" spans="2:4" ht="15" x14ac:dyDescent="0.2">
      <c r="B497" s="87" t="s">
        <v>1143</v>
      </c>
      <c r="C497" s="88">
        <v>5610</v>
      </c>
      <c r="D497" s="87" t="s">
        <v>4949</v>
      </c>
    </row>
    <row r="498" spans="2:4" ht="15" x14ac:dyDescent="0.2">
      <c r="B498" s="87" t="s">
        <v>1144</v>
      </c>
      <c r="C498" s="88">
        <v>5610</v>
      </c>
      <c r="D498" s="87" t="s">
        <v>4949</v>
      </c>
    </row>
    <row r="499" spans="2:4" ht="15" x14ac:dyDescent="0.2">
      <c r="B499" s="87" t="s">
        <v>1145</v>
      </c>
      <c r="C499" s="88">
        <v>5590</v>
      </c>
      <c r="D499" s="87" t="s">
        <v>4948</v>
      </c>
    </row>
    <row r="500" spans="2:4" ht="15" x14ac:dyDescent="0.2">
      <c r="B500" s="87" t="s">
        <v>1146</v>
      </c>
      <c r="C500" s="88">
        <v>5590</v>
      </c>
      <c r="D500" s="87" t="s">
        <v>4948</v>
      </c>
    </row>
    <row r="501" spans="2:4" ht="15" x14ac:dyDescent="0.2">
      <c r="B501" s="87" t="s">
        <v>1147</v>
      </c>
      <c r="C501" s="88">
        <v>5590</v>
      </c>
      <c r="D501" s="87" t="s">
        <v>4948</v>
      </c>
    </row>
    <row r="502" spans="2:4" ht="15" x14ac:dyDescent="0.2">
      <c r="B502" s="87" t="s">
        <v>1148</v>
      </c>
      <c r="C502" s="88">
        <v>5590</v>
      </c>
      <c r="D502" s="87" t="s">
        <v>4948</v>
      </c>
    </row>
    <row r="503" spans="2:4" ht="15" x14ac:dyDescent="0.2">
      <c r="B503" s="87" t="s">
        <v>1149</v>
      </c>
      <c r="C503" s="88">
        <v>5590</v>
      </c>
      <c r="D503" s="87" t="s">
        <v>4948</v>
      </c>
    </row>
    <row r="504" spans="2:4" ht="15" x14ac:dyDescent="0.2">
      <c r="B504" s="87" t="s">
        <v>1150</v>
      </c>
      <c r="C504" s="88">
        <v>5590</v>
      </c>
      <c r="D504" s="87" t="s">
        <v>4948</v>
      </c>
    </row>
    <row r="505" spans="2:4" ht="15" x14ac:dyDescent="0.2">
      <c r="B505" s="87" t="s">
        <v>1151</v>
      </c>
      <c r="C505" s="88">
        <v>5590</v>
      </c>
      <c r="D505" s="87" t="s">
        <v>4948</v>
      </c>
    </row>
    <row r="506" spans="2:4" ht="15" x14ac:dyDescent="0.2">
      <c r="B506" s="87" t="s">
        <v>1152</v>
      </c>
      <c r="C506" s="88">
        <v>5580</v>
      </c>
      <c r="D506" s="87" t="s">
        <v>4947</v>
      </c>
    </row>
    <row r="507" spans="2:4" ht="15" x14ac:dyDescent="0.2">
      <c r="B507" s="87" t="s">
        <v>1153</v>
      </c>
      <c r="C507" s="88">
        <v>5580</v>
      </c>
      <c r="D507" s="87" t="s">
        <v>4947</v>
      </c>
    </row>
    <row r="508" spans="2:4" ht="15" x14ac:dyDescent="0.2">
      <c r="B508" s="87" t="s">
        <v>1154</v>
      </c>
      <c r="C508" s="88">
        <v>5580</v>
      </c>
      <c r="D508" s="87" t="s">
        <v>4947</v>
      </c>
    </row>
    <row r="509" spans="2:4" ht="15" x14ac:dyDescent="0.2">
      <c r="B509" s="87" t="s">
        <v>1155</v>
      </c>
      <c r="C509" s="88">
        <v>5580</v>
      </c>
      <c r="D509" s="87" t="s">
        <v>4947</v>
      </c>
    </row>
    <row r="510" spans="2:4" ht="15" x14ac:dyDescent="0.2">
      <c r="B510" s="87" t="s">
        <v>1156</v>
      </c>
      <c r="C510" s="88">
        <v>5580</v>
      </c>
      <c r="D510" s="87" t="s">
        <v>4947</v>
      </c>
    </row>
    <row r="511" spans="2:4" ht="15" x14ac:dyDescent="0.2">
      <c r="B511" s="87" t="s">
        <v>1157</v>
      </c>
      <c r="C511" s="88">
        <v>5580</v>
      </c>
      <c r="D511" s="87" t="s">
        <v>4947</v>
      </c>
    </row>
    <row r="512" spans="2:4" ht="15" x14ac:dyDescent="0.2">
      <c r="B512" s="87" t="s">
        <v>1158</v>
      </c>
      <c r="C512" s="88">
        <v>5580</v>
      </c>
      <c r="D512" s="87" t="s">
        <v>4947</v>
      </c>
    </row>
    <row r="513" spans="2:4" ht="15" x14ac:dyDescent="0.2">
      <c r="B513" s="87" t="s">
        <v>1159</v>
      </c>
      <c r="C513" s="88">
        <v>5580</v>
      </c>
      <c r="D513" s="87" t="s">
        <v>4947</v>
      </c>
    </row>
    <row r="514" spans="2:4" ht="15" x14ac:dyDescent="0.2">
      <c r="B514" s="87" t="s">
        <v>1160</v>
      </c>
      <c r="C514" s="88">
        <v>5580</v>
      </c>
      <c r="D514" s="87" t="s">
        <v>4947</v>
      </c>
    </row>
    <row r="515" spans="2:4" ht="15" x14ac:dyDescent="0.2">
      <c r="B515" s="87" t="s">
        <v>1161</v>
      </c>
      <c r="C515" s="88">
        <v>5580</v>
      </c>
      <c r="D515" s="87" t="s">
        <v>4947</v>
      </c>
    </row>
    <row r="516" spans="2:4" ht="15" x14ac:dyDescent="0.2">
      <c r="B516" s="87" t="s">
        <v>1162</v>
      </c>
      <c r="C516" s="88">
        <v>5580</v>
      </c>
      <c r="D516" s="87" t="s">
        <v>4947</v>
      </c>
    </row>
    <row r="517" spans="2:4" ht="15" x14ac:dyDescent="0.2">
      <c r="B517" s="87" t="s">
        <v>1163</v>
      </c>
      <c r="C517" s="88">
        <v>5580</v>
      </c>
      <c r="D517" s="87" t="s">
        <v>4947</v>
      </c>
    </row>
    <row r="518" spans="2:4" ht="15" x14ac:dyDescent="0.2">
      <c r="B518" s="87" t="s">
        <v>1164</v>
      </c>
      <c r="C518" s="88">
        <v>5580</v>
      </c>
      <c r="D518" s="87" t="s">
        <v>4947</v>
      </c>
    </row>
    <row r="519" spans="2:4" ht="15" x14ac:dyDescent="0.2">
      <c r="B519" s="87" t="s">
        <v>1165</v>
      </c>
      <c r="C519" s="88">
        <v>5580</v>
      </c>
      <c r="D519" s="87" t="s">
        <v>4947</v>
      </c>
    </row>
    <row r="520" spans="2:4" ht="15" x14ac:dyDescent="0.2">
      <c r="B520" s="87" t="s">
        <v>1166</v>
      </c>
      <c r="C520" s="88">
        <v>5580</v>
      </c>
      <c r="D520" s="87" t="s">
        <v>4947</v>
      </c>
    </row>
    <row r="521" spans="2:4" ht="15" x14ac:dyDescent="0.2">
      <c r="B521" s="87" t="s">
        <v>1167</v>
      </c>
      <c r="C521" s="88">
        <v>5580</v>
      </c>
      <c r="D521" s="87" t="s">
        <v>4947</v>
      </c>
    </row>
    <row r="522" spans="2:4" ht="15" x14ac:dyDescent="0.2">
      <c r="B522" s="87" t="s">
        <v>1168</v>
      </c>
      <c r="C522" s="88">
        <v>5560</v>
      </c>
      <c r="D522" s="87" t="s">
        <v>4946</v>
      </c>
    </row>
    <row r="523" spans="2:4" ht="15" x14ac:dyDescent="0.2">
      <c r="B523" s="87" t="s">
        <v>1169</v>
      </c>
      <c r="C523" s="88">
        <v>5560</v>
      </c>
      <c r="D523" s="87" t="s">
        <v>4946</v>
      </c>
    </row>
    <row r="524" spans="2:4" ht="15" x14ac:dyDescent="0.2">
      <c r="B524" s="87" t="s">
        <v>1170</v>
      </c>
      <c r="C524" s="88">
        <v>5560</v>
      </c>
      <c r="D524" s="87" t="s">
        <v>4946</v>
      </c>
    </row>
    <row r="525" spans="2:4" ht="15" x14ac:dyDescent="0.2">
      <c r="B525" s="87" t="s">
        <v>1171</v>
      </c>
      <c r="C525" s="88">
        <v>5560</v>
      </c>
      <c r="D525" s="87" t="s">
        <v>4946</v>
      </c>
    </row>
    <row r="526" spans="2:4" ht="15" x14ac:dyDescent="0.2">
      <c r="B526" s="87" t="s">
        <v>1172</v>
      </c>
      <c r="C526" s="88">
        <v>5560</v>
      </c>
      <c r="D526" s="87" t="s">
        <v>4946</v>
      </c>
    </row>
    <row r="527" spans="2:4" ht="15" x14ac:dyDescent="0.2">
      <c r="B527" s="87" t="s">
        <v>1173</v>
      </c>
      <c r="C527" s="88">
        <v>5560</v>
      </c>
      <c r="D527" s="87" t="s">
        <v>4946</v>
      </c>
    </row>
    <row r="528" spans="2:4" ht="15" x14ac:dyDescent="0.2">
      <c r="B528" s="87" t="s">
        <v>1174</v>
      </c>
      <c r="C528" s="88">
        <v>5560</v>
      </c>
      <c r="D528" s="87" t="s">
        <v>4946</v>
      </c>
    </row>
    <row r="529" spans="2:4" ht="15" x14ac:dyDescent="0.2">
      <c r="B529" s="87" t="s">
        <v>1175</v>
      </c>
      <c r="C529" s="88">
        <v>5550</v>
      </c>
      <c r="D529" s="87" t="s">
        <v>4945</v>
      </c>
    </row>
    <row r="530" spans="2:4" ht="15" x14ac:dyDescent="0.2">
      <c r="B530" s="87" t="s">
        <v>1176</v>
      </c>
      <c r="C530" s="88">
        <v>5550</v>
      </c>
      <c r="D530" s="87" t="s">
        <v>4945</v>
      </c>
    </row>
    <row r="531" spans="2:4" ht="15" x14ac:dyDescent="0.2">
      <c r="B531" s="87" t="s">
        <v>1177</v>
      </c>
      <c r="C531" s="88">
        <v>5550</v>
      </c>
      <c r="D531" s="87" t="s">
        <v>4945</v>
      </c>
    </row>
    <row r="532" spans="2:4" ht="15" x14ac:dyDescent="0.2">
      <c r="B532" s="87" t="s">
        <v>1178</v>
      </c>
      <c r="C532" s="88">
        <v>5550</v>
      </c>
      <c r="D532" s="87" t="s">
        <v>4945</v>
      </c>
    </row>
    <row r="533" spans="2:4" ht="15" x14ac:dyDescent="0.2">
      <c r="B533" s="87" t="s">
        <v>1179</v>
      </c>
      <c r="C533" s="88">
        <v>5550</v>
      </c>
      <c r="D533" s="87" t="s">
        <v>4945</v>
      </c>
    </row>
    <row r="534" spans="2:4" ht="15" x14ac:dyDescent="0.2">
      <c r="B534" s="87" t="s">
        <v>1180</v>
      </c>
      <c r="C534" s="88">
        <v>5550</v>
      </c>
      <c r="D534" s="87" t="s">
        <v>4945</v>
      </c>
    </row>
    <row r="535" spans="2:4" ht="15" x14ac:dyDescent="0.2">
      <c r="B535" s="87" t="s">
        <v>1181</v>
      </c>
      <c r="C535" s="88">
        <v>5550</v>
      </c>
      <c r="D535" s="87" t="s">
        <v>4945</v>
      </c>
    </row>
    <row r="536" spans="2:4" ht="15" x14ac:dyDescent="0.2">
      <c r="B536" s="87" t="s">
        <v>1182</v>
      </c>
      <c r="C536" s="88">
        <v>5550</v>
      </c>
      <c r="D536" s="87" t="s">
        <v>4945</v>
      </c>
    </row>
    <row r="537" spans="2:4" ht="15" x14ac:dyDescent="0.2">
      <c r="B537" s="87" t="s">
        <v>1183</v>
      </c>
      <c r="C537" s="88">
        <v>5550</v>
      </c>
      <c r="D537" s="87" t="s">
        <v>4945</v>
      </c>
    </row>
    <row r="538" spans="2:4" ht="15" x14ac:dyDescent="0.2">
      <c r="B538" s="87" t="s">
        <v>1184</v>
      </c>
      <c r="C538" s="88">
        <v>5550</v>
      </c>
      <c r="D538" s="87" t="s">
        <v>4945</v>
      </c>
    </row>
    <row r="539" spans="2:4" ht="15" x14ac:dyDescent="0.2">
      <c r="B539" s="87" t="s">
        <v>1185</v>
      </c>
      <c r="C539" s="88">
        <v>5550</v>
      </c>
      <c r="D539" s="87" t="s">
        <v>4945</v>
      </c>
    </row>
    <row r="540" spans="2:4" ht="15" x14ac:dyDescent="0.2">
      <c r="B540" s="87" t="s">
        <v>1186</v>
      </c>
      <c r="C540" s="88">
        <v>5530</v>
      </c>
      <c r="D540" s="87" t="s">
        <v>4944</v>
      </c>
    </row>
    <row r="541" spans="2:4" ht="15" x14ac:dyDescent="0.2">
      <c r="B541" s="87" t="s">
        <v>1187</v>
      </c>
      <c r="C541" s="88">
        <v>5530</v>
      </c>
      <c r="D541" s="87" t="s">
        <v>4944</v>
      </c>
    </row>
    <row r="542" spans="2:4" ht="15" x14ac:dyDescent="0.2">
      <c r="B542" s="87" t="s">
        <v>1188</v>
      </c>
      <c r="C542" s="88">
        <v>5530</v>
      </c>
      <c r="D542" s="87" t="s">
        <v>4944</v>
      </c>
    </row>
    <row r="543" spans="2:4" ht="15" x14ac:dyDescent="0.2">
      <c r="B543" s="87" t="s">
        <v>1189</v>
      </c>
      <c r="C543" s="88">
        <v>5520</v>
      </c>
      <c r="D543" s="87" t="s">
        <v>4943</v>
      </c>
    </row>
    <row r="544" spans="2:4" ht="15" x14ac:dyDescent="0.2">
      <c r="B544" s="87" t="s">
        <v>1190</v>
      </c>
      <c r="C544" s="88">
        <v>5520</v>
      </c>
      <c r="D544" s="87" t="s">
        <v>4943</v>
      </c>
    </row>
    <row r="545" spans="2:4" ht="15" x14ac:dyDescent="0.2">
      <c r="B545" s="87" t="s">
        <v>1191</v>
      </c>
      <c r="C545" s="88">
        <v>5520</v>
      </c>
      <c r="D545" s="87" t="s">
        <v>4943</v>
      </c>
    </row>
    <row r="546" spans="2:4" ht="15" x14ac:dyDescent="0.2">
      <c r="B546" s="87" t="s">
        <v>1192</v>
      </c>
      <c r="C546" s="88">
        <v>5520</v>
      </c>
      <c r="D546" s="87" t="s">
        <v>4943</v>
      </c>
    </row>
    <row r="547" spans="2:4" ht="15" x14ac:dyDescent="0.2">
      <c r="B547" s="87" t="s">
        <v>1193</v>
      </c>
      <c r="C547" s="88">
        <v>5510</v>
      </c>
      <c r="D547" s="87" t="s">
        <v>4942</v>
      </c>
    </row>
    <row r="548" spans="2:4" ht="15" x14ac:dyDescent="0.2">
      <c r="B548" s="87" t="s">
        <v>1194</v>
      </c>
      <c r="C548" s="88">
        <v>5510</v>
      </c>
      <c r="D548" s="87" t="s">
        <v>4942</v>
      </c>
    </row>
    <row r="549" spans="2:4" ht="15" x14ac:dyDescent="0.2">
      <c r="B549" s="87" t="s">
        <v>1195</v>
      </c>
      <c r="C549" s="88">
        <v>5490</v>
      </c>
      <c r="D549" s="87" t="s">
        <v>4941</v>
      </c>
    </row>
    <row r="550" spans="2:4" ht="15" x14ac:dyDescent="0.2">
      <c r="B550" s="87" t="s">
        <v>1196</v>
      </c>
      <c r="C550" s="88">
        <v>5490</v>
      </c>
      <c r="D550" s="87" t="s">
        <v>4941</v>
      </c>
    </row>
    <row r="551" spans="2:4" ht="15" x14ac:dyDescent="0.2">
      <c r="B551" s="87" t="s">
        <v>1197</v>
      </c>
      <c r="C551" s="88">
        <v>5490</v>
      </c>
      <c r="D551" s="87" t="s">
        <v>4941</v>
      </c>
    </row>
    <row r="552" spans="2:4" ht="15" x14ac:dyDescent="0.2">
      <c r="B552" s="87" t="s">
        <v>1198</v>
      </c>
      <c r="C552" s="88">
        <v>5490</v>
      </c>
      <c r="D552" s="87" t="s">
        <v>4941</v>
      </c>
    </row>
    <row r="553" spans="2:4" ht="15" x14ac:dyDescent="0.2">
      <c r="B553" s="87" t="s">
        <v>1199</v>
      </c>
      <c r="C553" s="88">
        <v>5490</v>
      </c>
      <c r="D553" s="87" t="s">
        <v>4941</v>
      </c>
    </row>
    <row r="554" spans="2:4" ht="15" x14ac:dyDescent="0.2">
      <c r="B554" s="87" t="s">
        <v>1200</v>
      </c>
      <c r="C554" s="88">
        <v>5480</v>
      </c>
      <c r="D554" s="87" t="s">
        <v>4940</v>
      </c>
    </row>
    <row r="555" spans="2:4" ht="15" x14ac:dyDescent="0.2">
      <c r="B555" s="87" t="s">
        <v>1201</v>
      </c>
      <c r="C555" s="88">
        <v>5480</v>
      </c>
      <c r="D555" s="87" t="s">
        <v>4940</v>
      </c>
    </row>
    <row r="556" spans="2:4" ht="15" x14ac:dyDescent="0.2">
      <c r="B556" s="87" t="s">
        <v>1202</v>
      </c>
      <c r="C556" s="88">
        <v>5480</v>
      </c>
      <c r="D556" s="87" t="s">
        <v>4940</v>
      </c>
    </row>
    <row r="557" spans="2:4" ht="15" x14ac:dyDescent="0.2">
      <c r="B557" s="87" t="s">
        <v>1203</v>
      </c>
      <c r="C557" s="88">
        <v>5480</v>
      </c>
      <c r="D557" s="87" t="s">
        <v>4940</v>
      </c>
    </row>
    <row r="558" spans="2:4" ht="15" x14ac:dyDescent="0.2">
      <c r="B558" s="87" t="s">
        <v>1204</v>
      </c>
      <c r="C558" s="88">
        <v>5480</v>
      </c>
      <c r="D558" s="87" t="s">
        <v>4940</v>
      </c>
    </row>
    <row r="559" spans="2:4" ht="15" x14ac:dyDescent="0.2">
      <c r="B559" s="87" t="s">
        <v>1205</v>
      </c>
      <c r="C559" s="88">
        <v>5480</v>
      </c>
      <c r="D559" s="87" t="s">
        <v>4940</v>
      </c>
    </row>
    <row r="560" spans="2:4" ht="15" x14ac:dyDescent="0.2">
      <c r="B560" s="87" t="s">
        <v>1206</v>
      </c>
      <c r="C560" s="88">
        <v>5480</v>
      </c>
      <c r="D560" s="87" t="s">
        <v>4940</v>
      </c>
    </row>
    <row r="561" spans="2:4" ht="15" x14ac:dyDescent="0.2">
      <c r="B561" s="87" t="s">
        <v>1207</v>
      </c>
      <c r="C561" s="88">
        <v>5480</v>
      </c>
      <c r="D561" s="87" t="s">
        <v>4940</v>
      </c>
    </row>
    <row r="562" spans="2:4" ht="15" x14ac:dyDescent="0.2">
      <c r="B562" s="87" t="s">
        <v>1208</v>
      </c>
      <c r="C562" s="88">
        <v>5480</v>
      </c>
      <c r="D562" s="87" t="s">
        <v>4940</v>
      </c>
    </row>
    <row r="563" spans="2:4" ht="15" x14ac:dyDescent="0.2">
      <c r="B563" s="87" t="s">
        <v>1209</v>
      </c>
      <c r="C563" s="88">
        <v>5480</v>
      </c>
      <c r="D563" s="87" t="s">
        <v>4940</v>
      </c>
    </row>
    <row r="564" spans="2:4" ht="15" x14ac:dyDescent="0.2">
      <c r="B564" s="87" t="s">
        <v>1210</v>
      </c>
      <c r="C564" s="88">
        <v>5480</v>
      </c>
      <c r="D564" s="87" t="s">
        <v>4940</v>
      </c>
    </row>
    <row r="565" spans="2:4" ht="15" x14ac:dyDescent="0.2">
      <c r="B565" s="87" t="s">
        <v>1211</v>
      </c>
      <c r="C565" s="88">
        <v>5480</v>
      </c>
      <c r="D565" s="87" t="s">
        <v>4940</v>
      </c>
    </row>
    <row r="566" spans="2:4" ht="15" x14ac:dyDescent="0.2">
      <c r="B566" s="87" t="s">
        <v>1212</v>
      </c>
      <c r="C566" s="88">
        <v>5460</v>
      </c>
      <c r="D566" s="87" t="s">
        <v>4939</v>
      </c>
    </row>
    <row r="567" spans="2:4" ht="15" x14ac:dyDescent="0.2">
      <c r="B567" s="87" t="s">
        <v>1213</v>
      </c>
      <c r="C567" s="88">
        <v>5460</v>
      </c>
      <c r="D567" s="87" t="s">
        <v>4939</v>
      </c>
    </row>
    <row r="568" spans="2:4" ht="15" x14ac:dyDescent="0.2">
      <c r="B568" s="87" t="s">
        <v>1214</v>
      </c>
      <c r="C568" s="88">
        <v>5450</v>
      </c>
      <c r="D568" s="87" t="s">
        <v>4938</v>
      </c>
    </row>
    <row r="569" spans="2:4" ht="15" x14ac:dyDescent="0.2">
      <c r="B569" s="87" t="s">
        <v>1215</v>
      </c>
      <c r="C569" s="88">
        <v>5450</v>
      </c>
      <c r="D569" s="87" t="s">
        <v>4938</v>
      </c>
    </row>
    <row r="570" spans="2:4" ht="15" x14ac:dyDescent="0.2">
      <c r="B570" s="87" t="s">
        <v>1216</v>
      </c>
      <c r="C570" s="88">
        <v>5450</v>
      </c>
      <c r="D570" s="87" t="s">
        <v>4938</v>
      </c>
    </row>
    <row r="571" spans="2:4" ht="15" x14ac:dyDescent="0.2">
      <c r="B571" s="87" t="s">
        <v>1217</v>
      </c>
      <c r="C571" s="88">
        <v>5430</v>
      </c>
      <c r="D571" s="87" t="s">
        <v>4937</v>
      </c>
    </row>
    <row r="572" spans="2:4" ht="15" x14ac:dyDescent="0.2">
      <c r="B572" s="87" t="s">
        <v>1218</v>
      </c>
      <c r="C572" s="88">
        <v>5430</v>
      </c>
      <c r="D572" s="87" t="s">
        <v>4937</v>
      </c>
    </row>
    <row r="573" spans="2:4" ht="15" x14ac:dyDescent="0.2">
      <c r="B573" s="87" t="s">
        <v>1219</v>
      </c>
      <c r="C573" s="88">
        <v>5430</v>
      </c>
      <c r="D573" s="87" t="s">
        <v>4937</v>
      </c>
    </row>
    <row r="574" spans="2:4" ht="15" x14ac:dyDescent="0.2">
      <c r="B574" s="87" t="s">
        <v>1220</v>
      </c>
      <c r="C574" s="88">
        <v>5430</v>
      </c>
      <c r="D574" s="87" t="s">
        <v>4937</v>
      </c>
    </row>
    <row r="575" spans="2:4" ht="15" x14ac:dyDescent="0.2">
      <c r="B575" s="87" t="s">
        <v>1221</v>
      </c>
      <c r="C575" s="88">
        <v>5420</v>
      </c>
      <c r="D575" s="87" t="s">
        <v>4936</v>
      </c>
    </row>
    <row r="576" spans="2:4" ht="15" x14ac:dyDescent="0.2">
      <c r="B576" s="87" t="s">
        <v>1222</v>
      </c>
      <c r="C576" s="88">
        <v>5420</v>
      </c>
      <c r="D576" s="87" t="s">
        <v>4936</v>
      </c>
    </row>
    <row r="577" spans="2:4" ht="15" x14ac:dyDescent="0.2">
      <c r="B577" s="87" t="s">
        <v>1223</v>
      </c>
      <c r="C577" s="88">
        <v>5400</v>
      </c>
      <c r="D577" s="87" t="s">
        <v>4935</v>
      </c>
    </row>
    <row r="578" spans="2:4" ht="15" x14ac:dyDescent="0.2">
      <c r="B578" s="87" t="s">
        <v>1224</v>
      </c>
      <c r="C578" s="88">
        <v>5400</v>
      </c>
      <c r="D578" s="87" t="s">
        <v>4935</v>
      </c>
    </row>
    <row r="579" spans="2:4" ht="15" x14ac:dyDescent="0.2">
      <c r="B579" s="87" t="s">
        <v>1225</v>
      </c>
      <c r="C579" s="88">
        <v>5390</v>
      </c>
      <c r="D579" s="87" t="s">
        <v>4934</v>
      </c>
    </row>
    <row r="580" spans="2:4" ht="15" x14ac:dyDescent="0.2">
      <c r="B580" s="87" t="s">
        <v>1226</v>
      </c>
      <c r="C580" s="88">
        <v>5370</v>
      </c>
      <c r="D580" s="87" t="s">
        <v>4933</v>
      </c>
    </row>
    <row r="581" spans="2:4" ht="15" x14ac:dyDescent="0.2">
      <c r="B581" s="87" t="s">
        <v>1227</v>
      </c>
      <c r="C581" s="88">
        <v>5370</v>
      </c>
      <c r="D581" s="87" t="s">
        <v>4933</v>
      </c>
    </row>
    <row r="582" spans="2:4" ht="15" x14ac:dyDescent="0.2">
      <c r="B582" s="87" t="s">
        <v>1228</v>
      </c>
      <c r="C582" s="88">
        <v>5370</v>
      </c>
      <c r="D582" s="87" t="s">
        <v>4933</v>
      </c>
    </row>
    <row r="583" spans="2:4" ht="15" x14ac:dyDescent="0.2">
      <c r="B583" s="87" t="s">
        <v>1229</v>
      </c>
      <c r="C583" s="88">
        <v>5370</v>
      </c>
      <c r="D583" s="87" t="s">
        <v>4933</v>
      </c>
    </row>
    <row r="584" spans="2:4" ht="15" x14ac:dyDescent="0.2">
      <c r="B584" s="87" t="s">
        <v>1230</v>
      </c>
      <c r="C584" s="88">
        <v>5360</v>
      </c>
      <c r="D584" s="87" t="s">
        <v>4932</v>
      </c>
    </row>
    <row r="585" spans="2:4" ht="15" x14ac:dyDescent="0.2">
      <c r="B585" s="87" t="s">
        <v>1231</v>
      </c>
      <c r="C585" s="88">
        <v>5360</v>
      </c>
      <c r="D585" s="87" t="s">
        <v>4932</v>
      </c>
    </row>
    <row r="586" spans="2:4" ht="15" x14ac:dyDescent="0.2">
      <c r="B586" s="87" t="s">
        <v>1232</v>
      </c>
      <c r="C586" s="88">
        <v>5360</v>
      </c>
      <c r="D586" s="87" t="s">
        <v>4932</v>
      </c>
    </row>
    <row r="587" spans="2:4" ht="15" x14ac:dyDescent="0.2">
      <c r="B587" s="87" t="s">
        <v>1233</v>
      </c>
      <c r="C587" s="88">
        <v>5360</v>
      </c>
      <c r="D587" s="87" t="s">
        <v>4932</v>
      </c>
    </row>
    <row r="588" spans="2:4" ht="15" x14ac:dyDescent="0.2">
      <c r="B588" s="87" t="s">
        <v>1234</v>
      </c>
      <c r="C588" s="88">
        <v>5360</v>
      </c>
      <c r="D588" s="87" t="s">
        <v>4932</v>
      </c>
    </row>
    <row r="589" spans="2:4" ht="15" x14ac:dyDescent="0.2">
      <c r="B589" s="87" t="s">
        <v>1235</v>
      </c>
      <c r="C589" s="88">
        <v>5350</v>
      </c>
      <c r="D589" s="87" t="s">
        <v>4931</v>
      </c>
    </row>
    <row r="590" spans="2:4" ht="15" x14ac:dyDescent="0.2">
      <c r="B590" s="87" t="s">
        <v>1236</v>
      </c>
      <c r="C590" s="88">
        <v>5350</v>
      </c>
      <c r="D590" s="87" t="s">
        <v>4931</v>
      </c>
    </row>
    <row r="591" spans="2:4" ht="15" x14ac:dyDescent="0.2">
      <c r="B591" s="87" t="s">
        <v>1237</v>
      </c>
      <c r="C591" s="88">
        <v>5350</v>
      </c>
      <c r="D591" s="87" t="s">
        <v>4931</v>
      </c>
    </row>
    <row r="592" spans="2:4" ht="15" x14ac:dyDescent="0.2">
      <c r="B592" s="87" t="s">
        <v>1238</v>
      </c>
      <c r="C592" s="88">
        <v>5350</v>
      </c>
      <c r="D592" s="87" t="s">
        <v>4931</v>
      </c>
    </row>
    <row r="593" spans="2:4" ht="15" x14ac:dyDescent="0.2">
      <c r="B593" s="87" t="s">
        <v>1239</v>
      </c>
      <c r="C593" s="88">
        <v>5350</v>
      </c>
      <c r="D593" s="87" t="s">
        <v>4931</v>
      </c>
    </row>
    <row r="594" spans="2:4" ht="15" x14ac:dyDescent="0.2">
      <c r="B594" s="87" t="s">
        <v>1240</v>
      </c>
      <c r="C594" s="88">
        <v>5350</v>
      </c>
      <c r="D594" s="87" t="s">
        <v>4931</v>
      </c>
    </row>
    <row r="595" spans="2:4" ht="15" x14ac:dyDescent="0.2">
      <c r="B595" s="87" t="s">
        <v>1241</v>
      </c>
      <c r="C595" s="88">
        <v>5350</v>
      </c>
      <c r="D595" s="87" t="s">
        <v>4931</v>
      </c>
    </row>
    <row r="596" spans="2:4" ht="15" x14ac:dyDescent="0.2">
      <c r="B596" s="87" t="s">
        <v>1242</v>
      </c>
      <c r="C596" s="88">
        <v>5350</v>
      </c>
      <c r="D596" s="87" t="s">
        <v>4931</v>
      </c>
    </row>
    <row r="597" spans="2:4" ht="15" x14ac:dyDescent="0.2">
      <c r="B597" s="87" t="s">
        <v>1243</v>
      </c>
      <c r="C597" s="88">
        <v>5350</v>
      </c>
      <c r="D597" s="87" t="s">
        <v>4931</v>
      </c>
    </row>
    <row r="598" spans="2:4" ht="15" x14ac:dyDescent="0.2">
      <c r="B598" s="87" t="s">
        <v>1244</v>
      </c>
      <c r="C598" s="88">
        <v>5350</v>
      </c>
      <c r="D598" s="87" t="s">
        <v>4931</v>
      </c>
    </row>
    <row r="599" spans="2:4" ht="15" x14ac:dyDescent="0.2">
      <c r="B599" s="87" t="s">
        <v>1245</v>
      </c>
      <c r="C599" s="88">
        <v>5350</v>
      </c>
      <c r="D599" s="87" t="s">
        <v>4931</v>
      </c>
    </row>
    <row r="600" spans="2:4" ht="15" x14ac:dyDescent="0.2">
      <c r="B600" s="87" t="s">
        <v>1246</v>
      </c>
      <c r="C600" s="88">
        <v>5330</v>
      </c>
      <c r="D600" s="87" t="s">
        <v>4930</v>
      </c>
    </row>
    <row r="601" spans="2:4" ht="15" x14ac:dyDescent="0.2">
      <c r="B601" s="87" t="s">
        <v>1247</v>
      </c>
      <c r="C601" s="88">
        <v>5330</v>
      </c>
      <c r="D601" s="87" t="s">
        <v>4930</v>
      </c>
    </row>
    <row r="602" spans="2:4" ht="15" x14ac:dyDescent="0.2">
      <c r="B602" s="87" t="s">
        <v>1248</v>
      </c>
      <c r="C602" s="88">
        <v>5330</v>
      </c>
      <c r="D602" s="87" t="s">
        <v>4930</v>
      </c>
    </row>
    <row r="603" spans="2:4" ht="15" x14ac:dyDescent="0.2">
      <c r="B603" s="87" t="s">
        <v>1249</v>
      </c>
      <c r="C603" s="88">
        <v>5330</v>
      </c>
      <c r="D603" s="87" t="s">
        <v>4930</v>
      </c>
    </row>
    <row r="604" spans="2:4" ht="15" x14ac:dyDescent="0.2">
      <c r="B604" s="87" t="s">
        <v>1250</v>
      </c>
      <c r="C604" s="88">
        <v>5330</v>
      </c>
      <c r="D604" s="87" t="s">
        <v>4930</v>
      </c>
    </row>
    <row r="605" spans="2:4" ht="15" x14ac:dyDescent="0.2">
      <c r="B605" s="87" t="s">
        <v>1251</v>
      </c>
      <c r="C605" s="88">
        <v>5320</v>
      </c>
      <c r="D605" s="87" t="s">
        <v>4929</v>
      </c>
    </row>
    <row r="606" spans="2:4" ht="15" x14ac:dyDescent="0.2">
      <c r="B606" s="87" t="s">
        <v>1252</v>
      </c>
      <c r="C606" s="88">
        <v>5320</v>
      </c>
      <c r="D606" s="87" t="s">
        <v>4929</v>
      </c>
    </row>
    <row r="607" spans="2:4" ht="15" x14ac:dyDescent="0.2">
      <c r="B607" s="87" t="s">
        <v>1253</v>
      </c>
      <c r="C607" s="88">
        <v>5320</v>
      </c>
      <c r="D607" s="87" t="s">
        <v>4929</v>
      </c>
    </row>
    <row r="608" spans="2:4" ht="15" x14ac:dyDescent="0.2">
      <c r="B608" s="87" t="s">
        <v>1254</v>
      </c>
      <c r="C608" s="88">
        <v>5320</v>
      </c>
      <c r="D608" s="87" t="s">
        <v>4929</v>
      </c>
    </row>
    <row r="609" spans="2:4" ht="15" x14ac:dyDescent="0.2">
      <c r="B609" s="87" t="s">
        <v>1255</v>
      </c>
      <c r="C609" s="88">
        <v>5320</v>
      </c>
      <c r="D609" s="87" t="s">
        <v>4929</v>
      </c>
    </row>
    <row r="610" spans="2:4" ht="15" x14ac:dyDescent="0.2">
      <c r="B610" s="87" t="s">
        <v>1256</v>
      </c>
      <c r="C610" s="88">
        <v>5320</v>
      </c>
      <c r="D610" s="87" t="s">
        <v>4929</v>
      </c>
    </row>
    <row r="611" spans="2:4" ht="15" x14ac:dyDescent="0.2">
      <c r="B611" s="87" t="s">
        <v>1257</v>
      </c>
      <c r="C611" s="88">
        <v>5300</v>
      </c>
      <c r="D611" s="87" t="s">
        <v>4928</v>
      </c>
    </row>
    <row r="612" spans="2:4" ht="15" x14ac:dyDescent="0.2">
      <c r="B612" s="87" t="s">
        <v>1258</v>
      </c>
      <c r="C612" s="88">
        <v>5300</v>
      </c>
      <c r="D612" s="87" t="s">
        <v>4928</v>
      </c>
    </row>
    <row r="613" spans="2:4" ht="15" x14ac:dyDescent="0.2">
      <c r="B613" s="87" t="s">
        <v>1259</v>
      </c>
      <c r="C613" s="88">
        <v>5300</v>
      </c>
      <c r="D613" s="87" t="s">
        <v>4928</v>
      </c>
    </row>
    <row r="614" spans="2:4" ht="15" x14ac:dyDescent="0.2">
      <c r="B614" s="87" t="s">
        <v>1260</v>
      </c>
      <c r="C614" s="88">
        <v>5300</v>
      </c>
      <c r="D614" s="87" t="s">
        <v>4928</v>
      </c>
    </row>
    <row r="615" spans="2:4" ht="15" x14ac:dyDescent="0.2">
      <c r="B615" s="87" t="s">
        <v>1261</v>
      </c>
      <c r="C615" s="88">
        <v>5300</v>
      </c>
      <c r="D615" s="87" t="s">
        <v>4928</v>
      </c>
    </row>
    <row r="616" spans="2:4" ht="15" x14ac:dyDescent="0.2">
      <c r="B616" s="87" t="s">
        <v>1262</v>
      </c>
      <c r="C616" s="88">
        <v>5300</v>
      </c>
      <c r="D616" s="87" t="s">
        <v>4928</v>
      </c>
    </row>
    <row r="617" spans="2:4" ht="15" x14ac:dyDescent="0.2">
      <c r="B617" s="87" t="s">
        <v>1263</v>
      </c>
      <c r="C617" s="88">
        <v>5300</v>
      </c>
      <c r="D617" s="87" t="s">
        <v>4928</v>
      </c>
    </row>
    <row r="618" spans="2:4" ht="15" x14ac:dyDescent="0.2">
      <c r="B618" s="87" t="s">
        <v>1264</v>
      </c>
      <c r="C618" s="88">
        <v>5300</v>
      </c>
      <c r="D618" s="87" t="s">
        <v>4928</v>
      </c>
    </row>
    <row r="619" spans="2:4" ht="15" x14ac:dyDescent="0.2">
      <c r="B619" s="87" t="s">
        <v>1265</v>
      </c>
      <c r="C619" s="88">
        <v>5300</v>
      </c>
      <c r="D619" s="87" t="s">
        <v>4928</v>
      </c>
    </row>
    <row r="620" spans="2:4" ht="15" x14ac:dyDescent="0.2">
      <c r="B620" s="87" t="s">
        <v>1266</v>
      </c>
      <c r="C620" s="88">
        <v>5300</v>
      </c>
      <c r="D620" s="87" t="s">
        <v>4928</v>
      </c>
    </row>
    <row r="621" spans="2:4" ht="15" x14ac:dyDescent="0.2">
      <c r="B621" s="87" t="s">
        <v>1267</v>
      </c>
      <c r="C621" s="88">
        <v>5300</v>
      </c>
      <c r="D621" s="87" t="s">
        <v>4928</v>
      </c>
    </row>
    <row r="622" spans="2:4" ht="15" x14ac:dyDescent="0.2">
      <c r="B622" s="87" t="s">
        <v>1268</v>
      </c>
      <c r="C622" s="88">
        <v>5300</v>
      </c>
      <c r="D622" s="87" t="s">
        <v>4928</v>
      </c>
    </row>
    <row r="623" spans="2:4" ht="15" x14ac:dyDescent="0.2">
      <c r="B623" s="87" t="s">
        <v>1269</v>
      </c>
      <c r="C623" s="88">
        <v>5300</v>
      </c>
      <c r="D623" s="87" t="s">
        <v>4928</v>
      </c>
    </row>
    <row r="624" spans="2:4" ht="15" x14ac:dyDescent="0.2">
      <c r="B624" s="87" t="s">
        <v>1270</v>
      </c>
      <c r="C624" s="88">
        <v>5300</v>
      </c>
      <c r="D624" s="87" t="s">
        <v>4928</v>
      </c>
    </row>
    <row r="625" spans="2:4" ht="15" x14ac:dyDescent="0.2">
      <c r="B625" s="87" t="s">
        <v>1271</v>
      </c>
      <c r="C625" s="88">
        <v>5300</v>
      </c>
      <c r="D625" s="87" t="s">
        <v>4928</v>
      </c>
    </row>
    <row r="626" spans="2:4" ht="15" x14ac:dyDescent="0.2">
      <c r="B626" s="87" t="s">
        <v>1272</v>
      </c>
      <c r="C626" s="88">
        <v>5300</v>
      </c>
      <c r="D626" s="87" t="s">
        <v>4928</v>
      </c>
    </row>
    <row r="627" spans="2:4" ht="15" x14ac:dyDescent="0.2">
      <c r="B627" s="87" t="s">
        <v>1273</v>
      </c>
      <c r="C627" s="88">
        <v>5300</v>
      </c>
      <c r="D627" s="87" t="s">
        <v>4928</v>
      </c>
    </row>
    <row r="628" spans="2:4" ht="15" x14ac:dyDescent="0.2">
      <c r="B628" s="87" t="s">
        <v>1274</v>
      </c>
      <c r="C628" s="88">
        <v>5300</v>
      </c>
      <c r="D628" s="87" t="s">
        <v>4928</v>
      </c>
    </row>
    <row r="629" spans="2:4" ht="15" x14ac:dyDescent="0.2">
      <c r="B629" s="87" t="s">
        <v>1275</v>
      </c>
      <c r="C629" s="88">
        <v>5300</v>
      </c>
      <c r="D629" s="87" t="s">
        <v>4928</v>
      </c>
    </row>
    <row r="630" spans="2:4" ht="15" x14ac:dyDescent="0.2">
      <c r="B630" s="87" t="s">
        <v>1276</v>
      </c>
      <c r="C630" s="88">
        <v>5300</v>
      </c>
      <c r="D630" s="87" t="s">
        <v>4928</v>
      </c>
    </row>
    <row r="631" spans="2:4" ht="15" x14ac:dyDescent="0.2">
      <c r="B631" s="87" t="s">
        <v>1277</v>
      </c>
      <c r="C631" s="88">
        <v>5300</v>
      </c>
      <c r="D631" s="87" t="s">
        <v>4928</v>
      </c>
    </row>
    <row r="632" spans="2:4" ht="15" x14ac:dyDescent="0.2">
      <c r="B632" s="87" t="s">
        <v>1278</v>
      </c>
      <c r="C632" s="88">
        <v>5300</v>
      </c>
      <c r="D632" s="87" t="s">
        <v>4928</v>
      </c>
    </row>
    <row r="633" spans="2:4" ht="15" x14ac:dyDescent="0.2">
      <c r="B633" s="87" t="s">
        <v>1279</v>
      </c>
      <c r="C633" s="88">
        <v>5300</v>
      </c>
      <c r="D633" s="87" t="s">
        <v>4928</v>
      </c>
    </row>
    <row r="634" spans="2:4" ht="15" x14ac:dyDescent="0.2">
      <c r="B634" s="87" t="s">
        <v>1280</v>
      </c>
      <c r="C634" s="88">
        <v>5300</v>
      </c>
      <c r="D634" s="87" t="s">
        <v>4928</v>
      </c>
    </row>
    <row r="635" spans="2:4" ht="15" x14ac:dyDescent="0.2">
      <c r="B635" s="87" t="s">
        <v>1281</v>
      </c>
      <c r="C635" s="88">
        <v>5320</v>
      </c>
      <c r="D635" s="87" t="s">
        <v>4929</v>
      </c>
    </row>
    <row r="636" spans="2:4" ht="15" x14ac:dyDescent="0.2">
      <c r="B636" s="87" t="s">
        <v>1282</v>
      </c>
      <c r="C636" s="88">
        <v>5320</v>
      </c>
      <c r="D636" s="87" t="s">
        <v>4929</v>
      </c>
    </row>
    <row r="637" spans="2:4" ht="15" x14ac:dyDescent="0.2">
      <c r="B637" s="87" t="s">
        <v>1283</v>
      </c>
      <c r="C637" s="88">
        <v>5320</v>
      </c>
      <c r="D637" s="87" t="s">
        <v>4929</v>
      </c>
    </row>
    <row r="638" spans="2:4" ht="15" x14ac:dyDescent="0.2">
      <c r="B638" s="87" t="s">
        <v>1284</v>
      </c>
      <c r="C638" s="88">
        <v>5320</v>
      </c>
      <c r="D638" s="87" t="s">
        <v>4929</v>
      </c>
    </row>
    <row r="639" spans="2:4" ht="15" x14ac:dyDescent="0.2">
      <c r="B639" s="87" t="s">
        <v>1285</v>
      </c>
      <c r="C639" s="88">
        <v>5320</v>
      </c>
      <c r="D639" s="87" t="s">
        <v>4929</v>
      </c>
    </row>
    <row r="640" spans="2:4" ht="15" x14ac:dyDescent="0.2">
      <c r="B640" s="87" t="s">
        <v>1286</v>
      </c>
      <c r="C640" s="88">
        <v>5320</v>
      </c>
      <c r="D640" s="87" t="s">
        <v>4929</v>
      </c>
    </row>
    <row r="641" spans="2:4" ht="15" x14ac:dyDescent="0.2">
      <c r="B641" s="87" t="s">
        <v>1287</v>
      </c>
      <c r="C641" s="88">
        <v>5320</v>
      </c>
      <c r="D641" s="87" t="s">
        <v>4929</v>
      </c>
    </row>
    <row r="642" spans="2:4" ht="15" x14ac:dyDescent="0.2">
      <c r="B642" s="87" t="s">
        <v>1288</v>
      </c>
      <c r="C642" s="88">
        <v>5320</v>
      </c>
      <c r="D642" s="87" t="s">
        <v>4929</v>
      </c>
    </row>
    <row r="643" spans="2:4" ht="15" x14ac:dyDescent="0.2">
      <c r="B643" s="87" t="s">
        <v>1289</v>
      </c>
      <c r="C643" s="88">
        <v>5320</v>
      </c>
      <c r="D643" s="87" t="s">
        <v>4929</v>
      </c>
    </row>
    <row r="644" spans="2:4" ht="15" x14ac:dyDescent="0.2">
      <c r="B644" s="87" t="s">
        <v>1290</v>
      </c>
      <c r="C644" s="88">
        <v>5320</v>
      </c>
      <c r="D644" s="87" t="s">
        <v>4929</v>
      </c>
    </row>
    <row r="645" spans="2:4" ht="15" x14ac:dyDescent="0.2">
      <c r="B645" s="87" t="s">
        <v>1291</v>
      </c>
      <c r="C645" s="88">
        <v>5330</v>
      </c>
      <c r="D645" s="87" t="s">
        <v>4930</v>
      </c>
    </row>
    <row r="646" spans="2:4" ht="15" x14ac:dyDescent="0.2">
      <c r="B646" s="87" t="s">
        <v>1292</v>
      </c>
      <c r="C646" s="88">
        <v>5330</v>
      </c>
      <c r="D646" s="87" t="s">
        <v>4930</v>
      </c>
    </row>
    <row r="647" spans="2:4" ht="15" x14ac:dyDescent="0.2">
      <c r="B647" s="87" t="s">
        <v>1293</v>
      </c>
      <c r="C647" s="88">
        <v>5330</v>
      </c>
      <c r="D647" s="87" t="s">
        <v>4930</v>
      </c>
    </row>
    <row r="648" spans="2:4" ht="15" x14ac:dyDescent="0.2">
      <c r="B648" s="87" t="s">
        <v>1294</v>
      </c>
      <c r="C648" s="88">
        <v>5330</v>
      </c>
      <c r="D648" s="87" t="s">
        <v>4930</v>
      </c>
    </row>
    <row r="649" spans="2:4" ht="15" x14ac:dyDescent="0.2">
      <c r="B649" s="87" t="s">
        <v>1295</v>
      </c>
      <c r="C649" s="88">
        <v>5330</v>
      </c>
      <c r="D649" s="87" t="s">
        <v>4930</v>
      </c>
    </row>
    <row r="650" spans="2:4" ht="15" x14ac:dyDescent="0.2">
      <c r="B650" s="87" t="s">
        <v>1296</v>
      </c>
      <c r="C650" s="88">
        <v>5350</v>
      </c>
      <c r="D650" s="87" t="s">
        <v>4931</v>
      </c>
    </row>
    <row r="651" spans="2:4" ht="15" x14ac:dyDescent="0.2">
      <c r="B651" s="87" t="s">
        <v>1297</v>
      </c>
      <c r="C651" s="88">
        <v>5350</v>
      </c>
      <c r="D651" s="87" t="s">
        <v>4931</v>
      </c>
    </row>
    <row r="652" spans="2:4" ht="15" x14ac:dyDescent="0.2">
      <c r="B652" s="87" t="s">
        <v>1298</v>
      </c>
      <c r="C652" s="88">
        <v>5350</v>
      </c>
      <c r="D652" s="87" t="s">
        <v>4931</v>
      </c>
    </row>
    <row r="653" spans="2:4" ht="15" x14ac:dyDescent="0.2">
      <c r="B653" s="87" t="s">
        <v>1299</v>
      </c>
      <c r="C653" s="88">
        <v>5350</v>
      </c>
      <c r="D653" s="87" t="s">
        <v>4931</v>
      </c>
    </row>
    <row r="654" spans="2:4" ht="15" x14ac:dyDescent="0.2">
      <c r="B654" s="87" t="s">
        <v>1300</v>
      </c>
      <c r="C654" s="88">
        <v>5350</v>
      </c>
      <c r="D654" s="87" t="s">
        <v>4931</v>
      </c>
    </row>
    <row r="655" spans="2:4" ht="15" x14ac:dyDescent="0.2">
      <c r="B655" s="87" t="s">
        <v>1301</v>
      </c>
      <c r="C655" s="88">
        <v>5360</v>
      </c>
      <c r="D655" s="87" t="s">
        <v>4932</v>
      </c>
    </row>
    <row r="656" spans="2:4" ht="15" x14ac:dyDescent="0.2">
      <c r="B656" s="87" t="s">
        <v>1302</v>
      </c>
      <c r="C656" s="88">
        <v>5360</v>
      </c>
      <c r="D656" s="87" t="s">
        <v>4932</v>
      </c>
    </row>
    <row r="657" spans="2:4" ht="15" x14ac:dyDescent="0.2">
      <c r="B657" s="87" t="s">
        <v>1303</v>
      </c>
      <c r="C657" s="88">
        <v>5360</v>
      </c>
      <c r="D657" s="87" t="s">
        <v>4932</v>
      </c>
    </row>
    <row r="658" spans="2:4" ht="15" x14ac:dyDescent="0.2">
      <c r="B658" s="87" t="s">
        <v>1304</v>
      </c>
      <c r="C658" s="88">
        <v>5360</v>
      </c>
      <c r="D658" s="87" t="s">
        <v>4932</v>
      </c>
    </row>
    <row r="659" spans="2:4" ht="15" x14ac:dyDescent="0.2">
      <c r="B659" s="87" t="s">
        <v>1305</v>
      </c>
      <c r="C659" s="88">
        <v>5360</v>
      </c>
      <c r="D659" s="87" t="s">
        <v>4932</v>
      </c>
    </row>
    <row r="660" spans="2:4" ht="15" x14ac:dyDescent="0.2">
      <c r="B660" s="87" t="s">
        <v>1306</v>
      </c>
      <c r="C660" s="88">
        <v>5360</v>
      </c>
      <c r="D660" s="87" t="s">
        <v>4932</v>
      </c>
    </row>
    <row r="661" spans="2:4" ht="15" x14ac:dyDescent="0.2">
      <c r="B661" s="87" t="s">
        <v>1307</v>
      </c>
      <c r="C661" s="88">
        <v>5360</v>
      </c>
      <c r="D661" s="87" t="s">
        <v>4932</v>
      </c>
    </row>
    <row r="662" spans="2:4" ht="15" x14ac:dyDescent="0.2">
      <c r="B662" s="87" t="s">
        <v>1308</v>
      </c>
      <c r="C662" s="88">
        <v>5360</v>
      </c>
      <c r="D662" s="87" t="s">
        <v>4932</v>
      </c>
    </row>
    <row r="663" spans="2:4" ht="15" x14ac:dyDescent="0.2">
      <c r="B663" s="87" t="s">
        <v>1309</v>
      </c>
      <c r="C663" s="88">
        <v>5360</v>
      </c>
      <c r="D663" s="87" t="s">
        <v>4932</v>
      </c>
    </row>
    <row r="664" spans="2:4" ht="15" x14ac:dyDescent="0.2">
      <c r="B664" s="87" t="s">
        <v>1310</v>
      </c>
      <c r="C664" s="88">
        <v>5360</v>
      </c>
      <c r="D664" s="87" t="s">
        <v>4932</v>
      </c>
    </row>
    <row r="665" spans="2:4" ht="15" x14ac:dyDescent="0.2">
      <c r="B665" s="87" t="s">
        <v>1311</v>
      </c>
      <c r="C665" s="88">
        <v>5360</v>
      </c>
      <c r="D665" s="87" t="s">
        <v>4932</v>
      </c>
    </row>
    <row r="666" spans="2:4" ht="15" x14ac:dyDescent="0.2">
      <c r="B666" s="87" t="s">
        <v>1312</v>
      </c>
      <c r="C666" s="88">
        <v>5360</v>
      </c>
      <c r="D666" s="87" t="s">
        <v>4932</v>
      </c>
    </row>
    <row r="667" spans="2:4" ht="15" x14ac:dyDescent="0.2">
      <c r="B667" s="87" t="s">
        <v>1313</v>
      </c>
      <c r="C667" s="88">
        <v>5360</v>
      </c>
      <c r="D667" s="87" t="s">
        <v>4932</v>
      </c>
    </row>
    <row r="668" spans="2:4" ht="15" x14ac:dyDescent="0.2">
      <c r="B668" s="87" t="s">
        <v>1314</v>
      </c>
      <c r="C668" s="88">
        <v>5360</v>
      </c>
      <c r="D668" s="87" t="s">
        <v>4932</v>
      </c>
    </row>
    <row r="669" spans="2:4" ht="15" x14ac:dyDescent="0.2">
      <c r="B669" s="87" t="s">
        <v>1315</v>
      </c>
      <c r="C669" s="88">
        <v>5360</v>
      </c>
      <c r="D669" s="87" t="s">
        <v>4932</v>
      </c>
    </row>
    <row r="670" spans="2:4" ht="15" x14ac:dyDescent="0.2">
      <c r="B670" s="87" t="s">
        <v>1316</v>
      </c>
      <c r="C670" s="88">
        <v>5360</v>
      </c>
      <c r="D670" s="87" t="s">
        <v>4932</v>
      </c>
    </row>
    <row r="671" spans="2:4" ht="15" x14ac:dyDescent="0.2">
      <c r="B671" s="87" t="s">
        <v>1317</v>
      </c>
      <c r="C671" s="88">
        <v>5360</v>
      </c>
      <c r="D671" s="87" t="s">
        <v>4932</v>
      </c>
    </row>
    <row r="672" spans="2:4" ht="15" x14ac:dyDescent="0.2">
      <c r="B672" s="87" t="s">
        <v>1318</v>
      </c>
      <c r="C672" s="88">
        <v>5360</v>
      </c>
      <c r="D672" s="87" t="s">
        <v>4932</v>
      </c>
    </row>
    <row r="673" spans="2:4" ht="15" x14ac:dyDescent="0.2">
      <c r="B673" s="87" t="s">
        <v>1319</v>
      </c>
      <c r="C673" s="88">
        <v>5360</v>
      </c>
      <c r="D673" s="87" t="s">
        <v>4932</v>
      </c>
    </row>
    <row r="674" spans="2:4" ht="15" x14ac:dyDescent="0.2">
      <c r="B674" s="87" t="s">
        <v>1320</v>
      </c>
      <c r="C674" s="88">
        <v>5360</v>
      </c>
      <c r="D674" s="87" t="s">
        <v>4932</v>
      </c>
    </row>
    <row r="675" spans="2:4" ht="15" x14ac:dyDescent="0.2">
      <c r="B675" s="87" t="s">
        <v>1321</v>
      </c>
      <c r="C675" s="88">
        <v>5360</v>
      </c>
      <c r="D675" s="87" t="s">
        <v>4932</v>
      </c>
    </row>
    <row r="676" spans="2:4" ht="15" x14ac:dyDescent="0.2">
      <c r="B676" s="87" t="s">
        <v>1322</v>
      </c>
      <c r="C676" s="88">
        <v>5360</v>
      </c>
      <c r="D676" s="87" t="s">
        <v>4932</v>
      </c>
    </row>
    <row r="677" spans="2:4" ht="15" x14ac:dyDescent="0.2">
      <c r="B677" s="87" t="s">
        <v>1323</v>
      </c>
      <c r="C677" s="88">
        <v>5360</v>
      </c>
      <c r="D677" s="87" t="s">
        <v>4932</v>
      </c>
    </row>
    <row r="678" spans="2:4" ht="15" x14ac:dyDescent="0.2">
      <c r="B678" s="87" t="s">
        <v>1324</v>
      </c>
      <c r="C678" s="88">
        <v>5360</v>
      </c>
      <c r="D678" s="87" t="s">
        <v>4932</v>
      </c>
    </row>
    <row r="679" spans="2:4" ht="15" x14ac:dyDescent="0.2">
      <c r="B679" s="87" t="s">
        <v>1325</v>
      </c>
      <c r="C679" s="88">
        <v>5360</v>
      </c>
      <c r="D679" s="87" t="s">
        <v>4932</v>
      </c>
    </row>
    <row r="680" spans="2:4" ht="15" x14ac:dyDescent="0.2">
      <c r="B680" s="87" t="s">
        <v>1326</v>
      </c>
      <c r="C680" s="88">
        <v>5360</v>
      </c>
      <c r="D680" s="87" t="s">
        <v>4932</v>
      </c>
    </row>
    <row r="681" spans="2:4" ht="15" x14ac:dyDescent="0.2">
      <c r="B681" s="87" t="s">
        <v>1327</v>
      </c>
      <c r="C681" s="88">
        <v>5360</v>
      </c>
      <c r="D681" s="87" t="s">
        <v>4932</v>
      </c>
    </row>
    <row r="682" spans="2:4" ht="15" x14ac:dyDescent="0.2">
      <c r="B682" s="87" t="s">
        <v>1328</v>
      </c>
      <c r="C682" s="88">
        <v>5360</v>
      </c>
      <c r="D682" s="87" t="s">
        <v>4932</v>
      </c>
    </row>
    <row r="683" spans="2:4" ht="15" x14ac:dyDescent="0.2">
      <c r="B683" s="87" t="s">
        <v>1329</v>
      </c>
      <c r="C683" s="88">
        <v>5360</v>
      </c>
      <c r="D683" s="87" t="s">
        <v>4932</v>
      </c>
    </row>
    <row r="684" spans="2:4" ht="15" x14ac:dyDescent="0.2">
      <c r="B684" s="87" t="s">
        <v>1330</v>
      </c>
      <c r="C684" s="88">
        <v>5370</v>
      </c>
      <c r="D684" s="87" t="s">
        <v>4933</v>
      </c>
    </row>
    <row r="685" spans="2:4" ht="15" x14ac:dyDescent="0.2">
      <c r="B685" s="87" t="s">
        <v>1331</v>
      </c>
      <c r="C685" s="88">
        <v>5370</v>
      </c>
      <c r="D685" s="87" t="s">
        <v>4933</v>
      </c>
    </row>
    <row r="686" spans="2:4" ht="15" x14ac:dyDescent="0.2">
      <c r="B686" s="87" t="s">
        <v>1332</v>
      </c>
      <c r="C686" s="88">
        <v>5370</v>
      </c>
      <c r="D686" s="87" t="s">
        <v>4933</v>
      </c>
    </row>
    <row r="687" spans="2:4" ht="15" x14ac:dyDescent="0.2">
      <c r="B687" s="87" t="s">
        <v>1333</v>
      </c>
      <c r="C687" s="88">
        <v>5370</v>
      </c>
      <c r="D687" s="87" t="s">
        <v>4933</v>
      </c>
    </row>
    <row r="688" spans="2:4" ht="15" x14ac:dyDescent="0.2">
      <c r="B688" s="87" t="s">
        <v>1334</v>
      </c>
      <c r="C688" s="88">
        <v>5370</v>
      </c>
      <c r="D688" s="87" t="s">
        <v>4933</v>
      </c>
    </row>
    <row r="689" spans="2:4" ht="15" x14ac:dyDescent="0.2">
      <c r="B689" s="87" t="s">
        <v>1335</v>
      </c>
      <c r="C689" s="88">
        <v>5370</v>
      </c>
      <c r="D689" s="87" t="s">
        <v>4933</v>
      </c>
    </row>
    <row r="690" spans="2:4" ht="15" x14ac:dyDescent="0.2">
      <c r="B690" s="87" t="s">
        <v>1336</v>
      </c>
      <c r="C690" s="88">
        <v>5370</v>
      </c>
      <c r="D690" s="87" t="s">
        <v>4933</v>
      </c>
    </row>
    <row r="691" spans="2:4" ht="15" x14ac:dyDescent="0.2">
      <c r="B691" s="87" t="s">
        <v>1337</v>
      </c>
      <c r="C691" s="88">
        <v>5370</v>
      </c>
      <c r="D691" s="87" t="s">
        <v>4933</v>
      </c>
    </row>
    <row r="692" spans="2:4" ht="15" x14ac:dyDescent="0.2">
      <c r="B692" s="87" t="s">
        <v>1338</v>
      </c>
      <c r="C692" s="88">
        <v>5370</v>
      </c>
      <c r="D692" s="87" t="s">
        <v>4933</v>
      </c>
    </row>
    <row r="693" spans="2:4" ht="15" x14ac:dyDescent="0.2">
      <c r="B693" s="87" t="s">
        <v>1339</v>
      </c>
      <c r="C693" s="88">
        <v>5390</v>
      </c>
      <c r="D693" s="87" t="s">
        <v>4934</v>
      </c>
    </row>
    <row r="694" spans="2:4" ht="15" x14ac:dyDescent="0.2">
      <c r="B694" s="87" t="s">
        <v>1340</v>
      </c>
      <c r="C694" s="88">
        <v>5390</v>
      </c>
      <c r="D694" s="87" t="s">
        <v>4934</v>
      </c>
    </row>
    <row r="695" spans="2:4" ht="15" x14ac:dyDescent="0.2">
      <c r="B695" s="87" t="s">
        <v>1341</v>
      </c>
      <c r="C695" s="88">
        <v>5390</v>
      </c>
      <c r="D695" s="87" t="s">
        <v>4934</v>
      </c>
    </row>
    <row r="696" spans="2:4" ht="15" x14ac:dyDescent="0.2">
      <c r="B696" s="87" t="s">
        <v>1342</v>
      </c>
      <c r="C696" s="88">
        <v>5390</v>
      </c>
      <c r="D696" s="87" t="s">
        <v>4934</v>
      </c>
    </row>
    <row r="697" spans="2:4" ht="15" x14ac:dyDescent="0.2">
      <c r="B697" s="87" t="s">
        <v>1343</v>
      </c>
      <c r="C697" s="88">
        <v>5390</v>
      </c>
      <c r="D697" s="87" t="s">
        <v>4934</v>
      </c>
    </row>
    <row r="698" spans="2:4" ht="15" x14ac:dyDescent="0.2">
      <c r="B698" s="87" t="s">
        <v>1344</v>
      </c>
      <c r="C698" s="88">
        <v>5400</v>
      </c>
      <c r="D698" s="87" t="s">
        <v>4935</v>
      </c>
    </row>
    <row r="699" spans="2:4" ht="15" x14ac:dyDescent="0.2">
      <c r="B699" s="87" t="s">
        <v>1345</v>
      </c>
      <c r="C699" s="88">
        <v>5400</v>
      </c>
      <c r="D699" s="87" t="s">
        <v>4935</v>
      </c>
    </row>
    <row r="700" spans="2:4" ht="15" x14ac:dyDescent="0.2">
      <c r="B700" s="87" t="s">
        <v>1346</v>
      </c>
      <c r="C700" s="88">
        <v>5400</v>
      </c>
      <c r="D700" s="87" t="s">
        <v>4935</v>
      </c>
    </row>
    <row r="701" spans="2:4" ht="15" x14ac:dyDescent="0.2">
      <c r="B701" s="87" t="s">
        <v>1347</v>
      </c>
      <c r="C701" s="88">
        <v>5400</v>
      </c>
      <c r="D701" s="87" t="s">
        <v>4935</v>
      </c>
    </row>
    <row r="702" spans="2:4" ht="15" x14ac:dyDescent="0.2">
      <c r="B702" s="87" t="s">
        <v>1348</v>
      </c>
      <c r="C702" s="88">
        <v>5400</v>
      </c>
      <c r="D702" s="87" t="s">
        <v>4935</v>
      </c>
    </row>
    <row r="703" spans="2:4" ht="15" x14ac:dyDescent="0.2">
      <c r="B703" s="87" t="s">
        <v>1349</v>
      </c>
      <c r="C703" s="88">
        <v>5420</v>
      </c>
      <c r="D703" s="87" t="s">
        <v>4936</v>
      </c>
    </row>
    <row r="704" spans="2:4" ht="15" x14ac:dyDescent="0.2">
      <c r="B704" s="87" t="s">
        <v>1350</v>
      </c>
      <c r="C704" s="88">
        <v>5420</v>
      </c>
      <c r="D704" s="87" t="s">
        <v>4936</v>
      </c>
    </row>
    <row r="705" spans="2:4" ht="15" x14ac:dyDescent="0.2">
      <c r="B705" s="87" t="s">
        <v>1351</v>
      </c>
      <c r="C705" s="88">
        <v>5420</v>
      </c>
      <c r="D705" s="87" t="s">
        <v>4936</v>
      </c>
    </row>
    <row r="706" spans="2:4" ht="15" x14ac:dyDescent="0.2">
      <c r="B706" s="87" t="s">
        <v>1352</v>
      </c>
      <c r="C706" s="88">
        <v>5430</v>
      </c>
      <c r="D706" s="87" t="s">
        <v>4937</v>
      </c>
    </row>
    <row r="707" spans="2:4" ht="15" x14ac:dyDescent="0.2">
      <c r="B707" s="87" t="s">
        <v>1353</v>
      </c>
      <c r="C707" s="88">
        <v>5430</v>
      </c>
      <c r="D707" s="87" t="s">
        <v>4937</v>
      </c>
    </row>
    <row r="708" spans="2:4" ht="15" x14ac:dyDescent="0.2">
      <c r="B708" s="87" t="s">
        <v>1354</v>
      </c>
      <c r="C708" s="88">
        <v>5430</v>
      </c>
      <c r="D708" s="87" t="s">
        <v>4937</v>
      </c>
    </row>
    <row r="709" spans="2:4" ht="15" x14ac:dyDescent="0.2">
      <c r="B709" s="87" t="s">
        <v>1355</v>
      </c>
      <c r="C709" s="88">
        <v>5430</v>
      </c>
      <c r="D709" s="87" t="s">
        <v>4937</v>
      </c>
    </row>
    <row r="710" spans="2:4" ht="15" x14ac:dyDescent="0.2">
      <c r="B710" s="87" t="s">
        <v>1356</v>
      </c>
      <c r="C710" s="88">
        <v>5450</v>
      </c>
      <c r="D710" s="87" t="s">
        <v>4938</v>
      </c>
    </row>
    <row r="711" spans="2:4" ht="15" x14ac:dyDescent="0.2">
      <c r="B711" s="87" t="s">
        <v>1357</v>
      </c>
      <c r="C711" s="88">
        <v>5450</v>
      </c>
      <c r="D711" s="87" t="s">
        <v>4938</v>
      </c>
    </row>
    <row r="712" spans="2:4" ht="15" x14ac:dyDescent="0.2">
      <c r="B712" s="87" t="s">
        <v>1358</v>
      </c>
      <c r="C712" s="88">
        <v>5450</v>
      </c>
      <c r="D712" s="87" t="s">
        <v>4938</v>
      </c>
    </row>
    <row r="713" spans="2:4" ht="15" x14ac:dyDescent="0.2">
      <c r="B713" s="87" t="s">
        <v>1359</v>
      </c>
      <c r="C713" s="88">
        <v>5460</v>
      </c>
      <c r="D713" s="87" t="s">
        <v>4939</v>
      </c>
    </row>
    <row r="714" spans="2:4" ht="15" x14ac:dyDescent="0.2">
      <c r="B714" s="87" t="s">
        <v>1360</v>
      </c>
      <c r="C714" s="88">
        <v>5460</v>
      </c>
      <c r="D714" s="87" t="s">
        <v>4939</v>
      </c>
    </row>
    <row r="715" spans="2:4" ht="15" x14ac:dyDescent="0.2">
      <c r="B715" s="87" t="s">
        <v>1361</v>
      </c>
      <c r="C715" s="88">
        <v>5460</v>
      </c>
      <c r="D715" s="87" t="s">
        <v>4939</v>
      </c>
    </row>
    <row r="716" spans="2:4" ht="15" x14ac:dyDescent="0.2">
      <c r="B716" s="87" t="s">
        <v>1362</v>
      </c>
      <c r="C716" s="88">
        <v>5460</v>
      </c>
      <c r="D716" s="87" t="s">
        <v>4939</v>
      </c>
    </row>
    <row r="717" spans="2:4" ht="15" x14ac:dyDescent="0.2">
      <c r="B717" s="87" t="s">
        <v>1363</v>
      </c>
      <c r="C717" s="88">
        <v>5460</v>
      </c>
      <c r="D717" s="87" t="s">
        <v>4939</v>
      </c>
    </row>
    <row r="718" spans="2:4" ht="15" x14ac:dyDescent="0.2">
      <c r="B718" s="87" t="s">
        <v>1364</v>
      </c>
      <c r="C718" s="88">
        <v>5480</v>
      </c>
      <c r="D718" s="87" t="s">
        <v>4940</v>
      </c>
    </row>
    <row r="719" spans="2:4" ht="15" x14ac:dyDescent="0.2">
      <c r="B719" s="87" t="s">
        <v>1365</v>
      </c>
      <c r="C719" s="88">
        <v>5480</v>
      </c>
      <c r="D719" s="87" t="s">
        <v>4940</v>
      </c>
    </row>
    <row r="720" spans="2:4" ht="15" x14ac:dyDescent="0.2">
      <c r="B720" s="87" t="s">
        <v>1366</v>
      </c>
      <c r="C720" s="88">
        <v>5480</v>
      </c>
      <c r="D720" s="87" t="s">
        <v>4940</v>
      </c>
    </row>
    <row r="721" spans="2:4" ht="15" x14ac:dyDescent="0.2">
      <c r="B721" s="87" t="s">
        <v>1367</v>
      </c>
      <c r="C721" s="88">
        <v>5480</v>
      </c>
      <c r="D721" s="87" t="s">
        <v>4940</v>
      </c>
    </row>
    <row r="722" spans="2:4" ht="15" x14ac:dyDescent="0.2">
      <c r="B722" s="87" t="s">
        <v>1368</v>
      </c>
      <c r="C722" s="88">
        <v>5490</v>
      </c>
      <c r="D722" s="87" t="s">
        <v>4941</v>
      </c>
    </row>
    <row r="723" spans="2:4" ht="15" x14ac:dyDescent="0.2">
      <c r="B723" s="87" t="s">
        <v>1369</v>
      </c>
      <c r="C723" s="88">
        <v>5490</v>
      </c>
      <c r="D723" s="87" t="s">
        <v>4941</v>
      </c>
    </row>
    <row r="724" spans="2:4" ht="15" x14ac:dyDescent="0.2">
      <c r="B724" s="87" t="s">
        <v>1370</v>
      </c>
      <c r="C724" s="88">
        <v>5490</v>
      </c>
      <c r="D724" s="87" t="s">
        <v>4941</v>
      </c>
    </row>
    <row r="725" spans="2:4" ht="15" x14ac:dyDescent="0.2">
      <c r="B725" s="87" t="s">
        <v>1371</v>
      </c>
      <c r="C725" s="88">
        <v>5490</v>
      </c>
      <c r="D725" s="87" t="s">
        <v>4941</v>
      </c>
    </row>
    <row r="726" spans="2:4" ht="15" x14ac:dyDescent="0.2">
      <c r="B726" s="87" t="s">
        <v>1372</v>
      </c>
      <c r="C726" s="88">
        <v>5490</v>
      </c>
      <c r="D726" s="87" t="s">
        <v>4941</v>
      </c>
    </row>
    <row r="727" spans="2:4" ht="15" x14ac:dyDescent="0.2">
      <c r="B727" s="87" t="s">
        <v>1373</v>
      </c>
      <c r="C727" s="88">
        <v>5510</v>
      </c>
      <c r="D727" s="87" t="s">
        <v>4942</v>
      </c>
    </row>
    <row r="728" spans="2:4" ht="15" x14ac:dyDescent="0.2">
      <c r="B728" s="87" t="s">
        <v>1374</v>
      </c>
      <c r="C728" s="88">
        <v>5510</v>
      </c>
      <c r="D728" s="87" t="s">
        <v>4942</v>
      </c>
    </row>
    <row r="729" spans="2:4" ht="15" x14ac:dyDescent="0.2">
      <c r="B729" s="87" t="s">
        <v>1375</v>
      </c>
      <c r="C729" s="88">
        <v>5510</v>
      </c>
      <c r="D729" s="87" t="s">
        <v>4942</v>
      </c>
    </row>
    <row r="730" spans="2:4" ht="15" x14ac:dyDescent="0.2">
      <c r="B730" s="87" t="s">
        <v>1376</v>
      </c>
      <c r="C730" s="88">
        <v>5510</v>
      </c>
      <c r="D730" s="87" t="s">
        <v>4942</v>
      </c>
    </row>
    <row r="731" spans="2:4" ht="15" x14ac:dyDescent="0.2">
      <c r="B731" s="87" t="s">
        <v>1377</v>
      </c>
      <c r="C731" s="88">
        <v>5520</v>
      </c>
      <c r="D731" s="87" t="s">
        <v>4943</v>
      </c>
    </row>
    <row r="732" spans="2:4" ht="15" x14ac:dyDescent="0.2">
      <c r="B732" s="87" t="s">
        <v>1378</v>
      </c>
      <c r="C732" s="88">
        <v>5520</v>
      </c>
      <c r="D732" s="87" t="s">
        <v>4943</v>
      </c>
    </row>
    <row r="733" spans="2:4" ht="15" x14ac:dyDescent="0.2">
      <c r="B733" s="87" t="s">
        <v>1379</v>
      </c>
      <c r="C733" s="88">
        <v>5520</v>
      </c>
      <c r="D733" s="87" t="s">
        <v>4943</v>
      </c>
    </row>
    <row r="734" spans="2:4" ht="15" x14ac:dyDescent="0.2">
      <c r="B734" s="87" t="s">
        <v>1380</v>
      </c>
      <c r="C734" s="88">
        <v>5520</v>
      </c>
      <c r="D734" s="87" t="s">
        <v>4943</v>
      </c>
    </row>
    <row r="735" spans="2:4" ht="15" x14ac:dyDescent="0.2">
      <c r="B735" s="87" t="s">
        <v>1381</v>
      </c>
      <c r="C735" s="88">
        <v>5520</v>
      </c>
      <c r="D735" s="87" t="s">
        <v>4943</v>
      </c>
    </row>
    <row r="736" spans="2:4" ht="15" x14ac:dyDescent="0.2">
      <c r="B736" s="87" t="s">
        <v>1382</v>
      </c>
      <c r="C736" s="88">
        <v>5530</v>
      </c>
      <c r="D736" s="87" t="s">
        <v>4944</v>
      </c>
    </row>
    <row r="737" spans="2:4" ht="15" x14ac:dyDescent="0.2">
      <c r="B737" s="87" t="s">
        <v>1383</v>
      </c>
      <c r="C737" s="88">
        <v>5530</v>
      </c>
      <c r="D737" s="87" t="s">
        <v>4944</v>
      </c>
    </row>
    <row r="738" spans="2:4" ht="15" x14ac:dyDescent="0.2">
      <c r="B738" s="87" t="s">
        <v>1384</v>
      </c>
      <c r="C738" s="88">
        <v>5530</v>
      </c>
      <c r="D738" s="87" t="s">
        <v>4944</v>
      </c>
    </row>
    <row r="739" spans="2:4" ht="15" x14ac:dyDescent="0.2">
      <c r="B739" s="87" t="s">
        <v>1385</v>
      </c>
      <c r="C739" s="88">
        <v>5530</v>
      </c>
      <c r="D739" s="87" t="s">
        <v>4944</v>
      </c>
    </row>
    <row r="740" spans="2:4" ht="15" x14ac:dyDescent="0.2">
      <c r="B740" s="87" t="s">
        <v>1386</v>
      </c>
      <c r="C740" s="88">
        <v>5550</v>
      </c>
      <c r="D740" s="87" t="s">
        <v>4945</v>
      </c>
    </row>
    <row r="741" spans="2:4" ht="15" x14ac:dyDescent="0.2">
      <c r="B741" s="87" t="s">
        <v>1387</v>
      </c>
      <c r="C741" s="88">
        <v>5550</v>
      </c>
      <c r="D741" s="87" t="s">
        <v>4945</v>
      </c>
    </row>
    <row r="742" spans="2:4" ht="15" x14ac:dyDescent="0.2">
      <c r="B742" s="87" t="s">
        <v>1388</v>
      </c>
      <c r="C742" s="88">
        <v>5550</v>
      </c>
      <c r="D742" s="87" t="s">
        <v>4945</v>
      </c>
    </row>
    <row r="743" spans="2:4" ht="15" x14ac:dyDescent="0.2">
      <c r="B743" s="87" t="s">
        <v>1389</v>
      </c>
      <c r="C743" s="88">
        <v>5550</v>
      </c>
      <c r="D743" s="87" t="s">
        <v>4945</v>
      </c>
    </row>
    <row r="744" spans="2:4" ht="15" x14ac:dyDescent="0.2">
      <c r="B744" s="87" t="s">
        <v>1390</v>
      </c>
      <c r="C744" s="88">
        <v>5550</v>
      </c>
      <c r="D744" s="87" t="s">
        <v>4945</v>
      </c>
    </row>
    <row r="745" spans="2:4" ht="15" x14ac:dyDescent="0.2">
      <c r="B745" s="87" t="s">
        <v>1391</v>
      </c>
      <c r="C745" s="88">
        <v>5560</v>
      </c>
      <c r="D745" s="87" t="s">
        <v>4946</v>
      </c>
    </row>
    <row r="746" spans="2:4" ht="15" x14ac:dyDescent="0.2">
      <c r="B746" s="87" t="s">
        <v>1392</v>
      </c>
      <c r="C746" s="88">
        <v>5560</v>
      </c>
      <c r="D746" s="87" t="s">
        <v>4946</v>
      </c>
    </row>
    <row r="747" spans="2:4" ht="15" x14ac:dyDescent="0.2">
      <c r="B747" s="87" t="s">
        <v>1393</v>
      </c>
      <c r="C747" s="88">
        <v>5560</v>
      </c>
      <c r="D747" s="87" t="s">
        <v>4946</v>
      </c>
    </row>
    <row r="748" spans="2:4" ht="15" x14ac:dyDescent="0.2">
      <c r="B748" s="87" t="s">
        <v>1394</v>
      </c>
      <c r="C748" s="88">
        <v>5560</v>
      </c>
      <c r="D748" s="87" t="s">
        <v>4946</v>
      </c>
    </row>
    <row r="749" spans="2:4" ht="15" x14ac:dyDescent="0.2">
      <c r="B749" s="87" t="s">
        <v>1395</v>
      </c>
      <c r="C749" s="88">
        <v>5560</v>
      </c>
      <c r="D749" s="87" t="s">
        <v>4946</v>
      </c>
    </row>
    <row r="750" spans="2:4" ht="15" x14ac:dyDescent="0.2">
      <c r="B750" s="87" t="s">
        <v>1396</v>
      </c>
      <c r="C750" s="88">
        <v>5580</v>
      </c>
      <c r="D750" s="87" t="s">
        <v>4947</v>
      </c>
    </row>
    <row r="751" spans="2:4" ht="15" x14ac:dyDescent="0.2">
      <c r="B751" s="87" t="s">
        <v>1397</v>
      </c>
      <c r="C751" s="88">
        <v>5580</v>
      </c>
      <c r="D751" s="87" t="s">
        <v>4947</v>
      </c>
    </row>
    <row r="752" spans="2:4" ht="15" x14ac:dyDescent="0.2">
      <c r="B752" s="87" t="s">
        <v>1398</v>
      </c>
      <c r="C752" s="88">
        <v>5580</v>
      </c>
      <c r="D752" s="87" t="s">
        <v>4947</v>
      </c>
    </row>
    <row r="753" spans="2:4" ht="15" x14ac:dyDescent="0.2">
      <c r="B753" s="87" t="s">
        <v>1399</v>
      </c>
      <c r="C753" s="88">
        <v>5580</v>
      </c>
      <c r="D753" s="87" t="s">
        <v>4947</v>
      </c>
    </row>
    <row r="754" spans="2:4" ht="15" x14ac:dyDescent="0.2">
      <c r="B754" s="87" t="s">
        <v>1400</v>
      </c>
      <c r="C754" s="88">
        <v>5580</v>
      </c>
      <c r="D754" s="87" t="s">
        <v>4947</v>
      </c>
    </row>
    <row r="755" spans="2:4" ht="15" x14ac:dyDescent="0.2">
      <c r="B755" s="87" t="s">
        <v>1401</v>
      </c>
      <c r="C755" s="88">
        <v>5580</v>
      </c>
      <c r="D755" s="87" t="s">
        <v>4947</v>
      </c>
    </row>
    <row r="756" spans="2:4" ht="15" x14ac:dyDescent="0.2">
      <c r="B756" s="87" t="s">
        <v>1402</v>
      </c>
      <c r="C756" s="88">
        <v>5580</v>
      </c>
      <c r="D756" s="87" t="s">
        <v>4947</v>
      </c>
    </row>
    <row r="757" spans="2:4" ht="15" x14ac:dyDescent="0.2">
      <c r="B757" s="87" t="s">
        <v>1403</v>
      </c>
      <c r="C757" s="88">
        <v>5580</v>
      </c>
      <c r="D757" s="87" t="s">
        <v>4947</v>
      </c>
    </row>
    <row r="758" spans="2:4" ht="15" x14ac:dyDescent="0.2">
      <c r="B758" s="87" t="s">
        <v>1404</v>
      </c>
      <c r="C758" s="88">
        <v>5580</v>
      </c>
      <c r="D758" s="87" t="s">
        <v>4947</v>
      </c>
    </row>
    <row r="759" spans="2:4" ht="15" x14ac:dyDescent="0.2">
      <c r="B759" s="87" t="s">
        <v>1405</v>
      </c>
      <c r="C759" s="88">
        <v>5590</v>
      </c>
      <c r="D759" s="87" t="s">
        <v>4948</v>
      </c>
    </row>
    <row r="760" spans="2:4" ht="15" x14ac:dyDescent="0.2">
      <c r="B760" s="87" t="s">
        <v>1406</v>
      </c>
      <c r="C760" s="88">
        <v>5590</v>
      </c>
      <c r="D760" s="87" t="s">
        <v>4948</v>
      </c>
    </row>
    <row r="761" spans="2:4" ht="15" x14ac:dyDescent="0.2">
      <c r="B761" s="87" t="s">
        <v>1407</v>
      </c>
      <c r="C761" s="88">
        <v>5590</v>
      </c>
      <c r="D761" s="87" t="s">
        <v>4948</v>
      </c>
    </row>
    <row r="762" spans="2:4" ht="15" x14ac:dyDescent="0.2">
      <c r="B762" s="87" t="s">
        <v>1408</v>
      </c>
      <c r="C762" s="88">
        <v>5590</v>
      </c>
      <c r="D762" s="87" t="s">
        <v>4948</v>
      </c>
    </row>
    <row r="763" spans="2:4" ht="15" x14ac:dyDescent="0.2">
      <c r="B763" s="87" t="s">
        <v>1409</v>
      </c>
      <c r="C763" s="88">
        <v>5590</v>
      </c>
      <c r="D763" s="87" t="s">
        <v>4948</v>
      </c>
    </row>
    <row r="764" spans="2:4" ht="15" x14ac:dyDescent="0.2">
      <c r="B764" s="87" t="s">
        <v>1410</v>
      </c>
      <c r="C764" s="88">
        <v>5590</v>
      </c>
      <c r="D764" s="87" t="s">
        <v>4948</v>
      </c>
    </row>
    <row r="765" spans="2:4" ht="15" x14ac:dyDescent="0.2">
      <c r="B765" s="87" t="s">
        <v>1411</v>
      </c>
      <c r="C765" s="88">
        <v>5590</v>
      </c>
      <c r="D765" s="87" t="s">
        <v>4948</v>
      </c>
    </row>
    <row r="766" spans="2:4" ht="15" x14ac:dyDescent="0.2">
      <c r="B766" s="87" t="s">
        <v>1412</v>
      </c>
      <c r="C766" s="88">
        <v>5590</v>
      </c>
      <c r="D766" s="87" t="s">
        <v>4948</v>
      </c>
    </row>
    <row r="767" spans="2:4" ht="15" x14ac:dyDescent="0.2">
      <c r="B767" s="87" t="s">
        <v>1413</v>
      </c>
      <c r="C767" s="88">
        <v>5590</v>
      </c>
      <c r="D767" s="87" t="s">
        <v>4948</v>
      </c>
    </row>
    <row r="768" spans="2:4" ht="15" x14ac:dyDescent="0.2">
      <c r="B768" s="87" t="s">
        <v>1414</v>
      </c>
      <c r="C768" s="88">
        <v>5590</v>
      </c>
      <c r="D768" s="87" t="s">
        <v>4948</v>
      </c>
    </row>
    <row r="769" spans="2:4" ht="15" x14ac:dyDescent="0.2">
      <c r="B769" s="87" t="s">
        <v>1415</v>
      </c>
      <c r="C769" s="88">
        <v>5590</v>
      </c>
      <c r="D769" s="87" t="s">
        <v>4948</v>
      </c>
    </row>
    <row r="770" spans="2:4" ht="15" x14ac:dyDescent="0.2">
      <c r="B770" s="87" t="s">
        <v>1416</v>
      </c>
      <c r="C770" s="88">
        <v>5590</v>
      </c>
      <c r="D770" s="87" t="s">
        <v>4948</v>
      </c>
    </row>
    <row r="771" spans="2:4" ht="15" x14ac:dyDescent="0.2">
      <c r="B771" s="87" t="s">
        <v>1417</v>
      </c>
      <c r="C771" s="88">
        <v>5590</v>
      </c>
      <c r="D771" s="87" t="s">
        <v>4948</v>
      </c>
    </row>
    <row r="772" spans="2:4" ht="15" x14ac:dyDescent="0.2">
      <c r="B772" s="87" t="s">
        <v>1418</v>
      </c>
      <c r="C772" s="88">
        <v>5590</v>
      </c>
      <c r="D772" s="87" t="s">
        <v>4948</v>
      </c>
    </row>
    <row r="773" spans="2:4" ht="15" x14ac:dyDescent="0.2">
      <c r="B773" s="87" t="s">
        <v>1419</v>
      </c>
      <c r="C773" s="88">
        <v>5590</v>
      </c>
      <c r="D773" s="87" t="s">
        <v>4948</v>
      </c>
    </row>
    <row r="774" spans="2:4" ht="15" x14ac:dyDescent="0.2">
      <c r="B774" s="87" t="s">
        <v>1420</v>
      </c>
      <c r="C774" s="88">
        <v>5590</v>
      </c>
      <c r="D774" s="87" t="s">
        <v>4948</v>
      </c>
    </row>
    <row r="775" spans="2:4" ht="15" x14ac:dyDescent="0.2">
      <c r="B775" s="87" t="s">
        <v>1421</v>
      </c>
      <c r="C775" s="88">
        <v>5590</v>
      </c>
      <c r="D775" s="87" t="s">
        <v>4948</v>
      </c>
    </row>
    <row r="776" spans="2:4" ht="15" x14ac:dyDescent="0.2">
      <c r="B776" s="87" t="s">
        <v>1422</v>
      </c>
      <c r="C776" s="88">
        <v>5590</v>
      </c>
      <c r="D776" s="87" t="s">
        <v>4948</v>
      </c>
    </row>
    <row r="777" spans="2:4" ht="15" x14ac:dyDescent="0.2">
      <c r="B777" s="87" t="s">
        <v>1423</v>
      </c>
      <c r="C777" s="88">
        <v>5610</v>
      </c>
      <c r="D777" s="87" t="s">
        <v>4949</v>
      </c>
    </row>
    <row r="778" spans="2:4" ht="15" x14ac:dyDescent="0.2">
      <c r="B778" s="87" t="s">
        <v>1424</v>
      </c>
      <c r="C778" s="88">
        <v>5610</v>
      </c>
      <c r="D778" s="87" t="s">
        <v>4949</v>
      </c>
    </row>
    <row r="779" spans="2:4" ht="15" x14ac:dyDescent="0.2">
      <c r="B779" s="87" t="s">
        <v>1425</v>
      </c>
      <c r="C779" s="88">
        <v>5610</v>
      </c>
      <c r="D779" s="87" t="s">
        <v>4949</v>
      </c>
    </row>
    <row r="780" spans="2:4" ht="15" x14ac:dyDescent="0.2">
      <c r="B780" s="87" t="s">
        <v>1426</v>
      </c>
      <c r="C780" s="88">
        <v>5610</v>
      </c>
      <c r="D780" s="87" t="s">
        <v>4949</v>
      </c>
    </row>
    <row r="781" spans="2:4" ht="15" x14ac:dyDescent="0.2">
      <c r="B781" s="87" t="s">
        <v>1427</v>
      </c>
      <c r="C781" s="88">
        <v>5610</v>
      </c>
      <c r="D781" s="87" t="s">
        <v>4949</v>
      </c>
    </row>
    <row r="782" spans="2:4" ht="15" x14ac:dyDescent="0.2">
      <c r="B782" s="87" t="s">
        <v>1428</v>
      </c>
      <c r="C782" s="88">
        <v>5610</v>
      </c>
      <c r="D782" s="87" t="s">
        <v>4949</v>
      </c>
    </row>
    <row r="783" spans="2:4" ht="15" x14ac:dyDescent="0.2">
      <c r="B783" s="87" t="s">
        <v>1429</v>
      </c>
      <c r="C783" s="88">
        <v>5610</v>
      </c>
      <c r="D783" s="87" t="s">
        <v>4949</v>
      </c>
    </row>
    <row r="784" spans="2:4" ht="15" x14ac:dyDescent="0.2">
      <c r="B784" s="87" t="s">
        <v>1430</v>
      </c>
      <c r="C784" s="88">
        <v>5610</v>
      </c>
      <c r="D784" s="87" t="s">
        <v>4949</v>
      </c>
    </row>
    <row r="785" spans="2:4" ht="15" x14ac:dyDescent="0.2">
      <c r="B785" s="87" t="s">
        <v>1431</v>
      </c>
      <c r="C785" s="88">
        <v>5610</v>
      </c>
      <c r="D785" s="87" t="s">
        <v>4949</v>
      </c>
    </row>
    <row r="786" spans="2:4" ht="15" x14ac:dyDescent="0.2">
      <c r="B786" s="87" t="s">
        <v>1432</v>
      </c>
      <c r="C786" s="88">
        <v>5610</v>
      </c>
      <c r="D786" s="87" t="s">
        <v>4949</v>
      </c>
    </row>
    <row r="787" spans="2:4" ht="15" x14ac:dyDescent="0.2">
      <c r="B787" s="87" t="s">
        <v>1433</v>
      </c>
      <c r="C787" s="88">
        <v>5610</v>
      </c>
      <c r="D787" s="87" t="s">
        <v>4949</v>
      </c>
    </row>
    <row r="788" spans="2:4" ht="15" x14ac:dyDescent="0.2">
      <c r="B788" s="87" t="s">
        <v>1434</v>
      </c>
      <c r="C788" s="88">
        <v>5610</v>
      </c>
      <c r="D788" s="87" t="s">
        <v>4949</v>
      </c>
    </row>
    <row r="789" spans="2:4" ht="15" x14ac:dyDescent="0.2">
      <c r="B789" s="87" t="s">
        <v>1435</v>
      </c>
      <c r="C789" s="88">
        <v>5610</v>
      </c>
      <c r="D789" s="87" t="s">
        <v>4949</v>
      </c>
    </row>
    <row r="790" spans="2:4" ht="15" x14ac:dyDescent="0.2">
      <c r="B790" s="87" t="s">
        <v>1436</v>
      </c>
      <c r="C790" s="88">
        <v>5610</v>
      </c>
      <c r="D790" s="87" t="s">
        <v>4949</v>
      </c>
    </row>
    <row r="791" spans="2:4" ht="15" x14ac:dyDescent="0.2">
      <c r="B791" s="87" t="s">
        <v>1437</v>
      </c>
      <c r="C791" s="88">
        <v>5610</v>
      </c>
      <c r="D791" s="87" t="s">
        <v>4949</v>
      </c>
    </row>
    <row r="792" spans="2:4" ht="15" x14ac:dyDescent="0.2">
      <c r="B792" s="87" t="s">
        <v>1438</v>
      </c>
      <c r="C792" s="88">
        <v>5590</v>
      </c>
      <c r="D792" s="87" t="s">
        <v>4948</v>
      </c>
    </row>
    <row r="793" spans="2:4" ht="15" x14ac:dyDescent="0.2">
      <c r="B793" s="87" t="s">
        <v>1439</v>
      </c>
      <c r="C793" s="88">
        <v>5590</v>
      </c>
      <c r="D793" s="87" t="s">
        <v>4948</v>
      </c>
    </row>
    <row r="794" spans="2:4" ht="15" x14ac:dyDescent="0.2">
      <c r="B794" s="87" t="s">
        <v>1440</v>
      </c>
      <c r="C794" s="88">
        <v>5590</v>
      </c>
      <c r="D794" s="87" t="s">
        <v>4948</v>
      </c>
    </row>
    <row r="795" spans="2:4" ht="15" x14ac:dyDescent="0.2">
      <c r="B795" s="87" t="s">
        <v>1441</v>
      </c>
      <c r="C795" s="88">
        <v>5590</v>
      </c>
      <c r="D795" s="87" t="s">
        <v>4948</v>
      </c>
    </row>
    <row r="796" spans="2:4" ht="15" x14ac:dyDescent="0.2">
      <c r="B796" s="87" t="s">
        <v>1442</v>
      </c>
      <c r="C796" s="88">
        <v>5590</v>
      </c>
      <c r="D796" s="87" t="s">
        <v>4948</v>
      </c>
    </row>
    <row r="797" spans="2:4" ht="15" x14ac:dyDescent="0.2">
      <c r="B797" s="87" t="s">
        <v>1443</v>
      </c>
      <c r="C797" s="88">
        <v>5580</v>
      </c>
      <c r="D797" s="87" t="s">
        <v>4947</v>
      </c>
    </row>
    <row r="798" spans="2:4" ht="15" x14ac:dyDescent="0.2">
      <c r="B798" s="87" t="s">
        <v>1444</v>
      </c>
      <c r="C798" s="88">
        <v>5580</v>
      </c>
      <c r="D798" s="87" t="s">
        <v>4947</v>
      </c>
    </row>
    <row r="799" spans="2:4" ht="15" x14ac:dyDescent="0.2">
      <c r="B799" s="87" t="s">
        <v>1445</v>
      </c>
      <c r="C799" s="88">
        <v>5580</v>
      </c>
      <c r="D799" s="87" t="s">
        <v>4947</v>
      </c>
    </row>
    <row r="800" spans="2:4" ht="15" x14ac:dyDescent="0.2">
      <c r="B800" s="87" t="s">
        <v>1446</v>
      </c>
      <c r="C800" s="88">
        <v>5580</v>
      </c>
      <c r="D800" s="87" t="s">
        <v>4947</v>
      </c>
    </row>
    <row r="801" spans="2:4" ht="15" x14ac:dyDescent="0.2">
      <c r="B801" s="87" t="s">
        <v>1447</v>
      </c>
      <c r="C801" s="88">
        <v>5580</v>
      </c>
      <c r="D801" s="87" t="s">
        <v>4947</v>
      </c>
    </row>
    <row r="802" spans="2:4" ht="15" x14ac:dyDescent="0.2">
      <c r="B802" s="87" t="s">
        <v>1448</v>
      </c>
      <c r="C802" s="88">
        <v>5580</v>
      </c>
      <c r="D802" s="87" t="s">
        <v>4947</v>
      </c>
    </row>
    <row r="803" spans="2:4" ht="15" x14ac:dyDescent="0.2">
      <c r="B803" s="87" t="s">
        <v>1449</v>
      </c>
      <c r="C803" s="88">
        <v>5560</v>
      </c>
      <c r="D803" s="87" t="s">
        <v>4946</v>
      </c>
    </row>
    <row r="804" spans="2:4" ht="15" x14ac:dyDescent="0.2">
      <c r="B804" s="87" t="s">
        <v>1450</v>
      </c>
      <c r="C804" s="88">
        <v>5560</v>
      </c>
      <c r="D804" s="87" t="s">
        <v>4946</v>
      </c>
    </row>
    <row r="805" spans="2:4" ht="15" x14ac:dyDescent="0.2">
      <c r="B805" s="87" t="s">
        <v>1451</v>
      </c>
      <c r="C805" s="88">
        <v>5560</v>
      </c>
      <c r="D805" s="87" t="s">
        <v>4946</v>
      </c>
    </row>
    <row r="806" spans="2:4" ht="15" x14ac:dyDescent="0.2">
      <c r="B806" s="87" t="s">
        <v>1452</v>
      </c>
      <c r="C806" s="88">
        <v>5560</v>
      </c>
      <c r="D806" s="87" t="s">
        <v>4946</v>
      </c>
    </row>
    <row r="807" spans="2:4" ht="15" x14ac:dyDescent="0.2">
      <c r="B807" s="87" t="s">
        <v>1453</v>
      </c>
      <c r="C807" s="88">
        <v>5560</v>
      </c>
      <c r="D807" s="87" t="s">
        <v>4946</v>
      </c>
    </row>
    <row r="808" spans="2:4" ht="15" x14ac:dyDescent="0.2">
      <c r="B808" s="87" t="s">
        <v>1454</v>
      </c>
      <c r="C808" s="88">
        <v>5560</v>
      </c>
      <c r="D808" s="87" t="s">
        <v>4946</v>
      </c>
    </row>
    <row r="809" spans="2:4" ht="15" x14ac:dyDescent="0.2">
      <c r="B809" s="87" t="s">
        <v>1455</v>
      </c>
      <c r="C809" s="88">
        <v>5560</v>
      </c>
      <c r="D809" s="87" t="s">
        <v>4946</v>
      </c>
    </row>
    <row r="810" spans="2:4" ht="15" x14ac:dyDescent="0.2">
      <c r="B810" s="87" t="s">
        <v>1456</v>
      </c>
      <c r="C810" s="88">
        <v>5560</v>
      </c>
      <c r="D810" s="87" t="s">
        <v>4946</v>
      </c>
    </row>
    <row r="811" spans="2:4" ht="15" x14ac:dyDescent="0.2">
      <c r="B811" s="87" t="s">
        <v>1457</v>
      </c>
      <c r="C811" s="88">
        <v>5560</v>
      </c>
      <c r="D811" s="87" t="s">
        <v>4946</v>
      </c>
    </row>
    <row r="812" spans="2:4" ht="15" x14ac:dyDescent="0.2">
      <c r="B812" s="87" t="s">
        <v>1458</v>
      </c>
      <c r="C812" s="88">
        <v>5560</v>
      </c>
      <c r="D812" s="87" t="s">
        <v>4946</v>
      </c>
    </row>
    <row r="813" spans="2:4" ht="15" x14ac:dyDescent="0.2">
      <c r="B813" s="87" t="s">
        <v>1459</v>
      </c>
      <c r="C813" s="88">
        <v>5550</v>
      </c>
      <c r="D813" s="87" t="s">
        <v>4945</v>
      </c>
    </row>
    <row r="814" spans="2:4" ht="15" x14ac:dyDescent="0.2">
      <c r="B814" s="87" t="s">
        <v>1460</v>
      </c>
      <c r="C814" s="88">
        <v>5550</v>
      </c>
      <c r="D814" s="87" t="s">
        <v>4945</v>
      </c>
    </row>
    <row r="815" spans="2:4" ht="15" x14ac:dyDescent="0.2">
      <c r="B815" s="87" t="s">
        <v>1461</v>
      </c>
      <c r="C815" s="88">
        <v>5550</v>
      </c>
      <c r="D815" s="87" t="s">
        <v>4945</v>
      </c>
    </row>
    <row r="816" spans="2:4" ht="15" x14ac:dyDescent="0.2">
      <c r="B816" s="87" t="s">
        <v>1462</v>
      </c>
      <c r="C816" s="88">
        <v>5550</v>
      </c>
      <c r="D816" s="87" t="s">
        <v>4945</v>
      </c>
    </row>
    <row r="817" spans="2:4" ht="15" x14ac:dyDescent="0.2">
      <c r="B817" s="87" t="s">
        <v>1463</v>
      </c>
      <c r="C817" s="88">
        <v>5550</v>
      </c>
      <c r="D817" s="87" t="s">
        <v>4945</v>
      </c>
    </row>
    <row r="818" spans="2:4" ht="15" x14ac:dyDescent="0.2">
      <c r="B818" s="87" t="s">
        <v>1464</v>
      </c>
      <c r="C818" s="88">
        <v>5550</v>
      </c>
      <c r="D818" s="87" t="s">
        <v>4945</v>
      </c>
    </row>
    <row r="819" spans="2:4" ht="15" x14ac:dyDescent="0.2">
      <c r="B819" s="87" t="s">
        <v>1465</v>
      </c>
      <c r="C819" s="88">
        <v>5550</v>
      </c>
      <c r="D819" s="87" t="s">
        <v>4945</v>
      </c>
    </row>
    <row r="820" spans="2:4" ht="15" x14ac:dyDescent="0.2">
      <c r="B820" s="87" t="s">
        <v>1466</v>
      </c>
      <c r="C820" s="88">
        <v>5550</v>
      </c>
      <c r="D820" s="87" t="s">
        <v>4945</v>
      </c>
    </row>
    <row r="821" spans="2:4" ht="15" x14ac:dyDescent="0.2">
      <c r="B821" s="87" t="s">
        <v>1467</v>
      </c>
      <c r="C821" s="88">
        <v>5550</v>
      </c>
      <c r="D821" s="87" t="s">
        <v>4945</v>
      </c>
    </row>
    <row r="822" spans="2:4" ht="15" x14ac:dyDescent="0.2">
      <c r="B822" s="87" t="s">
        <v>1468</v>
      </c>
      <c r="C822" s="88">
        <v>5550</v>
      </c>
      <c r="D822" s="87" t="s">
        <v>4945</v>
      </c>
    </row>
    <row r="823" spans="2:4" ht="15" x14ac:dyDescent="0.2">
      <c r="B823" s="87" t="s">
        <v>1469</v>
      </c>
      <c r="C823" s="88">
        <v>5550</v>
      </c>
      <c r="D823" s="87" t="s">
        <v>4945</v>
      </c>
    </row>
    <row r="824" spans="2:4" ht="15" x14ac:dyDescent="0.2">
      <c r="B824" s="87" t="s">
        <v>1470</v>
      </c>
      <c r="C824" s="88">
        <v>5550</v>
      </c>
      <c r="D824" s="87" t="s">
        <v>4945</v>
      </c>
    </row>
    <row r="825" spans="2:4" ht="15" x14ac:dyDescent="0.2">
      <c r="B825" s="87" t="s">
        <v>1471</v>
      </c>
      <c r="C825" s="88">
        <v>5550</v>
      </c>
      <c r="D825" s="87" t="s">
        <v>4945</v>
      </c>
    </row>
    <row r="826" spans="2:4" ht="15" x14ac:dyDescent="0.2">
      <c r="B826" s="87" t="s">
        <v>1472</v>
      </c>
      <c r="C826" s="88">
        <v>5550</v>
      </c>
      <c r="D826" s="87" t="s">
        <v>4945</v>
      </c>
    </row>
    <row r="827" spans="2:4" ht="15" x14ac:dyDescent="0.2">
      <c r="B827" s="87" t="s">
        <v>1473</v>
      </c>
      <c r="C827" s="88">
        <v>5550</v>
      </c>
      <c r="D827" s="87" t="s">
        <v>4945</v>
      </c>
    </row>
    <row r="828" spans="2:4" ht="15" x14ac:dyDescent="0.2">
      <c r="B828" s="87" t="s">
        <v>1474</v>
      </c>
      <c r="C828" s="88">
        <v>5550</v>
      </c>
      <c r="D828" s="87" t="s">
        <v>4945</v>
      </c>
    </row>
    <row r="829" spans="2:4" ht="15" x14ac:dyDescent="0.2">
      <c r="B829" s="87" t="s">
        <v>1475</v>
      </c>
      <c r="C829" s="88">
        <v>5550</v>
      </c>
      <c r="D829" s="87" t="s">
        <v>4945</v>
      </c>
    </row>
    <row r="830" spans="2:4" ht="15" x14ac:dyDescent="0.2">
      <c r="B830" s="87" t="s">
        <v>1476</v>
      </c>
      <c r="C830" s="88">
        <v>5550</v>
      </c>
      <c r="D830" s="87" t="s">
        <v>4945</v>
      </c>
    </row>
    <row r="831" spans="2:4" ht="15" x14ac:dyDescent="0.2">
      <c r="B831" s="87" t="s">
        <v>1477</v>
      </c>
      <c r="C831" s="88">
        <v>5550</v>
      </c>
      <c r="D831" s="87" t="s">
        <v>4945</v>
      </c>
    </row>
    <row r="832" spans="2:4" ht="15" x14ac:dyDescent="0.2">
      <c r="B832" s="87" t="s">
        <v>1478</v>
      </c>
      <c r="C832" s="88">
        <v>5550</v>
      </c>
      <c r="D832" s="87" t="s">
        <v>4945</v>
      </c>
    </row>
    <row r="833" spans="2:4" ht="15" x14ac:dyDescent="0.2">
      <c r="B833" s="87" t="s">
        <v>1479</v>
      </c>
      <c r="C833" s="88">
        <v>5550</v>
      </c>
      <c r="D833" s="87" t="s">
        <v>4945</v>
      </c>
    </row>
    <row r="834" spans="2:4" ht="15" x14ac:dyDescent="0.2">
      <c r="B834" s="87" t="s">
        <v>1480</v>
      </c>
      <c r="C834" s="88">
        <v>5550</v>
      </c>
      <c r="D834" s="87" t="s">
        <v>4945</v>
      </c>
    </row>
    <row r="835" spans="2:4" ht="15" x14ac:dyDescent="0.2">
      <c r="B835" s="87" t="s">
        <v>1481</v>
      </c>
      <c r="C835" s="88">
        <v>5550</v>
      </c>
      <c r="D835" s="87" t="s">
        <v>4945</v>
      </c>
    </row>
    <row r="836" spans="2:4" ht="15" x14ac:dyDescent="0.2">
      <c r="B836" s="87" t="s">
        <v>1482</v>
      </c>
      <c r="C836" s="88">
        <v>5550</v>
      </c>
      <c r="D836" s="87" t="s">
        <v>4945</v>
      </c>
    </row>
    <row r="837" spans="2:4" ht="15" x14ac:dyDescent="0.2">
      <c r="B837" s="87" t="s">
        <v>1483</v>
      </c>
      <c r="C837" s="88">
        <v>5550</v>
      </c>
      <c r="D837" s="87" t="s">
        <v>4945</v>
      </c>
    </row>
    <row r="838" spans="2:4" ht="15" x14ac:dyDescent="0.2">
      <c r="B838" s="87" t="s">
        <v>1484</v>
      </c>
      <c r="C838" s="88">
        <v>5550</v>
      </c>
      <c r="D838" s="87" t="s">
        <v>4945</v>
      </c>
    </row>
    <row r="839" spans="2:4" ht="15" x14ac:dyDescent="0.2">
      <c r="B839" s="87" t="s">
        <v>1485</v>
      </c>
      <c r="C839" s="88">
        <v>5550</v>
      </c>
      <c r="D839" s="87" t="s">
        <v>4945</v>
      </c>
    </row>
    <row r="840" spans="2:4" ht="15" x14ac:dyDescent="0.2">
      <c r="B840" s="87" t="s">
        <v>1486</v>
      </c>
      <c r="C840" s="88">
        <v>5550</v>
      </c>
      <c r="D840" s="87" t="s">
        <v>4945</v>
      </c>
    </row>
    <row r="841" spans="2:4" ht="15" x14ac:dyDescent="0.2">
      <c r="B841" s="87" t="s">
        <v>1487</v>
      </c>
      <c r="C841" s="88">
        <v>5550</v>
      </c>
      <c r="D841" s="87" t="s">
        <v>4945</v>
      </c>
    </row>
    <row r="842" spans="2:4" ht="15" x14ac:dyDescent="0.2">
      <c r="B842" s="87" t="s">
        <v>1488</v>
      </c>
      <c r="C842" s="88">
        <v>5550</v>
      </c>
      <c r="D842" s="87" t="s">
        <v>4945</v>
      </c>
    </row>
    <row r="843" spans="2:4" ht="15" x14ac:dyDescent="0.2">
      <c r="B843" s="87" t="s">
        <v>1489</v>
      </c>
      <c r="C843" s="88">
        <v>5550</v>
      </c>
      <c r="D843" s="87" t="s">
        <v>4945</v>
      </c>
    </row>
    <row r="844" spans="2:4" ht="15" x14ac:dyDescent="0.2">
      <c r="B844" s="87" t="s">
        <v>1490</v>
      </c>
      <c r="C844" s="88">
        <v>5550</v>
      </c>
      <c r="D844" s="87" t="s">
        <v>4945</v>
      </c>
    </row>
    <row r="845" spans="2:4" ht="15" x14ac:dyDescent="0.2">
      <c r="B845" s="87" t="s">
        <v>1491</v>
      </c>
      <c r="C845" s="88">
        <v>5550</v>
      </c>
      <c r="D845" s="87" t="s">
        <v>4945</v>
      </c>
    </row>
    <row r="846" spans="2:4" ht="15" x14ac:dyDescent="0.2">
      <c r="B846" s="87" t="s">
        <v>1492</v>
      </c>
      <c r="C846" s="88">
        <v>5530</v>
      </c>
      <c r="D846" s="87" t="s">
        <v>4944</v>
      </c>
    </row>
    <row r="847" spans="2:4" ht="15" x14ac:dyDescent="0.2">
      <c r="B847" s="87" t="s">
        <v>1493</v>
      </c>
      <c r="C847" s="88">
        <v>5530</v>
      </c>
      <c r="D847" s="87" t="s">
        <v>4944</v>
      </c>
    </row>
    <row r="848" spans="2:4" ht="15" x14ac:dyDescent="0.2">
      <c r="B848" s="87" t="s">
        <v>1494</v>
      </c>
      <c r="C848" s="88">
        <v>5530</v>
      </c>
      <c r="D848" s="87" t="s">
        <v>4944</v>
      </c>
    </row>
    <row r="849" spans="2:4" ht="15" x14ac:dyDescent="0.2">
      <c r="B849" s="87" t="s">
        <v>1495</v>
      </c>
      <c r="C849" s="88">
        <v>5530</v>
      </c>
      <c r="D849" s="87" t="s">
        <v>4944</v>
      </c>
    </row>
    <row r="850" spans="2:4" ht="15" x14ac:dyDescent="0.2">
      <c r="B850" s="87" t="s">
        <v>1496</v>
      </c>
      <c r="C850" s="88">
        <v>5530</v>
      </c>
      <c r="D850" s="87" t="s">
        <v>4944</v>
      </c>
    </row>
    <row r="851" spans="2:4" ht="15" x14ac:dyDescent="0.2">
      <c r="B851" s="87" t="s">
        <v>1497</v>
      </c>
      <c r="C851" s="88">
        <v>5520</v>
      </c>
      <c r="D851" s="87" t="s">
        <v>4943</v>
      </c>
    </row>
    <row r="852" spans="2:4" ht="15" x14ac:dyDescent="0.2">
      <c r="B852" s="87" t="s">
        <v>1498</v>
      </c>
      <c r="C852" s="88">
        <v>5520</v>
      </c>
      <c r="D852" s="87" t="s">
        <v>4943</v>
      </c>
    </row>
    <row r="853" spans="2:4" ht="15" x14ac:dyDescent="0.2">
      <c r="B853" s="87" t="s">
        <v>1499</v>
      </c>
      <c r="C853" s="88">
        <v>5520</v>
      </c>
      <c r="D853" s="87" t="s">
        <v>4943</v>
      </c>
    </row>
    <row r="854" spans="2:4" ht="15" x14ac:dyDescent="0.2">
      <c r="B854" s="87" t="s">
        <v>1500</v>
      </c>
      <c r="C854" s="88">
        <v>5520</v>
      </c>
      <c r="D854" s="87" t="s">
        <v>4943</v>
      </c>
    </row>
    <row r="855" spans="2:4" ht="15" x14ac:dyDescent="0.2">
      <c r="B855" s="87" t="s">
        <v>1501</v>
      </c>
      <c r="C855" s="88">
        <v>5510</v>
      </c>
      <c r="D855" s="87" t="s">
        <v>4942</v>
      </c>
    </row>
    <row r="856" spans="2:4" ht="15" x14ac:dyDescent="0.2">
      <c r="B856" s="87" t="s">
        <v>1502</v>
      </c>
      <c r="C856" s="88">
        <v>5510</v>
      </c>
      <c r="D856" s="87" t="s">
        <v>4942</v>
      </c>
    </row>
    <row r="857" spans="2:4" ht="15" x14ac:dyDescent="0.2">
      <c r="B857" s="87" t="s">
        <v>1503</v>
      </c>
      <c r="C857" s="88">
        <v>5510</v>
      </c>
      <c r="D857" s="87" t="s">
        <v>4942</v>
      </c>
    </row>
    <row r="858" spans="2:4" ht="15" x14ac:dyDescent="0.2">
      <c r="B858" s="87" t="s">
        <v>1504</v>
      </c>
      <c r="C858" s="88">
        <v>5490</v>
      </c>
      <c r="D858" s="87" t="s">
        <v>4941</v>
      </c>
    </row>
    <row r="859" spans="2:4" ht="15" x14ac:dyDescent="0.2">
      <c r="B859" s="87" t="s">
        <v>1505</v>
      </c>
      <c r="C859" s="88">
        <v>5490</v>
      </c>
      <c r="D859" s="87" t="s">
        <v>4941</v>
      </c>
    </row>
    <row r="860" spans="2:4" ht="15" x14ac:dyDescent="0.2">
      <c r="B860" s="87" t="s">
        <v>1506</v>
      </c>
      <c r="C860" s="88">
        <v>5490</v>
      </c>
      <c r="D860" s="87" t="s">
        <v>4941</v>
      </c>
    </row>
    <row r="861" spans="2:4" ht="15" x14ac:dyDescent="0.2">
      <c r="B861" s="87" t="s">
        <v>1507</v>
      </c>
      <c r="C861" s="88">
        <v>5480</v>
      </c>
      <c r="D861" s="87" t="s">
        <v>4940</v>
      </c>
    </row>
    <row r="862" spans="2:4" ht="15" x14ac:dyDescent="0.2">
      <c r="B862" s="87" t="s">
        <v>1508</v>
      </c>
      <c r="C862" s="88">
        <v>5480</v>
      </c>
      <c r="D862" s="87" t="s">
        <v>4940</v>
      </c>
    </row>
    <row r="863" spans="2:4" ht="15" x14ac:dyDescent="0.2">
      <c r="B863" s="87" t="s">
        <v>1509</v>
      </c>
      <c r="C863" s="88">
        <v>5480</v>
      </c>
      <c r="D863" s="87" t="s">
        <v>4940</v>
      </c>
    </row>
    <row r="864" spans="2:4" ht="15" x14ac:dyDescent="0.2">
      <c r="B864" s="87" t="s">
        <v>1510</v>
      </c>
      <c r="C864" s="88">
        <v>5460</v>
      </c>
      <c r="D864" s="87" t="s">
        <v>4939</v>
      </c>
    </row>
    <row r="865" spans="2:4" ht="15" x14ac:dyDescent="0.2">
      <c r="B865" s="87" t="s">
        <v>1511</v>
      </c>
      <c r="C865" s="88">
        <v>5460</v>
      </c>
      <c r="D865" s="87" t="s">
        <v>4939</v>
      </c>
    </row>
    <row r="866" spans="2:4" ht="15" x14ac:dyDescent="0.2">
      <c r="B866" s="87" t="s">
        <v>1512</v>
      </c>
      <c r="C866" s="88">
        <v>5460</v>
      </c>
      <c r="D866" s="87" t="s">
        <v>4939</v>
      </c>
    </row>
    <row r="867" spans="2:4" ht="15" x14ac:dyDescent="0.2">
      <c r="B867" s="87" t="s">
        <v>1513</v>
      </c>
      <c r="C867" s="88">
        <v>5450</v>
      </c>
      <c r="D867" s="87" t="s">
        <v>4938</v>
      </c>
    </row>
    <row r="868" spans="2:4" ht="15" x14ac:dyDescent="0.2">
      <c r="B868" s="87" t="s">
        <v>1514</v>
      </c>
      <c r="C868" s="88">
        <v>5450</v>
      </c>
      <c r="D868" s="87" t="s">
        <v>4938</v>
      </c>
    </row>
    <row r="869" spans="2:4" ht="15" x14ac:dyDescent="0.2">
      <c r="B869" s="87" t="s">
        <v>1515</v>
      </c>
      <c r="C869" s="88">
        <v>5430</v>
      </c>
      <c r="D869" s="87" t="s">
        <v>4937</v>
      </c>
    </row>
    <row r="870" spans="2:4" ht="15" x14ac:dyDescent="0.2">
      <c r="B870" s="87" t="s">
        <v>1516</v>
      </c>
      <c r="C870" s="88">
        <v>5430</v>
      </c>
      <c r="D870" s="87" t="s">
        <v>4937</v>
      </c>
    </row>
    <row r="871" spans="2:4" ht="15" x14ac:dyDescent="0.2">
      <c r="B871" s="87" t="s">
        <v>1517</v>
      </c>
      <c r="C871" s="88">
        <v>5430</v>
      </c>
      <c r="D871" s="87" t="s">
        <v>4937</v>
      </c>
    </row>
    <row r="872" spans="2:4" ht="15" x14ac:dyDescent="0.2">
      <c r="B872" s="87" t="s">
        <v>1518</v>
      </c>
      <c r="C872" s="88">
        <v>5430</v>
      </c>
      <c r="D872" s="87" t="s">
        <v>4937</v>
      </c>
    </row>
    <row r="873" spans="2:4" ht="15" x14ac:dyDescent="0.2">
      <c r="B873" s="87" t="s">
        <v>1519</v>
      </c>
      <c r="C873" s="88">
        <v>5420</v>
      </c>
      <c r="D873" s="87" t="s">
        <v>4936</v>
      </c>
    </row>
    <row r="874" spans="2:4" ht="15" x14ac:dyDescent="0.2">
      <c r="B874" s="87" t="s">
        <v>1520</v>
      </c>
      <c r="C874" s="88">
        <v>5420</v>
      </c>
      <c r="D874" s="87" t="s">
        <v>4936</v>
      </c>
    </row>
    <row r="875" spans="2:4" ht="15" x14ac:dyDescent="0.2">
      <c r="B875" s="87" t="s">
        <v>1521</v>
      </c>
      <c r="C875" s="88">
        <v>5400</v>
      </c>
      <c r="D875" s="87" t="s">
        <v>4935</v>
      </c>
    </row>
    <row r="876" spans="2:4" ht="15" x14ac:dyDescent="0.2">
      <c r="B876" s="87" t="s">
        <v>1522</v>
      </c>
      <c r="C876" s="88">
        <v>5400</v>
      </c>
      <c r="D876" s="87" t="s">
        <v>4935</v>
      </c>
    </row>
    <row r="877" spans="2:4" ht="15" x14ac:dyDescent="0.2">
      <c r="B877" s="87" t="s">
        <v>1523</v>
      </c>
      <c r="C877" s="88">
        <v>5400</v>
      </c>
      <c r="D877" s="87" t="s">
        <v>4935</v>
      </c>
    </row>
    <row r="878" spans="2:4" ht="15" x14ac:dyDescent="0.2">
      <c r="B878" s="87" t="s">
        <v>1524</v>
      </c>
      <c r="C878" s="88">
        <v>5400</v>
      </c>
      <c r="D878" s="87" t="s">
        <v>4935</v>
      </c>
    </row>
    <row r="879" spans="2:4" ht="15" x14ac:dyDescent="0.2">
      <c r="B879" s="87" t="s">
        <v>1525</v>
      </c>
      <c r="C879" s="88">
        <v>5390</v>
      </c>
      <c r="D879" s="87" t="s">
        <v>4934</v>
      </c>
    </row>
    <row r="880" spans="2:4" ht="15" x14ac:dyDescent="0.2">
      <c r="B880" s="87" t="s">
        <v>1526</v>
      </c>
      <c r="C880" s="88">
        <v>5390</v>
      </c>
      <c r="D880" s="87" t="s">
        <v>4934</v>
      </c>
    </row>
    <row r="881" spans="2:4" ht="15" x14ac:dyDescent="0.2">
      <c r="B881" s="87" t="s">
        <v>1527</v>
      </c>
      <c r="C881" s="88">
        <v>5390</v>
      </c>
      <c r="D881" s="87" t="s">
        <v>4934</v>
      </c>
    </row>
    <row r="882" spans="2:4" ht="15" x14ac:dyDescent="0.2">
      <c r="B882" s="87" t="s">
        <v>1528</v>
      </c>
      <c r="C882" s="88">
        <v>5370</v>
      </c>
      <c r="D882" s="87" t="s">
        <v>4933</v>
      </c>
    </row>
    <row r="883" spans="2:4" ht="15" x14ac:dyDescent="0.2">
      <c r="B883" s="87" t="s">
        <v>1529</v>
      </c>
      <c r="C883" s="88">
        <v>5370</v>
      </c>
      <c r="D883" s="87" t="s">
        <v>4933</v>
      </c>
    </row>
    <row r="884" spans="2:4" ht="15" x14ac:dyDescent="0.2">
      <c r="B884" s="87" t="s">
        <v>1530</v>
      </c>
      <c r="C884" s="88">
        <v>5370</v>
      </c>
      <c r="D884" s="87" t="s">
        <v>4933</v>
      </c>
    </row>
    <row r="885" spans="2:4" ht="15" x14ac:dyDescent="0.2">
      <c r="B885" s="87" t="s">
        <v>1531</v>
      </c>
      <c r="C885" s="88">
        <v>5370</v>
      </c>
      <c r="D885" s="87" t="s">
        <v>4933</v>
      </c>
    </row>
    <row r="886" spans="2:4" ht="15" x14ac:dyDescent="0.2">
      <c r="B886" s="87" t="s">
        <v>1532</v>
      </c>
      <c r="C886" s="88">
        <v>5370</v>
      </c>
      <c r="D886" s="87" t="s">
        <v>4933</v>
      </c>
    </row>
    <row r="887" spans="2:4" ht="15" x14ac:dyDescent="0.2">
      <c r="B887" s="87" t="s">
        <v>1533</v>
      </c>
      <c r="C887" s="88">
        <v>5360</v>
      </c>
      <c r="D887" s="87" t="s">
        <v>4932</v>
      </c>
    </row>
    <row r="888" spans="2:4" ht="15" x14ac:dyDescent="0.2">
      <c r="B888" s="87" t="s">
        <v>1534</v>
      </c>
      <c r="C888" s="88">
        <v>5360</v>
      </c>
      <c r="D888" s="87" t="s">
        <v>4932</v>
      </c>
    </row>
    <row r="889" spans="2:4" ht="15" x14ac:dyDescent="0.2">
      <c r="B889" s="87" t="s">
        <v>1535</v>
      </c>
      <c r="C889" s="88">
        <v>5360</v>
      </c>
      <c r="D889" s="87" t="s">
        <v>4932</v>
      </c>
    </row>
    <row r="890" spans="2:4" ht="15" x14ac:dyDescent="0.2">
      <c r="B890" s="87" t="s">
        <v>1536</v>
      </c>
      <c r="C890" s="88">
        <v>5360</v>
      </c>
      <c r="D890" s="87" t="s">
        <v>4932</v>
      </c>
    </row>
    <row r="891" spans="2:4" ht="15" x14ac:dyDescent="0.2">
      <c r="B891" s="87" t="s">
        <v>1537</v>
      </c>
      <c r="C891" s="88">
        <v>5360</v>
      </c>
      <c r="D891" s="87" t="s">
        <v>4932</v>
      </c>
    </row>
    <row r="892" spans="2:4" ht="15" x14ac:dyDescent="0.2">
      <c r="B892" s="87" t="s">
        <v>1538</v>
      </c>
      <c r="C892" s="88">
        <v>5350</v>
      </c>
      <c r="D892" s="87" t="s">
        <v>4931</v>
      </c>
    </row>
    <row r="893" spans="2:4" ht="15" x14ac:dyDescent="0.2">
      <c r="B893" s="87" t="s">
        <v>1539</v>
      </c>
      <c r="C893" s="88">
        <v>5350</v>
      </c>
      <c r="D893" s="87" t="s">
        <v>4931</v>
      </c>
    </row>
    <row r="894" spans="2:4" ht="15" x14ac:dyDescent="0.2">
      <c r="B894" s="87" t="s">
        <v>1540</v>
      </c>
      <c r="C894" s="88">
        <v>5350</v>
      </c>
      <c r="D894" s="87" t="s">
        <v>4931</v>
      </c>
    </row>
    <row r="895" spans="2:4" ht="15" x14ac:dyDescent="0.2">
      <c r="B895" s="87" t="s">
        <v>1541</v>
      </c>
      <c r="C895" s="88">
        <v>5350</v>
      </c>
      <c r="D895" s="87" t="s">
        <v>4931</v>
      </c>
    </row>
    <row r="896" spans="2:4" ht="15" x14ac:dyDescent="0.2">
      <c r="B896" s="87" t="s">
        <v>1542</v>
      </c>
      <c r="C896" s="88">
        <v>5350</v>
      </c>
      <c r="D896" s="87" t="s">
        <v>4931</v>
      </c>
    </row>
    <row r="897" spans="2:4" ht="15" x14ac:dyDescent="0.2">
      <c r="B897" s="87" t="s">
        <v>1543</v>
      </c>
      <c r="C897" s="88">
        <v>5350</v>
      </c>
      <c r="D897" s="87" t="s">
        <v>4931</v>
      </c>
    </row>
    <row r="898" spans="2:4" ht="15" x14ac:dyDescent="0.2">
      <c r="B898" s="87" t="s">
        <v>1544</v>
      </c>
      <c r="C898" s="88">
        <v>5330</v>
      </c>
      <c r="D898" s="87" t="s">
        <v>4930</v>
      </c>
    </row>
    <row r="899" spans="2:4" ht="15" x14ac:dyDescent="0.2">
      <c r="B899" s="87" t="s">
        <v>1545</v>
      </c>
      <c r="C899" s="88">
        <v>5330</v>
      </c>
      <c r="D899" s="87" t="s">
        <v>4930</v>
      </c>
    </row>
    <row r="900" spans="2:4" ht="15" x14ac:dyDescent="0.2">
      <c r="B900" s="87" t="s">
        <v>1546</v>
      </c>
      <c r="C900" s="88">
        <v>5330</v>
      </c>
      <c r="D900" s="87" t="s">
        <v>4930</v>
      </c>
    </row>
    <row r="901" spans="2:4" ht="15" x14ac:dyDescent="0.2">
      <c r="B901" s="87" t="s">
        <v>1547</v>
      </c>
      <c r="C901" s="88">
        <v>5320</v>
      </c>
      <c r="D901" s="87" t="s">
        <v>4929</v>
      </c>
    </row>
    <row r="902" spans="2:4" ht="15" x14ac:dyDescent="0.2">
      <c r="B902" s="87" t="s">
        <v>1548</v>
      </c>
      <c r="C902" s="88">
        <v>5320</v>
      </c>
      <c r="D902" s="87" t="s">
        <v>4929</v>
      </c>
    </row>
    <row r="903" spans="2:4" ht="15" x14ac:dyDescent="0.2">
      <c r="B903" s="87" t="s">
        <v>1549</v>
      </c>
      <c r="C903" s="88">
        <v>5320</v>
      </c>
      <c r="D903" s="87" t="s">
        <v>4929</v>
      </c>
    </row>
    <row r="904" spans="2:4" ht="15" x14ac:dyDescent="0.2">
      <c r="B904" s="87" t="s">
        <v>1550</v>
      </c>
      <c r="C904" s="88">
        <v>5320</v>
      </c>
      <c r="D904" s="87" t="s">
        <v>4929</v>
      </c>
    </row>
    <row r="905" spans="2:4" ht="15" x14ac:dyDescent="0.2">
      <c r="B905" s="87" t="s">
        <v>1551</v>
      </c>
      <c r="C905" s="88">
        <v>5300</v>
      </c>
      <c r="D905" s="87" t="s">
        <v>4928</v>
      </c>
    </row>
    <row r="906" spans="2:4" ht="15" x14ac:dyDescent="0.2">
      <c r="B906" s="87" t="s">
        <v>1552</v>
      </c>
      <c r="C906" s="88">
        <v>5300</v>
      </c>
      <c r="D906" s="87" t="s">
        <v>4928</v>
      </c>
    </row>
    <row r="907" spans="2:4" ht="15" x14ac:dyDescent="0.2">
      <c r="B907" s="87" t="s">
        <v>1553</v>
      </c>
      <c r="C907" s="88">
        <v>5300</v>
      </c>
      <c r="D907" s="87" t="s">
        <v>4928</v>
      </c>
    </row>
    <row r="908" spans="2:4" ht="15" x14ac:dyDescent="0.2">
      <c r="B908" s="87" t="s">
        <v>1554</v>
      </c>
      <c r="C908" s="88">
        <v>5300</v>
      </c>
      <c r="D908" s="87" t="s">
        <v>4928</v>
      </c>
    </row>
    <row r="909" spans="2:4" ht="15" x14ac:dyDescent="0.2">
      <c r="B909" s="87" t="s">
        <v>1555</v>
      </c>
      <c r="C909" s="88">
        <v>5300</v>
      </c>
      <c r="D909" s="87" t="s">
        <v>4928</v>
      </c>
    </row>
    <row r="910" spans="2:4" ht="15" x14ac:dyDescent="0.2">
      <c r="B910" s="87" t="s">
        <v>1556</v>
      </c>
      <c r="C910" s="88">
        <v>5300</v>
      </c>
      <c r="D910" s="87" t="s">
        <v>4928</v>
      </c>
    </row>
    <row r="911" spans="2:4" ht="15" x14ac:dyDescent="0.2">
      <c r="B911" s="87" t="s">
        <v>1557</v>
      </c>
      <c r="C911" s="88">
        <v>5290</v>
      </c>
      <c r="D911" s="87" t="s">
        <v>4927</v>
      </c>
    </row>
    <row r="912" spans="2:4" ht="15" x14ac:dyDescent="0.2">
      <c r="B912" s="87" t="s">
        <v>1558</v>
      </c>
      <c r="C912" s="88">
        <v>5290</v>
      </c>
      <c r="D912" s="87" t="s">
        <v>4927</v>
      </c>
    </row>
    <row r="913" spans="2:4" ht="15" x14ac:dyDescent="0.2">
      <c r="B913" s="87" t="s">
        <v>1559</v>
      </c>
      <c r="C913" s="88">
        <v>5290</v>
      </c>
      <c r="D913" s="87" t="s">
        <v>4927</v>
      </c>
    </row>
    <row r="914" spans="2:4" ht="15" x14ac:dyDescent="0.2">
      <c r="B914" s="87" t="s">
        <v>1560</v>
      </c>
      <c r="C914" s="88">
        <v>5290</v>
      </c>
      <c r="D914" s="87" t="s">
        <v>4927</v>
      </c>
    </row>
    <row r="915" spans="2:4" ht="15" x14ac:dyDescent="0.2">
      <c r="B915" s="87" t="s">
        <v>1561</v>
      </c>
      <c r="C915" s="88">
        <v>5290</v>
      </c>
      <c r="D915" s="87" t="s">
        <v>4927</v>
      </c>
    </row>
    <row r="916" spans="2:4" ht="15" x14ac:dyDescent="0.2">
      <c r="B916" s="87" t="s">
        <v>1562</v>
      </c>
      <c r="C916" s="88">
        <v>5290</v>
      </c>
      <c r="D916" s="87" t="s">
        <v>4927</v>
      </c>
    </row>
    <row r="917" spans="2:4" ht="15" x14ac:dyDescent="0.2">
      <c r="B917" s="87" t="s">
        <v>1563</v>
      </c>
      <c r="C917" s="88">
        <v>5290</v>
      </c>
      <c r="D917" s="87" t="s">
        <v>4927</v>
      </c>
    </row>
    <row r="918" spans="2:4" ht="15" x14ac:dyDescent="0.2">
      <c r="B918" s="87" t="s">
        <v>1564</v>
      </c>
      <c r="C918" s="88">
        <v>5270</v>
      </c>
      <c r="D918" s="87" t="s">
        <v>4926</v>
      </c>
    </row>
    <row r="919" spans="2:4" ht="15" x14ac:dyDescent="0.2">
      <c r="B919" s="87" t="s">
        <v>1565</v>
      </c>
      <c r="C919" s="88">
        <v>5270</v>
      </c>
      <c r="D919" s="87" t="s">
        <v>4926</v>
      </c>
    </row>
    <row r="920" spans="2:4" ht="15" x14ac:dyDescent="0.2">
      <c r="B920" s="87" t="s">
        <v>1566</v>
      </c>
      <c r="C920" s="88">
        <v>5270</v>
      </c>
      <c r="D920" s="87" t="s">
        <v>4926</v>
      </c>
    </row>
    <row r="921" spans="2:4" ht="15" x14ac:dyDescent="0.2">
      <c r="B921" s="87" t="s">
        <v>1567</v>
      </c>
      <c r="C921" s="88">
        <v>5270</v>
      </c>
      <c r="D921" s="87" t="s">
        <v>4926</v>
      </c>
    </row>
    <row r="922" spans="2:4" ht="15" x14ac:dyDescent="0.2">
      <c r="B922" s="87" t="s">
        <v>1568</v>
      </c>
      <c r="C922" s="88">
        <v>5270</v>
      </c>
      <c r="D922" s="87" t="s">
        <v>4926</v>
      </c>
    </row>
    <row r="923" spans="2:4" ht="15" x14ac:dyDescent="0.2">
      <c r="B923" s="87" t="s">
        <v>1569</v>
      </c>
      <c r="C923" s="88">
        <v>5260</v>
      </c>
      <c r="D923" s="87" t="s">
        <v>4925</v>
      </c>
    </row>
    <row r="924" spans="2:4" ht="15" x14ac:dyDescent="0.2">
      <c r="B924" s="87" t="s">
        <v>1570</v>
      </c>
      <c r="C924" s="88">
        <v>5260</v>
      </c>
      <c r="D924" s="87" t="s">
        <v>4925</v>
      </c>
    </row>
    <row r="925" spans="2:4" ht="15" x14ac:dyDescent="0.2">
      <c r="B925" s="87" t="s">
        <v>1571</v>
      </c>
      <c r="C925" s="88">
        <v>5260</v>
      </c>
      <c r="D925" s="87" t="s">
        <v>4925</v>
      </c>
    </row>
    <row r="926" spans="2:4" ht="15" x14ac:dyDescent="0.2">
      <c r="B926" s="87" t="s">
        <v>1572</v>
      </c>
      <c r="C926" s="88">
        <v>5260</v>
      </c>
      <c r="D926" s="87" t="s">
        <v>4925</v>
      </c>
    </row>
    <row r="927" spans="2:4" ht="15" x14ac:dyDescent="0.2">
      <c r="B927" s="87" t="s">
        <v>1573</v>
      </c>
      <c r="C927" s="88">
        <v>5240</v>
      </c>
      <c r="D927" s="87" t="s">
        <v>4924</v>
      </c>
    </row>
    <row r="928" spans="2:4" ht="15" x14ac:dyDescent="0.2">
      <c r="B928" s="87" t="s">
        <v>1574</v>
      </c>
      <c r="C928" s="88">
        <v>5240</v>
      </c>
      <c r="D928" s="87" t="s">
        <v>4924</v>
      </c>
    </row>
    <row r="929" spans="2:4" ht="15" x14ac:dyDescent="0.2">
      <c r="B929" s="87" t="s">
        <v>1575</v>
      </c>
      <c r="C929" s="88">
        <v>5230</v>
      </c>
      <c r="D929" s="87" t="s">
        <v>4923</v>
      </c>
    </row>
    <row r="930" spans="2:4" ht="15" x14ac:dyDescent="0.2">
      <c r="B930" s="87" t="s">
        <v>1576</v>
      </c>
      <c r="C930" s="88">
        <v>5230</v>
      </c>
      <c r="D930" s="87" t="s">
        <v>4923</v>
      </c>
    </row>
    <row r="931" spans="2:4" ht="15" x14ac:dyDescent="0.2">
      <c r="B931" s="87" t="s">
        <v>1577</v>
      </c>
      <c r="C931" s="88">
        <v>5220</v>
      </c>
      <c r="D931" s="87" t="s">
        <v>4922</v>
      </c>
    </row>
    <row r="932" spans="2:4" ht="15" x14ac:dyDescent="0.2">
      <c r="B932" s="87" t="s">
        <v>1578</v>
      </c>
      <c r="C932" s="88">
        <v>5200</v>
      </c>
      <c r="D932" s="87" t="s">
        <v>4921</v>
      </c>
    </row>
    <row r="933" spans="2:4" ht="15" x14ac:dyDescent="0.2">
      <c r="B933" s="87" t="s">
        <v>1579</v>
      </c>
      <c r="C933" s="88">
        <v>5200</v>
      </c>
      <c r="D933" s="87" t="s">
        <v>4921</v>
      </c>
    </row>
    <row r="934" spans="2:4" ht="15" x14ac:dyDescent="0.2">
      <c r="B934" s="87" t="s">
        <v>1580</v>
      </c>
      <c r="C934" s="88">
        <v>5190</v>
      </c>
      <c r="D934" s="87" t="s">
        <v>5033</v>
      </c>
    </row>
    <row r="935" spans="2:4" ht="15" x14ac:dyDescent="0.2">
      <c r="B935" s="87" t="s">
        <v>1581</v>
      </c>
      <c r="C935" s="88">
        <v>5190</v>
      </c>
      <c r="D935" s="87" t="s">
        <v>5033</v>
      </c>
    </row>
    <row r="936" spans="2:4" ht="15" x14ac:dyDescent="0.2">
      <c r="B936" s="87" t="s">
        <v>1582</v>
      </c>
      <c r="C936" s="88">
        <v>5170</v>
      </c>
      <c r="D936" s="87" t="s">
        <v>4920</v>
      </c>
    </row>
    <row r="937" spans="2:4" ht="15" x14ac:dyDescent="0.2">
      <c r="B937" s="87" t="s">
        <v>1583</v>
      </c>
      <c r="C937" s="88">
        <v>5160</v>
      </c>
      <c r="D937" s="87" t="s">
        <v>4919</v>
      </c>
    </row>
    <row r="938" spans="2:4" ht="15" x14ac:dyDescent="0.2">
      <c r="B938" s="87" t="s">
        <v>1584</v>
      </c>
      <c r="C938" s="88">
        <v>5160</v>
      </c>
      <c r="D938" s="87" t="s">
        <v>4919</v>
      </c>
    </row>
    <row r="939" spans="2:4" ht="15" x14ac:dyDescent="0.2">
      <c r="B939" s="87" t="s">
        <v>1585</v>
      </c>
      <c r="C939" s="88">
        <v>5140</v>
      </c>
      <c r="D939" s="87" t="s">
        <v>4918</v>
      </c>
    </row>
    <row r="940" spans="2:4" ht="15" x14ac:dyDescent="0.2">
      <c r="B940" s="87" t="s">
        <v>1586</v>
      </c>
      <c r="C940" s="88">
        <v>5140</v>
      </c>
      <c r="D940" s="87" t="s">
        <v>4918</v>
      </c>
    </row>
    <row r="941" spans="2:4" ht="15" x14ac:dyDescent="0.2">
      <c r="B941" s="87" t="s">
        <v>1587</v>
      </c>
      <c r="C941" s="88">
        <v>5130</v>
      </c>
      <c r="D941" s="87" t="s">
        <v>5034</v>
      </c>
    </row>
    <row r="942" spans="2:4" ht="15" x14ac:dyDescent="0.2">
      <c r="B942" s="87" t="s">
        <v>1588</v>
      </c>
      <c r="C942" s="88">
        <v>5130</v>
      </c>
      <c r="D942" s="87" t="s">
        <v>5034</v>
      </c>
    </row>
    <row r="943" spans="2:4" ht="15" x14ac:dyDescent="0.2">
      <c r="B943" s="87" t="s">
        <v>1589</v>
      </c>
      <c r="C943" s="88">
        <v>5120</v>
      </c>
      <c r="D943" s="87" t="s">
        <v>4917</v>
      </c>
    </row>
    <row r="944" spans="2:4" ht="15" x14ac:dyDescent="0.2">
      <c r="B944" s="87" t="s">
        <v>1590</v>
      </c>
      <c r="C944" s="88">
        <v>5120</v>
      </c>
      <c r="D944" s="87" t="s">
        <v>4917</v>
      </c>
    </row>
    <row r="945" spans="2:4" ht="15" x14ac:dyDescent="0.2">
      <c r="B945" s="87" t="s">
        <v>1591</v>
      </c>
      <c r="C945" s="88">
        <v>5120</v>
      </c>
      <c r="D945" s="87" t="s">
        <v>4917</v>
      </c>
    </row>
    <row r="946" spans="2:4" ht="15" x14ac:dyDescent="0.2">
      <c r="B946" s="87" t="s">
        <v>1592</v>
      </c>
      <c r="C946" s="88">
        <v>5100</v>
      </c>
      <c r="D946" s="87" t="s">
        <v>4916</v>
      </c>
    </row>
    <row r="947" spans="2:4" ht="15" x14ac:dyDescent="0.2">
      <c r="B947" s="87" t="s">
        <v>1593</v>
      </c>
      <c r="C947" s="88">
        <v>5100</v>
      </c>
      <c r="D947" s="87" t="s">
        <v>4916</v>
      </c>
    </row>
    <row r="948" spans="2:4" ht="15" x14ac:dyDescent="0.2">
      <c r="B948" s="87" t="s">
        <v>1594</v>
      </c>
      <c r="C948" s="88">
        <v>5100</v>
      </c>
      <c r="D948" s="87" t="s">
        <v>4916</v>
      </c>
    </row>
    <row r="949" spans="2:4" ht="15" x14ac:dyDescent="0.2">
      <c r="B949" s="87" t="s">
        <v>1595</v>
      </c>
      <c r="C949" s="88">
        <v>5090</v>
      </c>
      <c r="D949" s="87" t="s">
        <v>4915</v>
      </c>
    </row>
    <row r="950" spans="2:4" ht="15" x14ac:dyDescent="0.2">
      <c r="B950" s="87" t="s">
        <v>1596</v>
      </c>
      <c r="C950" s="88">
        <v>5090</v>
      </c>
      <c r="D950" s="87" t="s">
        <v>4915</v>
      </c>
    </row>
    <row r="951" spans="2:4" ht="15" x14ac:dyDescent="0.2">
      <c r="B951" s="87" t="s">
        <v>1597</v>
      </c>
      <c r="C951" s="88">
        <v>5090</v>
      </c>
      <c r="D951" s="87" t="s">
        <v>4915</v>
      </c>
    </row>
    <row r="952" spans="2:4" ht="15" x14ac:dyDescent="0.2">
      <c r="B952" s="87" t="s">
        <v>1598</v>
      </c>
      <c r="C952" s="88">
        <v>5070</v>
      </c>
      <c r="D952" s="87" t="s">
        <v>5035</v>
      </c>
    </row>
    <row r="953" spans="2:4" ht="15" x14ac:dyDescent="0.2">
      <c r="B953" s="87" t="s">
        <v>1599</v>
      </c>
      <c r="C953" s="88">
        <v>5070</v>
      </c>
      <c r="D953" s="87" t="s">
        <v>5035</v>
      </c>
    </row>
    <row r="954" spans="2:4" ht="15" x14ac:dyDescent="0.2">
      <c r="B954" s="87" t="s">
        <v>1600</v>
      </c>
      <c r="C954" s="88">
        <v>5060</v>
      </c>
      <c r="D954" s="87" t="s">
        <v>4914</v>
      </c>
    </row>
    <row r="955" spans="2:4" ht="15" x14ac:dyDescent="0.2">
      <c r="B955" s="87" t="s">
        <v>1601</v>
      </c>
      <c r="C955" s="88">
        <v>5060</v>
      </c>
      <c r="D955" s="87" t="s">
        <v>4914</v>
      </c>
    </row>
    <row r="956" spans="2:4" ht="15" x14ac:dyDescent="0.2">
      <c r="B956" s="87" t="s">
        <v>1602</v>
      </c>
      <c r="C956" s="88">
        <v>5060</v>
      </c>
      <c r="D956" s="87" t="s">
        <v>4914</v>
      </c>
    </row>
    <row r="957" spans="2:4" ht="15" x14ac:dyDescent="0.2">
      <c r="B957" s="87" t="s">
        <v>1603</v>
      </c>
      <c r="C957" s="88">
        <v>5040</v>
      </c>
      <c r="D957" s="87" t="s">
        <v>4913</v>
      </c>
    </row>
    <row r="958" spans="2:4" ht="15" x14ac:dyDescent="0.2">
      <c r="B958" s="87" t="s">
        <v>1604</v>
      </c>
      <c r="C958" s="88">
        <v>5040</v>
      </c>
      <c r="D958" s="87" t="s">
        <v>4913</v>
      </c>
    </row>
    <row r="959" spans="2:4" ht="15" x14ac:dyDescent="0.2">
      <c r="B959" s="87" t="s">
        <v>1605</v>
      </c>
      <c r="C959" s="88">
        <v>5030</v>
      </c>
      <c r="D959" s="87" t="s">
        <v>4912</v>
      </c>
    </row>
    <row r="960" spans="2:4" ht="15" x14ac:dyDescent="0.2">
      <c r="B960" s="87" t="s">
        <v>1606</v>
      </c>
      <c r="C960" s="88">
        <v>5030</v>
      </c>
      <c r="D960" s="87" t="s">
        <v>4912</v>
      </c>
    </row>
    <row r="961" spans="2:4" ht="15" x14ac:dyDescent="0.2">
      <c r="B961" s="87" t="s">
        <v>1607</v>
      </c>
      <c r="C961" s="88">
        <v>5030</v>
      </c>
      <c r="D961" s="87" t="s">
        <v>4912</v>
      </c>
    </row>
    <row r="962" spans="2:4" ht="15" x14ac:dyDescent="0.2">
      <c r="B962" s="87" t="s">
        <v>1608</v>
      </c>
      <c r="C962" s="88">
        <v>5020</v>
      </c>
      <c r="D962" s="87" t="s">
        <v>5036</v>
      </c>
    </row>
    <row r="963" spans="2:4" ht="15" x14ac:dyDescent="0.2">
      <c r="B963" s="87" t="s">
        <v>1609</v>
      </c>
      <c r="C963" s="88">
        <v>5020</v>
      </c>
      <c r="D963" s="87" t="s">
        <v>5036</v>
      </c>
    </row>
    <row r="964" spans="2:4" ht="15" x14ac:dyDescent="0.2">
      <c r="B964" s="87" t="s">
        <v>1610</v>
      </c>
      <c r="C964" s="88">
        <v>5000</v>
      </c>
      <c r="D964" s="87" t="s">
        <v>4911</v>
      </c>
    </row>
    <row r="965" spans="2:4" ht="15" x14ac:dyDescent="0.2">
      <c r="B965" s="87" t="s">
        <v>1611</v>
      </c>
      <c r="C965" s="88">
        <v>5000</v>
      </c>
      <c r="D965" s="87" t="s">
        <v>4911</v>
      </c>
    </row>
    <row r="966" spans="2:4" ht="15" x14ac:dyDescent="0.2">
      <c r="B966" s="87" t="s">
        <v>1612</v>
      </c>
      <c r="C966" s="88">
        <v>5000</v>
      </c>
      <c r="D966" s="87" t="s">
        <v>4911</v>
      </c>
    </row>
    <row r="967" spans="2:4" ht="15" x14ac:dyDescent="0.2">
      <c r="B967" s="87" t="s">
        <v>1613</v>
      </c>
      <c r="C967" s="88">
        <v>4990</v>
      </c>
      <c r="D967" s="87" t="s">
        <v>4910</v>
      </c>
    </row>
    <row r="968" spans="2:4" ht="15" x14ac:dyDescent="0.2">
      <c r="B968" s="87" t="s">
        <v>1614</v>
      </c>
      <c r="C968" s="88">
        <v>4990</v>
      </c>
      <c r="D968" s="87" t="s">
        <v>4910</v>
      </c>
    </row>
    <row r="969" spans="2:4" ht="15" x14ac:dyDescent="0.2">
      <c r="B969" s="87" t="s">
        <v>1615</v>
      </c>
      <c r="C969" s="88">
        <v>4990</v>
      </c>
      <c r="D969" s="87" t="s">
        <v>4910</v>
      </c>
    </row>
    <row r="970" spans="2:4" ht="15" x14ac:dyDescent="0.2">
      <c r="B970" s="87" t="s">
        <v>1616</v>
      </c>
      <c r="C970" s="88">
        <v>4970</v>
      </c>
      <c r="D970" s="87" t="s">
        <v>4909</v>
      </c>
    </row>
    <row r="971" spans="2:4" ht="15" x14ac:dyDescent="0.2">
      <c r="B971" s="87" t="s">
        <v>1617</v>
      </c>
      <c r="C971" s="88">
        <v>4970</v>
      </c>
      <c r="D971" s="87" t="s">
        <v>4909</v>
      </c>
    </row>
    <row r="972" spans="2:4" ht="15" x14ac:dyDescent="0.2">
      <c r="B972" s="87" t="s">
        <v>1618</v>
      </c>
      <c r="C972" s="88">
        <v>4970</v>
      </c>
      <c r="D972" s="87" t="s">
        <v>4909</v>
      </c>
    </row>
    <row r="973" spans="2:4" ht="15" x14ac:dyDescent="0.2">
      <c r="B973" s="87" t="s">
        <v>1619</v>
      </c>
      <c r="C973" s="88">
        <v>4970</v>
      </c>
      <c r="D973" s="87" t="s">
        <v>4909</v>
      </c>
    </row>
    <row r="974" spans="2:4" ht="15" x14ac:dyDescent="0.2">
      <c r="B974" s="87" t="s">
        <v>1620</v>
      </c>
      <c r="C974" s="88">
        <v>4960</v>
      </c>
      <c r="D974" s="87" t="s">
        <v>4908</v>
      </c>
    </row>
    <row r="975" spans="2:4" ht="15" x14ac:dyDescent="0.2">
      <c r="B975" s="87" t="s">
        <v>1621</v>
      </c>
      <c r="C975" s="88">
        <v>4960</v>
      </c>
      <c r="D975" s="87" t="s">
        <v>4908</v>
      </c>
    </row>
    <row r="976" spans="2:4" ht="15" x14ac:dyDescent="0.2">
      <c r="B976" s="87" t="s">
        <v>1622</v>
      </c>
      <c r="C976" s="88">
        <v>4960</v>
      </c>
      <c r="D976" s="87" t="s">
        <v>4908</v>
      </c>
    </row>
    <row r="977" spans="2:4" ht="15" x14ac:dyDescent="0.2">
      <c r="B977" s="87" t="s">
        <v>1623</v>
      </c>
      <c r="C977" s="88">
        <v>4950</v>
      </c>
      <c r="D977" s="87" t="s">
        <v>4907</v>
      </c>
    </row>
    <row r="978" spans="2:4" ht="15" x14ac:dyDescent="0.2">
      <c r="B978" s="87" t="s">
        <v>1624</v>
      </c>
      <c r="C978" s="88">
        <v>4950</v>
      </c>
      <c r="D978" s="87" t="s">
        <v>4907</v>
      </c>
    </row>
    <row r="979" spans="2:4" ht="15" x14ac:dyDescent="0.2">
      <c r="B979" s="87" t="s">
        <v>1625</v>
      </c>
      <c r="C979" s="88">
        <v>4950</v>
      </c>
      <c r="D979" s="87" t="s">
        <v>4907</v>
      </c>
    </row>
    <row r="980" spans="2:4" ht="15" x14ac:dyDescent="0.2">
      <c r="B980" s="87" t="s">
        <v>1626</v>
      </c>
      <c r="C980" s="88">
        <v>4930</v>
      </c>
      <c r="D980" s="87" t="s">
        <v>4906</v>
      </c>
    </row>
    <row r="981" spans="2:4" ht="15" x14ac:dyDescent="0.2">
      <c r="B981" s="87" t="s">
        <v>1627</v>
      </c>
      <c r="C981" s="88">
        <v>4930</v>
      </c>
      <c r="D981" s="87" t="s">
        <v>4906</v>
      </c>
    </row>
    <row r="982" spans="2:4" ht="15" x14ac:dyDescent="0.2">
      <c r="B982" s="87" t="s">
        <v>1628</v>
      </c>
      <c r="C982" s="88">
        <v>4920</v>
      </c>
      <c r="D982" s="87" t="s">
        <v>4905</v>
      </c>
    </row>
    <row r="983" spans="2:4" ht="15" x14ac:dyDescent="0.2">
      <c r="B983" s="87" t="s">
        <v>1629</v>
      </c>
      <c r="C983" s="88">
        <v>4920</v>
      </c>
      <c r="D983" s="87" t="s">
        <v>4905</v>
      </c>
    </row>
    <row r="984" spans="2:4" ht="15" x14ac:dyDescent="0.2">
      <c r="B984" s="87" t="s">
        <v>1630</v>
      </c>
      <c r="C984" s="88">
        <v>4920</v>
      </c>
      <c r="D984" s="87" t="s">
        <v>4905</v>
      </c>
    </row>
    <row r="985" spans="2:4" ht="15" x14ac:dyDescent="0.2">
      <c r="B985" s="87" t="s">
        <v>1631</v>
      </c>
      <c r="C985" s="88">
        <v>4900</v>
      </c>
      <c r="D985" s="87" t="s">
        <v>4904</v>
      </c>
    </row>
    <row r="986" spans="2:4" ht="15" x14ac:dyDescent="0.2">
      <c r="B986" s="87" t="s">
        <v>1632</v>
      </c>
      <c r="C986" s="88">
        <v>4900</v>
      </c>
      <c r="D986" s="87" t="s">
        <v>4904</v>
      </c>
    </row>
    <row r="987" spans="2:4" ht="15" x14ac:dyDescent="0.2">
      <c r="B987" s="87" t="s">
        <v>1633</v>
      </c>
      <c r="C987" s="88">
        <v>4890</v>
      </c>
      <c r="D987" s="87" t="s">
        <v>4903</v>
      </c>
    </row>
    <row r="988" spans="2:4" ht="15" x14ac:dyDescent="0.2">
      <c r="B988" s="87" t="s">
        <v>1634</v>
      </c>
      <c r="C988" s="88">
        <v>4890</v>
      </c>
      <c r="D988" s="87" t="s">
        <v>4903</v>
      </c>
    </row>
    <row r="989" spans="2:4" ht="15" x14ac:dyDescent="0.2">
      <c r="B989" s="87" t="s">
        <v>1635</v>
      </c>
      <c r="C989" s="88">
        <v>4890</v>
      </c>
      <c r="D989" s="87" t="s">
        <v>4903</v>
      </c>
    </row>
    <row r="990" spans="2:4" ht="15" x14ac:dyDescent="0.2">
      <c r="B990" s="87" t="s">
        <v>1636</v>
      </c>
      <c r="C990" s="88">
        <v>4890</v>
      </c>
      <c r="D990" s="87" t="s">
        <v>4903</v>
      </c>
    </row>
    <row r="991" spans="2:4" ht="15" x14ac:dyDescent="0.2">
      <c r="B991" s="87" t="s">
        <v>1637</v>
      </c>
      <c r="C991" s="88">
        <v>4870</v>
      </c>
      <c r="D991" s="87" t="s">
        <v>4902</v>
      </c>
    </row>
    <row r="992" spans="2:4" ht="15" x14ac:dyDescent="0.2">
      <c r="B992" s="87" t="s">
        <v>1638</v>
      </c>
      <c r="C992" s="88">
        <v>4870</v>
      </c>
      <c r="D992" s="87" t="s">
        <v>4902</v>
      </c>
    </row>
    <row r="993" spans="2:4" ht="15" x14ac:dyDescent="0.2">
      <c r="B993" s="87" t="s">
        <v>1639</v>
      </c>
      <c r="C993" s="88">
        <v>4870</v>
      </c>
      <c r="D993" s="87" t="s">
        <v>4902</v>
      </c>
    </row>
    <row r="994" spans="2:4" ht="15" x14ac:dyDescent="0.2">
      <c r="B994" s="87" t="s">
        <v>1640</v>
      </c>
      <c r="C994" s="88">
        <v>4860</v>
      </c>
      <c r="D994" s="87" t="s">
        <v>4901</v>
      </c>
    </row>
    <row r="995" spans="2:4" ht="15" x14ac:dyDescent="0.2">
      <c r="B995" s="87" t="s">
        <v>1641</v>
      </c>
      <c r="C995" s="88">
        <v>4860</v>
      </c>
      <c r="D995" s="87" t="s">
        <v>4901</v>
      </c>
    </row>
    <row r="996" spans="2:4" ht="15" x14ac:dyDescent="0.2">
      <c r="B996" s="87" t="s">
        <v>1642</v>
      </c>
      <c r="C996" s="88">
        <v>4860</v>
      </c>
      <c r="D996" s="87" t="s">
        <v>4901</v>
      </c>
    </row>
    <row r="997" spans="2:4" ht="15" x14ac:dyDescent="0.2">
      <c r="B997" s="87" t="s">
        <v>1643</v>
      </c>
      <c r="C997" s="88">
        <v>4850</v>
      </c>
      <c r="D997" s="87" t="s">
        <v>4900</v>
      </c>
    </row>
    <row r="998" spans="2:4" ht="15" x14ac:dyDescent="0.2">
      <c r="B998" s="87" t="s">
        <v>1644</v>
      </c>
      <c r="C998" s="88">
        <v>4850</v>
      </c>
      <c r="D998" s="87" t="s">
        <v>4900</v>
      </c>
    </row>
    <row r="999" spans="2:4" ht="15" x14ac:dyDescent="0.2">
      <c r="B999" s="87" t="s">
        <v>1645</v>
      </c>
      <c r="C999" s="88">
        <v>4850</v>
      </c>
      <c r="D999" s="87" t="s">
        <v>4900</v>
      </c>
    </row>
    <row r="1000" spans="2:4" ht="15" x14ac:dyDescent="0.2">
      <c r="B1000" s="87" t="s">
        <v>1646</v>
      </c>
      <c r="C1000" s="88">
        <v>4830</v>
      </c>
      <c r="D1000" s="87" t="s">
        <v>4899</v>
      </c>
    </row>
    <row r="1001" spans="2:4" ht="15" x14ac:dyDescent="0.2">
      <c r="B1001" s="87" t="s">
        <v>1647</v>
      </c>
      <c r="C1001" s="88">
        <v>4830</v>
      </c>
      <c r="D1001" s="87" t="s">
        <v>4899</v>
      </c>
    </row>
    <row r="1002" spans="2:4" ht="15" x14ac:dyDescent="0.2">
      <c r="B1002" s="87" t="s">
        <v>1648</v>
      </c>
      <c r="C1002" s="88">
        <v>4830</v>
      </c>
      <c r="D1002" s="87" t="s">
        <v>4899</v>
      </c>
    </row>
    <row r="1003" spans="2:4" ht="15" x14ac:dyDescent="0.2">
      <c r="B1003" s="87" t="s">
        <v>1649</v>
      </c>
      <c r="C1003" s="88">
        <v>4830</v>
      </c>
      <c r="D1003" s="87" t="s">
        <v>4899</v>
      </c>
    </row>
    <row r="1004" spans="2:4" ht="15" x14ac:dyDescent="0.2">
      <c r="B1004" s="87" t="s">
        <v>1650</v>
      </c>
      <c r="C1004" s="88">
        <v>4830</v>
      </c>
      <c r="D1004" s="87" t="s">
        <v>4899</v>
      </c>
    </row>
    <row r="1005" spans="2:4" ht="15" x14ac:dyDescent="0.2">
      <c r="B1005" s="87" t="s">
        <v>1651</v>
      </c>
      <c r="C1005" s="88">
        <v>4830</v>
      </c>
      <c r="D1005" s="87" t="s">
        <v>4899</v>
      </c>
    </row>
    <row r="1006" spans="2:4" ht="15" x14ac:dyDescent="0.2">
      <c r="B1006" s="87" t="s">
        <v>1652</v>
      </c>
      <c r="C1006" s="88">
        <v>4820</v>
      </c>
      <c r="D1006" s="87" t="s">
        <v>4898</v>
      </c>
    </row>
    <row r="1007" spans="2:4" ht="15" x14ac:dyDescent="0.2">
      <c r="B1007" s="87" t="s">
        <v>1653</v>
      </c>
      <c r="C1007" s="88">
        <v>4820</v>
      </c>
      <c r="D1007" s="87" t="s">
        <v>4898</v>
      </c>
    </row>
    <row r="1008" spans="2:4" ht="15" x14ac:dyDescent="0.2">
      <c r="B1008" s="87" t="s">
        <v>1654</v>
      </c>
      <c r="C1008" s="88">
        <v>4820</v>
      </c>
      <c r="D1008" s="87" t="s">
        <v>4898</v>
      </c>
    </row>
    <row r="1009" spans="2:4" ht="15" x14ac:dyDescent="0.2">
      <c r="B1009" s="87" t="s">
        <v>1655</v>
      </c>
      <c r="C1009" s="88">
        <v>4820</v>
      </c>
      <c r="D1009" s="87" t="s">
        <v>4898</v>
      </c>
    </row>
    <row r="1010" spans="2:4" ht="15" x14ac:dyDescent="0.2">
      <c r="B1010" s="87" t="s">
        <v>1656</v>
      </c>
      <c r="C1010" s="88">
        <v>4820</v>
      </c>
      <c r="D1010" s="87" t="s">
        <v>4898</v>
      </c>
    </row>
    <row r="1011" spans="2:4" ht="15" x14ac:dyDescent="0.2">
      <c r="B1011" s="87" t="s">
        <v>1657</v>
      </c>
      <c r="C1011" s="88">
        <v>4820</v>
      </c>
      <c r="D1011" s="87" t="s">
        <v>4898</v>
      </c>
    </row>
    <row r="1012" spans="2:4" ht="15" x14ac:dyDescent="0.2">
      <c r="B1012" s="87" t="s">
        <v>1658</v>
      </c>
      <c r="C1012" s="88">
        <v>4820</v>
      </c>
      <c r="D1012" s="87" t="s">
        <v>4898</v>
      </c>
    </row>
    <row r="1013" spans="2:4" ht="15" x14ac:dyDescent="0.2">
      <c r="B1013" s="87" t="s">
        <v>1659</v>
      </c>
      <c r="C1013" s="88">
        <v>4820</v>
      </c>
      <c r="D1013" s="87" t="s">
        <v>4898</v>
      </c>
    </row>
    <row r="1014" spans="2:4" ht="15" x14ac:dyDescent="0.2">
      <c r="B1014" s="87" t="s">
        <v>1660</v>
      </c>
      <c r="C1014" s="88">
        <v>4820</v>
      </c>
      <c r="D1014" s="87" t="s">
        <v>4898</v>
      </c>
    </row>
    <row r="1015" spans="2:4" ht="15" x14ac:dyDescent="0.2">
      <c r="B1015" s="87" t="s">
        <v>1661</v>
      </c>
      <c r="C1015" s="88">
        <v>4800</v>
      </c>
      <c r="D1015" s="87" t="s">
        <v>4897</v>
      </c>
    </row>
    <row r="1016" spans="2:4" ht="15" x14ac:dyDescent="0.2">
      <c r="B1016" s="87" t="s">
        <v>1662</v>
      </c>
      <c r="C1016" s="88">
        <v>4800</v>
      </c>
      <c r="D1016" s="87" t="s">
        <v>4897</v>
      </c>
    </row>
    <row r="1017" spans="2:4" ht="15" x14ac:dyDescent="0.2">
      <c r="B1017" s="87" t="s">
        <v>1663</v>
      </c>
      <c r="C1017" s="88">
        <v>4800</v>
      </c>
      <c r="D1017" s="87" t="s">
        <v>4897</v>
      </c>
    </row>
    <row r="1018" spans="2:4" ht="15" x14ac:dyDescent="0.2">
      <c r="B1018" s="87" t="s">
        <v>1664</v>
      </c>
      <c r="C1018" s="88">
        <v>4800</v>
      </c>
      <c r="D1018" s="87" t="s">
        <v>4897</v>
      </c>
    </row>
    <row r="1019" spans="2:4" ht="15" x14ac:dyDescent="0.2">
      <c r="B1019" s="87" t="s">
        <v>1665</v>
      </c>
      <c r="C1019" s="88">
        <v>4790</v>
      </c>
      <c r="D1019" s="87" t="s">
        <v>4896</v>
      </c>
    </row>
    <row r="1020" spans="2:4" ht="15" x14ac:dyDescent="0.2">
      <c r="B1020" s="87" t="s">
        <v>1666</v>
      </c>
      <c r="C1020" s="88">
        <v>4790</v>
      </c>
      <c r="D1020" s="87" t="s">
        <v>4896</v>
      </c>
    </row>
    <row r="1021" spans="2:4" ht="15" x14ac:dyDescent="0.2">
      <c r="B1021" s="87" t="s">
        <v>1667</v>
      </c>
      <c r="C1021" s="88">
        <v>4790</v>
      </c>
      <c r="D1021" s="87" t="s">
        <v>4896</v>
      </c>
    </row>
    <row r="1022" spans="2:4" ht="15" x14ac:dyDescent="0.2">
      <c r="B1022" s="87" t="s">
        <v>1668</v>
      </c>
      <c r="C1022" s="88">
        <v>4780</v>
      </c>
      <c r="D1022" s="87" t="s">
        <v>4895</v>
      </c>
    </row>
    <row r="1023" spans="2:4" ht="15" x14ac:dyDescent="0.2">
      <c r="B1023" s="87" t="s">
        <v>1669</v>
      </c>
      <c r="C1023" s="88">
        <v>4780</v>
      </c>
      <c r="D1023" s="87" t="s">
        <v>4895</v>
      </c>
    </row>
    <row r="1024" spans="2:4" ht="15" x14ac:dyDescent="0.2">
      <c r="B1024" s="87" t="s">
        <v>1670</v>
      </c>
      <c r="C1024" s="88">
        <v>4780</v>
      </c>
      <c r="D1024" s="87" t="s">
        <v>4895</v>
      </c>
    </row>
    <row r="1025" spans="2:4" ht="15" x14ac:dyDescent="0.2">
      <c r="B1025" s="87" t="s">
        <v>1671</v>
      </c>
      <c r="C1025" s="88">
        <v>4780</v>
      </c>
      <c r="D1025" s="87" t="s">
        <v>4895</v>
      </c>
    </row>
    <row r="1026" spans="2:4" ht="15" x14ac:dyDescent="0.2">
      <c r="B1026" s="87" t="s">
        <v>1672</v>
      </c>
      <c r="C1026" s="88">
        <v>4760</v>
      </c>
      <c r="D1026" s="87" t="s">
        <v>4894</v>
      </c>
    </row>
    <row r="1027" spans="2:4" ht="15" x14ac:dyDescent="0.2">
      <c r="B1027" s="87" t="s">
        <v>1673</v>
      </c>
      <c r="C1027" s="88">
        <v>4760</v>
      </c>
      <c r="D1027" s="87" t="s">
        <v>4894</v>
      </c>
    </row>
    <row r="1028" spans="2:4" ht="15" x14ac:dyDescent="0.2">
      <c r="B1028" s="87" t="s">
        <v>1674</v>
      </c>
      <c r="C1028" s="88">
        <v>4750</v>
      </c>
      <c r="D1028" s="87" t="s">
        <v>4893</v>
      </c>
    </row>
    <row r="1029" spans="2:4" ht="15" x14ac:dyDescent="0.2">
      <c r="B1029" s="87" t="s">
        <v>1675</v>
      </c>
      <c r="C1029" s="88">
        <v>4750</v>
      </c>
      <c r="D1029" s="87" t="s">
        <v>4893</v>
      </c>
    </row>
    <row r="1030" spans="2:4" ht="15" x14ac:dyDescent="0.2">
      <c r="B1030" s="87" t="s">
        <v>1676</v>
      </c>
      <c r="C1030" s="88">
        <v>4730</v>
      </c>
      <c r="D1030" s="87" t="s">
        <v>4892</v>
      </c>
    </row>
    <row r="1031" spans="2:4" ht="15" x14ac:dyDescent="0.2">
      <c r="B1031" s="87" t="s">
        <v>1677</v>
      </c>
      <c r="C1031" s="88">
        <v>4730</v>
      </c>
      <c r="D1031" s="87" t="s">
        <v>4892</v>
      </c>
    </row>
    <row r="1032" spans="2:4" ht="15" x14ac:dyDescent="0.2">
      <c r="B1032" s="87" t="s">
        <v>1678</v>
      </c>
      <c r="C1032" s="88">
        <v>4730</v>
      </c>
      <c r="D1032" s="87" t="s">
        <v>4892</v>
      </c>
    </row>
    <row r="1033" spans="2:4" ht="15" x14ac:dyDescent="0.2">
      <c r="B1033" s="87" t="s">
        <v>1679</v>
      </c>
      <c r="C1033" s="88">
        <v>4720</v>
      </c>
      <c r="D1033" s="87" t="s">
        <v>4891</v>
      </c>
    </row>
    <row r="1034" spans="2:4" ht="15" x14ac:dyDescent="0.2">
      <c r="B1034" s="87" t="s">
        <v>1680</v>
      </c>
      <c r="C1034" s="88">
        <v>4720</v>
      </c>
      <c r="D1034" s="87" t="s">
        <v>4891</v>
      </c>
    </row>
    <row r="1035" spans="2:4" ht="15" x14ac:dyDescent="0.2">
      <c r="B1035" s="87" t="s">
        <v>1681</v>
      </c>
      <c r="C1035" s="88">
        <v>4710</v>
      </c>
      <c r="D1035" s="87" t="s">
        <v>4890</v>
      </c>
    </row>
    <row r="1036" spans="2:4" ht="15" x14ac:dyDescent="0.2">
      <c r="B1036" s="87" t="s">
        <v>1682</v>
      </c>
      <c r="C1036" s="88">
        <v>4710</v>
      </c>
      <c r="D1036" s="87" t="s">
        <v>4890</v>
      </c>
    </row>
    <row r="1037" spans="2:4" ht="15" x14ac:dyDescent="0.2">
      <c r="B1037" s="87" t="s">
        <v>1683</v>
      </c>
      <c r="C1037" s="88">
        <v>4690</v>
      </c>
      <c r="D1037" s="87" t="s">
        <v>4889</v>
      </c>
    </row>
    <row r="1038" spans="2:4" ht="15" x14ac:dyDescent="0.2">
      <c r="B1038" s="87" t="s">
        <v>1684</v>
      </c>
      <c r="C1038" s="88">
        <v>4690</v>
      </c>
      <c r="D1038" s="87" t="s">
        <v>4889</v>
      </c>
    </row>
    <row r="1039" spans="2:4" ht="15" x14ac:dyDescent="0.2">
      <c r="B1039" s="87" t="s">
        <v>1685</v>
      </c>
      <c r="C1039" s="88">
        <v>4680</v>
      </c>
      <c r="D1039" s="87" t="s">
        <v>4888</v>
      </c>
    </row>
    <row r="1040" spans="2:4" ht="15" x14ac:dyDescent="0.2">
      <c r="B1040" s="87" t="s">
        <v>1686</v>
      </c>
      <c r="C1040" s="88">
        <v>4680</v>
      </c>
      <c r="D1040" s="87" t="s">
        <v>4888</v>
      </c>
    </row>
    <row r="1041" spans="2:4" ht="15" x14ac:dyDescent="0.2">
      <c r="B1041" s="87" t="s">
        <v>1687</v>
      </c>
      <c r="C1041" s="88">
        <v>4670</v>
      </c>
      <c r="D1041" s="87" t="s">
        <v>4887</v>
      </c>
    </row>
    <row r="1042" spans="2:4" ht="15" x14ac:dyDescent="0.2">
      <c r="B1042" s="87" t="s">
        <v>1688</v>
      </c>
      <c r="C1042" s="88">
        <v>4670</v>
      </c>
      <c r="D1042" s="87" t="s">
        <v>4887</v>
      </c>
    </row>
    <row r="1043" spans="2:4" ht="15" x14ac:dyDescent="0.2">
      <c r="B1043" s="87" t="s">
        <v>1689</v>
      </c>
      <c r="C1043" s="88">
        <v>4670</v>
      </c>
      <c r="D1043" s="87" t="s">
        <v>4887</v>
      </c>
    </row>
    <row r="1044" spans="2:4" ht="15" x14ac:dyDescent="0.2">
      <c r="B1044" s="87" t="s">
        <v>1690</v>
      </c>
      <c r="C1044" s="88">
        <v>4650</v>
      </c>
      <c r="D1044" s="87" t="s">
        <v>4886</v>
      </c>
    </row>
    <row r="1045" spans="2:4" ht="15" x14ac:dyDescent="0.2">
      <c r="B1045" s="87" t="s">
        <v>1691</v>
      </c>
      <c r="C1045" s="88">
        <v>4650</v>
      </c>
      <c r="D1045" s="87" t="s">
        <v>4886</v>
      </c>
    </row>
    <row r="1046" spans="2:4" ht="15" x14ac:dyDescent="0.2">
      <c r="B1046" s="87" t="s">
        <v>1692</v>
      </c>
      <c r="C1046" s="88">
        <v>4650</v>
      </c>
      <c r="D1046" s="87" t="s">
        <v>4886</v>
      </c>
    </row>
    <row r="1047" spans="2:4" ht="15" x14ac:dyDescent="0.2">
      <c r="B1047" s="87" t="s">
        <v>1693</v>
      </c>
      <c r="C1047" s="88">
        <v>4640</v>
      </c>
      <c r="D1047" s="87" t="s">
        <v>4885</v>
      </c>
    </row>
    <row r="1048" spans="2:4" ht="15" x14ac:dyDescent="0.2">
      <c r="B1048" s="87" t="s">
        <v>1694</v>
      </c>
      <c r="C1048" s="88">
        <v>4640</v>
      </c>
      <c r="D1048" s="87" t="s">
        <v>4885</v>
      </c>
    </row>
    <row r="1049" spans="2:4" ht="15" x14ac:dyDescent="0.2">
      <c r="B1049" s="87" t="s">
        <v>1695</v>
      </c>
      <c r="C1049" s="88">
        <v>4620</v>
      </c>
      <c r="D1049" s="87" t="s">
        <v>4884</v>
      </c>
    </row>
    <row r="1050" spans="2:4" ht="15" x14ac:dyDescent="0.2">
      <c r="B1050" s="87" t="s">
        <v>1696</v>
      </c>
      <c r="C1050" s="88">
        <v>4620</v>
      </c>
      <c r="D1050" s="87" t="s">
        <v>4884</v>
      </c>
    </row>
    <row r="1051" spans="2:4" ht="15" x14ac:dyDescent="0.2">
      <c r="B1051" s="87" t="s">
        <v>1697</v>
      </c>
      <c r="C1051" s="88">
        <v>4610</v>
      </c>
      <c r="D1051" s="87" t="s">
        <v>4883</v>
      </c>
    </row>
    <row r="1052" spans="2:4" ht="15" x14ac:dyDescent="0.2">
      <c r="B1052" s="87" t="s">
        <v>1698</v>
      </c>
      <c r="C1052" s="88">
        <v>4610</v>
      </c>
      <c r="D1052" s="87" t="s">
        <v>4883</v>
      </c>
    </row>
    <row r="1053" spans="2:4" ht="15" x14ac:dyDescent="0.2">
      <c r="B1053" s="87" t="s">
        <v>1699</v>
      </c>
      <c r="C1053" s="88">
        <v>4600</v>
      </c>
      <c r="D1053" s="87" t="s">
        <v>4882</v>
      </c>
    </row>
    <row r="1054" spans="2:4" ht="15" x14ac:dyDescent="0.2">
      <c r="B1054" s="87" t="s">
        <v>1700</v>
      </c>
      <c r="C1054" s="88">
        <v>4580</v>
      </c>
      <c r="D1054" s="87" t="s">
        <v>4881</v>
      </c>
    </row>
    <row r="1055" spans="2:4" ht="15" x14ac:dyDescent="0.2">
      <c r="B1055" s="87" t="s">
        <v>1701</v>
      </c>
      <c r="C1055" s="88">
        <v>4580</v>
      </c>
      <c r="D1055" s="87" t="s">
        <v>4881</v>
      </c>
    </row>
    <row r="1056" spans="2:4" ht="15" x14ac:dyDescent="0.2">
      <c r="B1056" s="87" t="s">
        <v>1702</v>
      </c>
      <c r="C1056" s="88">
        <v>4570</v>
      </c>
      <c r="D1056" s="87" t="s">
        <v>4880</v>
      </c>
    </row>
    <row r="1057" spans="2:4" ht="15" x14ac:dyDescent="0.2">
      <c r="B1057" s="87" t="s">
        <v>1703</v>
      </c>
      <c r="C1057" s="88">
        <v>4560</v>
      </c>
      <c r="D1057" s="87" t="s">
        <v>4879</v>
      </c>
    </row>
    <row r="1058" spans="2:4" ht="15" x14ac:dyDescent="0.2">
      <c r="B1058" s="87" t="s">
        <v>1704</v>
      </c>
      <c r="C1058" s="88">
        <v>4560</v>
      </c>
      <c r="D1058" s="87" t="s">
        <v>4879</v>
      </c>
    </row>
    <row r="1059" spans="2:4" ht="15" x14ac:dyDescent="0.2">
      <c r="B1059" s="87" t="s">
        <v>1705</v>
      </c>
      <c r="C1059" s="88">
        <v>4540</v>
      </c>
      <c r="D1059" s="87" t="s">
        <v>4878</v>
      </c>
    </row>
    <row r="1060" spans="2:4" ht="15" x14ac:dyDescent="0.2">
      <c r="B1060" s="87" t="s">
        <v>1706</v>
      </c>
      <c r="C1060" s="88">
        <v>4540</v>
      </c>
      <c r="D1060" s="87" t="s">
        <v>4878</v>
      </c>
    </row>
    <row r="1061" spans="2:4" ht="15" x14ac:dyDescent="0.2">
      <c r="B1061" s="87" t="s">
        <v>1707</v>
      </c>
      <c r="C1061" s="88">
        <v>4530</v>
      </c>
      <c r="D1061" s="87" t="s">
        <v>4877</v>
      </c>
    </row>
    <row r="1062" spans="2:4" ht="15" x14ac:dyDescent="0.2">
      <c r="B1062" s="87" t="s">
        <v>1708</v>
      </c>
      <c r="C1062" s="88">
        <v>4530</v>
      </c>
      <c r="D1062" s="87" t="s">
        <v>4877</v>
      </c>
    </row>
    <row r="1063" spans="2:4" ht="15" x14ac:dyDescent="0.2">
      <c r="B1063" s="87" t="s">
        <v>1709</v>
      </c>
      <c r="C1063" s="88">
        <v>4510</v>
      </c>
      <c r="D1063" s="87" t="s">
        <v>4876</v>
      </c>
    </row>
    <row r="1064" spans="2:4" ht="15" x14ac:dyDescent="0.2">
      <c r="B1064" s="87" t="s">
        <v>1710</v>
      </c>
      <c r="C1064" s="88">
        <v>4500</v>
      </c>
      <c r="D1064" s="87" t="s">
        <v>4875</v>
      </c>
    </row>
    <row r="1065" spans="2:4" ht="15" x14ac:dyDescent="0.2">
      <c r="B1065" s="87" t="s">
        <v>1711</v>
      </c>
      <c r="C1065" s="88">
        <v>4500</v>
      </c>
      <c r="D1065" s="87" t="s">
        <v>4875</v>
      </c>
    </row>
    <row r="1066" spans="2:4" ht="15" x14ac:dyDescent="0.2">
      <c r="B1066" s="87" t="s">
        <v>1712</v>
      </c>
      <c r="C1066" s="88">
        <v>4490</v>
      </c>
      <c r="D1066" s="87" t="s">
        <v>5037</v>
      </c>
    </row>
    <row r="1067" spans="2:4" ht="15" x14ac:dyDescent="0.2">
      <c r="B1067" s="87" t="s">
        <v>1713</v>
      </c>
      <c r="C1067" s="88">
        <v>4490</v>
      </c>
      <c r="D1067" s="87" t="s">
        <v>5037</v>
      </c>
    </row>
    <row r="1068" spans="2:4" ht="15" x14ac:dyDescent="0.2">
      <c r="B1068" s="87" t="s">
        <v>1714</v>
      </c>
      <c r="C1068" s="88">
        <v>4470</v>
      </c>
      <c r="D1068" s="87" t="s">
        <v>5038</v>
      </c>
    </row>
    <row r="1069" spans="2:4" ht="15" x14ac:dyDescent="0.2">
      <c r="B1069" s="87" t="s">
        <v>1715</v>
      </c>
      <c r="C1069" s="88">
        <v>4470</v>
      </c>
      <c r="D1069" s="87" t="s">
        <v>5038</v>
      </c>
    </row>
    <row r="1070" spans="2:4" ht="15" x14ac:dyDescent="0.2">
      <c r="B1070" s="87" t="s">
        <v>1716</v>
      </c>
      <c r="C1070" s="88">
        <v>4470</v>
      </c>
      <c r="D1070" s="87" t="s">
        <v>5038</v>
      </c>
    </row>
    <row r="1071" spans="2:4" ht="15" x14ac:dyDescent="0.2">
      <c r="B1071" s="87" t="s">
        <v>1717</v>
      </c>
      <c r="C1071" s="88">
        <v>4460</v>
      </c>
      <c r="D1071" s="87" t="s">
        <v>5039</v>
      </c>
    </row>
    <row r="1072" spans="2:4" ht="15" x14ac:dyDescent="0.2">
      <c r="B1072" s="87" t="s">
        <v>1718</v>
      </c>
      <c r="C1072" s="88">
        <v>4460</v>
      </c>
      <c r="D1072" s="87" t="s">
        <v>5039</v>
      </c>
    </row>
    <row r="1073" spans="2:4" ht="15" x14ac:dyDescent="0.2">
      <c r="B1073" s="87" t="s">
        <v>1719</v>
      </c>
      <c r="C1073" s="88">
        <v>4450</v>
      </c>
      <c r="D1073" s="87" t="s">
        <v>5040</v>
      </c>
    </row>
    <row r="1074" spans="2:4" ht="15" x14ac:dyDescent="0.2">
      <c r="B1074" s="87" t="s">
        <v>1720</v>
      </c>
      <c r="C1074" s="88">
        <v>4450</v>
      </c>
      <c r="D1074" s="87" t="s">
        <v>5040</v>
      </c>
    </row>
    <row r="1075" spans="2:4" ht="15" x14ac:dyDescent="0.2">
      <c r="B1075" s="87" t="s">
        <v>1721</v>
      </c>
      <c r="C1075" s="88">
        <v>4450</v>
      </c>
      <c r="D1075" s="87" t="s">
        <v>5040</v>
      </c>
    </row>
    <row r="1076" spans="2:4" ht="15" x14ac:dyDescent="0.2">
      <c r="B1076" s="87" t="s">
        <v>1722</v>
      </c>
      <c r="C1076" s="88">
        <v>4430</v>
      </c>
      <c r="D1076" s="87" t="s">
        <v>5041</v>
      </c>
    </row>
    <row r="1077" spans="2:4" ht="15" x14ac:dyDescent="0.2">
      <c r="B1077" s="87" t="s">
        <v>1723</v>
      </c>
      <c r="C1077" s="88">
        <v>4430</v>
      </c>
      <c r="D1077" s="87" t="s">
        <v>5041</v>
      </c>
    </row>
    <row r="1078" spans="2:4" ht="15" x14ac:dyDescent="0.2">
      <c r="B1078" s="87" t="s">
        <v>1724</v>
      </c>
      <c r="C1078" s="88">
        <v>4430</v>
      </c>
      <c r="D1078" s="87" t="s">
        <v>5041</v>
      </c>
    </row>
    <row r="1079" spans="2:4" ht="15" x14ac:dyDescent="0.2">
      <c r="B1079" s="87" t="s">
        <v>1725</v>
      </c>
      <c r="C1079" s="88">
        <v>4420</v>
      </c>
      <c r="D1079" s="87" t="s">
        <v>5042</v>
      </c>
    </row>
    <row r="1080" spans="2:4" ht="15" x14ac:dyDescent="0.2">
      <c r="B1080" s="87" t="s">
        <v>1726</v>
      </c>
      <c r="C1080" s="88">
        <v>4420</v>
      </c>
      <c r="D1080" s="87" t="s">
        <v>5042</v>
      </c>
    </row>
    <row r="1081" spans="2:4" ht="15" x14ac:dyDescent="0.2">
      <c r="B1081" s="87" t="s">
        <v>1727</v>
      </c>
      <c r="C1081" s="88">
        <v>4420</v>
      </c>
      <c r="D1081" s="87" t="s">
        <v>5042</v>
      </c>
    </row>
    <row r="1082" spans="2:4" ht="15" x14ac:dyDescent="0.2">
      <c r="B1082" s="87" t="s">
        <v>1728</v>
      </c>
      <c r="C1082" s="88">
        <v>4420</v>
      </c>
      <c r="D1082" s="87" t="s">
        <v>5042</v>
      </c>
    </row>
    <row r="1083" spans="2:4" ht="15" x14ac:dyDescent="0.2">
      <c r="B1083" s="87" t="s">
        <v>1729</v>
      </c>
      <c r="C1083" s="88">
        <v>4420</v>
      </c>
      <c r="D1083" s="87" t="s">
        <v>5042</v>
      </c>
    </row>
    <row r="1084" spans="2:4" ht="15" x14ac:dyDescent="0.2">
      <c r="B1084" s="87" t="s">
        <v>1730</v>
      </c>
      <c r="C1084" s="88">
        <v>4420</v>
      </c>
      <c r="D1084" s="87" t="s">
        <v>5042</v>
      </c>
    </row>
    <row r="1085" spans="2:4" ht="15" x14ac:dyDescent="0.2">
      <c r="B1085" s="87" t="s">
        <v>1731</v>
      </c>
      <c r="C1085" s="88">
        <v>4400</v>
      </c>
      <c r="D1085" s="87" t="s">
        <v>5043</v>
      </c>
    </row>
    <row r="1086" spans="2:4" ht="15" x14ac:dyDescent="0.2">
      <c r="B1086" s="87" t="s">
        <v>1732</v>
      </c>
      <c r="C1086" s="88">
        <v>4400</v>
      </c>
      <c r="D1086" s="87" t="s">
        <v>5043</v>
      </c>
    </row>
    <row r="1087" spans="2:4" ht="15" x14ac:dyDescent="0.2">
      <c r="B1087" s="87" t="s">
        <v>1733</v>
      </c>
      <c r="C1087" s="88">
        <v>4400</v>
      </c>
      <c r="D1087" s="87" t="s">
        <v>5043</v>
      </c>
    </row>
    <row r="1088" spans="2:4" ht="15" x14ac:dyDescent="0.2">
      <c r="B1088" s="87" t="s">
        <v>1734</v>
      </c>
      <c r="C1088" s="88">
        <v>4400</v>
      </c>
      <c r="D1088" s="87" t="s">
        <v>5043</v>
      </c>
    </row>
    <row r="1089" spans="2:4" ht="15" x14ac:dyDescent="0.2">
      <c r="B1089" s="87" t="s">
        <v>1735</v>
      </c>
      <c r="C1089" s="88">
        <v>4400</v>
      </c>
      <c r="D1089" s="87" t="s">
        <v>5043</v>
      </c>
    </row>
    <row r="1090" spans="2:4" ht="15" x14ac:dyDescent="0.2">
      <c r="B1090" s="87" t="s">
        <v>1736</v>
      </c>
      <c r="C1090" s="88">
        <v>4400</v>
      </c>
      <c r="D1090" s="87" t="s">
        <v>5043</v>
      </c>
    </row>
    <row r="1091" spans="2:4" ht="15" x14ac:dyDescent="0.2">
      <c r="B1091" s="87" t="s">
        <v>1737</v>
      </c>
      <c r="C1091" s="88">
        <v>4390</v>
      </c>
      <c r="D1091" s="87" t="s">
        <v>5044</v>
      </c>
    </row>
    <row r="1092" spans="2:4" ht="15" x14ac:dyDescent="0.2">
      <c r="B1092" s="87" t="s">
        <v>1738</v>
      </c>
      <c r="C1092" s="88">
        <v>4390</v>
      </c>
      <c r="D1092" s="87" t="s">
        <v>5044</v>
      </c>
    </row>
    <row r="1093" spans="2:4" ht="15" x14ac:dyDescent="0.2">
      <c r="B1093" s="87" t="s">
        <v>1739</v>
      </c>
      <c r="C1093" s="88">
        <v>4390</v>
      </c>
      <c r="D1093" s="87" t="s">
        <v>5044</v>
      </c>
    </row>
    <row r="1094" spans="2:4" ht="15" x14ac:dyDescent="0.2">
      <c r="B1094" s="87" t="s">
        <v>1740</v>
      </c>
      <c r="C1094" s="88">
        <v>4390</v>
      </c>
      <c r="D1094" s="87" t="s">
        <v>5044</v>
      </c>
    </row>
    <row r="1095" spans="2:4" ht="15" x14ac:dyDescent="0.2">
      <c r="B1095" s="87" t="s">
        <v>1741</v>
      </c>
      <c r="C1095" s="88">
        <v>4390</v>
      </c>
      <c r="D1095" s="87" t="s">
        <v>5044</v>
      </c>
    </row>
    <row r="1096" spans="2:4" ht="15" x14ac:dyDescent="0.2">
      <c r="B1096" s="87" t="s">
        <v>1742</v>
      </c>
      <c r="C1096" s="88">
        <v>4390</v>
      </c>
      <c r="D1096" s="87" t="s">
        <v>5044</v>
      </c>
    </row>
    <row r="1097" spans="2:4" ht="15" x14ac:dyDescent="0.2">
      <c r="B1097" s="87" t="s">
        <v>1743</v>
      </c>
      <c r="C1097" s="88">
        <v>4390</v>
      </c>
      <c r="D1097" s="87" t="s">
        <v>5044</v>
      </c>
    </row>
    <row r="1098" spans="2:4" ht="15" x14ac:dyDescent="0.2">
      <c r="B1098" s="87" t="s">
        <v>1744</v>
      </c>
      <c r="C1098" s="88">
        <v>4380</v>
      </c>
      <c r="D1098" s="87" t="s">
        <v>5045</v>
      </c>
    </row>
    <row r="1099" spans="2:4" ht="15" x14ac:dyDescent="0.2">
      <c r="B1099" s="87" t="s">
        <v>1745</v>
      </c>
      <c r="C1099" s="88">
        <v>4380</v>
      </c>
      <c r="D1099" s="87" t="s">
        <v>5045</v>
      </c>
    </row>
    <row r="1100" spans="2:4" ht="15" x14ac:dyDescent="0.2">
      <c r="B1100" s="87" t="s">
        <v>1746</v>
      </c>
      <c r="C1100" s="88">
        <v>4380</v>
      </c>
      <c r="D1100" s="87" t="s">
        <v>5045</v>
      </c>
    </row>
    <row r="1101" spans="2:4" ht="15" x14ac:dyDescent="0.2">
      <c r="B1101" s="87" t="s">
        <v>1747</v>
      </c>
      <c r="C1101" s="88">
        <v>4380</v>
      </c>
      <c r="D1101" s="87" t="s">
        <v>5045</v>
      </c>
    </row>
    <row r="1102" spans="2:4" ht="15" x14ac:dyDescent="0.2">
      <c r="B1102" s="87" t="s">
        <v>1748</v>
      </c>
      <c r="C1102" s="88">
        <v>4380</v>
      </c>
      <c r="D1102" s="87" t="s">
        <v>5045</v>
      </c>
    </row>
    <row r="1103" spans="2:4" ht="15" x14ac:dyDescent="0.2">
      <c r="B1103" s="87" t="s">
        <v>1749</v>
      </c>
      <c r="C1103" s="88">
        <v>4380</v>
      </c>
      <c r="D1103" s="87" t="s">
        <v>5045</v>
      </c>
    </row>
    <row r="1104" spans="2:4" ht="15" x14ac:dyDescent="0.2">
      <c r="B1104" s="87" t="s">
        <v>1750</v>
      </c>
      <c r="C1104" s="88">
        <v>4380</v>
      </c>
      <c r="D1104" s="87" t="s">
        <v>5045</v>
      </c>
    </row>
    <row r="1105" spans="2:4" ht="15" x14ac:dyDescent="0.2">
      <c r="B1105" s="87" t="s">
        <v>1751</v>
      </c>
      <c r="C1105" s="88">
        <v>4380</v>
      </c>
      <c r="D1105" s="87" t="s">
        <v>5045</v>
      </c>
    </row>
    <row r="1106" spans="2:4" ht="15" x14ac:dyDescent="0.2">
      <c r="B1106" s="87" t="s">
        <v>1752</v>
      </c>
      <c r="C1106" s="88">
        <v>4360</v>
      </c>
      <c r="D1106" s="87" t="s">
        <v>5046</v>
      </c>
    </row>
    <row r="1107" spans="2:4" ht="15" x14ac:dyDescent="0.2">
      <c r="B1107" s="87" t="s">
        <v>1753</v>
      </c>
      <c r="C1107" s="88">
        <v>4360</v>
      </c>
      <c r="D1107" s="87" t="s">
        <v>5046</v>
      </c>
    </row>
    <row r="1108" spans="2:4" ht="15" x14ac:dyDescent="0.2">
      <c r="B1108" s="87" t="s">
        <v>1754</v>
      </c>
      <c r="C1108" s="88">
        <v>4360</v>
      </c>
      <c r="D1108" s="87" t="s">
        <v>5046</v>
      </c>
    </row>
    <row r="1109" spans="2:4" ht="15" x14ac:dyDescent="0.2">
      <c r="B1109" s="87" t="s">
        <v>1755</v>
      </c>
      <c r="C1109" s="88">
        <v>4360</v>
      </c>
      <c r="D1109" s="87" t="s">
        <v>5046</v>
      </c>
    </row>
    <row r="1110" spans="2:4" ht="15" x14ac:dyDescent="0.2">
      <c r="B1110" s="87" t="s">
        <v>1756</v>
      </c>
      <c r="C1110" s="88">
        <v>4360</v>
      </c>
      <c r="D1110" s="87" t="s">
        <v>5046</v>
      </c>
    </row>
    <row r="1111" spans="2:4" ht="15" x14ac:dyDescent="0.2">
      <c r="B1111" s="87" t="s">
        <v>1757</v>
      </c>
      <c r="C1111" s="88">
        <v>4360</v>
      </c>
      <c r="D1111" s="87" t="s">
        <v>5046</v>
      </c>
    </row>
    <row r="1112" spans="2:4" ht="15" x14ac:dyDescent="0.2">
      <c r="B1112" s="87" t="s">
        <v>1758</v>
      </c>
      <c r="C1112" s="88">
        <v>4360</v>
      </c>
      <c r="D1112" s="87" t="s">
        <v>5046</v>
      </c>
    </row>
    <row r="1113" spans="2:4" ht="15" x14ac:dyDescent="0.2">
      <c r="B1113" s="87" t="s">
        <v>1759</v>
      </c>
      <c r="C1113" s="88">
        <v>4360</v>
      </c>
      <c r="D1113" s="87" t="s">
        <v>5046</v>
      </c>
    </row>
    <row r="1114" spans="2:4" ht="15" x14ac:dyDescent="0.2">
      <c r="B1114" s="87" t="s">
        <v>1760</v>
      </c>
      <c r="C1114" s="88">
        <v>4350</v>
      </c>
      <c r="D1114" s="87" t="s">
        <v>5047</v>
      </c>
    </row>
    <row r="1115" spans="2:4" ht="15" x14ac:dyDescent="0.2">
      <c r="B1115" s="87" t="s">
        <v>1761</v>
      </c>
      <c r="C1115" s="88">
        <v>4350</v>
      </c>
      <c r="D1115" s="87" t="s">
        <v>5047</v>
      </c>
    </row>
    <row r="1116" spans="2:4" ht="15" x14ac:dyDescent="0.2">
      <c r="B1116" s="87" t="s">
        <v>1762</v>
      </c>
      <c r="C1116" s="88">
        <v>4350</v>
      </c>
      <c r="D1116" s="87" t="s">
        <v>5047</v>
      </c>
    </row>
    <row r="1117" spans="2:4" ht="15" x14ac:dyDescent="0.2">
      <c r="B1117" s="87" t="s">
        <v>1763</v>
      </c>
      <c r="C1117" s="88">
        <v>4350</v>
      </c>
      <c r="D1117" s="87" t="s">
        <v>5047</v>
      </c>
    </row>
    <row r="1118" spans="2:4" ht="15" x14ac:dyDescent="0.2">
      <c r="B1118" s="87" t="s">
        <v>1764</v>
      </c>
      <c r="C1118" s="88">
        <v>4350</v>
      </c>
      <c r="D1118" s="87" t="s">
        <v>5047</v>
      </c>
    </row>
    <row r="1119" spans="2:4" ht="15" x14ac:dyDescent="0.2">
      <c r="B1119" s="87" t="s">
        <v>1765</v>
      </c>
      <c r="C1119" s="88">
        <v>4350</v>
      </c>
      <c r="D1119" s="87" t="s">
        <v>5047</v>
      </c>
    </row>
    <row r="1120" spans="2:4" ht="15" x14ac:dyDescent="0.2">
      <c r="B1120" s="87" t="s">
        <v>1766</v>
      </c>
      <c r="C1120" s="88">
        <v>4350</v>
      </c>
      <c r="D1120" s="87" t="s">
        <v>5047</v>
      </c>
    </row>
    <row r="1121" spans="2:4" ht="15" x14ac:dyDescent="0.2">
      <c r="B1121" s="87" t="s">
        <v>1767</v>
      </c>
      <c r="C1121" s="88">
        <v>4350</v>
      </c>
      <c r="D1121" s="87" t="s">
        <v>5047</v>
      </c>
    </row>
    <row r="1122" spans="2:4" ht="15" x14ac:dyDescent="0.2">
      <c r="B1122" s="87" t="s">
        <v>1768</v>
      </c>
      <c r="C1122" s="88">
        <v>4350</v>
      </c>
      <c r="D1122" s="87" t="s">
        <v>5047</v>
      </c>
    </row>
    <row r="1123" spans="2:4" ht="15" x14ac:dyDescent="0.2">
      <c r="B1123" s="87" t="s">
        <v>1769</v>
      </c>
      <c r="C1123" s="88">
        <v>4350</v>
      </c>
      <c r="D1123" s="87" t="s">
        <v>5047</v>
      </c>
    </row>
    <row r="1124" spans="2:4" ht="15" x14ac:dyDescent="0.2">
      <c r="B1124" s="87" t="s">
        <v>1770</v>
      </c>
      <c r="C1124" s="88">
        <v>4340</v>
      </c>
      <c r="D1124" s="87" t="s">
        <v>5048</v>
      </c>
    </row>
    <row r="1125" spans="2:4" ht="15" x14ac:dyDescent="0.2">
      <c r="B1125" s="87" t="s">
        <v>1771</v>
      </c>
      <c r="C1125" s="88">
        <v>4340</v>
      </c>
      <c r="D1125" s="87" t="s">
        <v>5048</v>
      </c>
    </row>
    <row r="1126" spans="2:4" ht="15" x14ac:dyDescent="0.2">
      <c r="B1126" s="87" t="s">
        <v>1772</v>
      </c>
      <c r="C1126" s="88">
        <v>4340</v>
      </c>
      <c r="D1126" s="87" t="s">
        <v>5048</v>
      </c>
    </row>
    <row r="1127" spans="2:4" ht="15" x14ac:dyDescent="0.2">
      <c r="B1127" s="87" t="s">
        <v>1773</v>
      </c>
      <c r="C1127" s="88">
        <v>4340</v>
      </c>
      <c r="D1127" s="87" t="s">
        <v>5048</v>
      </c>
    </row>
    <row r="1128" spans="2:4" ht="15" x14ac:dyDescent="0.2">
      <c r="B1128" s="87" t="s">
        <v>1774</v>
      </c>
      <c r="C1128" s="88">
        <v>4320</v>
      </c>
      <c r="D1128" s="87" t="s">
        <v>5049</v>
      </c>
    </row>
    <row r="1129" spans="2:4" ht="15" x14ac:dyDescent="0.2">
      <c r="B1129" s="87" t="s">
        <v>1775</v>
      </c>
      <c r="C1129" s="88">
        <v>4320</v>
      </c>
      <c r="D1129" s="87" t="s">
        <v>5049</v>
      </c>
    </row>
    <row r="1130" spans="2:4" ht="15" x14ac:dyDescent="0.2">
      <c r="B1130" s="87" t="s">
        <v>1776</v>
      </c>
      <c r="C1130" s="88">
        <v>4320</v>
      </c>
      <c r="D1130" s="87" t="s">
        <v>5049</v>
      </c>
    </row>
    <row r="1131" spans="2:4" ht="15" x14ac:dyDescent="0.2">
      <c r="B1131" s="87" t="s">
        <v>1777</v>
      </c>
      <c r="C1131" s="88">
        <v>4320</v>
      </c>
      <c r="D1131" s="87" t="s">
        <v>5049</v>
      </c>
    </row>
    <row r="1132" spans="2:4" ht="15" x14ac:dyDescent="0.2">
      <c r="B1132" s="87" t="s">
        <v>1778</v>
      </c>
      <c r="C1132" s="88">
        <v>4310</v>
      </c>
      <c r="D1132" s="87" t="s">
        <v>5050</v>
      </c>
    </row>
    <row r="1133" spans="2:4" ht="15" x14ac:dyDescent="0.2">
      <c r="B1133" s="87" t="s">
        <v>1779</v>
      </c>
      <c r="C1133" s="88">
        <v>4310</v>
      </c>
      <c r="D1133" s="87" t="s">
        <v>5050</v>
      </c>
    </row>
    <row r="1134" spans="2:4" ht="15" x14ac:dyDescent="0.2">
      <c r="B1134" s="87" t="s">
        <v>1780</v>
      </c>
      <c r="C1134" s="88">
        <v>4310</v>
      </c>
      <c r="D1134" s="87" t="s">
        <v>5050</v>
      </c>
    </row>
    <row r="1135" spans="2:4" ht="15" x14ac:dyDescent="0.2">
      <c r="B1135" s="87" t="s">
        <v>1781</v>
      </c>
      <c r="C1135" s="88">
        <v>4310</v>
      </c>
      <c r="D1135" s="87" t="s">
        <v>5050</v>
      </c>
    </row>
    <row r="1136" spans="2:4" ht="15" x14ac:dyDescent="0.2">
      <c r="B1136" s="87" t="s">
        <v>1782</v>
      </c>
      <c r="C1136" s="88">
        <v>4300</v>
      </c>
      <c r="D1136" s="87" t="s">
        <v>5051</v>
      </c>
    </row>
    <row r="1137" spans="2:4" ht="15" x14ac:dyDescent="0.2">
      <c r="B1137" s="87" t="s">
        <v>1783</v>
      </c>
      <c r="C1137" s="88">
        <v>4300</v>
      </c>
      <c r="D1137" s="87" t="s">
        <v>5051</v>
      </c>
    </row>
    <row r="1138" spans="2:4" ht="15" x14ac:dyDescent="0.2">
      <c r="B1138" s="87" t="s">
        <v>1784</v>
      </c>
      <c r="C1138" s="88">
        <v>4300</v>
      </c>
      <c r="D1138" s="87" t="s">
        <v>5051</v>
      </c>
    </row>
    <row r="1139" spans="2:4" ht="15" x14ac:dyDescent="0.2">
      <c r="B1139" s="87" t="s">
        <v>1785</v>
      </c>
      <c r="C1139" s="88">
        <v>4280</v>
      </c>
      <c r="D1139" s="87" t="s">
        <v>5052</v>
      </c>
    </row>
    <row r="1140" spans="2:4" ht="15" x14ac:dyDescent="0.2">
      <c r="B1140" s="87" t="s">
        <v>1786</v>
      </c>
      <c r="C1140" s="88">
        <v>4280</v>
      </c>
      <c r="D1140" s="87" t="s">
        <v>5052</v>
      </c>
    </row>
    <row r="1141" spans="2:4" ht="15" x14ac:dyDescent="0.2">
      <c r="B1141" s="87" t="s">
        <v>1787</v>
      </c>
      <c r="C1141" s="88">
        <v>4280</v>
      </c>
      <c r="D1141" s="87" t="s">
        <v>5052</v>
      </c>
    </row>
    <row r="1142" spans="2:4" ht="15" x14ac:dyDescent="0.2">
      <c r="B1142" s="87" t="s">
        <v>1788</v>
      </c>
      <c r="C1142" s="88">
        <v>4270</v>
      </c>
      <c r="D1142" s="87" t="s">
        <v>5053</v>
      </c>
    </row>
    <row r="1143" spans="2:4" ht="15" x14ac:dyDescent="0.2">
      <c r="B1143" s="87" t="s">
        <v>1789</v>
      </c>
      <c r="C1143" s="88">
        <v>4270</v>
      </c>
      <c r="D1143" s="87" t="s">
        <v>5053</v>
      </c>
    </row>
    <row r="1144" spans="2:4" ht="15" x14ac:dyDescent="0.2">
      <c r="B1144" s="87" t="s">
        <v>1790</v>
      </c>
      <c r="C1144" s="88">
        <v>4270</v>
      </c>
      <c r="D1144" s="87" t="s">
        <v>5053</v>
      </c>
    </row>
    <row r="1145" spans="2:4" ht="15" x14ac:dyDescent="0.2">
      <c r="B1145" s="87" t="s">
        <v>1791</v>
      </c>
      <c r="C1145" s="88">
        <v>4260</v>
      </c>
      <c r="D1145" s="87" t="s">
        <v>5054</v>
      </c>
    </row>
    <row r="1146" spans="2:4" ht="15" x14ac:dyDescent="0.2">
      <c r="B1146" s="87" t="s">
        <v>1792</v>
      </c>
      <c r="C1146" s="88">
        <v>4260</v>
      </c>
      <c r="D1146" s="87" t="s">
        <v>5054</v>
      </c>
    </row>
    <row r="1147" spans="2:4" ht="15" x14ac:dyDescent="0.2">
      <c r="B1147" s="87" t="s">
        <v>1793</v>
      </c>
      <c r="C1147" s="88">
        <v>4260</v>
      </c>
      <c r="D1147" s="87" t="s">
        <v>5054</v>
      </c>
    </row>
    <row r="1148" spans="2:4" ht="15" x14ac:dyDescent="0.2">
      <c r="B1148" s="87" t="s">
        <v>1794</v>
      </c>
      <c r="C1148" s="88">
        <v>4240</v>
      </c>
      <c r="D1148" s="87" t="s">
        <v>5055</v>
      </c>
    </row>
    <row r="1149" spans="2:4" ht="15" x14ac:dyDescent="0.2">
      <c r="B1149" s="87" t="s">
        <v>1795</v>
      </c>
      <c r="C1149" s="88">
        <v>4240</v>
      </c>
      <c r="D1149" s="87" t="s">
        <v>5055</v>
      </c>
    </row>
    <row r="1150" spans="2:4" ht="15" x14ac:dyDescent="0.2">
      <c r="B1150" s="87" t="s">
        <v>1796</v>
      </c>
      <c r="C1150" s="88">
        <v>4240</v>
      </c>
      <c r="D1150" s="87" t="s">
        <v>5055</v>
      </c>
    </row>
    <row r="1151" spans="2:4" ht="15" x14ac:dyDescent="0.2">
      <c r="B1151" s="87" t="s">
        <v>1797</v>
      </c>
      <c r="C1151" s="88">
        <v>4230</v>
      </c>
      <c r="D1151" s="87" t="s">
        <v>5056</v>
      </c>
    </row>
    <row r="1152" spans="2:4" ht="15" x14ac:dyDescent="0.2">
      <c r="B1152" s="87" t="s">
        <v>1798</v>
      </c>
      <c r="C1152" s="88">
        <v>4230</v>
      </c>
      <c r="D1152" s="87" t="s">
        <v>5056</v>
      </c>
    </row>
    <row r="1153" spans="2:4" ht="15" x14ac:dyDescent="0.2">
      <c r="B1153" s="87" t="s">
        <v>1799</v>
      </c>
      <c r="C1153" s="88">
        <v>4230</v>
      </c>
      <c r="D1153" s="87" t="s">
        <v>5056</v>
      </c>
    </row>
    <row r="1154" spans="2:4" ht="15" x14ac:dyDescent="0.2">
      <c r="B1154" s="87" t="s">
        <v>1800</v>
      </c>
      <c r="C1154" s="88">
        <v>4220</v>
      </c>
      <c r="D1154" s="87" t="s">
        <v>5057</v>
      </c>
    </row>
    <row r="1155" spans="2:4" ht="15" x14ac:dyDescent="0.2">
      <c r="B1155" s="87" t="s">
        <v>1801</v>
      </c>
      <c r="C1155" s="88">
        <v>4220</v>
      </c>
      <c r="D1155" s="87" t="s">
        <v>5057</v>
      </c>
    </row>
    <row r="1156" spans="2:4" ht="15" x14ac:dyDescent="0.2">
      <c r="B1156" s="87" t="s">
        <v>1802</v>
      </c>
      <c r="C1156" s="88">
        <v>4200</v>
      </c>
      <c r="D1156" s="87" t="s">
        <v>5058</v>
      </c>
    </row>
    <row r="1157" spans="2:4" ht="15" x14ac:dyDescent="0.2">
      <c r="B1157" s="87" t="s">
        <v>1803</v>
      </c>
      <c r="C1157" s="88">
        <v>4200</v>
      </c>
      <c r="D1157" s="87" t="s">
        <v>5058</v>
      </c>
    </row>
    <row r="1158" spans="2:4" ht="15" x14ac:dyDescent="0.2">
      <c r="B1158" s="87" t="s">
        <v>1804</v>
      </c>
      <c r="C1158" s="88">
        <v>4200</v>
      </c>
      <c r="D1158" s="87" t="s">
        <v>5058</v>
      </c>
    </row>
    <row r="1159" spans="2:4" ht="15" x14ac:dyDescent="0.2">
      <c r="B1159" s="87" t="s">
        <v>1805</v>
      </c>
      <c r="C1159" s="88">
        <v>4190</v>
      </c>
      <c r="D1159" s="87" t="s">
        <v>5059</v>
      </c>
    </row>
    <row r="1160" spans="2:4" ht="15" x14ac:dyDescent="0.2">
      <c r="B1160" s="87" t="s">
        <v>1806</v>
      </c>
      <c r="C1160" s="88">
        <v>4190</v>
      </c>
      <c r="D1160" s="87" t="s">
        <v>5059</v>
      </c>
    </row>
    <row r="1161" spans="2:4" ht="15" x14ac:dyDescent="0.2">
      <c r="B1161" s="87" t="s">
        <v>1807</v>
      </c>
      <c r="C1161" s="88">
        <v>4190</v>
      </c>
      <c r="D1161" s="87" t="s">
        <v>5059</v>
      </c>
    </row>
    <row r="1162" spans="2:4" ht="15" x14ac:dyDescent="0.2">
      <c r="B1162" s="87" t="s">
        <v>1808</v>
      </c>
      <c r="C1162" s="88">
        <v>4180</v>
      </c>
      <c r="D1162" s="87" t="s">
        <v>5060</v>
      </c>
    </row>
    <row r="1163" spans="2:4" ht="15" x14ac:dyDescent="0.2">
      <c r="B1163" s="87" t="s">
        <v>1809</v>
      </c>
      <c r="C1163" s="88">
        <v>4180</v>
      </c>
      <c r="D1163" s="87" t="s">
        <v>5060</v>
      </c>
    </row>
    <row r="1164" spans="2:4" ht="15" x14ac:dyDescent="0.2">
      <c r="B1164" s="87" t="s">
        <v>1810</v>
      </c>
      <c r="C1164" s="88">
        <v>4180</v>
      </c>
      <c r="D1164" s="87" t="s">
        <v>5060</v>
      </c>
    </row>
    <row r="1165" spans="2:4" ht="15" x14ac:dyDescent="0.2">
      <c r="B1165" s="87" t="s">
        <v>1811</v>
      </c>
      <c r="C1165" s="88">
        <v>4180</v>
      </c>
      <c r="D1165" s="87" t="s">
        <v>5060</v>
      </c>
    </row>
    <row r="1166" spans="2:4" ht="15" x14ac:dyDescent="0.2">
      <c r="B1166" s="87" t="s">
        <v>1812</v>
      </c>
      <c r="C1166" s="88">
        <v>4160</v>
      </c>
      <c r="D1166" s="87" t="s">
        <v>5061</v>
      </c>
    </row>
    <row r="1167" spans="2:4" ht="15" x14ac:dyDescent="0.2">
      <c r="B1167" s="87" t="s">
        <v>1813</v>
      </c>
      <c r="C1167" s="88">
        <v>4160</v>
      </c>
      <c r="D1167" s="87" t="s">
        <v>5061</v>
      </c>
    </row>
    <row r="1168" spans="2:4" ht="15" x14ac:dyDescent="0.2">
      <c r="B1168" s="87" t="s">
        <v>1814</v>
      </c>
      <c r="C1168" s="88">
        <v>4160</v>
      </c>
      <c r="D1168" s="87" t="s">
        <v>5061</v>
      </c>
    </row>
    <row r="1169" spans="2:4" ht="15" x14ac:dyDescent="0.2">
      <c r="B1169" s="87" t="s">
        <v>1815</v>
      </c>
      <c r="C1169" s="88">
        <v>4160</v>
      </c>
      <c r="D1169" s="87" t="s">
        <v>5061</v>
      </c>
    </row>
    <row r="1170" spans="2:4" ht="15" x14ac:dyDescent="0.2">
      <c r="B1170" s="87" t="s">
        <v>1816</v>
      </c>
      <c r="C1170" s="88">
        <v>4160</v>
      </c>
      <c r="D1170" s="87" t="s">
        <v>5061</v>
      </c>
    </row>
    <row r="1171" spans="2:4" ht="15" x14ac:dyDescent="0.2">
      <c r="B1171" s="87" t="s">
        <v>1817</v>
      </c>
      <c r="C1171" s="88">
        <v>4160</v>
      </c>
      <c r="D1171" s="87" t="s">
        <v>5061</v>
      </c>
    </row>
    <row r="1172" spans="2:4" ht="15" x14ac:dyDescent="0.2">
      <c r="B1172" s="87" t="s">
        <v>1818</v>
      </c>
      <c r="C1172" s="88">
        <v>4160</v>
      </c>
      <c r="D1172" s="87" t="s">
        <v>5061</v>
      </c>
    </row>
    <row r="1173" spans="2:4" ht="15" x14ac:dyDescent="0.2">
      <c r="B1173" s="87" t="s">
        <v>1819</v>
      </c>
      <c r="C1173" s="88">
        <v>4160</v>
      </c>
      <c r="D1173" s="87" t="s">
        <v>5061</v>
      </c>
    </row>
    <row r="1174" spans="2:4" ht="15" x14ac:dyDescent="0.2">
      <c r="B1174" s="87" t="s">
        <v>1820</v>
      </c>
      <c r="C1174" s="88">
        <v>4150</v>
      </c>
      <c r="D1174" s="87" t="s">
        <v>5062</v>
      </c>
    </row>
    <row r="1175" spans="2:4" ht="15" x14ac:dyDescent="0.2">
      <c r="B1175" s="87" t="s">
        <v>1821</v>
      </c>
      <c r="C1175" s="88">
        <v>4150</v>
      </c>
      <c r="D1175" s="87" t="s">
        <v>5062</v>
      </c>
    </row>
    <row r="1176" spans="2:4" ht="15" x14ac:dyDescent="0.2">
      <c r="B1176" s="87" t="s">
        <v>1822</v>
      </c>
      <c r="C1176" s="88">
        <v>4150</v>
      </c>
      <c r="D1176" s="87" t="s">
        <v>5062</v>
      </c>
    </row>
    <row r="1177" spans="2:4" ht="15" x14ac:dyDescent="0.2">
      <c r="B1177" s="87" t="s">
        <v>1823</v>
      </c>
      <c r="C1177" s="88">
        <v>4150</v>
      </c>
      <c r="D1177" s="87" t="s">
        <v>5062</v>
      </c>
    </row>
    <row r="1178" spans="2:4" ht="15" x14ac:dyDescent="0.2">
      <c r="B1178" s="87" t="s">
        <v>1824</v>
      </c>
      <c r="C1178" s="88">
        <v>4150</v>
      </c>
      <c r="D1178" s="87" t="s">
        <v>5062</v>
      </c>
    </row>
    <row r="1179" spans="2:4" ht="15" x14ac:dyDescent="0.2">
      <c r="B1179" s="87" t="s">
        <v>1825</v>
      </c>
      <c r="C1179" s="88">
        <v>4150</v>
      </c>
      <c r="D1179" s="87" t="s">
        <v>5062</v>
      </c>
    </row>
    <row r="1180" spans="2:4" ht="15" x14ac:dyDescent="0.2">
      <c r="B1180" s="87" t="s">
        <v>1826</v>
      </c>
      <c r="C1180" s="88">
        <v>4150</v>
      </c>
      <c r="D1180" s="87" t="s">
        <v>5062</v>
      </c>
    </row>
    <row r="1181" spans="2:4" ht="15" x14ac:dyDescent="0.2">
      <c r="B1181" s="87" t="s">
        <v>1827</v>
      </c>
      <c r="C1181" s="88">
        <v>4150</v>
      </c>
      <c r="D1181" s="87" t="s">
        <v>5062</v>
      </c>
    </row>
    <row r="1182" spans="2:4" ht="15" x14ac:dyDescent="0.2">
      <c r="B1182" s="87" t="s">
        <v>1828</v>
      </c>
      <c r="C1182" s="88">
        <v>4150</v>
      </c>
      <c r="D1182" s="87" t="s">
        <v>5062</v>
      </c>
    </row>
    <row r="1183" spans="2:4" ht="15" x14ac:dyDescent="0.2">
      <c r="B1183" s="87" t="s">
        <v>1829</v>
      </c>
      <c r="C1183" s="88">
        <v>4150</v>
      </c>
      <c r="D1183" s="87" t="s">
        <v>5062</v>
      </c>
    </row>
    <row r="1184" spans="2:4" ht="15" x14ac:dyDescent="0.2">
      <c r="B1184" s="87" t="s">
        <v>1830</v>
      </c>
      <c r="C1184" s="88">
        <v>4150</v>
      </c>
      <c r="D1184" s="87" t="s">
        <v>5062</v>
      </c>
    </row>
    <row r="1185" spans="2:4" ht="15" x14ac:dyDescent="0.2">
      <c r="B1185" s="87" t="s">
        <v>1831</v>
      </c>
      <c r="C1185" s="88">
        <v>4150</v>
      </c>
      <c r="D1185" s="87" t="s">
        <v>5062</v>
      </c>
    </row>
    <row r="1186" spans="2:4" ht="15" x14ac:dyDescent="0.2">
      <c r="B1186" s="87" t="s">
        <v>1832</v>
      </c>
      <c r="C1186" s="88">
        <v>4150</v>
      </c>
      <c r="D1186" s="87" t="s">
        <v>5062</v>
      </c>
    </row>
    <row r="1187" spans="2:4" ht="15" x14ac:dyDescent="0.2">
      <c r="B1187" s="87" t="s">
        <v>1833</v>
      </c>
      <c r="C1187" s="88">
        <v>4150</v>
      </c>
      <c r="D1187" s="87" t="s">
        <v>5062</v>
      </c>
    </row>
    <row r="1188" spans="2:4" ht="15" x14ac:dyDescent="0.2">
      <c r="B1188" s="87" t="s">
        <v>1834</v>
      </c>
      <c r="C1188" s="88">
        <v>4150</v>
      </c>
      <c r="D1188" s="87" t="s">
        <v>5062</v>
      </c>
    </row>
    <row r="1189" spans="2:4" ht="15" x14ac:dyDescent="0.2">
      <c r="B1189" s="87" t="s">
        <v>1835</v>
      </c>
      <c r="C1189" s="88">
        <v>4150</v>
      </c>
      <c r="D1189" s="87" t="s">
        <v>5062</v>
      </c>
    </row>
    <row r="1190" spans="2:4" ht="15" x14ac:dyDescent="0.2">
      <c r="B1190" s="87" t="s">
        <v>1836</v>
      </c>
      <c r="C1190" s="88">
        <v>4150</v>
      </c>
      <c r="D1190" s="87" t="s">
        <v>5062</v>
      </c>
    </row>
    <row r="1191" spans="2:4" ht="15" x14ac:dyDescent="0.2">
      <c r="B1191" s="87" t="s">
        <v>1837</v>
      </c>
      <c r="C1191" s="88">
        <v>4150</v>
      </c>
      <c r="D1191" s="87" t="s">
        <v>5062</v>
      </c>
    </row>
    <row r="1192" spans="2:4" ht="15" x14ac:dyDescent="0.2">
      <c r="B1192" s="87" t="s">
        <v>1838</v>
      </c>
      <c r="C1192" s="88">
        <v>4150</v>
      </c>
      <c r="D1192" s="87" t="s">
        <v>5062</v>
      </c>
    </row>
    <row r="1193" spans="2:4" ht="15" x14ac:dyDescent="0.2">
      <c r="B1193" s="87" t="s">
        <v>1839</v>
      </c>
      <c r="C1193" s="88">
        <v>4150</v>
      </c>
      <c r="D1193" s="87" t="s">
        <v>5062</v>
      </c>
    </row>
    <row r="1194" spans="2:4" ht="15" x14ac:dyDescent="0.2">
      <c r="B1194" s="87" t="s">
        <v>1840</v>
      </c>
      <c r="C1194" s="88">
        <v>4150</v>
      </c>
      <c r="D1194" s="87" t="s">
        <v>5062</v>
      </c>
    </row>
    <row r="1195" spans="2:4" ht="15" x14ac:dyDescent="0.2">
      <c r="B1195" s="87" t="s">
        <v>1841</v>
      </c>
      <c r="C1195" s="88">
        <v>4150</v>
      </c>
      <c r="D1195" s="87" t="s">
        <v>5062</v>
      </c>
    </row>
    <row r="1196" spans="2:4" ht="15" x14ac:dyDescent="0.2">
      <c r="B1196" s="87" t="s">
        <v>1842</v>
      </c>
      <c r="C1196" s="88">
        <v>4160</v>
      </c>
      <c r="D1196" s="87" t="s">
        <v>5061</v>
      </c>
    </row>
    <row r="1197" spans="2:4" ht="15" x14ac:dyDescent="0.2">
      <c r="B1197" s="87" t="s">
        <v>1843</v>
      </c>
      <c r="C1197" s="88">
        <v>4160</v>
      </c>
      <c r="D1197" s="87" t="s">
        <v>5061</v>
      </c>
    </row>
    <row r="1198" spans="2:4" ht="15" x14ac:dyDescent="0.2">
      <c r="B1198" s="87" t="s">
        <v>1844</v>
      </c>
      <c r="C1198" s="88">
        <v>4160</v>
      </c>
      <c r="D1198" s="87" t="s">
        <v>5061</v>
      </c>
    </row>
    <row r="1199" spans="2:4" ht="15" x14ac:dyDescent="0.2">
      <c r="B1199" s="87" t="s">
        <v>1845</v>
      </c>
      <c r="C1199" s="88">
        <v>4160</v>
      </c>
      <c r="D1199" s="87" t="s">
        <v>5061</v>
      </c>
    </row>
    <row r="1200" spans="2:4" ht="15" x14ac:dyDescent="0.2">
      <c r="B1200" s="87" t="s">
        <v>1846</v>
      </c>
      <c r="C1200" s="88">
        <v>4160</v>
      </c>
      <c r="D1200" s="87" t="s">
        <v>5061</v>
      </c>
    </row>
    <row r="1201" spans="2:4" ht="15" x14ac:dyDescent="0.2">
      <c r="B1201" s="87" t="s">
        <v>1847</v>
      </c>
      <c r="C1201" s="88">
        <v>4160</v>
      </c>
      <c r="D1201" s="87" t="s">
        <v>5061</v>
      </c>
    </row>
    <row r="1202" spans="2:4" ht="15" x14ac:dyDescent="0.2">
      <c r="B1202" s="87" t="s">
        <v>1848</v>
      </c>
      <c r="C1202" s="88">
        <v>4160</v>
      </c>
      <c r="D1202" s="87" t="s">
        <v>5061</v>
      </c>
    </row>
    <row r="1203" spans="2:4" ht="15" x14ac:dyDescent="0.2">
      <c r="B1203" s="87" t="s">
        <v>1849</v>
      </c>
      <c r="C1203" s="88">
        <v>4160</v>
      </c>
      <c r="D1203" s="87" t="s">
        <v>5061</v>
      </c>
    </row>
    <row r="1204" spans="2:4" ht="15" x14ac:dyDescent="0.2">
      <c r="B1204" s="87" t="s">
        <v>1850</v>
      </c>
      <c r="C1204" s="88">
        <v>4160</v>
      </c>
      <c r="D1204" s="87" t="s">
        <v>5061</v>
      </c>
    </row>
    <row r="1205" spans="2:4" ht="15" x14ac:dyDescent="0.2">
      <c r="B1205" s="87" t="s">
        <v>1851</v>
      </c>
      <c r="C1205" s="88">
        <v>4180</v>
      </c>
      <c r="D1205" s="87" t="s">
        <v>5060</v>
      </c>
    </row>
    <row r="1206" spans="2:4" ht="15" x14ac:dyDescent="0.2">
      <c r="B1206" s="87" t="s">
        <v>1852</v>
      </c>
      <c r="C1206" s="88">
        <v>4180</v>
      </c>
      <c r="D1206" s="87" t="s">
        <v>5060</v>
      </c>
    </row>
    <row r="1207" spans="2:4" ht="15" x14ac:dyDescent="0.2">
      <c r="B1207" s="87" t="s">
        <v>1853</v>
      </c>
      <c r="C1207" s="88">
        <v>4180</v>
      </c>
      <c r="D1207" s="87" t="s">
        <v>5060</v>
      </c>
    </row>
    <row r="1208" spans="2:4" ht="15" x14ac:dyDescent="0.2">
      <c r="B1208" s="87" t="s">
        <v>1854</v>
      </c>
      <c r="C1208" s="88">
        <v>4180</v>
      </c>
      <c r="D1208" s="87" t="s">
        <v>5060</v>
      </c>
    </row>
    <row r="1209" spans="2:4" ht="15" x14ac:dyDescent="0.2">
      <c r="B1209" s="87" t="s">
        <v>1855</v>
      </c>
      <c r="C1209" s="88">
        <v>4180</v>
      </c>
      <c r="D1209" s="87" t="s">
        <v>5060</v>
      </c>
    </row>
    <row r="1210" spans="2:4" ht="15" x14ac:dyDescent="0.2">
      <c r="B1210" s="87" t="s">
        <v>1856</v>
      </c>
      <c r="C1210" s="88">
        <v>4180</v>
      </c>
      <c r="D1210" s="87" t="s">
        <v>5060</v>
      </c>
    </row>
    <row r="1211" spans="2:4" ht="15" x14ac:dyDescent="0.2">
      <c r="B1211" s="87" t="s">
        <v>1857</v>
      </c>
      <c r="C1211" s="88">
        <v>4190</v>
      </c>
      <c r="D1211" s="87" t="s">
        <v>5059</v>
      </c>
    </row>
    <row r="1212" spans="2:4" ht="15" x14ac:dyDescent="0.2">
      <c r="B1212" s="87" t="s">
        <v>1858</v>
      </c>
      <c r="C1212" s="88">
        <v>4190</v>
      </c>
      <c r="D1212" s="87" t="s">
        <v>5059</v>
      </c>
    </row>
    <row r="1213" spans="2:4" ht="15" x14ac:dyDescent="0.2">
      <c r="B1213" s="87" t="s">
        <v>1859</v>
      </c>
      <c r="C1213" s="88">
        <v>4190</v>
      </c>
      <c r="D1213" s="87" t="s">
        <v>5059</v>
      </c>
    </row>
    <row r="1214" spans="2:4" ht="15" x14ac:dyDescent="0.2">
      <c r="B1214" s="87" t="s">
        <v>1860</v>
      </c>
      <c r="C1214" s="88">
        <v>4190</v>
      </c>
      <c r="D1214" s="87" t="s">
        <v>5059</v>
      </c>
    </row>
    <row r="1215" spans="2:4" ht="15" x14ac:dyDescent="0.2">
      <c r="B1215" s="87" t="s">
        <v>1861</v>
      </c>
      <c r="C1215" s="88">
        <v>4200</v>
      </c>
      <c r="D1215" s="87" t="s">
        <v>5058</v>
      </c>
    </row>
    <row r="1216" spans="2:4" ht="15" x14ac:dyDescent="0.2">
      <c r="B1216" s="87" t="s">
        <v>1862</v>
      </c>
      <c r="C1216" s="88">
        <v>4200</v>
      </c>
      <c r="D1216" s="87" t="s">
        <v>5058</v>
      </c>
    </row>
    <row r="1217" spans="2:4" ht="15" x14ac:dyDescent="0.2">
      <c r="B1217" s="87" t="s">
        <v>1863</v>
      </c>
      <c r="C1217" s="88">
        <v>4200</v>
      </c>
      <c r="D1217" s="87" t="s">
        <v>5058</v>
      </c>
    </row>
    <row r="1218" spans="2:4" ht="15" x14ac:dyDescent="0.2">
      <c r="B1218" s="87" t="s">
        <v>1864</v>
      </c>
      <c r="C1218" s="88">
        <v>4200</v>
      </c>
      <c r="D1218" s="87" t="s">
        <v>5058</v>
      </c>
    </row>
    <row r="1219" spans="2:4" ht="15" x14ac:dyDescent="0.2">
      <c r="B1219" s="87" t="s">
        <v>1865</v>
      </c>
      <c r="C1219" s="88">
        <v>4200</v>
      </c>
      <c r="D1219" s="87" t="s">
        <v>5058</v>
      </c>
    </row>
    <row r="1220" spans="2:4" ht="15" x14ac:dyDescent="0.2">
      <c r="B1220" s="87" t="s">
        <v>1866</v>
      </c>
      <c r="C1220" s="88">
        <v>4220</v>
      </c>
      <c r="D1220" s="87" t="s">
        <v>5057</v>
      </c>
    </row>
    <row r="1221" spans="2:4" ht="15" x14ac:dyDescent="0.2">
      <c r="B1221" s="87" t="s">
        <v>1867</v>
      </c>
      <c r="C1221" s="88">
        <v>4220</v>
      </c>
      <c r="D1221" s="87" t="s">
        <v>5057</v>
      </c>
    </row>
    <row r="1222" spans="2:4" ht="15" x14ac:dyDescent="0.2">
      <c r="B1222" s="87" t="s">
        <v>1868</v>
      </c>
      <c r="C1222" s="88">
        <v>4220</v>
      </c>
      <c r="D1222" s="87" t="s">
        <v>5057</v>
      </c>
    </row>
    <row r="1223" spans="2:4" ht="15" x14ac:dyDescent="0.2">
      <c r="B1223" s="87" t="s">
        <v>1869</v>
      </c>
      <c r="C1223" s="88">
        <v>4220</v>
      </c>
      <c r="D1223" s="87" t="s">
        <v>5057</v>
      </c>
    </row>
    <row r="1224" spans="2:4" ht="15" x14ac:dyDescent="0.2">
      <c r="B1224" s="87" t="s">
        <v>1870</v>
      </c>
      <c r="C1224" s="88">
        <v>4230</v>
      </c>
      <c r="D1224" s="87" t="s">
        <v>5056</v>
      </c>
    </row>
    <row r="1225" spans="2:4" ht="15" x14ac:dyDescent="0.2">
      <c r="B1225" s="87" t="s">
        <v>1871</v>
      </c>
      <c r="C1225" s="88">
        <v>4230</v>
      </c>
      <c r="D1225" s="87" t="s">
        <v>5056</v>
      </c>
    </row>
    <row r="1226" spans="2:4" ht="15" x14ac:dyDescent="0.2">
      <c r="B1226" s="87" t="s">
        <v>1872</v>
      </c>
      <c r="C1226" s="88">
        <v>4230</v>
      </c>
      <c r="D1226" s="87" t="s">
        <v>5056</v>
      </c>
    </row>
    <row r="1227" spans="2:4" ht="15" x14ac:dyDescent="0.2">
      <c r="B1227" s="87" t="s">
        <v>1873</v>
      </c>
      <c r="C1227" s="88">
        <v>4230</v>
      </c>
      <c r="D1227" s="87" t="s">
        <v>5056</v>
      </c>
    </row>
    <row r="1228" spans="2:4" ht="15" x14ac:dyDescent="0.2">
      <c r="B1228" s="87" t="s">
        <v>1874</v>
      </c>
      <c r="C1228" s="88">
        <v>4230</v>
      </c>
      <c r="D1228" s="87" t="s">
        <v>5056</v>
      </c>
    </row>
    <row r="1229" spans="2:4" ht="15" x14ac:dyDescent="0.2">
      <c r="B1229" s="87" t="s">
        <v>1875</v>
      </c>
      <c r="C1229" s="88">
        <v>4230</v>
      </c>
      <c r="D1229" s="87" t="s">
        <v>5056</v>
      </c>
    </row>
    <row r="1230" spans="2:4" ht="15" x14ac:dyDescent="0.2">
      <c r="B1230" s="87" t="s">
        <v>1876</v>
      </c>
      <c r="C1230" s="88">
        <v>4230</v>
      </c>
      <c r="D1230" s="87" t="s">
        <v>5056</v>
      </c>
    </row>
    <row r="1231" spans="2:4" ht="15" x14ac:dyDescent="0.2">
      <c r="B1231" s="87" t="s">
        <v>1877</v>
      </c>
      <c r="C1231" s="88">
        <v>4240</v>
      </c>
      <c r="D1231" s="87" t="s">
        <v>5055</v>
      </c>
    </row>
    <row r="1232" spans="2:4" ht="15" x14ac:dyDescent="0.2">
      <c r="B1232" s="87" t="s">
        <v>1878</v>
      </c>
      <c r="C1232" s="88">
        <v>4240</v>
      </c>
      <c r="D1232" s="87" t="s">
        <v>5055</v>
      </c>
    </row>
    <row r="1233" spans="2:4" ht="15" x14ac:dyDescent="0.2">
      <c r="B1233" s="87" t="s">
        <v>1879</v>
      </c>
      <c r="C1233" s="88">
        <v>4240</v>
      </c>
      <c r="D1233" s="87" t="s">
        <v>5055</v>
      </c>
    </row>
    <row r="1234" spans="2:4" ht="15" x14ac:dyDescent="0.2">
      <c r="B1234" s="87" t="s">
        <v>1880</v>
      </c>
      <c r="C1234" s="88">
        <v>4240</v>
      </c>
      <c r="D1234" s="87" t="s">
        <v>5055</v>
      </c>
    </row>
    <row r="1235" spans="2:4" ht="15" x14ac:dyDescent="0.2">
      <c r="B1235" s="87" t="s">
        <v>1881</v>
      </c>
      <c r="C1235" s="88">
        <v>4240</v>
      </c>
      <c r="D1235" s="87" t="s">
        <v>5055</v>
      </c>
    </row>
    <row r="1236" spans="2:4" ht="15" x14ac:dyDescent="0.2">
      <c r="B1236" s="87" t="s">
        <v>1882</v>
      </c>
      <c r="C1236" s="88">
        <v>4240</v>
      </c>
      <c r="D1236" s="87" t="s">
        <v>5055</v>
      </c>
    </row>
    <row r="1237" spans="2:4" ht="15" x14ac:dyDescent="0.2">
      <c r="B1237" s="87" t="s">
        <v>1883</v>
      </c>
      <c r="C1237" s="88">
        <v>4260</v>
      </c>
      <c r="D1237" s="87" t="s">
        <v>5054</v>
      </c>
    </row>
    <row r="1238" spans="2:4" ht="15" x14ac:dyDescent="0.2">
      <c r="B1238" s="87" t="s">
        <v>1884</v>
      </c>
      <c r="C1238" s="88">
        <v>4260</v>
      </c>
      <c r="D1238" s="87" t="s">
        <v>5054</v>
      </c>
    </row>
    <row r="1239" spans="2:4" ht="15" x14ac:dyDescent="0.2">
      <c r="B1239" s="87" t="s">
        <v>1885</v>
      </c>
      <c r="C1239" s="88">
        <v>4260</v>
      </c>
      <c r="D1239" s="87" t="s">
        <v>5054</v>
      </c>
    </row>
    <row r="1240" spans="2:4" ht="15" x14ac:dyDescent="0.2">
      <c r="B1240" s="87" t="s">
        <v>1886</v>
      </c>
      <c r="C1240" s="88">
        <v>4260</v>
      </c>
      <c r="D1240" s="87" t="s">
        <v>5054</v>
      </c>
    </row>
    <row r="1241" spans="2:4" ht="15" x14ac:dyDescent="0.2">
      <c r="B1241" s="87" t="s">
        <v>1887</v>
      </c>
      <c r="C1241" s="88">
        <v>4260</v>
      </c>
      <c r="D1241" s="87" t="s">
        <v>5054</v>
      </c>
    </row>
    <row r="1242" spans="2:4" ht="15" x14ac:dyDescent="0.2">
      <c r="B1242" s="87" t="s">
        <v>1888</v>
      </c>
      <c r="C1242" s="88">
        <v>4260</v>
      </c>
      <c r="D1242" s="87" t="s">
        <v>5054</v>
      </c>
    </row>
    <row r="1243" spans="2:4" ht="15" x14ac:dyDescent="0.2">
      <c r="B1243" s="87" t="s">
        <v>1889</v>
      </c>
      <c r="C1243" s="88">
        <v>4260</v>
      </c>
      <c r="D1243" s="87" t="s">
        <v>5054</v>
      </c>
    </row>
    <row r="1244" spans="2:4" ht="15" x14ac:dyDescent="0.2">
      <c r="B1244" s="87" t="s">
        <v>1890</v>
      </c>
      <c r="C1244" s="88">
        <v>4260</v>
      </c>
      <c r="D1244" s="87" t="s">
        <v>5054</v>
      </c>
    </row>
    <row r="1245" spans="2:4" ht="15" x14ac:dyDescent="0.2">
      <c r="B1245" s="87" t="s">
        <v>1891</v>
      </c>
      <c r="C1245" s="88">
        <v>4260</v>
      </c>
      <c r="D1245" s="87" t="s">
        <v>5054</v>
      </c>
    </row>
    <row r="1246" spans="2:4" ht="15" x14ac:dyDescent="0.2">
      <c r="B1246" s="87" t="s">
        <v>1892</v>
      </c>
      <c r="C1246" s="88">
        <v>4270</v>
      </c>
      <c r="D1246" s="87" t="s">
        <v>5053</v>
      </c>
    </row>
    <row r="1247" spans="2:4" ht="15" x14ac:dyDescent="0.2">
      <c r="B1247" s="87" t="s">
        <v>1893</v>
      </c>
      <c r="C1247" s="88">
        <v>4270</v>
      </c>
      <c r="D1247" s="87" t="s">
        <v>5053</v>
      </c>
    </row>
    <row r="1248" spans="2:4" ht="15" x14ac:dyDescent="0.2">
      <c r="B1248" s="87" t="s">
        <v>1894</v>
      </c>
      <c r="C1248" s="88">
        <v>4270</v>
      </c>
      <c r="D1248" s="87" t="s">
        <v>5053</v>
      </c>
    </row>
    <row r="1249" spans="2:4" ht="15" x14ac:dyDescent="0.2">
      <c r="B1249" s="87" t="s">
        <v>1895</v>
      </c>
      <c r="C1249" s="88">
        <v>4270</v>
      </c>
      <c r="D1249" s="87" t="s">
        <v>5053</v>
      </c>
    </row>
    <row r="1250" spans="2:4" ht="15" x14ac:dyDescent="0.2">
      <c r="B1250" s="87" t="s">
        <v>1896</v>
      </c>
      <c r="C1250" s="88">
        <v>4270</v>
      </c>
      <c r="D1250" s="87" t="s">
        <v>5053</v>
      </c>
    </row>
    <row r="1251" spans="2:4" ht="15" x14ac:dyDescent="0.2">
      <c r="B1251" s="87" t="s">
        <v>1897</v>
      </c>
      <c r="C1251" s="88">
        <v>4270</v>
      </c>
      <c r="D1251" s="87" t="s">
        <v>5053</v>
      </c>
    </row>
    <row r="1252" spans="2:4" ht="15" x14ac:dyDescent="0.2">
      <c r="B1252" s="87" t="s">
        <v>1898</v>
      </c>
      <c r="C1252" s="88">
        <v>4280</v>
      </c>
      <c r="D1252" s="87" t="s">
        <v>5052</v>
      </c>
    </row>
    <row r="1253" spans="2:4" ht="15" x14ac:dyDescent="0.2">
      <c r="B1253" s="87" t="s">
        <v>1899</v>
      </c>
      <c r="C1253" s="88">
        <v>4280</v>
      </c>
      <c r="D1253" s="87" t="s">
        <v>5052</v>
      </c>
    </row>
    <row r="1254" spans="2:4" ht="15" x14ac:dyDescent="0.2">
      <c r="B1254" s="87" t="s">
        <v>1900</v>
      </c>
      <c r="C1254" s="88">
        <v>4280</v>
      </c>
      <c r="D1254" s="87" t="s">
        <v>5052</v>
      </c>
    </row>
    <row r="1255" spans="2:4" ht="15" x14ac:dyDescent="0.2">
      <c r="B1255" s="87" t="s">
        <v>1901</v>
      </c>
      <c r="C1255" s="88">
        <v>4280</v>
      </c>
      <c r="D1255" s="87" t="s">
        <v>5052</v>
      </c>
    </row>
    <row r="1256" spans="2:4" ht="15" x14ac:dyDescent="0.2">
      <c r="B1256" s="87" t="s">
        <v>1902</v>
      </c>
      <c r="C1256" s="88">
        <v>4280</v>
      </c>
      <c r="D1256" s="87" t="s">
        <v>5052</v>
      </c>
    </row>
    <row r="1257" spans="2:4" ht="15" x14ac:dyDescent="0.2">
      <c r="B1257" s="87" t="s">
        <v>1903</v>
      </c>
      <c r="C1257" s="88">
        <v>4300</v>
      </c>
      <c r="D1257" s="87" t="s">
        <v>5051</v>
      </c>
    </row>
    <row r="1258" spans="2:4" ht="15" x14ac:dyDescent="0.2">
      <c r="B1258" s="87" t="s">
        <v>1904</v>
      </c>
      <c r="C1258" s="88">
        <v>4300</v>
      </c>
      <c r="D1258" s="87" t="s">
        <v>5051</v>
      </c>
    </row>
    <row r="1259" spans="2:4" ht="15" x14ac:dyDescent="0.2">
      <c r="B1259" s="87" t="s">
        <v>1905</v>
      </c>
      <c r="C1259" s="88">
        <v>4300</v>
      </c>
      <c r="D1259" s="87" t="s">
        <v>5051</v>
      </c>
    </row>
    <row r="1260" spans="2:4" ht="15" x14ac:dyDescent="0.2">
      <c r="B1260" s="87" t="s">
        <v>1906</v>
      </c>
      <c r="C1260" s="88">
        <v>4300</v>
      </c>
      <c r="D1260" s="87" t="s">
        <v>5051</v>
      </c>
    </row>
    <row r="1261" spans="2:4" ht="15" x14ac:dyDescent="0.2">
      <c r="B1261" s="87" t="s">
        <v>1907</v>
      </c>
      <c r="C1261" s="88">
        <v>4310</v>
      </c>
      <c r="D1261" s="87" t="s">
        <v>5050</v>
      </c>
    </row>
    <row r="1262" spans="2:4" ht="15" x14ac:dyDescent="0.2">
      <c r="B1262" s="87" t="s">
        <v>1908</v>
      </c>
      <c r="C1262" s="88">
        <v>4310</v>
      </c>
      <c r="D1262" s="87" t="s">
        <v>5050</v>
      </c>
    </row>
    <row r="1263" spans="2:4" ht="15" x14ac:dyDescent="0.2">
      <c r="B1263" s="87" t="s">
        <v>1909</v>
      </c>
      <c r="C1263" s="88">
        <v>4310</v>
      </c>
      <c r="D1263" s="87" t="s">
        <v>5050</v>
      </c>
    </row>
    <row r="1264" spans="2:4" ht="15" x14ac:dyDescent="0.2">
      <c r="B1264" s="87" t="s">
        <v>1910</v>
      </c>
      <c r="C1264" s="88">
        <v>4310</v>
      </c>
      <c r="D1264" s="87" t="s">
        <v>5050</v>
      </c>
    </row>
    <row r="1265" spans="2:4" ht="15" x14ac:dyDescent="0.2">
      <c r="B1265" s="87" t="s">
        <v>1911</v>
      </c>
      <c r="C1265" s="88">
        <v>4320</v>
      </c>
      <c r="D1265" s="87" t="s">
        <v>5049</v>
      </c>
    </row>
    <row r="1266" spans="2:4" ht="15" x14ac:dyDescent="0.2">
      <c r="B1266" s="87" t="s">
        <v>1912</v>
      </c>
      <c r="C1266" s="88">
        <v>4320</v>
      </c>
      <c r="D1266" s="87" t="s">
        <v>5049</v>
      </c>
    </row>
    <row r="1267" spans="2:4" ht="15" x14ac:dyDescent="0.2">
      <c r="B1267" s="87" t="s">
        <v>1913</v>
      </c>
      <c r="C1267" s="88">
        <v>4320</v>
      </c>
      <c r="D1267" s="87" t="s">
        <v>5049</v>
      </c>
    </row>
    <row r="1268" spans="2:4" ht="15" x14ac:dyDescent="0.2">
      <c r="B1268" s="87" t="s">
        <v>1914</v>
      </c>
      <c r="C1268" s="88">
        <v>4340</v>
      </c>
      <c r="D1268" s="87" t="s">
        <v>5048</v>
      </c>
    </row>
    <row r="1269" spans="2:4" ht="15" x14ac:dyDescent="0.2">
      <c r="B1269" s="87" t="s">
        <v>1915</v>
      </c>
      <c r="C1269" s="88">
        <v>4340</v>
      </c>
      <c r="D1269" s="87" t="s">
        <v>5048</v>
      </c>
    </row>
    <row r="1270" spans="2:4" ht="15" x14ac:dyDescent="0.2">
      <c r="B1270" s="87" t="s">
        <v>1916</v>
      </c>
      <c r="C1270" s="88">
        <v>4340</v>
      </c>
      <c r="D1270" s="87" t="s">
        <v>5048</v>
      </c>
    </row>
    <row r="1271" spans="2:4" ht="15" x14ac:dyDescent="0.2">
      <c r="B1271" s="87" t="s">
        <v>1917</v>
      </c>
      <c r="C1271" s="88">
        <v>4350</v>
      </c>
      <c r="D1271" s="87" t="s">
        <v>5047</v>
      </c>
    </row>
    <row r="1272" spans="2:4" ht="15" x14ac:dyDescent="0.2">
      <c r="B1272" s="87" t="s">
        <v>1918</v>
      </c>
      <c r="C1272" s="88">
        <v>4350</v>
      </c>
      <c r="D1272" s="87" t="s">
        <v>5047</v>
      </c>
    </row>
    <row r="1273" spans="2:4" ht="15" x14ac:dyDescent="0.2">
      <c r="B1273" s="87" t="s">
        <v>1919</v>
      </c>
      <c r="C1273" s="88">
        <v>4360</v>
      </c>
      <c r="D1273" s="87" t="s">
        <v>5046</v>
      </c>
    </row>
    <row r="1274" spans="2:4" ht="15" x14ac:dyDescent="0.2">
      <c r="B1274" s="87" t="s">
        <v>1920</v>
      </c>
      <c r="C1274" s="88">
        <v>4360</v>
      </c>
      <c r="D1274" s="87" t="s">
        <v>5046</v>
      </c>
    </row>
    <row r="1275" spans="2:4" ht="15" x14ac:dyDescent="0.2">
      <c r="B1275" s="87" t="s">
        <v>1921</v>
      </c>
      <c r="C1275" s="88">
        <v>4380</v>
      </c>
      <c r="D1275" s="87" t="s">
        <v>5045</v>
      </c>
    </row>
    <row r="1276" spans="2:4" ht="15" x14ac:dyDescent="0.2">
      <c r="B1276" s="87" t="s">
        <v>1922</v>
      </c>
      <c r="C1276" s="88">
        <v>4380</v>
      </c>
      <c r="D1276" s="87" t="s">
        <v>5045</v>
      </c>
    </row>
    <row r="1277" spans="2:4" ht="15" x14ac:dyDescent="0.2">
      <c r="B1277" s="87" t="s">
        <v>1923</v>
      </c>
      <c r="C1277" s="88">
        <v>4390</v>
      </c>
      <c r="D1277" s="87" t="s">
        <v>5044</v>
      </c>
    </row>
    <row r="1278" spans="2:4" ht="15" x14ac:dyDescent="0.2">
      <c r="B1278" s="87" t="s">
        <v>1924</v>
      </c>
      <c r="C1278" s="88">
        <v>4400</v>
      </c>
      <c r="D1278" s="87" t="s">
        <v>5043</v>
      </c>
    </row>
    <row r="1279" spans="2:4" ht="15" x14ac:dyDescent="0.2">
      <c r="B1279" s="87" t="s">
        <v>1925</v>
      </c>
      <c r="C1279" s="88">
        <v>4420</v>
      </c>
      <c r="D1279" s="87" t="s">
        <v>5042</v>
      </c>
    </row>
    <row r="1280" spans="2:4" ht="15" x14ac:dyDescent="0.2">
      <c r="B1280" s="87" t="s">
        <v>1926</v>
      </c>
      <c r="C1280" s="88">
        <v>4420</v>
      </c>
      <c r="D1280" s="87" t="s">
        <v>5042</v>
      </c>
    </row>
    <row r="1281" spans="2:4" ht="15" x14ac:dyDescent="0.2">
      <c r="B1281" s="87" t="s">
        <v>1927</v>
      </c>
      <c r="C1281" s="88">
        <v>4420</v>
      </c>
      <c r="D1281" s="87" t="s">
        <v>5042</v>
      </c>
    </row>
    <row r="1282" spans="2:4" ht="15" x14ac:dyDescent="0.2">
      <c r="B1282" s="87" t="s">
        <v>1928</v>
      </c>
      <c r="C1282" s="88">
        <v>4430</v>
      </c>
      <c r="D1282" s="87" t="s">
        <v>5041</v>
      </c>
    </row>
    <row r="1283" spans="2:4" ht="15" x14ac:dyDescent="0.2">
      <c r="B1283" s="87" t="s">
        <v>1929</v>
      </c>
      <c r="C1283" s="88">
        <v>4450</v>
      </c>
      <c r="D1283" s="87" t="s">
        <v>5040</v>
      </c>
    </row>
    <row r="1284" spans="2:4" ht="15" x14ac:dyDescent="0.2">
      <c r="B1284" s="87" t="s">
        <v>1930</v>
      </c>
      <c r="C1284" s="88">
        <v>4450</v>
      </c>
      <c r="D1284" s="87" t="s">
        <v>5040</v>
      </c>
    </row>
    <row r="1285" spans="2:4" ht="15" x14ac:dyDescent="0.2">
      <c r="B1285" s="87" t="s">
        <v>1931</v>
      </c>
      <c r="C1285" s="88">
        <v>4460</v>
      </c>
      <c r="D1285" s="87" t="s">
        <v>5039</v>
      </c>
    </row>
    <row r="1286" spans="2:4" ht="15" x14ac:dyDescent="0.2">
      <c r="B1286" s="87" t="s">
        <v>1932</v>
      </c>
      <c r="C1286" s="88">
        <v>4470</v>
      </c>
      <c r="D1286" s="87" t="s">
        <v>5038</v>
      </c>
    </row>
    <row r="1287" spans="2:4" ht="15" x14ac:dyDescent="0.2">
      <c r="B1287" s="87" t="s">
        <v>1933</v>
      </c>
      <c r="C1287" s="88">
        <v>4470</v>
      </c>
      <c r="D1287" s="87" t="s">
        <v>5038</v>
      </c>
    </row>
    <row r="1288" spans="2:4" ht="15" x14ac:dyDescent="0.2">
      <c r="B1288" s="87" t="s">
        <v>1934</v>
      </c>
      <c r="C1288" s="88">
        <v>4490</v>
      </c>
      <c r="D1288" s="87" t="s">
        <v>5037</v>
      </c>
    </row>
    <row r="1289" spans="2:4" ht="15" x14ac:dyDescent="0.2">
      <c r="B1289" s="87" t="s">
        <v>1935</v>
      </c>
      <c r="C1289" s="88">
        <v>4500</v>
      </c>
      <c r="D1289" s="87" t="s">
        <v>4875</v>
      </c>
    </row>
    <row r="1290" spans="2:4" ht="15" x14ac:dyDescent="0.2">
      <c r="B1290" s="87" t="s">
        <v>1936</v>
      </c>
      <c r="C1290" s="88">
        <v>4510</v>
      </c>
      <c r="D1290" s="87" t="s">
        <v>4876</v>
      </c>
    </row>
    <row r="1291" spans="2:4" ht="15" x14ac:dyDescent="0.2">
      <c r="B1291" s="87" t="s">
        <v>1937</v>
      </c>
      <c r="C1291" s="88">
        <v>4510</v>
      </c>
      <c r="D1291" s="87" t="s">
        <v>4876</v>
      </c>
    </row>
    <row r="1292" spans="2:4" ht="15" x14ac:dyDescent="0.2">
      <c r="B1292" s="87" t="s">
        <v>1938</v>
      </c>
      <c r="C1292" s="88">
        <v>4530</v>
      </c>
      <c r="D1292" s="87" t="s">
        <v>4877</v>
      </c>
    </row>
    <row r="1293" spans="2:4" ht="15" x14ac:dyDescent="0.2">
      <c r="B1293" s="87" t="s">
        <v>1939</v>
      </c>
      <c r="C1293" s="88">
        <v>4540</v>
      </c>
      <c r="D1293" s="87" t="s">
        <v>4878</v>
      </c>
    </row>
    <row r="1294" spans="2:4" ht="15" x14ac:dyDescent="0.2">
      <c r="B1294" s="87" t="s">
        <v>1940</v>
      </c>
      <c r="C1294" s="88">
        <v>4560</v>
      </c>
      <c r="D1294" s="87" t="s">
        <v>4879</v>
      </c>
    </row>
    <row r="1295" spans="2:4" ht="15" x14ac:dyDescent="0.2">
      <c r="B1295" s="87" t="s">
        <v>1941</v>
      </c>
      <c r="C1295" s="88">
        <v>4560</v>
      </c>
      <c r="D1295" s="87" t="s">
        <v>4879</v>
      </c>
    </row>
    <row r="1296" spans="2:4" ht="15" x14ac:dyDescent="0.2">
      <c r="B1296" s="87" t="s">
        <v>1942</v>
      </c>
      <c r="C1296" s="88">
        <v>4570</v>
      </c>
      <c r="D1296" s="87" t="s">
        <v>4880</v>
      </c>
    </row>
    <row r="1297" spans="2:4" ht="15" x14ac:dyDescent="0.2">
      <c r="B1297" s="87" t="s">
        <v>1943</v>
      </c>
      <c r="C1297" s="88">
        <v>4580</v>
      </c>
      <c r="D1297" s="87" t="s">
        <v>4881</v>
      </c>
    </row>
    <row r="1298" spans="2:4" ht="15" x14ac:dyDescent="0.2">
      <c r="B1298" s="87" t="s">
        <v>1944</v>
      </c>
      <c r="C1298" s="88">
        <v>4600</v>
      </c>
      <c r="D1298" s="87" t="s">
        <v>4882</v>
      </c>
    </row>
    <row r="1299" spans="2:4" ht="15" x14ac:dyDescent="0.2">
      <c r="B1299" s="87" t="s">
        <v>1945</v>
      </c>
      <c r="C1299" s="88">
        <v>4610</v>
      </c>
      <c r="D1299" s="87" t="s">
        <v>4883</v>
      </c>
    </row>
    <row r="1300" spans="2:4" ht="15" x14ac:dyDescent="0.2">
      <c r="B1300" s="87" t="s">
        <v>1946</v>
      </c>
      <c r="C1300" s="88">
        <v>4620</v>
      </c>
      <c r="D1300" s="87" t="s">
        <v>4884</v>
      </c>
    </row>
    <row r="1301" spans="2:4" ht="15" x14ac:dyDescent="0.2">
      <c r="B1301" s="87" t="s">
        <v>1947</v>
      </c>
      <c r="C1301" s="88">
        <v>4640</v>
      </c>
      <c r="D1301" s="87" t="s">
        <v>4885</v>
      </c>
    </row>
    <row r="1302" spans="2:4" ht="15" x14ac:dyDescent="0.2">
      <c r="B1302" s="87" t="s">
        <v>1948</v>
      </c>
      <c r="C1302" s="88">
        <v>4640</v>
      </c>
      <c r="D1302" s="87" t="s">
        <v>4885</v>
      </c>
    </row>
    <row r="1303" spans="2:4" ht="15" x14ac:dyDescent="0.2">
      <c r="B1303" s="87" t="s">
        <v>1949</v>
      </c>
      <c r="C1303" s="88">
        <v>4650</v>
      </c>
      <c r="D1303" s="87" t="s">
        <v>4886</v>
      </c>
    </row>
    <row r="1304" spans="2:4" ht="15" x14ac:dyDescent="0.2">
      <c r="B1304" s="87" t="s">
        <v>1950</v>
      </c>
      <c r="C1304" s="88">
        <v>4670</v>
      </c>
      <c r="D1304" s="87" t="s">
        <v>4887</v>
      </c>
    </row>
    <row r="1305" spans="2:4" ht="15" x14ac:dyDescent="0.2">
      <c r="B1305" s="87" t="s">
        <v>1951</v>
      </c>
      <c r="C1305" s="88">
        <v>4680</v>
      </c>
      <c r="D1305" s="87" t="s">
        <v>4888</v>
      </c>
    </row>
    <row r="1306" spans="2:4" ht="15" x14ac:dyDescent="0.2">
      <c r="B1306" s="87" t="s">
        <v>1952</v>
      </c>
      <c r="C1306" s="88">
        <v>4690</v>
      </c>
      <c r="D1306" s="87" t="s">
        <v>4889</v>
      </c>
    </row>
    <row r="1307" spans="2:4" ht="15" x14ac:dyDescent="0.2">
      <c r="B1307" s="87" t="s">
        <v>1953</v>
      </c>
      <c r="C1307" s="88">
        <v>4710</v>
      </c>
      <c r="D1307" s="87" t="s">
        <v>4890</v>
      </c>
    </row>
    <row r="1308" spans="2:4" ht="15" x14ac:dyDescent="0.2">
      <c r="B1308" s="87" t="s">
        <v>1954</v>
      </c>
      <c r="C1308" s="88">
        <v>4720</v>
      </c>
      <c r="D1308" s="87" t="s">
        <v>4891</v>
      </c>
    </row>
    <row r="1309" spans="2:4" ht="15" x14ac:dyDescent="0.2">
      <c r="B1309" s="87" t="s">
        <v>1955</v>
      </c>
      <c r="C1309" s="88">
        <v>4730</v>
      </c>
      <c r="D1309" s="87" t="s">
        <v>4892</v>
      </c>
    </row>
    <row r="1310" spans="2:4" ht="15" x14ac:dyDescent="0.2">
      <c r="B1310" s="87" t="s">
        <v>1956</v>
      </c>
      <c r="C1310" s="88">
        <v>4750</v>
      </c>
      <c r="D1310" s="87" t="s">
        <v>4893</v>
      </c>
    </row>
    <row r="1311" spans="2:4" ht="15" x14ac:dyDescent="0.2">
      <c r="B1311" s="87" t="s">
        <v>1957</v>
      </c>
      <c r="C1311" s="88">
        <v>4750</v>
      </c>
      <c r="D1311" s="87" t="s">
        <v>4893</v>
      </c>
    </row>
    <row r="1312" spans="2:4" ht="15" x14ac:dyDescent="0.2">
      <c r="B1312" s="87" t="s">
        <v>1958</v>
      </c>
      <c r="C1312" s="88">
        <v>4780</v>
      </c>
      <c r="D1312" s="87" t="s">
        <v>4895</v>
      </c>
    </row>
    <row r="1313" spans="2:4" ht="15" x14ac:dyDescent="0.2">
      <c r="B1313" s="87" t="s">
        <v>1959</v>
      </c>
      <c r="C1313" s="88">
        <v>4790</v>
      </c>
      <c r="D1313" s="87" t="s">
        <v>4896</v>
      </c>
    </row>
    <row r="1314" spans="2:4" ht="15" x14ac:dyDescent="0.2">
      <c r="B1314" s="87" t="s">
        <v>1960</v>
      </c>
      <c r="C1314" s="88">
        <v>4800</v>
      </c>
      <c r="D1314" s="87" t="s">
        <v>4897</v>
      </c>
    </row>
    <row r="1315" spans="2:4" ht="15" x14ac:dyDescent="0.2">
      <c r="B1315" s="87" t="s">
        <v>1961</v>
      </c>
      <c r="C1315" s="88">
        <v>4830</v>
      </c>
      <c r="D1315" s="87" t="s">
        <v>4899</v>
      </c>
    </row>
    <row r="1316" spans="2:4" ht="15" x14ac:dyDescent="0.2">
      <c r="B1316" s="87" t="s">
        <v>1962</v>
      </c>
      <c r="C1316" s="88">
        <v>4850</v>
      </c>
      <c r="D1316" s="87" t="s">
        <v>4900</v>
      </c>
    </row>
    <row r="1317" spans="2:4" ht="15" x14ac:dyDescent="0.2">
      <c r="B1317" s="87" t="s">
        <v>1963</v>
      </c>
      <c r="C1317" s="88">
        <v>4860</v>
      </c>
      <c r="D1317" s="87" t="s">
        <v>4901</v>
      </c>
    </row>
    <row r="1318" spans="2:4" ht="15" x14ac:dyDescent="0.2">
      <c r="B1318" s="87" t="s">
        <v>1964</v>
      </c>
      <c r="C1318" s="88">
        <v>4870</v>
      </c>
      <c r="D1318" s="87" t="s">
        <v>4902</v>
      </c>
    </row>
    <row r="1319" spans="2:4" ht="15" x14ac:dyDescent="0.2">
      <c r="B1319" s="87" t="s">
        <v>1965</v>
      </c>
      <c r="C1319" s="88">
        <v>4890</v>
      </c>
      <c r="D1319" s="87" t="s">
        <v>4903</v>
      </c>
    </row>
    <row r="1320" spans="2:4" ht="15" x14ac:dyDescent="0.2">
      <c r="B1320" s="87" t="s">
        <v>1966</v>
      </c>
      <c r="C1320" s="88">
        <v>4900</v>
      </c>
      <c r="D1320" s="87" t="s">
        <v>4904</v>
      </c>
    </row>
    <row r="1321" spans="2:4" ht="15" x14ac:dyDescent="0.2">
      <c r="B1321" s="87" t="s">
        <v>1967</v>
      </c>
      <c r="C1321" s="88">
        <v>4920</v>
      </c>
      <c r="D1321" s="87" t="s">
        <v>4905</v>
      </c>
    </row>
    <row r="1322" spans="2:4" ht="15" x14ac:dyDescent="0.2">
      <c r="B1322" s="87" t="s">
        <v>1968</v>
      </c>
      <c r="C1322" s="88">
        <v>4950</v>
      </c>
      <c r="D1322" s="87" t="s">
        <v>4907</v>
      </c>
    </row>
    <row r="1323" spans="2:4" ht="15" x14ac:dyDescent="0.2">
      <c r="B1323" s="87" t="s">
        <v>1969</v>
      </c>
      <c r="C1323" s="88">
        <v>4960</v>
      </c>
      <c r="D1323" s="87" t="s">
        <v>4908</v>
      </c>
    </row>
    <row r="1324" spans="2:4" ht="15" x14ac:dyDescent="0.2">
      <c r="B1324" s="87" t="s">
        <v>1970</v>
      </c>
      <c r="C1324" s="88">
        <v>4970</v>
      </c>
      <c r="D1324" s="87" t="s">
        <v>4909</v>
      </c>
    </row>
    <row r="1325" spans="2:4" ht="15" x14ac:dyDescent="0.2">
      <c r="B1325" s="87" t="s">
        <v>1971</v>
      </c>
      <c r="C1325" s="88">
        <v>4990</v>
      </c>
      <c r="D1325" s="87" t="s">
        <v>4910</v>
      </c>
    </row>
    <row r="1326" spans="2:4" ht="15" x14ac:dyDescent="0.2">
      <c r="B1326" s="87" t="s">
        <v>1972</v>
      </c>
      <c r="C1326" s="88">
        <v>5000</v>
      </c>
      <c r="D1326" s="87" t="s">
        <v>4911</v>
      </c>
    </row>
    <row r="1327" spans="2:4" ht="15" x14ac:dyDescent="0.2">
      <c r="B1327" s="87" t="s">
        <v>1973</v>
      </c>
      <c r="C1327" s="88">
        <v>5020</v>
      </c>
      <c r="D1327" s="87" t="s">
        <v>5036</v>
      </c>
    </row>
    <row r="1328" spans="2:4" ht="15" x14ac:dyDescent="0.2">
      <c r="B1328" s="87" t="s">
        <v>1974</v>
      </c>
      <c r="C1328" s="88">
        <v>5030</v>
      </c>
      <c r="D1328" s="87" t="s">
        <v>4912</v>
      </c>
    </row>
    <row r="1329" spans="2:4" ht="15" x14ac:dyDescent="0.2">
      <c r="B1329" s="87" t="s">
        <v>1975</v>
      </c>
      <c r="C1329" s="88">
        <v>5040</v>
      </c>
      <c r="D1329" s="87" t="s">
        <v>4913</v>
      </c>
    </row>
    <row r="1330" spans="2:4" ht="15" x14ac:dyDescent="0.2">
      <c r="B1330" s="87" t="s">
        <v>1976</v>
      </c>
      <c r="C1330" s="88">
        <v>5060</v>
      </c>
      <c r="D1330" s="87" t="s">
        <v>4914</v>
      </c>
    </row>
    <row r="1331" spans="2:4" ht="15" x14ac:dyDescent="0.2">
      <c r="B1331" s="87" t="s">
        <v>1977</v>
      </c>
      <c r="C1331" s="88">
        <v>5070</v>
      </c>
      <c r="D1331" s="87" t="s">
        <v>5035</v>
      </c>
    </row>
    <row r="1332" spans="2:4" ht="15" x14ac:dyDescent="0.2">
      <c r="B1332" s="87" t="s">
        <v>1978</v>
      </c>
      <c r="C1332" s="88">
        <v>5090</v>
      </c>
      <c r="D1332" s="87" t="s">
        <v>4915</v>
      </c>
    </row>
    <row r="1333" spans="2:4" ht="15" x14ac:dyDescent="0.2">
      <c r="B1333" s="87" t="s">
        <v>1979</v>
      </c>
      <c r="C1333" s="88">
        <v>5100</v>
      </c>
      <c r="D1333" s="87" t="s">
        <v>4916</v>
      </c>
    </row>
    <row r="1334" spans="2:4" ht="15" x14ac:dyDescent="0.2">
      <c r="B1334" s="87" t="s">
        <v>1980</v>
      </c>
      <c r="C1334" s="88">
        <v>5120</v>
      </c>
      <c r="D1334" s="87" t="s">
        <v>4917</v>
      </c>
    </row>
    <row r="1335" spans="2:4" ht="15" x14ac:dyDescent="0.2">
      <c r="B1335" s="87" t="s">
        <v>1981</v>
      </c>
      <c r="C1335" s="88">
        <v>5120</v>
      </c>
      <c r="D1335" s="87" t="s">
        <v>4917</v>
      </c>
    </row>
    <row r="1336" spans="2:4" ht="15" x14ac:dyDescent="0.2">
      <c r="B1336" s="87" t="s">
        <v>1982</v>
      </c>
      <c r="C1336" s="88">
        <v>5130</v>
      </c>
      <c r="D1336" s="87" t="s">
        <v>5034</v>
      </c>
    </row>
    <row r="1337" spans="2:4" ht="15" x14ac:dyDescent="0.2">
      <c r="B1337" s="87" t="s">
        <v>1983</v>
      </c>
      <c r="C1337" s="88">
        <v>5140</v>
      </c>
      <c r="D1337" s="87" t="s">
        <v>4918</v>
      </c>
    </row>
    <row r="1338" spans="2:4" ht="15" x14ac:dyDescent="0.2">
      <c r="B1338" s="87" t="s">
        <v>1984</v>
      </c>
      <c r="C1338" s="88">
        <v>5160</v>
      </c>
      <c r="D1338" s="87" t="s">
        <v>4919</v>
      </c>
    </row>
    <row r="1339" spans="2:4" ht="15" x14ac:dyDescent="0.2">
      <c r="B1339" s="87" t="s">
        <v>1985</v>
      </c>
      <c r="C1339" s="88">
        <v>5170</v>
      </c>
      <c r="D1339" s="87" t="s">
        <v>4920</v>
      </c>
    </row>
    <row r="1340" spans="2:4" ht="15" x14ac:dyDescent="0.2">
      <c r="B1340" s="87" t="s">
        <v>1986</v>
      </c>
      <c r="C1340" s="88">
        <v>5190</v>
      </c>
      <c r="D1340" s="87" t="s">
        <v>5033</v>
      </c>
    </row>
    <row r="1341" spans="2:4" ht="15" x14ac:dyDescent="0.2">
      <c r="B1341" s="87" t="s">
        <v>1987</v>
      </c>
      <c r="C1341" s="88">
        <v>5200</v>
      </c>
      <c r="D1341" s="87" t="s">
        <v>4921</v>
      </c>
    </row>
    <row r="1342" spans="2:4" ht="15" x14ac:dyDescent="0.2">
      <c r="B1342" s="87" t="s">
        <v>1988</v>
      </c>
      <c r="C1342" s="88">
        <v>5220</v>
      </c>
      <c r="D1342" s="87" t="s">
        <v>4922</v>
      </c>
    </row>
    <row r="1343" spans="2:4" ht="15" x14ac:dyDescent="0.2">
      <c r="B1343" s="87" t="s">
        <v>1989</v>
      </c>
      <c r="C1343" s="88">
        <v>5230</v>
      </c>
      <c r="D1343" s="87" t="s">
        <v>4923</v>
      </c>
    </row>
    <row r="1344" spans="2:4" ht="15" x14ac:dyDescent="0.2">
      <c r="B1344" s="87" t="s">
        <v>1990</v>
      </c>
      <c r="C1344" s="88">
        <v>5260</v>
      </c>
      <c r="D1344" s="87" t="s">
        <v>4925</v>
      </c>
    </row>
    <row r="1345" spans="2:4" ht="15" x14ac:dyDescent="0.2">
      <c r="B1345" s="87" t="s">
        <v>1991</v>
      </c>
      <c r="C1345" s="88">
        <v>5260</v>
      </c>
      <c r="D1345" s="87" t="s">
        <v>4925</v>
      </c>
    </row>
    <row r="1346" spans="2:4" ht="15" x14ac:dyDescent="0.2">
      <c r="B1346" s="87" t="s">
        <v>1992</v>
      </c>
      <c r="C1346" s="88">
        <v>5290</v>
      </c>
      <c r="D1346" s="87" t="s">
        <v>4927</v>
      </c>
    </row>
    <row r="1347" spans="2:4" ht="15" x14ac:dyDescent="0.2">
      <c r="B1347" s="87" t="s">
        <v>1993</v>
      </c>
      <c r="C1347" s="88">
        <v>5290</v>
      </c>
      <c r="D1347" s="87" t="s">
        <v>4927</v>
      </c>
    </row>
    <row r="1348" spans="2:4" ht="15" x14ac:dyDescent="0.2">
      <c r="B1348" s="87" t="s">
        <v>1994</v>
      </c>
      <c r="C1348" s="88">
        <v>5320</v>
      </c>
      <c r="D1348" s="87" t="s">
        <v>4929</v>
      </c>
    </row>
    <row r="1349" spans="2:4" ht="15" x14ac:dyDescent="0.2">
      <c r="B1349" s="87" t="s">
        <v>1995</v>
      </c>
      <c r="C1349" s="88">
        <v>5320</v>
      </c>
      <c r="D1349" s="87" t="s">
        <v>4929</v>
      </c>
    </row>
    <row r="1350" spans="2:4" ht="15" x14ac:dyDescent="0.2">
      <c r="B1350" s="87" t="s">
        <v>1996</v>
      </c>
      <c r="C1350" s="88">
        <v>5330</v>
      </c>
      <c r="D1350" s="87" t="s">
        <v>4930</v>
      </c>
    </row>
    <row r="1351" spans="2:4" ht="15" x14ac:dyDescent="0.2">
      <c r="B1351" s="87" t="s">
        <v>1997</v>
      </c>
      <c r="C1351" s="88">
        <v>5350</v>
      </c>
      <c r="D1351" s="87" t="s">
        <v>4931</v>
      </c>
    </row>
    <row r="1352" spans="2:4" ht="15" x14ac:dyDescent="0.2">
      <c r="B1352" s="87" t="s">
        <v>1998</v>
      </c>
      <c r="C1352" s="88">
        <v>5360</v>
      </c>
      <c r="D1352" s="87" t="s">
        <v>4932</v>
      </c>
    </row>
    <row r="1353" spans="2:4" ht="15" x14ac:dyDescent="0.2">
      <c r="B1353" s="87" t="s">
        <v>1999</v>
      </c>
      <c r="C1353" s="88">
        <v>5370</v>
      </c>
      <c r="D1353" s="87" t="s">
        <v>4933</v>
      </c>
    </row>
    <row r="1354" spans="2:4" ht="15" x14ac:dyDescent="0.2">
      <c r="B1354" s="87" t="s">
        <v>2000</v>
      </c>
      <c r="C1354" s="88">
        <v>5390</v>
      </c>
      <c r="D1354" s="87" t="s">
        <v>4934</v>
      </c>
    </row>
    <row r="1355" spans="2:4" ht="15" x14ac:dyDescent="0.2">
      <c r="B1355" s="87" t="s">
        <v>2001</v>
      </c>
      <c r="C1355" s="88">
        <v>5400</v>
      </c>
      <c r="D1355" s="87" t="s">
        <v>4935</v>
      </c>
    </row>
    <row r="1356" spans="2:4" ht="15" x14ac:dyDescent="0.2">
      <c r="B1356" s="87" t="s">
        <v>2002</v>
      </c>
      <c r="C1356" s="88">
        <v>5420</v>
      </c>
      <c r="D1356" s="87" t="s">
        <v>4936</v>
      </c>
    </row>
    <row r="1357" spans="2:4" ht="15" x14ac:dyDescent="0.2">
      <c r="B1357" s="87" t="s">
        <v>2003</v>
      </c>
      <c r="C1357" s="88">
        <v>5430</v>
      </c>
      <c r="D1357" s="87" t="s">
        <v>4937</v>
      </c>
    </row>
    <row r="1358" spans="2:4" ht="15" x14ac:dyDescent="0.2">
      <c r="B1358" s="87" t="s">
        <v>2004</v>
      </c>
      <c r="C1358" s="88">
        <v>5450</v>
      </c>
      <c r="D1358" s="87" t="s">
        <v>4938</v>
      </c>
    </row>
    <row r="1359" spans="2:4" ht="15" x14ac:dyDescent="0.2">
      <c r="B1359" s="87" t="s">
        <v>2005</v>
      </c>
      <c r="C1359" s="88">
        <v>5460</v>
      </c>
      <c r="D1359" s="87" t="s">
        <v>4939</v>
      </c>
    </row>
    <row r="1360" spans="2:4" ht="15" x14ac:dyDescent="0.2">
      <c r="B1360" s="87" t="s">
        <v>2006</v>
      </c>
      <c r="C1360" s="88">
        <v>5480</v>
      </c>
      <c r="D1360" s="87" t="s">
        <v>4940</v>
      </c>
    </row>
    <row r="1361" spans="2:4" ht="15" x14ac:dyDescent="0.2">
      <c r="B1361" s="87" t="s">
        <v>2007</v>
      </c>
      <c r="C1361" s="88">
        <v>5490</v>
      </c>
      <c r="D1361" s="87" t="s">
        <v>4941</v>
      </c>
    </row>
    <row r="1362" spans="2:4" ht="15" x14ac:dyDescent="0.2">
      <c r="B1362" s="87" t="s">
        <v>2008</v>
      </c>
      <c r="C1362" s="88">
        <v>5510</v>
      </c>
      <c r="D1362" s="87" t="s">
        <v>4942</v>
      </c>
    </row>
    <row r="1363" spans="2:4" ht="15" x14ac:dyDescent="0.2">
      <c r="B1363" s="87" t="s">
        <v>2009</v>
      </c>
      <c r="C1363" s="88">
        <v>5520</v>
      </c>
      <c r="D1363" s="87" t="s">
        <v>4943</v>
      </c>
    </row>
    <row r="1364" spans="2:4" ht="15" x14ac:dyDescent="0.2">
      <c r="B1364" s="87" t="s">
        <v>2010</v>
      </c>
      <c r="C1364" s="88">
        <v>5530</v>
      </c>
      <c r="D1364" s="87" t="s">
        <v>4944</v>
      </c>
    </row>
    <row r="1365" spans="2:4" ht="15" x14ac:dyDescent="0.2">
      <c r="B1365" s="87" t="s">
        <v>2011</v>
      </c>
      <c r="C1365" s="88">
        <v>5550</v>
      </c>
      <c r="D1365" s="87" t="s">
        <v>4945</v>
      </c>
    </row>
    <row r="1366" spans="2:4" ht="15" x14ac:dyDescent="0.2">
      <c r="B1366" s="87" t="s">
        <v>2012</v>
      </c>
      <c r="C1366" s="88">
        <v>5550</v>
      </c>
      <c r="D1366" s="87" t="s">
        <v>4945</v>
      </c>
    </row>
    <row r="1367" spans="2:4" ht="15" x14ac:dyDescent="0.2">
      <c r="B1367" s="87" t="s">
        <v>2013</v>
      </c>
      <c r="C1367" s="88">
        <v>5560</v>
      </c>
      <c r="D1367" s="87" t="s">
        <v>4946</v>
      </c>
    </row>
    <row r="1368" spans="2:4" ht="15" x14ac:dyDescent="0.2">
      <c r="B1368" s="87" t="s">
        <v>2014</v>
      </c>
      <c r="C1368" s="88">
        <v>5580</v>
      </c>
      <c r="D1368" s="87" t="s">
        <v>4947</v>
      </c>
    </row>
    <row r="1369" spans="2:4" ht="15" x14ac:dyDescent="0.2">
      <c r="B1369" s="87" t="s">
        <v>2015</v>
      </c>
      <c r="C1369" s="88">
        <v>5590</v>
      </c>
      <c r="D1369" s="87" t="s">
        <v>4948</v>
      </c>
    </row>
    <row r="1370" spans="2:4" ht="15" x14ac:dyDescent="0.2">
      <c r="B1370" s="87" t="s">
        <v>2016</v>
      </c>
      <c r="C1370" s="88">
        <v>5610</v>
      </c>
      <c r="D1370" s="87" t="s">
        <v>4949</v>
      </c>
    </row>
    <row r="1371" spans="2:4" ht="15" x14ac:dyDescent="0.2">
      <c r="B1371" s="87" t="s">
        <v>2017</v>
      </c>
      <c r="C1371" s="88">
        <v>5610</v>
      </c>
      <c r="D1371" s="87" t="s">
        <v>4950</v>
      </c>
    </row>
    <row r="1372" spans="2:4" ht="15" x14ac:dyDescent="0.2">
      <c r="B1372" s="87" t="s">
        <v>2018</v>
      </c>
      <c r="C1372" s="88">
        <v>5620</v>
      </c>
      <c r="D1372" s="87" t="s">
        <v>4951</v>
      </c>
    </row>
    <row r="1373" spans="2:4" ht="15" x14ac:dyDescent="0.2">
      <c r="B1373" s="87" t="s">
        <v>2019</v>
      </c>
      <c r="C1373" s="88">
        <v>5650</v>
      </c>
      <c r="D1373" s="87" t="s">
        <v>4953</v>
      </c>
    </row>
    <row r="1374" spans="2:4" ht="15" x14ac:dyDescent="0.2">
      <c r="B1374" s="87" t="s">
        <v>2020</v>
      </c>
      <c r="C1374" s="88">
        <v>5650</v>
      </c>
      <c r="D1374" s="87" t="s">
        <v>4953</v>
      </c>
    </row>
    <row r="1375" spans="2:4" ht="15" x14ac:dyDescent="0.2">
      <c r="B1375" s="87" t="s">
        <v>2021</v>
      </c>
      <c r="C1375" s="88">
        <v>5670</v>
      </c>
      <c r="D1375" s="87" t="s">
        <v>4954</v>
      </c>
    </row>
    <row r="1376" spans="2:4" ht="15" x14ac:dyDescent="0.2">
      <c r="B1376" s="87" t="s">
        <v>2022</v>
      </c>
      <c r="C1376" s="88">
        <v>5700</v>
      </c>
      <c r="D1376" s="87" t="s">
        <v>4956</v>
      </c>
    </row>
    <row r="1377" spans="2:4" ht="15" x14ac:dyDescent="0.2">
      <c r="B1377" s="87" t="s">
        <v>2023</v>
      </c>
      <c r="C1377" s="88">
        <v>5700</v>
      </c>
      <c r="D1377" s="87" t="s">
        <v>4957</v>
      </c>
    </row>
    <row r="1378" spans="2:4" ht="15" x14ac:dyDescent="0.2">
      <c r="B1378" s="87" t="s">
        <v>2024</v>
      </c>
      <c r="C1378" s="88">
        <v>5710</v>
      </c>
      <c r="D1378" s="87" t="s">
        <v>4958</v>
      </c>
    </row>
    <row r="1379" spans="2:4" ht="15" x14ac:dyDescent="0.2">
      <c r="B1379" s="87" t="s">
        <v>2025</v>
      </c>
      <c r="C1379" s="88">
        <v>5740</v>
      </c>
      <c r="D1379" s="87" t="s">
        <v>4960</v>
      </c>
    </row>
    <row r="1380" spans="2:4" ht="15" x14ac:dyDescent="0.2">
      <c r="B1380" s="87" t="s">
        <v>2026</v>
      </c>
      <c r="C1380" s="88">
        <v>5760</v>
      </c>
      <c r="D1380" s="87" t="s">
        <v>4961</v>
      </c>
    </row>
    <row r="1381" spans="2:4" ht="15" x14ac:dyDescent="0.2">
      <c r="B1381" s="87" t="s">
        <v>2027</v>
      </c>
      <c r="C1381" s="88">
        <v>5780</v>
      </c>
      <c r="D1381" s="87" t="s">
        <v>4963</v>
      </c>
    </row>
    <row r="1382" spans="2:4" ht="15" x14ac:dyDescent="0.2">
      <c r="B1382" s="87" t="s">
        <v>2028</v>
      </c>
      <c r="C1382" s="88">
        <v>5800</v>
      </c>
      <c r="D1382" s="87" t="s">
        <v>4965</v>
      </c>
    </row>
    <row r="1383" spans="2:4" ht="15" x14ac:dyDescent="0.2">
      <c r="B1383" s="87" t="s">
        <v>2029</v>
      </c>
      <c r="C1383" s="88">
        <v>5830</v>
      </c>
      <c r="D1383" s="87" t="s">
        <v>4967</v>
      </c>
    </row>
    <row r="1384" spans="2:4" ht="15" x14ac:dyDescent="0.2">
      <c r="B1384" s="87" t="s">
        <v>2030</v>
      </c>
      <c r="C1384" s="88">
        <v>5860</v>
      </c>
      <c r="D1384" s="87" t="s">
        <v>4969</v>
      </c>
    </row>
    <row r="1385" spans="2:4" ht="15" x14ac:dyDescent="0.2">
      <c r="B1385" s="87" t="s">
        <v>2031</v>
      </c>
      <c r="C1385" s="88">
        <v>5890</v>
      </c>
      <c r="D1385" s="87" t="s">
        <v>4972</v>
      </c>
    </row>
    <row r="1386" spans="2:4" ht="15" x14ac:dyDescent="0.2">
      <c r="B1386" s="87" t="s">
        <v>2032</v>
      </c>
      <c r="C1386" s="88">
        <v>5920</v>
      </c>
      <c r="D1386" s="87" t="s">
        <v>4974</v>
      </c>
    </row>
    <row r="1387" spans="2:4" ht="15" x14ac:dyDescent="0.2">
      <c r="B1387" s="87" t="s">
        <v>2033</v>
      </c>
      <c r="C1387" s="88">
        <v>5950</v>
      </c>
      <c r="D1387" s="87" t="s">
        <v>5032</v>
      </c>
    </row>
    <row r="1388" spans="2:4" ht="15" x14ac:dyDescent="0.2">
      <c r="B1388" s="87" t="s">
        <v>2034</v>
      </c>
      <c r="C1388" s="88">
        <v>5960</v>
      </c>
      <c r="D1388" s="87" t="s">
        <v>4977</v>
      </c>
    </row>
    <row r="1389" spans="2:4" ht="15" x14ac:dyDescent="0.2">
      <c r="B1389" s="87" t="s">
        <v>2035</v>
      </c>
      <c r="C1389" s="88">
        <v>5980</v>
      </c>
      <c r="D1389" s="87" t="s">
        <v>5031</v>
      </c>
    </row>
    <row r="1390" spans="2:4" ht="15" x14ac:dyDescent="0.2">
      <c r="B1390" s="87" t="s">
        <v>2036</v>
      </c>
      <c r="C1390" s="88">
        <v>6010</v>
      </c>
      <c r="D1390" s="87" t="s">
        <v>4979</v>
      </c>
    </row>
    <row r="1391" spans="2:4" ht="15" x14ac:dyDescent="0.2">
      <c r="B1391" s="87" t="s">
        <v>2037</v>
      </c>
      <c r="C1391" s="88">
        <v>6020</v>
      </c>
      <c r="D1391" s="87" t="s">
        <v>4980</v>
      </c>
    </row>
    <row r="1392" spans="2:4" ht="15" x14ac:dyDescent="0.2">
      <c r="B1392" s="87" t="s">
        <v>2038</v>
      </c>
      <c r="C1392" s="88">
        <v>6050</v>
      </c>
      <c r="D1392" s="87" t="s">
        <v>5030</v>
      </c>
    </row>
    <row r="1393" spans="2:4" ht="15" x14ac:dyDescent="0.2">
      <c r="B1393" s="87" t="s">
        <v>2039</v>
      </c>
      <c r="C1393" s="88">
        <v>6050</v>
      </c>
      <c r="D1393" s="87" t="s">
        <v>4982</v>
      </c>
    </row>
    <row r="1394" spans="2:4" ht="15" x14ac:dyDescent="0.2">
      <c r="B1394" s="87" t="s">
        <v>2040</v>
      </c>
      <c r="C1394" s="88">
        <v>6070</v>
      </c>
      <c r="D1394" s="87" t="s">
        <v>4983</v>
      </c>
    </row>
    <row r="1395" spans="2:4" ht="15" x14ac:dyDescent="0.2">
      <c r="B1395" s="87" t="s">
        <v>2041</v>
      </c>
      <c r="C1395" s="88">
        <v>6100</v>
      </c>
      <c r="D1395" s="87" t="s">
        <v>4985</v>
      </c>
    </row>
    <row r="1396" spans="2:4" ht="15" x14ac:dyDescent="0.2">
      <c r="B1396" s="87" t="s">
        <v>2042</v>
      </c>
      <c r="C1396" s="88">
        <v>6110</v>
      </c>
      <c r="D1396" s="87" t="s">
        <v>4986</v>
      </c>
    </row>
    <row r="1397" spans="2:4" ht="15" x14ac:dyDescent="0.2">
      <c r="B1397" s="87" t="s">
        <v>2043</v>
      </c>
      <c r="C1397" s="88">
        <v>6130</v>
      </c>
      <c r="D1397" s="87" t="s">
        <v>4987</v>
      </c>
    </row>
    <row r="1398" spans="2:4" ht="15" x14ac:dyDescent="0.2">
      <c r="B1398" s="87" t="s">
        <v>2044</v>
      </c>
      <c r="C1398" s="88">
        <v>6140</v>
      </c>
      <c r="D1398" s="87" t="s">
        <v>4988</v>
      </c>
    </row>
    <row r="1399" spans="2:4" ht="15" x14ac:dyDescent="0.2">
      <c r="B1399" s="87" t="s">
        <v>2045</v>
      </c>
      <c r="C1399" s="88">
        <v>6140</v>
      </c>
      <c r="D1399" s="87" t="s">
        <v>5029</v>
      </c>
    </row>
    <row r="1400" spans="2:4" ht="15" x14ac:dyDescent="0.2">
      <c r="B1400" s="87" t="s">
        <v>2046</v>
      </c>
      <c r="C1400" s="88">
        <v>6170</v>
      </c>
      <c r="D1400" s="87" t="s">
        <v>4990</v>
      </c>
    </row>
    <row r="1401" spans="2:4" ht="15" x14ac:dyDescent="0.2">
      <c r="B1401" s="87" t="s">
        <v>2047</v>
      </c>
      <c r="C1401" s="88">
        <v>6190</v>
      </c>
      <c r="D1401" s="87" t="s">
        <v>4991</v>
      </c>
    </row>
    <row r="1402" spans="2:4" ht="15" x14ac:dyDescent="0.2">
      <c r="B1402" s="87" t="s">
        <v>2048</v>
      </c>
      <c r="C1402" s="88">
        <v>6210</v>
      </c>
      <c r="D1402" s="87" t="s">
        <v>4992</v>
      </c>
    </row>
    <row r="1403" spans="2:4" ht="15" x14ac:dyDescent="0.2">
      <c r="B1403" s="87" t="s">
        <v>2049</v>
      </c>
      <c r="C1403" s="88">
        <v>6220</v>
      </c>
      <c r="D1403" s="87" t="s">
        <v>4993</v>
      </c>
    </row>
    <row r="1404" spans="2:4" ht="15" x14ac:dyDescent="0.2">
      <c r="B1404" s="87" t="s">
        <v>2050</v>
      </c>
      <c r="C1404" s="88">
        <v>6240</v>
      </c>
      <c r="D1404" s="87" t="s">
        <v>4994</v>
      </c>
    </row>
    <row r="1405" spans="2:4" ht="15" x14ac:dyDescent="0.2">
      <c r="B1405" s="87" t="s">
        <v>2051</v>
      </c>
      <c r="C1405" s="88">
        <v>6240</v>
      </c>
      <c r="D1405" s="87" t="s">
        <v>4995</v>
      </c>
    </row>
    <row r="1406" spans="2:4" ht="15" x14ac:dyDescent="0.2">
      <c r="B1406" s="87" t="s">
        <v>2052</v>
      </c>
      <c r="C1406" s="88">
        <v>6250</v>
      </c>
      <c r="D1406" s="87" t="s">
        <v>4996</v>
      </c>
    </row>
    <row r="1407" spans="2:4" ht="15" x14ac:dyDescent="0.2">
      <c r="B1407" s="87" t="s">
        <v>2053</v>
      </c>
      <c r="C1407" s="88">
        <v>6270</v>
      </c>
      <c r="D1407" s="87" t="s">
        <v>4997</v>
      </c>
    </row>
    <row r="1408" spans="2:4" ht="15" x14ac:dyDescent="0.2">
      <c r="B1408" s="87" t="s">
        <v>2054</v>
      </c>
      <c r="C1408" s="88">
        <v>6300</v>
      </c>
      <c r="D1408" s="87" t="s">
        <v>4999</v>
      </c>
    </row>
    <row r="1409" spans="2:4" ht="15" x14ac:dyDescent="0.2">
      <c r="B1409" s="87" t="s">
        <v>2055</v>
      </c>
      <c r="C1409" s="88">
        <v>6310</v>
      </c>
      <c r="D1409" s="87" t="s">
        <v>5000</v>
      </c>
    </row>
    <row r="1410" spans="2:4" ht="15" x14ac:dyDescent="0.2">
      <c r="B1410" s="87" t="s">
        <v>2056</v>
      </c>
      <c r="C1410" s="88">
        <v>6330</v>
      </c>
      <c r="D1410" s="87" t="s">
        <v>5001</v>
      </c>
    </row>
    <row r="1411" spans="2:4" ht="15" x14ac:dyDescent="0.2">
      <c r="B1411" s="87" t="s">
        <v>2057</v>
      </c>
      <c r="C1411" s="88">
        <v>6330</v>
      </c>
      <c r="D1411" s="87" t="s">
        <v>5002</v>
      </c>
    </row>
    <row r="1412" spans="2:4" ht="15" x14ac:dyDescent="0.2">
      <c r="B1412" s="87" t="s">
        <v>2058</v>
      </c>
      <c r="C1412" s="88">
        <v>6340</v>
      </c>
      <c r="D1412" s="87" t="s">
        <v>5003</v>
      </c>
    </row>
    <row r="1413" spans="2:4" ht="15" x14ac:dyDescent="0.2">
      <c r="B1413" s="87" t="s">
        <v>2059</v>
      </c>
      <c r="C1413" s="88">
        <v>6340</v>
      </c>
      <c r="D1413" s="87" t="s">
        <v>5003</v>
      </c>
    </row>
    <row r="1414" spans="2:4" ht="15" x14ac:dyDescent="0.2">
      <c r="B1414" s="87" t="s">
        <v>2060</v>
      </c>
      <c r="C1414" s="88">
        <v>6370</v>
      </c>
      <c r="D1414" s="87" t="s">
        <v>5005</v>
      </c>
    </row>
    <row r="1415" spans="2:4" ht="15" x14ac:dyDescent="0.2">
      <c r="B1415" s="87" t="s">
        <v>2061</v>
      </c>
      <c r="C1415" s="88">
        <v>6370</v>
      </c>
      <c r="D1415" s="87" t="s">
        <v>5005</v>
      </c>
    </row>
    <row r="1416" spans="2:4" ht="15" x14ac:dyDescent="0.2">
      <c r="B1416" s="87" t="s">
        <v>2062</v>
      </c>
      <c r="C1416" s="88">
        <v>6390</v>
      </c>
      <c r="D1416" s="87" t="s">
        <v>5006</v>
      </c>
    </row>
    <row r="1417" spans="2:4" ht="15" x14ac:dyDescent="0.2">
      <c r="B1417" s="87" t="s">
        <v>2063</v>
      </c>
      <c r="C1417" s="88">
        <v>6400</v>
      </c>
      <c r="D1417" s="87" t="s">
        <v>5007</v>
      </c>
    </row>
    <row r="1418" spans="2:4" ht="15" x14ac:dyDescent="0.2">
      <c r="B1418" s="87" t="s">
        <v>2064</v>
      </c>
      <c r="C1418" s="88">
        <v>6420</v>
      </c>
      <c r="D1418" s="87" t="s">
        <v>5009</v>
      </c>
    </row>
    <row r="1419" spans="2:4" ht="15" x14ac:dyDescent="0.2">
      <c r="B1419" s="87" t="s">
        <v>2065</v>
      </c>
      <c r="C1419" s="88">
        <v>6430</v>
      </c>
      <c r="D1419" s="87" t="s">
        <v>5010</v>
      </c>
    </row>
    <row r="1420" spans="2:4" ht="15" x14ac:dyDescent="0.2">
      <c r="B1420" s="87" t="s">
        <v>2066</v>
      </c>
      <c r="C1420" s="88">
        <v>6450</v>
      </c>
      <c r="D1420" s="87" t="s">
        <v>5011</v>
      </c>
    </row>
    <row r="1421" spans="2:4" ht="15" x14ac:dyDescent="0.2">
      <c r="B1421" s="87" t="s">
        <v>2067</v>
      </c>
      <c r="C1421" s="88">
        <v>6460</v>
      </c>
      <c r="D1421" s="87" t="s">
        <v>5012</v>
      </c>
    </row>
    <row r="1422" spans="2:4" ht="15" x14ac:dyDescent="0.2">
      <c r="B1422" s="87" t="s">
        <v>2068</v>
      </c>
      <c r="C1422" s="88">
        <v>6480</v>
      </c>
      <c r="D1422" s="87" t="s">
        <v>5013</v>
      </c>
    </row>
    <row r="1423" spans="2:4" ht="15" x14ac:dyDescent="0.2">
      <c r="B1423" s="87" t="s">
        <v>2069</v>
      </c>
      <c r="C1423" s="88">
        <v>6500</v>
      </c>
      <c r="D1423" s="87" t="s">
        <v>5014</v>
      </c>
    </row>
    <row r="1424" spans="2:4" ht="15" x14ac:dyDescent="0.2">
      <c r="B1424" s="87" t="s">
        <v>2070</v>
      </c>
      <c r="C1424" s="88">
        <v>6510</v>
      </c>
      <c r="D1424" s="87" t="s">
        <v>5015</v>
      </c>
    </row>
    <row r="1425" spans="2:4" ht="15" x14ac:dyDescent="0.2">
      <c r="B1425" s="87" t="s">
        <v>2071</v>
      </c>
      <c r="C1425" s="88">
        <v>6510</v>
      </c>
      <c r="D1425" s="87" t="s">
        <v>5016</v>
      </c>
    </row>
    <row r="1426" spans="2:4" ht="15" x14ac:dyDescent="0.2">
      <c r="B1426" s="87" t="s">
        <v>2072</v>
      </c>
      <c r="C1426" s="88">
        <v>6530</v>
      </c>
      <c r="D1426" s="87" t="s">
        <v>5017</v>
      </c>
    </row>
    <row r="1427" spans="2:4" ht="15" x14ac:dyDescent="0.2">
      <c r="B1427" s="87" t="s">
        <v>2073</v>
      </c>
      <c r="C1427" s="88">
        <v>6530</v>
      </c>
      <c r="D1427" s="87" t="s">
        <v>5017</v>
      </c>
    </row>
    <row r="1428" spans="2:4" ht="15" x14ac:dyDescent="0.2">
      <c r="B1428" s="87" t="s">
        <v>2074</v>
      </c>
      <c r="C1428" s="88">
        <v>6540</v>
      </c>
      <c r="D1428" s="87" t="s">
        <v>5018</v>
      </c>
    </row>
    <row r="1429" spans="2:4" ht="15" x14ac:dyDescent="0.2">
      <c r="B1429" s="87" t="s">
        <v>2075</v>
      </c>
      <c r="C1429" s="88">
        <v>6560</v>
      </c>
      <c r="D1429" s="87" t="s">
        <v>5019</v>
      </c>
    </row>
    <row r="1430" spans="2:4" ht="15" x14ac:dyDescent="0.2">
      <c r="B1430" s="87" t="s">
        <v>2076</v>
      </c>
      <c r="C1430" s="88">
        <v>6570</v>
      </c>
      <c r="D1430" s="87" t="s">
        <v>5020</v>
      </c>
    </row>
    <row r="1431" spans="2:4" ht="15" x14ac:dyDescent="0.2">
      <c r="B1431" s="87" t="s">
        <v>2077</v>
      </c>
      <c r="C1431" s="88">
        <v>6590</v>
      </c>
      <c r="D1431" s="87" t="s">
        <v>5021</v>
      </c>
    </row>
    <row r="1432" spans="2:4" ht="15" x14ac:dyDescent="0.2">
      <c r="B1432" s="87" t="s">
        <v>2078</v>
      </c>
      <c r="C1432" s="88">
        <v>6600</v>
      </c>
      <c r="D1432" s="87" t="s">
        <v>5022</v>
      </c>
    </row>
    <row r="1433" spans="2:4" ht="15" x14ac:dyDescent="0.2">
      <c r="B1433" s="87" t="s">
        <v>2079</v>
      </c>
      <c r="C1433" s="88">
        <v>6600</v>
      </c>
      <c r="D1433" s="87" t="s">
        <v>5023</v>
      </c>
    </row>
    <row r="1434" spans="2:4" ht="15" x14ac:dyDescent="0.2">
      <c r="B1434" s="87" t="s">
        <v>2080</v>
      </c>
      <c r="C1434" s="88">
        <v>6600</v>
      </c>
      <c r="D1434" s="87" t="s">
        <v>5023</v>
      </c>
    </row>
    <row r="1435" spans="2:4" ht="15" x14ac:dyDescent="0.2">
      <c r="B1435" s="87" t="s">
        <v>2081</v>
      </c>
      <c r="C1435" s="88">
        <v>6620</v>
      </c>
      <c r="D1435" s="87" t="s">
        <v>5024</v>
      </c>
    </row>
    <row r="1436" spans="2:4" ht="15" x14ac:dyDescent="0.2">
      <c r="B1436" s="87" t="s">
        <v>2082</v>
      </c>
      <c r="C1436" s="88">
        <v>6630</v>
      </c>
      <c r="D1436" s="87" t="s">
        <v>5025</v>
      </c>
    </row>
    <row r="1437" spans="2:4" ht="15" x14ac:dyDescent="0.2">
      <c r="B1437" s="87" t="s">
        <v>2083</v>
      </c>
      <c r="C1437" s="88">
        <v>6650</v>
      </c>
      <c r="D1437" s="87" t="s">
        <v>5026</v>
      </c>
    </row>
    <row r="1438" spans="2:4" ht="15" x14ac:dyDescent="0.2">
      <c r="B1438" s="87" t="s">
        <v>2084</v>
      </c>
      <c r="C1438" s="88">
        <v>6670</v>
      </c>
      <c r="D1438" s="87" t="s">
        <v>5027</v>
      </c>
    </row>
    <row r="1439" spans="2:4" ht="15" x14ac:dyDescent="0.2">
      <c r="B1439" s="87" t="s">
        <v>2085</v>
      </c>
      <c r="C1439" s="88">
        <v>6670</v>
      </c>
      <c r="D1439" s="87" t="s">
        <v>5027</v>
      </c>
    </row>
    <row r="1440" spans="2:4" ht="15" x14ac:dyDescent="0.2">
      <c r="B1440" s="87" t="s">
        <v>2086</v>
      </c>
      <c r="C1440" s="88">
        <v>6700</v>
      </c>
      <c r="D1440" s="87" t="s">
        <v>5063</v>
      </c>
    </row>
    <row r="1441" spans="2:4" ht="15" x14ac:dyDescent="0.2">
      <c r="B1441" s="87" t="s">
        <v>2087</v>
      </c>
      <c r="C1441" s="88">
        <v>6700</v>
      </c>
      <c r="D1441" s="87" t="s">
        <v>5063</v>
      </c>
    </row>
    <row r="1442" spans="2:4" ht="15" x14ac:dyDescent="0.2">
      <c r="B1442" s="87" t="s">
        <v>2088</v>
      </c>
      <c r="C1442" s="88">
        <v>6700</v>
      </c>
      <c r="D1442" s="87" t="s">
        <v>5064</v>
      </c>
    </row>
    <row r="1443" spans="2:4" ht="15" x14ac:dyDescent="0.2">
      <c r="B1443" s="87" t="s">
        <v>2089</v>
      </c>
      <c r="C1443" s="88">
        <v>6710</v>
      </c>
      <c r="D1443" s="87" t="s">
        <v>5065</v>
      </c>
    </row>
    <row r="1444" spans="2:4" ht="15" x14ac:dyDescent="0.2">
      <c r="B1444" s="87" t="s">
        <v>2090</v>
      </c>
      <c r="C1444" s="88">
        <v>6740</v>
      </c>
      <c r="D1444" s="87" t="s">
        <v>5066</v>
      </c>
    </row>
    <row r="1445" spans="2:4" ht="15" x14ac:dyDescent="0.2">
      <c r="B1445" s="87" t="s">
        <v>2091</v>
      </c>
      <c r="C1445" s="88">
        <v>6760</v>
      </c>
      <c r="D1445" s="87" t="s">
        <v>5067</v>
      </c>
    </row>
    <row r="1446" spans="2:4" ht="15" x14ac:dyDescent="0.2">
      <c r="B1446" s="87" t="s">
        <v>2092</v>
      </c>
      <c r="C1446" s="88">
        <v>6780</v>
      </c>
      <c r="D1446" s="87" t="s">
        <v>5068</v>
      </c>
    </row>
    <row r="1447" spans="2:4" ht="15" x14ac:dyDescent="0.2">
      <c r="B1447" s="87" t="s">
        <v>2093</v>
      </c>
      <c r="C1447" s="88">
        <v>6790</v>
      </c>
      <c r="D1447" s="87" t="s">
        <v>5069</v>
      </c>
    </row>
    <row r="1448" spans="2:4" ht="15" x14ac:dyDescent="0.2">
      <c r="B1448" s="87" t="s">
        <v>2094</v>
      </c>
      <c r="C1448" s="88">
        <v>6790</v>
      </c>
      <c r="D1448" s="87" t="s">
        <v>5070</v>
      </c>
    </row>
    <row r="1449" spans="2:4" ht="15" x14ac:dyDescent="0.2">
      <c r="B1449" s="87" t="s">
        <v>2095</v>
      </c>
      <c r="C1449" s="88">
        <v>6790</v>
      </c>
      <c r="D1449" s="87" t="s">
        <v>5070</v>
      </c>
    </row>
    <row r="1450" spans="2:4" ht="15" x14ac:dyDescent="0.2">
      <c r="B1450" s="87" t="s">
        <v>2096</v>
      </c>
      <c r="C1450" s="88">
        <v>6820</v>
      </c>
      <c r="D1450" s="87" t="s">
        <v>5071</v>
      </c>
    </row>
    <row r="1451" spans="2:4" ht="15" x14ac:dyDescent="0.2">
      <c r="B1451" s="87" t="s">
        <v>2097</v>
      </c>
      <c r="C1451" s="88">
        <v>6840</v>
      </c>
      <c r="D1451" s="87" t="s">
        <v>5072</v>
      </c>
    </row>
    <row r="1452" spans="2:4" ht="15" x14ac:dyDescent="0.2">
      <c r="B1452" s="87" t="s">
        <v>2098</v>
      </c>
      <c r="C1452" s="88">
        <v>6850</v>
      </c>
      <c r="D1452" s="87" t="s">
        <v>5073</v>
      </c>
    </row>
    <row r="1453" spans="2:4" ht="15" x14ac:dyDescent="0.2">
      <c r="B1453" s="87" t="s">
        <v>2099</v>
      </c>
      <c r="C1453" s="88">
        <v>6870</v>
      </c>
      <c r="D1453" s="87" t="s">
        <v>5074</v>
      </c>
    </row>
    <row r="1454" spans="2:4" ht="15" x14ac:dyDescent="0.2">
      <c r="B1454" s="87" t="s">
        <v>2100</v>
      </c>
      <c r="C1454" s="88">
        <v>6880</v>
      </c>
      <c r="D1454" s="87" t="s">
        <v>5075</v>
      </c>
    </row>
    <row r="1455" spans="2:4" ht="15" x14ac:dyDescent="0.2">
      <c r="B1455" s="87" t="s">
        <v>2101</v>
      </c>
      <c r="C1455" s="88">
        <v>6900</v>
      </c>
      <c r="D1455" s="87" t="s">
        <v>5076</v>
      </c>
    </row>
    <row r="1456" spans="2:4" ht="15" x14ac:dyDescent="0.2">
      <c r="B1456" s="87" t="s">
        <v>2102</v>
      </c>
      <c r="C1456" s="88">
        <v>6920</v>
      </c>
      <c r="D1456" s="87" t="s">
        <v>5077</v>
      </c>
    </row>
    <row r="1457" spans="2:4" ht="15" x14ac:dyDescent="0.2">
      <c r="B1457" s="87" t="s">
        <v>2103</v>
      </c>
      <c r="C1457" s="88">
        <v>6930</v>
      </c>
      <c r="D1457" s="87" t="s">
        <v>5078</v>
      </c>
    </row>
    <row r="1458" spans="2:4" ht="15" x14ac:dyDescent="0.2">
      <c r="B1458" s="87" t="s">
        <v>2104</v>
      </c>
      <c r="C1458" s="88">
        <v>6950</v>
      </c>
      <c r="D1458" s="87" t="s">
        <v>5079</v>
      </c>
    </row>
    <row r="1459" spans="2:4" ht="15" x14ac:dyDescent="0.2">
      <c r="B1459" s="87" t="s">
        <v>2105</v>
      </c>
      <c r="C1459" s="88">
        <v>6960</v>
      </c>
      <c r="D1459" s="87" t="s">
        <v>5080</v>
      </c>
    </row>
    <row r="1460" spans="2:4" ht="15" x14ac:dyDescent="0.2">
      <c r="B1460" s="87" t="s">
        <v>2106</v>
      </c>
      <c r="C1460" s="88">
        <v>6980</v>
      </c>
      <c r="D1460" s="87" t="s">
        <v>5081</v>
      </c>
    </row>
    <row r="1461" spans="2:4" ht="15" x14ac:dyDescent="0.2">
      <c r="B1461" s="87" t="s">
        <v>2107</v>
      </c>
      <c r="C1461" s="88">
        <v>6980</v>
      </c>
      <c r="D1461" s="87" t="s">
        <v>5082</v>
      </c>
    </row>
    <row r="1462" spans="2:4" ht="15" x14ac:dyDescent="0.2">
      <c r="B1462" s="87" t="s">
        <v>2108</v>
      </c>
      <c r="C1462" s="88">
        <v>6990</v>
      </c>
      <c r="D1462" s="87" t="s">
        <v>5083</v>
      </c>
    </row>
    <row r="1463" spans="2:4" ht="15" x14ac:dyDescent="0.2">
      <c r="B1463" s="87" t="s">
        <v>2109</v>
      </c>
      <c r="C1463" s="88">
        <v>7010</v>
      </c>
      <c r="D1463" s="87" t="s">
        <v>5084</v>
      </c>
    </row>
    <row r="1464" spans="2:4" ht="15" x14ac:dyDescent="0.2">
      <c r="B1464" s="87" t="s">
        <v>2110</v>
      </c>
      <c r="C1464" s="88">
        <v>7030</v>
      </c>
      <c r="D1464" s="87" t="s">
        <v>5085</v>
      </c>
    </row>
    <row r="1465" spans="2:4" ht="15" x14ac:dyDescent="0.2">
      <c r="B1465" s="87" t="s">
        <v>2111</v>
      </c>
      <c r="C1465" s="88">
        <v>7040</v>
      </c>
      <c r="D1465" s="87" t="s">
        <v>5086</v>
      </c>
    </row>
    <row r="1466" spans="2:4" ht="15" x14ac:dyDescent="0.2">
      <c r="B1466" s="87" t="s">
        <v>2112</v>
      </c>
      <c r="C1466" s="88">
        <v>7040</v>
      </c>
      <c r="D1466" s="87" t="s">
        <v>5086</v>
      </c>
    </row>
    <row r="1467" spans="2:4" ht="15" x14ac:dyDescent="0.2">
      <c r="B1467" s="87" t="s">
        <v>2113</v>
      </c>
      <c r="C1467" s="88">
        <v>7060</v>
      </c>
      <c r="D1467" s="87" t="s">
        <v>5087</v>
      </c>
    </row>
    <row r="1468" spans="2:4" ht="15" x14ac:dyDescent="0.2">
      <c r="B1468" s="87" t="s">
        <v>2114</v>
      </c>
      <c r="C1468" s="88">
        <v>7070</v>
      </c>
      <c r="D1468" s="87" t="s">
        <v>5088</v>
      </c>
    </row>
    <row r="1469" spans="2:4" ht="15" x14ac:dyDescent="0.2">
      <c r="B1469" s="87" t="s">
        <v>2115</v>
      </c>
      <c r="C1469" s="88">
        <v>7070</v>
      </c>
      <c r="D1469" s="87" t="s">
        <v>5088</v>
      </c>
    </row>
    <row r="1470" spans="2:4" ht="15" x14ac:dyDescent="0.2">
      <c r="B1470" s="87" t="s">
        <v>2116</v>
      </c>
      <c r="C1470" s="88">
        <v>7070</v>
      </c>
      <c r="D1470" s="87" t="s">
        <v>5089</v>
      </c>
    </row>
    <row r="1471" spans="2:4" ht="15" x14ac:dyDescent="0.2">
      <c r="B1471" s="87" t="s">
        <v>2117</v>
      </c>
      <c r="C1471" s="88">
        <v>7090</v>
      </c>
      <c r="D1471" s="87" t="s">
        <v>5090</v>
      </c>
    </row>
    <row r="1472" spans="2:4" ht="15" x14ac:dyDescent="0.2">
      <c r="B1472" s="87" t="s">
        <v>2118</v>
      </c>
      <c r="C1472" s="88">
        <v>7090</v>
      </c>
      <c r="D1472" s="87" t="s">
        <v>5090</v>
      </c>
    </row>
    <row r="1473" spans="2:4" ht="15" x14ac:dyDescent="0.2">
      <c r="B1473" s="87" t="s">
        <v>2119</v>
      </c>
      <c r="C1473" s="88">
        <v>7110</v>
      </c>
      <c r="D1473" s="87" t="s">
        <v>5091</v>
      </c>
    </row>
    <row r="1474" spans="2:4" ht="15" x14ac:dyDescent="0.2">
      <c r="B1474" s="87" t="s">
        <v>2120</v>
      </c>
      <c r="C1474" s="88">
        <v>7120</v>
      </c>
      <c r="D1474" s="87" t="s">
        <v>5092</v>
      </c>
    </row>
    <row r="1475" spans="2:4" ht="15" x14ac:dyDescent="0.2">
      <c r="B1475" s="87" t="s">
        <v>2121</v>
      </c>
      <c r="C1475" s="88">
        <v>7120</v>
      </c>
      <c r="D1475" s="87" t="s">
        <v>5092</v>
      </c>
    </row>
    <row r="1476" spans="2:4" ht="15" x14ac:dyDescent="0.2">
      <c r="B1476" s="87" t="s">
        <v>2122</v>
      </c>
      <c r="C1476" s="88">
        <v>7140</v>
      </c>
      <c r="D1476" s="87" t="s">
        <v>5093</v>
      </c>
    </row>
    <row r="1477" spans="2:4" ht="15" x14ac:dyDescent="0.2">
      <c r="B1477" s="87" t="s">
        <v>2123</v>
      </c>
      <c r="C1477" s="88">
        <v>7150</v>
      </c>
      <c r="D1477" s="87" t="s">
        <v>5094</v>
      </c>
    </row>
    <row r="1478" spans="2:4" ht="15" x14ac:dyDescent="0.2">
      <c r="B1478" s="87" t="s">
        <v>2124</v>
      </c>
      <c r="C1478" s="88">
        <v>7170</v>
      </c>
      <c r="D1478" s="87" t="s">
        <v>5095</v>
      </c>
    </row>
    <row r="1479" spans="2:4" ht="15" x14ac:dyDescent="0.2">
      <c r="B1479" s="87" t="s">
        <v>2125</v>
      </c>
      <c r="C1479" s="88">
        <v>7170</v>
      </c>
      <c r="D1479" s="87" t="s">
        <v>5096</v>
      </c>
    </row>
    <row r="1480" spans="2:4" ht="15" x14ac:dyDescent="0.2">
      <c r="B1480" s="87" t="s">
        <v>2126</v>
      </c>
      <c r="C1480" s="88">
        <v>7190</v>
      </c>
      <c r="D1480" s="87" t="s">
        <v>5097</v>
      </c>
    </row>
    <row r="1481" spans="2:4" ht="15" x14ac:dyDescent="0.2">
      <c r="B1481" s="87" t="s">
        <v>2127</v>
      </c>
      <c r="C1481" s="88">
        <v>7200</v>
      </c>
      <c r="D1481" s="87" t="s">
        <v>5098</v>
      </c>
    </row>
    <row r="1482" spans="2:4" ht="15" x14ac:dyDescent="0.2">
      <c r="B1482" s="87" t="s">
        <v>2128</v>
      </c>
      <c r="C1482" s="88">
        <v>7220</v>
      </c>
      <c r="D1482" s="87" t="s">
        <v>5099</v>
      </c>
    </row>
    <row r="1483" spans="2:4" ht="15" x14ac:dyDescent="0.2">
      <c r="B1483" s="87" t="s">
        <v>2129</v>
      </c>
      <c r="C1483" s="88">
        <v>7230</v>
      </c>
      <c r="D1483" s="87" t="s">
        <v>5100</v>
      </c>
    </row>
    <row r="1484" spans="2:4" ht="15" x14ac:dyDescent="0.2">
      <c r="B1484" s="87" t="s">
        <v>2130</v>
      </c>
      <c r="C1484" s="88">
        <v>7250</v>
      </c>
      <c r="D1484" s="87" t="s">
        <v>5101</v>
      </c>
    </row>
    <row r="1485" spans="2:4" ht="15" x14ac:dyDescent="0.2">
      <c r="B1485" s="87" t="s">
        <v>2131</v>
      </c>
      <c r="C1485" s="88">
        <v>7260</v>
      </c>
      <c r="D1485" s="87" t="s">
        <v>5102</v>
      </c>
    </row>
    <row r="1486" spans="2:4" ht="15" x14ac:dyDescent="0.2">
      <c r="B1486" s="87" t="s">
        <v>2132</v>
      </c>
      <c r="C1486" s="88">
        <v>7260</v>
      </c>
      <c r="D1486" s="87" t="s">
        <v>5103</v>
      </c>
    </row>
    <row r="1487" spans="2:4" ht="15" x14ac:dyDescent="0.2">
      <c r="B1487" s="87" t="s">
        <v>2133</v>
      </c>
      <c r="C1487" s="88">
        <v>7280</v>
      </c>
      <c r="D1487" s="87" t="s">
        <v>5104</v>
      </c>
    </row>
    <row r="1488" spans="2:4" ht="15" x14ac:dyDescent="0.2">
      <c r="B1488" s="87" t="s">
        <v>2134</v>
      </c>
      <c r="C1488" s="88">
        <v>7280</v>
      </c>
      <c r="D1488" s="87" t="s">
        <v>5104</v>
      </c>
    </row>
    <row r="1489" spans="2:4" ht="15" x14ac:dyDescent="0.2">
      <c r="B1489" s="87" t="s">
        <v>2135</v>
      </c>
      <c r="C1489" s="88">
        <v>7300</v>
      </c>
      <c r="D1489" s="87" t="s">
        <v>5105</v>
      </c>
    </row>
    <row r="1490" spans="2:4" ht="15" x14ac:dyDescent="0.2">
      <c r="B1490" s="87" t="s">
        <v>2136</v>
      </c>
      <c r="C1490" s="88">
        <v>7310</v>
      </c>
      <c r="D1490" s="87" t="s">
        <v>5106</v>
      </c>
    </row>
    <row r="1491" spans="2:4" ht="15" x14ac:dyDescent="0.2">
      <c r="B1491" s="87" t="s">
        <v>2137</v>
      </c>
      <c r="C1491" s="88">
        <v>7310</v>
      </c>
      <c r="D1491" s="87" t="s">
        <v>5106</v>
      </c>
    </row>
    <row r="1492" spans="2:4" ht="15" x14ac:dyDescent="0.2">
      <c r="B1492" s="87" t="s">
        <v>2138</v>
      </c>
      <c r="C1492" s="88">
        <v>7330</v>
      </c>
      <c r="D1492" s="87" t="s">
        <v>5107</v>
      </c>
    </row>
    <row r="1493" spans="2:4" ht="15" x14ac:dyDescent="0.2">
      <c r="B1493" s="87" t="s">
        <v>2139</v>
      </c>
      <c r="C1493" s="88">
        <v>7340</v>
      </c>
      <c r="D1493" s="87" t="s">
        <v>5108</v>
      </c>
    </row>
    <row r="1494" spans="2:4" ht="15" x14ac:dyDescent="0.2">
      <c r="B1494" s="87" t="s">
        <v>2140</v>
      </c>
      <c r="C1494" s="88">
        <v>7340</v>
      </c>
      <c r="D1494" s="87" t="s">
        <v>5108</v>
      </c>
    </row>
    <row r="1495" spans="2:4" ht="15" x14ac:dyDescent="0.2">
      <c r="B1495" s="87" t="s">
        <v>2141</v>
      </c>
      <c r="C1495" s="88">
        <v>7360</v>
      </c>
      <c r="D1495" s="87" t="s">
        <v>5109</v>
      </c>
    </row>
    <row r="1496" spans="2:4" ht="15" x14ac:dyDescent="0.2">
      <c r="B1496" s="87" t="s">
        <v>2142</v>
      </c>
      <c r="C1496" s="88">
        <v>7360</v>
      </c>
      <c r="D1496" s="87" t="s">
        <v>5110</v>
      </c>
    </row>
    <row r="1497" spans="2:4" ht="15" x14ac:dyDescent="0.2">
      <c r="B1497" s="87" t="s">
        <v>2143</v>
      </c>
      <c r="C1497" s="88">
        <v>7360</v>
      </c>
      <c r="D1497" s="87" t="s">
        <v>5110</v>
      </c>
    </row>
    <row r="1498" spans="2:4" ht="15" x14ac:dyDescent="0.2">
      <c r="B1498" s="87" t="s">
        <v>2144</v>
      </c>
      <c r="C1498" s="88">
        <v>7380</v>
      </c>
      <c r="D1498" s="87" t="s">
        <v>5111</v>
      </c>
    </row>
    <row r="1499" spans="2:4" ht="15" x14ac:dyDescent="0.2">
      <c r="B1499" s="87" t="s">
        <v>2145</v>
      </c>
      <c r="C1499" s="88">
        <v>7390</v>
      </c>
      <c r="D1499" s="87" t="s">
        <v>5112</v>
      </c>
    </row>
    <row r="1500" spans="2:4" ht="15" x14ac:dyDescent="0.2">
      <c r="B1500" s="87" t="s">
        <v>2146</v>
      </c>
      <c r="C1500" s="88">
        <v>7390</v>
      </c>
      <c r="D1500" s="87" t="s">
        <v>5112</v>
      </c>
    </row>
    <row r="1501" spans="2:4" ht="15" x14ac:dyDescent="0.2">
      <c r="B1501" s="87" t="s">
        <v>2147</v>
      </c>
      <c r="C1501" s="88">
        <v>7410</v>
      </c>
      <c r="D1501" s="87" t="s">
        <v>5113</v>
      </c>
    </row>
    <row r="1502" spans="2:4" ht="15" x14ac:dyDescent="0.2">
      <c r="B1502" s="87" t="s">
        <v>2148</v>
      </c>
      <c r="C1502" s="88">
        <v>7430</v>
      </c>
      <c r="D1502" s="87" t="s">
        <v>5114</v>
      </c>
    </row>
    <row r="1503" spans="2:4" ht="15" x14ac:dyDescent="0.2">
      <c r="B1503" s="87" t="s">
        <v>2149</v>
      </c>
      <c r="C1503" s="88">
        <v>7430</v>
      </c>
      <c r="D1503" s="87" t="s">
        <v>5114</v>
      </c>
    </row>
    <row r="1504" spans="2:4" ht="15" x14ac:dyDescent="0.2">
      <c r="B1504" s="87" t="s">
        <v>2150</v>
      </c>
      <c r="C1504" s="88">
        <v>7440</v>
      </c>
      <c r="D1504" s="87" t="s">
        <v>5115</v>
      </c>
    </row>
    <row r="1505" spans="2:4" ht="15" x14ac:dyDescent="0.2">
      <c r="B1505" s="87" t="s">
        <v>2151</v>
      </c>
      <c r="C1505" s="88">
        <v>7440</v>
      </c>
      <c r="D1505" s="87" t="s">
        <v>5116</v>
      </c>
    </row>
    <row r="1506" spans="2:4" ht="15" x14ac:dyDescent="0.2">
      <c r="B1506" s="87" t="s">
        <v>2152</v>
      </c>
      <c r="C1506" s="88">
        <v>7440</v>
      </c>
      <c r="D1506" s="87" t="s">
        <v>5116</v>
      </c>
    </row>
    <row r="1507" spans="2:4" ht="15" x14ac:dyDescent="0.2">
      <c r="B1507" s="87" t="s">
        <v>2153</v>
      </c>
      <c r="C1507" s="88">
        <v>7460</v>
      </c>
      <c r="D1507" s="87" t="s">
        <v>5117</v>
      </c>
    </row>
    <row r="1508" spans="2:4" ht="15" x14ac:dyDescent="0.2">
      <c r="B1508" s="87" t="s">
        <v>2154</v>
      </c>
      <c r="C1508" s="88">
        <v>7460</v>
      </c>
      <c r="D1508" s="87" t="s">
        <v>5117</v>
      </c>
    </row>
    <row r="1509" spans="2:4" ht="15" x14ac:dyDescent="0.2">
      <c r="B1509" s="87" t="s">
        <v>2155</v>
      </c>
      <c r="C1509" s="88">
        <v>7470</v>
      </c>
      <c r="D1509" s="87" t="s">
        <v>5118</v>
      </c>
    </row>
    <row r="1510" spans="2:4" ht="15" x14ac:dyDescent="0.2">
      <c r="B1510" s="87" t="s">
        <v>2156</v>
      </c>
      <c r="C1510" s="88">
        <v>7490</v>
      </c>
      <c r="D1510" s="87" t="s">
        <v>5119</v>
      </c>
    </row>
    <row r="1511" spans="2:4" ht="15" x14ac:dyDescent="0.2">
      <c r="B1511" s="87" t="s">
        <v>2157</v>
      </c>
      <c r="C1511" s="88">
        <v>7490</v>
      </c>
      <c r="D1511" s="87" t="s">
        <v>5119</v>
      </c>
    </row>
    <row r="1512" spans="2:4" ht="15" x14ac:dyDescent="0.2">
      <c r="B1512" s="87" t="s">
        <v>2158</v>
      </c>
      <c r="C1512" s="88">
        <v>7510</v>
      </c>
      <c r="D1512" s="87" t="s">
        <v>5120</v>
      </c>
    </row>
    <row r="1513" spans="2:4" ht="15" x14ac:dyDescent="0.2">
      <c r="B1513" s="87" t="s">
        <v>2159</v>
      </c>
      <c r="C1513" s="88">
        <v>7510</v>
      </c>
      <c r="D1513" s="87" t="s">
        <v>5120</v>
      </c>
    </row>
    <row r="1514" spans="2:4" ht="15" x14ac:dyDescent="0.2">
      <c r="B1514" s="87" t="s">
        <v>2160</v>
      </c>
      <c r="C1514" s="88">
        <v>7510</v>
      </c>
      <c r="D1514" s="87" t="s">
        <v>5120</v>
      </c>
    </row>
    <row r="1515" spans="2:4" ht="15" x14ac:dyDescent="0.2">
      <c r="B1515" s="87" t="s">
        <v>2161</v>
      </c>
      <c r="C1515" s="88">
        <v>7520</v>
      </c>
      <c r="D1515" s="87" t="s">
        <v>5121</v>
      </c>
    </row>
    <row r="1516" spans="2:4" ht="15" x14ac:dyDescent="0.2">
      <c r="B1516" s="87" t="s">
        <v>2162</v>
      </c>
      <c r="C1516" s="88">
        <v>7520</v>
      </c>
      <c r="D1516" s="87" t="s">
        <v>5121</v>
      </c>
    </row>
    <row r="1517" spans="2:4" ht="15" x14ac:dyDescent="0.2">
      <c r="B1517" s="87" t="s">
        <v>2163</v>
      </c>
      <c r="C1517" s="88">
        <v>7540</v>
      </c>
      <c r="D1517" s="87" t="s">
        <v>5122</v>
      </c>
    </row>
    <row r="1518" spans="2:4" ht="15" x14ac:dyDescent="0.2">
      <c r="B1518" s="87" t="s">
        <v>2164</v>
      </c>
      <c r="C1518" s="88">
        <v>7540</v>
      </c>
      <c r="D1518" s="87" t="s">
        <v>5122</v>
      </c>
    </row>
    <row r="1519" spans="2:4" ht="15" x14ac:dyDescent="0.2">
      <c r="B1519" s="87" t="s">
        <v>2165</v>
      </c>
      <c r="C1519" s="88">
        <v>7540</v>
      </c>
      <c r="D1519" s="87" t="s">
        <v>5123</v>
      </c>
    </row>
    <row r="1520" spans="2:4" ht="15" x14ac:dyDescent="0.2">
      <c r="B1520" s="87" t="s">
        <v>2166</v>
      </c>
      <c r="C1520" s="88">
        <v>7540</v>
      </c>
      <c r="D1520" s="87" t="s">
        <v>5123</v>
      </c>
    </row>
    <row r="1521" spans="2:4" ht="15" x14ac:dyDescent="0.2">
      <c r="B1521" s="87" t="s">
        <v>2167</v>
      </c>
      <c r="C1521" s="88">
        <v>7540</v>
      </c>
      <c r="D1521" s="87" t="s">
        <v>5123</v>
      </c>
    </row>
    <row r="1522" spans="2:4" ht="15" x14ac:dyDescent="0.2">
      <c r="B1522" s="87" t="s">
        <v>2168</v>
      </c>
      <c r="C1522" s="88">
        <v>7550</v>
      </c>
      <c r="D1522" s="87" t="s">
        <v>5124</v>
      </c>
    </row>
    <row r="1523" spans="2:4" ht="15" x14ac:dyDescent="0.2">
      <c r="B1523" s="87" t="s">
        <v>2169</v>
      </c>
      <c r="C1523" s="88">
        <v>7550</v>
      </c>
      <c r="D1523" s="87" t="s">
        <v>5124</v>
      </c>
    </row>
    <row r="1524" spans="2:4" ht="15" x14ac:dyDescent="0.2">
      <c r="B1524" s="87" t="s">
        <v>2170</v>
      </c>
      <c r="C1524" s="88">
        <v>7550</v>
      </c>
      <c r="D1524" s="87" t="s">
        <v>5124</v>
      </c>
    </row>
    <row r="1525" spans="2:4" ht="15" x14ac:dyDescent="0.2">
      <c r="B1525" s="87" t="s">
        <v>2171</v>
      </c>
      <c r="C1525" s="88">
        <v>7570</v>
      </c>
      <c r="D1525" s="87" t="s">
        <v>5125</v>
      </c>
    </row>
    <row r="1526" spans="2:4" ht="15" x14ac:dyDescent="0.2">
      <c r="B1526" s="87" t="s">
        <v>2172</v>
      </c>
      <c r="C1526" s="88">
        <v>7570</v>
      </c>
      <c r="D1526" s="87" t="s">
        <v>5125</v>
      </c>
    </row>
    <row r="1527" spans="2:4" ht="15" x14ac:dyDescent="0.2">
      <c r="B1527" s="87" t="s">
        <v>2173</v>
      </c>
      <c r="C1527" s="88">
        <v>7590</v>
      </c>
      <c r="D1527" s="87" t="s">
        <v>5126</v>
      </c>
    </row>
    <row r="1528" spans="2:4" ht="15" x14ac:dyDescent="0.2">
      <c r="B1528" s="87" t="s">
        <v>2174</v>
      </c>
      <c r="C1528" s="88">
        <v>7590</v>
      </c>
      <c r="D1528" s="87" t="s">
        <v>5126</v>
      </c>
    </row>
    <row r="1529" spans="2:4" ht="15" x14ac:dyDescent="0.2">
      <c r="B1529" s="87" t="s">
        <v>2175</v>
      </c>
      <c r="C1529" s="88">
        <v>7590</v>
      </c>
      <c r="D1529" s="87" t="s">
        <v>5126</v>
      </c>
    </row>
    <row r="1530" spans="2:4" ht="15" x14ac:dyDescent="0.2">
      <c r="B1530" s="87" t="s">
        <v>2176</v>
      </c>
      <c r="C1530" s="88">
        <v>7600</v>
      </c>
      <c r="D1530" s="87" t="s">
        <v>5127</v>
      </c>
    </row>
    <row r="1531" spans="2:4" ht="15" x14ac:dyDescent="0.2">
      <c r="B1531" s="87" t="s">
        <v>2177</v>
      </c>
      <c r="C1531" s="88">
        <v>7600</v>
      </c>
      <c r="D1531" s="87" t="s">
        <v>5127</v>
      </c>
    </row>
    <row r="1532" spans="2:4" ht="15" x14ac:dyDescent="0.2">
      <c r="B1532" s="87" t="s">
        <v>2178</v>
      </c>
      <c r="C1532" s="88">
        <v>7620</v>
      </c>
      <c r="D1532" s="87" t="s">
        <v>5128</v>
      </c>
    </row>
    <row r="1533" spans="2:4" ht="15" x14ac:dyDescent="0.2">
      <c r="B1533" s="87" t="s">
        <v>2179</v>
      </c>
      <c r="C1533" s="88">
        <v>7620</v>
      </c>
      <c r="D1533" s="87" t="s">
        <v>5128</v>
      </c>
    </row>
    <row r="1534" spans="2:4" ht="15" x14ac:dyDescent="0.2">
      <c r="B1534" s="87" t="s">
        <v>2180</v>
      </c>
      <c r="C1534" s="88">
        <v>7620</v>
      </c>
      <c r="D1534" s="87" t="s">
        <v>5128</v>
      </c>
    </row>
    <row r="1535" spans="2:4" ht="15" x14ac:dyDescent="0.2">
      <c r="B1535" s="87" t="s">
        <v>2181</v>
      </c>
      <c r="C1535" s="88">
        <v>7620</v>
      </c>
      <c r="D1535" s="87" t="s">
        <v>5128</v>
      </c>
    </row>
    <row r="1536" spans="2:4" ht="15" x14ac:dyDescent="0.2">
      <c r="B1536" s="87" t="s">
        <v>2182</v>
      </c>
      <c r="C1536" s="88">
        <v>7640</v>
      </c>
      <c r="D1536" s="87" t="s">
        <v>5129</v>
      </c>
    </row>
    <row r="1537" spans="2:4" ht="15" x14ac:dyDescent="0.2">
      <c r="B1537" s="87" t="s">
        <v>2183</v>
      </c>
      <c r="C1537" s="88">
        <v>7640</v>
      </c>
      <c r="D1537" s="87" t="s">
        <v>5129</v>
      </c>
    </row>
    <row r="1538" spans="2:4" ht="15" x14ac:dyDescent="0.2">
      <c r="B1538" s="87" t="s">
        <v>2184</v>
      </c>
      <c r="C1538" s="88">
        <v>7640</v>
      </c>
      <c r="D1538" s="87" t="s">
        <v>5129</v>
      </c>
    </row>
    <row r="1539" spans="2:4" ht="15" x14ac:dyDescent="0.2">
      <c r="B1539" s="87" t="s">
        <v>2185</v>
      </c>
      <c r="C1539" s="88">
        <v>7640</v>
      </c>
      <c r="D1539" s="87" t="s">
        <v>5130</v>
      </c>
    </row>
    <row r="1540" spans="2:4" ht="15" x14ac:dyDescent="0.2">
      <c r="B1540" s="87" t="s">
        <v>2186</v>
      </c>
      <c r="C1540" s="88">
        <v>7640</v>
      </c>
      <c r="D1540" s="87" t="s">
        <v>5130</v>
      </c>
    </row>
    <row r="1541" spans="2:4" ht="15" x14ac:dyDescent="0.2">
      <c r="B1541" s="87" t="s">
        <v>2187</v>
      </c>
      <c r="C1541" s="88">
        <v>7640</v>
      </c>
      <c r="D1541" s="87" t="s">
        <v>5130</v>
      </c>
    </row>
    <row r="1542" spans="2:4" ht="15" x14ac:dyDescent="0.2">
      <c r="B1542" s="87" t="s">
        <v>2188</v>
      </c>
      <c r="C1542" s="88">
        <v>7650</v>
      </c>
      <c r="D1542" s="87" t="s">
        <v>5131</v>
      </c>
    </row>
    <row r="1543" spans="2:4" ht="15" x14ac:dyDescent="0.2">
      <c r="B1543" s="87" t="s">
        <v>2189</v>
      </c>
      <c r="C1543" s="88">
        <v>7650</v>
      </c>
      <c r="D1543" s="87" t="s">
        <v>5131</v>
      </c>
    </row>
    <row r="1544" spans="2:4" ht="15" x14ac:dyDescent="0.2">
      <c r="B1544" s="87" t="s">
        <v>2190</v>
      </c>
      <c r="C1544" s="88">
        <v>7650</v>
      </c>
      <c r="D1544" s="87" t="s">
        <v>5131</v>
      </c>
    </row>
    <row r="1545" spans="2:4" ht="15" x14ac:dyDescent="0.2">
      <c r="B1545" s="87" t="s">
        <v>2191</v>
      </c>
      <c r="C1545" s="88">
        <v>7670</v>
      </c>
      <c r="D1545" s="87" t="s">
        <v>5132</v>
      </c>
    </row>
    <row r="1546" spans="2:4" ht="15" x14ac:dyDescent="0.2">
      <c r="B1546" s="87" t="s">
        <v>2192</v>
      </c>
      <c r="C1546" s="88">
        <v>7670</v>
      </c>
      <c r="D1546" s="87" t="s">
        <v>5132</v>
      </c>
    </row>
    <row r="1547" spans="2:4" ht="15" x14ac:dyDescent="0.2">
      <c r="B1547" s="87" t="s">
        <v>2193</v>
      </c>
      <c r="C1547" s="88">
        <v>7670</v>
      </c>
      <c r="D1547" s="87" t="s">
        <v>5132</v>
      </c>
    </row>
    <row r="1548" spans="2:4" ht="15" x14ac:dyDescent="0.2">
      <c r="B1548" s="87" t="s">
        <v>2194</v>
      </c>
      <c r="C1548" s="88">
        <v>7670</v>
      </c>
      <c r="D1548" s="87" t="s">
        <v>5132</v>
      </c>
    </row>
    <row r="1549" spans="2:4" ht="15" x14ac:dyDescent="0.2">
      <c r="B1549" s="87" t="s">
        <v>2195</v>
      </c>
      <c r="C1549" s="88">
        <v>7680</v>
      </c>
      <c r="D1549" s="87" t="s">
        <v>5133</v>
      </c>
    </row>
    <row r="1550" spans="2:4" ht="15" x14ac:dyDescent="0.2">
      <c r="B1550" s="87" t="s">
        <v>2196</v>
      </c>
      <c r="C1550" s="88">
        <v>7680</v>
      </c>
      <c r="D1550" s="87" t="s">
        <v>5133</v>
      </c>
    </row>
    <row r="1551" spans="2:4" ht="15" x14ac:dyDescent="0.2">
      <c r="B1551" s="87" t="s">
        <v>2197</v>
      </c>
      <c r="C1551" s="88">
        <v>7680</v>
      </c>
      <c r="D1551" s="87" t="s">
        <v>5133</v>
      </c>
    </row>
    <row r="1552" spans="2:4" ht="15" x14ac:dyDescent="0.2">
      <c r="B1552" s="87" t="s">
        <v>2198</v>
      </c>
      <c r="C1552" s="88">
        <v>7680</v>
      </c>
      <c r="D1552" s="87" t="s">
        <v>5133</v>
      </c>
    </row>
    <row r="1553" spans="2:4" ht="15" x14ac:dyDescent="0.2">
      <c r="B1553" s="87" t="s">
        <v>2199</v>
      </c>
      <c r="C1553" s="88">
        <v>7700</v>
      </c>
      <c r="D1553" s="87" t="s">
        <v>5134</v>
      </c>
    </row>
    <row r="1554" spans="2:4" ht="15" x14ac:dyDescent="0.2">
      <c r="B1554" s="87" t="s">
        <v>2200</v>
      </c>
      <c r="C1554" s="88">
        <v>7700</v>
      </c>
      <c r="D1554" s="87" t="s">
        <v>5134</v>
      </c>
    </row>
    <row r="1555" spans="2:4" ht="15" x14ac:dyDescent="0.2">
      <c r="B1555" s="87" t="s">
        <v>2201</v>
      </c>
      <c r="C1555" s="88">
        <v>7700</v>
      </c>
      <c r="D1555" s="87" t="s">
        <v>5134</v>
      </c>
    </row>
    <row r="1556" spans="2:4" ht="15" x14ac:dyDescent="0.2">
      <c r="B1556" s="87" t="s">
        <v>2202</v>
      </c>
      <c r="C1556" s="88">
        <v>7700</v>
      </c>
      <c r="D1556" s="87" t="s">
        <v>5134</v>
      </c>
    </row>
    <row r="1557" spans="2:4" ht="15" x14ac:dyDescent="0.2">
      <c r="B1557" s="87" t="s">
        <v>2203</v>
      </c>
      <c r="C1557" s="88">
        <v>7720</v>
      </c>
      <c r="D1557" s="87" t="s">
        <v>5135</v>
      </c>
    </row>
    <row r="1558" spans="2:4" ht="15" x14ac:dyDescent="0.2">
      <c r="B1558" s="87" t="s">
        <v>2204</v>
      </c>
      <c r="C1558" s="88">
        <v>7720</v>
      </c>
      <c r="D1558" s="87" t="s">
        <v>5135</v>
      </c>
    </row>
    <row r="1559" spans="2:4" ht="15" x14ac:dyDescent="0.2">
      <c r="B1559" s="87" t="s">
        <v>2205</v>
      </c>
      <c r="C1559" s="88">
        <v>7720</v>
      </c>
      <c r="D1559" s="87" t="s">
        <v>5135</v>
      </c>
    </row>
    <row r="1560" spans="2:4" ht="15" x14ac:dyDescent="0.2">
      <c r="B1560" s="87" t="s">
        <v>2206</v>
      </c>
      <c r="C1560" s="88">
        <v>7720</v>
      </c>
      <c r="D1560" s="87" t="s">
        <v>5135</v>
      </c>
    </row>
    <row r="1561" spans="2:4" ht="15" x14ac:dyDescent="0.2">
      <c r="B1561" s="87" t="s">
        <v>2207</v>
      </c>
      <c r="C1561" s="88">
        <v>7730</v>
      </c>
      <c r="D1561" s="87" t="s">
        <v>5136</v>
      </c>
    </row>
    <row r="1562" spans="2:4" ht="15" x14ac:dyDescent="0.2">
      <c r="B1562" s="87" t="s">
        <v>2208</v>
      </c>
      <c r="C1562" s="88">
        <v>7730</v>
      </c>
      <c r="D1562" s="87" t="s">
        <v>5136</v>
      </c>
    </row>
    <row r="1563" spans="2:4" ht="15" x14ac:dyDescent="0.2">
      <c r="B1563" s="87" t="s">
        <v>2209</v>
      </c>
      <c r="C1563" s="88">
        <v>7730</v>
      </c>
      <c r="D1563" s="87" t="s">
        <v>5136</v>
      </c>
    </row>
    <row r="1564" spans="2:4" ht="15" x14ac:dyDescent="0.2">
      <c r="B1564" s="87" t="s">
        <v>2210</v>
      </c>
      <c r="C1564" s="88">
        <v>7730</v>
      </c>
      <c r="D1564" s="87" t="s">
        <v>5136</v>
      </c>
    </row>
    <row r="1565" spans="2:4" ht="15" x14ac:dyDescent="0.2">
      <c r="B1565" s="87" t="s">
        <v>2211</v>
      </c>
      <c r="C1565" s="88">
        <v>7730</v>
      </c>
      <c r="D1565" s="87" t="s">
        <v>5136</v>
      </c>
    </row>
    <row r="1566" spans="2:4" ht="15" x14ac:dyDescent="0.2">
      <c r="B1566" s="87" t="s">
        <v>2212</v>
      </c>
      <c r="C1566" s="88">
        <v>7730</v>
      </c>
      <c r="D1566" s="87" t="s">
        <v>5137</v>
      </c>
    </row>
    <row r="1567" spans="2:4" ht="15" x14ac:dyDescent="0.2">
      <c r="B1567" s="87" t="s">
        <v>2213</v>
      </c>
      <c r="C1567" s="88">
        <v>7730</v>
      </c>
      <c r="D1567" s="87" t="s">
        <v>5137</v>
      </c>
    </row>
    <row r="1568" spans="2:4" ht="15" x14ac:dyDescent="0.2">
      <c r="B1568" s="87" t="s">
        <v>2214</v>
      </c>
      <c r="C1568" s="88">
        <v>7730</v>
      </c>
      <c r="D1568" s="87" t="s">
        <v>5137</v>
      </c>
    </row>
    <row r="1569" spans="2:4" ht="15" x14ac:dyDescent="0.2">
      <c r="B1569" s="87" t="s">
        <v>2215</v>
      </c>
      <c r="C1569" s="88">
        <v>7730</v>
      </c>
      <c r="D1569" s="87" t="s">
        <v>5137</v>
      </c>
    </row>
    <row r="1570" spans="2:4" ht="15" x14ac:dyDescent="0.2">
      <c r="B1570" s="87" t="s">
        <v>2216</v>
      </c>
      <c r="C1570" s="88">
        <v>7750</v>
      </c>
      <c r="D1570" s="87" t="s">
        <v>5138</v>
      </c>
    </row>
    <row r="1571" spans="2:4" ht="15" x14ac:dyDescent="0.2">
      <c r="B1571" s="87" t="s">
        <v>2217</v>
      </c>
      <c r="C1571" s="88">
        <v>7750</v>
      </c>
      <c r="D1571" s="87" t="s">
        <v>5138</v>
      </c>
    </row>
    <row r="1572" spans="2:4" ht="15" x14ac:dyDescent="0.2">
      <c r="B1572" s="87" t="s">
        <v>2218</v>
      </c>
      <c r="C1572" s="88">
        <v>7750</v>
      </c>
      <c r="D1572" s="87" t="s">
        <v>5138</v>
      </c>
    </row>
    <row r="1573" spans="2:4" ht="15" x14ac:dyDescent="0.2">
      <c r="B1573" s="87" t="s">
        <v>2219</v>
      </c>
      <c r="C1573" s="88">
        <v>7750</v>
      </c>
      <c r="D1573" s="87" t="s">
        <v>5138</v>
      </c>
    </row>
    <row r="1574" spans="2:4" ht="15" x14ac:dyDescent="0.2">
      <c r="B1574" s="87" t="s">
        <v>2220</v>
      </c>
      <c r="C1574" s="88">
        <v>7750</v>
      </c>
      <c r="D1574" s="87" t="s">
        <v>5138</v>
      </c>
    </row>
    <row r="1575" spans="2:4" ht="15" x14ac:dyDescent="0.2">
      <c r="B1575" s="87" t="s">
        <v>2221</v>
      </c>
      <c r="C1575" s="88">
        <v>7770</v>
      </c>
      <c r="D1575" s="87" t="s">
        <v>5139</v>
      </c>
    </row>
    <row r="1576" spans="2:4" ht="15" x14ac:dyDescent="0.2">
      <c r="B1576" s="87" t="s">
        <v>2222</v>
      </c>
      <c r="C1576" s="88">
        <v>7770</v>
      </c>
      <c r="D1576" s="87" t="s">
        <v>5139</v>
      </c>
    </row>
    <row r="1577" spans="2:4" ht="15" x14ac:dyDescent="0.2">
      <c r="B1577" s="87" t="s">
        <v>2223</v>
      </c>
      <c r="C1577" s="88">
        <v>7770</v>
      </c>
      <c r="D1577" s="87" t="s">
        <v>5139</v>
      </c>
    </row>
    <row r="1578" spans="2:4" ht="15" x14ac:dyDescent="0.2">
      <c r="B1578" s="87" t="s">
        <v>2224</v>
      </c>
      <c r="C1578" s="88">
        <v>7770</v>
      </c>
      <c r="D1578" s="87" t="s">
        <v>5139</v>
      </c>
    </row>
    <row r="1579" spans="2:4" ht="15" x14ac:dyDescent="0.2">
      <c r="B1579" s="87" t="s">
        <v>2225</v>
      </c>
      <c r="C1579" s="88">
        <v>7770</v>
      </c>
      <c r="D1579" s="87" t="s">
        <v>5139</v>
      </c>
    </row>
    <row r="1580" spans="2:4" ht="15" x14ac:dyDescent="0.2">
      <c r="B1580" s="87" t="s">
        <v>2226</v>
      </c>
      <c r="C1580" s="88">
        <v>7770</v>
      </c>
      <c r="D1580" s="87" t="s">
        <v>5139</v>
      </c>
    </row>
    <row r="1581" spans="2:4" ht="15" x14ac:dyDescent="0.2">
      <c r="B1581" s="87" t="s">
        <v>2227</v>
      </c>
      <c r="C1581" s="88">
        <v>7780</v>
      </c>
      <c r="D1581" s="87" t="s">
        <v>5140</v>
      </c>
    </row>
    <row r="1582" spans="2:4" ht="15" x14ac:dyDescent="0.2">
      <c r="B1582" s="87" t="s">
        <v>2228</v>
      </c>
      <c r="C1582" s="88">
        <v>7780</v>
      </c>
      <c r="D1582" s="87" t="s">
        <v>5140</v>
      </c>
    </row>
    <row r="1583" spans="2:4" ht="15" x14ac:dyDescent="0.2">
      <c r="B1583" s="87" t="s">
        <v>2229</v>
      </c>
      <c r="C1583" s="88">
        <v>7780</v>
      </c>
      <c r="D1583" s="87" t="s">
        <v>5140</v>
      </c>
    </row>
    <row r="1584" spans="2:4" ht="15" x14ac:dyDescent="0.2">
      <c r="B1584" s="87" t="s">
        <v>2230</v>
      </c>
      <c r="C1584" s="88">
        <v>7780</v>
      </c>
      <c r="D1584" s="87" t="s">
        <v>5140</v>
      </c>
    </row>
    <row r="1585" spans="2:4" ht="15" x14ac:dyDescent="0.2">
      <c r="B1585" s="87" t="s">
        <v>2231</v>
      </c>
      <c r="C1585" s="88">
        <v>7780</v>
      </c>
      <c r="D1585" s="87" t="s">
        <v>5140</v>
      </c>
    </row>
    <row r="1586" spans="2:4" ht="15" x14ac:dyDescent="0.2">
      <c r="B1586" s="87" t="s">
        <v>2232</v>
      </c>
      <c r="C1586" s="88">
        <v>7780</v>
      </c>
      <c r="D1586" s="87" t="s">
        <v>5140</v>
      </c>
    </row>
    <row r="1587" spans="2:4" ht="15" x14ac:dyDescent="0.2">
      <c r="B1587" s="87" t="s">
        <v>2233</v>
      </c>
      <c r="C1587" s="88">
        <v>7780</v>
      </c>
      <c r="D1587" s="87" t="s">
        <v>5140</v>
      </c>
    </row>
    <row r="1588" spans="2:4" ht="15" x14ac:dyDescent="0.2">
      <c r="B1588" s="87" t="s">
        <v>2234</v>
      </c>
      <c r="C1588" s="88">
        <v>7780</v>
      </c>
      <c r="D1588" s="87" t="s">
        <v>5140</v>
      </c>
    </row>
    <row r="1589" spans="2:4" ht="15" x14ac:dyDescent="0.2">
      <c r="B1589" s="87" t="s">
        <v>2235</v>
      </c>
      <c r="C1589" s="88">
        <v>7780</v>
      </c>
      <c r="D1589" s="87" t="s">
        <v>5140</v>
      </c>
    </row>
    <row r="1590" spans="2:4" ht="15" x14ac:dyDescent="0.2">
      <c r="B1590" s="87" t="s">
        <v>2236</v>
      </c>
      <c r="C1590" s="88">
        <v>7800</v>
      </c>
      <c r="D1590" s="87" t="s">
        <v>5141</v>
      </c>
    </row>
    <row r="1591" spans="2:4" ht="15" x14ac:dyDescent="0.2">
      <c r="B1591" s="87" t="s">
        <v>2237</v>
      </c>
      <c r="C1591" s="88">
        <v>7800</v>
      </c>
      <c r="D1591" s="87" t="s">
        <v>5141</v>
      </c>
    </row>
    <row r="1592" spans="2:4" ht="15" x14ac:dyDescent="0.2">
      <c r="B1592" s="87" t="s">
        <v>2238</v>
      </c>
      <c r="C1592" s="88">
        <v>7800</v>
      </c>
      <c r="D1592" s="87" t="s">
        <v>5141</v>
      </c>
    </row>
    <row r="1593" spans="2:4" ht="15" x14ac:dyDescent="0.2">
      <c r="B1593" s="87" t="s">
        <v>2239</v>
      </c>
      <c r="C1593" s="88">
        <v>7800</v>
      </c>
      <c r="D1593" s="87" t="s">
        <v>5141</v>
      </c>
    </row>
    <row r="1594" spans="2:4" ht="15" x14ac:dyDescent="0.2">
      <c r="B1594" s="87" t="s">
        <v>2240</v>
      </c>
      <c r="C1594" s="88">
        <v>7800</v>
      </c>
      <c r="D1594" s="87" t="s">
        <v>5141</v>
      </c>
    </row>
    <row r="1595" spans="2:4" ht="15" x14ac:dyDescent="0.2">
      <c r="B1595" s="87" t="s">
        <v>2241</v>
      </c>
      <c r="C1595" s="88">
        <v>7800</v>
      </c>
      <c r="D1595" s="87" t="s">
        <v>5141</v>
      </c>
    </row>
    <row r="1596" spans="2:4" ht="15" x14ac:dyDescent="0.2">
      <c r="B1596" s="87" t="s">
        <v>2242</v>
      </c>
      <c r="C1596" s="88">
        <v>7800</v>
      </c>
      <c r="D1596" s="87" t="s">
        <v>5141</v>
      </c>
    </row>
    <row r="1597" spans="2:4" ht="15" x14ac:dyDescent="0.2">
      <c r="B1597" s="87" t="s">
        <v>2243</v>
      </c>
      <c r="C1597" s="88">
        <v>7800</v>
      </c>
      <c r="D1597" s="87" t="s">
        <v>5141</v>
      </c>
    </row>
    <row r="1598" spans="2:4" ht="15" x14ac:dyDescent="0.2">
      <c r="B1598" s="87" t="s">
        <v>2244</v>
      </c>
      <c r="C1598" s="88">
        <v>7800</v>
      </c>
      <c r="D1598" s="87" t="s">
        <v>5141</v>
      </c>
    </row>
    <row r="1599" spans="2:4" ht="15" x14ac:dyDescent="0.2">
      <c r="B1599" s="87" t="s">
        <v>2245</v>
      </c>
      <c r="C1599" s="88">
        <v>7800</v>
      </c>
      <c r="D1599" s="87" t="s">
        <v>5141</v>
      </c>
    </row>
    <row r="1600" spans="2:4" ht="15" x14ac:dyDescent="0.2">
      <c r="B1600" s="87" t="s">
        <v>2246</v>
      </c>
      <c r="C1600" s="88">
        <v>7800</v>
      </c>
      <c r="D1600" s="87" t="s">
        <v>5141</v>
      </c>
    </row>
    <row r="1601" spans="2:4" ht="15" x14ac:dyDescent="0.2">
      <c r="B1601" s="87" t="s">
        <v>2247</v>
      </c>
      <c r="C1601" s="88">
        <v>7800</v>
      </c>
      <c r="D1601" s="87" t="s">
        <v>5141</v>
      </c>
    </row>
    <row r="1602" spans="2:4" ht="15" x14ac:dyDescent="0.2">
      <c r="B1602" s="87" t="s">
        <v>2248</v>
      </c>
      <c r="C1602" s="88">
        <v>7810</v>
      </c>
      <c r="D1602" s="87" t="s">
        <v>5142</v>
      </c>
    </row>
    <row r="1603" spans="2:4" ht="15" x14ac:dyDescent="0.2">
      <c r="B1603" s="87" t="s">
        <v>2249</v>
      </c>
      <c r="C1603" s="88">
        <v>7810</v>
      </c>
      <c r="D1603" s="87" t="s">
        <v>5142</v>
      </c>
    </row>
    <row r="1604" spans="2:4" ht="15" x14ac:dyDescent="0.2">
      <c r="B1604" s="87" t="s">
        <v>2250</v>
      </c>
      <c r="C1604" s="88">
        <v>7810</v>
      </c>
      <c r="D1604" s="87" t="s">
        <v>5142</v>
      </c>
    </row>
    <row r="1605" spans="2:4" ht="15" x14ac:dyDescent="0.2">
      <c r="B1605" s="87" t="s">
        <v>2251</v>
      </c>
      <c r="C1605" s="88">
        <v>7810</v>
      </c>
      <c r="D1605" s="87" t="s">
        <v>5142</v>
      </c>
    </row>
    <row r="1606" spans="2:4" ht="15" x14ac:dyDescent="0.2">
      <c r="B1606" s="87" t="s">
        <v>2252</v>
      </c>
      <c r="C1606" s="88">
        <v>7810</v>
      </c>
      <c r="D1606" s="87" t="s">
        <v>5142</v>
      </c>
    </row>
    <row r="1607" spans="2:4" ht="15" x14ac:dyDescent="0.2">
      <c r="B1607" s="87" t="s">
        <v>2253</v>
      </c>
      <c r="C1607" s="88">
        <v>7810</v>
      </c>
      <c r="D1607" s="87" t="s">
        <v>5142</v>
      </c>
    </row>
    <row r="1608" spans="2:4" ht="15" x14ac:dyDescent="0.2">
      <c r="B1608" s="87" t="s">
        <v>2254</v>
      </c>
      <c r="C1608" s="88">
        <v>7810</v>
      </c>
      <c r="D1608" s="87" t="s">
        <v>5142</v>
      </c>
    </row>
    <row r="1609" spans="2:4" ht="15" x14ac:dyDescent="0.2">
      <c r="B1609" s="87" t="s">
        <v>2255</v>
      </c>
      <c r="C1609" s="88">
        <v>7810</v>
      </c>
      <c r="D1609" s="87" t="s">
        <v>5142</v>
      </c>
    </row>
    <row r="1610" spans="2:4" ht="15" x14ac:dyDescent="0.2">
      <c r="B1610" s="87" t="s">
        <v>2256</v>
      </c>
      <c r="C1610" s="88">
        <v>7810</v>
      </c>
      <c r="D1610" s="87" t="s">
        <v>5142</v>
      </c>
    </row>
    <row r="1611" spans="2:4" ht="15" x14ac:dyDescent="0.2">
      <c r="B1611" s="87" t="s">
        <v>2257</v>
      </c>
      <c r="C1611" s="88">
        <v>7800</v>
      </c>
      <c r="D1611" s="87" t="s">
        <v>5141</v>
      </c>
    </row>
    <row r="1612" spans="2:4" ht="15" x14ac:dyDescent="0.2">
      <c r="B1612" s="87" t="s">
        <v>2258</v>
      </c>
      <c r="C1612" s="88">
        <v>7800</v>
      </c>
      <c r="D1612" s="87" t="s">
        <v>5141</v>
      </c>
    </row>
    <row r="1613" spans="2:4" ht="15" x14ac:dyDescent="0.2">
      <c r="B1613" s="87" t="s">
        <v>2259</v>
      </c>
      <c r="C1613" s="88">
        <v>7800</v>
      </c>
      <c r="D1613" s="87" t="s">
        <v>5141</v>
      </c>
    </row>
    <row r="1614" spans="2:4" ht="15" x14ac:dyDescent="0.2">
      <c r="B1614" s="87" t="s">
        <v>2260</v>
      </c>
      <c r="C1614" s="88">
        <v>7780</v>
      </c>
      <c r="D1614" s="87" t="s">
        <v>5140</v>
      </c>
    </row>
    <row r="1615" spans="2:4" ht="15" x14ac:dyDescent="0.2">
      <c r="B1615" s="87" t="s">
        <v>2261</v>
      </c>
      <c r="C1615" s="88">
        <v>7780</v>
      </c>
      <c r="D1615" s="87" t="s">
        <v>5140</v>
      </c>
    </row>
    <row r="1616" spans="2:4" ht="15" x14ac:dyDescent="0.2">
      <c r="B1616" s="87" t="s">
        <v>2262</v>
      </c>
      <c r="C1616" s="88">
        <v>7780</v>
      </c>
      <c r="D1616" s="87" t="s">
        <v>5140</v>
      </c>
    </row>
    <row r="1617" spans="2:4" ht="15" x14ac:dyDescent="0.2">
      <c r="B1617" s="87" t="s">
        <v>2263</v>
      </c>
      <c r="C1617" s="88">
        <v>7770</v>
      </c>
      <c r="D1617" s="87" t="s">
        <v>5139</v>
      </c>
    </row>
    <row r="1618" spans="2:4" ht="15" x14ac:dyDescent="0.2">
      <c r="B1618" s="87" t="s">
        <v>2264</v>
      </c>
      <c r="C1618" s="88">
        <v>7770</v>
      </c>
      <c r="D1618" s="87" t="s">
        <v>5139</v>
      </c>
    </row>
    <row r="1619" spans="2:4" ht="15" x14ac:dyDescent="0.2">
      <c r="B1619" s="87" t="s">
        <v>2265</v>
      </c>
      <c r="C1619" s="88">
        <v>7770</v>
      </c>
      <c r="D1619" s="87" t="s">
        <v>5139</v>
      </c>
    </row>
    <row r="1620" spans="2:4" ht="15" x14ac:dyDescent="0.2">
      <c r="B1620" s="87" t="s">
        <v>2266</v>
      </c>
      <c r="C1620" s="88">
        <v>7750</v>
      </c>
      <c r="D1620" s="87" t="s">
        <v>5138</v>
      </c>
    </row>
    <row r="1621" spans="2:4" ht="15" x14ac:dyDescent="0.2">
      <c r="B1621" s="87" t="s">
        <v>2267</v>
      </c>
      <c r="C1621" s="88">
        <v>7750</v>
      </c>
      <c r="D1621" s="87" t="s">
        <v>5138</v>
      </c>
    </row>
    <row r="1622" spans="2:4" ht="15" x14ac:dyDescent="0.2">
      <c r="B1622" s="87" t="s">
        <v>2268</v>
      </c>
      <c r="C1622" s="88">
        <v>7750</v>
      </c>
      <c r="D1622" s="87" t="s">
        <v>5138</v>
      </c>
    </row>
    <row r="1623" spans="2:4" ht="15" x14ac:dyDescent="0.2">
      <c r="B1623" s="87" t="s">
        <v>2269</v>
      </c>
      <c r="C1623" s="88">
        <v>7730</v>
      </c>
      <c r="D1623" s="87" t="s">
        <v>5137</v>
      </c>
    </row>
    <row r="1624" spans="2:4" ht="15" x14ac:dyDescent="0.2">
      <c r="B1624" s="87" t="s">
        <v>2270</v>
      </c>
      <c r="C1624" s="88">
        <v>7730</v>
      </c>
      <c r="D1624" s="87" t="s">
        <v>5136</v>
      </c>
    </row>
    <row r="1625" spans="2:4" ht="15" x14ac:dyDescent="0.2">
      <c r="B1625" s="87" t="s">
        <v>2271</v>
      </c>
      <c r="C1625" s="88">
        <v>7730</v>
      </c>
      <c r="D1625" s="87" t="s">
        <v>5136</v>
      </c>
    </row>
    <row r="1626" spans="2:4" ht="15" x14ac:dyDescent="0.2">
      <c r="B1626" s="87" t="s">
        <v>2272</v>
      </c>
      <c r="C1626" s="88">
        <v>7730</v>
      </c>
      <c r="D1626" s="87" t="s">
        <v>5136</v>
      </c>
    </row>
    <row r="1627" spans="2:4" ht="15" x14ac:dyDescent="0.2">
      <c r="B1627" s="87" t="s">
        <v>2273</v>
      </c>
      <c r="C1627" s="88">
        <v>7720</v>
      </c>
      <c r="D1627" s="87" t="s">
        <v>5135</v>
      </c>
    </row>
    <row r="1628" spans="2:4" ht="15" x14ac:dyDescent="0.2">
      <c r="B1628" s="87" t="s">
        <v>2274</v>
      </c>
      <c r="C1628" s="88">
        <v>7700</v>
      </c>
      <c r="D1628" s="87" t="s">
        <v>5134</v>
      </c>
    </row>
    <row r="1629" spans="2:4" ht="15" x14ac:dyDescent="0.2">
      <c r="B1629" s="87" t="s">
        <v>2275</v>
      </c>
      <c r="C1629" s="88">
        <v>7700</v>
      </c>
      <c r="D1629" s="87" t="s">
        <v>5134</v>
      </c>
    </row>
    <row r="1630" spans="2:4" ht="15" x14ac:dyDescent="0.2">
      <c r="B1630" s="87" t="s">
        <v>2276</v>
      </c>
      <c r="C1630" s="88">
        <v>7680</v>
      </c>
      <c r="D1630" s="87" t="s">
        <v>5133</v>
      </c>
    </row>
    <row r="1631" spans="2:4" ht="15" x14ac:dyDescent="0.2">
      <c r="B1631" s="87" t="s">
        <v>2277</v>
      </c>
      <c r="C1631" s="88">
        <v>7680</v>
      </c>
      <c r="D1631" s="87" t="s">
        <v>5133</v>
      </c>
    </row>
    <row r="1632" spans="2:4" ht="15" x14ac:dyDescent="0.2">
      <c r="B1632" s="87" t="s">
        <v>2278</v>
      </c>
      <c r="C1632" s="88">
        <v>7670</v>
      </c>
      <c r="D1632" s="87" t="s">
        <v>5132</v>
      </c>
    </row>
    <row r="1633" spans="2:4" ht="15" x14ac:dyDescent="0.2">
      <c r="B1633" s="87" t="s">
        <v>2279</v>
      </c>
      <c r="C1633" s="88">
        <v>7670</v>
      </c>
      <c r="D1633" s="87" t="s">
        <v>5132</v>
      </c>
    </row>
    <row r="1634" spans="2:4" ht="15" x14ac:dyDescent="0.2">
      <c r="B1634" s="87" t="s">
        <v>2280</v>
      </c>
      <c r="C1634" s="88">
        <v>7670</v>
      </c>
      <c r="D1634" s="87" t="s">
        <v>5132</v>
      </c>
    </row>
    <row r="1635" spans="2:4" ht="15" x14ac:dyDescent="0.2">
      <c r="B1635" s="87" t="s">
        <v>2281</v>
      </c>
      <c r="C1635" s="88">
        <v>7650</v>
      </c>
      <c r="D1635" s="87" t="s">
        <v>5131</v>
      </c>
    </row>
    <row r="1636" spans="2:4" ht="15" x14ac:dyDescent="0.2">
      <c r="B1636" s="87" t="s">
        <v>2282</v>
      </c>
      <c r="C1636" s="88">
        <v>7650</v>
      </c>
      <c r="D1636" s="87" t="s">
        <v>5131</v>
      </c>
    </row>
    <row r="1637" spans="2:4" ht="15" x14ac:dyDescent="0.2">
      <c r="B1637" s="87" t="s">
        <v>2283</v>
      </c>
      <c r="C1637" s="88">
        <v>7640</v>
      </c>
      <c r="D1637" s="87" t="s">
        <v>5130</v>
      </c>
    </row>
    <row r="1638" spans="2:4" ht="15" x14ac:dyDescent="0.2">
      <c r="B1638" s="87" t="s">
        <v>2284</v>
      </c>
      <c r="C1638" s="88">
        <v>7640</v>
      </c>
      <c r="D1638" s="87" t="s">
        <v>5130</v>
      </c>
    </row>
    <row r="1639" spans="2:4" ht="15" x14ac:dyDescent="0.2">
      <c r="B1639" s="87" t="s">
        <v>2285</v>
      </c>
      <c r="C1639" s="88">
        <v>7640</v>
      </c>
      <c r="D1639" s="87" t="s">
        <v>5129</v>
      </c>
    </row>
    <row r="1640" spans="2:4" ht="15" x14ac:dyDescent="0.2">
      <c r="B1640" s="87" t="s">
        <v>2286</v>
      </c>
      <c r="C1640" s="88">
        <v>7640</v>
      </c>
      <c r="D1640" s="87" t="s">
        <v>5129</v>
      </c>
    </row>
    <row r="1641" spans="2:4" ht="15" x14ac:dyDescent="0.2">
      <c r="B1641" s="87" t="s">
        <v>2287</v>
      </c>
      <c r="C1641" s="88">
        <v>7620</v>
      </c>
      <c r="D1641" s="87" t="s">
        <v>5128</v>
      </c>
    </row>
    <row r="1642" spans="2:4" ht="15" x14ac:dyDescent="0.2">
      <c r="B1642" s="87" t="s">
        <v>2288</v>
      </c>
      <c r="C1642" s="88">
        <v>7620</v>
      </c>
      <c r="D1642" s="87" t="s">
        <v>5128</v>
      </c>
    </row>
    <row r="1643" spans="2:4" ht="15" x14ac:dyDescent="0.2">
      <c r="B1643" s="87" t="s">
        <v>2289</v>
      </c>
      <c r="C1643" s="88">
        <v>7600</v>
      </c>
      <c r="D1643" s="87" t="s">
        <v>5127</v>
      </c>
    </row>
    <row r="1644" spans="2:4" ht="15" x14ac:dyDescent="0.2">
      <c r="B1644" s="87" t="s">
        <v>2290</v>
      </c>
      <c r="C1644" s="88">
        <v>7600</v>
      </c>
      <c r="D1644" s="87" t="s">
        <v>5127</v>
      </c>
    </row>
    <row r="1645" spans="2:4" ht="15" x14ac:dyDescent="0.2">
      <c r="B1645" s="87" t="s">
        <v>2291</v>
      </c>
      <c r="C1645" s="88">
        <v>7590</v>
      </c>
      <c r="D1645" s="87" t="s">
        <v>5126</v>
      </c>
    </row>
    <row r="1646" spans="2:4" ht="15" x14ac:dyDescent="0.2">
      <c r="B1646" s="87" t="s">
        <v>2292</v>
      </c>
      <c r="C1646" s="88">
        <v>7590</v>
      </c>
      <c r="D1646" s="87" t="s">
        <v>5126</v>
      </c>
    </row>
    <row r="1647" spans="2:4" ht="15" x14ac:dyDescent="0.2">
      <c r="B1647" s="87" t="s">
        <v>2293</v>
      </c>
      <c r="C1647" s="88">
        <v>7590</v>
      </c>
      <c r="D1647" s="87" t="s">
        <v>5126</v>
      </c>
    </row>
    <row r="1648" spans="2:4" ht="15" x14ac:dyDescent="0.2">
      <c r="B1648" s="87" t="s">
        <v>2294</v>
      </c>
      <c r="C1648" s="88">
        <v>7570</v>
      </c>
      <c r="D1648" s="87" t="s">
        <v>5125</v>
      </c>
    </row>
    <row r="1649" spans="2:4" ht="15" x14ac:dyDescent="0.2">
      <c r="B1649" s="87" t="s">
        <v>2295</v>
      </c>
      <c r="C1649" s="88">
        <v>7570</v>
      </c>
      <c r="D1649" s="87" t="s">
        <v>5125</v>
      </c>
    </row>
    <row r="1650" spans="2:4" ht="15" x14ac:dyDescent="0.2">
      <c r="B1650" s="87" t="s">
        <v>2296</v>
      </c>
      <c r="C1650" s="88">
        <v>7570</v>
      </c>
      <c r="D1650" s="87" t="s">
        <v>5125</v>
      </c>
    </row>
    <row r="1651" spans="2:4" ht="15" x14ac:dyDescent="0.2">
      <c r="B1651" s="87" t="s">
        <v>2297</v>
      </c>
      <c r="C1651" s="88">
        <v>7550</v>
      </c>
      <c r="D1651" s="87" t="s">
        <v>5124</v>
      </c>
    </row>
    <row r="1652" spans="2:4" ht="15" x14ac:dyDescent="0.2">
      <c r="B1652" s="87" t="s">
        <v>2298</v>
      </c>
      <c r="C1652" s="88">
        <v>7550</v>
      </c>
      <c r="D1652" s="87" t="s">
        <v>5124</v>
      </c>
    </row>
    <row r="1653" spans="2:4" ht="15" x14ac:dyDescent="0.2">
      <c r="B1653" s="87" t="s">
        <v>2299</v>
      </c>
      <c r="C1653" s="88">
        <v>7550</v>
      </c>
      <c r="D1653" s="87" t="s">
        <v>5124</v>
      </c>
    </row>
    <row r="1654" spans="2:4" ht="15" x14ac:dyDescent="0.2">
      <c r="B1654" s="87" t="s">
        <v>2300</v>
      </c>
      <c r="C1654" s="88">
        <v>7550</v>
      </c>
      <c r="D1654" s="87" t="s">
        <v>5124</v>
      </c>
    </row>
    <row r="1655" spans="2:4" ht="15" x14ac:dyDescent="0.2">
      <c r="B1655" s="87" t="s">
        <v>2301</v>
      </c>
      <c r="C1655" s="88">
        <v>7540</v>
      </c>
      <c r="D1655" s="87" t="s">
        <v>5123</v>
      </c>
    </row>
    <row r="1656" spans="2:4" ht="15" x14ac:dyDescent="0.2">
      <c r="B1656" s="87" t="s">
        <v>2302</v>
      </c>
      <c r="C1656" s="88">
        <v>7540</v>
      </c>
      <c r="D1656" s="87" t="s">
        <v>5123</v>
      </c>
    </row>
    <row r="1657" spans="2:4" ht="15" x14ac:dyDescent="0.2">
      <c r="B1657" s="87" t="s">
        <v>2303</v>
      </c>
      <c r="C1657" s="88">
        <v>7540</v>
      </c>
      <c r="D1657" s="87" t="s">
        <v>5123</v>
      </c>
    </row>
    <row r="1658" spans="2:4" ht="15" x14ac:dyDescent="0.2">
      <c r="B1658" s="87" t="s">
        <v>2304</v>
      </c>
      <c r="C1658" s="88">
        <v>7540</v>
      </c>
      <c r="D1658" s="87" t="s">
        <v>5123</v>
      </c>
    </row>
    <row r="1659" spans="2:4" ht="15" x14ac:dyDescent="0.2">
      <c r="B1659" s="87" t="s">
        <v>2305</v>
      </c>
      <c r="C1659" s="88">
        <v>7540</v>
      </c>
      <c r="D1659" s="87" t="s">
        <v>5123</v>
      </c>
    </row>
    <row r="1660" spans="2:4" ht="15" x14ac:dyDescent="0.2">
      <c r="B1660" s="87" t="s">
        <v>2306</v>
      </c>
      <c r="C1660" s="88">
        <v>7540</v>
      </c>
      <c r="D1660" s="87" t="s">
        <v>5122</v>
      </c>
    </row>
    <row r="1661" spans="2:4" ht="15" x14ac:dyDescent="0.2">
      <c r="B1661" s="87" t="s">
        <v>2307</v>
      </c>
      <c r="C1661" s="88">
        <v>7540</v>
      </c>
      <c r="D1661" s="87" t="s">
        <v>5122</v>
      </c>
    </row>
    <row r="1662" spans="2:4" ht="15" x14ac:dyDescent="0.2">
      <c r="B1662" s="87" t="s">
        <v>2308</v>
      </c>
      <c r="C1662" s="88">
        <v>7540</v>
      </c>
      <c r="D1662" s="87" t="s">
        <v>5122</v>
      </c>
    </row>
    <row r="1663" spans="2:4" ht="15" x14ac:dyDescent="0.2">
      <c r="B1663" s="87" t="s">
        <v>2309</v>
      </c>
      <c r="C1663" s="88">
        <v>7540</v>
      </c>
      <c r="D1663" s="87" t="s">
        <v>5122</v>
      </c>
    </row>
    <row r="1664" spans="2:4" ht="15" x14ac:dyDescent="0.2">
      <c r="B1664" s="87" t="s">
        <v>2310</v>
      </c>
      <c r="C1664" s="88">
        <v>7540</v>
      </c>
      <c r="D1664" s="87" t="s">
        <v>5122</v>
      </c>
    </row>
    <row r="1665" spans="2:4" ht="15" x14ac:dyDescent="0.2">
      <c r="B1665" s="87" t="s">
        <v>2311</v>
      </c>
      <c r="C1665" s="88">
        <v>7520</v>
      </c>
      <c r="D1665" s="87" t="s">
        <v>5121</v>
      </c>
    </row>
    <row r="1666" spans="2:4" ht="15" x14ac:dyDescent="0.2">
      <c r="B1666" s="87" t="s">
        <v>2312</v>
      </c>
      <c r="C1666" s="88">
        <v>7520</v>
      </c>
      <c r="D1666" s="87" t="s">
        <v>5121</v>
      </c>
    </row>
    <row r="1667" spans="2:4" ht="15" x14ac:dyDescent="0.2">
      <c r="B1667" s="87" t="s">
        <v>2313</v>
      </c>
      <c r="C1667" s="88">
        <v>7510</v>
      </c>
      <c r="D1667" s="87" t="s">
        <v>5120</v>
      </c>
    </row>
    <row r="1668" spans="2:4" ht="15" x14ac:dyDescent="0.2">
      <c r="B1668" s="87" t="s">
        <v>2314</v>
      </c>
      <c r="C1668" s="88">
        <v>7510</v>
      </c>
      <c r="D1668" s="87" t="s">
        <v>5120</v>
      </c>
    </row>
    <row r="1669" spans="2:4" ht="15" x14ac:dyDescent="0.2">
      <c r="B1669" s="87" t="s">
        <v>2315</v>
      </c>
      <c r="C1669" s="88">
        <v>7510</v>
      </c>
      <c r="D1669" s="87" t="s">
        <v>5120</v>
      </c>
    </row>
    <row r="1670" spans="2:4" ht="15" x14ac:dyDescent="0.2">
      <c r="B1670" s="87" t="s">
        <v>2316</v>
      </c>
      <c r="C1670" s="88">
        <v>7510</v>
      </c>
      <c r="D1670" s="87" t="s">
        <v>5120</v>
      </c>
    </row>
    <row r="1671" spans="2:4" ht="15" x14ac:dyDescent="0.2">
      <c r="B1671" s="87" t="s">
        <v>2317</v>
      </c>
      <c r="C1671" s="88">
        <v>7510</v>
      </c>
      <c r="D1671" s="87" t="s">
        <v>5120</v>
      </c>
    </row>
    <row r="1672" spans="2:4" ht="15" x14ac:dyDescent="0.2">
      <c r="B1672" s="87" t="s">
        <v>2318</v>
      </c>
      <c r="C1672" s="88">
        <v>7510</v>
      </c>
      <c r="D1672" s="87" t="s">
        <v>5120</v>
      </c>
    </row>
    <row r="1673" spans="2:4" ht="15" x14ac:dyDescent="0.2">
      <c r="B1673" s="87" t="s">
        <v>2319</v>
      </c>
      <c r="C1673" s="88">
        <v>7490</v>
      </c>
      <c r="D1673" s="87" t="s">
        <v>5119</v>
      </c>
    </row>
    <row r="1674" spans="2:4" ht="15" x14ac:dyDescent="0.2">
      <c r="B1674" s="87" t="s">
        <v>2320</v>
      </c>
      <c r="C1674" s="88">
        <v>7490</v>
      </c>
      <c r="D1674" s="87" t="s">
        <v>5119</v>
      </c>
    </row>
    <row r="1675" spans="2:4" ht="15" x14ac:dyDescent="0.2">
      <c r="B1675" s="87" t="s">
        <v>2321</v>
      </c>
      <c r="C1675" s="88">
        <v>7490</v>
      </c>
      <c r="D1675" s="87" t="s">
        <v>5119</v>
      </c>
    </row>
    <row r="1676" spans="2:4" ht="15" x14ac:dyDescent="0.2">
      <c r="B1676" s="87" t="s">
        <v>2322</v>
      </c>
      <c r="C1676" s="88">
        <v>7490</v>
      </c>
      <c r="D1676" s="87" t="s">
        <v>5119</v>
      </c>
    </row>
    <row r="1677" spans="2:4" ht="15" x14ac:dyDescent="0.2">
      <c r="B1677" s="87" t="s">
        <v>2323</v>
      </c>
      <c r="C1677" s="88">
        <v>7470</v>
      </c>
      <c r="D1677" s="87" t="s">
        <v>5118</v>
      </c>
    </row>
    <row r="1678" spans="2:4" ht="15" x14ac:dyDescent="0.2">
      <c r="B1678" s="87" t="s">
        <v>2324</v>
      </c>
      <c r="C1678" s="88">
        <v>7470</v>
      </c>
      <c r="D1678" s="87" t="s">
        <v>5118</v>
      </c>
    </row>
    <row r="1679" spans="2:4" ht="15" x14ac:dyDescent="0.2">
      <c r="B1679" s="87" t="s">
        <v>2325</v>
      </c>
      <c r="C1679" s="88">
        <v>7470</v>
      </c>
      <c r="D1679" s="87" t="s">
        <v>5118</v>
      </c>
    </row>
    <row r="1680" spans="2:4" ht="15" x14ac:dyDescent="0.2">
      <c r="B1680" s="87" t="s">
        <v>2326</v>
      </c>
      <c r="C1680" s="88">
        <v>7470</v>
      </c>
      <c r="D1680" s="87" t="s">
        <v>5118</v>
      </c>
    </row>
    <row r="1681" spans="2:4" ht="15" x14ac:dyDescent="0.2">
      <c r="B1681" s="87" t="s">
        <v>2327</v>
      </c>
      <c r="C1681" s="88">
        <v>7460</v>
      </c>
      <c r="D1681" s="87" t="s">
        <v>5117</v>
      </c>
    </row>
    <row r="1682" spans="2:4" ht="15" x14ac:dyDescent="0.2">
      <c r="B1682" s="87" t="s">
        <v>2328</v>
      </c>
      <c r="C1682" s="88">
        <v>7460</v>
      </c>
      <c r="D1682" s="87" t="s">
        <v>5117</v>
      </c>
    </row>
    <row r="1683" spans="2:4" ht="15" x14ac:dyDescent="0.2">
      <c r="B1683" s="87" t="s">
        <v>2329</v>
      </c>
      <c r="C1683" s="88">
        <v>7460</v>
      </c>
      <c r="D1683" s="87" t="s">
        <v>5117</v>
      </c>
    </row>
    <row r="1684" spans="2:4" ht="15" x14ac:dyDescent="0.2">
      <c r="B1684" s="87" t="s">
        <v>2330</v>
      </c>
      <c r="C1684" s="88">
        <v>7440</v>
      </c>
      <c r="D1684" s="87" t="s">
        <v>5116</v>
      </c>
    </row>
    <row r="1685" spans="2:4" ht="15" x14ac:dyDescent="0.2">
      <c r="B1685" s="87" t="s">
        <v>2331</v>
      </c>
      <c r="C1685" s="88">
        <v>7440</v>
      </c>
      <c r="D1685" s="87" t="s">
        <v>5116</v>
      </c>
    </row>
    <row r="1686" spans="2:4" ht="15" x14ac:dyDescent="0.2">
      <c r="B1686" s="87" t="s">
        <v>2332</v>
      </c>
      <c r="C1686" s="88">
        <v>7440</v>
      </c>
      <c r="D1686" s="87" t="s">
        <v>5116</v>
      </c>
    </row>
    <row r="1687" spans="2:4" ht="15" x14ac:dyDescent="0.2">
      <c r="B1687" s="87" t="s">
        <v>2333</v>
      </c>
      <c r="C1687" s="88">
        <v>7440</v>
      </c>
      <c r="D1687" s="87" t="s">
        <v>5116</v>
      </c>
    </row>
    <row r="1688" spans="2:4" ht="15" x14ac:dyDescent="0.2">
      <c r="B1688" s="87" t="s">
        <v>2334</v>
      </c>
      <c r="C1688" s="88">
        <v>7440</v>
      </c>
      <c r="D1688" s="87" t="s">
        <v>5115</v>
      </c>
    </row>
    <row r="1689" spans="2:4" ht="15" x14ac:dyDescent="0.2">
      <c r="B1689" s="87" t="s">
        <v>2335</v>
      </c>
      <c r="C1689" s="88">
        <v>7440</v>
      </c>
      <c r="D1689" s="87" t="s">
        <v>5115</v>
      </c>
    </row>
    <row r="1690" spans="2:4" ht="15" x14ac:dyDescent="0.2">
      <c r="B1690" s="87" t="s">
        <v>2336</v>
      </c>
      <c r="C1690" s="88">
        <v>7440</v>
      </c>
      <c r="D1690" s="87" t="s">
        <v>5115</v>
      </c>
    </row>
    <row r="1691" spans="2:4" ht="15" x14ac:dyDescent="0.2">
      <c r="B1691" s="87" t="s">
        <v>2337</v>
      </c>
      <c r="C1691" s="88">
        <v>7430</v>
      </c>
      <c r="D1691" s="87" t="s">
        <v>5114</v>
      </c>
    </row>
    <row r="1692" spans="2:4" ht="15" x14ac:dyDescent="0.2">
      <c r="B1692" s="87" t="s">
        <v>2338</v>
      </c>
      <c r="C1692" s="88">
        <v>7430</v>
      </c>
      <c r="D1692" s="87" t="s">
        <v>5114</v>
      </c>
    </row>
    <row r="1693" spans="2:4" ht="15" x14ac:dyDescent="0.2">
      <c r="B1693" s="87" t="s">
        <v>2339</v>
      </c>
      <c r="C1693" s="88">
        <v>7430</v>
      </c>
      <c r="D1693" s="87" t="s">
        <v>5114</v>
      </c>
    </row>
    <row r="1694" spans="2:4" ht="15" x14ac:dyDescent="0.2">
      <c r="B1694" s="87" t="s">
        <v>2340</v>
      </c>
      <c r="C1694" s="88">
        <v>7410</v>
      </c>
      <c r="D1694" s="87" t="s">
        <v>5113</v>
      </c>
    </row>
    <row r="1695" spans="2:4" ht="15" x14ac:dyDescent="0.2">
      <c r="B1695" s="87" t="s">
        <v>2341</v>
      </c>
      <c r="C1695" s="88">
        <v>7410</v>
      </c>
      <c r="D1695" s="87" t="s">
        <v>5113</v>
      </c>
    </row>
    <row r="1696" spans="2:4" ht="15" x14ac:dyDescent="0.2">
      <c r="B1696" s="87" t="s">
        <v>2342</v>
      </c>
      <c r="C1696" s="88">
        <v>7390</v>
      </c>
      <c r="D1696" s="87" t="s">
        <v>5112</v>
      </c>
    </row>
    <row r="1697" spans="2:4" ht="15" x14ac:dyDescent="0.2">
      <c r="B1697" s="87" t="s">
        <v>2343</v>
      </c>
      <c r="C1697" s="88">
        <v>7390</v>
      </c>
      <c r="D1697" s="87" t="s">
        <v>5112</v>
      </c>
    </row>
    <row r="1698" spans="2:4" ht="15" x14ac:dyDescent="0.2">
      <c r="B1698" s="87" t="s">
        <v>2344</v>
      </c>
      <c r="C1698" s="88">
        <v>7380</v>
      </c>
      <c r="D1698" s="87" t="s">
        <v>5111</v>
      </c>
    </row>
    <row r="1699" spans="2:4" ht="15" x14ac:dyDescent="0.2">
      <c r="B1699" s="87" t="s">
        <v>2345</v>
      </c>
      <c r="C1699" s="88">
        <v>7380</v>
      </c>
      <c r="D1699" s="87" t="s">
        <v>5111</v>
      </c>
    </row>
    <row r="1700" spans="2:4" ht="15" x14ac:dyDescent="0.2">
      <c r="B1700" s="87" t="s">
        <v>2346</v>
      </c>
      <c r="C1700" s="88">
        <v>7360</v>
      </c>
      <c r="D1700" s="87" t="s">
        <v>5110</v>
      </c>
    </row>
    <row r="1701" spans="2:4" ht="15" x14ac:dyDescent="0.2">
      <c r="B1701" s="87" t="s">
        <v>2347</v>
      </c>
      <c r="C1701" s="88">
        <v>7360</v>
      </c>
      <c r="D1701" s="87" t="s">
        <v>5110</v>
      </c>
    </row>
    <row r="1702" spans="2:4" ht="15" x14ac:dyDescent="0.2">
      <c r="B1702" s="87" t="s">
        <v>2348</v>
      </c>
      <c r="C1702" s="88">
        <v>7360</v>
      </c>
      <c r="D1702" s="87" t="s">
        <v>5109</v>
      </c>
    </row>
    <row r="1703" spans="2:4" ht="15" x14ac:dyDescent="0.2">
      <c r="B1703" s="87" t="s">
        <v>2349</v>
      </c>
      <c r="C1703" s="88">
        <v>7340</v>
      </c>
      <c r="D1703" s="87" t="s">
        <v>5108</v>
      </c>
    </row>
    <row r="1704" spans="2:4" ht="15" x14ac:dyDescent="0.2">
      <c r="B1704" s="87" t="s">
        <v>2350</v>
      </c>
      <c r="C1704" s="88">
        <v>7340</v>
      </c>
      <c r="D1704" s="87" t="s">
        <v>5108</v>
      </c>
    </row>
    <row r="1705" spans="2:4" ht="15" x14ac:dyDescent="0.2">
      <c r="B1705" s="87" t="s">
        <v>2351</v>
      </c>
      <c r="C1705" s="88">
        <v>7330</v>
      </c>
      <c r="D1705" s="87" t="s">
        <v>5107</v>
      </c>
    </row>
    <row r="1706" spans="2:4" ht="15" x14ac:dyDescent="0.2">
      <c r="B1706" s="87" t="s">
        <v>2352</v>
      </c>
      <c r="C1706" s="88">
        <v>7330</v>
      </c>
      <c r="D1706" s="87" t="s">
        <v>5107</v>
      </c>
    </row>
    <row r="1707" spans="2:4" ht="15" x14ac:dyDescent="0.2">
      <c r="B1707" s="87" t="s">
        <v>2353</v>
      </c>
      <c r="C1707" s="88">
        <v>7310</v>
      </c>
      <c r="D1707" s="87" t="s">
        <v>5106</v>
      </c>
    </row>
    <row r="1708" spans="2:4" ht="15" x14ac:dyDescent="0.2">
      <c r="B1708" s="87" t="s">
        <v>2354</v>
      </c>
      <c r="C1708" s="88">
        <v>7310</v>
      </c>
      <c r="D1708" s="87" t="s">
        <v>5106</v>
      </c>
    </row>
    <row r="1709" spans="2:4" ht="15" x14ac:dyDescent="0.2">
      <c r="B1709" s="87" t="s">
        <v>2355</v>
      </c>
      <c r="C1709" s="88">
        <v>7300</v>
      </c>
      <c r="D1709" s="87" t="s">
        <v>5105</v>
      </c>
    </row>
    <row r="1710" spans="2:4" ht="15" x14ac:dyDescent="0.2">
      <c r="B1710" s="87" t="s">
        <v>2356</v>
      </c>
      <c r="C1710" s="88">
        <v>7280</v>
      </c>
      <c r="D1710" s="87" t="s">
        <v>5104</v>
      </c>
    </row>
    <row r="1711" spans="2:4" ht="15" x14ac:dyDescent="0.2">
      <c r="B1711" s="87" t="s">
        <v>2357</v>
      </c>
      <c r="C1711" s="88">
        <v>7280</v>
      </c>
      <c r="D1711" s="87" t="s">
        <v>5104</v>
      </c>
    </row>
    <row r="1712" spans="2:4" ht="15" x14ac:dyDescent="0.2">
      <c r="B1712" s="87" t="s">
        <v>2358</v>
      </c>
      <c r="C1712" s="88">
        <v>7260</v>
      </c>
      <c r="D1712" s="87" t="s">
        <v>5103</v>
      </c>
    </row>
    <row r="1713" spans="2:4" ht="15" x14ac:dyDescent="0.2">
      <c r="B1713" s="87" t="s">
        <v>2359</v>
      </c>
      <c r="C1713" s="88">
        <v>7260</v>
      </c>
      <c r="D1713" s="87" t="s">
        <v>5103</v>
      </c>
    </row>
    <row r="1714" spans="2:4" ht="15" x14ac:dyDescent="0.2">
      <c r="B1714" s="87" t="s">
        <v>2360</v>
      </c>
      <c r="C1714" s="88">
        <v>7260</v>
      </c>
      <c r="D1714" s="87" t="s">
        <v>5102</v>
      </c>
    </row>
    <row r="1715" spans="2:4" ht="15" x14ac:dyDescent="0.2">
      <c r="B1715" s="87" t="s">
        <v>2361</v>
      </c>
      <c r="C1715" s="88">
        <v>7250</v>
      </c>
      <c r="D1715" s="87" t="s">
        <v>5101</v>
      </c>
    </row>
    <row r="1716" spans="2:4" ht="15" x14ac:dyDescent="0.2">
      <c r="B1716" s="87" t="s">
        <v>2362</v>
      </c>
      <c r="C1716" s="88">
        <v>7250</v>
      </c>
      <c r="D1716" s="87" t="s">
        <v>5101</v>
      </c>
    </row>
    <row r="1717" spans="2:4" ht="15" x14ac:dyDescent="0.2">
      <c r="B1717" s="87" t="s">
        <v>2363</v>
      </c>
      <c r="C1717" s="88">
        <v>7230</v>
      </c>
      <c r="D1717" s="87" t="s">
        <v>5100</v>
      </c>
    </row>
    <row r="1718" spans="2:4" ht="15" x14ac:dyDescent="0.2">
      <c r="B1718" s="87" t="s">
        <v>2364</v>
      </c>
      <c r="C1718" s="88">
        <v>7220</v>
      </c>
      <c r="D1718" s="87" t="s">
        <v>5099</v>
      </c>
    </row>
    <row r="1719" spans="2:4" ht="15" x14ac:dyDescent="0.2">
      <c r="B1719" s="87" t="s">
        <v>2365</v>
      </c>
      <c r="C1719" s="88">
        <v>7220</v>
      </c>
      <c r="D1719" s="87" t="s">
        <v>5099</v>
      </c>
    </row>
    <row r="1720" spans="2:4" ht="15" x14ac:dyDescent="0.2">
      <c r="B1720" s="87" t="s">
        <v>2366</v>
      </c>
      <c r="C1720" s="88">
        <v>7200</v>
      </c>
      <c r="D1720" s="87" t="s">
        <v>5098</v>
      </c>
    </row>
    <row r="1721" spans="2:4" ht="15" x14ac:dyDescent="0.2">
      <c r="B1721" s="87" t="s">
        <v>2367</v>
      </c>
      <c r="C1721" s="88">
        <v>7190</v>
      </c>
      <c r="D1721" s="87" t="s">
        <v>5097</v>
      </c>
    </row>
    <row r="1722" spans="2:4" ht="15" x14ac:dyDescent="0.2">
      <c r="B1722" s="87" t="s">
        <v>2368</v>
      </c>
      <c r="C1722" s="88">
        <v>7190</v>
      </c>
      <c r="D1722" s="87" t="s">
        <v>5097</v>
      </c>
    </row>
    <row r="1723" spans="2:4" ht="15" x14ac:dyDescent="0.2">
      <c r="B1723" s="87" t="s">
        <v>2369</v>
      </c>
      <c r="C1723" s="88">
        <v>7170</v>
      </c>
      <c r="D1723" s="87" t="s">
        <v>5096</v>
      </c>
    </row>
    <row r="1724" spans="2:4" ht="15" x14ac:dyDescent="0.2">
      <c r="B1724" s="87" t="s">
        <v>2370</v>
      </c>
      <c r="C1724" s="88">
        <v>7170</v>
      </c>
      <c r="D1724" s="87" t="s">
        <v>5095</v>
      </c>
    </row>
    <row r="1725" spans="2:4" ht="15" x14ac:dyDescent="0.2">
      <c r="B1725" s="87" t="s">
        <v>2371</v>
      </c>
      <c r="C1725" s="88">
        <v>7170</v>
      </c>
      <c r="D1725" s="87" t="s">
        <v>5095</v>
      </c>
    </row>
    <row r="1726" spans="2:4" ht="15" x14ac:dyDescent="0.2">
      <c r="B1726" s="87" t="s">
        <v>2372</v>
      </c>
      <c r="C1726" s="88">
        <v>7150</v>
      </c>
      <c r="D1726" s="87" t="s">
        <v>5094</v>
      </c>
    </row>
    <row r="1727" spans="2:4" ht="15" x14ac:dyDescent="0.2">
      <c r="B1727" s="87" t="s">
        <v>2373</v>
      </c>
      <c r="C1727" s="88">
        <v>7140</v>
      </c>
      <c r="D1727" s="87" t="s">
        <v>5093</v>
      </c>
    </row>
    <row r="1728" spans="2:4" ht="15" x14ac:dyDescent="0.2">
      <c r="B1728" s="87" t="s">
        <v>2374</v>
      </c>
      <c r="C1728" s="88">
        <v>7140</v>
      </c>
      <c r="D1728" s="87" t="s">
        <v>5093</v>
      </c>
    </row>
    <row r="1729" spans="2:4" ht="15" x14ac:dyDescent="0.2">
      <c r="B1729" s="87" t="s">
        <v>2375</v>
      </c>
      <c r="C1729" s="88">
        <v>7120</v>
      </c>
      <c r="D1729" s="87" t="s">
        <v>5092</v>
      </c>
    </row>
    <row r="1730" spans="2:4" ht="15" x14ac:dyDescent="0.2">
      <c r="B1730" s="87" t="s">
        <v>2376</v>
      </c>
      <c r="C1730" s="88">
        <v>7120</v>
      </c>
      <c r="D1730" s="87" t="s">
        <v>5092</v>
      </c>
    </row>
    <row r="1731" spans="2:4" ht="15" x14ac:dyDescent="0.2">
      <c r="B1731" s="87" t="s">
        <v>2377</v>
      </c>
      <c r="C1731" s="88">
        <v>7110</v>
      </c>
      <c r="D1731" s="87" t="s">
        <v>5091</v>
      </c>
    </row>
    <row r="1732" spans="2:4" ht="15" x14ac:dyDescent="0.2">
      <c r="B1732" s="87" t="s">
        <v>2378</v>
      </c>
      <c r="C1732" s="88">
        <v>7090</v>
      </c>
      <c r="D1732" s="87" t="s">
        <v>5090</v>
      </c>
    </row>
    <row r="1733" spans="2:4" ht="15" x14ac:dyDescent="0.2">
      <c r="B1733" s="87" t="s">
        <v>2379</v>
      </c>
      <c r="C1733" s="88">
        <v>7090</v>
      </c>
      <c r="D1733" s="87" t="s">
        <v>5090</v>
      </c>
    </row>
    <row r="1734" spans="2:4" ht="15" x14ac:dyDescent="0.2">
      <c r="B1734" s="87" t="s">
        <v>2380</v>
      </c>
      <c r="C1734" s="88">
        <v>7070</v>
      </c>
      <c r="D1734" s="87" t="s">
        <v>5089</v>
      </c>
    </row>
    <row r="1735" spans="2:4" ht="15" x14ac:dyDescent="0.2">
      <c r="B1735" s="87" t="s">
        <v>2381</v>
      </c>
      <c r="C1735" s="88">
        <v>7070</v>
      </c>
      <c r="D1735" s="87" t="s">
        <v>5089</v>
      </c>
    </row>
    <row r="1736" spans="2:4" ht="15" x14ac:dyDescent="0.2">
      <c r="B1736" s="87" t="s">
        <v>2382</v>
      </c>
      <c r="C1736" s="88">
        <v>7070</v>
      </c>
      <c r="D1736" s="87" t="s">
        <v>5088</v>
      </c>
    </row>
    <row r="1737" spans="2:4" ht="15" x14ac:dyDescent="0.2">
      <c r="B1737" s="87" t="s">
        <v>2383</v>
      </c>
      <c r="C1737" s="88">
        <v>7070</v>
      </c>
      <c r="D1737" s="87" t="s">
        <v>5088</v>
      </c>
    </row>
    <row r="1738" spans="2:4" ht="15" x14ac:dyDescent="0.2">
      <c r="B1738" s="87" t="s">
        <v>2384</v>
      </c>
      <c r="C1738" s="88">
        <v>7070</v>
      </c>
      <c r="D1738" s="87" t="s">
        <v>5088</v>
      </c>
    </row>
    <row r="1739" spans="2:4" ht="15" x14ac:dyDescent="0.2">
      <c r="B1739" s="87" t="s">
        <v>2385</v>
      </c>
      <c r="C1739" s="88">
        <v>7060</v>
      </c>
      <c r="D1739" s="87" t="s">
        <v>5087</v>
      </c>
    </row>
    <row r="1740" spans="2:4" ht="15" x14ac:dyDescent="0.2">
      <c r="B1740" s="87" t="s">
        <v>2386</v>
      </c>
      <c r="C1740" s="88">
        <v>7060</v>
      </c>
      <c r="D1740" s="87" t="s">
        <v>5087</v>
      </c>
    </row>
    <row r="1741" spans="2:4" ht="15" x14ac:dyDescent="0.2">
      <c r="B1741" s="87" t="s">
        <v>2387</v>
      </c>
      <c r="C1741" s="88">
        <v>7060</v>
      </c>
      <c r="D1741" s="87" t="s">
        <v>5087</v>
      </c>
    </row>
    <row r="1742" spans="2:4" ht="15" x14ac:dyDescent="0.2">
      <c r="B1742" s="87" t="s">
        <v>2388</v>
      </c>
      <c r="C1742" s="88">
        <v>7040</v>
      </c>
      <c r="D1742" s="87" t="s">
        <v>5086</v>
      </c>
    </row>
    <row r="1743" spans="2:4" ht="15" x14ac:dyDescent="0.2">
      <c r="B1743" s="87" t="s">
        <v>2389</v>
      </c>
      <c r="C1743" s="88">
        <v>7040</v>
      </c>
      <c r="D1743" s="87" t="s">
        <v>5086</v>
      </c>
    </row>
    <row r="1744" spans="2:4" ht="15" x14ac:dyDescent="0.2">
      <c r="B1744" s="87" t="s">
        <v>2390</v>
      </c>
      <c r="C1744" s="88">
        <v>7040</v>
      </c>
      <c r="D1744" s="87" t="s">
        <v>5086</v>
      </c>
    </row>
    <row r="1745" spans="2:4" ht="15" x14ac:dyDescent="0.2">
      <c r="B1745" s="87" t="s">
        <v>2391</v>
      </c>
      <c r="C1745" s="88">
        <v>7040</v>
      </c>
      <c r="D1745" s="87" t="s">
        <v>5086</v>
      </c>
    </row>
    <row r="1746" spans="2:4" ht="15" x14ac:dyDescent="0.2">
      <c r="B1746" s="87" t="s">
        <v>2392</v>
      </c>
      <c r="C1746" s="88">
        <v>7030</v>
      </c>
      <c r="D1746" s="87" t="s">
        <v>5085</v>
      </c>
    </row>
    <row r="1747" spans="2:4" ht="15" x14ac:dyDescent="0.2">
      <c r="B1747" s="87" t="s">
        <v>2393</v>
      </c>
      <c r="C1747" s="88">
        <v>7030</v>
      </c>
      <c r="D1747" s="87" t="s">
        <v>5085</v>
      </c>
    </row>
    <row r="1748" spans="2:4" ht="15" x14ac:dyDescent="0.2">
      <c r="B1748" s="87" t="s">
        <v>2394</v>
      </c>
      <c r="C1748" s="88">
        <v>7030</v>
      </c>
      <c r="D1748" s="87" t="s">
        <v>5085</v>
      </c>
    </row>
    <row r="1749" spans="2:4" ht="15" x14ac:dyDescent="0.2">
      <c r="B1749" s="87" t="s">
        <v>2395</v>
      </c>
      <c r="C1749" s="88">
        <v>7030</v>
      </c>
      <c r="D1749" s="87" t="s">
        <v>5085</v>
      </c>
    </row>
    <row r="1750" spans="2:4" ht="15" x14ac:dyDescent="0.2">
      <c r="B1750" s="87" t="s">
        <v>2396</v>
      </c>
      <c r="C1750" s="88">
        <v>7010</v>
      </c>
      <c r="D1750" s="87" t="s">
        <v>5084</v>
      </c>
    </row>
    <row r="1751" spans="2:4" ht="15" x14ac:dyDescent="0.2">
      <c r="B1751" s="87" t="s">
        <v>2397</v>
      </c>
      <c r="C1751" s="88">
        <v>7010</v>
      </c>
      <c r="D1751" s="87" t="s">
        <v>5084</v>
      </c>
    </row>
    <row r="1752" spans="2:4" ht="15" x14ac:dyDescent="0.2">
      <c r="B1752" s="87" t="s">
        <v>2398</v>
      </c>
      <c r="C1752" s="88">
        <v>7010</v>
      </c>
      <c r="D1752" s="87" t="s">
        <v>5084</v>
      </c>
    </row>
    <row r="1753" spans="2:4" ht="15" x14ac:dyDescent="0.2">
      <c r="B1753" s="87" t="s">
        <v>2399</v>
      </c>
      <c r="C1753" s="88">
        <v>7010</v>
      </c>
      <c r="D1753" s="87" t="s">
        <v>5084</v>
      </c>
    </row>
    <row r="1754" spans="2:4" ht="15" x14ac:dyDescent="0.2">
      <c r="B1754" s="87" t="s">
        <v>2400</v>
      </c>
      <c r="C1754" s="88">
        <v>6990</v>
      </c>
      <c r="D1754" s="87" t="s">
        <v>5083</v>
      </c>
    </row>
    <row r="1755" spans="2:4" ht="15" x14ac:dyDescent="0.2">
      <c r="B1755" s="87" t="s">
        <v>2401</v>
      </c>
      <c r="C1755" s="88">
        <v>6990</v>
      </c>
      <c r="D1755" s="87" t="s">
        <v>5083</v>
      </c>
    </row>
    <row r="1756" spans="2:4" ht="15" x14ac:dyDescent="0.2">
      <c r="B1756" s="87" t="s">
        <v>2402</v>
      </c>
      <c r="C1756" s="88">
        <v>6990</v>
      </c>
      <c r="D1756" s="87" t="s">
        <v>5083</v>
      </c>
    </row>
    <row r="1757" spans="2:4" ht="15" x14ac:dyDescent="0.2">
      <c r="B1757" s="87" t="s">
        <v>2403</v>
      </c>
      <c r="C1757" s="88">
        <v>6980</v>
      </c>
      <c r="D1757" s="87" t="s">
        <v>5082</v>
      </c>
    </row>
    <row r="1758" spans="2:4" ht="15" x14ac:dyDescent="0.2">
      <c r="B1758" s="87" t="s">
        <v>2404</v>
      </c>
      <c r="C1758" s="88">
        <v>6980</v>
      </c>
      <c r="D1758" s="87" t="s">
        <v>5082</v>
      </c>
    </row>
    <row r="1759" spans="2:4" ht="15" x14ac:dyDescent="0.2">
      <c r="B1759" s="87" t="s">
        <v>2405</v>
      </c>
      <c r="C1759" s="88">
        <v>6980</v>
      </c>
      <c r="D1759" s="87" t="s">
        <v>5081</v>
      </c>
    </row>
    <row r="1760" spans="2:4" ht="15" x14ac:dyDescent="0.2">
      <c r="B1760" s="87" t="s">
        <v>2406</v>
      </c>
      <c r="C1760" s="88">
        <v>6980</v>
      </c>
      <c r="D1760" s="87" t="s">
        <v>5081</v>
      </c>
    </row>
    <row r="1761" spans="2:4" ht="15" x14ac:dyDescent="0.2">
      <c r="B1761" s="87" t="s">
        <v>2407</v>
      </c>
      <c r="C1761" s="88">
        <v>6980</v>
      </c>
      <c r="D1761" s="87" t="s">
        <v>5081</v>
      </c>
    </row>
    <row r="1762" spans="2:4" ht="15" x14ac:dyDescent="0.2">
      <c r="B1762" s="87" t="s">
        <v>2408</v>
      </c>
      <c r="C1762" s="88">
        <v>6960</v>
      </c>
      <c r="D1762" s="87" t="s">
        <v>5080</v>
      </c>
    </row>
    <row r="1763" spans="2:4" ht="15" x14ac:dyDescent="0.2">
      <c r="B1763" s="87" t="s">
        <v>2409</v>
      </c>
      <c r="C1763" s="88">
        <v>6960</v>
      </c>
      <c r="D1763" s="87" t="s">
        <v>5080</v>
      </c>
    </row>
    <row r="1764" spans="2:4" ht="15" x14ac:dyDescent="0.2">
      <c r="B1764" s="87" t="s">
        <v>2410</v>
      </c>
      <c r="C1764" s="88">
        <v>6950</v>
      </c>
      <c r="D1764" s="87" t="s">
        <v>5079</v>
      </c>
    </row>
    <row r="1765" spans="2:4" ht="15" x14ac:dyDescent="0.2">
      <c r="B1765" s="87" t="s">
        <v>2411</v>
      </c>
      <c r="C1765" s="88">
        <v>6950</v>
      </c>
      <c r="D1765" s="87" t="s">
        <v>5079</v>
      </c>
    </row>
    <row r="1766" spans="2:4" ht="15" x14ac:dyDescent="0.2">
      <c r="B1766" s="87" t="s">
        <v>2412</v>
      </c>
      <c r="C1766" s="88">
        <v>6950</v>
      </c>
      <c r="D1766" s="87" t="s">
        <v>5079</v>
      </c>
    </row>
    <row r="1767" spans="2:4" ht="15" x14ac:dyDescent="0.2">
      <c r="B1767" s="87" t="s">
        <v>2413</v>
      </c>
      <c r="C1767" s="88">
        <v>6950</v>
      </c>
      <c r="D1767" s="87" t="s">
        <v>5079</v>
      </c>
    </row>
    <row r="1768" spans="2:4" ht="15" x14ac:dyDescent="0.2">
      <c r="B1768" s="87" t="s">
        <v>2414</v>
      </c>
      <c r="C1768" s="88">
        <v>6930</v>
      </c>
      <c r="D1768" s="87" t="s">
        <v>5078</v>
      </c>
    </row>
    <row r="1769" spans="2:4" ht="15" x14ac:dyDescent="0.2">
      <c r="B1769" s="87" t="s">
        <v>2415</v>
      </c>
      <c r="C1769" s="88">
        <v>6930</v>
      </c>
      <c r="D1769" s="87" t="s">
        <v>5078</v>
      </c>
    </row>
    <row r="1770" spans="2:4" ht="15" x14ac:dyDescent="0.2">
      <c r="B1770" s="87" t="s">
        <v>2416</v>
      </c>
      <c r="C1770" s="88">
        <v>6930</v>
      </c>
      <c r="D1770" s="87" t="s">
        <v>5078</v>
      </c>
    </row>
    <row r="1771" spans="2:4" ht="15" x14ac:dyDescent="0.2">
      <c r="B1771" s="87" t="s">
        <v>2417</v>
      </c>
      <c r="C1771" s="88">
        <v>6930</v>
      </c>
      <c r="D1771" s="87" t="s">
        <v>5078</v>
      </c>
    </row>
    <row r="1772" spans="2:4" ht="15" x14ac:dyDescent="0.2">
      <c r="B1772" s="87" t="s">
        <v>2418</v>
      </c>
      <c r="C1772" s="88">
        <v>6920</v>
      </c>
      <c r="D1772" s="87" t="s">
        <v>5077</v>
      </c>
    </row>
    <row r="1773" spans="2:4" ht="15" x14ac:dyDescent="0.2">
      <c r="B1773" s="87" t="s">
        <v>2419</v>
      </c>
      <c r="C1773" s="88">
        <v>6920</v>
      </c>
      <c r="D1773" s="87" t="s">
        <v>5077</v>
      </c>
    </row>
    <row r="1774" spans="2:4" ht="15" x14ac:dyDescent="0.2">
      <c r="B1774" s="87" t="s">
        <v>2420</v>
      </c>
      <c r="C1774" s="88">
        <v>6920</v>
      </c>
      <c r="D1774" s="87" t="s">
        <v>5077</v>
      </c>
    </row>
    <row r="1775" spans="2:4" ht="15" x14ac:dyDescent="0.2">
      <c r="B1775" s="87" t="s">
        <v>2421</v>
      </c>
      <c r="C1775" s="88">
        <v>6920</v>
      </c>
      <c r="D1775" s="87" t="s">
        <v>5077</v>
      </c>
    </row>
    <row r="1776" spans="2:4" ht="15" x14ac:dyDescent="0.2">
      <c r="B1776" s="87" t="s">
        <v>2422</v>
      </c>
      <c r="C1776" s="88">
        <v>6900</v>
      </c>
      <c r="D1776" s="87" t="s">
        <v>5076</v>
      </c>
    </row>
    <row r="1777" spans="2:4" ht="15" x14ac:dyDescent="0.2">
      <c r="B1777" s="87" t="s">
        <v>2423</v>
      </c>
      <c r="C1777" s="88">
        <v>6900</v>
      </c>
      <c r="D1777" s="87" t="s">
        <v>5076</v>
      </c>
    </row>
    <row r="1778" spans="2:4" ht="15" x14ac:dyDescent="0.2">
      <c r="B1778" s="87" t="s">
        <v>2424</v>
      </c>
      <c r="C1778" s="88">
        <v>6900</v>
      </c>
      <c r="D1778" s="87" t="s">
        <v>5076</v>
      </c>
    </row>
    <row r="1779" spans="2:4" ht="15" x14ac:dyDescent="0.2">
      <c r="B1779" s="87" t="s">
        <v>2425</v>
      </c>
      <c r="C1779" s="88">
        <v>6900</v>
      </c>
      <c r="D1779" s="87" t="s">
        <v>5076</v>
      </c>
    </row>
    <row r="1780" spans="2:4" ht="15" x14ac:dyDescent="0.2">
      <c r="B1780" s="87" t="s">
        <v>2426</v>
      </c>
      <c r="C1780" s="88">
        <v>6900</v>
      </c>
      <c r="D1780" s="87" t="s">
        <v>5076</v>
      </c>
    </row>
    <row r="1781" spans="2:4" ht="15" x14ac:dyDescent="0.2">
      <c r="B1781" s="87" t="s">
        <v>2427</v>
      </c>
      <c r="C1781" s="88">
        <v>6900</v>
      </c>
      <c r="D1781" s="87" t="s">
        <v>5076</v>
      </c>
    </row>
    <row r="1782" spans="2:4" ht="15" x14ac:dyDescent="0.2">
      <c r="B1782" s="87" t="s">
        <v>2428</v>
      </c>
      <c r="C1782" s="88">
        <v>6900</v>
      </c>
      <c r="D1782" s="87" t="s">
        <v>5076</v>
      </c>
    </row>
    <row r="1783" spans="2:4" ht="15" x14ac:dyDescent="0.2">
      <c r="B1783" s="87" t="s">
        <v>2429</v>
      </c>
      <c r="C1783" s="88">
        <v>6900</v>
      </c>
      <c r="D1783" s="87" t="s">
        <v>5076</v>
      </c>
    </row>
    <row r="1784" spans="2:4" ht="15" x14ac:dyDescent="0.2">
      <c r="B1784" s="87" t="s">
        <v>2430</v>
      </c>
      <c r="C1784" s="88">
        <v>6880</v>
      </c>
      <c r="D1784" s="87" t="s">
        <v>5075</v>
      </c>
    </row>
    <row r="1785" spans="2:4" ht="15" x14ac:dyDescent="0.2">
      <c r="B1785" s="87" t="s">
        <v>2431</v>
      </c>
      <c r="C1785" s="88">
        <v>6880</v>
      </c>
      <c r="D1785" s="87" t="s">
        <v>5075</v>
      </c>
    </row>
    <row r="1786" spans="2:4" ht="15" x14ac:dyDescent="0.2">
      <c r="B1786" s="87" t="s">
        <v>2432</v>
      </c>
      <c r="C1786" s="88">
        <v>6880</v>
      </c>
      <c r="D1786" s="87" t="s">
        <v>5075</v>
      </c>
    </row>
    <row r="1787" spans="2:4" ht="15" x14ac:dyDescent="0.2">
      <c r="B1787" s="87" t="s">
        <v>2433</v>
      </c>
      <c r="C1787" s="88">
        <v>6880</v>
      </c>
      <c r="D1787" s="87" t="s">
        <v>5075</v>
      </c>
    </row>
    <row r="1788" spans="2:4" ht="15" x14ac:dyDescent="0.2">
      <c r="B1788" s="87" t="s">
        <v>2434</v>
      </c>
      <c r="C1788" s="88">
        <v>6880</v>
      </c>
      <c r="D1788" s="87" t="s">
        <v>5143</v>
      </c>
    </row>
    <row r="1789" spans="2:4" ht="15" x14ac:dyDescent="0.2">
      <c r="B1789" s="87" t="s">
        <v>2435</v>
      </c>
      <c r="C1789" s="88">
        <v>6880</v>
      </c>
      <c r="D1789" s="87" t="s">
        <v>5143</v>
      </c>
    </row>
    <row r="1790" spans="2:4" ht="15" x14ac:dyDescent="0.2">
      <c r="B1790" s="87" t="s">
        <v>2436</v>
      </c>
      <c r="C1790" s="88">
        <v>6880</v>
      </c>
      <c r="D1790" s="87" t="s">
        <v>5143</v>
      </c>
    </row>
    <row r="1791" spans="2:4" ht="15" x14ac:dyDescent="0.2">
      <c r="B1791" s="87" t="s">
        <v>2437</v>
      </c>
      <c r="C1791" s="88">
        <v>6870</v>
      </c>
      <c r="D1791" s="87" t="s">
        <v>5074</v>
      </c>
    </row>
    <row r="1792" spans="2:4" ht="15" x14ac:dyDescent="0.2">
      <c r="B1792" s="87" t="s">
        <v>2438</v>
      </c>
      <c r="C1792" s="88">
        <v>6870</v>
      </c>
      <c r="D1792" s="87" t="s">
        <v>5074</v>
      </c>
    </row>
    <row r="1793" spans="2:4" ht="15" x14ac:dyDescent="0.2">
      <c r="B1793" s="87" t="s">
        <v>2439</v>
      </c>
      <c r="C1793" s="88">
        <v>6850</v>
      </c>
      <c r="D1793" s="87" t="s">
        <v>5073</v>
      </c>
    </row>
    <row r="1794" spans="2:4" ht="15" x14ac:dyDescent="0.2">
      <c r="B1794" s="87" t="s">
        <v>2440</v>
      </c>
      <c r="C1794" s="88">
        <v>6850</v>
      </c>
      <c r="D1794" s="87" t="s">
        <v>5073</v>
      </c>
    </row>
    <row r="1795" spans="2:4" ht="15" x14ac:dyDescent="0.2">
      <c r="B1795" s="87" t="s">
        <v>2441</v>
      </c>
      <c r="C1795" s="88">
        <v>6850</v>
      </c>
      <c r="D1795" s="87" t="s">
        <v>5073</v>
      </c>
    </row>
    <row r="1796" spans="2:4" ht="15" x14ac:dyDescent="0.2">
      <c r="B1796" s="87" t="s">
        <v>2442</v>
      </c>
      <c r="C1796" s="88">
        <v>6840</v>
      </c>
      <c r="D1796" s="87" t="s">
        <v>5072</v>
      </c>
    </row>
    <row r="1797" spans="2:4" ht="15" x14ac:dyDescent="0.2">
      <c r="B1797" s="87" t="s">
        <v>2443</v>
      </c>
      <c r="C1797" s="88">
        <v>6820</v>
      </c>
      <c r="D1797" s="87" t="s">
        <v>5071</v>
      </c>
    </row>
    <row r="1798" spans="2:4" ht="15" x14ac:dyDescent="0.2">
      <c r="B1798" s="87" t="s">
        <v>2444</v>
      </c>
      <c r="C1798" s="88">
        <v>6820</v>
      </c>
      <c r="D1798" s="87" t="s">
        <v>5071</v>
      </c>
    </row>
    <row r="1799" spans="2:4" ht="15" x14ac:dyDescent="0.2">
      <c r="B1799" s="87" t="s">
        <v>2445</v>
      </c>
      <c r="C1799" s="88">
        <v>6810</v>
      </c>
      <c r="D1799" s="87" t="s">
        <v>5144</v>
      </c>
    </row>
    <row r="1800" spans="2:4" ht="15" x14ac:dyDescent="0.2">
      <c r="B1800" s="87" t="s">
        <v>2446</v>
      </c>
      <c r="C1800" s="88">
        <v>6790</v>
      </c>
      <c r="D1800" s="87" t="s">
        <v>5070</v>
      </c>
    </row>
    <row r="1801" spans="2:4" ht="15" x14ac:dyDescent="0.2">
      <c r="B1801" s="87" t="s">
        <v>2447</v>
      </c>
      <c r="C1801" s="88">
        <v>6790</v>
      </c>
      <c r="D1801" s="87" t="s">
        <v>5070</v>
      </c>
    </row>
    <row r="1802" spans="2:4" ht="15" x14ac:dyDescent="0.2">
      <c r="B1802" s="87" t="s">
        <v>2448</v>
      </c>
      <c r="C1802" s="88">
        <v>6790</v>
      </c>
      <c r="D1802" s="87" t="s">
        <v>5069</v>
      </c>
    </row>
    <row r="1803" spans="2:4" ht="15" x14ac:dyDescent="0.2">
      <c r="B1803" s="87" t="s">
        <v>2449</v>
      </c>
      <c r="C1803" s="88">
        <v>6780</v>
      </c>
      <c r="D1803" s="87" t="s">
        <v>5068</v>
      </c>
    </row>
    <row r="1804" spans="2:4" ht="15" x14ac:dyDescent="0.2">
      <c r="B1804" s="87" t="s">
        <v>2450</v>
      </c>
      <c r="C1804" s="88">
        <v>6760</v>
      </c>
      <c r="D1804" s="87" t="s">
        <v>5067</v>
      </c>
    </row>
    <row r="1805" spans="2:4" ht="15" x14ac:dyDescent="0.2">
      <c r="B1805" s="87" t="s">
        <v>2451</v>
      </c>
      <c r="C1805" s="88">
        <v>6760</v>
      </c>
      <c r="D1805" s="87" t="s">
        <v>5067</v>
      </c>
    </row>
    <row r="1806" spans="2:4" ht="15" x14ac:dyDescent="0.2">
      <c r="B1806" s="87" t="s">
        <v>2452</v>
      </c>
      <c r="C1806" s="88">
        <v>6740</v>
      </c>
      <c r="D1806" s="87" t="s">
        <v>5066</v>
      </c>
    </row>
    <row r="1807" spans="2:4" ht="15" x14ac:dyDescent="0.2">
      <c r="B1807" s="87" t="s">
        <v>2453</v>
      </c>
      <c r="C1807" s="88">
        <v>6730</v>
      </c>
      <c r="D1807" s="87" t="s">
        <v>5145</v>
      </c>
    </row>
    <row r="1808" spans="2:4" ht="15" x14ac:dyDescent="0.2">
      <c r="B1808" s="87" t="s">
        <v>2454</v>
      </c>
      <c r="C1808" s="88">
        <v>6730</v>
      </c>
      <c r="D1808" s="87" t="s">
        <v>5145</v>
      </c>
    </row>
    <row r="1809" spans="2:4" ht="15" x14ac:dyDescent="0.2">
      <c r="B1809" s="87" t="s">
        <v>2455</v>
      </c>
      <c r="C1809" s="88">
        <v>6710</v>
      </c>
      <c r="D1809" s="87" t="s">
        <v>5065</v>
      </c>
    </row>
    <row r="1810" spans="2:4" ht="15" x14ac:dyDescent="0.2">
      <c r="B1810" s="87" t="s">
        <v>2456</v>
      </c>
      <c r="C1810" s="88">
        <v>6700</v>
      </c>
      <c r="D1810" s="87" t="s">
        <v>5064</v>
      </c>
    </row>
    <row r="1811" spans="2:4" ht="15" x14ac:dyDescent="0.2">
      <c r="B1811" s="87" t="s">
        <v>2457</v>
      </c>
      <c r="C1811" s="88">
        <v>6700</v>
      </c>
      <c r="D1811" s="87" t="s">
        <v>5063</v>
      </c>
    </row>
    <row r="1812" spans="2:4" ht="15" x14ac:dyDescent="0.2">
      <c r="B1812" s="87" t="s">
        <v>2458</v>
      </c>
      <c r="C1812" s="88">
        <v>6700</v>
      </c>
      <c r="D1812" s="87" t="s">
        <v>5063</v>
      </c>
    </row>
    <row r="1813" spans="2:4" ht="15" x14ac:dyDescent="0.2">
      <c r="B1813" s="87" t="s">
        <v>2459</v>
      </c>
      <c r="C1813" s="88">
        <v>6680</v>
      </c>
      <c r="D1813" s="87" t="s">
        <v>5028</v>
      </c>
    </row>
    <row r="1814" spans="2:4" ht="15" x14ac:dyDescent="0.2">
      <c r="B1814" s="87" t="s">
        <v>2460</v>
      </c>
      <c r="C1814" s="88">
        <v>6670</v>
      </c>
      <c r="D1814" s="87" t="s">
        <v>5027</v>
      </c>
    </row>
    <row r="1815" spans="2:4" ht="15" x14ac:dyDescent="0.2">
      <c r="B1815" s="87" t="s">
        <v>2461</v>
      </c>
      <c r="C1815" s="88">
        <v>6670</v>
      </c>
      <c r="D1815" s="87" t="s">
        <v>5027</v>
      </c>
    </row>
    <row r="1816" spans="2:4" ht="15" x14ac:dyDescent="0.2">
      <c r="B1816" s="87" t="s">
        <v>2462</v>
      </c>
      <c r="C1816" s="88">
        <v>6630</v>
      </c>
      <c r="D1816" s="87" t="s">
        <v>5025</v>
      </c>
    </row>
    <row r="1817" spans="2:4" ht="15" x14ac:dyDescent="0.2">
      <c r="B1817" s="87" t="s">
        <v>2463</v>
      </c>
      <c r="C1817" s="88">
        <v>6630</v>
      </c>
      <c r="D1817" s="87" t="s">
        <v>5025</v>
      </c>
    </row>
    <row r="1818" spans="2:4" ht="15" x14ac:dyDescent="0.2">
      <c r="B1818" s="87" t="s">
        <v>2464</v>
      </c>
      <c r="C1818" s="88">
        <v>6620</v>
      </c>
      <c r="D1818" s="87" t="s">
        <v>5024</v>
      </c>
    </row>
    <row r="1819" spans="2:4" ht="15" x14ac:dyDescent="0.2">
      <c r="B1819" s="87" t="s">
        <v>2465</v>
      </c>
      <c r="C1819" s="88">
        <v>6600</v>
      </c>
      <c r="D1819" s="87" t="s">
        <v>5023</v>
      </c>
    </row>
    <row r="1820" spans="2:4" ht="15" x14ac:dyDescent="0.2">
      <c r="B1820" s="87" t="s">
        <v>2466</v>
      </c>
      <c r="C1820" s="88">
        <v>6600</v>
      </c>
      <c r="D1820" s="87" t="s">
        <v>5022</v>
      </c>
    </row>
    <row r="1821" spans="2:4" ht="15" x14ac:dyDescent="0.2">
      <c r="B1821" s="87" t="s">
        <v>2467</v>
      </c>
      <c r="C1821" s="88">
        <v>6590</v>
      </c>
      <c r="D1821" s="87" t="s">
        <v>5021</v>
      </c>
    </row>
    <row r="1822" spans="2:4" ht="15" x14ac:dyDescent="0.2">
      <c r="B1822" s="87" t="s">
        <v>2468</v>
      </c>
      <c r="C1822" s="88">
        <v>6570</v>
      </c>
      <c r="D1822" s="87" t="s">
        <v>5020</v>
      </c>
    </row>
    <row r="1823" spans="2:4" ht="15" x14ac:dyDescent="0.2">
      <c r="B1823" s="87" t="s">
        <v>2469</v>
      </c>
      <c r="C1823" s="88">
        <v>6560</v>
      </c>
      <c r="D1823" s="87" t="s">
        <v>5019</v>
      </c>
    </row>
    <row r="1824" spans="2:4" ht="15" x14ac:dyDescent="0.2">
      <c r="B1824" s="87" t="s">
        <v>2470</v>
      </c>
      <c r="C1824" s="88">
        <v>6560</v>
      </c>
      <c r="D1824" s="87" t="s">
        <v>5019</v>
      </c>
    </row>
    <row r="1825" spans="2:4" ht="15" x14ac:dyDescent="0.2">
      <c r="B1825" s="87" t="s">
        <v>2471</v>
      </c>
      <c r="C1825" s="88">
        <v>6540</v>
      </c>
      <c r="D1825" s="87" t="s">
        <v>5018</v>
      </c>
    </row>
    <row r="1826" spans="2:4" ht="15" x14ac:dyDescent="0.2">
      <c r="B1826" s="87" t="s">
        <v>2472</v>
      </c>
      <c r="C1826" s="88">
        <v>6530</v>
      </c>
      <c r="D1826" s="87" t="s">
        <v>5017</v>
      </c>
    </row>
    <row r="1827" spans="2:4" ht="15" x14ac:dyDescent="0.2">
      <c r="B1827" s="87" t="s">
        <v>2473</v>
      </c>
      <c r="C1827" s="88">
        <v>6530</v>
      </c>
      <c r="D1827" s="87" t="s">
        <v>5017</v>
      </c>
    </row>
    <row r="1828" spans="2:4" ht="15" x14ac:dyDescent="0.2">
      <c r="B1828" s="87" t="s">
        <v>2474</v>
      </c>
      <c r="C1828" s="88">
        <v>6510</v>
      </c>
      <c r="D1828" s="87" t="s">
        <v>5016</v>
      </c>
    </row>
    <row r="1829" spans="2:4" ht="15" x14ac:dyDescent="0.2">
      <c r="B1829" s="87" t="s">
        <v>2475</v>
      </c>
      <c r="C1829" s="88">
        <v>6510</v>
      </c>
      <c r="D1829" s="87" t="s">
        <v>5015</v>
      </c>
    </row>
    <row r="1830" spans="2:4" ht="15" x14ac:dyDescent="0.2">
      <c r="B1830" s="87" t="s">
        <v>2476</v>
      </c>
      <c r="C1830" s="88">
        <v>6510</v>
      </c>
      <c r="D1830" s="87" t="s">
        <v>5015</v>
      </c>
    </row>
    <row r="1831" spans="2:4" ht="15" x14ac:dyDescent="0.2">
      <c r="B1831" s="87" t="s">
        <v>2477</v>
      </c>
      <c r="C1831" s="88">
        <v>6500</v>
      </c>
      <c r="D1831" s="87" t="s">
        <v>5014</v>
      </c>
    </row>
    <row r="1832" spans="2:4" ht="15" x14ac:dyDescent="0.2">
      <c r="B1832" s="87" t="s">
        <v>2478</v>
      </c>
      <c r="C1832" s="88">
        <v>6480</v>
      </c>
      <c r="D1832" s="87" t="s">
        <v>5013</v>
      </c>
    </row>
    <row r="1833" spans="2:4" ht="15" x14ac:dyDescent="0.2">
      <c r="B1833" s="87" t="s">
        <v>2479</v>
      </c>
      <c r="C1833" s="88">
        <v>6480</v>
      </c>
      <c r="D1833" s="87" t="s">
        <v>5013</v>
      </c>
    </row>
    <row r="1834" spans="2:4" ht="15" x14ac:dyDescent="0.2">
      <c r="B1834" s="87" t="s">
        <v>2480</v>
      </c>
      <c r="C1834" s="88">
        <v>6460</v>
      </c>
      <c r="D1834" s="87" t="s">
        <v>5012</v>
      </c>
    </row>
    <row r="1835" spans="2:4" ht="15" x14ac:dyDescent="0.2">
      <c r="B1835" s="87" t="s">
        <v>2481</v>
      </c>
      <c r="C1835" s="88">
        <v>6450</v>
      </c>
      <c r="D1835" s="87" t="s">
        <v>5011</v>
      </c>
    </row>
    <row r="1836" spans="2:4" ht="15" x14ac:dyDescent="0.2">
      <c r="B1836" s="87" t="s">
        <v>2482</v>
      </c>
      <c r="C1836" s="88">
        <v>6430</v>
      </c>
      <c r="D1836" s="87" t="s">
        <v>5010</v>
      </c>
    </row>
    <row r="1837" spans="2:4" ht="15" x14ac:dyDescent="0.2">
      <c r="B1837" s="87" t="s">
        <v>2483</v>
      </c>
      <c r="C1837" s="88">
        <v>6420</v>
      </c>
      <c r="D1837" s="87" t="s">
        <v>5009</v>
      </c>
    </row>
    <row r="1838" spans="2:4" ht="15" x14ac:dyDescent="0.2">
      <c r="B1838" s="87" t="s">
        <v>2484</v>
      </c>
      <c r="C1838" s="88">
        <v>6420</v>
      </c>
      <c r="D1838" s="87" t="s">
        <v>5009</v>
      </c>
    </row>
    <row r="1839" spans="2:4" ht="15" x14ac:dyDescent="0.2">
      <c r="B1839" s="87" t="s">
        <v>2485</v>
      </c>
      <c r="C1839" s="88">
        <v>6420</v>
      </c>
      <c r="D1839" s="87" t="s">
        <v>5008</v>
      </c>
    </row>
    <row r="1840" spans="2:4" ht="15" x14ac:dyDescent="0.2">
      <c r="B1840" s="87" t="s">
        <v>2486</v>
      </c>
      <c r="C1840" s="88">
        <v>6400</v>
      </c>
      <c r="D1840" s="87" t="s">
        <v>5007</v>
      </c>
    </row>
    <row r="1841" spans="2:4" ht="15" x14ac:dyDescent="0.2">
      <c r="B1841" s="87" t="s">
        <v>2487</v>
      </c>
      <c r="C1841" s="88">
        <v>6400</v>
      </c>
      <c r="D1841" s="87" t="s">
        <v>5007</v>
      </c>
    </row>
    <row r="1842" spans="2:4" ht="15" x14ac:dyDescent="0.2">
      <c r="B1842" s="87" t="s">
        <v>2488</v>
      </c>
      <c r="C1842" s="88">
        <v>6390</v>
      </c>
      <c r="D1842" s="87" t="s">
        <v>5006</v>
      </c>
    </row>
    <row r="1843" spans="2:4" ht="15" x14ac:dyDescent="0.2">
      <c r="B1843" s="87" t="s">
        <v>2489</v>
      </c>
      <c r="C1843" s="88">
        <v>6370</v>
      </c>
      <c r="D1843" s="87" t="s">
        <v>5005</v>
      </c>
    </row>
    <row r="1844" spans="2:4" ht="15" x14ac:dyDescent="0.2">
      <c r="B1844" s="87" t="s">
        <v>2490</v>
      </c>
      <c r="C1844" s="88">
        <v>6370</v>
      </c>
      <c r="D1844" s="87" t="s">
        <v>5005</v>
      </c>
    </row>
    <row r="1845" spans="2:4" ht="15" x14ac:dyDescent="0.2">
      <c r="B1845" s="87" t="s">
        <v>2491</v>
      </c>
      <c r="C1845" s="88">
        <v>6370</v>
      </c>
      <c r="D1845" s="87" t="s">
        <v>5005</v>
      </c>
    </row>
    <row r="1846" spans="2:4" ht="15" x14ac:dyDescent="0.2">
      <c r="B1846" s="87" t="s">
        <v>2492</v>
      </c>
      <c r="C1846" s="88">
        <v>6360</v>
      </c>
      <c r="D1846" s="87" t="s">
        <v>5004</v>
      </c>
    </row>
    <row r="1847" spans="2:4" ht="15" x14ac:dyDescent="0.2">
      <c r="B1847" s="87" t="s">
        <v>2493</v>
      </c>
      <c r="C1847" s="88">
        <v>6360</v>
      </c>
      <c r="D1847" s="87" t="s">
        <v>5004</v>
      </c>
    </row>
    <row r="1848" spans="2:4" ht="15" x14ac:dyDescent="0.2">
      <c r="B1848" s="87" t="s">
        <v>2494</v>
      </c>
      <c r="C1848" s="88">
        <v>6340</v>
      </c>
      <c r="D1848" s="87" t="s">
        <v>5003</v>
      </c>
    </row>
    <row r="1849" spans="2:4" ht="15" x14ac:dyDescent="0.2">
      <c r="B1849" s="87" t="s">
        <v>2495</v>
      </c>
      <c r="C1849" s="88">
        <v>6340</v>
      </c>
      <c r="D1849" s="87" t="s">
        <v>5003</v>
      </c>
    </row>
    <row r="1850" spans="2:4" ht="15" x14ac:dyDescent="0.2">
      <c r="B1850" s="87" t="s">
        <v>2496</v>
      </c>
      <c r="C1850" s="88">
        <v>6340</v>
      </c>
      <c r="D1850" s="87" t="s">
        <v>5003</v>
      </c>
    </row>
    <row r="1851" spans="2:4" ht="15" x14ac:dyDescent="0.2">
      <c r="B1851" s="87" t="s">
        <v>2497</v>
      </c>
      <c r="C1851" s="88">
        <v>6330</v>
      </c>
      <c r="D1851" s="87" t="s">
        <v>5002</v>
      </c>
    </row>
    <row r="1852" spans="2:4" ht="15" x14ac:dyDescent="0.2">
      <c r="B1852" s="87" t="s">
        <v>2498</v>
      </c>
      <c r="C1852" s="88">
        <v>6330</v>
      </c>
      <c r="D1852" s="87" t="s">
        <v>5002</v>
      </c>
    </row>
    <row r="1853" spans="2:4" ht="15" x14ac:dyDescent="0.2">
      <c r="B1853" s="87" t="s">
        <v>2499</v>
      </c>
      <c r="C1853" s="88">
        <v>6330</v>
      </c>
      <c r="D1853" s="87" t="s">
        <v>5002</v>
      </c>
    </row>
    <row r="1854" spans="2:4" ht="15" x14ac:dyDescent="0.2">
      <c r="B1854" s="87" t="s">
        <v>2500</v>
      </c>
      <c r="C1854" s="88">
        <v>6330</v>
      </c>
      <c r="D1854" s="87" t="s">
        <v>5001</v>
      </c>
    </row>
    <row r="1855" spans="2:4" ht="15" x14ac:dyDescent="0.2">
      <c r="B1855" s="87" t="s">
        <v>2501</v>
      </c>
      <c r="C1855" s="88">
        <v>6330</v>
      </c>
      <c r="D1855" s="87" t="s">
        <v>5001</v>
      </c>
    </row>
    <row r="1856" spans="2:4" ht="15" x14ac:dyDescent="0.2">
      <c r="B1856" s="87" t="s">
        <v>2502</v>
      </c>
      <c r="C1856" s="88">
        <v>6330</v>
      </c>
      <c r="D1856" s="87" t="s">
        <v>5001</v>
      </c>
    </row>
    <row r="1857" spans="2:4" ht="15" x14ac:dyDescent="0.2">
      <c r="B1857" s="87" t="s">
        <v>2503</v>
      </c>
      <c r="C1857" s="88">
        <v>6330</v>
      </c>
      <c r="D1857" s="87" t="s">
        <v>5001</v>
      </c>
    </row>
    <row r="1858" spans="2:4" ht="15" x14ac:dyDescent="0.2">
      <c r="B1858" s="87" t="s">
        <v>2504</v>
      </c>
      <c r="C1858" s="88">
        <v>6330</v>
      </c>
      <c r="D1858" s="87" t="s">
        <v>5001</v>
      </c>
    </row>
    <row r="1859" spans="2:4" ht="15" x14ac:dyDescent="0.2">
      <c r="B1859" s="87" t="s">
        <v>2505</v>
      </c>
      <c r="C1859" s="88">
        <v>6330</v>
      </c>
      <c r="D1859" s="87" t="s">
        <v>5001</v>
      </c>
    </row>
    <row r="1860" spans="2:4" ht="15" x14ac:dyDescent="0.2">
      <c r="B1860" s="87" t="s">
        <v>2506</v>
      </c>
      <c r="C1860" s="88">
        <v>6310</v>
      </c>
      <c r="D1860" s="87" t="s">
        <v>5000</v>
      </c>
    </row>
    <row r="1861" spans="2:4" ht="15" x14ac:dyDescent="0.2">
      <c r="B1861" s="87" t="s">
        <v>2507</v>
      </c>
      <c r="C1861" s="88">
        <v>6310</v>
      </c>
      <c r="D1861" s="87" t="s">
        <v>5000</v>
      </c>
    </row>
    <row r="1862" spans="2:4" ht="15" x14ac:dyDescent="0.2">
      <c r="B1862" s="87" t="s">
        <v>2508</v>
      </c>
      <c r="C1862" s="88">
        <v>6310</v>
      </c>
      <c r="D1862" s="87" t="s">
        <v>5000</v>
      </c>
    </row>
    <row r="1863" spans="2:4" ht="15" x14ac:dyDescent="0.2">
      <c r="B1863" s="87" t="s">
        <v>2509</v>
      </c>
      <c r="C1863" s="88">
        <v>6310</v>
      </c>
      <c r="D1863" s="87" t="s">
        <v>5000</v>
      </c>
    </row>
    <row r="1864" spans="2:4" ht="15" x14ac:dyDescent="0.2">
      <c r="B1864" s="87" t="s">
        <v>2510</v>
      </c>
      <c r="C1864" s="88">
        <v>6310</v>
      </c>
      <c r="D1864" s="87" t="s">
        <v>5000</v>
      </c>
    </row>
    <row r="1865" spans="2:4" ht="15" x14ac:dyDescent="0.2">
      <c r="B1865" s="87" t="s">
        <v>2511</v>
      </c>
      <c r="C1865" s="88">
        <v>6310</v>
      </c>
      <c r="D1865" s="87" t="s">
        <v>5000</v>
      </c>
    </row>
    <row r="1866" spans="2:4" ht="15" x14ac:dyDescent="0.2">
      <c r="B1866" s="87" t="s">
        <v>2512</v>
      </c>
      <c r="C1866" s="88">
        <v>6310</v>
      </c>
      <c r="D1866" s="87" t="s">
        <v>5000</v>
      </c>
    </row>
    <row r="1867" spans="2:4" ht="15" x14ac:dyDescent="0.2">
      <c r="B1867" s="87" t="s">
        <v>2513</v>
      </c>
      <c r="C1867" s="88">
        <v>6310</v>
      </c>
      <c r="D1867" s="87" t="s">
        <v>5000</v>
      </c>
    </row>
    <row r="1868" spans="2:4" ht="15" x14ac:dyDescent="0.2">
      <c r="B1868" s="87" t="s">
        <v>2514</v>
      </c>
      <c r="C1868" s="88">
        <v>6310</v>
      </c>
      <c r="D1868" s="87" t="s">
        <v>5000</v>
      </c>
    </row>
    <row r="1869" spans="2:4" ht="15" x14ac:dyDescent="0.2">
      <c r="B1869" s="87" t="s">
        <v>2515</v>
      </c>
      <c r="C1869" s="88">
        <v>6310</v>
      </c>
      <c r="D1869" s="87" t="s">
        <v>5000</v>
      </c>
    </row>
    <row r="1870" spans="2:4" ht="15" x14ac:dyDescent="0.2">
      <c r="B1870" s="87" t="s">
        <v>2516</v>
      </c>
      <c r="C1870" s="88">
        <v>6310</v>
      </c>
      <c r="D1870" s="87" t="s">
        <v>5000</v>
      </c>
    </row>
    <row r="1871" spans="2:4" ht="15" x14ac:dyDescent="0.2">
      <c r="B1871" s="87" t="s">
        <v>2517</v>
      </c>
      <c r="C1871" s="88">
        <v>6310</v>
      </c>
      <c r="D1871" s="87" t="s">
        <v>5000</v>
      </c>
    </row>
    <row r="1872" spans="2:4" ht="15" x14ac:dyDescent="0.2">
      <c r="B1872" s="87" t="s">
        <v>2518</v>
      </c>
      <c r="C1872" s="88">
        <v>6310</v>
      </c>
      <c r="D1872" s="87" t="s">
        <v>5000</v>
      </c>
    </row>
    <row r="1873" spans="2:4" ht="15" x14ac:dyDescent="0.2">
      <c r="B1873" s="87" t="s">
        <v>2519</v>
      </c>
      <c r="C1873" s="88">
        <v>6300</v>
      </c>
      <c r="D1873" s="87" t="s">
        <v>4999</v>
      </c>
    </row>
    <row r="1874" spans="2:4" ht="15" x14ac:dyDescent="0.2">
      <c r="B1874" s="87" t="s">
        <v>2520</v>
      </c>
      <c r="C1874" s="88">
        <v>6300</v>
      </c>
      <c r="D1874" s="87" t="s">
        <v>4999</v>
      </c>
    </row>
    <row r="1875" spans="2:4" ht="15" x14ac:dyDescent="0.2">
      <c r="B1875" s="87" t="s">
        <v>2521</v>
      </c>
      <c r="C1875" s="88">
        <v>6300</v>
      </c>
      <c r="D1875" s="87" t="s">
        <v>4999</v>
      </c>
    </row>
    <row r="1876" spans="2:4" ht="15" x14ac:dyDescent="0.2">
      <c r="B1876" s="87" t="s">
        <v>2522</v>
      </c>
      <c r="C1876" s="88">
        <v>6300</v>
      </c>
      <c r="D1876" s="87" t="s">
        <v>4999</v>
      </c>
    </row>
    <row r="1877" spans="2:4" ht="15" x14ac:dyDescent="0.2">
      <c r="B1877" s="87" t="s">
        <v>2523</v>
      </c>
      <c r="C1877" s="88">
        <v>6300</v>
      </c>
      <c r="D1877" s="87" t="s">
        <v>4999</v>
      </c>
    </row>
    <row r="1878" spans="2:4" ht="15" x14ac:dyDescent="0.2">
      <c r="B1878" s="87" t="s">
        <v>2524</v>
      </c>
      <c r="C1878" s="88">
        <v>6300</v>
      </c>
      <c r="D1878" s="87" t="s">
        <v>4999</v>
      </c>
    </row>
    <row r="1879" spans="2:4" ht="15" x14ac:dyDescent="0.2">
      <c r="B1879" s="87" t="s">
        <v>2525</v>
      </c>
      <c r="C1879" s="88">
        <v>6300</v>
      </c>
      <c r="D1879" s="87" t="s">
        <v>4999</v>
      </c>
    </row>
    <row r="1880" spans="2:4" ht="15" x14ac:dyDescent="0.2">
      <c r="B1880" s="87" t="s">
        <v>2526</v>
      </c>
      <c r="C1880" s="88">
        <v>6300</v>
      </c>
      <c r="D1880" s="87" t="s">
        <v>4999</v>
      </c>
    </row>
    <row r="1881" spans="2:4" ht="15" x14ac:dyDescent="0.2">
      <c r="B1881" s="87" t="s">
        <v>2527</v>
      </c>
      <c r="C1881" s="88">
        <v>6300</v>
      </c>
      <c r="D1881" s="87" t="s">
        <v>4999</v>
      </c>
    </row>
    <row r="1882" spans="2:4" ht="15" x14ac:dyDescent="0.2">
      <c r="B1882" s="87" t="s">
        <v>2528</v>
      </c>
      <c r="C1882" s="88">
        <v>6280</v>
      </c>
      <c r="D1882" s="87" t="s">
        <v>4998</v>
      </c>
    </row>
    <row r="1883" spans="2:4" ht="15" x14ac:dyDescent="0.2">
      <c r="B1883" s="87" t="s">
        <v>2529</v>
      </c>
      <c r="C1883" s="88">
        <v>6280</v>
      </c>
      <c r="D1883" s="87" t="s">
        <v>4998</v>
      </c>
    </row>
    <row r="1884" spans="2:4" ht="15" x14ac:dyDescent="0.2">
      <c r="B1884" s="87" t="s">
        <v>2530</v>
      </c>
      <c r="C1884" s="88">
        <v>6280</v>
      </c>
      <c r="D1884" s="87" t="s">
        <v>4998</v>
      </c>
    </row>
    <row r="1885" spans="2:4" ht="15" x14ac:dyDescent="0.2">
      <c r="B1885" s="87" t="s">
        <v>2531</v>
      </c>
      <c r="C1885" s="88">
        <v>6280</v>
      </c>
      <c r="D1885" s="87" t="s">
        <v>4998</v>
      </c>
    </row>
    <row r="1886" spans="2:4" ht="15" x14ac:dyDescent="0.2">
      <c r="B1886" s="87" t="s">
        <v>2532</v>
      </c>
      <c r="C1886" s="88">
        <v>6280</v>
      </c>
      <c r="D1886" s="87" t="s">
        <v>4998</v>
      </c>
    </row>
    <row r="1887" spans="2:4" ht="15" x14ac:dyDescent="0.2">
      <c r="B1887" s="87" t="s">
        <v>2533</v>
      </c>
      <c r="C1887" s="88">
        <v>6280</v>
      </c>
      <c r="D1887" s="87" t="s">
        <v>4998</v>
      </c>
    </row>
    <row r="1888" spans="2:4" ht="15" x14ac:dyDescent="0.2">
      <c r="B1888" s="87" t="s">
        <v>2534</v>
      </c>
      <c r="C1888" s="88">
        <v>6270</v>
      </c>
      <c r="D1888" s="87" t="s">
        <v>4997</v>
      </c>
    </row>
    <row r="1889" spans="2:4" ht="15" x14ac:dyDescent="0.2">
      <c r="B1889" s="87" t="s">
        <v>2535</v>
      </c>
      <c r="C1889" s="88">
        <v>6270</v>
      </c>
      <c r="D1889" s="87" t="s">
        <v>4997</v>
      </c>
    </row>
    <row r="1890" spans="2:4" ht="15" x14ac:dyDescent="0.2">
      <c r="B1890" s="87" t="s">
        <v>2536</v>
      </c>
      <c r="C1890" s="88">
        <v>6270</v>
      </c>
      <c r="D1890" s="87" t="s">
        <v>4997</v>
      </c>
    </row>
    <row r="1891" spans="2:4" ht="15" x14ac:dyDescent="0.2">
      <c r="B1891" s="87" t="s">
        <v>2537</v>
      </c>
      <c r="C1891" s="88">
        <v>6250</v>
      </c>
      <c r="D1891" s="87" t="s">
        <v>4996</v>
      </c>
    </row>
    <row r="1892" spans="2:4" ht="15" x14ac:dyDescent="0.2">
      <c r="B1892" s="87" t="s">
        <v>2538</v>
      </c>
      <c r="C1892" s="88">
        <v>6250</v>
      </c>
      <c r="D1892" s="87" t="s">
        <v>4996</v>
      </c>
    </row>
    <row r="1893" spans="2:4" ht="15" x14ac:dyDescent="0.2">
      <c r="B1893" s="87" t="s">
        <v>2539</v>
      </c>
      <c r="C1893" s="88">
        <v>6250</v>
      </c>
      <c r="D1893" s="87" t="s">
        <v>4996</v>
      </c>
    </row>
    <row r="1894" spans="2:4" ht="15" x14ac:dyDescent="0.2">
      <c r="B1894" s="87" t="s">
        <v>2540</v>
      </c>
      <c r="C1894" s="88">
        <v>6240</v>
      </c>
      <c r="D1894" s="87" t="s">
        <v>4995</v>
      </c>
    </row>
    <row r="1895" spans="2:4" ht="15" x14ac:dyDescent="0.2">
      <c r="B1895" s="87" t="s">
        <v>2541</v>
      </c>
      <c r="C1895" s="88">
        <v>6240</v>
      </c>
      <c r="D1895" s="87" t="s">
        <v>4995</v>
      </c>
    </row>
    <row r="1896" spans="2:4" ht="15" x14ac:dyDescent="0.2">
      <c r="B1896" s="87" t="s">
        <v>2542</v>
      </c>
      <c r="C1896" s="88">
        <v>6240</v>
      </c>
      <c r="D1896" s="87" t="s">
        <v>4994</v>
      </c>
    </row>
    <row r="1897" spans="2:4" ht="15" x14ac:dyDescent="0.2">
      <c r="B1897" s="87" t="s">
        <v>2543</v>
      </c>
      <c r="C1897" s="88">
        <v>6240</v>
      </c>
      <c r="D1897" s="87" t="s">
        <v>4994</v>
      </c>
    </row>
    <row r="1898" spans="2:4" ht="15" x14ac:dyDescent="0.2">
      <c r="B1898" s="87" t="s">
        <v>2544</v>
      </c>
      <c r="C1898" s="88">
        <v>6240</v>
      </c>
      <c r="D1898" s="87" t="s">
        <v>4994</v>
      </c>
    </row>
    <row r="1899" spans="2:4" ht="15" x14ac:dyDescent="0.2">
      <c r="B1899" s="87" t="s">
        <v>2545</v>
      </c>
      <c r="C1899" s="88">
        <v>6220</v>
      </c>
      <c r="D1899" s="87" t="s">
        <v>4993</v>
      </c>
    </row>
    <row r="1900" spans="2:4" ht="15" x14ac:dyDescent="0.2">
      <c r="B1900" s="87" t="s">
        <v>2546</v>
      </c>
      <c r="C1900" s="88">
        <v>6220</v>
      </c>
      <c r="D1900" s="87" t="s">
        <v>4993</v>
      </c>
    </row>
    <row r="1901" spans="2:4" ht="15" x14ac:dyDescent="0.2">
      <c r="B1901" s="87" t="s">
        <v>2547</v>
      </c>
      <c r="C1901" s="88">
        <v>6210</v>
      </c>
      <c r="D1901" s="87" t="s">
        <v>4992</v>
      </c>
    </row>
    <row r="1902" spans="2:4" ht="15" x14ac:dyDescent="0.2">
      <c r="B1902" s="87" t="s">
        <v>2548</v>
      </c>
      <c r="C1902" s="88">
        <v>6210</v>
      </c>
      <c r="D1902" s="87" t="s">
        <v>4992</v>
      </c>
    </row>
    <row r="1903" spans="2:4" ht="15" x14ac:dyDescent="0.2">
      <c r="B1903" s="87" t="s">
        <v>2549</v>
      </c>
      <c r="C1903" s="88">
        <v>6210</v>
      </c>
      <c r="D1903" s="87" t="s">
        <v>4992</v>
      </c>
    </row>
    <row r="1904" spans="2:4" ht="15" x14ac:dyDescent="0.2">
      <c r="B1904" s="87" t="s">
        <v>2550</v>
      </c>
      <c r="C1904" s="88">
        <v>6190</v>
      </c>
      <c r="D1904" s="87" t="s">
        <v>4991</v>
      </c>
    </row>
    <row r="1905" spans="2:4" ht="15" x14ac:dyDescent="0.2">
      <c r="B1905" s="87" t="s">
        <v>2551</v>
      </c>
      <c r="C1905" s="88">
        <v>6190</v>
      </c>
      <c r="D1905" s="87" t="s">
        <v>4991</v>
      </c>
    </row>
    <row r="1906" spans="2:4" ht="15" x14ac:dyDescent="0.2">
      <c r="B1906" s="87" t="s">
        <v>2552</v>
      </c>
      <c r="C1906" s="88">
        <v>6190</v>
      </c>
      <c r="D1906" s="87" t="s">
        <v>4991</v>
      </c>
    </row>
    <row r="1907" spans="2:4" ht="15" x14ac:dyDescent="0.2">
      <c r="B1907" s="87" t="s">
        <v>2553</v>
      </c>
      <c r="C1907" s="88">
        <v>6170</v>
      </c>
      <c r="D1907" s="87" t="s">
        <v>4990</v>
      </c>
    </row>
    <row r="1908" spans="2:4" ht="15" x14ac:dyDescent="0.2">
      <c r="B1908" s="87" t="s">
        <v>2554</v>
      </c>
      <c r="C1908" s="88">
        <v>6170</v>
      </c>
      <c r="D1908" s="87" t="s">
        <v>4990</v>
      </c>
    </row>
    <row r="1909" spans="2:4" ht="15" x14ac:dyDescent="0.2">
      <c r="B1909" s="87" t="s">
        <v>2555</v>
      </c>
      <c r="C1909" s="88">
        <v>6170</v>
      </c>
      <c r="D1909" s="87" t="s">
        <v>4990</v>
      </c>
    </row>
    <row r="1910" spans="2:4" ht="15" x14ac:dyDescent="0.2">
      <c r="B1910" s="87" t="s">
        <v>2556</v>
      </c>
      <c r="C1910" s="88">
        <v>6160</v>
      </c>
      <c r="D1910" s="87" t="s">
        <v>4989</v>
      </c>
    </row>
    <row r="1911" spans="2:4" ht="15" x14ac:dyDescent="0.2">
      <c r="B1911" s="87" t="s">
        <v>2557</v>
      </c>
      <c r="C1911" s="88">
        <v>6160</v>
      </c>
      <c r="D1911" s="87" t="s">
        <v>4989</v>
      </c>
    </row>
    <row r="1912" spans="2:4" ht="15" x14ac:dyDescent="0.2">
      <c r="B1912" s="87" t="s">
        <v>2558</v>
      </c>
      <c r="C1912" s="88">
        <v>6160</v>
      </c>
      <c r="D1912" s="87" t="s">
        <v>4989</v>
      </c>
    </row>
    <row r="1913" spans="2:4" ht="15" x14ac:dyDescent="0.2">
      <c r="B1913" s="87" t="s">
        <v>2559</v>
      </c>
      <c r="C1913" s="88">
        <v>6140</v>
      </c>
      <c r="D1913" s="87" t="s">
        <v>5029</v>
      </c>
    </row>
    <row r="1914" spans="2:4" ht="15" x14ac:dyDescent="0.2">
      <c r="B1914" s="87" t="s">
        <v>2560</v>
      </c>
      <c r="C1914" s="88">
        <v>6140</v>
      </c>
      <c r="D1914" s="87" t="s">
        <v>5029</v>
      </c>
    </row>
    <row r="1915" spans="2:4" ht="15" x14ac:dyDescent="0.2">
      <c r="B1915" s="87" t="s">
        <v>2561</v>
      </c>
      <c r="C1915" s="88">
        <v>6140</v>
      </c>
      <c r="D1915" s="87" t="s">
        <v>4988</v>
      </c>
    </row>
    <row r="1916" spans="2:4" ht="15" x14ac:dyDescent="0.2">
      <c r="B1916" s="87" t="s">
        <v>2562</v>
      </c>
      <c r="C1916" s="88">
        <v>6140</v>
      </c>
      <c r="D1916" s="87" t="s">
        <v>4988</v>
      </c>
    </row>
    <row r="1917" spans="2:4" ht="15" x14ac:dyDescent="0.2">
      <c r="B1917" s="87" t="s">
        <v>2563</v>
      </c>
      <c r="C1917" s="88">
        <v>6140</v>
      </c>
      <c r="D1917" s="87" t="s">
        <v>4988</v>
      </c>
    </row>
    <row r="1918" spans="2:4" ht="15" x14ac:dyDescent="0.2">
      <c r="B1918" s="87" t="s">
        <v>2564</v>
      </c>
      <c r="C1918" s="88">
        <v>6130</v>
      </c>
      <c r="D1918" s="87" t="s">
        <v>4987</v>
      </c>
    </row>
    <row r="1919" spans="2:4" ht="15" x14ac:dyDescent="0.2">
      <c r="B1919" s="87" t="s">
        <v>2565</v>
      </c>
      <c r="C1919" s="88">
        <v>6130</v>
      </c>
      <c r="D1919" s="87" t="s">
        <v>4987</v>
      </c>
    </row>
    <row r="1920" spans="2:4" ht="15" x14ac:dyDescent="0.2">
      <c r="B1920" s="87" t="s">
        <v>2566</v>
      </c>
      <c r="C1920" s="88">
        <v>6110</v>
      </c>
      <c r="D1920" s="87" t="s">
        <v>4986</v>
      </c>
    </row>
    <row r="1921" spans="2:4" ht="15" x14ac:dyDescent="0.2">
      <c r="B1921" s="87" t="s">
        <v>2567</v>
      </c>
      <c r="C1921" s="88">
        <v>6110</v>
      </c>
      <c r="D1921" s="87" t="s">
        <v>4986</v>
      </c>
    </row>
    <row r="1922" spans="2:4" ht="15" x14ac:dyDescent="0.2">
      <c r="B1922" s="87" t="s">
        <v>2568</v>
      </c>
      <c r="C1922" s="88">
        <v>6110</v>
      </c>
      <c r="D1922" s="87" t="s">
        <v>4986</v>
      </c>
    </row>
    <row r="1923" spans="2:4" ht="15" x14ac:dyDescent="0.2">
      <c r="B1923" s="87" t="s">
        <v>2569</v>
      </c>
      <c r="C1923" s="88">
        <v>6100</v>
      </c>
      <c r="D1923" s="87" t="s">
        <v>4985</v>
      </c>
    </row>
    <row r="1924" spans="2:4" ht="15" x14ac:dyDescent="0.2">
      <c r="B1924" s="87" t="s">
        <v>2570</v>
      </c>
      <c r="C1924" s="88">
        <v>6100</v>
      </c>
      <c r="D1924" s="87" t="s">
        <v>4985</v>
      </c>
    </row>
    <row r="1925" spans="2:4" ht="15" x14ac:dyDescent="0.2">
      <c r="B1925" s="87" t="s">
        <v>2571</v>
      </c>
      <c r="C1925" s="88">
        <v>6100</v>
      </c>
      <c r="D1925" s="87" t="s">
        <v>4985</v>
      </c>
    </row>
    <row r="1926" spans="2:4" ht="15" x14ac:dyDescent="0.2">
      <c r="B1926" s="87" t="s">
        <v>2572</v>
      </c>
      <c r="C1926" s="88">
        <v>6080</v>
      </c>
      <c r="D1926" s="87" t="s">
        <v>4984</v>
      </c>
    </row>
    <row r="1927" spans="2:4" ht="15" x14ac:dyDescent="0.2">
      <c r="B1927" s="87" t="s">
        <v>2573</v>
      </c>
      <c r="C1927" s="88">
        <v>6080</v>
      </c>
      <c r="D1927" s="87" t="s">
        <v>4984</v>
      </c>
    </row>
    <row r="1928" spans="2:4" ht="15" x14ac:dyDescent="0.2">
      <c r="B1928" s="87" t="s">
        <v>2574</v>
      </c>
      <c r="C1928" s="88">
        <v>6080</v>
      </c>
      <c r="D1928" s="87" t="s">
        <v>4984</v>
      </c>
    </row>
    <row r="1929" spans="2:4" ht="15" x14ac:dyDescent="0.2">
      <c r="B1929" s="87" t="s">
        <v>2575</v>
      </c>
      <c r="C1929" s="88">
        <v>6070</v>
      </c>
      <c r="D1929" s="87" t="s">
        <v>4983</v>
      </c>
    </row>
    <row r="1930" spans="2:4" ht="15" x14ac:dyDescent="0.2">
      <c r="B1930" s="87" t="s">
        <v>2576</v>
      </c>
      <c r="C1930" s="88">
        <v>6070</v>
      </c>
      <c r="D1930" s="87" t="s">
        <v>4983</v>
      </c>
    </row>
    <row r="1931" spans="2:4" ht="15" x14ac:dyDescent="0.2">
      <c r="B1931" s="87" t="s">
        <v>2577</v>
      </c>
      <c r="C1931" s="88">
        <v>6070</v>
      </c>
      <c r="D1931" s="87" t="s">
        <v>4983</v>
      </c>
    </row>
    <row r="1932" spans="2:4" ht="15" x14ac:dyDescent="0.2">
      <c r="B1932" s="87" t="s">
        <v>2578</v>
      </c>
      <c r="C1932" s="88">
        <v>6070</v>
      </c>
      <c r="D1932" s="87" t="s">
        <v>4983</v>
      </c>
    </row>
    <row r="1933" spans="2:4" ht="15" x14ac:dyDescent="0.2">
      <c r="B1933" s="87" t="s">
        <v>2579</v>
      </c>
      <c r="C1933" s="88">
        <v>6070</v>
      </c>
      <c r="D1933" s="87" t="s">
        <v>4983</v>
      </c>
    </row>
    <row r="1934" spans="2:4" ht="15" x14ac:dyDescent="0.2">
      <c r="B1934" s="87" t="s">
        <v>2580</v>
      </c>
      <c r="C1934" s="88">
        <v>6050</v>
      </c>
      <c r="D1934" s="87" t="s">
        <v>4982</v>
      </c>
    </row>
    <row r="1935" spans="2:4" ht="15" x14ac:dyDescent="0.2">
      <c r="B1935" s="87" t="s">
        <v>2581</v>
      </c>
      <c r="C1935" s="88">
        <v>6050</v>
      </c>
      <c r="D1935" s="87" t="s">
        <v>4982</v>
      </c>
    </row>
    <row r="1936" spans="2:4" ht="15" x14ac:dyDescent="0.2">
      <c r="B1936" s="87" t="s">
        <v>2582</v>
      </c>
      <c r="C1936" s="88">
        <v>6050</v>
      </c>
      <c r="D1936" s="87" t="s">
        <v>4982</v>
      </c>
    </row>
    <row r="1937" spans="2:4" ht="15" x14ac:dyDescent="0.2">
      <c r="B1937" s="87" t="s">
        <v>2583</v>
      </c>
      <c r="C1937" s="88">
        <v>6050</v>
      </c>
      <c r="D1937" s="87" t="s">
        <v>4982</v>
      </c>
    </row>
    <row r="1938" spans="2:4" ht="15" x14ac:dyDescent="0.2">
      <c r="B1938" s="87" t="s">
        <v>2584</v>
      </c>
      <c r="C1938" s="88">
        <v>6050</v>
      </c>
      <c r="D1938" s="87" t="s">
        <v>4982</v>
      </c>
    </row>
    <row r="1939" spans="2:4" ht="15" x14ac:dyDescent="0.2">
      <c r="B1939" s="87" t="s">
        <v>2585</v>
      </c>
      <c r="C1939" s="88">
        <v>6050</v>
      </c>
      <c r="D1939" s="87" t="s">
        <v>4982</v>
      </c>
    </row>
    <row r="1940" spans="2:4" ht="15" x14ac:dyDescent="0.2">
      <c r="B1940" s="87" t="s">
        <v>2586</v>
      </c>
      <c r="C1940" s="88">
        <v>6050</v>
      </c>
      <c r="D1940" s="87" t="s">
        <v>4982</v>
      </c>
    </row>
    <row r="1941" spans="2:4" ht="15" x14ac:dyDescent="0.2">
      <c r="B1941" s="87" t="s">
        <v>2587</v>
      </c>
      <c r="C1941" s="88">
        <v>6050</v>
      </c>
      <c r="D1941" s="87" t="s">
        <v>5030</v>
      </c>
    </row>
    <row r="1942" spans="2:4" ht="15" x14ac:dyDescent="0.2">
      <c r="B1942" s="87" t="s">
        <v>2588</v>
      </c>
      <c r="C1942" s="88">
        <v>6050</v>
      </c>
      <c r="D1942" s="87" t="s">
        <v>5030</v>
      </c>
    </row>
    <row r="1943" spans="2:4" ht="15" x14ac:dyDescent="0.2">
      <c r="B1943" s="87" t="s">
        <v>2589</v>
      </c>
      <c r="C1943" s="88">
        <v>6050</v>
      </c>
      <c r="D1943" s="87" t="s">
        <v>5030</v>
      </c>
    </row>
    <row r="1944" spans="2:4" ht="15" x14ac:dyDescent="0.2">
      <c r="B1944" s="87" t="s">
        <v>2590</v>
      </c>
      <c r="C1944" s="88">
        <v>6050</v>
      </c>
      <c r="D1944" s="87" t="s">
        <v>5030</v>
      </c>
    </row>
    <row r="1945" spans="2:4" ht="15" x14ac:dyDescent="0.2">
      <c r="B1945" s="87" t="s">
        <v>2591</v>
      </c>
      <c r="C1945" s="88">
        <v>6050</v>
      </c>
      <c r="D1945" s="87" t="s">
        <v>5030</v>
      </c>
    </row>
    <row r="1946" spans="2:4" ht="15" x14ac:dyDescent="0.2">
      <c r="B1946" s="87" t="s">
        <v>2592</v>
      </c>
      <c r="C1946" s="88">
        <v>6050</v>
      </c>
      <c r="D1946" s="87" t="s">
        <v>5030</v>
      </c>
    </row>
    <row r="1947" spans="2:4" ht="15" x14ac:dyDescent="0.2">
      <c r="B1947" s="87" t="s">
        <v>2593</v>
      </c>
      <c r="C1947" s="88">
        <v>6050</v>
      </c>
      <c r="D1947" s="87" t="s">
        <v>5030</v>
      </c>
    </row>
    <row r="1948" spans="2:4" ht="15" x14ac:dyDescent="0.2">
      <c r="B1948" s="87" t="s">
        <v>2594</v>
      </c>
      <c r="C1948" s="88">
        <v>6050</v>
      </c>
      <c r="D1948" s="87" t="s">
        <v>5030</v>
      </c>
    </row>
    <row r="1949" spans="2:4" ht="15" x14ac:dyDescent="0.2">
      <c r="B1949" s="87" t="s">
        <v>2595</v>
      </c>
      <c r="C1949" s="88">
        <v>6050</v>
      </c>
      <c r="D1949" s="87" t="s">
        <v>5030</v>
      </c>
    </row>
    <row r="1950" spans="2:4" ht="15" x14ac:dyDescent="0.2">
      <c r="B1950" s="87" t="s">
        <v>2596</v>
      </c>
      <c r="C1950" s="88">
        <v>6050</v>
      </c>
      <c r="D1950" s="87" t="s">
        <v>5030</v>
      </c>
    </row>
    <row r="1951" spans="2:4" ht="15" x14ac:dyDescent="0.2">
      <c r="B1951" s="87" t="s">
        <v>2597</v>
      </c>
      <c r="C1951" s="88">
        <v>6050</v>
      </c>
      <c r="D1951" s="87" t="s">
        <v>5030</v>
      </c>
    </row>
    <row r="1952" spans="2:4" ht="15" x14ac:dyDescent="0.2">
      <c r="B1952" s="87" t="s">
        <v>2598</v>
      </c>
      <c r="C1952" s="88">
        <v>6050</v>
      </c>
      <c r="D1952" s="87" t="s">
        <v>5030</v>
      </c>
    </row>
    <row r="1953" spans="2:4" ht="15" x14ac:dyDescent="0.2">
      <c r="B1953" s="87" t="s">
        <v>2599</v>
      </c>
      <c r="C1953" s="88">
        <v>6050</v>
      </c>
      <c r="D1953" s="87" t="s">
        <v>5030</v>
      </c>
    </row>
    <row r="1954" spans="2:4" ht="15" x14ac:dyDescent="0.2">
      <c r="B1954" s="87" t="s">
        <v>2600</v>
      </c>
      <c r="C1954" s="88">
        <v>6050</v>
      </c>
      <c r="D1954" s="87" t="s">
        <v>5030</v>
      </c>
    </row>
    <row r="1955" spans="2:4" ht="15" x14ac:dyDescent="0.2">
      <c r="B1955" s="87" t="s">
        <v>2601</v>
      </c>
      <c r="C1955" s="88">
        <v>6050</v>
      </c>
      <c r="D1955" s="87" t="s">
        <v>5030</v>
      </c>
    </row>
    <row r="1956" spans="2:4" ht="15" x14ac:dyDescent="0.2">
      <c r="B1956" s="87" t="s">
        <v>2602</v>
      </c>
      <c r="C1956" s="88">
        <v>6050</v>
      </c>
      <c r="D1956" s="87" t="s">
        <v>5030</v>
      </c>
    </row>
    <row r="1957" spans="2:4" ht="15" x14ac:dyDescent="0.2">
      <c r="B1957" s="87" t="s">
        <v>2603</v>
      </c>
      <c r="C1957" s="88">
        <v>6050</v>
      </c>
      <c r="D1957" s="87" t="s">
        <v>5030</v>
      </c>
    </row>
    <row r="1958" spans="2:4" ht="15" x14ac:dyDescent="0.2">
      <c r="B1958" s="87" t="s">
        <v>2604</v>
      </c>
      <c r="C1958" s="88">
        <v>6050</v>
      </c>
      <c r="D1958" s="87" t="s">
        <v>5030</v>
      </c>
    </row>
    <row r="1959" spans="2:4" ht="15" x14ac:dyDescent="0.2">
      <c r="B1959" s="87" t="s">
        <v>2605</v>
      </c>
      <c r="C1959" s="88">
        <v>6050</v>
      </c>
      <c r="D1959" s="87" t="s">
        <v>5030</v>
      </c>
    </row>
    <row r="1960" spans="2:4" ht="15" x14ac:dyDescent="0.2">
      <c r="B1960" s="87" t="s">
        <v>2606</v>
      </c>
      <c r="C1960" s="88">
        <v>6050</v>
      </c>
      <c r="D1960" s="87" t="s">
        <v>5030</v>
      </c>
    </row>
    <row r="1961" spans="2:4" ht="15" x14ac:dyDescent="0.2">
      <c r="B1961" s="87" t="s">
        <v>2607</v>
      </c>
      <c r="C1961" s="88">
        <v>6050</v>
      </c>
      <c r="D1961" s="87" t="s">
        <v>5030</v>
      </c>
    </row>
    <row r="1962" spans="2:4" ht="15" x14ac:dyDescent="0.2">
      <c r="B1962" s="87" t="s">
        <v>2608</v>
      </c>
      <c r="C1962" s="88">
        <v>6050</v>
      </c>
      <c r="D1962" s="87" t="s">
        <v>5030</v>
      </c>
    </row>
    <row r="1963" spans="2:4" ht="15" x14ac:dyDescent="0.2">
      <c r="B1963" s="87" t="s">
        <v>2609</v>
      </c>
      <c r="C1963" s="88">
        <v>6050</v>
      </c>
      <c r="D1963" s="87" t="s">
        <v>5030</v>
      </c>
    </row>
    <row r="1964" spans="2:4" ht="15" x14ac:dyDescent="0.2">
      <c r="B1964" s="87" t="s">
        <v>2610</v>
      </c>
      <c r="C1964" s="88">
        <v>6050</v>
      </c>
      <c r="D1964" s="87" t="s">
        <v>5030</v>
      </c>
    </row>
    <row r="1965" spans="2:4" ht="15" x14ac:dyDescent="0.2">
      <c r="B1965" s="87" t="s">
        <v>2611</v>
      </c>
      <c r="C1965" s="88">
        <v>6050</v>
      </c>
      <c r="D1965" s="87" t="s">
        <v>5030</v>
      </c>
    </row>
    <row r="1966" spans="2:4" ht="15" x14ac:dyDescent="0.2">
      <c r="B1966" s="87" t="s">
        <v>2612</v>
      </c>
      <c r="C1966" s="88">
        <v>6050</v>
      </c>
      <c r="D1966" s="87" t="s">
        <v>5030</v>
      </c>
    </row>
    <row r="1967" spans="2:4" ht="15" x14ac:dyDescent="0.2">
      <c r="B1967" s="87" t="s">
        <v>2613</v>
      </c>
      <c r="C1967" s="88">
        <v>6050</v>
      </c>
      <c r="D1967" s="87" t="s">
        <v>4982</v>
      </c>
    </row>
    <row r="1968" spans="2:4" ht="15" x14ac:dyDescent="0.2">
      <c r="B1968" s="87" t="s">
        <v>2614</v>
      </c>
      <c r="C1968" s="88">
        <v>6050</v>
      </c>
      <c r="D1968" s="87" t="s">
        <v>4982</v>
      </c>
    </row>
    <row r="1969" spans="2:4" ht="15" x14ac:dyDescent="0.2">
      <c r="B1969" s="87" t="s">
        <v>2615</v>
      </c>
      <c r="C1969" s="88">
        <v>6050</v>
      </c>
      <c r="D1969" s="87" t="s">
        <v>4982</v>
      </c>
    </row>
    <row r="1970" spans="2:4" ht="15" x14ac:dyDescent="0.2">
      <c r="B1970" s="87" t="s">
        <v>2616</v>
      </c>
      <c r="C1970" s="88">
        <v>6050</v>
      </c>
      <c r="D1970" s="87" t="s">
        <v>4982</v>
      </c>
    </row>
    <row r="1971" spans="2:4" ht="15" x14ac:dyDescent="0.2">
      <c r="B1971" s="87" t="s">
        <v>2617</v>
      </c>
      <c r="C1971" s="88">
        <v>6050</v>
      </c>
      <c r="D1971" s="87" t="s">
        <v>4982</v>
      </c>
    </row>
    <row r="1972" spans="2:4" ht="15" x14ac:dyDescent="0.2">
      <c r="B1972" s="87" t="s">
        <v>2618</v>
      </c>
      <c r="C1972" s="88">
        <v>6050</v>
      </c>
      <c r="D1972" s="87" t="s">
        <v>4982</v>
      </c>
    </row>
    <row r="1973" spans="2:4" ht="15" x14ac:dyDescent="0.2">
      <c r="B1973" s="87" t="s">
        <v>2619</v>
      </c>
      <c r="C1973" s="88">
        <v>6050</v>
      </c>
      <c r="D1973" s="87" t="s">
        <v>4982</v>
      </c>
    </row>
    <row r="1974" spans="2:4" ht="15" x14ac:dyDescent="0.2">
      <c r="B1974" s="87" t="s">
        <v>2620</v>
      </c>
      <c r="C1974" s="88">
        <v>6050</v>
      </c>
      <c r="D1974" s="87" t="s">
        <v>4982</v>
      </c>
    </row>
    <row r="1975" spans="2:4" ht="15" x14ac:dyDescent="0.2">
      <c r="B1975" s="87" t="s">
        <v>2621</v>
      </c>
      <c r="C1975" s="88">
        <v>6050</v>
      </c>
      <c r="D1975" s="87" t="s">
        <v>4982</v>
      </c>
    </row>
    <row r="1976" spans="2:4" ht="15" x14ac:dyDescent="0.2">
      <c r="B1976" s="87" t="s">
        <v>2622</v>
      </c>
      <c r="C1976" s="88">
        <v>6050</v>
      </c>
      <c r="D1976" s="87" t="s">
        <v>4982</v>
      </c>
    </row>
    <row r="1977" spans="2:4" ht="15" x14ac:dyDescent="0.2">
      <c r="B1977" s="87" t="s">
        <v>2623</v>
      </c>
      <c r="C1977" s="88">
        <v>6070</v>
      </c>
      <c r="D1977" s="87" t="s">
        <v>4983</v>
      </c>
    </row>
    <row r="1978" spans="2:4" ht="15" x14ac:dyDescent="0.2">
      <c r="B1978" s="87" t="s">
        <v>2624</v>
      </c>
      <c r="C1978" s="88">
        <v>6070</v>
      </c>
      <c r="D1978" s="87" t="s">
        <v>4983</v>
      </c>
    </row>
    <row r="1979" spans="2:4" ht="15" x14ac:dyDescent="0.2">
      <c r="B1979" s="87" t="s">
        <v>2625</v>
      </c>
      <c r="C1979" s="88">
        <v>6070</v>
      </c>
      <c r="D1979" s="87" t="s">
        <v>4983</v>
      </c>
    </row>
    <row r="1980" spans="2:4" ht="15" x14ac:dyDescent="0.2">
      <c r="B1980" s="87" t="s">
        <v>2626</v>
      </c>
      <c r="C1980" s="88">
        <v>6070</v>
      </c>
      <c r="D1980" s="87" t="s">
        <v>4983</v>
      </c>
    </row>
    <row r="1981" spans="2:4" ht="15" x14ac:dyDescent="0.2">
      <c r="B1981" s="87" t="s">
        <v>2627</v>
      </c>
      <c r="C1981" s="88">
        <v>6070</v>
      </c>
      <c r="D1981" s="87" t="s">
        <v>4983</v>
      </c>
    </row>
    <row r="1982" spans="2:4" ht="15" x14ac:dyDescent="0.2">
      <c r="B1982" s="87" t="s">
        <v>2628</v>
      </c>
      <c r="C1982" s="88">
        <v>6070</v>
      </c>
      <c r="D1982" s="87" t="s">
        <v>4983</v>
      </c>
    </row>
    <row r="1983" spans="2:4" ht="15" x14ac:dyDescent="0.2">
      <c r="B1983" s="87" t="s">
        <v>2629</v>
      </c>
      <c r="C1983" s="88">
        <v>6070</v>
      </c>
      <c r="D1983" s="87" t="s">
        <v>4983</v>
      </c>
    </row>
    <row r="1984" spans="2:4" ht="15" x14ac:dyDescent="0.2">
      <c r="B1984" s="87" t="s">
        <v>2630</v>
      </c>
      <c r="C1984" s="88">
        <v>6070</v>
      </c>
      <c r="D1984" s="87" t="s">
        <v>4983</v>
      </c>
    </row>
    <row r="1985" spans="2:4" ht="15" x14ac:dyDescent="0.2">
      <c r="B1985" s="87" t="s">
        <v>2631</v>
      </c>
      <c r="C1985" s="88">
        <v>6070</v>
      </c>
      <c r="D1985" s="87" t="s">
        <v>4983</v>
      </c>
    </row>
    <row r="1986" spans="2:4" ht="15" x14ac:dyDescent="0.2">
      <c r="B1986" s="87" t="s">
        <v>2632</v>
      </c>
      <c r="C1986" s="88">
        <v>6070</v>
      </c>
      <c r="D1986" s="87" t="s">
        <v>4983</v>
      </c>
    </row>
    <row r="1987" spans="2:4" ht="15" x14ac:dyDescent="0.2">
      <c r="B1987" s="87" t="s">
        <v>2633</v>
      </c>
      <c r="C1987" s="88">
        <v>6080</v>
      </c>
      <c r="D1987" s="87" t="s">
        <v>4984</v>
      </c>
    </row>
    <row r="1988" spans="2:4" ht="15" x14ac:dyDescent="0.2">
      <c r="B1988" s="87" t="s">
        <v>2634</v>
      </c>
      <c r="C1988" s="88">
        <v>6080</v>
      </c>
      <c r="D1988" s="87" t="s">
        <v>4984</v>
      </c>
    </row>
    <row r="1989" spans="2:4" ht="15" x14ac:dyDescent="0.2">
      <c r="B1989" s="87" t="s">
        <v>2635</v>
      </c>
      <c r="C1989" s="88">
        <v>6080</v>
      </c>
      <c r="D1989" s="87" t="s">
        <v>4984</v>
      </c>
    </row>
    <row r="1990" spans="2:4" ht="15" x14ac:dyDescent="0.2">
      <c r="B1990" s="87" t="s">
        <v>2636</v>
      </c>
      <c r="C1990" s="88">
        <v>6080</v>
      </c>
      <c r="D1990" s="87" t="s">
        <v>4984</v>
      </c>
    </row>
    <row r="1991" spans="2:4" ht="15" x14ac:dyDescent="0.2">
      <c r="B1991" s="87" t="s">
        <v>2637</v>
      </c>
      <c r="C1991" s="88">
        <v>6080</v>
      </c>
      <c r="D1991" s="87" t="s">
        <v>4984</v>
      </c>
    </row>
    <row r="1992" spans="2:4" ht="15" x14ac:dyDescent="0.2">
      <c r="B1992" s="87" t="s">
        <v>2638</v>
      </c>
      <c r="C1992" s="88">
        <v>6080</v>
      </c>
      <c r="D1992" s="87" t="s">
        <v>4984</v>
      </c>
    </row>
    <row r="1993" spans="2:4" ht="15" x14ac:dyDescent="0.2">
      <c r="B1993" s="87" t="s">
        <v>2639</v>
      </c>
      <c r="C1993" s="88">
        <v>6080</v>
      </c>
      <c r="D1993" s="87" t="s">
        <v>4984</v>
      </c>
    </row>
    <row r="1994" spans="2:4" ht="15" x14ac:dyDescent="0.2">
      <c r="B1994" s="87" t="s">
        <v>2640</v>
      </c>
      <c r="C1994" s="88">
        <v>6080</v>
      </c>
      <c r="D1994" s="87" t="s">
        <v>4984</v>
      </c>
    </row>
    <row r="1995" spans="2:4" ht="15" x14ac:dyDescent="0.2">
      <c r="B1995" s="87" t="s">
        <v>2641</v>
      </c>
      <c r="C1995" s="88">
        <v>6080</v>
      </c>
      <c r="D1995" s="87" t="s">
        <v>4984</v>
      </c>
    </row>
    <row r="1996" spans="2:4" ht="15" x14ac:dyDescent="0.2">
      <c r="B1996" s="87" t="s">
        <v>2642</v>
      </c>
      <c r="C1996" s="88">
        <v>6080</v>
      </c>
      <c r="D1996" s="87" t="s">
        <v>4984</v>
      </c>
    </row>
    <row r="1997" spans="2:4" ht="15" x14ac:dyDescent="0.2">
      <c r="B1997" s="87" t="s">
        <v>2643</v>
      </c>
      <c r="C1997" s="88">
        <v>6080</v>
      </c>
      <c r="D1997" s="87" t="s">
        <v>4984</v>
      </c>
    </row>
    <row r="1998" spans="2:4" ht="15" x14ac:dyDescent="0.2">
      <c r="B1998" s="87" t="s">
        <v>2644</v>
      </c>
      <c r="C1998" s="88">
        <v>6100</v>
      </c>
      <c r="D1998" s="87" t="s">
        <v>4985</v>
      </c>
    </row>
    <row r="1999" spans="2:4" ht="15" x14ac:dyDescent="0.2">
      <c r="B1999" s="87" t="s">
        <v>2645</v>
      </c>
      <c r="C1999" s="88">
        <v>6100</v>
      </c>
      <c r="D1999" s="87" t="s">
        <v>4985</v>
      </c>
    </row>
    <row r="2000" spans="2:4" ht="15" x14ac:dyDescent="0.2">
      <c r="B2000" s="87" t="s">
        <v>2646</v>
      </c>
      <c r="C2000" s="88">
        <v>6100</v>
      </c>
      <c r="D2000" s="87" t="s">
        <v>4985</v>
      </c>
    </row>
    <row r="2001" spans="2:4" ht="15" x14ac:dyDescent="0.2">
      <c r="B2001" s="87" t="s">
        <v>2647</v>
      </c>
      <c r="C2001" s="88">
        <v>6100</v>
      </c>
      <c r="D2001" s="87" t="s">
        <v>4985</v>
      </c>
    </row>
    <row r="2002" spans="2:4" ht="15" x14ac:dyDescent="0.2">
      <c r="B2002" s="87" t="s">
        <v>2648</v>
      </c>
      <c r="C2002" s="88">
        <v>6100</v>
      </c>
      <c r="D2002" s="87" t="s">
        <v>4985</v>
      </c>
    </row>
    <row r="2003" spans="2:4" ht="15" x14ac:dyDescent="0.2">
      <c r="B2003" s="87" t="s">
        <v>2649</v>
      </c>
      <c r="C2003" s="88">
        <v>6100</v>
      </c>
      <c r="D2003" s="87" t="s">
        <v>4985</v>
      </c>
    </row>
    <row r="2004" spans="2:4" ht="15" x14ac:dyDescent="0.2">
      <c r="B2004" s="87" t="s">
        <v>2650</v>
      </c>
      <c r="C2004" s="88">
        <v>6100</v>
      </c>
      <c r="D2004" s="87" t="s">
        <v>4985</v>
      </c>
    </row>
    <row r="2005" spans="2:4" ht="15" x14ac:dyDescent="0.2">
      <c r="B2005" s="87" t="s">
        <v>2651</v>
      </c>
      <c r="C2005" s="88">
        <v>6100</v>
      </c>
      <c r="D2005" s="87" t="s">
        <v>4985</v>
      </c>
    </row>
    <row r="2006" spans="2:4" ht="15" x14ac:dyDescent="0.2">
      <c r="B2006" s="87" t="s">
        <v>2652</v>
      </c>
      <c r="C2006" s="88">
        <v>6100</v>
      </c>
      <c r="D2006" s="87" t="s">
        <v>4985</v>
      </c>
    </row>
    <row r="2007" spans="2:4" ht="15" x14ac:dyDescent="0.2">
      <c r="B2007" s="87" t="s">
        <v>2653</v>
      </c>
      <c r="C2007" s="88">
        <v>6100</v>
      </c>
      <c r="D2007" s="87" t="s">
        <v>4985</v>
      </c>
    </row>
    <row r="2008" spans="2:4" ht="15" x14ac:dyDescent="0.2">
      <c r="B2008" s="87" t="s">
        <v>2654</v>
      </c>
      <c r="C2008" s="88">
        <v>6100</v>
      </c>
      <c r="D2008" s="87" t="s">
        <v>4985</v>
      </c>
    </row>
    <row r="2009" spans="2:4" ht="15" x14ac:dyDescent="0.2">
      <c r="B2009" s="87" t="s">
        <v>2655</v>
      </c>
      <c r="C2009" s="88">
        <v>6100</v>
      </c>
      <c r="D2009" s="87" t="s">
        <v>4985</v>
      </c>
    </row>
    <row r="2010" spans="2:4" ht="15" x14ac:dyDescent="0.2">
      <c r="B2010" s="87" t="s">
        <v>2656</v>
      </c>
      <c r="C2010" s="88">
        <v>6100</v>
      </c>
      <c r="D2010" s="87" t="s">
        <v>4985</v>
      </c>
    </row>
    <row r="2011" spans="2:4" ht="15" x14ac:dyDescent="0.2">
      <c r="B2011" s="87" t="s">
        <v>2657</v>
      </c>
      <c r="C2011" s="88">
        <v>6100</v>
      </c>
      <c r="D2011" s="87" t="s">
        <v>4985</v>
      </c>
    </row>
    <row r="2012" spans="2:4" ht="15" x14ac:dyDescent="0.2">
      <c r="B2012" s="87" t="s">
        <v>2658</v>
      </c>
      <c r="C2012" s="88">
        <v>6100</v>
      </c>
      <c r="D2012" s="87" t="s">
        <v>4985</v>
      </c>
    </row>
    <row r="2013" spans="2:4" ht="15" x14ac:dyDescent="0.2">
      <c r="B2013" s="87" t="s">
        <v>2659</v>
      </c>
      <c r="C2013" s="88">
        <v>6100</v>
      </c>
      <c r="D2013" s="87" t="s">
        <v>4985</v>
      </c>
    </row>
    <row r="2014" spans="2:4" ht="15" x14ac:dyDescent="0.2">
      <c r="B2014" s="87" t="s">
        <v>2660</v>
      </c>
      <c r="C2014" s="88">
        <v>6100</v>
      </c>
      <c r="D2014" s="87" t="s">
        <v>4985</v>
      </c>
    </row>
    <row r="2015" spans="2:4" ht="15" x14ac:dyDescent="0.2">
      <c r="B2015" s="87" t="s">
        <v>2661</v>
      </c>
      <c r="C2015" s="88">
        <v>6100</v>
      </c>
      <c r="D2015" s="87" t="s">
        <v>4985</v>
      </c>
    </row>
    <row r="2016" spans="2:4" ht="15" x14ac:dyDescent="0.2">
      <c r="B2016" s="87" t="s">
        <v>2662</v>
      </c>
      <c r="C2016" s="88">
        <v>6100</v>
      </c>
      <c r="D2016" s="87" t="s">
        <v>4985</v>
      </c>
    </row>
    <row r="2017" spans="2:4" ht="15" x14ac:dyDescent="0.2">
      <c r="B2017" s="87" t="s">
        <v>2663</v>
      </c>
      <c r="C2017" s="88">
        <v>6100</v>
      </c>
      <c r="D2017" s="87" t="s">
        <v>4985</v>
      </c>
    </row>
    <row r="2018" spans="2:4" ht="15" x14ac:dyDescent="0.2">
      <c r="B2018" s="87" t="s">
        <v>2664</v>
      </c>
      <c r="C2018" s="88">
        <v>6100</v>
      </c>
      <c r="D2018" s="87" t="s">
        <v>4985</v>
      </c>
    </row>
    <row r="2019" spans="2:4" ht="15" x14ac:dyDescent="0.2">
      <c r="B2019" s="87" t="s">
        <v>2665</v>
      </c>
      <c r="C2019" s="88">
        <v>6100</v>
      </c>
      <c r="D2019" s="87" t="s">
        <v>4985</v>
      </c>
    </row>
    <row r="2020" spans="2:4" ht="15" x14ac:dyDescent="0.2">
      <c r="B2020" s="87" t="s">
        <v>2666</v>
      </c>
      <c r="C2020" s="88">
        <v>6100</v>
      </c>
      <c r="D2020" s="87" t="s">
        <v>4985</v>
      </c>
    </row>
    <row r="2021" spans="2:4" ht="15" x14ac:dyDescent="0.2">
      <c r="B2021" s="87" t="s">
        <v>2667</v>
      </c>
      <c r="C2021" s="88">
        <v>6100</v>
      </c>
      <c r="D2021" s="87" t="s">
        <v>4985</v>
      </c>
    </row>
    <row r="2022" spans="2:4" ht="15" x14ac:dyDescent="0.2">
      <c r="B2022" s="87" t="s">
        <v>2668</v>
      </c>
      <c r="C2022" s="88">
        <v>6100</v>
      </c>
      <c r="D2022" s="87" t="s">
        <v>4985</v>
      </c>
    </row>
    <row r="2023" spans="2:4" ht="15" x14ac:dyDescent="0.2">
      <c r="B2023" s="87" t="s">
        <v>2669</v>
      </c>
      <c r="C2023" s="88">
        <v>6100</v>
      </c>
      <c r="D2023" s="87" t="s">
        <v>4985</v>
      </c>
    </row>
    <row r="2024" spans="2:4" ht="15" x14ac:dyDescent="0.2">
      <c r="B2024" s="87" t="s">
        <v>2670</v>
      </c>
      <c r="C2024" s="88">
        <v>6100</v>
      </c>
      <c r="D2024" s="87" t="s">
        <v>4985</v>
      </c>
    </row>
    <row r="2025" spans="2:4" ht="15" x14ac:dyDescent="0.2">
      <c r="B2025" s="87" t="s">
        <v>2671</v>
      </c>
      <c r="C2025" s="88">
        <v>6100</v>
      </c>
      <c r="D2025" s="87" t="s">
        <v>4985</v>
      </c>
    </row>
    <row r="2026" spans="2:4" ht="15" x14ac:dyDescent="0.2">
      <c r="B2026" s="87" t="s">
        <v>2672</v>
      </c>
      <c r="C2026" s="88">
        <v>6110</v>
      </c>
      <c r="D2026" s="87" t="s">
        <v>4986</v>
      </c>
    </row>
    <row r="2027" spans="2:4" ht="15" x14ac:dyDescent="0.2">
      <c r="B2027" s="87" t="s">
        <v>2673</v>
      </c>
      <c r="C2027" s="88">
        <v>6110</v>
      </c>
      <c r="D2027" s="87" t="s">
        <v>4986</v>
      </c>
    </row>
    <row r="2028" spans="2:4" ht="15" x14ac:dyDescent="0.2">
      <c r="B2028" s="87" t="s">
        <v>2674</v>
      </c>
      <c r="C2028" s="88">
        <v>6110</v>
      </c>
      <c r="D2028" s="87" t="s">
        <v>4986</v>
      </c>
    </row>
    <row r="2029" spans="2:4" ht="15" x14ac:dyDescent="0.2">
      <c r="B2029" s="87" t="s">
        <v>2675</v>
      </c>
      <c r="C2029" s="88">
        <v>6110</v>
      </c>
      <c r="D2029" s="87" t="s">
        <v>4986</v>
      </c>
    </row>
    <row r="2030" spans="2:4" ht="15" x14ac:dyDescent="0.2">
      <c r="B2030" s="87" t="s">
        <v>2676</v>
      </c>
      <c r="C2030" s="88">
        <v>6110</v>
      </c>
      <c r="D2030" s="87" t="s">
        <v>4986</v>
      </c>
    </row>
    <row r="2031" spans="2:4" ht="15" x14ac:dyDescent="0.2">
      <c r="B2031" s="87" t="s">
        <v>2677</v>
      </c>
      <c r="C2031" s="88">
        <v>6110</v>
      </c>
      <c r="D2031" s="87" t="s">
        <v>4986</v>
      </c>
    </row>
    <row r="2032" spans="2:4" ht="15" x14ac:dyDescent="0.2">
      <c r="B2032" s="87" t="s">
        <v>2678</v>
      </c>
      <c r="C2032" s="88">
        <v>6110</v>
      </c>
      <c r="D2032" s="87" t="s">
        <v>4986</v>
      </c>
    </row>
    <row r="2033" spans="2:4" ht="15" x14ac:dyDescent="0.2">
      <c r="B2033" s="87" t="s">
        <v>2679</v>
      </c>
      <c r="C2033" s="88">
        <v>6110</v>
      </c>
      <c r="D2033" s="87" t="s">
        <v>4986</v>
      </c>
    </row>
    <row r="2034" spans="2:4" ht="15" x14ac:dyDescent="0.2">
      <c r="B2034" s="87" t="s">
        <v>2680</v>
      </c>
      <c r="C2034" s="88">
        <v>6130</v>
      </c>
      <c r="D2034" s="87" t="s">
        <v>4987</v>
      </c>
    </row>
    <row r="2035" spans="2:4" ht="15" x14ac:dyDescent="0.2">
      <c r="B2035" s="87" t="s">
        <v>2681</v>
      </c>
      <c r="C2035" s="88">
        <v>6130</v>
      </c>
      <c r="D2035" s="87" t="s">
        <v>4987</v>
      </c>
    </row>
    <row r="2036" spans="2:4" ht="15" x14ac:dyDescent="0.2">
      <c r="B2036" s="87" t="s">
        <v>2682</v>
      </c>
      <c r="C2036" s="88">
        <v>6130</v>
      </c>
      <c r="D2036" s="87" t="s">
        <v>4987</v>
      </c>
    </row>
    <row r="2037" spans="2:4" ht="15" x14ac:dyDescent="0.2">
      <c r="B2037" s="87" t="s">
        <v>2683</v>
      </c>
      <c r="C2037" s="88">
        <v>6130</v>
      </c>
      <c r="D2037" s="87" t="s">
        <v>4987</v>
      </c>
    </row>
    <row r="2038" spans="2:4" ht="15" x14ac:dyDescent="0.2">
      <c r="B2038" s="87" t="s">
        <v>2684</v>
      </c>
      <c r="C2038" s="88">
        <v>6130</v>
      </c>
      <c r="D2038" s="87" t="s">
        <v>4987</v>
      </c>
    </row>
    <row r="2039" spans="2:4" ht="15" x14ac:dyDescent="0.2">
      <c r="B2039" s="87" t="s">
        <v>2685</v>
      </c>
      <c r="C2039" s="88">
        <v>6140</v>
      </c>
      <c r="D2039" s="87" t="s">
        <v>4988</v>
      </c>
    </row>
    <row r="2040" spans="2:4" ht="15" x14ac:dyDescent="0.2">
      <c r="B2040" s="87" t="s">
        <v>2686</v>
      </c>
      <c r="C2040" s="88">
        <v>6140</v>
      </c>
      <c r="D2040" s="87" t="s">
        <v>4988</v>
      </c>
    </row>
    <row r="2041" spans="2:4" ht="15" x14ac:dyDescent="0.2">
      <c r="B2041" s="87" t="s">
        <v>2687</v>
      </c>
      <c r="C2041" s="88">
        <v>6140</v>
      </c>
      <c r="D2041" s="87" t="s">
        <v>4988</v>
      </c>
    </row>
    <row r="2042" spans="2:4" ht="15" x14ac:dyDescent="0.2">
      <c r="B2042" s="87" t="s">
        <v>2688</v>
      </c>
      <c r="C2042" s="88">
        <v>6140</v>
      </c>
      <c r="D2042" s="87" t="s">
        <v>4988</v>
      </c>
    </row>
    <row r="2043" spans="2:4" ht="15" x14ac:dyDescent="0.2">
      <c r="B2043" s="87" t="s">
        <v>2689</v>
      </c>
      <c r="C2043" s="88">
        <v>6140</v>
      </c>
      <c r="D2043" s="87" t="s">
        <v>5029</v>
      </c>
    </row>
    <row r="2044" spans="2:4" ht="15" x14ac:dyDescent="0.2">
      <c r="B2044" s="87" t="s">
        <v>2690</v>
      </c>
      <c r="C2044" s="88">
        <v>6140</v>
      </c>
      <c r="D2044" s="87" t="s">
        <v>5029</v>
      </c>
    </row>
    <row r="2045" spans="2:4" ht="15" x14ac:dyDescent="0.2">
      <c r="B2045" s="87" t="s">
        <v>2691</v>
      </c>
      <c r="C2045" s="88">
        <v>6140</v>
      </c>
      <c r="D2045" s="87" t="s">
        <v>5029</v>
      </c>
    </row>
    <row r="2046" spans="2:4" ht="15" x14ac:dyDescent="0.2">
      <c r="B2046" s="87" t="s">
        <v>2692</v>
      </c>
      <c r="C2046" s="88">
        <v>6160</v>
      </c>
      <c r="D2046" s="87" t="s">
        <v>4989</v>
      </c>
    </row>
    <row r="2047" spans="2:4" ht="15" x14ac:dyDescent="0.2">
      <c r="B2047" s="87" t="s">
        <v>2693</v>
      </c>
      <c r="C2047" s="88">
        <v>6160</v>
      </c>
      <c r="D2047" s="87" t="s">
        <v>4989</v>
      </c>
    </row>
    <row r="2048" spans="2:4" ht="15" x14ac:dyDescent="0.2">
      <c r="B2048" s="87" t="s">
        <v>2694</v>
      </c>
      <c r="C2048" s="88">
        <v>6160</v>
      </c>
      <c r="D2048" s="87" t="s">
        <v>4989</v>
      </c>
    </row>
    <row r="2049" spans="2:4" ht="15" x14ac:dyDescent="0.2">
      <c r="B2049" s="87" t="s">
        <v>2695</v>
      </c>
      <c r="C2049" s="88">
        <v>6170</v>
      </c>
      <c r="D2049" s="87" t="s">
        <v>4990</v>
      </c>
    </row>
    <row r="2050" spans="2:4" ht="15" x14ac:dyDescent="0.2">
      <c r="B2050" s="87" t="s">
        <v>2696</v>
      </c>
      <c r="C2050" s="88">
        <v>6170</v>
      </c>
      <c r="D2050" s="87" t="s">
        <v>4990</v>
      </c>
    </row>
    <row r="2051" spans="2:4" ht="15" x14ac:dyDescent="0.2">
      <c r="B2051" s="87" t="s">
        <v>2697</v>
      </c>
      <c r="C2051" s="88">
        <v>6170</v>
      </c>
      <c r="D2051" s="87" t="s">
        <v>4990</v>
      </c>
    </row>
    <row r="2052" spans="2:4" ht="15" x14ac:dyDescent="0.2">
      <c r="B2052" s="87" t="s">
        <v>2698</v>
      </c>
      <c r="C2052" s="88">
        <v>6190</v>
      </c>
      <c r="D2052" s="87" t="s">
        <v>4991</v>
      </c>
    </row>
    <row r="2053" spans="2:4" ht="15" x14ac:dyDescent="0.2">
      <c r="B2053" s="87" t="s">
        <v>2699</v>
      </c>
      <c r="C2053" s="88">
        <v>6190</v>
      </c>
      <c r="D2053" s="87" t="s">
        <v>4991</v>
      </c>
    </row>
    <row r="2054" spans="2:4" ht="15" x14ac:dyDescent="0.2">
      <c r="B2054" s="87" t="s">
        <v>2700</v>
      </c>
      <c r="C2054" s="88">
        <v>6190</v>
      </c>
      <c r="D2054" s="87" t="s">
        <v>4991</v>
      </c>
    </row>
    <row r="2055" spans="2:4" ht="15" x14ac:dyDescent="0.2">
      <c r="B2055" s="87" t="s">
        <v>2701</v>
      </c>
      <c r="C2055" s="88">
        <v>6210</v>
      </c>
      <c r="D2055" s="87" t="s">
        <v>4992</v>
      </c>
    </row>
    <row r="2056" spans="2:4" ht="15" x14ac:dyDescent="0.2">
      <c r="B2056" s="87" t="s">
        <v>2702</v>
      </c>
      <c r="C2056" s="88">
        <v>6210</v>
      </c>
      <c r="D2056" s="87" t="s">
        <v>4992</v>
      </c>
    </row>
    <row r="2057" spans="2:4" ht="15" x14ac:dyDescent="0.2">
      <c r="B2057" s="87" t="s">
        <v>2703</v>
      </c>
      <c r="C2057" s="88">
        <v>6220</v>
      </c>
      <c r="D2057" s="87" t="s">
        <v>4993</v>
      </c>
    </row>
    <row r="2058" spans="2:4" ht="15" x14ac:dyDescent="0.2">
      <c r="B2058" s="87" t="s">
        <v>2704</v>
      </c>
      <c r="C2058" s="88">
        <v>6220</v>
      </c>
      <c r="D2058" s="87" t="s">
        <v>4993</v>
      </c>
    </row>
    <row r="2059" spans="2:4" ht="15" x14ac:dyDescent="0.2">
      <c r="B2059" s="87" t="s">
        <v>2705</v>
      </c>
      <c r="C2059" s="88">
        <v>6220</v>
      </c>
      <c r="D2059" s="87" t="s">
        <v>4993</v>
      </c>
    </row>
    <row r="2060" spans="2:4" ht="15" x14ac:dyDescent="0.2">
      <c r="B2060" s="87" t="s">
        <v>2706</v>
      </c>
      <c r="C2060" s="88">
        <v>6240</v>
      </c>
      <c r="D2060" s="87" t="s">
        <v>4994</v>
      </c>
    </row>
    <row r="2061" spans="2:4" ht="15" x14ac:dyDescent="0.2">
      <c r="B2061" s="87" t="s">
        <v>2707</v>
      </c>
      <c r="C2061" s="88">
        <v>6240</v>
      </c>
      <c r="D2061" s="87" t="s">
        <v>4994</v>
      </c>
    </row>
    <row r="2062" spans="2:4" ht="15" x14ac:dyDescent="0.2">
      <c r="B2062" s="87" t="s">
        <v>2708</v>
      </c>
      <c r="C2062" s="88">
        <v>6240</v>
      </c>
      <c r="D2062" s="87" t="s">
        <v>4995</v>
      </c>
    </row>
    <row r="2063" spans="2:4" ht="15" x14ac:dyDescent="0.2">
      <c r="B2063" s="87" t="s">
        <v>2709</v>
      </c>
      <c r="C2063" s="88">
        <v>6240</v>
      </c>
      <c r="D2063" s="87" t="s">
        <v>4995</v>
      </c>
    </row>
    <row r="2064" spans="2:4" ht="15" x14ac:dyDescent="0.2">
      <c r="B2064" s="87" t="s">
        <v>2710</v>
      </c>
      <c r="C2064" s="88">
        <v>6240</v>
      </c>
      <c r="D2064" s="87" t="s">
        <v>4995</v>
      </c>
    </row>
    <row r="2065" spans="2:4" ht="15" x14ac:dyDescent="0.2">
      <c r="B2065" s="87" t="s">
        <v>2711</v>
      </c>
      <c r="C2065" s="88">
        <v>6250</v>
      </c>
      <c r="D2065" s="87" t="s">
        <v>4996</v>
      </c>
    </row>
    <row r="2066" spans="2:4" ht="15" x14ac:dyDescent="0.2">
      <c r="B2066" s="87" t="s">
        <v>2712</v>
      </c>
      <c r="C2066" s="88">
        <v>6250</v>
      </c>
      <c r="D2066" s="87" t="s">
        <v>4996</v>
      </c>
    </row>
    <row r="2067" spans="2:4" ht="15" x14ac:dyDescent="0.2">
      <c r="B2067" s="87" t="s">
        <v>2713</v>
      </c>
      <c r="C2067" s="88">
        <v>6270</v>
      </c>
      <c r="D2067" s="87" t="s">
        <v>4997</v>
      </c>
    </row>
    <row r="2068" spans="2:4" ht="15" x14ac:dyDescent="0.2">
      <c r="B2068" s="87" t="s">
        <v>2714</v>
      </c>
      <c r="C2068" s="88">
        <v>6270</v>
      </c>
      <c r="D2068" s="87" t="s">
        <v>4997</v>
      </c>
    </row>
    <row r="2069" spans="2:4" ht="15" x14ac:dyDescent="0.2">
      <c r="B2069" s="87" t="s">
        <v>2715</v>
      </c>
      <c r="C2069" s="88">
        <v>6270</v>
      </c>
      <c r="D2069" s="87" t="s">
        <v>4997</v>
      </c>
    </row>
    <row r="2070" spans="2:4" ht="15" x14ac:dyDescent="0.2">
      <c r="B2070" s="87" t="s">
        <v>2716</v>
      </c>
      <c r="C2070" s="88">
        <v>6280</v>
      </c>
      <c r="D2070" s="87" t="s">
        <v>4998</v>
      </c>
    </row>
    <row r="2071" spans="2:4" ht="15" x14ac:dyDescent="0.2">
      <c r="B2071" s="87" t="s">
        <v>2717</v>
      </c>
      <c r="C2071" s="88">
        <v>6280</v>
      </c>
      <c r="D2071" s="87" t="s">
        <v>4998</v>
      </c>
    </row>
    <row r="2072" spans="2:4" ht="15" x14ac:dyDescent="0.2">
      <c r="B2072" s="87" t="s">
        <v>2718</v>
      </c>
      <c r="C2072" s="88">
        <v>6300</v>
      </c>
      <c r="D2072" s="87" t="s">
        <v>4999</v>
      </c>
    </row>
    <row r="2073" spans="2:4" ht="15" x14ac:dyDescent="0.2">
      <c r="B2073" s="87" t="s">
        <v>2719</v>
      </c>
      <c r="C2073" s="88">
        <v>6300</v>
      </c>
      <c r="D2073" s="87" t="s">
        <v>4999</v>
      </c>
    </row>
    <row r="2074" spans="2:4" ht="15" x14ac:dyDescent="0.2">
      <c r="B2074" s="87" t="s">
        <v>2720</v>
      </c>
      <c r="C2074" s="88">
        <v>6300</v>
      </c>
      <c r="D2074" s="87" t="s">
        <v>4999</v>
      </c>
    </row>
    <row r="2075" spans="2:4" ht="15" x14ac:dyDescent="0.2">
      <c r="B2075" s="87" t="s">
        <v>2721</v>
      </c>
      <c r="C2075" s="88">
        <v>6310</v>
      </c>
      <c r="D2075" s="87" t="s">
        <v>5000</v>
      </c>
    </row>
    <row r="2076" spans="2:4" ht="15" x14ac:dyDescent="0.2">
      <c r="B2076" s="87" t="s">
        <v>2722</v>
      </c>
      <c r="C2076" s="88">
        <v>6310</v>
      </c>
      <c r="D2076" s="87" t="s">
        <v>5000</v>
      </c>
    </row>
    <row r="2077" spans="2:4" ht="15" x14ac:dyDescent="0.2">
      <c r="B2077" s="87" t="s">
        <v>2723</v>
      </c>
      <c r="C2077" s="88">
        <v>6330</v>
      </c>
      <c r="D2077" s="87" t="s">
        <v>5001</v>
      </c>
    </row>
    <row r="2078" spans="2:4" ht="15" x14ac:dyDescent="0.2">
      <c r="B2078" s="87" t="s">
        <v>2724</v>
      </c>
      <c r="C2078" s="88">
        <v>6330</v>
      </c>
      <c r="D2078" s="87" t="s">
        <v>5001</v>
      </c>
    </row>
    <row r="2079" spans="2:4" ht="15" x14ac:dyDescent="0.2">
      <c r="B2079" s="87" t="s">
        <v>2725</v>
      </c>
      <c r="C2079" s="88">
        <v>6330</v>
      </c>
      <c r="D2079" s="87" t="s">
        <v>5001</v>
      </c>
    </row>
    <row r="2080" spans="2:4" ht="15" x14ac:dyDescent="0.2">
      <c r="B2080" s="87" t="s">
        <v>2726</v>
      </c>
      <c r="C2080" s="88">
        <v>6330</v>
      </c>
      <c r="D2080" s="87" t="s">
        <v>5001</v>
      </c>
    </row>
    <row r="2081" spans="2:4" ht="15" x14ac:dyDescent="0.2">
      <c r="B2081" s="87" t="s">
        <v>2727</v>
      </c>
      <c r="C2081" s="88">
        <v>6330</v>
      </c>
      <c r="D2081" s="87" t="s">
        <v>5002</v>
      </c>
    </row>
    <row r="2082" spans="2:4" ht="15" x14ac:dyDescent="0.2">
      <c r="B2082" s="87" t="s">
        <v>2728</v>
      </c>
      <c r="C2082" s="88">
        <v>6330</v>
      </c>
      <c r="D2082" s="87" t="s">
        <v>5002</v>
      </c>
    </row>
    <row r="2083" spans="2:4" ht="15" x14ac:dyDescent="0.2">
      <c r="B2083" s="87" t="s">
        <v>2729</v>
      </c>
      <c r="C2083" s="88">
        <v>6340</v>
      </c>
      <c r="D2083" s="87" t="s">
        <v>5003</v>
      </c>
    </row>
    <row r="2084" spans="2:4" ht="15" x14ac:dyDescent="0.2">
      <c r="B2084" s="87" t="s">
        <v>2730</v>
      </c>
      <c r="C2084" s="88">
        <v>6340</v>
      </c>
      <c r="D2084" s="87" t="s">
        <v>5003</v>
      </c>
    </row>
    <row r="2085" spans="2:4" ht="15" x14ac:dyDescent="0.2">
      <c r="B2085" s="87" t="s">
        <v>2731</v>
      </c>
      <c r="C2085" s="88">
        <v>6340</v>
      </c>
      <c r="D2085" s="87" t="s">
        <v>5003</v>
      </c>
    </row>
    <row r="2086" spans="2:4" ht="15" x14ac:dyDescent="0.2">
      <c r="B2086" s="87" t="s">
        <v>2732</v>
      </c>
      <c r="C2086" s="88">
        <v>6360</v>
      </c>
      <c r="D2086" s="87" t="s">
        <v>5004</v>
      </c>
    </row>
    <row r="2087" spans="2:4" ht="15" x14ac:dyDescent="0.2">
      <c r="B2087" s="87" t="s">
        <v>2733</v>
      </c>
      <c r="C2087" s="88">
        <v>6360</v>
      </c>
      <c r="D2087" s="87" t="s">
        <v>5004</v>
      </c>
    </row>
    <row r="2088" spans="2:4" ht="15" x14ac:dyDescent="0.2">
      <c r="B2088" s="87" t="s">
        <v>2734</v>
      </c>
      <c r="C2088" s="88">
        <v>6360</v>
      </c>
      <c r="D2088" s="87" t="s">
        <v>5004</v>
      </c>
    </row>
    <row r="2089" spans="2:4" ht="15" x14ac:dyDescent="0.2">
      <c r="B2089" s="87" t="s">
        <v>2735</v>
      </c>
      <c r="C2089" s="88">
        <v>6370</v>
      </c>
      <c r="D2089" s="87" t="s">
        <v>5005</v>
      </c>
    </row>
    <row r="2090" spans="2:4" ht="15" x14ac:dyDescent="0.2">
      <c r="B2090" s="87" t="s">
        <v>2736</v>
      </c>
      <c r="C2090" s="88">
        <v>6370</v>
      </c>
      <c r="D2090" s="87" t="s">
        <v>5005</v>
      </c>
    </row>
    <row r="2091" spans="2:4" ht="15" x14ac:dyDescent="0.2">
      <c r="B2091" s="87" t="s">
        <v>2737</v>
      </c>
      <c r="C2091" s="88">
        <v>6370</v>
      </c>
      <c r="D2091" s="87" t="s">
        <v>5005</v>
      </c>
    </row>
    <row r="2092" spans="2:4" ht="15" x14ac:dyDescent="0.2">
      <c r="B2092" s="87" t="s">
        <v>2738</v>
      </c>
      <c r="C2092" s="88">
        <v>6390</v>
      </c>
      <c r="D2092" s="87" t="s">
        <v>5006</v>
      </c>
    </row>
    <row r="2093" spans="2:4" ht="15" x14ac:dyDescent="0.2">
      <c r="B2093" s="87" t="s">
        <v>2739</v>
      </c>
      <c r="C2093" s="88">
        <v>6390</v>
      </c>
      <c r="D2093" s="87" t="s">
        <v>5006</v>
      </c>
    </row>
    <row r="2094" spans="2:4" ht="15" x14ac:dyDescent="0.2">
      <c r="B2094" s="87" t="s">
        <v>2740</v>
      </c>
      <c r="C2094" s="88">
        <v>6400</v>
      </c>
      <c r="D2094" s="87" t="s">
        <v>5007</v>
      </c>
    </row>
    <row r="2095" spans="2:4" ht="15" x14ac:dyDescent="0.2">
      <c r="B2095" s="87" t="s">
        <v>2741</v>
      </c>
      <c r="C2095" s="88">
        <v>6400</v>
      </c>
      <c r="D2095" s="87" t="s">
        <v>5007</v>
      </c>
    </row>
    <row r="2096" spans="2:4" ht="15" x14ac:dyDescent="0.2">
      <c r="B2096" s="87" t="s">
        <v>2742</v>
      </c>
      <c r="C2096" s="88">
        <v>6400</v>
      </c>
      <c r="D2096" s="87" t="s">
        <v>5007</v>
      </c>
    </row>
    <row r="2097" spans="2:4" ht="15" x14ac:dyDescent="0.2">
      <c r="B2097" s="87" t="s">
        <v>2743</v>
      </c>
      <c r="C2097" s="88">
        <v>6420</v>
      </c>
      <c r="D2097" s="87" t="s">
        <v>5008</v>
      </c>
    </row>
    <row r="2098" spans="2:4" ht="15" x14ac:dyDescent="0.2">
      <c r="B2098" s="87" t="s">
        <v>2744</v>
      </c>
      <c r="C2098" s="88">
        <v>6420</v>
      </c>
      <c r="D2098" s="87" t="s">
        <v>5008</v>
      </c>
    </row>
    <row r="2099" spans="2:4" ht="15" x14ac:dyDescent="0.2">
      <c r="B2099" s="87" t="s">
        <v>2745</v>
      </c>
      <c r="C2099" s="88">
        <v>6420</v>
      </c>
      <c r="D2099" s="87" t="s">
        <v>5008</v>
      </c>
    </row>
    <row r="2100" spans="2:4" ht="15" x14ac:dyDescent="0.2">
      <c r="B2100" s="87" t="s">
        <v>2746</v>
      </c>
      <c r="C2100" s="88">
        <v>6420</v>
      </c>
      <c r="D2100" s="87" t="s">
        <v>5009</v>
      </c>
    </row>
    <row r="2101" spans="2:4" ht="15" x14ac:dyDescent="0.2">
      <c r="B2101" s="87" t="s">
        <v>2747</v>
      </c>
      <c r="C2101" s="88">
        <v>6420</v>
      </c>
      <c r="D2101" s="87" t="s">
        <v>5009</v>
      </c>
    </row>
    <row r="2102" spans="2:4" ht="15" x14ac:dyDescent="0.2">
      <c r="B2102" s="87" t="s">
        <v>2748</v>
      </c>
      <c r="C2102" s="88">
        <v>6420</v>
      </c>
      <c r="D2102" s="87" t="s">
        <v>5009</v>
      </c>
    </row>
    <row r="2103" spans="2:4" ht="15" x14ac:dyDescent="0.2">
      <c r="B2103" s="87" t="s">
        <v>2749</v>
      </c>
      <c r="C2103" s="88">
        <v>6430</v>
      </c>
      <c r="D2103" s="87" t="s">
        <v>5010</v>
      </c>
    </row>
    <row r="2104" spans="2:4" ht="15" x14ac:dyDescent="0.2">
      <c r="B2104" s="87" t="s">
        <v>2750</v>
      </c>
      <c r="C2104" s="88">
        <v>6430</v>
      </c>
      <c r="D2104" s="87" t="s">
        <v>5010</v>
      </c>
    </row>
    <row r="2105" spans="2:4" ht="15" x14ac:dyDescent="0.2">
      <c r="B2105" s="87" t="s">
        <v>2751</v>
      </c>
      <c r="C2105" s="88">
        <v>6430</v>
      </c>
      <c r="D2105" s="87" t="s">
        <v>5010</v>
      </c>
    </row>
    <row r="2106" spans="2:4" ht="15" x14ac:dyDescent="0.2">
      <c r="B2106" s="87" t="s">
        <v>2752</v>
      </c>
      <c r="C2106" s="88">
        <v>6450</v>
      </c>
      <c r="D2106" s="87" t="s">
        <v>5011</v>
      </c>
    </row>
    <row r="2107" spans="2:4" ht="15" x14ac:dyDescent="0.2">
      <c r="B2107" s="87" t="s">
        <v>2753</v>
      </c>
      <c r="C2107" s="88">
        <v>6450</v>
      </c>
      <c r="D2107" s="87" t="s">
        <v>5011</v>
      </c>
    </row>
    <row r="2108" spans="2:4" ht="15" x14ac:dyDescent="0.2">
      <c r="B2108" s="87" t="s">
        <v>2754</v>
      </c>
      <c r="C2108" s="88">
        <v>6450</v>
      </c>
      <c r="D2108" s="87" t="s">
        <v>5011</v>
      </c>
    </row>
    <row r="2109" spans="2:4" ht="15" x14ac:dyDescent="0.2">
      <c r="B2109" s="87" t="s">
        <v>2755</v>
      </c>
      <c r="C2109" s="88">
        <v>6460</v>
      </c>
      <c r="D2109" s="87" t="s">
        <v>5012</v>
      </c>
    </row>
    <row r="2110" spans="2:4" ht="15" x14ac:dyDescent="0.2">
      <c r="B2110" s="87" t="s">
        <v>2756</v>
      </c>
      <c r="C2110" s="88">
        <v>6460</v>
      </c>
      <c r="D2110" s="87" t="s">
        <v>5012</v>
      </c>
    </row>
    <row r="2111" spans="2:4" ht="15" x14ac:dyDescent="0.2">
      <c r="B2111" s="87" t="s">
        <v>2757</v>
      </c>
      <c r="C2111" s="88">
        <v>6480</v>
      </c>
      <c r="D2111" s="87" t="s">
        <v>5013</v>
      </c>
    </row>
    <row r="2112" spans="2:4" ht="15" x14ac:dyDescent="0.2">
      <c r="B2112" s="87" t="s">
        <v>2758</v>
      </c>
      <c r="C2112" s="88">
        <v>6480</v>
      </c>
      <c r="D2112" s="87" t="s">
        <v>5013</v>
      </c>
    </row>
    <row r="2113" spans="2:4" ht="15" x14ac:dyDescent="0.2">
      <c r="B2113" s="87" t="s">
        <v>2759</v>
      </c>
      <c r="C2113" s="88">
        <v>6480</v>
      </c>
      <c r="D2113" s="87" t="s">
        <v>5013</v>
      </c>
    </row>
    <row r="2114" spans="2:4" ht="15" x14ac:dyDescent="0.2">
      <c r="B2114" s="87" t="s">
        <v>2760</v>
      </c>
      <c r="C2114" s="88">
        <v>6480</v>
      </c>
      <c r="D2114" s="87" t="s">
        <v>5013</v>
      </c>
    </row>
    <row r="2115" spans="2:4" ht="15" x14ac:dyDescent="0.2">
      <c r="B2115" s="87" t="s">
        <v>2761</v>
      </c>
      <c r="C2115" s="88">
        <v>6500</v>
      </c>
      <c r="D2115" s="87" t="s">
        <v>5014</v>
      </c>
    </row>
    <row r="2116" spans="2:4" ht="15" x14ac:dyDescent="0.2">
      <c r="B2116" s="87" t="s">
        <v>2762</v>
      </c>
      <c r="C2116" s="88">
        <v>6500</v>
      </c>
      <c r="D2116" s="87" t="s">
        <v>5014</v>
      </c>
    </row>
    <row r="2117" spans="2:4" ht="15" x14ac:dyDescent="0.2">
      <c r="B2117" s="87" t="s">
        <v>2763</v>
      </c>
      <c r="C2117" s="88">
        <v>6510</v>
      </c>
      <c r="D2117" s="87" t="s">
        <v>5015</v>
      </c>
    </row>
    <row r="2118" spans="2:4" ht="15" x14ac:dyDescent="0.2">
      <c r="B2118" s="87" t="s">
        <v>2764</v>
      </c>
      <c r="C2118" s="88">
        <v>6510</v>
      </c>
      <c r="D2118" s="87" t="s">
        <v>5015</v>
      </c>
    </row>
    <row r="2119" spans="2:4" ht="15" x14ac:dyDescent="0.2">
      <c r="B2119" s="87" t="s">
        <v>2765</v>
      </c>
      <c r="C2119" s="88">
        <v>6510</v>
      </c>
      <c r="D2119" s="87" t="s">
        <v>5015</v>
      </c>
    </row>
    <row r="2120" spans="2:4" ht="15" x14ac:dyDescent="0.2">
      <c r="B2120" s="87" t="s">
        <v>2766</v>
      </c>
      <c r="C2120" s="88">
        <v>6510</v>
      </c>
      <c r="D2120" s="87" t="s">
        <v>5015</v>
      </c>
    </row>
    <row r="2121" spans="2:4" ht="15" x14ac:dyDescent="0.2">
      <c r="B2121" s="87" t="s">
        <v>2767</v>
      </c>
      <c r="C2121" s="88">
        <v>6510</v>
      </c>
      <c r="D2121" s="87" t="s">
        <v>5016</v>
      </c>
    </row>
    <row r="2122" spans="2:4" ht="15" x14ac:dyDescent="0.2">
      <c r="B2122" s="87" t="s">
        <v>2768</v>
      </c>
      <c r="C2122" s="88">
        <v>6510</v>
      </c>
      <c r="D2122" s="87" t="s">
        <v>5016</v>
      </c>
    </row>
    <row r="2123" spans="2:4" ht="15" x14ac:dyDescent="0.2">
      <c r="B2123" s="87" t="s">
        <v>2769</v>
      </c>
      <c r="C2123" s="88">
        <v>6510</v>
      </c>
      <c r="D2123" s="87" t="s">
        <v>5016</v>
      </c>
    </row>
    <row r="2124" spans="2:4" ht="15" x14ac:dyDescent="0.2">
      <c r="B2124" s="87" t="s">
        <v>2770</v>
      </c>
      <c r="C2124" s="88">
        <v>6510</v>
      </c>
      <c r="D2124" s="87" t="s">
        <v>5016</v>
      </c>
    </row>
    <row r="2125" spans="2:4" ht="15" x14ac:dyDescent="0.2">
      <c r="B2125" s="87" t="s">
        <v>2771</v>
      </c>
      <c r="C2125" s="88">
        <v>6530</v>
      </c>
      <c r="D2125" s="87" t="s">
        <v>5017</v>
      </c>
    </row>
    <row r="2126" spans="2:4" ht="15" x14ac:dyDescent="0.2">
      <c r="B2126" s="87" t="s">
        <v>2772</v>
      </c>
      <c r="C2126" s="88">
        <v>6530</v>
      </c>
      <c r="D2126" s="87" t="s">
        <v>5017</v>
      </c>
    </row>
    <row r="2127" spans="2:4" ht="15" x14ac:dyDescent="0.2">
      <c r="B2127" s="87" t="s">
        <v>2773</v>
      </c>
      <c r="C2127" s="88">
        <v>6530</v>
      </c>
      <c r="D2127" s="87" t="s">
        <v>5017</v>
      </c>
    </row>
    <row r="2128" spans="2:4" ht="15" x14ac:dyDescent="0.2">
      <c r="B2128" s="87" t="s">
        <v>2774</v>
      </c>
      <c r="C2128" s="88">
        <v>6530</v>
      </c>
      <c r="D2128" s="87" t="s">
        <v>5017</v>
      </c>
    </row>
    <row r="2129" spans="2:4" ht="15" x14ac:dyDescent="0.2">
      <c r="B2129" s="87" t="s">
        <v>2775</v>
      </c>
      <c r="C2129" s="88">
        <v>6530</v>
      </c>
      <c r="D2129" s="87" t="s">
        <v>5017</v>
      </c>
    </row>
    <row r="2130" spans="2:4" ht="15" x14ac:dyDescent="0.2">
      <c r="B2130" s="87" t="s">
        <v>2776</v>
      </c>
      <c r="C2130" s="88">
        <v>6540</v>
      </c>
      <c r="D2130" s="87" t="s">
        <v>5018</v>
      </c>
    </row>
    <row r="2131" spans="2:4" ht="15" x14ac:dyDescent="0.2">
      <c r="B2131" s="87" t="s">
        <v>2777</v>
      </c>
      <c r="C2131" s="88">
        <v>6540</v>
      </c>
      <c r="D2131" s="87" t="s">
        <v>5018</v>
      </c>
    </row>
    <row r="2132" spans="2:4" ht="15" x14ac:dyDescent="0.2">
      <c r="B2132" s="87" t="s">
        <v>2778</v>
      </c>
      <c r="C2132" s="88">
        <v>6540</v>
      </c>
      <c r="D2132" s="87" t="s">
        <v>5018</v>
      </c>
    </row>
    <row r="2133" spans="2:4" ht="15" x14ac:dyDescent="0.2">
      <c r="B2133" s="87" t="s">
        <v>2779</v>
      </c>
      <c r="C2133" s="88">
        <v>6560</v>
      </c>
      <c r="D2133" s="87" t="s">
        <v>5019</v>
      </c>
    </row>
    <row r="2134" spans="2:4" ht="15" x14ac:dyDescent="0.2">
      <c r="B2134" s="87" t="s">
        <v>2780</v>
      </c>
      <c r="C2134" s="88">
        <v>6560</v>
      </c>
      <c r="D2134" s="87" t="s">
        <v>5019</v>
      </c>
    </row>
    <row r="2135" spans="2:4" ht="15" x14ac:dyDescent="0.2">
      <c r="B2135" s="87" t="s">
        <v>2781</v>
      </c>
      <c r="C2135" s="88">
        <v>6560</v>
      </c>
      <c r="D2135" s="87" t="s">
        <v>5019</v>
      </c>
    </row>
    <row r="2136" spans="2:4" ht="15" x14ac:dyDescent="0.2">
      <c r="B2136" s="87" t="s">
        <v>2782</v>
      </c>
      <c r="C2136" s="88">
        <v>6560</v>
      </c>
      <c r="D2136" s="87" t="s">
        <v>5019</v>
      </c>
    </row>
    <row r="2137" spans="2:4" ht="15" x14ac:dyDescent="0.2">
      <c r="B2137" s="87" t="s">
        <v>2783</v>
      </c>
      <c r="C2137" s="88">
        <v>6560</v>
      </c>
      <c r="D2137" s="87" t="s">
        <v>5019</v>
      </c>
    </row>
    <row r="2138" spans="2:4" ht="15" x14ac:dyDescent="0.2">
      <c r="B2138" s="87" t="s">
        <v>2784</v>
      </c>
      <c r="C2138" s="88">
        <v>6570</v>
      </c>
      <c r="D2138" s="87" t="s">
        <v>5020</v>
      </c>
    </row>
    <row r="2139" spans="2:4" ht="15" x14ac:dyDescent="0.2">
      <c r="B2139" s="87" t="s">
        <v>2785</v>
      </c>
      <c r="C2139" s="88">
        <v>6570</v>
      </c>
      <c r="D2139" s="87" t="s">
        <v>5020</v>
      </c>
    </row>
    <row r="2140" spans="2:4" ht="15" x14ac:dyDescent="0.2">
      <c r="B2140" s="87" t="s">
        <v>2786</v>
      </c>
      <c r="C2140" s="88">
        <v>6570</v>
      </c>
      <c r="D2140" s="87" t="s">
        <v>5020</v>
      </c>
    </row>
    <row r="2141" spans="2:4" ht="15" x14ac:dyDescent="0.2">
      <c r="B2141" s="87" t="s">
        <v>2787</v>
      </c>
      <c r="C2141" s="88">
        <v>6570</v>
      </c>
      <c r="D2141" s="87" t="s">
        <v>5020</v>
      </c>
    </row>
    <row r="2142" spans="2:4" ht="15" x14ac:dyDescent="0.2">
      <c r="B2142" s="87" t="s">
        <v>2788</v>
      </c>
      <c r="C2142" s="88">
        <v>6590</v>
      </c>
      <c r="D2142" s="87" t="s">
        <v>5021</v>
      </c>
    </row>
    <row r="2143" spans="2:4" ht="15" x14ac:dyDescent="0.2">
      <c r="B2143" s="87" t="s">
        <v>2789</v>
      </c>
      <c r="C2143" s="88">
        <v>6590</v>
      </c>
      <c r="D2143" s="87" t="s">
        <v>5021</v>
      </c>
    </row>
    <row r="2144" spans="2:4" ht="15" x14ac:dyDescent="0.2">
      <c r="B2144" s="87" t="s">
        <v>2790</v>
      </c>
      <c r="C2144" s="88">
        <v>6590</v>
      </c>
      <c r="D2144" s="87" t="s">
        <v>5021</v>
      </c>
    </row>
    <row r="2145" spans="2:4" ht="15" x14ac:dyDescent="0.2">
      <c r="B2145" s="87" t="s">
        <v>2791</v>
      </c>
      <c r="C2145" s="88">
        <v>6590</v>
      </c>
      <c r="D2145" s="87" t="s">
        <v>5021</v>
      </c>
    </row>
    <row r="2146" spans="2:4" ht="15" x14ac:dyDescent="0.2">
      <c r="B2146" s="87" t="s">
        <v>2792</v>
      </c>
      <c r="C2146" s="88">
        <v>6590</v>
      </c>
      <c r="D2146" s="87" t="s">
        <v>5021</v>
      </c>
    </row>
    <row r="2147" spans="2:4" ht="15" x14ac:dyDescent="0.2">
      <c r="B2147" s="87" t="s">
        <v>2793</v>
      </c>
      <c r="C2147" s="88">
        <v>6600</v>
      </c>
      <c r="D2147" s="87" t="s">
        <v>5022</v>
      </c>
    </row>
    <row r="2148" spans="2:4" ht="15" x14ac:dyDescent="0.2">
      <c r="B2148" s="87" t="s">
        <v>2794</v>
      </c>
      <c r="C2148" s="88">
        <v>6600</v>
      </c>
      <c r="D2148" s="87" t="s">
        <v>5022</v>
      </c>
    </row>
    <row r="2149" spans="2:4" ht="15" x14ac:dyDescent="0.2">
      <c r="B2149" s="87" t="s">
        <v>2795</v>
      </c>
      <c r="C2149" s="88">
        <v>6600</v>
      </c>
      <c r="D2149" s="87" t="s">
        <v>5022</v>
      </c>
    </row>
    <row r="2150" spans="2:4" ht="15" x14ac:dyDescent="0.2">
      <c r="B2150" s="87" t="s">
        <v>2796</v>
      </c>
      <c r="C2150" s="88">
        <v>6600</v>
      </c>
      <c r="D2150" s="87" t="s">
        <v>5023</v>
      </c>
    </row>
    <row r="2151" spans="2:4" ht="15" x14ac:dyDescent="0.2">
      <c r="B2151" s="87" t="s">
        <v>2797</v>
      </c>
      <c r="C2151" s="88">
        <v>6600</v>
      </c>
      <c r="D2151" s="87" t="s">
        <v>5023</v>
      </c>
    </row>
    <row r="2152" spans="2:4" ht="15" x14ac:dyDescent="0.2">
      <c r="B2152" s="87" t="s">
        <v>2798</v>
      </c>
      <c r="C2152" s="88">
        <v>6600</v>
      </c>
      <c r="D2152" s="87" t="s">
        <v>5023</v>
      </c>
    </row>
    <row r="2153" spans="2:4" ht="15" x14ac:dyDescent="0.2">
      <c r="B2153" s="87" t="s">
        <v>2799</v>
      </c>
      <c r="C2153" s="88">
        <v>6600</v>
      </c>
      <c r="D2153" s="87" t="s">
        <v>5023</v>
      </c>
    </row>
    <row r="2154" spans="2:4" ht="15" x14ac:dyDescent="0.2">
      <c r="B2154" s="87" t="s">
        <v>2800</v>
      </c>
      <c r="C2154" s="88">
        <v>6620</v>
      </c>
      <c r="D2154" s="87" t="s">
        <v>5024</v>
      </c>
    </row>
    <row r="2155" spans="2:4" ht="15" x14ac:dyDescent="0.2">
      <c r="B2155" s="87" t="s">
        <v>2801</v>
      </c>
      <c r="C2155" s="88">
        <v>6620</v>
      </c>
      <c r="D2155" s="87" t="s">
        <v>5024</v>
      </c>
    </row>
    <row r="2156" spans="2:4" ht="15" x14ac:dyDescent="0.2">
      <c r="B2156" s="87" t="s">
        <v>2802</v>
      </c>
      <c r="C2156" s="88">
        <v>6620</v>
      </c>
      <c r="D2156" s="87" t="s">
        <v>5024</v>
      </c>
    </row>
    <row r="2157" spans="2:4" ht="15" x14ac:dyDescent="0.2">
      <c r="B2157" s="87" t="s">
        <v>2803</v>
      </c>
      <c r="C2157" s="88">
        <v>6620</v>
      </c>
      <c r="D2157" s="87" t="s">
        <v>5024</v>
      </c>
    </row>
    <row r="2158" spans="2:4" ht="15" x14ac:dyDescent="0.2">
      <c r="B2158" s="87" t="s">
        <v>2804</v>
      </c>
      <c r="C2158" s="88">
        <v>6630</v>
      </c>
      <c r="D2158" s="87" t="s">
        <v>5025</v>
      </c>
    </row>
    <row r="2159" spans="2:4" ht="15" x14ac:dyDescent="0.2">
      <c r="B2159" s="87" t="s">
        <v>2805</v>
      </c>
      <c r="C2159" s="88">
        <v>6630</v>
      </c>
      <c r="D2159" s="87" t="s">
        <v>5025</v>
      </c>
    </row>
    <row r="2160" spans="2:4" ht="15" x14ac:dyDescent="0.2">
      <c r="B2160" s="87" t="s">
        <v>2806</v>
      </c>
      <c r="C2160" s="88">
        <v>6630</v>
      </c>
      <c r="D2160" s="87" t="s">
        <v>5025</v>
      </c>
    </row>
    <row r="2161" spans="2:4" ht="15" x14ac:dyDescent="0.2">
      <c r="B2161" s="87" t="s">
        <v>2807</v>
      </c>
      <c r="C2161" s="88">
        <v>6650</v>
      </c>
      <c r="D2161" s="87" t="s">
        <v>5026</v>
      </c>
    </row>
    <row r="2162" spans="2:4" ht="15" x14ac:dyDescent="0.2">
      <c r="B2162" s="87" t="s">
        <v>2808</v>
      </c>
      <c r="C2162" s="88">
        <v>6650</v>
      </c>
      <c r="D2162" s="87" t="s">
        <v>5026</v>
      </c>
    </row>
    <row r="2163" spans="2:4" ht="15" x14ac:dyDescent="0.2">
      <c r="B2163" s="87" t="s">
        <v>2809</v>
      </c>
      <c r="C2163" s="88">
        <v>6650</v>
      </c>
      <c r="D2163" s="87" t="s">
        <v>5026</v>
      </c>
    </row>
    <row r="2164" spans="2:4" ht="15" x14ac:dyDescent="0.2">
      <c r="B2164" s="87" t="s">
        <v>2810</v>
      </c>
      <c r="C2164" s="88">
        <v>6670</v>
      </c>
      <c r="D2164" s="87" t="s">
        <v>5027</v>
      </c>
    </row>
    <row r="2165" spans="2:4" ht="15" x14ac:dyDescent="0.2">
      <c r="B2165" s="87" t="s">
        <v>2811</v>
      </c>
      <c r="C2165" s="88">
        <v>6670</v>
      </c>
      <c r="D2165" s="87" t="s">
        <v>5027</v>
      </c>
    </row>
    <row r="2166" spans="2:4" ht="15" x14ac:dyDescent="0.2">
      <c r="B2166" s="87" t="s">
        <v>2812</v>
      </c>
      <c r="C2166" s="88">
        <v>6670</v>
      </c>
      <c r="D2166" s="87" t="s">
        <v>5027</v>
      </c>
    </row>
    <row r="2167" spans="2:4" ht="15" x14ac:dyDescent="0.2">
      <c r="B2167" s="87" t="s">
        <v>2813</v>
      </c>
      <c r="C2167" s="88">
        <v>6670</v>
      </c>
      <c r="D2167" s="87" t="s">
        <v>5027</v>
      </c>
    </row>
    <row r="2168" spans="2:4" ht="15" x14ac:dyDescent="0.2">
      <c r="B2168" s="87" t="s">
        <v>2814</v>
      </c>
      <c r="C2168" s="88">
        <v>6680</v>
      </c>
      <c r="D2168" s="87" t="s">
        <v>5028</v>
      </c>
    </row>
    <row r="2169" spans="2:4" ht="15" x14ac:dyDescent="0.2">
      <c r="B2169" s="87" t="s">
        <v>2815</v>
      </c>
      <c r="C2169" s="88">
        <v>6680</v>
      </c>
      <c r="D2169" s="87" t="s">
        <v>5028</v>
      </c>
    </row>
    <row r="2170" spans="2:4" ht="15" x14ac:dyDescent="0.2">
      <c r="B2170" s="87" t="s">
        <v>2816</v>
      </c>
      <c r="C2170" s="88">
        <v>6680</v>
      </c>
      <c r="D2170" s="87" t="s">
        <v>5028</v>
      </c>
    </row>
    <row r="2171" spans="2:4" ht="15" x14ac:dyDescent="0.2">
      <c r="B2171" s="87" t="s">
        <v>2817</v>
      </c>
      <c r="C2171" s="88">
        <v>6680</v>
      </c>
      <c r="D2171" s="87" t="s">
        <v>5028</v>
      </c>
    </row>
    <row r="2172" spans="2:4" ht="15" x14ac:dyDescent="0.2">
      <c r="B2172" s="87" t="s">
        <v>2818</v>
      </c>
      <c r="C2172" s="88">
        <v>6700</v>
      </c>
      <c r="D2172" s="87" t="s">
        <v>5063</v>
      </c>
    </row>
    <row r="2173" spans="2:4" ht="15" x14ac:dyDescent="0.2">
      <c r="B2173" s="87" t="s">
        <v>2819</v>
      </c>
      <c r="C2173" s="88">
        <v>6700</v>
      </c>
      <c r="D2173" s="87" t="s">
        <v>5063</v>
      </c>
    </row>
    <row r="2174" spans="2:4" ht="15" x14ac:dyDescent="0.2">
      <c r="B2174" s="87" t="s">
        <v>2820</v>
      </c>
      <c r="C2174" s="88">
        <v>6700</v>
      </c>
      <c r="D2174" s="87" t="s">
        <v>5063</v>
      </c>
    </row>
    <row r="2175" spans="2:4" ht="15" x14ac:dyDescent="0.2">
      <c r="B2175" s="87" t="s">
        <v>2821</v>
      </c>
      <c r="C2175" s="88">
        <v>6700</v>
      </c>
      <c r="D2175" s="87" t="s">
        <v>5063</v>
      </c>
    </row>
    <row r="2176" spans="2:4" ht="15" x14ac:dyDescent="0.2">
      <c r="B2176" s="87" t="s">
        <v>2822</v>
      </c>
      <c r="C2176" s="88">
        <v>6700</v>
      </c>
      <c r="D2176" s="87" t="s">
        <v>5064</v>
      </c>
    </row>
    <row r="2177" spans="2:4" ht="15" x14ac:dyDescent="0.2">
      <c r="B2177" s="87" t="s">
        <v>2823</v>
      </c>
      <c r="C2177" s="88">
        <v>6700</v>
      </c>
      <c r="D2177" s="87" t="s">
        <v>5064</v>
      </c>
    </row>
    <row r="2178" spans="2:4" ht="15" x14ac:dyDescent="0.2">
      <c r="B2178" s="87" t="s">
        <v>2824</v>
      </c>
      <c r="C2178" s="88">
        <v>6700</v>
      </c>
      <c r="D2178" s="87" t="s">
        <v>5064</v>
      </c>
    </row>
    <row r="2179" spans="2:4" ht="15" x14ac:dyDescent="0.2">
      <c r="B2179" s="87" t="s">
        <v>2825</v>
      </c>
      <c r="C2179" s="88">
        <v>6700</v>
      </c>
      <c r="D2179" s="87" t="s">
        <v>5064</v>
      </c>
    </row>
    <row r="2180" spans="2:4" ht="15" x14ac:dyDescent="0.2">
      <c r="B2180" s="87" t="s">
        <v>2826</v>
      </c>
      <c r="C2180" s="88">
        <v>6710</v>
      </c>
      <c r="D2180" s="87" t="s">
        <v>5065</v>
      </c>
    </row>
    <row r="2181" spans="2:4" ht="15" x14ac:dyDescent="0.2">
      <c r="B2181" s="87" t="s">
        <v>2827</v>
      </c>
      <c r="C2181" s="88">
        <v>6710</v>
      </c>
      <c r="D2181" s="87" t="s">
        <v>5065</v>
      </c>
    </row>
    <row r="2182" spans="2:4" ht="15" x14ac:dyDescent="0.2">
      <c r="B2182" s="87" t="s">
        <v>2828</v>
      </c>
      <c r="C2182" s="88">
        <v>6710</v>
      </c>
      <c r="D2182" s="87" t="s">
        <v>5065</v>
      </c>
    </row>
    <row r="2183" spans="2:4" ht="15" x14ac:dyDescent="0.2">
      <c r="B2183" s="87" t="s">
        <v>2829</v>
      </c>
      <c r="C2183" s="88">
        <v>6710</v>
      </c>
      <c r="D2183" s="87" t="s">
        <v>5065</v>
      </c>
    </row>
    <row r="2184" spans="2:4" ht="15" x14ac:dyDescent="0.2">
      <c r="B2184" s="87" t="s">
        <v>2830</v>
      </c>
      <c r="C2184" s="88">
        <v>6730</v>
      </c>
      <c r="D2184" s="87" t="s">
        <v>5145</v>
      </c>
    </row>
    <row r="2185" spans="2:4" ht="15" x14ac:dyDescent="0.2">
      <c r="B2185" s="87" t="s">
        <v>2831</v>
      </c>
      <c r="C2185" s="88">
        <v>6730</v>
      </c>
      <c r="D2185" s="87" t="s">
        <v>5145</v>
      </c>
    </row>
    <row r="2186" spans="2:4" ht="15" x14ac:dyDescent="0.2">
      <c r="B2186" s="87" t="s">
        <v>2832</v>
      </c>
      <c r="C2186" s="88">
        <v>6730</v>
      </c>
      <c r="D2186" s="87" t="s">
        <v>5145</v>
      </c>
    </row>
    <row r="2187" spans="2:4" ht="15" x14ac:dyDescent="0.2">
      <c r="B2187" s="87" t="s">
        <v>2833</v>
      </c>
      <c r="C2187" s="88">
        <v>6740</v>
      </c>
      <c r="D2187" s="87" t="s">
        <v>5066</v>
      </c>
    </row>
    <row r="2188" spans="2:4" ht="15" x14ac:dyDescent="0.2">
      <c r="B2188" s="87" t="s">
        <v>2834</v>
      </c>
      <c r="C2188" s="88">
        <v>6740</v>
      </c>
      <c r="D2188" s="87" t="s">
        <v>5066</v>
      </c>
    </row>
    <row r="2189" spans="2:4" ht="15" x14ac:dyDescent="0.2">
      <c r="B2189" s="87" t="s">
        <v>2835</v>
      </c>
      <c r="C2189" s="88">
        <v>6740</v>
      </c>
      <c r="D2189" s="87" t="s">
        <v>5066</v>
      </c>
    </row>
    <row r="2190" spans="2:4" ht="15" x14ac:dyDescent="0.2">
      <c r="B2190" s="87" t="s">
        <v>2836</v>
      </c>
      <c r="C2190" s="88">
        <v>6740</v>
      </c>
      <c r="D2190" s="87" t="s">
        <v>5066</v>
      </c>
    </row>
    <row r="2191" spans="2:4" ht="15" x14ac:dyDescent="0.2">
      <c r="B2191" s="87" t="s">
        <v>2837</v>
      </c>
      <c r="C2191" s="88">
        <v>6760</v>
      </c>
      <c r="D2191" s="87" t="s">
        <v>5067</v>
      </c>
    </row>
    <row r="2192" spans="2:4" ht="15" x14ac:dyDescent="0.2">
      <c r="B2192" s="87" t="s">
        <v>2838</v>
      </c>
      <c r="C2192" s="88">
        <v>6760</v>
      </c>
      <c r="D2192" s="87" t="s">
        <v>5067</v>
      </c>
    </row>
    <row r="2193" spans="2:4" ht="15" x14ac:dyDescent="0.2">
      <c r="B2193" s="87" t="s">
        <v>2839</v>
      </c>
      <c r="C2193" s="88">
        <v>6760</v>
      </c>
      <c r="D2193" s="87" t="s">
        <v>5067</v>
      </c>
    </row>
    <row r="2194" spans="2:4" ht="15" x14ac:dyDescent="0.2">
      <c r="B2194" s="87" t="s">
        <v>2840</v>
      </c>
      <c r="C2194" s="88">
        <v>6780</v>
      </c>
      <c r="D2194" s="87" t="s">
        <v>5068</v>
      </c>
    </row>
    <row r="2195" spans="2:4" ht="15" x14ac:dyDescent="0.2">
      <c r="B2195" s="87" t="s">
        <v>2841</v>
      </c>
      <c r="C2195" s="88">
        <v>6780</v>
      </c>
      <c r="D2195" s="87" t="s">
        <v>5068</v>
      </c>
    </row>
    <row r="2196" spans="2:4" ht="15" x14ac:dyDescent="0.2">
      <c r="B2196" s="87" t="s">
        <v>2842</v>
      </c>
      <c r="C2196" s="88">
        <v>6780</v>
      </c>
      <c r="D2196" s="87" t="s">
        <v>5068</v>
      </c>
    </row>
    <row r="2197" spans="2:4" ht="15" x14ac:dyDescent="0.2">
      <c r="B2197" s="87" t="s">
        <v>2843</v>
      </c>
      <c r="C2197" s="88">
        <v>6780</v>
      </c>
      <c r="D2197" s="87" t="s">
        <v>5068</v>
      </c>
    </row>
    <row r="2198" spans="2:4" ht="15" x14ac:dyDescent="0.2">
      <c r="B2198" s="87" t="s">
        <v>2844</v>
      </c>
      <c r="C2198" s="88">
        <v>6780</v>
      </c>
      <c r="D2198" s="87" t="s">
        <v>5068</v>
      </c>
    </row>
    <row r="2199" spans="2:4" ht="15" x14ac:dyDescent="0.2">
      <c r="B2199" s="87" t="s">
        <v>2845</v>
      </c>
      <c r="C2199" s="88">
        <v>6790</v>
      </c>
      <c r="D2199" s="87" t="s">
        <v>5069</v>
      </c>
    </row>
    <row r="2200" spans="2:4" ht="15" x14ac:dyDescent="0.2">
      <c r="B2200" s="87" t="s">
        <v>2846</v>
      </c>
      <c r="C2200" s="88">
        <v>6790</v>
      </c>
      <c r="D2200" s="87" t="s">
        <v>5069</v>
      </c>
    </row>
    <row r="2201" spans="2:4" ht="15" x14ac:dyDescent="0.2">
      <c r="B2201" s="87" t="s">
        <v>2847</v>
      </c>
      <c r="C2201" s="88">
        <v>6790</v>
      </c>
      <c r="D2201" s="87" t="s">
        <v>5069</v>
      </c>
    </row>
    <row r="2202" spans="2:4" ht="15" x14ac:dyDescent="0.2">
      <c r="B2202" s="87" t="s">
        <v>2848</v>
      </c>
      <c r="C2202" s="88">
        <v>6790</v>
      </c>
      <c r="D2202" s="87" t="s">
        <v>5069</v>
      </c>
    </row>
    <row r="2203" spans="2:4" ht="15" x14ac:dyDescent="0.2">
      <c r="B2203" s="87" t="s">
        <v>2849</v>
      </c>
      <c r="C2203" s="88">
        <v>6790</v>
      </c>
      <c r="D2203" s="87" t="s">
        <v>5069</v>
      </c>
    </row>
    <row r="2204" spans="2:4" ht="15" x14ac:dyDescent="0.2">
      <c r="B2204" s="87" t="s">
        <v>2850</v>
      </c>
      <c r="C2204" s="88">
        <v>6790</v>
      </c>
      <c r="D2204" s="87" t="s">
        <v>5069</v>
      </c>
    </row>
    <row r="2205" spans="2:4" ht="15" x14ac:dyDescent="0.2">
      <c r="B2205" s="87" t="s">
        <v>2851</v>
      </c>
      <c r="C2205" s="88">
        <v>6790</v>
      </c>
      <c r="D2205" s="87" t="s">
        <v>5070</v>
      </c>
    </row>
    <row r="2206" spans="2:4" ht="15" x14ac:dyDescent="0.2">
      <c r="B2206" s="87" t="s">
        <v>2852</v>
      </c>
      <c r="C2206" s="88">
        <v>6790</v>
      </c>
      <c r="D2206" s="87" t="s">
        <v>5070</v>
      </c>
    </row>
    <row r="2207" spans="2:4" ht="15" x14ac:dyDescent="0.2">
      <c r="B2207" s="87" t="s">
        <v>2853</v>
      </c>
      <c r="C2207" s="88">
        <v>6790</v>
      </c>
      <c r="D2207" s="87" t="s">
        <v>5070</v>
      </c>
    </row>
    <row r="2208" spans="2:4" ht="15" x14ac:dyDescent="0.2">
      <c r="B2208" s="87" t="s">
        <v>2854</v>
      </c>
      <c r="C2208" s="88">
        <v>6790</v>
      </c>
      <c r="D2208" s="87" t="s">
        <v>5070</v>
      </c>
    </row>
    <row r="2209" spans="2:4" ht="15" x14ac:dyDescent="0.2">
      <c r="B2209" s="87" t="s">
        <v>2855</v>
      </c>
      <c r="C2209" s="88">
        <v>6790</v>
      </c>
      <c r="D2209" s="87" t="s">
        <v>5070</v>
      </c>
    </row>
    <row r="2210" spans="2:4" ht="15" x14ac:dyDescent="0.2">
      <c r="B2210" s="87" t="s">
        <v>2856</v>
      </c>
      <c r="C2210" s="88">
        <v>6790</v>
      </c>
      <c r="D2210" s="87" t="s">
        <v>5070</v>
      </c>
    </row>
    <row r="2211" spans="2:4" ht="15" x14ac:dyDescent="0.2">
      <c r="B2211" s="87" t="s">
        <v>2857</v>
      </c>
      <c r="C2211" s="88">
        <v>6790</v>
      </c>
      <c r="D2211" s="87" t="s">
        <v>5070</v>
      </c>
    </row>
    <row r="2212" spans="2:4" ht="15" x14ac:dyDescent="0.2">
      <c r="B2212" s="87" t="s">
        <v>2858</v>
      </c>
      <c r="C2212" s="88">
        <v>6810</v>
      </c>
      <c r="D2212" s="87" t="s">
        <v>5144</v>
      </c>
    </row>
    <row r="2213" spans="2:4" ht="15" x14ac:dyDescent="0.2">
      <c r="B2213" s="87" t="s">
        <v>2859</v>
      </c>
      <c r="C2213" s="88">
        <v>6810</v>
      </c>
      <c r="D2213" s="87" t="s">
        <v>5144</v>
      </c>
    </row>
    <row r="2214" spans="2:4" ht="15" x14ac:dyDescent="0.2">
      <c r="B2214" s="87" t="s">
        <v>2860</v>
      </c>
      <c r="C2214" s="88">
        <v>6810</v>
      </c>
      <c r="D2214" s="87" t="s">
        <v>5144</v>
      </c>
    </row>
    <row r="2215" spans="2:4" ht="15" x14ac:dyDescent="0.2">
      <c r="B2215" s="87" t="s">
        <v>2861</v>
      </c>
      <c r="C2215" s="88">
        <v>6810</v>
      </c>
      <c r="D2215" s="87" t="s">
        <v>5144</v>
      </c>
    </row>
    <row r="2216" spans="2:4" ht="15" x14ac:dyDescent="0.2">
      <c r="B2216" s="87" t="s">
        <v>2862</v>
      </c>
      <c r="C2216" s="88">
        <v>6810</v>
      </c>
      <c r="D2216" s="87" t="s">
        <v>5144</v>
      </c>
    </row>
    <row r="2217" spans="2:4" ht="15" x14ac:dyDescent="0.2">
      <c r="B2217" s="87" t="s">
        <v>2863</v>
      </c>
      <c r="C2217" s="88">
        <v>6810</v>
      </c>
      <c r="D2217" s="87" t="s">
        <v>5144</v>
      </c>
    </row>
    <row r="2218" spans="2:4" ht="15" x14ac:dyDescent="0.2">
      <c r="B2218" s="87" t="s">
        <v>2864</v>
      </c>
      <c r="C2218" s="88">
        <v>6810</v>
      </c>
      <c r="D2218" s="87" t="s">
        <v>5144</v>
      </c>
    </row>
    <row r="2219" spans="2:4" ht="15" x14ac:dyDescent="0.2">
      <c r="B2219" s="87" t="s">
        <v>2865</v>
      </c>
      <c r="C2219" s="88">
        <v>6820</v>
      </c>
      <c r="D2219" s="87" t="s">
        <v>5071</v>
      </c>
    </row>
    <row r="2220" spans="2:4" ht="15" x14ac:dyDescent="0.2">
      <c r="B2220" s="87" t="s">
        <v>2866</v>
      </c>
      <c r="C2220" s="88">
        <v>6820</v>
      </c>
      <c r="D2220" s="87" t="s">
        <v>5071</v>
      </c>
    </row>
    <row r="2221" spans="2:4" ht="15" x14ac:dyDescent="0.2">
      <c r="B2221" s="87" t="s">
        <v>2867</v>
      </c>
      <c r="C2221" s="88">
        <v>6820</v>
      </c>
      <c r="D2221" s="87" t="s">
        <v>5071</v>
      </c>
    </row>
    <row r="2222" spans="2:4" ht="15" x14ac:dyDescent="0.2">
      <c r="B2222" s="87" t="s">
        <v>2868</v>
      </c>
      <c r="C2222" s="88">
        <v>6820</v>
      </c>
      <c r="D2222" s="87" t="s">
        <v>5071</v>
      </c>
    </row>
    <row r="2223" spans="2:4" ht="15" x14ac:dyDescent="0.2">
      <c r="B2223" s="87" t="s">
        <v>2869</v>
      </c>
      <c r="C2223" s="88">
        <v>6820</v>
      </c>
      <c r="D2223" s="87" t="s">
        <v>5071</v>
      </c>
    </row>
    <row r="2224" spans="2:4" ht="15" x14ac:dyDescent="0.2">
      <c r="B2224" s="87" t="s">
        <v>2870</v>
      </c>
      <c r="C2224" s="88">
        <v>6820</v>
      </c>
      <c r="D2224" s="87" t="s">
        <v>5071</v>
      </c>
    </row>
    <row r="2225" spans="2:4" ht="15" x14ac:dyDescent="0.2">
      <c r="B2225" s="87" t="s">
        <v>2871</v>
      </c>
      <c r="C2225" s="88">
        <v>6820</v>
      </c>
      <c r="D2225" s="87" t="s">
        <v>5071</v>
      </c>
    </row>
    <row r="2226" spans="2:4" ht="15" x14ac:dyDescent="0.2">
      <c r="B2226" s="87" t="s">
        <v>2872</v>
      </c>
      <c r="C2226" s="88">
        <v>6820</v>
      </c>
      <c r="D2226" s="87" t="s">
        <v>5071</v>
      </c>
    </row>
    <row r="2227" spans="2:4" ht="15" x14ac:dyDescent="0.2">
      <c r="B2227" s="87" t="s">
        <v>2873</v>
      </c>
      <c r="C2227" s="88">
        <v>6840</v>
      </c>
      <c r="D2227" s="87" t="s">
        <v>5072</v>
      </c>
    </row>
    <row r="2228" spans="2:4" ht="15" x14ac:dyDescent="0.2">
      <c r="B2228" s="87" t="s">
        <v>2874</v>
      </c>
      <c r="C2228" s="88">
        <v>6840</v>
      </c>
      <c r="D2228" s="87" t="s">
        <v>5072</v>
      </c>
    </row>
    <row r="2229" spans="2:4" ht="15" x14ac:dyDescent="0.2">
      <c r="B2229" s="87" t="s">
        <v>2875</v>
      </c>
      <c r="C2229" s="88">
        <v>6840</v>
      </c>
      <c r="D2229" s="87" t="s">
        <v>5072</v>
      </c>
    </row>
    <row r="2230" spans="2:4" ht="15" x14ac:dyDescent="0.2">
      <c r="B2230" s="87" t="s">
        <v>2876</v>
      </c>
      <c r="C2230" s="88">
        <v>6840</v>
      </c>
      <c r="D2230" s="87" t="s">
        <v>5072</v>
      </c>
    </row>
    <row r="2231" spans="2:4" ht="15" x14ac:dyDescent="0.2">
      <c r="B2231" s="87" t="s">
        <v>2877</v>
      </c>
      <c r="C2231" s="88">
        <v>6840</v>
      </c>
      <c r="D2231" s="87" t="s">
        <v>5072</v>
      </c>
    </row>
    <row r="2232" spans="2:4" ht="15" x14ac:dyDescent="0.2">
      <c r="B2232" s="87" t="s">
        <v>2878</v>
      </c>
      <c r="C2232" s="88">
        <v>6840</v>
      </c>
      <c r="D2232" s="87" t="s">
        <v>5072</v>
      </c>
    </row>
    <row r="2233" spans="2:4" ht="15" x14ac:dyDescent="0.2">
      <c r="B2233" s="87" t="s">
        <v>2879</v>
      </c>
      <c r="C2233" s="88">
        <v>6840</v>
      </c>
      <c r="D2233" s="87" t="s">
        <v>5072</v>
      </c>
    </row>
    <row r="2234" spans="2:4" ht="15" x14ac:dyDescent="0.2">
      <c r="B2234" s="87" t="s">
        <v>2880</v>
      </c>
      <c r="C2234" s="88">
        <v>6840</v>
      </c>
      <c r="D2234" s="87" t="s">
        <v>5072</v>
      </c>
    </row>
    <row r="2235" spans="2:4" ht="15" x14ac:dyDescent="0.2">
      <c r="B2235" s="87" t="s">
        <v>2881</v>
      </c>
      <c r="C2235" s="88">
        <v>6840</v>
      </c>
      <c r="D2235" s="87" t="s">
        <v>5072</v>
      </c>
    </row>
    <row r="2236" spans="2:4" ht="15" x14ac:dyDescent="0.2">
      <c r="B2236" s="87" t="s">
        <v>2882</v>
      </c>
      <c r="C2236" s="88">
        <v>6850</v>
      </c>
      <c r="D2236" s="87" t="s">
        <v>5073</v>
      </c>
    </row>
    <row r="2237" spans="2:4" ht="15" x14ac:dyDescent="0.2">
      <c r="B2237" s="87" t="s">
        <v>2883</v>
      </c>
      <c r="C2237" s="88">
        <v>6850</v>
      </c>
      <c r="D2237" s="87" t="s">
        <v>5073</v>
      </c>
    </row>
    <row r="2238" spans="2:4" ht="15" x14ac:dyDescent="0.2">
      <c r="B2238" s="87" t="s">
        <v>2884</v>
      </c>
      <c r="C2238" s="88">
        <v>6850</v>
      </c>
      <c r="D2238" s="87" t="s">
        <v>5073</v>
      </c>
    </row>
    <row r="2239" spans="2:4" ht="15" x14ac:dyDescent="0.2">
      <c r="B2239" s="87" t="s">
        <v>2885</v>
      </c>
      <c r="C2239" s="88">
        <v>6850</v>
      </c>
      <c r="D2239" s="87" t="s">
        <v>5073</v>
      </c>
    </row>
    <row r="2240" spans="2:4" ht="15" x14ac:dyDescent="0.2">
      <c r="B2240" s="87" t="s">
        <v>2886</v>
      </c>
      <c r="C2240" s="88">
        <v>6850</v>
      </c>
      <c r="D2240" s="87" t="s">
        <v>5073</v>
      </c>
    </row>
    <row r="2241" spans="2:4" ht="15" x14ac:dyDescent="0.2">
      <c r="B2241" s="87" t="s">
        <v>2887</v>
      </c>
      <c r="C2241" s="88">
        <v>6850</v>
      </c>
      <c r="D2241" s="87" t="s">
        <v>5073</v>
      </c>
    </row>
    <row r="2242" spans="2:4" ht="15" x14ac:dyDescent="0.2">
      <c r="B2242" s="87" t="s">
        <v>2888</v>
      </c>
      <c r="C2242" s="88">
        <v>6850</v>
      </c>
      <c r="D2242" s="87" t="s">
        <v>5073</v>
      </c>
    </row>
    <row r="2243" spans="2:4" ht="15" x14ac:dyDescent="0.2">
      <c r="B2243" s="87" t="s">
        <v>2889</v>
      </c>
      <c r="C2243" s="88">
        <v>6850</v>
      </c>
      <c r="D2243" s="87" t="s">
        <v>5073</v>
      </c>
    </row>
    <row r="2244" spans="2:4" ht="15" x14ac:dyDescent="0.2">
      <c r="B2244" s="87" t="s">
        <v>2890</v>
      </c>
      <c r="C2244" s="88">
        <v>6850</v>
      </c>
      <c r="D2244" s="87" t="s">
        <v>5073</v>
      </c>
    </row>
    <row r="2245" spans="2:4" ht="15" x14ac:dyDescent="0.2">
      <c r="B2245" s="87" t="s">
        <v>2891</v>
      </c>
      <c r="C2245" s="88">
        <v>6870</v>
      </c>
      <c r="D2245" s="87" t="s">
        <v>5074</v>
      </c>
    </row>
    <row r="2246" spans="2:4" ht="15" x14ac:dyDescent="0.2">
      <c r="B2246" s="87" t="s">
        <v>2892</v>
      </c>
      <c r="C2246" s="88">
        <v>6870</v>
      </c>
      <c r="D2246" s="87" t="s">
        <v>5074</v>
      </c>
    </row>
    <row r="2247" spans="2:4" ht="15" x14ac:dyDescent="0.2">
      <c r="B2247" s="87" t="s">
        <v>2893</v>
      </c>
      <c r="C2247" s="88">
        <v>6870</v>
      </c>
      <c r="D2247" s="87" t="s">
        <v>5074</v>
      </c>
    </row>
    <row r="2248" spans="2:4" ht="15" x14ac:dyDescent="0.2">
      <c r="B2248" s="87" t="s">
        <v>2894</v>
      </c>
      <c r="C2248" s="88">
        <v>6870</v>
      </c>
      <c r="D2248" s="87" t="s">
        <v>5074</v>
      </c>
    </row>
    <row r="2249" spans="2:4" ht="15" x14ac:dyDescent="0.2">
      <c r="B2249" s="87" t="s">
        <v>2895</v>
      </c>
      <c r="C2249" s="88">
        <v>6870</v>
      </c>
      <c r="D2249" s="87" t="s">
        <v>5074</v>
      </c>
    </row>
    <row r="2250" spans="2:4" ht="15" x14ac:dyDescent="0.2">
      <c r="B2250" s="87" t="s">
        <v>2896</v>
      </c>
      <c r="C2250" s="88">
        <v>6870</v>
      </c>
      <c r="D2250" s="87" t="s">
        <v>5074</v>
      </c>
    </row>
    <row r="2251" spans="2:4" ht="15" x14ac:dyDescent="0.2">
      <c r="B2251" s="87" t="s">
        <v>2897</v>
      </c>
      <c r="C2251" s="88">
        <v>6870</v>
      </c>
      <c r="D2251" s="87" t="s">
        <v>5074</v>
      </c>
    </row>
    <row r="2252" spans="2:4" ht="15" x14ac:dyDescent="0.2">
      <c r="B2252" s="87" t="s">
        <v>2898</v>
      </c>
      <c r="C2252" s="88">
        <v>6870</v>
      </c>
      <c r="D2252" s="87" t="s">
        <v>5074</v>
      </c>
    </row>
    <row r="2253" spans="2:4" ht="15" x14ac:dyDescent="0.2">
      <c r="B2253" s="87" t="s">
        <v>2899</v>
      </c>
      <c r="C2253" s="88">
        <v>6880</v>
      </c>
      <c r="D2253" s="87" t="s">
        <v>5143</v>
      </c>
    </row>
    <row r="2254" spans="2:4" ht="15" x14ac:dyDescent="0.2">
      <c r="B2254" s="87" t="s">
        <v>2900</v>
      </c>
      <c r="C2254" s="88">
        <v>6880</v>
      </c>
      <c r="D2254" s="87" t="s">
        <v>5143</v>
      </c>
    </row>
    <row r="2255" spans="2:4" ht="15" x14ac:dyDescent="0.2">
      <c r="B2255" s="87" t="s">
        <v>2901</v>
      </c>
      <c r="C2255" s="88">
        <v>6880</v>
      </c>
      <c r="D2255" s="87" t="s">
        <v>5143</v>
      </c>
    </row>
    <row r="2256" spans="2:4" ht="15" x14ac:dyDescent="0.2">
      <c r="B2256" s="87" t="s">
        <v>2902</v>
      </c>
      <c r="C2256" s="88">
        <v>6880</v>
      </c>
      <c r="D2256" s="87" t="s">
        <v>5143</v>
      </c>
    </row>
    <row r="2257" spans="2:4" ht="15" x14ac:dyDescent="0.2">
      <c r="B2257" s="87" t="s">
        <v>2903</v>
      </c>
      <c r="C2257" s="88">
        <v>6880</v>
      </c>
      <c r="D2257" s="87" t="s">
        <v>5143</v>
      </c>
    </row>
    <row r="2258" spans="2:4" ht="15" x14ac:dyDescent="0.2">
      <c r="B2258" s="87" t="s">
        <v>2904</v>
      </c>
      <c r="C2258" s="88">
        <v>6880</v>
      </c>
      <c r="D2258" s="87" t="s">
        <v>5143</v>
      </c>
    </row>
    <row r="2259" spans="2:4" ht="15" x14ac:dyDescent="0.2">
      <c r="B2259" s="87" t="s">
        <v>2905</v>
      </c>
      <c r="C2259" s="88">
        <v>6880</v>
      </c>
      <c r="D2259" s="87" t="s">
        <v>5143</v>
      </c>
    </row>
    <row r="2260" spans="2:4" ht="15" x14ac:dyDescent="0.2">
      <c r="B2260" s="87" t="s">
        <v>2906</v>
      </c>
      <c r="C2260" s="88">
        <v>6880</v>
      </c>
      <c r="D2260" s="87" t="s">
        <v>5075</v>
      </c>
    </row>
    <row r="2261" spans="2:4" ht="15" x14ac:dyDescent="0.2">
      <c r="B2261" s="87" t="s">
        <v>2907</v>
      </c>
      <c r="C2261" s="88">
        <v>6880</v>
      </c>
      <c r="D2261" s="87" t="s">
        <v>5075</v>
      </c>
    </row>
    <row r="2262" spans="2:4" ht="15" x14ac:dyDescent="0.2">
      <c r="B2262" s="87" t="s">
        <v>2908</v>
      </c>
      <c r="C2262" s="88">
        <v>6880</v>
      </c>
      <c r="D2262" s="87" t="s">
        <v>5075</v>
      </c>
    </row>
    <row r="2263" spans="2:4" ht="15" x14ac:dyDescent="0.2">
      <c r="B2263" s="87" t="s">
        <v>2909</v>
      </c>
      <c r="C2263" s="88">
        <v>6880</v>
      </c>
      <c r="D2263" s="87" t="s">
        <v>5075</v>
      </c>
    </row>
    <row r="2264" spans="2:4" ht="15" x14ac:dyDescent="0.2">
      <c r="B2264" s="87" t="s">
        <v>2910</v>
      </c>
      <c r="C2264" s="88">
        <v>6880</v>
      </c>
      <c r="D2264" s="87" t="s">
        <v>5075</v>
      </c>
    </row>
    <row r="2265" spans="2:4" ht="15" x14ac:dyDescent="0.2">
      <c r="B2265" s="87" t="s">
        <v>2911</v>
      </c>
      <c r="C2265" s="88">
        <v>6880</v>
      </c>
      <c r="D2265" s="87" t="s">
        <v>5075</v>
      </c>
    </row>
    <row r="2266" spans="2:4" ht="15" x14ac:dyDescent="0.2">
      <c r="B2266" s="87" t="s">
        <v>2912</v>
      </c>
      <c r="C2266" s="88">
        <v>6900</v>
      </c>
      <c r="D2266" s="87" t="s">
        <v>5076</v>
      </c>
    </row>
    <row r="2267" spans="2:4" ht="15" x14ac:dyDescent="0.2">
      <c r="B2267" s="87" t="s">
        <v>2913</v>
      </c>
      <c r="C2267" s="88">
        <v>6900</v>
      </c>
      <c r="D2267" s="87" t="s">
        <v>5076</v>
      </c>
    </row>
    <row r="2268" spans="2:4" ht="15" x14ac:dyDescent="0.2">
      <c r="B2268" s="87" t="s">
        <v>2914</v>
      </c>
      <c r="C2268" s="88">
        <v>6900</v>
      </c>
      <c r="D2268" s="87" t="s">
        <v>5076</v>
      </c>
    </row>
    <row r="2269" spans="2:4" ht="15" x14ac:dyDescent="0.2">
      <c r="B2269" s="87" t="s">
        <v>2915</v>
      </c>
      <c r="C2269" s="88">
        <v>6900</v>
      </c>
      <c r="D2269" s="87" t="s">
        <v>5076</v>
      </c>
    </row>
    <row r="2270" spans="2:4" ht="15" x14ac:dyDescent="0.2">
      <c r="B2270" s="87" t="s">
        <v>2916</v>
      </c>
      <c r="C2270" s="88">
        <v>6900</v>
      </c>
      <c r="D2270" s="87" t="s">
        <v>5076</v>
      </c>
    </row>
    <row r="2271" spans="2:4" ht="15" x14ac:dyDescent="0.2">
      <c r="B2271" s="87" t="s">
        <v>2917</v>
      </c>
      <c r="C2271" s="88">
        <v>6900</v>
      </c>
      <c r="D2271" s="87" t="s">
        <v>5076</v>
      </c>
    </row>
    <row r="2272" spans="2:4" ht="15" x14ac:dyDescent="0.2">
      <c r="B2272" s="87" t="s">
        <v>2918</v>
      </c>
      <c r="C2272" s="88">
        <v>6900</v>
      </c>
      <c r="D2272" s="87" t="s">
        <v>5076</v>
      </c>
    </row>
    <row r="2273" spans="2:4" ht="15" x14ac:dyDescent="0.2">
      <c r="B2273" s="87" t="s">
        <v>2919</v>
      </c>
      <c r="C2273" s="88">
        <v>6900</v>
      </c>
      <c r="D2273" s="87" t="s">
        <v>5076</v>
      </c>
    </row>
    <row r="2274" spans="2:4" ht="15" x14ac:dyDescent="0.2">
      <c r="B2274" s="87" t="s">
        <v>2920</v>
      </c>
      <c r="C2274" s="88">
        <v>6900</v>
      </c>
      <c r="D2274" s="87" t="s">
        <v>5076</v>
      </c>
    </row>
    <row r="2275" spans="2:4" ht="15" x14ac:dyDescent="0.2">
      <c r="B2275" s="87" t="s">
        <v>2921</v>
      </c>
      <c r="C2275" s="88">
        <v>6900</v>
      </c>
      <c r="D2275" s="87" t="s">
        <v>5076</v>
      </c>
    </row>
    <row r="2276" spans="2:4" ht="15" x14ac:dyDescent="0.2">
      <c r="B2276" s="87" t="s">
        <v>2922</v>
      </c>
      <c r="C2276" s="88">
        <v>6900</v>
      </c>
      <c r="D2276" s="87" t="s">
        <v>5076</v>
      </c>
    </row>
    <row r="2277" spans="2:4" ht="15" x14ac:dyDescent="0.2">
      <c r="B2277" s="87" t="s">
        <v>2923</v>
      </c>
      <c r="C2277" s="88">
        <v>6900</v>
      </c>
      <c r="D2277" s="87" t="s">
        <v>5076</v>
      </c>
    </row>
    <row r="2278" spans="2:4" ht="15" x14ac:dyDescent="0.2">
      <c r="B2278" s="87" t="s">
        <v>2924</v>
      </c>
      <c r="C2278" s="88">
        <v>6920</v>
      </c>
      <c r="D2278" s="87" t="s">
        <v>5077</v>
      </c>
    </row>
    <row r="2279" spans="2:4" ht="15" x14ac:dyDescent="0.2">
      <c r="B2279" s="87" t="s">
        <v>2925</v>
      </c>
      <c r="C2279" s="88">
        <v>6920</v>
      </c>
      <c r="D2279" s="87" t="s">
        <v>5077</v>
      </c>
    </row>
    <row r="2280" spans="2:4" ht="15" x14ac:dyDescent="0.2">
      <c r="B2280" s="87" t="s">
        <v>2926</v>
      </c>
      <c r="C2280" s="88">
        <v>6920</v>
      </c>
      <c r="D2280" s="87" t="s">
        <v>5077</v>
      </c>
    </row>
    <row r="2281" spans="2:4" ht="15" x14ac:dyDescent="0.2">
      <c r="B2281" s="87" t="s">
        <v>2927</v>
      </c>
      <c r="C2281" s="88">
        <v>6920</v>
      </c>
      <c r="D2281" s="87" t="s">
        <v>5077</v>
      </c>
    </row>
    <row r="2282" spans="2:4" ht="15" x14ac:dyDescent="0.2">
      <c r="B2282" s="87" t="s">
        <v>2928</v>
      </c>
      <c r="C2282" s="88">
        <v>6920</v>
      </c>
      <c r="D2282" s="87" t="s">
        <v>5077</v>
      </c>
    </row>
    <row r="2283" spans="2:4" ht="15" x14ac:dyDescent="0.2">
      <c r="B2283" s="87" t="s">
        <v>2929</v>
      </c>
      <c r="C2283" s="88">
        <v>6920</v>
      </c>
      <c r="D2283" s="87" t="s">
        <v>5077</v>
      </c>
    </row>
    <row r="2284" spans="2:4" ht="15" x14ac:dyDescent="0.2">
      <c r="B2284" s="87" t="s">
        <v>2930</v>
      </c>
      <c r="C2284" s="88">
        <v>6920</v>
      </c>
      <c r="D2284" s="87" t="s">
        <v>5077</v>
      </c>
    </row>
    <row r="2285" spans="2:4" ht="15" x14ac:dyDescent="0.2">
      <c r="B2285" s="87" t="s">
        <v>2931</v>
      </c>
      <c r="C2285" s="88">
        <v>6920</v>
      </c>
      <c r="D2285" s="87" t="s">
        <v>5077</v>
      </c>
    </row>
    <row r="2286" spans="2:4" ht="15" x14ac:dyDescent="0.2">
      <c r="B2286" s="87" t="s">
        <v>2932</v>
      </c>
      <c r="C2286" s="88">
        <v>6920</v>
      </c>
      <c r="D2286" s="87" t="s">
        <v>5077</v>
      </c>
    </row>
    <row r="2287" spans="2:4" ht="15" x14ac:dyDescent="0.2">
      <c r="B2287" s="87" t="s">
        <v>2933</v>
      </c>
      <c r="C2287" s="88">
        <v>6920</v>
      </c>
      <c r="D2287" s="87" t="s">
        <v>5077</v>
      </c>
    </row>
    <row r="2288" spans="2:4" ht="15" x14ac:dyDescent="0.2">
      <c r="B2288" s="87" t="s">
        <v>2934</v>
      </c>
      <c r="C2288" s="88">
        <v>6920</v>
      </c>
      <c r="D2288" s="87" t="s">
        <v>5077</v>
      </c>
    </row>
    <row r="2289" spans="2:4" ht="15" x14ac:dyDescent="0.2">
      <c r="B2289" s="87" t="s">
        <v>2935</v>
      </c>
      <c r="C2289" s="88">
        <v>6920</v>
      </c>
      <c r="D2289" s="87" t="s">
        <v>5077</v>
      </c>
    </row>
    <row r="2290" spans="2:4" ht="15" x14ac:dyDescent="0.2">
      <c r="B2290" s="87" t="s">
        <v>2936</v>
      </c>
      <c r="C2290" s="88">
        <v>6920</v>
      </c>
      <c r="D2290" s="87" t="s">
        <v>5077</v>
      </c>
    </row>
    <row r="2291" spans="2:4" ht="15" x14ac:dyDescent="0.2">
      <c r="B2291" s="87" t="s">
        <v>2937</v>
      </c>
      <c r="C2291" s="88">
        <v>6900</v>
      </c>
      <c r="D2291" s="87" t="s">
        <v>5076</v>
      </c>
    </row>
    <row r="2292" spans="2:4" ht="15" x14ac:dyDescent="0.2">
      <c r="B2292" s="87" t="s">
        <v>2938</v>
      </c>
      <c r="C2292" s="88">
        <v>6900</v>
      </c>
      <c r="D2292" s="87" t="s">
        <v>5076</v>
      </c>
    </row>
    <row r="2293" spans="2:4" ht="15" x14ac:dyDescent="0.2">
      <c r="B2293" s="87" t="s">
        <v>2939</v>
      </c>
      <c r="C2293" s="88">
        <v>6900</v>
      </c>
      <c r="D2293" s="87" t="s">
        <v>5076</v>
      </c>
    </row>
    <row r="2294" spans="2:4" ht="15" x14ac:dyDescent="0.2">
      <c r="B2294" s="87" t="s">
        <v>2940</v>
      </c>
      <c r="C2294" s="88">
        <v>6900</v>
      </c>
      <c r="D2294" s="87" t="s">
        <v>5076</v>
      </c>
    </row>
    <row r="2295" spans="2:4" ht="15" x14ac:dyDescent="0.2">
      <c r="B2295" s="87" t="s">
        <v>2941</v>
      </c>
      <c r="C2295" s="88">
        <v>6900</v>
      </c>
      <c r="D2295" s="87" t="s">
        <v>5076</v>
      </c>
    </row>
    <row r="2296" spans="2:4" ht="15" x14ac:dyDescent="0.2">
      <c r="B2296" s="87" t="s">
        <v>2942</v>
      </c>
      <c r="C2296" s="88">
        <v>6880</v>
      </c>
      <c r="D2296" s="87" t="s">
        <v>5075</v>
      </c>
    </row>
    <row r="2297" spans="2:4" ht="15" x14ac:dyDescent="0.2">
      <c r="B2297" s="87" t="s">
        <v>2943</v>
      </c>
      <c r="C2297" s="88">
        <v>6880</v>
      </c>
      <c r="D2297" s="87" t="s">
        <v>5075</v>
      </c>
    </row>
    <row r="2298" spans="2:4" ht="15" x14ac:dyDescent="0.2">
      <c r="B2298" s="87" t="s">
        <v>2944</v>
      </c>
      <c r="C2298" s="88">
        <v>6880</v>
      </c>
      <c r="D2298" s="87" t="s">
        <v>5143</v>
      </c>
    </row>
    <row r="2299" spans="2:4" ht="15" x14ac:dyDescent="0.2">
      <c r="B2299" s="87" t="s">
        <v>2945</v>
      </c>
      <c r="C2299" s="88">
        <v>6880</v>
      </c>
      <c r="D2299" s="87" t="s">
        <v>5143</v>
      </c>
    </row>
    <row r="2300" spans="2:4" ht="15" x14ac:dyDescent="0.2">
      <c r="B2300" s="87" t="s">
        <v>2946</v>
      </c>
      <c r="C2300" s="88">
        <v>6870</v>
      </c>
      <c r="D2300" s="87" t="s">
        <v>5074</v>
      </c>
    </row>
    <row r="2301" spans="2:4" ht="15" x14ac:dyDescent="0.2">
      <c r="B2301" s="87" t="s">
        <v>2947</v>
      </c>
      <c r="C2301" s="88">
        <v>6870</v>
      </c>
      <c r="D2301" s="87" t="s">
        <v>5074</v>
      </c>
    </row>
    <row r="2302" spans="2:4" ht="15" x14ac:dyDescent="0.2">
      <c r="B2302" s="87" t="s">
        <v>2948</v>
      </c>
      <c r="C2302" s="88">
        <v>6850</v>
      </c>
      <c r="D2302" s="87" t="s">
        <v>5073</v>
      </c>
    </row>
    <row r="2303" spans="2:4" ht="15" x14ac:dyDescent="0.2">
      <c r="B2303" s="87" t="s">
        <v>2949</v>
      </c>
      <c r="C2303" s="88">
        <v>6850</v>
      </c>
      <c r="D2303" s="87" t="s">
        <v>5073</v>
      </c>
    </row>
    <row r="2304" spans="2:4" ht="15" x14ac:dyDescent="0.2">
      <c r="B2304" s="87" t="s">
        <v>2950</v>
      </c>
      <c r="C2304" s="88">
        <v>6850</v>
      </c>
      <c r="D2304" s="87" t="s">
        <v>5073</v>
      </c>
    </row>
    <row r="2305" spans="2:4" ht="15" x14ac:dyDescent="0.2">
      <c r="B2305" s="87" t="s">
        <v>2951</v>
      </c>
      <c r="C2305" s="88">
        <v>6840</v>
      </c>
      <c r="D2305" s="87" t="s">
        <v>5072</v>
      </c>
    </row>
    <row r="2306" spans="2:4" ht="15" x14ac:dyDescent="0.2">
      <c r="B2306" s="87" t="s">
        <v>2952</v>
      </c>
      <c r="C2306" s="88">
        <v>6840</v>
      </c>
      <c r="D2306" s="87" t="s">
        <v>5072</v>
      </c>
    </row>
    <row r="2307" spans="2:4" ht="15" x14ac:dyDescent="0.2">
      <c r="B2307" s="87" t="s">
        <v>2953</v>
      </c>
      <c r="C2307" s="88">
        <v>6840</v>
      </c>
      <c r="D2307" s="87" t="s">
        <v>5072</v>
      </c>
    </row>
    <row r="2308" spans="2:4" ht="15" x14ac:dyDescent="0.2">
      <c r="B2308" s="87" t="s">
        <v>2954</v>
      </c>
      <c r="C2308" s="88">
        <v>6820</v>
      </c>
      <c r="D2308" s="87" t="s">
        <v>5071</v>
      </c>
    </row>
    <row r="2309" spans="2:4" ht="15" x14ac:dyDescent="0.2">
      <c r="B2309" s="87" t="s">
        <v>2955</v>
      </c>
      <c r="C2309" s="88">
        <v>6810</v>
      </c>
      <c r="D2309" s="87" t="s">
        <v>5144</v>
      </c>
    </row>
    <row r="2310" spans="2:4" ht="15" x14ac:dyDescent="0.2">
      <c r="B2310" s="87" t="s">
        <v>2956</v>
      </c>
      <c r="C2310" s="88">
        <v>6810</v>
      </c>
      <c r="D2310" s="87" t="s">
        <v>5144</v>
      </c>
    </row>
    <row r="2311" spans="2:4" ht="15" x14ac:dyDescent="0.2">
      <c r="B2311" s="87" t="s">
        <v>2957</v>
      </c>
      <c r="C2311" s="88">
        <v>6790</v>
      </c>
      <c r="D2311" s="87" t="s">
        <v>5070</v>
      </c>
    </row>
    <row r="2312" spans="2:4" ht="15" x14ac:dyDescent="0.2">
      <c r="B2312" s="87" t="s">
        <v>2958</v>
      </c>
      <c r="C2312" s="88">
        <v>6790</v>
      </c>
      <c r="D2312" s="87" t="s">
        <v>5070</v>
      </c>
    </row>
    <row r="2313" spans="2:4" ht="15" x14ac:dyDescent="0.2">
      <c r="B2313" s="87" t="s">
        <v>2959</v>
      </c>
      <c r="C2313" s="88">
        <v>6790</v>
      </c>
      <c r="D2313" s="87" t="s">
        <v>5070</v>
      </c>
    </row>
    <row r="2314" spans="2:4" ht="15" x14ac:dyDescent="0.2">
      <c r="B2314" s="87" t="s">
        <v>2960</v>
      </c>
      <c r="C2314" s="88">
        <v>6790</v>
      </c>
      <c r="D2314" s="87" t="s">
        <v>5069</v>
      </c>
    </row>
    <row r="2315" spans="2:4" ht="15" x14ac:dyDescent="0.2">
      <c r="B2315" s="87" t="s">
        <v>2961</v>
      </c>
      <c r="C2315" s="88">
        <v>6790</v>
      </c>
      <c r="D2315" s="87" t="s">
        <v>5069</v>
      </c>
    </row>
    <row r="2316" spans="2:4" ht="15" x14ac:dyDescent="0.2">
      <c r="B2316" s="87" t="s">
        <v>2962</v>
      </c>
      <c r="C2316" s="88">
        <v>6780</v>
      </c>
      <c r="D2316" s="87" t="s">
        <v>5068</v>
      </c>
    </row>
    <row r="2317" spans="2:4" ht="15" x14ac:dyDescent="0.2">
      <c r="B2317" s="87" t="s">
        <v>2963</v>
      </c>
      <c r="C2317" s="88">
        <v>6780</v>
      </c>
      <c r="D2317" s="87" t="s">
        <v>5068</v>
      </c>
    </row>
    <row r="2318" spans="2:4" ht="15" x14ac:dyDescent="0.2">
      <c r="B2318" s="87" t="s">
        <v>2964</v>
      </c>
      <c r="C2318" s="88">
        <v>6780</v>
      </c>
      <c r="D2318" s="87" t="s">
        <v>5068</v>
      </c>
    </row>
    <row r="2319" spans="2:4" ht="15" x14ac:dyDescent="0.2">
      <c r="B2319" s="87" t="s">
        <v>2965</v>
      </c>
      <c r="C2319" s="88">
        <v>6760</v>
      </c>
      <c r="D2319" s="87" t="s">
        <v>5067</v>
      </c>
    </row>
    <row r="2320" spans="2:4" ht="15" x14ac:dyDescent="0.2">
      <c r="B2320" s="87" t="s">
        <v>2966</v>
      </c>
      <c r="C2320" s="88">
        <v>6760</v>
      </c>
      <c r="D2320" s="87" t="s">
        <v>5067</v>
      </c>
    </row>
    <row r="2321" spans="2:4" ht="15" x14ac:dyDescent="0.2">
      <c r="B2321" s="87" t="s">
        <v>2967</v>
      </c>
      <c r="C2321" s="88">
        <v>6740</v>
      </c>
      <c r="D2321" s="87" t="s">
        <v>5066</v>
      </c>
    </row>
    <row r="2322" spans="2:4" ht="15" x14ac:dyDescent="0.2">
      <c r="B2322" s="87" t="s">
        <v>2968</v>
      </c>
      <c r="C2322" s="88">
        <v>6740</v>
      </c>
      <c r="D2322" s="87" t="s">
        <v>5066</v>
      </c>
    </row>
    <row r="2323" spans="2:4" ht="15" x14ac:dyDescent="0.2">
      <c r="B2323" s="87" t="s">
        <v>2969</v>
      </c>
      <c r="C2323" s="88">
        <v>6730</v>
      </c>
      <c r="D2323" s="87" t="s">
        <v>5145</v>
      </c>
    </row>
    <row r="2324" spans="2:4" ht="15" x14ac:dyDescent="0.2">
      <c r="B2324" s="87" t="s">
        <v>2970</v>
      </c>
      <c r="C2324" s="88">
        <v>6730</v>
      </c>
      <c r="D2324" s="87" t="s">
        <v>5145</v>
      </c>
    </row>
    <row r="2325" spans="2:4" ht="15" x14ac:dyDescent="0.2">
      <c r="B2325" s="87" t="s">
        <v>2971</v>
      </c>
      <c r="C2325" s="88">
        <v>6710</v>
      </c>
      <c r="D2325" s="87" t="s">
        <v>5065</v>
      </c>
    </row>
    <row r="2326" spans="2:4" ht="15" x14ac:dyDescent="0.2">
      <c r="B2326" s="87" t="s">
        <v>2972</v>
      </c>
      <c r="C2326" s="88">
        <v>6710</v>
      </c>
      <c r="D2326" s="87" t="s">
        <v>5065</v>
      </c>
    </row>
    <row r="2327" spans="2:4" ht="15" x14ac:dyDescent="0.2">
      <c r="B2327" s="87" t="s">
        <v>2973</v>
      </c>
      <c r="C2327" s="88">
        <v>6710</v>
      </c>
      <c r="D2327" s="87" t="s">
        <v>5065</v>
      </c>
    </row>
    <row r="2328" spans="2:4" ht="15" x14ac:dyDescent="0.2">
      <c r="B2328" s="87" t="s">
        <v>2974</v>
      </c>
      <c r="C2328" s="88">
        <v>6700</v>
      </c>
      <c r="D2328" s="87" t="s">
        <v>5064</v>
      </c>
    </row>
    <row r="2329" spans="2:4" ht="15" x14ac:dyDescent="0.2">
      <c r="B2329" s="87" t="s">
        <v>2975</v>
      </c>
      <c r="C2329" s="88">
        <v>6700</v>
      </c>
      <c r="D2329" s="87" t="s">
        <v>5064</v>
      </c>
    </row>
    <row r="2330" spans="2:4" ht="15" x14ac:dyDescent="0.2">
      <c r="B2330" s="87" t="s">
        <v>2976</v>
      </c>
      <c r="C2330" s="88">
        <v>6700</v>
      </c>
      <c r="D2330" s="87" t="s">
        <v>5063</v>
      </c>
    </row>
    <row r="2331" spans="2:4" ht="15" x14ac:dyDescent="0.2">
      <c r="B2331" s="87" t="s">
        <v>2977</v>
      </c>
      <c r="C2331" s="88">
        <v>6700</v>
      </c>
      <c r="D2331" s="87" t="s">
        <v>5063</v>
      </c>
    </row>
    <row r="2332" spans="2:4" ht="15" x14ac:dyDescent="0.2">
      <c r="B2332" s="87" t="s">
        <v>2978</v>
      </c>
      <c r="C2332" s="88">
        <v>6700</v>
      </c>
      <c r="D2332" s="87" t="s">
        <v>5063</v>
      </c>
    </row>
    <row r="2333" spans="2:4" ht="15" x14ac:dyDescent="0.2">
      <c r="B2333" s="87" t="s">
        <v>2979</v>
      </c>
      <c r="C2333" s="88">
        <v>6700</v>
      </c>
      <c r="D2333" s="87" t="s">
        <v>5063</v>
      </c>
    </row>
    <row r="2334" spans="2:4" ht="15" x14ac:dyDescent="0.2">
      <c r="B2334" s="87" t="s">
        <v>2980</v>
      </c>
      <c r="C2334" s="88">
        <v>6680</v>
      </c>
      <c r="D2334" s="87" t="s">
        <v>5028</v>
      </c>
    </row>
    <row r="2335" spans="2:4" ht="15" x14ac:dyDescent="0.2">
      <c r="B2335" s="87" t="s">
        <v>2981</v>
      </c>
      <c r="C2335" s="88">
        <v>6680</v>
      </c>
      <c r="D2335" s="87" t="s">
        <v>5028</v>
      </c>
    </row>
    <row r="2336" spans="2:4" ht="15" x14ac:dyDescent="0.2">
      <c r="B2336" s="87" t="s">
        <v>2982</v>
      </c>
      <c r="C2336" s="88">
        <v>6680</v>
      </c>
      <c r="D2336" s="87" t="s">
        <v>5028</v>
      </c>
    </row>
    <row r="2337" spans="2:4" ht="15" x14ac:dyDescent="0.2">
      <c r="B2337" s="87" t="s">
        <v>2983</v>
      </c>
      <c r="C2337" s="88">
        <v>6670</v>
      </c>
      <c r="D2337" s="87" t="s">
        <v>5027</v>
      </c>
    </row>
    <row r="2338" spans="2:4" ht="15" x14ac:dyDescent="0.2">
      <c r="B2338" s="87" t="s">
        <v>2984</v>
      </c>
      <c r="C2338" s="88">
        <v>6670</v>
      </c>
      <c r="D2338" s="87" t="s">
        <v>5027</v>
      </c>
    </row>
    <row r="2339" spans="2:4" ht="15" x14ac:dyDescent="0.2">
      <c r="B2339" s="87" t="s">
        <v>2985</v>
      </c>
      <c r="C2339" s="88">
        <v>6670</v>
      </c>
      <c r="D2339" s="87" t="s">
        <v>5027</v>
      </c>
    </row>
    <row r="2340" spans="2:4" ht="15" x14ac:dyDescent="0.2">
      <c r="B2340" s="87" t="s">
        <v>2986</v>
      </c>
      <c r="C2340" s="88">
        <v>6670</v>
      </c>
      <c r="D2340" s="87" t="s">
        <v>5027</v>
      </c>
    </row>
    <row r="2341" spans="2:4" ht="15" x14ac:dyDescent="0.2">
      <c r="B2341" s="87" t="s">
        <v>2987</v>
      </c>
      <c r="C2341" s="88">
        <v>6670</v>
      </c>
      <c r="D2341" s="87" t="s">
        <v>5027</v>
      </c>
    </row>
    <row r="2342" spans="2:4" ht="15" x14ac:dyDescent="0.2">
      <c r="B2342" s="87" t="s">
        <v>2988</v>
      </c>
      <c r="C2342" s="88">
        <v>6650</v>
      </c>
      <c r="D2342" s="87" t="s">
        <v>5026</v>
      </c>
    </row>
    <row r="2343" spans="2:4" ht="15" x14ac:dyDescent="0.2">
      <c r="B2343" s="87" t="s">
        <v>2989</v>
      </c>
      <c r="C2343" s="88">
        <v>6650</v>
      </c>
      <c r="D2343" s="87" t="s">
        <v>5026</v>
      </c>
    </row>
    <row r="2344" spans="2:4" ht="15" x14ac:dyDescent="0.2">
      <c r="B2344" s="87" t="s">
        <v>2990</v>
      </c>
      <c r="C2344" s="88">
        <v>6650</v>
      </c>
      <c r="D2344" s="87" t="s">
        <v>5026</v>
      </c>
    </row>
    <row r="2345" spans="2:4" ht="15" x14ac:dyDescent="0.2">
      <c r="B2345" s="87" t="s">
        <v>2991</v>
      </c>
      <c r="C2345" s="88">
        <v>6650</v>
      </c>
      <c r="D2345" s="87" t="s">
        <v>5026</v>
      </c>
    </row>
    <row r="2346" spans="2:4" ht="15" x14ac:dyDescent="0.2">
      <c r="B2346" s="87" t="s">
        <v>2992</v>
      </c>
      <c r="C2346" s="88">
        <v>6650</v>
      </c>
      <c r="D2346" s="87" t="s">
        <v>5026</v>
      </c>
    </row>
    <row r="2347" spans="2:4" ht="15" x14ac:dyDescent="0.2">
      <c r="B2347" s="87" t="s">
        <v>2993</v>
      </c>
      <c r="C2347" s="88">
        <v>6630</v>
      </c>
      <c r="D2347" s="87" t="s">
        <v>5025</v>
      </c>
    </row>
    <row r="2348" spans="2:4" ht="15" x14ac:dyDescent="0.2">
      <c r="B2348" s="87" t="s">
        <v>2994</v>
      </c>
      <c r="C2348" s="88">
        <v>6630</v>
      </c>
      <c r="D2348" s="87" t="s">
        <v>5025</v>
      </c>
    </row>
    <row r="2349" spans="2:4" ht="15" x14ac:dyDescent="0.2">
      <c r="B2349" s="87" t="s">
        <v>2995</v>
      </c>
      <c r="C2349" s="88">
        <v>6630</v>
      </c>
      <c r="D2349" s="87" t="s">
        <v>5025</v>
      </c>
    </row>
    <row r="2350" spans="2:4" ht="15" x14ac:dyDescent="0.2">
      <c r="B2350" s="87" t="s">
        <v>2996</v>
      </c>
      <c r="C2350" s="88">
        <v>6630</v>
      </c>
      <c r="D2350" s="87" t="s">
        <v>5025</v>
      </c>
    </row>
    <row r="2351" spans="2:4" ht="15" x14ac:dyDescent="0.2">
      <c r="B2351" s="87" t="s">
        <v>2997</v>
      </c>
      <c r="C2351" s="88">
        <v>6630</v>
      </c>
      <c r="D2351" s="87" t="s">
        <v>5025</v>
      </c>
    </row>
    <row r="2352" spans="2:4" ht="15" x14ac:dyDescent="0.2">
      <c r="B2352" s="87" t="s">
        <v>2998</v>
      </c>
      <c r="C2352" s="88">
        <v>6630</v>
      </c>
      <c r="D2352" s="87" t="s">
        <v>5025</v>
      </c>
    </row>
    <row r="2353" spans="2:4" ht="15" x14ac:dyDescent="0.2">
      <c r="B2353" s="87" t="s">
        <v>2999</v>
      </c>
      <c r="C2353" s="88">
        <v>6630</v>
      </c>
      <c r="D2353" s="87" t="s">
        <v>5025</v>
      </c>
    </row>
    <row r="2354" spans="2:4" ht="15" x14ac:dyDescent="0.2">
      <c r="B2354" s="87" t="s">
        <v>3000</v>
      </c>
      <c r="C2354" s="88">
        <v>6620</v>
      </c>
      <c r="D2354" s="87" t="s">
        <v>5024</v>
      </c>
    </row>
    <row r="2355" spans="2:4" ht="15" x14ac:dyDescent="0.2">
      <c r="B2355" s="87" t="s">
        <v>3001</v>
      </c>
      <c r="C2355" s="88">
        <v>6620</v>
      </c>
      <c r="D2355" s="87" t="s">
        <v>5024</v>
      </c>
    </row>
    <row r="2356" spans="2:4" ht="15" x14ac:dyDescent="0.2">
      <c r="B2356" s="87" t="s">
        <v>3002</v>
      </c>
      <c r="C2356" s="88">
        <v>6620</v>
      </c>
      <c r="D2356" s="87" t="s">
        <v>5024</v>
      </c>
    </row>
    <row r="2357" spans="2:4" ht="15" x14ac:dyDescent="0.2">
      <c r="B2357" s="87" t="s">
        <v>3003</v>
      </c>
      <c r="C2357" s="88">
        <v>6620</v>
      </c>
      <c r="D2357" s="87" t="s">
        <v>5024</v>
      </c>
    </row>
    <row r="2358" spans="2:4" ht="15" x14ac:dyDescent="0.2">
      <c r="B2358" s="87" t="s">
        <v>3004</v>
      </c>
      <c r="C2358" s="88">
        <v>6620</v>
      </c>
      <c r="D2358" s="87" t="s">
        <v>5024</v>
      </c>
    </row>
    <row r="2359" spans="2:4" ht="15" x14ac:dyDescent="0.2">
      <c r="B2359" s="87" t="s">
        <v>3005</v>
      </c>
      <c r="C2359" s="88">
        <v>6600</v>
      </c>
      <c r="D2359" s="87" t="s">
        <v>5023</v>
      </c>
    </row>
    <row r="2360" spans="2:4" ht="15" x14ac:dyDescent="0.2">
      <c r="B2360" s="87" t="s">
        <v>3006</v>
      </c>
      <c r="C2360" s="88">
        <v>6600</v>
      </c>
      <c r="D2360" s="87" t="s">
        <v>5023</v>
      </c>
    </row>
    <row r="2361" spans="2:4" ht="15" x14ac:dyDescent="0.2">
      <c r="B2361" s="87" t="s">
        <v>3007</v>
      </c>
      <c r="C2361" s="88">
        <v>6600</v>
      </c>
      <c r="D2361" s="87" t="s">
        <v>5023</v>
      </c>
    </row>
    <row r="2362" spans="2:4" ht="15" x14ac:dyDescent="0.2">
      <c r="B2362" s="87" t="s">
        <v>3008</v>
      </c>
      <c r="C2362" s="88">
        <v>6600</v>
      </c>
      <c r="D2362" s="87" t="s">
        <v>5023</v>
      </c>
    </row>
    <row r="2363" spans="2:4" ht="15" x14ac:dyDescent="0.2">
      <c r="B2363" s="87" t="s">
        <v>3009</v>
      </c>
      <c r="C2363" s="88">
        <v>6600</v>
      </c>
      <c r="D2363" s="87" t="s">
        <v>5022</v>
      </c>
    </row>
    <row r="2364" spans="2:4" ht="15" x14ac:dyDescent="0.2">
      <c r="B2364" s="87" t="s">
        <v>3010</v>
      </c>
      <c r="C2364" s="88">
        <v>6600</v>
      </c>
      <c r="D2364" s="87" t="s">
        <v>5022</v>
      </c>
    </row>
    <row r="2365" spans="2:4" ht="15" x14ac:dyDescent="0.2">
      <c r="B2365" s="87" t="s">
        <v>3011</v>
      </c>
      <c r="C2365" s="88">
        <v>6600</v>
      </c>
      <c r="D2365" s="87" t="s">
        <v>5022</v>
      </c>
    </row>
    <row r="2366" spans="2:4" ht="15" x14ac:dyDescent="0.2">
      <c r="B2366" s="87" t="s">
        <v>3012</v>
      </c>
      <c r="C2366" s="88">
        <v>6600</v>
      </c>
      <c r="D2366" s="87" t="s">
        <v>5022</v>
      </c>
    </row>
    <row r="2367" spans="2:4" ht="15" x14ac:dyDescent="0.2">
      <c r="B2367" s="87" t="s">
        <v>3013</v>
      </c>
      <c r="C2367" s="88">
        <v>6590</v>
      </c>
      <c r="D2367" s="87" t="s">
        <v>5021</v>
      </c>
    </row>
    <row r="2368" spans="2:4" ht="15" x14ac:dyDescent="0.2">
      <c r="B2368" s="87" t="s">
        <v>3014</v>
      </c>
      <c r="C2368" s="88">
        <v>6590</v>
      </c>
      <c r="D2368" s="87" t="s">
        <v>5021</v>
      </c>
    </row>
    <row r="2369" spans="2:4" ht="15" x14ac:dyDescent="0.2">
      <c r="B2369" s="87" t="s">
        <v>3015</v>
      </c>
      <c r="C2369" s="88">
        <v>6590</v>
      </c>
      <c r="D2369" s="87" t="s">
        <v>5021</v>
      </c>
    </row>
    <row r="2370" spans="2:4" ht="15" x14ac:dyDescent="0.2">
      <c r="B2370" s="87" t="s">
        <v>3016</v>
      </c>
      <c r="C2370" s="88">
        <v>6570</v>
      </c>
      <c r="D2370" s="87" t="s">
        <v>5020</v>
      </c>
    </row>
    <row r="2371" spans="2:4" ht="15" x14ac:dyDescent="0.2">
      <c r="B2371" s="87" t="s">
        <v>3017</v>
      </c>
      <c r="C2371" s="88">
        <v>6570</v>
      </c>
      <c r="D2371" s="87" t="s">
        <v>5020</v>
      </c>
    </row>
    <row r="2372" spans="2:4" ht="15" x14ac:dyDescent="0.2">
      <c r="B2372" s="87" t="s">
        <v>3018</v>
      </c>
      <c r="C2372" s="88">
        <v>6570</v>
      </c>
      <c r="D2372" s="87" t="s">
        <v>5020</v>
      </c>
    </row>
    <row r="2373" spans="2:4" ht="15" x14ac:dyDescent="0.2">
      <c r="B2373" s="87" t="s">
        <v>3019</v>
      </c>
      <c r="C2373" s="88">
        <v>6560</v>
      </c>
      <c r="D2373" s="87" t="s">
        <v>5019</v>
      </c>
    </row>
    <row r="2374" spans="2:4" ht="15" x14ac:dyDescent="0.2">
      <c r="B2374" s="87" t="s">
        <v>3020</v>
      </c>
      <c r="C2374" s="88">
        <v>6560</v>
      </c>
      <c r="D2374" s="87" t="s">
        <v>5019</v>
      </c>
    </row>
    <row r="2375" spans="2:4" ht="15" x14ac:dyDescent="0.2">
      <c r="B2375" s="87" t="s">
        <v>3021</v>
      </c>
      <c r="C2375" s="88">
        <v>6540</v>
      </c>
      <c r="D2375" s="87" t="s">
        <v>5018</v>
      </c>
    </row>
    <row r="2376" spans="2:4" ht="15" x14ac:dyDescent="0.2">
      <c r="B2376" s="87" t="s">
        <v>3022</v>
      </c>
      <c r="C2376" s="88">
        <v>6540</v>
      </c>
      <c r="D2376" s="87" t="s">
        <v>5018</v>
      </c>
    </row>
    <row r="2377" spans="2:4" ht="15" x14ac:dyDescent="0.2">
      <c r="B2377" s="87" t="s">
        <v>3023</v>
      </c>
      <c r="C2377" s="88">
        <v>6540</v>
      </c>
      <c r="D2377" s="87" t="s">
        <v>5018</v>
      </c>
    </row>
    <row r="2378" spans="2:4" ht="15" x14ac:dyDescent="0.2">
      <c r="B2378" s="87" t="s">
        <v>3024</v>
      </c>
      <c r="C2378" s="88">
        <v>6530</v>
      </c>
      <c r="D2378" s="87" t="s">
        <v>5017</v>
      </c>
    </row>
    <row r="2379" spans="2:4" ht="15" x14ac:dyDescent="0.2">
      <c r="B2379" s="87" t="s">
        <v>3025</v>
      </c>
      <c r="C2379" s="88">
        <v>6530</v>
      </c>
      <c r="D2379" s="87" t="s">
        <v>5017</v>
      </c>
    </row>
    <row r="2380" spans="2:4" ht="15" x14ac:dyDescent="0.2">
      <c r="B2380" s="87" t="s">
        <v>3026</v>
      </c>
      <c r="C2380" s="88">
        <v>6530</v>
      </c>
      <c r="D2380" s="87" t="s">
        <v>5017</v>
      </c>
    </row>
    <row r="2381" spans="2:4" ht="15" x14ac:dyDescent="0.2">
      <c r="B2381" s="87" t="s">
        <v>3027</v>
      </c>
      <c r="C2381" s="88">
        <v>6510</v>
      </c>
      <c r="D2381" s="87" t="s">
        <v>5016</v>
      </c>
    </row>
    <row r="2382" spans="2:4" ht="15" x14ac:dyDescent="0.2">
      <c r="B2382" s="87" t="s">
        <v>3028</v>
      </c>
      <c r="C2382" s="88">
        <v>6510</v>
      </c>
      <c r="D2382" s="87" t="s">
        <v>5016</v>
      </c>
    </row>
    <row r="2383" spans="2:4" ht="15" x14ac:dyDescent="0.2">
      <c r="B2383" s="87" t="s">
        <v>3029</v>
      </c>
      <c r="C2383" s="88">
        <v>6510</v>
      </c>
      <c r="D2383" s="87" t="s">
        <v>5015</v>
      </c>
    </row>
    <row r="2384" spans="2:4" ht="15" x14ac:dyDescent="0.2">
      <c r="B2384" s="87" t="s">
        <v>3030</v>
      </c>
      <c r="C2384" s="88">
        <v>6510</v>
      </c>
      <c r="D2384" s="87" t="s">
        <v>5015</v>
      </c>
    </row>
    <row r="2385" spans="2:4" ht="15" x14ac:dyDescent="0.2">
      <c r="B2385" s="87" t="s">
        <v>3031</v>
      </c>
      <c r="C2385" s="88">
        <v>6510</v>
      </c>
      <c r="D2385" s="87" t="s">
        <v>5015</v>
      </c>
    </row>
    <row r="2386" spans="2:4" ht="15" x14ac:dyDescent="0.2">
      <c r="B2386" s="87" t="s">
        <v>3032</v>
      </c>
      <c r="C2386" s="88">
        <v>6500</v>
      </c>
      <c r="D2386" s="87" t="s">
        <v>5014</v>
      </c>
    </row>
    <row r="2387" spans="2:4" ht="15" x14ac:dyDescent="0.2">
      <c r="B2387" s="87" t="s">
        <v>3033</v>
      </c>
      <c r="C2387" s="88">
        <v>6500</v>
      </c>
      <c r="D2387" s="87" t="s">
        <v>5014</v>
      </c>
    </row>
    <row r="2388" spans="2:4" ht="15" x14ac:dyDescent="0.2">
      <c r="B2388" s="87" t="s">
        <v>3034</v>
      </c>
      <c r="C2388" s="88">
        <v>6480</v>
      </c>
      <c r="D2388" s="87" t="s">
        <v>5013</v>
      </c>
    </row>
    <row r="2389" spans="2:4" ht="15" x14ac:dyDescent="0.2">
      <c r="B2389" s="87" t="s">
        <v>3035</v>
      </c>
      <c r="C2389" s="88">
        <v>6480</v>
      </c>
      <c r="D2389" s="87" t="s">
        <v>5013</v>
      </c>
    </row>
    <row r="2390" spans="2:4" ht="15" x14ac:dyDescent="0.2">
      <c r="B2390" s="87" t="s">
        <v>3036</v>
      </c>
      <c r="C2390" s="88">
        <v>6480</v>
      </c>
      <c r="D2390" s="87" t="s">
        <v>5013</v>
      </c>
    </row>
    <row r="2391" spans="2:4" ht="15" x14ac:dyDescent="0.2">
      <c r="B2391" s="87" t="s">
        <v>3037</v>
      </c>
      <c r="C2391" s="88">
        <v>6460</v>
      </c>
      <c r="D2391" s="87" t="s">
        <v>5012</v>
      </c>
    </row>
    <row r="2392" spans="2:4" ht="15" x14ac:dyDescent="0.2">
      <c r="B2392" s="87" t="s">
        <v>3038</v>
      </c>
      <c r="C2392" s="88">
        <v>6460</v>
      </c>
      <c r="D2392" s="87" t="s">
        <v>5012</v>
      </c>
    </row>
    <row r="2393" spans="2:4" ht="15" x14ac:dyDescent="0.2">
      <c r="B2393" s="87" t="s">
        <v>3039</v>
      </c>
      <c r="C2393" s="88">
        <v>6450</v>
      </c>
      <c r="D2393" s="87" t="s">
        <v>5011</v>
      </c>
    </row>
    <row r="2394" spans="2:4" ht="15" x14ac:dyDescent="0.2">
      <c r="B2394" s="87" t="s">
        <v>3040</v>
      </c>
      <c r="C2394" s="88">
        <v>6450</v>
      </c>
      <c r="D2394" s="87" t="s">
        <v>5011</v>
      </c>
    </row>
    <row r="2395" spans="2:4" ht="15" x14ac:dyDescent="0.2">
      <c r="B2395" s="87" t="s">
        <v>3041</v>
      </c>
      <c r="C2395" s="88">
        <v>6450</v>
      </c>
      <c r="D2395" s="87" t="s">
        <v>5011</v>
      </c>
    </row>
    <row r="2396" spans="2:4" ht="15" x14ac:dyDescent="0.2">
      <c r="B2396" s="87" t="s">
        <v>3042</v>
      </c>
      <c r="C2396" s="88">
        <v>6430</v>
      </c>
      <c r="D2396" s="87" t="s">
        <v>5010</v>
      </c>
    </row>
    <row r="2397" spans="2:4" ht="15" x14ac:dyDescent="0.2">
      <c r="B2397" s="87" t="s">
        <v>3043</v>
      </c>
      <c r="C2397" s="88">
        <v>6430</v>
      </c>
      <c r="D2397" s="87" t="s">
        <v>5010</v>
      </c>
    </row>
    <row r="2398" spans="2:4" ht="15" x14ac:dyDescent="0.2">
      <c r="B2398" s="87" t="s">
        <v>3044</v>
      </c>
      <c r="C2398" s="88">
        <v>6420</v>
      </c>
      <c r="D2398" s="87" t="s">
        <v>5009</v>
      </c>
    </row>
    <row r="2399" spans="2:4" ht="15" x14ac:dyDescent="0.2">
      <c r="B2399" s="87" t="s">
        <v>3045</v>
      </c>
      <c r="C2399" s="88">
        <v>6420</v>
      </c>
      <c r="D2399" s="87" t="s">
        <v>5009</v>
      </c>
    </row>
    <row r="2400" spans="2:4" ht="15" x14ac:dyDescent="0.2">
      <c r="B2400" s="87" t="s">
        <v>3046</v>
      </c>
      <c r="C2400" s="88">
        <v>6420</v>
      </c>
      <c r="D2400" s="87" t="s">
        <v>5009</v>
      </c>
    </row>
    <row r="2401" spans="2:4" ht="15" x14ac:dyDescent="0.2">
      <c r="B2401" s="87" t="s">
        <v>3047</v>
      </c>
      <c r="C2401" s="88">
        <v>6420</v>
      </c>
      <c r="D2401" s="87" t="s">
        <v>5008</v>
      </c>
    </row>
    <row r="2402" spans="2:4" ht="15" x14ac:dyDescent="0.2">
      <c r="B2402" s="87" t="s">
        <v>3048</v>
      </c>
      <c r="C2402" s="88">
        <v>6420</v>
      </c>
      <c r="D2402" s="87" t="s">
        <v>5008</v>
      </c>
    </row>
    <row r="2403" spans="2:4" ht="15" x14ac:dyDescent="0.2">
      <c r="B2403" s="87" t="s">
        <v>3049</v>
      </c>
      <c r="C2403" s="88">
        <v>6400</v>
      </c>
      <c r="D2403" s="87" t="s">
        <v>5007</v>
      </c>
    </row>
    <row r="2404" spans="2:4" ht="15" x14ac:dyDescent="0.2">
      <c r="B2404" s="87" t="s">
        <v>3050</v>
      </c>
      <c r="C2404" s="88">
        <v>6400</v>
      </c>
      <c r="D2404" s="87" t="s">
        <v>5007</v>
      </c>
    </row>
    <row r="2405" spans="2:4" ht="15" x14ac:dyDescent="0.2">
      <c r="B2405" s="87" t="s">
        <v>3051</v>
      </c>
      <c r="C2405" s="88">
        <v>6390</v>
      </c>
      <c r="D2405" s="87" t="s">
        <v>5006</v>
      </c>
    </row>
    <row r="2406" spans="2:4" ht="15" x14ac:dyDescent="0.2">
      <c r="B2406" s="87" t="s">
        <v>3052</v>
      </c>
      <c r="C2406" s="88">
        <v>6390</v>
      </c>
      <c r="D2406" s="87" t="s">
        <v>5006</v>
      </c>
    </row>
    <row r="2407" spans="2:4" ht="15" x14ac:dyDescent="0.2">
      <c r="B2407" s="87" t="s">
        <v>3053</v>
      </c>
      <c r="C2407" s="88">
        <v>6370</v>
      </c>
      <c r="D2407" s="87" t="s">
        <v>5005</v>
      </c>
    </row>
    <row r="2408" spans="2:4" ht="15" x14ac:dyDescent="0.2">
      <c r="B2408" s="87" t="s">
        <v>3054</v>
      </c>
      <c r="C2408" s="88">
        <v>6370</v>
      </c>
      <c r="D2408" s="87" t="s">
        <v>5005</v>
      </c>
    </row>
    <row r="2409" spans="2:4" ht="15" x14ac:dyDescent="0.2">
      <c r="B2409" s="87" t="s">
        <v>3055</v>
      </c>
      <c r="C2409" s="88">
        <v>6370</v>
      </c>
      <c r="D2409" s="87" t="s">
        <v>5005</v>
      </c>
    </row>
    <row r="2410" spans="2:4" ht="15" x14ac:dyDescent="0.2">
      <c r="B2410" s="87" t="s">
        <v>3056</v>
      </c>
      <c r="C2410" s="88">
        <v>6360</v>
      </c>
      <c r="D2410" s="87" t="s">
        <v>5004</v>
      </c>
    </row>
    <row r="2411" spans="2:4" ht="15" x14ac:dyDescent="0.2">
      <c r="B2411" s="87" t="s">
        <v>3057</v>
      </c>
      <c r="C2411" s="88">
        <v>6360</v>
      </c>
      <c r="D2411" s="87" t="s">
        <v>5004</v>
      </c>
    </row>
    <row r="2412" spans="2:4" ht="15" x14ac:dyDescent="0.2">
      <c r="B2412" s="87" t="s">
        <v>3058</v>
      </c>
      <c r="C2412" s="88">
        <v>6360</v>
      </c>
      <c r="D2412" s="87" t="s">
        <v>5004</v>
      </c>
    </row>
    <row r="2413" spans="2:4" ht="15" x14ac:dyDescent="0.2">
      <c r="B2413" s="87" t="s">
        <v>3059</v>
      </c>
      <c r="C2413" s="88">
        <v>6340</v>
      </c>
      <c r="D2413" s="87" t="s">
        <v>5003</v>
      </c>
    </row>
    <row r="2414" spans="2:4" ht="15" x14ac:dyDescent="0.2">
      <c r="B2414" s="87" t="s">
        <v>3060</v>
      </c>
      <c r="C2414" s="88">
        <v>6340</v>
      </c>
      <c r="D2414" s="87" t="s">
        <v>5003</v>
      </c>
    </row>
    <row r="2415" spans="2:4" ht="15" x14ac:dyDescent="0.2">
      <c r="B2415" s="87" t="s">
        <v>3061</v>
      </c>
      <c r="C2415" s="88">
        <v>6340</v>
      </c>
      <c r="D2415" s="87" t="s">
        <v>5003</v>
      </c>
    </row>
    <row r="2416" spans="2:4" ht="15" x14ac:dyDescent="0.2">
      <c r="B2416" s="87" t="s">
        <v>3062</v>
      </c>
      <c r="C2416" s="88">
        <v>6340</v>
      </c>
      <c r="D2416" s="87" t="s">
        <v>5003</v>
      </c>
    </row>
    <row r="2417" spans="2:4" ht="15" x14ac:dyDescent="0.2">
      <c r="B2417" s="87" t="s">
        <v>3063</v>
      </c>
      <c r="C2417" s="88">
        <v>6330</v>
      </c>
      <c r="D2417" s="87" t="s">
        <v>5002</v>
      </c>
    </row>
    <row r="2418" spans="2:4" ht="15" x14ac:dyDescent="0.2">
      <c r="B2418" s="87" t="s">
        <v>3064</v>
      </c>
      <c r="C2418" s="88">
        <v>6330</v>
      </c>
      <c r="D2418" s="87" t="s">
        <v>5002</v>
      </c>
    </row>
    <row r="2419" spans="2:4" ht="15" x14ac:dyDescent="0.2">
      <c r="B2419" s="87" t="s">
        <v>3065</v>
      </c>
      <c r="C2419" s="88">
        <v>6330</v>
      </c>
      <c r="D2419" s="87" t="s">
        <v>5002</v>
      </c>
    </row>
    <row r="2420" spans="2:4" ht="15" x14ac:dyDescent="0.2">
      <c r="B2420" s="87" t="s">
        <v>3066</v>
      </c>
      <c r="C2420" s="88">
        <v>6330</v>
      </c>
      <c r="D2420" s="87" t="s">
        <v>5001</v>
      </c>
    </row>
    <row r="2421" spans="2:4" ht="15" x14ac:dyDescent="0.2">
      <c r="B2421" s="87" t="s">
        <v>3067</v>
      </c>
      <c r="C2421" s="88">
        <v>6330</v>
      </c>
      <c r="D2421" s="87" t="s">
        <v>5001</v>
      </c>
    </row>
    <row r="2422" spans="2:4" ht="15" x14ac:dyDescent="0.2">
      <c r="B2422" s="87" t="s">
        <v>3068</v>
      </c>
      <c r="C2422" s="88">
        <v>6330</v>
      </c>
      <c r="D2422" s="87" t="s">
        <v>5001</v>
      </c>
    </row>
    <row r="2423" spans="2:4" ht="15" x14ac:dyDescent="0.2">
      <c r="B2423" s="87" t="s">
        <v>3069</v>
      </c>
      <c r="C2423" s="88">
        <v>6330</v>
      </c>
      <c r="D2423" s="87" t="s">
        <v>5001</v>
      </c>
    </row>
    <row r="2424" spans="2:4" ht="15" x14ac:dyDescent="0.2">
      <c r="B2424" s="87" t="s">
        <v>3070</v>
      </c>
      <c r="C2424" s="88">
        <v>6310</v>
      </c>
      <c r="D2424" s="87" t="s">
        <v>5000</v>
      </c>
    </row>
    <row r="2425" spans="2:4" ht="15" x14ac:dyDescent="0.2">
      <c r="B2425" s="87" t="s">
        <v>3071</v>
      </c>
      <c r="C2425" s="88">
        <v>6310</v>
      </c>
      <c r="D2425" s="87" t="s">
        <v>5000</v>
      </c>
    </row>
    <row r="2426" spans="2:4" ht="15" x14ac:dyDescent="0.2">
      <c r="B2426" s="87" t="s">
        <v>3072</v>
      </c>
      <c r="C2426" s="88">
        <v>6310</v>
      </c>
      <c r="D2426" s="87" t="s">
        <v>5000</v>
      </c>
    </row>
    <row r="2427" spans="2:4" ht="15" x14ac:dyDescent="0.2">
      <c r="B2427" s="87" t="s">
        <v>3073</v>
      </c>
      <c r="C2427" s="88">
        <v>6300</v>
      </c>
      <c r="D2427" s="87" t="s">
        <v>4999</v>
      </c>
    </row>
    <row r="2428" spans="2:4" ht="15" x14ac:dyDescent="0.2">
      <c r="B2428" s="87" t="s">
        <v>3074</v>
      </c>
      <c r="C2428" s="88">
        <v>6300</v>
      </c>
      <c r="D2428" s="87" t="s">
        <v>4999</v>
      </c>
    </row>
    <row r="2429" spans="2:4" ht="15" x14ac:dyDescent="0.2">
      <c r="B2429" s="87" t="s">
        <v>3075</v>
      </c>
      <c r="C2429" s="88">
        <v>6300</v>
      </c>
      <c r="D2429" s="87" t="s">
        <v>4999</v>
      </c>
    </row>
    <row r="2430" spans="2:4" ht="15" x14ac:dyDescent="0.2">
      <c r="B2430" s="87" t="s">
        <v>3076</v>
      </c>
      <c r="C2430" s="88">
        <v>6300</v>
      </c>
      <c r="D2430" s="87" t="s">
        <v>4999</v>
      </c>
    </row>
    <row r="2431" spans="2:4" ht="15" x14ac:dyDescent="0.2">
      <c r="B2431" s="87" t="s">
        <v>3077</v>
      </c>
      <c r="C2431" s="88">
        <v>6280</v>
      </c>
      <c r="D2431" s="87" t="s">
        <v>4998</v>
      </c>
    </row>
    <row r="2432" spans="2:4" ht="15" x14ac:dyDescent="0.2">
      <c r="B2432" s="87" t="s">
        <v>3078</v>
      </c>
      <c r="C2432" s="88">
        <v>6280</v>
      </c>
      <c r="D2432" s="87" t="s">
        <v>4998</v>
      </c>
    </row>
    <row r="2433" spans="2:4" ht="15" x14ac:dyDescent="0.2">
      <c r="B2433" s="87" t="s">
        <v>3079</v>
      </c>
      <c r="C2433" s="88">
        <v>6280</v>
      </c>
      <c r="D2433" s="87" t="s">
        <v>4998</v>
      </c>
    </row>
    <row r="2434" spans="2:4" ht="15" x14ac:dyDescent="0.2">
      <c r="B2434" s="87" t="s">
        <v>3080</v>
      </c>
      <c r="C2434" s="88">
        <v>6270</v>
      </c>
      <c r="D2434" s="87" t="s">
        <v>4997</v>
      </c>
    </row>
    <row r="2435" spans="2:4" ht="15" x14ac:dyDescent="0.2">
      <c r="B2435" s="87" t="s">
        <v>3081</v>
      </c>
      <c r="C2435" s="88">
        <v>6270</v>
      </c>
      <c r="D2435" s="87" t="s">
        <v>4997</v>
      </c>
    </row>
    <row r="2436" spans="2:4" ht="15" x14ac:dyDescent="0.2">
      <c r="B2436" s="87" t="s">
        <v>3082</v>
      </c>
      <c r="C2436" s="88">
        <v>6270</v>
      </c>
      <c r="D2436" s="87" t="s">
        <v>4997</v>
      </c>
    </row>
    <row r="2437" spans="2:4" ht="15" x14ac:dyDescent="0.2">
      <c r="B2437" s="87" t="s">
        <v>3083</v>
      </c>
      <c r="C2437" s="88">
        <v>6270</v>
      </c>
      <c r="D2437" s="87" t="s">
        <v>4997</v>
      </c>
    </row>
    <row r="2438" spans="2:4" ht="15" x14ac:dyDescent="0.2">
      <c r="B2438" s="87" t="s">
        <v>3084</v>
      </c>
      <c r="C2438" s="88">
        <v>6250</v>
      </c>
      <c r="D2438" s="87" t="s">
        <v>4996</v>
      </c>
    </row>
    <row r="2439" spans="2:4" ht="15" x14ac:dyDescent="0.2">
      <c r="B2439" s="87" t="s">
        <v>3085</v>
      </c>
      <c r="C2439" s="88">
        <v>6250</v>
      </c>
      <c r="D2439" s="87" t="s">
        <v>4996</v>
      </c>
    </row>
    <row r="2440" spans="2:4" ht="15" x14ac:dyDescent="0.2">
      <c r="B2440" s="87" t="s">
        <v>3086</v>
      </c>
      <c r="C2440" s="88">
        <v>6250</v>
      </c>
      <c r="D2440" s="87" t="s">
        <v>4996</v>
      </c>
    </row>
    <row r="2441" spans="2:4" ht="15" x14ac:dyDescent="0.2">
      <c r="B2441" s="87" t="s">
        <v>3087</v>
      </c>
      <c r="C2441" s="88">
        <v>6240</v>
      </c>
      <c r="D2441" s="87" t="s">
        <v>4995</v>
      </c>
    </row>
    <row r="2442" spans="2:4" ht="15" x14ac:dyDescent="0.2">
      <c r="B2442" s="87" t="s">
        <v>3088</v>
      </c>
      <c r="C2442" s="88">
        <v>6240</v>
      </c>
      <c r="D2442" s="87" t="s">
        <v>4995</v>
      </c>
    </row>
    <row r="2443" spans="2:4" ht="15" x14ac:dyDescent="0.2">
      <c r="B2443" s="87" t="s">
        <v>3089</v>
      </c>
      <c r="C2443" s="88">
        <v>6240</v>
      </c>
      <c r="D2443" s="87" t="s">
        <v>4995</v>
      </c>
    </row>
    <row r="2444" spans="2:4" ht="15" x14ac:dyDescent="0.2">
      <c r="B2444" s="87" t="s">
        <v>3090</v>
      </c>
      <c r="C2444" s="88">
        <v>6240</v>
      </c>
      <c r="D2444" s="87" t="s">
        <v>4995</v>
      </c>
    </row>
    <row r="2445" spans="2:4" ht="15" x14ac:dyDescent="0.2">
      <c r="B2445" s="87" t="s">
        <v>3091</v>
      </c>
      <c r="C2445" s="88">
        <v>6240</v>
      </c>
      <c r="D2445" s="87" t="s">
        <v>4995</v>
      </c>
    </row>
    <row r="2446" spans="2:4" ht="15" x14ac:dyDescent="0.2">
      <c r="B2446" s="87" t="s">
        <v>3092</v>
      </c>
      <c r="C2446" s="88">
        <v>6240</v>
      </c>
      <c r="D2446" s="87" t="s">
        <v>4994</v>
      </c>
    </row>
    <row r="2447" spans="2:4" ht="15" x14ac:dyDescent="0.2">
      <c r="B2447" s="87" t="s">
        <v>3093</v>
      </c>
      <c r="C2447" s="88">
        <v>6240</v>
      </c>
      <c r="D2447" s="87" t="s">
        <v>4994</v>
      </c>
    </row>
    <row r="2448" spans="2:4" ht="15" x14ac:dyDescent="0.2">
      <c r="B2448" s="87" t="s">
        <v>3094</v>
      </c>
      <c r="C2448" s="88">
        <v>6240</v>
      </c>
      <c r="D2448" s="87" t="s">
        <v>4994</v>
      </c>
    </row>
    <row r="2449" spans="2:4" ht="15" x14ac:dyDescent="0.2">
      <c r="B2449" s="87" t="s">
        <v>3095</v>
      </c>
      <c r="C2449" s="88">
        <v>6240</v>
      </c>
      <c r="D2449" s="87" t="s">
        <v>4994</v>
      </c>
    </row>
    <row r="2450" spans="2:4" ht="15" x14ac:dyDescent="0.2">
      <c r="B2450" s="87" t="s">
        <v>3096</v>
      </c>
      <c r="C2450" s="88">
        <v>6220</v>
      </c>
      <c r="D2450" s="87" t="s">
        <v>4993</v>
      </c>
    </row>
    <row r="2451" spans="2:4" ht="15" x14ac:dyDescent="0.2">
      <c r="B2451" s="87" t="s">
        <v>3097</v>
      </c>
      <c r="C2451" s="88">
        <v>6220</v>
      </c>
      <c r="D2451" s="87" t="s">
        <v>4993</v>
      </c>
    </row>
    <row r="2452" spans="2:4" ht="15" x14ac:dyDescent="0.2">
      <c r="B2452" s="87" t="s">
        <v>3098</v>
      </c>
      <c r="C2452" s="88">
        <v>6220</v>
      </c>
      <c r="D2452" s="87" t="s">
        <v>4993</v>
      </c>
    </row>
    <row r="2453" spans="2:4" ht="15" x14ac:dyDescent="0.2">
      <c r="B2453" s="87" t="s">
        <v>3099</v>
      </c>
      <c r="C2453" s="88">
        <v>6220</v>
      </c>
      <c r="D2453" s="87" t="s">
        <v>4993</v>
      </c>
    </row>
    <row r="2454" spans="2:4" ht="15" x14ac:dyDescent="0.2">
      <c r="B2454" s="87" t="s">
        <v>3100</v>
      </c>
      <c r="C2454" s="88">
        <v>6220</v>
      </c>
      <c r="D2454" s="87" t="s">
        <v>4993</v>
      </c>
    </row>
    <row r="2455" spans="2:4" ht="15" x14ac:dyDescent="0.2">
      <c r="B2455" s="87" t="s">
        <v>3101</v>
      </c>
      <c r="C2455" s="88">
        <v>6210</v>
      </c>
      <c r="D2455" s="87" t="s">
        <v>4992</v>
      </c>
    </row>
    <row r="2456" spans="2:4" ht="15" x14ac:dyDescent="0.2">
      <c r="B2456" s="87" t="s">
        <v>3102</v>
      </c>
      <c r="C2456" s="88">
        <v>6210</v>
      </c>
      <c r="D2456" s="87" t="s">
        <v>4992</v>
      </c>
    </row>
    <row r="2457" spans="2:4" ht="15" x14ac:dyDescent="0.2">
      <c r="B2457" s="87" t="s">
        <v>3103</v>
      </c>
      <c r="C2457" s="88">
        <v>6210</v>
      </c>
      <c r="D2457" s="87" t="s">
        <v>4992</v>
      </c>
    </row>
    <row r="2458" spans="2:4" ht="15" x14ac:dyDescent="0.2">
      <c r="B2458" s="87" t="s">
        <v>3104</v>
      </c>
      <c r="C2458" s="88">
        <v>6210</v>
      </c>
      <c r="D2458" s="87" t="s">
        <v>4992</v>
      </c>
    </row>
    <row r="2459" spans="2:4" ht="15" x14ac:dyDescent="0.2">
      <c r="B2459" s="87" t="s">
        <v>3105</v>
      </c>
      <c r="C2459" s="88">
        <v>6210</v>
      </c>
      <c r="D2459" s="87" t="s">
        <v>4992</v>
      </c>
    </row>
    <row r="2460" spans="2:4" ht="15" x14ac:dyDescent="0.2">
      <c r="B2460" s="87" t="s">
        <v>3106</v>
      </c>
      <c r="C2460" s="88">
        <v>6190</v>
      </c>
      <c r="D2460" s="87" t="s">
        <v>4991</v>
      </c>
    </row>
    <row r="2461" spans="2:4" ht="15" x14ac:dyDescent="0.2">
      <c r="B2461" s="87" t="s">
        <v>3107</v>
      </c>
      <c r="C2461" s="88">
        <v>6190</v>
      </c>
      <c r="D2461" s="87" t="s">
        <v>4991</v>
      </c>
    </row>
    <row r="2462" spans="2:4" ht="15" x14ac:dyDescent="0.2">
      <c r="B2462" s="87" t="s">
        <v>3108</v>
      </c>
      <c r="C2462" s="88">
        <v>6190</v>
      </c>
      <c r="D2462" s="87" t="s">
        <v>4991</v>
      </c>
    </row>
    <row r="2463" spans="2:4" ht="15" x14ac:dyDescent="0.2">
      <c r="B2463" s="87" t="s">
        <v>3109</v>
      </c>
      <c r="C2463" s="88">
        <v>6190</v>
      </c>
      <c r="D2463" s="87" t="s">
        <v>4991</v>
      </c>
    </row>
    <row r="2464" spans="2:4" ht="15" x14ac:dyDescent="0.2">
      <c r="B2464" s="87" t="s">
        <v>3110</v>
      </c>
      <c r="C2464" s="88">
        <v>6170</v>
      </c>
      <c r="D2464" s="87" t="s">
        <v>4990</v>
      </c>
    </row>
    <row r="2465" spans="2:4" ht="15" x14ac:dyDescent="0.2">
      <c r="B2465" s="87" t="s">
        <v>3111</v>
      </c>
      <c r="C2465" s="88">
        <v>6170</v>
      </c>
      <c r="D2465" s="87" t="s">
        <v>4990</v>
      </c>
    </row>
    <row r="2466" spans="2:4" ht="15" x14ac:dyDescent="0.2">
      <c r="B2466" s="87" t="s">
        <v>3112</v>
      </c>
      <c r="C2466" s="88">
        <v>6170</v>
      </c>
      <c r="D2466" s="87" t="s">
        <v>4990</v>
      </c>
    </row>
    <row r="2467" spans="2:4" ht="15" x14ac:dyDescent="0.2">
      <c r="B2467" s="87" t="s">
        <v>3113</v>
      </c>
      <c r="C2467" s="88">
        <v>6170</v>
      </c>
      <c r="D2467" s="87" t="s">
        <v>4990</v>
      </c>
    </row>
    <row r="2468" spans="2:4" ht="15" x14ac:dyDescent="0.2">
      <c r="B2468" s="87" t="s">
        <v>3114</v>
      </c>
      <c r="C2468" s="88">
        <v>6160</v>
      </c>
      <c r="D2468" s="87" t="s">
        <v>4989</v>
      </c>
    </row>
    <row r="2469" spans="2:4" ht="15" x14ac:dyDescent="0.2">
      <c r="B2469" s="87" t="s">
        <v>3115</v>
      </c>
      <c r="C2469" s="88">
        <v>6160</v>
      </c>
      <c r="D2469" s="87" t="s">
        <v>4989</v>
      </c>
    </row>
    <row r="2470" spans="2:4" ht="15" x14ac:dyDescent="0.2">
      <c r="B2470" s="87" t="s">
        <v>3116</v>
      </c>
      <c r="C2470" s="88">
        <v>6160</v>
      </c>
      <c r="D2470" s="87" t="s">
        <v>4989</v>
      </c>
    </row>
    <row r="2471" spans="2:4" ht="15" x14ac:dyDescent="0.2">
      <c r="B2471" s="87" t="s">
        <v>3117</v>
      </c>
      <c r="C2471" s="88">
        <v>6160</v>
      </c>
      <c r="D2471" s="87" t="s">
        <v>4989</v>
      </c>
    </row>
    <row r="2472" spans="2:4" ht="15" x14ac:dyDescent="0.2">
      <c r="B2472" s="87" t="s">
        <v>3118</v>
      </c>
      <c r="C2472" s="88">
        <v>6140</v>
      </c>
      <c r="D2472" s="87" t="s">
        <v>5029</v>
      </c>
    </row>
    <row r="2473" spans="2:4" ht="15" x14ac:dyDescent="0.2">
      <c r="B2473" s="87" t="s">
        <v>3119</v>
      </c>
      <c r="C2473" s="88">
        <v>6140</v>
      </c>
      <c r="D2473" s="87" t="s">
        <v>5029</v>
      </c>
    </row>
    <row r="2474" spans="2:4" ht="15" x14ac:dyDescent="0.2">
      <c r="B2474" s="87" t="s">
        <v>3120</v>
      </c>
      <c r="C2474" s="88">
        <v>6140</v>
      </c>
      <c r="D2474" s="87" t="s">
        <v>4988</v>
      </c>
    </row>
    <row r="2475" spans="2:4" ht="15" x14ac:dyDescent="0.2">
      <c r="B2475" s="87" t="s">
        <v>3121</v>
      </c>
      <c r="C2475" s="88">
        <v>6140</v>
      </c>
      <c r="D2475" s="87" t="s">
        <v>4988</v>
      </c>
    </row>
    <row r="2476" spans="2:4" ht="15" x14ac:dyDescent="0.2">
      <c r="B2476" s="87" t="s">
        <v>3122</v>
      </c>
      <c r="C2476" s="88">
        <v>6140</v>
      </c>
      <c r="D2476" s="87" t="s">
        <v>4988</v>
      </c>
    </row>
    <row r="2477" spans="2:4" ht="15" x14ac:dyDescent="0.2">
      <c r="B2477" s="87" t="s">
        <v>3123</v>
      </c>
      <c r="C2477" s="88">
        <v>6130</v>
      </c>
      <c r="D2477" s="87" t="s">
        <v>4987</v>
      </c>
    </row>
    <row r="2478" spans="2:4" ht="15" x14ac:dyDescent="0.2">
      <c r="B2478" s="87" t="s">
        <v>3124</v>
      </c>
      <c r="C2478" s="88">
        <v>6130</v>
      </c>
      <c r="D2478" s="87" t="s">
        <v>4987</v>
      </c>
    </row>
    <row r="2479" spans="2:4" ht="15" x14ac:dyDescent="0.2">
      <c r="B2479" s="87" t="s">
        <v>3125</v>
      </c>
      <c r="C2479" s="88">
        <v>6110</v>
      </c>
      <c r="D2479" s="87" t="s">
        <v>4986</v>
      </c>
    </row>
    <row r="2480" spans="2:4" ht="15" x14ac:dyDescent="0.2">
      <c r="B2480" s="87" t="s">
        <v>3126</v>
      </c>
      <c r="C2480" s="88">
        <v>6110</v>
      </c>
      <c r="D2480" s="87" t="s">
        <v>4986</v>
      </c>
    </row>
    <row r="2481" spans="2:4" ht="15" x14ac:dyDescent="0.2">
      <c r="B2481" s="87" t="s">
        <v>3127</v>
      </c>
      <c r="C2481" s="88">
        <v>6110</v>
      </c>
      <c r="D2481" s="87" t="s">
        <v>4986</v>
      </c>
    </row>
    <row r="2482" spans="2:4" ht="15" x14ac:dyDescent="0.2">
      <c r="B2482" s="87" t="s">
        <v>3128</v>
      </c>
      <c r="C2482" s="88">
        <v>6100</v>
      </c>
      <c r="D2482" s="87" t="s">
        <v>4985</v>
      </c>
    </row>
    <row r="2483" spans="2:4" ht="15" x14ac:dyDescent="0.2">
      <c r="B2483" s="87" t="s">
        <v>3129</v>
      </c>
      <c r="C2483" s="88">
        <v>6100</v>
      </c>
      <c r="D2483" s="87" t="s">
        <v>4985</v>
      </c>
    </row>
    <row r="2484" spans="2:4" ht="15" x14ac:dyDescent="0.2">
      <c r="B2484" s="87" t="s">
        <v>3130</v>
      </c>
      <c r="C2484" s="88">
        <v>6080</v>
      </c>
      <c r="D2484" s="87" t="s">
        <v>4984</v>
      </c>
    </row>
    <row r="2485" spans="2:4" ht="15" x14ac:dyDescent="0.2">
      <c r="B2485" s="87" t="s">
        <v>3131</v>
      </c>
      <c r="C2485" s="88">
        <v>6080</v>
      </c>
      <c r="D2485" s="87" t="s">
        <v>4984</v>
      </c>
    </row>
    <row r="2486" spans="2:4" ht="15" x14ac:dyDescent="0.2">
      <c r="B2486" s="87" t="s">
        <v>3132</v>
      </c>
      <c r="C2486" s="88">
        <v>6080</v>
      </c>
      <c r="D2486" s="87" t="s">
        <v>4984</v>
      </c>
    </row>
    <row r="2487" spans="2:4" ht="15" x14ac:dyDescent="0.2">
      <c r="B2487" s="87" t="s">
        <v>3133</v>
      </c>
      <c r="C2487" s="88">
        <v>6070</v>
      </c>
      <c r="D2487" s="87" t="s">
        <v>4983</v>
      </c>
    </row>
    <row r="2488" spans="2:4" ht="15" x14ac:dyDescent="0.2">
      <c r="B2488" s="87" t="s">
        <v>3134</v>
      </c>
      <c r="C2488" s="88">
        <v>6070</v>
      </c>
      <c r="D2488" s="87" t="s">
        <v>4983</v>
      </c>
    </row>
    <row r="2489" spans="2:4" ht="15" x14ac:dyDescent="0.2">
      <c r="B2489" s="87" t="s">
        <v>3135</v>
      </c>
      <c r="C2489" s="88">
        <v>6050</v>
      </c>
      <c r="D2489" s="87" t="s">
        <v>4982</v>
      </c>
    </row>
    <row r="2490" spans="2:4" ht="15" x14ac:dyDescent="0.2">
      <c r="B2490" s="87" t="s">
        <v>3136</v>
      </c>
      <c r="C2490" s="88">
        <v>6050</v>
      </c>
      <c r="D2490" s="87" t="s">
        <v>4982</v>
      </c>
    </row>
    <row r="2491" spans="2:4" ht="15" x14ac:dyDescent="0.2">
      <c r="B2491" s="87" t="s">
        <v>3137</v>
      </c>
      <c r="C2491" s="88">
        <v>6050</v>
      </c>
      <c r="D2491" s="87" t="s">
        <v>5030</v>
      </c>
    </row>
    <row r="2492" spans="2:4" ht="15" x14ac:dyDescent="0.2">
      <c r="B2492" s="87" t="s">
        <v>3138</v>
      </c>
      <c r="C2492" s="88">
        <v>6050</v>
      </c>
      <c r="D2492" s="87" t="s">
        <v>5030</v>
      </c>
    </row>
    <row r="2493" spans="2:4" ht="15" x14ac:dyDescent="0.2">
      <c r="B2493" s="87" t="s">
        <v>3139</v>
      </c>
      <c r="C2493" s="88">
        <v>6040</v>
      </c>
      <c r="D2493" s="87" t="s">
        <v>4981</v>
      </c>
    </row>
    <row r="2494" spans="2:4" ht="15" x14ac:dyDescent="0.2">
      <c r="B2494" s="87" t="s">
        <v>3140</v>
      </c>
      <c r="C2494" s="88">
        <v>6040</v>
      </c>
      <c r="D2494" s="87" t="s">
        <v>4981</v>
      </c>
    </row>
    <row r="2495" spans="2:4" ht="15" x14ac:dyDescent="0.2">
      <c r="B2495" s="87" t="s">
        <v>3141</v>
      </c>
      <c r="C2495" s="88">
        <v>6020</v>
      </c>
      <c r="D2495" s="87" t="s">
        <v>4980</v>
      </c>
    </row>
    <row r="2496" spans="2:4" ht="15" x14ac:dyDescent="0.2">
      <c r="B2496" s="87" t="s">
        <v>3142</v>
      </c>
      <c r="C2496" s="88">
        <v>6020</v>
      </c>
      <c r="D2496" s="87" t="s">
        <v>4980</v>
      </c>
    </row>
    <row r="2497" spans="2:4" ht="15" x14ac:dyDescent="0.2">
      <c r="B2497" s="87" t="s">
        <v>3143</v>
      </c>
      <c r="C2497" s="88">
        <v>6010</v>
      </c>
      <c r="D2497" s="87" t="s">
        <v>4979</v>
      </c>
    </row>
    <row r="2498" spans="2:4" ht="15" x14ac:dyDescent="0.2">
      <c r="B2498" s="87" t="s">
        <v>3144</v>
      </c>
      <c r="C2498" s="88">
        <v>6010</v>
      </c>
      <c r="D2498" s="87" t="s">
        <v>4979</v>
      </c>
    </row>
    <row r="2499" spans="2:4" ht="15" x14ac:dyDescent="0.2">
      <c r="B2499" s="87" t="s">
        <v>3145</v>
      </c>
      <c r="C2499" s="88">
        <v>5990</v>
      </c>
      <c r="D2499" s="87" t="s">
        <v>4978</v>
      </c>
    </row>
    <row r="2500" spans="2:4" ht="15" x14ac:dyDescent="0.2">
      <c r="B2500" s="87" t="s">
        <v>3146</v>
      </c>
      <c r="C2500" s="88">
        <v>5990</v>
      </c>
      <c r="D2500" s="87" t="s">
        <v>4978</v>
      </c>
    </row>
    <row r="2501" spans="2:4" ht="15" x14ac:dyDescent="0.2">
      <c r="B2501" s="87" t="s">
        <v>3147</v>
      </c>
      <c r="C2501" s="88">
        <v>5990</v>
      </c>
      <c r="D2501" s="87" t="s">
        <v>4978</v>
      </c>
    </row>
    <row r="2502" spans="2:4" ht="15" x14ac:dyDescent="0.2">
      <c r="B2502" s="87" t="s">
        <v>3148</v>
      </c>
      <c r="C2502" s="88">
        <v>5980</v>
      </c>
      <c r="D2502" s="87" t="s">
        <v>5031</v>
      </c>
    </row>
    <row r="2503" spans="2:4" ht="15" x14ac:dyDescent="0.2">
      <c r="B2503" s="87" t="s">
        <v>3149</v>
      </c>
      <c r="C2503" s="88">
        <v>5980</v>
      </c>
      <c r="D2503" s="87" t="s">
        <v>5031</v>
      </c>
    </row>
    <row r="2504" spans="2:4" ht="15" x14ac:dyDescent="0.2">
      <c r="B2504" s="87" t="s">
        <v>3150</v>
      </c>
      <c r="C2504" s="88">
        <v>5980</v>
      </c>
      <c r="D2504" s="87" t="s">
        <v>5031</v>
      </c>
    </row>
    <row r="2505" spans="2:4" ht="15" x14ac:dyDescent="0.2">
      <c r="B2505" s="87" t="s">
        <v>3151</v>
      </c>
      <c r="C2505" s="88">
        <v>5960</v>
      </c>
      <c r="D2505" s="87" t="s">
        <v>4977</v>
      </c>
    </row>
    <row r="2506" spans="2:4" ht="15" x14ac:dyDescent="0.2">
      <c r="B2506" s="87" t="s">
        <v>3152</v>
      </c>
      <c r="C2506" s="88">
        <v>5960</v>
      </c>
      <c r="D2506" s="87" t="s">
        <v>4977</v>
      </c>
    </row>
    <row r="2507" spans="2:4" ht="15" x14ac:dyDescent="0.2">
      <c r="B2507" s="87" t="s">
        <v>3153</v>
      </c>
      <c r="C2507" s="88">
        <v>5960</v>
      </c>
      <c r="D2507" s="87" t="s">
        <v>4977</v>
      </c>
    </row>
    <row r="2508" spans="2:4" ht="15" x14ac:dyDescent="0.2">
      <c r="B2508" s="87" t="s">
        <v>3154</v>
      </c>
      <c r="C2508" s="88">
        <v>5960</v>
      </c>
      <c r="D2508" s="87" t="s">
        <v>4976</v>
      </c>
    </row>
    <row r="2509" spans="2:4" ht="15" x14ac:dyDescent="0.2">
      <c r="B2509" s="87" t="s">
        <v>3155</v>
      </c>
      <c r="C2509" s="88">
        <v>5960</v>
      </c>
      <c r="D2509" s="87" t="s">
        <v>4976</v>
      </c>
    </row>
    <row r="2510" spans="2:4" ht="15" x14ac:dyDescent="0.2">
      <c r="B2510" s="87" t="s">
        <v>3156</v>
      </c>
      <c r="C2510" s="88">
        <v>5960</v>
      </c>
      <c r="D2510" s="87" t="s">
        <v>4976</v>
      </c>
    </row>
    <row r="2511" spans="2:4" ht="15" x14ac:dyDescent="0.2">
      <c r="B2511" s="87" t="s">
        <v>3157</v>
      </c>
      <c r="C2511" s="88">
        <v>5960</v>
      </c>
      <c r="D2511" s="87" t="s">
        <v>4976</v>
      </c>
    </row>
    <row r="2512" spans="2:4" ht="15" x14ac:dyDescent="0.2">
      <c r="B2512" s="87" t="s">
        <v>3158</v>
      </c>
      <c r="C2512" s="88">
        <v>5950</v>
      </c>
      <c r="D2512" s="87" t="s">
        <v>5032</v>
      </c>
    </row>
    <row r="2513" spans="2:4" ht="15" x14ac:dyDescent="0.2">
      <c r="B2513" s="87" t="s">
        <v>3159</v>
      </c>
      <c r="C2513" s="88">
        <v>5950</v>
      </c>
      <c r="D2513" s="87" t="s">
        <v>5032</v>
      </c>
    </row>
    <row r="2514" spans="2:4" ht="15" x14ac:dyDescent="0.2">
      <c r="B2514" s="87" t="s">
        <v>3160</v>
      </c>
      <c r="C2514" s="88">
        <v>5950</v>
      </c>
      <c r="D2514" s="87" t="s">
        <v>5032</v>
      </c>
    </row>
    <row r="2515" spans="2:4" ht="15" x14ac:dyDescent="0.2">
      <c r="B2515" s="87" t="s">
        <v>3161</v>
      </c>
      <c r="C2515" s="88">
        <v>5930</v>
      </c>
      <c r="D2515" s="87" t="s">
        <v>4975</v>
      </c>
    </row>
    <row r="2516" spans="2:4" ht="15" x14ac:dyDescent="0.2">
      <c r="B2516" s="87" t="s">
        <v>3162</v>
      </c>
      <c r="C2516" s="88">
        <v>5930</v>
      </c>
      <c r="D2516" s="87" t="s">
        <v>4975</v>
      </c>
    </row>
    <row r="2517" spans="2:4" ht="15" x14ac:dyDescent="0.2">
      <c r="B2517" s="87" t="s">
        <v>3163</v>
      </c>
      <c r="C2517" s="88">
        <v>5930</v>
      </c>
      <c r="D2517" s="87" t="s">
        <v>4975</v>
      </c>
    </row>
    <row r="2518" spans="2:4" ht="15" x14ac:dyDescent="0.2">
      <c r="B2518" s="87" t="s">
        <v>3164</v>
      </c>
      <c r="C2518" s="88">
        <v>5930</v>
      </c>
      <c r="D2518" s="87" t="s">
        <v>4975</v>
      </c>
    </row>
    <row r="2519" spans="2:4" ht="15" x14ac:dyDescent="0.2">
      <c r="B2519" s="87" t="s">
        <v>3165</v>
      </c>
      <c r="C2519" s="88">
        <v>5930</v>
      </c>
      <c r="D2519" s="87" t="s">
        <v>4975</v>
      </c>
    </row>
    <row r="2520" spans="2:4" ht="15" x14ac:dyDescent="0.2">
      <c r="B2520" s="87" t="s">
        <v>3166</v>
      </c>
      <c r="C2520" s="88">
        <v>5930</v>
      </c>
      <c r="D2520" s="87" t="s">
        <v>4975</v>
      </c>
    </row>
    <row r="2521" spans="2:4" ht="15" x14ac:dyDescent="0.2">
      <c r="B2521" s="87" t="s">
        <v>3167</v>
      </c>
      <c r="C2521" s="88">
        <v>5920</v>
      </c>
      <c r="D2521" s="87" t="s">
        <v>4974</v>
      </c>
    </row>
    <row r="2522" spans="2:4" ht="15" x14ac:dyDescent="0.2">
      <c r="B2522" s="87" t="s">
        <v>3168</v>
      </c>
      <c r="C2522" s="88">
        <v>5920</v>
      </c>
      <c r="D2522" s="87" t="s">
        <v>4974</v>
      </c>
    </row>
    <row r="2523" spans="2:4" ht="15" x14ac:dyDescent="0.2">
      <c r="B2523" s="87" t="s">
        <v>3169</v>
      </c>
      <c r="C2523" s="88">
        <v>5920</v>
      </c>
      <c r="D2523" s="87" t="s">
        <v>4974</v>
      </c>
    </row>
    <row r="2524" spans="2:4" ht="15" x14ac:dyDescent="0.2">
      <c r="B2524" s="87" t="s">
        <v>3170</v>
      </c>
      <c r="C2524" s="88">
        <v>5920</v>
      </c>
      <c r="D2524" s="87" t="s">
        <v>4974</v>
      </c>
    </row>
    <row r="2525" spans="2:4" ht="15" x14ac:dyDescent="0.2">
      <c r="B2525" s="87" t="s">
        <v>3171</v>
      </c>
      <c r="C2525" s="88">
        <v>5920</v>
      </c>
      <c r="D2525" s="87" t="s">
        <v>4974</v>
      </c>
    </row>
    <row r="2526" spans="2:4" ht="15" x14ac:dyDescent="0.2">
      <c r="B2526" s="87" t="s">
        <v>3172</v>
      </c>
      <c r="C2526" s="88">
        <v>5900</v>
      </c>
      <c r="D2526" s="87" t="s">
        <v>4973</v>
      </c>
    </row>
    <row r="2527" spans="2:4" ht="15" x14ac:dyDescent="0.2">
      <c r="B2527" s="87" t="s">
        <v>3173</v>
      </c>
      <c r="C2527" s="88">
        <v>5900</v>
      </c>
      <c r="D2527" s="87" t="s">
        <v>4973</v>
      </c>
    </row>
    <row r="2528" spans="2:4" ht="15" x14ac:dyDescent="0.2">
      <c r="B2528" s="87" t="s">
        <v>3174</v>
      </c>
      <c r="C2528" s="88">
        <v>5900</v>
      </c>
      <c r="D2528" s="87" t="s">
        <v>4973</v>
      </c>
    </row>
    <row r="2529" spans="2:4" ht="15" x14ac:dyDescent="0.2">
      <c r="B2529" s="87" t="s">
        <v>3175</v>
      </c>
      <c r="C2529" s="88">
        <v>5900</v>
      </c>
      <c r="D2529" s="87" t="s">
        <v>4973</v>
      </c>
    </row>
    <row r="2530" spans="2:4" ht="15" x14ac:dyDescent="0.2">
      <c r="B2530" s="87" t="s">
        <v>3176</v>
      </c>
      <c r="C2530" s="88">
        <v>5900</v>
      </c>
      <c r="D2530" s="87" t="s">
        <v>4973</v>
      </c>
    </row>
    <row r="2531" spans="2:4" ht="15" x14ac:dyDescent="0.2">
      <c r="B2531" s="87" t="s">
        <v>3177</v>
      </c>
      <c r="C2531" s="88">
        <v>5900</v>
      </c>
      <c r="D2531" s="87" t="s">
        <v>4973</v>
      </c>
    </row>
    <row r="2532" spans="2:4" ht="15" x14ac:dyDescent="0.2">
      <c r="B2532" s="87" t="s">
        <v>3178</v>
      </c>
      <c r="C2532" s="88">
        <v>5890</v>
      </c>
      <c r="D2532" s="87" t="s">
        <v>4972</v>
      </c>
    </row>
    <row r="2533" spans="2:4" ht="15" x14ac:dyDescent="0.2">
      <c r="B2533" s="87" t="s">
        <v>3179</v>
      </c>
      <c r="C2533" s="88">
        <v>5890</v>
      </c>
      <c r="D2533" s="87" t="s">
        <v>4972</v>
      </c>
    </row>
    <row r="2534" spans="2:4" ht="15" x14ac:dyDescent="0.2">
      <c r="B2534" s="87" t="s">
        <v>3180</v>
      </c>
      <c r="C2534" s="88">
        <v>5890</v>
      </c>
      <c r="D2534" s="87" t="s">
        <v>4972</v>
      </c>
    </row>
    <row r="2535" spans="2:4" ht="15" x14ac:dyDescent="0.2">
      <c r="B2535" s="87" t="s">
        <v>3181</v>
      </c>
      <c r="C2535" s="88">
        <v>5890</v>
      </c>
      <c r="D2535" s="87" t="s">
        <v>4972</v>
      </c>
    </row>
    <row r="2536" spans="2:4" ht="15" x14ac:dyDescent="0.2">
      <c r="B2536" s="87" t="s">
        <v>3182</v>
      </c>
      <c r="C2536" s="88">
        <v>5890</v>
      </c>
      <c r="D2536" s="87" t="s">
        <v>4972</v>
      </c>
    </row>
    <row r="2537" spans="2:4" ht="15" x14ac:dyDescent="0.2">
      <c r="B2537" s="87" t="s">
        <v>3183</v>
      </c>
      <c r="C2537" s="88">
        <v>5890</v>
      </c>
      <c r="D2537" s="87" t="s">
        <v>4972</v>
      </c>
    </row>
    <row r="2538" spans="2:4" ht="15" x14ac:dyDescent="0.2">
      <c r="B2538" s="87" t="s">
        <v>3184</v>
      </c>
      <c r="C2538" s="88">
        <v>5870</v>
      </c>
      <c r="D2538" s="87" t="s">
        <v>4971</v>
      </c>
    </row>
    <row r="2539" spans="2:4" ht="15" x14ac:dyDescent="0.2">
      <c r="B2539" s="87" t="s">
        <v>3185</v>
      </c>
      <c r="C2539" s="88">
        <v>5870</v>
      </c>
      <c r="D2539" s="87" t="s">
        <v>4971</v>
      </c>
    </row>
    <row r="2540" spans="2:4" ht="15" x14ac:dyDescent="0.2">
      <c r="B2540" s="87" t="s">
        <v>3186</v>
      </c>
      <c r="C2540" s="88">
        <v>5870</v>
      </c>
      <c r="D2540" s="87" t="s">
        <v>4971</v>
      </c>
    </row>
    <row r="2541" spans="2:4" ht="15" x14ac:dyDescent="0.2">
      <c r="B2541" s="87" t="s">
        <v>3187</v>
      </c>
      <c r="C2541" s="88">
        <v>5870</v>
      </c>
      <c r="D2541" s="87" t="s">
        <v>4971</v>
      </c>
    </row>
    <row r="2542" spans="2:4" ht="15" x14ac:dyDescent="0.2">
      <c r="B2542" s="87" t="s">
        <v>3188</v>
      </c>
      <c r="C2542" s="88">
        <v>5870</v>
      </c>
      <c r="D2542" s="87" t="s">
        <v>4971</v>
      </c>
    </row>
    <row r="2543" spans="2:4" ht="15" x14ac:dyDescent="0.2">
      <c r="B2543" s="87" t="s">
        <v>3189</v>
      </c>
      <c r="C2543" s="88">
        <v>5870</v>
      </c>
      <c r="D2543" s="87" t="s">
        <v>4971</v>
      </c>
    </row>
    <row r="2544" spans="2:4" ht="15" x14ac:dyDescent="0.2">
      <c r="B2544" s="87" t="s">
        <v>3190</v>
      </c>
      <c r="C2544" s="88">
        <v>5870</v>
      </c>
      <c r="D2544" s="87" t="s">
        <v>4971</v>
      </c>
    </row>
    <row r="2545" spans="2:4" ht="15" x14ac:dyDescent="0.2">
      <c r="B2545" s="87" t="s">
        <v>3191</v>
      </c>
      <c r="C2545" s="88">
        <v>5870</v>
      </c>
      <c r="D2545" s="87" t="s">
        <v>4970</v>
      </c>
    </row>
    <row r="2546" spans="2:4" ht="15" x14ac:dyDescent="0.2">
      <c r="B2546" s="87" t="s">
        <v>3192</v>
      </c>
      <c r="C2546" s="88">
        <v>5870</v>
      </c>
      <c r="D2546" s="87" t="s">
        <v>4970</v>
      </c>
    </row>
    <row r="2547" spans="2:4" ht="15" x14ac:dyDescent="0.2">
      <c r="B2547" s="87" t="s">
        <v>3193</v>
      </c>
      <c r="C2547" s="88">
        <v>5870</v>
      </c>
      <c r="D2547" s="87" t="s">
        <v>4970</v>
      </c>
    </row>
    <row r="2548" spans="2:4" ht="15" x14ac:dyDescent="0.2">
      <c r="B2548" s="87" t="s">
        <v>3194</v>
      </c>
      <c r="C2548" s="88">
        <v>5870</v>
      </c>
      <c r="D2548" s="87" t="s">
        <v>4970</v>
      </c>
    </row>
    <row r="2549" spans="2:4" ht="15" x14ac:dyDescent="0.2">
      <c r="B2549" s="87" t="s">
        <v>3195</v>
      </c>
      <c r="C2549" s="88">
        <v>5870</v>
      </c>
      <c r="D2549" s="87" t="s">
        <v>4970</v>
      </c>
    </row>
    <row r="2550" spans="2:4" ht="15" x14ac:dyDescent="0.2">
      <c r="B2550" s="87" t="s">
        <v>3196</v>
      </c>
      <c r="C2550" s="88">
        <v>5870</v>
      </c>
      <c r="D2550" s="87" t="s">
        <v>4970</v>
      </c>
    </row>
    <row r="2551" spans="2:4" ht="15" x14ac:dyDescent="0.2">
      <c r="B2551" s="87" t="s">
        <v>3197</v>
      </c>
      <c r="C2551" s="88">
        <v>5860</v>
      </c>
      <c r="D2551" s="87" t="s">
        <v>4969</v>
      </c>
    </row>
    <row r="2552" spans="2:4" ht="15" x14ac:dyDescent="0.2">
      <c r="B2552" s="87" t="s">
        <v>3198</v>
      </c>
      <c r="C2552" s="88">
        <v>5860</v>
      </c>
      <c r="D2552" s="87" t="s">
        <v>4969</v>
      </c>
    </row>
    <row r="2553" spans="2:4" ht="15" x14ac:dyDescent="0.2">
      <c r="B2553" s="87" t="s">
        <v>3199</v>
      </c>
      <c r="C2553" s="88">
        <v>5860</v>
      </c>
      <c r="D2553" s="87" t="s">
        <v>4969</v>
      </c>
    </row>
    <row r="2554" spans="2:4" ht="15" x14ac:dyDescent="0.2">
      <c r="B2554" s="87" t="s">
        <v>3200</v>
      </c>
      <c r="C2554" s="88">
        <v>5860</v>
      </c>
      <c r="D2554" s="87" t="s">
        <v>4969</v>
      </c>
    </row>
    <row r="2555" spans="2:4" ht="15" x14ac:dyDescent="0.2">
      <c r="B2555" s="87" t="s">
        <v>3201</v>
      </c>
      <c r="C2555" s="88">
        <v>5860</v>
      </c>
      <c r="D2555" s="87" t="s">
        <v>4969</v>
      </c>
    </row>
    <row r="2556" spans="2:4" ht="15" x14ac:dyDescent="0.2">
      <c r="B2556" s="87" t="s">
        <v>3202</v>
      </c>
      <c r="C2556" s="88">
        <v>5860</v>
      </c>
      <c r="D2556" s="87" t="s">
        <v>4969</v>
      </c>
    </row>
    <row r="2557" spans="2:4" ht="15" x14ac:dyDescent="0.2">
      <c r="B2557" s="87" t="s">
        <v>3203</v>
      </c>
      <c r="C2557" s="88">
        <v>5840</v>
      </c>
      <c r="D2557" s="87" t="s">
        <v>4968</v>
      </c>
    </row>
    <row r="2558" spans="2:4" ht="15" x14ac:dyDescent="0.2">
      <c r="B2558" s="87" t="s">
        <v>3204</v>
      </c>
      <c r="C2558" s="88">
        <v>5840</v>
      </c>
      <c r="D2558" s="87" t="s">
        <v>4968</v>
      </c>
    </row>
    <row r="2559" spans="2:4" ht="15" x14ac:dyDescent="0.2">
      <c r="B2559" s="87" t="s">
        <v>3205</v>
      </c>
      <c r="C2559" s="88">
        <v>5840</v>
      </c>
      <c r="D2559" s="87" t="s">
        <v>4968</v>
      </c>
    </row>
    <row r="2560" spans="2:4" ht="15" x14ac:dyDescent="0.2">
      <c r="B2560" s="87" t="s">
        <v>3206</v>
      </c>
      <c r="C2560" s="88">
        <v>5840</v>
      </c>
      <c r="D2560" s="87" t="s">
        <v>4968</v>
      </c>
    </row>
    <row r="2561" spans="2:4" ht="15" x14ac:dyDescent="0.2">
      <c r="B2561" s="87" t="s">
        <v>3207</v>
      </c>
      <c r="C2561" s="88">
        <v>5840</v>
      </c>
      <c r="D2561" s="87" t="s">
        <v>4968</v>
      </c>
    </row>
    <row r="2562" spans="2:4" ht="15" x14ac:dyDescent="0.2">
      <c r="B2562" s="87" t="s">
        <v>3208</v>
      </c>
      <c r="C2562" s="88">
        <v>5830</v>
      </c>
      <c r="D2562" s="87" t="s">
        <v>4967</v>
      </c>
    </row>
    <row r="2563" spans="2:4" ht="15" x14ac:dyDescent="0.2">
      <c r="B2563" s="87" t="s">
        <v>3209</v>
      </c>
      <c r="C2563" s="88">
        <v>5830</v>
      </c>
      <c r="D2563" s="87" t="s">
        <v>4967</v>
      </c>
    </row>
    <row r="2564" spans="2:4" ht="15" x14ac:dyDescent="0.2">
      <c r="B2564" s="87" t="s">
        <v>3210</v>
      </c>
      <c r="C2564" s="88">
        <v>5830</v>
      </c>
      <c r="D2564" s="87" t="s">
        <v>4967</v>
      </c>
    </row>
    <row r="2565" spans="2:4" ht="15" x14ac:dyDescent="0.2">
      <c r="B2565" s="87" t="s">
        <v>3211</v>
      </c>
      <c r="C2565" s="88">
        <v>5830</v>
      </c>
      <c r="D2565" s="87" t="s">
        <v>4967</v>
      </c>
    </row>
    <row r="2566" spans="2:4" ht="15" x14ac:dyDescent="0.2">
      <c r="B2566" s="87" t="s">
        <v>3212</v>
      </c>
      <c r="C2566" s="88">
        <v>5810</v>
      </c>
      <c r="D2566" s="87" t="s">
        <v>4966</v>
      </c>
    </row>
    <row r="2567" spans="2:4" ht="15" x14ac:dyDescent="0.2">
      <c r="B2567" s="87" t="s">
        <v>3213</v>
      </c>
      <c r="C2567" s="88">
        <v>5810</v>
      </c>
      <c r="D2567" s="87" t="s">
        <v>4966</v>
      </c>
    </row>
    <row r="2568" spans="2:4" ht="15" x14ac:dyDescent="0.2">
      <c r="B2568" s="87" t="s">
        <v>3214</v>
      </c>
      <c r="C2568" s="88">
        <v>5810</v>
      </c>
      <c r="D2568" s="87" t="s">
        <v>4966</v>
      </c>
    </row>
    <row r="2569" spans="2:4" ht="15" x14ac:dyDescent="0.2">
      <c r="B2569" s="87" t="s">
        <v>3215</v>
      </c>
      <c r="C2569" s="88">
        <v>5800</v>
      </c>
      <c r="D2569" s="87" t="s">
        <v>4965</v>
      </c>
    </row>
    <row r="2570" spans="2:4" ht="15" x14ac:dyDescent="0.2">
      <c r="B2570" s="87" t="s">
        <v>3216</v>
      </c>
      <c r="C2570" s="88">
        <v>5800</v>
      </c>
      <c r="D2570" s="87" t="s">
        <v>4965</v>
      </c>
    </row>
    <row r="2571" spans="2:4" ht="15" x14ac:dyDescent="0.2">
      <c r="B2571" s="87" t="s">
        <v>3217</v>
      </c>
      <c r="C2571" s="88">
        <v>5800</v>
      </c>
      <c r="D2571" s="87" t="s">
        <v>4965</v>
      </c>
    </row>
    <row r="2572" spans="2:4" ht="15" x14ac:dyDescent="0.2">
      <c r="B2572" s="87" t="s">
        <v>3218</v>
      </c>
      <c r="C2572" s="88">
        <v>5800</v>
      </c>
      <c r="D2572" s="87" t="s">
        <v>4965</v>
      </c>
    </row>
    <row r="2573" spans="2:4" ht="15" x14ac:dyDescent="0.2">
      <c r="B2573" s="87" t="s">
        <v>3219</v>
      </c>
      <c r="C2573" s="88">
        <v>5780</v>
      </c>
      <c r="D2573" s="87" t="s">
        <v>4964</v>
      </c>
    </row>
    <row r="2574" spans="2:4" ht="15" x14ac:dyDescent="0.2">
      <c r="B2574" s="87" t="s">
        <v>3220</v>
      </c>
      <c r="C2574" s="88">
        <v>5780</v>
      </c>
      <c r="D2574" s="87" t="s">
        <v>4964</v>
      </c>
    </row>
    <row r="2575" spans="2:4" ht="15" x14ac:dyDescent="0.2">
      <c r="B2575" s="87" t="s">
        <v>3221</v>
      </c>
      <c r="C2575" s="88">
        <v>5780</v>
      </c>
      <c r="D2575" s="87" t="s">
        <v>4964</v>
      </c>
    </row>
    <row r="2576" spans="2:4" ht="15" x14ac:dyDescent="0.2">
      <c r="B2576" s="87" t="s">
        <v>3222</v>
      </c>
      <c r="C2576" s="88">
        <v>5780</v>
      </c>
      <c r="D2576" s="87" t="s">
        <v>4964</v>
      </c>
    </row>
    <row r="2577" spans="2:4" ht="15" x14ac:dyDescent="0.2">
      <c r="B2577" s="87" t="s">
        <v>3223</v>
      </c>
      <c r="C2577" s="88">
        <v>5780</v>
      </c>
      <c r="D2577" s="87" t="s">
        <v>4963</v>
      </c>
    </row>
    <row r="2578" spans="2:4" ht="15" x14ac:dyDescent="0.2">
      <c r="B2578" s="87" t="s">
        <v>3224</v>
      </c>
      <c r="C2578" s="88">
        <v>5780</v>
      </c>
      <c r="D2578" s="87" t="s">
        <v>4963</v>
      </c>
    </row>
    <row r="2579" spans="2:4" ht="15" x14ac:dyDescent="0.2">
      <c r="B2579" s="87" t="s">
        <v>3225</v>
      </c>
      <c r="C2579" s="88">
        <v>5780</v>
      </c>
      <c r="D2579" s="87" t="s">
        <v>4963</v>
      </c>
    </row>
    <row r="2580" spans="2:4" ht="15" x14ac:dyDescent="0.2">
      <c r="B2580" s="87" t="s">
        <v>3226</v>
      </c>
      <c r="C2580" s="88">
        <v>5780</v>
      </c>
      <c r="D2580" s="87" t="s">
        <v>4963</v>
      </c>
    </row>
    <row r="2581" spans="2:4" ht="15" x14ac:dyDescent="0.2">
      <c r="B2581" s="87" t="s">
        <v>3227</v>
      </c>
      <c r="C2581" s="88">
        <v>5780</v>
      </c>
      <c r="D2581" s="87" t="s">
        <v>4963</v>
      </c>
    </row>
    <row r="2582" spans="2:4" ht="15" x14ac:dyDescent="0.2">
      <c r="B2582" s="87" t="s">
        <v>3228</v>
      </c>
      <c r="C2582" s="88">
        <v>5770</v>
      </c>
      <c r="D2582" s="87" t="s">
        <v>4962</v>
      </c>
    </row>
    <row r="2583" spans="2:4" ht="15" x14ac:dyDescent="0.2">
      <c r="B2583" s="87" t="s">
        <v>3229</v>
      </c>
      <c r="C2583" s="88">
        <v>5770</v>
      </c>
      <c r="D2583" s="87" t="s">
        <v>4962</v>
      </c>
    </row>
    <row r="2584" spans="2:4" ht="15" x14ac:dyDescent="0.2">
      <c r="B2584" s="87" t="s">
        <v>3230</v>
      </c>
      <c r="C2584" s="88">
        <v>5760</v>
      </c>
      <c r="D2584" s="87" t="s">
        <v>4961</v>
      </c>
    </row>
    <row r="2585" spans="2:4" ht="15" x14ac:dyDescent="0.2">
      <c r="B2585" s="87" t="s">
        <v>3231</v>
      </c>
      <c r="C2585" s="88">
        <v>5760</v>
      </c>
      <c r="D2585" s="87" t="s">
        <v>4961</v>
      </c>
    </row>
    <row r="2586" spans="2:4" ht="15" x14ac:dyDescent="0.2">
      <c r="B2586" s="87" t="s">
        <v>3232</v>
      </c>
      <c r="C2586" s="88">
        <v>5760</v>
      </c>
      <c r="D2586" s="87" t="s">
        <v>4961</v>
      </c>
    </row>
    <row r="2587" spans="2:4" ht="15" x14ac:dyDescent="0.2">
      <c r="B2587" s="87" t="s">
        <v>3233</v>
      </c>
      <c r="C2587" s="88">
        <v>5740</v>
      </c>
      <c r="D2587" s="87" t="s">
        <v>4960</v>
      </c>
    </row>
    <row r="2588" spans="2:4" ht="15" x14ac:dyDescent="0.2">
      <c r="B2588" s="87" t="s">
        <v>3234</v>
      </c>
      <c r="C2588" s="88">
        <v>5740</v>
      </c>
      <c r="D2588" s="87" t="s">
        <v>4960</v>
      </c>
    </row>
    <row r="2589" spans="2:4" ht="15" x14ac:dyDescent="0.2">
      <c r="B2589" s="87" t="s">
        <v>3235</v>
      </c>
      <c r="C2589" s="88">
        <v>5730</v>
      </c>
      <c r="D2589" s="87" t="s">
        <v>4959</v>
      </c>
    </row>
    <row r="2590" spans="2:4" ht="15" x14ac:dyDescent="0.2">
      <c r="B2590" s="87" t="s">
        <v>3236</v>
      </c>
      <c r="C2590" s="88">
        <v>5730</v>
      </c>
      <c r="D2590" s="87" t="s">
        <v>4959</v>
      </c>
    </row>
    <row r="2591" spans="2:4" ht="15" x14ac:dyDescent="0.2">
      <c r="B2591" s="87" t="s">
        <v>3237</v>
      </c>
      <c r="C2591" s="88">
        <v>5730</v>
      </c>
      <c r="D2591" s="87" t="s">
        <v>4959</v>
      </c>
    </row>
    <row r="2592" spans="2:4" ht="15" x14ac:dyDescent="0.2">
      <c r="B2592" s="87" t="s">
        <v>3238</v>
      </c>
      <c r="C2592" s="88">
        <v>5710</v>
      </c>
      <c r="D2592" s="87" t="s">
        <v>4958</v>
      </c>
    </row>
    <row r="2593" spans="2:4" ht="15" x14ac:dyDescent="0.2">
      <c r="B2593" s="87" t="s">
        <v>3239</v>
      </c>
      <c r="C2593" s="88">
        <v>5710</v>
      </c>
      <c r="D2593" s="87" t="s">
        <v>4958</v>
      </c>
    </row>
    <row r="2594" spans="2:4" ht="15" x14ac:dyDescent="0.2">
      <c r="B2594" s="87" t="s">
        <v>3240</v>
      </c>
      <c r="C2594" s="88">
        <v>5700</v>
      </c>
      <c r="D2594" s="87" t="s">
        <v>4957</v>
      </c>
    </row>
    <row r="2595" spans="2:4" ht="15" x14ac:dyDescent="0.2">
      <c r="B2595" s="87" t="s">
        <v>3241</v>
      </c>
      <c r="C2595" s="88">
        <v>5700</v>
      </c>
      <c r="D2595" s="87" t="s">
        <v>4957</v>
      </c>
    </row>
    <row r="2596" spans="2:4" ht="15" x14ac:dyDescent="0.2">
      <c r="B2596" s="87" t="s">
        <v>3242</v>
      </c>
      <c r="C2596" s="88">
        <v>5700</v>
      </c>
      <c r="D2596" s="87" t="s">
        <v>4956</v>
      </c>
    </row>
    <row r="2597" spans="2:4" ht="15" x14ac:dyDescent="0.2">
      <c r="B2597" s="87" t="s">
        <v>3243</v>
      </c>
      <c r="C2597" s="88">
        <v>5680</v>
      </c>
      <c r="D2597" s="87" t="s">
        <v>4955</v>
      </c>
    </row>
    <row r="2598" spans="2:4" ht="15" x14ac:dyDescent="0.2">
      <c r="B2598" s="87" t="s">
        <v>3244</v>
      </c>
      <c r="C2598" s="88">
        <v>5680</v>
      </c>
      <c r="D2598" s="87" t="s">
        <v>4955</v>
      </c>
    </row>
    <row r="2599" spans="2:4" ht="15" x14ac:dyDescent="0.2">
      <c r="B2599" s="87" t="s">
        <v>3245</v>
      </c>
      <c r="C2599" s="88">
        <v>5670</v>
      </c>
      <c r="D2599" s="87" t="s">
        <v>4954</v>
      </c>
    </row>
    <row r="2600" spans="2:4" ht="15" x14ac:dyDescent="0.2">
      <c r="B2600" s="87" t="s">
        <v>3246</v>
      </c>
      <c r="C2600" s="88">
        <v>5670</v>
      </c>
      <c r="D2600" s="87" t="s">
        <v>4954</v>
      </c>
    </row>
    <row r="2601" spans="2:4" ht="15" x14ac:dyDescent="0.2">
      <c r="B2601" s="87" t="s">
        <v>3247</v>
      </c>
      <c r="C2601" s="88">
        <v>5650</v>
      </c>
      <c r="D2601" s="87" t="s">
        <v>4953</v>
      </c>
    </row>
    <row r="2602" spans="2:4" ht="15" x14ac:dyDescent="0.2">
      <c r="B2602" s="87" t="s">
        <v>3248</v>
      </c>
      <c r="C2602" s="88">
        <v>5650</v>
      </c>
      <c r="D2602" s="87" t="s">
        <v>4953</v>
      </c>
    </row>
    <row r="2603" spans="2:4" ht="15" x14ac:dyDescent="0.2">
      <c r="B2603" s="87" t="s">
        <v>3249</v>
      </c>
      <c r="C2603" s="88">
        <v>5640</v>
      </c>
      <c r="D2603" s="87" t="s">
        <v>4952</v>
      </c>
    </row>
    <row r="2604" spans="2:4" ht="15" x14ac:dyDescent="0.2">
      <c r="B2604" s="87" t="s">
        <v>3250</v>
      </c>
      <c r="C2604" s="88">
        <v>5640</v>
      </c>
      <c r="D2604" s="87" t="s">
        <v>4952</v>
      </c>
    </row>
    <row r="2605" spans="2:4" ht="15" x14ac:dyDescent="0.2">
      <c r="B2605" s="87" t="s">
        <v>3251</v>
      </c>
      <c r="C2605" s="88">
        <v>5620</v>
      </c>
      <c r="D2605" s="87" t="s">
        <v>4951</v>
      </c>
    </row>
    <row r="2606" spans="2:4" ht="15" x14ac:dyDescent="0.2">
      <c r="B2606" s="87" t="s">
        <v>3252</v>
      </c>
      <c r="C2606" s="88">
        <v>5620</v>
      </c>
      <c r="D2606" s="87" t="s">
        <v>4951</v>
      </c>
    </row>
    <row r="2607" spans="2:4" ht="15" x14ac:dyDescent="0.2">
      <c r="B2607" s="87" t="s">
        <v>3253</v>
      </c>
      <c r="C2607" s="88">
        <v>5620</v>
      </c>
      <c r="D2607" s="87" t="s">
        <v>4951</v>
      </c>
    </row>
    <row r="2608" spans="2:4" ht="15" x14ac:dyDescent="0.2">
      <c r="B2608" s="87" t="s">
        <v>3254</v>
      </c>
      <c r="C2608" s="88">
        <v>5610</v>
      </c>
      <c r="D2608" s="87" t="s">
        <v>4950</v>
      </c>
    </row>
    <row r="2609" spans="2:4" ht="15" x14ac:dyDescent="0.2">
      <c r="B2609" s="87" t="s">
        <v>3255</v>
      </c>
      <c r="C2609" s="88">
        <v>5610</v>
      </c>
      <c r="D2609" s="87" t="s">
        <v>4949</v>
      </c>
    </row>
    <row r="2610" spans="2:4" ht="15" x14ac:dyDescent="0.2">
      <c r="B2610" s="87" t="s">
        <v>3256</v>
      </c>
      <c r="C2610" s="88">
        <v>5610</v>
      </c>
      <c r="D2610" s="87" t="s">
        <v>4949</v>
      </c>
    </row>
    <row r="2611" spans="2:4" ht="15" x14ac:dyDescent="0.2">
      <c r="B2611" s="87" t="s">
        <v>3257</v>
      </c>
      <c r="C2611" s="88">
        <v>5610</v>
      </c>
      <c r="D2611" s="87" t="s">
        <v>4949</v>
      </c>
    </row>
    <row r="2612" spans="2:4" ht="15" x14ac:dyDescent="0.2">
      <c r="B2612" s="87" t="s">
        <v>3258</v>
      </c>
      <c r="C2612" s="88">
        <v>5590</v>
      </c>
      <c r="D2612" s="87" t="s">
        <v>4948</v>
      </c>
    </row>
    <row r="2613" spans="2:4" ht="15" x14ac:dyDescent="0.2">
      <c r="B2613" s="87" t="s">
        <v>3259</v>
      </c>
      <c r="C2613" s="88">
        <v>5590</v>
      </c>
      <c r="D2613" s="87" t="s">
        <v>4948</v>
      </c>
    </row>
    <row r="2614" spans="2:4" ht="15" x14ac:dyDescent="0.2">
      <c r="B2614" s="87" t="s">
        <v>3260</v>
      </c>
      <c r="C2614" s="88">
        <v>5580</v>
      </c>
      <c r="D2614" s="87" t="s">
        <v>4947</v>
      </c>
    </row>
    <row r="2615" spans="2:4" ht="15" x14ac:dyDescent="0.2">
      <c r="B2615" s="87" t="s">
        <v>3261</v>
      </c>
      <c r="C2615" s="88">
        <v>5580</v>
      </c>
      <c r="D2615" s="87" t="s">
        <v>4947</v>
      </c>
    </row>
    <row r="2616" spans="2:4" ht="15" x14ac:dyDescent="0.2">
      <c r="B2616" s="87" t="s">
        <v>3262</v>
      </c>
      <c r="C2616" s="88">
        <v>5580</v>
      </c>
      <c r="D2616" s="87" t="s">
        <v>4947</v>
      </c>
    </row>
    <row r="2617" spans="2:4" ht="15" x14ac:dyDescent="0.2">
      <c r="B2617" s="87" t="s">
        <v>3263</v>
      </c>
      <c r="C2617" s="88">
        <v>5560</v>
      </c>
      <c r="D2617" s="87" t="s">
        <v>4946</v>
      </c>
    </row>
    <row r="2618" spans="2:4" ht="15" x14ac:dyDescent="0.2">
      <c r="B2618" s="87" t="s">
        <v>3264</v>
      </c>
      <c r="C2618" s="88">
        <v>5560</v>
      </c>
      <c r="D2618" s="87" t="s">
        <v>4946</v>
      </c>
    </row>
    <row r="2619" spans="2:4" ht="15" x14ac:dyDescent="0.2">
      <c r="B2619" s="87" t="s">
        <v>3265</v>
      </c>
      <c r="C2619" s="88">
        <v>5560</v>
      </c>
      <c r="D2619" s="87" t="s">
        <v>4946</v>
      </c>
    </row>
    <row r="2620" spans="2:4" ht="15" x14ac:dyDescent="0.2">
      <c r="B2620" s="87" t="s">
        <v>3266</v>
      </c>
      <c r="C2620" s="88">
        <v>5550</v>
      </c>
      <c r="D2620" s="87" t="s">
        <v>4945</v>
      </c>
    </row>
    <row r="2621" spans="2:4" ht="15" x14ac:dyDescent="0.2">
      <c r="B2621" s="87" t="s">
        <v>3267</v>
      </c>
      <c r="C2621" s="88">
        <v>5550</v>
      </c>
      <c r="D2621" s="87" t="s">
        <v>4945</v>
      </c>
    </row>
    <row r="2622" spans="2:4" ht="15" x14ac:dyDescent="0.2">
      <c r="B2622" s="87" t="s">
        <v>3268</v>
      </c>
      <c r="C2622" s="88">
        <v>5550</v>
      </c>
      <c r="D2622" s="87" t="s">
        <v>4945</v>
      </c>
    </row>
    <row r="2623" spans="2:4" ht="15" x14ac:dyDescent="0.2">
      <c r="B2623" s="87" t="s">
        <v>3269</v>
      </c>
      <c r="C2623" s="88">
        <v>5530</v>
      </c>
      <c r="D2623" s="87" t="s">
        <v>4944</v>
      </c>
    </row>
    <row r="2624" spans="2:4" ht="15" x14ac:dyDescent="0.2">
      <c r="B2624" s="87" t="s">
        <v>3270</v>
      </c>
      <c r="C2624" s="88">
        <v>5530</v>
      </c>
      <c r="D2624" s="87" t="s">
        <v>4944</v>
      </c>
    </row>
    <row r="2625" spans="2:4" ht="15" x14ac:dyDescent="0.2">
      <c r="B2625" s="87" t="s">
        <v>3271</v>
      </c>
      <c r="C2625" s="88">
        <v>5530</v>
      </c>
      <c r="D2625" s="87" t="s">
        <v>4944</v>
      </c>
    </row>
    <row r="2626" spans="2:4" ht="15" x14ac:dyDescent="0.2">
      <c r="B2626" s="87" t="s">
        <v>3272</v>
      </c>
      <c r="C2626" s="88">
        <v>5520</v>
      </c>
      <c r="D2626" s="87" t="s">
        <v>4943</v>
      </c>
    </row>
    <row r="2627" spans="2:4" ht="15" x14ac:dyDescent="0.2">
      <c r="B2627" s="87" t="s">
        <v>3273</v>
      </c>
      <c r="C2627" s="88">
        <v>5520</v>
      </c>
      <c r="D2627" s="87" t="s">
        <v>4943</v>
      </c>
    </row>
    <row r="2628" spans="2:4" ht="15" x14ac:dyDescent="0.2">
      <c r="B2628" s="87" t="s">
        <v>3274</v>
      </c>
      <c r="C2628" s="88">
        <v>5520</v>
      </c>
      <c r="D2628" s="87" t="s">
        <v>4943</v>
      </c>
    </row>
    <row r="2629" spans="2:4" ht="15" x14ac:dyDescent="0.2">
      <c r="B2629" s="87" t="s">
        <v>3275</v>
      </c>
      <c r="C2629" s="88">
        <v>5510</v>
      </c>
      <c r="D2629" s="87" t="s">
        <v>4942</v>
      </c>
    </row>
    <row r="2630" spans="2:4" ht="15" x14ac:dyDescent="0.2">
      <c r="B2630" s="87" t="s">
        <v>3276</v>
      </c>
      <c r="C2630" s="88">
        <v>5510</v>
      </c>
      <c r="D2630" s="87" t="s">
        <v>4942</v>
      </c>
    </row>
    <row r="2631" spans="2:4" ht="15" x14ac:dyDescent="0.2">
      <c r="B2631" s="87" t="s">
        <v>3277</v>
      </c>
      <c r="C2631" s="88">
        <v>5490</v>
      </c>
      <c r="D2631" s="87" t="s">
        <v>4941</v>
      </c>
    </row>
    <row r="2632" spans="2:4" ht="15" x14ac:dyDescent="0.2">
      <c r="B2632" s="87" t="s">
        <v>3278</v>
      </c>
      <c r="C2632" s="88">
        <v>5490</v>
      </c>
      <c r="D2632" s="87" t="s">
        <v>4941</v>
      </c>
    </row>
    <row r="2633" spans="2:4" ht="15" x14ac:dyDescent="0.2">
      <c r="B2633" s="87" t="s">
        <v>3279</v>
      </c>
      <c r="C2633" s="88">
        <v>5490</v>
      </c>
      <c r="D2633" s="87" t="s">
        <v>4941</v>
      </c>
    </row>
    <row r="2634" spans="2:4" ht="15" x14ac:dyDescent="0.2">
      <c r="B2634" s="87" t="s">
        <v>3280</v>
      </c>
      <c r="C2634" s="88">
        <v>5480</v>
      </c>
      <c r="D2634" s="87" t="s">
        <v>4940</v>
      </c>
    </row>
    <row r="2635" spans="2:4" ht="15" x14ac:dyDescent="0.2">
      <c r="B2635" s="87" t="s">
        <v>3281</v>
      </c>
      <c r="C2635" s="88">
        <v>5480</v>
      </c>
      <c r="D2635" s="87" t="s">
        <v>4940</v>
      </c>
    </row>
    <row r="2636" spans="2:4" ht="15" x14ac:dyDescent="0.2">
      <c r="B2636" s="87" t="s">
        <v>3282</v>
      </c>
      <c r="C2636" s="88">
        <v>5460</v>
      </c>
      <c r="D2636" s="87" t="s">
        <v>4939</v>
      </c>
    </row>
    <row r="2637" spans="2:4" ht="15" x14ac:dyDescent="0.2">
      <c r="B2637" s="87" t="s">
        <v>3283</v>
      </c>
      <c r="C2637" s="88">
        <v>5460</v>
      </c>
      <c r="D2637" s="87" t="s">
        <v>4939</v>
      </c>
    </row>
    <row r="2638" spans="2:4" ht="15" x14ac:dyDescent="0.2">
      <c r="B2638" s="87" t="s">
        <v>3284</v>
      </c>
      <c r="C2638" s="88">
        <v>5460</v>
      </c>
      <c r="D2638" s="87" t="s">
        <v>4939</v>
      </c>
    </row>
    <row r="2639" spans="2:4" ht="15" x14ac:dyDescent="0.2">
      <c r="B2639" s="87" t="s">
        <v>3285</v>
      </c>
      <c r="C2639" s="88">
        <v>5450</v>
      </c>
      <c r="D2639" s="87" t="s">
        <v>4938</v>
      </c>
    </row>
    <row r="2640" spans="2:4" ht="15" x14ac:dyDescent="0.2">
      <c r="B2640" s="87" t="s">
        <v>3286</v>
      </c>
      <c r="C2640" s="88">
        <v>5450</v>
      </c>
      <c r="D2640" s="87" t="s">
        <v>4938</v>
      </c>
    </row>
    <row r="2641" spans="2:4" ht="15" x14ac:dyDescent="0.2">
      <c r="B2641" s="87" t="s">
        <v>3287</v>
      </c>
      <c r="C2641" s="88">
        <v>5450</v>
      </c>
      <c r="D2641" s="87" t="s">
        <v>4938</v>
      </c>
    </row>
    <row r="2642" spans="2:4" ht="15" x14ac:dyDescent="0.2">
      <c r="B2642" s="87" t="s">
        <v>3288</v>
      </c>
      <c r="C2642" s="88">
        <v>5430</v>
      </c>
      <c r="D2642" s="87" t="s">
        <v>4937</v>
      </c>
    </row>
    <row r="2643" spans="2:4" ht="15" x14ac:dyDescent="0.2">
      <c r="B2643" s="87" t="s">
        <v>3289</v>
      </c>
      <c r="C2643" s="88">
        <v>5430</v>
      </c>
      <c r="D2643" s="87" t="s">
        <v>4937</v>
      </c>
    </row>
    <row r="2644" spans="2:4" ht="15" x14ac:dyDescent="0.2">
      <c r="B2644" s="87" t="s">
        <v>3290</v>
      </c>
      <c r="C2644" s="88">
        <v>5430</v>
      </c>
      <c r="D2644" s="87" t="s">
        <v>4937</v>
      </c>
    </row>
    <row r="2645" spans="2:4" ht="15" x14ac:dyDescent="0.2">
      <c r="B2645" s="87" t="s">
        <v>3291</v>
      </c>
      <c r="C2645" s="88">
        <v>5430</v>
      </c>
      <c r="D2645" s="87" t="s">
        <v>4937</v>
      </c>
    </row>
    <row r="2646" spans="2:4" ht="15" x14ac:dyDescent="0.2">
      <c r="B2646" s="87" t="s">
        <v>3292</v>
      </c>
      <c r="C2646" s="88">
        <v>5420</v>
      </c>
      <c r="D2646" s="87" t="s">
        <v>4936</v>
      </c>
    </row>
    <row r="2647" spans="2:4" ht="15" x14ac:dyDescent="0.2">
      <c r="B2647" s="87" t="s">
        <v>3293</v>
      </c>
      <c r="C2647" s="88">
        <v>5420</v>
      </c>
      <c r="D2647" s="87" t="s">
        <v>4936</v>
      </c>
    </row>
    <row r="2648" spans="2:4" ht="15" x14ac:dyDescent="0.2">
      <c r="B2648" s="87" t="s">
        <v>3294</v>
      </c>
      <c r="C2648" s="88">
        <v>5420</v>
      </c>
      <c r="D2648" s="87" t="s">
        <v>4936</v>
      </c>
    </row>
    <row r="2649" spans="2:4" ht="15" x14ac:dyDescent="0.2">
      <c r="B2649" s="87" t="s">
        <v>3295</v>
      </c>
      <c r="C2649" s="88">
        <v>5400</v>
      </c>
      <c r="D2649" s="87" t="s">
        <v>4935</v>
      </c>
    </row>
    <row r="2650" spans="2:4" ht="15" x14ac:dyDescent="0.2">
      <c r="B2650" s="87" t="s">
        <v>3296</v>
      </c>
      <c r="C2650" s="88">
        <v>5400</v>
      </c>
      <c r="D2650" s="87" t="s">
        <v>4935</v>
      </c>
    </row>
    <row r="2651" spans="2:4" ht="15" x14ac:dyDescent="0.2">
      <c r="B2651" s="87" t="s">
        <v>3297</v>
      </c>
      <c r="C2651" s="88">
        <v>5400</v>
      </c>
      <c r="D2651" s="87" t="s">
        <v>4935</v>
      </c>
    </row>
    <row r="2652" spans="2:4" ht="15" x14ac:dyDescent="0.2">
      <c r="B2652" s="87" t="s">
        <v>3298</v>
      </c>
      <c r="C2652" s="88">
        <v>5390</v>
      </c>
      <c r="D2652" s="87" t="s">
        <v>4934</v>
      </c>
    </row>
    <row r="2653" spans="2:4" ht="15" x14ac:dyDescent="0.2">
      <c r="B2653" s="87" t="s">
        <v>3299</v>
      </c>
      <c r="C2653" s="88">
        <v>5390</v>
      </c>
      <c r="D2653" s="87" t="s">
        <v>4934</v>
      </c>
    </row>
    <row r="2654" spans="2:4" ht="15" x14ac:dyDescent="0.2">
      <c r="B2654" s="87" t="s">
        <v>3300</v>
      </c>
      <c r="C2654" s="88">
        <v>5390</v>
      </c>
      <c r="D2654" s="87" t="s">
        <v>4934</v>
      </c>
    </row>
    <row r="2655" spans="2:4" ht="15" x14ac:dyDescent="0.2">
      <c r="B2655" s="87" t="s">
        <v>3301</v>
      </c>
      <c r="C2655" s="88">
        <v>5370</v>
      </c>
      <c r="D2655" s="87" t="s">
        <v>4933</v>
      </c>
    </row>
    <row r="2656" spans="2:4" ht="15" x14ac:dyDescent="0.2">
      <c r="B2656" s="87" t="s">
        <v>3302</v>
      </c>
      <c r="C2656" s="88">
        <v>5370</v>
      </c>
      <c r="D2656" s="87" t="s">
        <v>4933</v>
      </c>
    </row>
    <row r="2657" spans="2:4" ht="15" x14ac:dyDescent="0.2">
      <c r="B2657" s="87" t="s">
        <v>3303</v>
      </c>
      <c r="C2657" s="88">
        <v>5370</v>
      </c>
      <c r="D2657" s="87" t="s">
        <v>4933</v>
      </c>
    </row>
    <row r="2658" spans="2:4" ht="15" x14ac:dyDescent="0.2">
      <c r="B2658" s="87" t="s">
        <v>3304</v>
      </c>
      <c r="C2658" s="88">
        <v>5360</v>
      </c>
      <c r="D2658" s="87" t="s">
        <v>4932</v>
      </c>
    </row>
    <row r="2659" spans="2:4" ht="15" x14ac:dyDescent="0.2">
      <c r="B2659" s="87" t="s">
        <v>3305</v>
      </c>
      <c r="C2659" s="88">
        <v>5360</v>
      </c>
      <c r="D2659" s="87" t="s">
        <v>4932</v>
      </c>
    </row>
    <row r="2660" spans="2:4" ht="15" x14ac:dyDescent="0.2">
      <c r="B2660" s="87" t="s">
        <v>3306</v>
      </c>
      <c r="C2660" s="88">
        <v>5350</v>
      </c>
      <c r="D2660" s="87" t="s">
        <v>4931</v>
      </c>
    </row>
    <row r="2661" spans="2:4" ht="15" x14ac:dyDescent="0.2">
      <c r="B2661" s="87" t="s">
        <v>3307</v>
      </c>
      <c r="C2661" s="88">
        <v>5350</v>
      </c>
      <c r="D2661" s="87" t="s">
        <v>4931</v>
      </c>
    </row>
    <row r="2662" spans="2:4" ht="15" x14ac:dyDescent="0.2">
      <c r="B2662" s="87" t="s">
        <v>3308</v>
      </c>
      <c r="C2662" s="88">
        <v>5350</v>
      </c>
      <c r="D2662" s="87" t="s">
        <v>4931</v>
      </c>
    </row>
    <row r="2663" spans="2:4" ht="15" x14ac:dyDescent="0.2">
      <c r="B2663" s="87" t="s">
        <v>3309</v>
      </c>
      <c r="C2663" s="88">
        <v>5330</v>
      </c>
      <c r="D2663" s="87" t="s">
        <v>4930</v>
      </c>
    </row>
    <row r="2664" spans="2:4" ht="15" x14ac:dyDescent="0.2">
      <c r="B2664" s="87" t="s">
        <v>3310</v>
      </c>
      <c r="C2664" s="88">
        <v>5330</v>
      </c>
      <c r="D2664" s="87" t="s">
        <v>4930</v>
      </c>
    </row>
    <row r="2665" spans="2:4" ht="15" x14ac:dyDescent="0.2">
      <c r="B2665" s="87" t="s">
        <v>3311</v>
      </c>
      <c r="C2665" s="88">
        <v>5320</v>
      </c>
      <c r="D2665" s="87" t="s">
        <v>4929</v>
      </c>
    </row>
    <row r="2666" spans="2:4" ht="15" x14ac:dyDescent="0.2">
      <c r="B2666" s="87" t="s">
        <v>3312</v>
      </c>
      <c r="C2666" s="88">
        <v>5320</v>
      </c>
      <c r="D2666" s="87" t="s">
        <v>4929</v>
      </c>
    </row>
    <row r="2667" spans="2:4" ht="15" x14ac:dyDescent="0.2">
      <c r="B2667" s="87" t="s">
        <v>3313</v>
      </c>
      <c r="C2667" s="88">
        <v>5320</v>
      </c>
      <c r="D2667" s="87" t="s">
        <v>4929</v>
      </c>
    </row>
    <row r="2668" spans="2:4" ht="15" x14ac:dyDescent="0.2">
      <c r="B2668" s="87" t="s">
        <v>3314</v>
      </c>
      <c r="C2668" s="88">
        <v>5300</v>
      </c>
      <c r="D2668" s="87" t="s">
        <v>4928</v>
      </c>
    </row>
    <row r="2669" spans="2:4" ht="15" x14ac:dyDescent="0.2">
      <c r="B2669" s="87" t="s">
        <v>3315</v>
      </c>
      <c r="C2669" s="88">
        <v>5300</v>
      </c>
      <c r="D2669" s="87" t="s">
        <v>4928</v>
      </c>
    </row>
    <row r="2670" spans="2:4" ht="15" x14ac:dyDescent="0.2">
      <c r="B2670" s="87" t="s">
        <v>3316</v>
      </c>
      <c r="C2670" s="88">
        <v>5290</v>
      </c>
      <c r="D2670" s="87" t="s">
        <v>4927</v>
      </c>
    </row>
    <row r="2671" spans="2:4" ht="15" x14ac:dyDescent="0.2">
      <c r="B2671" s="87" t="s">
        <v>3317</v>
      </c>
      <c r="C2671" s="88">
        <v>5290</v>
      </c>
      <c r="D2671" s="87" t="s">
        <v>4927</v>
      </c>
    </row>
    <row r="2672" spans="2:4" ht="15" x14ac:dyDescent="0.2">
      <c r="B2672" s="87" t="s">
        <v>3318</v>
      </c>
      <c r="C2672" s="88">
        <v>5270</v>
      </c>
      <c r="D2672" s="87" t="s">
        <v>4926</v>
      </c>
    </row>
    <row r="2673" spans="2:4" ht="15" x14ac:dyDescent="0.2">
      <c r="B2673" s="87" t="s">
        <v>3319</v>
      </c>
      <c r="C2673" s="88">
        <v>5270</v>
      </c>
      <c r="D2673" s="87" t="s">
        <v>4926</v>
      </c>
    </row>
    <row r="2674" spans="2:4" ht="15" x14ac:dyDescent="0.2">
      <c r="B2674" s="87" t="s">
        <v>3320</v>
      </c>
      <c r="C2674" s="88">
        <v>5260</v>
      </c>
      <c r="D2674" s="87" t="s">
        <v>4925</v>
      </c>
    </row>
    <row r="2675" spans="2:4" ht="15" x14ac:dyDescent="0.2">
      <c r="B2675" s="87" t="s">
        <v>3321</v>
      </c>
      <c r="C2675" s="88">
        <v>5260</v>
      </c>
      <c r="D2675" s="87" t="s">
        <v>4925</v>
      </c>
    </row>
    <row r="2676" spans="2:4" ht="15" x14ac:dyDescent="0.2">
      <c r="B2676" s="87" t="s">
        <v>3322</v>
      </c>
      <c r="C2676" s="88">
        <v>5260</v>
      </c>
      <c r="D2676" s="87" t="s">
        <v>4925</v>
      </c>
    </row>
    <row r="2677" spans="2:4" ht="15" x14ac:dyDescent="0.2">
      <c r="B2677" s="87" t="s">
        <v>3323</v>
      </c>
      <c r="C2677" s="88">
        <v>5240</v>
      </c>
      <c r="D2677" s="87" t="s">
        <v>4924</v>
      </c>
    </row>
    <row r="2678" spans="2:4" ht="15" x14ac:dyDescent="0.2">
      <c r="B2678" s="87" t="s">
        <v>3324</v>
      </c>
      <c r="C2678" s="88">
        <v>5230</v>
      </c>
      <c r="D2678" s="87" t="s">
        <v>4923</v>
      </c>
    </row>
    <row r="2679" spans="2:4" ht="15" x14ac:dyDescent="0.2">
      <c r="B2679" s="87" t="s">
        <v>3325</v>
      </c>
      <c r="C2679" s="88">
        <v>5230</v>
      </c>
      <c r="D2679" s="87" t="s">
        <v>4923</v>
      </c>
    </row>
    <row r="2680" spans="2:4" ht="15" x14ac:dyDescent="0.2">
      <c r="B2680" s="87" t="s">
        <v>3326</v>
      </c>
      <c r="C2680" s="88">
        <v>5220</v>
      </c>
      <c r="D2680" s="87" t="s">
        <v>4922</v>
      </c>
    </row>
    <row r="2681" spans="2:4" ht="15" x14ac:dyDescent="0.2">
      <c r="B2681" s="87" t="s">
        <v>3327</v>
      </c>
      <c r="C2681" s="88">
        <v>5220</v>
      </c>
      <c r="D2681" s="87" t="s">
        <v>4922</v>
      </c>
    </row>
    <row r="2682" spans="2:4" ht="15" x14ac:dyDescent="0.2">
      <c r="B2682" s="87" t="s">
        <v>3328</v>
      </c>
      <c r="C2682" s="88">
        <v>5200</v>
      </c>
      <c r="D2682" s="87" t="s">
        <v>4921</v>
      </c>
    </row>
    <row r="2683" spans="2:4" ht="15" x14ac:dyDescent="0.2">
      <c r="B2683" s="87" t="s">
        <v>3329</v>
      </c>
      <c r="C2683" s="88">
        <v>5190</v>
      </c>
      <c r="D2683" s="87" t="s">
        <v>5033</v>
      </c>
    </row>
    <row r="2684" spans="2:4" ht="15" x14ac:dyDescent="0.2">
      <c r="B2684" s="87" t="s">
        <v>3330</v>
      </c>
      <c r="C2684" s="88">
        <v>5190</v>
      </c>
      <c r="D2684" s="87" t="s">
        <v>5033</v>
      </c>
    </row>
    <row r="2685" spans="2:4" ht="15" x14ac:dyDescent="0.2">
      <c r="B2685" s="87" t="s">
        <v>3331</v>
      </c>
      <c r="C2685" s="88">
        <v>5170</v>
      </c>
      <c r="D2685" s="87" t="s">
        <v>4920</v>
      </c>
    </row>
    <row r="2686" spans="2:4" ht="15" x14ac:dyDescent="0.2">
      <c r="B2686" s="87" t="s">
        <v>3332</v>
      </c>
      <c r="C2686" s="88">
        <v>5170</v>
      </c>
      <c r="D2686" s="87" t="s">
        <v>4920</v>
      </c>
    </row>
    <row r="2687" spans="2:4" ht="15" x14ac:dyDescent="0.2">
      <c r="B2687" s="87" t="s">
        <v>3333</v>
      </c>
      <c r="C2687" s="88">
        <v>5160</v>
      </c>
      <c r="D2687" s="87" t="s">
        <v>4919</v>
      </c>
    </row>
    <row r="2688" spans="2:4" ht="15" x14ac:dyDescent="0.2">
      <c r="B2688" s="87" t="s">
        <v>3334</v>
      </c>
      <c r="C2688" s="88">
        <v>5160</v>
      </c>
      <c r="D2688" s="87" t="s">
        <v>4919</v>
      </c>
    </row>
    <row r="2689" spans="2:4" ht="15" x14ac:dyDescent="0.2">
      <c r="B2689" s="87" t="s">
        <v>3335</v>
      </c>
      <c r="C2689" s="88">
        <v>5140</v>
      </c>
      <c r="D2689" s="87" t="s">
        <v>4918</v>
      </c>
    </row>
    <row r="2690" spans="2:4" ht="15" x14ac:dyDescent="0.2">
      <c r="B2690" s="87" t="s">
        <v>3336</v>
      </c>
      <c r="C2690" s="88">
        <v>5140</v>
      </c>
      <c r="D2690" s="87" t="s">
        <v>4918</v>
      </c>
    </row>
    <row r="2691" spans="2:4" ht="15" x14ac:dyDescent="0.2">
      <c r="B2691" s="87" t="s">
        <v>3337</v>
      </c>
      <c r="C2691" s="88">
        <v>5130</v>
      </c>
      <c r="D2691" s="87" t="s">
        <v>5034</v>
      </c>
    </row>
    <row r="2692" spans="2:4" ht="15" x14ac:dyDescent="0.2">
      <c r="B2692" s="87" t="s">
        <v>3338</v>
      </c>
      <c r="C2692" s="88">
        <v>5130</v>
      </c>
      <c r="D2692" s="87" t="s">
        <v>5034</v>
      </c>
    </row>
    <row r="2693" spans="2:4" ht="15" x14ac:dyDescent="0.2">
      <c r="B2693" s="87" t="s">
        <v>3339</v>
      </c>
      <c r="C2693" s="88">
        <v>5120</v>
      </c>
      <c r="D2693" s="87" t="s">
        <v>4917</v>
      </c>
    </row>
    <row r="2694" spans="2:4" ht="15" x14ac:dyDescent="0.2">
      <c r="B2694" s="87" t="s">
        <v>3340</v>
      </c>
      <c r="C2694" s="88">
        <v>5120</v>
      </c>
      <c r="D2694" s="87" t="s">
        <v>4917</v>
      </c>
    </row>
    <row r="2695" spans="2:4" ht="15" x14ac:dyDescent="0.2">
      <c r="B2695" s="87" t="s">
        <v>3341</v>
      </c>
      <c r="C2695" s="88">
        <v>5120</v>
      </c>
      <c r="D2695" s="87" t="s">
        <v>4917</v>
      </c>
    </row>
    <row r="2696" spans="2:4" ht="15" x14ac:dyDescent="0.2">
      <c r="B2696" s="87" t="s">
        <v>3342</v>
      </c>
      <c r="C2696" s="88">
        <v>5100</v>
      </c>
      <c r="D2696" s="87" t="s">
        <v>4916</v>
      </c>
    </row>
    <row r="2697" spans="2:4" ht="15" x14ac:dyDescent="0.2">
      <c r="B2697" s="87" t="s">
        <v>3343</v>
      </c>
      <c r="C2697" s="88">
        <v>5100</v>
      </c>
      <c r="D2697" s="87" t="s">
        <v>4916</v>
      </c>
    </row>
    <row r="2698" spans="2:4" ht="15" x14ac:dyDescent="0.2">
      <c r="B2698" s="87" t="s">
        <v>3344</v>
      </c>
      <c r="C2698" s="88">
        <v>5090</v>
      </c>
      <c r="D2698" s="87" t="s">
        <v>4915</v>
      </c>
    </row>
    <row r="2699" spans="2:4" ht="15" x14ac:dyDescent="0.2">
      <c r="B2699" s="87" t="s">
        <v>3345</v>
      </c>
      <c r="C2699" s="88">
        <v>5090</v>
      </c>
      <c r="D2699" s="87" t="s">
        <v>4915</v>
      </c>
    </row>
    <row r="2700" spans="2:4" ht="15" x14ac:dyDescent="0.2">
      <c r="B2700" s="87" t="s">
        <v>3346</v>
      </c>
      <c r="C2700" s="88">
        <v>5090</v>
      </c>
      <c r="D2700" s="87" t="s">
        <v>4915</v>
      </c>
    </row>
    <row r="2701" spans="2:4" ht="15" x14ac:dyDescent="0.2">
      <c r="B2701" s="87" t="s">
        <v>3347</v>
      </c>
      <c r="C2701" s="88">
        <v>5070</v>
      </c>
      <c r="D2701" s="87" t="s">
        <v>5035</v>
      </c>
    </row>
    <row r="2702" spans="2:4" ht="15" x14ac:dyDescent="0.2">
      <c r="B2702" s="87" t="s">
        <v>3348</v>
      </c>
      <c r="C2702" s="88">
        <v>5070</v>
      </c>
      <c r="D2702" s="87" t="s">
        <v>5035</v>
      </c>
    </row>
    <row r="2703" spans="2:4" ht="15" x14ac:dyDescent="0.2">
      <c r="B2703" s="87" t="s">
        <v>3349</v>
      </c>
      <c r="C2703" s="88">
        <v>5070</v>
      </c>
      <c r="D2703" s="87" t="s">
        <v>5035</v>
      </c>
    </row>
    <row r="2704" spans="2:4" ht="15" x14ac:dyDescent="0.2">
      <c r="B2704" s="87" t="s">
        <v>3350</v>
      </c>
      <c r="C2704" s="88">
        <v>5060</v>
      </c>
      <c r="D2704" s="87" t="s">
        <v>4914</v>
      </c>
    </row>
    <row r="2705" spans="2:4" ht="15" x14ac:dyDescent="0.2">
      <c r="B2705" s="87" t="s">
        <v>3351</v>
      </c>
      <c r="C2705" s="88">
        <v>5060</v>
      </c>
      <c r="D2705" s="87" t="s">
        <v>4914</v>
      </c>
    </row>
    <row r="2706" spans="2:4" ht="15" x14ac:dyDescent="0.2">
      <c r="B2706" s="87" t="s">
        <v>3352</v>
      </c>
      <c r="C2706" s="88">
        <v>5040</v>
      </c>
      <c r="D2706" s="87" t="s">
        <v>4913</v>
      </c>
    </row>
    <row r="2707" spans="2:4" ht="15" x14ac:dyDescent="0.2">
      <c r="B2707" s="87" t="s">
        <v>3353</v>
      </c>
      <c r="C2707" s="88">
        <v>5040</v>
      </c>
      <c r="D2707" s="87" t="s">
        <v>4913</v>
      </c>
    </row>
    <row r="2708" spans="2:4" ht="15" x14ac:dyDescent="0.2">
      <c r="B2708" s="87" t="s">
        <v>3354</v>
      </c>
      <c r="C2708" s="88">
        <v>5030</v>
      </c>
      <c r="D2708" s="87" t="s">
        <v>4912</v>
      </c>
    </row>
    <row r="2709" spans="2:4" ht="15" x14ac:dyDescent="0.2">
      <c r="B2709" s="87" t="s">
        <v>3355</v>
      </c>
      <c r="C2709" s="88">
        <v>5030</v>
      </c>
      <c r="D2709" s="87" t="s">
        <v>4912</v>
      </c>
    </row>
    <row r="2710" spans="2:4" ht="15" x14ac:dyDescent="0.2">
      <c r="B2710" s="87" t="s">
        <v>3356</v>
      </c>
      <c r="C2710" s="88">
        <v>5030</v>
      </c>
      <c r="D2710" s="87" t="s">
        <v>4912</v>
      </c>
    </row>
    <row r="2711" spans="2:4" ht="15" x14ac:dyDescent="0.2">
      <c r="B2711" s="87" t="s">
        <v>3357</v>
      </c>
      <c r="C2711" s="88">
        <v>5020</v>
      </c>
      <c r="D2711" s="87" t="s">
        <v>5036</v>
      </c>
    </row>
    <row r="2712" spans="2:4" ht="15" x14ac:dyDescent="0.2">
      <c r="B2712" s="87" t="s">
        <v>3358</v>
      </c>
      <c r="C2712" s="88">
        <v>5020</v>
      </c>
      <c r="D2712" s="87" t="s">
        <v>5036</v>
      </c>
    </row>
    <row r="2713" spans="2:4" ht="15" x14ac:dyDescent="0.2">
      <c r="B2713" s="87" t="s">
        <v>3359</v>
      </c>
      <c r="C2713" s="88">
        <v>5000</v>
      </c>
      <c r="D2713" s="87" t="s">
        <v>4911</v>
      </c>
    </row>
    <row r="2714" spans="2:4" ht="15" x14ac:dyDescent="0.2">
      <c r="B2714" s="87" t="s">
        <v>3360</v>
      </c>
      <c r="C2714" s="88">
        <v>5000</v>
      </c>
      <c r="D2714" s="87" t="s">
        <v>4911</v>
      </c>
    </row>
    <row r="2715" spans="2:4" ht="15" x14ac:dyDescent="0.2">
      <c r="B2715" s="87" t="s">
        <v>3361</v>
      </c>
      <c r="C2715" s="88">
        <v>5000</v>
      </c>
      <c r="D2715" s="87" t="s">
        <v>4911</v>
      </c>
    </row>
    <row r="2716" spans="2:4" ht="15" x14ac:dyDescent="0.2">
      <c r="B2716" s="87" t="s">
        <v>3362</v>
      </c>
      <c r="C2716" s="88">
        <v>4990</v>
      </c>
      <c r="D2716" s="87" t="s">
        <v>4910</v>
      </c>
    </row>
    <row r="2717" spans="2:4" ht="15" x14ac:dyDescent="0.2">
      <c r="B2717" s="87" t="s">
        <v>3363</v>
      </c>
      <c r="C2717" s="88">
        <v>4990</v>
      </c>
      <c r="D2717" s="87" t="s">
        <v>4910</v>
      </c>
    </row>
    <row r="2718" spans="2:4" ht="15" x14ac:dyDescent="0.2">
      <c r="B2718" s="87" t="s">
        <v>3364</v>
      </c>
      <c r="C2718" s="88">
        <v>4990</v>
      </c>
      <c r="D2718" s="87" t="s">
        <v>4910</v>
      </c>
    </row>
    <row r="2719" spans="2:4" ht="15" x14ac:dyDescent="0.2">
      <c r="B2719" s="87" t="s">
        <v>3365</v>
      </c>
      <c r="C2719" s="88">
        <v>4970</v>
      </c>
      <c r="D2719" s="87" t="s">
        <v>4909</v>
      </c>
    </row>
    <row r="2720" spans="2:4" ht="15" x14ac:dyDescent="0.2">
      <c r="B2720" s="87" t="s">
        <v>3366</v>
      </c>
      <c r="C2720" s="88">
        <v>4970</v>
      </c>
      <c r="D2720" s="87" t="s">
        <v>4909</v>
      </c>
    </row>
    <row r="2721" spans="2:4" ht="15" x14ac:dyDescent="0.2">
      <c r="B2721" s="87" t="s">
        <v>3367</v>
      </c>
      <c r="C2721" s="88">
        <v>4970</v>
      </c>
      <c r="D2721" s="87" t="s">
        <v>4909</v>
      </c>
    </row>
    <row r="2722" spans="2:4" ht="15" x14ac:dyDescent="0.2">
      <c r="B2722" s="87" t="s">
        <v>3368</v>
      </c>
      <c r="C2722" s="88">
        <v>4970</v>
      </c>
      <c r="D2722" s="87" t="s">
        <v>4909</v>
      </c>
    </row>
    <row r="2723" spans="2:4" ht="15" x14ac:dyDescent="0.2">
      <c r="B2723" s="87" t="s">
        <v>3369</v>
      </c>
      <c r="C2723" s="88">
        <v>4960</v>
      </c>
      <c r="D2723" s="87" t="s">
        <v>4908</v>
      </c>
    </row>
    <row r="2724" spans="2:4" ht="15" x14ac:dyDescent="0.2">
      <c r="B2724" s="87" t="s">
        <v>3370</v>
      </c>
      <c r="C2724" s="88">
        <v>4960</v>
      </c>
      <c r="D2724" s="87" t="s">
        <v>4908</v>
      </c>
    </row>
    <row r="2725" spans="2:4" ht="15" x14ac:dyDescent="0.2">
      <c r="B2725" s="87" t="s">
        <v>3371</v>
      </c>
      <c r="C2725" s="88">
        <v>4960</v>
      </c>
      <c r="D2725" s="87" t="s">
        <v>4908</v>
      </c>
    </row>
    <row r="2726" spans="2:4" ht="15" x14ac:dyDescent="0.2">
      <c r="B2726" s="87" t="s">
        <v>3372</v>
      </c>
      <c r="C2726" s="88">
        <v>4960</v>
      </c>
      <c r="D2726" s="87" t="s">
        <v>4908</v>
      </c>
    </row>
    <row r="2727" spans="2:4" ht="15" x14ac:dyDescent="0.2">
      <c r="B2727" s="87" t="s">
        <v>3373</v>
      </c>
      <c r="C2727" s="88">
        <v>4960</v>
      </c>
      <c r="D2727" s="87" t="s">
        <v>4908</v>
      </c>
    </row>
    <row r="2728" spans="2:4" ht="15" x14ac:dyDescent="0.2">
      <c r="B2728" s="87" t="s">
        <v>3374</v>
      </c>
      <c r="C2728" s="88">
        <v>4950</v>
      </c>
      <c r="D2728" s="87" t="s">
        <v>4907</v>
      </c>
    </row>
    <row r="2729" spans="2:4" ht="15" x14ac:dyDescent="0.2">
      <c r="B2729" s="87" t="s">
        <v>3375</v>
      </c>
      <c r="C2729" s="88">
        <v>4950</v>
      </c>
      <c r="D2729" s="87" t="s">
        <v>4907</v>
      </c>
    </row>
    <row r="2730" spans="2:4" ht="15" x14ac:dyDescent="0.2">
      <c r="B2730" s="87" t="s">
        <v>3376</v>
      </c>
      <c r="C2730" s="88">
        <v>4950</v>
      </c>
      <c r="D2730" s="87" t="s">
        <v>4907</v>
      </c>
    </row>
    <row r="2731" spans="2:4" ht="15" x14ac:dyDescent="0.2">
      <c r="B2731" s="87" t="s">
        <v>3377</v>
      </c>
      <c r="C2731" s="88">
        <v>4950</v>
      </c>
      <c r="D2731" s="87" t="s">
        <v>4907</v>
      </c>
    </row>
    <row r="2732" spans="2:4" ht="15" x14ac:dyDescent="0.2">
      <c r="B2732" s="87" t="s">
        <v>3378</v>
      </c>
      <c r="C2732" s="88">
        <v>4950</v>
      </c>
      <c r="D2732" s="87" t="s">
        <v>4907</v>
      </c>
    </row>
    <row r="2733" spans="2:4" ht="15" x14ac:dyDescent="0.2">
      <c r="B2733" s="87" t="s">
        <v>3379</v>
      </c>
      <c r="C2733" s="88">
        <v>4930</v>
      </c>
      <c r="D2733" s="87" t="s">
        <v>4906</v>
      </c>
    </row>
    <row r="2734" spans="2:4" ht="15" x14ac:dyDescent="0.2">
      <c r="B2734" s="87" t="s">
        <v>3380</v>
      </c>
      <c r="C2734" s="88">
        <v>4930</v>
      </c>
      <c r="D2734" s="87" t="s">
        <v>4906</v>
      </c>
    </row>
    <row r="2735" spans="2:4" ht="15" x14ac:dyDescent="0.2">
      <c r="B2735" s="87" t="s">
        <v>3381</v>
      </c>
      <c r="C2735" s="88">
        <v>4930</v>
      </c>
      <c r="D2735" s="87" t="s">
        <v>4906</v>
      </c>
    </row>
    <row r="2736" spans="2:4" ht="15" x14ac:dyDescent="0.2">
      <c r="B2736" s="87" t="s">
        <v>3382</v>
      </c>
      <c r="C2736" s="88">
        <v>4930</v>
      </c>
      <c r="D2736" s="87" t="s">
        <v>4906</v>
      </c>
    </row>
    <row r="2737" spans="2:4" ht="15" x14ac:dyDescent="0.2">
      <c r="B2737" s="87" t="s">
        <v>3383</v>
      </c>
      <c r="C2737" s="88">
        <v>4930</v>
      </c>
      <c r="D2737" s="87" t="s">
        <v>4906</v>
      </c>
    </row>
    <row r="2738" spans="2:4" ht="15" x14ac:dyDescent="0.2">
      <c r="B2738" s="87" t="s">
        <v>3384</v>
      </c>
      <c r="C2738" s="88">
        <v>4930</v>
      </c>
      <c r="D2738" s="87" t="s">
        <v>4906</v>
      </c>
    </row>
    <row r="2739" spans="2:4" ht="15" x14ac:dyDescent="0.2">
      <c r="B2739" s="87" t="s">
        <v>3385</v>
      </c>
      <c r="C2739" s="88">
        <v>4930</v>
      </c>
      <c r="D2739" s="87" t="s">
        <v>4906</v>
      </c>
    </row>
    <row r="2740" spans="2:4" ht="15" x14ac:dyDescent="0.2">
      <c r="B2740" s="87" t="s">
        <v>3386</v>
      </c>
      <c r="C2740" s="88">
        <v>4930</v>
      </c>
      <c r="D2740" s="87" t="s">
        <v>4906</v>
      </c>
    </row>
    <row r="2741" spans="2:4" ht="15" x14ac:dyDescent="0.2">
      <c r="B2741" s="87" t="s">
        <v>3387</v>
      </c>
      <c r="C2741" s="88">
        <v>4920</v>
      </c>
      <c r="D2741" s="87" t="s">
        <v>4905</v>
      </c>
    </row>
    <row r="2742" spans="2:4" ht="15" x14ac:dyDescent="0.2">
      <c r="B2742" s="87" t="s">
        <v>3388</v>
      </c>
      <c r="C2742" s="88">
        <v>4920</v>
      </c>
      <c r="D2742" s="87" t="s">
        <v>4905</v>
      </c>
    </row>
    <row r="2743" spans="2:4" ht="15" x14ac:dyDescent="0.2">
      <c r="B2743" s="87" t="s">
        <v>3389</v>
      </c>
      <c r="C2743" s="88">
        <v>4920</v>
      </c>
      <c r="D2743" s="87" t="s">
        <v>4905</v>
      </c>
    </row>
    <row r="2744" spans="2:4" ht="15" x14ac:dyDescent="0.2">
      <c r="B2744" s="87" t="s">
        <v>3390</v>
      </c>
      <c r="C2744" s="88">
        <v>4920</v>
      </c>
      <c r="D2744" s="87" t="s">
        <v>4905</v>
      </c>
    </row>
    <row r="2745" spans="2:4" ht="15" x14ac:dyDescent="0.2">
      <c r="B2745" s="87" t="s">
        <v>3391</v>
      </c>
      <c r="C2745" s="88">
        <v>4920</v>
      </c>
      <c r="D2745" s="87" t="s">
        <v>4905</v>
      </c>
    </row>
    <row r="2746" spans="2:4" ht="15" x14ac:dyDescent="0.2">
      <c r="B2746" s="87" t="s">
        <v>3392</v>
      </c>
      <c r="C2746" s="88">
        <v>4920</v>
      </c>
      <c r="D2746" s="87" t="s">
        <v>4905</v>
      </c>
    </row>
    <row r="2747" spans="2:4" ht="15" x14ac:dyDescent="0.2">
      <c r="B2747" s="87" t="s">
        <v>3393</v>
      </c>
      <c r="C2747" s="88">
        <v>4920</v>
      </c>
      <c r="D2747" s="87" t="s">
        <v>4905</v>
      </c>
    </row>
    <row r="2748" spans="2:4" ht="15" x14ac:dyDescent="0.2">
      <c r="B2748" s="87" t="s">
        <v>3394</v>
      </c>
      <c r="C2748" s="88">
        <v>4920</v>
      </c>
      <c r="D2748" s="87" t="s">
        <v>4905</v>
      </c>
    </row>
    <row r="2749" spans="2:4" ht="15" x14ac:dyDescent="0.2">
      <c r="B2749" s="87" t="s">
        <v>3395</v>
      </c>
      <c r="C2749" s="88">
        <v>4920</v>
      </c>
      <c r="D2749" s="87" t="s">
        <v>4905</v>
      </c>
    </row>
    <row r="2750" spans="2:4" ht="15" x14ac:dyDescent="0.2">
      <c r="B2750" s="87" t="s">
        <v>3396</v>
      </c>
      <c r="C2750" s="88">
        <v>4920</v>
      </c>
      <c r="D2750" s="87" t="s">
        <v>4905</v>
      </c>
    </row>
    <row r="2751" spans="2:4" ht="15" x14ac:dyDescent="0.2">
      <c r="B2751" s="87" t="s">
        <v>3397</v>
      </c>
      <c r="C2751" s="88">
        <v>4920</v>
      </c>
      <c r="D2751" s="87" t="s">
        <v>4905</v>
      </c>
    </row>
    <row r="2752" spans="2:4" ht="15" x14ac:dyDescent="0.2">
      <c r="B2752" s="87" t="s">
        <v>3398</v>
      </c>
      <c r="C2752" s="88">
        <v>4920</v>
      </c>
      <c r="D2752" s="87" t="s">
        <v>4905</v>
      </c>
    </row>
    <row r="2753" spans="2:4" ht="15" x14ac:dyDescent="0.2">
      <c r="B2753" s="87" t="s">
        <v>3399</v>
      </c>
      <c r="C2753" s="88">
        <v>4920</v>
      </c>
      <c r="D2753" s="87" t="s">
        <v>4905</v>
      </c>
    </row>
    <row r="2754" spans="2:4" ht="15" x14ac:dyDescent="0.2">
      <c r="B2754" s="87" t="s">
        <v>3400</v>
      </c>
      <c r="C2754" s="88">
        <v>4920</v>
      </c>
      <c r="D2754" s="87" t="s">
        <v>4905</v>
      </c>
    </row>
    <row r="2755" spans="2:4" ht="15" x14ac:dyDescent="0.2">
      <c r="B2755" s="87" t="s">
        <v>3401</v>
      </c>
      <c r="C2755" s="88">
        <v>4920</v>
      </c>
      <c r="D2755" s="87" t="s">
        <v>4905</v>
      </c>
    </row>
    <row r="2756" spans="2:4" ht="15" x14ac:dyDescent="0.2">
      <c r="B2756" s="87" t="s">
        <v>3402</v>
      </c>
      <c r="C2756" s="88">
        <v>4920</v>
      </c>
      <c r="D2756" s="87" t="s">
        <v>4905</v>
      </c>
    </row>
    <row r="2757" spans="2:4" ht="15" x14ac:dyDescent="0.2">
      <c r="B2757" s="87" t="s">
        <v>3403</v>
      </c>
      <c r="C2757" s="88">
        <v>4920</v>
      </c>
      <c r="D2757" s="87" t="s">
        <v>4905</v>
      </c>
    </row>
    <row r="2758" spans="2:4" ht="15" x14ac:dyDescent="0.2">
      <c r="B2758" s="87" t="s">
        <v>3404</v>
      </c>
      <c r="C2758" s="88">
        <v>4920</v>
      </c>
      <c r="D2758" s="87" t="s">
        <v>4905</v>
      </c>
    </row>
    <row r="2759" spans="2:4" ht="15" x14ac:dyDescent="0.2">
      <c r="B2759" s="87" t="s">
        <v>3405</v>
      </c>
      <c r="C2759" s="88">
        <v>4920</v>
      </c>
      <c r="D2759" s="87" t="s">
        <v>4905</v>
      </c>
    </row>
    <row r="2760" spans="2:4" ht="15" x14ac:dyDescent="0.2">
      <c r="B2760" s="87" t="s">
        <v>3406</v>
      </c>
      <c r="C2760" s="88">
        <v>4920</v>
      </c>
      <c r="D2760" s="87" t="s">
        <v>4905</v>
      </c>
    </row>
    <row r="2761" spans="2:4" ht="15" x14ac:dyDescent="0.2">
      <c r="B2761" s="87" t="s">
        <v>3407</v>
      </c>
      <c r="C2761" s="88">
        <v>4900</v>
      </c>
      <c r="D2761" s="87" t="s">
        <v>4904</v>
      </c>
    </row>
    <row r="2762" spans="2:4" ht="15" x14ac:dyDescent="0.2">
      <c r="B2762" s="87" t="s">
        <v>3408</v>
      </c>
      <c r="C2762" s="88">
        <v>4900</v>
      </c>
      <c r="D2762" s="87" t="s">
        <v>4904</v>
      </c>
    </row>
    <row r="2763" spans="2:4" ht="15" x14ac:dyDescent="0.2">
      <c r="B2763" s="87" t="s">
        <v>3409</v>
      </c>
      <c r="C2763" s="88">
        <v>4900</v>
      </c>
      <c r="D2763" s="87" t="s">
        <v>4904</v>
      </c>
    </row>
    <row r="2764" spans="2:4" ht="15" x14ac:dyDescent="0.2">
      <c r="B2764" s="87" t="s">
        <v>3410</v>
      </c>
      <c r="C2764" s="88">
        <v>4900</v>
      </c>
      <c r="D2764" s="87" t="s">
        <v>4904</v>
      </c>
    </row>
    <row r="2765" spans="2:4" ht="15" x14ac:dyDescent="0.2">
      <c r="B2765" s="87" t="s">
        <v>3411</v>
      </c>
      <c r="C2765" s="88">
        <v>4900</v>
      </c>
      <c r="D2765" s="87" t="s">
        <v>4904</v>
      </c>
    </row>
    <row r="2766" spans="2:4" ht="15" x14ac:dyDescent="0.2">
      <c r="B2766" s="87" t="s">
        <v>3412</v>
      </c>
      <c r="C2766" s="88">
        <v>4890</v>
      </c>
      <c r="D2766" s="87" t="s">
        <v>4903</v>
      </c>
    </row>
    <row r="2767" spans="2:4" ht="15" x14ac:dyDescent="0.2">
      <c r="B2767" s="87" t="s">
        <v>3413</v>
      </c>
      <c r="C2767" s="88">
        <v>4890</v>
      </c>
      <c r="D2767" s="87" t="s">
        <v>4903</v>
      </c>
    </row>
    <row r="2768" spans="2:4" ht="15" x14ac:dyDescent="0.2">
      <c r="B2768" s="87" t="s">
        <v>3414</v>
      </c>
      <c r="C2768" s="88">
        <v>4890</v>
      </c>
      <c r="D2768" s="87" t="s">
        <v>4903</v>
      </c>
    </row>
    <row r="2769" spans="2:4" ht="15" x14ac:dyDescent="0.2">
      <c r="B2769" s="87" t="s">
        <v>3415</v>
      </c>
      <c r="C2769" s="88">
        <v>4870</v>
      </c>
      <c r="D2769" s="87" t="s">
        <v>4902</v>
      </c>
    </row>
    <row r="2770" spans="2:4" ht="15" x14ac:dyDescent="0.2">
      <c r="B2770" s="87" t="s">
        <v>3416</v>
      </c>
      <c r="C2770" s="88">
        <v>4870</v>
      </c>
      <c r="D2770" s="87" t="s">
        <v>4902</v>
      </c>
    </row>
    <row r="2771" spans="2:4" ht="15" x14ac:dyDescent="0.2">
      <c r="B2771" s="87" t="s">
        <v>3417</v>
      </c>
      <c r="C2771" s="88">
        <v>4870</v>
      </c>
      <c r="D2771" s="87" t="s">
        <v>4902</v>
      </c>
    </row>
    <row r="2772" spans="2:4" ht="15" x14ac:dyDescent="0.2">
      <c r="B2772" s="87" t="s">
        <v>3418</v>
      </c>
      <c r="C2772" s="88">
        <v>4860</v>
      </c>
      <c r="D2772" s="87" t="s">
        <v>4901</v>
      </c>
    </row>
    <row r="2773" spans="2:4" ht="15" x14ac:dyDescent="0.2">
      <c r="B2773" s="87" t="s">
        <v>3419</v>
      </c>
      <c r="C2773" s="88">
        <v>4860</v>
      </c>
      <c r="D2773" s="87" t="s">
        <v>4901</v>
      </c>
    </row>
    <row r="2774" spans="2:4" ht="15" x14ac:dyDescent="0.2">
      <c r="B2774" s="87" t="s">
        <v>3420</v>
      </c>
      <c r="C2774" s="88">
        <v>4860</v>
      </c>
      <c r="D2774" s="87" t="s">
        <v>4901</v>
      </c>
    </row>
    <row r="2775" spans="2:4" ht="15" x14ac:dyDescent="0.2">
      <c r="B2775" s="87" t="s">
        <v>3421</v>
      </c>
      <c r="C2775" s="88">
        <v>4850</v>
      </c>
      <c r="D2775" s="87" t="s">
        <v>4900</v>
      </c>
    </row>
    <row r="2776" spans="2:4" ht="15" x14ac:dyDescent="0.2">
      <c r="B2776" s="87" t="s">
        <v>3422</v>
      </c>
      <c r="C2776" s="88">
        <v>4850</v>
      </c>
      <c r="D2776" s="87" t="s">
        <v>4900</v>
      </c>
    </row>
    <row r="2777" spans="2:4" ht="15" x14ac:dyDescent="0.2">
      <c r="B2777" s="87" t="s">
        <v>3423</v>
      </c>
      <c r="C2777" s="88">
        <v>4850</v>
      </c>
      <c r="D2777" s="87" t="s">
        <v>4900</v>
      </c>
    </row>
    <row r="2778" spans="2:4" ht="15" x14ac:dyDescent="0.2">
      <c r="B2778" s="87" t="s">
        <v>3424</v>
      </c>
      <c r="C2778" s="88">
        <v>4830</v>
      </c>
      <c r="D2778" s="87" t="s">
        <v>4899</v>
      </c>
    </row>
    <row r="2779" spans="2:4" ht="15" x14ac:dyDescent="0.2">
      <c r="B2779" s="87" t="s">
        <v>3425</v>
      </c>
      <c r="C2779" s="88">
        <v>4830</v>
      </c>
      <c r="D2779" s="87" t="s">
        <v>4899</v>
      </c>
    </row>
    <row r="2780" spans="2:4" ht="15" x14ac:dyDescent="0.2">
      <c r="B2780" s="87" t="s">
        <v>3426</v>
      </c>
      <c r="C2780" s="88">
        <v>4830</v>
      </c>
      <c r="D2780" s="87" t="s">
        <v>4899</v>
      </c>
    </row>
    <row r="2781" spans="2:4" ht="15" x14ac:dyDescent="0.2">
      <c r="B2781" s="87" t="s">
        <v>3427</v>
      </c>
      <c r="C2781" s="88">
        <v>4820</v>
      </c>
      <c r="D2781" s="87" t="s">
        <v>4898</v>
      </c>
    </row>
    <row r="2782" spans="2:4" ht="15" x14ac:dyDescent="0.2">
      <c r="B2782" s="87" t="s">
        <v>3428</v>
      </c>
      <c r="C2782" s="88">
        <v>4820</v>
      </c>
      <c r="D2782" s="87" t="s">
        <v>4898</v>
      </c>
    </row>
    <row r="2783" spans="2:4" ht="15" x14ac:dyDescent="0.2">
      <c r="B2783" s="87" t="s">
        <v>3429</v>
      </c>
      <c r="C2783" s="88">
        <v>4820</v>
      </c>
      <c r="D2783" s="87" t="s">
        <v>4898</v>
      </c>
    </row>
    <row r="2784" spans="2:4" ht="15" x14ac:dyDescent="0.2">
      <c r="B2784" s="87" t="s">
        <v>3430</v>
      </c>
      <c r="C2784" s="88">
        <v>4800</v>
      </c>
      <c r="D2784" s="87" t="s">
        <v>4897</v>
      </c>
    </row>
    <row r="2785" spans="2:4" ht="15" x14ac:dyDescent="0.2">
      <c r="B2785" s="87" t="s">
        <v>3431</v>
      </c>
      <c r="C2785" s="88">
        <v>4800</v>
      </c>
      <c r="D2785" s="87" t="s">
        <v>4897</v>
      </c>
    </row>
    <row r="2786" spans="2:4" ht="15" x14ac:dyDescent="0.2">
      <c r="B2786" s="87" t="s">
        <v>3432</v>
      </c>
      <c r="C2786" s="88">
        <v>4800</v>
      </c>
      <c r="D2786" s="87" t="s">
        <v>4897</v>
      </c>
    </row>
    <row r="2787" spans="2:4" ht="15" x14ac:dyDescent="0.2">
      <c r="B2787" s="87" t="s">
        <v>3433</v>
      </c>
      <c r="C2787" s="88">
        <v>4800</v>
      </c>
      <c r="D2787" s="87" t="s">
        <v>4897</v>
      </c>
    </row>
    <row r="2788" spans="2:4" ht="15" x14ac:dyDescent="0.2">
      <c r="B2788" s="87" t="s">
        <v>3434</v>
      </c>
      <c r="C2788" s="88">
        <v>4800</v>
      </c>
      <c r="D2788" s="87" t="s">
        <v>4897</v>
      </c>
    </row>
    <row r="2789" spans="2:4" ht="15" x14ac:dyDescent="0.2">
      <c r="B2789" s="87" t="s">
        <v>3435</v>
      </c>
      <c r="C2789" s="88">
        <v>4800</v>
      </c>
      <c r="D2789" s="87" t="s">
        <v>4897</v>
      </c>
    </row>
    <row r="2790" spans="2:4" ht="15" x14ac:dyDescent="0.2">
      <c r="B2790" s="87" t="s">
        <v>3436</v>
      </c>
      <c r="C2790" s="88">
        <v>4800</v>
      </c>
      <c r="D2790" s="87" t="s">
        <v>4897</v>
      </c>
    </row>
    <row r="2791" spans="2:4" ht="15" x14ac:dyDescent="0.2">
      <c r="B2791" s="87" t="s">
        <v>3437</v>
      </c>
      <c r="C2791" s="88">
        <v>4790</v>
      </c>
      <c r="D2791" s="87" t="s">
        <v>4896</v>
      </c>
    </row>
    <row r="2792" spans="2:4" ht="15" x14ac:dyDescent="0.2">
      <c r="B2792" s="87" t="s">
        <v>3438</v>
      </c>
      <c r="C2792" s="88">
        <v>4790</v>
      </c>
      <c r="D2792" s="87" t="s">
        <v>4896</v>
      </c>
    </row>
    <row r="2793" spans="2:4" ht="15" x14ac:dyDescent="0.2">
      <c r="B2793" s="87" t="s">
        <v>3439</v>
      </c>
      <c r="C2793" s="88">
        <v>4790</v>
      </c>
      <c r="D2793" s="87" t="s">
        <v>4896</v>
      </c>
    </row>
    <row r="2794" spans="2:4" ht="15" x14ac:dyDescent="0.2">
      <c r="B2794" s="87" t="s">
        <v>3440</v>
      </c>
      <c r="C2794" s="88">
        <v>4790</v>
      </c>
      <c r="D2794" s="87" t="s">
        <v>4896</v>
      </c>
    </row>
    <row r="2795" spans="2:4" ht="15" x14ac:dyDescent="0.2">
      <c r="B2795" s="87" t="s">
        <v>3441</v>
      </c>
      <c r="C2795" s="88">
        <v>4780</v>
      </c>
      <c r="D2795" s="87" t="s">
        <v>4895</v>
      </c>
    </row>
    <row r="2796" spans="2:4" ht="15" x14ac:dyDescent="0.2">
      <c r="B2796" s="87" t="s">
        <v>3442</v>
      </c>
      <c r="C2796" s="88">
        <v>4780</v>
      </c>
      <c r="D2796" s="87" t="s">
        <v>4895</v>
      </c>
    </row>
    <row r="2797" spans="2:4" ht="15" x14ac:dyDescent="0.2">
      <c r="B2797" s="87" t="s">
        <v>3443</v>
      </c>
      <c r="C2797" s="88">
        <v>4780</v>
      </c>
      <c r="D2797" s="87" t="s">
        <v>4895</v>
      </c>
    </row>
    <row r="2798" spans="2:4" ht="15" x14ac:dyDescent="0.2">
      <c r="B2798" s="87" t="s">
        <v>3444</v>
      </c>
      <c r="C2798" s="88">
        <v>4760</v>
      </c>
      <c r="D2798" s="87" t="s">
        <v>4894</v>
      </c>
    </row>
    <row r="2799" spans="2:4" ht="15" x14ac:dyDescent="0.2">
      <c r="B2799" s="87" t="s">
        <v>3445</v>
      </c>
      <c r="C2799" s="88">
        <v>4760</v>
      </c>
      <c r="D2799" s="87" t="s">
        <v>4894</v>
      </c>
    </row>
    <row r="2800" spans="2:4" ht="15" x14ac:dyDescent="0.2">
      <c r="B2800" s="87" t="s">
        <v>3446</v>
      </c>
      <c r="C2800" s="88">
        <v>4760</v>
      </c>
      <c r="D2800" s="87" t="s">
        <v>4894</v>
      </c>
    </row>
    <row r="2801" spans="2:4" ht="15" x14ac:dyDescent="0.2">
      <c r="B2801" s="87" t="s">
        <v>3447</v>
      </c>
      <c r="C2801" s="88">
        <v>4750</v>
      </c>
      <c r="D2801" s="87" t="s">
        <v>4893</v>
      </c>
    </row>
    <row r="2802" spans="2:4" ht="15" x14ac:dyDescent="0.2">
      <c r="B2802" s="87" t="s">
        <v>3448</v>
      </c>
      <c r="C2802" s="88">
        <v>4750</v>
      </c>
      <c r="D2802" s="87" t="s">
        <v>4893</v>
      </c>
    </row>
    <row r="2803" spans="2:4" ht="15" x14ac:dyDescent="0.2">
      <c r="B2803" s="87" t="s">
        <v>3449</v>
      </c>
      <c r="C2803" s="88">
        <v>4750</v>
      </c>
      <c r="D2803" s="87" t="s">
        <v>4893</v>
      </c>
    </row>
    <row r="2804" spans="2:4" ht="15" x14ac:dyDescent="0.2">
      <c r="B2804" s="87" t="s">
        <v>3450</v>
      </c>
      <c r="C2804" s="88">
        <v>4750</v>
      </c>
      <c r="D2804" s="87" t="s">
        <v>4893</v>
      </c>
    </row>
    <row r="2805" spans="2:4" ht="15" x14ac:dyDescent="0.2">
      <c r="B2805" s="87" t="s">
        <v>3451</v>
      </c>
      <c r="C2805" s="88">
        <v>4750</v>
      </c>
      <c r="D2805" s="87" t="s">
        <v>4893</v>
      </c>
    </row>
    <row r="2806" spans="2:4" ht="15" x14ac:dyDescent="0.2">
      <c r="B2806" s="87" t="s">
        <v>3452</v>
      </c>
      <c r="C2806" s="88">
        <v>4750</v>
      </c>
      <c r="D2806" s="87" t="s">
        <v>4893</v>
      </c>
    </row>
    <row r="2807" spans="2:4" ht="15" x14ac:dyDescent="0.2">
      <c r="B2807" s="87" t="s">
        <v>3453</v>
      </c>
      <c r="C2807" s="88">
        <v>4750</v>
      </c>
      <c r="D2807" s="87" t="s">
        <v>4893</v>
      </c>
    </row>
    <row r="2808" spans="2:4" ht="15" x14ac:dyDescent="0.2">
      <c r="B2808" s="87" t="s">
        <v>3454</v>
      </c>
      <c r="C2808" s="88">
        <v>4730</v>
      </c>
      <c r="D2808" s="87" t="s">
        <v>4892</v>
      </c>
    </row>
    <row r="2809" spans="2:4" ht="15" x14ac:dyDescent="0.2">
      <c r="B2809" s="87" t="s">
        <v>3455</v>
      </c>
      <c r="C2809" s="88">
        <v>4730</v>
      </c>
      <c r="D2809" s="87" t="s">
        <v>4892</v>
      </c>
    </row>
    <row r="2810" spans="2:4" ht="15" x14ac:dyDescent="0.2">
      <c r="B2810" s="87" t="s">
        <v>3456</v>
      </c>
      <c r="C2810" s="88">
        <v>4730</v>
      </c>
      <c r="D2810" s="87" t="s">
        <v>4892</v>
      </c>
    </row>
    <row r="2811" spans="2:4" ht="15" x14ac:dyDescent="0.2">
      <c r="B2811" s="87" t="s">
        <v>3457</v>
      </c>
      <c r="C2811" s="88">
        <v>4730</v>
      </c>
      <c r="D2811" s="87" t="s">
        <v>4892</v>
      </c>
    </row>
    <row r="2812" spans="2:4" ht="15" x14ac:dyDescent="0.2">
      <c r="B2812" s="87" t="s">
        <v>3458</v>
      </c>
      <c r="C2812" s="88">
        <v>4730</v>
      </c>
      <c r="D2812" s="87" t="s">
        <v>4892</v>
      </c>
    </row>
    <row r="2813" spans="2:4" ht="15" x14ac:dyDescent="0.2">
      <c r="B2813" s="87" t="s">
        <v>3459</v>
      </c>
      <c r="C2813" s="88">
        <v>4730</v>
      </c>
      <c r="D2813" s="87" t="s">
        <v>4892</v>
      </c>
    </row>
    <row r="2814" spans="2:4" ht="15" x14ac:dyDescent="0.2">
      <c r="B2814" s="87" t="s">
        <v>3460</v>
      </c>
      <c r="C2814" s="88">
        <v>4720</v>
      </c>
      <c r="D2814" s="87" t="s">
        <v>4891</v>
      </c>
    </row>
    <row r="2815" spans="2:4" ht="15" x14ac:dyDescent="0.2">
      <c r="B2815" s="87" t="s">
        <v>3461</v>
      </c>
      <c r="C2815" s="88">
        <v>4720</v>
      </c>
      <c r="D2815" s="87" t="s">
        <v>4891</v>
      </c>
    </row>
    <row r="2816" spans="2:4" ht="15" x14ac:dyDescent="0.2">
      <c r="B2816" s="87" t="s">
        <v>3462</v>
      </c>
      <c r="C2816" s="88">
        <v>4720</v>
      </c>
      <c r="D2816" s="87" t="s">
        <v>4891</v>
      </c>
    </row>
    <row r="2817" spans="2:4" ht="15" x14ac:dyDescent="0.2">
      <c r="B2817" s="87" t="s">
        <v>3463</v>
      </c>
      <c r="C2817" s="88">
        <v>4720</v>
      </c>
      <c r="D2817" s="87" t="s">
        <v>4891</v>
      </c>
    </row>
    <row r="2818" spans="2:4" ht="15" x14ac:dyDescent="0.2">
      <c r="B2818" s="87" t="s">
        <v>3464</v>
      </c>
      <c r="C2818" s="88">
        <v>4720</v>
      </c>
      <c r="D2818" s="87" t="s">
        <v>4891</v>
      </c>
    </row>
    <row r="2819" spans="2:4" ht="15" x14ac:dyDescent="0.2">
      <c r="B2819" s="87" t="s">
        <v>3465</v>
      </c>
      <c r="C2819" s="88">
        <v>4720</v>
      </c>
      <c r="D2819" s="87" t="s">
        <v>4891</v>
      </c>
    </row>
    <row r="2820" spans="2:4" ht="15" x14ac:dyDescent="0.2">
      <c r="B2820" s="87" t="s">
        <v>3466</v>
      </c>
      <c r="C2820" s="88">
        <v>4720</v>
      </c>
      <c r="D2820" s="87" t="s">
        <v>4891</v>
      </c>
    </row>
    <row r="2821" spans="2:4" ht="15" x14ac:dyDescent="0.2">
      <c r="B2821" s="87" t="s">
        <v>3467</v>
      </c>
      <c r="C2821" s="88">
        <v>4720</v>
      </c>
      <c r="D2821" s="87" t="s">
        <v>4891</v>
      </c>
    </row>
    <row r="2822" spans="2:4" ht="15" x14ac:dyDescent="0.2">
      <c r="B2822" s="87" t="s">
        <v>3468</v>
      </c>
      <c r="C2822" s="88">
        <v>4720</v>
      </c>
      <c r="D2822" s="87" t="s">
        <v>4891</v>
      </c>
    </row>
    <row r="2823" spans="2:4" ht="15" x14ac:dyDescent="0.2">
      <c r="B2823" s="87" t="s">
        <v>3469</v>
      </c>
      <c r="C2823" s="88">
        <v>4710</v>
      </c>
      <c r="D2823" s="87" t="s">
        <v>4890</v>
      </c>
    </row>
    <row r="2824" spans="2:4" ht="15" x14ac:dyDescent="0.2">
      <c r="B2824" s="87" t="s">
        <v>3470</v>
      </c>
      <c r="C2824" s="88">
        <v>4710</v>
      </c>
      <c r="D2824" s="87" t="s">
        <v>4890</v>
      </c>
    </row>
    <row r="2825" spans="2:4" ht="15" x14ac:dyDescent="0.2">
      <c r="B2825" s="87" t="s">
        <v>3471</v>
      </c>
      <c r="C2825" s="88">
        <v>4710</v>
      </c>
      <c r="D2825" s="87" t="s">
        <v>4890</v>
      </c>
    </row>
    <row r="2826" spans="2:4" ht="15" x14ac:dyDescent="0.2">
      <c r="B2826" s="87" t="s">
        <v>3472</v>
      </c>
      <c r="C2826" s="88">
        <v>4710</v>
      </c>
      <c r="D2826" s="87" t="s">
        <v>4890</v>
      </c>
    </row>
    <row r="2827" spans="2:4" ht="15" x14ac:dyDescent="0.2">
      <c r="B2827" s="87" t="s">
        <v>3473</v>
      </c>
      <c r="C2827" s="88">
        <v>4710</v>
      </c>
      <c r="D2827" s="87" t="s">
        <v>4890</v>
      </c>
    </row>
    <row r="2828" spans="2:4" ht="15" x14ac:dyDescent="0.2">
      <c r="B2828" s="87" t="s">
        <v>3474</v>
      </c>
      <c r="C2828" s="88">
        <v>4710</v>
      </c>
      <c r="D2828" s="87" t="s">
        <v>4890</v>
      </c>
    </row>
    <row r="2829" spans="2:4" ht="15" x14ac:dyDescent="0.2">
      <c r="B2829" s="87" t="s">
        <v>3475</v>
      </c>
      <c r="C2829" s="88">
        <v>4710</v>
      </c>
      <c r="D2829" s="87" t="s">
        <v>4890</v>
      </c>
    </row>
    <row r="2830" spans="2:4" ht="15" x14ac:dyDescent="0.2">
      <c r="B2830" s="87" t="s">
        <v>3476</v>
      </c>
      <c r="C2830" s="88">
        <v>4710</v>
      </c>
      <c r="D2830" s="87" t="s">
        <v>4890</v>
      </c>
    </row>
    <row r="2831" spans="2:4" ht="15" x14ac:dyDescent="0.2">
      <c r="B2831" s="87" t="s">
        <v>3477</v>
      </c>
      <c r="C2831" s="88">
        <v>4710</v>
      </c>
      <c r="D2831" s="87" t="s">
        <v>4890</v>
      </c>
    </row>
    <row r="2832" spans="2:4" ht="15" x14ac:dyDescent="0.2">
      <c r="B2832" s="87" t="s">
        <v>3478</v>
      </c>
      <c r="C2832" s="88">
        <v>4710</v>
      </c>
      <c r="D2832" s="87" t="s">
        <v>4890</v>
      </c>
    </row>
    <row r="2833" spans="2:4" ht="15" x14ac:dyDescent="0.2">
      <c r="B2833" s="87" t="s">
        <v>3479</v>
      </c>
      <c r="C2833" s="88">
        <v>4710</v>
      </c>
      <c r="D2833" s="87" t="s">
        <v>4890</v>
      </c>
    </row>
    <row r="2834" spans="2:4" ht="15" x14ac:dyDescent="0.2">
      <c r="B2834" s="87" t="s">
        <v>3480</v>
      </c>
      <c r="C2834" s="88">
        <v>4710</v>
      </c>
      <c r="D2834" s="87" t="s">
        <v>4890</v>
      </c>
    </row>
    <row r="2835" spans="2:4" ht="15" x14ac:dyDescent="0.2">
      <c r="B2835" s="87" t="s">
        <v>3481</v>
      </c>
      <c r="C2835" s="88">
        <v>4710</v>
      </c>
      <c r="D2835" s="87" t="s">
        <v>4890</v>
      </c>
    </row>
    <row r="2836" spans="2:4" ht="15" x14ac:dyDescent="0.2">
      <c r="B2836" s="87" t="s">
        <v>3482</v>
      </c>
      <c r="C2836" s="88">
        <v>4710</v>
      </c>
      <c r="D2836" s="87" t="s">
        <v>4890</v>
      </c>
    </row>
    <row r="2837" spans="2:4" ht="15" x14ac:dyDescent="0.2">
      <c r="B2837" s="87" t="s">
        <v>3483</v>
      </c>
      <c r="C2837" s="88">
        <v>4710</v>
      </c>
      <c r="D2837" s="87" t="s">
        <v>4890</v>
      </c>
    </row>
    <row r="2838" spans="2:4" ht="15" x14ac:dyDescent="0.2">
      <c r="B2838" s="87" t="s">
        <v>3484</v>
      </c>
      <c r="C2838" s="88">
        <v>4710</v>
      </c>
      <c r="D2838" s="87" t="s">
        <v>4890</v>
      </c>
    </row>
    <row r="2839" spans="2:4" ht="15" x14ac:dyDescent="0.2">
      <c r="B2839" s="87" t="s">
        <v>3485</v>
      </c>
      <c r="C2839" s="88">
        <v>4710</v>
      </c>
      <c r="D2839" s="87" t="s">
        <v>4890</v>
      </c>
    </row>
    <row r="2840" spans="2:4" ht="15" x14ac:dyDescent="0.2">
      <c r="B2840" s="87" t="s">
        <v>3486</v>
      </c>
      <c r="C2840" s="88">
        <v>4720</v>
      </c>
      <c r="D2840" s="87" t="s">
        <v>4891</v>
      </c>
    </row>
    <row r="2841" spans="2:4" ht="15" x14ac:dyDescent="0.2">
      <c r="B2841" s="87" t="s">
        <v>3487</v>
      </c>
      <c r="C2841" s="88">
        <v>4720</v>
      </c>
      <c r="D2841" s="87" t="s">
        <v>4891</v>
      </c>
    </row>
    <row r="2842" spans="2:4" ht="15" x14ac:dyDescent="0.2">
      <c r="B2842" s="87" t="s">
        <v>3488</v>
      </c>
      <c r="C2842" s="88">
        <v>4720</v>
      </c>
      <c r="D2842" s="87" t="s">
        <v>4891</v>
      </c>
    </row>
    <row r="2843" spans="2:4" ht="15" x14ac:dyDescent="0.2">
      <c r="B2843" s="87" t="s">
        <v>3489</v>
      </c>
      <c r="C2843" s="88">
        <v>4720</v>
      </c>
      <c r="D2843" s="87" t="s">
        <v>4891</v>
      </c>
    </row>
    <row r="2844" spans="2:4" ht="15" x14ac:dyDescent="0.2">
      <c r="B2844" s="87" t="s">
        <v>3490</v>
      </c>
      <c r="C2844" s="88">
        <v>4720</v>
      </c>
      <c r="D2844" s="87" t="s">
        <v>4891</v>
      </c>
    </row>
    <row r="2845" spans="2:4" ht="15" x14ac:dyDescent="0.2">
      <c r="B2845" s="87" t="s">
        <v>3491</v>
      </c>
      <c r="C2845" s="88">
        <v>4720</v>
      </c>
      <c r="D2845" s="87" t="s">
        <v>4891</v>
      </c>
    </row>
    <row r="2846" spans="2:4" ht="15" x14ac:dyDescent="0.2">
      <c r="B2846" s="87" t="s">
        <v>3492</v>
      </c>
      <c r="C2846" s="88">
        <v>4720</v>
      </c>
      <c r="D2846" s="87" t="s">
        <v>4891</v>
      </c>
    </row>
    <row r="2847" spans="2:4" ht="15" x14ac:dyDescent="0.2">
      <c r="B2847" s="87" t="s">
        <v>3493</v>
      </c>
      <c r="C2847" s="88">
        <v>4720</v>
      </c>
      <c r="D2847" s="87" t="s">
        <v>4891</v>
      </c>
    </row>
    <row r="2848" spans="2:4" ht="15" x14ac:dyDescent="0.2">
      <c r="B2848" s="87" t="s">
        <v>3494</v>
      </c>
      <c r="C2848" s="88">
        <v>4720</v>
      </c>
      <c r="D2848" s="87" t="s">
        <v>4891</v>
      </c>
    </row>
    <row r="2849" spans="2:4" ht="15" x14ac:dyDescent="0.2">
      <c r="B2849" s="87" t="s">
        <v>3495</v>
      </c>
      <c r="C2849" s="88">
        <v>4720</v>
      </c>
      <c r="D2849" s="87" t="s">
        <v>4891</v>
      </c>
    </row>
    <row r="2850" spans="2:4" ht="15" x14ac:dyDescent="0.2">
      <c r="B2850" s="87" t="s">
        <v>3496</v>
      </c>
      <c r="C2850" s="88">
        <v>4720</v>
      </c>
      <c r="D2850" s="87" t="s">
        <v>4891</v>
      </c>
    </row>
    <row r="2851" spans="2:4" ht="15" x14ac:dyDescent="0.2">
      <c r="B2851" s="87" t="s">
        <v>3497</v>
      </c>
      <c r="C2851" s="88">
        <v>4720</v>
      </c>
      <c r="D2851" s="87" t="s">
        <v>4891</v>
      </c>
    </row>
    <row r="2852" spans="2:4" ht="15" x14ac:dyDescent="0.2">
      <c r="B2852" s="87" t="s">
        <v>3498</v>
      </c>
      <c r="C2852" s="88">
        <v>4720</v>
      </c>
      <c r="D2852" s="87" t="s">
        <v>4891</v>
      </c>
    </row>
    <row r="2853" spans="2:4" ht="15" x14ac:dyDescent="0.2">
      <c r="B2853" s="87" t="s">
        <v>3499</v>
      </c>
      <c r="C2853" s="88">
        <v>4720</v>
      </c>
      <c r="D2853" s="87" t="s">
        <v>4891</v>
      </c>
    </row>
    <row r="2854" spans="2:4" ht="15" x14ac:dyDescent="0.2">
      <c r="B2854" s="87" t="s">
        <v>3500</v>
      </c>
      <c r="C2854" s="88">
        <v>4720</v>
      </c>
      <c r="D2854" s="87" t="s">
        <v>4891</v>
      </c>
    </row>
    <row r="2855" spans="2:4" ht="15" x14ac:dyDescent="0.2">
      <c r="B2855" s="87" t="s">
        <v>3501</v>
      </c>
      <c r="C2855" s="88">
        <v>4720</v>
      </c>
      <c r="D2855" s="87" t="s">
        <v>4891</v>
      </c>
    </row>
    <row r="2856" spans="2:4" ht="15" x14ac:dyDescent="0.2">
      <c r="B2856" s="87" t="s">
        <v>3502</v>
      </c>
      <c r="C2856" s="88">
        <v>4720</v>
      </c>
      <c r="D2856" s="87" t="s">
        <v>4891</v>
      </c>
    </row>
    <row r="2857" spans="2:4" ht="15" x14ac:dyDescent="0.2">
      <c r="B2857" s="87" t="s">
        <v>3503</v>
      </c>
      <c r="C2857" s="88">
        <v>4720</v>
      </c>
      <c r="D2857" s="87" t="s">
        <v>4891</v>
      </c>
    </row>
    <row r="2858" spans="2:4" ht="15" x14ac:dyDescent="0.2">
      <c r="B2858" s="87" t="s">
        <v>3504</v>
      </c>
      <c r="C2858" s="88">
        <v>4720</v>
      </c>
      <c r="D2858" s="87" t="s">
        <v>4891</v>
      </c>
    </row>
    <row r="2859" spans="2:4" ht="15" x14ac:dyDescent="0.2">
      <c r="B2859" s="87" t="s">
        <v>3505</v>
      </c>
      <c r="C2859" s="88">
        <v>4720</v>
      </c>
      <c r="D2859" s="87" t="s">
        <v>4891</v>
      </c>
    </row>
    <row r="2860" spans="2:4" ht="15" x14ac:dyDescent="0.2">
      <c r="B2860" s="87" t="s">
        <v>3506</v>
      </c>
      <c r="C2860" s="88">
        <v>4720</v>
      </c>
      <c r="D2860" s="87" t="s">
        <v>4891</v>
      </c>
    </row>
    <row r="2861" spans="2:4" ht="15" x14ac:dyDescent="0.2">
      <c r="B2861" s="87" t="s">
        <v>3507</v>
      </c>
      <c r="C2861" s="88">
        <v>4720</v>
      </c>
      <c r="D2861" s="87" t="s">
        <v>4891</v>
      </c>
    </row>
    <row r="2862" spans="2:4" ht="15" x14ac:dyDescent="0.2">
      <c r="B2862" s="87" t="s">
        <v>3508</v>
      </c>
      <c r="C2862" s="88">
        <v>4720</v>
      </c>
      <c r="D2862" s="87" t="s">
        <v>4891</v>
      </c>
    </row>
    <row r="2863" spans="2:4" ht="15" x14ac:dyDescent="0.2">
      <c r="B2863" s="87" t="s">
        <v>3509</v>
      </c>
      <c r="C2863" s="88">
        <v>4710</v>
      </c>
      <c r="D2863" s="87" t="s">
        <v>4890</v>
      </c>
    </row>
    <row r="2864" spans="2:4" ht="15" x14ac:dyDescent="0.2">
      <c r="B2864" s="87" t="s">
        <v>3510</v>
      </c>
      <c r="C2864" s="88">
        <v>4710</v>
      </c>
      <c r="D2864" s="87" t="s">
        <v>4890</v>
      </c>
    </row>
    <row r="2865" spans="2:4" ht="15" x14ac:dyDescent="0.2">
      <c r="B2865" s="87" t="s">
        <v>3511</v>
      </c>
      <c r="C2865" s="88">
        <v>4710</v>
      </c>
      <c r="D2865" s="87" t="s">
        <v>4890</v>
      </c>
    </row>
    <row r="2866" spans="2:4" ht="15" x14ac:dyDescent="0.2">
      <c r="B2866" s="87" t="s">
        <v>3512</v>
      </c>
      <c r="C2866" s="88">
        <v>4710</v>
      </c>
      <c r="D2866" s="87" t="s">
        <v>4890</v>
      </c>
    </row>
    <row r="2867" spans="2:4" ht="15" x14ac:dyDescent="0.2">
      <c r="B2867" s="87" t="s">
        <v>3513</v>
      </c>
      <c r="C2867" s="88">
        <v>4710</v>
      </c>
      <c r="D2867" s="87" t="s">
        <v>4890</v>
      </c>
    </row>
    <row r="2868" spans="2:4" ht="15" x14ac:dyDescent="0.2">
      <c r="B2868" s="87" t="s">
        <v>3514</v>
      </c>
      <c r="C2868" s="88">
        <v>4710</v>
      </c>
      <c r="D2868" s="87" t="s">
        <v>4890</v>
      </c>
    </row>
    <row r="2869" spans="2:4" ht="15" x14ac:dyDescent="0.2">
      <c r="B2869" s="87" t="s">
        <v>3515</v>
      </c>
      <c r="C2869" s="88">
        <v>4690</v>
      </c>
      <c r="D2869" s="87" t="s">
        <v>4889</v>
      </c>
    </row>
    <row r="2870" spans="2:4" ht="15" x14ac:dyDescent="0.2">
      <c r="B2870" s="87" t="s">
        <v>3516</v>
      </c>
      <c r="C2870" s="88">
        <v>4690</v>
      </c>
      <c r="D2870" s="87" t="s">
        <v>4889</v>
      </c>
    </row>
    <row r="2871" spans="2:4" ht="15" x14ac:dyDescent="0.2">
      <c r="B2871" s="87" t="s">
        <v>3517</v>
      </c>
      <c r="C2871" s="88">
        <v>4690</v>
      </c>
      <c r="D2871" s="87" t="s">
        <v>4889</v>
      </c>
    </row>
    <row r="2872" spans="2:4" ht="15" x14ac:dyDescent="0.2">
      <c r="B2872" s="87" t="s">
        <v>3518</v>
      </c>
      <c r="C2872" s="88">
        <v>4690</v>
      </c>
      <c r="D2872" s="87" t="s">
        <v>4889</v>
      </c>
    </row>
    <row r="2873" spans="2:4" ht="15" x14ac:dyDescent="0.2">
      <c r="B2873" s="87" t="s">
        <v>3519</v>
      </c>
      <c r="C2873" s="88">
        <v>4690</v>
      </c>
      <c r="D2873" s="87" t="s">
        <v>4889</v>
      </c>
    </row>
    <row r="2874" spans="2:4" ht="15" x14ac:dyDescent="0.2">
      <c r="B2874" s="87" t="s">
        <v>3520</v>
      </c>
      <c r="C2874" s="88">
        <v>4680</v>
      </c>
      <c r="D2874" s="87" t="s">
        <v>4888</v>
      </c>
    </row>
    <row r="2875" spans="2:4" ht="15" x14ac:dyDescent="0.2">
      <c r="B2875" s="87" t="s">
        <v>3521</v>
      </c>
      <c r="C2875" s="88">
        <v>4680</v>
      </c>
      <c r="D2875" s="87" t="s">
        <v>4888</v>
      </c>
    </row>
    <row r="2876" spans="2:4" ht="15" x14ac:dyDescent="0.2">
      <c r="B2876" s="87" t="s">
        <v>3522</v>
      </c>
      <c r="C2876" s="88">
        <v>4680</v>
      </c>
      <c r="D2876" s="87" t="s">
        <v>4888</v>
      </c>
    </row>
    <row r="2877" spans="2:4" ht="15" x14ac:dyDescent="0.2">
      <c r="B2877" s="87" t="s">
        <v>3523</v>
      </c>
      <c r="C2877" s="88">
        <v>4670</v>
      </c>
      <c r="D2877" s="87" t="s">
        <v>4887</v>
      </c>
    </row>
    <row r="2878" spans="2:4" ht="15" x14ac:dyDescent="0.2">
      <c r="B2878" s="87" t="s">
        <v>3524</v>
      </c>
      <c r="C2878" s="88">
        <v>4670</v>
      </c>
      <c r="D2878" s="87" t="s">
        <v>4887</v>
      </c>
    </row>
    <row r="2879" spans="2:4" ht="15" x14ac:dyDescent="0.2">
      <c r="B2879" s="87" t="s">
        <v>3525</v>
      </c>
      <c r="C2879" s="88">
        <v>4650</v>
      </c>
      <c r="D2879" s="87" t="s">
        <v>4886</v>
      </c>
    </row>
    <row r="2880" spans="2:4" ht="15" x14ac:dyDescent="0.2">
      <c r="B2880" s="87" t="s">
        <v>3526</v>
      </c>
      <c r="C2880" s="88">
        <v>4650</v>
      </c>
      <c r="D2880" s="87" t="s">
        <v>4886</v>
      </c>
    </row>
    <row r="2881" spans="2:4" ht="15" x14ac:dyDescent="0.2">
      <c r="B2881" s="87" t="s">
        <v>3527</v>
      </c>
      <c r="C2881" s="88">
        <v>4640</v>
      </c>
      <c r="D2881" s="87" t="s">
        <v>4885</v>
      </c>
    </row>
    <row r="2882" spans="2:4" ht="15" x14ac:dyDescent="0.2">
      <c r="B2882" s="87" t="s">
        <v>3528</v>
      </c>
      <c r="C2882" s="88">
        <v>4640</v>
      </c>
      <c r="D2882" s="87" t="s">
        <v>4885</v>
      </c>
    </row>
    <row r="2883" spans="2:4" ht="15" x14ac:dyDescent="0.2">
      <c r="B2883" s="87" t="s">
        <v>3529</v>
      </c>
      <c r="C2883" s="88">
        <v>4620</v>
      </c>
      <c r="D2883" s="87" t="s">
        <v>4884</v>
      </c>
    </row>
    <row r="2884" spans="2:4" ht="15" x14ac:dyDescent="0.2">
      <c r="B2884" s="87" t="s">
        <v>3530</v>
      </c>
      <c r="C2884" s="88">
        <v>4620</v>
      </c>
      <c r="D2884" s="87" t="s">
        <v>4884</v>
      </c>
    </row>
    <row r="2885" spans="2:4" ht="15" x14ac:dyDescent="0.2">
      <c r="B2885" s="87" t="s">
        <v>3531</v>
      </c>
      <c r="C2885" s="88">
        <v>4610</v>
      </c>
      <c r="D2885" s="87" t="s">
        <v>4883</v>
      </c>
    </row>
    <row r="2886" spans="2:4" ht="15" x14ac:dyDescent="0.2">
      <c r="B2886" s="87" t="s">
        <v>3532</v>
      </c>
      <c r="C2886" s="88">
        <v>4610</v>
      </c>
      <c r="D2886" s="87" t="s">
        <v>4883</v>
      </c>
    </row>
    <row r="2887" spans="2:4" ht="15" x14ac:dyDescent="0.2">
      <c r="B2887" s="87" t="s">
        <v>3533</v>
      </c>
      <c r="C2887" s="88">
        <v>4610</v>
      </c>
      <c r="D2887" s="87" t="s">
        <v>4883</v>
      </c>
    </row>
    <row r="2888" spans="2:4" ht="15" x14ac:dyDescent="0.2">
      <c r="B2888" s="87" t="s">
        <v>3534</v>
      </c>
      <c r="C2888" s="88">
        <v>4600</v>
      </c>
      <c r="D2888" s="87" t="s">
        <v>4882</v>
      </c>
    </row>
    <row r="2889" spans="2:4" ht="15" x14ac:dyDescent="0.2">
      <c r="B2889" s="87" t="s">
        <v>3535</v>
      </c>
      <c r="C2889" s="88">
        <v>4600</v>
      </c>
      <c r="D2889" s="87" t="s">
        <v>4882</v>
      </c>
    </row>
    <row r="2890" spans="2:4" ht="15" x14ac:dyDescent="0.2">
      <c r="B2890" s="87" t="s">
        <v>3536</v>
      </c>
      <c r="C2890" s="88">
        <v>4600</v>
      </c>
      <c r="D2890" s="87" t="s">
        <v>4882</v>
      </c>
    </row>
    <row r="2891" spans="2:4" ht="15" x14ac:dyDescent="0.2">
      <c r="B2891" s="87" t="s">
        <v>3537</v>
      </c>
      <c r="C2891" s="88">
        <v>4580</v>
      </c>
      <c r="D2891" s="87" t="s">
        <v>4881</v>
      </c>
    </row>
    <row r="2892" spans="2:4" ht="15" x14ac:dyDescent="0.2">
      <c r="B2892" s="87" t="s">
        <v>3538</v>
      </c>
      <c r="C2892" s="88">
        <v>4580</v>
      </c>
      <c r="D2892" s="87" t="s">
        <v>4881</v>
      </c>
    </row>
    <row r="2893" spans="2:4" ht="15" x14ac:dyDescent="0.2">
      <c r="B2893" s="87" t="s">
        <v>3539</v>
      </c>
      <c r="C2893" s="88">
        <v>4580</v>
      </c>
      <c r="D2893" s="87" t="s">
        <v>4881</v>
      </c>
    </row>
    <row r="2894" spans="2:4" ht="15" x14ac:dyDescent="0.2">
      <c r="B2894" s="87" t="s">
        <v>3540</v>
      </c>
      <c r="C2894" s="88">
        <v>4580</v>
      </c>
      <c r="D2894" s="87" t="s">
        <v>4881</v>
      </c>
    </row>
    <row r="2895" spans="2:4" ht="15" x14ac:dyDescent="0.2">
      <c r="B2895" s="87" t="s">
        <v>3541</v>
      </c>
      <c r="C2895" s="88">
        <v>4570</v>
      </c>
      <c r="D2895" s="87" t="s">
        <v>4880</v>
      </c>
    </row>
    <row r="2896" spans="2:4" ht="15" x14ac:dyDescent="0.2">
      <c r="B2896" s="87" t="s">
        <v>3542</v>
      </c>
      <c r="C2896" s="88">
        <v>4570</v>
      </c>
      <c r="D2896" s="87" t="s">
        <v>4880</v>
      </c>
    </row>
    <row r="2897" spans="2:4" ht="15" x14ac:dyDescent="0.2">
      <c r="B2897" s="87" t="s">
        <v>3543</v>
      </c>
      <c r="C2897" s="88">
        <v>4570</v>
      </c>
      <c r="D2897" s="87" t="s">
        <v>4880</v>
      </c>
    </row>
    <row r="2898" spans="2:4" ht="15" x14ac:dyDescent="0.2">
      <c r="B2898" s="87" t="s">
        <v>3544</v>
      </c>
      <c r="C2898" s="88">
        <v>4560</v>
      </c>
      <c r="D2898" s="87" t="s">
        <v>4879</v>
      </c>
    </row>
    <row r="2899" spans="2:4" ht="15" x14ac:dyDescent="0.2">
      <c r="B2899" s="87" t="s">
        <v>3545</v>
      </c>
      <c r="C2899" s="88">
        <v>4560</v>
      </c>
      <c r="D2899" s="87" t="s">
        <v>4879</v>
      </c>
    </row>
    <row r="2900" spans="2:4" ht="15" x14ac:dyDescent="0.2">
      <c r="B2900" s="87" t="s">
        <v>3546</v>
      </c>
      <c r="C2900" s="88">
        <v>4560</v>
      </c>
      <c r="D2900" s="87" t="s">
        <v>4879</v>
      </c>
    </row>
    <row r="2901" spans="2:4" ht="15" x14ac:dyDescent="0.2">
      <c r="B2901" s="87" t="s">
        <v>3547</v>
      </c>
      <c r="C2901" s="88">
        <v>4560</v>
      </c>
      <c r="D2901" s="87" t="s">
        <v>4879</v>
      </c>
    </row>
    <row r="2902" spans="2:4" ht="15" x14ac:dyDescent="0.2">
      <c r="B2902" s="87" t="s">
        <v>3548</v>
      </c>
      <c r="C2902" s="88">
        <v>4560</v>
      </c>
      <c r="D2902" s="87" t="s">
        <v>4879</v>
      </c>
    </row>
    <row r="2903" spans="2:4" ht="15" x14ac:dyDescent="0.2">
      <c r="B2903" s="87" t="s">
        <v>3549</v>
      </c>
      <c r="C2903" s="88">
        <v>4540</v>
      </c>
      <c r="D2903" s="87" t="s">
        <v>4878</v>
      </c>
    </row>
    <row r="2904" spans="2:4" ht="15" x14ac:dyDescent="0.2">
      <c r="B2904" s="87" t="s">
        <v>3550</v>
      </c>
      <c r="C2904" s="88">
        <v>4540</v>
      </c>
      <c r="D2904" s="87" t="s">
        <v>4878</v>
      </c>
    </row>
    <row r="2905" spans="2:4" ht="15" x14ac:dyDescent="0.2">
      <c r="B2905" s="87" t="s">
        <v>3551</v>
      </c>
      <c r="C2905" s="88">
        <v>4540</v>
      </c>
      <c r="D2905" s="87" t="s">
        <v>4878</v>
      </c>
    </row>
    <row r="2906" spans="2:4" ht="15" x14ac:dyDescent="0.2">
      <c r="B2906" s="87" t="s">
        <v>3552</v>
      </c>
      <c r="C2906" s="88">
        <v>4530</v>
      </c>
      <c r="D2906" s="87" t="s">
        <v>4877</v>
      </c>
    </row>
    <row r="2907" spans="2:4" ht="15" x14ac:dyDescent="0.2">
      <c r="B2907" s="87" t="s">
        <v>3553</v>
      </c>
      <c r="C2907" s="88">
        <v>4530</v>
      </c>
      <c r="D2907" s="87" t="s">
        <v>4877</v>
      </c>
    </row>
    <row r="2908" spans="2:4" ht="15" x14ac:dyDescent="0.2">
      <c r="B2908" s="87" t="s">
        <v>3554</v>
      </c>
      <c r="C2908" s="88">
        <v>4530</v>
      </c>
      <c r="D2908" s="87" t="s">
        <v>4877</v>
      </c>
    </row>
    <row r="2909" spans="2:4" ht="15" x14ac:dyDescent="0.2">
      <c r="B2909" s="87" t="s">
        <v>3555</v>
      </c>
      <c r="C2909" s="88">
        <v>4530</v>
      </c>
      <c r="D2909" s="87" t="s">
        <v>4877</v>
      </c>
    </row>
    <row r="2910" spans="2:4" ht="15" x14ac:dyDescent="0.2">
      <c r="B2910" s="87" t="s">
        <v>3556</v>
      </c>
      <c r="C2910" s="88">
        <v>4510</v>
      </c>
      <c r="D2910" s="87" t="s">
        <v>4876</v>
      </c>
    </row>
    <row r="2911" spans="2:4" ht="15" x14ac:dyDescent="0.2">
      <c r="B2911" s="87" t="s">
        <v>3557</v>
      </c>
      <c r="C2911" s="88">
        <v>4510</v>
      </c>
      <c r="D2911" s="87" t="s">
        <v>4876</v>
      </c>
    </row>
    <row r="2912" spans="2:4" ht="15" x14ac:dyDescent="0.2">
      <c r="B2912" s="87" t="s">
        <v>3558</v>
      </c>
      <c r="C2912" s="88">
        <v>4510</v>
      </c>
      <c r="D2912" s="87" t="s">
        <v>4876</v>
      </c>
    </row>
    <row r="2913" spans="2:4" ht="15" x14ac:dyDescent="0.2">
      <c r="B2913" s="87" t="s">
        <v>3559</v>
      </c>
      <c r="C2913" s="88">
        <v>4510</v>
      </c>
      <c r="D2913" s="87" t="s">
        <v>4876</v>
      </c>
    </row>
    <row r="2914" spans="2:4" ht="15" x14ac:dyDescent="0.2">
      <c r="B2914" s="87" t="s">
        <v>3560</v>
      </c>
      <c r="C2914" s="88">
        <v>4510</v>
      </c>
      <c r="D2914" s="87" t="s">
        <v>4876</v>
      </c>
    </row>
    <row r="2915" spans="2:4" ht="15" x14ac:dyDescent="0.2">
      <c r="B2915" s="87" t="s">
        <v>3561</v>
      </c>
      <c r="C2915" s="88">
        <v>4510</v>
      </c>
      <c r="D2915" s="87" t="s">
        <v>4876</v>
      </c>
    </row>
    <row r="2916" spans="2:4" ht="15" x14ac:dyDescent="0.2">
      <c r="B2916" s="87" t="s">
        <v>3562</v>
      </c>
      <c r="C2916" s="88">
        <v>4510</v>
      </c>
      <c r="D2916" s="87" t="s">
        <v>4876</v>
      </c>
    </row>
    <row r="2917" spans="2:4" ht="15" x14ac:dyDescent="0.2">
      <c r="B2917" s="87" t="s">
        <v>3563</v>
      </c>
      <c r="C2917" s="88">
        <v>4500</v>
      </c>
      <c r="D2917" s="87" t="s">
        <v>4875</v>
      </c>
    </row>
    <row r="2918" spans="2:4" ht="15" x14ac:dyDescent="0.2">
      <c r="B2918" s="87" t="s">
        <v>3564</v>
      </c>
      <c r="C2918" s="88">
        <v>4500</v>
      </c>
      <c r="D2918" s="87" t="s">
        <v>4875</v>
      </c>
    </row>
    <row r="2919" spans="2:4" ht="15" x14ac:dyDescent="0.2">
      <c r="B2919" s="87" t="s">
        <v>3565</v>
      </c>
      <c r="C2919" s="88">
        <v>4500</v>
      </c>
      <c r="D2919" s="87" t="s">
        <v>4875</v>
      </c>
    </row>
    <row r="2920" spans="2:4" ht="15" x14ac:dyDescent="0.2">
      <c r="B2920" s="87" t="s">
        <v>3566</v>
      </c>
      <c r="C2920" s="88">
        <v>4500</v>
      </c>
      <c r="D2920" s="87" t="s">
        <v>4875</v>
      </c>
    </row>
    <row r="2921" spans="2:4" ht="15" x14ac:dyDescent="0.2">
      <c r="B2921" s="87" t="s">
        <v>3567</v>
      </c>
      <c r="C2921" s="88">
        <v>4500</v>
      </c>
      <c r="D2921" s="87" t="s">
        <v>4875</v>
      </c>
    </row>
    <row r="2922" spans="2:4" ht="15" x14ac:dyDescent="0.2">
      <c r="B2922" s="87" t="s">
        <v>3568</v>
      </c>
      <c r="C2922" s="88">
        <v>4500</v>
      </c>
      <c r="D2922" s="87" t="s">
        <v>4875</v>
      </c>
    </row>
    <row r="2923" spans="2:4" ht="15" x14ac:dyDescent="0.2">
      <c r="B2923" s="87" t="s">
        <v>3569</v>
      </c>
      <c r="C2923" s="88">
        <v>4500</v>
      </c>
      <c r="D2923" s="87" t="s">
        <v>4875</v>
      </c>
    </row>
    <row r="2924" spans="2:4" ht="15" x14ac:dyDescent="0.2">
      <c r="B2924" s="87" t="s">
        <v>3570</v>
      </c>
      <c r="C2924" s="88">
        <v>4500</v>
      </c>
      <c r="D2924" s="87" t="s">
        <v>4875</v>
      </c>
    </row>
    <row r="2925" spans="2:4" ht="15" x14ac:dyDescent="0.2">
      <c r="B2925" s="87" t="s">
        <v>3571</v>
      </c>
      <c r="C2925" s="88">
        <v>4510</v>
      </c>
      <c r="D2925" s="87" t="s">
        <v>4876</v>
      </c>
    </row>
    <row r="2926" spans="2:4" ht="15" x14ac:dyDescent="0.2">
      <c r="B2926" s="87" t="s">
        <v>3572</v>
      </c>
      <c r="C2926" s="88">
        <v>4510</v>
      </c>
      <c r="D2926" s="87" t="s">
        <v>4876</v>
      </c>
    </row>
    <row r="2927" spans="2:4" ht="15" x14ac:dyDescent="0.2">
      <c r="B2927" s="87" t="s">
        <v>3573</v>
      </c>
      <c r="C2927" s="88">
        <v>4510</v>
      </c>
      <c r="D2927" s="87" t="s">
        <v>4876</v>
      </c>
    </row>
    <row r="2928" spans="2:4" ht="15" x14ac:dyDescent="0.2">
      <c r="B2928" s="87" t="s">
        <v>3574</v>
      </c>
      <c r="C2928" s="88">
        <v>4510</v>
      </c>
      <c r="D2928" s="87" t="s">
        <v>4876</v>
      </c>
    </row>
    <row r="2929" spans="2:4" ht="15" x14ac:dyDescent="0.2">
      <c r="B2929" s="87" t="s">
        <v>3575</v>
      </c>
      <c r="C2929" s="88">
        <v>4510</v>
      </c>
      <c r="D2929" s="87" t="s">
        <v>4876</v>
      </c>
    </row>
    <row r="2930" spans="2:4" ht="15" x14ac:dyDescent="0.2">
      <c r="B2930" s="87" t="s">
        <v>3576</v>
      </c>
      <c r="C2930" s="88">
        <v>4510</v>
      </c>
      <c r="D2930" s="87" t="s">
        <v>4876</v>
      </c>
    </row>
    <row r="2931" spans="2:4" ht="15" x14ac:dyDescent="0.2">
      <c r="B2931" s="87" t="s">
        <v>3577</v>
      </c>
      <c r="C2931" s="88">
        <v>4510</v>
      </c>
      <c r="D2931" s="87" t="s">
        <v>4876</v>
      </c>
    </row>
    <row r="2932" spans="2:4" ht="15" x14ac:dyDescent="0.2">
      <c r="B2932" s="87" t="s">
        <v>3578</v>
      </c>
      <c r="C2932" s="88">
        <v>4510</v>
      </c>
      <c r="D2932" s="87" t="s">
        <v>4876</v>
      </c>
    </row>
    <row r="2933" spans="2:4" ht="15" x14ac:dyDescent="0.2">
      <c r="B2933" s="87" t="s">
        <v>3579</v>
      </c>
      <c r="C2933" s="88">
        <v>4510</v>
      </c>
      <c r="D2933" s="87" t="s">
        <v>4876</v>
      </c>
    </row>
    <row r="2934" spans="2:4" ht="15" x14ac:dyDescent="0.2">
      <c r="B2934" s="87" t="s">
        <v>3580</v>
      </c>
      <c r="C2934" s="88">
        <v>4510</v>
      </c>
      <c r="D2934" s="87" t="s">
        <v>4876</v>
      </c>
    </row>
    <row r="2935" spans="2:4" ht="15" x14ac:dyDescent="0.2">
      <c r="B2935" s="87" t="s">
        <v>3581</v>
      </c>
      <c r="C2935" s="88">
        <v>4530</v>
      </c>
      <c r="D2935" s="87" t="s">
        <v>4877</v>
      </c>
    </row>
    <row r="2936" spans="2:4" ht="15" x14ac:dyDescent="0.2">
      <c r="B2936" s="87" t="s">
        <v>3582</v>
      </c>
      <c r="C2936" s="88">
        <v>4530</v>
      </c>
      <c r="D2936" s="87" t="s">
        <v>4877</v>
      </c>
    </row>
    <row r="2937" spans="2:4" ht="15" x14ac:dyDescent="0.2">
      <c r="B2937" s="87" t="s">
        <v>3583</v>
      </c>
      <c r="C2937" s="88">
        <v>4530</v>
      </c>
      <c r="D2937" s="87" t="s">
        <v>4877</v>
      </c>
    </row>
    <row r="2938" spans="2:4" ht="15" x14ac:dyDescent="0.2">
      <c r="B2938" s="87" t="s">
        <v>3584</v>
      </c>
      <c r="C2938" s="88">
        <v>4530</v>
      </c>
      <c r="D2938" s="87" t="s">
        <v>4877</v>
      </c>
    </row>
    <row r="2939" spans="2:4" ht="15" x14ac:dyDescent="0.2">
      <c r="B2939" s="87" t="s">
        <v>3585</v>
      </c>
      <c r="C2939" s="88">
        <v>4530</v>
      </c>
      <c r="D2939" s="87" t="s">
        <v>4877</v>
      </c>
    </row>
    <row r="2940" spans="2:4" ht="15" x14ac:dyDescent="0.2">
      <c r="B2940" s="87" t="s">
        <v>3586</v>
      </c>
      <c r="C2940" s="88">
        <v>4530</v>
      </c>
      <c r="D2940" s="87" t="s">
        <v>4877</v>
      </c>
    </row>
    <row r="2941" spans="2:4" ht="15" x14ac:dyDescent="0.2">
      <c r="B2941" s="87" t="s">
        <v>3587</v>
      </c>
      <c r="C2941" s="88">
        <v>4530</v>
      </c>
      <c r="D2941" s="87" t="s">
        <v>4877</v>
      </c>
    </row>
    <row r="2942" spans="2:4" ht="15" x14ac:dyDescent="0.2">
      <c r="B2942" s="87" t="s">
        <v>3588</v>
      </c>
      <c r="C2942" s="88">
        <v>4540</v>
      </c>
      <c r="D2942" s="87" t="s">
        <v>4878</v>
      </c>
    </row>
    <row r="2943" spans="2:4" ht="15" x14ac:dyDescent="0.2">
      <c r="B2943" s="87" t="s">
        <v>3589</v>
      </c>
      <c r="C2943" s="88">
        <v>4540</v>
      </c>
      <c r="D2943" s="87" t="s">
        <v>4878</v>
      </c>
    </row>
    <row r="2944" spans="2:4" ht="15" x14ac:dyDescent="0.2">
      <c r="B2944" s="87" t="s">
        <v>3590</v>
      </c>
      <c r="C2944" s="88">
        <v>4540</v>
      </c>
      <c r="D2944" s="87" t="s">
        <v>4878</v>
      </c>
    </row>
    <row r="2945" spans="2:4" ht="15" x14ac:dyDescent="0.2">
      <c r="B2945" s="87" t="s">
        <v>3591</v>
      </c>
      <c r="C2945" s="88">
        <v>4540</v>
      </c>
      <c r="D2945" s="87" t="s">
        <v>4878</v>
      </c>
    </row>
    <row r="2946" spans="2:4" ht="15" x14ac:dyDescent="0.2">
      <c r="B2946" s="87" t="s">
        <v>3592</v>
      </c>
      <c r="C2946" s="88">
        <v>4540</v>
      </c>
      <c r="D2946" s="87" t="s">
        <v>4878</v>
      </c>
    </row>
    <row r="2947" spans="2:4" ht="15" x14ac:dyDescent="0.2">
      <c r="B2947" s="87" t="s">
        <v>3593</v>
      </c>
      <c r="C2947" s="88">
        <v>4540</v>
      </c>
      <c r="D2947" s="87" t="s">
        <v>4878</v>
      </c>
    </row>
    <row r="2948" spans="2:4" ht="15" x14ac:dyDescent="0.2">
      <c r="B2948" s="87" t="s">
        <v>3594</v>
      </c>
      <c r="C2948" s="88">
        <v>4560</v>
      </c>
      <c r="D2948" s="87" t="s">
        <v>4879</v>
      </c>
    </row>
    <row r="2949" spans="2:4" ht="15" x14ac:dyDescent="0.2">
      <c r="B2949" s="87" t="s">
        <v>3595</v>
      </c>
      <c r="C2949" s="88">
        <v>4560</v>
      </c>
      <c r="D2949" s="87" t="s">
        <v>4879</v>
      </c>
    </row>
    <row r="2950" spans="2:4" ht="15" x14ac:dyDescent="0.2">
      <c r="B2950" s="87" t="s">
        <v>3596</v>
      </c>
      <c r="C2950" s="88">
        <v>4560</v>
      </c>
      <c r="D2950" s="87" t="s">
        <v>4879</v>
      </c>
    </row>
    <row r="2951" spans="2:4" ht="15" x14ac:dyDescent="0.2">
      <c r="B2951" s="87" t="s">
        <v>3597</v>
      </c>
      <c r="C2951" s="88">
        <v>4560</v>
      </c>
      <c r="D2951" s="87" t="s">
        <v>4879</v>
      </c>
    </row>
    <row r="2952" spans="2:4" ht="15" x14ac:dyDescent="0.2">
      <c r="B2952" s="87" t="s">
        <v>3598</v>
      </c>
      <c r="C2952" s="88">
        <v>4560</v>
      </c>
      <c r="D2952" s="87" t="s">
        <v>4879</v>
      </c>
    </row>
    <row r="2953" spans="2:4" ht="15" x14ac:dyDescent="0.2">
      <c r="B2953" s="87" t="s">
        <v>3599</v>
      </c>
      <c r="C2953" s="88">
        <v>4560</v>
      </c>
      <c r="D2953" s="87" t="s">
        <v>4879</v>
      </c>
    </row>
    <row r="2954" spans="2:4" ht="15" x14ac:dyDescent="0.2">
      <c r="B2954" s="87" t="s">
        <v>3600</v>
      </c>
      <c r="C2954" s="88">
        <v>4560</v>
      </c>
      <c r="D2954" s="87" t="s">
        <v>4879</v>
      </c>
    </row>
    <row r="2955" spans="2:4" ht="15" x14ac:dyDescent="0.2">
      <c r="B2955" s="87" t="s">
        <v>3601</v>
      </c>
      <c r="C2955" s="88">
        <v>4560</v>
      </c>
      <c r="D2955" s="87" t="s">
        <v>4879</v>
      </c>
    </row>
    <row r="2956" spans="2:4" ht="15" x14ac:dyDescent="0.2">
      <c r="B2956" s="87" t="s">
        <v>3602</v>
      </c>
      <c r="C2956" s="88">
        <v>4560</v>
      </c>
      <c r="D2956" s="87" t="s">
        <v>4879</v>
      </c>
    </row>
    <row r="2957" spans="2:4" ht="15" x14ac:dyDescent="0.2">
      <c r="B2957" s="87" t="s">
        <v>3603</v>
      </c>
      <c r="C2957" s="88">
        <v>4560</v>
      </c>
      <c r="D2957" s="87" t="s">
        <v>4879</v>
      </c>
    </row>
    <row r="2958" spans="2:4" ht="15" x14ac:dyDescent="0.2">
      <c r="B2958" s="87" t="s">
        <v>3604</v>
      </c>
      <c r="C2958" s="88">
        <v>4560</v>
      </c>
      <c r="D2958" s="87" t="s">
        <v>4879</v>
      </c>
    </row>
    <row r="2959" spans="2:4" ht="15" x14ac:dyDescent="0.2">
      <c r="B2959" s="87" t="s">
        <v>3605</v>
      </c>
      <c r="C2959" s="88">
        <v>4560</v>
      </c>
      <c r="D2959" s="87" t="s">
        <v>4879</v>
      </c>
    </row>
    <row r="2960" spans="2:4" ht="15" x14ac:dyDescent="0.2">
      <c r="B2960" s="87" t="s">
        <v>3606</v>
      </c>
      <c r="C2960" s="88">
        <v>4560</v>
      </c>
      <c r="D2960" s="87" t="s">
        <v>4879</v>
      </c>
    </row>
    <row r="2961" spans="2:4" ht="15" x14ac:dyDescent="0.2">
      <c r="B2961" s="87" t="s">
        <v>3607</v>
      </c>
      <c r="C2961" s="88">
        <v>4560</v>
      </c>
      <c r="D2961" s="87" t="s">
        <v>4879</v>
      </c>
    </row>
    <row r="2962" spans="2:4" ht="15" x14ac:dyDescent="0.2">
      <c r="B2962" s="87" t="s">
        <v>3608</v>
      </c>
      <c r="C2962" s="88">
        <v>4560</v>
      </c>
      <c r="D2962" s="87" t="s">
        <v>4879</v>
      </c>
    </row>
    <row r="2963" spans="2:4" ht="15" x14ac:dyDescent="0.2">
      <c r="B2963" s="87" t="s">
        <v>3609</v>
      </c>
      <c r="C2963" s="88">
        <v>4560</v>
      </c>
      <c r="D2963" s="87" t="s">
        <v>4879</v>
      </c>
    </row>
    <row r="2964" spans="2:4" ht="15" x14ac:dyDescent="0.2">
      <c r="B2964" s="87" t="s">
        <v>3610</v>
      </c>
      <c r="C2964" s="88">
        <v>4560</v>
      </c>
      <c r="D2964" s="87" t="s">
        <v>4879</v>
      </c>
    </row>
    <row r="2965" spans="2:4" ht="15" x14ac:dyDescent="0.2">
      <c r="B2965" s="87" t="s">
        <v>3611</v>
      </c>
      <c r="C2965" s="88">
        <v>4560</v>
      </c>
      <c r="D2965" s="87" t="s">
        <v>4879</v>
      </c>
    </row>
    <row r="2966" spans="2:4" ht="15" x14ac:dyDescent="0.2">
      <c r="B2966" s="87" t="s">
        <v>3612</v>
      </c>
      <c r="C2966" s="88">
        <v>4560</v>
      </c>
      <c r="D2966" s="87" t="s">
        <v>4879</v>
      </c>
    </row>
    <row r="2967" spans="2:4" ht="15" x14ac:dyDescent="0.2">
      <c r="B2967" s="87" t="s">
        <v>3613</v>
      </c>
      <c r="C2967" s="88">
        <v>4560</v>
      </c>
      <c r="D2967" s="87" t="s">
        <v>4879</v>
      </c>
    </row>
    <row r="2968" spans="2:4" ht="15" x14ac:dyDescent="0.2">
      <c r="B2968" s="87" t="s">
        <v>3614</v>
      </c>
      <c r="C2968" s="88">
        <v>4560</v>
      </c>
      <c r="D2968" s="87" t="s">
        <v>4879</v>
      </c>
    </row>
    <row r="2969" spans="2:4" ht="15" x14ac:dyDescent="0.2">
      <c r="B2969" s="87" t="s">
        <v>3615</v>
      </c>
      <c r="C2969" s="88">
        <v>4560</v>
      </c>
      <c r="D2969" s="87" t="s">
        <v>4879</v>
      </c>
    </row>
    <row r="2970" spans="2:4" ht="15" x14ac:dyDescent="0.2">
      <c r="B2970" s="87" t="s">
        <v>3616</v>
      </c>
      <c r="C2970" s="88">
        <v>4560</v>
      </c>
      <c r="D2970" s="87" t="s">
        <v>4879</v>
      </c>
    </row>
    <row r="2971" spans="2:4" ht="15" x14ac:dyDescent="0.2">
      <c r="B2971" s="87" t="s">
        <v>3617</v>
      </c>
      <c r="C2971" s="88">
        <v>4540</v>
      </c>
      <c r="D2971" s="87" t="s">
        <v>4878</v>
      </c>
    </row>
    <row r="2972" spans="2:4" ht="15" x14ac:dyDescent="0.2">
      <c r="B2972" s="87" t="s">
        <v>3618</v>
      </c>
      <c r="C2972" s="88">
        <v>4540</v>
      </c>
      <c r="D2972" s="87" t="s">
        <v>4878</v>
      </c>
    </row>
    <row r="2973" spans="2:4" ht="15" x14ac:dyDescent="0.2">
      <c r="B2973" s="87" t="s">
        <v>3619</v>
      </c>
      <c r="C2973" s="88">
        <v>4540</v>
      </c>
      <c r="D2973" s="87" t="s">
        <v>4878</v>
      </c>
    </row>
    <row r="2974" spans="2:4" ht="15" x14ac:dyDescent="0.2">
      <c r="B2974" s="87" t="s">
        <v>3620</v>
      </c>
      <c r="C2974" s="88">
        <v>4540</v>
      </c>
      <c r="D2974" s="87" t="s">
        <v>4878</v>
      </c>
    </row>
    <row r="2975" spans="2:4" ht="15" x14ac:dyDescent="0.2">
      <c r="B2975" s="87" t="s">
        <v>3621</v>
      </c>
      <c r="C2975" s="88">
        <v>4530</v>
      </c>
      <c r="D2975" s="87" t="s">
        <v>4877</v>
      </c>
    </row>
    <row r="2976" spans="2:4" ht="15" x14ac:dyDescent="0.2">
      <c r="B2976" s="87" t="s">
        <v>3622</v>
      </c>
      <c r="C2976" s="88">
        <v>4530</v>
      </c>
      <c r="D2976" s="87" t="s">
        <v>4877</v>
      </c>
    </row>
    <row r="2977" spans="2:4" ht="15" x14ac:dyDescent="0.2">
      <c r="B2977" s="87" t="s">
        <v>3623</v>
      </c>
      <c r="C2977" s="88">
        <v>4530</v>
      </c>
      <c r="D2977" s="87" t="s">
        <v>4877</v>
      </c>
    </row>
    <row r="2978" spans="2:4" ht="15" x14ac:dyDescent="0.2">
      <c r="B2978" s="87" t="s">
        <v>3624</v>
      </c>
      <c r="C2978" s="88">
        <v>4530</v>
      </c>
      <c r="D2978" s="87" t="s">
        <v>4877</v>
      </c>
    </row>
    <row r="2979" spans="2:4" ht="15" x14ac:dyDescent="0.2">
      <c r="B2979" s="87" t="s">
        <v>3625</v>
      </c>
      <c r="C2979" s="88">
        <v>4530</v>
      </c>
      <c r="D2979" s="87" t="s">
        <v>4877</v>
      </c>
    </row>
    <row r="2980" spans="2:4" ht="15" x14ac:dyDescent="0.2">
      <c r="B2980" s="87" t="s">
        <v>3626</v>
      </c>
      <c r="C2980" s="88">
        <v>4510</v>
      </c>
      <c r="D2980" s="87" t="s">
        <v>4876</v>
      </c>
    </row>
    <row r="2981" spans="2:4" ht="15" x14ac:dyDescent="0.2">
      <c r="B2981" s="87" t="s">
        <v>3627</v>
      </c>
      <c r="C2981" s="88">
        <v>4510</v>
      </c>
      <c r="D2981" s="87" t="s">
        <v>4876</v>
      </c>
    </row>
    <row r="2982" spans="2:4" ht="15" x14ac:dyDescent="0.2">
      <c r="B2982" s="87" t="s">
        <v>3628</v>
      </c>
      <c r="C2982" s="88">
        <v>4510</v>
      </c>
      <c r="D2982" s="87" t="s">
        <v>4876</v>
      </c>
    </row>
    <row r="2983" spans="2:4" ht="15" x14ac:dyDescent="0.2">
      <c r="B2983" s="87" t="s">
        <v>3629</v>
      </c>
      <c r="C2983" s="88">
        <v>4500</v>
      </c>
      <c r="D2983" s="87" t="s">
        <v>4875</v>
      </c>
    </row>
    <row r="2984" spans="2:4" ht="15" x14ac:dyDescent="0.2">
      <c r="B2984" s="87" t="s">
        <v>3630</v>
      </c>
      <c r="C2984" s="88">
        <v>4500</v>
      </c>
      <c r="D2984" s="87" t="s">
        <v>4875</v>
      </c>
    </row>
    <row r="2985" spans="2:4" ht="15" x14ac:dyDescent="0.2">
      <c r="B2985" s="87" t="s">
        <v>3631</v>
      </c>
      <c r="C2985" s="88">
        <v>4500</v>
      </c>
      <c r="D2985" s="87" t="s">
        <v>4875</v>
      </c>
    </row>
    <row r="2986" spans="2:4" ht="15" x14ac:dyDescent="0.2">
      <c r="B2986" s="87" t="s">
        <v>3632</v>
      </c>
      <c r="C2986" s="88">
        <v>4500</v>
      </c>
      <c r="D2986" s="87" t="s">
        <v>4875</v>
      </c>
    </row>
    <row r="2987" spans="2:4" ht="15" x14ac:dyDescent="0.2">
      <c r="B2987" s="87" t="s">
        <v>3633</v>
      </c>
      <c r="C2987" s="88">
        <v>4500</v>
      </c>
      <c r="D2987" s="87" t="s">
        <v>4875</v>
      </c>
    </row>
    <row r="2988" spans="2:4" ht="15" x14ac:dyDescent="0.2">
      <c r="B2988" s="87" t="s">
        <v>3634</v>
      </c>
      <c r="C2988" s="88">
        <v>4500</v>
      </c>
      <c r="D2988" s="87" t="s">
        <v>4875</v>
      </c>
    </row>
    <row r="2989" spans="2:4" ht="15" x14ac:dyDescent="0.2">
      <c r="B2989" s="87" t="s">
        <v>3635</v>
      </c>
      <c r="C2989" s="88">
        <v>4500</v>
      </c>
      <c r="D2989" s="87" t="s">
        <v>4875</v>
      </c>
    </row>
    <row r="2990" spans="2:4" ht="15" x14ac:dyDescent="0.2">
      <c r="B2990" s="87" t="s">
        <v>3636</v>
      </c>
      <c r="C2990" s="88">
        <v>4500</v>
      </c>
      <c r="D2990" s="87" t="s">
        <v>4875</v>
      </c>
    </row>
    <row r="2991" spans="2:4" ht="15" x14ac:dyDescent="0.2">
      <c r="B2991" s="87" t="s">
        <v>3637</v>
      </c>
      <c r="C2991" s="88">
        <v>4490</v>
      </c>
      <c r="D2991" s="87" t="s">
        <v>5037</v>
      </c>
    </row>
    <row r="2992" spans="2:4" ht="15" x14ac:dyDescent="0.2">
      <c r="B2992" s="87" t="s">
        <v>3638</v>
      </c>
      <c r="C2992" s="88">
        <v>4490</v>
      </c>
      <c r="D2992" s="87" t="s">
        <v>5037</v>
      </c>
    </row>
    <row r="2993" spans="2:4" ht="15" x14ac:dyDescent="0.2">
      <c r="B2993" s="87" t="s">
        <v>3639</v>
      </c>
      <c r="C2993" s="88">
        <v>4490</v>
      </c>
      <c r="D2993" s="87" t="s">
        <v>5037</v>
      </c>
    </row>
    <row r="2994" spans="2:4" ht="15" x14ac:dyDescent="0.2">
      <c r="B2994" s="87" t="s">
        <v>3640</v>
      </c>
      <c r="C2994" s="88">
        <v>4490</v>
      </c>
      <c r="D2994" s="87" t="s">
        <v>5037</v>
      </c>
    </row>
    <row r="2995" spans="2:4" ht="15" x14ac:dyDescent="0.2">
      <c r="B2995" s="87" t="s">
        <v>3641</v>
      </c>
      <c r="C2995" s="88">
        <v>4490</v>
      </c>
      <c r="D2995" s="87" t="s">
        <v>5037</v>
      </c>
    </row>
    <row r="2996" spans="2:4" ht="15" x14ac:dyDescent="0.2">
      <c r="B2996" s="87" t="s">
        <v>3642</v>
      </c>
      <c r="C2996" s="88">
        <v>4490</v>
      </c>
      <c r="D2996" s="87" t="s">
        <v>5037</v>
      </c>
    </row>
    <row r="2997" spans="2:4" ht="15" x14ac:dyDescent="0.2">
      <c r="B2997" s="87" t="s">
        <v>3643</v>
      </c>
      <c r="C2997" s="88">
        <v>4470</v>
      </c>
      <c r="D2997" s="87" t="s">
        <v>5038</v>
      </c>
    </row>
    <row r="2998" spans="2:4" ht="15" x14ac:dyDescent="0.2">
      <c r="B2998" s="87" t="s">
        <v>3644</v>
      </c>
      <c r="C2998" s="88">
        <v>4470</v>
      </c>
      <c r="D2998" s="87" t="s">
        <v>5038</v>
      </c>
    </row>
    <row r="2999" spans="2:4" ht="15" x14ac:dyDescent="0.2">
      <c r="B2999" s="87" t="s">
        <v>3645</v>
      </c>
      <c r="C2999" s="88">
        <v>4470</v>
      </c>
      <c r="D2999" s="87" t="s">
        <v>5038</v>
      </c>
    </row>
    <row r="3000" spans="2:4" ht="15" x14ac:dyDescent="0.2">
      <c r="B3000" s="87" t="s">
        <v>3646</v>
      </c>
      <c r="C3000" s="88">
        <v>4470</v>
      </c>
      <c r="D3000" s="87" t="s">
        <v>5038</v>
      </c>
    </row>
    <row r="3001" spans="2:4" ht="15" x14ac:dyDescent="0.2">
      <c r="B3001" s="87" t="s">
        <v>3647</v>
      </c>
      <c r="C3001" s="88">
        <v>4470</v>
      </c>
      <c r="D3001" s="87" t="s">
        <v>5038</v>
      </c>
    </row>
    <row r="3002" spans="2:4" ht="15" x14ac:dyDescent="0.2">
      <c r="B3002" s="87" t="s">
        <v>3648</v>
      </c>
      <c r="C3002" s="88">
        <v>4470</v>
      </c>
      <c r="D3002" s="87" t="s">
        <v>5038</v>
      </c>
    </row>
    <row r="3003" spans="2:4" ht="15" x14ac:dyDescent="0.2">
      <c r="B3003" s="87" t="s">
        <v>3649</v>
      </c>
      <c r="C3003" s="88">
        <v>4460</v>
      </c>
      <c r="D3003" s="87" t="s">
        <v>5039</v>
      </c>
    </row>
    <row r="3004" spans="2:4" ht="15" x14ac:dyDescent="0.2">
      <c r="B3004" s="87" t="s">
        <v>3650</v>
      </c>
      <c r="C3004" s="88">
        <v>4460</v>
      </c>
      <c r="D3004" s="87" t="s">
        <v>5039</v>
      </c>
    </row>
    <row r="3005" spans="2:4" ht="15" x14ac:dyDescent="0.2">
      <c r="B3005" s="87" t="s">
        <v>3651</v>
      </c>
      <c r="C3005" s="88">
        <v>4460</v>
      </c>
      <c r="D3005" s="87" t="s">
        <v>5039</v>
      </c>
    </row>
    <row r="3006" spans="2:4" ht="15" x14ac:dyDescent="0.2">
      <c r="B3006" s="87" t="s">
        <v>3652</v>
      </c>
      <c r="C3006" s="88">
        <v>4460</v>
      </c>
      <c r="D3006" s="87" t="s">
        <v>5039</v>
      </c>
    </row>
    <row r="3007" spans="2:4" ht="15" x14ac:dyDescent="0.2">
      <c r="B3007" s="87" t="s">
        <v>3653</v>
      </c>
      <c r="C3007" s="88">
        <v>4460</v>
      </c>
      <c r="D3007" s="87" t="s">
        <v>5039</v>
      </c>
    </row>
    <row r="3008" spans="2:4" ht="15" x14ac:dyDescent="0.2">
      <c r="B3008" s="87" t="s">
        <v>3654</v>
      </c>
      <c r="C3008" s="88">
        <v>4450</v>
      </c>
      <c r="D3008" s="87" t="s">
        <v>5040</v>
      </c>
    </row>
    <row r="3009" spans="2:4" ht="15" x14ac:dyDescent="0.2">
      <c r="B3009" s="87" t="s">
        <v>3655</v>
      </c>
      <c r="C3009" s="88">
        <v>4450</v>
      </c>
      <c r="D3009" s="87" t="s">
        <v>5040</v>
      </c>
    </row>
    <row r="3010" spans="2:4" ht="15" x14ac:dyDescent="0.2">
      <c r="B3010" s="87" t="s">
        <v>3656</v>
      </c>
      <c r="C3010" s="88">
        <v>4450</v>
      </c>
      <c r="D3010" s="87" t="s">
        <v>5040</v>
      </c>
    </row>
    <row r="3011" spans="2:4" ht="15" x14ac:dyDescent="0.2">
      <c r="B3011" s="87" t="s">
        <v>3657</v>
      </c>
      <c r="C3011" s="88">
        <v>4450</v>
      </c>
      <c r="D3011" s="87" t="s">
        <v>5040</v>
      </c>
    </row>
    <row r="3012" spans="2:4" ht="15" x14ac:dyDescent="0.2">
      <c r="B3012" s="87" t="s">
        <v>3658</v>
      </c>
      <c r="C3012" s="88">
        <v>4450</v>
      </c>
      <c r="D3012" s="87" t="s">
        <v>5040</v>
      </c>
    </row>
    <row r="3013" spans="2:4" ht="15" x14ac:dyDescent="0.2">
      <c r="B3013" s="87" t="s">
        <v>3659</v>
      </c>
      <c r="C3013" s="88">
        <v>4450</v>
      </c>
      <c r="D3013" s="87" t="s">
        <v>5040</v>
      </c>
    </row>
    <row r="3014" spans="2:4" ht="15" x14ac:dyDescent="0.2">
      <c r="B3014" s="87" t="s">
        <v>3660</v>
      </c>
      <c r="C3014" s="88">
        <v>4450</v>
      </c>
      <c r="D3014" s="87" t="s">
        <v>5040</v>
      </c>
    </row>
    <row r="3015" spans="2:4" ht="15" x14ac:dyDescent="0.2">
      <c r="B3015" s="87" t="s">
        <v>3661</v>
      </c>
      <c r="C3015" s="88">
        <v>4450</v>
      </c>
      <c r="D3015" s="87" t="s">
        <v>5040</v>
      </c>
    </row>
    <row r="3016" spans="2:4" ht="15" x14ac:dyDescent="0.2">
      <c r="B3016" s="87" t="s">
        <v>3662</v>
      </c>
      <c r="C3016" s="88">
        <v>4450</v>
      </c>
      <c r="D3016" s="87" t="s">
        <v>5040</v>
      </c>
    </row>
    <row r="3017" spans="2:4" ht="15" x14ac:dyDescent="0.2">
      <c r="B3017" s="87" t="s">
        <v>3663</v>
      </c>
      <c r="C3017" s="88">
        <v>4450</v>
      </c>
      <c r="D3017" s="87" t="s">
        <v>5040</v>
      </c>
    </row>
    <row r="3018" spans="2:4" ht="15" x14ac:dyDescent="0.2">
      <c r="B3018" s="87" t="s">
        <v>3664</v>
      </c>
      <c r="C3018" s="88">
        <v>4450</v>
      </c>
      <c r="D3018" s="87" t="s">
        <v>5040</v>
      </c>
    </row>
    <row r="3019" spans="2:4" ht="15" x14ac:dyDescent="0.2">
      <c r="B3019" s="87" t="s">
        <v>3665</v>
      </c>
      <c r="C3019" s="88">
        <v>4450</v>
      </c>
      <c r="D3019" s="87" t="s">
        <v>5040</v>
      </c>
    </row>
    <row r="3020" spans="2:4" ht="15" x14ac:dyDescent="0.2">
      <c r="B3020" s="87" t="s">
        <v>3666</v>
      </c>
      <c r="C3020" s="88">
        <v>4450</v>
      </c>
      <c r="D3020" s="87" t="s">
        <v>5040</v>
      </c>
    </row>
    <row r="3021" spans="2:4" ht="15" x14ac:dyDescent="0.2">
      <c r="B3021" s="87" t="s">
        <v>3667</v>
      </c>
      <c r="C3021" s="88">
        <v>4450</v>
      </c>
      <c r="D3021" s="87" t="s">
        <v>5040</v>
      </c>
    </row>
    <row r="3022" spans="2:4" ht="15" x14ac:dyDescent="0.2">
      <c r="B3022" s="87" t="s">
        <v>3668</v>
      </c>
      <c r="C3022" s="88">
        <v>4450</v>
      </c>
      <c r="D3022" s="87" t="s">
        <v>5040</v>
      </c>
    </row>
    <row r="3023" spans="2:4" ht="15" x14ac:dyDescent="0.2">
      <c r="B3023" s="87" t="s">
        <v>3669</v>
      </c>
      <c r="C3023" s="88">
        <v>4450</v>
      </c>
      <c r="D3023" s="87" t="s">
        <v>5040</v>
      </c>
    </row>
    <row r="3024" spans="2:4" ht="15" x14ac:dyDescent="0.2">
      <c r="B3024" s="87" t="s">
        <v>3670</v>
      </c>
      <c r="C3024" s="88">
        <v>4450</v>
      </c>
      <c r="D3024" s="87" t="s">
        <v>5040</v>
      </c>
    </row>
    <row r="3025" spans="2:4" ht="15" x14ac:dyDescent="0.2">
      <c r="B3025" s="87" t="s">
        <v>3671</v>
      </c>
      <c r="C3025" s="88">
        <v>4450</v>
      </c>
      <c r="D3025" s="87" t="s">
        <v>5040</v>
      </c>
    </row>
    <row r="3026" spans="2:4" ht="15" x14ac:dyDescent="0.2">
      <c r="B3026" s="87" t="s">
        <v>3672</v>
      </c>
      <c r="C3026" s="88">
        <v>4450</v>
      </c>
      <c r="D3026" s="87" t="s">
        <v>5040</v>
      </c>
    </row>
    <row r="3027" spans="2:4" ht="15" x14ac:dyDescent="0.2">
      <c r="B3027" s="87" t="s">
        <v>3673</v>
      </c>
      <c r="C3027" s="88">
        <v>4450</v>
      </c>
      <c r="D3027" s="87" t="s">
        <v>5040</v>
      </c>
    </row>
    <row r="3028" spans="2:4" ht="15" x14ac:dyDescent="0.2">
      <c r="B3028" s="87" t="s">
        <v>3674</v>
      </c>
      <c r="C3028" s="88">
        <v>4450</v>
      </c>
      <c r="D3028" s="87" t="s">
        <v>5040</v>
      </c>
    </row>
    <row r="3029" spans="2:4" ht="15" x14ac:dyDescent="0.2">
      <c r="B3029" s="87" t="s">
        <v>3675</v>
      </c>
      <c r="C3029" s="88">
        <v>4450</v>
      </c>
      <c r="D3029" s="87" t="s">
        <v>5040</v>
      </c>
    </row>
    <row r="3030" spans="2:4" ht="15" x14ac:dyDescent="0.2">
      <c r="B3030" s="87" t="s">
        <v>3676</v>
      </c>
      <c r="C3030" s="88">
        <v>4450</v>
      </c>
      <c r="D3030" s="87" t="s">
        <v>5040</v>
      </c>
    </row>
    <row r="3031" spans="2:4" ht="15" x14ac:dyDescent="0.2">
      <c r="B3031" s="87" t="s">
        <v>3677</v>
      </c>
      <c r="C3031" s="88">
        <v>4450</v>
      </c>
      <c r="D3031" s="87" t="s">
        <v>5040</v>
      </c>
    </row>
    <row r="3032" spans="2:4" ht="15" x14ac:dyDescent="0.2">
      <c r="B3032" s="87" t="s">
        <v>3678</v>
      </c>
      <c r="C3032" s="88">
        <v>4450</v>
      </c>
      <c r="D3032" s="87" t="s">
        <v>5040</v>
      </c>
    </row>
    <row r="3033" spans="2:4" ht="15" x14ac:dyDescent="0.2">
      <c r="B3033" s="87" t="s">
        <v>3679</v>
      </c>
      <c r="C3033" s="88">
        <v>4450</v>
      </c>
      <c r="D3033" s="87" t="s">
        <v>5040</v>
      </c>
    </row>
    <row r="3034" spans="2:4" ht="15" x14ac:dyDescent="0.2">
      <c r="B3034" s="87" t="s">
        <v>3680</v>
      </c>
      <c r="C3034" s="88">
        <v>4450</v>
      </c>
      <c r="D3034" s="87" t="s">
        <v>5040</v>
      </c>
    </row>
    <row r="3035" spans="2:4" ht="15" x14ac:dyDescent="0.2">
      <c r="B3035" s="87" t="s">
        <v>3681</v>
      </c>
      <c r="C3035" s="88">
        <v>4460</v>
      </c>
      <c r="D3035" s="87" t="s">
        <v>5039</v>
      </c>
    </row>
    <row r="3036" spans="2:4" ht="15" x14ac:dyDescent="0.2">
      <c r="B3036" s="87" t="s">
        <v>3682</v>
      </c>
      <c r="C3036" s="88">
        <v>4460</v>
      </c>
      <c r="D3036" s="87" t="s">
        <v>5039</v>
      </c>
    </row>
    <row r="3037" spans="2:4" ht="15" x14ac:dyDescent="0.2">
      <c r="B3037" s="87" t="s">
        <v>3683</v>
      </c>
      <c r="C3037" s="88">
        <v>4460</v>
      </c>
      <c r="D3037" s="87" t="s">
        <v>5039</v>
      </c>
    </row>
    <row r="3038" spans="2:4" ht="15" x14ac:dyDescent="0.2">
      <c r="B3038" s="87" t="s">
        <v>3684</v>
      </c>
      <c r="C3038" s="88">
        <v>4460</v>
      </c>
      <c r="D3038" s="87" t="s">
        <v>5039</v>
      </c>
    </row>
    <row r="3039" spans="2:4" ht="15" x14ac:dyDescent="0.2">
      <c r="B3039" s="87" t="s">
        <v>3685</v>
      </c>
      <c r="C3039" s="88">
        <v>4460</v>
      </c>
      <c r="D3039" s="87" t="s">
        <v>5039</v>
      </c>
    </row>
    <row r="3040" spans="2:4" ht="15" x14ac:dyDescent="0.2">
      <c r="B3040" s="87" t="s">
        <v>3686</v>
      </c>
      <c r="C3040" s="88">
        <v>4460</v>
      </c>
      <c r="D3040" s="87" t="s">
        <v>5039</v>
      </c>
    </row>
    <row r="3041" spans="2:4" ht="15" x14ac:dyDescent="0.2">
      <c r="B3041" s="87" t="s">
        <v>3687</v>
      </c>
      <c r="C3041" s="88">
        <v>4460</v>
      </c>
      <c r="D3041" s="87" t="s">
        <v>5039</v>
      </c>
    </row>
    <row r="3042" spans="2:4" ht="15" x14ac:dyDescent="0.2">
      <c r="B3042" s="87" t="s">
        <v>3688</v>
      </c>
      <c r="C3042" s="88">
        <v>4460</v>
      </c>
      <c r="D3042" s="87" t="s">
        <v>5039</v>
      </c>
    </row>
    <row r="3043" spans="2:4" ht="15" x14ac:dyDescent="0.2">
      <c r="B3043" s="87" t="s">
        <v>3689</v>
      </c>
      <c r="C3043" s="88">
        <v>4460</v>
      </c>
      <c r="D3043" s="87" t="s">
        <v>5039</v>
      </c>
    </row>
    <row r="3044" spans="2:4" ht="15" x14ac:dyDescent="0.2">
      <c r="B3044" s="87" t="s">
        <v>3690</v>
      </c>
      <c r="C3044" s="88">
        <v>4460</v>
      </c>
      <c r="D3044" s="87" t="s">
        <v>5039</v>
      </c>
    </row>
    <row r="3045" spans="2:4" ht="15" x14ac:dyDescent="0.2">
      <c r="B3045" s="87" t="s">
        <v>3691</v>
      </c>
      <c r="C3045" s="88">
        <v>4460</v>
      </c>
      <c r="D3045" s="87" t="s">
        <v>5039</v>
      </c>
    </row>
    <row r="3046" spans="2:4" ht="15" x14ac:dyDescent="0.2">
      <c r="B3046" s="87" t="s">
        <v>3692</v>
      </c>
      <c r="C3046" s="88">
        <v>4460</v>
      </c>
      <c r="D3046" s="87" t="s">
        <v>5039</v>
      </c>
    </row>
    <row r="3047" spans="2:4" ht="15" x14ac:dyDescent="0.2">
      <c r="B3047" s="87" t="s">
        <v>3693</v>
      </c>
      <c r="C3047" s="88">
        <v>4460</v>
      </c>
      <c r="D3047" s="87" t="s">
        <v>5039</v>
      </c>
    </row>
    <row r="3048" spans="2:4" ht="15" x14ac:dyDescent="0.2">
      <c r="B3048" s="87" t="s">
        <v>3694</v>
      </c>
      <c r="C3048" s="88">
        <v>4460</v>
      </c>
      <c r="D3048" s="87" t="s">
        <v>5039</v>
      </c>
    </row>
    <row r="3049" spans="2:4" ht="15" x14ac:dyDescent="0.2">
      <c r="B3049" s="87" t="s">
        <v>3695</v>
      </c>
      <c r="C3049" s="88">
        <v>4460</v>
      </c>
      <c r="D3049" s="87" t="s">
        <v>5039</v>
      </c>
    </row>
    <row r="3050" spans="2:4" ht="15" x14ac:dyDescent="0.2">
      <c r="B3050" s="87" t="s">
        <v>3696</v>
      </c>
      <c r="C3050" s="88">
        <v>4460</v>
      </c>
      <c r="D3050" s="87" t="s">
        <v>5039</v>
      </c>
    </row>
    <row r="3051" spans="2:4" ht="15" x14ac:dyDescent="0.2">
      <c r="B3051" s="87" t="s">
        <v>3697</v>
      </c>
      <c r="C3051" s="88">
        <v>4460</v>
      </c>
      <c r="D3051" s="87" t="s">
        <v>5039</v>
      </c>
    </row>
    <row r="3052" spans="2:4" ht="15" x14ac:dyDescent="0.2">
      <c r="B3052" s="87" t="s">
        <v>3698</v>
      </c>
      <c r="C3052" s="88">
        <v>4460</v>
      </c>
      <c r="D3052" s="87" t="s">
        <v>5039</v>
      </c>
    </row>
    <row r="3053" spans="2:4" ht="15" x14ac:dyDescent="0.2">
      <c r="B3053" s="87" t="s">
        <v>3699</v>
      </c>
      <c r="C3053" s="88">
        <v>4460</v>
      </c>
      <c r="D3053" s="87" t="s">
        <v>5039</v>
      </c>
    </row>
    <row r="3054" spans="2:4" ht="15" x14ac:dyDescent="0.2">
      <c r="B3054" s="87" t="s">
        <v>3700</v>
      </c>
      <c r="C3054" s="88">
        <v>4460</v>
      </c>
      <c r="D3054" s="87" t="s">
        <v>5039</v>
      </c>
    </row>
    <row r="3055" spans="2:4" ht="15" x14ac:dyDescent="0.2">
      <c r="B3055" s="87" t="s">
        <v>3701</v>
      </c>
      <c r="C3055" s="88">
        <v>4460</v>
      </c>
      <c r="D3055" s="87" t="s">
        <v>5039</v>
      </c>
    </row>
    <row r="3056" spans="2:4" ht="15" x14ac:dyDescent="0.2">
      <c r="B3056" s="87" t="s">
        <v>3702</v>
      </c>
      <c r="C3056" s="88">
        <v>4460</v>
      </c>
      <c r="D3056" s="87" t="s">
        <v>5039</v>
      </c>
    </row>
    <row r="3057" spans="2:4" ht="15" x14ac:dyDescent="0.2">
      <c r="B3057" s="87" t="s">
        <v>3703</v>
      </c>
      <c r="C3057" s="88">
        <v>4460</v>
      </c>
      <c r="D3057" s="87" t="s">
        <v>5039</v>
      </c>
    </row>
    <row r="3058" spans="2:4" ht="15" x14ac:dyDescent="0.2">
      <c r="B3058" s="87" t="s">
        <v>3704</v>
      </c>
      <c r="C3058" s="88">
        <v>4460</v>
      </c>
      <c r="D3058" s="87" t="s">
        <v>5039</v>
      </c>
    </row>
    <row r="3059" spans="2:4" ht="15" x14ac:dyDescent="0.2">
      <c r="B3059" s="87" t="s">
        <v>3705</v>
      </c>
      <c r="C3059" s="88">
        <v>4460</v>
      </c>
      <c r="D3059" s="87" t="s">
        <v>5039</v>
      </c>
    </row>
    <row r="3060" spans="2:4" ht="15" x14ac:dyDescent="0.2">
      <c r="B3060" s="87" t="s">
        <v>3706</v>
      </c>
      <c r="C3060" s="88">
        <v>4460</v>
      </c>
      <c r="D3060" s="87" t="s">
        <v>5039</v>
      </c>
    </row>
    <row r="3061" spans="2:4" ht="15" x14ac:dyDescent="0.2">
      <c r="B3061" s="87" t="s">
        <v>3707</v>
      </c>
      <c r="C3061" s="88">
        <v>4460</v>
      </c>
      <c r="D3061" s="87" t="s">
        <v>5039</v>
      </c>
    </row>
    <row r="3062" spans="2:4" ht="15" x14ac:dyDescent="0.2">
      <c r="B3062" s="87" t="s">
        <v>3708</v>
      </c>
      <c r="C3062" s="88">
        <v>4460</v>
      </c>
      <c r="D3062" s="87" t="s">
        <v>5039</v>
      </c>
    </row>
    <row r="3063" spans="2:4" ht="15" x14ac:dyDescent="0.2">
      <c r="B3063" s="87" t="s">
        <v>3709</v>
      </c>
      <c r="C3063" s="88">
        <v>4450</v>
      </c>
      <c r="D3063" s="87" t="s">
        <v>5040</v>
      </c>
    </row>
    <row r="3064" spans="2:4" ht="15" x14ac:dyDescent="0.2">
      <c r="B3064" s="87" t="s">
        <v>3710</v>
      </c>
      <c r="C3064" s="88">
        <v>4450</v>
      </c>
      <c r="D3064" s="87" t="s">
        <v>5040</v>
      </c>
    </row>
    <row r="3065" spans="2:4" ht="15" x14ac:dyDescent="0.2">
      <c r="B3065" s="87" t="s">
        <v>3711</v>
      </c>
      <c r="C3065" s="88">
        <v>4450</v>
      </c>
      <c r="D3065" s="87" t="s">
        <v>5040</v>
      </c>
    </row>
    <row r="3066" spans="2:4" ht="15" x14ac:dyDescent="0.2">
      <c r="B3066" s="87" t="s">
        <v>3712</v>
      </c>
      <c r="C3066" s="88">
        <v>4450</v>
      </c>
      <c r="D3066" s="87" t="s">
        <v>5040</v>
      </c>
    </row>
    <row r="3067" spans="2:4" ht="15" x14ac:dyDescent="0.2">
      <c r="B3067" s="87" t="s">
        <v>3713</v>
      </c>
      <c r="C3067" s="88">
        <v>4450</v>
      </c>
      <c r="D3067" s="87" t="s">
        <v>5040</v>
      </c>
    </row>
    <row r="3068" spans="2:4" ht="15" x14ac:dyDescent="0.2">
      <c r="B3068" s="87" t="s">
        <v>3714</v>
      </c>
      <c r="C3068" s="88">
        <v>4450</v>
      </c>
      <c r="D3068" s="87" t="s">
        <v>5040</v>
      </c>
    </row>
    <row r="3069" spans="2:4" ht="15" x14ac:dyDescent="0.2">
      <c r="B3069" s="87" t="s">
        <v>3715</v>
      </c>
      <c r="C3069" s="88">
        <v>4450</v>
      </c>
      <c r="D3069" s="87" t="s">
        <v>5040</v>
      </c>
    </row>
    <row r="3070" spans="2:4" ht="15" x14ac:dyDescent="0.2">
      <c r="B3070" s="87" t="s">
        <v>3716</v>
      </c>
      <c r="C3070" s="88">
        <v>4450</v>
      </c>
      <c r="D3070" s="87" t="s">
        <v>5040</v>
      </c>
    </row>
    <row r="3071" spans="2:4" ht="15" x14ac:dyDescent="0.2">
      <c r="B3071" s="87" t="s">
        <v>3717</v>
      </c>
      <c r="C3071" s="88">
        <v>4450</v>
      </c>
      <c r="D3071" s="87" t="s">
        <v>5040</v>
      </c>
    </row>
    <row r="3072" spans="2:4" ht="15" x14ac:dyDescent="0.2">
      <c r="B3072" s="87" t="s">
        <v>3718</v>
      </c>
      <c r="C3072" s="88">
        <v>4450</v>
      </c>
      <c r="D3072" s="87" t="s">
        <v>5040</v>
      </c>
    </row>
    <row r="3073" spans="2:4" ht="15" x14ac:dyDescent="0.2">
      <c r="B3073" s="87" t="s">
        <v>3719</v>
      </c>
      <c r="C3073" s="88">
        <v>4450</v>
      </c>
      <c r="D3073" s="87" t="s">
        <v>5040</v>
      </c>
    </row>
    <row r="3074" spans="2:4" ht="15" x14ac:dyDescent="0.2">
      <c r="B3074" s="87" t="s">
        <v>3720</v>
      </c>
      <c r="C3074" s="88">
        <v>4450</v>
      </c>
      <c r="D3074" s="87" t="s">
        <v>5040</v>
      </c>
    </row>
    <row r="3075" spans="2:4" ht="15" x14ac:dyDescent="0.2">
      <c r="B3075" s="87" t="s">
        <v>3721</v>
      </c>
      <c r="C3075" s="88">
        <v>4450</v>
      </c>
      <c r="D3075" s="87" t="s">
        <v>5040</v>
      </c>
    </row>
    <row r="3076" spans="2:4" ht="15" x14ac:dyDescent="0.2">
      <c r="B3076" s="87" t="s">
        <v>3722</v>
      </c>
      <c r="C3076" s="88">
        <v>4450</v>
      </c>
      <c r="D3076" s="87" t="s">
        <v>5040</v>
      </c>
    </row>
    <row r="3077" spans="2:4" ht="15" x14ac:dyDescent="0.2">
      <c r="B3077" s="87" t="s">
        <v>3723</v>
      </c>
      <c r="C3077" s="88">
        <v>4450</v>
      </c>
      <c r="D3077" s="87" t="s">
        <v>5040</v>
      </c>
    </row>
    <row r="3078" spans="2:4" ht="15" x14ac:dyDescent="0.2">
      <c r="B3078" s="87" t="s">
        <v>3724</v>
      </c>
      <c r="C3078" s="88">
        <v>4460</v>
      </c>
      <c r="D3078" s="87" t="s">
        <v>5039</v>
      </c>
    </row>
    <row r="3079" spans="2:4" ht="15" x14ac:dyDescent="0.2">
      <c r="B3079" s="87" t="s">
        <v>3725</v>
      </c>
      <c r="C3079" s="88">
        <v>4460</v>
      </c>
      <c r="D3079" s="87" t="s">
        <v>5039</v>
      </c>
    </row>
    <row r="3080" spans="2:4" ht="15" x14ac:dyDescent="0.2">
      <c r="B3080" s="87" t="s">
        <v>3726</v>
      </c>
      <c r="C3080" s="88">
        <v>4460</v>
      </c>
      <c r="D3080" s="87" t="s">
        <v>5039</v>
      </c>
    </row>
    <row r="3081" spans="2:4" ht="15" x14ac:dyDescent="0.2">
      <c r="B3081" s="87" t="s">
        <v>3727</v>
      </c>
      <c r="C3081" s="88">
        <v>4460</v>
      </c>
      <c r="D3081" s="87" t="s">
        <v>5039</v>
      </c>
    </row>
    <row r="3082" spans="2:4" ht="15" x14ac:dyDescent="0.2">
      <c r="B3082" s="87" t="s">
        <v>3728</v>
      </c>
      <c r="C3082" s="88">
        <v>4460</v>
      </c>
      <c r="D3082" s="87" t="s">
        <v>5039</v>
      </c>
    </row>
    <row r="3083" spans="2:4" ht="15" x14ac:dyDescent="0.2">
      <c r="B3083" s="87" t="s">
        <v>3729</v>
      </c>
      <c r="C3083" s="88">
        <v>4460</v>
      </c>
      <c r="D3083" s="87" t="s">
        <v>5039</v>
      </c>
    </row>
    <row r="3084" spans="2:4" ht="15" x14ac:dyDescent="0.2">
      <c r="B3084" s="87" t="s">
        <v>3730</v>
      </c>
      <c r="C3084" s="88">
        <v>4460</v>
      </c>
      <c r="D3084" s="87" t="s">
        <v>5039</v>
      </c>
    </row>
    <row r="3085" spans="2:4" ht="15" x14ac:dyDescent="0.2">
      <c r="B3085" s="87" t="s">
        <v>3731</v>
      </c>
      <c r="C3085" s="88">
        <v>4460</v>
      </c>
      <c r="D3085" s="87" t="s">
        <v>5039</v>
      </c>
    </row>
    <row r="3086" spans="2:4" ht="15" x14ac:dyDescent="0.2">
      <c r="B3086" s="87" t="s">
        <v>3732</v>
      </c>
      <c r="C3086" s="88">
        <v>4460</v>
      </c>
      <c r="D3086" s="87" t="s">
        <v>5039</v>
      </c>
    </row>
    <row r="3087" spans="2:4" ht="15" x14ac:dyDescent="0.2">
      <c r="B3087" s="87" t="s">
        <v>3733</v>
      </c>
      <c r="C3087" s="88">
        <v>4460</v>
      </c>
      <c r="D3087" s="87" t="s">
        <v>5039</v>
      </c>
    </row>
    <row r="3088" spans="2:4" ht="15" x14ac:dyDescent="0.2">
      <c r="B3088" s="87" t="s">
        <v>3734</v>
      </c>
      <c r="C3088" s="88">
        <v>4460</v>
      </c>
      <c r="D3088" s="87" t="s">
        <v>5039</v>
      </c>
    </row>
    <row r="3089" spans="2:4" ht="15" x14ac:dyDescent="0.2">
      <c r="B3089" s="87" t="s">
        <v>3735</v>
      </c>
      <c r="C3089" s="88">
        <v>4470</v>
      </c>
      <c r="D3089" s="87" t="s">
        <v>5038</v>
      </c>
    </row>
    <row r="3090" spans="2:4" ht="15" x14ac:dyDescent="0.2">
      <c r="B3090" s="87" t="s">
        <v>3736</v>
      </c>
      <c r="C3090" s="88">
        <v>4470</v>
      </c>
      <c r="D3090" s="87" t="s">
        <v>5038</v>
      </c>
    </row>
    <row r="3091" spans="2:4" ht="15" x14ac:dyDescent="0.2">
      <c r="B3091" s="87" t="s">
        <v>3737</v>
      </c>
      <c r="C3091" s="88">
        <v>4470</v>
      </c>
      <c r="D3091" s="87" t="s">
        <v>5038</v>
      </c>
    </row>
    <row r="3092" spans="2:4" ht="15" x14ac:dyDescent="0.2">
      <c r="B3092" s="87" t="s">
        <v>3738</v>
      </c>
      <c r="C3092" s="88">
        <v>4470</v>
      </c>
      <c r="D3092" s="87" t="s">
        <v>5038</v>
      </c>
    </row>
    <row r="3093" spans="2:4" ht="15" x14ac:dyDescent="0.2">
      <c r="B3093" s="87" t="s">
        <v>3739</v>
      </c>
      <c r="C3093" s="88">
        <v>4490</v>
      </c>
      <c r="D3093" s="87" t="s">
        <v>5037</v>
      </c>
    </row>
    <row r="3094" spans="2:4" ht="15" x14ac:dyDescent="0.2">
      <c r="B3094" s="87" t="s">
        <v>3740</v>
      </c>
      <c r="C3094" s="88">
        <v>4490</v>
      </c>
      <c r="D3094" s="87" t="s">
        <v>5037</v>
      </c>
    </row>
    <row r="3095" spans="2:4" ht="15" x14ac:dyDescent="0.2">
      <c r="B3095" s="87" t="s">
        <v>3741</v>
      </c>
      <c r="C3095" s="88">
        <v>4490</v>
      </c>
      <c r="D3095" s="87" t="s">
        <v>5037</v>
      </c>
    </row>
    <row r="3096" spans="2:4" ht="15" x14ac:dyDescent="0.2">
      <c r="B3096" s="87" t="s">
        <v>3742</v>
      </c>
      <c r="C3096" s="88">
        <v>4490</v>
      </c>
      <c r="D3096" s="87" t="s">
        <v>5037</v>
      </c>
    </row>
    <row r="3097" spans="2:4" ht="15" x14ac:dyDescent="0.2">
      <c r="B3097" s="87" t="s">
        <v>3743</v>
      </c>
      <c r="C3097" s="88">
        <v>4500</v>
      </c>
      <c r="D3097" s="87" t="s">
        <v>4875</v>
      </c>
    </row>
    <row r="3098" spans="2:4" ht="15" x14ac:dyDescent="0.2">
      <c r="B3098" s="87" t="s">
        <v>3744</v>
      </c>
      <c r="C3098" s="88">
        <v>4500</v>
      </c>
      <c r="D3098" s="87" t="s">
        <v>4875</v>
      </c>
    </row>
    <row r="3099" spans="2:4" ht="15" x14ac:dyDescent="0.2">
      <c r="B3099" s="87" t="s">
        <v>3745</v>
      </c>
      <c r="C3099" s="88">
        <v>4500</v>
      </c>
      <c r="D3099" s="87" t="s">
        <v>4875</v>
      </c>
    </row>
    <row r="3100" spans="2:4" ht="15" x14ac:dyDescent="0.2">
      <c r="B3100" s="87" t="s">
        <v>3746</v>
      </c>
      <c r="C3100" s="88">
        <v>4510</v>
      </c>
      <c r="D3100" s="87" t="s">
        <v>4876</v>
      </c>
    </row>
    <row r="3101" spans="2:4" ht="15" x14ac:dyDescent="0.2">
      <c r="B3101" s="87" t="s">
        <v>3747</v>
      </c>
      <c r="C3101" s="88">
        <v>4510</v>
      </c>
      <c r="D3101" s="87" t="s">
        <v>4876</v>
      </c>
    </row>
    <row r="3102" spans="2:4" ht="15" x14ac:dyDescent="0.2">
      <c r="B3102" s="87" t="s">
        <v>3748</v>
      </c>
      <c r="C3102" s="88">
        <v>4510</v>
      </c>
      <c r="D3102" s="87" t="s">
        <v>4876</v>
      </c>
    </row>
    <row r="3103" spans="2:4" ht="15" x14ac:dyDescent="0.2">
      <c r="B3103" s="87" t="s">
        <v>3749</v>
      </c>
      <c r="C3103" s="88">
        <v>4530</v>
      </c>
      <c r="D3103" s="87" t="s">
        <v>4877</v>
      </c>
    </row>
    <row r="3104" spans="2:4" ht="15" x14ac:dyDescent="0.2">
      <c r="B3104" s="87" t="s">
        <v>3750</v>
      </c>
      <c r="C3104" s="88">
        <v>4530</v>
      </c>
      <c r="D3104" s="87" t="s">
        <v>4877</v>
      </c>
    </row>
    <row r="3105" spans="2:4" ht="15" x14ac:dyDescent="0.2">
      <c r="B3105" s="87" t="s">
        <v>3751</v>
      </c>
      <c r="C3105" s="88">
        <v>4540</v>
      </c>
      <c r="D3105" s="87" t="s">
        <v>4878</v>
      </c>
    </row>
    <row r="3106" spans="2:4" ht="15" x14ac:dyDescent="0.2">
      <c r="B3106" s="87" t="s">
        <v>3752</v>
      </c>
      <c r="C3106" s="88">
        <v>4540</v>
      </c>
      <c r="D3106" s="87" t="s">
        <v>4878</v>
      </c>
    </row>
    <row r="3107" spans="2:4" ht="15" x14ac:dyDescent="0.2">
      <c r="B3107" s="87" t="s">
        <v>3753</v>
      </c>
      <c r="C3107" s="88">
        <v>4540</v>
      </c>
      <c r="D3107" s="87" t="s">
        <v>4878</v>
      </c>
    </row>
    <row r="3108" spans="2:4" ht="15" x14ac:dyDescent="0.2">
      <c r="B3108" s="87" t="s">
        <v>3754</v>
      </c>
      <c r="C3108" s="88">
        <v>4560</v>
      </c>
      <c r="D3108" s="87" t="s">
        <v>4879</v>
      </c>
    </row>
    <row r="3109" spans="2:4" ht="15" x14ac:dyDescent="0.2">
      <c r="B3109" s="87" t="s">
        <v>3755</v>
      </c>
      <c r="C3109" s="88">
        <v>4560</v>
      </c>
      <c r="D3109" s="87" t="s">
        <v>4879</v>
      </c>
    </row>
    <row r="3110" spans="2:4" ht="15" x14ac:dyDescent="0.2">
      <c r="B3110" s="87" t="s">
        <v>3756</v>
      </c>
      <c r="C3110" s="88">
        <v>4570</v>
      </c>
      <c r="D3110" s="87" t="s">
        <v>4880</v>
      </c>
    </row>
    <row r="3111" spans="2:4" ht="15" x14ac:dyDescent="0.2">
      <c r="B3111" s="87" t="s">
        <v>3757</v>
      </c>
      <c r="C3111" s="88">
        <v>4570</v>
      </c>
      <c r="D3111" s="87" t="s">
        <v>4880</v>
      </c>
    </row>
    <row r="3112" spans="2:4" ht="15" x14ac:dyDescent="0.2">
      <c r="B3112" s="87" t="s">
        <v>3758</v>
      </c>
      <c r="C3112" s="88">
        <v>4580</v>
      </c>
      <c r="D3112" s="87" t="s">
        <v>4881</v>
      </c>
    </row>
    <row r="3113" spans="2:4" ht="15" x14ac:dyDescent="0.2">
      <c r="B3113" s="87" t="s">
        <v>3759</v>
      </c>
      <c r="C3113" s="88">
        <v>4580</v>
      </c>
      <c r="D3113" s="87" t="s">
        <v>4881</v>
      </c>
    </row>
    <row r="3114" spans="2:4" ht="15" x14ac:dyDescent="0.2">
      <c r="B3114" s="87" t="s">
        <v>3760</v>
      </c>
      <c r="C3114" s="88">
        <v>4580</v>
      </c>
      <c r="D3114" s="87" t="s">
        <v>4881</v>
      </c>
    </row>
    <row r="3115" spans="2:4" ht="15" x14ac:dyDescent="0.2">
      <c r="B3115" s="87" t="s">
        <v>3761</v>
      </c>
      <c r="C3115" s="88">
        <v>4600</v>
      </c>
      <c r="D3115" s="87" t="s">
        <v>4882</v>
      </c>
    </row>
    <row r="3116" spans="2:4" ht="15" x14ac:dyDescent="0.2">
      <c r="B3116" s="87" t="s">
        <v>3762</v>
      </c>
      <c r="C3116" s="88">
        <v>4600</v>
      </c>
      <c r="D3116" s="87" t="s">
        <v>4882</v>
      </c>
    </row>
    <row r="3117" spans="2:4" ht="15" x14ac:dyDescent="0.2">
      <c r="B3117" s="87" t="s">
        <v>3763</v>
      </c>
      <c r="C3117" s="88">
        <v>4610</v>
      </c>
      <c r="D3117" s="87" t="s">
        <v>4883</v>
      </c>
    </row>
    <row r="3118" spans="2:4" ht="15" x14ac:dyDescent="0.2">
      <c r="B3118" s="87" t="s">
        <v>3764</v>
      </c>
      <c r="C3118" s="88">
        <v>4610</v>
      </c>
      <c r="D3118" s="87" t="s">
        <v>4883</v>
      </c>
    </row>
    <row r="3119" spans="2:4" ht="15" x14ac:dyDescent="0.2">
      <c r="B3119" s="87" t="s">
        <v>3765</v>
      </c>
      <c r="C3119" s="88">
        <v>4620</v>
      </c>
      <c r="D3119" s="87" t="s">
        <v>4884</v>
      </c>
    </row>
    <row r="3120" spans="2:4" ht="15" x14ac:dyDescent="0.2">
      <c r="B3120" s="87" t="s">
        <v>3766</v>
      </c>
      <c r="C3120" s="88">
        <v>4620</v>
      </c>
      <c r="D3120" s="87" t="s">
        <v>4884</v>
      </c>
    </row>
    <row r="3121" spans="2:4" ht="15" x14ac:dyDescent="0.2">
      <c r="B3121" s="87" t="s">
        <v>3767</v>
      </c>
      <c r="C3121" s="88">
        <v>4640</v>
      </c>
      <c r="D3121" s="87" t="s">
        <v>4885</v>
      </c>
    </row>
    <row r="3122" spans="2:4" ht="15" x14ac:dyDescent="0.2">
      <c r="B3122" s="87" t="s">
        <v>3768</v>
      </c>
      <c r="C3122" s="88">
        <v>4640</v>
      </c>
      <c r="D3122" s="87" t="s">
        <v>4885</v>
      </c>
    </row>
    <row r="3123" spans="2:4" ht="15" x14ac:dyDescent="0.2">
      <c r="B3123" s="87" t="s">
        <v>3769</v>
      </c>
      <c r="C3123" s="88">
        <v>4650</v>
      </c>
      <c r="D3123" s="87" t="s">
        <v>4886</v>
      </c>
    </row>
    <row r="3124" spans="2:4" ht="15" x14ac:dyDescent="0.2">
      <c r="B3124" s="87" t="s">
        <v>3770</v>
      </c>
      <c r="C3124" s="88">
        <v>4650</v>
      </c>
      <c r="D3124" s="87" t="s">
        <v>4886</v>
      </c>
    </row>
    <row r="3125" spans="2:4" ht="15" x14ac:dyDescent="0.2">
      <c r="B3125" s="87" t="s">
        <v>3771</v>
      </c>
      <c r="C3125" s="88">
        <v>4670</v>
      </c>
      <c r="D3125" s="87" t="s">
        <v>4887</v>
      </c>
    </row>
    <row r="3126" spans="2:4" ht="15" x14ac:dyDescent="0.2">
      <c r="B3126" s="87" t="s">
        <v>3772</v>
      </c>
      <c r="C3126" s="88">
        <v>4680</v>
      </c>
      <c r="D3126" s="87" t="s">
        <v>4888</v>
      </c>
    </row>
    <row r="3127" spans="2:4" ht="15" x14ac:dyDescent="0.2">
      <c r="B3127" s="87" t="s">
        <v>3773</v>
      </c>
      <c r="C3127" s="88">
        <v>4680</v>
      </c>
      <c r="D3127" s="87" t="s">
        <v>4888</v>
      </c>
    </row>
    <row r="3128" spans="2:4" ht="15" x14ac:dyDescent="0.2">
      <c r="B3128" s="87" t="s">
        <v>3774</v>
      </c>
      <c r="C3128" s="88">
        <v>4690</v>
      </c>
      <c r="D3128" s="87" t="s">
        <v>4889</v>
      </c>
    </row>
    <row r="3129" spans="2:4" ht="15" x14ac:dyDescent="0.2">
      <c r="B3129" s="87" t="s">
        <v>3775</v>
      </c>
      <c r="C3129" s="88">
        <v>4710</v>
      </c>
      <c r="D3129" s="87" t="s">
        <v>4890</v>
      </c>
    </row>
    <row r="3130" spans="2:4" ht="15" x14ac:dyDescent="0.2">
      <c r="B3130" s="87" t="s">
        <v>3776</v>
      </c>
      <c r="C3130" s="88">
        <v>4710</v>
      </c>
      <c r="D3130" s="87" t="s">
        <v>4890</v>
      </c>
    </row>
    <row r="3131" spans="2:4" ht="15" x14ac:dyDescent="0.2">
      <c r="B3131" s="87" t="s">
        <v>3777</v>
      </c>
      <c r="C3131" s="88">
        <v>4720</v>
      </c>
      <c r="D3131" s="87" t="s">
        <v>4891</v>
      </c>
    </row>
    <row r="3132" spans="2:4" ht="15" x14ac:dyDescent="0.2">
      <c r="B3132" s="87" t="s">
        <v>3778</v>
      </c>
      <c r="C3132" s="88">
        <v>4720</v>
      </c>
      <c r="D3132" s="87" t="s">
        <v>4891</v>
      </c>
    </row>
    <row r="3133" spans="2:4" ht="15" x14ac:dyDescent="0.2">
      <c r="B3133" s="87" t="s">
        <v>3779</v>
      </c>
      <c r="C3133" s="88">
        <v>4730</v>
      </c>
      <c r="D3133" s="87" t="s">
        <v>4892</v>
      </c>
    </row>
    <row r="3134" spans="2:4" ht="15" x14ac:dyDescent="0.2">
      <c r="B3134" s="87" t="s">
        <v>3780</v>
      </c>
      <c r="C3134" s="88">
        <v>4730</v>
      </c>
      <c r="D3134" s="87" t="s">
        <v>4892</v>
      </c>
    </row>
    <row r="3135" spans="2:4" ht="15" x14ac:dyDescent="0.2">
      <c r="B3135" s="87" t="s">
        <v>3781</v>
      </c>
      <c r="C3135" s="88">
        <v>4750</v>
      </c>
      <c r="D3135" s="87" t="s">
        <v>4893</v>
      </c>
    </row>
    <row r="3136" spans="2:4" ht="15" x14ac:dyDescent="0.2">
      <c r="B3136" s="87" t="s">
        <v>3782</v>
      </c>
      <c r="C3136" s="88">
        <v>4760</v>
      </c>
      <c r="D3136" s="87" t="s">
        <v>4894</v>
      </c>
    </row>
    <row r="3137" spans="2:4" ht="15" x14ac:dyDescent="0.2">
      <c r="B3137" s="87" t="s">
        <v>3783</v>
      </c>
      <c r="C3137" s="88">
        <v>4760</v>
      </c>
      <c r="D3137" s="87" t="s">
        <v>4894</v>
      </c>
    </row>
    <row r="3138" spans="2:4" ht="15" x14ac:dyDescent="0.2">
      <c r="B3138" s="87" t="s">
        <v>3784</v>
      </c>
      <c r="C3138" s="88">
        <v>4780</v>
      </c>
      <c r="D3138" s="87" t="s">
        <v>4895</v>
      </c>
    </row>
    <row r="3139" spans="2:4" ht="15" x14ac:dyDescent="0.2">
      <c r="B3139" s="87" t="s">
        <v>3785</v>
      </c>
      <c r="C3139" s="88">
        <v>4780</v>
      </c>
      <c r="D3139" s="87" t="s">
        <v>4895</v>
      </c>
    </row>
    <row r="3140" spans="2:4" ht="15" x14ac:dyDescent="0.2">
      <c r="B3140" s="87" t="s">
        <v>3786</v>
      </c>
      <c r="C3140" s="88">
        <v>4790</v>
      </c>
      <c r="D3140" s="87" t="s">
        <v>4896</v>
      </c>
    </row>
    <row r="3141" spans="2:4" ht="15" x14ac:dyDescent="0.2">
      <c r="B3141" s="87" t="s">
        <v>3787</v>
      </c>
      <c r="C3141" s="88">
        <v>4800</v>
      </c>
      <c r="D3141" s="87" t="s">
        <v>4897</v>
      </c>
    </row>
    <row r="3142" spans="2:4" ht="15" x14ac:dyDescent="0.2">
      <c r="B3142" s="87" t="s">
        <v>3788</v>
      </c>
      <c r="C3142" s="88">
        <v>4800</v>
      </c>
      <c r="D3142" s="87" t="s">
        <v>4897</v>
      </c>
    </row>
    <row r="3143" spans="2:4" ht="15" x14ac:dyDescent="0.2">
      <c r="B3143" s="87" t="s">
        <v>3789</v>
      </c>
      <c r="C3143" s="88">
        <v>4820</v>
      </c>
      <c r="D3143" s="87" t="s">
        <v>4898</v>
      </c>
    </row>
    <row r="3144" spans="2:4" ht="15" x14ac:dyDescent="0.2">
      <c r="B3144" s="87" t="s">
        <v>3790</v>
      </c>
      <c r="C3144" s="88">
        <v>4820</v>
      </c>
      <c r="D3144" s="87" t="s">
        <v>4898</v>
      </c>
    </row>
    <row r="3145" spans="2:4" ht="15" x14ac:dyDescent="0.2">
      <c r="B3145" s="87" t="s">
        <v>3791</v>
      </c>
      <c r="C3145" s="88">
        <v>4830</v>
      </c>
      <c r="D3145" s="87" t="s">
        <v>4899</v>
      </c>
    </row>
    <row r="3146" spans="2:4" ht="15" x14ac:dyDescent="0.2">
      <c r="B3146" s="87" t="s">
        <v>3792</v>
      </c>
      <c r="C3146" s="88">
        <v>4830</v>
      </c>
      <c r="D3146" s="87" t="s">
        <v>4899</v>
      </c>
    </row>
    <row r="3147" spans="2:4" ht="15" x14ac:dyDescent="0.2">
      <c r="B3147" s="87" t="s">
        <v>3793</v>
      </c>
      <c r="C3147" s="88">
        <v>4850</v>
      </c>
      <c r="D3147" s="87" t="s">
        <v>4900</v>
      </c>
    </row>
    <row r="3148" spans="2:4" ht="15" x14ac:dyDescent="0.2">
      <c r="B3148" s="87" t="s">
        <v>3794</v>
      </c>
      <c r="C3148" s="88">
        <v>4850</v>
      </c>
      <c r="D3148" s="87" t="s">
        <v>4900</v>
      </c>
    </row>
    <row r="3149" spans="2:4" ht="15" x14ac:dyDescent="0.2">
      <c r="B3149" s="87" t="s">
        <v>3795</v>
      </c>
      <c r="C3149" s="88">
        <v>4860</v>
      </c>
      <c r="D3149" s="87" t="s">
        <v>4901</v>
      </c>
    </row>
    <row r="3150" spans="2:4" ht="15" x14ac:dyDescent="0.2">
      <c r="B3150" s="87" t="s">
        <v>3796</v>
      </c>
      <c r="C3150" s="88">
        <v>4860</v>
      </c>
      <c r="D3150" s="87" t="s">
        <v>4901</v>
      </c>
    </row>
    <row r="3151" spans="2:4" ht="15" x14ac:dyDescent="0.2">
      <c r="B3151" s="87" t="s">
        <v>3797</v>
      </c>
      <c r="C3151" s="88">
        <v>4870</v>
      </c>
      <c r="D3151" s="87" t="s">
        <v>4902</v>
      </c>
    </row>
    <row r="3152" spans="2:4" ht="15" x14ac:dyDescent="0.2">
      <c r="B3152" s="87" t="s">
        <v>3798</v>
      </c>
      <c r="C3152" s="88">
        <v>4870</v>
      </c>
      <c r="D3152" s="87" t="s">
        <v>4902</v>
      </c>
    </row>
    <row r="3153" spans="2:4" ht="15" x14ac:dyDescent="0.2">
      <c r="B3153" s="87" t="s">
        <v>3799</v>
      </c>
      <c r="C3153" s="88">
        <v>4890</v>
      </c>
      <c r="D3153" s="87" t="s">
        <v>4903</v>
      </c>
    </row>
    <row r="3154" spans="2:4" ht="15" x14ac:dyDescent="0.2">
      <c r="B3154" s="87" t="s">
        <v>3800</v>
      </c>
      <c r="C3154" s="88">
        <v>4900</v>
      </c>
      <c r="D3154" s="87" t="s">
        <v>4904</v>
      </c>
    </row>
    <row r="3155" spans="2:4" ht="15" x14ac:dyDescent="0.2">
      <c r="B3155" s="87" t="s">
        <v>3801</v>
      </c>
      <c r="C3155" s="88">
        <v>4900</v>
      </c>
      <c r="D3155" s="87" t="s">
        <v>4904</v>
      </c>
    </row>
    <row r="3156" spans="2:4" ht="15" x14ac:dyDescent="0.2">
      <c r="B3156" s="87" t="s">
        <v>3802</v>
      </c>
      <c r="C3156" s="88">
        <v>4920</v>
      </c>
      <c r="D3156" s="87" t="s">
        <v>4905</v>
      </c>
    </row>
    <row r="3157" spans="2:4" ht="15" x14ac:dyDescent="0.2">
      <c r="B3157" s="87" t="s">
        <v>3803</v>
      </c>
      <c r="C3157" s="88">
        <v>4920</v>
      </c>
      <c r="D3157" s="87" t="s">
        <v>4905</v>
      </c>
    </row>
    <row r="3158" spans="2:4" ht="15" x14ac:dyDescent="0.2">
      <c r="B3158" s="87" t="s">
        <v>3804</v>
      </c>
      <c r="C3158" s="88">
        <v>4930</v>
      </c>
      <c r="D3158" s="87" t="s">
        <v>4906</v>
      </c>
    </row>
    <row r="3159" spans="2:4" ht="15" x14ac:dyDescent="0.2">
      <c r="B3159" s="87" t="s">
        <v>3805</v>
      </c>
      <c r="C3159" s="88">
        <v>4950</v>
      </c>
      <c r="D3159" s="87" t="s">
        <v>4907</v>
      </c>
    </row>
    <row r="3160" spans="2:4" ht="15" x14ac:dyDescent="0.2">
      <c r="B3160" s="87" t="s">
        <v>3806</v>
      </c>
      <c r="C3160" s="88">
        <v>4950</v>
      </c>
      <c r="D3160" s="87" t="s">
        <v>4907</v>
      </c>
    </row>
    <row r="3161" spans="2:4" ht="15" x14ac:dyDescent="0.2">
      <c r="B3161" s="87" t="s">
        <v>3807</v>
      </c>
      <c r="C3161" s="88">
        <v>4950</v>
      </c>
      <c r="D3161" s="87" t="s">
        <v>4907</v>
      </c>
    </row>
    <row r="3162" spans="2:4" ht="15" x14ac:dyDescent="0.2">
      <c r="B3162" s="87" t="s">
        <v>3808</v>
      </c>
      <c r="C3162" s="88">
        <v>4960</v>
      </c>
      <c r="D3162" s="87" t="s">
        <v>4908</v>
      </c>
    </row>
    <row r="3163" spans="2:4" ht="15" x14ac:dyDescent="0.2">
      <c r="B3163" s="87" t="s">
        <v>3809</v>
      </c>
      <c r="C3163" s="88">
        <v>4970</v>
      </c>
      <c r="D3163" s="87" t="s">
        <v>4909</v>
      </c>
    </row>
    <row r="3164" spans="2:4" ht="15" x14ac:dyDescent="0.2">
      <c r="B3164" s="87" t="s">
        <v>3810</v>
      </c>
      <c r="C3164" s="88">
        <v>4970</v>
      </c>
      <c r="D3164" s="87" t="s">
        <v>4909</v>
      </c>
    </row>
    <row r="3165" spans="2:4" ht="15" x14ac:dyDescent="0.2">
      <c r="B3165" s="87" t="s">
        <v>3811</v>
      </c>
      <c r="C3165" s="88">
        <v>4990</v>
      </c>
      <c r="D3165" s="87" t="s">
        <v>4910</v>
      </c>
    </row>
    <row r="3166" spans="2:4" ht="15" x14ac:dyDescent="0.2">
      <c r="B3166" s="87" t="s">
        <v>3812</v>
      </c>
      <c r="C3166" s="88">
        <v>4990</v>
      </c>
      <c r="D3166" s="87" t="s">
        <v>4910</v>
      </c>
    </row>
    <row r="3167" spans="2:4" ht="15" x14ac:dyDescent="0.2">
      <c r="B3167" s="87" t="s">
        <v>3813</v>
      </c>
      <c r="C3167" s="88">
        <v>5000</v>
      </c>
      <c r="D3167" s="87" t="s">
        <v>4911</v>
      </c>
    </row>
    <row r="3168" spans="2:4" ht="15" x14ac:dyDescent="0.2">
      <c r="B3168" s="87" t="s">
        <v>3814</v>
      </c>
      <c r="C3168" s="88">
        <v>5000</v>
      </c>
      <c r="D3168" s="87" t="s">
        <v>4911</v>
      </c>
    </row>
    <row r="3169" spans="2:4" ht="15" x14ac:dyDescent="0.2">
      <c r="B3169" s="87" t="s">
        <v>3815</v>
      </c>
      <c r="C3169" s="88">
        <v>5020</v>
      </c>
      <c r="D3169" s="87" t="s">
        <v>5036</v>
      </c>
    </row>
    <row r="3170" spans="2:4" ht="15" x14ac:dyDescent="0.2">
      <c r="B3170" s="87" t="s">
        <v>3816</v>
      </c>
      <c r="C3170" s="88">
        <v>5030</v>
      </c>
      <c r="D3170" s="87" t="s">
        <v>4912</v>
      </c>
    </row>
    <row r="3171" spans="2:4" ht="15" x14ac:dyDescent="0.2">
      <c r="B3171" s="87" t="s">
        <v>3817</v>
      </c>
      <c r="C3171" s="88">
        <v>5030</v>
      </c>
      <c r="D3171" s="87" t="s">
        <v>4912</v>
      </c>
    </row>
    <row r="3172" spans="2:4" ht="15" x14ac:dyDescent="0.2">
      <c r="B3172" s="87" t="s">
        <v>3818</v>
      </c>
      <c r="C3172" s="88">
        <v>5040</v>
      </c>
      <c r="D3172" s="87" t="s">
        <v>4913</v>
      </c>
    </row>
    <row r="3173" spans="2:4" ht="15" x14ac:dyDescent="0.2">
      <c r="B3173" s="87" t="s">
        <v>3819</v>
      </c>
      <c r="C3173" s="88">
        <v>5060</v>
      </c>
      <c r="D3173" s="87" t="s">
        <v>4914</v>
      </c>
    </row>
    <row r="3174" spans="2:4" ht="15" x14ac:dyDescent="0.2">
      <c r="B3174" s="87" t="s">
        <v>3820</v>
      </c>
      <c r="C3174" s="88">
        <v>5060</v>
      </c>
      <c r="D3174" s="87" t="s">
        <v>4914</v>
      </c>
    </row>
    <row r="3175" spans="2:4" ht="15" x14ac:dyDescent="0.2">
      <c r="B3175" s="87" t="s">
        <v>3821</v>
      </c>
      <c r="C3175" s="88">
        <v>5070</v>
      </c>
      <c r="D3175" s="87" t="s">
        <v>5035</v>
      </c>
    </row>
    <row r="3176" spans="2:4" ht="15" x14ac:dyDescent="0.2">
      <c r="B3176" s="87" t="s">
        <v>3822</v>
      </c>
      <c r="C3176" s="88">
        <v>5090</v>
      </c>
      <c r="D3176" s="87" t="s">
        <v>4915</v>
      </c>
    </row>
    <row r="3177" spans="2:4" ht="15" x14ac:dyDescent="0.2">
      <c r="B3177" s="87" t="s">
        <v>3823</v>
      </c>
      <c r="C3177" s="88">
        <v>5090</v>
      </c>
      <c r="D3177" s="87" t="s">
        <v>4915</v>
      </c>
    </row>
    <row r="3178" spans="2:4" ht="15" x14ac:dyDescent="0.2">
      <c r="B3178" s="87" t="s">
        <v>3824</v>
      </c>
      <c r="C3178" s="88">
        <v>5100</v>
      </c>
      <c r="D3178" s="87" t="s">
        <v>4916</v>
      </c>
    </row>
    <row r="3179" spans="2:4" ht="15" x14ac:dyDescent="0.2">
      <c r="B3179" s="87" t="s">
        <v>3825</v>
      </c>
      <c r="C3179" s="88">
        <v>5120</v>
      </c>
      <c r="D3179" s="87" t="s">
        <v>4917</v>
      </c>
    </row>
    <row r="3180" spans="2:4" ht="15" x14ac:dyDescent="0.2">
      <c r="B3180" s="87" t="s">
        <v>3826</v>
      </c>
      <c r="C3180" s="88">
        <v>5120</v>
      </c>
      <c r="D3180" s="87" t="s">
        <v>4917</v>
      </c>
    </row>
    <row r="3181" spans="2:4" ht="15" x14ac:dyDescent="0.2">
      <c r="B3181" s="87" t="s">
        <v>3827</v>
      </c>
      <c r="C3181" s="88">
        <v>5130</v>
      </c>
      <c r="D3181" s="87" t="s">
        <v>5034</v>
      </c>
    </row>
    <row r="3182" spans="2:4" ht="15" x14ac:dyDescent="0.2">
      <c r="B3182" s="87" t="s">
        <v>3828</v>
      </c>
      <c r="C3182" s="88">
        <v>5140</v>
      </c>
      <c r="D3182" s="87" t="s">
        <v>4918</v>
      </c>
    </row>
    <row r="3183" spans="2:4" ht="15" x14ac:dyDescent="0.2">
      <c r="B3183" s="87" t="s">
        <v>3829</v>
      </c>
      <c r="C3183" s="88">
        <v>5140</v>
      </c>
      <c r="D3183" s="87" t="s">
        <v>4918</v>
      </c>
    </row>
    <row r="3184" spans="2:4" ht="15" x14ac:dyDescent="0.2">
      <c r="B3184" s="87" t="s">
        <v>3830</v>
      </c>
      <c r="C3184" s="88">
        <v>5160</v>
      </c>
      <c r="D3184" s="87" t="s">
        <v>4919</v>
      </c>
    </row>
    <row r="3185" spans="2:4" ht="15" x14ac:dyDescent="0.2">
      <c r="B3185" s="87" t="s">
        <v>3831</v>
      </c>
      <c r="C3185" s="88">
        <v>5170</v>
      </c>
      <c r="D3185" s="87" t="s">
        <v>4920</v>
      </c>
    </row>
    <row r="3186" spans="2:4" ht="15" x14ac:dyDescent="0.2">
      <c r="B3186" s="87" t="s">
        <v>3832</v>
      </c>
      <c r="C3186" s="88">
        <v>5170</v>
      </c>
      <c r="D3186" s="87" t="s">
        <v>4920</v>
      </c>
    </row>
    <row r="3187" spans="2:4" ht="15" x14ac:dyDescent="0.2">
      <c r="B3187" s="87" t="s">
        <v>3833</v>
      </c>
      <c r="C3187" s="88">
        <v>5190</v>
      </c>
      <c r="D3187" s="87" t="s">
        <v>5033</v>
      </c>
    </row>
    <row r="3188" spans="2:4" ht="15" x14ac:dyDescent="0.2">
      <c r="B3188" s="87" t="s">
        <v>3834</v>
      </c>
      <c r="C3188" s="88">
        <v>5200</v>
      </c>
      <c r="D3188" s="87" t="s">
        <v>4921</v>
      </c>
    </row>
    <row r="3189" spans="2:4" ht="15" x14ac:dyDescent="0.2">
      <c r="B3189" s="87" t="s">
        <v>3835</v>
      </c>
      <c r="C3189" s="88">
        <v>5220</v>
      </c>
      <c r="D3189" s="87" t="s">
        <v>4922</v>
      </c>
    </row>
    <row r="3190" spans="2:4" ht="15" x14ac:dyDescent="0.2">
      <c r="B3190" s="87" t="s">
        <v>3836</v>
      </c>
      <c r="C3190" s="88">
        <v>5230</v>
      </c>
      <c r="D3190" s="87" t="s">
        <v>4923</v>
      </c>
    </row>
    <row r="3191" spans="2:4" ht="15" x14ac:dyDescent="0.2">
      <c r="B3191" s="87" t="s">
        <v>3837</v>
      </c>
      <c r="C3191" s="88">
        <v>5230</v>
      </c>
      <c r="D3191" s="87" t="s">
        <v>4923</v>
      </c>
    </row>
    <row r="3192" spans="2:4" ht="15" x14ac:dyDescent="0.2">
      <c r="B3192" s="87" t="s">
        <v>3838</v>
      </c>
      <c r="C3192" s="88">
        <v>5240</v>
      </c>
      <c r="D3192" s="87" t="s">
        <v>4924</v>
      </c>
    </row>
    <row r="3193" spans="2:4" ht="15" x14ac:dyDescent="0.2">
      <c r="B3193" s="87" t="s">
        <v>3839</v>
      </c>
      <c r="C3193" s="88">
        <v>5260</v>
      </c>
      <c r="D3193" s="87" t="s">
        <v>4925</v>
      </c>
    </row>
    <row r="3194" spans="2:4" ht="15" x14ac:dyDescent="0.2">
      <c r="B3194" s="87" t="s">
        <v>3840</v>
      </c>
      <c r="C3194" s="88">
        <v>5260</v>
      </c>
      <c r="D3194" s="87" t="s">
        <v>4925</v>
      </c>
    </row>
    <row r="3195" spans="2:4" ht="15" x14ac:dyDescent="0.2">
      <c r="B3195" s="87" t="s">
        <v>3841</v>
      </c>
      <c r="C3195" s="88">
        <v>5270</v>
      </c>
      <c r="D3195" s="87" t="s">
        <v>4926</v>
      </c>
    </row>
    <row r="3196" spans="2:4" ht="15" x14ac:dyDescent="0.2">
      <c r="B3196" s="87" t="s">
        <v>3842</v>
      </c>
      <c r="C3196" s="88">
        <v>5290</v>
      </c>
      <c r="D3196" s="87" t="s">
        <v>4927</v>
      </c>
    </row>
    <row r="3197" spans="2:4" ht="15" x14ac:dyDescent="0.2">
      <c r="B3197" s="87" t="s">
        <v>3843</v>
      </c>
      <c r="C3197" s="88">
        <v>5290</v>
      </c>
      <c r="D3197" s="87" t="s">
        <v>4927</v>
      </c>
    </row>
    <row r="3198" spans="2:4" ht="15" x14ac:dyDescent="0.2">
      <c r="B3198" s="87" t="s">
        <v>3844</v>
      </c>
      <c r="C3198" s="88">
        <v>5320</v>
      </c>
      <c r="D3198" s="87" t="s">
        <v>4929</v>
      </c>
    </row>
    <row r="3199" spans="2:4" ht="15" x14ac:dyDescent="0.2">
      <c r="B3199" s="87" t="s">
        <v>3845</v>
      </c>
      <c r="C3199" s="88">
        <v>5320</v>
      </c>
      <c r="D3199" s="87" t="s">
        <v>4929</v>
      </c>
    </row>
    <row r="3200" spans="2:4" ht="15" x14ac:dyDescent="0.2">
      <c r="B3200" s="87" t="s">
        <v>3846</v>
      </c>
      <c r="C3200" s="88">
        <v>5330</v>
      </c>
      <c r="D3200" s="87" t="s">
        <v>4930</v>
      </c>
    </row>
    <row r="3201" spans="2:4" ht="15" x14ac:dyDescent="0.2">
      <c r="B3201" s="87" t="s">
        <v>3847</v>
      </c>
      <c r="C3201" s="88">
        <v>5350</v>
      </c>
      <c r="D3201" s="87" t="s">
        <v>4931</v>
      </c>
    </row>
    <row r="3202" spans="2:4" ht="15" x14ac:dyDescent="0.2">
      <c r="B3202" s="87" t="s">
        <v>3848</v>
      </c>
      <c r="C3202" s="88">
        <v>5350</v>
      </c>
      <c r="D3202" s="87" t="s">
        <v>4931</v>
      </c>
    </row>
    <row r="3203" spans="2:4" ht="15" x14ac:dyDescent="0.2">
      <c r="B3203" s="87" t="s">
        <v>3849</v>
      </c>
      <c r="C3203" s="88">
        <v>5360</v>
      </c>
      <c r="D3203" s="87" t="s">
        <v>4932</v>
      </c>
    </row>
    <row r="3204" spans="2:4" ht="15" x14ac:dyDescent="0.2">
      <c r="B3204" s="87" t="s">
        <v>3850</v>
      </c>
      <c r="C3204" s="88">
        <v>5370</v>
      </c>
      <c r="D3204" s="87" t="s">
        <v>4933</v>
      </c>
    </row>
    <row r="3205" spans="2:4" ht="15" x14ac:dyDescent="0.2">
      <c r="B3205" s="87" t="s">
        <v>3851</v>
      </c>
      <c r="C3205" s="88">
        <v>5370</v>
      </c>
      <c r="D3205" s="87" t="s">
        <v>4933</v>
      </c>
    </row>
    <row r="3206" spans="2:4" ht="15" x14ac:dyDescent="0.2">
      <c r="B3206" s="87" t="s">
        <v>3852</v>
      </c>
      <c r="C3206" s="88">
        <v>5390</v>
      </c>
      <c r="D3206" s="87" t="s">
        <v>4934</v>
      </c>
    </row>
    <row r="3207" spans="2:4" ht="15" x14ac:dyDescent="0.2">
      <c r="B3207" s="87" t="s">
        <v>3853</v>
      </c>
      <c r="C3207" s="88">
        <v>5400</v>
      </c>
      <c r="D3207" s="87" t="s">
        <v>4935</v>
      </c>
    </row>
    <row r="3208" spans="2:4" ht="15" x14ac:dyDescent="0.2">
      <c r="B3208" s="87" t="s">
        <v>3854</v>
      </c>
      <c r="C3208" s="88">
        <v>5400</v>
      </c>
      <c r="D3208" s="87" t="s">
        <v>4935</v>
      </c>
    </row>
    <row r="3209" spans="2:4" ht="15" x14ac:dyDescent="0.2">
      <c r="B3209" s="87" t="s">
        <v>3855</v>
      </c>
      <c r="C3209" s="88">
        <v>5420</v>
      </c>
      <c r="D3209" s="87" t="s">
        <v>4936</v>
      </c>
    </row>
    <row r="3210" spans="2:4" ht="15" x14ac:dyDescent="0.2">
      <c r="B3210" s="87" t="s">
        <v>3856</v>
      </c>
      <c r="C3210" s="88">
        <v>5430</v>
      </c>
      <c r="D3210" s="87" t="s">
        <v>4937</v>
      </c>
    </row>
    <row r="3211" spans="2:4" ht="15" x14ac:dyDescent="0.2">
      <c r="B3211" s="87" t="s">
        <v>3857</v>
      </c>
      <c r="C3211" s="88">
        <v>5450</v>
      </c>
      <c r="D3211" s="87" t="s">
        <v>4938</v>
      </c>
    </row>
    <row r="3212" spans="2:4" ht="15" x14ac:dyDescent="0.2">
      <c r="B3212" s="87" t="s">
        <v>3858</v>
      </c>
      <c r="C3212" s="88">
        <v>5450</v>
      </c>
      <c r="D3212" s="87" t="s">
        <v>4938</v>
      </c>
    </row>
    <row r="3213" spans="2:4" ht="15" x14ac:dyDescent="0.2">
      <c r="B3213" s="87" t="s">
        <v>3859</v>
      </c>
      <c r="C3213" s="88">
        <v>5460</v>
      </c>
      <c r="D3213" s="87" t="s">
        <v>4939</v>
      </c>
    </row>
    <row r="3214" spans="2:4" ht="15" x14ac:dyDescent="0.2">
      <c r="B3214" s="87" t="s">
        <v>3860</v>
      </c>
      <c r="C3214" s="88">
        <v>5480</v>
      </c>
      <c r="D3214" s="87" t="s">
        <v>4940</v>
      </c>
    </row>
    <row r="3215" spans="2:4" ht="15" x14ac:dyDescent="0.2">
      <c r="B3215" s="87" t="s">
        <v>3861</v>
      </c>
      <c r="C3215" s="88">
        <v>5490</v>
      </c>
      <c r="D3215" s="87" t="s">
        <v>4941</v>
      </c>
    </row>
    <row r="3216" spans="2:4" ht="15" x14ac:dyDescent="0.2">
      <c r="B3216" s="87" t="s">
        <v>3862</v>
      </c>
      <c r="C3216" s="88">
        <v>5490</v>
      </c>
      <c r="D3216" s="87" t="s">
        <v>4941</v>
      </c>
    </row>
    <row r="3217" spans="2:4" ht="15" x14ac:dyDescent="0.2">
      <c r="B3217" s="87" t="s">
        <v>3863</v>
      </c>
      <c r="C3217" s="88">
        <v>5510</v>
      </c>
      <c r="D3217" s="87" t="s">
        <v>4942</v>
      </c>
    </row>
    <row r="3218" spans="2:4" ht="15" x14ac:dyDescent="0.2">
      <c r="B3218" s="87" t="s">
        <v>3864</v>
      </c>
      <c r="C3218" s="88">
        <v>5520</v>
      </c>
      <c r="D3218" s="87" t="s">
        <v>4943</v>
      </c>
    </row>
    <row r="3219" spans="2:4" ht="15" x14ac:dyDescent="0.2">
      <c r="B3219" s="87" t="s">
        <v>3865</v>
      </c>
      <c r="C3219" s="88">
        <v>5520</v>
      </c>
      <c r="D3219" s="87" t="s">
        <v>4943</v>
      </c>
    </row>
    <row r="3220" spans="2:4" ht="15" x14ac:dyDescent="0.2">
      <c r="B3220" s="87" t="s">
        <v>3866</v>
      </c>
      <c r="C3220" s="88">
        <v>5530</v>
      </c>
      <c r="D3220" s="87" t="s">
        <v>4944</v>
      </c>
    </row>
    <row r="3221" spans="2:4" ht="15" x14ac:dyDescent="0.2">
      <c r="B3221" s="87" t="s">
        <v>3867</v>
      </c>
      <c r="C3221" s="88">
        <v>5550</v>
      </c>
      <c r="D3221" s="87" t="s">
        <v>4945</v>
      </c>
    </row>
    <row r="3222" spans="2:4" ht="15" x14ac:dyDescent="0.2">
      <c r="B3222" s="87" t="s">
        <v>3868</v>
      </c>
      <c r="C3222" s="88">
        <v>5550</v>
      </c>
      <c r="D3222" s="87" t="s">
        <v>4945</v>
      </c>
    </row>
    <row r="3223" spans="2:4" ht="15" x14ac:dyDescent="0.2">
      <c r="B3223" s="87" t="s">
        <v>3869</v>
      </c>
      <c r="C3223" s="88">
        <v>5560</v>
      </c>
      <c r="D3223" s="87" t="s">
        <v>4946</v>
      </c>
    </row>
    <row r="3224" spans="2:4" ht="15" x14ac:dyDescent="0.2">
      <c r="B3224" s="87" t="s">
        <v>3870</v>
      </c>
      <c r="C3224" s="88">
        <v>5580</v>
      </c>
      <c r="D3224" s="87" t="s">
        <v>4947</v>
      </c>
    </row>
    <row r="3225" spans="2:4" ht="15" x14ac:dyDescent="0.2">
      <c r="B3225" s="87" t="s">
        <v>3871</v>
      </c>
      <c r="C3225" s="88">
        <v>5580</v>
      </c>
      <c r="D3225" s="87" t="s">
        <v>4947</v>
      </c>
    </row>
    <row r="3226" spans="2:4" ht="15" x14ac:dyDescent="0.2">
      <c r="B3226" s="87" t="s">
        <v>3872</v>
      </c>
      <c r="C3226" s="88">
        <v>5590</v>
      </c>
      <c r="D3226" s="87" t="s">
        <v>4948</v>
      </c>
    </row>
    <row r="3227" spans="2:4" ht="15" x14ac:dyDescent="0.2">
      <c r="B3227" s="87" t="s">
        <v>3873</v>
      </c>
      <c r="C3227" s="88">
        <v>5610</v>
      </c>
      <c r="D3227" s="87" t="s">
        <v>4949</v>
      </c>
    </row>
    <row r="3228" spans="2:4" ht="15" x14ac:dyDescent="0.2">
      <c r="B3228" s="87" t="s">
        <v>3874</v>
      </c>
      <c r="C3228" s="88">
        <v>5610</v>
      </c>
      <c r="D3228" s="87" t="s">
        <v>4949</v>
      </c>
    </row>
    <row r="3229" spans="2:4" ht="15" x14ac:dyDescent="0.2">
      <c r="B3229" s="87" t="s">
        <v>3875</v>
      </c>
      <c r="C3229" s="88">
        <v>5610</v>
      </c>
      <c r="D3229" s="87" t="s">
        <v>4950</v>
      </c>
    </row>
    <row r="3230" spans="2:4" ht="15" x14ac:dyDescent="0.2">
      <c r="B3230" s="87" t="s">
        <v>3876</v>
      </c>
      <c r="C3230" s="88">
        <v>5620</v>
      </c>
      <c r="D3230" s="87" t="s">
        <v>4951</v>
      </c>
    </row>
    <row r="3231" spans="2:4" ht="15" x14ac:dyDescent="0.2">
      <c r="B3231" s="87" t="s">
        <v>3877</v>
      </c>
      <c r="C3231" s="88">
        <v>5620</v>
      </c>
      <c r="D3231" s="87" t="s">
        <v>4951</v>
      </c>
    </row>
    <row r="3232" spans="2:4" ht="15" x14ac:dyDescent="0.2">
      <c r="B3232" s="87" t="s">
        <v>3878</v>
      </c>
      <c r="C3232" s="88">
        <v>5640</v>
      </c>
      <c r="D3232" s="87" t="s">
        <v>4952</v>
      </c>
    </row>
    <row r="3233" spans="2:4" ht="15" x14ac:dyDescent="0.2">
      <c r="B3233" s="87" t="s">
        <v>3879</v>
      </c>
      <c r="C3233" s="88">
        <v>5650</v>
      </c>
      <c r="D3233" s="87" t="s">
        <v>4953</v>
      </c>
    </row>
    <row r="3234" spans="2:4" ht="15" x14ac:dyDescent="0.2">
      <c r="B3234" s="87" t="s">
        <v>3880</v>
      </c>
      <c r="C3234" s="88">
        <v>5650</v>
      </c>
      <c r="D3234" s="87" t="s">
        <v>4953</v>
      </c>
    </row>
    <row r="3235" spans="2:4" ht="15" x14ac:dyDescent="0.2">
      <c r="B3235" s="87" t="s">
        <v>3881</v>
      </c>
      <c r="C3235" s="88">
        <v>5670</v>
      </c>
      <c r="D3235" s="87" t="s">
        <v>4954</v>
      </c>
    </row>
    <row r="3236" spans="2:4" ht="15" x14ac:dyDescent="0.2">
      <c r="B3236" s="87" t="s">
        <v>3882</v>
      </c>
      <c r="C3236" s="88">
        <v>5680</v>
      </c>
      <c r="D3236" s="87" t="s">
        <v>4955</v>
      </c>
    </row>
    <row r="3237" spans="2:4" ht="15" x14ac:dyDescent="0.2">
      <c r="B3237" s="87" t="s">
        <v>3883</v>
      </c>
      <c r="C3237" s="88">
        <v>5680</v>
      </c>
      <c r="D3237" s="87" t="s">
        <v>4955</v>
      </c>
    </row>
    <row r="3238" spans="2:4" ht="15" x14ac:dyDescent="0.2">
      <c r="B3238" s="87" t="s">
        <v>3884</v>
      </c>
      <c r="C3238" s="88">
        <v>5700</v>
      </c>
      <c r="D3238" s="87" t="s">
        <v>4956</v>
      </c>
    </row>
    <row r="3239" spans="2:4" ht="15" x14ac:dyDescent="0.2">
      <c r="B3239" s="87" t="s">
        <v>3885</v>
      </c>
      <c r="C3239" s="88">
        <v>5700</v>
      </c>
      <c r="D3239" s="87" t="s">
        <v>4957</v>
      </c>
    </row>
    <row r="3240" spans="2:4" ht="15" x14ac:dyDescent="0.2">
      <c r="B3240" s="87" t="s">
        <v>3886</v>
      </c>
      <c r="C3240" s="88">
        <v>5700</v>
      </c>
      <c r="D3240" s="87" t="s">
        <v>4957</v>
      </c>
    </row>
    <row r="3241" spans="2:4" ht="15" x14ac:dyDescent="0.2">
      <c r="B3241" s="87" t="s">
        <v>3887</v>
      </c>
      <c r="C3241" s="88">
        <v>5710</v>
      </c>
      <c r="D3241" s="87" t="s">
        <v>4958</v>
      </c>
    </row>
    <row r="3242" spans="2:4" ht="15" x14ac:dyDescent="0.2">
      <c r="B3242" s="87" t="s">
        <v>3888</v>
      </c>
      <c r="C3242" s="88">
        <v>5730</v>
      </c>
      <c r="D3242" s="87" t="s">
        <v>4959</v>
      </c>
    </row>
    <row r="3243" spans="2:4" ht="15" x14ac:dyDescent="0.2">
      <c r="B3243" s="87" t="s">
        <v>3889</v>
      </c>
      <c r="C3243" s="88">
        <v>5730</v>
      </c>
      <c r="D3243" s="87" t="s">
        <v>4959</v>
      </c>
    </row>
    <row r="3244" spans="2:4" ht="15" x14ac:dyDescent="0.2">
      <c r="B3244" s="87" t="s">
        <v>3890</v>
      </c>
      <c r="C3244" s="88">
        <v>5740</v>
      </c>
      <c r="D3244" s="87" t="s">
        <v>4960</v>
      </c>
    </row>
    <row r="3245" spans="2:4" ht="15" x14ac:dyDescent="0.2">
      <c r="B3245" s="87" t="s">
        <v>3891</v>
      </c>
      <c r="C3245" s="88">
        <v>5760</v>
      </c>
      <c r="D3245" s="87" t="s">
        <v>4961</v>
      </c>
    </row>
    <row r="3246" spans="2:4" ht="15" x14ac:dyDescent="0.2">
      <c r="B3246" s="87" t="s">
        <v>3892</v>
      </c>
      <c r="C3246" s="88">
        <v>5760</v>
      </c>
      <c r="D3246" s="87" t="s">
        <v>4961</v>
      </c>
    </row>
    <row r="3247" spans="2:4" ht="15" x14ac:dyDescent="0.2">
      <c r="B3247" s="87" t="s">
        <v>3893</v>
      </c>
      <c r="C3247" s="88">
        <v>5770</v>
      </c>
      <c r="D3247" s="87" t="s">
        <v>4962</v>
      </c>
    </row>
    <row r="3248" spans="2:4" ht="15" x14ac:dyDescent="0.2">
      <c r="B3248" s="87" t="s">
        <v>3894</v>
      </c>
      <c r="C3248" s="88">
        <v>5770</v>
      </c>
      <c r="D3248" s="87" t="s">
        <v>4962</v>
      </c>
    </row>
    <row r="3249" spans="2:4" ht="15" x14ac:dyDescent="0.2">
      <c r="B3249" s="87" t="s">
        <v>3895</v>
      </c>
      <c r="C3249" s="88">
        <v>5780</v>
      </c>
      <c r="D3249" s="87" t="s">
        <v>4963</v>
      </c>
    </row>
    <row r="3250" spans="2:4" ht="15" x14ac:dyDescent="0.2">
      <c r="B3250" s="87" t="s">
        <v>3896</v>
      </c>
      <c r="C3250" s="88">
        <v>5780</v>
      </c>
      <c r="D3250" s="87" t="s">
        <v>4963</v>
      </c>
    </row>
    <row r="3251" spans="2:4" ht="15" x14ac:dyDescent="0.2">
      <c r="B3251" s="87" t="s">
        <v>3897</v>
      </c>
      <c r="C3251" s="88">
        <v>5780</v>
      </c>
      <c r="D3251" s="87" t="s">
        <v>4964</v>
      </c>
    </row>
    <row r="3252" spans="2:4" ht="15" x14ac:dyDescent="0.2">
      <c r="B3252" s="87" t="s">
        <v>3898</v>
      </c>
      <c r="C3252" s="88">
        <v>5780</v>
      </c>
      <c r="D3252" s="87" t="s">
        <v>4964</v>
      </c>
    </row>
    <row r="3253" spans="2:4" ht="15" x14ac:dyDescent="0.2">
      <c r="B3253" s="87" t="s">
        <v>3899</v>
      </c>
      <c r="C3253" s="88">
        <v>5800</v>
      </c>
      <c r="D3253" s="87" t="s">
        <v>4965</v>
      </c>
    </row>
    <row r="3254" spans="2:4" ht="15" x14ac:dyDescent="0.2">
      <c r="B3254" s="87" t="s">
        <v>3900</v>
      </c>
      <c r="C3254" s="88">
        <v>5800</v>
      </c>
      <c r="D3254" s="87" t="s">
        <v>4965</v>
      </c>
    </row>
    <row r="3255" spans="2:4" ht="15" x14ac:dyDescent="0.2">
      <c r="B3255" s="87" t="s">
        <v>3901</v>
      </c>
      <c r="C3255" s="88">
        <v>5810</v>
      </c>
      <c r="D3255" s="87" t="s">
        <v>4966</v>
      </c>
    </row>
    <row r="3256" spans="2:4" ht="15" x14ac:dyDescent="0.2">
      <c r="B3256" s="87" t="s">
        <v>3902</v>
      </c>
      <c r="C3256" s="88">
        <v>5810</v>
      </c>
      <c r="D3256" s="87" t="s">
        <v>4966</v>
      </c>
    </row>
    <row r="3257" spans="2:4" ht="15" x14ac:dyDescent="0.2">
      <c r="B3257" s="87" t="s">
        <v>3903</v>
      </c>
      <c r="C3257" s="88">
        <v>5810</v>
      </c>
      <c r="D3257" s="87" t="s">
        <v>4966</v>
      </c>
    </row>
    <row r="3258" spans="2:4" ht="15" x14ac:dyDescent="0.2">
      <c r="B3258" s="87" t="s">
        <v>3904</v>
      </c>
      <c r="C3258" s="88">
        <v>5830</v>
      </c>
      <c r="D3258" s="87" t="s">
        <v>4967</v>
      </c>
    </row>
    <row r="3259" spans="2:4" ht="15" x14ac:dyDescent="0.2">
      <c r="B3259" s="87" t="s">
        <v>3905</v>
      </c>
      <c r="C3259" s="88">
        <v>5830</v>
      </c>
      <c r="D3259" s="87" t="s">
        <v>4967</v>
      </c>
    </row>
    <row r="3260" spans="2:4" ht="15" x14ac:dyDescent="0.2">
      <c r="B3260" s="87" t="s">
        <v>3906</v>
      </c>
      <c r="C3260" s="88">
        <v>5830</v>
      </c>
      <c r="D3260" s="87" t="s">
        <v>4967</v>
      </c>
    </row>
    <row r="3261" spans="2:4" ht="15" x14ac:dyDescent="0.2">
      <c r="B3261" s="87" t="s">
        <v>3907</v>
      </c>
      <c r="C3261" s="88">
        <v>5840</v>
      </c>
      <c r="D3261" s="87" t="s">
        <v>4968</v>
      </c>
    </row>
    <row r="3262" spans="2:4" ht="15" x14ac:dyDescent="0.2">
      <c r="B3262" s="87" t="s">
        <v>3908</v>
      </c>
      <c r="C3262" s="88">
        <v>5840</v>
      </c>
      <c r="D3262" s="87" t="s">
        <v>4968</v>
      </c>
    </row>
    <row r="3263" spans="2:4" ht="15" x14ac:dyDescent="0.2">
      <c r="B3263" s="87" t="s">
        <v>3909</v>
      </c>
      <c r="C3263" s="88">
        <v>5860</v>
      </c>
      <c r="D3263" s="87" t="s">
        <v>4969</v>
      </c>
    </row>
    <row r="3264" spans="2:4" ht="15" x14ac:dyDescent="0.2">
      <c r="B3264" s="87" t="s">
        <v>3910</v>
      </c>
      <c r="C3264" s="88">
        <v>5860</v>
      </c>
      <c r="D3264" s="87" t="s">
        <v>4969</v>
      </c>
    </row>
    <row r="3265" spans="2:4" ht="15" x14ac:dyDescent="0.2">
      <c r="B3265" s="87" t="s">
        <v>3911</v>
      </c>
      <c r="C3265" s="88">
        <v>5860</v>
      </c>
      <c r="D3265" s="87" t="s">
        <v>4969</v>
      </c>
    </row>
    <row r="3266" spans="2:4" ht="15" x14ac:dyDescent="0.2">
      <c r="B3266" s="87" t="s">
        <v>3912</v>
      </c>
      <c r="C3266" s="88">
        <v>5860</v>
      </c>
      <c r="D3266" s="87" t="s">
        <v>4969</v>
      </c>
    </row>
    <row r="3267" spans="2:4" ht="15" x14ac:dyDescent="0.2">
      <c r="B3267" s="87" t="s">
        <v>3913</v>
      </c>
      <c r="C3267" s="88">
        <v>5860</v>
      </c>
      <c r="D3267" s="87" t="s">
        <v>4969</v>
      </c>
    </row>
    <row r="3268" spans="2:4" ht="15" x14ac:dyDescent="0.2">
      <c r="B3268" s="87" t="s">
        <v>3914</v>
      </c>
      <c r="C3268" s="88">
        <v>5870</v>
      </c>
      <c r="D3268" s="87" t="s">
        <v>4970</v>
      </c>
    </row>
    <row r="3269" spans="2:4" ht="15" x14ac:dyDescent="0.2">
      <c r="B3269" s="87" t="s">
        <v>3915</v>
      </c>
      <c r="C3269" s="88">
        <v>5870</v>
      </c>
      <c r="D3269" s="87" t="s">
        <v>4970</v>
      </c>
    </row>
    <row r="3270" spans="2:4" ht="15" x14ac:dyDescent="0.2">
      <c r="B3270" s="87" t="s">
        <v>3916</v>
      </c>
      <c r="C3270" s="88">
        <v>5870</v>
      </c>
      <c r="D3270" s="87" t="s">
        <v>4970</v>
      </c>
    </row>
    <row r="3271" spans="2:4" ht="15" x14ac:dyDescent="0.2">
      <c r="B3271" s="87" t="s">
        <v>3917</v>
      </c>
      <c r="C3271" s="88">
        <v>5870</v>
      </c>
      <c r="D3271" s="87" t="s">
        <v>4971</v>
      </c>
    </row>
    <row r="3272" spans="2:4" ht="15" x14ac:dyDescent="0.2">
      <c r="B3272" s="87" t="s">
        <v>3918</v>
      </c>
      <c r="C3272" s="88">
        <v>5870</v>
      </c>
      <c r="D3272" s="87" t="s">
        <v>4971</v>
      </c>
    </row>
    <row r="3273" spans="2:4" ht="15" x14ac:dyDescent="0.2">
      <c r="B3273" s="87" t="s">
        <v>3919</v>
      </c>
      <c r="C3273" s="88">
        <v>5870</v>
      </c>
      <c r="D3273" s="87" t="s">
        <v>4971</v>
      </c>
    </row>
    <row r="3274" spans="2:4" ht="15" x14ac:dyDescent="0.2">
      <c r="B3274" s="87" t="s">
        <v>3920</v>
      </c>
      <c r="C3274" s="88">
        <v>5870</v>
      </c>
      <c r="D3274" s="87" t="s">
        <v>4971</v>
      </c>
    </row>
    <row r="3275" spans="2:4" ht="15" x14ac:dyDescent="0.2">
      <c r="B3275" s="87" t="s">
        <v>3921</v>
      </c>
      <c r="C3275" s="88">
        <v>5870</v>
      </c>
      <c r="D3275" s="87" t="s">
        <v>4971</v>
      </c>
    </row>
    <row r="3276" spans="2:4" ht="15" x14ac:dyDescent="0.2">
      <c r="B3276" s="87" t="s">
        <v>3922</v>
      </c>
      <c r="C3276" s="88">
        <v>5870</v>
      </c>
      <c r="D3276" s="87" t="s">
        <v>4971</v>
      </c>
    </row>
    <row r="3277" spans="2:4" ht="15" x14ac:dyDescent="0.2">
      <c r="B3277" s="87" t="s">
        <v>3923</v>
      </c>
      <c r="C3277" s="88">
        <v>5890</v>
      </c>
      <c r="D3277" s="87" t="s">
        <v>4972</v>
      </c>
    </row>
    <row r="3278" spans="2:4" ht="15" x14ac:dyDescent="0.2">
      <c r="B3278" s="87" t="s">
        <v>3924</v>
      </c>
      <c r="C3278" s="88">
        <v>5890</v>
      </c>
      <c r="D3278" s="87" t="s">
        <v>4972</v>
      </c>
    </row>
    <row r="3279" spans="2:4" ht="15" x14ac:dyDescent="0.2">
      <c r="B3279" s="87" t="s">
        <v>3925</v>
      </c>
      <c r="C3279" s="88">
        <v>5890</v>
      </c>
      <c r="D3279" s="87" t="s">
        <v>4972</v>
      </c>
    </row>
    <row r="3280" spans="2:4" ht="15" x14ac:dyDescent="0.2">
      <c r="B3280" s="87" t="s">
        <v>3926</v>
      </c>
      <c r="C3280" s="88">
        <v>5890</v>
      </c>
      <c r="D3280" s="87" t="s">
        <v>4972</v>
      </c>
    </row>
    <row r="3281" spans="2:4" ht="15" x14ac:dyDescent="0.2">
      <c r="B3281" s="87" t="s">
        <v>3927</v>
      </c>
      <c r="C3281" s="88">
        <v>5900</v>
      </c>
      <c r="D3281" s="87" t="s">
        <v>4973</v>
      </c>
    </row>
    <row r="3282" spans="2:4" ht="15" x14ac:dyDescent="0.2">
      <c r="B3282" s="87" t="s">
        <v>3928</v>
      </c>
      <c r="C3282" s="88">
        <v>5900</v>
      </c>
      <c r="D3282" s="87" t="s">
        <v>4973</v>
      </c>
    </row>
    <row r="3283" spans="2:4" ht="15" x14ac:dyDescent="0.2">
      <c r="B3283" s="87" t="s">
        <v>3929</v>
      </c>
      <c r="C3283" s="88">
        <v>5900</v>
      </c>
      <c r="D3283" s="87" t="s">
        <v>4973</v>
      </c>
    </row>
    <row r="3284" spans="2:4" ht="15" x14ac:dyDescent="0.2">
      <c r="B3284" s="87" t="s">
        <v>3930</v>
      </c>
      <c r="C3284" s="88">
        <v>5900</v>
      </c>
      <c r="D3284" s="87" t="s">
        <v>4973</v>
      </c>
    </row>
    <row r="3285" spans="2:4" ht="15" x14ac:dyDescent="0.2">
      <c r="B3285" s="87" t="s">
        <v>3931</v>
      </c>
      <c r="C3285" s="88">
        <v>5900</v>
      </c>
      <c r="D3285" s="87" t="s">
        <v>4973</v>
      </c>
    </row>
    <row r="3286" spans="2:4" ht="15" x14ac:dyDescent="0.2">
      <c r="B3286" s="87" t="s">
        <v>3932</v>
      </c>
      <c r="C3286" s="88">
        <v>5900</v>
      </c>
      <c r="D3286" s="87" t="s">
        <v>4973</v>
      </c>
    </row>
    <row r="3287" spans="2:4" ht="15" x14ac:dyDescent="0.2">
      <c r="B3287" s="87" t="s">
        <v>3933</v>
      </c>
      <c r="C3287" s="88">
        <v>5920</v>
      </c>
      <c r="D3287" s="87" t="s">
        <v>4974</v>
      </c>
    </row>
    <row r="3288" spans="2:4" ht="15" x14ac:dyDescent="0.2">
      <c r="B3288" s="87" t="s">
        <v>3934</v>
      </c>
      <c r="C3288" s="88">
        <v>5920</v>
      </c>
      <c r="D3288" s="87" t="s">
        <v>4974</v>
      </c>
    </row>
    <row r="3289" spans="2:4" ht="15" x14ac:dyDescent="0.2">
      <c r="B3289" s="87" t="s">
        <v>3935</v>
      </c>
      <c r="C3289" s="88">
        <v>5920</v>
      </c>
      <c r="D3289" s="87" t="s">
        <v>4974</v>
      </c>
    </row>
    <row r="3290" spans="2:4" ht="15" x14ac:dyDescent="0.2">
      <c r="B3290" s="87" t="s">
        <v>3936</v>
      </c>
      <c r="C3290" s="88">
        <v>5920</v>
      </c>
      <c r="D3290" s="87" t="s">
        <v>4974</v>
      </c>
    </row>
    <row r="3291" spans="2:4" ht="15" x14ac:dyDescent="0.2">
      <c r="B3291" s="87" t="s">
        <v>3937</v>
      </c>
      <c r="C3291" s="88">
        <v>5920</v>
      </c>
      <c r="D3291" s="87" t="s">
        <v>4974</v>
      </c>
    </row>
    <row r="3292" spans="2:4" ht="15" x14ac:dyDescent="0.2">
      <c r="B3292" s="87" t="s">
        <v>3938</v>
      </c>
      <c r="C3292" s="88">
        <v>5930</v>
      </c>
      <c r="D3292" s="87" t="s">
        <v>4975</v>
      </c>
    </row>
    <row r="3293" spans="2:4" ht="15" x14ac:dyDescent="0.2">
      <c r="B3293" s="87" t="s">
        <v>3939</v>
      </c>
      <c r="C3293" s="88">
        <v>5930</v>
      </c>
      <c r="D3293" s="87" t="s">
        <v>4975</v>
      </c>
    </row>
    <row r="3294" spans="2:4" ht="15" x14ac:dyDescent="0.2">
      <c r="B3294" s="87" t="s">
        <v>3940</v>
      </c>
      <c r="C3294" s="88">
        <v>5930</v>
      </c>
      <c r="D3294" s="87" t="s">
        <v>4975</v>
      </c>
    </row>
    <row r="3295" spans="2:4" ht="15" x14ac:dyDescent="0.2">
      <c r="B3295" s="87" t="s">
        <v>3941</v>
      </c>
      <c r="C3295" s="88">
        <v>5930</v>
      </c>
      <c r="D3295" s="87" t="s">
        <v>4975</v>
      </c>
    </row>
    <row r="3296" spans="2:4" ht="15" x14ac:dyDescent="0.2">
      <c r="B3296" s="87" t="s">
        <v>3942</v>
      </c>
      <c r="C3296" s="88">
        <v>5930</v>
      </c>
      <c r="D3296" s="87" t="s">
        <v>4975</v>
      </c>
    </row>
    <row r="3297" spans="2:4" ht="15" x14ac:dyDescent="0.2">
      <c r="B3297" s="87" t="s">
        <v>3943</v>
      </c>
      <c r="C3297" s="88">
        <v>5930</v>
      </c>
      <c r="D3297" s="87" t="s">
        <v>4975</v>
      </c>
    </row>
    <row r="3298" spans="2:4" ht="15" x14ac:dyDescent="0.2">
      <c r="B3298" s="87" t="s">
        <v>3944</v>
      </c>
      <c r="C3298" s="88">
        <v>5950</v>
      </c>
      <c r="D3298" s="87" t="s">
        <v>5032</v>
      </c>
    </row>
    <row r="3299" spans="2:4" ht="15" x14ac:dyDescent="0.2">
      <c r="B3299" s="87" t="s">
        <v>3945</v>
      </c>
      <c r="C3299" s="88">
        <v>5950</v>
      </c>
      <c r="D3299" s="87" t="s">
        <v>5032</v>
      </c>
    </row>
    <row r="3300" spans="2:4" ht="15" x14ac:dyDescent="0.2">
      <c r="B3300" s="87" t="s">
        <v>3946</v>
      </c>
      <c r="C3300" s="88">
        <v>5950</v>
      </c>
      <c r="D3300" s="87" t="s">
        <v>5032</v>
      </c>
    </row>
    <row r="3301" spans="2:4" ht="15" x14ac:dyDescent="0.2">
      <c r="B3301" s="87" t="s">
        <v>3947</v>
      </c>
      <c r="C3301" s="88">
        <v>5950</v>
      </c>
      <c r="D3301" s="87" t="s">
        <v>5032</v>
      </c>
    </row>
    <row r="3302" spans="2:4" ht="15" x14ac:dyDescent="0.2">
      <c r="B3302" s="87" t="s">
        <v>3948</v>
      </c>
      <c r="C3302" s="88">
        <v>5960</v>
      </c>
      <c r="D3302" s="87" t="s">
        <v>4976</v>
      </c>
    </row>
    <row r="3303" spans="2:4" ht="15" x14ac:dyDescent="0.2">
      <c r="B3303" s="87" t="s">
        <v>3949</v>
      </c>
      <c r="C3303" s="88">
        <v>5960</v>
      </c>
      <c r="D3303" s="87" t="s">
        <v>4976</v>
      </c>
    </row>
    <row r="3304" spans="2:4" ht="15" x14ac:dyDescent="0.2">
      <c r="B3304" s="87" t="s">
        <v>3950</v>
      </c>
      <c r="C3304" s="88">
        <v>5960</v>
      </c>
      <c r="D3304" s="87" t="s">
        <v>4976</v>
      </c>
    </row>
    <row r="3305" spans="2:4" ht="15" x14ac:dyDescent="0.2">
      <c r="B3305" s="87" t="s">
        <v>3951</v>
      </c>
      <c r="C3305" s="88">
        <v>5960</v>
      </c>
      <c r="D3305" s="87" t="s">
        <v>4976</v>
      </c>
    </row>
    <row r="3306" spans="2:4" ht="15" x14ac:dyDescent="0.2">
      <c r="B3306" s="87" t="s">
        <v>3952</v>
      </c>
      <c r="C3306" s="88">
        <v>5960</v>
      </c>
      <c r="D3306" s="87" t="s">
        <v>4976</v>
      </c>
    </row>
    <row r="3307" spans="2:4" ht="15" x14ac:dyDescent="0.2">
      <c r="B3307" s="87" t="s">
        <v>3953</v>
      </c>
      <c r="C3307" s="88">
        <v>5960</v>
      </c>
      <c r="D3307" s="87" t="s">
        <v>4976</v>
      </c>
    </row>
    <row r="3308" spans="2:4" ht="15" x14ac:dyDescent="0.2">
      <c r="B3308" s="87" t="s">
        <v>3954</v>
      </c>
      <c r="C3308" s="88">
        <v>5960</v>
      </c>
      <c r="D3308" s="87" t="s">
        <v>4977</v>
      </c>
    </row>
    <row r="3309" spans="2:4" ht="15" x14ac:dyDescent="0.2">
      <c r="B3309" s="87" t="s">
        <v>3955</v>
      </c>
      <c r="C3309" s="88">
        <v>5960</v>
      </c>
      <c r="D3309" s="87" t="s">
        <v>4977</v>
      </c>
    </row>
    <row r="3310" spans="2:4" ht="15" x14ac:dyDescent="0.2">
      <c r="B3310" s="87" t="s">
        <v>3956</v>
      </c>
      <c r="C3310" s="88">
        <v>5960</v>
      </c>
      <c r="D3310" s="87" t="s">
        <v>4977</v>
      </c>
    </row>
    <row r="3311" spans="2:4" ht="15" x14ac:dyDescent="0.2">
      <c r="B3311" s="87" t="s">
        <v>3957</v>
      </c>
      <c r="C3311" s="88">
        <v>5960</v>
      </c>
      <c r="D3311" s="87" t="s">
        <v>4977</v>
      </c>
    </row>
    <row r="3312" spans="2:4" ht="15" x14ac:dyDescent="0.2">
      <c r="B3312" s="87" t="s">
        <v>3958</v>
      </c>
      <c r="C3312" s="88">
        <v>5980</v>
      </c>
      <c r="D3312" s="87" t="s">
        <v>5031</v>
      </c>
    </row>
    <row r="3313" spans="2:4" ht="15" x14ac:dyDescent="0.2">
      <c r="B3313" s="87" t="s">
        <v>3959</v>
      </c>
      <c r="C3313" s="88">
        <v>5980</v>
      </c>
      <c r="D3313" s="87" t="s">
        <v>5031</v>
      </c>
    </row>
    <row r="3314" spans="2:4" ht="15" x14ac:dyDescent="0.2">
      <c r="B3314" s="87" t="s">
        <v>3960</v>
      </c>
      <c r="C3314" s="88">
        <v>5980</v>
      </c>
      <c r="D3314" s="87" t="s">
        <v>5031</v>
      </c>
    </row>
    <row r="3315" spans="2:4" ht="15" x14ac:dyDescent="0.2">
      <c r="B3315" s="87" t="s">
        <v>3961</v>
      </c>
      <c r="C3315" s="88">
        <v>5980</v>
      </c>
      <c r="D3315" s="87" t="s">
        <v>5031</v>
      </c>
    </row>
    <row r="3316" spans="2:4" ht="15" x14ac:dyDescent="0.2">
      <c r="B3316" s="87" t="s">
        <v>3962</v>
      </c>
      <c r="C3316" s="88">
        <v>5990</v>
      </c>
      <c r="D3316" s="87" t="s">
        <v>4978</v>
      </c>
    </row>
    <row r="3317" spans="2:4" ht="15" x14ac:dyDescent="0.2">
      <c r="B3317" s="87" t="s">
        <v>3963</v>
      </c>
      <c r="C3317" s="88">
        <v>5990</v>
      </c>
      <c r="D3317" s="87" t="s">
        <v>4978</v>
      </c>
    </row>
    <row r="3318" spans="2:4" ht="15" x14ac:dyDescent="0.2">
      <c r="B3318" s="87" t="s">
        <v>3964</v>
      </c>
      <c r="C3318" s="88">
        <v>5990</v>
      </c>
      <c r="D3318" s="87" t="s">
        <v>4978</v>
      </c>
    </row>
    <row r="3319" spans="2:4" ht="15" x14ac:dyDescent="0.2">
      <c r="B3319" s="87" t="s">
        <v>3965</v>
      </c>
      <c r="C3319" s="88">
        <v>5990</v>
      </c>
      <c r="D3319" s="87" t="s">
        <v>4978</v>
      </c>
    </row>
    <row r="3320" spans="2:4" ht="15" x14ac:dyDescent="0.2">
      <c r="B3320" s="87" t="s">
        <v>3966</v>
      </c>
      <c r="C3320" s="88">
        <v>6010</v>
      </c>
      <c r="D3320" s="87" t="s">
        <v>4979</v>
      </c>
    </row>
    <row r="3321" spans="2:4" ht="15" x14ac:dyDescent="0.2">
      <c r="B3321" s="87" t="s">
        <v>3967</v>
      </c>
      <c r="C3321" s="88">
        <v>6010</v>
      </c>
      <c r="D3321" s="87" t="s">
        <v>4979</v>
      </c>
    </row>
    <row r="3322" spans="2:4" ht="15" x14ac:dyDescent="0.2">
      <c r="B3322" s="87" t="s">
        <v>3968</v>
      </c>
      <c r="C3322" s="88">
        <v>6010</v>
      </c>
      <c r="D3322" s="87" t="s">
        <v>4979</v>
      </c>
    </row>
    <row r="3323" spans="2:4" ht="15" x14ac:dyDescent="0.2">
      <c r="B3323" s="87" t="s">
        <v>3969</v>
      </c>
      <c r="C3323" s="88">
        <v>6010</v>
      </c>
      <c r="D3323" s="87" t="s">
        <v>4979</v>
      </c>
    </row>
    <row r="3324" spans="2:4" ht="15" x14ac:dyDescent="0.2">
      <c r="B3324" s="87" t="s">
        <v>3970</v>
      </c>
      <c r="C3324" s="88">
        <v>6010</v>
      </c>
      <c r="D3324" s="87" t="s">
        <v>4979</v>
      </c>
    </row>
    <row r="3325" spans="2:4" ht="15" x14ac:dyDescent="0.2">
      <c r="B3325" s="87" t="s">
        <v>3971</v>
      </c>
      <c r="C3325" s="88">
        <v>6020</v>
      </c>
      <c r="D3325" s="87" t="s">
        <v>4980</v>
      </c>
    </row>
    <row r="3326" spans="2:4" ht="15" x14ac:dyDescent="0.2">
      <c r="B3326" s="87" t="s">
        <v>3972</v>
      </c>
      <c r="C3326" s="88">
        <v>6020</v>
      </c>
      <c r="D3326" s="87" t="s">
        <v>4980</v>
      </c>
    </row>
    <row r="3327" spans="2:4" ht="15" x14ac:dyDescent="0.2">
      <c r="B3327" s="87" t="s">
        <v>3973</v>
      </c>
      <c r="C3327" s="88">
        <v>6020</v>
      </c>
      <c r="D3327" s="87" t="s">
        <v>4980</v>
      </c>
    </row>
    <row r="3328" spans="2:4" ht="15" x14ac:dyDescent="0.2">
      <c r="B3328" s="87" t="s">
        <v>3974</v>
      </c>
      <c r="C3328" s="88">
        <v>6020</v>
      </c>
      <c r="D3328" s="87" t="s">
        <v>4980</v>
      </c>
    </row>
    <row r="3329" spans="2:4" ht="15" x14ac:dyDescent="0.2">
      <c r="B3329" s="87" t="s">
        <v>3975</v>
      </c>
      <c r="C3329" s="88">
        <v>6020</v>
      </c>
      <c r="D3329" s="87" t="s">
        <v>4980</v>
      </c>
    </row>
    <row r="3330" spans="2:4" ht="15" x14ac:dyDescent="0.2">
      <c r="B3330" s="87" t="s">
        <v>3976</v>
      </c>
      <c r="C3330" s="88">
        <v>6040</v>
      </c>
      <c r="D3330" s="87" t="s">
        <v>4981</v>
      </c>
    </row>
    <row r="3331" spans="2:4" ht="15" x14ac:dyDescent="0.2">
      <c r="B3331" s="87" t="s">
        <v>3977</v>
      </c>
      <c r="C3331" s="88">
        <v>6040</v>
      </c>
      <c r="D3331" s="87" t="s">
        <v>4981</v>
      </c>
    </row>
    <row r="3332" spans="2:4" ht="15" x14ac:dyDescent="0.2">
      <c r="B3332" s="87" t="s">
        <v>3978</v>
      </c>
      <c r="C3332" s="88">
        <v>6040</v>
      </c>
      <c r="D3332" s="87" t="s">
        <v>4981</v>
      </c>
    </row>
    <row r="3333" spans="2:4" ht="15" x14ac:dyDescent="0.2">
      <c r="B3333" s="87" t="s">
        <v>3979</v>
      </c>
      <c r="C3333" s="88">
        <v>6040</v>
      </c>
      <c r="D3333" s="87" t="s">
        <v>4981</v>
      </c>
    </row>
    <row r="3334" spans="2:4" ht="15" x14ac:dyDescent="0.2">
      <c r="B3334" s="87" t="s">
        <v>3980</v>
      </c>
      <c r="C3334" s="88">
        <v>6040</v>
      </c>
      <c r="D3334" s="87" t="s">
        <v>4981</v>
      </c>
    </row>
    <row r="3335" spans="2:4" ht="15" x14ac:dyDescent="0.2">
      <c r="B3335" s="87" t="s">
        <v>3981</v>
      </c>
      <c r="C3335" s="88">
        <v>6040</v>
      </c>
      <c r="D3335" s="87" t="s">
        <v>4981</v>
      </c>
    </row>
    <row r="3336" spans="2:4" ht="15" x14ac:dyDescent="0.2">
      <c r="B3336" s="87" t="s">
        <v>3982</v>
      </c>
      <c r="C3336" s="88">
        <v>6040</v>
      </c>
      <c r="D3336" s="87" t="s">
        <v>4981</v>
      </c>
    </row>
    <row r="3337" spans="2:4" ht="15" x14ac:dyDescent="0.2">
      <c r="B3337" s="87" t="s">
        <v>3983</v>
      </c>
      <c r="C3337" s="88">
        <v>6040</v>
      </c>
      <c r="D3337" s="87" t="s">
        <v>4981</v>
      </c>
    </row>
    <row r="3338" spans="2:4" ht="15" x14ac:dyDescent="0.2">
      <c r="B3338" s="87" t="s">
        <v>3984</v>
      </c>
      <c r="C3338" s="88">
        <v>6040</v>
      </c>
      <c r="D3338" s="87" t="s">
        <v>4981</v>
      </c>
    </row>
    <row r="3339" spans="2:4" ht="15" x14ac:dyDescent="0.2">
      <c r="B3339" s="87" t="s">
        <v>3985</v>
      </c>
      <c r="C3339" s="88">
        <v>6040</v>
      </c>
      <c r="D3339" s="87" t="s">
        <v>4981</v>
      </c>
    </row>
    <row r="3340" spans="2:4" ht="15" x14ac:dyDescent="0.2">
      <c r="B3340" s="87" t="s">
        <v>3986</v>
      </c>
      <c r="C3340" s="88">
        <v>6040</v>
      </c>
      <c r="D3340" s="87" t="s">
        <v>4981</v>
      </c>
    </row>
    <row r="3341" spans="2:4" ht="15" x14ac:dyDescent="0.2">
      <c r="B3341" s="87" t="s">
        <v>3987</v>
      </c>
      <c r="C3341" s="88">
        <v>6040</v>
      </c>
      <c r="D3341" s="87" t="s">
        <v>4981</v>
      </c>
    </row>
    <row r="3342" spans="2:4" ht="15" x14ac:dyDescent="0.2">
      <c r="B3342" s="87" t="s">
        <v>3988</v>
      </c>
      <c r="C3342" s="88">
        <v>6040</v>
      </c>
      <c r="D3342" s="87" t="s">
        <v>4981</v>
      </c>
    </row>
    <row r="3343" spans="2:4" ht="15" x14ac:dyDescent="0.2">
      <c r="B3343" s="87" t="s">
        <v>3989</v>
      </c>
      <c r="C3343" s="88">
        <v>6040</v>
      </c>
      <c r="D3343" s="87" t="s">
        <v>4981</v>
      </c>
    </row>
    <row r="3344" spans="2:4" ht="15" x14ac:dyDescent="0.2">
      <c r="B3344" s="87" t="s">
        <v>3990</v>
      </c>
      <c r="C3344" s="88">
        <v>6040</v>
      </c>
      <c r="D3344" s="87" t="s">
        <v>4981</v>
      </c>
    </row>
    <row r="3345" spans="2:4" ht="15" x14ac:dyDescent="0.2">
      <c r="B3345" s="87" t="s">
        <v>3991</v>
      </c>
      <c r="C3345" s="88">
        <v>6040</v>
      </c>
      <c r="D3345" s="87" t="s">
        <v>4981</v>
      </c>
    </row>
    <row r="3346" spans="2:4" ht="15" x14ac:dyDescent="0.2">
      <c r="B3346" s="87" t="s">
        <v>3992</v>
      </c>
      <c r="C3346" s="88">
        <v>6020</v>
      </c>
      <c r="D3346" s="87" t="s">
        <v>4980</v>
      </c>
    </row>
    <row r="3347" spans="2:4" ht="15" x14ac:dyDescent="0.2">
      <c r="B3347" s="87" t="s">
        <v>3993</v>
      </c>
      <c r="C3347" s="88">
        <v>6020</v>
      </c>
      <c r="D3347" s="87" t="s">
        <v>4980</v>
      </c>
    </row>
    <row r="3348" spans="2:4" ht="15" x14ac:dyDescent="0.2">
      <c r="B3348" s="87" t="s">
        <v>3994</v>
      </c>
      <c r="C3348" s="88">
        <v>6020</v>
      </c>
      <c r="D3348" s="87" t="s">
        <v>4980</v>
      </c>
    </row>
    <row r="3349" spans="2:4" ht="15" x14ac:dyDescent="0.2">
      <c r="B3349" s="87" t="s">
        <v>3995</v>
      </c>
      <c r="C3349" s="88">
        <v>6010</v>
      </c>
      <c r="D3349" s="87" t="s">
        <v>4979</v>
      </c>
    </row>
    <row r="3350" spans="2:4" ht="15" x14ac:dyDescent="0.2">
      <c r="B3350" s="87" t="s">
        <v>3996</v>
      </c>
      <c r="C3350" s="88">
        <v>6010</v>
      </c>
      <c r="D3350" s="87" t="s">
        <v>4979</v>
      </c>
    </row>
    <row r="3351" spans="2:4" ht="15" x14ac:dyDescent="0.2">
      <c r="B3351" s="87" t="s">
        <v>3997</v>
      </c>
      <c r="C3351" s="88">
        <v>5990</v>
      </c>
      <c r="D3351" s="87" t="s">
        <v>4978</v>
      </c>
    </row>
    <row r="3352" spans="2:4" ht="15" x14ac:dyDescent="0.2">
      <c r="B3352" s="87" t="s">
        <v>3998</v>
      </c>
      <c r="C3352" s="88">
        <v>5990</v>
      </c>
      <c r="D3352" s="87" t="s">
        <v>4978</v>
      </c>
    </row>
    <row r="3353" spans="2:4" ht="15" x14ac:dyDescent="0.2">
      <c r="B3353" s="87" t="s">
        <v>3999</v>
      </c>
      <c r="C3353" s="88">
        <v>5980</v>
      </c>
      <c r="D3353" s="87" t="s">
        <v>5031</v>
      </c>
    </row>
    <row r="3354" spans="2:4" ht="15" x14ac:dyDescent="0.2">
      <c r="B3354" s="87" t="s">
        <v>4000</v>
      </c>
      <c r="C3354" s="88">
        <v>5980</v>
      </c>
      <c r="D3354" s="87" t="s">
        <v>5031</v>
      </c>
    </row>
    <row r="3355" spans="2:4" ht="15" x14ac:dyDescent="0.2">
      <c r="B3355" s="87" t="s">
        <v>4001</v>
      </c>
      <c r="C3355" s="88">
        <v>5960</v>
      </c>
      <c r="D3355" s="87" t="s">
        <v>4977</v>
      </c>
    </row>
    <row r="3356" spans="2:4" ht="15" x14ac:dyDescent="0.2">
      <c r="B3356" s="87" t="s">
        <v>4002</v>
      </c>
      <c r="C3356" s="88">
        <v>5960</v>
      </c>
      <c r="D3356" s="87" t="s">
        <v>4977</v>
      </c>
    </row>
    <row r="3357" spans="2:4" ht="15" x14ac:dyDescent="0.2">
      <c r="B3357" s="87" t="s">
        <v>4003</v>
      </c>
      <c r="C3357" s="88">
        <v>5960</v>
      </c>
      <c r="D3357" s="87" t="s">
        <v>4976</v>
      </c>
    </row>
    <row r="3358" spans="2:4" ht="15" x14ac:dyDescent="0.2">
      <c r="B3358" s="87" t="s">
        <v>4004</v>
      </c>
      <c r="C3358" s="88">
        <v>5960</v>
      </c>
      <c r="D3358" s="87" t="s">
        <v>4976</v>
      </c>
    </row>
    <row r="3359" spans="2:4" ht="15" x14ac:dyDescent="0.2">
      <c r="B3359" s="87" t="s">
        <v>4005</v>
      </c>
      <c r="C3359" s="88">
        <v>5950</v>
      </c>
      <c r="D3359" s="87" t="s">
        <v>5032</v>
      </c>
    </row>
    <row r="3360" spans="2:4" ht="15" x14ac:dyDescent="0.2">
      <c r="B3360" s="87" t="s">
        <v>4006</v>
      </c>
      <c r="C3360" s="88">
        <v>5930</v>
      </c>
      <c r="D3360" s="87" t="s">
        <v>4975</v>
      </c>
    </row>
    <row r="3361" spans="2:4" ht="15" x14ac:dyDescent="0.2">
      <c r="B3361" s="87" t="s">
        <v>4007</v>
      </c>
      <c r="C3361" s="88">
        <v>5920</v>
      </c>
      <c r="D3361" s="87" t="s">
        <v>4974</v>
      </c>
    </row>
    <row r="3362" spans="2:4" ht="15" x14ac:dyDescent="0.2">
      <c r="B3362" s="87" t="s">
        <v>4008</v>
      </c>
      <c r="C3362" s="88">
        <v>5900</v>
      </c>
      <c r="D3362" s="87" t="s">
        <v>4973</v>
      </c>
    </row>
    <row r="3363" spans="2:4" ht="15" x14ac:dyDescent="0.2">
      <c r="B3363" s="87" t="s">
        <v>4009</v>
      </c>
      <c r="C3363" s="88">
        <v>5900</v>
      </c>
      <c r="D3363" s="87" t="s">
        <v>4973</v>
      </c>
    </row>
    <row r="3364" spans="2:4" ht="15" x14ac:dyDescent="0.2">
      <c r="B3364" s="87" t="s">
        <v>4010</v>
      </c>
      <c r="C3364" s="88">
        <v>5890</v>
      </c>
      <c r="D3364" s="87" t="s">
        <v>4972</v>
      </c>
    </row>
    <row r="3365" spans="2:4" ht="15" x14ac:dyDescent="0.2">
      <c r="B3365" s="87" t="s">
        <v>4011</v>
      </c>
      <c r="C3365" s="88">
        <v>5870</v>
      </c>
      <c r="D3365" s="87" t="s">
        <v>4971</v>
      </c>
    </row>
    <row r="3366" spans="2:4" ht="15" x14ac:dyDescent="0.2">
      <c r="B3366" s="87" t="s">
        <v>4012</v>
      </c>
      <c r="C3366" s="88">
        <v>5870</v>
      </c>
      <c r="D3366" s="87" t="s">
        <v>4970</v>
      </c>
    </row>
    <row r="3367" spans="2:4" ht="15" x14ac:dyDescent="0.2">
      <c r="B3367" s="87" t="s">
        <v>4013</v>
      </c>
      <c r="C3367" s="88">
        <v>5860</v>
      </c>
      <c r="D3367" s="87" t="s">
        <v>4969</v>
      </c>
    </row>
    <row r="3368" spans="2:4" ht="15" x14ac:dyDescent="0.2">
      <c r="B3368" s="87" t="s">
        <v>4014</v>
      </c>
      <c r="C3368" s="88">
        <v>5840</v>
      </c>
      <c r="D3368" s="87" t="s">
        <v>4968</v>
      </c>
    </row>
    <row r="3369" spans="2:4" ht="15" x14ac:dyDescent="0.2">
      <c r="B3369" s="87" t="s">
        <v>4015</v>
      </c>
      <c r="C3369" s="88">
        <v>5830</v>
      </c>
      <c r="D3369" s="87" t="s">
        <v>4967</v>
      </c>
    </row>
    <row r="3370" spans="2:4" ht="15" x14ac:dyDescent="0.2">
      <c r="B3370" s="87" t="s">
        <v>4016</v>
      </c>
      <c r="C3370" s="88">
        <v>5810</v>
      </c>
      <c r="D3370" s="87" t="s">
        <v>4966</v>
      </c>
    </row>
    <row r="3371" spans="2:4" ht="15" x14ac:dyDescent="0.2">
      <c r="B3371" s="87" t="s">
        <v>4017</v>
      </c>
      <c r="C3371" s="88">
        <v>5800</v>
      </c>
      <c r="D3371" s="87" t="s">
        <v>4965</v>
      </c>
    </row>
    <row r="3372" spans="2:4" ht="15" x14ac:dyDescent="0.2">
      <c r="B3372" s="87" t="s">
        <v>4018</v>
      </c>
      <c r="C3372" s="88">
        <v>5780</v>
      </c>
      <c r="D3372" s="87" t="s">
        <v>4964</v>
      </c>
    </row>
    <row r="3373" spans="2:4" ht="15" x14ac:dyDescent="0.2">
      <c r="B3373" s="87" t="s">
        <v>4019</v>
      </c>
      <c r="C3373" s="88">
        <v>5780</v>
      </c>
      <c r="D3373" s="87" t="s">
        <v>4963</v>
      </c>
    </row>
    <row r="3374" spans="2:4" ht="15" x14ac:dyDescent="0.2">
      <c r="B3374" s="87" t="s">
        <v>4020</v>
      </c>
      <c r="C3374" s="88">
        <v>5770</v>
      </c>
      <c r="D3374" s="87" t="s">
        <v>4962</v>
      </c>
    </row>
    <row r="3375" spans="2:4" ht="15" x14ac:dyDescent="0.2">
      <c r="B3375" s="87" t="s">
        <v>4021</v>
      </c>
      <c r="C3375" s="88">
        <v>5760</v>
      </c>
      <c r="D3375" s="87" t="s">
        <v>4961</v>
      </c>
    </row>
    <row r="3376" spans="2:4" ht="15" x14ac:dyDescent="0.2">
      <c r="B3376" s="87" t="s">
        <v>4022</v>
      </c>
      <c r="C3376" s="88">
        <v>5740</v>
      </c>
      <c r="D3376" s="87" t="s">
        <v>4960</v>
      </c>
    </row>
    <row r="3377" spans="2:4" ht="15" x14ac:dyDescent="0.2">
      <c r="B3377" s="87" t="s">
        <v>4023</v>
      </c>
      <c r="C3377" s="88">
        <v>5730</v>
      </c>
      <c r="D3377" s="87" t="s">
        <v>4959</v>
      </c>
    </row>
    <row r="3378" spans="2:4" ht="15" x14ac:dyDescent="0.2">
      <c r="B3378" s="87" t="s">
        <v>4024</v>
      </c>
      <c r="C3378" s="88">
        <v>5710</v>
      </c>
      <c r="D3378" s="87" t="s">
        <v>4958</v>
      </c>
    </row>
    <row r="3379" spans="2:4" ht="15" x14ac:dyDescent="0.2">
      <c r="B3379" s="87" t="s">
        <v>4025</v>
      </c>
      <c r="C3379" s="88">
        <v>5700</v>
      </c>
      <c r="D3379" s="87" t="s">
        <v>4957</v>
      </c>
    </row>
    <row r="3380" spans="2:4" ht="15" x14ac:dyDescent="0.2">
      <c r="B3380" s="87" t="s">
        <v>4026</v>
      </c>
      <c r="C3380" s="88">
        <v>5700</v>
      </c>
      <c r="D3380" s="87" t="s">
        <v>4957</v>
      </c>
    </row>
    <row r="3381" spans="2:4" ht="15" x14ac:dyDescent="0.2">
      <c r="B3381" s="87" t="s">
        <v>4027</v>
      </c>
      <c r="C3381" s="88">
        <v>5700</v>
      </c>
      <c r="D3381" s="87" t="s">
        <v>4956</v>
      </c>
    </row>
    <row r="3382" spans="2:4" ht="15" x14ac:dyDescent="0.2">
      <c r="B3382" s="87" t="s">
        <v>4028</v>
      </c>
      <c r="C3382" s="88">
        <v>5680</v>
      </c>
      <c r="D3382" s="87" t="s">
        <v>4955</v>
      </c>
    </row>
    <row r="3383" spans="2:4" ht="15" x14ac:dyDescent="0.2">
      <c r="B3383" s="87" t="s">
        <v>4029</v>
      </c>
      <c r="C3383" s="88">
        <v>5670</v>
      </c>
      <c r="D3383" s="87" t="s">
        <v>4954</v>
      </c>
    </row>
    <row r="3384" spans="2:4" ht="15" x14ac:dyDescent="0.2">
      <c r="B3384" s="87" t="s">
        <v>4030</v>
      </c>
      <c r="C3384" s="88">
        <v>5650</v>
      </c>
      <c r="D3384" s="87" t="s">
        <v>4953</v>
      </c>
    </row>
    <row r="3385" spans="2:4" ht="15" x14ac:dyDescent="0.2">
      <c r="B3385" s="87" t="s">
        <v>4031</v>
      </c>
      <c r="C3385" s="88">
        <v>5650</v>
      </c>
      <c r="D3385" s="87" t="s">
        <v>4953</v>
      </c>
    </row>
    <row r="3386" spans="2:4" ht="15" x14ac:dyDescent="0.2">
      <c r="B3386" s="87" t="s">
        <v>4032</v>
      </c>
      <c r="C3386" s="88">
        <v>5640</v>
      </c>
      <c r="D3386" s="87" t="s">
        <v>4952</v>
      </c>
    </row>
    <row r="3387" spans="2:4" ht="15" x14ac:dyDescent="0.2">
      <c r="B3387" s="87" t="s">
        <v>4033</v>
      </c>
      <c r="C3387" s="88">
        <v>5620</v>
      </c>
      <c r="D3387" s="87" t="s">
        <v>4951</v>
      </c>
    </row>
    <row r="3388" spans="2:4" ht="15" x14ac:dyDescent="0.2">
      <c r="B3388" s="87" t="s">
        <v>4034</v>
      </c>
      <c r="C3388" s="88">
        <v>5610</v>
      </c>
      <c r="D3388" s="87" t="s">
        <v>4950</v>
      </c>
    </row>
    <row r="3389" spans="2:4" ht="15" x14ac:dyDescent="0.2">
      <c r="B3389" s="87" t="s">
        <v>4035</v>
      </c>
      <c r="C3389" s="88">
        <v>5610</v>
      </c>
      <c r="D3389" s="87" t="s">
        <v>4949</v>
      </c>
    </row>
    <row r="3390" spans="2:4" ht="15" x14ac:dyDescent="0.2">
      <c r="B3390" s="87" t="s">
        <v>4036</v>
      </c>
      <c r="C3390" s="88">
        <v>5610</v>
      </c>
      <c r="D3390" s="87" t="s">
        <v>4949</v>
      </c>
    </row>
    <row r="3391" spans="2:4" ht="15" x14ac:dyDescent="0.2">
      <c r="B3391" s="87" t="s">
        <v>4037</v>
      </c>
      <c r="C3391" s="88">
        <v>5590</v>
      </c>
      <c r="D3391" s="87" t="s">
        <v>4948</v>
      </c>
    </row>
    <row r="3392" spans="2:4" ht="15" x14ac:dyDescent="0.2">
      <c r="B3392" s="87" t="s">
        <v>4038</v>
      </c>
      <c r="C3392" s="88">
        <v>5580</v>
      </c>
      <c r="D3392" s="87" t="s">
        <v>4947</v>
      </c>
    </row>
    <row r="3393" spans="2:4" ht="15" x14ac:dyDescent="0.2">
      <c r="B3393" s="87" t="s">
        <v>4039</v>
      </c>
      <c r="C3393" s="88">
        <v>5580</v>
      </c>
      <c r="D3393" s="87" t="s">
        <v>4947</v>
      </c>
    </row>
    <row r="3394" spans="2:4" ht="15" x14ac:dyDescent="0.2">
      <c r="B3394" s="87" t="s">
        <v>4040</v>
      </c>
      <c r="C3394" s="88">
        <v>5560</v>
      </c>
      <c r="D3394" s="87" t="s">
        <v>4946</v>
      </c>
    </row>
    <row r="3395" spans="2:4" ht="15" x14ac:dyDescent="0.2">
      <c r="B3395" s="87" t="s">
        <v>4041</v>
      </c>
      <c r="C3395" s="88">
        <v>5560</v>
      </c>
      <c r="D3395" s="87" t="s">
        <v>4946</v>
      </c>
    </row>
    <row r="3396" spans="2:4" ht="15" x14ac:dyDescent="0.2">
      <c r="B3396" s="87" t="s">
        <v>4042</v>
      </c>
      <c r="C3396" s="88">
        <v>5550</v>
      </c>
      <c r="D3396" s="87" t="s">
        <v>4945</v>
      </c>
    </row>
    <row r="3397" spans="2:4" ht="15" x14ac:dyDescent="0.2">
      <c r="B3397" s="87" t="s">
        <v>4043</v>
      </c>
      <c r="C3397" s="88">
        <v>5550</v>
      </c>
      <c r="D3397" s="87" t="s">
        <v>4945</v>
      </c>
    </row>
    <row r="3398" spans="2:4" ht="15" x14ac:dyDescent="0.2">
      <c r="B3398" s="87" t="s">
        <v>4044</v>
      </c>
      <c r="C3398" s="88">
        <v>5530</v>
      </c>
      <c r="D3398" s="87" t="s">
        <v>4944</v>
      </c>
    </row>
    <row r="3399" spans="2:4" ht="15" x14ac:dyDescent="0.2">
      <c r="B3399" s="87" t="s">
        <v>4045</v>
      </c>
      <c r="C3399" s="88">
        <v>5530</v>
      </c>
      <c r="D3399" s="87" t="s">
        <v>4944</v>
      </c>
    </row>
    <row r="3400" spans="2:4" ht="15" x14ac:dyDescent="0.2">
      <c r="B3400" s="87" t="s">
        <v>4046</v>
      </c>
      <c r="C3400" s="88">
        <v>5520</v>
      </c>
      <c r="D3400" s="87" t="s">
        <v>4943</v>
      </c>
    </row>
    <row r="3401" spans="2:4" ht="15" x14ac:dyDescent="0.2">
      <c r="B3401" s="87" t="s">
        <v>4047</v>
      </c>
      <c r="C3401" s="88">
        <v>5520</v>
      </c>
      <c r="D3401" s="87" t="s">
        <v>4943</v>
      </c>
    </row>
    <row r="3402" spans="2:4" ht="15" x14ac:dyDescent="0.2">
      <c r="B3402" s="87" t="s">
        <v>4048</v>
      </c>
      <c r="C3402" s="88">
        <v>5510</v>
      </c>
      <c r="D3402" s="87" t="s">
        <v>4942</v>
      </c>
    </row>
    <row r="3403" spans="2:4" ht="15" x14ac:dyDescent="0.2">
      <c r="B3403" s="87" t="s">
        <v>4049</v>
      </c>
      <c r="C3403" s="88">
        <v>5510</v>
      </c>
      <c r="D3403" s="87" t="s">
        <v>4942</v>
      </c>
    </row>
    <row r="3404" spans="2:4" ht="15" x14ac:dyDescent="0.2">
      <c r="B3404" s="87" t="s">
        <v>4050</v>
      </c>
      <c r="C3404" s="88">
        <v>5490</v>
      </c>
      <c r="D3404" s="87" t="s">
        <v>4941</v>
      </c>
    </row>
    <row r="3405" spans="2:4" ht="15" x14ac:dyDescent="0.2">
      <c r="B3405" s="87" t="s">
        <v>4051</v>
      </c>
      <c r="C3405" s="88">
        <v>5490</v>
      </c>
      <c r="D3405" s="87" t="s">
        <v>4941</v>
      </c>
    </row>
    <row r="3406" spans="2:4" ht="15" x14ac:dyDescent="0.2">
      <c r="B3406" s="87" t="s">
        <v>4052</v>
      </c>
      <c r="C3406" s="88">
        <v>5480</v>
      </c>
      <c r="D3406" s="87" t="s">
        <v>4940</v>
      </c>
    </row>
    <row r="3407" spans="2:4" ht="15" x14ac:dyDescent="0.2">
      <c r="B3407" s="87" t="s">
        <v>4053</v>
      </c>
      <c r="C3407" s="88">
        <v>5480</v>
      </c>
      <c r="D3407" s="87" t="s">
        <v>4940</v>
      </c>
    </row>
    <row r="3408" spans="2:4" ht="15" x14ac:dyDescent="0.2">
      <c r="B3408" s="87" t="s">
        <v>4054</v>
      </c>
      <c r="C3408" s="88">
        <v>5460</v>
      </c>
      <c r="D3408" s="87" t="s">
        <v>4939</v>
      </c>
    </row>
    <row r="3409" spans="2:4" ht="15" x14ac:dyDescent="0.2">
      <c r="B3409" s="87" t="s">
        <v>4055</v>
      </c>
      <c r="C3409" s="88">
        <v>5460</v>
      </c>
      <c r="D3409" s="87" t="s">
        <v>4939</v>
      </c>
    </row>
    <row r="3410" spans="2:4" ht="15" x14ac:dyDescent="0.2">
      <c r="B3410" s="87" t="s">
        <v>4056</v>
      </c>
      <c r="C3410" s="88">
        <v>5450</v>
      </c>
      <c r="D3410" s="87" t="s">
        <v>4938</v>
      </c>
    </row>
    <row r="3411" spans="2:4" ht="15" x14ac:dyDescent="0.2">
      <c r="B3411" s="87" t="s">
        <v>4057</v>
      </c>
      <c r="C3411" s="88">
        <v>5450</v>
      </c>
      <c r="D3411" s="87" t="s">
        <v>4938</v>
      </c>
    </row>
    <row r="3412" spans="2:4" ht="15" x14ac:dyDescent="0.2">
      <c r="B3412" s="87" t="s">
        <v>4058</v>
      </c>
      <c r="C3412" s="88">
        <v>5450</v>
      </c>
      <c r="D3412" s="87" t="s">
        <v>4938</v>
      </c>
    </row>
    <row r="3413" spans="2:4" ht="15" x14ac:dyDescent="0.2">
      <c r="B3413" s="87" t="s">
        <v>4059</v>
      </c>
      <c r="C3413" s="88">
        <v>5430</v>
      </c>
      <c r="D3413" s="87" t="s">
        <v>4937</v>
      </c>
    </row>
    <row r="3414" spans="2:4" ht="15" x14ac:dyDescent="0.2">
      <c r="B3414" s="87" t="s">
        <v>4060</v>
      </c>
      <c r="C3414" s="88">
        <v>5430</v>
      </c>
      <c r="D3414" s="87" t="s">
        <v>4937</v>
      </c>
    </row>
    <row r="3415" spans="2:4" ht="15" x14ac:dyDescent="0.2">
      <c r="B3415" s="87" t="s">
        <v>4061</v>
      </c>
      <c r="C3415" s="88">
        <v>5430</v>
      </c>
      <c r="D3415" s="87" t="s">
        <v>4937</v>
      </c>
    </row>
    <row r="3416" spans="2:4" ht="15" x14ac:dyDescent="0.2">
      <c r="B3416" s="87" t="s">
        <v>4062</v>
      </c>
      <c r="C3416" s="88">
        <v>5420</v>
      </c>
      <c r="D3416" s="87" t="s">
        <v>4936</v>
      </c>
    </row>
    <row r="3417" spans="2:4" ht="15" x14ac:dyDescent="0.2">
      <c r="B3417" s="87" t="s">
        <v>4063</v>
      </c>
      <c r="C3417" s="88">
        <v>5420</v>
      </c>
      <c r="D3417" s="87" t="s">
        <v>4936</v>
      </c>
    </row>
    <row r="3418" spans="2:4" ht="15" x14ac:dyDescent="0.2">
      <c r="B3418" s="87" t="s">
        <v>4064</v>
      </c>
      <c r="C3418" s="88">
        <v>5420</v>
      </c>
      <c r="D3418" s="87" t="s">
        <v>4936</v>
      </c>
    </row>
    <row r="3419" spans="2:4" ht="15" x14ac:dyDescent="0.2">
      <c r="B3419" s="87" t="s">
        <v>4065</v>
      </c>
      <c r="C3419" s="88">
        <v>5400</v>
      </c>
      <c r="D3419" s="87" t="s">
        <v>4935</v>
      </c>
    </row>
    <row r="3420" spans="2:4" ht="15" x14ac:dyDescent="0.2">
      <c r="B3420" s="87" t="s">
        <v>4066</v>
      </c>
      <c r="C3420" s="88">
        <v>5400</v>
      </c>
      <c r="D3420" s="87" t="s">
        <v>4935</v>
      </c>
    </row>
    <row r="3421" spans="2:4" ht="15" x14ac:dyDescent="0.2">
      <c r="B3421" s="87" t="s">
        <v>4067</v>
      </c>
      <c r="C3421" s="88">
        <v>5400</v>
      </c>
      <c r="D3421" s="87" t="s">
        <v>4935</v>
      </c>
    </row>
    <row r="3422" spans="2:4" ht="15" x14ac:dyDescent="0.2">
      <c r="B3422" s="87" t="s">
        <v>4068</v>
      </c>
      <c r="C3422" s="88">
        <v>5390</v>
      </c>
      <c r="D3422" s="87" t="s">
        <v>4934</v>
      </c>
    </row>
    <row r="3423" spans="2:4" ht="15" x14ac:dyDescent="0.2">
      <c r="B3423" s="87" t="s">
        <v>4069</v>
      </c>
      <c r="C3423" s="88">
        <v>5390</v>
      </c>
      <c r="D3423" s="87" t="s">
        <v>4934</v>
      </c>
    </row>
    <row r="3424" spans="2:4" ht="15" x14ac:dyDescent="0.2">
      <c r="B3424" s="87" t="s">
        <v>4070</v>
      </c>
      <c r="C3424" s="88">
        <v>5390</v>
      </c>
      <c r="D3424" s="87" t="s">
        <v>4934</v>
      </c>
    </row>
    <row r="3425" spans="2:4" ht="15" x14ac:dyDescent="0.2">
      <c r="B3425" s="87" t="s">
        <v>4071</v>
      </c>
      <c r="C3425" s="88">
        <v>5370</v>
      </c>
      <c r="D3425" s="87" t="s">
        <v>4933</v>
      </c>
    </row>
    <row r="3426" spans="2:4" ht="15" x14ac:dyDescent="0.2">
      <c r="B3426" s="87" t="s">
        <v>4072</v>
      </c>
      <c r="C3426" s="88">
        <v>5370</v>
      </c>
      <c r="D3426" s="87" t="s">
        <v>4933</v>
      </c>
    </row>
    <row r="3427" spans="2:4" ht="15" x14ac:dyDescent="0.2">
      <c r="B3427" s="87" t="s">
        <v>4073</v>
      </c>
      <c r="C3427" s="88">
        <v>5370</v>
      </c>
      <c r="D3427" s="87" t="s">
        <v>4933</v>
      </c>
    </row>
    <row r="3428" spans="2:4" ht="15" x14ac:dyDescent="0.2">
      <c r="B3428" s="87" t="s">
        <v>4074</v>
      </c>
      <c r="C3428" s="88">
        <v>5360</v>
      </c>
      <c r="D3428" s="87" t="s">
        <v>4932</v>
      </c>
    </row>
    <row r="3429" spans="2:4" ht="15" x14ac:dyDescent="0.2">
      <c r="B3429" s="87" t="s">
        <v>4075</v>
      </c>
      <c r="C3429" s="88">
        <v>5360</v>
      </c>
      <c r="D3429" s="87" t="s">
        <v>4932</v>
      </c>
    </row>
    <row r="3430" spans="2:4" ht="15" x14ac:dyDescent="0.2">
      <c r="B3430" s="87" t="s">
        <v>4076</v>
      </c>
      <c r="C3430" s="88">
        <v>5360</v>
      </c>
      <c r="D3430" s="87" t="s">
        <v>4932</v>
      </c>
    </row>
    <row r="3431" spans="2:4" ht="15" x14ac:dyDescent="0.2">
      <c r="B3431" s="87" t="s">
        <v>4077</v>
      </c>
      <c r="C3431" s="88">
        <v>5350</v>
      </c>
      <c r="D3431" s="87" t="s">
        <v>4931</v>
      </c>
    </row>
    <row r="3432" spans="2:4" ht="15" x14ac:dyDescent="0.2">
      <c r="B3432" s="87" t="s">
        <v>4078</v>
      </c>
      <c r="C3432" s="88">
        <v>5350</v>
      </c>
      <c r="D3432" s="87" t="s">
        <v>4931</v>
      </c>
    </row>
    <row r="3433" spans="2:4" ht="15" x14ac:dyDescent="0.2">
      <c r="B3433" s="87" t="s">
        <v>4079</v>
      </c>
      <c r="C3433" s="88">
        <v>5330</v>
      </c>
      <c r="D3433" s="87" t="s">
        <v>4930</v>
      </c>
    </row>
    <row r="3434" spans="2:4" ht="15" x14ac:dyDescent="0.2">
      <c r="B3434" s="87" t="s">
        <v>4080</v>
      </c>
      <c r="C3434" s="88">
        <v>5330</v>
      </c>
      <c r="D3434" s="87" t="s">
        <v>4930</v>
      </c>
    </row>
    <row r="3435" spans="2:4" ht="15" x14ac:dyDescent="0.2">
      <c r="B3435" s="87" t="s">
        <v>4081</v>
      </c>
      <c r="C3435" s="88">
        <v>5320</v>
      </c>
      <c r="D3435" s="87" t="s">
        <v>4929</v>
      </c>
    </row>
    <row r="3436" spans="2:4" ht="15" x14ac:dyDescent="0.2">
      <c r="B3436" s="87" t="s">
        <v>4082</v>
      </c>
      <c r="C3436" s="88">
        <v>5320</v>
      </c>
      <c r="D3436" s="87" t="s">
        <v>4929</v>
      </c>
    </row>
    <row r="3437" spans="2:4" ht="15" x14ac:dyDescent="0.2">
      <c r="B3437" s="87" t="s">
        <v>4083</v>
      </c>
      <c r="C3437" s="88">
        <v>5320</v>
      </c>
      <c r="D3437" s="87" t="s">
        <v>4929</v>
      </c>
    </row>
    <row r="3438" spans="2:4" ht="15" x14ac:dyDescent="0.2">
      <c r="B3438" s="87" t="s">
        <v>4084</v>
      </c>
      <c r="C3438" s="88">
        <v>5300</v>
      </c>
      <c r="D3438" s="87" t="s">
        <v>4928</v>
      </c>
    </row>
    <row r="3439" spans="2:4" ht="15" x14ac:dyDescent="0.2">
      <c r="B3439" s="87" t="s">
        <v>4085</v>
      </c>
      <c r="C3439" s="88">
        <v>5300</v>
      </c>
      <c r="D3439" s="87" t="s">
        <v>4928</v>
      </c>
    </row>
    <row r="3440" spans="2:4" ht="15" x14ac:dyDescent="0.2">
      <c r="B3440" s="87" t="s">
        <v>4086</v>
      </c>
      <c r="C3440" s="88">
        <v>5290</v>
      </c>
      <c r="D3440" s="87" t="s">
        <v>4927</v>
      </c>
    </row>
    <row r="3441" spans="2:4" ht="15" x14ac:dyDescent="0.2">
      <c r="B3441" s="87" t="s">
        <v>4087</v>
      </c>
      <c r="C3441" s="88">
        <v>5290</v>
      </c>
      <c r="D3441" s="87" t="s">
        <v>4927</v>
      </c>
    </row>
    <row r="3442" spans="2:4" ht="15" x14ac:dyDescent="0.2">
      <c r="B3442" s="87" t="s">
        <v>4088</v>
      </c>
      <c r="C3442" s="88">
        <v>5270</v>
      </c>
      <c r="D3442" s="87" t="s">
        <v>4926</v>
      </c>
    </row>
    <row r="3443" spans="2:4" ht="15" x14ac:dyDescent="0.2">
      <c r="B3443" s="87" t="s">
        <v>4089</v>
      </c>
      <c r="C3443" s="88">
        <v>5260</v>
      </c>
      <c r="D3443" s="87" t="s">
        <v>4925</v>
      </c>
    </row>
    <row r="3444" spans="2:4" ht="15" x14ac:dyDescent="0.2">
      <c r="B3444" s="87" t="s">
        <v>4090</v>
      </c>
      <c r="C3444" s="88">
        <v>5260</v>
      </c>
      <c r="D3444" s="87" t="s">
        <v>4925</v>
      </c>
    </row>
    <row r="3445" spans="2:4" ht="15" x14ac:dyDescent="0.2">
      <c r="B3445" s="87" t="s">
        <v>4091</v>
      </c>
      <c r="C3445" s="88">
        <v>5260</v>
      </c>
      <c r="D3445" s="87" t="s">
        <v>4925</v>
      </c>
    </row>
    <row r="3446" spans="2:4" ht="15" x14ac:dyDescent="0.2">
      <c r="B3446" s="87" t="s">
        <v>4092</v>
      </c>
      <c r="C3446" s="88">
        <v>5240</v>
      </c>
      <c r="D3446" s="87" t="s">
        <v>4924</v>
      </c>
    </row>
    <row r="3447" spans="2:4" ht="15" x14ac:dyDescent="0.2">
      <c r="B3447" s="87" t="s">
        <v>4093</v>
      </c>
      <c r="C3447" s="88">
        <v>5230</v>
      </c>
      <c r="D3447" s="87" t="s">
        <v>4923</v>
      </c>
    </row>
    <row r="3448" spans="2:4" ht="15" x14ac:dyDescent="0.2">
      <c r="B3448" s="87" t="s">
        <v>4094</v>
      </c>
      <c r="C3448" s="88">
        <v>5230</v>
      </c>
      <c r="D3448" s="87" t="s">
        <v>4923</v>
      </c>
    </row>
    <row r="3449" spans="2:4" ht="15" x14ac:dyDescent="0.2">
      <c r="B3449" s="87" t="s">
        <v>4095</v>
      </c>
      <c r="C3449" s="88">
        <v>5220</v>
      </c>
      <c r="D3449" s="87" t="s">
        <v>4922</v>
      </c>
    </row>
    <row r="3450" spans="2:4" ht="15" x14ac:dyDescent="0.2">
      <c r="B3450" s="87" t="s">
        <v>4096</v>
      </c>
      <c r="C3450" s="88">
        <v>5200</v>
      </c>
      <c r="D3450" s="87" t="s">
        <v>4921</v>
      </c>
    </row>
    <row r="3451" spans="2:4" ht="15" x14ac:dyDescent="0.2">
      <c r="B3451" s="87" t="s">
        <v>4097</v>
      </c>
      <c r="C3451" s="88">
        <v>5190</v>
      </c>
      <c r="D3451" s="87" t="s">
        <v>5033</v>
      </c>
    </row>
    <row r="3452" spans="2:4" ht="15" x14ac:dyDescent="0.2">
      <c r="B3452" s="87" t="s">
        <v>4098</v>
      </c>
      <c r="C3452" s="88">
        <v>5170</v>
      </c>
      <c r="D3452" s="87" t="s">
        <v>4920</v>
      </c>
    </row>
    <row r="3453" spans="2:4" ht="15" x14ac:dyDescent="0.2">
      <c r="B3453" s="87" t="s">
        <v>4099</v>
      </c>
      <c r="C3453" s="88">
        <v>5170</v>
      </c>
      <c r="D3453" s="87" t="s">
        <v>4920</v>
      </c>
    </row>
    <row r="3454" spans="2:4" ht="15" x14ac:dyDescent="0.2">
      <c r="B3454" s="87" t="s">
        <v>4100</v>
      </c>
      <c r="C3454" s="88">
        <v>5160</v>
      </c>
      <c r="D3454" s="87" t="s">
        <v>4919</v>
      </c>
    </row>
    <row r="3455" spans="2:4" ht="15" x14ac:dyDescent="0.2">
      <c r="B3455" s="87" t="s">
        <v>4101</v>
      </c>
      <c r="C3455" s="88">
        <v>5140</v>
      </c>
      <c r="D3455" s="87" t="s">
        <v>4918</v>
      </c>
    </row>
    <row r="3456" spans="2:4" ht="15" x14ac:dyDescent="0.2">
      <c r="B3456" s="87" t="s">
        <v>4102</v>
      </c>
      <c r="C3456" s="88">
        <v>5130</v>
      </c>
      <c r="D3456" s="87" t="s">
        <v>5034</v>
      </c>
    </row>
    <row r="3457" spans="2:4" ht="15" x14ac:dyDescent="0.2">
      <c r="B3457" s="87" t="s">
        <v>4103</v>
      </c>
      <c r="C3457" s="88">
        <v>5120</v>
      </c>
      <c r="D3457" s="87" t="s">
        <v>4917</v>
      </c>
    </row>
    <row r="3458" spans="2:4" ht="15" x14ac:dyDescent="0.2">
      <c r="B3458" s="87" t="s">
        <v>4104</v>
      </c>
      <c r="C3458" s="88">
        <v>5120</v>
      </c>
      <c r="D3458" s="87" t="s">
        <v>4917</v>
      </c>
    </row>
    <row r="3459" spans="2:4" ht="15" x14ac:dyDescent="0.2">
      <c r="B3459" s="87" t="s">
        <v>4105</v>
      </c>
      <c r="C3459" s="88">
        <v>5100</v>
      </c>
      <c r="D3459" s="87" t="s">
        <v>4916</v>
      </c>
    </row>
    <row r="3460" spans="2:4" ht="15" x14ac:dyDescent="0.2">
      <c r="B3460" s="87" t="s">
        <v>4106</v>
      </c>
      <c r="C3460" s="88">
        <v>5090</v>
      </c>
      <c r="D3460" s="87" t="s">
        <v>4915</v>
      </c>
    </row>
    <row r="3461" spans="2:4" ht="15" x14ac:dyDescent="0.2">
      <c r="B3461" s="87" t="s">
        <v>4107</v>
      </c>
      <c r="C3461" s="88">
        <v>5070</v>
      </c>
      <c r="D3461" s="87" t="s">
        <v>5035</v>
      </c>
    </row>
    <row r="3462" spans="2:4" ht="15" x14ac:dyDescent="0.2">
      <c r="B3462" s="87" t="s">
        <v>4108</v>
      </c>
      <c r="C3462" s="88">
        <v>5060</v>
      </c>
      <c r="D3462" s="87" t="s">
        <v>4914</v>
      </c>
    </row>
    <row r="3463" spans="2:4" ht="15" x14ac:dyDescent="0.2">
      <c r="B3463" s="87" t="s">
        <v>4109</v>
      </c>
      <c r="C3463" s="88">
        <v>5040</v>
      </c>
      <c r="D3463" s="87" t="s">
        <v>4913</v>
      </c>
    </row>
    <row r="3464" spans="2:4" ht="15" x14ac:dyDescent="0.2">
      <c r="B3464" s="87" t="s">
        <v>4110</v>
      </c>
      <c r="C3464" s="88">
        <v>5030</v>
      </c>
      <c r="D3464" s="87" t="s">
        <v>4912</v>
      </c>
    </row>
    <row r="3465" spans="2:4" ht="15" x14ac:dyDescent="0.2">
      <c r="B3465" s="87" t="s">
        <v>4111</v>
      </c>
      <c r="C3465" s="88">
        <v>5020</v>
      </c>
      <c r="D3465" s="87" t="s">
        <v>5036</v>
      </c>
    </row>
    <row r="3466" spans="2:4" ht="15" x14ac:dyDescent="0.2">
      <c r="B3466" s="87" t="s">
        <v>4112</v>
      </c>
      <c r="C3466" s="88">
        <v>5000</v>
      </c>
      <c r="D3466" s="87" t="s">
        <v>4911</v>
      </c>
    </row>
    <row r="3467" spans="2:4" ht="15" x14ac:dyDescent="0.2">
      <c r="B3467" s="87" t="s">
        <v>4113</v>
      </c>
      <c r="C3467" s="88">
        <v>5000</v>
      </c>
      <c r="D3467" s="87" t="s">
        <v>4911</v>
      </c>
    </row>
    <row r="3468" spans="2:4" ht="15" x14ac:dyDescent="0.2">
      <c r="B3468" s="87" t="s">
        <v>4114</v>
      </c>
      <c r="C3468" s="88">
        <v>4990</v>
      </c>
      <c r="D3468" s="87" t="s">
        <v>4910</v>
      </c>
    </row>
    <row r="3469" spans="2:4" ht="15" x14ac:dyDescent="0.2">
      <c r="B3469" s="87" t="s">
        <v>4115</v>
      </c>
      <c r="C3469" s="88">
        <v>4970</v>
      </c>
      <c r="D3469" s="87" t="s">
        <v>4909</v>
      </c>
    </row>
    <row r="3470" spans="2:4" ht="15" x14ac:dyDescent="0.2">
      <c r="B3470" s="87" t="s">
        <v>4116</v>
      </c>
      <c r="C3470" s="88">
        <v>4960</v>
      </c>
      <c r="D3470" s="87" t="s">
        <v>4908</v>
      </c>
    </row>
    <row r="3471" spans="2:4" ht="15" x14ac:dyDescent="0.2">
      <c r="B3471" s="87" t="s">
        <v>4117</v>
      </c>
      <c r="C3471" s="88">
        <v>4950</v>
      </c>
      <c r="D3471" s="87" t="s">
        <v>4907</v>
      </c>
    </row>
    <row r="3472" spans="2:4" ht="15" x14ac:dyDescent="0.2">
      <c r="B3472" s="87" t="s">
        <v>4118</v>
      </c>
      <c r="C3472" s="88">
        <v>4930</v>
      </c>
      <c r="D3472" s="87" t="s">
        <v>4906</v>
      </c>
    </row>
    <row r="3473" spans="2:4" ht="15" x14ac:dyDescent="0.2">
      <c r="B3473" s="87" t="s">
        <v>4119</v>
      </c>
      <c r="C3473" s="88">
        <v>4920</v>
      </c>
      <c r="D3473" s="87" t="s">
        <v>4905</v>
      </c>
    </row>
    <row r="3474" spans="2:4" ht="15" x14ac:dyDescent="0.2">
      <c r="B3474" s="87" t="s">
        <v>4120</v>
      </c>
      <c r="C3474" s="88">
        <v>4900</v>
      </c>
      <c r="D3474" s="87" t="s">
        <v>4904</v>
      </c>
    </row>
    <row r="3475" spans="2:4" ht="15" x14ac:dyDescent="0.2">
      <c r="B3475" s="87" t="s">
        <v>4121</v>
      </c>
      <c r="C3475" s="88">
        <v>4890</v>
      </c>
      <c r="D3475" s="87" t="s">
        <v>4903</v>
      </c>
    </row>
    <row r="3476" spans="2:4" ht="15" x14ac:dyDescent="0.2">
      <c r="B3476" s="87" t="s">
        <v>4122</v>
      </c>
      <c r="C3476" s="88">
        <v>4890</v>
      </c>
      <c r="D3476" s="87" t="s">
        <v>4903</v>
      </c>
    </row>
    <row r="3477" spans="2:4" ht="15" x14ac:dyDescent="0.2">
      <c r="B3477" s="87" t="s">
        <v>4123</v>
      </c>
      <c r="C3477" s="88">
        <v>4870</v>
      </c>
      <c r="D3477" s="87" t="s">
        <v>4902</v>
      </c>
    </row>
    <row r="3478" spans="2:4" ht="15" x14ac:dyDescent="0.2">
      <c r="B3478" s="87" t="s">
        <v>4124</v>
      </c>
      <c r="C3478" s="88">
        <v>4860</v>
      </c>
      <c r="D3478" s="87" t="s">
        <v>4901</v>
      </c>
    </row>
    <row r="3479" spans="2:4" ht="15" x14ac:dyDescent="0.2">
      <c r="B3479" s="87" t="s">
        <v>4125</v>
      </c>
      <c r="C3479" s="88">
        <v>4850</v>
      </c>
      <c r="D3479" s="87" t="s">
        <v>4900</v>
      </c>
    </row>
    <row r="3480" spans="2:4" ht="15" x14ac:dyDescent="0.2">
      <c r="B3480" s="87" t="s">
        <v>4126</v>
      </c>
      <c r="C3480" s="88">
        <v>4830</v>
      </c>
      <c r="D3480" s="87" t="s">
        <v>4899</v>
      </c>
    </row>
    <row r="3481" spans="2:4" ht="15" x14ac:dyDescent="0.2">
      <c r="B3481" s="87" t="s">
        <v>4127</v>
      </c>
      <c r="C3481" s="88">
        <v>4820</v>
      </c>
      <c r="D3481" s="87" t="s">
        <v>4898</v>
      </c>
    </row>
    <row r="3482" spans="2:4" ht="15" x14ac:dyDescent="0.2">
      <c r="B3482" s="87" t="s">
        <v>4128</v>
      </c>
      <c r="C3482" s="88">
        <v>4800</v>
      </c>
      <c r="D3482" s="87" t="s">
        <v>4897</v>
      </c>
    </row>
    <row r="3483" spans="2:4" ht="15" x14ac:dyDescent="0.2">
      <c r="B3483" s="87" t="s">
        <v>4129</v>
      </c>
      <c r="C3483" s="88">
        <v>4800</v>
      </c>
      <c r="D3483" s="87" t="s">
        <v>4897</v>
      </c>
    </row>
    <row r="3484" spans="2:4" ht="15" x14ac:dyDescent="0.2">
      <c r="B3484" s="87" t="s">
        <v>4130</v>
      </c>
      <c r="C3484" s="88">
        <v>4790</v>
      </c>
      <c r="D3484" s="87" t="s">
        <v>4896</v>
      </c>
    </row>
    <row r="3485" spans="2:4" ht="15" x14ac:dyDescent="0.2">
      <c r="B3485" s="87" t="s">
        <v>4131</v>
      </c>
      <c r="C3485" s="88">
        <v>4780</v>
      </c>
      <c r="D3485" s="87" t="s">
        <v>4895</v>
      </c>
    </row>
    <row r="3486" spans="2:4" ht="15" x14ac:dyDescent="0.2">
      <c r="B3486" s="87" t="s">
        <v>4132</v>
      </c>
      <c r="C3486" s="88">
        <v>4780</v>
      </c>
      <c r="D3486" s="87" t="s">
        <v>4895</v>
      </c>
    </row>
    <row r="3487" spans="2:4" ht="15" x14ac:dyDescent="0.2">
      <c r="B3487" s="87" t="s">
        <v>4133</v>
      </c>
      <c r="C3487" s="88">
        <v>4760</v>
      </c>
      <c r="D3487" s="87" t="s">
        <v>4894</v>
      </c>
    </row>
    <row r="3488" spans="2:4" ht="15" x14ac:dyDescent="0.2">
      <c r="B3488" s="87" t="s">
        <v>4134</v>
      </c>
      <c r="C3488" s="88">
        <v>4750</v>
      </c>
      <c r="D3488" s="87" t="s">
        <v>4893</v>
      </c>
    </row>
    <row r="3489" spans="2:4" ht="15" x14ac:dyDescent="0.2">
      <c r="B3489" s="87" t="s">
        <v>4135</v>
      </c>
      <c r="C3489" s="88">
        <v>4750</v>
      </c>
      <c r="D3489" s="87" t="s">
        <v>4893</v>
      </c>
    </row>
    <row r="3490" spans="2:4" ht="15" x14ac:dyDescent="0.2">
      <c r="B3490" s="87" t="s">
        <v>4136</v>
      </c>
      <c r="C3490" s="88">
        <v>4730</v>
      </c>
      <c r="D3490" s="87" t="s">
        <v>4892</v>
      </c>
    </row>
    <row r="3491" spans="2:4" ht="15" x14ac:dyDescent="0.2">
      <c r="B3491" s="87" t="s">
        <v>4137</v>
      </c>
      <c r="C3491" s="88">
        <v>4720</v>
      </c>
      <c r="D3491" s="87" t="s">
        <v>4891</v>
      </c>
    </row>
    <row r="3492" spans="2:4" ht="15" x14ac:dyDescent="0.2">
      <c r="B3492" s="87" t="s">
        <v>4138</v>
      </c>
      <c r="C3492" s="88">
        <v>4720</v>
      </c>
      <c r="D3492" s="87" t="s">
        <v>4891</v>
      </c>
    </row>
    <row r="3493" spans="2:4" ht="15" x14ac:dyDescent="0.2">
      <c r="B3493" s="87" t="s">
        <v>4139</v>
      </c>
      <c r="C3493" s="88">
        <v>4710</v>
      </c>
      <c r="D3493" s="87" t="s">
        <v>4890</v>
      </c>
    </row>
    <row r="3494" spans="2:4" ht="15" x14ac:dyDescent="0.2">
      <c r="B3494" s="87" t="s">
        <v>4140</v>
      </c>
      <c r="C3494" s="88">
        <v>4710</v>
      </c>
      <c r="D3494" s="87" t="s">
        <v>4890</v>
      </c>
    </row>
    <row r="3495" spans="2:4" ht="15" x14ac:dyDescent="0.2">
      <c r="B3495" s="87" t="s">
        <v>4141</v>
      </c>
      <c r="C3495" s="88">
        <v>4690</v>
      </c>
      <c r="D3495" s="87" t="s">
        <v>4889</v>
      </c>
    </row>
    <row r="3496" spans="2:4" ht="15" x14ac:dyDescent="0.2">
      <c r="B3496" s="87" t="s">
        <v>4142</v>
      </c>
      <c r="C3496" s="88">
        <v>4690</v>
      </c>
      <c r="D3496" s="87" t="s">
        <v>4889</v>
      </c>
    </row>
    <row r="3497" spans="2:4" ht="15" x14ac:dyDescent="0.2">
      <c r="B3497" s="87" t="s">
        <v>4143</v>
      </c>
      <c r="C3497" s="88">
        <v>4690</v>
      </c>
      <c r="D3497" s="87" t="s">
        <v>4889</v>
      </c>
    </row>
    <row r="3498" spans="2:4" ht="15" x14ac:dyDescent="0.2">
      <c r="B3498" s="87" t="s">
        <v>4144</v>
      </c>
      <c r="C3498" s="88">
        <v>4680</v>
      </c>
      <c r="D3498" s="87" t="s">
        <v>4888</v>
      </c>
    </row>
    <row r="3499" spans="2:4" ht="15" x14ac:dyDescent="0.2">
      <c r="B3499" s="87" t="s">
        <v>4145</v>
      </c>
      <c r="C3499" s="88">
        <v>4680</v>
      </c>
      <c r="D3499" s="87" t="s">
        <v>4888</v>
      </c>
    </row>
    <row r="3500" spans="2:4" ht="15" x14ac:dyDescent="0.2">
      <c r="B3500" s="87" t="s">
        <v>4146</v>
      </c>
      <c r="C3500" s="88">
        <v>4680</v>
      </c>
      <c r="D3500" s="87" t="s">
        <v>4888</v>
      </c>
    </row>
    <row r="3501" spans="2:4" ht="15" x14ac:dyDescent="0.2">
      <c r="B3501" s="87" t="s">
        <v>4147</v>
      </c>
      <c r="C3501" s="88">
        <v>4670</v>
      </c>
      <c r="D3501" s="87" t="s">
        <v>4887</v>
      </c>
    </row>
    <row r="3502" spans="2:4" ht="15" x14ac:dyDescent="0.2">
      <c r="B3502" s="87" t="s">
        <v>4148</v>
      </c>
      <c r="C3502" s="88">
        <v>4670</v>
      </c>
      <c r="D3502" s="87" t="s">
        <v>4887</v>
      </c>
    </row>
    <row r="3503" spans="2:4" ht="15" x14ac:dyDescent="0.2">
      <c r="B3503" s="87" t="s">
        <v>4149</v>
      </c>
      <c r="C3503" s="88">
        <v>4670</v>
      </c>
      <c r="D3503" s="87" t="s">
        <v>4887</v>
      </c>
    </row>
    <row r="3504" spans="2:4" ht="15" x14ac:dyDescent="0.2">
      <c r="B3504" s="87" t="s">
        <v>4150</v>
      </c>
      <c r="C3504" s="88">
        <v>4670</v>
      </c>
      <c r="D3504" s="87" t="s">
        <v>4887</v>
      </c>
    </row>
    <row r="3505" spans="2:4" ht="15" x14ac:dyDescent="0.2">
      <c r="B3505" s="87" t="s">
        <v>4151</v>
      </c>
      <c r="C3505" s="88">
        <v>4670</v>
      </c>
      <c r="D3505" s="87" t="s">
        <v>4887</v>
      </c>
    </row>
    <row r="3506" spans="2:4" ht="15" x14ac:dyDescent="0.2">
      <c r="B3506" s="87" t="s">
        <v>4152</v>
      </c>
      <c r="C3506" s="88">
        <v>4650</v>
      </c>
      <c r="D3506" s="87" t="s">
        <v>4886</v>
      </c>
    </row>
    <row r="3507" spans="2:4" ht="15" x14ac:dyDescent="0.2">
      <c r="B3507" s="87" t="s">
        <v>4153</v>
      </c>
      <c r="C3507" s="88">
        <v>4650</v>
      </c>
      <c r="D3507" s="87" t="s">
        <v>4886</v>
      </c>
    </row>
    <row r="3508" spans="2:4" ht="15" x14ac:dyDescent="0.2">
      <c r="B3508" s="87" t="s">
        <v>4154</v>
      </c>
      <c r="C3508" s="88">
        <v>4650</v>
      </c>
      <c r="D3508" s="87" t="s">
        <v>4886</v>
      </c>
    </row>
    <row r="3509" spans="2:4" ht="15" x14ac:dyDescent="0.2">
      <c r="B3509" s="87" t="s">
        <v>4155</v>
      </c>
      <c r="C3509" s="88">
        <v>4650</v>
      </c>
      <c r="D3509" s="87" t="s">
        <v>4886</v>
      </c>
    </row>
    <row r="3510" spans="2:4" ht="15" x14ac:dyDescent="0.2">
      <c r="B3510" s="87" t="s">
        <v>4156</v>
      </c>
      <c r="C3510" s="88">
        <v>4650</v>
      </c>
      <c r="D3510" s="87" t="s">
        <v>4886</v>
      </c>
    </row>
    <row r="3511" spans="2:4" ht="15" x14ac:dyDescent="0.2">
      <c r="B3511" s="87" t="s">
        <v>4157</v>
      </c>
      <c r="C3511" s="88">
        <v>4650</v>
      </c>
      <c r="D3511" s="87" t="s">
        <v>4886</v>
      </c>
    </row>
    <row r="3512" spans="2:4" ht="15" x14ac:dyDescent="0.2">
      <c r="B3512" s="87" t="s">
        <v>4158</v>
      </c>
      <c r="C3512" s="88">
        <v>4650</v>
      </c>
      <c r="D3512" s="87" t="s">
        <v>4886</v>
      </c>
    </row>
    <row r="3513" spans="2:4" ht="15" x14ac:dyDescent="0.2">
      <c r="B3513" s="87" t="s">
        <v>4159</v>
      </c>
      <c r="C3513" s="88">
        <v>4650</v>
      </c>
      <c r="D3513" s="87" t="s">
        <v>4886</v>
      </c>
    </row>
    <row r="3514" spans="2:4" ht="15" x14ac:dyDescent="0.2">
      <c r="B3514" s="87" t="s">
        <v>4160</v>
      </c>
      <c r="C3514" s="88">
        <v>4640</v>
      </c>
      <c r="D3514" s="87" t="s">
        <v>4885</v>
      </c>
    </row>
    <row r="3515" spans="2:4" ht="15" x14ac:dyDescent="0.2">
      <c r="B3515" s="87" t="s">
        <v>4161</v>
      </c>
      <c r="C3515" s="88">
        <v>4640</v>
      </c>
      <c r="D3515" s="87" t="s">
        <v>4885</v>
      </c>
    </row>
    <row r="3516" spans="2:4" ht="15" x14ac:dyDescent="0.2">
      <c r="B3516" s="87" t="s">
        <v>4162</v>
      </c>
      <c r="C3516" s="88">
        <v>4640</v>
      </c>
      <c r="D3516" s="87" t="s">
        <v>4885</v>
      </c>
    </row>
    <row r="3517" spans="2:4" ht="15" x14ac:dyDescent="0.2">
      <c r="B3517" s="87" t="s">
        <v>4163</v>
      </c>
      <c r="C3517" s="88">
        <v>4640</v>
      </c>
      <c r="D3517" s="87" t="s">
        <v>4885</v>
      </c>
    </row>
    <row r="3518" spans="2:4" ht="15" x14ac:dyDescent="0.2">
      <c r="B3518" s="87" t="s">
        <v>4164</v>
      </c>
      <c r="C3518" s="88">
        <v>4640</v>
      </c>
      <c r="D3518" s="87" t="s">
        <v>4885</v>
      </c>
    </row>
    <row r="3519" spans="2:4" ht="15" x14ac:dyDescent="0.2">
      <c r="B3519" s="87" t="s">
        <v>4165</v>
      </c>
      <c r="C3519" s="88">
        <v>4640</v>
      </c>
      <c r="D3519" s="87" t="s">
        <v>4885</v>
      </c>
    </row>
    <row r="3520" spans="2:4" ht="15" x14ac:dyDescent="0.2">
      <c r="B3520" s="87" t="s">
        <v>4166</v>
      </c>
      <c r="C3520" s="88">
        <v>4640</v>
      </c>
      <c r="D3520" s="87" t="s">
        <v>4885</v>
      </c>
    </row>
    <row r="3521" spans="2:4" ht="15" x14ac:dyDescent="0.2">
      <c r="B3521" s="87" t="s">
        <v>4167</v>
      </c>
      <c r="C3521" s="88">
        <v>4640</v>
      </c>
      <c r="D3521" s="87" t="s">
        <v>4885</v>
      </c>
    </row>
    <row r="3522" spans="2:4" ht="15" x14ac:dyDescent="0.2">
      <c r="B3522" s="87" t="s">
        <v>4168</v>
      </c>
      <c r="C3522" s="88">
        <v>4640</v>
      </c>
      <c r="D3522" s="87" t="s">
        <v>4885</v>
      </c>
    </row>
    <row r="3523" spans="2:4" ht="15" x14ac:dyDescent="0.2">
      <c r="B3523" s="87" t="s">
        <v>4169</v>
      </c>
      <c r="C3523" s="88">
        <v>4620</v>
      </c>
      <c r="D3523" s="87" t="s">
        <v>4884</v>
      </c>
    </row>
    <row r="3524" spans="2:4" ht="15" x14ac:dyDescent="0.2">
      <c r="B3524" s="87" t="s">
        <v>4170</v>
      </c>
      <c r="C3524" s="88">
        <v>4620</v>
      </c>
      <c r="D3524" s="87" t="s">
        <v>4884</v>
      </c>
    </row>
    <row r="3525" spans="2:4" ht="15" x14ac:dyDescent="0.2">
      <c r="B3525" s="87" t="s">
        <v>4171</v>
      </c>
      <c r="C3525" s="88">
        <v>4620</v>
      </c>
      <c r="D3525" s="87" t="s">
        <v>4884</v>
      </c>
    </row>
    <row r="3526" spans="2:4" ht="15" x14ac:dyDescent="0.2">
      <c r="B3526" s="87" t="s">
        <v>4172</v>
      </c>
      <c r="C3526" s="88">
        <v>4610</v>
      </c>
      <c r="D3526" s="87" t="s">
        <v>4883</v>
      </c>
    </row>
    <row r="3527" spans="2:4" ht="15" x14ac:dyDescent="0.2">
      <c r="B3527" s="87" t="s">
        <v>4173</v>
      </c>
      <c r="C3527" s="88">
        <v>4610</v>
      </c>
      <c r="D3527" s="87" t="s">
        <v>4883</v>
      </c>
    </row>
    <row r="3528" spans="2:4" ht="15" x14ac:dyDescent="0.2">
      <c r="B3528" s="87" t="s">
        <v>4174</v>
      </c>
      <c r="C3528" s="88">
        <v>4610</v>
      </c>
      <c r="D3528" s="87" t="s">
        <v>4883</v>
      </c>
    </row>
    <row r="3529" spans="2:4" ht="15" x14ac:dyDescent="0.2">
      <c r="B3529" s="87" t="s">
        <v>4175</v>
      </c>
      <c r="C3529" s="88">
        <v>4600</v>
      </c>
      <c r="D3529" s="87" t="s">
        <v>4882</v>
      </c>
    </row>
    <row r="3530" spans="2:4" ht="15" x14ac:dyDescent="0.2">
      <c r="B3530" s="87" t="s">
        <v>4176</v>
      </c>
      <c r="C3530" s="88">
        <v>4600</v>
      </c>
      <c r="D3530" s="87" t="s">
        <v>4882</v>
      </c>
    </row>
    <row r="3531" spans="2:4" ht="15" x14ac:dyDescent="0.2">
      <c r="B3531" s="87" t="s">
        <v>4177</v>
      </c>
      <c r="C3531" s="88">
        <v>4600</v>
      </c>
      <c r="D3531" s="87" t="s">
        <v>4882</v>
      </c>
    </row>
    <row r="3532" spans="2:4" ht="15" x14ac:dyDescent="0.2">
      <c r="B3532" s="87" t="s">
        <v>4178</v>
      </c>
      <c r="C3532" s="88">
        <v>4580</v>
      </c>
      <c r="D3532" s="87" t="s">
        <v>4881</v>
      </c>
    </row>
    <row r="3533" spans="2:4" ht="15" x14ac:dyDescent="0.2">
      <c r="B3533" s="87" t="s">
        <v>4179</v>
      </c>
      <c r="C3533" s="88">
        <v>4580</v>
      </c>
      <c r="D3533" s="87" t="s">
        <v>4881</v>
      </c>
    </row>
    <row r="3534" spans="2:4" ht="15" x14ac:dyDescent="0.2">
      <c r="B3534" s="87" t="s">
        <v>4180</v>
      </c>
      <c r="C3534" s="88">
        <v>4570</v>
      </c>
      <c r="D3534" s="87" t="s">
        <v>4880</v>
      </c>
    </row>
    <row r="3535" spans="2:4" ht="15" x14ac:dyDescent="0.2">
      <c r="B3535" s="87" t="s">
        <v>4181</v>
      </c>
      <c r="C3535" s="88">
        <v>4570</v>
      </c>
      <c r="D3535" s="87" t="s">
        <v>4880</v>
      </c>
    </row>
    <row r="3536" spans="2:4" ht="15" x14ac:dyDescent="0.2">
      <c r="B3536" s="87" t="s">
        <v>4182</v>
      </c>
      <c r="C3536" s="88">
        <v>4560</v>
      </c>
      <c r="D3536" s="87" t="s">
        <v>4879</v>
      </c>
    </row>
    <row r="3537" spans="2:4" ht="15" x14ac:dyDescent="0.2">
      <c r="B3537" s="87" t="s">
        <v>4183</v>
      </c>
      <c r="C3537" s="88">
        <v>4560</v>
      </c>
      <c r="D3537" s="87" t="s">
        <v>4879</v>
      </c>
    </row>
    <row r="3538" spans="2:4" ht="15" x14ac:dyDescent="0.2">
      <c r="B3538" s="87" t="s">
        <v>4184</v>
      </c>
      <c r="C3538" s="88">
        <v>4560</v>
      </c>
      <c r="D3538" s="87" t="s">
        <v>4879</v>
      </c>
    </row>
    <row r="3539" spans="2:4" ht="15" x14ac:dyDescent="0.2">
      <c r="B3539" s="87" t="s">
        <v>4185</v>
      </c>
      <c r="C3539" s="88">
        <v>4540</v>
      </c>
      <c r="D3539" s="87" t="s">
        <v>4878</v>
      </c>
    </row>
    <row r="3540" spans="2:4" ht="15" x14ac:dyDescent="0.2">
      <c r="B3540" s="87" t="s">
        <v>4186</v>
      </c>
      <c r="C3540" s="88">
        <v>4540</v>
      </c>
      <c r="D3540" s="87" t="s">
        <v>4878</v>
      </c>
    </row>
    <row r="3541" spans="2:4" ht="15" x14ac:dyDescent="0.2">
      <c r="B3541" s="87" t="s">
        <v>4187</v>
      </c>
      <c r="C3541" s="88">
        <v>4530</v>
      </c>
      <c r="D3541" s="87" t="s">
        <v>4877</v>
      </c>
    </row>
    <row r="3542" spans="2:4" ht="15" x14ac:dyDescent="0.2">
      <c r="B3542" s="87" t="s">
        <v>4188</v>
      </c>
      <c r="C3542" s="88">
        <v>4530</v>
      </c>
      <c r="D3542" s="87" t="s">
        <v>4877</v>
      </c>
    </row>
    <row r="3543" spans="2:4" ht="15" x14ac:dyDescent="0.2">
      <c r="B3543" s="87" t="s">
        <v>4189</v>
      </c>
      <c r="C3543" s="88">
        <v>4530</v>
      </c>
      <c r="D3543" s="87" t="s">
        <v>4877</v>
      </c>
    </row>
    <row r="3544" spans="2:4" ht="15" x14ac:dyDescent="0.2">
      <c r="B3544" s="87" t="s">
        <v>4190</v>
      </c>
      <c r="C3544" s="88">
        <v>4510</v>
      </c>
      <c r="D3544" s="87" t="s">
        <v>4876</v>
      </c>
    </row>
    <row r="3545" spans="2:4" ht="15" x14ac:dyDescent="0.2">
      <c r="B3545" s="87" t="s">
        <v>4191</v>
      </c>
      <c r="C3545" s="88">
        <v>4510</v>
      </c>
      <c r="D3545" s="87" t="s">
        <v>4876</v>
      </c>
    </row>
    <row r="3546" spans="2:4" ht="15" x14ac:dyDescent="0.2">
      <c r="B3546" s="87" t="s">
        <v>4192</v>
      </c>
      <c r="C3546" s="88">
        <v>4500</v>
      </c>
      <c r="D3546" s="87" t="s">
        <v>4875</v>
      </c>
    </row>
    <row r="3547" spans="2:4" ht="15" x14ac:dyDescent="0.2">
      <c r="B3547" s="87" t="s">
        <v>4193</v>
      </c>
      <c r="C3547" s="88">
        <v>4500</v>
      </c>
      <c r="D3547" s="87" t="s">
        <v>4875</v>
      </c>
    </row>
    <row r="3548" spans="2:4" ht="15" x14ac:dyDescent="0.2">
      <c r="B3548" s="87" t="s">
        <v>4194</v>
      </c>
      <c r="C3548" s="88">
        <v>4490</v>
      </c>
      <c r="D3548" s="87" t="s">
        <v>5037</v>
      </c>
    </row>
    <row r="3549" spans="2:4" ht="15" x14ac:dyDescent="0.2">
      <c r="B3549" s="87" t="s">
        <v>4195</v>
      </c>
      <c r="C3549" s="88">
        <v>4490</v>
      </c>
      <c r="D3549" s="87" t="s">
        <v>5037</v>
      </c>
    </row>
    <row r="3550" spans="2:4" ht="15" x14ac:dyDescent="0.2">
      <c r="B3550" s="87" t="s">
        <v>4196</v>
      </c>
      <c r="C3550" s="88">
        <v>4470</v>
      </c>
      <c r="D3550" s="87" t="s">
        <v>5038</v>
      </c>
    </row>
    <row r="3551" spans="2:4" ht="15" x14ac:dyDescent="0.2">
      <c r="B3551" s="87" t="s">
        <v>4197</v>
      </c>
      <c r="C3551" s="88">
        <v>4470</v>
      </c>
      <c r="D3551" s="87" t="s">
        <v>5038</v>
      </c>
    </row>
    <row r="3552" spans="2:4" ht="15" x14ac:dyDescent="0.2">
      <c r="B3552" s="87" t="s">
        <v>4198</v>
      </c>
      <c r="C3552" s="88">
        <v>4460</v>
      </c>
      <c r="D3552" s="87" t="s">
        <v>5039</v>
      </c>
    </row>
    <row r="3553" spans="2:4" ht="15" x14ac:dyDescent="0.2">
      <c r="B3553" s="87" t="s">
        <v>4199</v>
      </c>
      <c r="C3553" s="88">
        <v>4460</v>
      </c>
      <c r="D3553" s="87" t="s">
        <v>5039</v>
      </c>
    </row>
    <row r="3554" spans="2:4" ht="15" x14ac:dyDescent="0.2">
      <c r="B3554" s="87" t="s">
        <v>4200</v>
      </c>
      <c r="C3554" s="88">
        <v>4450</v>
      </c>
      <c r="D3554" s="87" t="s">
        <v>5040</v>
      </c>
    </row>
    <row r="3555" spans="2:4" ht="15" x14ac:dyDescent="0.2">
      <c r="B3555" s="87" t="s">
        <v>4201</v>
      </c>
      <c r="C3555" s="88">
        <v>4450</v>
      </c>
      <c r="D3555" s="87" t="s">
        <v>5040</v>
      </c>
    </row>
    <row r="3556" spans="2:4" ht="15" x14ac:dyDescent="0.2">
      <c r="B3556" s="87" t="s">
        <v>4202</v>
      </c>
      <c r="C3556" s="88">
        <v>4430</v>
      </c>
      <c r="D3556" s="87" t="s">
        <v>5041</v>
      </c>
    </row>
    <row r="3557" spans="2:4" ht="15" x14ac:dyDescent="0.2">
      <c r="B3557" s="87" t="s">
        <v>4203</v>
      </c>
      <c r="C3557" s="88">
        <v>4430</v>
      </c>
      <c r="D3557" s="87" t="s">
        <v>5041</v>
      </c>
    </row>
    <row r="3558" spans="2:4" ht="15" x14ac:dyDescent="0.2">
      <c r="B3558" s="87" t="s">
        <v>4204</v>
      </c>
      <c r="C3558" s="88">
        <v>4420</v>
      </c>
      <c r="D3558" s="87" t="s">
        <v>5042</v>
      </c>
    </row>
    <row r="3559" spans="2:4" ht="15" x14ac:dyDescent="0.2">
      <c r="B3559" s="87" t="s">
        <v>4205</v>
      </c>
      <c r="C3559" s="88">
        <v>4420</v>
      </c>
      <c r="D3559" s="87" t="s">
        <v>5042</v>
      </c>
    </row>
    <row r="3560" spans="2:4" ht="15" x14ac:dyDescent="0.2">
      <c r="B3560" s="87" t="s">
        <v>4206</v>
      </c>
      <c r="C3560" s="88">
        <v>4400</v>
      </c>
      <c r="D3560" s="87" t="s">
        <v>5043</v>
      </c>
    </row>
    <row r="3561" spans="2:4" ht="15" x14ac:dyDescent="0.2">
      <c r="B3561" s="87" t="s">
        <v>4207</v>
      </c>
      <c r="C3561" s="88">
        <v>4400</v>
      </c>
      <c r="D3561" s="87" t="s">
        <v>5043</v>
      </c>
    </row>
    <row r="3562" spans="2:4" ht="15" x14ac:dyDescent="0.2">
      <c r="B3562" s="87" t="s">
        <v>4208</v>
      </c>
      <c r="C3562" s="88">
        <v>4390</v>
      </c>
      <c r="D3562" s="87" t="s">
        <v>5044</v>
      </c>
    </row>
    <row r="3563" spans="2:4" ht="15" x14ac:dyDescent="0.2">
      <c r="B3563" s="87" t="s">
        <v>4209</v>
      </c>
      <c r="C3563" s="88">
        <v>4390</v>
      </c>
      <c r="D3563" s="87" t="s">
        <v>5044</v>
      </c>
    </row>
    <row r="3564" spans="2:4" ht="15" x14ac:dyDescent="0.2">
      <c r="B3564" s="87" t="s">
        <v>4210</v>
      </c>
      <c r="C3564" s="88">
        <v>4380</v>
      </c>
      <c r="D3564" s="87" t="s">
        <v>5045</v>
      </c>
    </row>
    <row r="3565" spans="2:4" ht="15" x14ac:dyDescent="0.2">
      <c r="B3565" s="87" t="s">
        <v>4211</v>
      </c>
      <c r="C3565" s="88">
        <v>4360</v>
      </c>
      <c r="D3565" s="87" t="s">
        <v>5046</v>
      </c>
    </row>
    <row r="3566" spans="2:4" ht="15" x14ac:dyDescent="0.2">
      <c r="B3566" s="87" t="s">
        <v>4212</v>
      </c>
      <c r="C3566" s="88">
        <v>4360</v>
      </c>
      <c r="D3566" s="87" t="s">
        <v>5046</v>
      </c>
    </row>
    <row r="3567" spans="2:4" ht="15" x14ac:dyDescent="0.2">
      <c r="B3567" s="87" t="s">
        <v>4213</v>
      </c>
      <c r="C3567" s="88">
        <v>4360</v>
      </c>
      <c r="D3567" s="87" t="s">
        <v>5046</v>
      </c>
    </row>
    <row r="3568" spans="2:4" ht="15" x14ac:dyDescent="0.2">
      <c r="B3568" s="87" t="s">
        <v>4214</v>
      </c>
      <c r="C3568" s="88">
        <v>4350</v>
      </c>
      <c r="D3568" s="87" t="s">
        <v>5047</v>
      </c>
    </row>
    <row r="3569" spans="2:4" ht="15" x14ac:dyDescent="0.2">
      <c r="B3569" s="87" t="s">
        <v>4215</v>
      </c>
      <c r="C3569" s="88">
        <v>4350</v>
      </c>
      <c r="D3569" s="87" t="s">
        <v>5047</v>
      </c>
    </row>
    <row r="3570" spans="2:4" ht="15" x14ac:dyDescent="0.2">
      <c r="B3570" s="87" t="s">
        <v>4216</v>
      </c>
      <c r="C3570" s="88">
        <v>4340</v>
      </c>
      <c r="D3570" s="87" t="s">
        <v>5048</v>
      </c>
    </row>
    <row r="3571" spans="2:4" ht="15" x14ac:dyDescent="0.2">
      <c r="B3571" s="87" t="s">
        <v>4217</v>
      </c>
      <c r="C3571" s="88">
        <v>4340</v>
      </c>
      <c r="D3571" s="87" t="s">
        <v>5048</v>
      </c>
    </row>
    <row r="3572" spans="2:4" ht="15" x14ac:dyDescent="0.2">
      <c r="B3572" s="87" t="s">
        <v>4218</v>
      </c>
      <c r="C3572" s="88">
        <v>4320</v>
      </c>
      <c r="D3572" s="87" t="s">
        <v>5049</v>
      </c>
    </row>
    <row r="3573" spans="2:4" ht="15" x14ac:dyDescent="0.2">
      <c r="B3573" s="87" t="s">
        <v>4219</v>
      </c>
      <c r="C3573" s="88">
        <v>4320</v>
      </c>
      <c r="D3573" s="87" t="s">
        <v>5049</v>
      </c>
    </row>
    <row r="3574" spans="2:4" ht="15" x14ac:dyDescent="0.2">
      <c r="B3574" s="87" t="s">
        <v>4220</v>
      </c>
      <c r="C3574" s="88">
        <v>4310</v>
      </c>
      <c r="D3574" s="87" t="s">
        <v>5050</v>
      </c>
    </row>
    <row r="3575" spans="2:4" ht="15" x14ac:dyDescent="0.2">
      <c r="B3575" s="87" t="s">
        <v>4221</v>
      </c>
      <c r="C3575" s="88">
        <v>4310</v>
      </c>
      <c r="D3575" s="87" t="s">
        <v>5050</v>
      </c>
    </row>
    <row r="3576" spans="2:4" ht="15" x14ac:dyDescent="0.2">
      <c r="B3576" s="87" t="s">
        <v>4222</v>
      </c>
      <c r="C3576" s="88">
        <v>4300</v>
      </c>
      <c r="D3576" s="87" t="s">
        <v>5051</v>
      </c>
    </row>
    <row r="3577" spans="2:4" ht="15" x14ac:dyDescent="0.2">
      <c r="B3577" s="87" t="s">
        <v>4223</v>
      </c>
      <c r="C3577" s="88">
        <v>4300</v>
      </c>
      <c r="D3577" s="87" t="s">
        <v>5051</v>
      </c>
    </row>
    <row r="3578" spans="2:4" ht="15" x14ac:dyDescent="0.2">
      <c r="B3578" s="87" t="s">
        <v>4224</v>
      </c>
      <c r="C3578" s="88">
        <v>4280</v>
      </c>
      <c r="D3578" s="87" t="s">
        <v>5052</v>
      </c>
    </row>
    <row r="3579" spans="2:4" ht="15" x14ac:dyDescent="0.2">
      <c r="B3579" s="87" t="s">
        <v>4225</v>
      </c>
      <c r="C3579" s="88">
        <v>4280</v>
      </c>
      <c r="D3579" s="87" t="s">
        <v>5052</v>
      </c>
    </row>
    <row r="3580" spans="2:4" ht="15" x14ac:dyDescent="0.2">
      <c r="B3580" s="87" t="s">
        <v>4226</v>
      </c>
      <c r="C3580" s="88">
        <v>4270</v>
      </c>
      <c r="D3580" s="87" t="s">
        <v>5053</v>
      </c>
    </row>
    <row r="3581" spans="2:4" ht="15" x14ac:dyDescent="0.2">
      <c r="B3581" s="87" t="s">
        <v>4227</v>
      </c>
      <c r="C3581" s="88">
        <v>4270</v>
      </c>
      <c r="D3581" s="87" t="s">
        <v>5053</v>
      </c>
    </row>
    <row r="3582" spans="2:4" ht="15" x14ac:dyDescent="0.2">
      <c r="B3582" s="87" t="s">
        <v>4228</v>
      </c>
      <c r="C3582" s="88">
        <v>4270</v>
      </c>
      <c r="D3582" s="87" t="s">
        <v>5053</v>
      </c>
    </row>
    <row r="3583" spans="2:4" ht="15" x14ac:dyDescent="0.2">
      <c r="B3583" s="87" t="s">
        <v>4229</v>
      </c>
      <c r="C3583" s="88">
        <v>4260</v>
      </c>
      <c r="D3583" s="87" t="s">
        <v>5054</v>
      </c>
    </row>
    <row r="3584" spans="2:4" ht="15" x14ac:dyDescent="0.2">
      <c r="B3584" s="87" t="s">
        <v>4230</v>
      </c>
      <c r="C3584" s="88">
        <v>4260</v>
      </c>
      <c r="D3584" s="87" t="s">
        <v>5054</v>
      </c>
    </row>
    <row r="3585" spans="2:4" ht="15" x14ac:dyDescent="0.2">
      <c r="B3585" s="87" t="s">
        <v>4231</v>
      </c>
      <c r="C3585" s="88">
        <v>4240</v>
      </c>
      <c r="D3585" s="87" t="s">
        <v>5055</v>
      </c>
    </row>
    <row r="3586" spans="2:4" ht="15" x14ac:dyDescent="0.2">
      <c r="B3586" s="87" t="s">
        <v>4232</v>
      </c>
      <c r="C3586" s="88">
        <v>4240</v>
      </c>
      <c r="D3586" s="87" t="s">
        <v>5055</v>
      </c>
    </row>
    <row r="3587" spans="2:4" ht="15" x14ac:dyDescent="0.2">
      <c r="B3587" s="87" t="s">
        <v>4233</v>
      </c>
      <c r="C3587" s="88">
        <v>4240</v>
      </c>
      <c r="D3587" s="87" t="s">
        <v>5055</v>
      </c>
    </row>
    <row r="3588" spans="2:4" ht="15" x14ac:dyDescent="0.2">
      <c r="B3588" s="87" t="s">
        <v>4234</v>
      </c>
      <c r="C3588" s="88">
        <v>4230</v>
      </c>
      <c r="D3588" s="87" t="s">
        <v>5056</v>
      </c>
    </row>
    <row r="3589" spans="2:4" ht="15" x14ac:dyDescent="0.2">
      <c r="B3589" s="87" t="s">
        <v>4235</v>
      </c>
      <c r="C3589" s="88">
        <v>4230</v>
      </c>
      <c r="D3589" s="87" t="s">
        <v>5056</v>
      </c>
    </row>
    <row r="3590" spans="2:4" ht="15" x14ac:dyDescent="0.2">
      <c r="B3590" s="87" t="s">
        <v>4236</v>
      </c>
      <c r="C3590" s="88">
        <v>4230</v>
      </c>
      <c r="D3590" s="87" t="s">
        <v>5056</v>
      </c>
    </row>
    <row r="3591" spans="2:4" ht="15" x14ac:dyDescent="0.2">
      <c r="B3591" s="87" t="s">
        <v>4237</v>
      </c>
      <c r="C3591" s="88">
        <v>4230</v>
      </c>
      <c r="D3591" s="87" t="s">
        <v>5056</v>
      </c>
    </row>
    <row r="3592" spans="2:4" ht="15" x14ac:dyDescent="0.2">
      <c r="B3592" s="87" t="s">
        <v>4238</v>
      </c>
      <c r="C3592" s="88">
        <v>4220</v>
      </c>
      <c r="D3592" s="87" t="s">
        <v>5057</v>
      </c>
    </row>
    <row r="3593" spans="2:4" ht="15" x14ac:dyDescent="0.2">
      <c r="B3593" s="87" t="s">
        <v>4239</v>
      </c>
      <c r="C3593" s="88">
        <v>4220</v>
      </c>
      <c r="D3593" s="87" t="s">
        <v>5057</v>
      </c>
    </row>
    <row r="3594" spans="2:4" ht="15" x14ac:dyDescent="0.2">
      <c r="B3594" s="87" t="s">
        <v>4240</v>
      </c>
      <c r="C3594" s="88">
        <v>4220</v>
      </c>
      <c r="D3594" s="87" t="s">
        <v>5057</v>
      </c>
    </row>
    <row r="3595" spans="2:4" ht="15" x14ac:dyDescent="0.2">
      <c r="B3595" s="87" t="s">
        <v>4241</v>
      </c>
      <c r="C3595" s="88">
        <v>4220</v>
      </c>
      <c r="D3595" s="87" t="s">
        <v>5057</v>
      </c>
    </row>
    <row r="3596" spans="2:4" ht="15" x14ac:dyDescent="0.2">
      <c r="B3596" s="87" t="s">
        <v>4242</v>
      </c>
      <c r="C3596" s="88">
        <v>4200</v>
      </c>
      <c r="D3596" s="87" t="s">
        <v>5058</v>
      </c>
    </row>
    <row r="3597" spans="2:4" ht="15" x14ac:dyDescent="0.2">
      <c r="B3597" s="87" t="s">
        <v>4243</v>
      </c>
      <c r="C3597" s="88">
        <v>4200</v>
      </c>
      <c r="D3597" s="87" t="s">
        <v>5058</v>
      </c>
    </row>
    <row r="3598" spans="2:4" ht="15" x14ac:dyDescent="0.2">
      <c r="B3598" s="87" t="s">
        <v>4244</v>
      </c>
      <c r="C3598" s="88">
        <v>4200</v>
      </c>
      <c r="D3598" s="87" t="s">
        <v>5058</v>
      </c>
    </row>
    <row r="3599" spans="2:4" ht="15" x14ac:dyDescent="0.2">
      <c r="B3599" s="87" t="s">
        <v>4245</v>
      </c>
      <c r="C3599" s="88">
        <v>4200</v>
      </c>
      <c r="D3599" s="87" t="s">
        <v>5058</v>
      </c>
    </row>
    <row r="3600" spans="2:4" ht="15" x14ac:dyDescent="0.2">
      <c r="B3600" s="87" t="s">
        <v>4246</v>
      </c>
      <c r="C3600" s="88">
        <v>4200</v>
      </c>
      <c r="D3600" s="87" t="s">
        <v>5058</v>
      </c>
    </row>
    <row r="3601" spans="2:4" ht="15" x14ac:dyDescent="0.2">
      <c r="B3601" s="87" t="s">
        <v>4247</v>
      </c>
      <c r="C3601" s="88">
        <v>4200</v>
      </c>
      <c r="D3601" s="87" t="s">
        <v>5058</v>
      </c>
    </row>
    <row r="3602" spans="2:4" ht="15" x14ac:dyDescent="0.2">
      <c r="B3602" s="87" t="s">
        <v>4248</v>
      </c>
      <c r="C3602" s="88">
        <v>4200</v>
      </c>
      <c r="D3602" s="87" t="s">
        <v>5058</v>
      </c>
    </row>
    <row r="3603" spans="2:4" ht="15" x14ac:dyDescent="0.2">
      <c r="B3603" s="87" t="s">
        <v>4249</v>
      </c>
      <c r="C3603" s="88">
        <v>4200</v>
      </c>
      <c r="D3603" s="87" t="s">
        <v>5058</v>
      </c>
    </row>
    <row r="3604" spans="2:4" ht="15" x14ac:dyDescent="0.2">
      <c r="B3604" s="87" t="s">
        <v>4250</v>
      </c>
      <c r="C3604" s="88">
        <v>4200</v>
      </c>
      <c r="D3604" s="87" t="s">
        <v>5058</v>
      </c>
    </row>
    <row r="3605" spans="2:4" ht="15" x14ac:dyDescent="0.2">
      <c r="B3605" s="87" t="s">
        <v>4251</v>
      </c>
      <c r="C3605" s="88">
        <v>4200</v>
      </c>
      <c r="D3605" s="87" t="s">
        <v>5058</v>
      </c>
    </row>
    <row r="3606" spans="2:4" ht="15" x14ac:dyDescent="0.2">
      <c r="B3606" s="87" t="s">
        <v>4252</v>
      </c>
      <c r="C3606" s="88">
        <v>4200</v>
      </c>
      <c r="D3606" s="87" t="s">
        <v>5058</v>
      </c>
    </row>
    <row r="3607" spans="2:4" ht="15" x14ac:dyDescent="0.2">
      <c r="B3607" s="87" t="s">
        <v>4253</v>
      </c>
      <c r="C3607" s="88">
        <v>4200</v>
      </c>
      <c r="D3607" s="87" t="s">
        <v>5058</v>
      </c>
    </row>
    <row r="3608" spans="2:4" ht="15" x14ac:dyDescent="0.2">
      <c r="B3608" s="87" t="s">
        <v>4254</v>
      </c>
      <c r="C3608" s="88">
        <v>4200</v>
      </c>
      <c r="D3608" s="87" t="s">
        <v>5058</v>
      </c>
    </row>
    <row r="3609" spans="2:4" ht="15" x14ac:dyDescent="0.2">
      <c r="B3609" s="87" t="s">
        <v>4255</v>
      </c>
      <c r="C3609" s="88">
        <v>4190</v>
      </c>
      <c r="D3609" s="87" t="s">
        <v>5059</v>
      </c>
    </row>
    <row r="3610" spans="2:4" ht="15" x14ac:dyDescent="0.2">
      <c r="B3610" s="87" t="s">
        <v>4256</v>
      </c>
      <c r="C3610" s="88">
        <v>4190</v>
      </c>
      <c r="D3610" s="87" t="s">
        <v>5059</v>
      </c>
    </row>
    <row r="3611" spans="2:4" ht="15" x14ac:dyDescent="0.2">
      <c r="B3611" s="87" t="s">
        <v>4257</v>
      </c>
      <c r="C3611" s="88">
        <v>4190</v>
      </c>
      <c r="D3611" s="87" t="s">
        <v>5059</v>
      </c>
    </row>
    <row r="3612" spans="2:4" ht="15" x14ac:dyDescent="0.2">
      <c r="B3612" s="87" t="s">
        <v>4258</v>
      </c>
      <c r="C3612" s="88">
        <v>4190</v>
      </c>
      <c r="D3612" s="87" t="s">
        <v>5059</v>
      </c>
    </row>
    <row r="3613" spans="2:4" ht="15" x14ac:dyDescent="0.2">
      <c r="B3613" s="87" t="s">
        <v>4259</v>
      </c>
      <c r="C3613" s="88">
        <v>4190</v>
      </c>
      <c r="D3613" s="87" t="s">
        <v>5059</v>
      </c>
    </row>
    <row r="3614" spans="2:4" ht="15" x14ac:dyDescent="0.2">
      <c r="B3614" s="87" t="s">
        <v>4260</v>
      </c>
      <c r="C3614" s="88">
        <v>4190</v>
      </c>
      <c r="D3614" s="87" t="s">
        <v>5059</v>
      </c>
    </row>
    <row r="3615" spans="2:4" ht="15" x14ac:dyDescent="0.2">
      <c r="B3615" s="87" t="s">
        <v>4261</v>
      </c>
      <c r="C3615" s="88">
        <v>4190</v>
      </c>
      <c r="D3615" s="87" t="s">
        <v>5059</v>
      </c>
    </row>
    <row r="3616" spans="2:4" ht="15" x14ac:dyDescent="0.2">
      <c r="B3616" s="87" t="s">
        <v>4262</v>
      </c>
      <c r="C3616" s="88">
        <v>4190</v>
      </c>
      <c r="D3616" s="87" t="s">
        <v>5059</v>
      </c>
    </row>
    <row r="3617" spans="2:4" ht="15" x14ac:dyDescent="0.2">
      <c r="B3617" s="87" t="s">
        <v>4263</v>
      </c>
      <c r="C3617" s="88">
        <v>4180</v>
      </c>
      <c r="D3617" s="87" t="s">
        <v>5060</v>
      </c>
    </row>
    <row r="3618" spans="2:4" ht="15" x14ac:dyDescent="0.2">
      <c r="B3618" s="87" t="s">
        <v>4264</v>
      </c>
      <c r="C3618" s="88">
        <v>4180</v>
      </c>
      <c r="D3618" s="87" t="s">
        <v>5060</v>
      </c>
    </row>
    <row r="3619" spans="2:4" ht="15" x14ac:dyDescent="0.2">
      <c r="B3619" s="87" t="s">
        <v>4265</v>
      </c>
      <c r="C3619" s="88">
        <v>4180</v>
      </c>
      <c r="D3619" s="87" t="s">
        <v>5060</v>
      </c>
    </row>
    <row r="3620" spans="2:4" ht="15" x14ac:dyDescent="0.2">
      <c r="B3620" s="87" t="s">
        <v>4266</v>
      </c>
      <c r="C3620" s="88">
        <v>4180</v>
      </c>
      <c r="D3620" s="87" t="s">
        <v>5060</v>
      </c>
    </row>
    <row r="3621" spans="2:4" ht="15" x14ac:dyDescent="0.2">
      <c r="B3621" s="87" t="s">
        <v>4267</v>
      </c>
      <c r="C3621" s="88">
        <v>4180</v>
      </c>
      <c r="D3621" s="87" t="s">
        <v>5060</v>
      </c>
    </row>
    <row r="3622" spans="2:4" ht="15" x14ac:dyDescent="0.2">
      <c r="B3622" s="87" t="s">
        <v>4268</v>
      </c>
      <c r="C3622" s="88">
        <v>4180</v>
      </c>
      <c r="D3622" s="87" t="s">
        <v>5060</v>
      </c>
    </row>
    <row r="3623" spans="2:4" ht="15" x14ac:dyDescent="0.2">
      <c r="B3623" s="87" t="s">
        <v>4269</v>
      </c>
      <c r="C3623" s="88">
        <v>4180</v>
      </c>
      <c r="D3623" s="87" t="s">
        <v>5060</v>
      </c>
    </row>
    <row r="3624" spans="2:4" ht="15" x14ac:dyDescent="0.2">
      <c r="B3624" s="87" t="s">
        <v>4270</v>
      </c>
      <c r="C3624" s="88">
        <v>4180</v>
      </c>
      <c r="D3624" s="87" t="s">
        <v>5060</v>
      </c>
    </row>
    <row r="3625" spans="2:4" ht="15" x14ac:dyDescent="0.2">
      <c r="B3625" s="87" t="s">
        <v>4271</v>
      </c>
      <c r="C3625" s="88">
        <v>4180</v>
      </c>
      <c r="D3625" s="87" t="s">
        <v>5060</v>
      </c>
    </row>
    <row r="3626" spans="2:4" ht="15" x14ac:dyDescent="0.2">
      <c r="B3626" s="87" t="s">
        <v>4272</v>
      </c>
      <c r="C3626" s="88">
        <v>4180</v>
      </c>
      <c r="D3626" s="87" t="s">
        <v>5060</v>
      </c>
    </row>
    <row r="3627" spans="2:4" ht="15" x14ac:dyDescent="0.2">
      <c r="B3627" s="87" t="s">
        <v>4273</v>
      </c>
      <c r="C3627" s="88">
        <v>4180</v>
      </c>
      <c r="D3627" s="87" t="s">
        <v>5060</v>
      </c>
    </row>
    <row r="3628" spans="2:4" ht="15" x14ac:dyDescent="0.2">
      <c r="B3628" s="87" t="s">
        <v>4274</v>
      </c>
      <c r="C3628" s="88">
        <v>4180</v>
      </c>
      <c r="D3628" s="87" t="s">
        <v>5060</v>
      </c>
    </row>
    <row r="3629" spans="2:4" ht="15" x14ac:dyDescent="0.2">
      <c r="B3629" s="87" t="s">
        <v>4275</v>
      </c>
      <c r="C3629" s="88">
        <v>4180</v>
      </c>
      <c r="D3629" s="87" t="s">
        <v>5060</v>
      </c>
    </row>
    <row r="3630" spans="2:4" ht="15" x14ac:dyDescent="0.2">
      <c r="B3630" s="87" t="s">
        <v>4276</v>
      </c>
      <c r="C3630" s="88">
        <v>4180</v>
      </c>
      <c r="D3630" s="87" t="s">
        <v>5060</v>
      </c>
    </row>
    <row r="3631" spans="2:4" ht="15" x14ac:dyDescent="0.2">
      <c r="B3631" s="87" t="s">
        <v>4277</v>
      </c>
      <c r="C3631" s="88">
        <v>4180</v>
      </c>
      <c r="D3631" s="87" t="s">
        <v>5060</v>
      </c>
    </row>
    <row r="3632" spans="2:4" ht="15" x14ac:dyDescent="0.2">
      <c r="B3632" s="87" t="s">
        <v>4278</v>
      </c>
      <c r="C3632" s="88">
        <v>4180</v>
      </c>
      <c r="D3632" s="87" t="s">
        <v>5060</v>
      </c>
    </row>
    <row r="3633" spans="2:4" ht="15" x14ac:dyDescent="0.2">
      <c r="B3633" s="87" t="s">
        <v>4279</v>
      </c>
      <c r="C3633" s="88">
        <v>4180</v>
      </c>
      <c r="D3633" s="87" t="s">
        <v>5060</v>
      </c>
    </row>
    <row r="3634" spans="2:4" ht="15" x14ac:dyDescent="0.2">
      <c r="B3634" s="87" t="s">
        <v>4280</v>
      </c>
      <c r="C3634" s="88">
        <v>4180</v>
      </c>
      <c r="D3634" s="87" t="s">
        <v>5060</v>
      </c>
    </row>
    <row r="3635" spans="2:4" ht="15" x14ac:dyDescent="0.2">
      <c r="B3635" s="87" t="s">
        <v>4281</v>
      </c>
      <c r="C3635" s="88">
        <v>4180</v>
      </c>
      <c r="D3635" s="87" t="s">
        <v>5060</v>
      </c>
    </row>
    <row r="3636" spans="2:4" ht="15" x14ac:dyDescent="0.2">
      <c r="B3636" s="87" t="s">
        <v>4282</v>
      </c>
      <c r="C3636" s="88">
        <v>4180</v>
      </c>
      <c r="D3636" s="87" t="s">
        <v>5060</v>
      </c>
    </row>
    <row r="3637" spans="2:4" ht="15" x14ac:dyDescent="0.2">
      <c r="B3637" s="87" t="s">
        <v>4283</v>
      </c>
      <c r="C3637" s="88">
        <v>4180</v>
      </c>
      <c r="D3637" s="87" t="s">
        <v>5060</v>
      </c>
    </row>
    <row r="3638" spans="2:4" ht="15" x14ac:dyDescent="0.2">
      <c r="B3638" s="87" t="s">
        <v>4284</v>
      </c>
      <c r="C3638" s="88">
        <v>4160</v>
      </c>
      <c r="D3638" s="87" t="s">
        <v>5061</v>
      </c>
    </row>
    <row r="3639" spans="2:4" ht="15" x14ac:dyDescent="0.2">
      <c r="B3639" s="87" t="s">
        <v>4285</v>
      </c>
      <c r="C3639" s="88">
        <v>4160</v>
      </c>
      <c r="D3639" s="87" t="s">
        <v>5061</v>
      </c>
    </row>
    <row r="3640" spans="2:4" ht="15" x14ac:dyDescent="0.2">
      <c r="B3640" s="87" t="s">
        <v>4286</v>
      </c>
      <c r="C3640" s="88">
        <v>4160</v>
      </c>
      <c r="D3640" s="87" t="s">
        <v>5061</v>
      </c>
    </row>
    <row r="3641" spans="2:4" ht="15" x14ac:dyDescent="0.2">
      <c r="B3641" s="87" t="s">
        <v>4287</v>
      </c>
      <c r="C3641" s="88">
        <v>4160</v>
      </c>
      <c r="D3641" s="87" t="s">
        <v>5061</v>
      </c>
    </row>
    <row r="3642" spans="2:4" ht="15" x14ac:dyDescent="0.2">
      <c r="B3642" s="87" t="s">
        <v>4288</v>
      </c>
      <c r="C3642" s="88">
        <v>4160</v>
      </c>
      <c r="D3642" s="87" t="s">
        <v>5061</v>
      </c>
    </row>
    <row r="3643" spans="2:4" ht="15" x14ac:dyDescent="0.2">
      <c r="B3643" s="87" t="s">
        <v>4289</v>
      </c>
      <c r="C3643" s="88">
        <v>4150</v>
      </c>
      <c r="D3643" s="87" t="s">
        <v>5062</v>
      </c>
    </row>
    <row r="3644" spans="2:4" ht="15" x14ac:dyDescent="0.2">
      <c r="B3644" s="87" t="s">
        <v>4290</v>
      </c>
      <c r="C3644" s="88">
        <v>4150</v>
      </c>
      <c r="D3644" s="87" t="s">
        <v>5062</v>
      </c>
    </row>
    <row r="3645" spans="2:4" ht="15" x14ac:dyDescent="0.2">
      <c r="B3645" s="87" t="s">
        <v>4291</v>
      </c>
      <c r="C3645" s="88">
        <v>4150</v>
      </c>
      <c r="D3645" s="87" t="s">
        <v>5062</v>
      </c>
    </row>
    <row r="3646" spans="2:4" ht="15" x14ac:dyDescent="0.2">
      <c r="B3646" s="87" t="s">
        <v>4292</v>
      </c>
      <c r="C3646" s="88">
        <v>4150</v>
      </c>
      <c r="D3646" s="87" t="s">
        <v>5062</v>
      </c>
    </row>
    <row r="3647" spans="2:4" ht="15" x14ac:dyDescent="0.2">
      <c r="B3647" s="87" t="s">
        <v>4293</v>
      </c>
      <c r="C3647" s="88">
        <v>4150</v>
      </c>
      <c r="D3647" s="87" t="s">
        <v>5062</v>
      </c>
    </row>
    <row r="3648" spans="2:4" ht="15" x14ac:dyDescent="0.2">
      <c r="B3648" s="87" t="s">
        <v>4294</v>
      </c>
      <c r="C3648" s="88">
        <v>4150</v>
      </c>
      <c r="D3648" s="87" t="s">
        <v>5062</v>
      </c>
    </row>
    <row r="3649" spans="2:4" ht="15" x14ac:dyDescent="0.2">
      <c r="B3649" s="87" t="s">
        <v>4295</v>
      </c>
      <c r="C3649" s="88">
        <v>4140</v>
      </c>
      <c r="D3649" s="87" t="s">
        <v>5146</v>
      </c>
    </row>
    <row r="3650" spans="2:4" ht="15" x14ac:dyDescent="0.2">
      <c r="B3650" s="87" t="s">
        <v>4296</v>
      </c>
      <c r="C3650" s="88">
        <v>4140</v>
      </c>
      <c r="D3650" s="87" t="s">
        <v>5146</v>
      </c>
    </row>
    <row r="3651" spans="2:4" ht="15" x14ac:dyDescent="0.2">
      <c r="B3651" s="87" t="s">
        <v>4297</v>
      </c>
      <c r="C3651" s="88">
        <v>4140</v>
      </c>
      <c r="D3651" s="87" t="s">
        <v>5146</v>
      </c>
    </row>
    <row r="3652" spans="2:4" ht="15" x14ac:dyDescent="0.2">
      <c r="B3652" s="87" t="s">
        <v>4298</v>
      </c>
      <c r="C3652" s="88">
        <v>4140</v>
      </c>
      <c r="D3652" s="87" t="s">
        <v>5146</v>
      </c>
    </row>
    <row r="3653" spans="2:4" ht="15" x14ac:dyDescent="0.2">
      <c r="B3653" s="87" t="s">
        <v>4299</v>
      </c>
      <c r="C3653" s="88">
        <v>4140</v>
      </c>
      <c r="D3653" s="87" t="s">
        <v>5146</v>
      </c>
    </row>
    <row r="3654" spans="2:4" ht="15" x14ac:dyDescent="0.2">
      <c r="B3654" s="87" t="s">
        <v>4300</v>
      </c>
      <c r="C3654" s="88">
        <v>4140</v>
      </c>
      <c r="D3654" s="87" t="s">
        <v>5146</v>
      </c>
    </row>
    <row r="3655" spans="2:4" ht="15" x14ac:dyDescent="0.2">
      <c r="B3655" s="87" t="s">
        <v>4301</v>
      </c>
      <c r="C3655" s="88">
        <v>4140</v>
      </c>
      <c r="D3655" s="87" t="s">
        <v>5146</v>
      </c>
    </row>
    <row r="3656" spans="2:4" ht="15" x14ac:dyDescent="0.2">
      <c r="B3656" s="87" t="s">
        <v>4302</v>
      </c>
      <c r="C3656" s="88">
        <v>4140</v>
      </c>
      <c r="D3656" s="87" t="s">
        <v>5146</v>
      </c>
    </row>
    <row r="3657" spans="2:4" ht="15" x14ac:dyDescent="0.2">
      <c r="B3657" s="87" t="s">
        <v>4303</v>
      </c>
      <c r="C3657" s="88">
        <v>4140</v>
      </c>
      <c r="D3657" s="87" t="s">
        <v>5146</v>
      </c>
    </row>
    <row r="3658" spans="2:4" ht="15" x14ac:dyDescent="0.2">
      <c r="B3658" s="87" t="s">
        <v>4304</v>
      </c>
      <c r="C3658" s="88">
        <v>4140</v>
      </c>
      <c r="D3658" s="87" t="s">
        <v>5146</v>
      </c>
    </row>
    <row r="3659" spans="2:4" ht="15" x14ac:dyDescent="0.2">
      <c r="B3659" s="87" t="s">
        <v>4305</v>
      </c>
      <c r="C3659" s="88">
        <v>4140</v>
      </c>
      <c r="D3659" s="87" t="s">
        <v>5146</v>
      </c>
    </row>
    <row r="3660" spans="2:4" ht="15" x14ac:dyDescent="0.2">
      <c r="B3660" s="87" t="s">
        <v>4306</v>
      </c>
      <c r="C3660" s="88">
        <v>4140</v>
      </c>
      <c r="D3660" s="87" t="s">
        <v>5146</v>
      </c>
    </row>
    <row r="3661" spans="2:4" ht="15" x14ac:dyDescent="0.2">
      <c r="B3661" s="87" t="s">
        <v>4307</v>
      </c>
      <c r="C3661" s="88">
        <v>4140</v>
      </c>
      <c r="D3661" s="87" t="s">
        <v>5146</v>
      </c>
    </row>
    <row r="3662" spans="2:4" ht="15" x14ac:dyDescent="0.2">
      <c r="B3662" s="87" t="s">
        <v>4308</v>
      </c>
      <c r="C3662" s="88">
        <v>4140</v>
      </c>
      <c r="D3662" s="87" t="s">
        <v>5146</v>
      </c>
    </row>
    <row r="3663" spans="2:4" ht="15" x14ac:dyDescent="0.2">
      <c r="B3663" s="87" t="s">
        <v>4309</v>
      </c>
      <c r="C3663" s="88">
        <v>4140</v>
      </c>
      <c r="D3663" s="87" t="s">
        <v>5146</v>
      </c>
    </row>
    <row r="3664" spans="2:4" ht="15" x14ac:dyDescent="0.2">
      <c r="B3664" s="87" t="s">
        <v>4310</v>
      </c>
      <c r="C3664" s="88">
        <v>4140</v>
      </c>
      <c r="D3664" s="87" t="s">
        <v>5146</v>
      </c>
    </row>
    <row r="3665" spans="2:4" ht="15" x14ac:dyDescent="0.2">
      <c r="B3665" s="87" t="s">
        <v>4311</v>
      </c>
      <c r="C3665" s="88">
        <v>4140</v>
      </c>
      <c r="D3665" s="87" t="s">
        <v>5146</v>
      </c>
    </row>
    <row r="3666" spans="2:4" ht="15" x14ac:dyDescent="0.2">
      <c r="B3666" s="87" t="s">
        <v>4312</v>
      </c>
      <c r="C3666" s="88">
        <v>4140</v>
      </c>
      <c r="D3666" s="87" t="s">
        <v>5146</v>
      </c>
    </row>
    <row r="3667" spans="2:4" ht="15" x14ac:dyDescent="0.2">
      <c r="B3667" s="87" t="s">
        <v>4313</v>
      </c>
      <c r="C3667" s="88">
        <v>4140</v>
      </c>
      <c r="D3667" s="87" t="s">
        <v>5146</v>
      </c>
    </row>
    <row r="3668" spans="2:4" ht="15" x14ac:dyDescent="0.2">
      <c r="B3668" s="87" t="s">
        <v>4314</v>
      </c>
      <c r="C3668" s="88">
        <v>4140</v>
      </c>
      <c r="D3668" s="87" t="s">
        <v>5146</v>
      </c>
    </row>
    <row r="3669" spans="2:4" ht="15" x14ac:dyDescent="0.2">
      <c r="B3669" s="87" t="s">
        <v>4315</v>
      </c>
      <c r="C3669" s="88">
        <v>4140</v>
      </c>
      <c r="D3669" s="87" t="s">
        <v>5146</v>
      </c>
    </row>
    <row r="3670" spans="2:4" ht="15" x14ac:dyDescent="0.2">
      <c r="B3670" s="87" t="s">
        <v>4316</v>
      </c>
      <c r="C3670" s="88">
        <v>4140</v>
      </c>
      <c r="D3670" s="87" t="s">
        <v>5146</v>
      </c>
    </row>
    <row r="3671" spans="2:4" ht="15" x14ac:dyDescent="0.2">
      <c r="B3671" s="87" t="s">
        <v>4317</v>
      </c>
      <c r="C3671" s="88">
        <v>4140</v>
      </c>
      <c r="D3671" s="87" t="s">
        <v>5146</v>
      </c>
    </row>
    <row r="3672" spans="2:4" ht="15" x14ac:dyDescent="0.2">
      <c r="B3672" s="87" t="s">
        <v>4318</v>
      </c>
      <c r="C3672" s="88">
        <v>4140</v>
      </c>
      <c r="D3672" s="87" t="s">
        <v>5146</v>
      </c>
    </row>
    <row r="3673" spans="2:4" ht="15" x14ac:dyDescent="0.2">
      <c r="B3673" s="87" t="s">
        <v>4319</v>
      </c>
      <c r="C3673" s="88">
        <v>4150</v>
      </c>
      <c r="D3673" s="87" t="s">
        <v>5062</v>
      </c>
    </row>
    <row r="3674" spans="2:4" ht="15" x14ac:dyDescent="0.2">
      <c r="B3674" s="87" t="s">
        <v>4320</v>
      </c>
      <c r="C3674" s="88">
        <v>4150</v>
      </c>
      <c r="D3674" s="87" t="s">
        <v>5062</v>
      </c>
    </row>
    <row r="3675" spans="2:4" ht="15" x14ac:dyDescent="0.2">
      <c r="B3675" s="87" t="s">
        <v>4321</v>
      </c>
      <c r="C3675" s="88">
        <v>4150</v>
      </c>
      <c r="D3675" s="87" t="s">
        <v>5062</v>
      </c>
    </row>
    <row r="3676" spans="2:4" ht="15" x14ac:dyDescent="0.2">
      <c r="B3676" s="87" t="s">
        <v>4322</v>
      </c>
      <c r="C3676" s="88">
        <v>4150</v>
      </c>
      <c r="D3676" s="87" t="s">
        <v>5062</v>
      </c>
    </row>
    <row r="3677" spans="2:4" ht="15" x14ac:dyDescent="0.2">
      <c r="B3677" s="87" t="s">
        <v>4323</v>
      </c>
      <c r="C3677" s="88">
        <v>4150</v>
      </c>
      <c r="D3677" s="87" t="s">
        <v>5062</v>
      </c>
    </row>
    <row r="3678" spans="2:4" ht="15" x14ac:dyDescent="0.2">
      <c r="B3678" s="87" t="s">
        <v>4324</v>
      </c>
      <c r="C3678" s="88">
        <v>4150</v>
      </c>
      <c r="D3678" s="87" t="s">
        <v>5062</v>
      </c>
    </row>
    <row r="3679" spans="2:4" ht="15" x14ac:dyDescent="0.2">
      <c r="B3679" s="87" t="s">
        <v>4325</v>
      </c>
      <c r="C3679" s="88">
        <v>4150</v>
      </c>
      <c r="D3679" s="87" t="s">
        <v>5062</v>
      </c>
    </row>
    <row r="3680" spans="2:4" ht="15" x14ac:dyDescent="0.2">
      <c r="B3680" s="87" t="s">
        <v>4326</v>
      </c>
      <c r="C3680" s="88">
        <v>4150</v>
      </c>
      <c r="D3680" s="87" t="s">
        <v>5062</v>
      </c>
    </row>
    <row r="3681" spans="2:4" ht="15" x14ac:dyDescent="0.2">
      <c r="B3681" s="87" t="s">
        <v>4327</v>
      </c>
      <c r="C3681" s="88">
        <v>4150</v>
      </c>
      <c r="D3681" s="87" t="s">
        <v>5062</v>
      </c>
    </row>
    <row r="3682" spans="2:4" ht="15" x14ac:dyDescent="0.2">
      <c r="B3682" s="87" t="s">
        <v>4328</v>
      </c>
      <c r="C3682" s="88">
        <v>4150</v>
      </c>
      <c r="D3682" s="87" t="s">
        <v>5062</v>
      </c>
    </row>
    <row r="3683" spans="2:4" ht="15" x14ac:dyDescent="0.2">
      <c r="B3683" s="87" t="s">
        <v>4329</v>
      </c>
      <c r="C3683" s="88">
        <v>4150</v>
      </c>
      <c r="D3683" s="87" t="s">
        <v>5062</v>
      </c>
    </row>
    <row r="3684" spans="2:4" ht="15" x14ac:dyDescent="0.2">
      <c r="B3684" s="87" t="s">
        <v>4330</v>
      </c>
      <c r="C3684" s="88">
        <v>4150</v>
      </c>
      <c r="D3684" s="87" t="s">
        <v>5062</v>
      </c>
    </row>
    <row r="3685" spans="2:4" ht="15" x14ac:dyDescent="0.2">
      <c r="B3685" s="87" t="s">
        <v>4331</v>
      </c>
      <c r="C3685" s="88">
        <v>4150</v>
      </c>
      <c r="D3685" s="87" t="s">
        <v>5062</v>
      </c>
    </row>
    <row r="3686" spans="2:4" ht="15" x14ac:dyDescent="0.2">
      <c r="B3686" s="87" t="s">
        <v>4332</v>
      </c>
      <c r="C3686" s="88">
        <v>4150</v>
      </c>
      <c r="D3686" s="87" t="s">
        <v>5062</v>
      </c>
    </row>
    <row r="3687" spans="2:4" ht="15" x14ac:dyDescent="0.2">
      <c r="B3687" s="87" t="s">
        <v>4333</v>
      </c>
      <c r="C3687" s="88">
        <v>4150</v>
      </c>
      <c r="D3687" s="87" t="s">
        <v>5062</v>
      </c>
    </row>
    <row r="3688" spans="2:4" ht="15" x14ac:dyDescent="0.2">
      <c r="B3688" s="87" t="s">
        <v>4334</v>
      </c>
      <c r="C3688" s="88">
        <v>4150</v>
      </c>
      <c r="D3688" s="87" t="s">
        <v>5062</v>
      </c>
    </row>
    <row r="3689" spans="2:4" ht="15" x14ac:dyDescent="0.2">
      <c r="B3689" s="87" t="s">
        <v>4335</v>
      </c>
      <c r="C3689" s="88">
        <v>4150</v>
      </c>
      <c r="D3689" s="87" t="s">
        <v>5062</v>
      </c>
    </row>
    <row r="3690" spans="2:4" ht="15" x14ac:dyDescent="0.2">
      <c r="B3690" s="87" t="s">
        <v>4336</v>
      </c>
      <c r="C3690" s="88">
        <v>4150</v>
      </c>
      <c r="D3690" s="87" t="s">
        <v>5062</v>
      </c>
    </row>
    <row r="3691" spans="2:4" ht="15" x14ac:dyDescent="0.2">
      <c r="B3691" s="87" t="s">
        <v>4337</v>
      </c>
      <c r="C3691" s="88">
        <v>4150</v>
      </c>
      <c r="D3691" s="87" t="s">
        <v>5062</v>
      </c>
    </row>
    <row r="3692" spans="2:4" ht="15" x14ac:dyDescent="0.2">
      <c r="B3692" s="87" t="s">
        <v>4338</v>
      </c>
      <c r="C3692" s="88">
        <v>4150</v>
      </c>
      <c r="D3692" s="87" t="s">
        <v>5062</v>
      </c>
    </row>
    <row r="3693" spans="2:4" ht="15" x14ac:dyDescent="0.2">
      <c r="B3693" s="87" t="s">
        <v>4339</v>
      </c>
      <c r="C3693" s="88">
        <v>4160</v>
      </c>
      <c r="D3693" s="87" t="s">
        <v>5061</v>
      </c>
    </row>
    <row r="3694" spans="2:4" ht="15" x14ac:dyDescent="0.2">
      <c r="B3694" s="87" t="s">
        <v>4340</v>
      </c>
      <c r="C3694" s="88">
        <v>4160</v>
      </c>
      <c r="D3694" s="87" t="s">
        <v>5061</v>
      </c>
    </row>
    <row r="3695" spans="2:4" ht="15" x14ac:dyDescent="0.2">
      <c r="B3695" s="87" t="s">
        <v>4341</v>
      </c>
      <c r="C3695" s="88">
        <v>4160</v>
      </c>
      <c r="D3695" s="87" t="s">
        <v>5061</v>
      </c>
    </row>
    <row r="3696" spans="2:4" ht="15" x14ac:dyDescent="0.2">
      <c r="B3696" s="87" t="s">
        <v>4342</v>
      </c>
      <c r="C3696" s="88">
        <v>4160</v>
      </c>
      <c r="D3696" s="87" t="s">
        <v>5061</v>
      </c>
    </row>
    <row r="3697" spans="2:4" ht="15" x14ac:dyDescent="0.2">
      <c r="B3697" s="87" t="s">
        <v>4343</v>
      </c>
      <c r="C3697" s="88">
        <v>4160</v>
      </c>
      <c r="D3697" s="87" t="s">
        <v>5061</v>
      </c>
    </row>
    <row r="3698" spans="2:4" ht="15" x14ac:dyDescent="0.2">
      <c r="B3698" s="87" t="s">
        <v>4344</v>
      </c>
      <c r="C3698" s="88">
        <v>4180</v>
      </c>
      <c r="D3698" s="87" t="s">
        <v>5060</v>
      </c>
    </row>
    <row r="3699" spans="2:4" ht="15" x14ac:dyDescent="0.2">
      <c r="B3699" s="87" t="s">
        <v>4345</v>
      </c>
      <c r="C3699" s="88">
        <v>4180</v>
      </c>
      <c r="D3699" s="87" t="s">
        <v>5060</v>
      </c>
    </row>
    <row r="3700" spans="2:4" ht="15" x14ac:dyDescent="0.2">
      <c r="B3700" s="87" t="s">
        <v>4346</v>
      </c>
      <c r="C3700" s="88">
        <v>4180</v>
      </c>
      <c r="D3700" s="87" t="s">
        <v>5060</v>
      </c>
    </row>
    <row r="3701" spans="2:4" ht="15" x14ac:dyDescent="0.2">
      <c r="B3701" s="87" t="s">
        <v>4347</v>
      </c>
      <c r="C3701" s="88">
        <v>4180</v>
      </c>
      <c r="D3701" s="87" t="s">
        <v>5060</v>
      </c>
    </row>
    <row r="3702" spans="2:4" ht="15" x14ac:dyDescent="0.2">
      <c r="B3702" s="87" t="s">
        <v>4348</v>
      </c>
      <c r="C3702" s="88">
        <v>4180</v>
      </c>
      <c r="D3702" s="87" t="s">
        <v>5060</v>
      </c>
    </row>
    <row r="3703" spans="2:4" ht="15" x14ac:dyDescent="0.2">
      <c r="B3703" s="87" t="s">
        <v>4349</v>
      </c>
      <c r="C3703" s="88">
        <v>4190</v>
      </c>
      <c r="D3703" s="87" t="s">
        <v>5059</v>
      </c>
    </row>
    <row r="3704" spans="2:4" ht="15" x14ac:dyDescent="0.2">
      <c r="B3704" s="87" t="s">
        <v>4350</v>
      </c>
      <c r="C3704" s="88">
        <v>4190</v>
      </c>
      <c r="D3704" s="87" t="s">
        <v>5059</v>
      </c>
    </row>
    <row r="3705" spans="2:4" ht="15" x14ac:dyDescent="0.2">
      <c r="B3705" s="87" t="s">
        <v>4351</v>
      </c>
      <c r="C3705" s="88">
        <v>4190</v>
      </c>
      <c r="D3705" s="87" t="s">
        <v>5059</v>
      </c>
    </row>
    <row r="3706" spans="2:4" ht="15" x14ac:dyDescent="0.2">
      <c r="B3706" s="87" t="s">
        <v>4352</v>
      </c>
      <c r="C3706" s="88">
        <v>4190</v>
      </c>
      <c r="D3706" s="87" t="s">
        <v>5059</v>
      </c>
    </row>
    <row r="3707" spans="2:4" ht="15" x14ac:dyDescent="0.2">
      <c r="B3707" s="87" t="s">
        <v>4353</v>
      </c>
      <c r="C3707" s="88">
        <v>4200</v>
      </c>
      <c r="D3707" s="87" t="s">
        <v>5058</v>
      </c>
    </row>
    <row r="3708" spans="2:4" ht="15" x14ac:dyDescent="0.2">
      <c r="B3708" s="87" t="s">
        <v>4354</v>
      </c>
      <c r="C3708" s="88">
        <v>4200</v>
      </c>
      <c r="D3708" s="87" t="s">
        <v>5058</v>
      </c>
    </row>
    <row r="3709" spans="2:4" ht="15" x14ac:dyDescent="0.2">
      <c r="B3709" s="87" t="s">
        <v>4355</v>
      </c>
      <c r="C3709" s="88">
        <v>4200</v>
      </c>
      <c r="D3709" s="87" t="s">
        <v>5058</v>
      </c>
    </row>
    <row r="3710" spans="2:4" ht="15" x14ac:dyDescent="0.2">
      <c r="B3710" s="87" t="s">
        <v>4356</v>
      </c>
      <c r="C3710" s="88">
        <v>4200</v>
      </c>
      <c r="D3710" s="87" t="s">
        <v>5058</v>
      </c>
    </row>
    <row r="3711" spans="2:4" ht="15" x14ac:dyDescent="0.2">
      <c r="B3711" s="87" t="s">
        <v>4357</v>
      </c>
      <c r="C3711" s="88">
        <v>4200</v>
      </c>
      <c r="D3711" s="87" t="s">
        <v>5058</v>
      </c>
    </row>
    <row r="3712" spans="2:4" ht="15" x14ac:dyDescent="0.2">
      <c r="B3712" s="87" t="s">
        <v>4358</v>
      </c>
      <c r="C3712" s="88">
        <v>4220</v>
      </c>
      <c r="D3712" s="87" t="s">
        <v>5057</v>
      </c>
    </row>
    <row r="3713" spans="2:4" ht="15" x14ac:dyDescent="0.2">
      <c r="B3713" s="87" t="s">
        <v>4359</v>
      </c>
      <c r="C3713" s="88">
        <v>4220</v>
      </c>
      <c r="D3713" s="87" t="s">
        <v>5057</v>
      </c>
    </row>
    <row r="3714" spans="2:4" ht="15" x14ac:dyDescent="0.2">
      <c r="B3714" s="87" t="s">
        <v>4360</v>
      </c>
      <c r="C3714" s="88">
        <v>4220</v>
      </c>
      <c r="D3714" s="87" t="s">
        <v>5057</v>
      </c>
    </row>
    <row r="3715" spans="2:4" ht="15" x14ac:dyDescent="0.2">
      <c r="B3715" s="87" t="s">
        <v>4361</v>
      </c>
      <c r="C3715" s="88">
        <v>4230</v>
      </c>
      <c r="D3715" s="87" t="s">
        <v>5056</v>
      </c>
    </row>
    <row r="3716" spans="2:4" ht="15" x14ac:dyDescent="0.2">
      <c r="B3716" s="87" t="s">
        <v>4362</v>
      </c>
      <c r="C3716" s="88">
        <v>4230</v>
      </c>
      <c r="D3716" s="87" t="s">
        <v>5056</v>
      </c>
    </row>
    <row r="3717" spans="2:4" ht="15" x14ac:dyDescent="0.2">
      <c r="B3717" s="87" t="s">
        <v>4363</v>
      </c>
      <c r="C3717" s="88">
        <v>4230</v>
      </c>
      <c r="D3717" s="87" t="s">
        <v>5056</v>
      </c>
    </row>
    <row r="3718" spans="2:4" ht="15" x14ac:dyDescent="0.2">
      <c r="B3718" s="87" t="s">
        <v>4364</v>
      </c>
      <c r="C3718" s="88">
        <v>4230</v>
      </c>
      <c r="D3718" s="87" t="s">
        <v>5056</v>
      </c>
    </row>
    <row r="3719" spans="2:4" ht="15" x14ac:dyDescent="0.2">
      <c r="B3719" s="87" t="s">
        <v>4365</v>
      </c>
      <c r="C3719" s="88">
        <v>4240</v>
      </c>
      <c r="D3719" s="87" t="s">
        <v>5055</v>
      </c>
    </row>
    <row r="3720" spans="2:4" ht="15" x14ac:dyDescent="0.2">
      <c r="B3720" s="87" t="s">
        <v>4366</v>
      </c>
      <c r="C3720" s="88">
        <v>4240</v>
      </c>
      <c r="D3720" s="87" t="s">
        <v>5055</v>
      </c>
    </row>
    <row r="3721" spans="2:4" ht="15" x14ac:dyDescent="0.2">
      <c r="B3721" s="87" t="s">
        <v>4367</v>
      </c>
      <c r="C3721" s="88">
        <v>4240</v>
      </c>
      <c r="D3721" s="87" t="s">
        <v>5055</v>
      </c>
    </row>
    <row r="3722" spans="2:4" ht="15" x14ac:dyDescent="0.2">
      <c r="B3722" s="87" t="s">
        <v>4368</v>
      </c>
      <c r="C3722" s="88">
        <v>4240</v>
      </c>
      <c r="D3722" s="87" t="s">
        <v>5055</v>
      </c>
    </row>
    <row r="3723" spans="2:4" ht="15" x14ac:dyDescent="0.2">
      <c r="B3723" s="87" t="s">
        <v>4369</v>
      </c>
      <c r="C3723" s="88">
        <v>4260</v>
      </c>
      <c r="D3723" s="87" t="s">
        <v>5054</v>
      </c>
    </row>
    <row r="3724" spans="2:4" ht="15" x14ac:dyDescent="0.2">
      <c r="B3724" s="87" t="s">
        <v>4370</v>
      </c>
      <c r="C3724" s="88">
        <v>4260</v>
      </c>
      <c r="D3724" s="87" t="s">
        <v>5054</v>
      </c>
    </row>
    <row r="3725" spans="2:4" ht="15" x14ac:dyDescent="0.2">
      <c r="B3725" s="87" t="s">
        <v>4371</v>
      </c>
      <c r="C3725" s="88">
        <v>4260</v>
      </c>
      <c r="D3725" s="87" t="s">
        <v>5054</v>
      </c>
    </row>
    <row r="3726" spans="2:4" ht="15" x14ac:dyDescent="0.2">
      <c r="B3726" s="87" t="s">
        <v>4372</v>
      </c>
      <c r="C3726" s="88">
        <v>4260</v>
      </c>
      <c r="D3726" s="87" t="s">
        <v>5054</v>
      </c>
    </row>
    <row r="3727" spans="2:4" ht="15" x14ac:dyDescent="0.2">
      <c r="B3727" s="87" t="s">
        <v>4373</v>
      </c>
      <c r="C3727" s="88">
        <v>4270</v>
      </c>
      <c r="D3727" s="87" t="s">
        <v>5053</v>
      </c>
    </row>
    <row r="3728" spans="2:4" ht="15" x14ac:dyDescent="0.2">
      <c r="B3728" s="87" t="s">
        <v>4374</v>
      </c>
      <c r="C3728" s="88">
        <v>4270</v>
      </c>
      <c r="D3728" s="87" t="s">
        <v>5053</v>
      </c>
    </row>
    <row r="3729" spans="2:4" ht="15" x14ac:dyDescent="0.2">
      <c r="B3729" s="87" t="s">
        <v>4375</v>
      </c>
      <c r="C3729" s="88">
        <v>4270</v>
      </c>
      <c r="D3729" s="87" t="s">
        <v>5053</v>
      </c>
    </row>
    <row r="3730" spans="2:4" ht="15" x14ac:dyDescent="0.2">
      <c r="B3730" s="87" t="s">
        <v>4376</v>
      </c>
      <c r="C3730" s="88">
        <v>4270</v>
      </c>
      <c r="D3730" s="87" t="s">
        <v>5053</v>
      </c>
    </row>
    <row r="3731" spans="2:4" ht="15" x14ac:dyDescent="0.2">
      <c r="B3731" s="87" t="s">
        <v>4377</v>
      </c>
      <c r="C3731" s="88">
        <v>4270</v>
      </c>
      <c r="D3731" s="87" t="s">
        <v>5053</v>
      </c>
    </row>
    <row r="3732" spans="2:4" ht="15" x14ac:dyDescent="0.2">
      <c r="B3732" s="87" t="s">
        <v>4378</v>
      </c>
      <c r="C3732" s="88">
        <v>4280</v>
      </c>
      <c r="D3732" s="87" t="s">
        <v>5052</v>
      </c>
    </row>
    <row r="3733" spans="2:4" ht="15" x14ac:dyDescent="0.2">
      <c r="B3733" s="87" t="s">
        <v>4379</v>
      </c>
      <c r="C3733" s="88">
        <v>4280</v>
      </c>
      <c r="D3733" s="87" t="s">
        <v>5052</v>
      </c>
    </row>
    <row r="3734" spans="2:4" ht="15" x14ac:dyDescent="0.2">
      <c r="B3734" s="87" t="s">
        <v>4380</v>
      </c>
      <c r="C3734" s="88">
        <v>4280</v>
      </c>
      <c r="D3734" s="87" t="s">
        <v>5052</v>
      </c>
    </row>
    <row r="3735" spans="2:4" ht="15" x14ac:dyDescent="0.2">
      <c r="B3735" s="87" t="s">
        <v>4381</v>
      </c>
      <c r="C3735" s="88">
        <v>4280</v>
      </c>
      <c r="D3735" s="87" t="s">
        <v>5052</v>
      </c>
    </row>
    <row r="3736" spans="2:4" ht="15" x14ac:dyDescent="0.2">
      <c r="B3736" s="87" t="s">
        <v>4382</v>
      </c>
      <c r="C3736" s="88">
        <v>4280</v>
      </c>
      <c r="D3736" s="87" t="s">
        <v>5052</v>
      </c>
    </row>
    <row r="3737" spans="2:4" ht="15" x14ac:dyDescent="0.2">
      <c r="B3737" s="87" t="s">
        <v>4383</v>
      </c>
      <c r="C3737" s="88">
        <v>4280</v>
      </c>
      <c r="D3737" s="87" t="s">
        <v>5052</v>
      </c>
    </row>
    <row r="3738" spans="2:4" ht="15" x14ac:dyDescent="0.2">
      <c r="B3738" s="87" t="s">
        <v>4384</v>
      </c>
      <c r="C3738" s="88">
        <v>4300</v>
      </c>
      <c r="D3738" s="87" t="s">
        <v>5051</v>
      </c>
    </row>
    <row r="3739" spans="2:4" ht="15" x14ac:dyDescent="0.2">
      <c r="B3739" s="87" t="s">
        <v>4385</v>
      </c>
      <c r="C3739" s="88">
        <v>4300</v>
      </c>
      <c r="D3739" s="87" t="s">
        <v>5051</v>
      </c>
    </row>
    <row r="3740" spans="2:4" ht="15" x14ac:dyDescent="0.2">
      <c r="B3740" s="87" t="s">
        <v>4386</v>
      </c>
      <c r="C3740" s="88">
        <v>4300</v>
      </c>
      <c r="D3740" s="87" t="s">
        <v>5051</v>
      </c>
    </row>
    <row r="3741" spans="2:4" ht="15" x14ac:dyDescent="0.2">
      <c r="B3741" s="87" t="s">
        <v>4387</v>
      </c>
      <c r="C3741" s="88">
        <v>4300</v>
      </c>
      <c r="D3741" s="87" t="s">
        <v>5051</v>
      </c>
    </row>
    <row r="3742" spans="2:4" ht="15" x14ac:dyDescent="0.2">
      <c r="B3742" s="87" t="s">
        <v>4388</v>
      </c>
      <c r="C3742" s="88">
        <v>4300</v>
      </c>
      <c r="D3742" s="87" t="s">
        <v>5051</v>
      </c>
    </row>
    <row r="3743" spans="2:4" ht="15" x14ac:dyDescent="0.2">
      <c r="B3743" s="87" t="s">
        <v>4389</v>
      </c>
      <c r="C3743" s="88">
        <v>4310</v>
      </c>
      <c r="D3743" s="87" t="s">
        <v>5050</v>
      </c>
    </row>
    <row r="3744" spans="2:4" ht="15" x14ac:dyDescent="0.2">
      <c r="B3744" s="87" t="s">
        <v>4390</v>
      </c>
      <c r="C3744" s="88">
        <v>4310</v>
      </c>
      <c r="D3744" s="87" t="s">
        <v>5050</v>
      </c>
    </row>
    <row r="3745" spans="2:4" ht="15" x14ac:dyDescent="0.2">
      <c r="B3745" s="87" t="s">
        <v>4391</v>
      </c>
      <c r="C3745" s="88">
        <v>4310</v>
      </c>
      <c r="D3745" s="87" t="s">
        <v>5050</v>
      </c>
    </row>
    <row r="3746" spans="2:4" ht="15" x14ac:dyDescent="0.2">
      <c r="B3746" s="87" t="s">
        <v>4392</v>
      </c>
      <c r="C3746" s="88">
        <v>4310</v>
      </c>
      <c r="D3746" s="87" t="s">
        <v>5050</v>
      </c>
    </row>
    <row r="3747" spans="2:4" ht="15" x14ac:dyDescent="0.2">
      <c r="B3747" s="87" t="s">
        <v>4393</v>
      </c>
      <c r="C3747" s="88">
        <v>4310</v>
      </c>
      <c r="D3747" s="87" t="s">
        <v>5050</v>
      </c>
    </row>
    <row r="3748" spans="2:4" ht="15" x14ac:dyDescent="0.2">
      <c r="B3748" s="87" t="s">
        <v>4394</v>
      </c>
      <c r="C3748" s="88">
        <v>4310</v>
      </c>
      <c r="D3748" s="87" t="s">
        <v>5050</v>
      </c>
    </row>
    <row r="3749" spans="2:4" ht="15" x14ac:dyDescent="0.2">
      <c r="B3749" s="87" t="s">
        <v>4395</v>
      </c>
      <c r="C3749" s="88">
        <v>4320</v>
      </c>
      <c r="D3749" s="87" t="s">
        <v>5049</v>
      </c>
    </row>
    <row r="3750" spans="2:4" ht="15" x14ac:dyDescent="0.2">
      <c r="B3750" s="87" t="s">
        <v>4396</v>
      </c>
      <c r="C3750" s="88">
        <v>4320</v>
      </c>
      <c r="D3750" s="87" t="s">
        <v>5049</v>
      </c>
    </row>
    <row r="3751" spans="2:4" ht="15" x14ac:dyDescent="0.2">
      <c r="B3751" s="87" t="s">
        <v>4397</v>
      </c>
      <c r="C3751" s="88">
        <v>4320</v>
      </c>
      <c r="D3751" s="87" t="s">
        <v>5049</v>
      </c>
    </row>
    <row r="3752" spans="2:4" ht="15" x14ac:dyDescent="0.2">
      <c r="B3752" s="87" t="s">
        <v>4398</v>
      </c>
      <c r="C3752" s="88">
        <v>4320</v>
      </c>
      <c r="D3752" s="87" t="s">
        <v>5049</v>
      </c>
    </row>
    <row r="3753" spans="2:4" ht="15" x14ac:dyDescent="0.2">
      <c r="B3753" s="87" t="s">
        <v>4399</v>
      </c>
      <c r="C3753" s="88">
        <v>4320</v>
      </c>
      <c r="D3753" s="87" t="s">
        <v>5049</v>
      </c>
    </row>
    <row r="3754" spans="2:4" ht="15" x14ac:dyDescent="0.2">
      <c r="B3754" s="87" t="s">
        <v>4400</v>
      </c>
      <c r="C3754" s="88">
        <v>4320</v>
      </c>
      <c r="D3754" s="87" t="s">
        <v>5049</v>
      </c>
    </row>
    <row r="3755" spans="2:4" ht="15" x14ac:dyDescent="0.2">
      <c r="B3755" s="87" t="s">
        <v>4401</v>
      </c>
      <c r="C3755" s="88">
        <v>4320</v>
      </c>
      <c r="D3755" s="87" t="s">
        <v>5049</v>
      </c>
    </row>
    <row r="3756" spans="2:4" ht="15" x14ac:dyDescent="0.2">
      <c r="B3756" s="87" t="s">
        <v>4402</v>
      </c>
      <c r="C3756" s="88">
        <v>4320</v>
      </c>
      <c r="D3756" s="87" t="s">
        <v>5049</v>
      </c>
    </row>
    <row r="3757" spans="2:4" ht="15" x14ac:dyDescent="0.2">
      <c r="B3757" s="87" t="s">
        <v>4403</v>
      </c>
      <c r="C3757" s="88">
        <v>4320</v>
      </c>
      <c r="D3757" s="87" t="s">
        <v>5049</v>
      </c>
    </row>
    <row r="3758" spans="2:4" ht="15" x14ac:dyDescent="0.2">
      <c r="B3758" s="87" t="s">
        <v>4404</v>
      </c>
      <c r="C3758" s="88">
        <v>4340</v>
      </c>
      <c r="D3758" s="87" t="s">
        <v>5048</v>
      </c>
    </row>
    <row r="3759" spans="2:4" ht="15" x14ac:dyDescent="0.2">
      <c r="B3759" s="87" t="s">
        <v>4405</v>
      </c>
      <c r="C3759" s="88">
        <v>4340</v>
      </c>
      <c r="D3759" s="87" t="s">
        <v>5048</v>
      </c>
    </row>
    <row r="3760" spans="2:4" ht="15" x14ac:dyDescent="0.2">
      <c r="B3760" s="87" t="s">
        <v>4406</v>
      </c>
      <c r="C3760" s="88">
        <v>4340</v>
      </c>
      <c r="D3760" s="87" t="s">
        <v>5048</v>
      </c>
    </row>
    <row r="3761" spans="2:4" ht="15" x14ac:dyDescent="0.2">
      <c r="B3761" s="87" t="s">
        <v>4407</v>
      </c>
      <c r="C3761" s="88">
        <v>4340</v>
      </c>
      <c r="D3761" s="87" t="s">
        <v>5048</v>
      </c>
    </row>
    <row r="3762" spans="2:4" ht="15" x14ac:dyDescent="0.2">
      <c r="B3762" s="87" t="s">
        <v>4408</v>
      </c>
      <c r="C3762" s="88">
        <v>4340</v>
      </c>
      <c r="D3762" s="87" t="s">
        <v>5048</v>
      </c>
    </row>
    <row r="3763" spans="2:4" ht="15" x14ac:dyDescent="0.2">
      <c r="B3763" s="87" t="s">
        <v>4409</v>
      </c>
      <c r="C3763" s="88">
        <v>4340</v>
      </c>
      <c r="D3763" s="87" t="s">
        <v>5048</v>
      </c>
    </row>
    <row r="3764" spans="2:4" ht="15" x14ac:dyDescent="0.2">
      <c r="B3764" s="87" t="s">
        <v>4410</v>
      </c>
      <c r="C3764" s="88">
        <v>4340</v>
      </c>
      <c r="D3764" s="87" t="s">
        <v>5048</v>
      </c>
    </row>
    <row r="3765" spans="2:4" ht="15" x14ac:dyDescent="0.2">
      <c r="B3765" s="87" t="s">
        <v>4411</v>
      </c>
      <c r="C3765" s="88">
        <v>4340</v>
      </c>
      <c r="D3765" s="87" t="s">
        <v>5048</v>
      </c>
    </row>
    <row r="3766" spans="2:4" ht="15" x14ac:dyDescent="0.2">
      <c r="B3766" s="87" t="s">
        <v>4412</v>
      </c>
      <c r="C3766" s="88">
        <v>4340</v>
      </c>
      <c r="D3766" s="87" t="s">
        <v>5048</v>
      </c>
    </row>
    <row r="3767" spans="2:4" ht="15" x14ac:dyDescent="0.2">
      <c r="B3767" s="87" t="s">
        <v>4413</v>
      </c>
      <c r="C3767" s="88">
        <v>4340</v>
      </c>
      <c r="D3767" s="87" t="s">
        <v>5048</v>
      </c>
    </row>
    <row r="3768" spans="2:4" ht="15" x14ac:dyDescent="0.2">
      <c r="B3768" s="87" t="s">
        <v>4414</v>
      </c>
      <c r="C3768" s="88">
        <v>4340</v>
      </c>
      <c r="D3768" s="87" t="s">
        <v>5048</v>
      </c>
    </row>
    <row r="3769" spans="2:4" ht="15" x14ac:dyDescent="0.2">
      <c r="B3769" s="87" t="s">
        <v>4415</v>
      </c>
      <c r="C3769" s="88">
        <v>4340</v>
      </c>
      <c r="D3769" s="87" t="s">
        <v>5048</v>
      </c>
    </row>
    <row r="3770" spans="2:4" ht="15" x14ac:dyDescent="0.2">
      <c r="B3770" s="87" t="s">
        <v>4416</v>
      </c>
      <c r="C3770" s="88">
        <v>4350</v>
      </c>
      <c r="D3770" s="87" t="s">
        <v>5047</v>
      </c>
    </row>
    <row r="3771" spans="2:4" ht="15" x14ac:dyDescent="0.2">
      <c r="B3771" s="87" t="s">
        <v>4417</v>
      </c>
      <c r="C3771" s="88">
        <v>4350</v>
      </c>
      <c r="D3771" s="87" t="s">
        <v>5047</v>
      </c>
    </row>
    <row r="3772" spans="2:4" ht="15" x14ac:dyDescent="0.2">
      <c r="B3772" s="87" t="s">
        <v>4418</v>
      </c>
      <c r="C3772" s="88">
        <v>4350</v>
      </c>
      <c r="D3772" s="87" t="s">
        <v>5047</v>
      </c>
    </row>
    <row r="3773" spans="2:4" ht="15" x14ac:dyDescent="0.2">
      <c r="B3773" s="87" t="s">
        <v>4419</v>
      </c>
      <c r="C3773" s="88">
        <v>4350</v>
      </c>
      <c r="D3773" s="87" t="s">
        <v>5047</v>
      </c>
    </row>
    <row r="3774" spans="2:4" ht="15" x14ac:dyDescent="0.2">
      <c r="B3774" s="87" t="s">
        <v>4420</v>
      </c>
      <c r="C3774" s="88">
        <v>4350</v>
      </c>
      <c r="D3774" s="87" t="s">
        <v>5047</v>
      </c>
    </row>
    <row r="3775" spans="2:4" ht="15" x14ac:dyDescent="0.2">
      <c r="B3775" s="87" t="s">
        <v>4421</v>
      </c>
      <c r="C3775" s="88">
        <v>4350</v>
      </c>
      <c r="D3775" s="87" t="s">
        <v>5047</v>
      </c>
    </row>
    <row r="3776" spans="2:4" ht="15" x14ac:dyDescent="0.2">
      <c r="B3776" s="87" t="s">
        <v>4422</v>
      </c>
      <c r="C3776" s="88">
        <v>4350</v>
      </c>
      <c r="D3776" s="87" t="s">
        <v>5047</v>
      </c>
    </row>
    <row r="3777" spans="2:4" ht="15" x14ac:dyDescent="0.2">
      <c r="B3777" s="87" t="s">
        <v>4423</v>
      </c>
      <c r="C3777" s="88">
        <v>4350</v>
      </c>
      <c r="D3777" s="87" t="s">
        <v>5047</v>
      </c>
    </row>
    <row r="3778" spans="2:4" ht="15" x14ac:dyDescent="0.2">
      <c r="B3778" s="87" t="s">
        <v>4424</v>
      </c>
      <c r="C3778" s="88">
        <v>4360</v>
      </c>
      <c r="D3778" s="87" t="s">
        <v>5046</v>
      </c>
    </row>
    <row r="3779" spans="2:4" ht="15" x14ac:dyDescent="0.2">
      <c r="B3779" s="87" t="s">
        <v>4425</v>
      </c>
      <c r="C3779" s="88">
        <v>4360</v>
      </c>
      <c r="D3779" s="87" t="s">
        <v>5046</v>
      </c>
    </row>
    <row r="3780" spans="2:4" ht="15" x14ac:dyDescent="0.2">
      <c r="B3780" s="87" t="s">
        <v>4426</v>
      </c>
      <c r="C3780" s="88">
        <v>4360</v>
      </c>
      <c r="D3780" s="87" t="s">
        <v>5046</v>
      </c>
    </row>
    <row r="3781" spans="2:4" ht="15" x14ac:dyDescent="0.2">
      <c r="B3781" s="87" t="s">
        <v>4427</v>
      </c>
      <c r="C3781" s="88">
        <v>4360</v>
      </c>
      <c r="D3781" s="87" t="s">
        <v>5046</v>
      </c>
    </row>
    <row r="3782" spans="2:4" ht="15" x14ac:dyDescent="0.2">
      <c r="B3782" s="87" t="s">
        <v>4428</v>
      </c>
      <c r="C3782" s="88">
        <v>4360</v>
      </c>
      <c r="D3782" s="87" t="s">
        <v>5046</v>
      </c>
    </row>
    <row r="3783" spans="2:4" ht="15" x14ac:dyDescent="0.2">
      <c r="B3783" s="87" t="s">
        <v>4429</v>
      </c>
      <c r="C3783" s="88">
        <v>4380</v>
      </c>
      <c r="D3783" s="87" t="s">
        <v>5045</v>
      </c>
    </row>
    <row r="3784" spans="2:4" ht="15" x14ac:dyDescent="0.2">
      <c r="B3784" s="87" t="s">
        <v>4430</v>
      </c>
      <c r="C3784" s="88">
        <v>4380</v>
      </c>
      <c r="D3784" s="87" t="s">
        <v>5045</v>
      </c>
    </row>
    <row r="3785" spans="2:4" ht="15" x14ac:dyDescent="0.2">
      <c r="B3785" s="87" t="s">
        <v>4431</v>
      </c>
      <c r="C3785" s="88">
        <v>4380</v>
      </c>
      <c r="D3785" s="87" t="s">
        <v>5045</v>
      </c>
    </row>
    <row r="3786" spans="2:4" ht="15" x14ac:dyDescent="0.2">
      <c r="B3786" s="87" t="s">
        <v>4432</v>
      </c>
      <c r="C3786" s="88">
        <v>4380</v>
      </c>
      <c r="D3786" s="87" t="s">
        <v>5045</v>
      </c>
    </row>
    <row r="3787" spans="2:4" ht="15" x14ac:dyDescent="0.2">
      <c r="B3787" s="87" t="s">
        <v>4433</v>
      </c>
      <c r="C3787" s="88">
        <v>4380</v>
      </c>
      <c r="D3787" s="87" t="s">
        <v>5045</v>
      </c>
    </row>
    <row r="3788" spans="2:4" ht="15" x14ac:dyDescent="0.2">
      <c r="B3788" s="87" t="s">
        <v>4434</v>
      </c>
      <c r="C3788" s="88">
        <v>4390</v>
      </c>
      <c r="D3788" s="87" t="s">
        <v>5044</v>
      </c>
    </row>
    <row r="3789" spans="2:4" ht="15" x14ac:dyDescent="0.2">
      <c r="B3789" s="87" t="s">
        <v>4435</v>
      </c>
      <c r="C3789" s="88">
        <v>4390</v>
      </c>
      <c r="D3789" s="87" t="s">
        <v>5044</v>
      </c>
    </row>
    <row r="3790" spans="2:4" ht="15" x14ac:dyDescent="0.2">
      <c r="B3790" s="87" t="s">
        <v>4436</v>
      </c>
      <c r="C3790" s="88">
        <v>4390</v>
      </c>
      <c r="D3790" s="87" t="s">
        <v>5044</v>
      </c>
    </row>
    <row r="3791" spans="2:4" ht="15" x14ac:dyDescent="0.2">
      <c r="B3791" s="87" t="s">
        <v>4437</v>
      </c>
      <c r="C3791" s="88">
        <v>4390</v>
      </c>
      <c r="D3791" s="87" t="s">
        <v>5044</v>
      </c>
    </row>
    <row r="3792" spans="2:4" ht="15" x14ac:dyDescent="0.2">
      <c r="B3792" s="87" t="s">
        <v>4438</v>
      </c>
      <c r="C3792" s="88">
        <v>4400</v>
      </c>
      <c r="D3792" s="87" t="s">
        <v>5043</v>
      </c>
    </row>
    <row r="3793" spans="2:4" ht="15" x14ac:dyDescent="0.2">
      <c r="B3793" s="87" t="s">
        <v>4439</v>
      </c>
      <c r="C3793" s="88">
        <v>4400</v>
      </c>
      <c r="D3793" s="87" t="s">
        <v>5043</v>
      </c>
    </row>
    <row r="3794" spans="2:4" ht="15" x14ac:dyDescent="0.2">
      <c r="B3794" s="87" t="s">
        <v>4440</v>
      </c>
      <c r="C3794" s="88">
        <v>4400</v>
      </c>
      <c r="D3794" s="87" t="s">
        <v>5043</v>
      </c>
    </row>
    <row r="3795" spans="2:4" ht="15" x14ac:dyDescent="0.2">
      <c r="B3795" s="87" t="s">
        <v>4441</v>
      </c>
      <c r="C3795" s="88">
        <v>4420</v>
      </c>
      <c r="D3795" s="87" t="s">
        <v>5042</v>
      </c>
    </row>
    <row r="3796" spans="2:4" ht="15" x14ac:dyDescent="0.2">
      <c r="B3796" s="87" t="s">
        <v>4442</v>
      </c>
      <c r="C3796" s="88">
        <v>4420</v>
      </c>
      <c r="D3796" s="87" t="s">
        <v>5042</v>
      </c>
    </row>
    <row r="3797" spans="2:4" ht="15" x14ac:dyDescent="0.2">
      <c r="B3797" s="87" t="s">
        <v>4443</v>
      </c>
      <c r="C3797" s="88">
        <v>4420</v>
      </c>
      <c r="D3797" s="87" t="s">
        <v>5042</v>
      </c>
    </row>
    <row r="3798" spans="2:4" ht="15" x14ac:dyDescent="0.2">
      <c r="B3798" s="87" t="s">
        <v>4444</v>
      </c>
      <c r="C3798" s="88">
        <v>4420</v>
      </c>
      <c r="D3798" s="87" t="s">
        <v>5042</v>
      </c>
    </row>
    <row r="3799" spans="2:4" ht="15" x14ac:dyDescent="0.2">
      <c r="B3799" s="87" t="s">
        <v>4445</v>
      </c>
      <c r="C3799" s="88">
        <v>4420</v>
      </c>
      <c r="D3799" s="87" t="s">
        <v>5042</v>
      </c>
    </row>
    <row r="3800" spans="2:4" ht="15" x14ac:dyDescent="0.2">
      <c r="B3800" s="87" t="s">
        <v>4446</v>
      </c>
      <c r="C3800" s="88">
        <v>4430</v>
      </c>
      <c r="D3800" s="87" t="s">
        <v>5041</v>
      </c>
    </row>
    <row r="3801" spans="2:4" ht="15" x14ac:dyDescent="0.2">
      <c r="B3801" s="87" t="s">
        <v>4447</v>
      </c>
      <c r="C3801" s="88">
        <v>4430</v>
      </c>
      <c r="D3801" s="87" t="s">
        <v>5041</v>
      </c>
    </row>
    <row r="3802" spans="2:4" ht="15" x14ac:dyDescent="0.2">
      <c r="B3802" s="87" t="s">
        <v>4448</v>
      </c>
      <c r="C3802" s="88">
        <v>4430</v>
      </c>
      <c r="D3802" s="87" t="s">
        <v>5041</v>
      </c>
    </row>
    <row r="3803" spans="2:4" ht="15" x14ac:dyDescent="0.2">
      <c r="B3803" s="87" t="s">
        <v>4449</v>
      </c>
      <c r="C3803" s="88">
        <v>4430</v>
      </c>
      <c r="D3803" s="87" t="s">
        <v>5041</v>
      </c>
    </row>
    <row r="3804" spans="2:4" ht="15" x14ac:dyDescent="0.2">
      <c r="B3804" s="87" t="s">
        <v>4450</v>
      </c>
      <c r="C3804" s="88">
        <v>4450</v>
      </c>
      <c r="D3804" s="87" t="s">
        <v>5040</v>
      </c>
    </row>
    <row r="3805" spans="2:4" ht="15" x14ac:dyDescent="0.2">
      <c r="B3805" s="87" t="s">
        <v>4451</v>
      </c>
      <c r="C3805" s="88">
        <v>4450</v>
      </c>
      <c r="D3805" s="87" t="s">
        <v>5040</v>
      </c>
    </row>
    <row r="3806" spans="2:4" ht="15" x14ac:dyDescent="0.2">
      <c r="B3806" s="87" t="s">
        <v>4452</v>
      </c>
      <c r="C3806" s="88">
        <v>4450</v>
      </c>
      <c r="D3806" s="87" t="s">
        <v>5040</v>
      </c>
    </row>
    <row r="3807" spans="2:4" ht="15" x14ac:dyDescent="0.2">
      <c r="B3807" s="87" t="s">
        <v>4453</v>
      </c>
      <c r="C3807" s="88">
        <v>4450</v>
      </c>
      <c r="D3807" s="87" t="s">
        <v>5040</v>
      </c>
    </row>
    <row r="3808" spans="2:4" ht="15" x14ac:dyDescent="0.2">
      <c r="B3808" s="87" t="s">
        <v>4454</v>
      </c>
      <c r="C3808" s="88">
        <v>4450</v>
      </c>
      <c r="D3808" s="87" t="s">
        <v>5040</v>
      </c>
    </row>
    <row r="3809" spans="2:4" ht="15" x14ac:dyDescent="0.2">
      <c r="B3809" s="87" t="s">
        <v>4455</v>
      </c>
      <c r="C3809" s="88">
        <v>4460</v>
      </c>
      <c r="D3809" s="87" t="s">
        <v>5039</v>
      </c>
    </row>
    <row r="3810" spans="2:4" ht="15" x14ac:dyDescent="0.2">
      <c r="B3810" s="87" t="s">
        <v>4456</v>
      </c>
      <c r="C3810" s="88">
        <v>4460</v>
      </c>
      <c r="D3810" s="87" t="s">
        <v>5039</v>
      </c>
    </row>
    <row r="3811" spans="2:4" ht="15" x14ac:dyDescent="0.2">
      <c r="B3811" s="87" t="s">
        <v>4457</v>
      </c>
      <c r="C3811" s="88">
        <v>4460</v>
      </c>
      <c r="D3811" s="87" t="s">
        <v>5039</v>
      </c>
    </row>
    <row r="3812" spans="2:4" ht="15" x14ac:dyDescent="0.2">
      <c r="B3812" s="87" t="s">
        <v>4458</v>
      </c>
      <c r="C3812" s="88">
        <v>4460</v>
      </c>
      <c r="D3812" s="87" t="s">
        <v>5039</v>
      </c>
    </row>
    <row r="3813" spans="2:4" ht="15" x14ac:dyDescent="0.2">
      <c r="B3813" s="87" t="s">
        <v>4459</v>
      </c>
      <c r="C3813" s="88">
        <v>4470</v>
      </c>
      <c r="D3813" s="87" t="s">
        <v>5038</v>
      </c>
    </row>
    <row r="3814" spans="2:4" ht="15" x14ac:dyDescent="0.2">
      <c r="B3814" s="87" t="s">
        <v>4460</v>
      </c>
      <c r="C3814" s="88">
        <v>4470</v>
      </c>
      <c r="D3814" s="87" t="s">
        <v>5038</v>
      </c>
    </row>
    <row r="3815" spans="2:4" ht="15" x14ac:dyDescent="0.2">
      <c r="B3815" s="87" t="s">
        <v>4461</v>
      </c>
      <c r="C3815" s="88">
        <v>4470</v>
      </c>
      <c r="D3815" s="87" t="s">
        <v>5038</v>
      </c>
    </row>
    <row r="3816" spans="2:4" ht="15" x14ac:dyDescent="0.2">
      <c r="B3816" s="87" t="s">
        <v>4462</v>
      </c>
      <c r="C3816" s="88">
        <v>4470</v>
      </c>
      <c r="D3816" s="87" t="s">
        <v>5038</v>
      </c>
    </row>
    <row r="3817" spans="2:4" ht="15" x14ac:dyDescent="0.2">
      <c r="B3817" s="87" t="s">
        <v>4463</v>
      </c>
      <c r="C3817" s="88">
        <v>4470</v>
      </c>
      <c r="D3817" s="87" t="s">
        <v>5038</v>
      </c>
    </row>
    <row r="3818" spans="2:4" ht="15" x14ac:dyDescent="0.2">
      <c r="B3818" s="87" t="s">
        <v>4464</v>
      </c>
      <c r="C3818" s="88">
        <v>4470</v>
      </c>
      <c r="D3818" s="87" t="s">
        <v>5038</v>
      </c>
    </row>
    <row r="3819" spans="2:4" ht="15" x14ac:dyDescent="0.2">
      <c r="B3819" s="87" t="s">
        <v>4465</v>
      </c>
      <c r="C3819" s="88">
        <v>4490</v>
      </c>
      <c r="D3819" s="87" t="s">
        <v>5037</v>
      </c>
    </row>
    <row r="3820" spans="2:4" ht="15" x14ac:dyDescent="0.2">
      <c r="B3820" s="87" t="s">
        <v>4466</v>
      </c>
      <c r="C3820" s="88">
        <v>4490</v>
      </c>
      <c r="D3820" s="87" t="s">
        <v>5037</v>
      </c>
    </row>
    <row r="3821" spans="2:4" ht="15" x14ac:dyDescent="0.2">
      <c r="B3821" s="87" t="s">
        <v>4467</v>
      </c>
      <c r="C3821" s="88">
        <v>4490</v>
      </c>
      <c r="D3821" s="87" t="s">
        <v>5037</v>
      </c>
    </row>
    <row r="3822" spans="2:4" ht="15" x14ac:dyDescent="0.2">
      <c r="B3822" s="87" t="s">
        <v>4468</v>
      </c>
      <c r="C3822" s="88">
        <v>4490</v>
      </c>
      <c r="D3822" s="87" t="s">
        <v>5037</v>
      </c>
    </row>
    <row r="3823" spans="2:4" ht="15" x14ac:dyDescent="0.2">
      <c r="B3823" s="87" t="s">
        <v>4469</v>
      </c>
      <c r="C3823" s="88">
        <v>4490</v>
      </c>
      <c r="D3823" s="87" t="s">
        <v>5037</v>
      </c>
    </row>
    <row r="3824" spans="2:4" ht="15" x14ac:dyDescent="0.2">
      <c r="B3824" s="87" t="s">
        <v>4470</v>
      </c>
      <c r="C3824" s="88">
        <v>4490</v>
      </c>
      <c r="D3824" s="87" t="s">
        <v>5037</v>
      </c>
    </row>
    <row r="3825" spans="2:4" ht="15" x14ac:dyDescent="0.2">
      <c r="B3825" s="87" t="s">
        <v>4471</v>
      </c>
      <c r="C3825" s="88">
        <v>4490</v>
      </c>
      <c r="D3825" s="87" t="s">
        <v>5037</v>
      </c>
    </row>
    <row r="3826" spans="2:4" ht="15" x14ac:dyDescent="0.2">
      <c r="B3826" s="87" t="s">
        <v>4472</v>
      </c>
      <c r="C3826" s="88">
        <v>4500</v>
      </c>
      <c r="D3826" s="87" t="s">
        <v>4875</v>
      </c>
    </row>
    <row r="3827" spans="2:4" ht="15" x14ac:dyDescent="0.2">
      <c r="B3827" s="87" t="s">
        <v>4473</v>
      </c>
      <c r="C3827" s="88">
        <v>4500</v>
      </c>
      <c r="D3827" s="87" t="s">
        <v>4875</v>
      </c>
    </row>
    <row r="3828" spans="2:4" ht="15" x14ac:dyDescent="0.2">
      <c r="B3828" s="87" t="s">
        <v>4474</v>
      </c>
      <c r="C3828" s="88">
        <v>4500</v>
      </c>
      <c r="D3828" s="87" t="s">
        <v>4875</v>
      </c>
    </row>
    <row r="3829" spans="2:4" ht="15" x14ac:dyDescent="0.2">
      <c r="B3829" s="87" t="s">
        <v>4475</v>
      </c>
      <c r="C3829" s="88">
        <v>4500</v>
      </c>
      <c r="D3829" s="87" t="s">
        <v>4875</v>
      </c>
    </row>
    <row r="3830" spans="2:4" ht="15" x14ac:dyDescent="0.2">
      <c r="B3830" s="87" t="s">
        <v>4476</v>
      </c>
      <c r="C3830" s="88">
        <v>4500</v>
      </c>
      <c r="D3830" s="87" t="s">
        <v>4875</v>
      </c>
    </row>
    <row r="3831" spans="2:4" ht="15" x14ac:dyDescent="0.2">
      <c r="B3831" s="87" t="s">
        <v>4477</v>
      </c>
      <c r="C3831" s="88">
        <v>4500</v>
      </c>
      <c r="D3831" s="87" t="s">
        <v>4875</v>
      </c>
    </row>
    <row r="3832" spans="2:4" ht="15" x14ac:dyDescent="0.2">
      <c r="B3832" s="87" t="s">
        <v>4478</v>
      </c>
      <c r="C3832" s="88">
        <v>4500</v>
      </c>
      <c r="D3832" s="87" t="s">
        <v>4875</v>
      </c>
    </row>
    <row r="3833" spans="2:4" ht="15" x14ac:dyDescent="0.2">
      <c r="B3833" s="87" t="s">
        <v>4479</v>
      </c>
      <c r="C3833" s="88">
        <v>4500</v>
      </c>
      <c r="D3833" s="87" t="s">
        <v>4875</v>
      </c>
    </row>
    <row r="3834" spans="2:4" ht="15" x14ac:dyDescent="0.2">
      <c r="B3834" s="87" t="s">
        <v>4480</v>
      </c>
      <c r="C3834" s="88">
        <v>4500</v>
      </c>
      <c r="D3834" s="87" t="s">
        <v>4875</v>
      </c>
    </row>
    <row r="3835" spans="2:4" ht="15" x14ac:dyDescent="0.2">
      <c r="B3835" s="87" t="s">
        <v>4481</v>
      </c>
      <c r="C3835" s="88">
        <v>4500</v>
      </c>
      <c r="D3835" s="87" t="s">
        <v>4875</v>
      </c>
    </row>
    <row r="3836" spans="2:4" ht="15" x14ac:dyDescent="0.2">
      <c r="B3836" s="87" t="s">
        <v>4482</v>
      </c>
      <c r="C3836" s="88">
        <v>4500</v>
      </c>
      <c r="D3836" s="87" t="s">
        <v>4875</v>
      </c>
    </row>
    <row r="3837" spans="2:4" ht="15" x14ac:dyDescent="0.2">
      <c r="B3837" s="87" t="s">
        <v>4483</v>
      </c>
      <c r="C3837" s="88">
        <v>4500</v>
      </c>
      <c r="D3837" s="87" t="s">
        <v>4875</v>
      </c>
    </row>
    <row r="3838" spans="2:4" ht="15" x14ac:dyDescent="0.2">
      <c r="B3838" s="87" t="s">
        <v>4484</v>
      </c>
      <c r="C3838" s="88">
        <v>4500</v>
      </c>
      <c r="D3838" s="87" t="s">
        <v>4875</v>
      </c>
    </row>
    <row r="3839" spans="2:4" ht="15" x14ac:dyDescent="0.2">
      <c r="B3839" s="87" t="s">
        <v>4485</v>
      </c>
      <c r="C3839" s="88">
        <v>4500</v>
      </c>
      <c r="D3839" s="87" t="s">
        <v>4875</v>
      </c>
    </row>
    <row r="3840" spans="2:4" ht="15" x14ac:dyDescent="0.2">
      <c r="B3840" s="87" t="s">
        <v>4486</v>
      </c>
      <c r="C3840" s="88">
        <v>4500</v>
      </c>
      <c r="D3840" s="87" t="s">
        <v>4875</v>
      </c>
    </row>
    <row r="3841" spans="2:4" ht="15" x14ac:dyDescent="0.2">
      <c r="B3841" s="87" t="s">
        <v>4487</v>
      </c>
      <c r="C3841" s="88">
        <v>4500</v>
      </c>
      <c r="D3841" s="87" t="s">
        <v>4875</v>
      </c>
    </row>
    <row r="3842" spans="2:4" ht="15" x14ac:dyDescent="0.2">
      <c r="B3842" s="87" t="s">
        <v>4488</v>
      </c>
      <c r="C3842" s="88">
        <v>4500</v>
      </c>
      <c r="D3842" s="87" t="s">
        <v>4875</v>
      </c>
    </row>
    <row r="3843" spans="2:4" ht="15" x14ac:dyDescent="0.2">
      <c r="B3843" s="87" t="s">
        <v>4489</v>
      </c>
      <c r="C3843" s="88">
        <v>4500</v>
      </c>
      <c r="D3843" s="87" t="s">
        <v>4875</v>
      </c>
    </row>
    <row r="3844" spans="2:4" ht="15" x14ac:dyDescent="0.2">
      <c r="B3844" s="87" t="s">
        <v>4490</v>
      </c>
      <c r="C3844" s="88">
        <v>4500</v>
      </c>
      <c r="D3844" s="87" t="s">
        <v>4875</v>
      </c>
    </row>
    <row r="3845" spans="2:4" ht="15" x14ac:dyDescent="0.2">
      <c r="B3845" s="87" t="s">
        <v>4491</v>
      </c>
      <c r="C3845" s="88">
        <v>4500</v>
      </c>
      <c r="D3845" s="87" t="s">
        <v>4875</v>
      </c>
    </row>
    <row r="3846" spans="2:4" ht="15" x14ac:dyDescent="0.2">
      <c r="B3846" s="87" t="s">
        <v>4492</v>
      </c>
      <c r="C3846" s="88">
        <v>4500</v>
      </c>
      <c r="D3846" s="87" t="s">
        <v>4875</v>
      </c>
    </row>
    <row r="3847" spans="2:4" ht="15" x14ac:dyDescent="0.2">
      <c r="B3847" s="87" t="s">
        <v>4493</v>
      </c>
      <c r="C3847" s="88">
        <v>4500</v>
      </c>
      <c r="D3847" s="87" t="s">
        <v>4875</v>
      </c>
    </row>
    <row r="3848" spans="2:4" ht="15" x14ac:dyDescent="0.2">
      <c r="B3848" s="87" t="s">
        <v>4494</v>
      </c>
      <c r="C3848" s="88">
        <v>4500</v>
      </c>
      <c r="D3848" s="87" t="s">
        <v>4875</v>
      </c>
    </row>
    <row r="3849" spans="2:4" ht="15" x14ac:dyDescent="0.2">
      <c r="B3849" s="87" t="s">
        <v>4495</v>
      </c>
      <c r="C3849" s="88">
        <v>4500</v>
      </c>
      <c r="D3849" s="87" t="s">
        <v>4875</v>
      </c>
    </row>
    <row r="3850" spans="2:4" ht="15" x14ac:dyDescent="0.2">
      <c r="B3850" s="87" t="s">
        <v>4496</v>
      </c>
      <c r="C3850" s="88">
        <v>4500</v>
      </c>
      <c r="D3850" s="87" t="s">
        <v>4875</v>
      </c>
    </row>
    <row r="3851" spans="2:4" ht="15" x14ac:dyDescent="0.2">
      <c r="B3851" s="87" t="s">
        <v>4497</v>
      </c>
      <c r="C3851" s="88">
        <v>4490</v>
      </c>
      <c r="D3851" s="87" t="s">
        <v>5037</v>
      </c>
    </row>
    <row r="3852" spans="2:4" ht="15" x14ac:dyDescent="0.2">
      <c r="B3852" s="87" t="s">
        <v>4498</v>
      </c>
      <c r="C3852" s="88">
        <v>4490</v>
      </c>
      <c r="D3852" s="87" t="s">
        <v>5037</v>
      </c>
    </row>
    <row r="3853" spans="2:4" ht="15" x14ac:dyDescent="0.2">
      <c r="B3853" s="87" t="s">
        <v>4499</v>
      </c>
      <c r="C3853" s="88">
        <v>4490</v>
      </c>
      <c r="D3853" s="87" t="s">
        <v>5037</v>
      </c>
    </row>
    <row r="3854" spans="2:4" ht="15" x14ac:dyDescent="0.2">
      <c r="B3854" s="87" t="s">
        <v>4500</v>
      </c>
      <c r="C3854" s="88">
        <v>4490</v>
      </c>
      <c r="D3854" s="87" t="s">
        <v>5037</v>
      </c>
    </row>
    <row r="3855" spans="2:4" ht="15" x14ac:dyDescent="0.2">
      <c r="B3855" s="87" t="s">
        <v>4501</v>
      </c>
      <c r="C3855" s="88">
        <v>4490</v>
      </c>
      <c r="D3855" s="87" t="s">
        <v>5037</v>
      </c>
    </row>
    <row r="3856" spans="2:4" ht="15" x14ac:dyDescent="0.2">
      <c r="B3856" s="87" t="s">
        <v>4502</v>
      </c>
      <c r="C3856" s="88">
        <v>4470</v>
      </c>
      <c r="D3856" s="87" t="s">
        <v>5038</v>
      </c>
    </row>
    <row r="3857" spans="2:4" ht="15" x14ac:dyDescent="0.2">
      <c r="B3857" s="87" t="s">
        <v>4503</v>
      </c>
      <c r="C3857" s="88">
        <v>4470</v>
      </c>
      <c r="D3857" s="87" t="s">
        <v>5038</v>
      </c>
    </row>
    <row r="3858" spans="2:4" ht="15" x14ac:dyDescent="0.2">
      <c r="B3858" s="87" t="s">
        <v>4504</v>
      </c>
      <c r="C3858" s="88">
        <v>4470</v>
      </c>
      <c r="D3858" s="87" t="s">
        <v>5038</v>
      </c>
    </row>
    <row r="3859" spans="2:4" ht="15" x14ac:dyDescent="0.2">
      <c r="B3859" s="87" t="s">
        <v>4505</v>
      </c>
      <c r="C3859" s="88">
        <v>4460</v>
      </c>
      <c r="D3859" s="87" t="s">
        <v>5039</v>
      </c>
    </row>
    <row r="3860" spans="2:4" ht="15" x14ac:dyDescent="0.2">
      <c r="B3860" s="87" t="s">
        <v>4506</v>
      </c>
      <c r="C3860" s="88">
        <v>4460</v>
      </c>
      <c r="D3860" s="87" t="s">
        <v>5039</v>
      </c>
    </row>
    <row r="3861" spans="2:4" ht="15" x14ac:dyDescent="0.2">
      <c r="B3861" s="87" t="s">
        <v>4507</v>
      </c>
      <c r="C3861" s="88">
        <v>4460</v>
      </c>
      <c r="D3861" s="87" t="s">
        <v>5039</v>
      </c>
    </row>
    <row r="3862" spans="2:4" ht="15" x14ac:dyDescent="0.2">
      <c r="B3862" s="87" t="s">
        <v>4508</v>
      </c>
      <c r="C3862" s="88">
        <v>4450</v>
      </c>
      <c r="D3862" s="87" t="s">
        <v>5040</v>
      </c>
    </row>
    <row r="3863" spans="2:4" ht="15" x14ac:dyDescent="0.2">
      <c r="B3863" s="87" t="s">
        <v>4509</v>
      </c>
      <c r="C3863" s="88">
        <v>4450</v>
      </c>
      <c r="D3863" s="87" t="s">
        <v>5040</v>
      </c>
    </row>
    <row r="3864" spans="2:4" ht="15" x14ac:dyDescent="0.2">
      <c r="B3864" s="87" t="s">
        <v>4510</v>
      </c>
      <c r="C3864" s="88">
        <v>4430</v>
      </c>
      <c r="D3864" s="87" t="s">
        <v>5041</v>
      </c>
    </row>
    <row r="3865" spans="2:4" ht="15" x14ac:dyDescent="0.2">
      <c r="B3865" s="87" t="s">
        <v>4511</v>
      </c>
      <c r="C3865" s="88">
        <v>4430</v>
      </c>
      <c r="D3865" s="87" t="s">
        <v>5041</v>
      </c>
    </row>
    <row r="3866" spans="2:4" ht="15" x14ac:dyDescent="0.2">
      <c r="B3866" s="87" t="s">
        <v>4512</v>
      </c>
      <c r="C3866" s="88">
        <v>4430</v>
      </c>
      <c r="D3866" s="87" t="s">
        <v>5041</v>
      </c>
    </row>
    <row r="3867" spans="2:4" ht="15" x14ac:dyDescent="0.2">
      <c r="B3867" s="87" t="s">
        <v>4513</v>
      </c>
      <c r="C3867" s="88">
        <v>4420</v>
      </c>
      <c r="D3867" s="87" t="s">
        <v>5042</v>
      </c>
    </row>
    <row r="3868" spans="2:4" ht="15" x14ac:dyDescent="0.2">
      <c r="B3868" s="87" t="s">
        <v>4514</v>
      </c>
      <c r="C3868" s="88">
        <v>4420</v>
      </c>
      <c r="D3868" s="87" t="s">
        <v>5042</v>
      </c>
    </row>
    <row r="3869" spans="2:4" ht="15" x14ac:dyDescent="0.2">
      <c r="B3869" s="87" t="s">
        <v>4515</v>
      </c>
      <c r="C3869" s="88">
        <v>4420</v>
      </c>
      <c r="D3869" s="87" t="s">
        <v>5042</v>
      </c>
    </row>
    <row r="3870" spans="2:4" ht="15" x14ac:dyDescent="0.2">
      <c r="B3870" s="87" t="s">
        <v>4516</v>
      </c>
      <c r="C3870" s="88">
        <v>4400</v>
      </c>
      <c r="D3870" s="87" t="s">
        <v>5043</v>
      </c>
    </row>
    <row r="3871" spans="2:4" ht="15" x14ac:dyDescent="0.2">
      <c r="B3871" s="87" t="s">
        <v>4517</v>
      </c>
      <c r="C3871" s="88">
        <v>4400</v>
      </c>
      <c r="D3871" s="87" t="s">
        <v>5043</v>
      </c>
    </row>
    <row r="3872" spans="2:4" ht="15" x14ac:dyDescent="0.2">
      <c r="B3872" s="87" t="s">
        <v>4518</v>
      </c>
      <c r="C3872" s="88">
        <v>4400</v>
      </c>
      <c r="D3872" s="87" t="s">
        <v>5043</v>
      </c>
    </row>
    <row r="3873" spans="2:4" ht="15" x14ac:dyDescent="0.2">
      <c r="B3873" s="87" t="s">
        <v>4519</v>
      </c>
      <c r="C3873" s="88">
        <v>4390</v>
      </c>
      <c r="D3873" s="87" t="s">
        <v>5044</v>
      </c>
    </row>
    <row r="3874" spans="2:4" ht="15" x14ac:dyDescent="0.2">
      <c r="B3874" s="87" t="s">
        <v>4520</v>
      </c>
      <c r="C3874" s="88">
        <v>4390</v>
      </c>
      <c r="D3874" s="87" t="s">
        <v>5044</v>
      </c>
    </row>
    <row r="3875" spans="2:4" ht="15" x14ac:dyDescent="0.2">
      <c r="B3875" s="87" t="s">
        <v>4521</v>
      </c>
      <c r="C3875" s="88">
        <v>4380</v>
      </c>
      <c r="D3875" s="87" t="s">
        <v>5045</v>
      </c>
    </row>
    <row r="3876" spans="2:4" ht="15" x14ac:dyDescent="0.2">
      <c r="B3876" s="87" t="s">
        <v>4522</v>
      </c>
      <c r="C3876" s="88">
        <v>4380</v>
      </c>
      <c r="D3876" s="87" t="s">
        <v>5045</v>
      </c>
    </row>
    <row r="3877" spans="2:4" ht="15" x14ac:dyDescent="0.2">
      <c r="B3877" s="87" t="s">
        <v>4523</v>
      </c>
      <c r="C3877" s="88">
        <v>4360</v>
      </c>
      <c r="D3877" s="87" t="s">
        <v>5046</v>
      </c>
    </row>
    <row r="3878" spans="2:4" ht="15" x14ac:dyDescent="0.2">
      <c r="B3878" s="87" t="s">
        <v>4524</v>
      </c>
      <c r="C3878" s="88">
        <v>4360</v>
      </c>
      <c r="D3878" s="87" t="s">
        <v>5046</v>
      </c>
    </row>
    <row r="3879" spans="2:4" ht="15" x14ac:dyDescent="0.2">
      <c r="B3879" s="87" t="s">
        <v>4525</v>
      </c>
      <c r="C3879" s="88">
        <v>4360</v>
      </c>
      <c r="D3879" s="87" t="s">
        <v>5046</v>
      </c>
    </row>
    <row r="3880" spans="2:4" ht="15" x14ac:dyDescent="0.2">
      <c r="B3880" s="87" t="s">
        <v>4526</v>
      </c>
      <c r="C3880" s="88">
        <v>4350</v>
      </c>
      <c r="D3880" s="87" t="s">
        <v>5047</v>
      </c>
    </row>
    <row r="3881" spans="2:4" ht="15" x14ac:dyDescent="0.2">
      <c r="B3881" s="87" t="s">
        <v>4527</v>
      </c>
      <c r="C3881" s="88">
        <v>4350</v>
      </c>
      <c r="D3881" s="87" t="s">
        <v>5047</v>
      </c>
    </row>
    <row r="3882" spans="2:4" ht="15" x14ac:dyDescent="0.2">
      <c r="B3882" s="87" t="s">
        <v>4528</v>
      </c>
      <c r="C3882" s="88">
        <v>4340</v>
      </c>
      <c r="D3882" s="87" t="s">
        <v>5048</v>
      </c>
    </row>
    <row r="3883" spans="2:4" ht="15" x14ac:dyDescent="0.2">
      <c r="B3883" s="87" t="s">
        <v>4529</v>
      </c>
      <c r="C3883" s="88">
        <v>4340</v>
      </c>
      <c r="D3883" s="87" t="s">
        <v>5048</v>
      </c>
    </row>
    <row r="3884" spans="2:4" ht="15" x14ac:dyDescent="0.2">
      <c r="B3884" s="87" t="s">
        <v>4530</v>
      </c>
      <c r="C3884" s="88">
        <v>4320</v>
      </c>
      <c r="D3884" s="87" t="s">
        <v>5049</v>
      </c>
    </row>
    <row r="3885" spans="2:4" ht="15" x14ac:dyDescent="0.2">
      <c r="B3885" s="87" t="s">
        <v>4531</v>
      </c>
      <c r="C3885" s="88">
        <v>4320</v>
      </c>
      <c r="D3885" s="87" t="s">
        <v>5049</v>
      </c>
    </row>
    <row r="3886" spans="2:4" ht="15" x14ac:dyDescent="0.2">
      <c r="B3886" s="87" t="s">
        <v>4532</v>
      </c>
      <c r="C3886" s="88">
        <v>4310</v>
      </c>
      <c r="D3886" s="87" t="s">
        <v>5050</v>
      </c>
    </row>
    <row r="3887" spans="2:4" ht="15" x14ac:dyDescent="0.2">
      <c r="B3887" s="87" t="s">
        <v>4533</v>
      </c>
      <c r="C3887" s="88">
        <v>4310</v>
      </c>
      <c r="D3887" s="87" t="s">
        <v>5050</v>
      </c>
    </row>
    <row r="3888" spans="2:4" ht="15" x14ac:dyDescent="0.2">
      <c r="B3888" s="87" t="s">
        <v>4534</v>
      </c>
      <c r="C3888" s="88">
        <v>4310</v>
      </c>
      <c r="D3888" s="87" t="s">
        <v>5050</v>
      </c>
    </row>
    <row r="3889" spans="2:4" ht="15" x14ac:dyDescent="0.2">
      <c r="B3889" s="87" t="s">
        <v>4535</v>
      </c>
      <c r="C3889" s="88">
        <v>4300</v>
      </c>
      <c r="D3889" s="87" t="s">
        <v>5051</v>
      </c>
    </row>
    <row r="3890" spans="2:4" ht="15" x14ac:dyDescent="0.2">
      <c r="B3890" s="87" t="s">
        <v>4536</v>
      </c>
      <c r="C3890" s="88">
        <v>4300</v>
      </c>
      <c r="D3890" s="87" t="s">
        <v>5051</v>
      </c>
    </row>
    <row r="3891" spans="2:4" ht="15" x14ac:dyDescent="0.2">
      <c r="B3891" s="87" t="s">
        <v>4537</v>
      </c>
      <c r="C3891" s="88">
        <v>4300</v>
      </c>
      <c r="D3891" s="87" t="s">
        <v>5051</v>
      </c>
    </row>
    <row r="3892" spans="2:4" ht="15" x14ac:dyDescent="0.2">
      <c r="B3892" s="87" t="s">
        <v>4538</v>
      </c>
      <c r="C3892" s="88">
        <v>4280</v>
      </c>
      <c r="D3892" s="87" t="s">
        <v>5052</v>
      </c>
    </row>
    <row r="3893" spans="2:4" ht="15" x14ac:dyDescent="0.2">
      <c r="B3893" s="87" t="s">
        <v>4539</v>
      </c>
      <c r="C3893" s="88">
        <v>4280</v>
      </c>
      <c r="D3893" s="87" t="s">
        <v>5052</v>
      </c>
    </row>
    <row r="3894" spans="2:4" ht="15" x14ac:dyDescent="0.2">
      <c r="B3894" s="87" t="s">
        <v>4540</v>
      </c>
      <c r="C3894" s="88">
        <v>4280</v>
      </c>
      <c r="D3894" s="87" t="s">
        <v>5052</v>
      </c>
    </row>
    <row r="3895" spans="2:4" ht="15" x14ac:dyDescent="0.2">
      <c r="B3895" s="87" t="s">
        <v>4541</v>
      </c>
      <c r="C3895" s="88">
        <v>4270</v>
      </c>
      <c r="D3895" s="87" t="s">
        <v>5053</v>
      </c>
    </row>
    <row r="3896" spans="2:4" ht="15" x14ac:dyDescent="0.2">
      <c r="B3896" s="87" t="s">
        <v>4542</v>
      </c>
      <c r="C3896" s="88">
        <v>4270</v>
      </c>
      <c r="D3896" s="87" t="s">
        <v>5053</v>
      </c>
    </row>
    <row r="3897" spans="2:4" ht="15" x14ac:dyDescent="0.2">
      <c r="B3897" s="87" t="s">
        <v>4543</v>
      </c>
      <c r="C3897" s="88">
        <v>4260</v>
      </c>
      <c r="D3897" s="87" t="s">
        <v>5054</v>
      </c>
    </row>
    <row r="3898" spans="2:4" ht="15" x14ac:dyDescent="0.2">
      <c r="B3898" s="87" t="s">
        <v>4544</v>
      </c>
      <c r="C3898" s="88">
        <v>4260</v>
      </c>
      <c r="D3898" s="87" t="s">
        <v>5054</v>
      </c>
    </row>
    <row r="3899" spans="2:4" ht="15" x14ac:dyDescent="0.2">
      <c r="B3899" s="87" t="s">
        <v>4545</v>
      </c>
      <c r="C3899" s="88">
        <v>4240</v>
      </c>
      <c r="D3899" s="87" t="s">
        <v>5055</v>
      </c>
    </row>
    <row r="3900" spans="2:4" ht="15" x14ac:dyDescent="0.2">
      <c r="B3900" s="87" t="s">
        <v>4546</v>
      </c>
      <c r="C3900" s="88">
        <v>4240</v>
      </c>
      <c r="D3900" s="87" t="s">
        <v>5055</v>
      </c>
    </row>
    <row r="3901" spans="2:4" ht="15" x14ac:dyDescent="0.2">
      <c r="B3901" s="87" t="s">
        <v>4547</v>
      </c>
      <c r="C3901" s="88">
        <v>4230</v>
      </c>
      <c r="D3901" s="87" t="s">
        <v>5056</v>
      </c>
    </row>
    <row r="3902" spans="2:4" ht="15" x14ac:dyDescent="0.2">
      <c r="B3902" s="87" t="s">
        <v>4548</v>
      </c>
      <c r="C3902" s="88">
        <v>4230</v>
      </c>
      <c r="D3902" s="87" t="s">
        <v>5056</v>
      </c>
    </row>
    <row r="3903" spans="2:4" ht="15" x14ac:dyDescent="0.2">
      <c r="B3903" s="87" t="s">
        <v>4549</v>
      </c>
      <c r="C3903" s="88">
        <v>4230</v>
      </c>
      <c r="D3903" s="87" t="s">
        <v>5056</v>
      </c>
    </row>
    <row r="3904" spans="2:4" ht="15" x14ac:dyDescent="0.2">
      <c r="B3904" s="87" t="s">
        <v>4550</v>
      </c>
      <c r="C3904" s="88">
        <v>4220</v>
      </c>
      <c r="D3904" s="87" t="s">
        <v>5057</v>
      </c>
    </row>
    <row r="3905" spans="2:4" ht="15" x14ac:dyDescent="0.2">
      <c r="B3905" s="87" t="s">
        <v>4551</v>
      </c>
      <c r="C3905" s="88">
        <v>4220</v>
      </c>
      <c r="D3905" s="87" t="s">
        <v>5057</v>
      </c>
    </row>
    <row r="3906" spans="2:4" ht="15" x14ac:dyDescent="0.2">
      <c r="B3906" s="87" t="s">
        <v>4552</v>
      </c>
      <c r="C3906" s="88">
        <v>4220</v>
      </c>
      <c r="D3906" s="87" t="s">
        <v>5057</v>
      </c>
    </row>
    <row r="3907" spans="2:4" ht="15" x14ac:dyDescent="0.2">
      <c r="B3907" s="87" t="s">
        <v>4553</v>
      </c>
      <c r="C3907" s="88">
        <v>4220</v>
      </c>
      <c r="D3907" s="87" t="s">
        <v>5057</v>
      </c>
    </row>
    <row r="3908" spans="2:4" ht="15" x14ac:dyDescent="0.2">
      <c r="B3908" s="87" t="s">
        <v>4554</v>
      </c>
      <c r="C3908" s="88">
        <v>4200</v>
      </c>
      <c r="D3908" s="87" t="s">
        <v>5058</v>
      </c>
    </row>
    <row r="3909" spans="2:4" ht="15" x14ac:dyDescent="0.2">
      <c r="B3909" s="87" t="s">
        <v>4555</v>
      </c>
      <c r="C3909" s="88">
        <v>4200</v>
      </c>
      <c r="D3909" s="87" t="s">
        <v>5058</v>
      </c>
    </row>
    <row r="3910" spans="2:4" ht="15" x14ac:dyDescent="0.2">
      <c r="B3910" s="87" t="s">
        <v>4556</v>
      </c>
      <c r="C3910" s="88">
        <v>4200</v>
      </c>
      <c r="D3910" s="87" t="s">
        <v>5058</v>
      </c>
    </row>
    <row r="3911" spans="2:4" ht="15" x14ac:dyDescent="0.2">
      <c r="B3911" s="87" t="s">
        <v>4557</v>
      </c>
      <c r="C3911" s="88">
        <v>4200</v>
      </c>
      <c r="D3911" s="87" t="s">
        <v>5058</v>
      </c>
    </row>
    <row r="3912" spans="2:4" ht="15" x14ac:dyDescent="0.2">
      <c r="B3912" s="87" t="s">
        <v>4558</v>
      </c>
      <c r="C3912" s="88">
        <v>4200</v>
      </c>
      <c r="D3912" s="87" t="s">
        <v>5058</v>
      </c>
    </row>
    <row r="3913" spans="2:4" ht="15" x14ac:dyDescent="0.2">
      <c r="B3913" s="87" t="s">
        <v>4559</v>
      </c>
      <c r="C3913" s="88">
        <v>4190</v>
      </c>
      <c r="D3913" s="87" t="s">
        <v>5059</v>
      </c>
    </row>
    <row r="3914" spans="2:4" ht="15" x14ac:dyDescent="0.2">
      <c r="B3914" s="87" t="s">
        <v>4560</v>
      </c>
      <c r="C3914" s="88">
        <v>4190</v>
      </c>
      <c r="D3914" s="87" t="s">
        <v>5059</v>
      </c>
    </row>
    <row r="3915" spans="2:4" ht="15" x14ac:dyDescent="0.2">
      <c r="B3915" s="87" t="s">
        <v>4561</v>
      </c>
      <c r="C3915" s="88">
        <v>4190</v>
      </c>
      <c r="D3915" s="87" t="s">
        <v>5059</v>
      </c>
    </row>
    <row r="3916" spans="2:4" ht="15" x14ac:dyDescent="0.2">
      <c r="B3916" s="87" t="s">
        <v>4562</v>
      </c>
      <c r="C3916" s="88">
        <v>4180</v>
      </c>
      <c r="D3916" s="87" t="s">
        <v>5060</v>
      </c>
    </row>
    <row r="3917" spans="2:4" ht="15" x14ac:dyDescent="0.2">
      <c r="B3917" s="87" t="s">
        <v>4563</v>
      </c>
      <c r="C3917" s="88">
        <v>4180</v>
      </c>
      <c r="D3917" s="87" t="s">
        <v>5060</v>
      </c>
    </row>
    <row r="3918" spans="2:4" ht="15" x14ac:dyDescent="0.2">
      <c r="B3918" s="87" t="s">
        <v>4564</v>
      </c>
      <c r="C3918" s="88">
        <v>4180</v>
      </c>
      <c r="D3918" s="87" t="s">
        <v>5060</v>
      </c>
    </row>
    <row r="3919" spans="2:4" ht="15" x14ac:dyDescent="0.2">
      <c r="B3919" s="87" t="s">
        <v>4565</v>
      </c>
      <c r="C3919" s="88">
        <v>4180</v>
      </c>
      <c r="D3919" s="87" t="s">
        <v>5060</v>
      </c>
    </row>
    <row r="3920" spans="2:4" ht="15" x14ac:dyDescent="0.2">
      <c r="B3920" s="87" t="s">
        <v>4566</v>
      </c>
      <c r="C3920" s="88">
        <v>4160</v>
      </c>
      <c r="D3920" s="87" t="s">
        <v>5061</v>
      </c>
    </row>
    <row r="3921" spans="2:4" ht="15" x14ac:dyDescent="0.2">
      <c r="B3921" s="87" t="s">
        <v>4567</v>
      </c>
      <c r="C3921" s="88">
        <v>4160</v>
      </c>
      <c r="D3921" s="87" t="s">
        <v>5061</v>
      </c>
    </row>
    <row r="3922" spans="2:4" ht="15" x14ac:dyDescent="0.2">
      <c r="B3922" s="87" t="s">
        <v>4568</v>
      </c>
      <c r="C3922" s="88">
        <v>4160</v>
      </c>
      <c r="D3922" s="87" t="s">
        <v>5061</v>
      </c>
    </row>
    <row r="3923" spans="2:4" ht="15" x14ac:dyDescent="0.2">
      <c r="B3923" s="87" t="s">
        <v>4569</v>
      </c>
      <c r="C3923" s="88">
        <v>4150</v>
      </c>
      <c r="D3923" s="87" t="s">
        <v>5062</v>
      </c>
    </row>
    <row r="3924" spans="2:4" ht="15" x14ac:dyDescent="0.2">
      <c r="B3924" s="87" t="s">
        <v>4570</v>
      </c>
      <c r="C3924" s="88">
        <v>4150</v>
      </c>
      <c r="D3924" s="87" t="s">
        <v>5062</v>
      </c>
    </row>
    <row r="3925" spans="2:4" ht="15" x14ac:dyDescent="0.2">
      <c r="B3925" s="87" t="s">
        <v>4571</v>
      </c>
      <c r="C3925" s="88">
        <v>4150</v>
      </c>
      <c r="D3925" s="87" t="s">
        <v>5062</v>
      </c>
    </row>
    <row r="3926" spans="2:4" ht="15" x14ac:dyDescent="0.2">
      <c r="B3926" s="87" t="s">
        <v>4572</v>
      </c>
      <c r="C3926" s="88">
        <v>4150</v>
      </c>
      <c r="D3926" s="87" t="s">
        <v>5062</v>
      </c>
    </row>
    <row r="3927" spans="2:4" ht="15" x14ac:dyDescent="0.2">
      <c r="B3927" s="87" t="s">
        <v>4573</v>
      </c>
      <c r="C3927" s="88">
        <v>4150</v>
      </c>
      <c r="D3927" s="87" t="s">
        <v>5062</v>
      </c>
    </row>
    <row r="3928" spans="2:4" ht="15" x14ac:dyDescent="0.2">
      <c r="B3928" s="87" t="s">
        <v>4574</v>
      </c>
      <c r="C3928" s="88">
        <v>4140</v>
      </c>
      <c r="D3928" s="87" t="s">
        <v>5146</v>
      </c>
    </row>
    <row r="3929" spans="2:4" ht="15" x14ac:dyDescent="0.2">
      <c r="B3929" s="87" t="s">
        <v>4575</v>
      </c>
      <c r="C3929" s="88">
        <v>4140</v>
      </c>
      <c r="D3929" s="87" t="s">
        <v>5146</v>
      </c>
    </row>
    <row r="3930" spans="2:4" ht="15" x14ac:dyDescent="0.2">
      <c r="B3930" s="87" t="s">
        <v>4576</v>
      </c>
      <c r="C3930" s="88">
        <v>4140</v>
      </c>
      <c r="D3930" s="87" t="s">
        <v>5146</v>
      </c>
    </row>
    <row r="3931" spans="2:4" ht="15" x14ac:dyDescent="0.2">
      <c r="B3931" s="87" t="s">
        <v>4577</v>
      </c>
      <c r="C3931" s="88">
        <v>4120</v>
      </c>
      <c r="D3931" s="87" t="s">
        <v>5147</v>
      </c>
    </row>
    <row r="3932" spans="2:4" ht="15" x14ac:dyDescent="0.2">
      <c r="B3932" s="87" t="s">
        <v>4578</v>
      </c>
      <c r="C3932" s="88">
        <v>4120</v>
      </c>
      <c r="D3932" s="87" t="s">
        <v>5147</v>
      </c>
    </row>
    <row r="3933" spans="2:4" ht="15" x14ac:dyDescent="0.2">
      <c r="B3933" s="87" t="s">
        <v>4579</v>
      </c>
      <c r="C3933" s="88">
        <v>4110</v>
      </c>
      <c r="D3933" s="87" t="s">
        <v>5148</v>
      </c>
    </row>
    <row r="3934" spans="2:4" ht="15" x14ac:dyDescent="0.2">
      <c r="B3934" s="87" t="s">
        <v>4580</v>
      </c>
      <c r="C3934" s="88">
        <v>4110</v>
      </c>
      <c r="D3934" s="87" t="s">
        <v>5148</v>
      </c>
    </row>
    <row r="3935" spans="2:4" ht="15" x14ac:dyDescent="0.2">
      <c r="B3935" s="87" t="s">
        <v>4581</v>
      </c>
      <c r="C3935" s="88">
        <v>4100</v>
      </c>
      <c r="D3935" s="87" t="s">
        <v>5149</v>
      </c>
    </row>
    <row r="3936" spans="2:4" ht="15" x14ac:dyDescent="0.2">
      <c r="B3936" s="87" t="s">
        <v>4582</v>
      </c>
      <c r="C3936" s="88">
        <v>4100</v>
      </c>
      <c r="D3936" s="87" t="s">
        <v>5149</v>
      </c>
    </row>
    <row r="3937" spans="2:4" ht="15" x14ac:dyDescent="0.2">
      <c r="B3937" s="87" t="s">
        <v>4583</v>
      </c>
      <c r="C3937" s="88">
        <v>4080</v>
      </c>
      <c r="D3937" s="87" t="s">
        <v>5150</v>
      </c>
    </row>
    <row r="3938" spans="2:4" ht="15" x14ac:dyDescent="0.2">
      <c r="B3938" s="87" t="s">
        <v>4584</v>
      </c>
      <c r="C3938" s="88">
        <v>4070</v>
      </c>
      <c r="D3938" s="87" t="s">
        <v>5151</v>
      </c>
    </row>
    <row r="3939" spans="2:4" ht="15" x14ac:dyDescent="0.2">
      <c r="B3939" s="87" t="s">
        <v>4585</v>
      </c>
      <c r="C3939" s="88">
        <v>4070</v>
      </c>
      <c r="D3939" s="87" t="s">
        <v>5151</v>
      </c>
    </row>
    <row r="3940" spans="2:4" ht="15" x14ac:dyDescent="0.2">
      <c r="B3940" s="87" t="s">
        <v>4586</v>
      </c>
      <c r="C3940" s="88">
        <v>4060</v>
      </c>
      <c r="D3940" s="87" t="s">
        <v>5152</v>
      </c>
    </row>
    <row r="3941" spans="2:4" ht="15" x14ac:dyDescent="0.2">
      <c r="B3941" s="87" t="s">
        <v>4587</v>
      </c>
      <c r="C3941" s="88">
        <v>4040</v>
      </c>
      <c r="D3941" s="87" t="s">
        <v>5153</v>
      </c>
    </row>
    <row r="3942" spans="2:4" ht="15" x14ac:dyDescent="0.2">
      <c r="B3942" s="87" t="s">
        <v>4588</v>
      </c>
      <c r="C3942" s="88">
        <v>4040</v>
      </c>
      <c r="D3942" s="87" t="s">
        <v>5153</v>
      </c>
    </row>
    <row r="3943" spans="2:4" ht="15" x14ac:dyDescent="0.2">
      <c r="B3943" s="87" t="s">
        <v>4589</v>
      </c>
      <c r="C3943" s="88">
        <v>4030</v>
      </c>
      <c r="D3943" s="87" t="s">
        <v>5154</v>
      </c>
    </row>
    <row r="3944" spans="2:4" ht="15" x14ac:dyDescent="0.2">
      <c r="B3944" s="87" t="s">
        <v>4590</v>
      </c>
      <c r="C3944" s="88">
        <v>4020</v>
      </c>
      <c r="D3944" s="87" t="s">
        <v>5155</v>
      </c>
    </row>
    <row r="3945" spans="2:4" ht="15" x14ac:dyDescent="0.2">
      <c r="B3945" s="87" t="s">
        <v>4591</v>
      </c>
      <c r="C3945" s="88">
        <v>4000</v>
      </c>
      <c r="D3945" s="87" t="s">
        <v>5156</v>
      </c>
    </row>
    <row r="3946" spans="2:4" ht="15" x14ac:dyDescent="0.2">
      <c r="B3946" s="87" t="s">
        <v>4592</v>
      </c>
      <c r="C3946" s="88">
        <v>3990</v>
      </c>
      <c r="D3946" s="87" t="s">
        <v>5157</v>
      </c>
    </row>
    <row r="3947" spans="2:4" ht="15" x14ac:dyDescent="0.2">
      <c r="B3947" s="87" t="s">
        <v>4593</v>
      </c>
      <c r="C3947" s="88">
        <v>3960</v>
      </c>
      <c r="D3947" s="87" t="s">
        <v>5158</v>
      </c>
    </row>
    <row r="3948" spans="2:4" ht="15" x14ac:dyDescent="0.2">
      <c r="B3948" s="87" t="s">
        <v>4594</v>
      </c>
      <c r="C3948" s="88">
        <v>3950</v>
      </c>
      <c r="D3948" s="87" t="s">
        <v>5159</v>
      </c>
    </row>
    <row r="3949" spans="2:4" ht="15" x14ac:dyDescent="0.2">
      <c r="B3949" s="87" t="s">
        <v>4595</v>
      </c>
      <c r="C3949" s="88">
        <v>3940</v>
      </c>
      <c r="D3949" s="87" t="s">
        <v>5160</v>
      </c>
    </row>
    <row r="3950" spans="2:4" ht="15" x14ac:dyDescent="0.2">
      <c r="B3950" s="87" t="s">
        <v>4596</v>
      </c>
      <c r="C3950" s="88">
        <v>3910</v>
      </c>
      <c r="D3950" s="87" t="s">
        <v>5161</v>
      </c>
    </row>
    <row r="3951" spans="2:4" ht="15" x14ac:dyDescent="0.2">
      <c r="B3951" s="87" t="s">
        <v>4597</v>
      </c>
      <c r="C3951" s="88">
        <v>3890</v>
      </c>
      <c r="D3951" s="87" t="s">
        <v>5162</v>
      </c>
    </row>
    <row r="3952" spans="2:4" ht="15" x14ac:dyDescent="0.2">
      <c r="B3952" s="87" t="s">
        <v>4598</v>
      </c>
      <c r="C3952" s="88">
        <v>3870</v>
      </c>
      <c r="D3952" s="87" t="s">
        <v>5163</v>
      </c>
    </row>
    <row r="3953" spans="2:4" ht="15" x14ac:dyDescent="0.2">
      <c r="B3953" s="87" t="s">
        <v>4599</v>
      </c>
      <c r="C3953" s="88">
        <v>3860</v>
      </c>
      <c r="D3953" s="87" t="s">
        <v>5164</v>
      </c>
    </row>
    <row r="3954" spans="2:4" ht="15" x14ac:dyDescent="0.2">
      <c r="B3954" s="87" t="s">
        <v>4600</v>
      </c>
      <c r="C3954" s="88">
        <v>3830</v>
      </c>
      <c r="D3954" s="87" t="s">
        <v>5165</v>
      </c>
    </row>
    <row r="3955" spans="2:4" ht="15" x14ac:dyDescent="0.2">
      <c r="B3955" s="87" t="s">
        <v>4601</v>
      </c>
      <c r="C3955" s="88">
        <v>3810</v>
      </c>
      <c r="D3955" s="87" t="s">
        <v>5166</v>
      </c>
    </row>
    <row r="3956" spans="2:4" ht="15" x14ac:dyDescent="0.2">
      <c r="B3956" s="87" t="s">
        <v>4602</v>
      </c>
      <c r="C3956" s="88">
        <v>3790</v>
      </c>
      <c r="D3956" s="87" t="s">
        <v>5167</v>
      </c>
    </row>
    <row r="3957" spans="2:4" ht="15" x14ac:dyDescent="0.2">
      <c r="B3957" s="87" t="s">
        <v>4603</v>
      </c>
      <c r="C3957" s="88">
        <v>3780</v>
      </c>
      <c r="D3957" s="87" t="s">
        <v>5168</v>
      </c>
    </row>
    <row r="3958" spans="2:4" ht="15" x14ac:dyDescent="0.2">
      <c r="B3958" s="87" t="s">
        <v>4604</v>
      </c>
      <c r="C3958" s="88">
        <v>3760</v>
      </c>
      <c r="D3958" s="87" t="s">
        <v>5169</v>
      </c>
    </row>
    <row r="3959" spans="2:4" ht="15" x14ac:dyDescent="0.2">
      <c r="B3959" s="87" t="s">
        <v>4605</v>
      </c>
      <c r="C3959" s="88">
        <v>3740</v>
      </c>
      <c r="D3959" s="87" t="s">
        <v>5170</v>
      </c>
    </row>
    <row r="3960" spans="2:4" ht="15" x14ac:dyDescent="0.2">
      <c r="B3960" s="87" t="s">
        <v>4606</v>
      </c>
      <c r="C3960" s="88">
        <v>3720</v>
      </c>
      <c r="D3960" s="87" t="s">
        <v>5171</v>
      </c>
    </row>
    <row r="3961" spans="2:4" ht="15" x14ac:dyDescent="0.2">
      <c r="B3961" s="87" t="s">
        <v>4607</v>
      </c>
      <c r="C3961" s="88">
        <v>3700</v>
      </c>
      <c r="D3961" s="87" t="s">
        <v>5172</v>
      </c>
    </row>
    <row r="3962" spans="2:4" ht="15" x14ac:dyDescent="0.2">
      <c r="B3962" s="87" t="s">
        <v>4608</v>
      </c>
      <c r="C3962" s="88">
        <v>3690</v>
      </c>
      <c r="D3962" s="87" t="s">
        <v>5173</v>
      </c>
    </row>
    <row r="3963" spans="2:4" ht="15" x14ac:dyDescent="0.2">
      <c r="B3963" s="87" t="s">
        <v>4609</v>
      </c>
      <c r="C3963" s="88">
        <v>3670</v>
      </c>
      <c r="D3963" s="87" t="s">
        <v>5174</v>
      </c>
    </row>
    <row r="3964" spans="2:4" ht="15" x14ac:dyDescent="0.2">
      <c r="B3964" s="87" t="s">
        <v>4610</v>
      </c>
      <c r="C3964" s="88">
        <v>3650</v>
      </c>
      <c r="D3964" s="87" t="s">
        <v>5175</v>
      </c>
    </row>
    <row r="3965" spans="2:4" ht="15" x14ac:dyDescent="0.2">
      <c r="B3965" s="87" t="s">
        <v>4611</v>
      </c>
      <c r="C3965" s="88">
        <v>3640</v>
      </c>
      <c r="D3965" s="87" t="s">
        <v>5176</v>
      </c>
    </row>
    <row r="3966" spans="2:4" ht="15" x14ac:dyDescent="0.2">
      <c r="B3966" s="87" t="s">
        <v>4612</v>
      </c>
      <c r="C3966" s="88">
        <v>3630</v>
      </c>
      <c r="D3966" s="87" t="s">
        <v>5177</v>
      </c>
    </row>
    <row r="3967" spans="2:4" ht="15" x14ac:dyDescent="0.2">
      <c r="B3967" s="87" t="s">
        <v>4613</v>
      </c>
      <c r="C3967" s="88">
        <v>3610</v>
      </c>
      <c r="D3967" s="87" t="s">
        <v>5178</v>
      </c>
    </row>
    <row r="3968" spans="2:4" ht="15" x14ac:dyDescent="0.2">
      <c r="B3968" s="87" t="s">
        <v>4614</v>
      </c>
      <c r="C3968" s="88">
        <v>3600</v>
      </c>
      <c r="D3968" s="87" t="s">
        <v>5179</v>
      </c>
    </row>
    <row r="3969" spans="2:4" ht="15" x14ac:dyDescent="0.2">
      <c r="B3969" s="87" t="s">
        <v>4615</v>
      </c>
      <c r="C3969" s="88">
        <v>3590</v>
      </c>
      <c r="D3969" s="87" t="s">
        <v>5180</v>
      </c>
    </row>
    <row r="3970" spans="2:4" ht="15" x14ac:dyDescent="0.2">
      <c r="B3970" s="87" t="s">
        <v>4616</v>
      </c>
      <c r="C3970" s="88">
        <v>3580</v>
      </c>
      <c r="D3970" s="87" t="s">
        <v>5181</v>
      </c>
    </row>
    <row r="3971" spans="2:4" ht="15" x14ac:dyDescent="0.2">
      <c r="B3971" s="87" t="s">
        <v>4617</v>
      </c>
      <c r="C3971" s="88">
        <v>3560</v>
      </c>
      <c r="D3971" s="87" t="s">
        <v>5182</v>
      </c>
    </row>
    <row r="3972" spans="2:4" ht="15" x14ac:dyDescent="0.2">
      <c r="B3972" s="87" t="s">
        <v>4618</v>
      </c>
      <c r="C3972" s="88">
        <v>3550</v>
      </c>
      <c r="D3972" s="87" t="s">
        <v>5183</v>
      </c>
    </row>
    <row r="3973" spans="2:4" ht="15" x14ac:dyDescent="0.2">
      <c r="B3973" s="87" t="s">
        <v>4619</v>
      </c>
      <c r="C3973" s="88">
        <v>3550</v>
      </c>
      <c r="D3973" s="87" t="s">
        <v>5183</v>
      </c>
    </row>
    <row r="3974" spans="2:4" ht="15" x14ac:dyDescent="0.2">
      <c r="B3974" s="87" t="s">
        <v>4620</v>
      </c>
      <c r="C3974" s="88">
        <v>3540</v>
      </c>
      <c r="D3974" s="87" t="s">
        <v>5184</v>
      </c>
    </row>
    <row r="3975" spans="2:4" ht="15" x14ac:dyDescent="0.2">
      <c r="B3975" s="87" t="s">
        <v>4621</v>
      </c>
      <c r="C3975" s="88">
        <v>3540</v>
      </c>
      <c r="D3975" s="87" t="s">
        <v>5184</v>
      </c>
    </row>
    <row r="3976" spans="2:4" ht="15" x14ac:dyDescent="0.2">
      <c r="B3976" s="87" t="s">
        <v>4622</v>
      </c>
      <c r="C3976" s="88">
        <v>3530</v>
      </c>
      <c r="D3976" s="87" t="s">
        <v>5185</v>
      </c>
    </row>
    <row r="3977" spans="2:4" ht="15" x14ac:dyDescent="0.2">
      <c r="B3977" s="87" t="s">
        <v>4623</v>
      </c>
      <c r="C3977" s="88">
        <v>3510</v>
      </c>
      <c r="D3977" s="87" t="s">
        <v>5186</v>
      </c>
    </row>
    <row r="3978" spans="2:4" ht="15" x14ac:dyDescent="0.2">
      <c r="B3978" s="87" t="s">
        <v>4624</v>
      </c>
      <c r="C3978" s="88">
        <v>3510</v>
      </c>
      <c r="D3978" s="87" t="s">
        <v>5186</v>
      </c>
    </row>
    <row r="3979" spans="2:4" ht="15" x14ac:dyDescent="0.2">
      <c r="B3979" s="87" t="s">
        <v>4625</v>
      </c>
      <c r="C3979" s="88">
        <v>3500</v>
      </c>
      <c r="D3979" s="87" t="s">
        <v>5187</v>
      </c>
    </row>
    <row r="3980" spans="2:4" ht="15" x14ac:dyDescent="0.2">
      <c r="B3980" s="87" t="s">
        <v>4626</v>
      </c>
      <c r="C3980" s="88">
        <v>3500</v>
      </c>
      <c r="D3980" s="87" t="s">
        <v>5187</v>
      </c>
    </row>
    <row r="3981" spans="2:4" ht="15" x14ac:dyDescent="0.2">
      <c r="B3981" s="87" t="s">
        <v>4627</v>
      </c>
      <c r="C3981" s="88">
        <v>3490</v>
      </c>
      <c r="D3981" s="87" t="s">
        <v>5188</v>
      </c>
    </row>
    <row r="3982" spans="2:4" ht="15" x14ac:dyDescent="0.2">
      <c r="B3982" s="87" t="s">
        <v>4628</v>
      </c>
      <c r="C3982" s="88">
        <v>3490</v>
      </c>
      <c r="D3982" s="87" t="s">
        <v>5188</v>
      </c>
    </row>
    <row r="3983" spans="2:4" ht="15" x14ac:dyDescent="0.2">
      <c r="B3983" s="87" t="s">
        <v>4629</v>
      </c>
      <c r="C3983" s="88">
        <v>3480</v>
      </c>
      <c r="D3983" s="87" t="s">
        <v>5189</v>
      </c>
    </row>
    <row r="3984" spans="2:4" ht="15" x14ac:dyDescent="0.2">
      <c r="B3984" s="87" t="s">
        <v>4630</v>
      </c>
      <c r="C3984" s="88">
        <v>3480</v>
      </c>
      <c r="D3984" s="87" t="s">
        <v>5189</v>
      </c>
    </row>
    <row r="3985" spans="2:4" ht="15" x14ac:dyDescent="0.2">
      <c r="B3985" s="87" t="s">
        <v>4631</v>
      </c>
      <c r="C3985" s="88">
        <v>3460</v>
      </c>
      <c r="D3985" s="87" t="s">
        <v>5190</v>
      </c>
    </row>
    <row r="3986" spans="2:4" ht="15" x14ac:dyDescent="0.2">
      <c r="B3986" s="87" t="s">
        <v>4632</v>
      </c>
      <c r="C3986" s="88">
        <v>3460</v>
      </c>
      <c r="D3986" s="87" t="s">
        <v>5190</v>
      </c>
    </row>
    <row r="3987" spans="2:4" ht="15" x14ac:dyDescent="0.2">
      <c r="B3987" s="87" t="s">
        <v>4633</v>
      </c>
      <c r="C3987" s="88">
        <v>3450</v>
      </c>
      <c r="D3987" s="87" t="s">
        <v>5191</v>
      </c>
    </row>
    <row r="3988" spans="2:4" ht="15" x14ac:dyDescent="0.2">
      <c r="B3988" s="87" t="s">
        <v>4634</v>
      </c>
      <c r="C3988" s="88">
        <v>3450</v>
      </c>
      <c r="D3988" s="87" t="s">
        <v>5191</v>
      </c>
    </row>
    <row r="3989" spans="2:4" ht="15" x14ac:dyDescent="0.2">
      <c r="B3989" s="87" t="s">
        <v>4635</v>
      </c>
      <c r="C3989" s="88">
        <v>3450</v>
      </c>
      <c r="D3989" s="87" t="s">
        <v>5191</v>
      </c>
    </row>
    <row r="3990" spans="2:4" ht="15" x14ac:dyDescent="0.2">
      <c r="B3990" s="87" t="s">
        <v>4636</v>
      </c>
      <c r="C3990" s="88">
        <v>3450</v>
      </c>
      <c r="D3990" s="87" t="s">
        <v>5191</v>
      </c>
    </row>
    <row r="3991" spans="2:4" ht="15" x14ac:dyDescent="0.2">
      <c r="B3991" s="87" t="s">
        <v>4637</v>
      </c>
      <c r="C3991" s="88">
        <v>3450</v>
      </c>
      <c r="D3991" s="87" t="s">
        <v>5191</v>
      </c>
    </row>
    <row r="3992" spans="2:4" ht="15" x14ac:dyDescent="0.2">
      <c r="B3992" s="87" t="s">
        <v>4638</v>
      </c>
      <c r="C3992" s="88">
        <v>3450</v>
      </c>
      <c r="D3992" s="87" t="s">
        <v>5191</v>
      </c>
    </row>
    <row r="3993" spans="2:4" ht="15" x14ac:dyDescent="0.2">
      <c r="B3993" s="87" t="s">
        <v>4639</v>
      </c>
      <c r="C3993" s="88">
        <v>3440</v>
      </c>
      <c r="D3993" s="87" t="s">
        <v>5192</v>
      </c>
    </row>
    <row r="3994" spans="2:4" ht="15" x14ac:dyDescent="0.2">
      <c r="B3994" s="87" t="s">
        <v>4640</v>
      </c>
      <c r="C3994" s="88">
        <v>3440</v>
      </c>
      <c r="D3994" s="87" t="s">
        <v>5192</v>
      </c>
    </row>
    <row r="3995" spans="2:4" ht="15" x14ac:dyDescent="0.2">
      <c r="B3995" s="87" t="s">
        <v>4641</v>
      </c>
      <c r="C3995" s="88">
        <v>3440</v>
      </c>
      <c r="D3995" s="87" t="s">
        <v>5192</v>
      </c>
    </row>
    <row r="3996" spans="2:4" ht="15" x14ac:dyDescent="0.2">
      <c r="B3996" s="87" t="s">
        <v>4642</v>
      </c>
      <c r="C3996" s="88">
        <v>3440</v>
      </c>
      <c r="D3996" s="87" t="s">
        <v>5192</v>
      </c>
    </row>
    <row r="3997" spans="2:4" ht="15" x14ac:dyDescent="0.2">
      <c r="B3997" s="87" t="s">
        <v>4643</v>
      </c>
      <c r="C3997" s="88">
        <v>3440</v>
      </c>
      <c r="D3997" s="87" t="s">
        <v>5192</v>
      </c>
    </row>
    <row r="3998" spans="2:4" ht="15" x14ac:dyDescent="0.2">
      <c r="B3998" s="87" t="s">
        <v>4644</v>
      </c>
      <c r="C3998" s="88">
        <v>3440</v>
      </c>
      <c r="D3998" s="87" t="s">
        <v>5192</v>
      </c>
    </row>
    <row r="3999" spans="2:4" ht="15" x14ac:dyDescent="0.2">
      <c r="B3999" s="87" t="s">
        <v>4645</v>
      </c>
      <c r="C3999" s="88">
        <v>3440</v>
      </c>
      <c r="D3999" s="87" t="s">
        <v>5192</v>
      </c>
    </row>
    <row r="4000" spans="2:4" ht="15" x14ac:dyDescent="0.2">
      <c r="B4000" s="87" t="s">
        <v>4646</v>
      </c>
      <c r="C4000" s="88">
        <v>3440</v>
      </c>
      <c r="D4000" s="87" t="s">
        <v>5192</v>
      </c>
    </row>
    <row r="4001" spans="2:4" ht="15" x14ac:dyDescent="0.2">
      <c r="B4001" s="87" t="s">
        <v>4647</v>
      </c>
      <c r="C4001" s="88">
        <v>3440</v>
      </c>
      <c r="D4001" s="87" t="s">
        <v>5192</v>
      </c>
    </row>
    <row r="4002" spans="2:4" ht="15" x14ac:dyDescent="0.2">
      <c r="B4002" s="87" t="s">
        <v>4648</v>
      </c>
      <c r="C4002" s="88">
        <v>3440</v>
      </c>
      <c r="D4002" s="87" t="s">
        <v>5192</v>
      </c>
    </row>
    <row r="4003" spans="2:4" ht="15" x14ac:dyDescent="0.2">
      <c r="B4003" s="87" t="s">
        <v>4649</v>
      </c>
      <c r="C4003" s="88">
        <v>3440</v>
      </c>
      <c r="D4003" s="87" t="s">
        <v>5192</v>
      </c>
    </row>
    <row r="4004" spans="2:4" ht="15" x14ac:dyDescent="0.2">
      <c r="B4004" s="87" t="s">
        <v>4650</v>
      </c>
      <c r="C4004" s="88">
        <v>3450</v>
      </c>
      <c r="D4004" s="87" t="s">
        <v>5191</v>
      </c>
    </row>
    <row r="4005" spans="2:4" ht="15" x14ac:dyDescent="0.2">
      <c r="B4005" s="87" t="s">
        <v>4651</v>
      </c>
      <c r="C4005" s="88">
        <v>3450</v>
      </c>
      <c r="D4005" s="87" t="s">
        <v>5191</v>
      </c>
    </row>
    <row r="4006" spans="2:4" ht="15" x14ac:dyDescent="0.2">
      <c r="B4006" s="87" t="s">
        <v>4652</v>
      </c>
      <c r="C4006" s="88">
        <v>3450</v>
      </c>
      <c r="D4006" s="87" t="s">
        <v>5191</v>
      </c>
    </row>
    <row r="4007" spans="2:4" ht="15" x14ac:dyDescent="0.2">
      <c r="B4007" s="87" t="s">
        <v>4653</v>
      </c>
      <c r="C4007" s="88">
        <v>3450</v>
      </c>
      <c r="D4007" s="87" t="s">
        <v>5191</v>
      </c>
    </row>
    <row r="4008" spans="2:4" ht="15" x14ac:dyDescent="0.2">
      <c r="B4008" s="87" t="s">
        <v>4654</v>
      </c>
      <c r="C4008" s="88">
        <v>3450</v>
      </c>
      <c r="D4008" s="87" t="s">
        <v>5191</v>
      </c>
    </row>
    <row r="4009" spans="2:4" ht="15" x14ac:dyDescent="0.2">
      <c r="B4009" s="87" t="s">
        <v>4655</v>
      </c>
      <c r="C4009" s="88">
        <v>3450</v>
      </c>
      <c r="D4009" s="87" t="s">
        <v>5191</v>
      </c>
    </row>
    <row r="4010" spans="2:4" ht="15" x14ac:dyDescent="0.2">
      <c r="B4010" s="87" t="s">
        <v>4656</v>
      </c>
      <c r="C4010" s="88">
        <v>3450</v>
      </c>
      <c r="D4010" s="87" t="s">
        <v>5191</v>
      </c>
    </row>
    <row r="4011" spans="2:4" ht="15" x14ac:dyDescent="0.2">
      <c r="B4011" s="87" t="s">
        <v>4657</v>
      </c>
      <c r="C4011" s="88">
        <v>3450</v>
      </c>
      <c r="D4011" s="87" t="s">
        <v>5191</v>
      </c>
    </row>
    <row r="4012" spans="2:4" ht="15" x14ac:dyDescent="0.2">
      <c r="B4012" s="87" t="s">
        <v>4658</v>
      </c>
      <c r="C4012" s="88">
        <v>3450</v>
      </c>
      <c r="D4012" s="87" t="s">
        <v>5191</v>
      </c>
    </row>
    <row r="4013" spans="2:4" ht="15" x14ac:dyDescent="0.2">
      <c r="B4013" s="87" t="s">
        <v>4659</v>
      </c>
      <c r="C4013" s="88">
        <v>3450</v>
      </c>
      <c r="D4013" s="87" t="s">
        <v>5191</v>
      </c>
    </row>
    <row r="4014" spans="2:4" ht="15" x14ac:dyDescent="0.2">
      <c r="B4014" s="87" t="s">
        <v>4660</v>
      </c>
      <c r="C4014" s="88">
        <v>3450</v>
      </c>
      <c r="D4014" s="87" t="s">
        <v>5191</v>
      </c>
    </row>
    <row r="4015" spans="2:4" ht="15" x14ac:dyDescent="0.2">
      <c r="B4015" s="87" t="s">
        <v>4661</v>
      </c>
      <c r="C4015" s="88">
        <v>3450</v>
      </c>
      <c r="D4015" s="87" t="s">
        <v>5191</v>
      </c>
    </row>
    <row r="4016" spans="2:4" ht="15" x14ac:dyDescent="0.2">
      <c r="B4016" s="87" t="s">
        <v>4662</v>
      </c>
      <c r="C4016" s="88">
        <v>3450</v>
      </c>
      <c r="D4016" s="87" t="s">
        <v>5191</v>
      </c>
    </row>
    <row r="4017" spans="2:4" ht="15" x14ac:dyDescent="0.2">
      <c r="B4017" s="87" t="s">
        <v>4663</v>
      </c>
      <c r="C4017" s="88">
        <v>3460</v>
      </c>
      <c r="D4017" s="87" t="s">
        <v>5190</v>
      </c>
    </row>
    <row r="4018" spans="2:4" ht="15" x14ac:dyDescent="0.2">
      <c r="B4018" s="87" t="s">
        <v>4664</v>
      </c>
      <c r="C4018" s="88">
        <v>3460</v>
      </c>
      <c r="D4018" s="87" t="s">
        <v>5190</v>
      </c>
    </row>
    <row r="4019" spans="2:4" ht="15" x14ac:dyDescent="0.2">
      <c r="B4019" s="87" t="s">
        <v>4665</v>
      </c>
      <c r="C4019" s="88">
        <v>3460</v>
      </c>
      <c r="D4019" s="87" t="s">
        <v>5190</v>
      </c>
    </row>
    <row r="4020" spans="2:4" ht="15" x14ac:dyDescent="0.2">
      <c r="B4020" s="87" t="s">
        <v>4666</v>
      </c>
      <c r="C4020" s="88">
        <v>3460</v>
      </c>
      <c r="D4020" s="87" t="s">
        <v>5190</v>
      </c>
    </row>
    <row r="4021" spans="2:4" ht="15" x14ac:dyDescent="0.2">
      <c r="B4021" s="87" t="s">
        <v>4667</v>
      </c>
      <c r="C4021" s="88">
        <v>3460</v>
      </c>
      <c r="D4021" s="87" t="s">
        <v>5190</v>
      </c>
    </row>
    <row r="4022" spans="2:4" ht="15" x14ac:dyDescent="0.2">
      <c r="B4022" s="87" t="s">
        <v>4668</v>
      </c>
      <c r="C4022" s="88">
        <v>3460</v>
      </c>
      <c r="D4022" s="87" t="s">
        <v>5190</v>
      </c>
    </row>
    <row r="4023" spans="2:4" ht="15" x14ac:dyDescent="0.2">
      <c r="B4023" s="87" t="s">
        <v>4669</v>
      </c>
      <c r="C4023" s="88">
        <v>3460</v>
      </c>
      <c r="D4023" s="87" t="s">
        <v>5190</v>
      </c>
    </row>
    <row r="4024" spans="2:4" ht="15" x14ac:dyDescent="0.2">
      <c r="B4024" s="87" t="s">
        <v>4670</v>
      </c>
      <c r="C4024" s="88">
        <v>3460</v>
      </c>
      <c r="D4024" s="87" t="s">
        <v>5190</v>
      </c>
    </row>
    <row r="4025" spans="2:4" ht="15" x14ac:dyDescent="0.2">
      <c r="B4025" s="87" t="s">
        <v>4671</v>
      </c>
      <c r="C4025" s="88">
        <v>3460</v>
      </c>
      <c r="D4025" s="87" t="s">
        <v>5190</v>
      </c>
    </row>
    <row r="4026" spans="2:4" ht="15" x14ac:dyDescent="0.2">
      <c r="B4026" s="87" t="s">
        <v>4672</v>
      </c>
      <c r="C4026" s="88">
        <v>3460</v>
      </c>
      <c r="D4026" s="87" t="s">
        <v>5190</v>
      </c>
    </row>
    <row r="4027" spans="2:4" ht="15" x14ac:dyDescent="0.2">
      <c r="B4027" s="87" t="s">
        <v>4673</v>
      </c>
      <c r="C4027" s="88">
        <v>3460</v>
      </c>
      <c r="D4027" s="87" t="s">
        <v>5190</v>
      </c>
    </row>
    <row r="4028" spans="2:4" ht="15" x14ac:dyDescent="0.2">
      <c r="B4028" s="87" t="s">
        <v>4674</v>
      </c>
      <c r="C4028" s="88">
        <v>3460</v>
      </c>
      <c r="D4028" s="87" t="s">
        <v>5190</v>
      </c>
    </row>
    <row r="4029" spans="2:4" ht="15" x14ac:dyDescent="0.2">
      <c r="B4029" s="87" t="s">
        <v>4675</v>
      </c>
      <c r="C4029" s="88">
        <v>3460</v>
      </c>
      <c r="D4029" s="87" t="s">
        <v>5190</v>
      </c>
    </row>
    <row r="4030" spans="2:4" ht="15" x14ac:dyDescent="0.2">
      <c r="B4030" s="87" t="s">
        <v>4676</v>
      </c>
      <c r="C4030" s="88">
        <v>3460</v>
      </c>
      <c r="D4030" s="87" t="s">
        <v>5190</v>
      </c>
    </row>
    <row r="4031" spans="2:4" ht="15" x14ac:dyDescent="0.2">
      <c r="B4031" s="87" t="s">
        <v>4677</v>
      </c>
      <c r="C4031" s="88">
        <v>3460</v>
      </c>
      <c r="D4031" s="87" t="s">
        <v>5190</v>
      </c>
    </row>
    <row r="4032" spans="2:4" ht="15" x14ac:dyDescent="0.2">
      <c r="B4032" s="87" t="s">
        <v>4678</v>
      </c>
      <c r="C4032" s="88">
        <v>3460</v>
      </c>
      <c r="D4032" s="87" t="s">
        <v>5190</v>
      </c>
    </row>
    <row r="4033" spans="2:4" ht="15" x14ac:dyDescent="0.2">
      <c r="B4033" s="87" t="s">
        <v>4679</v>
      </c>
      <c r="C4033" s="88">
        <v>3460</v>
      </c>
      <c r="D4033" s="87" t="s">
        <v>5190</v>
      </c>
    </row>
    <row r="4034" spans="2:4" ht="15" x14ac:dyDescent="0.2">
      <c r="B4034" s="87" t="s">
        <v>4680</v>
      </c>
      <c r="C4034" s="88">
        <v>3460</v>
      </c>
      <c r="D4034" s="87" t="s">
        <v>5190</v>
      </c>
    </row>
    <row r="4035" spans="2:4" ht="15" x14ac:dyDescent="0.2">
      <c r="B4035" s="87" t="s">
        <v>4681</v>
      </c>
      <c r="C4035" s="88">
        <v>3460</v>
      </c>
      <c r="D4035" s="87" t="s">
        <v>5190</v>
      </c>
    </row>
    <row r="4036" spans="2:4" ht="15" x14ac:dyDescent="0.2">
      <c r="B4036" s="87" t="s">
        <v>4682</v>
      </c>
      <c r="C4036" s="88">
        <v>3460</v>
      </c>
      <c r="D4036" s="87" t="s">
        <v>5190</v>
      </c>
    </row>
    <row r="4037" spans="2:4" ht="15" x14ac:dyDescent="0.2">
      <c r="B4037" s="87" t="s">
        <v>4683</v>
      </c>
      <c r="C4037" s="88">
        <v>3460</v>
      </c>
      <c r="D4037" s="87" t="s">
        <v>5190</v>
      </c>
    </row>
    <row r="4038" spans="2:4" ht="15" x14ac:dyDescent="0.2">
      <c r="B4038" s="87" t="s">
        <v>4684</v>
      </c>
      <c r="C4038" s="88">
        <v>3460</v>
      </c>
      <c r="D4038" s="87" t="s">
        <v>5190</v>
      </c>
    </row>
    <row r="4039" spans="2:4" ht="15" x14ac:dyDescent="0.2">
      <c r="B4039" s="87" t="s">
        <v>4685</v>
      </c>
      <c r="C4039" s="88">
        <v>3460</v>
      </c>
      <c r="D4039" s="87" t="s">
        <v>5190</v>
      </c>
    </row>
    <row r="4040" spans="2:4" ht="15" x14ac:dyDescent="0.2">
      <c r="B4040" s="87" t="s">
        <v>4686</v>
      </c>
      <c r="C4040" s="88">
        <v>3460</v>
      </c>
      <c r="D4040" s="87" t="s">
        <v>5190</v>
      </c>
    </row>
    <row r="4041" spans="2:4" ht="15" x14ac:dyDescent="0.2">
      <c r="B4041" s="87" t="s">
        <v>4687</v>
      </c>
      <c r="C4041" s="88">
        <v>3460</v>
      </c>
      <c r="D4041" s="87" t="s">
        <v>5190</v>
      </c>
    </row>
    <row r="4042" spans="2:4" ht="15" x14ac:dyDescent="0.2">
      <c r="B4042" s="87" t="s">
        <v>4688</v>
      </c>
      <c r="C4042" s="88">
        <v>3460</v>
      </c>
      <c r="D4042" s="87" t="s">
        <v>5190</v>
      </c>
    </row>
    <row r="4043" spans="2:4" ht="15" x14ac:dyDescent="0.2">
      <c r="B4043" s="87" t="s">
        <v>4689</v>
      </c>
      <c r="C4043" s="88">
        <v>3460</v>
      </c>
      <c r="D4043" s="87" t="s">
        <v>5190</v>
      </c>
    </row>
    <row r="4044" spans="2:4" ht="15" x14ac:dyDescent="0.2">
      <c r="B4044" s="87" t="s">
        <v>4690</v>
      </c>
      <c r="C4044" s="88">
        <v>3460</v>
      </c>
      <c r="D4044" s="87" t="s">
        <v>5190</v>
      </c>
    </row>
    <row r="4045" spans="2:4" ht="15" x14ac:dyDescent="0.2">
      <c r="B4045" s="87" t="s">
        <v>4691</v>
      </c>
      <c r="C4045" s="88">
        <v>3460</v>
      </c>
      <c r="D4045" s="87" t="s">
        <v>5190</v>
      </c>
    </row>
    <row r="4046" spans="2:4" ht="15" x14ac:dyDescent="0.2">
      <c r="B4046" s="87" t="s">
        <v>4692</v>
      </c>
      <c r="C4046" s="88">
        <v>3460</v>
      </c>
      <c r="D4046" s="87" t="s">
        <v>5190</v>
      </c>
    </row>
    <row r="4047" spans="2:4" ht="15" x14ac:dyDescent="0.2">
      <c r="B4047" s="87" t="s">
        <v>4693</v>
      </c>
      <c r="C4047" s="88">
        <v>3460</v>
      </c>
      <c r="D4047" s="87" t="s">
        <v>5190</v>
      </c>
    </row>
    <row r="4048" spans="2:4" ht="15" x14ac:dyDescent="0.2">
      <c r="B4048" s="87" t="s">
        <v>4694</v>
      </c>
      <c r="C4048" s="88">
        <v>3460</v>
      </c>
      <c r="D4048" s="87" t="s">
        <v>5190</v>
      </c>
    </row>
    <row r="4049" spans="2:4" ht="15" x14ac:dyDescent="0.2">
      <c r="B4049" s="87" t="s">
        <v>4695</v>
      </c>
      <c r="C4049" s="88">
        <v>3460</v>
      </c>
      <c r="D4049" s="87" t="s">
        <v>5190</v>
      </c>
    </row>
    <row r="4050" spans="2:4" ht="15" x14ac:dyDescent="0.2">
      <c r="B4050" s="87" t="s">
        <v>4696</v>
      </c>
      <c r="C4050" s="88">
        <v>3460</v>
      </c>
      <c r="D4050" s="87" t="s">
        <v>5190</v>
      </c>
    </row>
    <row r="4051" spans="2:4" ht="15" x14ac:dyDescent="0.2">
      <c r="B4051" s="87" t="s">
        <v>4697</v>
      </c>
      <c r="C4051" s="88">
        <v>3460</v>
      </c>
      <c r="D4051" s="87" t="s">
        <v>5190</v>
      </c>
    </row>
    <row r="4052" spans="2:4" ht="15" x14ac:dyDescent="0.2">
      <c r="B4052" s="87" t="s">
        <v>4698</v>
      </c>
      <c r="C4052" s="88">
        <v>3460</v>
      </c>
      <c r="D4052" s="87" t="s">
        <v>5190</v>
      </c>
    </row>
    <row r="4053" spans="2:4" ht="15" x14ac:dyDescent="0.2">
      <c r="B4053" s="87" t="s">
        <v>4699</v>
      </c>
      <c r="C4053" s="88">
        <v>3460</v>
      </c>
      <c r="D4053" s="87" t="s">
        <v>5190</v>
      </c>
    </row>
    <row r="4054" spans="2:4" ht="15" x14ac:dyDescent="0.2">
      <c r="B4054" s="87" t="s">
        <v>4700</v>
      </c>
      <c r="C4054" s="88">
        <v>3460</v>
      </c>
      <c r="D4054" s="87" t="s">
        <v>5190</v>
      </c>
    </row>
    <row r="4055" spans="2:4" ht="15" x14ac:dyDescent="0.2">
      <c r="B4055" s="87" t="s">
        <v>4701</v>
      </c>
      <c r="C4055" s="88">
        <v>3460</v>
      </c>
      <c r="D4055" s="87" t="s">
        <v>5190</v>
      </c>
    </row>
    <row r="4056" spans="2:4" ht="15" x14ac:dyDescent="0.2">
      <c r="B4056" s="87" t="s">
        <v>4702</v>
      </c>
      <c r="C4056" s="88">
        <v>3460</v>
      </c>
      <c r="D4056" s="87" t="s">
        <v>5190</v>
      </c>
    </row>
    <row r="4057" spans="2:4" ht="15" x14ac:dyDescent="0.2">
      <c r="B4057" s="87" t="s">
        <v>4703</v>
      </c>
      <c r="C4057" s="88">
        <v>3460</v>
      </c>
      <c r="D4057" s="87" t="s">
        <v>5190</v>
      </c>
    </row>
    <row r="4058" spans="2:4" ht="15" x14ac:dyDescent="0.2">
      <c r="B4058" s="87" t="s">
        <v>4704</v>
      </c>
      <c r="C4058" s="88">
        <v>3460</v>
      </c>
      <c r="D4058" s="87" t="s">
        <v>5190</v>
      </c>
    </row>
    <row r="4059" spans="2:4" ht="15" x14ac:dyDescent="0.2">
      <c r="B4059" s="87" t="s">
        <v>4705</v>
      </c>
      <c r="C4059" s="88">
        <v>3460</v>
      </c>
      <c r="D4059" s="87" t="s">
        <v>5190</v>
      </c>
    </row>
    <row r="4060" spans="2:4" ht="15" x14ac:dyDescent="0.2">
      <c r="B4060" s="87" t="s">
        <v>4706</v>
      </c>
      <c r="C4060" s="88">
        <v>3460</v>
      </c>
      <c r="D4060" s="87" t="s">
        <v>5190</v>
      </c>
    </row>
    <row r="4061" spans="2:4" ht="15" x14ac:dyDescent="0.2">
      <c r="B4061" s="87" t="s">
        <v>4707</v>
      </c>
      <c r="C4061" s="88">
        <v>3460</v>
      </c>
      <c r="D4061" s="87" t="s">
        <v>5190</v>
      </c>
    </row>
    <row r="4062" spans="2:4" ht="15" x14ac:dyDescent="0.2">
      <c r="B4062" s="87" t="s">
        <v>4708</v>
      </c>
      <c r="C4062" s="88">
        <v>3460</v>
      </c>
      <c r="D4062" s="87" t="s">
        <v>5190</v>
      </c>
    </row>
    <row r="4063" spans="2:4" ht="15" x14ac:dyDescent="0.2">
      <c r="B4063" s="87" t="s">
        <v>4709</v>
      </c>
      <c r="C4063" s="88">
        <v>3460</v>
      </c>
      <c r="D4063" s="87" t="s">
        <v>5190</v>
      </c>
    </row>
    <row r="4064" spans="2:4" ht="15" x14ac:dyDescent="0.2">
      <c r="B4064" s="87" t="s">
        <v>4710</v>
      </c>
      <c r="C4064" s="88">
        <v>3460</v>
      </c>
      <c r="D4064" s="87" t="s">
        <v>5190</v>
      </c>
    </row>
    <row r="4065" spans="2:4" ht="15" x14ac:dyDescent="0.2">
      <c r="B4065" s="87" t="s">
        <v>4711</v>
      </c>
      <c r="C4065" s="88">
        <v>3460</v>
      </c>
      <c r="D4065" s="87" t="s">
        <v>5190</v>
      </c>
    </row>
    <row r="4066" spans="2:4" ht="15" x14ac:dyDescent="0.2">
      <c r="B4066" s="87" t="s">
        <v>4712</v>
      </c>
      <c r="C4066" s="88">
        <v>3460</v>
      </c>
      <c r="D4066" s="87" t="s">
        <v>5190</v>
      </c>
    </row>
    <row r="4067" spans="2:4" ht="15" x14ac:dyDescent="0.2">
      <c r="B4067" s="87" t="s">
        <v>4713</v>
      </c>
      <c r="C4067" s="88">
        <v>3460</v>
      </c>
      <c r="D4067" s="87" t="s">
        <v>5190</v>
      </c>
    </row>
    <row r="4068" spans="2:4" ht="15" x14ac:dyDescent="0.2">
      <c r="B4068" s="87" t="s">
        <v>4714</v>
      </c>
      <c r="C4068" s="88">
        <v>3460</v>
      </c>
      <c r="D4068" s="87" t="s">
        <v>5190</v>
      </c>
    </row>
    <row r="4069" spans="2:4" ht="15" x14ac:dyDescent="0.2">
      <c r="B4069" s="87" t="s">
        <v>4715</v>
      </c>
      <c r="C4069" s="88">
        <v>3460</v>
      </c>
      <c r="D4069" s="87" t="s">
        <v>5190</v>
      </c>
    </row>
    <row r="4070" spans="2:4" ht="15" x14ac:dyDescent="0.2">
      <c r="B4070" s="87" t="s">
        <v>4716</v>
      </c>
      <c r="C4070" s="88">
        <v>3460</v>
      </c>
      <c r="D4070" s="87" t="s">
        <v>5190</v>
      </c>
    </row>
    <row r="4071" spans="2:4" ht="15" x14ac:dyDescent="0.2">
      <c r="B4071" s="87" t="s">
        <v>4717</v>
      </c>
      <c r="C4071" s="88">
        <v>3460</v>
      </c>
      <c r="D4071" s="87" t="s">
        <v>5190</v>
      </c>
    </row>
    <row r="4072" spans="2:4" ht="15" x14ac:dyDescent="0.2">
      <c r="B4072" s="87" t="s">
        <v>4718</v>
      </c>
      <c r="C4072" s="88">
        <v>3460</v>
      </c>
      <c r="D4072" s="87" t="s">
        <v>5190</v>
      </c>
    </row>
    <row r="4073" spans="2:4" ht="15" x14ac:dyDescent="0.2">
      <c r="B4073" s="87" t="s">
        <v>4719</v>
      </c>
      <c r="C4073" s="88">
        <v>3460</v>
      </c>
      <c r="D4073" s="87" t="s">
        <v>5190</v>
      </c>
    </row>
    <row r="4074" spans="2:4" ht="15" x14ac:dyDescent="0.2">
      <c r="B4074" s="87" t="s">
        <v>4720</v>
      </c>
      <c r="C4074" s="88">
        <v>3460</v>
      </c>
      <c r="D4074" s="87" t="s">
        <v>5190</v>
      </c>
    </row>
    <row r="4075" spans="2:4" ht="15" x14ac:dyDescent="0.2">
      <c r="B4075" s="87" t="s">
        <v>4721</v>
      </c>
      <c r="C4075" s="88">
        <v>3460</v>
      </c>
      <c r="D4075" s="87" t="s">
        <v>5190</v>
      </c>
    </row>
    <row r="4076" spans="2:4" ht="15" x14ac:dyDescent="0.2">
      <c r="B4076" s="87" t="s">
        <v>4722</v>
      </c>
      <c r="C4076" s="88">
        <v>3460</v>
      </c>
      <c r="D4076" s="87" t="s">
        <v>5190</v>
      </c>
    </row>
    <row r="4077" spans="2:4" ht="15" x14ac:dyDescent="0.2">
      <c r="B4077" s="87" t="s">
        <v>4723</v>
      </c>
      <c r="C4077" s="88">
        <v>3460</v>
      </c>
      <c r="D4077" s="87" t="s">
        <v>5190</v>
      </c>
    </row>
    <row r="4078" spans="2:4" ht="15" x14ac:dyDescent="0.2">
      <c r="B4078" s="87" t="s">
        <v>4724</v>
      </c>
      <c r="C4078" s="88">
        <v>3460</v>
      </c>
      <c r="D4078" s="87" t="s">
        <v>5190</v>
      </c>
    </row>
    <row r="4079" spans="2:4" ht="15" x14ac:dyDescent="0.2">
      <c r="B4079" s="87" t="s">
        <v>4725</v>
      </c>
      <c r="C4079" s="88">
        <v>3460</v>
      </c>
      <c r="D4079" s="87" t="s">
        <v>5190</v>
      </c>
    </row>
    <row r="4080" spans="2:4" ht="15" x14ac:dyDescent="0.2">
      <c r="B4080" s="87" t="s">
        <v>4726</v>
      </c>
      <c r="C4080" s="88">
        <v>3460</v>
      </c>
      <c r="D4080" s="87" t="s">
        <v>5190</v>
      </c>
    </row>
    <row r="4081" spans="2:4" ht="15" x14ac:dyDescent="0.2">
      <c r="B4081" s="87" t="s">
        <v>4727</v>
      </c>
      <c r="C4081" s="88">
        <v>3460</v>
      </c>
      <c r="D4081" s="87" t="s">
        <v>5190</v>
      </c>
    </row>
    <row r="4082" spans="2:4" ht="15" x14ac:dyDescent="0.2">
      <c r="B4082" s="87" t="s">
        <v>4728</v>
      </c>
      <c r="C4082" s="88">
        <v>3460</v>
      </c>
      <c r="D4082" s="87" t="s">
        <v>5190</v>
      </c>
    </row>
    <row r="4083" spans="2:4" ht="15" x14ac:dyDescent="0.2">
      <c r="B4083" s="87" t="s">
        <v>4729</v>
      </c>
      <c r="C4083" s="88">
        <v>3460</v>
      </c>
      <c r="D4083" s="87" t="s">
        <v>5190</v>
      </c>
    </row>
    <row r="4084" spans="2:4" ht="15" x14ac:dyDescent="0.2">
      <c r="B4084" s="87" t="s">
        <v>4730</v>
      </c>
      <c r="C4084" s="88">
        <v>3460</v>
      </c>
      <c r="D4084" s="87" t="s">
        <v>5190</v>
      </c>
    </row>
    <row r="4085" spans="2:4" ht="15" x14ac:dyDescent="0.2">
      <c r="B4085" s="87" t="s">
        <v>4731</v>
      </c>
      <c r="C4085" s="88">
        <v>3460</v>
      </c>
      <c r="D4085" s="87" t="s">
        <v>5190</v>
      </c>
    </row>
    <row r="4086" spans="2:4" ht="15" x14ac:dyDescent="0.2">
      <c r="B4086" s="87" t="s">
        <v>4732</v>
      </c>
      <c r="C4086" s="88">
        <v>3460</v>
      </c>
      <c r="D4086" s="87" t="s">
        <v>5190</v>
      </c>
    </row>
    <row r="4087" spans="2:4" ht="15" x14ac:dyDescent="0.2">
      <c r="B4087" s="87" t="s">
        <v>4733</v>
      </c>
      <c r="C4087" s="88">
        <v>3460</v>
      </c>
      <c r="D4087" s="87" t="s">
        <v>5190</v>
      </c>
    </row>
    <row r="4088" spans="2:4" ht="15" x14ac:dyDescent="0.2">
      <c r="B4088" s="87" t="s">
        <v>4734</v>
      </c>
      <c r="C4088" s="88">
        <v>3460</v>
      </c>
      <c r="D4088" s="87" t="s">
        <v>5190</v>
      </c>
    </row>
    <row r="4089" spans="2:4" ht="15" x14ac:dyDescent="0.2">
      <c r="B4089" s="87" t="s">
        <v>4735</v>
      </c>
      <c r="C4089" s="88">
        <v>3460</v>
      </c>
      <c r="D4089" s="87" t="s">
        <v>5190</v>
      </c>
    </row>
    <row r="4090" spans="2:4" ht="15" x14ac:dyDescent="0.2">
      <c r="B4090" s="87" t="s">
        <v>4736</v>
      </c>
      <c r="C4090" s="88">
        <v>3460</v>
      </c>
      <c r="D4090" s="87" t="s">
        <v>5190</v>
      </c>
    </row>
    <row r="4091" spans="2:4" ht="15" x14ac:dyDescent="0.2">
      <c r="B4091" s="87" t="s">
        <v>4737</v>
      </c>
      <c r="C4091" s="88">
        <v>3460</v>
      </c>
      <c r="D4091" s="87" t="s">
        <v>5190</v>
      </c>
    </row>
    <row r="4092" spans="2:4" ht="15" x14ac:dyDescent="0.2">
      <c r="B4092" s="87" t="s">
        <v>4738</v>
      </c>
      <c r="C4092" s="88">
        <v>3460</v>
      </c>
      <c r="D4092" s="87" t="s">
        <v>5190</v>
      </c>
    </row>
    <row r="4093" spans="2:4" ht="15" x14ac:dyDescent="0.2">
      <c r="B4093" s="87" t="s">
        <v>4739</v>
      </c>
      <c r="C4093" s="88">
        <v>3460</v>
      </c>
      <c r="D4093" s="87" t="s">
        <v>5190</v>
      </c>
    </row>
    <row r="4094" spans="2:4" ht="15" x14ac:dyDescent="0.2">
      <c r="B4094" s="87" t="s">
        <v>4740</v>
      </c>
      <c r="C4094" s="88">
        <v>3480</v>
      </c>
      <c r="D4094" s="87" t="s">
        <v>5189</v>
      </c>
    </row>
    <row r="4095" spans="2:4" ht="15" x14ac:dyDescent="0.2">
      <c r="B4095" s="87" t="s">
        <v>4741</v>
      </c>
      <c r="C4095" s="88">
        <v>3480</v>
      </c>
      <c r="D4095" s="87" t="s">
        <v>5189</v>
      </c>
    </row>
    <row r="4096" spans="2:4" ht="15" x14ac:dyDescent="0.2">
      <c r="B4096" s="87" t="s">
        <v>4742</v>
      </c>
      <c r="C4096" s="88">
        <v>3480</v>
      </c>
      <c r="D4096" s="87" t="s">
        <v>5189</v>
      </c>
    </row>
    <row r="4097" spans="2:4" ht="15" x14ac:dyDescent="0.2">
      <c r="B4097" s="87" t="s">
        <v>4743</v>
      </c>
      <c r="C4097" s="88">
        <v>3480</v>
      </c>
      <c r="D4097" s="87" t="s">
        <v>5189</v>
      </c>
    </row>
    <row r="4098" spans="2:4" ht="15" x14ac:dyDescent="0.2">
      <c r="B4098" s="87" t="s">
        <v>4744</v>
      </c>
      <c r="C4098" s="88">
        <v>3480</v>
      </c>
      <c r="D4098" s="87" t="s">
        <v>5189</v>
      </c>
    </row>
    <row r="4099" spans="2:4" ht="15" x14ac:dyDescent="0.2">
      <c r="B4099" s="87" t="s">
        <v>4745</v>
      </c>
      <c r="C4099" s="88">
        <v>3480</v>
      </c>
      <c r="D4099" s="87" t="s">
        <v>5189</v>
      </c>
    </row>
    <row r="4100" spans="2:4" ht="15" x14ac:dyDescent="0.2">
      <c r="B4100" s="87" t="s">
        <v>4746</v>
      </c>
      <c r="C4100" s="88">
        <v>3480</v>
      </c>
      <c r="D4100" s="87" t="s">
        <v>5189</v>
      </c>
    </row>
    <row r="4101" spans="2:4" ht="15" x14ac:dyDescent="0.2">
      <c r="B4101" s="87" t="s">
        <v>4747</v>
      </c>
      <c r="C4101" s="88">
        <v>3480</v>
      </c>
      <c r="D4101" s="87" t="s">
        <v>5189</v>
      </c>
    </row>
    <row r="4102" spans="2:4" ht="15" x14ac:dyDescent="0.2">
      <c r="B4102" s="87" t="s">
        <v>4748</v>
      </c>
      <c r="C4102" s="88">
        <v>3490</v>
      </c>
      <c r="D4102" s="87" t="s">
        <v>5188</v>
      </c>
    </row>
    <row r="4103" spans="2:4" ht="15" x14ac:dyDescent="0.2">
      <c r="B4103" s="87" t="s">
        <v>4749</v>
      </c>
      <c r="C4103" s="88">
        <v>3490</v>
      </c>
      <c r="D4103" s="87" t="s">
        <v>5188</v>
      </c>
    </row>
    <row r="4104" spans="2:4" ht="15" x14ac:dyDescent="0.2">
      <c r="B4104" s="87" t="s">
        <v>4750</v>
      </c>
      <c r="C4104" s="88">
        <v>3490</v>
      </c>
      <c r="D4104" s="87" t="s">
        <v>5188</v>
      </c>
    </row>
    <row r="4105" spans="2:4" ht="15" x14ac:dyDescent="0.2">
      <c r="B4105" s="87" t="s">
        <v>4751</v>
      </c>
      <c r="C4105" s="88">
        <v>3490</v>
      </c>
      <c r="D4105" s="87" t="s">
        <v>5188</v>
      </c>
    </row>
    <row r="4106" spans="2:4" ht="15" x14ac:dyDescent="0.2">
      <c r="B4106" s="87" t="s">
        <v>4752</v>
      </c>
      <c r="C4106" s="88">
        <v>3490</v>
      </c>
      <c r="D4106" s="87" t="s">
        <v>5188</v>
      </c>
    </row>
    <row r="4107" spans="2:4" ht="15" x14ac:dyDescent="0.2">
      <c r="B4107" s="87" t="s">
        <v>4753</v>
      </c>
      <c r="C4107" s="88">
        <v>3490</v>
      </c>
      <c r="D4107" s="87" t="s">
        <v>5188</v>
      </c>
    </row>
    <row r="4108" spans="2:4" ht="15" x14ac:dyDescent="0.2">
      <c r="B4108" s="87" t="s">
        <v>4754</v>
      </c>
      <c r="C4108" s="88">
        <v>3490</v>
      </c>
      <c r="D4108" s="87" t="s">
        <v>5188</v>
      </c>
    </row>
    <row r="4109" spans="2:4" ht="15" x14ac:dyDescent="0.2">
      <c r="B4109" s="87" t="s">
        <v>4755</v>
      </c>
      <c r="C4109" s="88">
        <v>3500</v>
      </c>
      <c r="D4109" s="87" t="s">
        <v>5187</v>
      </c>
    </row>
    <row r="4110" spans="2:4" ht="15" x14ac:dyDescent="0.2">
      <c r="B4110" s="87" t="s">
        <v>4756</v>
      </c>
      <c r="C4110" s="88">
        <v>3500</v>
      </c>
      <c r="D4110" s="87" t="s">
        <v>5187</v>
      </c>
    </row>
    <row r="4111" spans="2:4" ht="15" x14ac:dyDescent="0.2">
      <c r="B4111" s="87" t="s">
        <v>4757</v>
      </c>
      <c r="C4111" s="88">
        <v>3500</v>
      </c>
      <c r="D4111" s="87" t="s">
        <v>5187</v>
      </c>
    </row>
    <row r="4112" spans="2:4" ht="15" x14ac:dyDescent="0.2">
      <c r="B4112" s="87" t="s">
        <v>4758</v>
      </c>
      <c r="C4112" s="88">
        <v>3500</v>
      </c>
      <c r="D4112" s="87" t="s">
        <v>5187</v>
      </c>
    </row>
    <row r="4113" spans="2:4" ht="15" x14ac:dyDescent="0.2">
      <c r="B4113" s="87" t="s">
        <v>4759</v>
      </c>
      <c r="C4113" s="88">
        <v>3500</v>
      </c>
      <c r="D4113" s="87" t="s">
        <v>5187</v>
      </c>
    </row>
    <row r="4114" spans="2:4" ht="15" x14ac:dyDescent="0.2">
      <c r="B4114" s="87" t="s">
        <v>4760</v>
      </c>
      <c r="C4114" s="88">
        <v>3500</v>
      </c>
      <c r="D4114" s="87" t="s">
        <v>5187</v>
      </c>
    </row>
    <row r="4115" spans="2:4" ht="15" x14ac:dyDescent="0.2">
      <c r="B4115" s="87" t="s">
        <v>4761</v>
      </c>
      <c r="C4115" s="88">
        <v>3500</v>
      </c>
      <c r="D4115" s="87" t="s">
        <v>5187</v>
      </c>
    </row>
    <row r="4116" spans="2:4" ht="15" x14ac:dyDescent="0.2">
      <c r="B4116" s="87" t="s">
        <v>4762</v>
      </c>
      <c r="C4116" s="88">
        <v>3500</v>
      </c>
      <c r="D4116" s="87" t="s">
        <v>5187</v>
      </c>
    </row>
    <row r="4117" spans="2:4" ht="15" x14ac:dyDescent="0.2">
      <c r="B4117" s="87" t="s">
        <v>4763</v>
      </c>
      <c r="C4117" s="88">
        <v>3500</v>
      </c>
      <c r="D4117" s="87" t="s">
        <v>5187</v>
      </c>
    </row>
    <row r="4118" spans="2:4" ht="15" x14ac:dyDescent="0.2">
      <c r="B4118" s="87" t="s">
        <v>4764</v>
      </c>
      <c r="C4118" s="88">
        <v>3510</v>
      </c>
      <c r="D4118" s="87" t="s">
        <v>5186</v>
      </c>
    </row>
    <row r="4119" spans="2:4" ht="15" x14ac:dyDescent="0.2">
      <c r="B4119" s="87" t="s">
        <v>4765</v>
      </c>
      <c r="C4119" s="88">
        <v>3510</v>
      </c>
      <c r="D4119" s="87" t="s">
        <v>5186</v>
      </c>
    </row>
    <row r="4120" spans="2:4" ht="15" x14ac:dyDescent="0.2">
      <c r="B4120" s="87" t="s">
        <v>4766</v>
      </c>
      <c r="C4120" s="88">
        <v>3510</v>
      </c>
      <c r="D4120" s="87" t="s">
        <v>5186</v>
      </c>
    </row>
    <row r="4121" spans="2:4" ht="15" x14ac:dyDescent="0.2">
      <c r="B4121" s="87" t="s">
        <v>4767</v>
      </c>
      <c r="C4121" s="88">
        <v>3510</v>
      </c>
      <c r="D4121" s="87" t="s">
        <v>5186</v>
      </c>
    </row>
    <row r="4122" spans="2:4" ht="15" x14ac:dyDescent="0.2">
      <c r="B4122" s="87" t="s">
        <v>4768</v>
      </c>
      <c r="C4122" s="88">
        <v>3510</v>
      </c>
      <c r="D4122" s="87" t="s">
        <v>5186</v>
      </c>
    </row>
    <row r="4123" spans="2:4" ht="15" x14ac:dyDescent="0.2">
      <c r="B4123" s="87" t="s">
        <v>4769</v>
      </c>
      <c r="C4123" s="88">
        <v>3510</v>
      </c>
      <c r="D4123" s="87" t="s">
        <v>5186</v>
      </c>
    </row>
    <row r="4124" spans="2:4" ht="15" x14ac:dyDescent="0.2">
      <c r="B4124" s="87" t="s">
        <v>4770</v>
      </c>
      <c r="C4124" s="88">
        <v>3510</v>
      </c>
      <c r="D4124" s="87" t="s">
        <v>5186</v>
      </c>
    </row>
    <row r="4125" spans="2:4" ht="15" x14ac:dyDescent="0.2">
      <c r="B4125" s="87" t="s">
        <v>4771</v>
      </c>
      <c r="C4125" s="88">
        <v>3500</v>
      </c>
      <c r="D4125" s="87" t="s">
        <v>5187</v>
      </c>
    </row>
    <row r="4126" spans="2:4" ht="15" x14ac:dyDescent="0.2">
      <c r="B4126" s="87" t="s">
        <v>4772</v>
      </c>
      <c r="C4126" s="88">
        <v>3500</v>
      </c>
      <c r="D4126" s="87" t="s">
        <v>5187</v>
      </c>
    </row>
    <row r="4127" spans="2:4" ht="15" x14ac:dyDescent="0.2">
      <c r="B4127" s="87" t="s">
        <v>4773</v>
      </c>
      <c r="C4127" s="88">
        <v>3500</v>
      </c>
      <c r="D4127" s="87" t="s">
        <v>5187</v>
      </c>
    </row>
    <row r="4128" spans="2:4" ht="15" x14ac:dyDescent="0.2">
      <c r="B4128" s="87" t="s">
        <v>4774</v>
      </c>
      <c r="C4128" s="88">
        <v>3500</v>
      </c>
      <c r="D4128" s="87" t="s">
        <v>5187</v>
      </c>
    </row>
    <row r="4129" spans="2:4" ht="15" x14ac:dyDescent="0.2">
      <c r="B4129" s="87" t="s">
        <v>4775</v>
      </c>
      <c r="C4129" s="88">
        <v>3500</v>
      </c>
      <c r="D4129" s="87" t="s">
        <v>5187</v>
      </c>
    </row>
    <row r="4130" spans="2:4" ht="15" x14ac:dyDescent="0.2">
      <c r="B4130" s="87" t="s">
        <v>4776</v>
      </c>
      <c r="C4130" s="88">
        <v>3500</v>
      </c>
      <c r="D4130" s="87" t="s">
        <v>5187</v>
      </c>
    </row>
    <row r="4131" spans="2:4" ht="15" x14ac:dyDescent="0.2">
      <c r="B4131" s="87" t="s">
        <v>4777</v>
      </c>
      <c r="C4131" s="88">
        <v>3500</v>
      </c>
      <c r="D4131" s="87" t="s">
        <v>5187</v>
      </c>
    </row>
    <row r="4132" spans="2:4" ht="15" x14ac:dyDescent="0.2">
      <c r="B4132" s="87" t="s">
        <v>4778</v>
      </c>
      <c r="C4132" s="88">
        <v>3500</v>
      </c>
      <c r="D4132" s="87" t="s">
        <v>5187</v>
      </c>
    </row>
    <row r="4133" spans="2:4" ht="15" x14ac:dyDescent="0.2">
      <c r="B4133" s="87" t="s">
        <v>4779</v>
      </c>
      <c r="C4133" s="88">
        <v>3500</v>
      </c>
      <c r="D4133" s="87" t="s">
        <v>5187</v>
      </c>
    </row>
    <row r="4134" spans="2:4" ht="15" x14ac:dyDescent="0.2">
      <c r="B4134" s="87" t="s">
        <v>4780</v>
      </c>
      <c r="C4134" s="88">
        <v>3500</v>
      </c>
      <c r="D4134" s="87" t="s">
        <v>5187</v>
      </c>
    </row>
    <row r="4135" spans="2:4" ht="15" x14ac:dyDescent="0.2">
      <c r="B4135" s="87" t="s">
        <v>4781</v>
      </c>
      <c r="C4135" s="88">
        <v>3490</v>
      </c>
      <c r="D4135" s="87" t="s">
        <v>5188</v>
      </c>
    </row>
    <row r="4136" spans="2:4" ht="15" x14ac:dyDescent="0.2">
      <c r="B4136" s="87" t="s">
        <v>4782</v>
      </c>
      <c r="C4136" s="88">
        <v>3490</v>
      </c>
      <c r="D4136" s="87" t="s">
        <v>5188</v>
      </c>
    </row>
    <row r="4137" spans="2:4" ht="15" x14ac:dyDescent="0.2">
      <c r="B4137" s="87" t="s">
        <v>4783</v>
      </c>
      <c r="C4137" s="88">
        <v>3490</v>
      </c>
      <c r="D4137" s="87" t="s">
        <v>5188</v>
      </c>
    </row>
    <row r="4138" spans="2:4" ht="15" x14ac:dyDescent="0.2">
      <c r="B4138" s="87" t="s">
        <v>4784</v>
      </c>
      <c r="C4138" s="88">
        <v>3490</v>
      </c>
      <c r="D4138" s="87" t="s">
        <v>5188</v>
      </c>
    </row>
    <row r="4139" spans="2:4" ht="15" x14ac:dyDescent="0.2">
      <c r="B4139" s="87" t="s">
        <v>4785</v>
      </c>
      <c r="C4139" s="88">
        <v>3490</v>
      </c>
      <c r="D4139" s="87" t="s">
        <v>5188</v>
      </c>
    </row>
    <row r="4140" spans="2:4" ht="15" x14ac:dyDescent="0.2">
      <c r="B4140" s="87" t="s">
        <v>4786</v>
      </c>
      <c r="C4140" s="88">
        <v>3490</v>
      </c>
      <c r="D4140" s="87" t="s">
        <v>5188</v>
      </c>
    </row>
    <row r="4141" spans="2:4" ht="15" x14ac:dyDescent="0.2">
      <c r="B4141" s="87" t="s">
        <v>4787</v>
      </c>
      <c r="C4141" s="88">
        <v>3490</v>
      </c>
      <c r="D4141" s="87" t="s">
        <v>5188</v>
      </c>
    </row>
    <row r="4142" spans="2:4" ht="15" x14ac:dyDescent="0.2">
      <c r="B4142" s="87" t="s">
        <v>4788</v>
      </c>
      <c r="C4142" s="88">
        <v>3480</v>
      </c>
      <c r="D4142" s="87" t="s">
        <v>5189</v>
      </c>
    </row>
    <row r="4143" spans="2:4" ht="15" x14ac:dyDescent="0.2">
      <c r="B4143" s="87" t="s">
        <v>4789</v>
      </c>
      <c r="C4143" s="88">
        <v>3480</v>
      </c>
      <c r="D4143" s="87" t="s">
        <v>5189</v>
      </c>
    </row>
    <row r="4144" spans="2:4" ht="15" x14ac:dyDescent="0.2">
      <c r="B4144" s="87" t="s">
        <v>4790</v>
      </c>
      <c r="C4144" s="88">
        <v>3480</v>
      </c>
      <c r="D4144" s="87" t="s">
        <v>5189</v>
      </c>
    </row>
    <row r="4145" spans="2:4" ht="15" x14ac:dyDescent="0.2">
      <c r="B4145" s="87" t="s">
        <v>4791</v>
      </c>
      <c r="C4145" s="88">
        <v>3480</v>
      </c>
      <c r="D4145" s="87" t="s">
        <v>5189</v>
      </c>
    </row>
    <row r="4146" spans="2:4" ht="15" x14ac:dyDescent="0.2">
      <c r="B4146" s="87" t="s">
        <v>4792</v>
      </c>
      <c r="C4146" s="88">
        <v>3460</v>
      </c>
      <c r="D4146" s="87" t="s">
        <v>5190</v>
      </c>
    </row>
    <row r="4147" spans="2:4" ht="15" x14ac:dyDescent="0.2">
      <c r="B4147" s="87" t="s">
        <v>4793</v>
      </c>
      <c r="C4147" s="88">
        <v>3460</v>
      </c>
      <c r="D4147" s="87" t="s">
        <v>5190</v>
      </c>
    </row>
    <row r="4148" spans="2:4" ht="15" x14ac:dyDescent="0.2">
      <c r="B4148" s="87" t="s">
        <v>4794</v>
      </c>
      <c r="C4148" s="88">
        <v>3450</v>
      </c>
      <c r="D4148" s="87" t="s">
        <v>5191</v>
      </c>
    </row>
    <row r="4149" spans="2:4" ht="15" x14ac:dyDescent="0.2">
      <c r="B4149" s="87" t="s">
        <v>4795</v>
      </c>
      <c r="C4149" s="88">
        <v>3450</v>
      </c>
      <c r="D4149" s="87" t="s">
        <v>5191</v>
      </c>
    </row>
    <row r="4150" spans="2:4" ht="15" x14ac:dyDescent="0.2">
      <c r="B4150" s="87" t="s">
        <v>4796</v>
      </c>
      <c r="C4150" s="88">
        <v>3440</v>
      </c>
      <c r="D4150" s="87" t="s">
        <v>5192</v>
      </c>
    </row>
    <row r="4151" spans="2:4" ht="15" x14ac:dyDescent="0.2">
      <c r="B4151" s="87" t="s">
        <v>4797</v>
      </c>
      <c r="C4151" s="88">
        <v>3440</v>
      </c>
      <c r="D4151" s="87" t="s">
        <v>5192</v>
      </c>
    </row>
    <row r="4152" spans="2:4" ht="15" x14ac:dyDescent="0.2">
      <c r="B4152" s="87" t="s">
        <v>4798</v>
      </c>
      <c r="C4152" s="88">
        <v>3440</v>
      </c>
      <c r="D4152" s="87" t="s">
        <v>5192</v>
      </c>
    </row>
    <row r="4153" spans="2:4" ht="15" x14ac:dyDescent="0.2">
      <c r="B4153" s="87" t="s">
        <v>4799</v>
      </c>
      <c r="C4153" s="88">
        <v>3420</v>
      </c>
      <c r="D4153" s="87" t="s">
        <v>5193</v>
      </c>
    </row>
    <row r="4154" spans="2:4" ht="15" x14ac:dyDescent="0.2">
      <c r="B4154" s="87" t="s">
        <v>4800</v>
      </c>
      <c r="C4154" s="88">
        <v>3410</v>
      </c>
      <c r="D4154" s="87" t="s">
        <v>5194</v>
      </c>
    </row>
    <row r="4155" spans="2:4" ht="15" x14ac:dyDescent="0.2">
      <c r="B4155" s="87" t="s">
        <v>4801</v>
      </c>
      <c r="C4155" s="88">
        <v>3410</v>
      </c>
      <c r="D4155" s="87" t="s">
        <v>5194</v>
      </c>
    </row>
    <row r="4156" spans="2:4" ht="15" x14ac:dyDescent="0.2">
      <c r="B4156" s="87" t="s">
        <v>4802</v>
      </c>
      <c r="C4156" s="88">
        <v>3400</v>
      </c>
      <c r="D4156" s="87" t="s">
        <v>5195</v>
      </c>
    </row>
    <row r="4157" spans="2:4" ht="15" x14ac:dyDescent="0.2">
      <c r="B4157" s="87" t="s">
        <v>4803</v>
      </c>
      <c r="C4157" s="88">
        <v>3400</v>
      </c>
      <c r="D4157" s="87" t="s">
        <v>5195</v>
      </c>
    </row>
    <row r="4158" spans="2:4" ht="15" x14ac:dyDescent="0.2">
      <c r="B4158" s="87" t="s">
        <v>4804</v>
      </c>
      <c r="C4158" s="88">
        <v>3390</v>
      </c>
      <c r="D4158" s="87" t="s">
        <v>5196</v>
      </c>
    </row>
    <row r="4159" spans="2:4" ht="15" x14ac:dyDescent="0.2">
      <c r="B4159" s="87" t="s">
        <v>4805</v>
      </c>
      <c r="C4159" s="88">
        <v>3370</v>
      </c>
      <c r="D4159" s="87" t="s">
        <v>5197</v>
      </c>
    </row>
    <row r="4160" spans="2:4" ht="15" x14ac:dyDescent="0.2">
      <c r="B4160" s="87" t="s">
        <v>4806</v>
      </c>
      <c r="C4160" s="88">
        <v>3370</v>
      </c>
      <c r="D4160" s="87" t="s">
        <v>5197</v>
      </c>
    </row>
    <row r="4161" spans="2:4" ht="15" x14ac:dyDescent="0.2">
      <c r="B4161" s="87" t="s">
        <v>4807</v>
      </c>
      <c r="C4161" s="88">
        <v>3370</v>
      </c>
      <c r="D4161" s="87" t="s">
        <v>5197</v>
      </c>
    </row>
    <row r="4162" spans="2:4" ht="15" x14ac:dyDescent="0.2">
      <c r="B4162" s="87" t="s">
        <v>4808</v>
      </c>
      <c r="C4162" s="88">
        <v>3360</v>
      </c>
      <c r="D4162" s="87" t="s">
        <v>5198</v>
      </c>
    </row>
    <row r="4163" spans="2:4" ht="15" x14ac:dyDescent="0.2">
      <c r="B4163" s="87" t="s">
        <v>4809</v>
      </c>
      <c r="C4163" s="88">
        <v>3360</v>
      </c>
      <c r="D4163" s="87" t="s">
        <v>5198</v>
      </c>
    </row>
    <row r="4164" spans="2:4" ht="15" x14ac:dyDescent="0.2">
      <c r="B4164" s="87" t="s">
        <v>4810</v>
      </c>
      <c r="C4164" s="88">
        <v>3350</v>
      </c>
      <c r="D4164" s="87" t="s">
        <v>5199</v>
      </c>
    </row>
    <row r="4165" spans="2:4" ht="15" x14ac:dyDescent="0.2">
      <c r="B4165" s="87" t="s">
        <v>4811</v>
      </c>
      <c r="C4165" s="88">
        <v>3350</v>
      </c>
      <c r="D4165" s="87" t="s">
        <v>5199</v>
      </c>
    </row>
    <row r="4166" spans="2:4" ht="15" x14ac:dyDescent="0.2">
      <c r="B4166" s="87" t="s">
        <v>4812</v>
      </c>
      <c r="C4166" s="88">
        <v>3340</v>
      </c>
      <c r="D4166" s="87" t="s">
        <v>5200</v>
      </c>
    </row>
    <row r="4167" spans="2:4" ht="15" x14ac:dyDescent="0.2">
      <c r="B4167" s="87" t="s">
        <v>4813</v>
      </c>
      <c r="C4167" s="88">
        <v>3340</v>
      </c>
      <c r="D4167" s="87" t="s">
        <v>5200</v>
      </c>
    </row>
    <row r="4168" spans="2:4" ht="15" x14ac:dyDescent="0.2">
      <c r="B4168" s="87" t="s">
        <v>4814</v>
      </c>
      <c r="C4168" s="88">
        <v>3330</v>
      </c>
      <c r="D4168" s="87" t="s">
        <v>5201</v>
      </c>
    </row>
    <row r="4169" spans="2:4" ht="15" x14ac:dyDescent="0.2">
      <c r="B4169" s="87" t="s">
        <v>4815</v>
      </c>
      <c r="C4169" s="88">
        <v>3330</v>
      </c>
      <c r="D4169" s="87" t="s">
        <v>5201</v>
      </c>
    </row>
    <row r="4170" spans="2:4" ht="15" x14ac:dyDescent="0.2">
      <c r="B4170" s="87" t="s">
        <v>4816</v>
      </c>
      <c r="C4170" s="88">
        <v>3310</v>
      </c>
      <c r="D4170" s="87" t="s">
        <v>5202</v>
      </c>
    </row>
    <row r="4171" spans="2:4" ht="15" x14ac:dyDescent="0.2">
      <c r="B4171" s="87" t="s">
        <v>4817</v>
      </c>
      <c r="C4171" s="88">
        <v>3310</v>
      </c>
      <c r="D4171" s="87" t="s">
        <v>5202</v>
      </c>
    </row>
    <row r="4172" spans="2:4" ht="15" x14ac:dyDescent="0.2">
      <c r="B4172" s="87" t="s">
        <v>4818</v>
      </c>
      <c r="C4172" s="88">
        <v>3300</v>
      </c>
      <c r="D4172" s="87" t="s">
        <v>5203</v>
      </c>
    </row>
    <row r="4173" spans="2:4" ht="15" x14ac:dyDescent="0.2">
      <c r="B4173" s="87" t="s">
        <v>4819</v>
      </c>
      <c r="C4173" s="88">
        <v>3300</v>
      </c>
      <c r="D4173" s="87" t="s">
        <v>5203</v>
      </c>
    </row>
    <row r="4174" spans="2:4" ht="15" x14ac:dyDescent="0.2">
      <c r="B4174" s="87" t="s">
        <v>4820</v>
      </c>
      <c r="C4174" s="88">
        <v>3290</v>
      </c>
      <c r="D4174" s="87" t="s">
        <v>5204</v>
      </c>
    </row>
    <row r="4175" spans="2:4" ht="15" x14ac:dyDescent="0.2">
      <c r="B4175" s="87" t="s">
        <v>4821</v>
      </c>
      <c r="C4175" s="88">
        <v>3290</v>
      </c>
      <c r="D4175" s="87" t="s">
        <v>5204</v>
      </c>
    </row>
    <row r="4176" spans="2:4" ht="15" x14ac:dyDescent="0.2">
      <c r="B4176" s="87" t="s">
        <v>4822</v>
      </c>
      <c r="C4176" s="88">
        <v>3280</v>
      </c>
      <c r="D4176" s="87" t="s">
        <v>5205</v>
      </c>
    </row>
    <row r="4177" spans="2:4" ht="15" x14ac:dyDescent="0.2">
      <c r="B4177" s="87" t="s">
        <v>4823</v>
      </c>
      <c r="C4177" s="88">
        <v>3280</v>
      </c>
      <c r="D4177" s="87" t="s">
        <v>5205</v>
      </c>
    </row>
    <row r="4178" spans="2:4" ht="15" x14ac:dyDescent="0.2">
      <c r="B4178" s="87" t="s">
        <v>4824</v>
      </c>
      <c r="C4178" s="88">
        <v>3280</v>
      </c>
      <c r="D4178" s="87" t="s">
        <v>5205</v>
      </c>
    </row>
    <row r="4179" spans="2:4" ht="15" x14ac:dyDescent="0.2">
      <c r="B4179" s="87" t="s">
        <v>4825</v>
      </c>
      <c r="C4179" s="88">
        <v>3280</v>
      </c>
      <c r="D4179" s="87" t="s">
        <v>5205</v>
      </c>
    </row>
    <row r="4180" spans="2:4" ht="15" x14ac:dyDescent="0.2">
      <c r="B4180" s="87" t="s">
        <v>4826</v>
      </c>
      <c r="C4180" s="88">
        <v>3260</v>
      </c>
      <c r="D4180" s="87" t="s">
        <v>5206</v>
      </c>
    </row>
    <row r="4181" spans="2:4" ht="15" x14ac:dyDescent="0.2">
      <c r="B4181" s="87" t="s">
        <v>4827</v>
      </c>
      <c r="C4181" s="88">
        <v>3260</v>
      </c>
      <c r="D4181" s="87" t="s">
        <v>5206</v>
      </c>
    </row>
    <row r="4182" spans="2:4" ht="15" x14ac:dyDescent="0.2">
      <c r="B4182" s="87" t="s">
        <v>4828</v>
      </c>
      <c r="C4182" s="88">
        <v>3260</v>
      </c>
      <c r="D4182" s="87" t="s">
        <v>5206</v>
      </c>
    </row>
    <row r="4183" spans="2:4" ht="15" x14ac:dyDescent="0.2">
      <c r="B4183" s="87" t="s">
        <v>4829</v>
      </c>
      <c r="C4183" s="88">
        <v>3260</v>
      </c>
      <c r="D4183" s="87" t="s">
        <v>5206</v>
      </c>
    </row>
    <row r="4184" spans="2:4" ht="15" x14ac:dyDescent="0.2">
      <c r="B4184" s="87" t="s">
        <v>4830</v>
      </c>
      <c r="C4184" s="88">
        <v>3260</v>
      </c>
      <c r="D4184" s="87" t="s">
        <v>5206</v>
      </c>
    </row>
    <row r="4185" spans="2:4" ht="15" x14ac:dyDescent="0.2">
      <c r="B4185" s="87" t="s">
        <v>4831</v>
      </c>
      <c r="C4185" s="88">
        <v>3250</v>
      </c>
      <c r="D4185" s="87" t="s">
        <v>5207</v>
      </c>
    </row>
    <row r="4186" spans="2:4" ht="15" x14ac:dyDescent="0.2">
      <c r="B4186" s="87" t="s">
        <v>4832</v>
      </c>
      <c r="C4186" s="88">
        <v>3250</v>
      </c>
      <c r="D4186" s="87" t="s">
        <v>5207</v>
      </c>
    </row>
    <row r="4187" spans="2:4" ht="15" x14ac:dyDescent="0.2">
      <c r="B4187" s="87" t="s">
        <v>4833</v>
      </c>
      <c r="C4187" s="88">
        <v>3250</v>
      </c>
      <c r="D4187" s="87" t="s">
        <v>5207</v>
      </c>
    </row>
    <row r="4188" spans="2:4" ht="15" x14ac:dyDescent="0.2">
      <c r="B4188" s="87" t="s">
        <v>4834</v>
      </c>
      <c r="C4188" s="88">
        <v>3250</v>
      </c>
      <c r="D4188" s="87" t="s">
        <v>5207</v>
      </c>
    </row>
    <row r="4189" spans="2:4" ht="15" x14ac:dyDescent="0.2">
      <c r="B4189" s="87" t="s">
        <v>4835</v>
      </c>
      <c r="C4189" s="88">
        <v>3250</v>
      </c>
      <c r="D4189" s="87" t="s">
        <v>5207</v>
      </c>
    </row>
    <row r="4190" spans="2:4" ht="15" x14ac:dyDescent="0.2">
      <c r="B4190" s="87" t="s">
        <v>4836</v>
      </c>
      <c r="C4190" s="88">
        <v>3250</v>
      </c>
      <c r="D4190" s="87" t="s">
        <v>5207</v>
      </c>
    </row>
    <row r="4191" spans="2:4" ht="15" x14ac:dyDescent="0.2">
      <c r="B4191" s="87" t="s">
        <v>4837</v>
      </c>
      <c r="C4191" s="88">
        <v>3240</v>
      </c>
      <c r="D4191" s="87" t="s">
        <v>5208</v>
      </c>
    </row>
    <row r="4192" spans="2:4" ht="15" x14ac:dyDescent="0.2">
      <c r="B4192" s="87" t="s">
        <v>4838</v>
      </c>
      <c r="C4192" s="88">
        <v>3240</v>
      </c>
      <c r="D4192" s="87" t="s">
        <v>5208</v>
      </c>
    </row>
    <row r="4193" spans="2:4" ht="15" x14ac:dyDescent="0.2">
      <c r="B4193" s="87" t="s">
        <v>4839</v>
      </c>
      <c r="C4193" s="88">
        <v>3240</v>
      </c>
      <c r="D4193" s="87" t="s">
        <v>5208</v>
      </c>
    </row>
    <row r="4194" spans="2:4" ht="15" x14ac:dyDescent="0.2">
      <c r="B4194" s="87" t="s">
        <v>4840</v>
      </c>
      <c r="C4194" s="88">
        <v>3240</v>
      </c>
      <c r="D4194" s="87" t="s">
        <v>5208</v>
      </c>
    </row>
    <row r="4195" spans="2:4" ht="15" x14ac:dyDescent="0.2">
      <c r="B4195" s="87" t="s">
        <v>4841</v>
      </c>
      <c r="C4195" s="88">
        <v>3240</v>
      </c>
      <c r="D4195" s="87" t="s">
        <v>5208</v>
      </c>
    </row>
    <row r="4196" spans="2:4" ht="15" x14ac:dyDescent="0.2">
      <c r="B4196" s="87" t="s">
        <v>4842</v>
      </c>
      <c r="C4196" s="88">
        <v>3240</v>
      </c>
      <c r="D4196" s="87" t="s">
        <v>5208</v>
      </c>
    </row>
    <row r="4197" spans="2:4" ht="15" x14ac:dyDescent="0.2">
      <c r="B4197" s="87" t="s">
        <v>4843</v>
      </c>
      <c r="C4197" s="88">
        <v>3240</v>
      </c>
      <c r="D4197" s="87" t="s">
        <v>5208</v>
      </c>
    </row>
    <row r="4198" spans="2:4" ht="15" x14ac:dyDescent="0.2">
      <c r="B4198" s="87" t="s">
        <v>4844</v>
      </c>
      <c r="C4198" s="88">
        <v>3240</v>
      </c>
      <c r="D4198" s="87" t="s">
        <v>5208</v>
      </c>
    </row>
    <row r="4199" spans="2:4" ht="15" x14ac:dyDescent="0.2">
      <c r="B4199" s="87" t="s">
        <v>4845</v>
      </c>
      <c r="C4199" s="88">
        <v>3230</v>
      </c>
      <c r="D4199" s="87" t="s">
        <v>5209</v>
      </c>
    </row>
    <row r="4200" spans="2:4" ht="15" x14ac:dyDescent="0.2">
      <c r="B4200" s="87" t="s">
        <v>4846</v>
      </c>
      <c r="C4200" s="88">
        <v>3230</v>
      </c>
      <c r="D4200" s="87" t="s">
        <v>5209</v>
      </c>
    </row>
    <row r="4201" spans="2:4" ht="15" x14ac:dyDescent="0.2">
      <c r="B4201" s="87" t="s">
        <v>4847</v>
      </c>
      <c r="C4201" s="88">
        <v>3230</v>
      </c>
      <c r="D4201" s="87" t="s">
        <v>5209</v>
      </c>
    </row>
    <row r="4202" spans="2:4" ht="15" x14ac:dyDescent="0.2">
      <c r="B4202" s="87" t="s">
        <v>4848</v>
      </c>
      <c r="C4202" s="88">
        <v>3230</v>
      </c>
      <c r="D4202" s="87" t="s">
        <v>5209</v>
      </c>
    </row>
    <row r="4203" spans="2:4" ht="15" x14ac:dyDescent="0.2">
      <c r="B4203" s="87" t="s">
        <v>4849</v>
      </c>
      <c r="C4203" s="88">
        <v>3230</v>
      </c>
      <c r="D4203" s="87" t="s">
        <v>5209</v>
      </c>
    </row>
    <row r="4204" spans="2:4" ht="15" x14ac:dyDescent="0.2">
      <c r="B4204" s="87" t="s">
        <v>4850</v>
      </c>
      <c r="C4204" s="88">
        <v>3230</v>
      </c>
      <c r="D4204" s="87" t="s">
        <v>5209</v>
      </c>
    </row>
    <row r="4205" spans="2:4" ht="15" x14ac:dyDescent="0.2">
      <c r="B4205" s="87" t="s">
        <v>4851</v>
      </c>
      <c r="C4205" s="88">
        <v>3230</v>
      </c>
      <c r="D4205" s="87" t="s">
        <v>5209</v>
      </c>
    </row>
    <row r="4206" spans="2:4" ht="15" x14ac:dyDescent="0.2">
      <c r="B4206" s="87" t="s">
        <v>4852</v>
      </c>
      <c r="C4206" s="88">
        <v>3230</v>
      </c>
      <c r="D4206" s="87" t="s">
        <v>5209</v>
      </c>
    </row>
    <row r="4207" spans="2:4" ht="15" x14ac:dyDescent="0.2">
      <c r="B4207" s="87" t="s">
        <v>4853</v>
      </c>
      <c r="C4207" s="88">
        <v>3210</v>
      </c>
      <c r="D4207" s="87" t="s">
        <v>5210</v>
      </c>
    </row>
    <row r="4208" spans="2:4" ht="15" x14ac:dyDescent="0.2">
      <c r="B4208" s="87" t="s">
        <v>4854</v>
      </c>
      <c r="C4208" s="88">
        <v>3210</v>
      </c>
      <c r="D4208" s="87" t="s">
        <v>5210</v>
      </c>
    </row>
    <row r="4209" spans="2:16" ht="15" x14ac:dyDescent="0.2">
      <c r="B4209" s="87" t="s">
        <v>4855</v>
      </c>
      <c r="C4209" s="88">
        <v>3210</v>
      </c>
      <c r="D4209" s="87" t="s">
        <v>5210</v>
      </c>
      <c r="P4209" s="86"/>
    </row>
    <row r="4210" spans="2:16" ht="15" x14ac:dyDescent="0.2">
      <c r="B4210" s="87" t="s">
        <v>4856</v>
      </c>
      <c r="C4210" s="88">
        <v>3210</v>
      </c>
      <c r="D4210" s="87" t="s">
        <v>5210</v>
      </c>
    </row>
    <row r="4211" spans="2:16" ht="15" x14ac:dyDescent="0.2">
      <c r="B4211" s="87" t="s">
        <v>4857</v>
      </c>
      <c r="C4211" s="88">
        <v>3210</v>
      </c>
      <c r="D4211" s="87" t="s">
        <v>5210</v>
      </c>
    </row>
    <row r="4212" spans="2:16" ht="15" x14ac:dyDescent="0.2">
      <c r="B4212" s="87" t="s">
        <v>4858</v>
      </c>
      <c r="C4212" s="88">
        <v>3210</v>
      </c>
      <c r="D4212" s="87" t="s">
        <v>5210</v>
      </c>
    </row>
    <row r="4213" spans="2:16" ht="15" x14ac:dyDescent="0.2">
      <c r="B4213" s="87" t="s">
        <v>4859</v>
      </c>
      <c r="C4213" s="88">
        <v>3210</v>
      </c>
      <c r="D4213" s="87" t="s">
        <v>5210</v>
      </c>
    </row>
    <row r="4214" spans="2:16" ht="15" x14ac:dyDescent="0.2">
      <c r="B4214" s="87" t="s">
        <v>4860</v>
      </c>
      <c r="C4214" s="88">
        <v>3200</v>
      </c>
      <c r="D4214" s="87" t="s">
        <v>5211</v>
      </c>
    </row>
    <row r="4215" spans="2:16" ht="15" x14ac:dyDescent="0.2">
      <c r="B4215" s="87" t="s">
        <v>4861</v>
      </c>
      <c r="C4215" s="88">
        <v>3200</v>
      </c>
      <c r="D4215" s="87" t="s">
        <v>5211</v>
      </c>
    </row>
    <row r="4216" spans="2:16" ht="15" x14ac:dyDescent="0.2">
      <c r="B4216" s="87" t="s">
        <v>4862</v>
      </c>
      <c r="C4216" s="88">
        <v>3200</v>
      </c>
      <c r="D4216" s="87" t="s">
        <v>5211</v>
      </c>
    </row>
    <row r="4217" spans="2:16" ht="15" x14ac:dyDescent="0.2">
      <c r="B4217" s="87" t="s">
        <v>4863</v>
      </c>
      <c r="C4217" s="88">
        <v>3200</v>
      </c>
      <c r="D4217" s="87" t="s">
        <v>5211</v>
      </c>
    </row>
    <row r="4218" spans="2:16" ht="15" x14ac:dyDescent="0.2">
      <c r="B4218" s="87" t="s">
        <v>4864</v>
      </c>
      <c r="C4218" s="88">
        <v>3200</v>
      </c>
      <c r="D4218" s="87" t="s">
        <v>5211</v>
      </c>
    </row>
    <row r="4219" spans="2:16" ht="15" x14ac:dyDescent="0.2">
      <c r="B4219" s="87" t="s">
        <v>4865</v>
      </c>
      <c r="C4219" s="88">
        <v>3200</v>
      </c>
      <c r="D4219" s="87" t="s">
        <v>5211</v>
      </c>
    </row>
    <row r="4220" spans="2:16" ht="15" x14ac:dyDescent="0.2">
      <c r="B4220" s="87" t="s">
        <v>4866</v>
      </c>
      <c r="C4220" s="88">
        <v>3200</v>
      </c>
      <c r="D4220" s="87" t="s">
        <v>5211</v>
      </c>
    </row>
    <row r="4221" spans="2:16" ht="15" x14ac:dyDescent="0.2">
      <c r="B4221" s="87" t="s">
        <v>4867</v>
      </c>
      <c r="C4221" s="88">
        <v>3200</v>
      </c>
      <c r="D4221" s="87" t="s">
        <v>5211</v>
      </c>
    </row>
    <row r="4222" spans="2:16" ht="15" x14ac:dyDescent="0.2">
      <c r="B4222" s="87" t="s">
        <v>4868</v>
      </c>
      <c r="C4222" s="88">
        <v>3190</v>
      </c>
      <c r="D4222" s="87" t="s">
        <v>5212</v>
      </c>
    </row>
    <row r="4223" spans="2:16" ht="15" x14ac:dyDescent="0.2">
      <c r="B4223" s="87" t="s">
        <v>4869</v>
      </c>
      <c r="C4223" s="88">
        <v>3190</v>
      </c>
      <c r="D4223" s="87" t="s">
        <v>5212</v>
      </c>
    </row>
    <row r="4224" spans="2:16" ht="15" x14ac:dyDescent="0.2">
      <c r="B4224" s="87" t="s">
        <v>4870</v>
      </c>
      <c r="C4224" s="88">
        <v>3190</v>
      </c>
      <c r="D4224" s="87" t="s">
        <v>5212</v>
      </c>
    </row>
    <row r="4225" spans="2:4" ht="15" x14ac:dyDescent="0.2">
      <c r="B4225" s="87" t="s">
        <v>4871</v>
      </c>
      <c r="C4225" s="88">
        <v>3190</v>
      </c>
      <c r="D4225" s="87" t="s">
        <v>5212</v>
      </c>
    </row>
    <row r="4226" spans="2:4" ht="15" x14ac:dyDescent="0.2">
      <c r="B4226" s="87" t="s">
        <v>4872</v>
      </c>
      <c r="C4226" s="88">
        <v>3190</v>
      </c>
      <c r="D4226" s="87" t="s">
        <v>5212</v>
      </c>
    </row>
    <row r="4227" spans="2:4" ht="15" x14ac:dyDescent="0.2">
      <c r="B4227" s="87" t="s">
        <v>4873</v>
      </c>
      <c r="C4227" s="88">
        <v>3190</v>
      </c>
      <c r="D4227" s="87" t="s">
        <v>5212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4"/>
  <sheetViews>
    <sheetView zoomScale="75" workbookViewId="0">
      <selection activeCell="I1" sqref="I1"/>
    </sheetView>
  </sheetViews>
  <sheetFormatPr defaultRowHeight="12.75" x14ac:dyDescent="0.2"/>
  <cols>
    <col min="1" max="1" width="14.6640625" customWidth="1"/>
    <col min="7" max="7" width="17.83203125" customWidth="1"/>
  </cols>
  <sheetData>
    <row r="3" spans="1:16" ht="18.75" x14ac:dyDescent="0.3">
      <c r="A3" s="189" t="s">
        <v>11</v>
      </c>
      <c r="B3" s="188">
        <f>SUM(B5:B40)</f>
        <v>0</v>
      </c>
      <c r="C3" s="188"/>
      <c r="D3" s="189" t="s">
        <v>3</v>
      </c>
      <c r="E3" s="188">
        <f>SUM(E5:E40)</f>
        <v>0</v>
      </c>
      <c r="F3" s="188"/>
      <c r="H3" s="1"/>
      <c r="I3" s="1"/>
      <c r="P3" s="8"/>
    </row>
    <row r="4" spans="1:16" x14ac:dyDescent="0.2">
      <c r="B4" s="1" t="s">
        <v>1</v>
      </c>
      <c r="C4" s="1" t="s">
        <v>12</v>
      </c>
      <c r="D4" s="1" t="s">
        <v>13</v>
      </c>
      <c r="E4" s="1" t="s">
        <v>3</v>
      </c>
      <c r="J4" s="1"/>
      <c r="L4" s="1"/>
    </row>
    <row r="5" spans="1:16" x14ac:dyDescent="0.2">
      <c r="A5">
        <v>1</v>
      </c>
      <c r="C5" s="186"/>
      <c r="D5" s="186"/>
      <c r="E5" s="187">
        <f t="shared" ref="E5:E13" si="0">(D5-C5)*B5</f>
        <v>0</v>
      </c>
      <c r="J5" s="1"/>
      <c r="K5" s="1"/>
      <c r="L5" s="1"/>
    </row>
    <row r="6" spans="1:16" x14ac:dyDescent="0.2">
      <c r="A6">
        <v>2</v>
      </c>
      <c r="C6" s="186"/>
      <c r="D6" s="186"/>
      <c r="E6" s="187">
        <f t="shared" si="0"/>
        <v>0</v>
      </c>
      <c r="H6" s="12"/>
      <c r="K6" s="12"/>
      <c r="L6" s="12"/>
    </row>
    <row r="7" spans="1:16" x14ac:dyDescent="0.2">
      <c r="A7">
        <v>3</v>
      </c>
      <c r="C7" s="186"/>
      <c r="D7" s="186"/>
      <c r="E7" s="187">
        <f t="shared" si="0"/>
        <v>0</v>
      </c>
      <c r="H7" s="12"/>
      <c r="K7" s="12"/>
      <c r="L7" s="12"/>
    </row>
    <row r="8" spans="1:16" x14ac:dyDescent="0.2">
      <c r="A8">
        <v>4</v>
      </c>
      <c r="C8" s="186"/>
      <c r="D8" s="186"/>
      <c r="E8" s="187">
        <f t="shared" si="0"/>
        <v>0</v>
      </c>
      <c r="H8" s="12"/>
      <c r="K8" s="12"/>
      <c r="L8" s="12"/>
    </row>
    <row r="9" spans="1:16" x14ac:dyDescent="0.2">
      <c r="A9">
        <v>5</v>
      </c>
      <c r="C9" s="186"/>
      <c r="D9" s="186"/>
      <c r="E9" s="187">
        <f t="shared" si="0"/>
        <v>0</v>
      </c>
      <c r="H9" s="12"/>
      <c r="K9" s="12"/>
      <c r="L9" s="12"/>
    </row>
    <row r="10" spans="1:16" ht="15.75" x14ac:dyDescent="0.25">
      <c r="A10">
        <v>6</v>
      </c>
      <c r="C10" s="186"/>
      <c r="D10" s="186"/>
      <c r="E10" s="187">
        <f t="shared" si="0"/>
        <v>0</v>
      </c>
      <c r="G10" s="13"/>
      <c r="K10" s="12"/>
    </row>
    <row r="11" spans="1:16" x14ac:dyDescent="0.2">
      <c r="A11">
        <v>7</v>
      </c>
      <c r="C11" s="186"/>
      <c r="D11" s="186"/>
      <c r="E11" s="187">
        <f t="shared" si="0"/>
        <v>0</v>
      </c>
    </row>
    <row r="12" spans="1:16" x14ac:dyDescent="0.2">
      <c r="A12">
        <v>8</v>
      </c>
      <c r="C12" s="186"/>
      <c r="D12" s="186"/>
      <c r="E12" s="187">
        <f t="shared" si="0"/>
        <v>0</v>
      </c>
      <c r="H12" s="1"/>
      <c r="I12" s="1"/>
      <c r="J12" s="1"/>
    </row>
    <row r="13" spans="1:16" x14ac:dyDescent="0.2">
      <c r="A13">
        <v>9</v>
      </c>
      <c r="C13" s="186"/>
      <c r="D13" s="186"/>
      <c r="E13" s="187">
        <f t="shared" si="0"/>
        <v>0</v>
      </c>
      <c r="H13" s="1"/>
      <c r="I13" s="1"/>
      <c r="J13" s="1"/>
    </row>
    <row r="14" spans="1:16" x14ac:dyDescent="0.2">
      <c r="A14">
        <v>10</v>
      </c>
      <c r="C14" s="186"/>
      <c r="D14" s="186"/>
      <c r="E14" s="187">
        <f t="shared" ref="E14:E33" si="1">(D14-C14)*B14</f>
        <v>0</v>
      </c>
      <c r="J14" s="12"/>
    </row>
    <row r="15" spans="1:16" x14ac:dyDescent="0.2">
      <c r="A15">
        <v>11</v>
      </c>
      <c r="C15" s="186"/>
      <c r="D15" s="186"/>
      <c r="E15" s="187">
        <f t="shared" si="1"/>
        <v>0</v>
      </c>
    </row>
    <row r="16" spans="1:16" x14ac:dyDescent="0.2">
      <c r="A16">
        <v>12</v>
      </c>
      <c r="C16" s="186"/>
      <c r="D16" s="186"/>
      <c r="E16" s="187">
        <f t="shared" si="1"/>
        <v>0</v>
      </c>
    </row>
    <row r="17" spans="1:5" x14ac:dyDescent="0.2">
      <c r="A17">
        <v>13</v>
      </c>
      <c r="C17" s="186"/>
      <c r="D17" s="186"/>
      <c r="E17" s="187">
        <f t="shared" si="1"/>
        <v>0</v>
      </c>
    </row>
    <row r="18" spans="1:5" x14ac:dyDescent="0.2">
      <c r="A18">
        <v>14</v>
      </c>
      <c r="C18" s="186"/>
      <c r="D18" s="186"/>
      <c r="E18" s="187">
        <f t="shared" si="1"/>
        <v>0</v>
      </c>
    </row>
    <row r="19" spans="1:5" x14ac:dyDescent="0.2">
      <c r="A19">
        <v>15</v>
      </c>
      <c r="C19" s="186"/>
      <c r="D19" s="186"/>
      <c r="E19" s="187">
        <f t="shared" si="1"/>
        <v>0</v>
      </c>
    </row>
    <row r="20" spans="1:5" x14ac:dyDescent="0.2">
      <c r="A20">
        <v>16</v>
      </c>
      <c r="C20" s="186"/>
      <c r="D20" s="186"/>
      <c r="E20" s="187">
        <f t="shared" si="1"/>
        <v>0</v>
      </c>
    </row>
    <row r="21" spans="1:5" x14ac:dyDescent="0.2">
      <c r="A21">
        <v>17</v>
      </c>
      <c r="C21" s="186"/>
      <c r="D21" s="186"/>
      <c r="E21" s="187">
        <f t="shared" si="1"/>
        <v>0</v>
      </c>
    </row>
    <row r="22" spans="1:5" x14ac:dyDescent="0.2">
      <c r="A22">
        <v>18</v>
      </c>
      <c r="C22" s="186"/>
      <c r="D22" s="186"/>
      <c r="E22" s="187">
        <f t="shared" si="1"/>
        <v>0</v>
      </c>
    </row>
    <row r="23" spans="1:5" x14ac:dyDescent="0.2">
      <c r="A23">
        <v>19</v>
      </c>
      <c r="C23" s="186"/>
      <c r="D23" s="186"/>
      <c r="E23" s="187">
        <f t="shared" si="1"/>
        <v>0</v>
      </c>
    </row>
    <row r="24" spans="1:5" x14ac:dyDescent="0.2">
      <c r="A24">
        <v>20</v>
      </c>
      <c r="C24" s="186"/>
      <c r="D24" s="186"/>
      <c r="E24" s="187">
        <f t="shared" si="1"/>
        <v>0</v>
      </c>
    </row>
    <row r="25" spans="1:5" x14ac:dyDescent="0.2">
      <c r="A25">
        <v>21</v>
      </c>
      <c r="C25" s="186"/>
      <c r="D25" s="186"/>
      <c r="E25" s="187">
        <f t="shared" si="1"/>
        <v>0</v>
      </c>
    </row>
    <row r="26" spans="1:5" x14ac:dyDescent="0.2">
      <c r="A26">
        <v>22</v>
      </c>
      <c r="C26" s="186"/>
      <c r="D26" s="186"/>
      <c r="E26" s="187">
        <f t="shared" si="1"/>
        <v>0</v>
      </c>
    </row>
    <row r="27" spans="1:5" x14ac:dyDescent="0.2">
      <c r="A27">
        <v>23</v>
      </c>
      <c r="C27" s="186"/>
      <c r="D27" s="186"/>
      <c r="E27" s="187">
        <f t="shared" si="1"/>
        <v>0</v>
      </c>
    </row>
    <row r="28" spans="1:5" x14ac:dyDescent="0.2">
      <c r="A28">
        <v>24</v>
      </c>
      <c r="C28" s="186"/>
      <c r="D28" s="186"/>
      <c r="E28" s="187">
        <f t="shared" si="1"/>
        <v>0</v>
      </c>
    </row>
    <row r="29" spans="1:5" x14ac:dyDescent="0.2">
      <c r="A29">
        <v>25</v>
      </c>
      <c r="C29" s="186"/>
      <c r="D29" s="186"/>
      <c r="E29" s="187">
        <f t="shared" si="1"/>
        <v>0</v>
      </c>
    </row>
    <row r="30" spans="1:5" x14ac:dyDescent="0.2">
      <c r="A30">
        <v>26</v>
      </c>
      <c r="C30" s="186"/>
      <c r="D30" s="186"/>
      <c r="E30" s="187">
        <f t="shared" si="1"/>
        <v>0</v>
      </c>
    </row>
    <row r="31" spans="1:5" x14ac:dyDescent="0.2">
      <c r="A31">
        <v>27</v>
      </c>
      <c r="C31" s="186"/>
      <c r="D31" s="186"/>
      <c r="E31" s="187">
        <f t="shared" si="1"/>
        <v>0</v>
      </c>
    </row>
    <row r="32" spans="1:5" x14ac:dyDescent="0.2">
      <c r="A32">
        <v>28</v>
      </c>
      <c r="C32" s="186"/>
      <c r="D32" s="186"/>
      <c r="E32" s="187">
        <f t="shared" si="1"/>
        <v>0</v>
      </c>
    </row>
    <row r="33" spans="1:5" x14ac:dyDescent="0.2">
      <c r="A33">
        <v>29</v>
      </c>
      <c r="C33" s="186"/>
      <c r="D33" s="186"/>
      <c r="E33" s="187">
        <f t="shared" si="1"/>
        <v>0</v>
      </c>
    </row>
    <row r="34" spans="1:5" x14ac:dyDescent="0.2">
      <c r="A34">
        <v>30</v>
      </c>
      <c r="C34" s="186"/>
      <c r="D34" s="186"/>
      <c r="E34" s="186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045D-B503-46BA-B81A-E25FD1B62330}">
  <dimension ref="A3:F15"/>
  <sheetViews>
    <sheetView workbookViewId="0">
      <selection activeCell="A3" sqref="A3:B12"/>
    </sheetView>
  </sheetViews>
  <sheetFormatPr defaultRowHeight="12.75" x14ac:dyDescent="0.2"/>
  <cols>
    <col min="1" max="1" width="14.1640625" bestFit="1" customWidth="1"/>
    <col min="2" max="2" width="25.33203125" bestFit="1" customWidth="1"/>
    <col min="6" max="6" width="11" customWidth="1"/>
  </cols>
  <sheetData>
    <row r="3" spans="1:6" x14ac:dyDescent="0.2">
      <c r="A3" s="393" t="s">
        <v>5336</v>
      </c>
      <c r="B3" t="s">
        <v>5339</v>
      </c>
    </row>
    <row r="4" spans="1:6" x14ac:dyDescent="0.2">
      <c r="A4" s="394">
        <v>21</v>
      </c>
      <c r="B4">
        <v>2</v>
      </c>
      <c r="E4">
        <v>2</v>
      </c>
      <c r="F4">
        <f>2/93</f>
        <v>2.1505376344086023E-2</v>
      </c>
    </row>
    <row r="5" spans="1:6" x14ac:dyDescent="0.2">
      <c r="A5" s="394">
        <v>31</v>
      </c>
      <c r="B5">
        <v>15</v>
      </c>
      <c r="E5">
        <v>3</v>
      </c>
      <c r="F5">
        <f>15/93</f>
        <v>0.16129032258064516</v>
      </c>
    </row>
    <row r="6" spans="1:6" x14ac:dyDescent="0.2">
      <c r="A6" s="394">
        <v>41</v>
      </c>
      <c r="B6">
        <v>38</v>
      </c>
      <c r="E6">
        <v>4</v>
      </c>
      <c r="F6">
        <f>64/93</f>
        <v>0.68817204301075274</v>
      </c>
    </row>
    <row r="7" spans="1:6" x14ac:dyDescent="0.2">
      <c r="A7" s="394">
        <v>42</v>
      </c>
      <c r="B7">
        <v>28</v>
      </c>
      <c r="E7">
        <v>5</v>
      </c>
      <c r="F7">
        <f>10/93</f>
        <v>0.10752688172043011</v>
      </c>
    </row>
    <row r="8" spans="1:6" x14ac:dyDescent="0.2">
      <c r="A8" s="394">
        <v>51</v>
      </c>
      <c r="B8">
        <v>7</v>
      </c>
    </row>
    <row r="9" spans="1:6" x14ac:dyDescent="0.2">
      <c r="A9" s="394">
        <v>52</v>
      </c>
      <c r="B9">
        <v>3</v>
      </c>
    </row>
    <row r="10" spans="1:6" x14ac:dyDescent="0.2">
      <c r="A10" s="394">
        <v>88</v>
      </c>
      <c r="B10">
        <v>17</v>
      </c>
    </row>
    <row r="11" spans="1:6" x14ac:dyDescent="0.2">
      <c r="A11" s="394" t="s">
        <v>5337</v>
      </c>
    </row>
    <row r="12" spans="1:6" x14ac:dyDescent="0.2">
      <c r="A12" s="394" t="s">
        <v>5338</v>
      </c>
      <c r="B12">
        <v>110</v>
      </c>
    </row>
    <row r="15" spans="1:6" x14ac:dyDescent="0.2">
      <c r="D15">
        <f>110-17</f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2C5A-8248-461B-BC0D-1419C56EF942}">
  <dimension ref="A1:AR119"/>
  <sheetViews>
    <sheetView workbookViewId="0">
      <selection sqref="A1:XFD1048576"/>
    </sheetView>
  </sheetViews>
  <sheetFormatPr defaultRowHeight="12.75" x14ac:dyDescent="0.2"/>
  <sheetData>
    <row r="1" spans="1:44" x14ac:dyDescent="0.2">
      <c r="A1" t="s">
        <v>5271</v>
      </c>
      <c r="B1" t="s">
        <v>5272</v>
      </c>
      <c r="C1" t="s">
        <v>5273</v>
      </c>
      <c r="D1" t="s">
        <v>5274</v>
      </c>
      <c r="E1" t="s">
        <v>5275</v>
      </c>
      <c r="F1" t="s">
        <v>5276</v>
      </c>
      <c r="G1" t="s">
        <v>5277</v>
      </c>
      <c r="H1" t="s">
        <v>5278</v>
      </c>
      <c r="I1" t="s">
        <v>5279</v>
      </c>
      <c r="J1" t="s">
        <v>5280</v>
      </c>
      <c r="K1" t="s">
        <v>5281</v>
      </c>
      <c r="L1" t="s">
        <v>5282</v>
      </c>
      <c r="M1" t="s">
        <v>5283</v>
      </c>
      <c r="N1" t="s">
        <v>5284</v>
      </c>
      <c r="O1" t="s">
        <v>5285</v>
      </c>
      <c r="P1" t="s">
        <v>5286</v>
      </c>
      <c r="Q1" t="s">
        <v>5287</v>
      </c>
      <c r="R1" t="s">
        <v>5288</v>
      </c>
      <c r="S1" t="s">
        <v>5289</v>
      </c>
      <c r="T1" t="s">
        <v>5290</v>
      </c>
      <c r="U1" t="s">
        <v>5291</v>
      </c>
      <c r="V1" t="s">
        <v>5292</v>
      </c>
      <c r="W1" t="s">
        <v>5293</v>
      </c>
      <c r="X1" t="s">
        <v>5294</v>
      </c>
      <c r="Y1" t="s">
        <v>5295</v>
      </c>
      <c r="Z1" t="s">
        <v>5296</v>
      </c>
      <c r="AA1" t="s">
        <v>5297</v>
      </c>
      <c r="AB1" t="s">
        <v>5298</v>
      </c>
      <c r="AC1" t="s">
        <v>5299</v>
      </c>
      <c r="AD1" t="s">
        <v>5300</v>
      </c>
      <c r="AE1" t="s">
        <v>5301</v>
      </c>
      <c r="AF1" t="s">
        <v>5302</v>
      </c>
      <c r="AG1" t="s">
        <v>5303</v>
      </c>
      <c r="AH1" t="s">
        <v>5304</v>
      </c>
      <c r="AI1" t="s">
        <v>5305</v>
      </c>
      <c r="AJ1" t="s">
        <v>5306</v>
      </c>
      <c r="AK1" t="s">
        <v>5307</v>
      </c>
      <c r="AL1" t="s">
        <v>5308</v>
      </c>
      <c r="AM1" t="s">
        <v>5309</v>
      </c>
      <c r="AN1" t="s">
        <v>5310</v>
      </c>
      <c r="AO1" t="s">
        <v>5311</v>
      </c>
      <c r="AP1" t="s">
        <v>5312</v>
      </c>
      <c r="AQ1" t="s">
        <v>5313</v>
      </c>
      <c r="AR1" t="s">
        <v>5314</v>
      </c>
    </row>
    <row r="2" spans="1:44" x14ac:dyDescent="0.2">
      <c r="A2" s="392">
        <v>45928</v>
      </c>
      <c r="B2">
        <v>2025</v>
      </c>
      <c r="C2" t="s">
        <v>5315</v>
      </c>
      <c r="D2" t="s">
        <v>5316</v>
      </c>
      <c r="E2" t="s">
        <v>5317</v>
      </c>
      <c r="F2" t="s">
        <v>5317</v>
      </c>
      <c r="H2" t="s">
        <v>5318</v>
      </c>
      <c r="J2" t="s">
        <v>5319</v>
      </c>
      <c r="K2">
        <v>27494</v>
      </c>
      <c r="L2">
        <v>1</v>
      </c>
      <c r="M2">
        <v>9365</v>
      </c>
      <c r="N2" t="s">
        <v>5320</v>
      </c>
      <c r="O2" t="s">
        <v>5321</v>
      </c>
      <c r="P2" t="s">
        <v>5322</v>
      </c>
      <c r="Q2" t="s">
        <v>5323</v>
      </c>
      <c r="R2">
        <v>1</v>
      </c>
      <c r="S2">
        <v>8</v>
      </c>
      <c r="T2">
        <v>0</v>
      </c>
      <c r="U2">
        <v>2</v>
      </c>
      <c r="W2">
        <v>41</v>
      </c>
      <c r="X2">
        <v>75</v>
      </c>
      <c r="AC2" t="s">
        <v>5324</v>
      </c>
      <c r="AD2" t="s">
        <v>5325</v>
      </c>
      <c r="AE2" t="s">
        <v>5326</v>
      </c>
      <c r="AQ2" t="s">
        <v>5327</v>
      </c>
    </row>
    <row r="3" spans="1:44" x14ac:dyDescent="0.2">
      <c r="A3" s="392">
        <v>45928</v>
      </c>
      <c r="B3">
        <v>2025</v>
      </c>
      <c r="C3" t="s">
        <v>5315</v>
      </c>
      <c r="D3" t="s">
        <v>5316</v>
      </c>
      <c r="E3" t="s">
        <v>5317</v>
      </c>
      <c r="F3" t="s">
        <v>5317</v>
      </c>
      <c r="H3" t="s">
        <v>5318</v>
      </c>
      <c r="J3" t="s">
        <v>5319</v>
      </c>
      <c r="K3">
        <v>27494</v>
      </c>
      <c r="L3">
        <v>2</v>
      </c>
      <c r="M3">
        <v>9366</v>
      </c>
      <c r="N3" t="s">
        <v>5320</v>
      </c>
      <c r="O3" t="s">
        <v>5321</v>
      </c>
      <c r="P3" t="s">
        <v>5322</v>
      </c>
      <c r="Q3" t="s">
        <v>5323</v>
      </c>
      <c r="R3">
        <v>1</v>
      </c>
      <c r="S3">
        <v>8</v>
      </c>
      <c r="T3">
        <v>0</v>
      </c>
      <c r="U3">
        <v>2</v>
      </c>
      <c r="W3">
        <v>88</v>
      </c>
      <c r="X3">
        <v>81</v>
      </c>
      <c r="Z3">
        <v>91670</v>
      </c>
      <c r="AA3">
        <v>52</v>
      </c>
      <c r="AB3" t="s">
        <v>5328</v>
      </c>
      <c r="AC3" t="s">
        <v>5324</v>
      </c>
      <c r="AD3" t="s">
        <v>5244</v>
      </c>
      <c r="AE3">
        <v>0</v>
      </c>
      <c r="AF3">
        <v>128923</v>
      </c>
      <c r="AQ3" t="s">
        <v>5327</v>
      </c>
      <c r="AR3" t="s">
        <v>5329</v>
      </c>
    </row>
    <row r="4" spans="1:44" x14ac:dyDescent="0.2">
      <c r="A4" s="392">
        <v>45928</v>
      </c>
      <c r="B4">
        <v>2025</v>
      </c>
      <c r="C4" t="s">
        <v>5315</v>
      </c>
      <c r="D4" t="s">
        <v>5316</v>
      </c>
      <c r="E4" t="s">
        <v>5317</v>
      </c>
      <c r="F4" t="s">
        <v>5317</v>
      </c>
      <c r="H4" t="s">
        <v>5318</v>
      </c>
      <c r="J4" t="s">
        <v>5319</v>
      </c>
      <c r="K4">
        <v>27494</v>
      </c>
      <c r="L4">
        <v>3</v>
      </c>
      <c r="M4">
        <v>9367</v>
      </c>
      <c r="N4" t="s">
        <v>5320</v>
      </c>
      <c r="O4" t="s">
        <v>5321</v>
      </c>
      <c r="P4" t="s">
        <v>5322</v>
      </c>
      <c r="Q4" t="s">
        <v>5323</v>
      </c>
      <c r="R4">
        <v>1</v>
      </c>
      <c r="S4">
        <v>8</v>
      </c>
      <c r="T4">
        <v>0</v>
      </c>
      <c r="U4">
        <v>2</v>
      </c>
      <c r="W4">
        <v>41</v>
      </c>
      <c r="X4">
        <v>66</v>
      </c>
      <c r="AC4" t="s">
        <v>5324</v>
      </c>
      <c r="AD4" t="s">
        <v>5325</v>
      </c>
      <c r="AE4" t="s">
        <v>5326</v>
      </c>
      <c r="AQ4" t="s">
        <v>5327</v>
      </c>
    </row>
    <row r="5" spans="1:44" x14ac:dyDescent="0.2">
      <c r="A5" s="392">
        <v>45928</v>
      </c>
      <c r="B5">
        <v>2025</v>
      </c>
      <c r="C5" t="s">
        <v>5315</v>
      </c>
      <c r="D5" t="s">
        <v>5316</v>
      </c>
      <c r="E5" t="s">
        <v>5317</v>
      </c>
      <c r="F5" t="s">
        <v>5317</v>
      </c>
      <c r="H5" t="s">
        <v>5318</v>
      </c>
      <c r="J5" t="s">
        <v>5319</v>
      </c>
      <c r="K5">
        <v>27494</v>
      </c>
      <c r="L5">
        <v>4</v>
      </c>
      <c r="M5">
        <v>9368</v>
      </c>
      <c r="N5" t="s">
        <v>5320</v>
      </c>
      <c r="O5" t="s">
        <v>5321</v>
      </c>
      <c r="P5" t="s">
        <v>5322</v>
      </c>
      <c r="Q5" t="s">
        <v>5323</v>
      </c>
      <c r="R5">
        <v>1</v>
      </c>
      <c r="S5">
        <v>8</v>
      </c>
      <c r="T5">
        <v>0</v>
      </c>
      <c r="U5">
        <v>2</v>
      </c>
      <c r="W5">
        <v>88</v>
      </c>
      <c r="X5">
        <v>51</v>
      </c>
      <c r="AC5" t="s">
        <v>5324</v>
      </c>
      <c r="AD5" t="s">
        <v>5325</v>
      </c>
      <c r="AE5" t="s">
        <v>5326</v>
      </c>
      <c r="AQ5" t="s">
        <v>5327</v>
      </c>
    </row>
    <row r="6" spans="1:44" x14ac:dyDescent="0.2">
      <c r="A6" s="392">
        <v>45928</v>
      </c>
      <c r="B6">
        <v>2025</v>
      </c>
      <c r="C6" t="s">
        <v>5315</v>
      </c>
      <c r="D6" t="s">
        <v>5316</v>
      </c>
      <c r="E6" t="s">
        <v>5317</v>
      </c>
      <c r="F6" t="s">
        <v>5317</v>
      </c>
      <c r="H6" t="s">
        <v>5318</v>
      </c>
      <c r="J6" t="s">
        <v>5319</v>
      </c>
      <c r="K6">
        <v>27494</v>
      </c>
      <c r="L6">
        <v>5</v>
      </c>
      <c r="M6">
        <v>9369</v>
      </c>
      <c r="N6" t="s">
        <v>5320</v>
      </c>
      <c r="O6" t="s">
        <v>5321</v>
      </c>
      <c r="P6" t="s">
        <v>5322</v>
      </c>
      <c r="Q6" t="s">
        <v>5323</v>
      </c>
      <c r="R6">
        <v>1</v>
      </c>
      <c r="S6">
        <v>8</v>
      </c>
      <c r="T6">
        <v>0</v>
      </c>
      <c r="U6">
        <v>2</v>
      </c>
      <c r="W6">
        <v>31</v>
      </c>
      <c r="X6">
        <v>62</v>
      </c>
      <c r="AC6" t="s">
        <v>5324</v>
      </c>
      <c r="AD6" t="s">
        <v>5325</v>
      </c>
      <c r="AE6" t="s">
        <v>5326</v>
      </c>
      <c r="AQ6" t="s">
        <v>5327</v>
      </c>
    </row>
    <row r="7" spans="1:44" x14ac:dyDescent="0.2">
      <c r="A7" s="392">
        <v>45928</v>
      </c>
      <c r="B7">
        <v>2025</v>
      </c>
      <c r="C7" t="s">
        <v>5315</v>
      </c>
      <c r="D7" t="s">
        <v>5316</v>
      </c>
      <c r="E7" t="s">
        <v>5317</v>
      </c>
      <c r="F7" t="s">
        <v>5317</v>
      </c>
      <c r="H7" t="s">
        <v>5318</v>
      </c>
      <c r="J7" t="s">
        <v>5319</v>
      </c>
      <c r="K7">
        <v>27494</v>
      </c>
      <c r="L7">
        <v>6</v>
      </c>
      <c r="M7">
        <v>9370</v>
      </c>
      <c r="N7" t="s">
        <v>5320</v>
      </c>
      <c r="O7" t="s">
        <v>5321</v>
      </c>
      <c r="P7" t="s">
        <v>5322</v>
      </c>
      <c r="Q7" t="s">
        <v>5323</v>
      </c>
      <c r="R7">
        <v>1</v>
      </c>
      <c r="S7">
        <v>8</v>
      </c>
      <c r="T7">
        <v>0</v>
      </c>
      <c r="U7">
        <v>2</v>
      </c>
      <c r="W7">
        <v>41</v>
      </c>
      <c r="X7">
        <v>69</v>
      </c>
      <c r="AC7" t="s">
        <v>5324</v>
      </c>
      <c r="AD7" t="s">
        <v>5325</v>
      </c>
      <c r="AE7" t="s">
        <v>5326</v>
      </c>
      <c r="AQ7" t="s">
        <v>5327</v>
      </c>
    </row>
    <row r="8" spans="1:44" x14ac:dyDescent="0.2">
      <c r="A8" s="392">
        <v>45928</v>
      </c>
      <c r="B8">
        <v>2025</v>
      </c>
      <c r="C8" t="s">
        <v>5315</v>
      </c>
      <c r="D8" t="s">
        <v>5316</v>
      </c>
      <c r="E8" t="s">
        <v>5317</v>
      </c>
      <c r="F8" t="s">
        <v>5317</v>
      </c>
      <c r="H8" t="s">
        <v>5318</v>
      </c>
      <c r="J8" t="s">
        <v>5319</v>
      </c>
      <c r="K8">
        <v>27494</v>
      </c>
      <c r="L8">
        <v>7</v>
      </c>
      <c r="M8">
        <v>9371</v>
      </c>
      <c r="N8" t="s">
        <v>5320</v>
      </c>
      <c r="O8" t="s">
        <v>5321</v>
      </c>
      <c r="P8" t="s">
        <v>5322</v>
      </c>
      <c r="Q8" t="s">
        <v>5323</v>
      </c>
      <c r="R8">
        <v>1</v>
      </c>
      <c r="S8">
        <v>8</v>
      </c>
      <c r="T8">
        <v>0</v>
      </c>
      <c r="U8">
        <v>2</v>
      </c>
      <c r="W8">
        <v>31</v>
      </c>
      <c r="X8">
        <v>67</v>
      </c>
      <c r="AC8" t="s">
        <v>5324</v>
      </c>
      <c r="AD8" t="s">
        <v>5244</v>
      </c>
      <c r="AE8" t="s">
        <v>5326</v>
      </c>
      <c r="AQ8" t="s">
        <v>5327</v>
      </c>
    </row>
    <row r="9" spans="1:44" x14ac:dyDescent="0.2">
      <c r="A9" s="392">
        <v>45928</v>
      </c>
      <c r="B9">
        <v>2025</v>
      </c>
      <c r="C9" t="s">
        <v>5315</v>
      </c>
      <c r="D9" t="s">
        <v>5316</v>
      </c>
      <c r="E9" t="s">
        <v>5317</v>
      </c>
      <c r="F9" t="s">
        <v>5317</v>
      </c>
      <c r="H9" t="s">
        <v>5318</v>
      </c>
      <c r="J9" t="s">
        <v>5319</v>
      </c>
      <c r="K9">
        <v>27494</v>
      </c>
      <c r="L9">
        <v>8</v>
      </c>
      <c r="M9">
        <v>9372</v>
      </c>
      <c r="N9" t="s">
        <v>5320</v>
      </c>
      <c r="O9" t="s">
        <v>5321</v>
      </c>
      <c r="P9" t="s">
        <v>5322</v>
      </c>
      <c r="Q9" t="s">
        <v>5323</v>
      </c>
      <c r="R9">
        <v>1</v>
      </c>
      <c r="S9">
        <v>8</v>
      </c>
      <c r="T9">
        <v>0</v>
      </c>
      <c r="U9">
        <v>2</v>
      </c>
      <c r="W9">
        <v>42</v>
      </c>
      <c r="X9">
        <v>66</v>
      </c>
      <c r="Z9">
        <v>92075</v>
      </c>
      <c r="AA9">
        <v>42</v>
      </c>
      <c r="AB9" t="s">
        <v>5328</v>
      </c>
      <c r="AC9" t="s">
        <v>5324</v>
      </c>
      <c r="AD9" t="s">
        <v>5244</v>
      </c>
      <c r="AE9">
        <v>0</v>
      </c>
      <c r="AF9">
        <v>128924</v>
      </c>
      <c r="AQ9" t="s">
        <v>5327</v>
      </c>
      <c r="AR9" t="s">
        <v>5329</v>
      </c>
    </row>
    <row r="10" spans="1:44" x14ac:dyDescent="0.2">
      <c r="A10" s="392">
        <v>45935</v>
      </c>
      <c r="B10">
        <v>2025</v>
      </c>
      <c r="C10" t="s">
        <v>5315</v>
      </c>
      <c r="D10" t="s">
        <v>5316</v>
      </c>
      <c r="E10" t="s">
        <v>5317</v>
      </c>
      <c r="F10" t="s">
        <v>5317</v>
      </c>
      <c r="H10" t="s">
        <v>5330</v>
      </c>
      <c r="J10" t="s">
        <v>5319</v>
      </c>
      <c r="K10">
        <v>27446</v>
      </c>
      <c r="L10">
        <v>1</v>
      </c>
      <c r="M10">
        <v>9355</v>
      </c>
      <c r="N10" t="s">
        <v>5320</v>
      </c>
      <c r="O10" t="s">
        <v>5321</v>
      </c>
      <c r="P10" t="s">
        <v>5322</v>
      </c>
      <c r="Q10" t="s">
        <v>5323</v>
      </c>
      <c r="R10">
        <v>1</v>
      </c>
      <c r="S10">
        <v>10</v>
      </c>
      <c r="T10">
        <v>0</v>
      </c>
      <c r="U10">
        <v>4</v>
      </c>
      <c r="W10">
        <v>88</v>
      </c>
      <c r="X10">
        <v>49</v>
      </c>
      <c r="AC10" t="s">
        <v>5324</v>
      </c>
      <c r="AD10" t="s">
        <v>5325</v>
      </c>
      <c r="AE10" t="s">
        <v>5326</v>
      </c>
      <c r="AQ10" t="s">
        <v>5327</v>
      </c>
    </row>
    <row r="11" spans="1:44" x14ac:dyDescent="0.2">
      <c r="A11" s="392">
        <v>45935</v>
      </c>
      <c r="B11">
        <v>2025</v>
      </c>
      <c r="C11" t="s">
        <v>5315</v>
      </c>
      <c r="D11" t="s">
        <v>5316</v>
      </c>
      <c r="E11" t="s">
        <v>5317</v>
      </c>
      <c r="F11" t="s">
        <v>5317</v>
      </c>
      <c r="H11" t="s">
        <v>5330</v>
      </c>
      <c r="J11" t="s">
        <v>5319</v>
      </c>
      <c r="K11">
        <v>27446</v>
      </c>
      <c r="L11">
        <v>2</v>
      </c>
      <c r="M11">
        <v>9356</v>
      </c>
      <c r="N11" t="s">
        <v>5320</v>
      </c>
      <c r="O11" t="s">
        <v>5321</v>
      </c>
      <c r="P11" t="s">
        <v>5322</v>
      </c>
      <c r="Q11" t="s">
        <v>5323</v>
      </c>
      <c r="R11">
        <v>1</v>
      </c>
      <c r="S11">
        <v>10</v>
      </c>
      <c r="T11">
        <v>0</v>
      </c>
      <c r="U11">
        <v>4</v>
      </c>
      <c r="W11">
        <v>41</v>
      </c>
      <c r="X11">
        <v>77</v>
      </c>
      <c r="AC11" t="s">
        <v>5324</v>
      </c>
      <c r="AD11" t="s">
        <v>5244</v>
      </c>
      <c r="AE11" t="s">
        <v>5326</v>
      </c>
      <c r="AQ11" t="s">
        <v>5327</v>
      </c>
    </row>
    <row r="12" spans="1:44" x14ac:dyDescent="0.2">
      <c r="A12" s="392">
        <v>45935</v>
      </c>
      <c r="B12">
        <v>2025</v>
      </c>
      <c r="C12" t="s">
        <v>5315</v>
      </c>
      <c r="D12" t="s">
        <v>5316</v>
      </c>
      <c r="E12" t="s">
        <v>5317</v>
      </c>
      <c r="F12" t="s">
        <v>5317</v>
      </c>
      <c r="H12" t="s">
        <v>5330</v>
      </c>
      <c r="J12" t="s">
        <v>5319</v>
      </c>
      <c r="K12">
        <v>27446</v>
      </c>
      <c r="L12">
        <v>3</v>
      </c>
      <c r="M12">
        <v>9357</v>
      </c>
      <c r="N12" t="s">
        <v>5320</v>
      </c>
      <c r="O12" t="s">
        <v>5321</v>
      </c>
      <c r="P12" t="s">
        <v>5322</v>
      </c>
      <c r="Q12" t="s">
        <v>5323</v>
      </c>
      <c r="R12">
        <v>1</v>
      </c>
      <c r="S12">
        <v>10</v>
      </c>
      <c r="T12">
        <v>0</v>
      </c>
      <c r="U12">
        <v>4</v>
      </c>
      <c r="W12">
        <v>31</v>
      </c>
      <c r="X12">
        <v>67</v>
      </c>
      <c r="Z12">
        <v>92075</v>
      </c>
      <c r="AA12">
        <v>42</v>
      </c>
      <c r="AB12" t="s">
        <v>5328</v>
      </c>
      <c r="AC12" t="s">
        <v>5324</v>
      </c>
      <c r="AD12" t="s">
        <v>5244</v>
      </c>
      <c r="AE12">
        <v>0</v>
      </c>
      <c r="AF12">
        <v>128941</v>
      </c>
      <c r="AQ12" t="s">
        <v>5327</v>
      </c>
      <c r="AR12" t="s">
        <v>5329</v>
      </c>
    </row>
    <row r="13" spans="1:44" x14ac:dyDescent="0.2">
      <c r="A13" s="392">
        <v>45935</v>
      </c>
      <c r="B13">
        <v>2025</v>
      </c>
      <c r="C13" t="s">
        <v>5315</v>
      </c>
      <c r="D13" t="s">
        <v>5316</v>
      </c>
      <c r="E13" t="s">
        <v>5317</v>
      </c>
      <c r="F13" t="s">
        <v>5317</v>
      </c>
      <c r="H13" t="s">
        <v>5330</v>
      </c>
      <c r="J13" t="s">
        <v>5319</v>
      </c>
      <c r="K13">
        <v>27446</v>
      </c>
      <c r="L13">
        <v>4</v>
      </c>
      <c r="M13">
        <v>9358</v>
      </c>
      <c r="N13" t="s">
        <v>5320</v>
      </c>
      <c r="O13" t="s">
        <v>5321</v>
      </c>
      <c r="P13" t="s">
        <v>5322</v>
      </c>
      <c r="Q13" t="s">
        <v>5323</v>
      </c>
      <c r="R13">
        <v>1</v>
      </c>
      <c r="S13">
        <v>10</v>
      </c>
      <c r="T13">
        <v>0</v>
      </c>
      <c r="U13">
        <v>4</v>
      </c>
      <c r="W13">
        <v>31</v>
      </c>
      <c r="X13">
        <v>70</v>
      </c>
      <c r="AC13" t="s">
        <v>5324</v>
      </c>
      <c r="AD13" t="s">
        <v>5325</v>
      </c>
      <c r="AE13" t="s">
        <v>5326</v>
      </c>
      <c r="AQ13" t="s">
        <v>5327</v>
      </c>
    </row>
    <row r="14" spans="1:44" x14ac:dyDescent="0.2">
      <c r="A14" s="392">
        <v>45935</v>
      </c>
      <c r="B14">
        <v>2025</v>
      </c>
      <c r="C14" t="s">
        <v>5315</v>
      </c>
      <c r="D14" t="s">
        <v>5316</v>
      </c>
      <c r="E14" t="s">
        <v>5317</v>
      </c>
      <c r="F14" t="s">
        <v>5317</v>
      </c>
      <c r="H14" t="s">
        <v>5330</v>
      </c>
      <c r="J14" t="s">
        <v>5319</v>
      </c>
      <c r="K14">
        <v>27446</v>
      </c>
      <c r="L14">
        <v>5</v>
      </c>
      <c r="M14">
        <v>9359</v>
      </c>
      <c r="N14" t="s">
        <v>5320</v>
      </c>
      <c r="O14" t="s">
        <v>5321</v>
      </c>
      <c r="P14" t="s">
        <v>5322</v>
      </c>
      <c r="Q14" t="s">
        <v>5323</v>
      </c>
      <c r="R14">
        <v>1</v>
      </c>
      <c r="S14">
        <v>10</v>
      </c>
      <c r="T14">
        <v>0</v>
      </c>
      <c r="U14">
        <v>4</v>
      </c>
      <c r="W14">
        <v>88</v>
      </c>
      <c r="X14">
        <v>72</v>
      </c>
      <c r="AC14" t="s">
        <v>5324</v>
      </c>
      <c r="AD14" t="s">
        <v>5244</v>
      </c>
      <c r="AE14" t="s">
        <v>5326</v>
      </c>
      <c r="AQ14" t="s">
        <v>5327</v>
      </c>
    </row>
    <row r="15" spans="1:44" x14ac:dyDescent="0.2">
      <c r="A15" s="392">
        <v>45935</v>
      </c>
      <c r="B15">
        <v>2025</v>
      </c>
      <c r="C15" t="s">
        <v>5315</v>
      </c>
      <c r="D15" t="s">
        <v>5316</v>
      </c>
      <c r="E15" t="s">
        <v>5317</v>
      </c>
      <c r="F15" t="s">
        <v>5317</v>
      </c>
      <c r="H15" t="s">
        <v>5330</v>
      </c>
      <c r="J15" t="s">
        <v>5319</v>
      </c>
      <c r="K15">
        <v>27446</v>
      </c>
      <c r="L15">
        <v>6</v>
      </c>
      <c r="M15">
        <v>9360</v>
      </c>
      <c r="N15" t="s">
        <v>5320</v>
      </c>
      <c r="O15" t="s">
        <v>5321</v>
      </c>
      <c r="P15" t="s">
        <v>5322</v>
      </c>
      <c r="Q15" t="s">
        <v>5323</v>
      </c>
      <c r="R15">
        <v>1</v>
      </c>
      <c r="S15">
        <v>10</v>
      </c>
      <c r="T15">
        <v>0</v>
      </c>
      <c r="U15">
        <v>4</v>
      </c>
      <c r="W15">
        <v>42</v>
      </c>
      <c r="X15">
        <v>74</v>
      </c>
      <c r="Z15">
        <v>92075</v>
      </c>
      <c r="AA15">
        <v>42</v>
      </c>
      <c r="AB15" t="s">
        <v>5328</v>
      </c>
      <c r="AC15" t="s">
        <v>5324</v>
      </c>
      <c r="AD15" t="s">
        <v>5244</v>
      </c>
      <c r="AE15">
        <v>0</v>
      </c>
      <c r="AF15">
        <v>128940</v>
      </c>
      <c r="AQ15" t="s">
        <v>5327</v>
      </c>
      <c r="AR15" t="s">
        <v>5329</v>
      </c>
    </row>
    <row r="16" spans="1:44" x14ac:dyDescent="0.2">
      <c r="A16" s="392">
        <v>45935</v>
      </c>
      <c r="B16">
        <v>2025</v>
      </c>
      <c r="C16" t="s">
        <v>5315</v>
      </c>
      <c r="D16" t="s">
        <v>5316</v>
      </c>
      <c r="E16" t="s">
        <v>5317</v>
      </c>
      <c r="F16" t="s">
        <v>5317</v>
      </c>
      <c r="H16" t="s">
        <v>5330</v>
      </c>
      <c r="J16" t="s">
        <v>5319</v>
      </c>
      <c r="K16">
        <v>27446</v>
      </c>
      <c r="L16">
        <v>7</v>
      </c>
      <c r="M16">
        <v>9361</v>
      </c>
      <c r="N16" t="s">
        <v>5320</v>
      </c>
      <c r="O16" t="s">
        <v>5321</v>
      </c>
      <c r="P16" t="s">
        <v>5322</v>
      </c>
      <c r="Q16" t="s">
        <v>5323</v>
      </c>
      <c r="R16">
        <v>1</v>
      </c>
      <c r="S16">
        <v>10</v>
      </c>
      <c r="T16">
        <v>0</v>
      </c>
      <c r="U16">
        <v>4</v>
      </c>
      <c r="W16">
        <v>42</v>
      </c>
      <c r="X16">
        <v>71</v>
      </c>
      <c r="Z16">
        <v>92075</v>
      </c>
      <c r="AA16">
        <v>42</v>
      </c>
      <c r="AB16" t="s">
        <v>5328</v>
      </c>
      <c r="AC16" t="s">
        <v>5324</v>
      </c>
      <c r="AD16" t="s">
        <v>5244</v>
      </c>
      <c r="AE16">
        <v>0</v>
      </c>
      <c r="AF16">
        <v>128925</v>
      </c>
      <c r="AQ16" t="s">
        <v>5327</v>
      </c>
      <c r="AR16" t="s">
        <v>5329</v>
      </c>
    </row>
    <row r="17" spans="1:44" x14ac:dyDescent="0.2">
      <c r="A17" s="392">
        <v>45935</v>
      </c>
      <c r="B17">
        <v>2025</v>
      </c>
      <c r="C17" t="s">
        <v>5315</v>
      </c>
      <c r="D17" t="s">
        <v>5316</v>
      </c>
      <c r="E17" t="s">
        <v>5317</v>
      </c>
      <c r="F17" t="s">
        <v>5317</v>
      </c>
      <c r="H17" t="s">
        <v>5330</v>
      </c>
      <c r="J17" t="s">
        <v>5319</v>
      </c>
      <c r="K17">
        <v>27446</v>
      </c>
      <c r="L17">
        <v>8</v>
      </c>
      <c r="M17">
        <v>9362</v>
      </c>
      <c r="N17" t="s">
        <v>5320</v>
      </c>
      <c r="O17" t="s">
        <v>5321</v>
      </c>
      <c r="P17" t="s">
        <v>5322</v>
      </c>
      <c r="Q17" t="s">
        <v>5323</v>
      </c>
      <c r="R17">
        <v>1</v>
      </c>
      <c r="S17">
        <v>10</v>
      </c>
      <c r="T17">
        <v>0</v>
      </c>
      <c r="U17">
        <v>4</v>
      </c>
      <c r="W17">
        <v>42</v>
      </c>
      <c r="X17">
        <v>72</v>
      </c>
      <c r="Z17">
        <v>92075</v>
      </c>
      <c r="AA17">
        <v>42</v>
      </c>
      <c r="AB17" t="s">
        <v>5328</v>
      </c>
      <c r="AC17" t="s">
        <v>5324</v>
      </c>
      <c r="AD17" t="s">
        <v>5325</v>
      </c>
      <c r="AE17">
        <v>0</v>
      </c>
      <c r="AF17">
        <v>128926</v>
      </c>
      <c r="AQ17" t="s">
        <v>5327</v>
      </c>
      <c r="AR17" t="s">
        <v>5329</v>
      </c>
    </row>
    <row r="18" spans="1:44" x14ac:dyDescent="0.2">
      <c r="A18" s="392">
        <v>45935</v>
      </c>
      <c r="B18">
        <v>2025</v>
      </c>
      <c r="C18" t="s">
        <v>5315</v>
      </c>
      <c r="D18" t="s">
        <v>5316</v>
      </c>
      <c r="E18" t="s">
        <v>5317</v>
      </c>
      <c r="F18" t="s">
        <v>5317</v>
      </c>
      <c r="H18" t="s">
        <v>5330</v>
      </c>
      <c r="J18" t="s">
        <v>5319</v>
      </c>
      <c r="K18">
        <v>27446</v>
      </c>
      <c r="L18">
        <v>9</v>
      </c>
      <c r="M18">
        <v>9363</v>
      </c>
      <c r="N18" t="s">
        <v>5320</v>
      </c>
      <c r="O18" t="s">
        <v>5321</v>
      </c>
      <c r="P18" t="s">
        <v>5322</v>
      </c>
      <c r="Q18" t="s">
        <v>5323</v>
      </c>
      <c r="R18">
        <v>1</v>
      </c>
      <c r="S18">
        <v>10</v>
      </c>
      <c r="T18">
        <v>0</v>
      </c>
      <c r="U18">
        <v>4</v>
      </c>
      <c r="W18">
        <v>41</v>
      </c>
      <c r="X18">
        <v>75</v>
      </c>
      <c r="AC18" t="s">
        <v>5324</v>
      </c>
      <c r="AD18" t="s">
        <v>5244</v>
      </c>
      <c r="AE18" t="s">
        <v>5326</v>
      </c>
      <c r="AQ18" t="s">
        <v>5327</v>
      </c>
    </row>
    <row r="19" spans="1:44" x14ac:dyDescent="0.2">
      <c r="A19" s="392">
        <v>45935</v>
      </c>
      <c r="B19">
        <v>2025</v>
      </c>
      <c r="C19" t="s">
        <v>5315</v>
      </c>
      <c r="D19" t="s">
        <v>5316</v>
      </c>
      <c r="E19" t="s">
        <v>5317</v>
      </c>
      <c r="F19" t="s">
        <v>5317</v>
      </c>
      <c r="H19" t="s">
        <v>5330</v>
      </c>
      <c r="J19" t="s">
        <v>5319</v>
      </c>
      <c r="K19">
        <v>27446</v>
      </c>
      <c r="L19">
        <v>10</v>
      </c>
      <c r="M19">
        <v>9364</v>
      </c>
      <c r="N19" t="s">
        <v>5320</v>
      </c>
      <c r="O19" t="s">
        <v>5321</v>
      </c>
      <c r="P19" t="s">
        <v>5322</v>
      </c>
      <c r="Q19" t="s">
        <v>5323</v>
      </c>
      <c r="R19">
        <v>1</v>
      </c>
      <c r="S19">
        <v>10</v>
      </c>
      <c r="T19">
        <v>0</v>
      </c>
      <c r="U19">
        <v>4</v>
      </c>
      <c r="W19">
        <v>88</v>
      </c>
      <c r="X19">
        <v>73</v>
      </c>
      <c r="AC19" t="s">
        <v>5324</v>
      </c>
      <c r="AD19" t="s">
        <v>5244</v>
      </c>
      <c r="AE19" t="s">
        <v>5326</v>
      </c>
      <c r="AQ19" t="s">
        <v>5327</v>
      </c>
    </row>
    <row r="20" spans="1:44" x14ac:dyDescent="0.2">
      <c r="A20" s="392">
        <v>45942</v>
      </c>
      <c r="B20">
        <v>2025</v>
      </c>
      <c r="C20" t="s">
        <v>5315</v>
      </c>
      <c r="D20" t="s">
        <v>5316</v>
      </c>
      <c r="E20" t="s">
        <v>5317</v>
      </c>
      <c r="F20" t="s">
        <v>5317</v>
      </c>
      <c r="H20" t="s">
        <v>5330</v>
      </c>
      <c r="J20" t="s">
        <v>5319</v>
      </c>
      <c r="K20">
        <v>27447</v>
      </c>
      <c r="L20">
        <v>1</v>
      </c>
      <c r="M20">
        <v>9335</v>
      </c>
      <c r="N20" t="s">
        <v>5320</v>
      </c>
      <c r="O20" t="s">
        <v>5321</v>
      </c>
      <c r="P20" t="s">
        <v>5322</v>
      </c>
      <c r="Q20" t="s">
        <v>5323</v>
      </c>
      <c r="R20">
        <v>1</v>
      </c>
      <c r="S20">
        <v>20</v>
      </c>
      <c r="T20">
        <v>0</v>
      </c>
      <c r="U20">
        <v>6</v>
      </c>
      <c r="W20">
        <v>88</v>
      </c>
      <c r="X20">
        <v>52</v>
      </c>
      <c r="AC20" t="s">
        <v>5331</v>
      </c>
      <c r="AD20" t="s">
        <v>5332</v>
      </c>
      <c r="AE20" t="s">
        <v>5326</v>
      </c>
      <c r="AQ20" t="s">
        <v>5327</v>
      </c>
    </row>
    <row r="21" spans="1:44" x14ac:dyDescent="0.2">
      <c r="A21" s="392">
        <v>45942</v>
      </c>
      <c r="B21">
        <v>2025</v>
      </c>
      <c r="C21" t="s">
        <v>5315</v>
      </c>
      <c r="D21" t="s">
        <v>5316</v>
      </c>
      <c r="E21" t="s">
        <v>5317</v>
      </c>
      <c r="F21" t="s">
        <v>5317</v>
      </c>
      <c r="H21" t="s">
        <v>5330</v>
      </c>
      <c r="J21" t="s">
        <v>5319</v>
      </c>
      <c r="K21">
        <v>27447</v>
      </c>
      <c r="L21">
        <v>2</v>
      </c>
      <c r="M21">
        <v>9336</v>
      </c>
      <c r="N21" t="s">
        <v>5320</v>
      </c>
      <c r="O21" t="s">
        <v>5321</v>
      </c>
      <c r="P21" t="s">
        <v>5322</v>
      </c>
      <c r="Q21" t="s">
        <v>5323</v>
      </c>
      <c r="R21">
        <v>1</v>
      </c>
      <c r="S21">
        <v>20</v>
      </c>
      <c r="T21">
        <v>0</v>
      </c>
      <c r="U21">
        <v>6</v>
      </c>
      <c r="W21">
        <v>31</v>
      </c>
      <c r="X21">
        <v>67</v>
      </c>
      <c r="AC21" t="s">
        <v>5331</v>
      </c>
      <c r="AD21" t="s">
        <v>5332</v>
      </c>
      <c r="AE21" t="s">
        <v>5326</v>
      </c>
      <c r="AQ21" t="s">
        <v>5327</v>
      </c>
    </row>
    <row r="22" spans="1:44" x14ac:dyDescent="0.2">
      <c r="A22" s="392">
        <v>45942</v>
      </c>
      <c r="B22">
        <v>2025</v>
      </c>
      <c r="C22" t="s">
        <v>5315</v>
      </c>
      <c r="D22" t="s">
        <v>5316</v>
      </c>
      <c r="E22" t="s">
        <v>5317</v>
      </c>
      <c r="F22" t="s">
        <v>5317</v>
      </c>
      <c r="H22" t="s">
        <v>5330</v>
      </c>
      <c r="J22" t="s">
        <v>5319</v>
      </c>
      <c r="K22">
        <v>27447</v>
      </c>
      <c r="L22">
        <v>3</v>
      </c>
      <c r="M22">
        <v>9337</v>
      </c>
      <c r="N22" t="s">
        <v>5320</v>
      </c>
      <c r="O22" t="s">
        <v>5321</v>
      </c>
      <c r="P22" t="s">
        <v>5322</v>
      </c>
      <c r="Q22" t="s">
        <v>5323</v>
      </c>
      <c r="R22">
        <v>1</v>
      </c>
      <c r="S22">
        <v>20</v>
      </c>
      <c r="T22">
        <v>0</v>
      </c>
      <c r="U22">
        <v>6</v>
      </c>
      <c r="W22">
        <v>42</v>
      </c>
      <c r="X22">
        <v>77</v>
      </c>
      <c r="AC22" t="s">
        <v>5331</v>
      </c>
      <c r="AD22" t="s">
        <v>5332</v>
      </c>
      <c r="AE22" t="s">
        <v>5326</v>
      </c>
      <c r="AQ22" t="s">
        <v>5327</v>
      </c>
    </row>
    <row r="23" spans="1:44" x14ac:dyDescent="0.2">
      <c r="A23" s="392">
        <v>45942</v>
      </c>
      <c r="B23">
        <v>2025</v>
      </c>
      <c r="C23" t="s">
        <v>5315</v>
      </c>
      <c r="D23" t="s">
        <v>5316</v>
      </c>
      <c r="E23" t="s">
        <v>5317</v>
      </c>
      <c r="F23" t="s">
        <v>5317</v>
      </c>
      <c r="H23" t="s">
        <v>5330</v>
      </c>
      <c r="J23" t="s">
        <v>5319</v>
      </c>
      <c r="K23">
        <v>27447</v>
      </c>
      <c r="L23">
        <v>4</v>
      </c>
      <c r="M23">
        <v>9338</v>
      </c>
      <c r="N23" t="s">
        <v>5320</v>
      </c>
      <c r="O23" t="s">
        <v>5321</v>
      </c>
      <c r="P23" t="s">
        <v>5322</v>
      </c>
      <c r="Q23" t="s">
        <v>5323</v>
      </c>
      <c r="R23">
        <v>1</v>
      </c>
      <c r="S23">
        <v>20</v>
      </c>
      <c r="T23">
        <v>0</v>
      </c>
      <c r="U23">
        <v>6</v>
      </c>
      <c r="W23">
        <v>42</v>
      </c>
      <c r="X23">
        <v>72</v>
      </c>
      <c r="Z23">
        <v>92075</v>
      </c>
      <c r="AA23">
        <v>42</v>
      </c>
      <c r="AB23" t="s">
        <v>5328</v>
      </c>
      <c r="AC23" t="s">
        <v>5324</v>
      </c>
      <c r="AD23" t="s">
        <v>5244</v>
      </c>
      <c r="AE23">
        <v>0</v>
      </c>
      <c r="AF23">
        <v>128939</v>
      </c>
      <c r="AQ23" t="s">
        <v>5327</v>
      </c>
      <c r="AR23" t="s">
        <v>5329</v>
      </c>
    </row>
    <row r="24" spans="1:44" x14ac:dyDescent="0.2">
      <c r="A24" s="392">
        <v>45942</v>
      </c>
      <c r="B24">
        <v>2025</v>
      </c>
      <c r="C24" t="s">
        <v>5315</v>
      </c>
      <c r="D24" t="s">
        <v>5316</v>
      </c>
      <c r="E24" t="s">
        <v>5317</v>
      </c>
      <c r="F24" t="s">
        <v>5317</v>
      </c>
      <c r="H24" t="s">
        <v>5330</v>
      </c>
      <c r="J24" t="s">
        <v>5319</v>
      </c>
      <c r="K24">
        <v>27447</v>
      </c>
      <c r="L24">
        <v>5</v>
      </c>
      <c r="M24">
        <v>9339</v>
      </c>
      <c r="N24" t="s">
        <v>5320</v>
      </c>
      <c r="O24" t="s">
        <v>5321</v>
      </c>
      <c r="P24" t="s">
        <v>5322</v>
      </c>
      <c r="Q24" t="s">
        <v>5323</v>
      </c>
      <c r="R24">
        <v>1</v>
      </c>
      <c r="S24">
        <v>20</v>
      </c>
      <c r="T24">
        <v>0</v>
      </c>
      <c r="U24">
        <v>6</v>
      </c>
      <c r="W24">
        <v>88</v>
      </c>
      <c r="X24">
        <v>65</v>
      </c>
      <c r="Z24">
        <v>92075</v>
      </c>
      <c r="AA24">
        <v>42</v>
      </c>
      <c r="AB24" t="s">
        <v>5328</v>
      </c>
      <c r="AC24" t="s">
        <v>5324</v>
      </c>
      <c r="AD24" t="s">
        <v>5244</v>
      </c>
      <c r="AE24">
        <v>0</v>
      </c>
      <c r="AF24">
        <v>128938</v>
      </c>
      <c r="AQ24" t="s">
        <v>5327</v>
      </c>
      <c r="AR24" t="s">
        <v>5329</v>
      </c>
    </row>
    <row r="25" spans="1:44" x14ac:dyDescent="0.2">
      <c r="A25" s="392">
        <v>45942</v>
      </c>
      <c r="B25">
        <v>2025</v>
      </c>
      <c r="C25" t="s">
        <v>5315</v>
      </c>
      <c r="D25" t="s">
        <v>5316</v>
      </c>
      <c r="E25" t="s">
        <v>5317</v>
      </c>
      <c r="F25" t="s">
        <v>5317</v>
      </c>
      <c r="H25" t="s">
        <v>5330</v>
      </c>
      <c r="J25" t="s">
        <v>5319</v>
      </c>
      <c r="K25">
        <v>27447</v>
      </c>
      <c r="L25">
        <v>6</v>
      </c>
      <c r="M25">
        <v>9340</v>
      </c>
      <c r="N25" t="s">
        <v>5320</v>
      </c>
      <c r="O25" t="s">
        <v>5321</v>
      </c>
      <c r="P25" t="s">
        <v>5322</v>
      </c>
      <c r="Q25" t="s">
        <v>5323</v>
      </c>
      <c r="R25">
        <v>1</v>
      </c>
      <c r="S25">
        <v>20</v>
      </c>
      <c r="T25">
        <v>0</v>
      </c>
      <c r="U25">
        <v>6</v>
      </c>
      <c r="W25">
        <v>42</v>
      </c>
      <c r="X25">
        <v>70</v>
      </c>
      <c r="Z25">
        <v>92075</v>
      </c>
      <c r="AA25">
        <v>42</v>
      </c>
      <c r="AB25" t="s">
        <v>5328</v>
      </c>
      <c r="AC25" t="s">
        <v>5324</v>
      </c>
      <c r="AD25" t="s">
        <v>5244</v>
      </c>
      <c r="AE25">
        <v>0</v>
      </c>
      <c r="AF25">
        <v>128937</v>
      </c>
      <c r="AQ25" t="s">
        <v>5327</v>
      </c>
      <c r="AR25" t="s">
        <v>5329</v>
      </c>
    </row>
    <row r="26" spans="1:44" x14ac:dyDescent="0.2">
      <c r="A26" s="392">
        <v>45942</v>
      </c>
      <c r="B26">
        <v>2025</v>
      </c>
      <c r="C26" t="s">
        <v>5315</v>
      </c>
      <c r="D26" t="s">
        <v>5316</v>
      </c>
      <c r="E26" t="s">
        <v>5317</v>
      </c>
      <c r="F26" t="s">
        <v>5317</v>
      </c>
      <c r="H26" t="s">
        <v>5330</v>
      </c>
      <c r="J26" t="s">
        <v>5319</v>
      </c>
      <c r="K26">
        <v>27447</v>
      </c>
      <c r="L26">
        <v>7</v>
      </c>
      <c r="M26">
        <v>9341</v>
      </c>
      <c r="N26" t="s">
        <v>5320</v>
      </c>
      <c r="O26" t="s">
        <v>5321</v>
      </c>
      <c r="P26" t="s">
        <v>5322</v>
      </c>
      <c r="Q26" t="s">
        <v>5323</v>
      </c>
      <c r="R26">
        <v>1</v>
      </c>
      <c r="S26">
        <v>20</v>
      </c>
      <c r="T26">
        <v>0</v>
      </c>
      <c r="U26">
        <v>6</v>
      </c>
      <c r="W26">
        <v>52</v>
      </c>
      <c r="X26">
        <v>73</v>
      </c>
      <c r="Z26">
        <v>92075</v>
      </c>
      <c r="AA26">
        <v>42</v>
      </c>
      <c r="AB26" t="s">
        <v>5328</v>
      </c>
      <c r="AC26" t="s">
        <v>5324</v>
      </c>
      <c r="AD26" t="s">
        <v>5244</v>
      </c>
      <c r="AE26">
        <v>0</v>
      </c>
      <c r="AF26">
        <v>128936</v>
      </c>
      <c r="AQ26" t="s">
        <v>5327</v>
      </c>
      <c r="AR26" t="s">
        <v>5329</v>
      </c>
    </row>
    <row r="27" spans="1:44" x14ac:dyDescent="0.2">
      <c r="A27" s="392">
        <v>45942</v>
      </c>
      <c r="B27">
        <v>2025</v>
      </c>
      <c r="C27" t="s">
        <v>5315</v>
      </c>
      <c r="D27" t="s">
        <v>5316</v>
      </c>
      <c r="E27" t="s">
        <v>5317</v>
      </c>
      <c r="F27" t="s">
        <v>5317</v>
      </c>
      <c r="H27" t="s">
        <v>5330</v>
      </c>
      <c r="J27" t="s">
        <v>5319</v>
      </c>
      <c r="K27">
        <v>27447</v>
      </c>
      <c r="L27">
        <v>8</v>
      </c>
      <c r="M27">
        <v>9342</v>
      </c>
      <c r="N27" t="s">
        <v>5320</v>
      </c>
      <c r="O27" t="s">
        <v>5321</v>
      </c>
      <c r="P27" t="s">
        <v>5322</v>
      </c>
      <c r="Q27" t="s">
        <v>5323</v>
      </c>
      <c r="R27">
        <v>1</v>
      </c>
      <c r="S27">
        <v>20</v>
      </c>
      <c r="T27">
        <v>0</v>
      </c>
      <c r="U27">
        <v>6</v>
      </c>
      <c r="W27">
        <v>42</v>
      </c>
      <c r="X27">
        <v>82</v>
      </c>
      <c r="Z27">
        <v>92075</v>
      </c>
      <c r="AA27">
        <v>42</v>
      </c>
      <c r="AB27" t="s">
        <v>5328</v>
      </c>
      <c r="AC27" t="s">
        <v>5324</v>
      </c>
      <c r="AD27" t="s">
        <v>5244</v>
      </c>
      <c r="AE27">
        <v>0</v>
      </c>
      <c r="AF27">
        <v>128935</v>
      </c>
      <c r="AQ27" t="s">
        <v>5327</v>
      </c>
      <c r="AR27" t="s">
        <v>5329</v>
      </c>
    </row>
    <row r="28" spans="1:44" x14ac:dyDescent="0.2">
      <c r="A28" s="392">
        <v>45942</v>
      </c>
      <c r="B28">
        <v>2025</v>
      </c>
      <c r="C28" t="s">
        <v>5315</v>
      </c>
      <c r="D28" t="s">
        <v>5316</v>
      </c>
      <c r="E28" t="s">
        <v>5317</v>
      </c>
      <c r="F28" t="s">
        <v>5317</v>
      </c>
      <c r="H28" t="s">
        <v>5330</v>
      </c>
      <c r="J28" t="s">
        <v>5319</v>
      </c>
      <c r="K28">
        <v>27447</v>
      </c>
      <c r="L28">
        <v>9</v>
      </c>
      <c r="M28">
        <v>9343</v>
      </c>
      <c r="N28" t="s">
        <v>5320</v>
      </c>
      <c r="O28" t="s">
        <v>5321</v>
      </c>
      <c r="P28" t="s">
        <v>5322</v>
      </c>
      <c r="Q28" t="s">
        <v>5323</v>
      </c>
      <c r="R28">
        <v>1</v>
      </c>
      <c r="S28">
        <v>20</v>
      </c>
      <c r="T28">
        <v>0</v>
      </c>
      <c r="U28">
        <v>6</v>
      </c>
      <c r="W28">
        <v>31</v>
      </c>
      <c r="X28">
        <v>65</v>
      </c>
      <c r="AC28" t="s">
        <v>5324</v>
      </c>
      <c r="AD28" t="s">
        <v>5244</v>
      </c>
      <c r="AE28" t="s">
        <v>5326</v>
      </c>
      <c r="AQ28" t="s">
        <v>5327</v>
      </c>
    </row>
    <row r="29" spans="1:44" x14ac:dyDescent="0.2">
      <c r="A29" s="392">
        <v>45942</v>
      </c>
      <c r="B29">
        <v>2025</v>
      </c>
      <c r="C29" t="s">
        <v>5315</v>
      </c>
      <c r="D29" t="s">
        <v>5316</v>
      </c>
      <c r="E29" t="s">
        <v>5317</v>
      </c>
      <c r="F29" t="s">
        <v>5317</v>
      </c>
      <c r="H29" t="s">
        <v>5330</v>
      </c>
      <c r="J29" t="s">
        <v>5319</v>
      </c>
      <c r="K29">
        <v>27447</v>
      </c>
      <c r="L29">
        <v>10</v>
      </c>
      <c r="M29">
        <v>9344</v>
      </c>
      <c r="N29" t="s">
        <v>5320</v>
      </c>
      <c r="O29" t="s">
        <v>5321</v>
      </c>
      <c r="P29" t="s">
        <v>5322</v>
      </c>
      <c r="Q29" t="s">
        <v>5323</v>
      </c>
      <c r="R29">
        <v>1</v>
      </c>
      <c r="S29">
        <v>20</v>
      </c>
      <c r="T29">
        <v>0</v>
      </c>
      <c r="U29">
        <v>6</v>
      </c>
      <c r="W29">
        <v>41</v>
      </c>
      <c r="X29">
        <v>73</v>
      </c>
      <c r="AC29" t="s">
        <v>5324</v>
      </c>
      <c r="AD29" t="s">
        <v>5325</v>
      </c>
      <c r="AE29" t="s">
        <v>5326</v>
      </c>
      <c r="AQ29" t="s">
        <v>5327</v>
      </c>
    </row>
    <row r="30" spans="1:44" x14ac:dyDescent="0.2">
      <c r="A30" s="392">
        <v>45942</v>
      </c>
      <c r="B30">
        <v>2025</v>
      </c>
      <c r="C30" t="s">
        <v>5315</v>
      </c>
      <c r="D30" t="s">
        <v>5316</v>
      </c>
      <c r="E30" t="s">
        <v>5317</v>
      </c>
      <c r="F30" t="s">
        <v>5317</v>
      </c>
      <c r="H30" t="s">
        <v>5330</v>
      </c>
      <c r="J30" t="s">
        <v>5319</v>
      </c>
      <c r="K30">
        <v>27447</v>
      </c>
      <c r="L30">
        <v>11</v>
      </c>
      <c r="M30">
        <v>9345</v>
      </c>
      <c r="N30" t="s">
        <v>5320</v>
      </c>
      <c r="O30" t="s">
        <v>5321</v>
      </c>
      <c r="P30" t="s">
        <v>5322</v>
      </c>
      <c r="Q30" t="s">
        <v>5323</v>
      </c>
      <c r="R30">
        <v>1</v>
      </c>
      <c r="S30">
        <v>20</v>
      </c>
      <c r="T30">
        <v>0</v>
      </c>
      <c r="U30">
        <v>6</v>
      </c>
      <c r="W30">
        <v>88</v>
      </c>
      <c r="X30">
        <v>74</v>
      </c>
      <c r="AC30" t="s">
        <v>5324</v>
      </c>
      <c r="AD30" t="s">
        <v>5244</v>
      </c>
      <c r="AE30" t="s">
        <v>5326</v>
      </c>
      <c r="AQ30" t="s">
        <v>5327</v>
      </c>
    </row>
    <row r="31" spans="1:44" x14ac:dyDescent="0.2">
      <c r="A31" s="392">
        <v>45942</v>
      </c>
      <c r="B31">
        <v>2025</v>
      </c>
      <c r="C31" t="s">
        <v>5315</v>
      </c>
      <c r="D31" t="s">
        <v>5316</v>
      </c>
      <c r="E31" t="s">
        <v>5317</v>
      </c>
      <c r="F31" t="s">
        <v>5317</v>
      </c>
      <c r="H31" t="s">
        <v>5330</v>
      </c>
      <c r="J31" t="s">
        <v>5319</v>
      </c>
      <c r="K31">
        <v>27447</v>
      </c>
      <c r="L31">
        <v>12</v>
      </c>
      <c r="M31">
        <v>9346</v>
      </c>
      <c r="N31" t="s">
        <v>5320</v>
      </c>
      <c r="O31" t="s">
        <v>5321</v>
      </c>
      <c r="P31" t="s">
        <v>5322</v>
      </c>
      <c r="Q31" t="s">
        <v>5323</v>
      </c>
      <c r="R31">
        <v>1</v>
      </c>
      <c r="S31">
        <v>20</v>
      </c>
      <c r="T31">
        <v>0</v>
      </c>
      <c r="U31">
        <v>6</v>
      </c>
      <c r="W31">
        <v>31</v>
      </c>
      <c r="X31">
        <v>68</v>
      </c>
      <c r="AC31" t="s">
        <v>5324</v>
      </c>
      <c r="AD31" t="s">
        <v>5244</v>
      </c>
      <c r="AE31" t="s">
        <v>5326</v>
      </c>
      <c r="AQ31" t="s">
        <v>5327</v>
      </c>
    </row>
    <row r="32" spans="1:44" x14ac:dyDescent="0.2">
      <c r="A32" s="392">
        <v>45942</v>
      </c>
      <c r="B32">
        <v>2025</v>
      </c>
      <c r="C32" t="s">
        <v>5315</v>
      </c>
      <c r="D32" t="s">
        <v>5316</v>
      </c>
      <c r="E32" t="s">
        <v>5317</v>
      </c>
      <c r="F32" t="s">
        <v>5317</v>
      </c>
      <c r="H32" t="s">
        <v>5330</v>
      </c>
      <c r="J32" t="s">
        <v>5319</v>
      </c>
      <c r="K32">
        <v>27447</v>
      </c>
      <c r="L32">
        <v>13</v>
      </c>
      <c r="M32">
        <v>9347</v>
      </c>
      <c r="N32" t="s">
        <v>5320</v>
      </c>
      <c r="O32" t="s">
        <v>5321</v>
      </c>
      <c r="P32" t="s">
        <v>5322</v>
      </c>
      <c r="Q32" t="s">
        <v>5323</v>
      </c>
      <c r="R32">
        <v>1</v>
      </c>
      <c r="S32">
        <v>20</v>
      </c>
      <c r="T32">
        <v>0</v>
      </c>
      <c r="U32">
        <v>6</v>
      </c>
      <c r="W32">
        <v>41</v>
      </c>
      <c r="X32">
        <v>83</v>
      </c>
      <c r="AC32" t="s">
        <v>5324</v>
      </c>
      <c r="AD32" t="s">
        <v>5325</v>
      </c>
      <c r="AE32" t="s">
        <v>5326</v>
      </c>
      <c r="AQ32" t="s">
        <v>5327</v>
      </c>
    </row>
    <row r="33" spans="1:44" x14ac:dyDescent="0.2">
      <c r="A33" s="392">
        <v>45942</v>
      </c>
      <c r="B33">
        <v>2025</v>
      </c>
      <c r="C33" t="s">
        <v>5315</v>
      </c>
      <c r="D33" t="s">
        <v>5316</v>
      </c>
      <c r="E33" t="s">
        <v>5317</v>
      </c>
      <c r="F33" t="s">
        <v>5317</v>
      </c>
      <c r="H33" t="s">
        <v>5330</v>
      </c>
      <c r="J33" t="s">
        <v>5319</v>
      </c>
      <c r="K33">
        <v>27447</v>
      </c>
      <c r="L33">
        <v>14</v>
      </c>
      <c r="M33">
        <v>9348</v>
      </c>
      <c r="N33" t="s">
        <v>5320</v>
      </c>
      <c r="O33" t="s">
        <v>5321</v>
      </c>
      <c r="P33" t="s">
        <v>5322</v>
      </c>
      <c r="Q33" t="s">
        <v>5323</v>
      </c>
      <c r="R33">
        <v>1</v>
      </c>
      <c r="S33">
        <v>20</v>
      </c>
      <c r="T33">
        <v>0</v>
      </c>
      <c r="U33">
        <v>6</v>
      </c>
      <c r="W33">
        <v>51</v>
      </c>
      <c r="X33">
        <v>80</v>
      </c>
      <c r="AC33" t="s">
        <v>5324</v>
      </c>
      <c r="AD33" t="s">
        <v>5244</v>
      </c>
      <c r="AE33" t="s">
        <v>5326</v>
      </c>
      <c r="AQ33" t="s">
        <v>5327</v>
      </c>
    </row>
    <row r="34" spans="1:44" x14ac:dyDescent="0.2">
      <c r="A34" s="392">
        <v>45942</v>
      </c>
      <c r="B34">
        <v>2025</v>
      </c>
      <c r="C34" t="s">
        <v>5315</v>
      </c>
      <c r="D34" t="s">
        <v>5316</v>
      </c>
      <c r="E34" t="s">
        <v>5317</v>
      </c>
      <c r="F34" t="s">
        <v>5317</v>
      </c>
      <c r="H34" t="s">
        <v>5330</v>
      </c>
      <c r="J34" t="s">
        <v>5319</v>
      </c>
      <c r="K34">
        <v>27447</v>
      </c>
      <c r="L34">
        <v>15</v>
      </c>
      <c r="M34">
        <v>9349</v>
      </c>
      <c r="N34" t="s">
        <v>5320</v>
      </c>
      <c r="O34" t="s">
        <v>5321</v>
      </c>
      <c r="P34" t="s">
        <v>5322</v>
      </c>
      <c r="Q34" t="s">
        <v>5323</v>
      </c>
      <c r="R34">
        <v>1</v>
      </c>
      <c r="S34">
        <v>20</v>
      </c>
      <c r="T34">
        <v>0</v>
      </c>
      <c r="U34">
        <v>6</v>
      </c>
      <c r="W34">
        <v>41</v>
      </c>
      <c r="X34">
        <v>89</v>
      </c>
      <c r="AC34" t="s">
        <v>5333</v>
      </c>
      <c r="AD34" t="s">
        <v>5325</v>
      </c>
      <c r="AE34" t="s">
        <v>5326</v>
      </c>
      <c r="AQ34" t="s">
        <v>5327</v>
      </c>
    </row>
    <row r="35" spans="1:44" x14ac:dyDescent="0.2">
      <c r="A35" s="392">
        <v>45942</v>
      </c>
      <c r="B35">
        <v>2025</v>
      </c>
      <c r="C35" t="s">
        <v>5315</v>
      </c>
      <c r="D35" t="s">
        <v>5316</v>
      </c>
      <c r="E35" t="s">
        <v>5317</v>
      </c>
      <c r="F35" t="s">
        <v>5317</v>
      </c>
      <c r="H35" t="s">
        <v>5330</v>
      </c>
      <c r="J35" t="s">
        <v>5319</v>
      </c>
      <c r="K35">
        <v>27447</v>
      </c>
      <c r="L35">
        <v>16</v>
      </c>
      <c r="M35">
        <v>9350</v>
      </c>
      <c r="N35" t="s">
        <v>5320</v>
      </c>
      <c r="O35" t="s">
        <v>5321</v>
      </c>
      <c r="P35" t="s">
        <v>5322</v>
      </c>
      <c r="Q35" t="s">
        <v>5323</v>
      </c>
      <c r="R35">
        <v>1</v>
      </c>
      <c r="S35">
        <v>20</v>
      </c>
      <c r="T35">
        <v>0</v>
      </c>
      <c r="U35">
        <v>6</v>
      </c>
      <c r="W35">
        <v>21</v>
      </c>
      <c r="X35">
        <v>40</v>
      </c>
      <c r="AC35" t="s">
        <v>5334</v>
      </c>
      <c r="AD35" t="s">
        <v>5244</v>
      </c>
      <c r="AE35" t="s">
        <v>5326</v>
      </c>
      <c r="AQ35" t="s">
        <v>5327</v>
      </c>
    </row>
    <row r="36" spans="1:44" x14ac:dyDescent="0.2">
      <c r="A36" s="392">
        <v>45942</v>
      </c>
      <c r="B36">
        <v>2025</v>
      </c>
      <c r="C36" t="s">
        <v>5315</v>
      </c>
      <c r="D36" t="s">
        <v>5316</v>
      </c>
      <c r="E36" t="s">
        <v>5317</v>
      </c>
      <c r="F36" t="s">
        <v>5317</v>
      </c>
      <c r="H36" t="s">
        <v>5330</v>
      </c>
      <c r="J36" t="s">
        <v>5319</v>
      </c>
      <c r="K36">
        <v>27447</v>
      </c>
      <c r="L36">
        <v>17</v>
      </c>
      <c r="M36">
        <v>9351</v>
      </c>
      <c r="N36" t="s">
        <v>5320</v>
      </c>
      <c r="O36" t="s">
        <v>5321</v>
      </c>
      <c r="P36" t="s">
        <v>5322</v>
      </c>
      <c r="Q36" t="s">
        <v>5323</v>
      </c>
      <c r="R36">
        <v>1</v>
      </c>
      <c r="S36">
        <v>20</v>
      </c>
      <c r="T36">
        <v>0</v>
      </c>
      <c r="U36">
        <v>6</v>
      </c>
      <c r="W36">
        <v>42</v>
      </c>
      <c r="X36">
        <v>71</v>
      </c>
      <c r="Z36">
        <v>92075</v>
      </c>
      <c r="AA36">
        <v>42</v>
      </c>
      <c r="AB36" t="s">
        <v>5328</v>
      </c>
      <c r="AC36" t="s">
        <v>5324</v>
      </c>
      <c r="AD36" t="s">
        <v>5244</v>
      </c>
      <c r="AE36">
        <v>0</v>
      </c>
      <c r="AF36">
        <v>128959</v>
      </c>
      <c r="AQ36" t="s">
        <v>5327</v>
      </c>
      <c r="AR36" t="s">
        <v>5329</v>
      </c>
    </row>
    <row r="37" spans="1:44" x14ac:dyDescent="0.2">
      <c r="A37" s="392">
        <v>45942</v>
      </c>
      <c r="B37">
        <v>2025</v>
      </c>
      <c r="C37" t="s">
        <v>5315</v>
      </c>
      <c r="D37" t="s">
        <v>5316</v>
      </c>
      <c r="E37" t="s">
        <v>5317</v>
      </c>
      <c r="F37" t="s">
        <v>5317</v>
      </c>
      <c r="H37" t="s">
        <v>5330</v>
      </c>
      <c r="J37" t="s">
        <v>5319</v>
      </c>
      <c r="K37">
        <v>27447</v>
      </c>
      <c r="L37">
        <v>18</v>
      </c>
      <c r="M37">
        <v>9352</v>
      </c>
      <c r="N37" t="s">
        <v>5320</v>
      </c>
      <c r="O37" t="s">
        <v>5321</v>
      </c>
      <c r="P37" t="s">
        <v>5322</v>
      </c>
      <c r="Q37" t="s">
        <v>5323</v>
      </c>
      <c r="R37">
        <v>1</v>
      </c>
      <c r="S37">
        <v>20</v>
      </c>
      <c r="T37">
        <v>0</v>
      </c>
      <c r="U37">
        <v>6</v>
      </c>
      <c r="W37">
        <v>51</v>
      </c>
      <c r="X37">
        <v>95</v>
      </c>
      <c r="AC37" t="s">
        <v>5333</v>
      </c>
      <c r="AD37" t="s">
        <v>5325</v>
      </c>
      <c r="AE37" t="s">
        <v>5326</v>
      </c>
      <c r="AQ37" t="s">
        <v>5327</v>
      </c>
    </row>
    <row r="38" spans="1:44" x14ac:dyDescent="0.2">
      <c r="A38" s="392">
        <v>45942</v>
      </c>
      <c r="B38">
        <v>2025</v>
      </c>
      <c r="C38" t="s">
        <v>5315</v>
      </c>
      <c r="D38" t="s">
        <v>5316</v>
      </c>
      <c r="E38" t="s">
        <v>5317</v>
      </c>
      <c r="F38" t="s">
        <v>5317</v>
      </c>
      <c r="H38" t="s">
        <v>5330</v>
      </c>
      <c r="J38" t="s">
        <v>5319</v>
      </c>
      <c r="K38">
        <v>27447</v>
      </c>
      <c r="L38">
        <v>19</v>
      </c>
      <c r="M38">
        <v>9353</v>
      </c>
      <c r="N38" t="s">
        <v>5320</v>
      </c>
      <c r="O38" t="s">
        <v>5321</v>
      </c>
      <c r="P38" t="s">
        <v>5322</v>
      </c>
      <c r="Q38" t="s">
        <v>5323</v>
      </c>
      <c r="R38">
        <v>1</v>
      </c>
      <c r="S38">
        <v>20</v>
      </c>
      <c r="T38">
        <v>0</v>
      </c>
      <c r="U38">
        <v>6</v>
      </c>
      <c r="W38">
        <v>51</v>
      </c>
      <c r="X38">
        <v>80</v>
      </c>
      <c r="AC38" t="s">
        <v>5333</v>
      </c>
      <c r="AD38" t="s">
        <v>5325</v>
      </c>
      <c r="AE38" t="s">
        <v>5326</v>
      </c>
      <c r="AQ38" t="s">
        <v>5327</v>
      </c>
    </row>
    <row r="39" spans="1:44" x14ac:dyDescent="0.2">
      <c r="A39" s="392">
        <v>45942</v>
      </c>
      <c r="B39">
        <v>2025</v>
      </c>
      <c r="C39" t="s">
        <v>5315</v>
      </c>
      <c r="D39" t="s">
        <v>5316</v>
      </c>
      <c r="E39" t="s">
        <v>5317</v>
      </c>
      <c r="F39" t="s">
        <v>5317</v>
      </c>
      <c r="H39" t="s">
        <v>5330</v>
      </c>
      <c r="J39" t="s">
        <v>5319</v>
      </c>
      <c r="K39">
        <v>27447</v>
      </c>
      <c r="L39">
        <v>20</v>
      </c>
      <c r="M39">
        <v>9354</v>
      </c>
      <c r="N39" t="s">
        <v>5320</v>
      </c>
      <c r="O39" t="s">
        <v>5321</v>
      </c>
      <c r="P39" t="s">
        <v>5322</v>
      </c>
      <c r="Q39" t="s">
        <v>5323</v>
      </c>
      <c r="R39">
        <v>1</v>
      </c>
      <c r="S39">
        <v>20</v>
      </c>
      <c r="T39">
        <v>0</v>
      </c>
      <c r="U39">
        <v>6</v>
      </c>
      <c r="W39">
        <v>51</v>
      </c>
      <c r="X39">
        <v>77</v>
      </c>
      <c r="AC39" t="s">
        <v>5324</v>
      </c>
      <c r="AD39" t="s">
        <v>5244</v>
      </c>
      <c r="AE39" t="s">
        <v>5326</v>
      </c>
      <c r="AQ39" t="s">
        <v>5327</v>
      </c>
    </row>
    <row r="40" spans="1:44" x14ac:dyDescent="0.2">
      <c r="A40" s="392">
        <v>45942</v>
      </c>
      <c r="B40">
        <v>2025</v>
      </c>
      <c r="C40" t="s">
        <v>5315</v>
      </c>
      <c r="D40" t="s">
        <v>5316</v>
      </c>
      <c r="E40" t="s">
        <v>5317</v>
      </c>
      <c r="F40" t="s">
        <v>5317</v>
      </c>
      <c r="H40" t="s">
        <v>5330</v>
      </c>
      <c r="J40" t="s">
        <v>5319</v>
      </c>
      <c r="K40">
        <v>27452</v>
      </c>
      <c r="L40">
        <v>1</v>
      </c>
      <c r="M40">
        <v>9319</v>
      </c>
      <c r="N40" t="s">
        <v>5320</v>
      </c>
      <c r="O40" t="s">
        <v>5321</v>
      </c>
      <c r="P40" t="s">
        <v>5322</v>
      </c>
      <c r="Q40" t="s">
        <v>5323</v>
      </c>
      <c r="R40">
        <v>1</v>
      </c>
      <c r="S40">
        <v>16</v>
      </c>
      <c r="T40">
        <v>0</v>
      </c>
      <c r="U40">
        <v>8</v>
      </c>
      <c r="W40">
        <v>42</v>
      </c>
      <c r="X40">
        <v>72</v>
      </c>
      <c r="Z40">
        <v>92075</v>
      </c>
      <c r="AA40">
        <v>42</v>
      </c>
      <c r="AB40" t="s">
        <v>5328</v>
      </c>
      <c r="AC40" t="s">
        <v>5324</v>
      </c>
      <c r="AD40" t="s">
        <v>5244</v>
      </c>
      <c r="AE40">
        <v>0</v>
      </c>
      <c r="AF40">
        <v>128934</v>
      </c>
      <c r="AQ40" t="s">
        <v>5327</v>
      </c>
      <c r="AR40" t="s">
        <v>5329</v>
      </c>
    </row>
    <row r="41" spans="1:44" x14ac:dyDescent="0.2">
      <c r="A41" s="392">
        <v>45942</v>
      </c>
      <c r="B41">
        <v>2025</v>
      </c>
      <c r="C41" t="s">
        <v>5315</v>
      </c>
      <c r="D41" t="s">
        <v>5316</v>
      </c>
      <c r="E41" t="s">
        <v>5317</v>
      </c>
      <c r="F41" t="s">
        <v>5317</v>
      </c>
      <c r="H41" t="s">
        <v>5330</v>
      </c>
      <c r="J41" t="s">
        <v>5319</v>
      </c>
      <c r="K41">
        <v>27452</v>
      </c>
      <c r="L41">
        <v>2</v>
      </c>
      <c r="M41">
        <v>9320</v>
      </c>
      <c r="N41" t="s">
        <v>5320</v>
      </c>
      <c r="O41" t="s">
        <v>5321</v>
      </c>
      <c r="P41" t="s">
        <v>5322</v>
      </c>
      <c r="Q41" t="s">
        <v>5323</v>
      </c>
      <c r="R41">
        <v>1</v>
      </c>
      <c r="S41">
        <v>16</v>
      </c>
      <c r="T41">
        <v>0</v>
      </c>
      <c r="U41">
        <v>8</v>
      </c>
      <c r="W41">
        <v>42</v>
      </c>
      <c r="X41">
        <v>75</v>
      </c>
      <c r="Z41">
        <v>92075</v>
      </c>
      <c r="AA41">
        <v>42</v>
      </c>
      <c r="AB41" t="s">
        <v>5328</v>
      </c>
      <c r="AC41" t="s">
        <v>5324</v>
      </c>
      <c r="AD41" t="s">
        <v>5244</v>
      </c>
      <c r="AE41">
        <v>0</v>
      </c>
      <c r="AF41">
        <v>128933</v>
      </c>
      <c r="AQ41" t="s">
        <v>5327</v>
      </c>
      <c r="AR41" t="s">
        <v>5329</v>
      </c>
    </row>
    <row r="42" spans="1:44" x14ac:dyDescent="0.2">
      <c r="A42" s="392">
        <v>45942</v>
      </c>
      <c r="B42">
        <v>2025</v>
      </c>
      <c r="C42" t="s">
        <v>5315</v>
      </c>
      <c r="D42" t="s">
        <v>5316</v>
      </c>
      <c r="E42" t="s">
        <v>5317</v>
      </c>
      <c r="F42" t="s">
        <v>5317</v>
      </c>
      <c r="H42" t="s">
        <v>5330</v>
      </c>
      <c r="J42" t="s">
        <v>5319</v>
      </c>
      <c r="K42">
        <v>27452</v>
      </c>
      <c r="L42">
        <v>3</v>
      </c>
      <c r="M42">
        <v>9321</v>
      </c>
      <c r="N42" t="s">
        <v>5320</v>
      </c>
      <c r="O42" t="s">
        <v>5321</v>
      </c>
      <c r="P42" t="s">
        <v>5322</v>
      </c>
      <c r="Q42" t="s">
        <v>5323</v>
      </c>
      <c r="R42">
        <v>1</v>
      </c>
      <c r="S42">
        <v>16</v>
      </c>
      <c r="T42">
        <v>0</v>
      </c>
      <c r="U42">
        <v>8</v>
      </c>
      <c r="W42">
        <v>51</v>
      </c>
      <c r="X42">
        <v>86</v>
      </c>
      <c r="AC42" t="s">
        <v>5324</v>
      </c>
      <c r="AD42" t="s">
        <v>5244</v>
      </c>
      <c r="AE42" t="s">
        <v>5326</v>
      </c>
      <c r="AQ42" t="s">
        <v>5327</v>
      </c>
    </row>
    <row r="43" spans="1:44" x14ac:dyDescent="0.2">
      <c r="A43" s="392">
        <v>45942</v>
      </c>
      <c r="B43">
        <v>2025</v>
      </c>
      <c r="C43" t="s">
        <v>5315</v>
      </c>
      <c r="D43" t="s">
        <v>5316</v>
      </c>
      <c r="E43" t="s">
        <v>5317</v>
      </c>
      <c r="F43" t="s">
        <v>5317</v>
      </c>
      <c r="H43" t="s">
        <v>5330</v>
      </c>
      <c r="J43" t="s">
        <v>5319</v>
      </c>
      <c r="K43">
        <v>27452</v>
      </c>
      <c r="L43">
        <v>4</v>
      </c>
      <c r="M43">
        <v>9322</v>
      </c>
      <c r="N43" t="s">
        <v>5320</v>
      </c>
      <c r="O43" t="s">
        <v>5321</v>
      </c>
      <c r="P43" t="s">
        <v>5322</v>
      </c>
      <c r="Q43" t="s">
        <v>5323</v>
      </c>
      <c r="R43">
        <v>1</v>
      </c>
      <c r="S43">
        <v>16</v>
      </c>
      <c r="T43">
        <v>0</v>
      </c>
      <c r="U43">
        <v>8</v>
      </c>
      <c r="W43">
        <v>88</v>
      </c>
      <c r="X43">
        <v>67</v>
      </c>
      <c r="AC43" t="s">
        <v>5324</v>
      </c>
      <c r="AD43" t="s">
        <v>5325</v>
      </c>
      <c r="AE43" t="s">
        <v>5326</v>
      </c>
      <c r="AQ43" t="s">
        <v>5327</v>
      </c>
    </row>
    <row r="44" spans="1:44" x14ac:dyDescent="0.2">
      <c r="A44" s="392">
        <v>45942</v>
      </c>
      <c r="B44">
        <v>2025</v>
      </c>
      <c r="C44" t="s">
        <v>5315</v>
      </c>
      <c r="D44" t="s">
        <v>5316</v>
      </c>
      <c r="E44" t="s">
        <v>5317</v>
      </c>
      <c r="F44" t="s">
        <v>5317</v>
      </c>
      <c r="H44" t="s">
        <v>5330</v>
      </c>
      <c r="J44" t="s">
        <v>5319</v>
      </c>
      <c r="K44">
        <v>27452</v>
      </c>
      <c r="L44">
        <v>5</v>
      </c>
      <c r="M44">
        <v>9323</v>
      </c>
      <c r="N44" t="s">
        <v>5320</v>
      </c>
      <c r="O44" t="s">
        <v>5321</v>
      </c>
      <c r="P44" t="s">
        <v>5322</v>
      </c>
      <c r="Q44" t="s">
        <v>5323</v>
      </c>
      <c r="R44">
        <v>1</v>
      </c>
      <c r="S44">
        <v>16</v>
      </c>
      <c r="T44">
        <v>0</v>
      </c>
      <c r="U44">
        <v>8</v>
      </c>
      <c r="W44">
        <v>41</v>
      </c>
      <c r="X44">
        <v>82</v>
      </c>
      <c r="Z44">
        <v>92064</v>
      </c>
      <c r="AA44">
        <v>41</v>
      </c>
      <c r="AB44" t="s">
        <v>5328</v>
      </c>
      <c r="AC44" t="s">
        <v>5324</v>
      </c>
      <c r="AD44" t="s">
        <v>5244</v>
      </c>
      <c r="AE44">
        <v>0</v>
      </c>
      <c r="AF44">
        <v>128932</v>
      </c>
      <c r="AQ44" t="s">
        <v>5327</v>
      </c>
      <c r="AR44" t="s">
        <v>5329</v>
      </c>
    </row>
    <row r="45" spans="1:44" x14ac:dyDescent="0.2">
      <c r="A45" s="392">
        <v>45942</v>
      </c>
      <c r="B45">
        <v>2025</v>
      </c>
      <c r="C45" t="s">
        <v>5315</v>
      </c>
      <c r="D45" t="s">
        <v>5316</v>
      </c>
      <c r="E45" t="s">
        <v>5317</v>
      </c>
      <c r="F45" t="s">
        <v>5317</v>
      </c>
      <c r="H45" t="s">
        <v>5330</v>
      </c>
      <c r="J45" t="s">
        <v>5319</v>
      </c>
      <c r="K45">
        <v>27452</v>
      </c>
      <c r="L45">
        <v>6</v>
      </c>
      <c r="M45">
        <v>9324</v>
      </c>
      <c r="N45" t="s">
        <v>5320</v>
      </c>
      <c r="O45" t="s">
        <v>5321</v>
      </c>
      <c r="P45" t="s">
        <v>5322</v>
      </c>
      <c r="Q45" t="s">
        <v>5323</v>
      </c>
      <c r="R45">
        <v>1</v>
      </c>
      <c r="S45">
        <v>16</v>
      </c>
      <c r="T45">
        <v>0</v>
      </c>
      <c r="U45">
        <v>8</v>
      </c>
      <c r="W45">
        <v>42</v>
      </c>
      <c r="X45">
        <v>60</v>
      </c>
      <c r="Z45">
        <v>92075</v>
      </c>
      <c r="AA45">
        <v>42</v>
      </c>
      <c r="AB45" t="s">
        <v>5328</v>
      </c>
      <c r="AC45" t="s">
        <v>5324</v>
      </c>
      <c r="AD45" t="s">
        <v>5244</v>
      </c>
      <c r="AE45">
        <v>0</v>
      </c>
      <c r="AF45">
        <v>128931</v>
      </c>
      <c r="AQ45" t="s">
        <v>5327</v>
      </c>
      <c r="AR45" t="s">
        <v>5329</v>
      </c>
    </row>
    <row r="46" spans="1:44" x14ac:dyDescent="0.2">
      <c r="A46" s="392">
        <v>45942</v>
      </c>
      <c r="B46">
        <v>2025</v>
      </c>
      <c r="C46" t="s">
        <v>5315</v>
      </c>
      <c r="D46" t="s">
        <v>5316</v>
      </c>
      <c r="E46" t="s">
        <v>5317</v>
      </c>
      <c r="F46" t="s">
        <v>5317</v>
      </c>
      <c r="H46" t="s">
        <v>5330</v>
      </c>
      <c r="J46" t="s">
        <v>5319</v>
      </c>
      <c r="K46">
        <v>27452</v>
      </c>
      <c r="L46">
        <v>7</v>
      </c>
      <c r="M46">
        <v>9325</v>
      </c>
      <c r="N46" t="s">
        <v>5320</v>
      </c>
      <c r="O46" t="s">
        <v>5321</v>
      </c>
      <c r="P46" t="s">
        <v>5322</v>
      </c>
      <c r="Q46" t="s">
        <v>5323</v>
      </c>
      <c r="R46">
        <v>1</v>
      </c>
      <c r="S46">
        <v>16</v>
      </c>
      <c r="T46">
        <v>0</v>
      </c>
      <c r="U46">
        <v>8</v>
      </c>
      <c r="W46">
        <v>88</v>
      </c>
      <c r="X46">
        <v>61</v>
      </c>
      <c r="Z46">
        <v>92075</v>
      </c>
      <c r="AA46">
        <v>42</v>
      </c>
      <c r="AB46" t="s">
        <v>5328</v>
      </c>
      <c r="AC46" t="s">
        <v>5333</v>
      </c>
      <c r="AD46" t="s">
        <v>5244</v>
      </c>
      <c r="AE46">
        <v>0</v>
      </c>
      <c r="AF46">
        <v>128927</v>
      </c>
      <c r="AQ46" t="s">
        <v>5327</v>
      </c>
      <c r="AR46" t="s">
        <v>5329</v>
      </c>
    </row>
    <row r="47" spans="1:44" x14ac:dyDescent="0.2">
      <c r="A47" s="392">
        <v>45942</v>
      </c>
      <c r="B47">
        <v>2025</v>
      </c>
      <c r="C47" t="s">
        <v>5315</v>
      </c>
      <c r="D47" t="s">
        <v>5316</v>
      </c>
      <c r="E47" t="s">
        <v>5317</v>
      </c>
      <c r="F47" t="s">
        <v>5317</v>
      </c>
      <c r="H47" t="s">
        <v>5330</v>
      </c>
      <c r="J47" t="s">
        <v>5319</v>
      </c>
      <c r="K47">
        <v>27452</v>
      </c>
      <c r="L47">
        <v>8</v>
      </c>
      <c r="M47">
        <v>9326</v>
      </c>
      <c r="N47" t="s">
        <v>5320</v>
      </c>
      <c r="O47" t="s">
        <v>5321</v>
      </c>
      <c r="P47" t="s">
        <v>5322</v>
      </c>
      <c r="Q47" t="s">
        <v>5323</v>
      </c>
      <c r="R47">
        <v>1</v>
      </c>
      <c r="S47">
        <v>16</v>
      </c>
      <c r="T47">
        <v>0</v>
      </c>
      <c r="U47">
        <v>8</v>
      </c>
      <c r="W47">
        <v>41</v>
      </c>
      <c r="X47">
        <v>80</v>
      </c>
      <c r="AC47" t="s">
        <v>5333</v>
      </c>
      <c r="AD47" t="s">
        <v>5325</v>
      </c>
      <c r="AE47" t="s">
        <v>5326</v>
      </c>
      <c r="AQ47" t="s">
        <v>5327</v>
      </c>
    </row>
    <row r="48" spans="1:44" x14ac:dyDescent="0.2">
      <c r="A48" s="392">
        <v>45942</v>
      </c>
      <c r="B48">
        <v>2025</v>
      </c>
      <c r="C48" t="s">
        <v>5315</v>
      </c>
      <c r="D48" t="s">
        <v>5316</v>
      </c>
      <c r="E48" t="s">
        <v>5317</v>
      </c>
      <c r="F48" t="s">
        <v>5317</v>
      </c>
      <c r="H48" t="s">
        <v>5330</v>
      </c>
      <c r="J48" t="s">
        <v>5319</v>
      </c>
      <c r="K48">
        <v>27452</v>
      </c>
      <c r="L48">
        <v>9</v>
      </c>
      <c r="M48">
        <v>9327</v>
      </c>
      <c r="N48" t="s">
        <v>5320</v>
      </c>
      <c r="O48" t="s">
        <v>5321</v>
      </c>
      <c r="P48" t="s">
        <v>5322</v>
      </c>
      <c r="Q48" t="s">
        <v>5323</v>
      </c>
      <c r="R48">
        <v>1</v>
      </c>
      <c r="S48">
        <v>16</v>
      </c>
      <c r="T48">
        <v>0</v>
      </c>
      <c r="U48">
        <v>8</v>
      </c>
      <c r="W48">
        <v>41</v>
      </c>
      <c r="X48">
        <v>87</v>
      </c>
      <c r="AC48" t="s">
        <v>5324</v>
      </c>
      <c r="AD48" t="s">
        <v>5325</v>
      </c>
      <c r="AE48" t="s">
        <v>5326</v>
      </c>
      <c r="AQ48" t="s">
        <v>5327</v>
      </c>
    </row>
    <row r="49" spans="1:44" x14ac:dyDescent="0.2">
      <c r="A49" s="392">
        <v>45942</v>
      </c>
      <c r="B49">
        <v>2025</v>
      </c>
      <c r="C49" t="s">
        <v>5315</v>
      </c>
      <c r="D49" t="s">
        <v>5316</v>
      </c>
      <c r="E49" t="s">
        <v>5317</v>
      </c>
      <c r="F49" t="s">
        <v>5317</v>
      </c>
      <c r="H49" t="s">
        <v>5330</v>
      </c>
      <c r="J49" t="s">
        <v>5319</v>
      </c>
      <c r="K49">
        <v>27452</v>
      </c>
      <c r="L49">
        <v>10</v>
      </c>
      <c r="M49">
        <v>9328</v>
      </c>
      <c r="N49" t="s">
        <v>5320</v>
      </c>
      <c r="O49" t="s">
        <v>5321</v>
      </c>
      <c r="P49" t="s">
        <v>5322</v>
      </c>
      <c r="Q49" t="s">
        <v>5323</v>
      </c>
      <c r="R49">
        <v>1</v>
      </c>
      <c r="S49">
        <v>16</v>
      </c>
      <c r="T49">
        <v>0</v>
      </c>
      <c r="U49">
        <v>8</v>
      </c>
      <c r="W49">
        <v>42</v>
      </c>
      <c r="X49">
        <v>72</v>
      </c>
      <c r="Z49">
        <v>92075</v>
      </c>
      <c r="AA49">
        <v>42</v>
      </c>
      <c r="AB49" t="s">
        <v>5328</v>
      </c>
      <c r="AC49" t="s">
        <v>5324</v>
      </c>
      <c r="AD49" t="s">
        <v>5244</v>
      </c>
      <c r="AE49">
        <v>0</v>
      </c>
      <c r="AF49">
        <v>128928</v>
      </c>
      <c r="AQ49" t="s">
        <v>5327</v>
      </c>
      <c r="AR49" t="s">
        <v>5329</v>
      </c>
    </row>
    <row r="50" spans="1:44" x14ac:dyDescent="0.2">
      <c r="A50" s="392">
        <v>45942</v>
      </c>
      <c r="B50">
        <v>2025</v>
      </c>
      <c r="C50" t="s">
        <v>5315</v>
      </c>
      <c r="D50" t="s">
        <v>5316</v>
      </c>
      <c r="E50" t="s">
        <v>5317</v>
      </c>
      <c r="F50" t="s">
        <v>5317</v>
      </c>
      <c r="H50" t="s">
        <v>5330</v>
      </c>
      <c r="J50" t="s">
        <v>5319</v>
      </c>
      <c r="K50">
        <v>27452</v>
      </c>
      <c r="L50">
        <v>11</v>
      </c>
      <c r="M50">
        <v>9329</v>
      </c>
      <c r="N50" t="s">
        <v>5320</v>
      </c>
      <c r="O50" t="s">
        <v>5321</v>
      </c>
      <c r="P50" t="s">
        <v>5322</v>
      </c>
      <c r="Q50" t="s">
        <v>5323</v>
      </c>
      <c r="R50">
        <v>1</v>
      </c>
      <c r="S50">
        <v>16</v>
      </c>
      <c r="T50">
        <v>0</v>
      </c>
      <c r="U50">
        <v>8</v>
      </c>
      <c r="W50">
        <v>41</v>
      </c>
      <c r="X50">
        <v>68</v>
      </c>
      <c r="AC50" t="s">
        <v>5324</v>
      </c>
      <c r="AD50" t="s">
        <v>5325</v>
      </c>
      <c r="AE50" t="s">
        <v>5326</v>
      </c>
      <c r="AQ50" t="s">
        <v>5327</v>
      </c>
    </row>
    <row r="51" spans="1:44" x14ac:dyDescent="0.2">
      <c r="A51" s="392">
        <v>45942</v>
      </c>
      <c r="B51">
        <v>2025</v>
      </c>
      <c r="C51" t="s">
        <v>5315</v>
      </c>
      <c r="D51" t="s">
        <v>5316</v>
      </c>
      <c r="E51" t="s">
        <v>5317</v>
      </c>
      <c r="F51" t="s">
        <v>5317</v>
      </c>
      <c r="H51" t="s">
        <v>5330</v>
      </c>
      <c r="J51" t="s">
        <v>5319</v>
      </c>
      <c r="K51">
        <v>27452</v>
      </c>
      <c r="L51">
        <v>12</v>
      </c>
      <c r="M51">
        <v>9330</v>
      </c>
      <c r="N51" t="s">
        <v>5320</v>
      </c>
      <c r="O51" t="s">
        <v>5321</v>
      </c>
      <c r="P51" t="s">
        <v>5322</v>
      </c>
      <c r="Q51" t="s">
        <v>5323</v>
      </c>
      <c r="R51">
        <v>1</v>
      </c>
      <c r="S51">
        <v>16</v>
      </c>
      <c r="T51">
        <v>0</v>
      </c>
      <c r="U51">
        <v>8</v>
      </c>
      <c r="W51">
        <v>42</v>
      </c>
      <c r="X51">
        <v>70</v>
      </c>
      <c r="Z51">
        <v>92075</v>
      </c>
      <c r="AA51">
        <v>42</v>
      </c>
      <c r="AB51" t="s">
        <v>5328</v>
      </c>
      <c r="AC51" t="s">
        <v>5324</v>
      </c>
      <c r="AD51" t="s">
        <v>5244</v>
      </c>
      <c r="AE51">
        <v>0</v>
      </c>
      <c r="AF51">
        <v>128930</v>
      </c>
      <c r="AQ51" t="s">
        <v>5327</v>
      </c>
      <c r="AR51" t="s">
        <v>5329</v>
      </c>
    </row>
    <row r="52" spans="1:44" x14ac:dyDescent="0.2">
      <c r="A52" s="392">
        <v>45942</v>
      </c>
      <c r="B52">
        <v>2025</v>
      </c>
      <c r="C52" t="s">
        <v>5315</v>
      </c>
      <c r="D52" t="s">
        <v>5316</v>
      </c>
      <c r="E52" t="s">
        <v>5317</v>
      </c>
      <c r="F52" t="s">
        <v>5317</v>
      </c>
      <c r="H52" t="s">
        <v>5330</v>
      </c>
      <c r="J52" t="s">
        <v>5319</v>
      </c>
      <c r="K52">
        <v>27452</v>
      </c>
      <c r="L52">
        <v>13</v>
      </c>
      <c r="M52">
        <v>9331</v>
      </c>
      <c r="N52" t="s">
        <v>5320</v>
      </c>
      <c r="O52" t="s">
        <v>5321</v>
      </c>
      <c r="P52" t="s">
        <v>5322</v>
      </c>
      <c r="Q52" t="s">
        <v>5323</v>
      </c>
      <c r="R52">
        <v>1</v>
      </c>
      <c r="S52">
        <v>16</v>
      </c>
      <c r="T52">
        <v>0</v>
      </c>
      <c r="U52">
        <v>8</v>
      </c>
      <c r="W52">
        <v>88</v>
      </c>
      <c r="X52">
        <v>88</v>
      </c>
      <c r="Z52">
        <v>91670</v>
      </c>
      <c r="AA52">
        <v>52</v>
      </c>
      <c r="AB52" t="s">
        <v>5328</v>
      </c>
      <c r="AC52" t="s">
        <v>5324</v>
      </c>
      <c r="AD52" t="s">
        <v>5244</v>
      </c>
      <c r="AE52">
        <v>0</v>
      </c>
      <c r="AF52">
        <v>128929</v>
      </c>
      <c r="AQ52" t="s">
        <v>5327</v>
      </c>
      <c r="AR52" t="s">
        <v>5329</v>
      </c>
    </row>
    <row r="53" spans="1:44" x14ac:dyDescent="0.2">
      <c r="A53" s="392">
        <v>45942</v>
      </c>
      <c r="B53">
        <v>2025</v>
      </c>
      <c r="C53" t="s">
        <v>5315</v>
      </c>
      <c r="D53" t="s">
        <v>5316</v>
      </c>
      <c r="E53" t="s">
        <v>5317</v>
      </c>
      <c r="F53" t="s">
        <v>5317</v>
      </c>
      <c r="H53" t="s">
        <v>5330</v>
      </c>
      <c r="J53" t="s">
        <v>5319</v>
      </c>
      <c r="K53">
        <v>27452</v>
      </c>
      <c r="L53">
        <v>14</v>
      </c>
      <c r="M53">
        <v>9332</v>
      </c>
      <c r="N53" t="s">
        <v>5320</v>
      </c>
      <c r="O53" t="s">
        <v>5321</v>
      </c>
      <c r="P53" t="s">
        <v>5322</v>
      </c>
      <c r="Q53" t="s">
        <v>5323</v>
      </c>
      <c r="R53">
        <v>1</v>
      </c>
      <c r="S53">
        <v>16</v>
      </c>
      <c r="T53">
        <v>0</v>
      </c>
      <c r="U53">
        <v>8</v>
      </c>
      <c r="W53">
        <v>88</v>
      </c>
      <c r="X53">
        <v>73</v>
      </c>
      <c r="AC53" t="s">
        <v>5324</v>
      </c>
      <c r="AD53" t="s">
        <v>5244</v>
      </c>
      <c r="AE53" t="s">
        <v>5326</v>
      </c>
      <c r="AQ53" t="s">
        <v>5327</v>
      </c>
    </row>
    <row r="54" spans="1:44" x14ac:dyDescent="0.2">
      <c r="A54" s="392">
        <v>45942</v>
      </c>
      <c r="B54">
        <v>2025</v>
      </c>
      <c r="C54" t="s">
        <v>5315</v>
      </c>
      <c r="D54" t="s">
        <v>5316</v>
      </c>
      <c r="E54" t="s">
        <v>5317</v>
      </c>
      <c r="F54" t="s">
        <v>5317</v>
      </c>
      <c r="H54" t="s">
        <v>5330</v>
      </c>
      <c r="J54" t="s">
        <v>5319</v>
      </c>
      <c r="K54">
        <v>27452</v>
      </c>
      <c r="L54">
        <v>15</v>
      </c>
      <c r="M54">
        <v>9333</v>
      </c>
      <c r="N54" t="s">
        <v>5320</v>
      </c>
      <c r="O54" t="s">
        <v>5321</v>
      </c>
      <c r="P54" t="s">
        <v>5322</v>
      </c>
      <c r="Q54" t="s">
        <v>5323</v>
      </c>
      <c r="R54">
        <v>1</v>
      </c>
      <c r="S54">
        <v>16</v>
      </c>
      <c r="T54">
        <v>0</v>
      </c>
      <c r="U54">
        <v>8</v>
      </c>
      <c r="W54">
        <v>41</v>
      </c>
      <c r="X54">
        <v>81</v>
      </c>
      <c r="AC54" t="s">
        <v>5324</v>
      </c>
      <c r="AD54" t="s">
        <v>5325</v>
      </c>
      <c r="AE54" t="s">
        <v>5326</v>
      </c>
      <c r="AQ54" t="s">
        <v>5327</v>
      </c>
    </row>
    <row r="55" spans="1:44" x14ac:dyDescent="0.2">
      <c r="A55" s="392">
        <v>45942</v>
      </c>
      <c r="B55">
        <v>2025</v>
      </c>
      <c r="C55" t="s">
        <v>5315</v>
      </c>
      <c r="D55" t="s">
        <v>5316</v>
      </c>
      <c r="E55" t="s">
        <v>5317</v>
      </c>
      <c r="F55" t="s">
        <v>5317</v>
      </c>
      <c r="H55" t="s">
        <v>5330</v>
      </c>
      <c r="J55" t="s">
        <v>5319</v>
      </c>
      <c r="K55">
        <v>27452</v>
      </c>
      <c r="L55">
        <v>16</v>
      </c>
      <c r="M55">
        <v>9334</v>
      </c>
      <c r="N55" t="s">
        <v>5320</v>
      </c>
      <c r="O55" t="s">
        <v>5321</v>
      </c>
      <c r="P55" t="s">
        <v>5322</v>
      </c>
      <c r="Q55" t="s">
        <v>5323</v>
      </c>
      <c r="R55">
        <v>1</v>
      </c>
      <c r="S55">
        <v>16</v>
      </c>
      <c r="T55">
        <v>0</v>
      </c>
      <c r="U55">
        <v>8</v>
      </c>
      <c r="W55">
        <v>42</v>
      </c>
      <c r="X55">
        <v>82</v>
      </c>
      <c r="AC55" t="s">
        <v>5324</v>
      </c>
      <c r="AD55" t="s">
        <v>5244</v>
      </c>
      <c r="AE55" t="s">
        <v>5326</v>
      </c>
      <c r="AQ55" t="s">
        <v>5327</v>
      </c>
    </row>
    <row r="56" spans="1:44" x14ac:dyDescent="0.2">
      <c r="A56" s="392">
        <v>45949</v>
      </c>
      <c r="B56">
        <v>2025</v>
      </c>
      <c r="C56" t="s">
        <v>5315</v>
      </c>
      <c r="D56" t="s">
        <v>5316</v>
      </c>
      <c r="E56" t="s">
        <v>5317</v>
      </c>
      <c r="F56" t="s">
        <v>5317</v>
      </c>
      <c r="H56" t="s">
        <v>5330</v>
      </c>
      <c r="J56" t="s">
        <v>5319</v>
      </c>
      <c r="K56">
        <v>27449</v>
      </c>
      <c r="L56">
        <v>1</v>
      </c>
      <c r="M56">
        <v>9310</v>
      </c>
      <c r="N56" t="s">
        <v>5320</v>
      </c>
      <c r="O56" t="s">
        <v>5321</v>
      </c>
      <c r="P56" t="s">
        <v>5322</v>
      </c>
      <c r="Q56" t="s">
        <v>5323</v>
      </c>
      <c r="R56">
        <v>1</v>
      </c>
      <c r="S56">
        <v>7</v>
      </c>
      <c r="T56">
        <v>0</v>
      </c>
      <c r="U56">
        <v>0</v>
      </c>
      <c r="W56">
        <v>41</v>
      </c>
      <c r="X56">
        <v>77</v>
      </c>
      <c r="AC56" t="s">
        <v>5324</v>
      </c>
      <c r="AD56" t="s">
        <v>5244</v>
      </c>
      <c r="AE56" t="s">
        <v>5326</v>
      </c>
      <c r="AQ56" t="s">
        <v>5327</v>
      </c>
    </row>
    <row r="57" spans="1:44" x14ac:dyDescent="0.2">
      <c r="A57" s="392">
        <v>45949</v>
      </c>
      <c r="B57">
        <v>2025</v>
      </c>
      <c r="C57" t="s">
        <v>5315</v>
      </c>
      <c r="D57" t="s">
        <v>5316</v>
      </c>
      <c r="E57" t="s">
        <v>5317</v>
      </c>
      <c r="F57" t="s">
        <v>5317</v>
      </c>
      <c r="H57" t="s">
        <v>5330</v>
      </c>
      <c r="J57" t="s">
        <v>5319</v>
      </c>
      <c r="K57">
        <v>27449</v>
      </c>
      <c r="L57">
        <v>2</v>
      </c>
      <c r="M57">
        <v>9311</v>
      </c>
      <c r="N57" t="s">
        <v>5320</v>
      </c>
      <c r="O57" t="s">
        <v>5321</v>
      </c>
      <c r="P57" t="s">
        <v>5322</v>
      </c>
      <c r="Q57" t="s">
        <v>5323</v>
      </c>
      <c r="R57">
        <v>1</v>
      </c>
      <c r="S57">
        <v>7</v>
      </c>
      <c r="T57">
        <v>0</v>
      </c>
      <c r="U57">
        <v>0</v>
      </c>
      <c r="W57">
        <v>41</v>
      </c>
      <c r="X57">
        <v>75</v>
      </c>
      <c r="AC57" t="s">
        <v>5324</v>
      </c>
      <c r="AD57" t="s">
        <v>5325</v>
      </c>
      <c r="AE57" t="s">
        <v>5326</v>
      </c>
      <c r="AQ57" t="s">
        <v>5327</v>
      </c>
    </row>
    <row r="58" spans="1:44" x14ac:dyDescent="0.2">
      <c r="A58" s="392">
        <v>45949</v>
      </c>
      <c r="B58">
        <v>2025</v>
      </c>
      <c r="C58" t="s">
        <v>5315</v>
      </c>
      <c r="D58" t="s">
        <v>5316</v>
      </c>
      <c r="E58" t="s">
        <v>5317</v>
      </c>
      <c r="F58" t="s">
        <v>5317</v>
      </c>
      <c r="H58" t="s">
        <v>5330</v>
      </c>
      <c r="J58" t="s">
        <v>5319</v>
      </c>
      <c r="K58">
        <v>27449</v>
      </c>
      <c r="L58">
        <v>3</v>
      </c>
      <c r="M58">
        <v>9312</v>
      </c>
      <c r="N58" t="s">
        <v>5320</v>
      </c>
      <c r="O58" t="s">
        <v>5321</v>
      </c>
      <c r="P58" t="s">
        <v>5322</v>
      </c>
      <c r="Q58" t="s">
        <v>5323</v>
      </c>
      <c r="R58">
        <v>1</v>
      </c>
      <c r="S58">
        <v>7</v>
      </c>
      <c r="T58">
        <v>0</v>
      </c>
      <c r="U58">
        <v>0</v>
      </c>
      <c r="W58">
        <v>41</v>
      </c>
      <c r="X58">
        <v>73</v>
      </c>
      <c r="AC58" t="s">
        <v>5324</v>
      </c>
      <c r="AD58" t="s">
        <v>5325</v>
      </c>
      <c r="AE58" t="s">
        <v>5326</v>
      </c>
      <c r="AQ58" t="s">
        <v>5327</v>
      </c>
    </row>
    <row r="59" spans="1:44" x14ac:dyDescent="0.2">
      <c r="A59" s="392">
        <v>45949</v>
      </c>
      <c r="B59">
        <v>2025</v>
      </c>
      <c r="C59" t="s">
        <v>5315</v>
      </c>
      <c r="D59" t="s">
        <v>5316</v>
      </c>
      <c r="E59" t="s">
        <v>5317</v>
      </c>
      <c r="F59" t="s">
        <v>5317</v>
      </c>
      <c r="H59" t="s">
        <v>5330</v>
      </c>
      <c r="J59" t="s">
        <v>5319</v>
      </c>
      <c r="K59">
        <v>27449</v>
      </c>
      <c r="L59">
        <v>4</v>
      </c>
      <c r="M59">
        <v>9313</v>
      </c>
      <c r="N59" t="s">
        <v>5320</v>
      </c>
      <c r="O59" t="s">
        <v>5321</v>
      </c>
      <c r="P59" t="s">
        <v>5322</v>
      </c>
      <c r="Q59" t="s">
        <v>5323</v>
      </c>
      <c r="R59">
        <v>1</v>
      </c>
      <c r="S59">
        <v>7</v>
      </c>
      <c r="T59">
        <v>0</v>
      </c>
      <c r="U59">
        <v>0</v>
      </c>
      <c r="W59">
        <v>41</v>
      </c>
      <c r="X59">
        <v>74</v>
      </c>
      <c r="AC59" t="s">
        <v>5324</v>
      </c>
      <c r="AD59" t="s">
        <v>5244</v>
      </c>
      <c r="AE59" t="s">
        <v>5326</v>
      </c>
      <c r="AQ59" t="s">
        <v>5327</v>
      </c>
    </row>
    <row r="60" spans="1:44" x14ac:dyDescent="0.2">
      <c r="A60" s="392">
        <v>45949</v>
      </c>
      <c r="B60">
        <v>2025</v>
      </c>
      <c r="C60" t="s">
        <v>5315</v>
      </c>
      <c r="D60" t="s">
        <v>5316</v>
      </c>
      <c r="E60" t="s">
        <v>5317</v>
      </c>
      <c r="F60" t="s">
        <v>5317</v>
      </c>
      <c r="H60" t="s">
        <v>5330</v>
      </c>
      <c r="J60" t="s">
        <v>5319</v>
      </c>
      <c r="K60">
        <v>27449</v>
      </c>
      <c r="L60">
        <v>5</v>
      </c>
      <c r="M60">
        <v>9314</v>
      </c>
      <c r="N60" t="s">
        <v>5320</v>
      </c>
      <c r="O60" t="s">
        <v>5321</v>
      </c>
      <c r="P60" t="s">
        <v>5322</v>
      </c>
      <c r="Q60" t="s">
        <v>5323</v>
      </c>
      <c r="R60">
        <v>1</v>
      </c>
      <c r="S60">
        <v>7</v>
      </c>
      <c r="T60">
        <v>0</v>
      </c>
      <c r="U60">
        <v>0</v>
      </c>
      <c r="W60">
        <v>31</v>
      </c>
      <c r="X60">
        <v>63</v>
      </c>
      <c r="AC60" t="s">
        <v>5324</v>
      </c>
      <c r="AD60" t="s">
        <v>5244</v>
      </c>
      <c r="AE60" t="s">
        <v>5326</v>
      </c>
      <c r="AQ60" t="s">
        <v>5327</v>
      </c>
    </row>
    <row r="61" spans="1:44" x14ac:dyDescent="0.2">
      <c r="A61" s="392">
        <v>45949</v>
      </c>
      <c r="B61">
        <v>2025</v>
      </c>
      <c r="C61" t="s">
        <v>5315</v>
      </c>
      <c r="D61" t="s">
        <v>5316</v>
      </c>
      <c r="E61" t="s">
        <v>5317</v>
      </c>
      <c r="F61" t="s">
        <v>5317</v>
      </c>
      <c r="H61" t="s">
        <v>5330</v>
      </c>
      <c r="J61" t="s">
        <v>5319</v>
      </c>
      <c r="K61">
        <v>27449</v>
      </c>
      <c r="L61">
        <v>6</v>
      </c>
      <c r="M61">
        <v>9315</v>
      </c>
      <c r="N61" t="s">
        <v>5320</v>
      </c>
      <c r="O61" t="s">
        <v>5321</v>
      </c>
      <c r="P61" t="s">
        <v>5322</v>
      </c>
      <c r="Q61" t="s">
        <v>5323</v>
      </c>
      <c r="R61">
        <v>1</v>
      </c>
      <c r="S61">
        <v>7</v>
      </c>
      <c r="T61">
        <v>0</v>
      </c>
      <c r="U61">
        <v>0</v>
      </c>
      <c r="W61">
        <v>31</v>
      </c>
      <c r="X61">
        <v>68</v>
      </c>
      <c r="AC61" t="s">
        <v>5324</v>
      </c>
      <c r="AD61" t="s">
        <v>5244</v>
      </c>
      <c r="AE61" t="s">
        <v>5326</v>
      </c>
      <c r="AQ61" t="s">
        <v>5327</v>
      </c>
    </row>
    <row r="62" spans="1:44" x14ac:dyDescent="0.2">
      <c r="A62" s="392">
        <v>45949</v>
      </c>
      <c r="B62">
        <v>2025</v>
      </c>
      <c r="C62" t="s">
        <v>5315</v>
      </c>
      <c r="D62" t="s">
        <v>5316</v>
      </c>
      <c r="E62" t="s">
        <v>5317</v>
      </c>
      <c r="F62" t="s">
        <v>5317</v>
      </c>
      <c r="H62" t="s">
        <v>5330</v>
      </c>
      <c r="J62" t="s">
        <v>5319</v>
      </c>
      <c r="K62">
        <v>27449</v>
      </c>
      <c r="L62">
        <v>7</v>
      </c>
      <c r="M62">
        <v>9316</v>
      </c>
      <c r="N62" t="s">
        <v>5320</v>
      </c>
      <c r="O62" t="s">
        <v>5321</v>
      </c>
      <c r="P62" t="s">
        <v>5322</v>
      </c>
      <c r="Q62" t="s">
        <v>5323</v>
      </c>
      <c r="R62">
        <v>1</v>
      </c>
      <c r="S62">
        <v>7</v>
      </c>
      <c r="T62">
        <v>0</v>
      </c>
      <c r="U62">
        <v>0</v>
      </c>
      <c r="W62">
        <v>41</v>
      </c>
      <c r="X62">
        <v>77</v>
      </c>
      <c r="AC62" t="s">
        <v>5324</v>
      </c>
      <c r="AD62" t="s">
        <v>5325</v>
      </c>
      <c r="AE62" t="s">
        <v>5326</v>
      </c>
      <c r="AQ62" t="s">
        <v>5327</v>
      </c>
    </row>
    <row r="63" spans="1:44" x14ac:dyDescent="0.2">
      <c r="A63" s="392">
        <v>45949</v>
      </c>
      <c r="B63">
        <v>2025</v>
      </c>
      <c r="C63" t="s">
        <v>5315</v>
      </c>
      <c r="D63" t="s">
        <v>5316</v>
      </c>
      <c r="E63" t="s">
        <v>5317</v>
      </c>
      <c r="F63" t="s">
        <v>5317</v>
      </c>
      <c r="H63" t="s">
        <v>5330</v>
      </c>
      <c r="J63" t="s">
        <v>5319</v>
      </c>
      <c r="K63">
        <v>27450</v>
      </c>
      <c r="L63">
        <v>1</v>
      </c>
      <c r="M63">
        <v>9290</v>
      </c>
      <c r="N63" t="s">
        <v>5320</v>
      </c>
      <c r="O63" t="s">
        <v>5321</v>
      </c>
      <c r="P63" t="s">
        <v>5322</v>
      </c>
      <c r="Q63" t="s">
        <v>5323</v>
      </c>
      <c r="R63">
        <v>1</v>
      </c>
      <c r="S63">
        <v>20</v>
      </c>
      <c r="T63">
        <v>0</v>
      </c>
      <c r="U63">
        <v>4</v>
      </c>
      <c r="W63">
        <v>41</v>
      </c>
      <c r="X63">
        <v>85</v>
      </c>
      <c r="AC63" t="s">
        <v>5333</v>
      </c>
      <c r="AD63" t="s">
        <v>5244</v>
      </c>
      <c r="AE63" t="s">
        <v>5326</v>
      </c>
      <c r="AQ63" t="s">
        <v>5327</v>
      </c>
    </row>
    <row r="64" spans="1:44" x14ac:dyDescent="0.2">
      <c r="A64" s="392">
        <v>45949</v>
      </c>
      <c r="B64">
        <v>2025</v>
      </c>
      <c r="C64" t="s">
        <v>5315</v>
      </c>
      <c r="D64" t="s">
        <v>5316</v>
      </c>
      <c r="E64" t="s">
        <v>5317</v>
      </c>
      <c r="F64" t="s">
        <v>5317</v>
      </c>
      <c r="H64" t="s">
        <v>5330</v>
      </c>
      <c r="J64" t="s">
        <v>5319</v>
      </c>
      <c r="K64">
        <v>27450</v>
      </c>
      <c r="L64">
        <v>2</v>
      </c>
      <c r="M64">
        <v>9291</v>
      </c>
      <c r="N64" t="s">
        <v>5320</v>
      </c>
      <c r="O64" t="s">
        <v>5321</v>
      </c>
      <c r="P64" t="s">
        <v>5322</v>
      </c>
      <c r="Q64" t="s">
        <v>5323</v>
      </c>
      <c r="R64">
        <v>1</v>
      </c>
      <c r="S64">
        <v>20</v>
      </c>
      <c r="T64">
        <v>0</v>
      </c>
      <c r="U64">
        <v>4</v>
      </c>
      <c r="W64">
        <v>41</v>
      </c>
      <c r="X64">
        <v>76</v>
      </c>
      <c r="AC64" t="s">
        <v>5324</v>
      </c>
      <c r="AD64" t="s">
        <v>5325</v>
      </c>
      <c r="AE64" t="s">
        <v>5326</v>
      </c>
      <c r="AQ64" t="s">
        <v>5327</v>
      </c>
    </row>
    <row r="65" spans="1:44" x14ac:dyDescent="0.2">
      <c r="A65" s="392">
        <v>45949</v>
      </c>
      <c r="B65">
        <v>2025</v>
      </c>
      <c r="C65" t="s">
        <v>5315</v>
      </c>
      <c r="D65" t="s">
        <v>5316</v>
      </c>
      <c r="E65" t="s">
        <v>5317</v>
      </c>
      <c r="F65" t="s">
        <v>5317</v>
      </c>
      <c r="H65" t="s">
        <v>5330</v>
      </c>
      <c r="J65" t="s">
        <v>5319</v>
      </c>
      <c r="K65">
        <v>27450</v>
      </c>
      <c r="L65">
        <v>3</v>
      </c>
      <c r="M65">
        <v>9292</v>
      </c>
      <c r="N65" t="s">
        <v>5320</v>
      </c>
      <c r="O65" t="s">
        <v>5321</v>
      </c>
      <c r="P65" t="s">
        <v>5322</v>
      </c>
      <c r="Q65" t="s">
        <v>5323</v>
      </c>
      <c r="R65">
        <v>1</v>
      </c>
      <c r="S65">
        <v>20</v>
      </c>
      <c r="T65">
        <v>0</v>
      </c>
      <c r="U65">
        <v>4</v>
      </c>
      <c r="W65">
        <v>88</v>
      </c>
      <c r="X65">
        <v>58</v>
      </c>
      <c r="AC65" t="s">
        <v>5333</v>
      </c>
      <c r="AD65" t="s">
        <v>5325</v>
      </c>
      <c r="AE65" t="s">
        <v>5326</v>
      </c>
      <c r="AQ65" t="s">
        <v>5327</v>
      </c>
    </row>
    <row r="66" spans="1:44" x14ac:dyDescent="0.2">
      <c r="A66" s="392">
        <v>45949</v>
      </c>
      <c r="B66">
        <v>2025</v>
      </c>
      <c r="C66" t="s">
        <v>5315</v>
      </c>
      <c r="D66" t="s">
        <v>5316</v>
      </c>
      <c r="E66" t="s">
        <v>5317</v>
      </c>
      <c r="F66" t="s">
        <v>5317</v>
      </c>
      <c r="H66" t="s">
        <v>5330</v>
      </c>
      <c r="J66" t="s">
        <v>5319</v>
      </c>
      <c r="K66">
        <v>27450</v>
      </c>
      <c r="L66">
        <v>4</v>
      </c>
      <c r="M66">
        <v>9293</v>
      </c>
      <c r="N66" t="s">
        <v>5320</v>
      </c>
      <c r="O66" t="s">
        <v>5321</v>
      </c>
      <c r="P66" t="s">
        <v>5322</v>
      </c>
      <c r="Q66" t="s">
        <v>5323</v>
      </c>
      <c r="R66">
        <v>1</v>
      </c>
      <c r="S66">
        <v>20</v>
      </c>
      <c r="T66">
        <v>0</v>
      </c>
      <c r="U66">
        <v>4</v>
      </c>
      <c r="W66">
        <v>41</v>
      </c>
      <c r="X66">
        <v>73</v>
      </c>
      <c r="AC66" t="s">
        <v>5324</v>
      </c>
      <c r="AD66" t="s">
        <v>5325</v>
      </c>
      <c r="AE66" t="s">
        <v>5326</v>
      </c>
      <c r="AQ66" t="s">
        <v>5327</v>
      </c>
    </row>
    <row r="67" spans="1:44" x14ac:dyDescent="0.2">
      <c r="A67" s="392">
        <v>45949</v>
      </c>
      <c r="B67">
        <v>2025</v>
      </c>
      <c r="C67" t="s">
        <v>5315</v>
      </c>
      <c r="D67" t="s">
        <v>5316</v>
      </c>
      <c r="E67" t="s">
        <v>5317</v>
      </c>
      <c r="F67" t="s">
        <v>5317</v>
      </c>
      <c r="H67" t="s">
        <v>5330</v>
      </c>
      <c r="J67" t="s">
        <v>5319</v>
      </c>
      <c r="K67">
        <v>27450</v>
      </c>
      <c r="L67">
        <v>5</v>
      </c>
      <c r="M67">
        <v>9294</v>
      </c>
      <c r="N67" t="s">
        <v>5320</v>
      </c>
      <c r="O67" t="s">
        <v>5321</v>
      </c>
      <c r="P67" t="s">
        <v>5322</v>
      </c>
      <c r="Q67" t="s">
        <v>5323</v>
      </c>
      <c r="R67">
        <v>1</v>
      </c>
      <c r="S67">
        <v>20</v>
      </c>
      <c r="T67">
        <v>0</v>
      </c>
      <c r="U67">
        <v>4</v>
      </c>
      <c r="W67">
        <v>88</v>
      </c>
      <c r="X67">
        <v>72</v>
      </c>
      <c r="Z67">
        <v>91504</v>
      </c>
      <c r="AA67">
        <v>62</v>
      </c>
      <c r="AB67" t="s">
        <v>5328</v>
      </c>
      <c r="AC67" t="s">
        <v>5333</v>
      </c>
      <c r="AD67" t="s">
        <v>5244</v>
      </c>
      <c r="AE67">
        <v>0</v>
      </c>
      <c r="AF67">
        <v>133191</v>
      </c>
      <c r="AQ67" t="s">
        <v>5327</v>
      </c>
      <c r="AR67" t="s">
        <v>5329</v>
      </c>
    </row>
    <row r="68" spans="1:44" x14ac:dyDescent="0.2">
      <c r="A68" s="392">
        <v>45949</v>
      </c>
      <c r="B68">
        <v>2025</v>
      </c>
      <c r="C68" t="s">
        <v>5315</v>
      </c>
      <c r="D68" t="s">
        <v>5316</v>
      </c>
      <c r="E68" t="s">
        <v>5317</v>
      </c>
      <c r="F68" t="s">
        <v>5317</v>
      </c>
      <c r="H68" t="s">
        <v>5330</v>
      </c>
      <c r="J68" t="s">
        <v>5319</v>
      </c>
      <c r="K68">
        <v>27450</v>
      </c>
      <c r="L68">
        <v>6</v>
      </c>
      <c r="M68">
        <v>9295</v>
      </c>
      <c r="N68" t="s">
        <v>5320</v>
      </c>
      <c r="O68" t="s">
        <v>5321</v>
      </c>
      <c r="P68" t="s">
        <v>5322</v>
      </c>
      <c r="Q68" t="s">
        <v>5323</v>
      </c>
      <c r="R68">
        <v>1</v>
      </c>
      <c r="S68">
        <v>20</v>
      </c>
      <c r="T68">
        <v>0</v>
      </c>
      <c r="U68">
        <v>4</v>
      </c>
      <c r="W68">
        <v>41</v>
      </c>
      <c r="X68">
        <v>82</v>
      </c>
      <c r="AC68" t="s">
        <v>5324</v>
      </c>
      <c r="AD68" t="s">
        <v>5244</v>
      </c>
      <c r="AE68" t="s">
        <v>5326</v>
      </c>
      <c r="AQ68" t="s">
        <v>5327</v>
      </c>
    </row>
    <row r="69" spans="1:44" x14ac:dyDescent="0.2">
      <c r="A69" s="392">
        <v>45949</v>
      </c>
      <c r="B69">
        <v>2025</v>
      </c>
      <c r="C69" t="s">
        <v>5315</v>
      </c>
      <c r="D69" t="s">
        <v>5316</v>
      </c>
      <c r="E69" t="s">
        <v>5317</v>
      </c>
      <c r="F69" t="s">
        <v>5317</v>
      </c>
      <c r="H69" t="s">
        <v>5330</v>
      </c>
      <c r="J69" t="s">
        <v>5319</v>
      </c>
      <c r="K69">
        <v>27450</v>
      </c>
      <c r="L69">
        <v>7</v>
      </c>
      <c r="M69">
        <v>9296</v>
      </c>
      <c r="N69" t="s">
        <v>5320</v>
      </c>
      <c r="O69" t="s">
        <v>5321</v>
      </c>
      <c r="P69" t="s">
        <v>5322</v>
      </c>
      <c r="Q69" t="s">
        <v>5323</v>
      </c>
      <c r="R69">
        <v>1</v>
      </c>
      <c r="S69">
        <v>20</v>
      </c>
      <c r="T69">
        <v>0</v>
      </c>
      <c r="U69">
        <v>4</v>
      </c>
      <c r="W69">
        <v>41</v>
      </c>
      <c r="X69">
        <v>83</v>
      </c>
      <c r="AC69" t="s">
        <v>5324</v>
      </c>
      <c r="AD69" t="s">
        <v>5244</v>
      </c>
      <c r="AE69" t="s">
        <v>5326</v>
      </c>
      <c r="AQ69" t="s">
        <v>5327</v>
      </c>
    </row>
    <row r="70" spans="1:44" x14ac:dyDescent="0.2">
      <c r="A70" s="392">
        <v>45949</v>
      </c>
      <c r="B70">
        <v>2025</v>
      </c>
      <c r="C70" t="s">
        <v>5315</v>
      </c>
      <c r="D70" t="s">
        <v>5316</v>
      </c>
      <c r="E70" t="s">
        <v>5317</v>
      </c>
      <c r="F70" t="s">
        <v>5317</v>
      </c>
      <c r="H70" t="s">
        <v>5330</v>
      </c>
      <c r="J70" t="s">
        <v>5319</v>
      </c>
      <c r="K70">
        <v>27450</v>
      </c>
      <c r="L70">
        <v>8</v>
      </c>
      <c r="M70">
        <v>9297</v>
      </c>
      <c r="N70" t="s">
        <v>5320</v>
      </c>
      <c r="O70" t="s">
        <v>5321</v>
      </c>
      <c r="P70" t="s">
        <v>5322</v>
      </c>
      <c r="Q70" t="s">
        <v>5323</v>
      </c>
      <c r="R70">
        <v>1</v>
      </c>
      <c r="S70">
        <v>20</v>
      </c>
      <c r="T70">
        <v>0</v>
      </c>
      <c r="U70">
        <v>4</v>
      </c>
      <c r="W70">
        <v>42</v>
      </c>
      <c r="X70">
        <v>75</v>
      </c>
      <c r="Z70">
        <v>92075</v>
      </c>
      <c r="AA70">
        <v>42</v>
      </c>
      <c r="AB70" t="s">
        <v>5328</v>
      </c>
      <c r="AC70" t="s">
        <v>5324</v>
      </c>
      <c r="AD70" t="s">
        <v>5244</v>
      </c>
      <c r="AE70">
        <v>0</v>
      </c>
      <c r="AF70">
        <v>127734</v>
      </c>
      <c r="AQ70" t="s">
        <v>5327</v>
      </c>
      <c r="AR70" t="s">
        <v>5329</v>
      </c>
    </row>
    <row r="71" spans="1:44" x14ac:dyDescent="0.2">
      <c r="A71" s="392">
        <v>45949</v>
      </c>
      <c r="B71">
        <v>2025</v>
      </c>
      <c r="C71" t="s">
        <v>5315</v>
      </c>
      <c r="D71" t="s">
        <v>5316</v>
      </c>
      <c r="E71" t="s">
        <v>5317</v>
      </c>
      <c r="F71" t="s">
        <v>5317</v>
      </c>
      <c r="H71" t="s">
        <v>5330</v>
      </c>
      <c r="J71" t="s">
        <v>5319</v>
      </c>
      <c r="K71">
        <v>27450</v>
      </c>
      <c r="L71">
        <v>9</v>
      </c>
      <c r="M71">
        <v>9298</v>
      </c>
      <c r="N71" t="s">
        <v>5320</v>
      </c>
      <c r="O71" t="s">
        <v>5321</v>
      </c>
      <c r="P71" t="s">
        <v>5322</v>
      </c>
      <c r="Q71" t="s">
        <v>5323</v>
      </c>
      <c r="R71">
        <v>1</v>
      </c>
      <c r="S71">
        <v>20</v>
      </c>
      <c r="T71">
        <v>0</v>
      </c>
      <c r="U71">
        <v>4</v>
      </c>
      <c r="W71">
        <v>41</v>
      </c>
      <c r="X71">
        <v>73</v>
      </c>
      <c r="AC71" t="s">
        <v>5333</v>
      </c>
      <c r="AD71" t="s">
        <v>5325</v>
      </c>
      <c r="AE71" t="s">
        <v>5326</v>
      </c>
      <c r="AQ71" t="s">
        <v>5327</v>
      </c>
    </row>
    <row r="72" spans="1:44" x14ac:dyDescent="0.2">
      <c r="A72" s="392">
        <v>45949</v>
      </c>
      <c r="B72">
        <v>2025</v>
      </c>
      <c r="C72" t="s">
        <v>5315</v>
      </c>
      <c r="D72" t="s">
        <v>5316</v>
      </c>
      <c r="E72" t="s">
        <v>5317</v>
      </c>
      <c r="F72" t="s">
        <v>5317</v>
      </c>
      <c r="H72" t="s">
        <v>5330</v>
      </c>
      <c r="J72" t="s">
        <v>5319</v>
      </c>
      <c r="K72">
        <v>27450</v>
      </c>
      <c r="L72">
        <v>10</v>
      </c>
      <c r="M72">
        <v>9299</v>
      </c>
      <c r="N72" t="s">
        <v>5320</v>
      </c>
      <c r="O72" t="s">
        <v>5321</v>
      </c>
      <c r="P72" t="s">
        <v>5322</v>
      </c>
      <c r="Q72" t="s">
        <v>5323</v>
      </c>
      <c r="R72">
        <v>1</v>
      </c>
      <c r="S72">
        <v>20</v>
      </c>
      <c r="T72">
        <v>0</v>
      </c>
      <c r="U72">
        <v>4</v>
      </c>
      <c r="W72">
        <v>31</v>
      </c>
      <c r="X72">
        <v>70</v>
      </c>
      <c r="AC72" t="s">
        <v>5333</v>
      </c>
      <c r="AD72" t="s">
        <v>5244</v>
      </c>
      <c r="AE72" t="s">
        <v>5326</v>
      </c>
      <c r="AQ72" t="s">
        <v>5327</v>
      </c>
    </row>
    <row r="73" spans="1:44" x14ac:dyDescent="0.2">
      <c r="A73" s="392">
        <v>45949</v>
      </c>
      <c r="B73">
        <v>2025</v>
      </c>
      <c r="C73" t="s">
        <v>5315</v>
      </c>
      <c r="D73" t="s">
        <v>5316</v>
      </c>
      <c r="E73" t="s">
        <v>5317</v>
      </c>
      <c r="F73" t="s">
        <v>5317</v>
      </c>
      <c r="H73" t="s">
        <v>5330</v>
      </c>
      <c r="J73" t="s">
        <v>5319</v>
      </c>
      <c r="K73">
        <v>27450</v>
      </c>
      <c r="L73">
        <v>11</v>
      </c>
      <c r="M73">
        <v>9300</v>
      </c>
      <c r="N73" t="s">
        <v>5320</v>
      </c>
      <c r="O73" t="s">
        <v>5321</v>
      </c>
      <c r="P73" t="s">
        <v>5322</v>
      </c>
      <c r="Q73" t="s">
        <v>5323</v>
      </c>
      <c r="R73">
        <v>1</v>
      </c>
      <c r="S73">
        <v>20</v>
      </c>
      <c r="T73">
        <v>0</v>
      </c>
      <c r="U73">
        <v>4</v>
      </c>
      <c r="W73">
        <v>31</v>
      </c>
      <c r="X73">
        <v>65</v>
      </c>
      <c r="AC73" t="s">
        <v>5324</v>
      </c>
      <c r="AD73" t="s">
        <v>5325</v>
      </c>
      <c r="AE73" t="s">
        <v>5326</v>
      </c>
      <c r="AQ73" t="s">
        <v>5327</v>
      </c>
    </row>
    <row r="74" spans="1:44" x14ac:dyDescent="0.2">
      <c r="A74" s="392">
        <v>45949</v>
      </c>
      <c r="B74">
        <v>2025</v>
      </c>
      <c r="C74" t="s">
        <v>5315</v>
      </c>
      <c r="D74" t="s">
        <v>5316</v>
      </c>
      <c r="E74" t="s">
        <v>5317</v>
      </c>
      <c r="F74" t="s">
        <v>5317</v>
      </c>
      <c r="H74" t="s">
        <v>5330</v>
      </c>
      <c r="J74" t="s">
        <v>5319</v>
      </c>
      <c r="K74">
        <v>27450</v>
      </c>
      <c r="L74">
        <v>12</v>
      </c>
      <c r="M74">
        <v>9301</v>
      </c>
      <c r="N74" t="s">
        <v>5320</v>
      </c>
      <c r="O74" t="s">
        <v>5321</v>
      </c>
      <c r="P74" t="s">
        <v>5322</v>
      </c>
      <c r="Q74" t="s">
        <v>5323</v>
      </c>
      <c r="R74">
        <v>1</v>
      </c>
      <c r="S74">
        <v>20</v>
      </c>
      <c r="T74">
        <v>0</v>
      </c>
      <c r="U74">
        <v>4</v>
      </c>
      <c r="W74">
        <v>42</v>
      </c>
      <c r="X74">
        <v>79</v>
      </c>
      <c r="Z74">
        <v>92075</v>
      </c>
      <c r="AA74">
        <v>42</v>
      </c>
      <c r="AB74" t="s">
        <v>5328</v>
      </c>
      <c r="AC74" t="s">
        <v>5324</v>
      </c>
      <c r="AD74" t="s">
        <v>5244</v>
      </c>
      <c r="AE74">
        <v>0</v>
      </c>
      <c r="AF74">
        <v>130813</v>
      </c>
      <c r="AQ74" t="s">
        <v>5327</v>
      </c>
      <c r="AR74" t="s">
        <v>5329</v>
      </c>
    </row>
    <row r="75" spans="1:44" x14ac:dyDescent="0.2">
      <c r="A75" s="392">
        <v>45949</v>
      </c>
      <c r="B75">
        <v>2025</v>
      </c>
      <c r="C75" t="s">
        <v>5315</v>
      </c>
      <c r="D75" t="s">
        <v>5316</v>
      </c>
      <c r="E75" t="s">
        <v>5317</v>
      </c>
      <c r="F75" t="s">
        <v>5317</v>
      </c>
      <c r="H75" t="s">
        <v>5330</v>
      </c>
      <c r="J75" t="s">
        <v>5319</v>
      </c>
      <c r="K75">
        <v>27450</v>
      </c>
      <c r="L75">
        <v>13</v>
      </c>
      <c r="M75">
        <v>9302</v>
      </c>
      <c r="N75" t="s">
        <v>5320</v>
      </c>
      <c r="O75" t="s">
        <v>5321</v>
      </c>
      <c r="P75" t="s">
        <v>5322</v>
      </c>
      <c r="Q75" t="s">
        <v>5323</v>
      </c>
      <c r="R75">
        <v>1</v>
      </c>
      <c r="S75">
        <v>20</v>
      </c>
      <c r="T75">
        <v>0</v>
      </c>
      <c r="U75">
        <v>4</v>
      </c>
      <c r="W75">
        <v>41</v>
      </c>
      <c r="X75">
        <v>81</v>
      </c>
      <c r="AC75" t="s">
        <v>5324</v>
      </c>
      <c r="AD75" t="s">
        <v>5244</v>
      </c>
      <c r="AE75" t="s">
        <v>5326</v>
      </c>
      <c r="AQ75" t="s">
        <v>5327</v>
      </c>
    </row>
    <row r="76" spans="1:44" x14ac:dyDescent="0.2">
      <c r="A76" s="392">
        <v>45949</v>
      </c>
      <c r="B76">
        <v>2025</v>
      </c>
      <c r="C76" t="s">
        <v>5315</v>
      </c>
      <c r="D76" t="s">
        <v>5316</v>
      </c>
      <c r="E76" t="s">
        <v>5317</v>
      </c>
      <c r="F76" t="s">
        <v>5317</v>
      </c>
      <c r="H76" t="s">
        <v>5330</v>
      </c>
      <c r="J76" t="s">
        <v>5319</v>
      </c>
      <c r="K76">
        <v>27450</v>
      </c>
      <c r="L76">
        <v>14</v>
      </c>
      <c r="M76">
        <v>9303</v>
      </c>
      <c r="N76" t="s">
        <v>5320</v>
      </c>
      <c r="O76" t="s">
        <v>5321</v>
      </c>
      <c r="P76" t="s">
        <v>5322</v>
      </c>
      <c r="Q76" t="s">
        <v>5323</v>
      </c>
      <c r="R76">
        <v>1</v>
      </c>
      <c r="S76">
        <v>20</v>
      </c>
      <c r="T76">
        <v>0</v>
      </c>
      <c r="U76">
        <v>4</v>
      </c>
      <c r="W76">
        <v>41</v>
      </c>
      <c r="X76">
        <v>78</v>
      </c>
      <c r="AC76" t="s">
        <v>5324</v>
      </c>
      <c r="AD76" t="s">
        <v>5325</v>
      </c>
      <c r="AE76" t="s">
        <v>5326</v>
      </c>
      <c r="AQ76" t="s">
        <v>5327</v>
      </c>
    </row>
    <row r="77" spans="1:44" x14ac:dyDescent="0.2">
      <c r="A77" s="392">
        <v>45949</v>
      </c>
      <c r="B77">
        <v>2025</v>
      </c>
      <c r="C77" t="s">
        <v>5315</v>
      </c>
      <c r="D77" t="s">
        <v>5316</v>
      </c>
      <c r="E77" t="s">
        <v>5317</v>
      </c>
      <c r="F77" t="s">
        <v>5317</v>
      </c>
      <c r="H77" t="s">
        <v>5330</v>
      </c>
      <c r="J77" t="s">
        <v>5319</v>
      </c>
      <c r="K77">
        <v>27450</v>
      </c>
      <c r="L77">
        <v>15</v>
      </c>
      <c r="M77">
        <v>9304</v>
      </c>
      <c r="N77" t="s">
        <v>5320</v>
      </c>
      <c r="O77" t="s">
        <v>5321</v>
      </c>
      <c r="P77" t="s">
        <v>5322</v>
      </c>
      <c r="Q77" t="s">
        <v>5323</v>
      </c>
      <c r="R77">
        <v>1</v>
      </c>
      <c r="S77">
        <v>20</v>
      </c>
      <c r="T77">
        <v>0</v>
      </c>
      <c r="U77">
        <v>4</v>
      </c>
      <c r="W77">
        <v>42</v>
      </c>
      <c r="X77">
        <v>83</v>
      </c>
      <c r="Z77">
        <v>92075</v>
      </c>
      <c r="AA77">
        <v>42</v>
      </c>
      <c r="AB77" t="s">
        <v>5328</v>
      </c>
      <c r="AC77" t="s">
        <v>5324</v>
      </c>
      <c r="AD77" t="s">
        <v>5244</v>
      </c>
      <c r="AE77">
        <v>0</v>
      </c>
      <c r="AF77">
        <v>130768</v>
      </c>
      <c r="AQ77" t="s">
        <v>5327</v>
      </c>
      <c r="AR77" t="s">
        <v>5329</v>
      </c>
    </row>
    <row r="78" spans="1:44" x14ac:dyDescent="0.2">
      <c r="A78" s="392">
        <v>45949</v>
      </c>
      <c r="B78">
        <v>2025</v>
      </c>
      <c r="C78" t="s">
        <v>5315</v>
      </c>
      <c r="D78" t="s">
        <v>5316</v>
      </c>
      <c r="E78" t="s">
        <v>5317</v>
      </c>
      <c r="F78" t="s">
        <v>5317</v>
      </c>
      <c r="H78" t="s">
        <v>5330</v>
      </c>
      <c r="J78" t="s">
        <v>5319</v>
      </c>
      <c r="K78">
        <v>27450</v>
      </c>
      <c r="L78">
        <v>16</v>
      </c>
      <c r="M78">
        <v>9305</v>
      </c>
      <c r="N78" t="s">
        <v>5320</v>
      </c>
      <c r="O78" t="s">
        <v>5321</v>
      </c>
      <c r="P78" t="s">
        <v>5322</v>
      </c>
      <c r="Q78" t="s">
        <v>5323</v>
      </c>
      <c r="R78">
        <v>1</v>
      </c>
      <c r="S78">
        <v>20</v>
      </c>
      <c r="T78">
        <v>0</v>
      </c>
      <c r="U78">
        <v>4</v>
      </c>
      <c r="W78">
        <v>52</v>
      </c>
      <c r="X78">
        <v>84</v>
      </c>
      <c r="AC78" t="s">
        <v>5324</v>
      </c>
      <c r="AD78" t="s">
        <v>5244</v>
      </c>
      <c r="AE78" t="s">
        <v>5326</v>
      </c>
      <c r="AQ78" t="s">
        <v>5327</v>
      </c>
    </row>
    <row r="79" spans="1:44" x14ac:dyDescent="0.2">
      <c r="A79" s="392">
        <v>45949</v>
      </c>
      <c r="B79">
        <v>2025</v>
      </c>
      <c r="C79" t="s">
        <v>5315</v>
      </c>
      <c r="D79" t="s">
        <v>5316</v>
      </c>
      <c r="E79" t="s">
        <v>5317</v>
      </c>
      <c r="F79" t="s">
        <v>5317</v>
      </c>
      <c r="H79" t="s">
        <v>5330</v>
      </c>
      <c r="J79" t="s">
        <v>5319</v>
      </c>
      <c r="K79">
        <v>27450</v>
      </c>
      <c r="L79">
        <v>17</v>
      </c>
      <c r="M79">
        <v>9306</v>
      </c>
      <c r="N79" t="s">
        <v>5320</v>
      </c>
      <c r="O79" t="s">
        <v>5321</v>
      </c>
      <c r="P79" t="s">
        <v>5322</v>
      </c>
      <c r="Q79" t="s">
        <v>5323</v>
      </c>
      <c r="R79">
        <v>1</v>
      </c>
      <c r="S79">
        <v>20</v>
      </c>
      <c r="T79">
        <v>0</v>
      </c>
      <c r="U79">
        <v>4</v>
      </c>
      <c r="W79">
        <v>42</v>
      </c>
      <c r="X79">
        <v>77</v>
      </c>
      <c r="AC79" t="s">
        <v>5324</v>
      </c>
      <c r="AD79" t="s">
        <v>5244</v>
      </c>
      <c r="AE79" t="s">
        <v>5326</v>
      </c>
      <c r="AQ79" t="s">
        <v>5327</v>
      </c>
    </row>
    <row r="80" spans="1:44" x14ac:dyDescent="0.2">
      <c r="A80" s="392">
        <v>45949</v>
      </c>
      <c r="B80">
        <v>2025</v>
      </c>
      <c r="C80" t="s">
        <v>5315</v>
      </c>
      <c r="D80" t="s">
        <v>5316</v>
      </c>
      <c r="E80" t="s">
        <v>5317</v>
      </c>
      <c r="F80" t="s">
        <v>5317</v>
      </c>
      <c r="H80" t="s">
        <v>5330</v>
      </c>
      <c r="J80" t="s">
        <v>5319</v>
      </c>
      <c r="K80">
        <v>27450</v>
      </c>
      <c r="L80">
        <v>18</v>
      </c>
      <c r="M80">
        <v>9307</v>
      </c>
      <c r="N80" t="s">
        <v>5320</v>
      </c>
      <c r="O80" t="s">
        <v>5321</v>
      </c>
      <c r="P80" t="s">
        <v>5322</v>
      </c>
      <c r="Q80" t="s">
        <v>5323</v>
      </c>
      <c r="R80">
        <v>1</v>
      </c>
      <c r="S80">
        <v>20</v>
      </c>
      <c r="T80">
        <v>0</v>
      </c>
      <c r="U80">
        <v>4</v>
      </c>
      <c r="W80">
        <v>41</v>
      </c>
      <c r="X80">
        <v>68</v>
      </c>
      <c r="AC80" t="s">
        <v>5333</v>
      </c>
      <c r="AD80" t="s">
        <v>5325</v>
      </c>
      <c r="AE80" t="s">
        <v>5326</v>
      </c>
      <c r="AQ80" t="s">
        <v>5327</v>
      </c>
    </row>
    <row r="81" spans="1:44" x14ac:dyDescent="0.2">
      <c r="A81" s="392">
        <v>45949</v>
      </c>
      <c r="B81">
        <v>2025</v>
      </c>
      <c r="C81" t="s">
        <v>5315</v>
      </c>
      <c r="D81" t="s">
        <v>5316</v>
      </c>
      <c r="E81" t="s">
        <v>5317</v>
      </c>
      <c r="F81" t="s">
        <v>5317</v>
      </c>
      <c r="H81" t="s">
        <v>5330</v>
      </c>
      <c r="J81" t="s">
        <v>5319</v>
      </c>
      <c r="K81">
        <v>27450</v>
      </c>
      <c r="L81">
        <v>19</v>
      </c>
      <c r="M81">
        <v>9308</v>
      </c>
      <c r="N81" t="s">
        <v>5320</v>
      </c>
      <c r="O81" t="s">
        <v>5321</v>
      </c>
      <c r="P81" t="s">
        <v>5322</v>
      </c>
      <c r="Q81" t="s">
        <v>5323</v>
      </c>
      <c r="R81">
        <v>1</v>
      </c>
      <c r="S81">
        <v>20</v>
      </c>
      <c r="T81">
        <v>0</v>
      </c>
      <c r="U81">
        <v>4</v>
      </c>
      <c r="W81">
        <v>41</v>
      </c>
      <c r="X81">
        <v>85</v>
      </c>
      <c r="AC81" t="s">
        <v>5333</v>
      </c>
      <c r="AD81" t="s">
        <v>5325</v>
      </c>
      <c r="AE81" t="s">
        <v>5326</v>
      </c>
      <c r="AQ81" t="s">
        <v>5327</v>
      </c>
    </row>
    <row r="82" spans="1:44" x14ac:dyDescent="0.2">
      <c r="A82" s="392">
        <v>45949</v>
      </c>
      <c r="B82">
        <v>2025</v>
      </c>
      <c r="C82" t="s">
        <v>5315</v>
      </c>
      <c r="D82" t="s">
        <v>5316</v>
      </c>
      <c r="E82" t="s">
        <v>5317</v>
      </c>
      <c r="F82" t="s">
        <v>5317</v>
      </c>
      <c r="H82" t="s">
        <v>5330</v>
      </c>
      <c r="J82" t="s">
        <v>5319</v>
      </c>
      <c r="K82">
        <v>27450</v>
      </c>
      <c r="L82">
        <v>20</v>
      </c>
      <c r="M82">
        <v>9309</v>
      </c>
      <c r="N82" t="s">
        <v>5320</v>
      </c>
      <c r="O82" t="s">
        <v>5321</v>
      </c>
      <c r="P82" t="s">
        <v>5322</v>
      </c>
      <c r="Q82" t="s">
        <v>5323</v>
      </c>
      <c r="R82">
        <v>1</v>
      </c>
      <c r="S82">
        <v>20</v>
      </c>
      <c r="T82">
        <v>0</v>
      </c>
      <c r="U82">
        <v>4</v>
      </c>
      <c r="W82">
        <v>41</v>
      </c>
      <c r="X82">
        <v>67</v>
      </c>
      <c r="AC82" t="s">
        <v>5333</v>
      </c>
      <c r="AD82" t="s">
        <v>5325</v>
      </c>
      <c r="AE82" t="s">
        <v>5326</v>
      </c>
      <c r="AQ82" t="s">
        <v>5327</v>
      </c>
    </row>
    <row r="83" spans="1:44" x14ac:dyDescent="0.2">
      <c r="A83" s="392">
        <v>45956</v>
      </c>
      <c r="B83">
        <v>2025</v>
      </c>
      <c r="C83" t="s">
        <v>5315</v>
      </c>
      <c r="D83" t="s">
        <v>5316</v>
      </c>
      <c r="E83" t="s">
        <v>5317</v>
      </c>
      <c r="F83" t="s">
        <v>5317</v>
      </c>
      <c r="H83" t="s">
        <v>5330</v>
      </c>
      <c r="J83" t="s">
        <v>5319</v>
      </c>
      <c r="K83">
        <v>27301</v>
      </c>
      <c r="L83">
        <v>1</v>
      </c>
      <c r="M83">
        <v>9557</v>
      </c>
      <c r="N83" t="s">
        <v>5320</v>
      </c>
      <c r="O83" t="s">
        <v>5321</v>
      </c>
      <c r="P83" t="s">
        <v>5322</v>
      </c>
      <c r="Q83" t="s">
        <v>5323</v>
      </c>
      <c r="R83">
        <v>1</v>
      </c>
      <c r="S83">
        <v>14</v>
      </c>
      <c r="T83">
        <v>0</v>
      </c>
      <c r="U83">
        <v>2</v>
      </c>
      <c r="W83">
        <v>41</v>
      </c>
      <c r="X83">
        <v>80</v>
      </c>
      <c r="AC83" t="s">
        <v>5333</v>
      </c>
      <c r="AD83" t="s">
        <v>5244</v>
      </c>
      <c r="AE83" t="s">
        <v>5326</v>
      </c>
      <c r="AQ83" t="s">
        <v>5327</v>
      </c>
    </row>
    <row r="84" spans="1:44" x14ac:dyDescent="0.2">
      <c r="A84" s="392">
        <v>45956</v>
      </c>
      <c r="B84">
        <v>2025</v>
      </c>
      <c r="C84" t="s">
        <v>5315</v>
      </c>
      <c r="D84" t="s">
        <v>5316</v>
      </c>
      <c r="E84" t="s">
        <v>5317</v>
      </c>
      <c r="F84" t="s">
        <v>5317</v>
      </c>
      <c r="H84" t="s">
        <v>5330</v>
      </c>
      <c r="J84" t="s">
        <v>5319</v>
      </c>
      <c r="K84">
        <v>27301</v>
      </c>
      <c r="L84">
        <v>2</v>
      </c>
      <c r="M84">
        <v>9558</v>
      </c>
      <c r="N84" t="s">
        <v>5320</v>
      </c>
      <c r="O84" t="s">
        <v>5321</v>
      </c>
      <c r="P84" t="s">
        <v>5322</v>
      </c>
      <c r="Q84" t="s">
        <v>5323</v>
      </c>
      <c r="R84">
        <v>1</v>
      </c>
      <c r="S84">
        <v>14</v>
      </c>
      <c r="T84">
        <v>0</v>
      </c>
      <c r="U84">
        <v>2</v>
      </c>
      <c r="W84">
        <v>31</v>
      </c>
      <c r="X84">
        <v>65</v>
      </c>
      <c r="AC84" t="s">
        <v>5324</v>
      </c>
      <c r="AD84" t="s">
        <v>5244</v>
      </c>
      <c r="AE84" t="s">
        <v>5326</v>
      </c>
      <c r="AQ84" t="s">
        <v>5327</v>
      </c>
    </row>
    <row r="85" spans="1:44" x14ac:dyDescent="0.2">
      <c r="A85" s="392">
        <v>45956</v>
      </c>
      <c r="B85">
        <v>2025</v>
      </c>
      <c r="C85" t="s">
        <v>5315</v>
      </c>
      <c r="D85" t="s">
        <v>5316</v>
      </c>
      <c r="E85" t="s">
        <v>5317</v>
      </c>
      <c r="F85" t="s">
        <v>5317</v>
      </c>
      <c r="H85" t="s">
        <v>5330</v>
      </c>
      <c r="J85" t="s">
        <v>5319</v>
      </c>
      <c r="K85">
        <v>27301</v>
      </c>
      <c r="L85">
        <v>3</v>
      </c>
      <c r="M85">
        <v>9559</v>
      </c>
      <c r="N85" t="s">
        <v>5320</v>
      </c>
      <c r="O85" t="s">
        <v>5321</v>
      </c>
      <c r="P85" t="s">
        <v>5322</v>
      </c>
      <c r="Q85" t="s">
        <v>5323</v>
      </c>
      <c r="R85">
        <v>1</v>
      </c>
      <c r="S85">
        <v>14</v>
      </c>
      <c r="T85">
        <v>0</v>
      </c>
      <c r="U85">
        <v>2</v>
      </c>
      <c r="W85">
        <v>31</v>
      </c>
      <c r="X85">
        <v>60</v>
      </c>
      <c r="AC85" t="s">
        <v>5324</v>
      </c>
      <c r="AD85" t="s">
        <v>5244</v>
      </c>
      <c r="AE85" t="s">
        <v>5326</v>
      </c>
      <c r="AQ85" t="s">
        <v>5327</v>
      </c>
    </row>
    <row r="86" spans="1:44" x14ac:dyDescent="0.2">
      <c r="A86" s="392">
        <v>45956</v>
      </c>
      <c r="B86">
        <v>2025</v>
      </c>
      <c r="C86" t="s">
        <v>5315</v>
      </c>
      <c r="D86" t="s">
        <v>5316</v>
      </c>
      <c r="E86" t="s">
        <v>5317</v>
      </c>
      <c r="F86" t="s">
        <v>5317</v>
      </c>
      <c r="H86" t="s">
        <v>5330</v>
      </c>
      <c r="J86" t="s">
        <v>5319</v>
      </c>
      <c r="K86">
        <v>27301</v>
      </c>
      <c r="L86">
        <v>4</v>
      </c>
      <c r="M86">
        <v>9560</v>
      </c>
      <c r="N86" t="s">
        <v>5320</v>
      </c>
      <c r="O86" t="s">
        <v>5321</v>
      </c>
      <c r="P86" t="s">
        <v>5322</v>
      </c>
      <c r="Q86" t="s">
        <v>5323</v>
      </c>
      <c r="R86">
        <v>1</v>
      </c>
      <c r="S86">
        <v>14</v>
      </c>
      <c r="T86">
        <v>0</v>
      </c>
      <c r="U86">
        <v>2</v>
      </c>
      <c r="W86">
        <v>21</v>
      </c>
      <c r="X86">
        <v>48</v>
      </c>
      <c r="AC86" t="s">
        <v>5324</v>
      </c>
      <c r="AD86" t="s">
        <v>5244</v>
      </c>
      <c r="AE86" t="s">
        <v>5326</v>
      </c>
      <c r="AQ86" t="s">
        <v>5327</v>
      </c>
    </row>
    <row r="87" spans="1:44" x14ac:dyDescent="0.2">
      <c r="A87" s="392">
        <v>45956</v>
      </c>
      <c r="B87">
        <v>2025</v>
      </c>
      <c r="C87" t="s">
        <v>5315</v>
      </c>
      <c r="D87" t="s">
        <v>5316</v>
      </c>
      <c r="E87" t="s">
        <v>5317</v>
      </c>
      <c r="F87" t="s">
        <v>5317</v>
      </c>
      <c r="H87" t="s">
        <v>5330</v>
      </c>
      <c r="J87" t="s">
        <v>5319</v>
      </c>
      <c r="K87">
        <v>27301</v>
      </c>
      <c r="L87">
        <v>5</v>
      </c>
      <c r="M87">
        <v>9561</v>
      </c>
      <c r="N87" t="s">
        <v>5320</v>
      </c>
      <c r="O87" t="s">
        <v>5321</v>
      </c>
      <c r="P87" t="s">
        <v>5322</v>
      </c>
      <c r="Q87" t="s">
        <v>5323</v>
      </c>
      <c r="R87">
        <v>1</v>
      </c>
      <c r="S87">
        <v>14</v>
      </c>
      <c r="T87">
        <v>0</v>
      </c>
      <c r="U87">
        <v>2</v>
      </c>
      <c r="W87">
        <v>51</v>
      </c>
      <c r="X87">
        <v>80</v>
      </c>
      <c r="AC87" t="s">
        <v>5324</v>
      </c>
      <c r="AD87" t="s">
        <v>5244</v>
      </c>
      <c r="AE87" t="s">
        <v>5326</v>
      </c>
      <c r="AQ87" t="s">
        <v>5327</v>
      </c>
    </row>
    <row r="88" spans="1:44" x14ac:dyDescent="0.2">
      <c r="A88" s="392">
        <v>45956</v>
      </c>
      <c r="B88">
        <v>2025</v>
      </c>
      <c r="C88" t="s">
        <v>5315</v>
      </c>
      <c r="D88" t="s">
        <v>5316</v>
      </c>
      <c r="E88" t="s">
        <v>5317</v>
      </c>
      <c r="F88" t="s">
        <v>5317</v>
      </c>
      <c r="H88" t="s">
        <v>5330</v>
      </c>
      <c r="J88" t="s">
        <v>5319</v>
      </c>
      <c r="K88">
        <v>27301</v>
      </c>
      <c r="L88">
        <v>6</v>
      </c>
      <c r="M88">
        <v>9562</v>
      </c>
      <c r="N88" t="s">
        <v>5320</v>
      </c>
      <c r="O88" t="s">
        <v>5321</v>
      </c>
      <c r="P88" t="s">
        <v>5322</v>
      </c>
      <c r="Q88" t="s">
        <v>5323</v>
      </c>
      <c r="R88">
        <v>1</v>
      </c>
      <c r="S88">
        <v>14</v>
      </c>
      <c r="T88">
        <v>0</v>
      </c>
      <c r="U88">
        <v>2</v>
      </c>
      <c r="W88">
        <v>51</v>
      </c>
      <c r="X88">
        <v>80</v>
      </c>
      <c r="AC88" t="s">
        <v>5324</v>
      </c>
      <c r="AD88" t="s">
        <v>5325</v>
      </c>
      <c r="AE88" t="s">
        <v>5326</v>
      </c>
      <c r="AQ88" t="s">
        <v>5327</v>
      </c>
    </row>
    <row r="89" spans="1:44" x14ac:dyDescent="0.2">
      <c r="A89" s="392">
        <v>45956</v>
      </c>
      <c r="B89">
        <v>2025</v>
      </c>
      <c r="C89" t="s">
        <v>5315</v>
      </c>
      <c r="D89" t="s">
        <v>5316</v>
      </c>
      <c r="E89" t="s">
        <v>5317</v>
      </c>
      <c r="F89" t="s">
        <v>5317</v>
      </c>
      <c r="H89" t="s">
        <v>5330</v>
      </c>
      <c r="J89" t="s">
        <v>5319</v>
      </c>
      <c r="K89">
        <v>27301</v>
      </c>
      <c r="L89">
        <v>7</v>
      </c>
      <c r="M89">
        <v>9563</v>
      </c>
      <c r="N89" t="s">
        <v>5320</v>
      </c>
      <c r="O89" t="s">
        <v>5321</v>
      </c>
      <c r="P89" t="s">
        <v>5322</v>
      </c>
      <c r="Q89" t="s">
        <v>5323</v>
      </c>
      <c r="R89">
        <v>1</v>
      </c>
      <c r="S89">
        <v>14</v>
      </c>
      <c r="T89">
        <v>0</v>
      </c>
      <c r="U89">
        <v>2</v>
      </c>
      <c r="W89">
        <v>41</v>
      </c>
      <c r="X89">
        <v>74</v>
      </c>
      <c r="AC89" t="s">
        <v>5324</v>
      </c>
      <c r="AD89" t="s">
        <v>5325</v>
      </c>
      <c r="AE89" t="s">
        <v>5326</v>
      </c>
      <c r="AQ89" t="s">
        <v>5327</v>
      </c>
    </row>
    <row r="90" spans="1:44" x14ac:dyDescent="0.2">
      <c r="A90" s="392">
        <v>45956</v>
      </c>
      <c r="B90">
        <v>2025</v>
      </c>
      <c r="C90" t="s">
        <v>5315</v>
      </c>
      <c r="D90" t="s">
        <v>5316</v>
      </c>
      <c r="E90" t="s">
        <v>5317</v>
      </c>
      <c r="F90" t="s">
        <v>5317</v>
      </c>
      <c r="H90" t="s">
        <v>5330</v>
      </c>
      <c r="J90" t="s">
        <v>5319</v>
      </c>
      <c r="K90">
        <v>27301</v>
      </c>
      <c r="L90">
        <v>8</v>
      </c>
      <c r="M90">
        <v>9564</v>
      </c>
      <c r="N90" t="s">
        <v>5320</v>
      </c>
      <c r="O90" t="s">
        <v>5321</v>
      </c>
      <c r="P90" t="s">
        <v>5322</v>
      </c>
      <c r="Q90" t="s">
        <v>5323</v>
      </c>
      <c r="R90">
        <v>1</v>
      </c>
      <c r="S90">
        <v>14</v>
      </c>
      <c r="T90">
        <v>0</v>
      </c>
      <c r="U90">
        <v>2</v>
      </c>
      <c r="W90">
        <v>42</v>
      </c>
      <c r="X90">
        <v>74</v>
      </c>
      <c r="Z90">
        <v>92075</v>
      </c>
      <c r="AA90">
        <v>42</v>
      </c>
      <c r="AB90" t="s">
        <v>5328</v>
      </c>
      <c r="AC90" t="s">
        <v>5324</v>
      </c>
      <c r="AD90" t="s">
        <v>5244</v>
      </c>
      <c r="AE90">
        <v>0</v>
      </c>
      <c r="AF90">
        <v>130809</v>
      </c>
      <c r="AQ90" t="s">
        <v>5327</v>
      </c>
      <c r="AR90" t="s">
        <v>5329</v>
      </c>
    </row>
    <row r="91" spans="1:44" x14ac:dyDescent="0.2">
      <c r="A91" s="392">
        <v>45956</v>
      </c>
      <c r="B91">
        <v>2025</v>
      </c>
      <c r="C91" t="s">
        <v>5315</v>
      </c>
      <c r="D91" t="s">
        <v>5316</v>
      </c>
      <c r="E91" t="s">
        <v>5317</v>
      </c>
      <c r="F91" t="s">
        <v>5317</v>
      </c>
      <c r="H91" t="s">
        <v>5330</v>
      </c>
      <c r="J91" t="s">
        <v>5319</v>
      </c>
      <c r="K91">
        <v>27301</v>
      </c>
      <c r="L91">
        <v>9</v>
      </c>
      <c r="M91">
        <v>9565</v>
      </c>
      <c r="N91" t="s">
        <v>5320</v>
      </c>
      <c r="O91" t="s">
        <v>5321</v>
      </c>
      <c r="P91" t="s">
        <v>5322</v>
      </c>
      <c r="Q91" t="s">
        <v>5323</v>
      </c>
      <c r="R91">
        <v>1</v>
      </c>
      <c r="S91">
        <v>14</v>
      </c>
      <c r="T91">
        <v>0</v>
      </c>
      <c r="U91">
        <v>2</v>
      </c>
      <c r="W91">
        <v>88</v>
      </c>
      <c r="X91">
        <v>75</v>
      </c>
      <c r="AC91" t="s">
        <v>5333</v>
      </c>
      <c r="AD91" t="s">
        <v>5244</v>
      </c>
      <c r="AE91" t="s">
        <v>5326</v>
      </c>
      <c r="AQ91" t="s">
        <v>5327</v>
      </c>
    </row>
    <row r="92" spans="1:44" x14ac:dyDescent="0.2">
      <c r="A92" s="392">
        <v>45956</v>
      </c>
      <c r="B92">
        <v>2025</v>
      </c>
      <c r="C92" t="s">
        <v>5315</v>
      </c>
      <c r="D92" t="s">
        <v>5316</v>
      </c>
      <c r="E92" t="s">
        <v>5317</v>
      </c>
      <c r="F92" t="s">
        <v>5317</v>
      </c>
      <c r="H92" t="s">
        <v>5330</v>
      </c>
      <c r="J92" t="s">
        <v>5319</v>
      </c>
      <c r="K92">
        <v>27301</v>
      </c>
      <c r="L92">
        <v>10</v>
      </c>
      <c r="M92">
        <v>9566</v>
      </c>
      <c r="N92" t="s">
        <v>5320</v>
      </c>
      <c r="O92" t="s">
        <v>5321</v>
      </c>
      <c r="P92" t="s">
        <v>5322</v>
      </c>
      <c r="Q92" t="s">
        <v>5323</v>
      </c>
      <c r="R92">
        <v>1</v>
      </c>
      <c r="S92">
        <v>14</v>
      </c>
      <c r="T92">
        <v>0</v>
      </c>
      <c r="U92">
        <v>2</v>
      </c>
      <c r="W92">
        <v>31</v>
      </c>
      <c r="X92">
        <v>71</v>
      </c>
      <c r="AC92" t="s">
        <v>5333</v>
      </c>
      <c r="AD92" t="s">
        <v>5244</v>
      </c>
      <c r="AE92" t="s">
        <v>5326</v>
      </c>
      <c r="AQ92" t="s">
        <v>5327</v>
      </c>
    </row>
    <row r="93" spans="1:44" x14ac:dyDescent="0.2">
      <c r="A93" s="392">
        <v>45956</v>
      </c>
      <c r="B93">
        <v>2025</v>
      </c>
      <c r="C93" t="s">
        <v>5315</v>
      </c>
      <c r="D93" t="s">
        <v>5316</v>
      </c>
      <c r="E93" t="s">
        <v>5317</v>
      </c>
      <c r="F93" t="s">
        <v>5317</v>
      </c>
      <c r="H93" t="s">
        <v>5330</v>
      </c>
      <c r="J93" t="s">
        <v>5319</v>
      </c>
      <c r="K93">
        <v>27301</v>
      </c>
      <c r="L93">
        <v>11</v>
      </c>
      <c r="M93">
        <v>9567</v>
      </c>
      <c r="N93" t="s">
        <v>5320</v>
      </c>
      <c r="O93" t="s">
        <v>5321</v>
      </c>
      <c r="P93" t="s">
        <v>5322</v>
      </c>
      <c r="Q93" t="s">
        <v>5323</v>
      </c>
      <c r="R93">
        <v>1</v>
      </c>
      <c r="S93">
        <v>14</v>
      </c>
      <c r="T93">
        <v>0</v>
      </c>
      <c r="U93">
        <v>2</v>
      </c>
      <c r="W93">
        <v>42</v>
      </c>
      <c r="X93">
        <v>73</v>
      </c>
      <c r="Z93">
        <v>92075</v>
      </c>
      <c r="AA93">
        <v>42</v>
      </c>
      <c r="AB93" t="s">
        <v>5328</v>
      </c>
      <c r="AC93" t="s">
        <v>5324</v>
      </c>
      <c r="AD93" t="s">
        <v>5244</v>
      </c>
      <c r="AE93">
        <v>0</v>
      </c>
      <c r="AF93">
        <v>130812</v>
      </c>
      <c r="AQ93" t="s">
        <v>5327</v>
      </c>
      <c r="AR93" t="s">
        <v>5329</v>
      </c>
    </row>
    <row r="94" spans="1:44" x14ac:dyDescent="0.2">
      <c r="A94" s="392">
        <v>45956</v>
      </c>
      <c r="B94">
        <v>2025</v>
      </c>
      <c r="C94" t="s">
        <v>5315</v>
      </c>
      <c r="D94" t="s">
        <v>5316</v>
      </c>
      <c r="E94" t="s">
        <v>5317</v>
      </c>
      <c r="F94" t="s">
        <v>5317</v>
      </c>
      <c r="H94" t="s">
        <v>5330</v>
      </c>
      <c r="J94" t="s">
        <v>5319</v>
      </c>
      <c r="K94">
        <v>27301</v>
      </c>
      <c r="L94">
        <v>12</v>
      </c>
      <c r="M94">
        <v>9568</v>
      </c>
      <c r="N94" t="s">
        <v>5320</v>
      </c>
      <c r="O94" t="s">
        <v>5321</v>
      </c>
      <c r="P94" t="s">
        <v>5322</v>
      </c>
      <c r="Q94" t="s">
        <v>5323</v>
      </c>
      <c r="R94">
        <v>1</v>
      </c>
      <c r="S94">
        <v>14</v>
      </c>
      <c r="T94">
        <v>0</v>
      </c>
      <c r="U94">
        <v>2</v>
      </c>
      <c r="W94">
        <v>88</v>
      </c>
      <c r="X94">
        <v>74</v>
      </c>
      <c r="AC94" t="s">
        <v>5324</v>
      </c>
      <c r="AD94" t="s">
        <v>5325</v>
      </c>
      <c r="AE94" t="s">
        <v>5326</v>
      </c>
      <c r="AQ94" t="s">
        <v>5327</v>
      </c>
    </row>
    <row r="95" spans="1:44" x14ac:dyDescent="0.2">
      <c r="A95" s="392">
        <v>45956</v>
      </c>
      <c r="B95">
        <v>2025</v>
      </c>
      <c r="C95" t="s">
        <v>5315</v>
      </c>
      <c r="D95" t="s">
        <v>5316</v>
      </c>
      <c r="E95" t="s">
        <v>5317</v>
      </c>
      <c r="F95" t="s">
        <v>5317</v>
      </c>
      <c r="H95" t="s">
        <v>5330</v>
      </c>
      <c r="J95" t="s">
        <v>5319</v>
      </c>
      <c r="K95">
        <v>27301</v>
      </c>
      <c r="L95">
        <v>13</v>
      </c>
      <c r="M95">
        <v>9569</v>
      </c>
      <c r="N95" t="s">
        <v>5320</v>
      </c>
      <c r="O95" t="s">
        <v>5321</v>
      </c>
      <c r="P95" t="s">
        <v>5322</v>
      </c>
      <c r="Q95" t="s">
        <v>5323</v>
      </c>
      <c r="R95">
        <v>1</v>
      </c>
      <c r="S95">
        <v>14</v>
      </c>
      <c r="T95">
        <v>0</v>
      </c>
      <c r="U95">
        <v>2</v>
      </c>
      <c r="W95">
        <v>41</v>
      </c>
      <c r="X95">
        <v>63</v>
      </c>
      <c r="AC95" t="s">
        <v>5324</v>
      </c>
      <c r="AD95" t="s">
        <v>5244</v>
      </c>
      <c r="AE95" t="s">
        <v>5326</v>
      </c>
      <c r="AQ95" t="s">
        <v>5327</v>
      </c>
    </row>
    <row r="96" spans="1:44" x14ac:dyDescent="0.2">
      <c r="A96" s="392">
        <v>45956</v>
      </c>
      <c r="B96">
        <v>2025</v>
      </c>
      <c r="C96" t="s">
        <v>5315</v>
      </c>
      <c r="D96" t="s">
        <v>5316</v>
      </c>
      <c r="E96" t="s">
        <v>5317</v>
      </c>
      <c r="F96" t="s">
        <v>5317</v>
      </c>
      <c r="H96" t="s">
        <v>5330</v>
      </c>
      <c r="J96" t="s">
        <v>5319</v>
      </c>
      <c r="K96">
        <v>27301</v>
      </c>
      <c r="L96">
        <v>14</v>
      </c>
      <c r="M96">
        <v>9570</v>
      </c>
      <c r="N96" t="s">
        <v>5320</v>
      </c>
      <c r="O96" t="s">
        <v>5321</v>
      </c>
      <c r="P96" t="s">
        <v>5322</v>
      </c>
      <c r="Q96" t="s">
        <v>5323</v>
      </c>
      <c r="R96">
        <v>1</v>
      </c>
      <c r="S96">
        <v>14</v>
      </c>
      <c r="T96">
        <v>0</v>
      </c>
      <c r="U96">
        <v>2</v>
      </c>
      <c r="W96">
        <v>41</v>
      </c>
      <c r="X96">
        <v>83</v>
      </c>
      <c r="AC96" t="s">
        <v>5324</v>
      </c>
      <c r="AD96" t="s">
        <v>5325</v>
      </c>
      <c r="AE96" t="s">
        <v>5326</v>
      </c>
      <c r="AQ96" t="s">
        <v>5327</v>
      </c>
    </row>
    <row r="97" spans="1:44" x14ac:dyDescent="0.2">
      <c r="A97" s="392">
        <v>45963</v>
      </c>
      <c r="B97">
        <v>2025</v>
      </c>
      <c r="C97" t="s">
        <v>5315</v>
      </c>
      <c r="D97" t="s">
        <v>5316</v>
      </c>
      <c r="E97" t="s">
        <v>5317</v>
      </c>
      <c r="F97" t="s">
        <v>5317</v>
      </c>
      <c r="H97" t="s">
        <v>5318</v>
      </c>
      <c r="J97" t="s">
        <v>5319</v>
      </c>
      <c r="K97">
        <v>27303</v>
      </c>
      <c r="L97">
        <v>3</v>
      </c>
      <c r="M97">
        <v>9532</v>
      </c>
      <c r="N97" t="s">
        <v>5320</v>
      </c>
      <c r="O97" t="s">
        <v>5321</v>
      </c>
      <c r="P97" t="s">
        <v>5322</v>
      </c>
      <c r="Q97" t="s">
        <v>5323</v>
      </c>
      <c r="R97">
        <v>1</v>
      </c>
      <c r="S97">
        <v>10</v>
      </c>
      <c r="T97">
        <v>0</v>
      </c>
      <c r="U97">
        <v>4</v>
      </c>
      <c r="V97" t="s">
        <v>5335</v>
      </c>
      <c r="X97">
        <v>72</v>
      </c>
      <c r="Z97">
        <v>92075</v>
      </c>
      <c r="AA97">
        <v>42</v>
      </c>
      <c r="AB97" t="s">
        <v>5328</v>
      </c>
      <c r="AC97" t="s">
        <v>5324</v>
      </c>
      <c r="AD97" t="s">
        <v>5244</v>
      </c>
      <c r="AE97">
        <v>0</v>
      </c>
      <c r="AF97">
        <v>128811</v>
      </c>
      <c r="AQ97" t="s">
        <v>5327</v>
      </c>
      <c r="AR97" t="s">
        <v>5329</v>
      </c>
    </row>
    <row r="98" spans="1:44" x14ac:dyDescent="0.2">
      <c r="A98" s="392">
        <v>45963</v>
      </c>
      <c r="B98">
        <v>2025</v>
      </c>
      <c r="C98" t="s">
        <v>5315</v>
      </c>
      <c r="D98" t="s">
        <v>5316</v>
      </c>
      <c r="E98" t="s">
        <v>5317</v>
      </c>
      <c r="F98" t="s">
        <v>5317</v>
      </c>
      <c r="H98" t="s">
        <v>5318</v>
      </c>
      <c r="J98" t="s">
        <v>5319</v>
      </c>
      <c r="K98">
        <v>27303</v>
      </c>
      <c r="L98">
        <v>4</v>
      </c>
      <c r="M98">
        <v>9533</v>
      </c>
      <c r="N98" t="s">
        <v>5320</v>
      </c>
      <c r="O98" t="s">
        <v>5321</v>
      </c>
      <c r="P98" t="s">
        <v>5322</v>
      </c>
      <c r="Q98" t="s">
        <v>5323</v>
      </c>
      <c r="R98">
        <v>1</v>
      </c>
      <c r="S98">
        <v>10</v>
      </c>
      <c r="T98">
        <v>0</v>
      </c>
      <c r="U98">
        <v>4</v>
      </c>
      <c r="V98" t="s">
        <v>5335</v>
      </c>
      <c r="X98">
        <v>63</v>
      </c>
      <c r="AC98" t="s">
        <v>5324</v>
      </c>
      <c r="AD98" t="s">
        <v>5244</v>
      </c>
      <c r="AE98" t="s">
        <v>5326</v>
      </c>
      <c r="AQ98" t="s">
        <v>5327</v>
      </c>
    </row>
    <row r="99" spans="1:44" x14ac:dyDescent="0.2">
      <c r="A99" s="392">
        <v>45963</v>
      </c>
      <c r="B99">
        <v>2025</v>
      </c>
      <c r="C99" t="s">
        <v>5315</v>
      </c>
      <c r="D99" t="s">
        <v>5316</v>
      </c>
      <c r="E99" t="s">
        <v>5317</v>
      </c>
      <c r="F99" t="s">
        <v>5317</v>
      </c>
      <c r="H99" t="s">
        <v>5318</v>
      </c>
      <c r="J99" t="s">
        <v>5319</v>
      </c>
      <c r="K99">
        <v>27303</v>
      </c>
      <c r="L99">
        <v>5</v>
      </c>
      <c r="M99">
        <v>9534</v>
      </c>
      <c r="N99" t="s">
        <v>5320</v>
      </c>
      <c r="O99" t="s">
        <v>5321</v>
      </c>
      <c r="P99" t="s">
        <v>5322</v>
      </c>
      <c r="Q99" t="s">
        <v>5323</v>
      </c>
      <c r="R99">
        <v>1</v>
      </c>
      <c r="S99">
        <v>10</v>
      </c>
      <c r="T99">
        <v>0</v>
      </c>
      <c r="U99">
        <v>4</v>
      </c>
      <c r="V99" t="s">
        <v>5335</v>
      </c>
      <c r="X99">
        <v>55</v>
      </c>
      <c r="AC99" t="s">
        <v>5324</v>
      </c>
      <c r="AD99" t="s">
        <v>5244</v>
      </c>
      <c r="AE99" t="s">
        <v>5326</v>
      </c>
      <c r="AQ99" t="s">
        <v>5327</v>
      </c>
    </row>
    <row r="100" spans="1:44" x14ac:dyDescent="0.2">
      <c r="A100" s="392">
        <v>45963</v>
      </c>
      <c r="B100">
        <v>2025</v>
      </c>
      <c r="C100" t="s">
        <v>5315</v>
      </c>
      <c r="D100" t="s">
        <v>5316</v>
      </c>
      <c r="E100" t="s">
        <v>5317</v>
      </c>
      <c r="F100" t="s">
        <v>5317</v>
      </c>
      <c r="H100" t="s">
        <v>5318</v>
      </c>
      <c r="J100" t="s">
        <v>5319</v>
      </c>
      <c r="K100">
        <v>27303</v>
      </c>
      <c r="L100">
        <v>6</v>
      </c>
      <c r="M100">
        <v>9535</v>
      </c>
      <c r="N100" t="s">
        <v>5320</v>
      </c>
      <c r="O100" t="s">
        <v>5321</v>
      </c>
      <c r="P100" t="s">
        <v>5322</v>
      </c>
      <c r="Q100" t="s">
        <v>5323</v>
      </c>
      <c r="R100">
        <v>1</v>
      </c>
      <c r="S100">
        <v>10</v>
      </c>
      <c r="T100">
        <v>0</v>
      </c>
      <c r="U100">
        <v>4</v>
      </c>
      <c r="V100" t="s">
        <v>5335</v>
      </c>
      <c r="X100">
        <v>79</v>
      </c>
      <c r="Z100">
        <v>91670</v>
      </c>
      <c r="AA100">
        <v>52</v>
      </c>
      <c r="AB100" t="s">
        <v>5328</v>
      </c>
      <c r="AC100" t="s">
        <v>5324</v>
      </c>
      <c r="AD100" t="s">
        <v>5244</v>
      </c>
      <c r="AE100">
        <v>0</v>
      </c>
      <c r="AF100">
        <v>130810</v>
      </c>
      <c r="AQ100" t="s">
        <v>5327</v>
      </c>
      <c r="AR100" t="s">
        <v>5329</v>
      </c>
    </row>
    <row r="101" spans="1:44" x14ac:dyDescent="0.2">
      <c r="A101" s="392">
        <v>45963</v>
      </c>
      <c r="B101">
        <v>2025</v>
      </c>
      <c r="C101" t="s">
        <v>5315</v>
      </c>
      <c r="D101" t="s">
        <v>5316</v>
      </c>
      <c r="E101" t="s">
        <v>5317</v>
      </c>
      <c r="F101" t="s">
        <v>5317</v>
      </c>
      <c r="H101" t="s">
        <v>5318</v>
      </c>
      <c r="J101" t="s">
        <v>5319</v>
      </c>
      <c r="K101">
        <v>27303</v>
      </c>
      <c r="L101">
        <v>7</v>
      </c>
      <c r="M101">
        <v>9536</v>
      </c>
      <c r="N101" t="s">
        <v>5320</v>
      </c>
      <c r="O101" t="s">
        <v>5321</v>
      </c>
      <c r="P101" t="s">
        <v>5322</v>
      </c>
      <c r="Q101" t="s">
        <v>5323</v>
      </c>
      <c r="R101">
        <v>1</v>
      </c>
      <c r="S101">
        <v>10</v>
      </c>
      <c r="T101">
        <v>0</v>
      </c>
      <c r="U101">
        <v>4</v>
      </c>
      <c r="V101" t="s">
        <v>5335</v>
      </c>
      <c r="X101">
        <v>70</v>
      </c>
      <c r="Z101">
        <v>92075</v>
      </c>
      <c r="AA101">
        <v>42</v>
      </c>
      <c r="AB101" t="s">
        <v>5328</v>
      </c>
      <c r="AC101" t="s">
        <v>5333</v>
      </c>
      <c r="AD101" t="s">
        <v>5244</v>
      </c>
      <c r="AE101">
        <v>0</v>
      </c>
      <c r="AF101">
        <v>130811</v>
      </c>
      <c r="AQ101" t="s">
        <v>5327</v>
      </c>
      <c r="AR101" t="s">
        <v>5329</v>
      </c>
    </row>
    <row r="102" spans="1:44" x14ac:dyDescent="0.2">
      <c r="A102" s="392">
        <v>45963</v>
      </c>
      <c r="B102">
        <v>2025</v>
      </c>
      <c r="C102" t="s">
        <v>5315</v>
      </c>
      <c r="D102" t="s">
        <v>5316</v>
      </c>
      <c r="E102" t="s">
        <v>5317</v>
      </c>
      <c r="F102" t="s">
        <v>5317</v>
      </c>
      <c r="H102" t="s">
        <v>5318</v>
      </c>
      <c r="J102" t="s">
        <v>5319</v>
      </c>
      <c r="K102">
        <v>27303</v>
      </c>
      <c r="L102">
        <v>8</v>
      </c>
      <c r="M102">
        <v>9537</v>
      </c>
      <c r="N102" t="s">
        <v>5320</v>
      </c>
      <c r="O102" t="s">
        <v>5321</v>
      </c>
      <c r="P102" t="s">
        <v>5322</v>
      </c>
      <c r="Q102" t="s">
        <v>5323</v>
      </c>
      <c r="R102">
        <v>1</v>
      </c>
      <c r="S102">
        <v>10</v>
      </c>
      <c r="T102">
        <v>0</v>
      </c>
      <c r="U102">
        <v>4</v>
      </c>
      <c r="V102" t="s">
        <v>5335</v>
      </c>
      <c r="X102">
        <v>76</v>
      </c>
      <c r="Z102">
        <v>92075</v>
      </c>
      <c r="AA102">
        <v>42</v>
      </c>
      <c r="AB102" t="s">
        <v>5328</v>
      </c>
      <c r="AC102" t="s">
        <v>5333</v>
      </c>
      <c r="AD102" t="s">
        <v>5244</v>
      </c>
      <c r="AE102">
        <v>0</v>
      </c>
      <c r="AF102">
        <v>128813</v>
      </c>
      <c r="AQ102" t="s">
        <v>5327</v>
      </c>
      <c r="AR102" t="s">
        <v>5329</v>
      </c>
    </row>
    <row r="103" spans="1:44" x14ac:dyDescent="0.2">
      <c r="A103" s="392">
        <v>45963</v>
      </c>
      <c r="B103">
        <v>2025</v>
      </c>
      <c r="C103" t="s">
        <v>5315</v>
      </c>
      <c r="D103" t="s">
        <v>5316</v>
      </c>
      <c r="E103" t="s">
        <v>5317</v>
      </c>
      <c r="F103" t="s">
        <v>5317</v>
      </c>
      <c r="H103" t="s">
        <v>5318</v>
      </c>
      <c r="J103" t="s">
        <v>5319</v>
      </c>
      <c r="K103">
        <v>27303</v>
      </c>
      <c r="L103">
        <v>9</v>
      </c>
      <c r="M103">
        <v>9538</v>
      </c>
      <c r="N103" t="s">
        <v>5320</v>
      </c>
      <c r="O103" t="s">
        <v>5321</v>
      </c>
      <c r="P103" t="s">
        <v>5322</v>
      </c>
      <c r="Q103" t="s">
        <v>5323</v>
      </c>
      <c r="R103">
        <v>1</v>
      </c>
      <c r="S103">
        <v>10</v>
      </c>
      <c r="T103">
        <v>0</v>
      </c>
      <c r="U103">
        <v>4</v>
      </c>
      <c r="V103" t="s">
        <v>5335</v>
      </c>
      <c r="X103">
        <v>62</v>
      </c>
      <c r="AC103" t="s">
        <v>5324</v>
      </c>
      <c r="AD103" t="s">
        <v>5244</v>
      </c>
      <c r="AE103" t="s">
        <v>5326</v>
      </c>
      <c r="AQ103" t="s">
        <v>5327</v>
      </c>
    </row>
    <row r="104" spans="1:44" x14ac:dyDescent="0.2">
      <c r="A104" s="392">
        <v>45963</v>
      </c>
      <c r="B104">
        <v>2025</v>
      </c>
      <c r="C104" t="s">
        <v>5315</v>
      </c>
      <c r="D104" t="s">
        <v>5316</v>
      </c>
      <c r="E104" t="s">
        <v>5317</v>
      </c>
      <c r="F104" t="s">
        <v>5317</v>
      </c>
      <c r="H104" t="s">
        <v>5318</v>
      </c>
      <c r="J104" t="s">
        <v>5319</v>
      </c>
      <c r="K104">
        <v>27303</v>
      </c>
      <c r="L104">
        <v>10</v>
      </c>
      <c r="M104">
        <v>9539</v>
      </c>
      <c r="N104" t="s">
        <v>5320</v>
      </c>
      <c r="O104" t="s">
        <v>5321</v>
      </c>
      <c r="P104" t="s">
        <v>5322</v>
      </c>
      <c r="Q104" t="s">
        <v>5323</v>
      </c>
      <c r="R104">
        <v>1</v>
      </c>
      <c r="S104">
        <v>10</v>
      </c>
      <c r="T104">
        <v>0</v>
      </c>
      <c r="U104">
        <v>4</v>
      </c>
      <c r="V104" t="s">
        <v>5335</v>
      </c>
      <c r="X104">
        <v>71</v>
      </c>
      <c r="AC104" t="s">
        <v>5333</v>
      </c>
      <c r="AD104" t="s">
        <v>5244</v>
      </c>
      <c r="AE104" t="s">
        <v>5326</v>
      </c>
      <c r="AQ104" t="s">
        <v>5327</v>
      </c>
    </row>
    <row r="105" spans="1:44" x14ac:dyDescent="0.2">
      <c r="A105" s="392">
        <v>45963</v>
      </c>
      <c r="B105">
        <v>2025</v>
      </c>
      <c r="C105" t="s">
        <v>5315</v>
      </c>
      <c r="D105" t="s">
        <v>5316</v>
      </c>
      <c r="E105" t="s">
        <v>5317</v>
      </c>
      <c r="F105" t="s">
        <v>5317</v>
      </c>
      <c r="H105" t="s">
        <v>5318</v>
      </c>
      <c r="J105" t="s">
        <v>5319</v>
      </c>
      <c r="K105">
        <v>27311</v>
      </c>
      <c r="L105">
        <v>1</v>
      </c>
      <c r="M105">
        <v>9540</v>
      </c>
      <c r="N105" t="s">
        <v>5320</v>
      </c>
      <c r="O105" t="s">
        <v>5321</v>
      </c>
      <c r="P105" t="s">
        <v>5322</v>
      </c>
      <c r="Q105" t="s">
        <v>5323</v>
      </c>
      <c r="R105">
        <v>1</v>
      </c>
      <c r="S105">
        <v>15</v>
      </c>
      <c r="T105">
        <v>0</v>
      </c>
      <c r="U105">
        <v>7</v>
      </c>
      <c r="W105">
        <v>42</v>
      </c>
      <c r="X105">
        <v>75</v>
      </c>
      <c r="AC105" t="s">
        <v>5324</v>
      </c>
      <c r="AD105" t="s">
        <v>5244</v>
      </c>
      <c r="AE105" t="s">
        <v>5326</v>
      </c>
      <c r="AQ105" t="s">
        <v>5327</v>
      </c>
    </row>
    <row r="106" spans="1:44" x14ac:dyDescent="0.2">
      <c r="A106" s="392">
        <v>45963</v>
      </c>
      <c r="B106">
        <v>2025</v>
      </c>
      <c r="C106" t="s">
        <v>5315</v>
      </c>
      <c r="D106" t="s">
        <v>5316</v>
      </c>
      <c r="E106" t="s">
        <v>5317</v>
      </c>
      <c r="F106" t="s">
        <v>5317</v>
      </c>
      <c r="H106" t="s">
        <v>5318</v>
      </c>
      <c r="J106" t="s">
        <v>5319</v>
      </c>
      <c r="K106">
        <v>27311</v>
      </c>
      <c r="L106">
        <v>2</v>
      </c>
      <c r="M106">
        <v>9541</v>
      </c>
      <c r="N106" t="s">
        <v>5320</v>
      </c>
      <c r="O106" t="s">
        <v>5321</v>
      </c>
      <c r="P106" t="s">
        <v>5322</v>
      </c>
      <c r="Q106" t="s">
        <v>5323</v>
      </c>
      <c r="R106">
        <v>1</v>
      </c>
      <c r="S106">
        <v>15</v>
      </c>
      <c r="T106">
        <v>0</v>
      </c>
      <c r="U106">
        <v>7</v>
      </c>
      <c r="W106">
        <v>42</v>
      </c>
      <c r="X106">
        <v>73</v>
      </c>
      <c r="Z106">
        <v>92075</v>
      </c>
      <c r="AA106">
        <v>42</v>
      </c>
      <c r="AB106" t="s">
        <v>5328</v>
      </c>
      <c r="AC106" t="s">
        <v>5333</v>
      </c>
      <c r="AD106" t="s">
        <v>5244</v>
      </c>
      <c r="AE106">
        <v>0</v>
      </c>
      <c r="AF106">
        <v>127735</v>
      </c>
      <c r="AQ106" t="s">
        <v>5327</v>
      </c>
      <c r="AR106" t="s">
        <v>5329</v>
      </c>
    </row>
    <row r="107" spans="1:44" x14ac:dyDescent="0.2">
      <c r="A107" s="392">
        <v>45963</v>
      </c>
      <c r="B107">
        <v>2025</v>
      </c>
      <c r="C107" t="s">
        <v>5315</v>
      </c>
      <c r="D107" t="s">
        <v>5316</v>
      </c>
      <c r="E107" t="s">
        <v>5317</v>
      </c>
      <c r="F107" t="s">
        <v>5317</v>
      </c>
      <c r="H107" t="s">
        <v>5318</v>
      </c>
      <c r="J107" t="s">
        <v>5319</v>
      </c>
      <c r="K107">
        <v>27311</v>
      </c>
      <c r="L107">
        <v>3</v>
      </c>
      <c r="M107">
        <v>9542</v>
      </c>
      <c r="N107" t="s">
        <v>5320</v>
      </c>
      <c r="O107" t="s">
        <v>5321</v>
      </c>
      <c r="P107" t="s">
        <v>5322</v>
      </c>
      <c r="Q107" t="s">
        <v>5323</v>
      </c>
      <c r="R107">
        <v>1</v>
      </c>
      <c r="S107">
        <v>15</v>
      </c>
      <c r="T107">
        <v>0</v>
      </c>
      <c r="U107">
        <v>7</v>
      </c>
      <c r="W107">
        <v>41</v>
      </c>
      <c r="X107">
        <v>79</v>
      </c>
      <c r="AC107" t="s">
        <v>5324</v>
      </c>
      <c r="AD107" t="s">
        <v>5244</v>
      </c>
      <c r="AE107" t="s">
        <v>5326</v>
      </c>
      <c r="AQ107" t="s">
        <v>5327</v>
      </c>
    </row>
    <row r="108" spans="1:44" x14ac:dyDescent="0.2">
      <c r="A108" s="392">
        <v>45963</v>
      </c>
      <c r="B108">
        <v>2025</v>
      </c>
      <c r="C108" t="s">
        <v>5315</v>
      </c>
      <c r="D108" t="s">
        <v>5316</v>
      </c>
      <c r="E108" t="s">
        <v>5317</v>
      </c>
      <c r="F108" t="s">
        <v>5317</v>
      </c>
      <c r="H108" t="s">
        <v>5318</v>
      </c>
      <c r="J108" t="s">
        <v>5319</v>
      </c>
      <c r="K108">
        <v>27311</v>
      </c>
      <c r="L108">
        <v>4</v>
      </c>
      <c r="M108">
        <v>9543</v>
      </c>
      <c r="N108" t="s">
        <v>5320</v>
      </c>
      <c r="O108" t="s">
        <v>5321</v>
      </c>
      <c r="P108" t="s">
        <v>5322</v>
      </c>
      <c r="Q108" t="s">
        <v>5323</v>
      </c>
      <c r="R108">
        <v>1</v>
      </c>
      <c r="S108">
        <v>15</v>
      </c>
      <c r="T108">
        <v>0</v>
      </c>
      <c r="U108">
        <v>7</v>
      </c>
      <c r="W108">
        <v>42</v>
      </c>
      <c r="X108">
        <v>80</v>
      </c>
      <c r="Z108">
        <v>92075</v>
      </c>
      <c r="AA108">
        <v>42</v>
      </c>
      <c r="AB108" t="s">
        <v>5328</v>
      </c>
      <c r="AC108" t="s">
        <v>5324</v>
      </c>
      <c r="AD108" t="s">
        <v>5244</v>
      </c>
      <c r="AE108">
        <v>0</v>
      </c>
      <c r="AF108">
        <v>127736</v>
      </c>
      <c r="AQ108" t="s">
        <v>5327</v>
      </c>
      <c r="AR108" t="s">
        <v>5329</v>
      </c>
    </row>
    <row r="109" spans="1:44" x14ac:dyDescent="0.2">
      <c r="A109" s="392">
        <v>45963</v>
      </c>
      <c r="B109">
        <v>2025</v>
      </c>
      <c r="C109" t="s">
        <v>5315</v>
      </c>
      <c r="D109" t="s">
        <v>5316</v>
      </c>
      <c r="E109" t="s">
        <v>5317</v>
      </c>
      <c r="F109" t="s">
        <v>5317</v>
      </c>
      <c r="H109" t="s">
        <v>5318</v>
      </c>
      <c r="J109" t="s">
        <v>5319</v>
      </c>
      <c r="K109">
        <v>27311</v>
      </c>
      <c r="L109">
        <v>5</v>
      </c>
      <c r="M109">
        <v>9544</v>
      </c>
      <c r="N109" t="s">
        <v>5320</v>
      </c>
      <c r="O109" t="s">
        <v>5321</v>
      </c>
      <c r="P109" t="s">
        <v>5322</v>
      </c>
      <c r="Q109" t="s">
        <v>5323</v>
      </c>
      <c r="R109">
        <v>1</v>
      </c>
      <c r="S109">
        <v>15</v>
      </c>
      <c r="T109">
        <v>0</v>
      </c>
      <c r="U109">
        <v>7</v>
      </c>
      <c r="W109">
        <v>52</v>
      </c>
      <c r="X109">
        <v>74</v>
      </c>
      <c r="Z109">
        <v>91670</v>
      </c>
      <c r="AA109">
        <v>52</v>
      </c>
      <c r="AB109" t="s">
        <v>5328</v>
      </c>
      <c r="AC109" t="s">
        <v>5324</v>
      </c>
      <c r="AD109" t="s">
        <v>5244</v>
      </c>
      <c r="AE109">
        <v>0</v>
      </c>
      <c r="AF109">
        <v>130769</v>
      </c>
      <c r="AQ109" t="s">
        <v>5327</v>
      </c>
      <c r="AR109" t="s">
        <v>5329</v>
      </c>
    </row>
    <row r="110" spans="1:44" x14ac:dyDescent="0.2">
      <c r="A110" s="392">
        <v>45963</v>
      </c>
      <c r="B110">
        <v>2025</v>
      </c>
      <c r="C110" t="s">
        <v>5315</v>
      </c>
      <c r="D110" t="s">
        <v>5316</v>
      </c>
      <c r="E110" t="s">
        <v>5317</v>
      </c>
      <c r="F110" t="s">
        <v>5317</v>
      </c>
      <c r="H110" t="s">
        <v>5318</v>
      </c>
      <c r="J110" t="s">
        <v>5319</v>
      </c>
      <c r="K110">
        <v>27311</v>
      </c>
      <c r="L110">
        <v>6</v>
      </c>
      <c r="M110">
        <v>9545</v>
      </c>
      <c r="N110" t="s">
        <v>5320</v>
      </c>
      <c r="O110" t="s">
        <v>5321</v>
      </c>
      <c r="P110" t="s">
        <v>5322</v>
      </c>
      <c r="Q110" t="s">
        <v>5323</v>
      </c>
      <c r="R110">
        <v>1</v>
      </c>
      <c r="S110">
        <v>15</v>
      </c>
      <c r="T110">
        <v>0</v>
      </c>
      <c r="U110">
        <v>7</v>
      </c>
      <c r="W110">
        <v>42</v>
      </c>
      <c r="X110">
        <v>74</v>
      </c>
      <c r="AC110" t="s">
        <v>5333</v>
      </c>
      <c r="AD110" t="s">
        <v>5244</v>
      </c>
      <c r="AE110" t="s">
        <v>5326</v>
      </c>
      <c r="AQ110" t="s">
        <v>5327</v>
      </c>
    </row>
    <row r="111" spans="1:44" x14ac:dyDescent="0.2">
      <c r="A111" s="392">
        <v>45963</v>
      </c>
      <c r="B111">
        <v>2025</v>
      </c>
      <c r="C111" t="s">
        <v>5315</v>
      </c>
      <c r="D111" t="s">
        <v>5316</v>
      </c>
      <c r="E111" t="s">
        <v>5317</v>
      </c>
      <c r="F111" t="s">
        <v>5317</v>
      </c>
      <c r="H111" t="s">
        <v>5318</v>
      </c>
      <c r="J111" t="s">
        <v>5319</v>
      </c>
      <c r="K111">
        <v>27311</v>
      </c>
      <c r="L111">
        <v>7</v>
      </c>
      <c r="M111">
        <v>9546</v>
      </c>
      <c r="N111" t="s">
        <v>5320</v>
      </c>
      <c r="O111" t="s">
        <v>5321</v>
      </c>
      <c r="P111" t="s">
        <v>5322</v>
      </c>
      <c r="Q111" t="s">
        <v>5323</v>
      </c>
      <c r="R111">
        <v>1</v>
      </c>
      <c r="S111">
        <v>15</v>
      </c>
      <c r="T111">
        <v>0</v>
      </c>
      <c r="U111">
        <v>7</v>
      </c>
      <c r="W111">
        <v>41</v>
      </c>
      <c r="X111">
        <v>76</v>
      </c>
      <c r="AC111" t="s">
        <v>5324</v>
      </c>
      <c r="AD111" t="s">
        <v>5244</v>
      </c>
      <c r="AE111" t="s">
        <v>5326</v>
      </c>
      <c r="AQ111" t="s">
        <v>5327</v>
      </c>
    </row>
    <row r="112" spans="1:44" x14ac:dyDescent="0.2">
      <c r="A112" s="392">
        <v>45963</v>
      </c>
      <c r="B112">
        <v>2025</v>
      </c>
      <c r="C112" t="s">
        <v>5315</v>
      </c>
      <c r="D112" t="s">
        <v>5316</v>
      </c>
      <c r="E112" t="s">
        <v>5317</v>
      </c>
      <c r="F112" t="s">
        <v>5317</v>
      </c>
      <c r="H112" t="s">
        <v>5318</v>
      </c>
      <c r="J112" t="s">
        <v>5319</v>
      </c>
      <c r="K112">
        <v>27311</v>
      </c>
      <c r="L112">
        <v>8</v>
      </c>
      <c r="M112">
        <v>9547</v>
      </c>
      <c r="N112" t="s">
        <v>5320</v>
      </c>
      <c r="O112" t="s">
        <v>5321</v>
      </c>
      <c r="P112" t="s">
        <v>5322</v>
      </c>
      <c r="Q112" t="s">
        <v>5323</v>
      </c>
      <c r="R112">
        <v>1</v>
      </c>
      <c r="S112">
        <v>15</v>
      </c>
      <c r="T112">
        <v>0</v>
      </c>
      <c r="U112">
        <v>7</v>
      </c>
      <c r="W112">
        <v>41</v>
      </c>
      <c r="X112">
        <v>76</v>
      </c>
      <c r="Z112">
        <v>92075</v>
      </c>
      <c r="AA112">
        <v>42</v>
      </c>
      <c r="AB112" t="s">
        <v>5328</v>
      </c>
      <c r="AC112" t="s">
        <v>5333</v>
      </c>
      <c r="AD112" t="s">
        <v>5244</v>
      </c>
      <c r="AE112">
        <v>0</v>
      </c>
      <c r="AF112">
        <v>130771</v>
      </c>
      <c r="AQ112" t="s">
        <v>5327</v>
      </c>
      <c r="AR112" t="s">
        <v>5329</v>
      </c>
    </row>
    <row r="113" spans="1:44" x14ac:dyDescent="0.2">
      <c r="A113" s="392">
        <v>45963</v>
      </c>
      <c r="B113">
        <v>2025</v>
      </c>
      <c r="C113" t="s">
        <v>5315</v>
      </c>
      <c r="D113" t="s">
        <v>5316</v>
      </c>
      <c r="E113" t="s">
        <v>5317</v>
      </c>
      <c r="F113" t="s">
        <v>5317</v>
      </c>
      <c r="H113" t="s">
        <v>5318</v>
      </c>
      <c r="J113" t="s">
        <v>5319</v>
      </c>
      <c r="K113">
        <v>27311</v>
      </c>
      <c r="L113">
        <v>9</v>
      </c>
      <c r="M113">
        <v>9548</v>
      </c>
      <c r="N113" t="s">
        <v>5320</v>
      </c>
      <c r="O113" t="s">
        <v>5321</v>
      </c>
      <c r="P113" t="s">
        <v>5322</v>
      </c>
      <c r="Q113" t="s">
        <v>5323</v>
      </c>
      <c r="R113">
        <v>1</v>
      </c>
      <c r="S113">
        <v>15</v>
      </c>
      <c r="T113">
        <v>0</v>
      </c>
      <c r="U113">
        <v>7</v>
      </c>
      <c r="W113">
        <v>41</v>
      </c>
      <c r="X113">
        <v>80</v>
      </c>
      <c r="AC113" t="s">
        <v>5333</v>
      </c>
      <c r="AD113" t="s">
        <v>5325</v>
      </c>
      <c r="AE113" t="s">
        <v>5326</v>
      </c>
      <c r="AQ113" t="s">
        <v>5327</v>
      </c>
    </row>
    <row r="114" spans="1:44" x14ac:dyDescent="0.2">
      <c r="A114" s="392">
        <v>45963</v>
      </c>
      <c r="B114">
        <v>2025</v>
      </c>
      <c r="C114" t="s">
        <v>5315</v>
      </c>
      <c r="D114" t="s">
        <v>5316</v>
      </c>
      <c r="E114" t="s">
        <v>5317</v>
      </c>
      <c r="F114" t="s">
        <v>5317</v>
      </c>
      <c r="H114" t="s">
        <v>5318</v>
      </c>
      <c r="J114" t="s">
        <v>5319</v>
      </c>
      <c r="K114">
        <v>27311</v>
      </c>
      <c r="L114">
        <v>10</v>
      </c>
      <c r="M114">
        <v>9549</v>
      </c>
      <c r="N114" t="s">
        <v>5320</v>
      </c>
      <c r="O114" t="s">
        <v>5321</v>
      </c>
      <c r="P114" t="s">
        <v>5322</v>
      </c>
      <c r="Q114" t="s">
        <v>5323</v>
      </c>
      <c r="R114">
        <v>1</v>
      </c>
      <c r="S114">
        <v>15</v>
      </c>
      <c r="T114">
        <v>0</v>
      </c>
      <c r="U114">
        <v>7</v>
      </c>
      <c r="W114">
        <v>42</v>
      </c>
      <c r="X114">
        <v>67</v>
      </c>
      <c r="Z114">
        <v>92075</v>
      </c>
      <c r="AA114">
        <v>42</v>
      </c>
      <c r="AB114" t="s">
        <v>5328</v>
      </c>
      <c r="AC114" t="s">
        <v>5333</v>
      </c>
      <c r="AD114" t="s">
        <v>5244</v>
      </c>
      <c r="AE114">
        <v>0</v>
      </c>
      <c r="AF114">
        <v>128812</v>
      </c>
      <c r="AQ114" t="s">
        <v>5327</v>
      </c>
      <c r="AR114" t="s">
        <v>5329</v>
      </c>
    </row>
    <row r="115" spans="1:44" x14ac:dyDescent="0.2">
      <c r="A115" s="392">
        <v>45963</v>
      </c>
      <c r="B115">
        <v>2025</v>
      </c>
      <c r="C115" t="s">
        <v>5315</v>
      </c>
      <c r="D115" t="s">
        <v>5316</v>
      </c>
      <c r="E115" t="s">
        <v>5317</v>
      </c>
      <c r="F115" t="s">
        <v>5317</v>
      </c>
      <c r="H115" t="s">
        <v>5318</v>
      </c>
      <c r="J115" t="s">
        <v>5319</v>
      </c>
      <c r="K115">
        <v>27311</v>
      </c>
      <c r="L115">
        <v>11</v>
      </c>
      <c r="M115">
        <v>9550</v>
      </c>
      <c r="N115" t="s">
        <v>5320</v>
      </c>
      <c r="O115" t="s">
        <v>5321</v>
      </c>
      <c r="P115" t="s">
        <v>5322</v>
      </c>
      <c r="Q115" t="s">
        <v>5323</v>
      </c>
      <c r="R115">
        <v>1</v>
      </c>
      <c r="S115">
        <v>15</v>
      </c>
      <c r="T115">
        <v>0</v>
      </c>
      <c r="U115">
        <v>7</v>
      </c>
      <c r="W115">
        <v>88</v>
      </c>
      <c r="X115">
        <v>72</v>
      </c>
      <c r="AC115" t="s">
        <v>5333</v>
      </c>
      <c r="AD115" t="s">
        <v>5325</v>
      </c>
      <c r="AE115" t="s">
        <v>5326</v>
      </c>
      <c r="AQ115" t="s">
        <v>5327</v>
      </c>
    </row>
    <row r="116" spans="1:44" x14ac:dyDescent="0.2">
      <c r="A116" s="392">
        <v>45963</v>
      </c>
      <c r="B116">
        <v>2025</v>
      </c>
      <c r="C116" t="s">
        <v>5315</v>
      </c>
      <c r="D116" t="s">
        <v>5316</v>
      </c>
      <c r="E116" t="s">
        <v>5317</v>
      </c>
      <c r="F116" t="s">
        <v>5317</v>
      </c>
      <c r="H116" t="s">
        <v>5318</v>
      </c>
      <c r="J116" t="s">
        <v>5319</v>
      </c>
      <c r="K116">
        <v>27311</v>
      </c>
      <c r="L116">
        <v>12</v>
      </c>
      <c r="M116">
        <v>9551</v>
      </c>
      <c r="N116" t="s">
        <v>5320</v>
      </c>
      <c r="O116" t="s">
        <v>5321</v>
      </c>
      <c r="P116" t="s">
        <v>5322</v>
      </c>
      <c r="Q116" t="s">
        <v>5323</v>
      </c>
      <c r="R116">
        <v>1</v>
      </c>
      <c r="S116">
        <v>15</v>
      </c>
      <c r="T116">
        <v>0</v>
      </c>
      <c r="U116">
        <v>7</v>
      </c>
      <c r="W116">
        <v>41</v>
      </c>
      <c r="X116">
        <v>76</v>
      </c>
      <c r="AC116" t="s">
        <v>5324</v>
      </c>
      <c r="AD116" t="s">
        <v>5325</v>
      </c>
      <c r="AE116" t="s">
        <v>5326</v>
      </c>
      <c r="AQ116" t="s">
        <v>5327</v>
      </c>
    </row>
    <row r="117" spans="1:44" x14ac:dyDescent="0.2">
      <c r="A117" s="392">
        <v>45963</v>
      </c>
      <c r="B117">
        <v>2025</v>
      </c>
      <c r="C117" t="s">
        <v>5315</v>
      </c>
      <c r="D117" t="s">
        <v>5316</v>
      </c>
      <c r="E117" t="s">
        <v>5317</v>
      </c>
      <c r="F117" t="s">
        <v>5317</v>
      </c>
      <c r="H117" t="s">
        <v>5318</v>
      </c>
      <c r="J117" t="s">
        <v>5319</v>
      </c>
      <c r="K117">
        <v>27311</v>
      </c>
      <c r="L117">
        <v>13</v>
      </c>
      <c r="M117">
        <v>9552</v>
      </c>
      <c r="N117" t="s">
        <v>5320</v>
      </c>
      <c r="O117" t="s">
        <v>5321</v>
      </c>
      <c r="P117" t="s">
        <v>5322</v>
      </c>
      <c r="Q117" t="s">
        <v>5323</v>
      </c>
      <c r="R117">
        <v>1</v>
      </c>
      <c r="S117">
        <v>15</v>
      </c>
      <c r="T117">
        <v>0</v>
      </c>
      <c r="U117">
        <v>7</v>
      </c>
      <c r="W117">
        <v>42</v>
      </c>
      <c r="X117">
        <v>65</v>
      </c>
      <c r="Z117">
        <v>92075</v>
      </c>
      <c r="AA117">
        <v>42</v>
      </c>
      <c r="AB117" t="s">
        <v>5328</v>
      </c>
      <c r="AC117" t="s">
        <v>5333</v>
      </c>
      <c r="AD117" t="s">
        <v>5244</v>
      </c>
      <c r="AE117">
        <v>0</v>
      </c>
      <c r="AF117">
        <v>128841</v>
      </c>
      <c r="AQ117" t="s">
        <v>5327</v>
      </c>
      <c r="AR117" t="s">
        <v>5329</v>
      </c>
    </row>
    <row r="118" spans="1:44" x14ac:dyDescent="0.2">
      <c r="A118" s="392">
        <v>45963</v>
      </c>
      <c r="B118">
        <v>2025</v>
      </c>
      <c r="C118" t="s">
        <v>5315</v>
      </c>
      <c r="D118" t="s">
        <v>5316</v>
      </c>
      <c r="E118" t="s">
        <v>5317</v>
      </c>
      <c r="F118" t="s">
        <v>5317</v>
      </c>
      <c r="H118" t="s">
        <v>5318</v>
      </c>
      <c r="J118" t="s">
        <v>5319</v>
      </c>
      <c r="K118">
        <v>27311</v>
      </c>
      <c r="L118">
        <v>14</v>
      </c>
      <c r="M118">
        <v>9553</v>
      </c>
      <c r="N118" t="s">
        <v>5320</v>
      </c>
      <c r="O118" t="s">
        <v>5321</v>
      </c>
      <c r="P118" t="s">
        <v>5322</v>
      </c>
      <c r="Q118" t="s">
        <v>5323</v>
      </c>
      <c r="R118">
        <v>1</v>
      </c>
      <c r="S118">
        <v>15</v>
      </c>
      <c r="T118">
        <v>0</v>
      </c>
      <c r="U118">
        <v>7</v>
      </c>
      <c r="W118">
        <v>42</v>
      </c>
      <c r="X118">
        <v>71</v>
      </c>
      <c r="Z118">
        <v>91670</v>
      </c>
      <c r="AA118">
        <v>52</v>
      </c>
      <c r="AB118" t="s">
        <v>5328</v>
      </c>
      <c r="AC118" t="s">
        <v>5333</v>
      </c>
      <c r="AD118" t="s">
        <v>5244</v>
      </c>
      <c r="AE118">
        <v>0</v>
      </c>
      <c r="AF118">
        <v>128840</v>
      </c>
      <c r="AQ118" t="s">
        <v>5327</v>
      </c>
      <c r="AR118" t="s">
        <v>5329</v>
      </c>
    </row>
    <row r="119" spans="1:44" x14ac:dyDescent="0.2">
      <c r="A119" s="392">
        <v>45963</v>
      </c>
      <c r="B119">
        <v>2025</v>
      </c>
      <c r="C119" t="s">
        <v>5315</v>
      </c>
      <c r="D119" t="s">
        <v>5316</v>
      </c>
      <c r="E119" t="s">
        <v>5317</v>
      </c>
      <c r="F119" t="s">
        <v>5317</v>
      </c>
      <c r="H119" t="s">
        <v>5318</v>
      </c>
      <c r="J119" t="s">
        <v>5319</v>
      </c>
      <c r="K119">
        <v>27311</v>
      </c>
      <c r="L119">
        <v>15</v>
      </c>
      <c r="M119">
        <v>9554</v>
      </c>
      <c r="N119" t="s">
        <v>5320</v>
      </c>
      <c r="O119" t="s">
        <v>5321</v>
      </c>
      <c r="P119" t="s">
        <v>5322</v>
      </c>
      <c r="Q119" t="s">
        <v>5323</v>
      </c>
      <c r="R119">
        <v>1</v>
      </c>
      <c r="S119">
        <v>15</v>
      </c>
      <c r="T119">
        <v>0</v>
      </c>
      <c r="U119">
        <v>7</v>
      </c>
      <c r="W119">
        <v>31</v>
      </c>
      <c r="X119">
        <v>71</v>
      </c>
      <c r="AC119" t="s">
        <v>5333</v>
      </c>
      <c r="AD119" t="s">
        <v>5244</v>
      </c>
      <c r="AE119" t="s">
        <v>5326</v>
      </c>
      <c r="AQ119" t="s">
        <v>5327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Prosser</vt:lpstr>
      <vt:lpstr>Horn Rapids</vt:lpstr>
      <vt:lpstr>Summary</vt:lpstr>
      <vt:lpstr>Other</vt:lpstr>
      <vt:lpstr>Schedule</vt:lpstr>
      <vt:lpstr>Flow</vt:lpstr>
      <vt:lpstr>Flow2</vt:lpstr>
      <vt:lpstr>Check</vt:lpstr>
      <vt:lpstr>Sheet2</vt:lpstr>
      <vt:lpstr>Sheet1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Miller, Todd L (DFW)</cp:lastModifiedBy>
  <cp:lastPrinted>2018-06-25T23:11:12Z</cp:lastPrinted>
  <dcterms:created xsi:type="dcterms:W3CDTF">2004-09-07T15:26:51Z</dcterms:created>
  <dcterms:modified xsi:type="dcterms:W3CDTF">2026-02-26T20:42:37Z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2023-03-27T19:30:16Z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2b0d5354-1a96-4495-a4a9-56be95863ea0</vt:lpwstr>
  </property>
  <property fmtid="{D5CDD505-2E9C-101B-9397-08002B2CF9AE}" pid="8" name="MSIP_Label_45011977-b912-4387-97a4-f4c94a801377_ContentBits">
    <vt:lpwstr>0</vt:lpwstr>
  </property>
</Properties>
</file>