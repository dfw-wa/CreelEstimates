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showInkAnnotation="0" defaultThemeVersion="124226"/>
  <mc:AlternateContent xmlns:mc="http://schemas.openxmlformats.org/markup-compatibility/2006">
    <mc:Choice Requires="x15">
      <x15ac:absPath xmlns:x15ac="http://schemas.microsoft.com/office/spreadsheetml/2010/11/ac" url="https://stateofwa-my.sharepoint.com/personal/todd_miller_dfw_wa_gov/Documents/Documents/Hanford Reach/HR2025/URB/Sport/"/>
    </mc:Choice>
  </mc:AlternateContent>
  <xr:revisionPtr revIDLastSave="487" documentId="13_ncr:1_{85F95C96-D2DF-4855-93CB-47456465AC51}" xr6:coauthVersionLast="47" xr6:coauthVersionMax="47" xr10:uidLastSave="{94EC896B-146A-4607-B24F-E24FD1EAEF1F}"/>
  <bookViews>
    <workbookView xWindow="-28920" yWindow="3015" windowWidth="29040" windowHeight="15720" activeTab="6" xr2:uid="{00000000-000D-0000-FFFF-FFFF00000000}"/>
  </bookViews>
  <sheets>
    <sheet name="Factors" sheetId="2" r:id="rId1"/>
    <sheet name="Harvest" sheetId="3" r:id="rId2"/>
    <sheet name="Boats" sheetId="1" r:id="rId3"/>
    <sheet name="Bank" sheetId="5" r:id="rId4"/>
    <sheet name="Other" sheetId="13" r:id="rId5"/>
    <sheet name="Summary" sheetId="6" r:id="rId6"/>
    <sheet name="Summary Print" sheetId="15" r:id="rId7"/>
    <sheet name="Steelhead" sheetId="7" r:id="rId8"/>
    <sheet name="Sheet2" sheetId="12" r:id="rId9"/>
  </sheets>
  <definedNames>
    <definedName name="_xlnm.Print_Area" localSheetId="1">Harvest!$A$11:$BC$41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X27" i="6" l="1"/>
  <c r="X28" i="6"/>
  <c r="W27" i="6"/>
  <c r="W28" i="6"/>
  <c r="X21" i="6"/>
  <c r="X22" i="6"/>
  <c r="X23" i="6"/>
  <c r="X24" i="6"/>
  <c r="X25" i="6"/>
  <c r="X26" i="6"/>
  <c r="W21" i="6"/>
  <c r="W22" i="6"/>
  <c r="W23" i="6"/>
  <c r="W24" i="6"/>
  <c r="W25" i="6"/>
  <c r="W26" i="6"/>
  <c r="M39" i="15"/>
  <c r="L39" i="15"/>
  <c r="M26" i="15"/>
  <c r="M27" i="15"/>
  <c r="M28" i="15"/>
  <c r="M29" i="15"/>
  <c r="M30" i="15"/>
  <c r="M31" i="15"/>
  <c r="M32" i="15"/>
  <c r="M33" i="15"/>
  <c r="M34" i="15"/>
  <c r="M35" i="15"/>
  <c r="M36" i="15"/>
  <c r="M25" i="15"/>
  <c r="L26" i="15"/>
  <c r="L27" i="15"/>
  <c r="L28" i="15"/>
  <c r="L29" i="15"/>
  <c r="L30" i="15"/>
  <c r="L31" i="15"/>
  <c r="L32" i="15"/>
  <c r="L33" i="15"/>
  <c r="L34" i="15"/>
  <c r="L35" i="15"/>
  <c r="L36" i="15"/>
  <c r="L25" i="15"/>
  <c r="K26" i="15"/>
  <c r="K27" i="15"/>
  <c r="K28" i="15"/>
  <c r="K29" i="15"/>
  <c r="K30" i="15"/>
  <c r="K31" i="15"/>
  <c r="K32" i="15"/>
  <c r="K33" i="15"/>
  <c r="K34" i="15"/>
  <c r="K35" i="15"/>
  <c r="K36" i="15"/>
  <c r="K25" i="15"/>
  <c r="K39" i="15"/>
  <c r="J39" i="15"/>
  <c r="J26" i="15"/>
  <c r="J27" i="15"/>
  <c r="J28" i="15"/>
  <c r="J29" i="15"/>
  <c r="J30" i="15"/>
  <c r="J31" i="15"/>
  <c r="J32" i="15"/>
  <c r="J33" i="15"/>
  <c r="J34" i="15"/>
  <c r="J35" i="15"/>
  <c r="J36" i="15"/>
  <c r="J25" i="15"/>
  <c r="AV117" i="5"/>
  <c r="N36" i="15"/>
  <c r="O36" i="15"/>
  <c r="B36" i="15"/>
  <c r="C36" i="15"/>
  <c r="D36" i="15"/>
  <c r="E36" i="15"/>
  <c r="F36" i="15"/>
  <c r="G36" i="15"/>
  <c r="H36" i="15"/>
  <c r="I36" i="15"/>
  <c r="B18" i="15"/>
  <c r="P36" i="15" s="1"/>
  <c r="C18" i="15"/>
  <c r="D18" i="15"/>
  <c r="E18" i="15"/>
  <c r="H18" i="15"/>
  <c r="AZ114" i="5"/>
  <c r="BA114" i="5"/>
  <c r="BB114" i="5"/>
  <c r="BC114" i="5"/>
  <c r="BD114" i="5"/>
  <c r="BE114" i="5"/>
  <c r="BF114" i="5"/>
  <c r="BJ114" i="5"/>
  <c r="BP112" i="5"/>
  <c r="BQ112" i="5"/>
  <c r="BR112" i="5"/>
  <c r="BS112" i="5"/>
  <c r="BT112" i="5"/>
  <c r="BU112" i="5"/>
  <c r="BV112" i="5"/>
  <c r="BW112" i="5"/>
  <c r="BX112" i="5"/>
  <c r="BY112" i="5"/>
  <c r="BZ112" i="5"/>
  <c r="CA112" i="5"/>
  <c r="CB112" i="5"/>
  <c r="CC112" i="5"/>
  <c r="CD112" i="5"/>
  <c r="CE112" i="5"/>
  <c r="BP113" i="5"/>
  <c r="BQ113" i="5"/>
  <c r="BR113" i="5"/>
  <c r="BS113" i="5"/>
  <c r="BT113" i="5"/>
  <c r="BU113" i="5"/>
  <c r="BV113" i="5"/>
  <c r="BW113" i="5"/>
  <c r="BX113" i="5"/>
  <c r="BY113" i="5"/>
  <c r="BZ113" i="5"/>
  <c r="CA113" i="5"/>
  <c r="CB113" i="5"/>
  <c r="CC113" i="5"/>
  <c r="CD113" i="5"/>
  <c r="CE113" i="5"/>
  <c r="BQ114" i="5"/>
  <c r="BR114" i="5"/>
  <c r="BS114" i="5"/>
  <c r="BT114" i="5"/>
  <c r="BU114" i="5"/>
  <c r="BV114" i="5"/>
  <c r="BW114" i="5"/>
  <c r="CA114" i="5"/>
  <c r="CB114" i="5"/>
  <c r="CC114" i="5"/>
  <c r="CD114" i="5"/>
  <c r="CE114" i="5"/>
  <c r="C128" i="3"/>
  <c r="C125" i="3"/>
  <c r="C126" i="3"/>
  <c r="I596" i="1"/>
  <c r="AY112" i="5"/>
  <c r="AZ112" i="5"/>
  <c r="BA112" i="5"/>
  <c r="BB112" i="5"/>
  <c r="BC112" i="5"/>
  <c r="BD112" i="5"/>
  <c r="BE112" i="5"/>
  <c r="BF112" i="5"/>
  <c r="BH112" i="5"/>
  <c r="BJ112" i="5"/>
  <c r="F593" i="1"/>
  <c r="C124" i="3"/>
  <c r="CE107" i="5"/>
  <c r="CD107" i="5"/>
  <c r="CC107" i="5"/>
  <c r="CB107" i="5"/>
  <c r="CA107" i="5"/>
  <c r="BZ107" i="5"/>
  <c r="BY107" i="5"/>
  <c r="BX107" i="5"/>
  <c r="BW107" i="5"/>
  <c r="BV107" i="5"/>
  <c r="BU107" i="5"/>
  <c r="BT107" i="5"/>
  <c r="BS107" i="5"/>
  <c r="BR107" i="5"/>
  <c r="BQ107" i="5"/>
  <c r="BP107" i="5"/>
  <c r="B35" i="15"/>
  <c r="C35" i="15"/>
  <c r="D35" i="15"/>
  <c r="E35" i="15"/>
  <c r="N35" i="15"/>
  <c r="O35" i="15"/>
  <c r="C17" i="15"/>
  <c r="D17" i="15"/>
  <c r="E17" i="15"/>
  <c r="C115" i="3"/>
  <c r="C114" i="3"/>
  <c r="I547" i="1"/>
  <c r="I540" i="1"/>
  <c r="B34" i="15"/>
  <c r="C34" i="15"/>
  <c r="D34" i="15"/>
  <c r="E34" i="15"/>
  <c r="F34" i="15"/>
  <c r="G34" i="15"/>
  <c r="H34" i="15"/>
  <c r="I34" i="15"/>
  <c r="N34" i="15"/>
  <c r="O34" i="15"/>
  <c r="B16" i="15"/>
  <c r="C16" i="15"/>
  <c r="D16" i="15"/>
  <c r="E16" i="15"/>
  <c r="F16" i="15"/>
  <c r="G16" i="15"/>
  <c r="H16" i="15"/>
  <c r="F525" i="1"/>
  <c r="F523" i="1"/>
  <c r="I505" i="1"/>
  <c r="I498" i="1"/>
  <c r="S52" i="6"/>
  <c r="Q172" i="3"/>
  <c r="N172" i="3"/>
  <c r="K172" i="3"/>
  <c r="H172" i="3"/>
  <c r="R52" i="6" s="1"/>
  <c r="P172" i="3"/>
  <c r="O172" i="3"/>
  <c r="M172" i="3"/>
  <c r="L172" i="3"/>
  <c r="J172" i="3"/>
  <c r="I172" i="3"/>
  <c r="F15" i="15"/>
  <c r="B33" i="15"/>
  <c r="C33" i="15"/>
  <c r="D33" i="15"/>
  <c r="E33" i="15"/>
  <c r="N33" i="15"/>
  <c r="O33" i="15"/>
  <c r="P33" i="15"/>
  <c r="B15" i="15"/>
  <c r="C15" i="15"/>
  <c r="D15" i="15"/>
  <c r="E15" i="15"/>
  <c r="H15" i="15"/>
  <c r="F481" i="1"/>
  <c r="F466" i="1"/>
  <c r="F465" i="1"/>
  <c r="F467" i="1"/>
  <c r="I470" i="1"/>
  <c r="I463" i="1"/>
  <c r="I456" i="1"/>
  <c r="AZ85" i="5"/>
  <c r="BA85" i="5"/>
  <c r="BB85" i="5"/>
  <c r="BC85" i="5"/>
  <c r="BD85" i="5"/>
  <c r="BE85" i="5"/>
  <c r="BF85" i="5"/>
  <c r="BH85" i="5"/>
  <c r="BI85" i="5"/>
  <c r="BJ85" i="5"/>
  <c r="O32" i="15"/>
  <c r="B32" i="15"/>
  <c r="D32" i="15"/>
  <c r="E32" i="15"/>
  <c r="F32" i="15"/>
  <c r="H32" i="15"/>
  <c r="I32" i="15"/>
  <c r="B14" i="15"/>
  <c r="C14" i="15"/>
  <c r="D14" i="15"/>
  <c r="E14" i="15"/>
  <c r="F14" i="15"/>
  <c r="G14" i="15"/>
  <c r="H14" i="15"/>
  <c r="I435" i="1"/>
  <c r="I428" i="1"/>
  <c r="F419" i="1"/>
  <c r="F418" i="1"/>
  <c r="F420" i="1"/>
  <c r="F417" i="1"/>
  <c r="F416" i="1"/>
  <c r="F412" i="1"/>
  <c r="F413" i="1"/>
  <c r="F411" i="1"/>
  <c r="F410" i="1"/>
  <c r="F409" i="1"/>
  <c r="F405" i="1"/>
  <c r="F404" i="1"/>
  <c r="F403" i="1"/>
  <c r="F402" i="1"/>
  <c r="F406" i="1"/>
  <c r="F397" i="1"/>
  <c r="F396" i="1"/>
  <c r="F395" i="1"/>
  <c r="I400" i="1"/>
  <c r="H390" i="1"/>
  <c r="F390" i="1"/>
  <c r="F391" i="1"/>
  <c r="F389" i="1"/>
  <c r="F388" i="1"/>
  <c r="F392" i="1"/>
  <c r="N31" i="15"/>
  <c r="O31" i="15"/>
  <c r="B31" i="15"/>
  <c r="C31" i="15"/>
  <c r="D31" i="15"/>
  <c r="E31" i="15"/>
  <c r="D13" i="15"/>
  <c r="C13" i="15"/>
  <c r="B13" i="15"/>
  <c r="F383" i="1"/>
  <c r="F382" i="1"/>
  <c r="F381" i="1"/>
  <c r="F376" i="1"/>
  <c r="F375" i="1"/>
  <c r="F374" i="1"/>
  <c r="F371" i="1"/>
  <c r="F370" i="1"/>
  <c r="F369" i="1"/>
  <c r="F367" i="1"/>
  <c r="F368" i="1"/>
  <c r="F362" i="1"/>
  <c r="F364" i="1"/>
  <c r="F363" i="1"/>
  <c r="F361" i="1"/>
  <c r="F360" i="1"/>
  <c r="F355" i="1"/>
  <c r="F353" i="1"/>
  <c r="F354" i="1"/>
  <c r="F357" i="1"/>
  <c r="F356" i="1"/>
  <c r="F348" i="1"/>
  <c r="F347" i="1"/>
  <c r="F346" i="1"/>
  <c r="F339" i="1"/>
  <c r="F343" i="1"/>
  <c r="F342" i="1"/>
  <c r="F341" i="1"/>
  <c r="I337" i="1"/>
  <c r="F329" i="1"/>
  <c r="F320" i="1"/>
  <c r="F319" i="1"/>
  <c r="F315" i="1"/>
  <c r="F306" i="1"/>
  <c r="F307" i="1"/>
  <c r="F294" i="1"/>
  <c r="I288" i="1"/>
  <c r="F287" i="1"/>
  <c r="F283" i="1"/>
  <c r="I246" i="1"/>
  <c r="I218" i="1"/>
  <c r="I211" i="1"/>
  <c r="I204" i="1"/>
  <c r="I225" i="1"/>
  <c r="I232" i="1"/>
  <c r="I281" i="1"/>
  <c r="F280" i="1"/>
  <c r="F278" i="1"/>
  <c r="I274" i="1"/>
  <c r="I267" i="1"/>
  <c r="I260" i="1"/>
  <c r="I253" i="1"/>
  <c r="F250" i="1"/>
  <c r="F252" i="1"/>
  <c r="F234" i="1"/>
  <c r="F236" i="1"/>
  <c r="F229" i="1"/>
  <c r="F227" i="1"/>
  <c r="I239" i="1"/>
  <c r="F185" i="1"/>
  <c r="F189" i="1"/>
  <c r="F182" i="1"/>
  <c r="F180" i="1"/>
  <c r="F178" i="1"/>
  <c r="F171" i="1"/>
  <c r="F175" i="1"/>
  <c r="F161" i="1"/>
  <c r="F152" i="1"/>
  <c r="F166" i="1"/>
  <c r="F164" i="1"/>
  <c r="I190" i="1"/>
  <c r="I183" i="1"/>
  <c r="I169" i="1"/>
  <c r="I176" i="1"/>
  <c r="I162" i="1"/>
  <c r="I155" i="1"/>
  <c r="I148" i="1"/>
  <c r="AR65" i="6"/>
  <c r="AP65" i="6"/>
  <c r="AO65" i="6"/>
  <c r="AN65" i="6"/>
  <c r="AM65" i="6"/>
  <c r="AL65" i="6"/>
  <c r="AK65" i="6"/>
  <c r="AJ65" i="6"/>
  <c r="AI65" i="6"/>
  <c r="AH65" i="6"/>
  <c r="AG65" i="6"/>
  <c r="AF65" i="6"/>
  <c r="AE65" i="6"/>
  <c r="AD65" i="6"/>
  <c r="AC65" i="6"/>
  <c r="AA65" i="6"/>
  <c r="Z65" i="6"/>
  <c r="X65" i="6"/>
  <c r="W65" i="6"/>
  <c r="V65" i="6"/>
  <c r="U65" i="6"/>
  <c r="S65" i="6"/>
  <c r="R65" i="6"/>
  <c r="L65" i="6"/>
  <c r="N65" i="6"/>
  <c r="O65" i="6"/>
  <c r="P65" i="6"/>
  <c r="Q65" i="6"/>
  <c r="K65" i="6"/>
  <c r="BP24" i="5"/>
  <c r="BQ24" i="5"/>
  <c r="BR24" i="5"/>
  <c r="BS24" i="5"/>
  <c r="BT24" i="5"/>
  <c r="BU24" i="5"/>
  <c r="BV24" i="5"/>
  <c r="BW24" i="5"/>
  <c r="BX24" i="5"/>
  <c r="BY24" i="5"/>
  <c r="BZ24" i="5"/>
  <c r="CA24" i="5"/>
  <c r="CB24" i="5"/>
  <c r="CC24" i="5"/>
  <c r="CD24" i="5"/>
  <c r="CE24" i="5"/>
  <c r="BP25" i="5"/>
  <c r="BQ25" i="5"/>
  <c r="BR25" i="5"/>
  <c r="BS25" i="5"/>
  <c r="BT25" i="5"/>
  <c r="BU25" i="5"/>
  <c r="BV25" i="5"/>
  <c r="BW25" i="5"/>
  <c r="BX25" i="5"/>
  <c r="BY25" i="5"/>
  <c r="BZ25" i="5"/>
  <c r="CA25" i="5"/>
  <c r="CB25" i="5"/>
  <c r="CC25" i="5"/>
  <c r="CD25" i="5"/>
  <c r="CE25" i="5"/>
  <c r="AY24" i="5"/>
  <c r="AZ24" i="5"/>
  <c r="BA24" i="5"/>
  <c r="BB24" i="5"/>
  <c r="BC24" i="5"/>
  <c r="BD24" i="5"/>
  <c r="BE24" i="5"/>
  <c r="BF24" i="5"/>
  <c r="BG24" i="5"/>
  <c r="BH24" i="5"/>
  <c r="BI24" i="5"/>
  <c r="BJ24" i="5"/>
  <c r="CB17" i="5"/>
  <c r="CC17" i="5"/>
  <c r="CD17" i="5"/>
  <c r="CE17" i="5"/>
  <c r="F89" i="1"/>
  <c r="F91" i="1"/>
  <c r="F140" i="1"/>
  <c r="F138" i="1"/>
  <c r="F133" i="1"/>
  <c r="F131" i="1"/>
  <c r="F126" i="1"/>
  <c r="F124" i="1"/>
  <c r="F110" i="1"/>
  <c r="F112" i="1"/>
  <c r="F105" i="1"/>
  <c r="I141" i="1"/>
  <c r="I134" i="1"/>
  <c r="I127" i="1"/>
  <c r="I120" i="1"/>
  <c r="I106" i="1"/>
  <c r="I113" i="1"/>
  <c r="AS32" i="5"/>
  <c r="AV32" i="5" s="1"/>
  <c r="AS23" i="5"/>
  <c r="AV23" i="5" s="1"/>
  <c r="AS24" i="5"/>
  <c r="AV24" i="5" s="1"/>
  <c r="AS20" i="5"/>
  <c r="AV20" i="5" s="1"/>
  <c r="AS21" i="5"/>
  <c r="AV21" i="5" s="1"/>
  <c r="AS18" i="5"/>
  <c r="AV18" i="5" s="1"/>
  <c r="G831" i="1"/>
  <c r="AV149" i="5"/>
  <c r="AV151" i="5"/>
  <c r="AV152" i="5"/>
  <c r="BN165" i="5"/>
  <c r="BM165" i="5"/>
  <c r="BM166" i="5"/>
  <c r="BL165" i="5"/>
  <c r="BK165" i="5"/>
  <c r="BJ165" i="5"/>
  <c r="BJ166" i="5"/>
  <c r="BI165" i="5"/>
  <c r="BH165" i="5"/>
  <c r="BG165" i="5"/>
  <c r="BF165" i="5"/>
  <c r="BE165" i="5"/>
  <c r="BE166" i="5"/>
  <c r="BD165" i="5"/>
  <c r="BC165" i="5"/>
  <c r="BB165" i="5"/>
  <c r="BA165" i="5"/>
  <c r="AY166" i="5"/>
  <c r="AY154" i="5"/>
  <c r="AZ154" i="5"/>
  <c r="BA154" i="5"/>
  <c r="BB154" i="5"/>
  <c r="BC154" i="5"/>
  <c r="BD154" i="5"/>
  <c r="BE154" i="5"/>
  <c r="BF154" i="5"/>
  <c r="BG154" i="5"/>
  <c r="BH154" i="5"/>
  <c r="BI154" i="5"/>
  <c r="BJ154" i="5"/>
  <c r="BK154" i="5"/>
  <c r="BL154" i="5"/>
  <c r="BM154" i="5"/>
  <c r="BN154" i="5"/>
  <c r="AY155" i="5"/>
  <c r="AZ155" i="5"/>
  <c r="BA155" i="5"/>
  <c r="BB155" i="5"/>
  <c r="BC155" i="5"/>
  <c r="BD155" i="5"/>
  <c r="BE155" i="5"/>
  <c r="BF155" i="5"/>
  <c r="BG155" i="5"/>
  <c r="BH155" i="5"/>
  <c r="BI155" i="5"/>
  <c r="BJ155" i="5"/>
  <c r="BK155" i="5"/>
  <c r="BL155" i="5"/>
  <c r="BM155" i="5"/>
  <c r="BN155" i="5"/>
  <c r="AS157" i="5"/>
  <c r="AV157" i="5" s="1"/>
  <c r="AS154" i="5"/>
  <c r="AV154" i="5" s="1"/>
  <c r="AS155" i="5"/>
  <c r="AV155" i="5"/>
  <c r="AY137" i="5"/>
  <c r="AZ137" i="5"/>
  <c r="BA137" i="5"/>
  <c r="BB137" i="5"/>
  <c r="BC137" i="5"/>
  <c r="BD137" i="5"/>
  <c r="BE137" i="5"/>
  <c r="BF137" i="5"/>
  <c r="BG137" i="5"/>
  <c r="BH137" i="5"/>
  <c r="BJ137" i="5"/>
  <c r="BK137" i="5"/>
  <c r="BL137" i="5"/>
  <c r="BM137" i="5"/>
  <c r="BN137" i="5"/>
  <c r="BA141" i="5"/>
  <c r="BB141" i="5"/>
  <c r="BC141" i="5"/>
  <c r="BD141" i="5"/>
  <c r="BE141" i="5"/>
  <c r="BF141" i="5"/>
  <c r="BG141" i="5"/>
  <c r="BH141" i="5"/>
  <c r="BI141" i="5"/>
  <c r="BK141" i="5"/>
  <c r="BL141" i="5"/>
  <c r="BM141" i="5"/>
  <c r="BN141" i="5"/>
  <c r="BA138" i="5"/>
  <c r="BB138" i="5"/>
  <c r="BC138" i="5"/>
  <c r="BD138" i="5"/>
  <c r="BE138" i="5"/>
  <c r="BF138" i="5"/>
  <c r="BG138" i="5"/>
  <c r="BH138" i="5"/>
  <c r="BJ138" i="5"/>
  <c r="BK138" i="5"/>
  <c r="BL138" i="5"/>
  <c r="BM138" i="5"/>
  <c r="BN138" i="5"/>
  <c r="AV141" i="5"/>
  <c r="AS141" i="5"/>
  <c r="AS137" i="5"/>
  <c r="AV137" i="5" s="1"/>
  <c r="AS138" i="5"/>
  <c r="AV138" i="5" s="1"/>
  <c r="I764" i="1"/>
  <c r="BP133" i="5"/>
  <c r="BQ133" i="5"/>
  <c r="BR133" i="5"/>
  <c r="BS133" i="5"/>
  <c r="BT133" i="5"/>
  <c r="BU133" i="5"/>
  <c r="BV133" i="5"/>
  <c r="BW133" i="5"/>
  <c r="BX133" i="5"/>
  <c r="BY133" i="5"/>
  <c r="BZ133" i="5"/>
  <c r="CA133" i="5"/>
  <c r="CB133" i="5"/>
  <c r="CC133" i="5"/>
  <c r="CD133" i="5"/>
  <c r="CE133" i="5"/>
  <c r="BP134" i="5"/>
  <c r="BQ134" i="5"/>
  <c r="BR134" i="5"/>
  <c r="BS134" i="5"/>
  <c r="BT134" i="5"/>
  <c r="BU134" i="5"/>
  <c r="BV134" i="5"/>
  <c r="BW134" i="5"/>
  <c r="BX134" i="5"/>
  <c r="BY134" i="5"/>
  <c r="BZ134" i="5"/>
  <c r="CA134" i="5"/>
  <c r="CB134" i="5"/>
  <c r="CC134" i="5"/>
  <c r="CD134" i="5"/>
  <c r="CE134" i="5"/>
  <c r="BA130" i="5"/>
  <c r="BB130" i="5"/>
  <c r="BC130" i="5"/>
  <c r="BD130" i="5"/>
  <c r="BE130" i="5"/>
  <c r="BF130" i="5"/>
  <c r="BG130" i="5"/>
  <c r="BH130" i="5"/>
  <c r="BI130" i="5"/>
  <c r="BJ130" i="5"/>
  <c r="BK130" i="5"/>
  <c r="BL130" i="5"/>
  <c r="BM130" i="5"/>
  <c r="BN130" i="5"/>
  <c r="AS130" i="5"/>
  <c r="AV130" i="5" s="1"/>
  <c r="AS131" i="5"/>
  <c r="AV131" i="5" s="1"/>
  <c r="AS132" i="5"/>
  <c r="AV132" i="5" s="1"/>
  <c r="BA121" i="5"/>
  <c r="BB121" i="5"/>
  <c r="BC121" i="5"/>
  <c r="BD121" i="5"/>
  <c r="BE121" i="5"/>
  <c r="BF121" i="5"/>
  <c r="BG121" i="5"/>
  <c r="BH121" i="5"/>
  <c r="BI121" i="5"/>
  <c r="BJ121" i="5"/>
  <c r="BA122" i="5"/>
  <c r="BB122" i="5"/>
  <c r="BC122" i="5"/>
  <c r="BD122" i="5"/>
  <c r="BE122" i="5"/>
  <c r="BF122" i="5"/>
  <c r="BA123" i="5"/>
  <c r="BB123" i="5"/>
  <c r="BC123" i="5"/>
  <c r="BD123" i="5"/>
  <c r="BE123" i="5"/>
  <c r="BF123" i="5"/>
  <c r="BG123" i="5"/>
  <c r="BA124" i="5"/>
  <c r="BB124" i="5"/>
  <c r="BC124" i="5"/>
  <c r="BD124" i="5"/>
  <c r="BE124" i="5"/>
  <c r="BF124" i="5"/>
  <c r="BG124" i="5"/>
  <c r="AV122" i="5"/>
  <c r="AS121" i="5"/>
  <c r="AV121" i="5" s="1"/>
  <c r="AS122" i="5"/>
  <c r="AS123" i="5"/>
  <c r="AV123" i="5" s="1"/>
  <c r="AS124" i="5"/>
  <c r="AV124" i="5" s="1"/>
  <c r="P34" i="15" l="1"/>
  <c r="P31" i="15"/>
  <c r="BR154" i="5"/>
  <c r="BS154" i="5"/>
  <c r="BV154" i="5"/>
  <c r="BW154" i="5"/>
  <c r="BZ154" i="5"/>
  <c r="CB154" i="5"/>
  <c r="CC154" i="5"/>
  <c r="CD154" i="5"/>
  <c r="CE154" i="5"/>
  <c r="BP155" i="5"/>
  <c r="BS155" i="5"/>
  <c r="BW155" i="5"/>
  <c r="BZ155" i="5"/>
  <c r="CB155" i="5"/>
  <c r="BS137" i="5"/>
  <c r="BU137" i="5"/>
  <c r="BV137" i="5"/>
  <c r="BX137" i="5"/>
  <c r="BY137" i="5"/>
  <c r="CB137" i="5"/>
  <c r="CC137" i="5"/>
  <c r="BS138" i="5"/>
  <c r="BT138" i="5"/>
  <c r="BV138" i="5"/>
  <c r="BX138" i="5"/>
  <c r="BY138" i="5"/>
  <c r="CB138" i="5"/>
  <c r="CD138" i="5"/>
  <c r="BS130" i="5"/>
  <c r="BU130" i="5"/>
  <c r="BV130" i="5"/>
  <c r="BX130" i="5"/>
  <c r="CA130" i="5"/>
  <c r="CC130" i="5"/>
  <c r="BS121" i="5"/>
  <c r="BW121" i="5"/>
  <c r="BX121" i="5"/>
  <c r="BS122" i="5"/>
  <c r="BW122" i="5"/>
  <c r="BT123" i="5"/>
  <c r="BX123" i="5"/>
  <c r="BU124" i="5"/>
  <c r="BT122" i="5"/>
  <c r="BS123" i="5"/>
  <c r="BW123" i="5"/>
  <c r="BR124" i="5"/>
  <c r="BT124" i="5"/>
  <c r="BV124" i="5"/>
  <c r="BQ154" i="5"/>
  <c r="BU154" i="5"/>
  <c r="BY154" i="5"/>
  <c r="BR155" i="5"/>
  <c r="BU155" i="5"/>
  <c r="BX155" i="5"/>
  <c r="BY155" i="5"/>
  <c r="CC155" i="5"/>
  <c r="CD155" i="5"/>
  <c r="BR138" i="5"/>
  <c r="BU138" i="5"/>
  <c r="BW138" i="5"/>
  <c r="CA138" i="5"/>
  <c r="CC138" i="5"/>
  <c r="CE138" i="5"/>
  <c r="BU122" i="5"/>
  <c r="BW124" i="5"/>
  <c r="BQ155" i="5"/>
  <c r="BT155" i="5"/>
  <c r="BV155" i="5"/>
  <c r="CA155" i="5"/>
  <c r="CE155" i="5"/>
  <c r="BR122" i="5"/>
  <c r="BV122" i="5"/>
  <c r="CA154" i="5"/>
  <c r="BX154" i="5"/>
  <c r="BT154" i="5"/>
  <c r="BP154" i="5"/>
  <c r="CE137" i="5"/>
  <c r="CD137" i="5"/>
  <c r="CA137" i="5"/>
  <c r="BW137" i="5"/>
  <c r="BT137" i="5"/>
  <c r="BR137" i="5"/>
  <c r="BP137" i="5"/>
  <c r="BQ137" i="5"/>
  <c r="BW130" i="5"/>
  <c r="CE130" i="5"/>
  <c r="BZ130" i="5"/>
  <c r="CD130" i="5"/>
  <c r="CB130" i="5"/>
  <c r="BY130" i="5"/>
  <c r="BT130" i="5"/>
  <c r="BR130" i="5"/>
  <c r="CB122" i="5"/>
  <c r="CC122" i="5"/>
  <c r="CD122" i="5"/>
  <c r="CE122" i="5"/>
  <c r="CC121" i="5"/>
  <c r="CE121" i="5"/>
  <c r="BV121" i="5"/>
  <c r="BR121" i="5"/>
  <c r="CD121" i="5"/>
  <c r="CA121" i="5"/>
  <c r="BY121" i="5"/>
  <c r="BT121" i="5"/>
  <c r="CB121" i="5"/>
  <c r="BZ121" i="5"/>
  <c r="BU121" i="5"/>
  <c r="CB123" i="5"/>
  <c r="CE123" i="5"/>
  <c r="BU123" i="5"/>
  <c r="CD123" i="5"/>
  <c r="BV123" i="5"/>
  <c r="BR123" i="5"/>
  <c r="CC123" i="5"/>
  <c r="CD124" i="5"/>
  <c r="CB124" i="5"/>
  <c r="CE124" i="5"/>
  <c r="BX124" i="5"/>
  <c r="BS124" i="5"/>
  <c r="CC124" i="5"/>
  <c r="J115" i="5"/>
  <c r="BA110" i="5"/>
  <c r="BB110" i="5"/>
  <c r="BC110" i="5"/>
  <c r="BD110" i="5"/>
  <c r="BE110" i="5"/>
  <c r="BF110" i="5"/>
  <c r="BA111" i="5"/>
  <c r="BB111" i="5"/>
  <c r="BC111" i="5"/>
  <c r="BD111" i="5"/>
  <c r="BE111" i="5"/>
  <c r="BF111" i="5"/>
  <c r="AS110" i="5"/>
  <c r="AV110" i="5" s="1"/>
  <c r="AS111" i="5"/>
  <c r="AV111" i="5" s="1"/>
  <c r="BA103" i="5"/>
  <c r="BB103" i="5"/>
  <c r="BC103" i="5"/>
  <c r="BD103" i="5"/>
  <c r="BE103" i="5"/>
  <c r="BF103" i="5"/>
  <c r="BJ103" i="5"/>
  <c r="BA104" i="5"/>
  <c r="BB104" i="5"/>
  <c r="BC104" i="5"/>
  <c r="BD104" i="5"/>
  <c r="BE104" i="5"/>
  <c r="BF104" i="5"/>
  <c r="BJ104" i="5"/>
  <c r="BA107" i="5"/>
  <c r="BB107" i="5"/>
  <c r="BC107" i="5"/>
  <c r="BD107" i="5"/>
  <c r="BE107" i="5"/>
  <c r="BF107" i="5"/>
  <c r="BJ107" i="5"/>
  <c r="AY92" i="5"/>
  <c r="AZ92" i="5"/>
  <c r="BA92" i="5"/>
  <c r="BB92" i="5"/>
  <c r="BC92" i="5"/>
  <c r="BD92" i="5"/>
  <c r="BE92" i="5"/>
  <c r="BF92" i="5"/>
  <c r="BI92" i="5"/>
  <c r="BJ92" i="5"/>
  <c r="AS103" i="5"/>
  <c r="AV103" i="5" s="1"/>
  <c r="AS104" i="5"/>
  <c r="AV104" i="5" s="1"/>
  <c r="AS105" i="5"/>
  <c r="AV105" i="5" s="1"/>
  <c r="AS106" i="5"/>
  <c r="AV106" i="5" s="1"/>
  <c r="AS107" i="5"/>
  <c r="AV107" i="5" s="1"/>
  <c r="I512" i="1"/>
  <c r="BS103" i="5" l="1"/>
  <c r="BP103" i="5"/>
  <c r="BT103" i="5"/>
  <c r="BY103" i="5"/>
  <c r="CB103" i="5"/>
  <c r="CE103" i="5"/>
  <c r="BQ103" i="5"/>
  <c r="BV103" i="5"/>
  <c r="BX103" i="5"/>
  <c r="BZ103" i="5"/>
  <c r="CD103" i="5"/>
  <c r="BR103" i="5"/>
  <c r="BU103" i="5"/>
  <c r="BW103" i="5"/>
  <c r="CA103" i="5"/>
  <c r="CC103" i="5"/>
  <c r="BS110" i="5"/>
  <c r="BU111" i="5"/>
  <c r="CC110" i="5"/>
  <c r="BW110" i="5"/>
  <c r="CE110" i="5"/>
  <c r="CD110" i="5"/>
  <c r="CB110" i="5"/>
  <c r="BR110" i="5"/>
  <c r="BV110" i="5"/>
  <c r="BU110" i="5"/>
  <c r="BT110" i="5"/>
  <c r="CE111" i="5"/>
  <c r="CC111" i="5"/>
  <c r="BW111" i="5"/>
  <c r="BT111" i="5"/>
  <c r="BS111" i="5"/>
  <c r="BR111" i="5"/>
  <c r="CD111" i="5"/>
  <c r="CB111" i="5"/>
  <c r="BV111" i="5"/>
  <c r="I484" i="1" l="1"/>
  <c r="I477" i="1"/>
  <c r="I449" i="1"/>
  <c r="I442" i="1"/>
  <c r="BA77" i="5"/>
  <c r="BB77" i="5"/>
  <c r="BC77" i="5"/>
  <c r="BD77" i="5"/>
  <c r="BE77" i="5"/>
  <c r="BF77" i="5"/>
  <c r="BI77" i="5"/>
  <c r="BJ77" i="5"/>
  <c r="AS68" i="5"/>
  <c r="AV68" i="5" s="1"/>
  <c r="AS69" i="5"/>
  <c r="AV69" i="5" s="1"/>
  <c r="AY68" i="5"/>
  <c r="AZ68" i="5"/>
  <c r="BA68" i="5"/>
  <c r="BB68" i="5"/>
  <c r="BC68" i="5"/>
  <c r="BD68" i="5"/>
  <c r="BE68" i="5"/>
  <c r="BF68" i="5"/>
  <c r="BI68" i="5"/>
  <c r="BJ68" i="5"/>
  <c r="AY69" i="5"/>
  <c r="AZ69" i="5"/>
  <c r="BA69" i="5"/>
  <c r="BB69" i="5"/>
  <c r="BC69" i="5"/>
  <c r="BD69" i="5"/>
  <c r="BE69" i="5"/>
  <c r="BF69" i="5"/>
  <c r="BI69" i="5"/>
  <c r="BJ69" i="5"/>
  <c r="AZ67" i="5"/>
  <c r="BA67" i="5"/>
  <c r="BB67" i="5"/>
  <c r="BC67" i="5"/>
  <c r="BD67" i="5"/>
  <c r="BE67" i="5"/>
  <c r="BF67" i="5"/>
  <c r="BI67" i="5"/>
  <c r="BJ67" i="5"/>
  <c r="AY65" i="5"/>
  <c r="AZ65" i="5"/>
  <c r="BA65" i="5"/>
  <c r="BB65" i="5"/>
  <c r="BC65" i="5"/>
  <c r="BD65" i="5"/>
  <c r="BE65" i="5"/>
  <c r="BF65" i="5"/>
  <c r="BI65" i="5"/>
  <c r="BJ65" i="5"/>
  <c r="AY56" i="5"/>
  <c r="AZ56" i="5"/>
  <c r="BA56" i="5"/>
  <c r="BB56" i="5"/>
  <c r="BC56" i="5"/>
  <c r="BD56" i="5"/>
  <c r="BE56" i="5"/>
  <c r="BF56" i="5"/>
  <c r="BG56" i="5"/>
  <c r="BH56" i="5"/>
  <c r="BI56" i="5"/>
  <c r="BJ56" i="5"/>
  <c r="AS56" i="5"/>
  <c r="AV56" i="5" s="1"/>
  <c r="BZ56" i="5" s="1"/>
  <c r="G276" i="1"/>
  <c r="CD69" i="5" l="1"/>
  <c r="BP69" i="5"/>
  <c r="CE69" i="5"/>
  <c r="BQ69" i="5"/>
  <c r="BU69" i="5"/>
  <c r="CB69" i="5"/>
  <c r="CC69" i="5"/>
  <c r="BT69" i="5"/>
  <c r="BV69" i="5"/>
  <c r="BW69" i="5"/>
  <c r="CA69" i="5"/>
  <c r="BS69" i="5"/>
  <c r="BR69" i="5"/>
  <c r="BZ69" i="5"/>
  <c r="CB68" i="5"/>
  <c r="CC68" i="5"/>
  <c r="CD68" i="5"/>
  <c r="CE68" i="5"/>
  <c r="BZ68" i="5"/>
  <c r="BW68" i="5"/>
  <c r="BU68" i="5"/>
  <c r="BS68" i="5"/>
  <c r="BQ68" i="5"/>
  <c r="CA68" i="5"/>
  <c r="BV68" i="5"/>
  <c r="BT68" i="5"/>
  <c r="BR68" i="5"/>
  <c r="BP68" i="5"/>
  <c r="BU56" i="5"/>
  <c r="CE56" i="5"/>
  <c r="BR56" i="5"/>
  <c r="CC56" i="5"/>
  <c r="CB56" i="5"/>
  <c r="BY56" i="5"/>
  <c r="BX56" i="5"/>
  <c r="BW56" i="5"/>
  <c r="BV56" i="5"/>
  <c r="BT56" i="5"/>
  <c r="BS56" i="5"/>
  <c r="CD56" i="5"/>
  <c r="BQ56" i="5"/>
  <c r="BP56" i="5"/>
  <c r="CA56" i="5"/>
  <c r="AY47" i="5"/>
  <c r="AZ47" i="5"/>
  <c r="BA47" i="5"/>
  <c r="BB47" i="5"/>
  <c r="BC47" i="5"/>
  <c r="BD47" i="5"/>
  <c r="BE47" i="5"/>
  <c r="BF47" i="5"/>
  <c r="BI47" i="5"/>
  <c r="BJ47" i="5"/>
  <c r="AS47" i="5"/>
  <c r="AV47" i="5" s="1"/>
  <c r="BA40" i="5"/>
  <c r="BB40" i="5"/>
  <c r="BC40" i="5"/>
  <c r="BD40" i="5"/>
  <c r="BE40" i="5"/>
  <c r="BF40" i="5"/>
  <c r="BG40" i="5"/>
  <c r="BH40" i="5"/>
  <c r="BI40" i="5"/>
  <c r="BJ40" i="5"/>
  <c r="AS40" i="5"/>
  <c r="AV40" i="5" s="1"/>
  <c r="DO20" i="5"/>
  <c r="DN20" i="5"/>
  <c r="DM20" i="5"/>
  <c r="DL20" i="5"/>
  <c r="DK20" i="5"/>
  <c r="DJ20" i="5"/>
  <c r="DI20" i="5"/>
  <c r="DH20" i="5"/>
  <c r="DG20" i="5"/>
  <c r="DF20" i="5"/>
  <c r="DE20" i="5"/>
  <c r="DD20" i="5"/>
  <c r="DC20" i="5"/>
  <c r="DB20" i="5"/>
  <c r="DA20" i="5"/>
  <c r="CZ20" i="5"/>
  <c r="DO17" i="5"/>
  <c r="DN17" i="5"/>
  <c r="DM17" i="5"/>
  <c r="DL17" i="5"/>
  <c r="DK17" i="5"/>
  <c r="DJ17" i="5"/>
  <c r="DI17" i="5"/>
  <c r="DH17" i="5"/>
  <c r="DG17" i="5"/>
  <c r="DF17" i="5"/>
  <c r="DE17" i="5"/>
  <c r="DD17" i="5"/>
  <c r="DC17" i="5"/>
  <c r="DB17" i="5"/>
  <c r="DA17" i="5"/>
  <c r="CZ17" i="5"/>
  <c r="AS33" i="5"/>
  <c r="AV33" i="5" s="1"/>
  <c r="AY33" i="5"/>
  <c r="AZ33" i="5"/>
  <c r="BA33" i="5"/>
  <c r="BB33" i="5"/>
  <c r="BC33" i="5"/>
  <c r="BD33" i="5"/>
  <c r="BE33" i="5"/>
  <c r="BF33" i="5"/>
  <c r="BG33" i="5"/>
  <c r="BH33" i="5"/>
  <c r="BI33" i="5"/>
  <c r="BJ33" i="5"/>
  <c r="AY31" i="5"/>
  <c r="AZ31" i="5"/>
  <c r="BA31" i="5"/>
  <c r="BB31" i="5"/>
  <c r="BC31" i="5"/>
  <c r="BD31" i="5"/>
  <c r="BE31" i="5"/>
  <c r="BF31" i="5"/>
  <c r="BG31" i="5"/>
  <c r="BH31" i="5"/>
  <c r="BI31" i="5"/>
  <c r="BJ31" i="5"/>
  <c r="AS31" i="5"/>
  <c r="AV31" i="5" s="1"/>
  <c r="AY25" i="5"/>
  <c r="AZ25" i="5"/>
  <c r="BA25" i="5"/>
  <c r="BB25" i="5"/>
  <c r="BC25" i="5"/>
  <c r="BD25" i="5"/>
  <c r="BE25" i="5"/>
  <c r="BF25" i="5"/>
  <c r="BG25" i="5"/>
  <c r="BH25" i="5"/>
  <c r="BI25" i="5"/>
  <c r="BJ25" i="5"/>
  <c r="AY17" i="5"/>
  <c r="BP17" i="5" s="1"/>
  <c r="AZ17" i="5"/>
  <c r="BQ17" i="5" s="1"/>
  <c r="BA17" i="5"/>
  <c r="BR17" i="5" s="1"/>
  <c r="BB17" i="5"/>
  <c r="BS17" i="5" s="1"/>
  <c r="BC17" i="5"/>
  <c r="BT17" i="5" s="1"/>
  <c r="BD17" i="5"/>
  <c r="BU17" i="5" s="1"/>
  <c r="BE17" i="5"/>
  <c r="BV17" i="5" s="1"/>
  <c r="BF17" i="5"/>
  <c r="BW17" i="5" s="1"/>
  <c r="BG17" i="5"/>
  <c r="BX17" i="5" s="1"/>
  <c r="BH17" i="5"/>
  <c r="BY17" i="5" s="1"/>
  <c r="BI17" i="5"/>
  <c r="BZ17" i="5" s="1"/>
  <c r="BJ17" i="5"/>
  <c r="CA17" i="5" s="1"/>
  <c r="S66" i="6"/>
  <c r="J65" i="6"/>
  <c r="T19" i="5"/>
  <c r="I65" i="6"/>
  <c r="S19" i="5"/>
  <c r="AV19" i="5"/>
  <c r="G65" i="6" s="1"/>
  <c r="AS17" i="5"/>
  <c r="AV17" i="5" s="1"/>
  <c r="AS25" i="5"/>
  <c r="AV25" i="5" s="1"/>
  <c r="G19" i="5"/>
  <c r="D65" i="6" s="1"/>
  <c r="F19" i="5"/>
  <c r="E19" i="5"/>
  <c r="D19" i="5"/>
  <c r="C65" i="6" s="1"/>
  <c r="G27" i="5"/>
  <c r="F27" i="5"/>
  <c r="E27" i="5"/>
  <c r="D27" i="5"/>
  <c r="BX40" i="5" l="1"/>
  <c r="BU40" i="5"/>
  <c r="BV40" i="5"/>
  <c r="BW40" i="5"/>
  <c r="BS47" i="5"/>
  <c r="BT47" i="5"/>
  <c r="BU47" i="5"/>
  <c r="BV47" i="5"/>
  <c r="BW47" i="5"/>
  <c r="BZ47" i="5"/>
  <c r="CA47" i="5"/>
  <c r="BT40" i="5"/>
  <c r="BQ31" i="5"/>
  <c r="BR31" i="5"/>
  <c r="BT31" i="5"/>
  <c r="BS31" i="5"/>
  <c r="BP31" i="5"/>
  <c r="BU31" i="5"/>
  <c r="CE47" i="5"/>
  <c r="BP47" i="5"/>
  <c r="CC47" i="5"/>
  <c r="BR47" i="5"/>
  <c r="CB47" i="5"/>
  <c r="BQ47" i="5"/>
  <c r="CD47" i="5"/>
  <c r="CC40" i="5"/>
  <c r="CB40" i="5"/>
  <c r="CB31" i="5"/>
  <c r="CA31" i="5"/>
  <c r="CD31" i="5"/>
  <c r="BZ31" i="5"/>
  <c r="BV31" i="5"/>
  <c r="CE31" i="5"/>
  <c r="CC31" i="5"/>
  <c r="BY31" i="5"/>
  <c r="BX31" i="5"/>
  <c r="BW31" i="5"/>
  <c r="CA40" i="5"/>
  <c r="CE40" i="5"/>
  <c r="BS40" i="5"/>
  <c r="BR40" i="5"/>
  <c r="BZ40" i="5"/>
  <c r="CD40" i="5"/>
  <c r="BY40" i="5"/>
  <c r="AH19" i="5"/>
  <c r="AG19" i="5"/>
  <c r="AF19" i="5"/>
  <c r="AE19" i="5"/>
  <c r="AD19" i="5"/>
  <c r="AC19" i="5"/>
  <c r="AB19" i="5"/>
  <c r="AA19" i="5"/>
  <c r="Z19" i="5"/>
  <c r="Y19" i="5"/>
  <c r="W19" i="5"/>
  <c r="R19" i="5"/>
  <c r="Q19" i="5"/>
  <c r="P19" i="5"/>
  <c r="O19" i="5"/>
  <c r="N19" i="5"/>
  <c r="M19" i="5"/>
  <c r="L19" i="5"/>
  <c r="K19" i="5"/>
  <c r="J19" i="5"/>
  <c r="I19" i="5"/>
  <c r="H19" i="5"/>
  <c r="A13" i="5"/>
  <c r="A65" i="6"/>
  <c r="A66" i="6"/>
  <c r="C15" i="3"/>
  <c r="C14" i="3"/>
  <c r="T26" i="6"/>
  <c r="T27" i="6"/>
  <c r="T28" i="6"/>
  <c r="M26" i="6"/>
  <c r="M27" i="6"/>
  <c r="M28" i="6"/>
  <c r="BN183" i="5"/>
  <c r="BM183" i="5"/>
  <c r="BL183" i="5"/>
  <c r="BK183" i="5"/>
  <c r="BF183" i="5"/>
  <c r="BE183" i="5"/>
  <c r="BD183" i="5"/>
  <c r="BC183" i="5"/>
  <c r="BB183" i="5"/>
  <c r="BA183" i="5"/>
  <c r="BA180" i="5"/>
  <c r="BB180" i="5"/>
  <c r="BC180" i="5"/>
  <c r="BD180" i="5"/>
  <c r="BE180" i="5"/>
  <c r="BF180" i="5"/>
  <c r="BK180" i="5"/>
  <c r="BL180" i="5"/>
  <c r="BM180" i="5"/>
  <c r="BN180" i="5"/>
  <c r="BN174" i="5"/>
  <c r="BM174" i="5"/>
  <c r="BL174" i="5"/>
  <c r="BK174" i="5"/>
  <c r="BF174" i="5"/>
  <c r="BE174" i="5"/>
  <c r="BD174" i="5"/>
  <c r="BC174" i="5"/>
  <c r="BB174" i="5"/>
  <c r="BA174" i="5"/>
  <c r="BN172" i="5"/>
  <c r="BM172" i="5"/>
  <c r="BL172" i="5"/>
  <c r="BK172" i="5"/>
  <c r="BF172" i="5"/>
  <c r="BE172" i="5"/>
  <c r="BD172" i="5"/>
  <c r="BC172" i="5"/>
  <c r="BB172" i="5"/>
  <c r="BA172" i="5"/>
  <c r="BN170" i="5"/>
  <c r="BM170" i="5"/>
  <c r="BL170" i="5"/>
  <c r="BK170" i="5"/>
  <c r="BF170" i="5"/>
  <c r="BE170" i="5"/>
  <c r="BD170" i="5"/>
  <c r="BC170" i="5"/>
  <c r="BB170" i="5"/>
  <c r="BA170" i="5"/>
  <c r="M25" i="6"/>
  <c r="T25" i="6"/>
  <c r="L9" i="7"/>
  <c r="M9" i="7"/>
  <c r="N9" i="7"/>
  <c r="O9" i="7"/>
  <c r="P9" i="7"/>
  <c r="Q9" i="7"/>
  <c r="R9" i="7"/>
  <c r="L10" i="7"/>
  <c r="M10" i="7"/>
  <c r="N10" i="7"/>
  <c r="O10" i="7"/>
  <c r="P10" i="7"/>
  <c r="Q10" i="7"/>
  <c r="R10" i="7"/>
  <c r="L11" i="7"/>
  <c r="M11" i="7"/>
  <c r="N11" i="7"/>
  <c r="O11" i="7"/>
  <c r="P11" i="7"/>
  <c r="Q11" i="7"/>
  <c r="R11" i="7"/>
  <c r="L12" i="7"/>
  <c r="M12" i="7"/>
  <c r="N12" i="7"/>
  <c r="O12" i="7"/>
  <c r="P12" i="7"/>
  <c r="Q12" i="7"/>
  <c r="R12" i="7"/>
  <c r="L13" i="7"/>
  <c r="M13" i="7"/>
  <c r="N13" i="7"/>
  <c r="O13" i="7"/>
  <c r="P13" i="7"/>
  <c r="Q13" i="7"/>
  <c r="R13" i="7"/>
  <c r="L14" i="7"/>
  <c r="M14" i="7"/>
  <c r="N14" i="7"/>
  <c r="O14" i="7"/>
  <c r="P14" i="7"/>
  <c r="Q14" i="7"/>
  <c r="R14" i="7"/>
  <c r="K185" i="5" l="1"/>
  <c r="L185" i="5"/>
  <c r="M185" i="5"/>
  <c r="N185" i="5"/>
  <c r="O185" i="5"/>
  <c r="P185" i="5"/>
  <c r="Q185" i="5"/>
  <c r="R185" i="5"/>
  <c r="T185" i="5"/>
  <c r="J84" i="6" s="1"/>
  <c r="U185" i="5"/>
  <c r="W185" i="5"/>
  <c r="X185" i="5"/>
  <c r="Y185" i="5"/>
  <c r="K84" i="6" s="1"/>
  <c r="K28" i="6" s="1"/>
  <c r="Z185" i="5"/>
  <c r="L84" i="6" s="1"/>
  <c r="L28" i="6" s="1"/>
  <c r="AB185" i="5"/>
  <c r="AC185" i="5"/>
  <c r="AE185" i="5"/>
  <c r="AF185" i="5"/>
  <c r="AG185" i="5"/>
  <c r="P84" i="6" s="1"/>
  <c r="AH185" i="5"/>
  <c r="Q84" i="6" s="1"/>
  <c r="E185" i="5"/>
  <c r="F185" i="5"/>
  <c r="G185" i="5"/>
  <c r="D84" i="6" s="1"/>
  <c r="D185" i="5"/>
  <c r="C84" i="6" s="1"/>
  <c r="AH177" i="5"/>
  <c r="Q83" i="6" s="1"/>
  <c r="AG177" i="5"/>
  <c r="P83" i="6" s="1"/>
  <c r="AF177" i="5"/>
  <c r="AE177" i="5"/>
  <c r="AC177" i="5"/>
  <c r="AB177" i="5"/>
  <c r="Z177" i="5"/>
  <c r="L83" i="6" s="1"/>
  <c r="L27" i="6" s="1"/>
  <c r="Y177" i="5"/>
  <c r="K83" i="6" s="1"/>
  <c r="K27" i="6" s="1"/>
  <c r="X177" i="5"/>
  <c r="W177" i="5"/>
  <c r="U177" i="5"/>
  <c r="T177" i="5"/>
  <c r="J83" i="6" s="1"/>
  <c r="R177" i="5"/>
  <c r="Q177" i="5"/>
  <c r="P177" i="5"/>
  <c r="O177" i="5"/>
  <c r="N177" i="5"/>
  <c r="M177" i="5"/>
  <c r="AH83" i="6" s="1"/>
  <c r="L177" i="5"/>
  <c r="K177" i="5"/>
  <c r="G177" i="5"/>
  <c r="D83" i="6" s="1"/>
  <c r="F177" i="5"/>
  <c r="E177" i="5"/>
  <c r="D177" i="5"/>
  <c r="C83" i="6" s="1"/>
  <c r="F212" i="3"/>
  <c r="D56" i="6" s="1"/>
  <c r="E212" i="3"/>
  <c r="C56" i="6" s="1"/>
  <c r="D212" i="3"/>
  <c r="B56" i="6" s="1"/>
  <c r="B28" i="6" s="1"/>
  <c r="CQ211" i="3"/>
  <c r="CP211" i="3"/>
  <c r="CO211" i="3"/>
  <c r="CN211" i="3"/>
  <c r="CM211" i="3"/>
  <c r="CL211" i="3"/>
  <c r="CK211" i="3"/>
  <c r="CI211" i="3"/>
  <c r="CH211" i="3"/>
  <c r="CG211" i="3"/>
  <c r="CF211" i="3"/>
  <c r="CE211" i="3"/>
  <c r="CD211" i="3"/>
  <c r="CC211" i="3"/>
  <c r="CA211" i="3"/>
  <c r="BZ211" i="3"/>
  <c r="BY211" i="3"/>
  <c r="BX211" i="3"/>
  <c r="BW211" i="3"/>
  <c r="BV211" i="3"/>
  <c r="BU211" i="3"/>
  <c r="BS211" i="3"/>
  <c r="BR211" i="3"/>
  <c r="BQ211" i="3"/>
  <c r="BP211" i="3"/>
  <c r="BO211" i="3"/>
  <c r="BN211" i="3"/>
  <c r="BM211" i="3"/>
  <c r="BK211" i="3"/>
  <c r="BJ211" i="3"/>
  <c r="BI211" i="3"/>
  <c r="BH211" i="3"/>
  <c r="BG211" i="3"/>
  <c r="BF211" i="3"/>
  <c r="BE211" i="3"/>
  <c r="BC211" i="3"/>
  <c r="AI56" i="6" s="1"/>
  <c r="BB211" i="3"/>
  <c r="AH56" i="6" s="1"/>
  <c r="BA211" i="3"/>
  <c r="AG56" i="6" s="1"/>
  <c r="AZ211" i="3"/>
  <c r="AF56" i="6" s="1"/>
  <c r="AY211" i="3"/>
  <c r="AE56" i="6" s="1"/>
  <c r="AX211" i="3"/>
  <c r="AD56" i="6" s="1"/>
  <c r="AW211" i="3"/>
  <c r="AC56" i="6" s="1"/>
  <c r="AU211" i="3"/>
  <c r="AT211" i="3"/>
  <c r="AS211" i="3"/>
  <c r="AR211" i="3"/>
  <c r="AQ211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X211" i="3"/>
  <c r="Q56" i="6" s="1"/>
  <c r="W211" i="3"/>
  <c r="P56" i="6" s="1"/>
  <c r="V211" i="3"/>
  <c r="U211" i="3"/>
  <c r="L56" i="6" s="1"/>
  <c r="T211" i="3"/>
  <c r="K56" i="6" s="1"/>
  <c r="S211" i="3"/>
  <c r="R211" i="3"/>
  <c r="P211" i="3"/>
  <c r="O211" i="3"/>
  <c r="M211" i="3"/>
  <c r="L211" i="3"/>
  <c r="J211" i="3"/>
  <c r="I211" i="3"/>
  <c r="F202" i="3"/>
  <c r="D55" i="6" s="1"/>
  <c r="E202" i="3"/>
  <c r="C55" i="6" s="1"/>
  <c r="D202" i="3"/>
  <c r="B55" i="6" s="1"/>
  <c r="B27" i="6" s="1"/>
  <c r="CQ201" i="3"/>
  <c r="CP201" i="3"/>
  <c r="CO201" i="3"/>
  <c r="CN201" i="3"/>
  <c r="CM201" i="3"/>
  <c r="CL201" i="3"/>
  <c r="CK201" i="3"/>
  <c r="CI201" i="3"/>
  <c r="CH201" i="3"/>
  <c r="CG201" i="3"/>
  <c r="CF201" i="3"/>
  <c r="CE201" i="3"/>
  <c r="CD201" i="3"/>
  <c r="CC201" i="3"/>
  <c r="CA201" i="3"/>
  <c r="BZ201" i="3"/>
  <c r="BY201" i="3"/>
  <c r="BX201" i="3"/>
  <c r="BW201" i="3"/>
  <c r="BV201" i="3"/>
  <c r="BU201" i="3"/>
  <c r="BS201" i="3"/>
  <c r="BR201" i="3"/>
  <c r="BQ201" i="3"/>
  <c r="BP201" i="3"/>
  <c r="BO201" i="3"/>
  <c r="BN201" i="3"/>
  <c r="BM201" i="3"/>
  <c r="BK201" i="3"/>
  <c r="BJ201" i="3"/>
  <c r="BI201" i="3"/>
  <c r="BH201" i="3"/>
  <c r="BG201" i="3"/>
  <c r="BF201" i="3"/>
  <c r="BE201" i="3"/>
  <c r="BC201" i="3"/>
  <c r="AI55" i="6" s="1"/>
  <c r="BB201" i="3"/>
  <c r="AH55" i="6" s="1"/>
  <c r="BA201" i="3"/>
  <c r="AG55" i="6" s="1"/>
  <c r="AZ201" i="3"/>
  <c r="AF55" i="6" s="1"/>
  <c r="AY201" i="3"/>
  <c r="AE55" i="6" s="1"/>
  <c r="AX201" i="3"/>
  <c r="AD55" i="6" s="1"/>
  <c r="AW201" i="3"/>
  <c r="AC55" i="6" s="1"/>
  <c r="AU201" i="3"/>
  <c r="AT201" i="3"/>
  <c r="AS201" i="3"/>
  <c r="AR201" i="3"/>
  <c r="AQ201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X201" i="3"/>
  <c r="Q55" i="6" s="1"/>
  <c r="W201" i="3"/>
  <c r="P55" i="6" s="1"/>
  <c r="V201" i="3"/>
  <c r="U201" i="3"/>
  <c r="L55" i="6" s="1"/>
  <c r="T201" i="3"/>
  <c r="K55" i="6" s="1"/>
  <c r="S201" i="3"/>
  <c r="R201" i="3"/>
  <c r="P201" i="3"/>
  <c r="O201" i="3"/>
  <c r="M201" i="3"/>
  <c r="L201" i="3"/>
  <c r="J201" i="3"/>
  <c r="I201" i="3"/>
  <c r="F192" i="3"/>
  <c r="D54" i="6" s="1"/>
  <c r="E192" i="3"/>
  <c r="C54" i="6" s="1"/>
  <c r="D192" i="3"/>
  <c r="B54" i="6" s="1"/>
  <c r="B26" i="6" s="1"/>
  <c r="CQ191" i="3"/>
  <c r="CP191" i="3"/>
  <c r="CO191" i="3"/>
  <c r="CN191" i="3"/>
  <c r="CM191" i="3"/>
  <c r="CL191" i="3"/>
  <c r="CK191" i="3"/>
  <c r="CI191" i="3"/>
  <c r="CH191" i="3"/>
  <c r="CG191" i="3"/>
  <c r="CF191" i="3"/>
  <c r="CE191" i="3"/>
  <c r="CD191" i="3"/>
  <c r="CC191" i="3"/>
  <c r="CA191" i="3"/>
  <c r="BZ191" i="3"/>
  <c r="BY191" i="3"/>
  <c r="BX191" i="3"/>
  <c r="BW191" i="3"/>
  <c r="BV191" i="3"/>
  <c r="BU191" i="3"/>
  <c r="BS191" i="3"/>
  <c r="BR191" i="3"/>
  <c r="BQ191" i="3"/>
  <c r="BP191" i="3"/>
  <c r="BO191" i="3"/>
  <c r="BN191" i="3"/>
  <c r="BM191" i="3"/>
  <c r="BK191" i="3"/>
  <c r="BJ191" i="3"/>
  <c r="BI191" i="3"/>
  <c r="BH191" i="3"/>
  <c r="BG191" i="3"/>
  <c r="BF191" i="3"/>
  <c r="BE191" i="3"/>
  <c r="BC191" i="3"/>
  <c r="AI54" i="6" s="1"/>
  <c r="BB191" i="3"/>
  <c r="AH54" i="6" s="1"/>
  <c r="BA191" i="3"/>
  <c r="AG54" i="6" s="1"/>
  <c r="AZ191" i="3"/>
  <c r="AF54" i="6" s="1"/>
  <c r="AY191" i="3"/>
  <c r="AE54" i="6" s="1"/>
  <c r="AX191" i="3"/>
  <c r="AD54" i="6" s="1"/>
  <c r="AW191" i="3"/>
  <c r="AC54" i="6" s="1"/>
  <c r="AU191" i="3"/>
  <c r="AT191" i="3"/>
  <c r="AS191" i="3"/>
  <c r="AR191" i="3"/>
  <c r="AQ191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X191" i="3"/>
  <c r="Q54" i="6" s="1"/>
  <c r="W191" i="3"/>
  <c r="P54" i="6" s="1"/>
  <c r="V191" i="3"/>
  <c r="U191" i="3"/>
  <c r="L54" i="6" s="1"/>
  <c r="T191" i="3"/>
  <c r="K54" i="6" s="1"/>
  <c r="S191" i="3"/>
  <c r="R191" i="3"/>
  <c r="P191" i="3"/>
  <c r="O191" i="3"/>
  <c r="M191" i="3"/>
  <c r="L191" i="3"/>
  <c r="J191" i="3"/>
  <c r="I191" i="3"/>
  <c r="F182" i="3"/>
  <c r="D53" i="6" s="1"/>
  <c r="E182" i="3"/>
  <c r="C53" i="6" s="1"/>
  <c r="D182" i="3"/>
  <c r="B53" i="6" s="1"/>
  <c r="B25" i="6" s="1"/>
  <c r="CQ181" i="3"/>
  <c r="CP181" i="3"/>
  <c r="CO181" i="3"/>
  <c r="CN181" i="3"/>
  <c r="CM181" i="3"/>
  <c r="CL181" i="3"/>
  <c r="CK181" i="3"/>
  <c r="CI181" i="3"/>
  <c r="CH181" i="3"/>
  <c r="CG181" i="3"/>
  <c r="CF181" i="3"/>
  <c r="CE181" i="3"/>
  <c r="CD181" i="3"/>
  <c r="CC181" i="3"/>
  <c r="CA181" i="3"/>
  <c r="BZ181" i="3"/>
  <c r="BY181" i="3"/>
  <c r="BX181" i="3"/>
  <c r="BW181" i="3"/>
  <c r="BV181" i="3"/>
  <c r="BU181" i="3"/>
  <c r="BS181" i="3"/>
  <c r="BR181" i="3"/>
  <c r="BQ181" i="3"/>
  <c r="BP181" i="3"/>
  <c r="BO181" i="3"/>
  <c r="BN181" i="3"/>
  <c r="BM181" i="3"/>
  <c r="BK181" i="3"/>
  <c r="BJ181" i="3"/>
  <c r="BI181" i="3"/>
  <c r="BH181" i="3"/>
  <c r="BG181" i="3"/>
  <c r="BF181" i="3"/>
  <c r="BE181" i="3"/>
  <c r="BC181" i="3"/>
  <c r="AI53" i="6" s="1"/>
  <c r="BB181" i="3"/>
  <c r="AH53" i="6" s="1"/>
  <c r="BA181" i="3"/>
  <c r="AZ181" i="3"/>
  <c r="AF53" i="6" s="1"/>
  <c r="AY181" i="3"/>
  <c r="AE53" i="6" s="1"/>
  <c r="AX181" i="3"/>
  <c r="AW181" i="3"/>
  <c r="AC53" i="6" s="1"/>
  <c r="AU181" i="3"/>
  <c r="AT181" i="3"/>
  <c r="AS181" i="3"/>
  <c r="AR181" i="3"/>
  <c r="AQ181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X181" i="3"/>
  <c r="Q53" i="6" s="1"/>
  <c r="W181" i="3"/>
  <c r="P53" i="6" s="1"/>
  <c r="V181" i="3"/>
  <c r="U181" i="3"/>
  <c r="L53" i="6" s="1"/>
  <c r="T181" i="3"/>
  <c r="K53" i="6" s="1"/>
  <c r="S181" i="3"/>
  <c r="R181" i="3"/>
  <c r="P181" i="3"/>
  <c r="O181" i="3"/>
  <c r="M181" i="3"/>
  <c r="L181" i="3"/>
  <c r="J181" i="3"/>
  <c r="I181" i="3"/>
  <c r="F172" i="3"/>
  <c r="D52" i="6" s="1"/>
  <c r="E172" i="3"/>
  <c r="C52" i="6" s="1"/>
  <c r="D172" i="3"/>
  <c r="B52" i="6" s="1"/>
  <c r="CQ171" i="3"/>
  <c r="CP171" i="3"/>
  <c r="CO171" i="3"/>
  <c r="CN171" i="3"/>
  <c r="CM171" i="3"/>
  <c r="CL171" i="3"/>
  <c r="CK171" i="3"/>
  <c r="CI171" i="3"/>
  <c r="CH171" i="3"/>
  <c r="CG171" i="3"/>
  <c r="CF171" i="3"/>
  <c r="CE171" i="3"/>
  <c r="CD171" i="3"/>
  <c r="CC171" i="3"/>
  <c r="CA171" i="3"/>
  <c r="BZ171" i="3"/>
  <c r="BY171" i="3"/>
  <c r="BX171" i="3"/>
  <c r="BW171" i="3"/>
  <c r="BV171" i="3"/>
  <c r="BU171" i="3"/>
  <c r="BS171" i="3"/>
  <c r="BR171" i="3"/>
  <c r="BQ171" i="3"/>
  <c r="BP171" i="3"/>
  <c r="BO171" i="3"/>
  <c r="BN171" i="3"/>
  <c r="BM171" i="3"/>
  <c r="BK171" i="3"/>
  <c r="BJ171" i="3"/>
  <c r="BI171" i="3"/>
  <c r="BH171" i="3"/>
  <c r="BG171" i="3"/>
  <c r="BF171" i="3"/>
  <c r="BE171" i="3"/>
  <c r="BC171" i="3"/>
  <c r="AI52" i="6" s="1"/>
  <c r="BB171" i="3"/>
  <c r="AH52" i="6" s="1"/>
  <c r="BA171" i="3"/>
  <c r="AG52" i="6" s="1"/>
  <c r="AZ171" i="3"/>
  <c r="AF52" i="6" s="1"/>
  <c r="AY171" i="3"/>
  <c r="AE52" i="6" s="1"/>
  <c r="AX171" i="3"/>
  <c r="AD52" i="6" s="1"/>
  <c r="AW171" i="3"/>
  <c r="AC52" i="6" s="1"/>
  <c r="AU171" i="3"/>
  <c r="AT171" i="3"/>
  <c r="AS171" i="3"/>
  <c r="AR171" i="3"/>
  <c r="AQ171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X171" i="3"/>
  <c r="Q52" i="6" s="1"/>
  <c r="W171" i="3"/>
  <c r="P52" i="6" s="1"/>
  <c r="V171" i="3"/>
  <c r="U171" i="3"/>
  <c r="L52" i="6" s="1"/>
  <c r="T171" i="3"/>
  <c r="K52" i="6" s="1"/>
  <c r="S171" i="3"/>
  <c r="R171" i="3"/>
  <c r="P171" i="3"/>
  <c r="O171" i="3"/>
  <c r="M171" i="3"/>
  <c r="L171" i="3"/>
  <c r="J171" i="3"/>
  <c r="I171" i="3"/>
  <c r="F162" i="3"/>
  <c r="D51" i="6" s="1"/>
  <c r="E162" i="3"/>
  <c r="C51" i="6" s="1"/>
  <c r="D162" i="3"/>
  <c r="B51" i="6" s="1"/>
  <c r="CQ161" i="3"/>
  <c r="CP161" i="3"/>
  <c r="CO161" i="3"/>
  <c r="CN161" i="3"/>
  <c r="CM161" i="3"/>
  <c r="CL161" i="3"/>
  <c r="CK161" i="3"/>
  <c r="CI161" i="3"/>
  <c r="CH161" i="3"/>
  <c r="CG161" i="3"/>
  <c r="CF161" i="3"/>
  <c r="CE161" i="3"/>
  <c r="CD161" i="3"/>
  <c r="CC161" i="3"/>
  <c r="CA161" i="3"/>
  <c r="BZ161" i="3"/>
  <c r="BY161" i="3"/>
  <c r="BX161" i="3"/>
  <c r="BW161" i="3"/>
  <c r="BV161" i="3"/>
  <c r="BU161" i="3"/>
  <c r="BS161" i="3"/>
  <c r="BR161" i="3"/>
  <c r="BQ161" i="3"/>
  <c r="BP161" i="3"/>
  <c r="BO161" i="3"/>
  <c r="BN161" i="3"/>
  <c r="BM161" i="3"/>
  <c r="BK161" i="3"/>
  <c r="BJ161" i="3"/>
  <c r="BI161" i="3"/>
  <c r="BH161" i="3"/>
  <c r="BG161" i="3"/>
  <c r="BF161" i="3"/>
  <c r="BE161" i="3"/>
  <c r="BC161" i="3"/>
  <c r="AI51" i="6" s="1"/>
  <c r="BB161" i="3"/>
  <c r="AH51" i="6" s="1"/>
  <c r="BA161" i="3"/>
  <c r="AG51" i="6" s="1"/>
  <c r="AZ161" i="3"/>
  <c r="AF51" i="6" s="1"/>
  <c r="AY161" i="3"/>
  <c r="AE51" i="6" s="1"/>
  <c r="AX161" i="3"/>
  <c r="AD51" i="6" s="1"/>
  <c r="AW161" i="3"/>
  <c r="AC51" i="6" s="1"/>
  <c r="AU161" i="3"/>
  <c r="AT161" i="3"/>
  <c r="AS161" i="3"/>
  <c r="AR161" i="3"/>
  <c r="AQ161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X161" i="3"/>
  <c r="Q51" i="6" s="1"/>
  <c r="W161" i="3"/>
  <c r="P51" i="6" s="1"/>
  <c r="V161" i="3"/>
  <c r="U161" i="3"/>
  <c r="L51" i="6" s="1"/>
  <c r="T161" i="3"/>
  <c r="K51" i="6" s="1"/>
  <c r="S161" i="3"/>
  <c r="R161" i="3"/>
  <c r="P161" i="3"/>
  <c r="O161" i="3"/>
  <c r="M161" i="3"/>
  <c r="L161" i="3"/>
  <c r="J161" i="3"/>
  <c r="I161" i="3"/>
  <c r="BN166" i="5"/>
  <c r="BL166" i="5"/>
  <c r="BK166" i="5"/>
  <c r="BF166" i="5"/>
  <c r="BD166" i="5"/>
  <c r="BC166" i="5"/>
  <c r="BB166" i="5"/>
  <c r="BA166" i="5"/>
  <c r="BN159" i="5"/>
  <c r="BM159" i="5"/>
  <c r="BL159" i="5"/>
  <c r="BK159" i="5"/>
  <c r="BF159" i="5"/>
  <c r="BE159" i="5"/>
  <c r="BD159" i="5"/>
  <c r="BC159" i="5"/>
  <c r="BB159" i="5"/>
  <c r="BA159" i="5"/>
  <c r="BN158" i="5"/>
  <c r="BM158" i="5"/>
  <c r="BL158" i="5"/>
  <c r="BK158" i="5"/>
  <c r="BF158" i="5"/>
  <c r="BE158" i="5"/>
  <c r="BD158" i="5"/>
  <c r="BC158" i="5"/>
  <c r="BB158" i="5"/>
  <c r="BA158" i="5"/>
  <c r="BN148" i="5"/>
  <c r="BM148" i="5"/>
  <c r="BL148" i="5"/>
  <c r="BK148" i="5"/>
  <c r="BF148" i="5"/>
  <c r="BE148" i="5"/>
  <c r="BD148" i="5"/>
  <c r="BC148" i="5"/>
  <c r="BB148" i="5"/>
  <c r="BA148" i="5"/>
  <c r="BN146" i="5"/>
  <c r="BM146" i="5"/>
  <c r="BL146" i="5"/>
  <c r="BK146" i="5"/>
  <c r="BF146" i="5"/>
  <c r="BE146" i="5"/>
  <c r="BD146" i="5"/>
  <c r="BC146" i="5"/>
  <c r="BB146" i="5"/>
  <c r="BA146" i="5"/>
  <c r="BN132" i="5"/>
  <c r="BM132" i="5"/>
  <c r="BL132" i="5"/>
  <c r="BK132" i="5"/>
  <c r="BF132" i="5"/>
  <c r="BE132" i="5"/>
  <c r="BD132" i="5"/>
  <c r="BC132" i="5"/>
  <c r="BB132" i="5"/>
  <c r="BA132" i="5"/>
  <c r="BN129" i="5"/>
  <c r="BM129" i="5"/>
  <c r="BL129" i="5"/>
  <c r="BK129" i="5"/>
  <c r="BF129" i="5"/>
  <c r="BE129" i="5"/>
  <c r="BD129" i="5"/>
  <c r="BC129" i="5"/>
  <c r="BB129" i="5"/>
  <c r="BA129" i="5"/>
  <c r="AH169" i="5"/>
  <c r="Q82" i="6" s="1"/>
  <c r="AG169" i="5"/>
  <c r="P82" i="6" s="1"/>
  <c r="AF169" i="5"/>
  <c r="AE169" i="5"/>
  <c r="AC169" i="5"/>
  <c r="AB169" i="5"/>
  <c r="Z169" i="5"/>
  <c r="L82" i="6" s="1"/>
  <c r="L26" i="6" s="1"/>
  <c r="Y169" i="5"/>
  <c r="K82" i="6" s="1"/>
  <c r="K26" i="6" s="1"/>
  <c r="X169" i="5"/>
  <c r="W169" i="5"/>
  <c r="U169" i="5"/>
  <c r="T169" i="5"/>
  <c r="J82" i="6" s="1"/>
  <c r="R169" i="5"/>
  <c r="Q169" i="5"/>
  <c r="P169" i="5"/>
  <c r="O169" i="5"/>
  <c r="N169" i="5"/>
  <c r="M169" i="5"/>
  <c r="L169" i="5"/>
  <c r="K169" i="5"/>
  <c r="G169" i="5"/>
  <c r="D82" i="6" s="1"/>
  <c r="F169" i="5"/>
  <c r="E169" i="5"/>
  <c r="D169" i="5"/>
  <c r="C82" i="6" s="1"/>
  <c r="AH161" i="5"/>
  <c r="Q81" i="6" s="1"/>
  <c r="AG161" i="5"/>
  <c r="P81" i="6" s="1"/>
  <c r="AF161" i="5"/>
  <c r="AE161" i="5"/>
  <c r="AC161" i="5"/>
  <c r="AB161" i="5"/>
  <c r="Z161" i="5"/>
  <c r="L81" i="6" s="1"/>
  <c r="L25" i="6" s="1"/>
  <c r="Y161" i="5"/>
  <c r="K81" i="6" s="1"/>
  <c r="K25" i="6" s="1"/>
  <c r="X161" i="5"/>
  <c r="W161" i="5"/>
  <c r="U161" i="5"/>
  <c r="T161" i="5"/>
  <c r="J81" i="6" s="1"/>
  <c r="R161" i="5"/>
  <c r="Q161" i="5"/>
  <c r="P161" i="5"/>
  <c r="O161" i="5"/>
  <c r="N161" i="5"/>
  <c r="M161" i="5"/>
  <c r="L161" i="5"/>
  <c r="K161" i="5"/>
  <c r="K153" i="5"/>
  <c r="L153" i="5"/>
  <c r="M153" i="5"/>
  <c r="N153" i="5"/>
  <c r="O153" i="5"/>
  <c r="P153" i="5"/>
  <c r="Q153" i="5"/>
  <c r="R153" i="5"/>
  <c r="T153" i="5"/>
  <c r="J80" i="6" s="1"/>
  <c r="U153" i="5"/>
  <c r="W153" i="5"/>
  <c r="X153" i="5"/>
  <c r="Y153" i="5"/>
  <c r="K80" i="6" s="1"/>
  <c r="Z153" i="5"/>
  <c r="L80" i="6" s="1"/>
  <c r="AB153" i="5"/>
  <c r="AC153" i="5"/>
  <c r="AE153" i="5"/>
  <c r="AF153" i="5"/>
  <c r="AG153" i="5"/>
  <c r="P80" i="6" s="1"/>
  <c r="AH153" i="5"/>
  <c r="Q80" i="6" s="1"/>
  <c r="G161" i="5"/>
  <c r="D81" i="6" s="1"/>
  <c r="F161" i="5"/>
  <c r="E161" i="5"/>
  <c r="D161" i="5"/>
  <c r="C81" i="6" s="1"/>
  <c r="E153" i="5"/>
  <c r="F153" i="5"/>
  <c r="G153" i="5"/>
  <c r="D80" i="6" s="1"/>
  <c r="D153" i="5"/>
  <c r="C80" i="6" s="1"/>
  <c r="P27" i="6" l="1"/>
  <c r="Q27" i="6"/>
  <c r="Q28" i="6"/>
  <c r="P28" i="6"/>
  <c r="Q25" i="6"/>
  <c r="Q26" i="6"/>
  <c r="P26" i="6"/>
  <c r="P25" i="6"/>
  <c r="AF27" i="6"/>
  <c r="AF83" i="6"/>
  <c r="AF81" i="6"/>
  <c r="AF25" i="6" s="1"/>
  <c r="AF82" i="6"/>
  <c r="AF26" i="6" s="1"/>
  <c r="D27" i="6"/>
  <c r="AE81" i="6"/>
  <c r="AE25" i="6" s="1"/>
  <c r="AI81" i="6"/>
  <c r="AI25" i="6" s="1"/>
  <c r="AE82" i="6"/>
  <c r="AE26" i="6" s="1"/>
  <c r="AI82" i="6"/>
  <c r="AI26" i="6" s="1"/>
  <c r="AI80" i="6"/>
  <c r="AI24" i="6" s="1"/>
  <c r="AE80" i="6"/>
  <c r="AE24" i="6" s="1"/>
  <c r="AF84" i="6"/>
  <c r="AF28" i="6" s="1"/>
  <c r="AH84" i="6"/>
  <c r="AH28" i="6" s="1"/>
  <c r="AD84" i="6"/>
  <c r="AD28" i="6" s="1"/>
  <c r="AC84" i="6"/>
  <c r="AC28" i="6" s="1"/>
  <c r="AG84" i="6"/>
  <c r="AG28" i="6" s="1"/>
  <c r="AH27" i="6"/>
  <c r="AD83" i="6"/>
  <c r="AI83" i="6"/>
  <c r="AI27" i="6" s="1"/>
  <c r="AE83" i="6"/>
  <c r="AE27" i="6" s="1"/>
  <c r="D25" i="6"/>
  <c r="AD82" i="6"/>
  <c r="AD26" i="6" s="1"/>
  <c r="AH82" i="6"/>
  <c r="AH26" i="6" s="1"/>
  <c r="AI84" i="6"/>
  <c r="AI28" i="6" s="1"/>
  <c r="AE84" i="6"/>
  <c r="AE28" i="6" s="1"/>
  <c r="AC82" i="6"/>
  <c r="AC26" i="6" s="1"/>
  <c r="AG82" i="6"/>
  <c r="AG26" i="6" s="1"/>
  <c r="C28" i="6"/>
  <c r="D28" i="6"/>
  <c r="AD27" i="6"/>
  <c r="AG83" i="6"/>
  <c r="AG27" i="6" s="1"/>
  <c r="AC83" i="6"/>
  <c r="AC27" i="6" s="1"/>
  <c r="C27" i="6"/>
  <c r="C26" i="6"/>
  <c r="D26" i="6"/>
  <c r="AG81" i="6"/>
  <c r="AC81" i="6"/>
  <c r="AC25" i="6"/>
  <c r="AD81" i="6"/>
  <c r="AD25" i="6" s="1"/>
  <c r="AH81" i="6"/>
  <c r="AH25" i="6" s="1"/>
  <c r="C25" i="6"/>
  <c r="AF80" i="6"/>
  <c r="AF24" i="6" s="1"/>
  <c r="AD80" i="6"/>
  <c r="AD24" i="6" s="1"/>
  <c r="AH80" i="6"/>
  <c r="AH24" i="6"/>
  <c r="AC80" i="6"/>
  <c r="AC24" i="6" s="1"/>
  <c r="AG80" i="6"/>
  <c r="AG24" i="6" s="1"/>
  <c r="AD53" i="6"/>
  <c r="AG53" i="6"/>
  <c r="BA96" i="5"/>
  <c r="BB96" i="5"/>
  <c r="BC96" i="5"/>
  <c r="BD96" i="5"/>
  <c r="BE96" i="5"/>
  <c r="BF96" i="5"/>
  <c r="BJ96" i="5"/>
  <c r="BA102" i="5"/>
  <c r="BB102" i="5"/>
  <c r="BC102" i="5"/>
  <c r="BD102" i="5"/>
  <c r="BE102" i="5"/>
  <c r="BF102" i="5"/>
  <c r="BJ102" i="5"/>
  <c r="BF120" i="5"/>
  <c r="BE120" i="5"/>
  <c r="BD120" i="5"/>
  <c r="BC120" i="5"/>
  <c r="BB120" i="5"/>
  <c r="BA120" i="5"/>
  <c r="G670" i="1"/>
  <c r="AG25" i="6" l="1"/>
  <c r="I533" i="1"/>
  <c r="I526" i="1"/>
  <c r="I519" i="1"/>
  <c r="I491" i="1"/>
  <c r="BA98" i="5"/>
  <c r="BB98" i="5"/>
  <c r="BC98" i="5"/>
  <c r="BD98" i="5"/>
  <c r="BE98" i="5"/>
  <c r="BF98" i="5"/>
  <c r="BJ98" i="5"/>
  <c r="I393" i="1"/>
  <c r="I344" i="1" l="1"/>
  <c r="I323" i="1"/>
  <c r="BA48" i="5" l="1"/>
  <c r="BB48" i="5"/>
  <c r="BC48" i="5"/>
  <c r="BD48" i="5"/>
  <c r="BE48" i="5"/>
  <c r="BF48" i="5"/>
  <c r="BJ48" i="5"/>
  <c r="G227" i="1" l="1"/>
  <c r="BJ44" i="5" l="1"/>
  <c r="BF44" i="5"/>
  <c r="BE44" i="5"/>
  <c r="BD44" i="5"/>
  <c r="BC44" i="5"/>
  <c r="BB44" i="5"/>
  <c r="BA44" i="5"/>
  <c r="AS44" i="5"/>
  <c r="AV44" i="5" s="1"/>
  <c r="BJ43" i="5"/>
  <c r="BF43" i="5"/>
  <c r="BE43" i="5"/>
  <c r="BD43" i="5"/>
  <c r="BC43" i="5"/>
  <c r="BB43" i="5"/>
  <c r="BA43" i="5"/>
  <c r="AS43" i="5"/>
  <c r="AV43" i="5" s="1"/>
  <c r="BJ42" i="5"/>
  <c r="BF42" i="5"/>
  <c r="BE42" i="5"/>
  <c r="BD42" i="5"/>
  <c r="BC42" i="5"/>
  <c r="BB42" i="5"/>
  <c r="BA42" i="5"/>
  <c r="AS42" i="5"/>
  <c r="AV42" i="5" s="1"/>
  <c r="BJ41" i="5"/>
  <c r="BF41" i="5"/>
  <c r="BE41" i="5"/>
  <c r="BD41" i="5"/>
  <c r="BC41" i="5"/>
  <c r="BB41" i="5"/>
  <c r="BA41" i="5"/>
  <c r="AS41" i="5"/>
  <c r="AV41" i="5" s="1"/>
  <c r="BJ39" i="5"/>
  <c r="BF39" i="5"/>
  <c r="BE39" i="5"/>
  <c r="BD39" i="5"/>
  <c r="BC39" i="5"/>
  <c r="BB39" i="5"/>
  <c r="BA39" i="5"/>
  <c r="AS39" i="5"/>
  <c r="AV39" i="5" s="1"/>
  <c r="O27" i="15"/>
  <c r="BV39" i="5" l="1"/>
  <c r="BT41" i="5"/>
  <c r="BW41" i="5"/>
  <c r="BV41" i="5"/>
  <c r="BU41" i="5"/>
  <c r="BT42" i="5"/>
  <c r="BU42" i="5"/>
  <c r="BR42" i="5"/>
  <c r="BS42" i="5"/>
  <c r="BV42" i="5"/>
  <c r="BW42" i="5"/>
  <c r="BS41" i="5"/>
  <c r="BR41" i="5"/>
  <c r="BW39" i="5"/>
  <c r="BS39" i="5"/>
  <c r="BT39" i="5"/>
  <c r="BU39" i="5"/>
  <c r="CC44" i="5"/>
  <c r="DM44" i="5" s="1"/>
  <c r="CB44" i="5"/>
  <c r="DL44" i="5" s="1"/>
  <c r="CE44" i="5"/>
  <c r="DO44" i="5" s="1"/>
  <c r="CD44" i="5"/>
  <c r="DN44" i="5" s="1"/>
  <c r="CA44" i="5"/>
  <c r="DK44" i="5" s="1"/>
  <c r="BR43" i="5"/>
  <c r="CA43" i="5"/>
  <c r="CR43" i="5" s="1"/>
  <c r="BS43" i="5"/>
  <c r="BT43" i="5"/>
  <c r="BU43" i="5"/>
  <c r="BV43" i="5"/>
  <c r="BU44" i="5"/>
  <c r="DE44" i="5" s="1"/>
  <c r="CE43" i="5"/>
  <c r="CD43" i="5"/>
  <c r="CC43" i="5"/>
  <c r="CT43" i="5" s="1"/>
  <c r="CB43" i="5"/>
  <c r="BR44" i="5"/>
  <c r="DB44" i="5" s="1"/>
  <c r="BS44" i="5"/>
  <c r="DC44" i="5" s="1"/>
  <c r="BT44" i="5"/>
  <c r="DD44" i="5" s="1"/>
  <c r="CE39" i="5"/>
  <c r="CD39" i="5"/>
  <c r="CC39" i="5"/>
  <c r="CB39" i="5"/>
  <c r="CA39" i="5"/>
  <c r="BW43" i="5"/>
  <c r="BV44" i="5"/>
  <c r="DF44" i="5" s="1"/>
  <c r="BW44" i="5"/>
  <c r="DG44" i="5" s="1"/>
  <c r="CB41" i="5"/>
  <c r="DL41" i="5" s="1"/>
  <c r="CE41" i="5"/>
  <c r="CD41" i="5"/>
  <c r="CC41" i="5"/>
  <c r="CA41" i="5"/>
  <c r="BR39" i="5"/>
  <c r="CC42" i="5"/>
  <c r="CB42" i="5"/>
  <c r="CE42" i="5"/>
  <c r="CD42" i="5"/>
  <c r="CA42" i="5"/>
  <c r="CL43" i="5" l="1"/>
  <c r="CI43" i="5"/>
  <c r="CS43" i="5"/>
  <c r="CV43" i="5"/>
  <c r="CU43" i="5"/>
  <c r="CM43" i="5"/>
  <c r="CK43" i="5"/>
  <c r="CN43" i="5"/>
  <c r="CJ43" i="5"/>
  <c r="DL39" i="5"/>
  <c r="CS38" i="5"/>
  <c r="DM39" i="5"/>
  <c r="CT38" i="5"/>
  <c r="DN39" i="5"/>
  <c r="CU38" i="5"/>
  <c r="DO39" i="5"/>
  <c r="CV38" i="5"/>
  <c r="DK39" i="5"/>
  <c r="CR38" i="5"/>
  <c r="DE39" i="5"/>
  <c r="CL38" i="5"/>
  <c r="DD39" i="5"/>
  <c r="CK38" i="5"/>
  <c r="DC39" i="5"/>
  <c r="CJ38" i="5"/>
  <c r="DB39" i="5"/>
  <c r="CI38" i="5"/>
  <c r="DG39" i="5"/>
  <c r="CN38" i="5"/>
  <c r="DF39" i="5"/>
  <c r="CM38" i="5"/>
  <c r="DN42" i="5"/>
  <c r="DO42" i="5"/>
  <c r="DF42" i="5"/>
  <c r="DK42" i="5"/>
  <c r="DE42" i="5"/>
  <c r="DG42" i="5"/>
  <c r="DL42" i="5"/>
  <c r="DM42" i="5"/>
  <c r="DC42" i="5"/>
  <c r="DB42" i="5"/>
  <c r="DK41" i="5"/>
  <c r="DG41" i="5"/>
  <c r="DM41" i="5"/>
  <c r="DC41" i="5"/>
  <c r="DF41" i="5"/>
  <c r="DN41" i="5"/>
  <c r="DO41" i="5"/>
  <c r="DB41" i="5"/>
  <c r="DE41" i="5"/>
  <c r="DD41" i="5"/>
  <c r="DD42" i="5"/>
  <c r="K27" i="5"/>
  <c r="L27" i="5"/>
  <c r="M27" i="5"/>
  <c r="AH66" i="6" s="1"/>
  <c r="N27" i="5"/>
  <c r="AD66" i="6" s="1"/>
  <c r="O27" i="5"/>
  <c r="P27" i="5"/>
  <c r="Q27" i="5"/>
  <c r="R27" i="5"/>
  <c r="T27" i="5"/>
  <c r="W27" i="5"/>
  <c r="Y27" i="5"/>
  <c r="Z27" i="5"/>
  <c r="AA27" i="5"/>
  <c r="AB27" i="5"/>
  <c r="AC27" i="5"/>
  <c r="AD27" i="5"/>
  <c r="AE27" i="5"/>
  <c r="AF27" i="5"/>
  <c r="AG27" i="5"/>
  <c r="AH27" i="5"/>
  <c r="A37" i="6"/>
  <c r="AF66" i="6" l="1"/>
  <c r="AG66" i="6"/>
  <c r="AC66" i="6"/>
  <c r="AI66" i="6"/>
  <c r="AE66" i="6"/>
  <c r="I71" i="1"/>
  <c r="I64" i="1"/>
  <c r="I57" i="1"/>
  <c r="BJ26" i="5"/>
  <c r="BI26" i="5"/>
  <c r="BF26" i="5"/>
  <c r="BE26" i="5"/>
  <c r="BD26" i="5"/>
  <c r="BC26" i="5"/>
  <c r="BB26" i="5"/>
  <c r="BA26" i="5"/>
  <c r="AS26" i="5"/>
  <c r="AV26" i="5" s="1"/>
  <c r="AS22" i="5"/>
  <c r="AV22" i="5" s="1"/>
  <c r="AS184" i="5"/>
  <c r="AD184" i="5"/>
  <c r="AA184" i="5"/>
  <c r="V184" i="5"/>
  <c r="S184" i="5"/>
  <c r="J184" i="5"/>
  <c r="I184" i="5"/>
  <c r="AS183" i="5"/>
  <c r="AV183" i="5" s="1"/>
  <c r="AD183" i="5"/>
  <c r="BJ183" i="5" s="1"/>
  <c r="AA183" i="5"/>
  <c r="BI183" i="5" s="1"/>
  <c r="V183" i="5"/>
  <c r="BH183" i="5" s="1"/>
  <c r="S183" i="5"/>
  <c r="BG183" i="5" s="1"/>
  <c r="J183" i="5"/>
  <c r="I183" i="5"/>
  <c r="AZ183" i="5" s="1"/>
  <c r="AS182" i="5"/>
  <c r="AD182" i="5"/>
  <c r="AA182" i="5"/>
  <c r="V182" i="5"/>
  <c r="S182" i="5"/>
  <c r="J182" i="5"/>
  <c r="I182" i="5"/>
  <c r="AS181" i="5"/>
  <c r="AD181" i="5"/>
  <c r="AA181" i="5"/>
  <c r="V181" i="5"/>
  <c r="S181" i="5"/>
  <c r="J181" i="5"/>
  <c r="I181" i="5"/>
  <c r="AS180" i="5"/>
  <c r="AV180" i="5" s="1"/>
  <c r="AD180" i="5"/>
  <c r="BJ180" i="5" s="1"/>
  <c r="AA180" i="5"/>
  <c r="BI180" i="5" s="1"/>
  <c r="V180" i="5"/>
  <c r="BH180" i="5" s="1"/>
  <c r="S180" i="5"/>
  <c r="BG180" i="5" s="1"/>
  <c r="J180" i="5"/>
  <c r="I180" i="5"/>
  <c r="AZ180" i="5" s="1"/>
  <c r="AS179" i="5"/>
  <c r="AD179" i="5"/>
  <c r="AA179" i="5"/>
  <c r="V179" i="5"/>
  <c r="S179" i="5"/>
  <c r="J179" i="5"/>
  <c r="I179" i="5"/>
  <c r="AS178" i="5"/>
  <c r="AD178" i="5"/>
  <c r="AA178" i="5"/>
  <c r="V178" i="5"/>
  <c r="S178" i="5"/>
  <c r="J178" i="5"/>
  <c r="I178" i="5"/>
  <c r="AS176" i="5"/>
  <c r="AD176" i="5"/>
  <c r="AA176" i="5"/>
  <c r="V176" i="5"/>
  <c r="S176" i="5"/>
  <c r="J176" i="5"/>
  <c r="I176" i="5"/>
  <c r="AS175" i="5"/>
  <c r="AD175" i="5"/>
  <c r="AA175" i="5"/>
  <c r="V175" i="5"/>
  <c r="S175" i="5"/>
  <c r="J175" i="5"/>
  <c r="I175" i="5"/>
  <c r="AS174" i="5"/>
  <c r="AV174" i="5" s="1"/>
  <c r="AD174" i="5"/>
  <c r="BJ174" i="5" s="1"/>
  <c r="AA174" i="5"/>
  <c r="BI174" i="5" s="1"/>
  <c r="V174" i="5"/>
  <c r="BH174" i="5" s="1"/>
  <c r="S174" i="5"/>
  <c r="BG174" i="5" s="1"/>
  <c r="J174" i="5"/>
  <c r="I174" i="5"/>
  <c r="AZ174" i="5" s="1"/>
  <c r="AS173" i="5"/>
  <c r="AD173" i="5"/>
  <c r="AA173" i="5"/>
  <c r="V173" i="5"/>
  <c r="S173" i="5"/>
  <c r="J173" i="5"/>
  <c r="I173" i="5"/>
  <c r="AS172" i="5"/>
  <c r="AV172" i="5" s="1"/>
  <c r="AD172" i="5"/>
  <c r="BJ172" i="5" s="1"/>
  <c r="AA172" i="5"/>
  <c r="BI172" i="5" s="1"/>
  <c r="V172" i="5"/>
  <c r="BH172" i="5" s="1"/>
  <c r="S172" i="5"/>
  <c r="BG172" i="5" s="1"/>
  <c r="J172" i="5"/>
  <c r="I172" i="5"/>
  <c r="AZ172" i="5" s="1"/>
  <c r="AS171" i="5"/>
  <c r="AD171" i="5"/>
  <c r="AA171" i="5"/>
  <c r="V171" i="5"/>
  <c r="S171" i="5"/>
  <c r="J171" i="5"/>
  <c r="I171" i="5"/>
  <c r="AS170" i="5"/>
  <c r="AV170" i="5" s="1"/>
  <c r="AD170" i="5"/>
  <c r="AA170" i="5"/>
  <c r="V170" i="5"/>
  <c r="S170" i="5"/>
  <c r="J170" i="5"/>
  <c r="I170" i="5"/>
  <c r="AS168" i="5"/>
  <c r="AV168" i="5" s="1"/>
  <c r="AD168" i="5"/>
  <c r="AA168" i="5"/>
  <c r="V168" i="5"/>
  <c r="S168" i="5"/>
  <c r="J168" i="5"/>
  <c r="I168" i="5"/>
  <c r="AS167" i="5"/>
  <c r="AV167" i="5" s="1"/>
  <c r="AD167" i="5"/>
  <c r="AA167" i="5"/>
  <c r="V167" i="5"/>
  <c r="S167" i="5"/>
  <c r="J167" i="5"/>
  <c r="I167" i="5"/>
  <c r="AS166" i="5"/>
  <c r="AV166" i="5" s="1"/>
  <c r="AD166" i="5"/>
  <c r="AA166" i="5"/>
  <c r="BI166" i="5" s="1"/>
  <c r="V166" i="5"/>
  <c r="BH166" i="5" s="1"/>
  <c r="S166" i="5"/>
  <c r="BG166" i="5" s="1"/>
  <c r="J166" i="5"/>
  <c r="I166" i="5"/>
  <c r="AZ166" i="5" s="1"/>
  <c r="AS165" i="5"/>
  <c r="AV165" i="5" s="1"/>
  <c r="BQ165" i="5" s="1"/>
  <c r="AD165" i="5"/>
  <c r="AA165" i="5"/>
  <c r="V165" i="5"/>
  <c r="S165" i="5"/>
  <c r="J165" i="5"/>
  <c r="I165" i="5"/>
  <c r="AZ165" i="5" s="1"/>
  <c r="AS164" i="5"/>
  <c r="AD164" i="5"/>
  <c r="AA164" i="5"/>
  <c r="V164" i="5"/>
  <c r="S164" i="5"/>
  <c r="J164" i="5"/>
  <c r="I164" i="5"/>
  <c r="AS163" i="5"/>
  <c r="AV163" i="5" s="1"/>
  <c r="AD163" i="5"/>
  <c r="AA163" i="5"/>
  <c r="V163" i="5"/>
  <c r="S163" i="5"/>
  <c r="J163" i="5"/>
  <c r="I163" i="5"/>
  <c r="H163" i="5" s="1"/>
  <c r="AS162" i="5"/>
  <c r="AV162" i="5" s="1"/>
  <c r="AD162" i="5"/>
  <c r="AA162" i="5"/>
  <c r="V162" i="5"/>
  <c r="S162" i="5"/>
  <c r="J162" i="5"/>
  <c r="I162" i="5"/>
  <c r="AS160" i="5"/>
  <c r="AV160" i="5" s="1"/>
  <c r="AD160" i="5"/>
  <c r="AA160" i="5"/>
  <c r="V160" i="5"/>
  <c r="S160" i="5"/>
  <c r="J160" i="5"/>
  <c r="I160" i="5"/>
  <c r="AS159" i="5"/>
  <c r="AV159" i="5" s="1"/>
  <c r="AD159" i="5"/>
  <c r="BJ159" i="5" s="1"/>
  <c r="AA159" i="5"/>
  <c r="BI159" i="5" s="1"/>
  <c r="V159" i="5"/>
  <c r="BH159" i="5" s="1"/>
  <c r="S159" i="5"/>
  <c r="BG159" i="5" s="1"/>
  <c r="J159" i="5"/>
  <c r="I159" i="5"/>
  <c r="AZ159" i="5" s="1"/>
  <c r="AS158" i="5"/>
  <c r="AV158" i="5" s="1"/>
  <c r="AD158" i="5"/>
  <c r="BJ158" i="5" s="1"/>
  <c r="AA158" i="5"/>
  <c r="BI158" i="5" s="1"/>
  <c r="V158" i="5"/>
  <c r="BH158" i="5" s="1"/>
  <c r="S158" i="5"/>
  <c r="BG158" i="5" s="1"/>
  <c r="BX158" i="5" s="1"/>
  <c r="J158" i="5"/>
  <c r="I158" i="5"/>
  <c r="AZ158" i="5" s="1"/>
  <c r="AD157" i="5"/>
  <c r="AA157" i="5"/>
  <c r="V157" i="5"/>
  <c r="S157" i="5"/>
  <c r="J157" i="5"/>
  <c r="I157" i="5"/>
  <c r="AS156" i="5"/>
  <c r="AD156" i="5"/>
  <c r="AA156" i="5"/>
  <c r="V156" i="5"/>
  <c r="S156" i="5"/>
  <c r="J156" i="5"/>
  <c r="I156" i="5"/>
  <c r="AD155" i="5"/>
  <c r="AA155" i="5"/>
  <c r="V155" i="5"/>
  <c r="S155" i="5"/>
  <c r="J155" i="5"/>
  <c r="I155" i="5"/>
  <c r="AD154" i="5"/>
  <c r="AA154" i="5"/>
  <c r="V154" i="5"/>
  <c r="S154" i="5"/>
  <c r="J154" i="5"/>
  <c r="I154" i="5"/>
  <c r="AD152" i="5"/>
  <c r="AA152" i="5"/>
  <c r="V152" i="5"/>
  <c r="S152" i="5"/>
  <c r="J152" i="5"/>
  <c r="I152" i="5"/>
  <c r="AD151" i="5"/>
  <c r="AA151" i="5"/>
  <c r="V151" i="5"/>
  <c r="S151" i="5"/>
  <c r="J151" i="5"/>
  <c r="I151" i="5"/>
  <c r="AD150" i="5"/>
  <c r="AA150" i="5"/>
  <c r="V150" i="5"/>
  <c r="S150" i="5"/>
  <c r="J150" i="5"/>
  <c r="I150" i="5"/>
  <c r="AD149" i="5"/>
  <c r="AA149" i="5"/>
  <c r="V149" i="5"/>
  <c r="S149" i="5"/>
  <c r="J149" i="5"/>
  <c r="I149" i="5"/>
  <c r="AS148" i="5"/>
  <c r="AV148" i="5" s="1"/>
  <c r="AD148" i="5"/>
  <c r="BJ148" i="5" s="1"/>
  <c r="AA148" i="5"/>
  <c r="BI148" i="5" s="1"/>
  <c r="V148" i="5"/>
  <c r="BH148" i="5" s="1"/>
  <c r="S148" i="5"/>
  <c r="BG148" i="5" s="1"/>
  <c r="J148" i="5"/>
  <c r="I148" i="5"/>
  <c r="AZ148" i="5" s="1"/>
  <c r="AD147" i="5"/>
  <c r="AA147" i="5"/>
  <c r="V147" i="5"/>
  <c r="S147" i="5"/>
  <c r="J147" i="5"/>
  <c r="I147" i="5"/>
  <c r="AS146" i="5"/>
  <c r="AV146" i="5" s="1"/>
  <c r="AD146" i="5"/>
  <c r="BJ146" i="5" s="1"/>
  <c r="AA146" i="5"/>
  <c r="BI146" i="5" s="1"/>
  <c r="V146" i="5"/>
  <c r="BH146" i="5" s="1"/>
  <c r="S146" i="5"/>
  <c r="BG146" i="5" s="1"/>
  <c r="J146" i="5"/>
  <c r="I146" i="5"/>
  <c r="AZ146" i="5" s="1"/>
  <c r="AD143" i="5"/>
  <c r="AA143" i="5"/>
  <c r="V143" i="5"/>
  <c r="S143" i="5"/>
  <c r="J143" i="5"/>
  <c r="I143" i="5"/>
  <c r="AS142" i="5"/>
  <c r="AV142" i="5" s="1"/>
  <c r="AD142" i="5"/>
  <c r="AA142" i="5"/>
  <c r="V142" i="5"/>
  <c r="S142" i="5"/>
  <c r="J142" i="5"/>
  <c r="I142" i="5"/>
  <c r="AD141" i="5"/>
  <c r="BJ141" i="5" s="1"/>
  <c r="AA141" i="5"/>
  <c r="V141" i="5"/>
  <c r="S141" i="5"/>
  <c r="J141" i="5"/>
  <c r="I141" i="5"/>
  <c r="AZ141" i="5" s="1"/>
  <c r="AD140" i="5"/>
  <c r="AA140" i="5"/>
  <c r="V140" i="5"/>
  <c r="S140" i="5"/>
  <c r="J140" i="5"/>
  <c r="I140" i="5"/>
  <c r="AS139" i="5"/>
  <c r="AD139" i="5"/>
  <c r="AA139" i="5"/>
  <c r="V139" i="5"/>
  <c r="S139" i="5"/>
  <c r="J139" i="5"/>
  <c r="I139" i="5"/>
  <c r="AD138" i="5"/>
  <c r="AA138" i="5"/>
  <c r="BI138" i="5" s="1"/>
  <c r="BZ138" i="5" s="1"/>
  <c r="V138" i="5"/>
  <c r="S138" i="5"/>
  <c r="J138" i="5"/>
  <c r="I138" i="5"/>
  <c r="AZ138" i="5" s="1"/>
  <c r="BQ138" i="5" s="1"/>
  <c r="AD137" i="5"/>
  <c r="AA137" i="5"/>
  <c r="BI137" i="5" s="1"/>
  <c r="BZ137" i="5" s="1"/>
  <c r="V137" i="5"/>
  <c r="S137" i="5"/>
  <c r="J137" i="5"/>
  <c r="I137" i="5"/>
  <c r="AV134" i="5"/>
  <c r="AD134" i="5"/>
  <c r="AA134" i="5"/>
  <c r="V134" i="5"/>
  <c r="S134" i="5"/>
  <c r="J134" i="5"/>
  <c r="I134" i="5"/>
  <c r="AD133" i="5"/>
  <c r="AA133" i="5"/>
  <c r="V133" i="5"/>
  <c r="S133" i="5"/>
  <c r="J133" i="5"/>
  <c r="I133" i="5"/>
  <c r="AD132" i="5"/>
  <c r="BJ132" i="5" s="1"/>
  <c r="AA132" i="5"/>
  <c r="BI132" i="5" s="1"/>
  <c r="V132" i="5"/>
  <c r="BH132" i="5" s="1"/>
  <c r="S132" i="5"/>
  <c r="BG132" i="5" s="1"/>
  <c r="J132" i="5"/>
  <c r="I132" i="5"/>
  <c r="AZ132" i="5" s="1"/>
  <c r="AD131" i="5"/>
  <c r="AA131" i="5"/>
  <c r="V131" i="5"/>
  <c r="S131" i="5"/>
  <c r="J131" i="5"/>
  <c r="I131" i="5"/>
  <c r="AD130" i="5"/>
  <c r="AA130" i="5"/>
  <c r="V130" i="5"/>
  <c r="S130" i="5"/>
  <c r="J130" i="5"/>
  <c r="I130" i="5"/>
  <c r="AZ130" i="5" s="1"/>
  <c r="BQ130" i="5" s="1"/>
  <c r="AS129" i="5"/>
  <c r="AV129" i="5" s="1"/>
  <c r="AD129" i="5"/>
  <c r="BJ129" i="5" s="1"/>
  <c r="AA129" i="5"/>
  <c r="BI129" i="5" s="1"/>
  <c r="V129" i="5"/>
  <c r="BH129" i="5" s="1"/>
  <c r="S129" i="5"/>
  <c r="BG129" i="5" s="1"/>
  <c r="J129" i="5"/>
  <c r="I129" i="5"/>
  <c r="AZ129" i="5" s="1"/>
  <c r="AD128" i="5"/>
  <c r="AA128" i="5"/>
  <c r="V128" i="5"/>
  <c r="S128" i="5"/>
  <c r="J128" i="5"/>
  <c r="I128" i="5"/>
  <c r="AD125" i="5"/>
  <c r="AA125" i="5"/>
  <c r="V125" i="5"/>
  <c r="S125" i="5"/>
  <c r="J125" i="5"/>
  <c r="I125" i="5"/>
  <c r="AD124" i="5"/>
  <c r="BJ124" i="5" s="1"/>
  <c r="CA124" i="5" s="1"/>
  <c r="AA124" i="5"/>
  <c r="BI124" i="5" s="1"/>
  <c r="BZ124" i="5" s="1"/>
  <c r="V124" i="5"/>
  <c r="BH124" i="5" s="1"/>
  <c r="BY124" i="5" s="1"/>
  <c r="S124" i="5"/>
  <c r="J124" i="5"/>
  <c r="I124" i="5"/>
  <c r="AZ124" i="5" s="1"/>
  <c r="BQ124" i="5" s="1"/>
  <c r="AD123" i="5"/>
  <c r="BJ123" i="5" s="1"/>
  <c r="CA123" i="5" s="1"/>
  <c r="AA123" i="5"/>
  <c r="BI123" i="5" s="1"/>
  <c r="BZ123" i="5" s="1"/>
  <c r="V123" i="5"/>
  <c r="BH123" i="5" s="1"/>
  <c r="BY123" i="5" s="1"/>
  <c r="S123" i="5"/>
  <c r="J123" i="5"/>
  <c r="I123" i="5"/>
  <c r="AZ123" i="5" s="1"/>
  <c r="BQ123" i="5" s="1"/>
  <c r="AD122" i="5"/>
  <c r="BJ122" i="5" s="1"/>
  <c r="CA122" i="5" s="1"/>
  <c r="AA122" i="5"/>
  <c r="BI122" i="5" s="1"/>
  <c r="BZ122" i="5" s="1"/>
  <c r="V122" i="5"/>
  <c r="BH122" i="5" s="1"/>
  <c r="BY122" i="5" s="1"/>
  <c r="S122" i="5"/>
  <c r="BG122" i="5" s="1"/>
  <c r="BX122" i="5" s="1"/>
  <c r="J122" i="5"/>
  <c r="I122" i="5"/>
  <c r="AZ122" i="5" s="1"/>
  <c r="BQ122" i="5" s="1"/>
  <c r="AD121" i="5"/>
  <c r="AA121" i="5"/>
  <c r="V121" i="5"/>
  <c r="S121" i="5"/>
  <c r="J121" i="5"/>
  <c r="I121" i="5"/>
  <c r="AZ121" i="5" s="1"/>
  <c r="BQ121" i="5" s="1"/>
  <c r="AS120" i="5"/>
  <c r="AV120" i="5" s="1"/>
  <c r="AD120" i="5"/>
  <c r="BJ120" i="5" s="1"/>
  <c r="AA120" i="5"/>
  <c r="BI120" i="5" s="1"/>
  <c r="V120" i="5"/>
  <c r="BH120" i="5" s="1"/>
  <c r="S120" i="5"/>
  <c r="BG120" i="5" s="1"/>
  <c r="J120" i="5"/>
  <c r="I120" i="5"/>
  <c r="AZ120" i="5" s="1"/>
  <c r="AD119" i="5"/>
  <c r="AA119" i="5"/>
  <c r="V119" i="5"/>
  <c r="S119" i="5"/>
  <c r="J119" i="5"/>
  <c r="I119" i="5"/>
  <c r="AD116" i="5"/>
  <c r="AA116" i="5"/>
  <c r="V116" i="5"/>
  <c r="S116" i="5"/>
  <c r="J116" i="5"/>
  <c r="I116" i="5"/>
  <c r="AD115" i="5"/>
  <c r="AA115" i="5"/>
  <c r="V115" i="5"/>
  <c r="S115" i="5"/>
  <c r="I115" i="5"/>
  <c r="H115" i="5" s="1"/>
  <c r="AS114" i="5"/>
  <c r="AV114" i="5" s="1"/>
  <c r="AD114" i="5"/>
  <c r="AA114" i="5"/>
  <c r="BI114" i="5" s="1"/>
  <c r="BZ114" i="5" s="1"/>
  <c r="V114" i="5"/>
  <c r="BH114" i="5" s="1"/>
  <c r="BY114" i="5" s="1"/>
  <c r="S114" i="5"/>
  <c r="BG114" i="5" s="1"/>
  <c r="BX114" i="5" s="1"/>
  <c r="J114" i="5"/>
  <c r="I114" i="5"/>
  <c r="AS113" i="5"/>
  <c r="AD113" i="5"/>
  <c r="AA113" i="5"/>
  <c r="V113" i="5"/>
  <c r="S113" i="5"/>
  <c r="J113" i="5"/>
  <c r="I113" i="5"/>
  <c r="AS112" i="5"/>
  <c r="AV112" i="5" s="1"/>
  <c r="AD112" i="5"/>
  <c r="AA112" i="5"/>
  <c r="BI112" i="5" s="1"/>
  <c r="V112" i="5"/>
  <c r="S112" i="5"/>
  <c r="BG112" i="5" s="1"/>
  <c r="J112" i="5"/>
  <c r="I112" i="5"/>
  <c r="AD111" i="5"/>
  <c r="BJ111" i="5" s="1"/>
  <c r="CA111" i="5" s="1"/>
  <c r="AA111" i="5"/>
  <c r="BI111" i="5" s="1"/>
  <c r="BZ111" i="5" s="1"/>
  <c r="V111" i="5"/>
  <c r="BH111" i="5" s="1"/>
  <c r="BY111" i="5" s="1"/>
  <c r="S111" i="5"/>
  <c r="BG111" i="5" s="1"/>
  <c r="BX111" i="5" s="1"/>
  <c r="J111" i="5"/>
  <c r="I111" i="5"/>
  <c r="AZ111" i="5" s="1"/>
  <c r="BQ111" i="5" s="1"/>
  <c r="AD110" i="5"/>
  <c r="BJ110" i="5" s="1"/>
  <c r="CA110" i="5" s="1"/>
  <c r="AA110" i="5"/>
  <c r="BI110" i="5" s="1"/>
  <c r="BZ110" i="5" s="1"/>
  <c r="V110" i="5"/>
  <c r="BH110" i="5" s="1"/>
  <c r="BY110" i="5" s="1"/>
  <c r="S110" i="5"/>
  <c r="BG110" i="5" s="1"/>
  <c r="BX110" i="5" s="1"/>
  <c r="J110" i="5"/>
  <c r="I110" i="5"/>
  <c r="AZ110" i="5" s="1"/>
  <c r="BQ110" i="5" s="1"/>
  <c r="AD107" i="5"/>
  <c r="AA107" i="5"/>
  <c r="BI107" i="5" s="1"/>
  <c r="V107" i="5"/>
  <c r="BH107" i="5" s="1"/>
  <c r="S107" i="5"/>
  <c r="BG107" i="5" s="1"/>
  <c r="J107" i="5"/>
  <c r="I107" i="5"/>
  <c r="AZ107" i="5" s="1"/>
  <c r="AD106" i="5"/>
  <c r="AA106" i="5"/>
  <c r="V106" i="5"/>
  <c r="S106" i="5"/>
  <c r="J106" i="5"/>
  <c r="I106" i="5"/>
  <c r="AD105" i="5"/>
  <c r="AA105" i="5"/>
  <c r="V105" i="5"/>
  <c r="S105" i="5"/>
  <c r="J105" i="5"/>
  <c r="I105" i="5"/>
  <c r="AD104" i="5"/>
  <c r="AA104" i="5"/>
  <c r="BI104" i="5" s="1"/>
  <c r="V104" i="5"/>
  <c r="BH104" i="5" s="1"/>
  <c r="S104" i="5"/>
  <c r="BG104" i="5" s="1"/>
  <c r="J104" i="5"/>
  <c r="I104" i="5"/>
  <c r="AZ104" i="5" s="1"/>
  <c r="AD103" i="5"/>
  <c r="AA103" i="5"/>
  <c r="BI103" i="5" s="1"/>
  <c r="V103" i="5"/>
  <c r="BH103" i="5" s="1"/>
  <c r="S103" i="5"/>
  <c r="BG103" i="5" s="1"/>
  <c r="J103" i="5"/>
  <c r="I103" i="5"/>
  <c r="AZ103" i="5" s="1"/>
  <c r="AS102" i="5"/>
  <c r="AV102" i="5" s="1"/>
  <c r="AD102" i="5"/>
  <c r="AA102" i="5"/>
  <c r="BI102" i="5" s="1"/>
  <c r="V102" i="5"/>
  <c r="BH102" i="5" s="1"/>
  <c r="S102" i="5"/>
  <c r="BG102" i="5" s="1"/>
  <c r="J102" i="5"/>
  <c r="I102" i="5"/>
  <c r="AZ102" i="5" s="1"/>
  <c r="AS101" i="5"/>
  <c r="AD101" i="5"/>
  <c r="AA101" i="5"/>
  <c r="V101" i="5"/>
  <c r="S101" i="5"/>
  <c r="J101" i="5"/>
  <c r="I101" i="5"/>
  <c r="AS98" i="5"/>
  <c r="AV98" i="5" s="1"/>
  <c r="AD98" i="5"/>
  <c r="AA98" i="5"/>
  <c r="BI98" i="5" s="1"/>
  <c r="V98" i="5"/>
  <c r="BH98" i="5" s="1"/>
  <c r="S98" i="5"/>
  <c r="BG98" i="5" s="1"/>
  <c r="J98" i="5"/>
  <c r="I98" i="5"/>
  <c r="AS97" i="5"/>
  <c r="AD97" i="5"/>
  <c r="AA97" i="5"/>
  <c r="V97" i="5"/>
  <c r="S97" i="5"/>
  <c r="J97" i="5"/>
  <c r="I97" i="5"/>
  <c r="AS96" i="5"/>
  <c r="AV96" i="5" s="1"/>
  <c r="AD96" i="5"/>
  <c r="AA96" i="5"/>
  <c r="BI96" i="5" s="1"/>
  <c r="V96" i="5"/>
  <c r="BH96" i="5" s="1"/>
  <c r="S96" i="5"/>
  <c r="BG96" i="5" s="1"/>
  <c r="J96" i="5"/>
  <c r="I96" i="5"/>
  <c r="AZ96" i="5" s="1"/>
  <c r="AS95" i="5"/>
  <c r="AD95" i="5"/>
  <c r="AA95" i="5"/>
  <c r="V95" i="5"/>
  <c r="S95" i="5"/>
  <c r="J95" i="5"/>
  <c r="I95" i="5"/>
  <c r="AS94" i="5"/>
  <c r="AD94" i="5"/>
  <c r="AA94" i="5"/>
  <c r="V94" i="5"/>
  <c r="S94" i="5"/>
  <c r="J94" i="5"/>
  <c r="I94" i="5"/>
  <c r="AS93" i="5"/>
  <c r="AD93" i="5"/>
  <c r="AA93" i="5"/>
  <c r="V93" i="5"/>
  <c r="S93" i="5"/>
  <c r="J93" i="5"/>
  <c r="I93" i="5"/>
  <c r="AS92" i="5"/>
  <c r="AV92" i="5" s="1"/>
  <c r="AD92" i="5"/>
  <c r="AA92" i="5"/>
  <c r="V92" i="5"/>
  <c r="BH92" i="5" s="1"/>
  <c r="S92" i="5"/>
  <c r="BG92" i="5" s="1"/>
  <c r="J92" i="5"/>
  <c r="I92" i="5"/>
  <c r="AS89" i="5"/>
  <c r="AD89" i="5"/>
  <c r="AA89" i="5"/>
  <c r="V89" i="5"/>
  <c r="S89" i="5"/>
  <c r="J89" i="5"/>
  <c r="I89" i="5"/>
  <c r="AS88" i="5"/>
  <c r="AD88" i="5"/>
  <c r="AA88" i="5"/>
  <c r="V88" i="5"/>
  <c r="S88" i="5"/>
  <c r="J88" i="5"/>
  <c r="I88" i="5"/>
  <c r="AS87" i="5"/>
  <c r="AD87" i="5"/>
  <c r="AA87" i="5"/>
  <c r="V87" i="5"/>
  <c r="S87" i="5"/>
  <c r="J87" i="5"/>
  <c r="I87" i="5"/>
  <c r="AS86" i="5"/>
  <c r="AD86" i="5"/>
  <c r="AA86" i="5"/>
  <c r="V86" i="5"/>
  <c r="S86" i="5"/>
  <c r="J86" i="5"/>
  <c r="I86" i="5"/>
  <c r="AS85" i="5"/>
  <c r="AD85" i="5"/>
  <c r="AA85" i="5"/>
  <c r="V85" i="5"/>
  <c r="S85" i="5"/>
  <c r="BG85" i="5" s="1"/>
  <c r="J85" i="5"/>
  <c r="I85" i="5"/>
  <c r="AS84" i="5"/>
  <c r="AD84" i="5"/>
  <c r="AA84" i="5"/>
  <c r="V84" i="5"/>
  <c r="S84" i="5"/>
  <c r="J84" i="5"/>
  <c r="I84" i="5"/>
  <c r="AS83" i="5"/>
  <c r="AD83" i="5"/>
  <c r="AA83" i="5"/>
  <c r="V83" i="5"/>
  <c r="S83" i="5"/>
  <c r="J83" i="5"/>
  <c r="I83" i="5"/>
  <c r="AS80" i="5"/>
  <c r="AD80" i="5"/>
  <c r="AA80" i="5"/>
  <c r="V80" i="5"/>
  <c r="S80" i="5"/>
  <c r="J80" i="5"/>
  <c r="I80" i="5"/>
  <c r="AS79" i="5"/>
  <c r="AD79" i="5"/>
  <c r="AA79" i="5"/>
  <c r="V79" i="5"/>
  <c r="S79" i="5"/>
  <c r="J79" i="5"/>
  <c r="I79" i="5"/>
  <c r="AS78" i="5"/>
  <c r="AD78" i="5"/>
  <c r="AA78" i="5"/>
  <c r="V78" i="5"/>
  <c r="S78" i="5"/>
  <c r="J78" i="5"/>
  <c r="I78" i="5"/>
  <c r="AS77" i="5"/>
  <c r="AV77" i="5" s="1"/>
  <c r="AD77" i="5"/>
  <c r="AA77" i="5"/>
  <c r="V77" i="5"/>
  <c r="BH77" i="5" s="1"/>
  <c r="S77" i="5"/>
  <c r="BG77" i="5" s="1"/>
  <c r="J77" i="5"/>
  <c r="I77" i="5"/>
  <c r="AZ77" i="5" s="1"/>
  <c r="AS76" i="5"/>
  <c r="AD76" i="5"/>
  <c r="AA76" i="5"/>
  <c r="V76" i="5"/>
  <c r="S76" i="5"/>
  <c r="J76" i="5"/>
  <c r="I76" i="5"/>
  <c r="AS75" i="5"/>
  <c r="AD75" i="5"/>
  <c r="AA75" i="5"/>
  <c r="V75" i="5"/>
  <c r="S75" i="5"/>
  <c r="J75" i="5"/>
  <c r="I75" i="5"/>
  <c r="AS74" i="5"/>
  <c r="AD74" i="5"/>
  <c r="AA74" i="5"/>
  <c r="V74" i="5"/>
  <c r="S74" i="5"/>
  <c r="J74" i="5"/>
  <c r="I74" i="5"/>
  <c r="AS71" i="5"/>
  <c r="AD71" i="5"/>
  <c r="AA71" i="5"/>
  <c r="V71" i="5"/>
  <c r="S71" i="5"/>
  <c r="J71" i="5"/>
  <c r="I71" i="5"/>
  <c r="AS70" i="5"/>
  <c r="AD70" i="5"/>
  <c r="AA70" i="5"/>
  <c r="V70" i="5"/>
  <c r="S70" i="5"/>
  <c r="J70" i="5"/>
  <c r="I70" i="5"/>
  <c r="AD69" i="5"/>
  <c r="AA69" i="5"/>
  <c r="V69" i="5"/>
  <c r="BH69" i="5" s="1"/>
  <c r="BY69" i="5" s="1"/>
  <c r="S69" i="5"/>
  <c r="BG69" i="5" s="1"/>
  <c r="BX69" i="5" s="1"/>
  <c r="J69" i="5"/>
  <c r="I69" i="5"/>
  <c r="AD68" i="5"/>
  <c r="AA68" i="5"/>
  <c r="V68" i="5"/>
  <c r="BH68" i="5" s="1"/>
  <c r="BY68" i="5" s="1"/>
  <c r="S68" i="5"/>
  <c r="BG68" i="5" s="1"/>
  <c r="BX68" i="5" s="1"/>
  <c r="J68" i="5"/>
  <c r="I68" i="5"/>
  <c r="AS67" i="5"/>
  <c r="AD67" i="5"/>
  <c r="AA67" i="5"/>
  <c r="V67" i="5"/>
  <c r="BH67" i="5" s="1"/>
  <c r="S67" i="5"/>
  <c r="BG67" i="5" s="1"/>
  <c r="J67" i="5"/>
  <c r="I67" i="5"/>
  <c r="AS66" i="5"/>
  <c r="AD66" i="5"/>
  <c r="AA66" i="5"/>
  <c r="V66" i="5"/>
  <c r="S66" i="5"/>
  <c r="J66" i="5"/>
  <c r="I66" i="5"/>
  <c r="AS65" i="5"/>
  <c r="AV65" i="5" s="1"/>
  <c r="AD65" i="5"/>
  <c r="AA65" i="5"/>
  <c r="V65" i="5"/>
  <c r="BH65" i="5" s="1"/>
  <c r="S65" i="5"/>
  <c r="BG65" i="5" s="1"/>
  <c r="J65" i="5"/>
  <c r="I65" i="5"/>
  <c r="AS62" i="5"/>
  <c r="AD62" i="5"/>
  <c r="AA62" i="5"/>
  <c r="V62" i="5"/>
  <c r="S62" i="5"/>
  <c r="J62" i="5"/>
  <c r="I62" i="5"/>
  <c r="AS61" i="5"/>
  <c r="AD61" i="5"/>
  <c r="AA61" i="5"/>
  <c r="V61" i="5"/>
  <c r="S61" i="5"/>
  <c r="J61" i="5"/>
  <c r="I61" i="5"/>
  <c r="H61" i="5" s="1"/>
  <c r="AS60" i="5"/>
  <c r="AD60" i="5"/>
  <c r="AA60" i="5"/>
  <c r="V60" i="5"/>
  <c r="S60" i="5"/>
  <c r="J60" i="5"/>
  <c r="I60" i="5"/>
  <c r="AS59" i="5"/>
  <c r="AD59" i="5"/>
  <c r="AA59" i="5"/>
  <c r="V59" i="5"/>
  <c r="S59" i="5"/>
  <c r="J59" i="5"/>
  <c r="I59" i="5"/>
  <c r="AS58" i="5"/>
  <c r="AD58" i="5"/>
  <c r="AA58" i="5"/>
  <c r="V58" i="5"/>
  <c r="S58" i="5"/>
  <c r="J58" i="5"/>
  <c r="I58" i="5"/>
  <c r="AS57" i="5"/>
  <c r="AD57" i="5"/>
  <c r="AA57" i="5"/>
  <c r="V57" i="5"/>
  <c r="S57" i="5"/>
  <c r="J57" i="5"/>
  <c r="I57" i="5"/>
  <c r="AD56" i="5"/>
  <c r="AA56" i="5"/>
  <c r="V56" i="5"/>
  <c r="S56" i="5"/>
  <c r="J56" i="5"/>
  <c r="I56" i="5"/>
  <c r="AS53" i="5"/>
  <c r="AV53" i="5" s="1"/>
  <c r="AD53" i="5"/>
  <c r="AA53" i="5"/>
  <c r="V53" i="5"/>
  <c r="S53" i="5"/>
  <c r="J53" i="5"/>
  <c r="I53" i="5"/>
  <c r="AS52" i="5"/>
  <c r="AD52" i="5"/>
  <c r="AA52" i="5"/>
  <c r="V52" i="5"/>
  <c r="S52" i="5"/>
  <c r="J52" i="5"/>
  <c r="I52" i="5"/>
  <c r="AS51" i="5"/>
  <c r="AD51" i="5"/>
  <c r="AA51" i="5"/>
  <c r="V51" i="5"/>
  <c r="S51" i="5"/>
  <c r="J51" i="5"/>
  <c r="I51" i="5"/>
  <c r="AS50" i="5"/>
  <c r="AD50" i="5"/>
  <c r="AA50" i="5"/>
  <c r="V50" i="5"/>
  <c r="S50" i="5"/>
  <c r="J50" i="5"/>
  <c r="I50" i="5"/>
  <c r="AS49" i="5"/>
  <c r="AD49" i="5"/>
  <c r="AA49" i="5"/>
  <c r="V49" i="5"/>
  <c r="S49" i="5"/>
  <c r="J49" i="5"/>
  <c r="I49" i="5"/>
  <c r="AS48" i="5"/>
  <c r="AV48" i="5" s="1"/>
  <c r="AD48" i="5"/>
  <c r="AA48" i="5"/>
  <c r="BI48" i="5" s="1"/>
  <c r="V48" i="5"/>
  <c r="BH48" i="5" s="1"/>
  <c r="S48" i="5"/>
  <c r="BG48" i="5" s="1"/>
  <c r="J48" i="5"/>
  <c r="I48" i="5"/>
  <c r="AZ48" i="5" s="1"/>
  <c r="AD47" i="5"/>
  <c r="AA47" i="5"/>
  <c r="V47" i="5"/>
  <c r="BH47" i="5" s="1"/>
  <c r="BY47" i="5" s="1"/>
  <c r="S47" i="5"/>
  <c r="BG47" i="5" s="1"/>
  <c r="BX47" i="5" s="1"/>
  <c r="J47" i="5"/>
  <c r="I47" i="5"/>
  <c r="AD44" i="5"/>
  <c r="AA44" i="5"/>
  <c r="BI44" i="5" s="1"/>
  <c r="BZ44" i="5" s="1"/>
  <c r="DJ44" i="5" s="1"/>
  <c r="V44" i="5"/>
  <c r="BH44" i="5" s="1"/>
  <c r="BY44" i="5" s="1"/>
  <c r="DI44" i="5" s="1"/>
  <c r="S44" i="5"/>
  <c r="BG44" i="5" s="1"/>
  <c r="BX44" i="5" s="1"/>
  <c r="DH44" i="5" s="1"/>
  <c r="J44" i="5"/>
  <c r="I44" i="5"/>
  <c r="AD43" i="5"/>
  <c r="AA43" i="5"/>
  <c r="BI43" i="5" s="1"/>
  <c r="BZ43" i="5" s="1"/>
  <c r="V43" i="5"/>
  <c r="BH43" i="5" s="1"/>
  <c r="BY43" i="5" s="1"/>
  <c r="S43" i="5"/>
  <c r="BG43" i="5" s="1"/>
  <c r="BX43" i="5" s="1"/>
  <c r="J43" i="5"/>
  <c r="I43" i="5"/>
  <c r="AZ43" i="5" s="1"/>
  <c r="BQ43" i="5" s="1"/>
  <c r="AD42" i="5"/>
  <c r="AA42" i="5"/>
  <c r="BI42" i="5" s="1"/>
  <c r="BZ42" i="5" s="1"/>
  <c r="V42" i="5"/>
  <c r="BH42" i="5" s="1"/>
  <c r="BY42" i="5" s="1"/>
  <c r="S42" i="5"/>
  <c r="BG42" i="5" s="1"/>
  <c r="BX42" i="5" s="1"/>
  <c r="J42" i="5"/>
  <c r="I42" i="5"/>
  <c r="AZ42" i="5" s="1"/>
  <c r="BQ42" i="5" s="1"/>
  <c r="AD41" i="5"/>
  <c r="AA41" i="5"/>
  <c r="BI41" i="5" s="1"/>
  <c r="BZ41" i="5" s="1"/>
  <c r="V41" i="5"/>
  <c r="BH41" i="5" s="1"/>
  <c r="BY41" i="5" s="1"/>
  <c r="S41" i="5"/>
  <c r="BG41" i="5" s="1"/>
  <c r="BX41" i="5" s="1"/>
  <c r="J41" i="5"/>
  <c r="I41" i="5"/>
  <c r="AZ41" i="5" s="1"/>
  <c r="BQ41" i="5" s="1"/>
  <c r="AD40" i="5"/>
  <c r="AA40" i="5"/>
  <c r="V40" i="5"/>
  <c r="S40" i="5"/>
  <c r="J40" i="5"/>
  <c r="I40" i="5"/>
  <c r="AZ40" i="5" s="1"/>
  <c r="BQ40" i="5" s="1"/>
  <c r="AD39" i="5"/>
  <c r="AA39" i="5"/>
  <c r="BI39" i="5" s="1"/>
  <c r="BZ39" i="5" s="1"/>
  <c r="V39" i="5"/>
  <c r="BH39" i="5" s="1"/>
  <c r="BY39" i="5" s="1"/>
  <c r="S39" i="5"/>
  <c r="BG39" i="5" s="1"/>
  <c r="BX39" i="5" s="1"/>
  <c r="J39" i="5"/>
  <c r="I39" i="5"/>
  <c r="AZ39" i="5" s="1"/>
  <c r="BQ39" i="5" s="1"/>
  <c r="AD38" i="5"/>
  <c r="AA38" i="5"/>
  <c r="V38" i="5"/>
  <c r="S38" i="5"/>
  <c r="J38" i="5"/>
  <c r="I38" i="5"/>
  <c r="Q160" i="3"/>
  <c r="N160" i="3"/>
  <c r="K160" i="3"/>
  <c r="H160" i="3"/>
  <c r="Q159" i="3"/>
  <c r="N159" i="3"/>
  <c r="K159" i="3"/>
  <c r="H159" i="3"/>
  <c r="Q158" i="3"/>
  <c r="N158" i="3"/>
  <c r="K158" i="3"/>
  <c r="H158" i="3"/>
  <c r="Q157" i="3"/>
  <c r="N157" i="3"/>
  <c r="K157" i="3"/>
  <c r="H157" i="3"/>
  <c r="Q156" i="3"/>
  <c r="N156" i="3"/>
  <c r="K156" i="3"/>
  <c r="H156" i="3"/>
  <c r="Q155" i="3"/>
  <c r="N155" i="3"/>
  <c r="K155" i="3"/>
  <c r="H155" i="3"/>
  <c r="Q154" i="3"/>
  <c r="N154" i="3"/>
  <c r="K154" i="3"/>
  <c r="H154" i="3"/>
  <c r="Q150" i="3"/>
  <c r="N150" i="3"/>
  <c r="K150" i="3"/>
  <c r="H150" i="3"/>
  <c r="Q149" i="3"/>
  <c r="N149" i="3"/>
  <c r="K149" i="3"/>
  <c r="H149" i="3"/>
  <c r="Q148" i="3"/>
  <c r="N148" i="3"/>
  <c r="K148" i="3"/>
  <c r="H148" i="3"/>
  <c r="Q147" i="3"/>
  <c r="N147" i="3"/>
  <c r="K147" i="3"/>
  <c r="H147" i="3"/>
  <c r="Q146" i="3"/>
  <c r="N146" i="3"/>
  <c r="K146" i="3"/>
  <c r="H146" i="3"/>
  <c r="Q145" i="3"/>
  <c r="N145" i="3"/>
  <c r="K145" i="3"/>
  <c r="H145" i="3"/>
  <c r="Q144" i="3"/>
  <c r="N144" i="3"/>
  <c r="K144" i="3"/>
  <c r="H144" i="3"/>
  <c r="Q140" i="3"/>
  <c r="N140" i="3"/>
  <c r="K140" i="3"/>
  <c r="H140" i="3"/>
  <c r="Q139" i="3"/>
  <c r="N139" i="3"/>
  <c r="K139" i="3"/>
  <c r="H139" i="3"/>
  <c r="Q138" i="3"/>
  <c r="N138" i="3"/>
  <c r="K138" i="3"/>
  <c r="H138" i="3"/>
  <c r="Q137" i="3"/>
  <c r="N137" i="3"/>
  <c r="K137" i="3"/>
  <c r="H137" i="3"/>
  <c r="Q136" i="3"/>
  <c r="N136" i="3"/>
  <c r="K136" i="3"/>
  <c r="H136" i="3"/>
  <c r="Q135" i="3"/>
  <c r="N135" i="3"/>
  <c r="K135" i="3"/>
  <c r="H135" i="3"/>
  <c r="Q134" i="3"/>
  <c r="N134" i="3"/>
  <c r="K134" i="3"/>
  <c r="H134" i="3"/>
  <c r="Q130" i="3"/>
  <c r="N130" i="3"/>
  <c r="K130" i="3"/>
  <c r="H130" i="3"/>
  <c r="Q129" i="3"/>
  <c r="N129" i="3"/>
  <c r="K129" i="3"/>
  <c r="H129" i="3"/>
  <c r="Q128" i="3"/>
  <c r="N128" i="3"/>
  <c r="K128" i="3"/>
  <c r="H128" i="3"/>
  <c r="Q127" i="3"/>
  <c r="N127" i="3"/>
  <c r="K127" i="3"/>
  <c r="H127" i="3"/>
  <c r="Q126" i="3"/>
  <c r="N126" i="3"/>
  <c r="K126" i="3"/>
  <c r="H126" i="3"/>
  <c r="Q125" i="3"/>
  <c r="N125" i="3"/>
  <c r="K125" i="3"/>
  <c r="H125" i="3"/>
  <c r="Q124" i="3"/>
  <c r="N124" i="3"/>
  <c r="K124" i="3"/>
  <c r="H124" i="3"/>
  <c r="Q120" i="3"/>
  <c r="N120" i="3"/>
  <c r="K120" i="3"/>
  <c r="H120" i="3"/>
  <c r="Q119" i="3"/>
  <c r="N119" i="3"/>
  <c r="K119" i="3"/>
  <c r="H119" i="3"/>
  <c r="Q118" i="3"/>
  <c r="N118" i="3"/>
  <c r="K118" i="3"/>
  <c r="H118" i="3"/>
  <c r="Q117" i="3"/>
  <c r="N117" i="3"/>
  <c r="K117" i="3"/>
  <c r="H117" i="3"/>
  <c r="Q116" i="3"/>
  <c r="N116" i="3"/>
  <c r="K116" i="3"/>
  <c r="H116" i="3"/>
  <c r="Q115" i="3"/>
  <c r="N115" i="3"/>
  <c r="K115" i="3"/>
  <c r="H115" i="3"/>
  <c r="Q114" i="3"/>
  <c r="N114" i="3"/>
  <c r="K114" i="3"/>
  <c r="H114" i="3"/>
  <c r="Q110" i="3"/>
  <c r="N110" i="3"/>
  <c r="K110" i="3"/>
  <c r="H110" i="3"/>
  <c r="Q109" i="3"/>
  <c r="N109" i="3"/>
  <c r="K109" i="3"/>
  <c r="H109" i="3"/>
  <c r="Q108" i="3"/>
  <c r="N108" i="3"/>
  <c r="K108" i="3"/>
  <c r="H108" i="3"/>
  <c r="Q107" i="3"/>
  <c r="N107" i="3"/>
  <c r="K107" i="3"/>
  <c r="H107" i="3"/>
  <c r="Q106" i="3"/>
  <c r="N106" i="3"/>
  <c r="K106" i="3"/>
  <c r="H106" i="3"/>
  <c r="Q105" i="3"/>
  <c r="N105" i="3"/>
  <c r="K105" i="3"/>
  <c r="H105" i="3"/>
  <c r="Q104" i="3"/>
  <c r="N104" i="3"/>
  <c r="K104" i="3"/>
  <c r="H104" i="3"/>
  <c r="Q100" i="3"/>
  <c r="N100" i="3"/>
  <c r="K100" i="3"/>
  <c r="H100" i="3"/>
  <c r="Q99" i="3"/>
  <c r="N99" i="3"/>
  <c r="K99" i="3"/>
  <c r="H99" i="3"/>
  <c r="Q98" i="3"/>
  <c r="N98" i="3"/>
  <c r="K98" i="3"/>
  <c r="H98" i="3"/>
  <c r="Q97" i="3"/>
  <c r="N97" i="3"/>
  <c r="K97" i="3"/>
  <c r="H97" i="3"/>
  <c r="Q96" i="3"/>
  <c r="N96" i="3"/>
  <c r="K96" i="3"/>
  <c r="H96" i="3"/>
  <c r="Q95" i="3"/>
  <c r="N95" i="3"/>
  <c r="K95" i="3"/>
  <c r="H95" i="3"/>
  <c r="Q94" i="3"/>
  <c r="N94" i="3"/>
  <c r="K94" i="3"/>
  <c r="H94" i="3"/>
  <c r="Q90" i="3"/>
  <c r="N90" i="3"/>
  <c r="K90" i="3"/>
  <c r="H90" i="3"/>
  <c r="Q89" i="3"/>
  <c r="N89" i="3"/>
  <c r="K89" i="3"/>
  <c r="H89" i="3"/>
  <c r="Q88" i="3"/>
  <c r="N88" i="3"/>
  <c r="K88" i="3"/>
  <c r="H88" i="3"/>
  <c r="Q87" i="3"/>
  <c r="N87" i="3"/>
  <c r="K87" i="3"/>
  <c r="H87" i="3"/>
  <c r="Q86" i="3"/>
  <c r="N86" i="3"/>
  <c r="K86" i="3"/>
  <c r="H86" i="3"/>
  <c r="Q85" i="3"/>
  <c r="N85" i="3"/>
  <c r="K85" i="3"/>
  <c r="H85" i="3"/>
  <c r="Q84" i="3"/>
  <c r="N84" i="3"/>
  <c r="K84" i="3"/>
  <c r="H84" i="3"/>
  <c r="Q80" i="3"/>
  <c r="N80" i="3"/>
  <c r="K80" i="3"/>
  <c r="H80" i="3"/>
  <c r="Q79" i="3"/>
  <c r="N79" i="3"/>
  <c r="K79" i="3"/>
  <c r="H79" i="3"/>
  <c r="Q78" i="3"/>
  <c r="N78" i="3"/>
  <c r="K78" i="3"/>
  <c r="H78" i="3"/>
  <c r="Q77" i="3"/>
  <c r="N77" i="3"/>
  <c r="K77" i="3"/>
  <c r="H77" i="3"/>
  <c r="Q76" i="3"/>
  <c r="N76" i="3"/>
  <c r="K76" i="3"/>
  <c r="H76" i="3"/>
  <c r="Q75" i="3"/>
  <c r="N75" i="3"/>
  <c r="K75" i="3"/>
  <c r="H75" i="3"/>
  <c r="Q74" i="3"/>
  <c r="N74" i="3"/>
  <c r="K74" i="3"/>
  <c r="H74" i="3"/>
  <c r="Q70" i="3"/>
  <c r="N70" i="3"/>
  <c r="K70" i="3"/>
  <c r="H70" i="3"/>
  <c r="Q69" i="3"/>
  <c r="N69" i="3"/>
  <c r="K69" i="3"/>
  <c r="H69" i="3"/>
  <c r="Q68" i="3"/>
  <c r="N68" i="3"/>
  <c r="K68" i="3"/>
  <c r="H68" i="3"/>
  <c r="Q67" i="3"/>
  <c r="N67" i="3"/>
  <c r="K67" i="3"/>
  <c r="H67" i="3"/>
  <c r="Q66" i="3"/>
  <c r="N66" i="3"/>
  <c r="K66" i="3"/>
  <c r="H66" i="3"/>
  <c r="Q65" i="3"/>
  <c r="N65" i="3"/>
  <c r="K65" i="3"/>
  <c r="H65" i="3"/>
  <c r="Q64" i="3"/>
  <c r="N64" i="3"/>
  <c r="K64" i="3"/>
  <c r="H64" i="3"/>
  <c r="Q60" i="3"/>
  <c r="N60" i="3"/>
  <c r="K60" i="3"/>
  <c r="H60" i="3"/>
  <c r="Q59" i="3"/>
  <c r="N59" i="3"/>
  <c r="K59" i="3"/>
  <c r="H59" i="3"/>
  <c r="Q58" i="3"/>
  <c r="N58" i="3"/>
  <c r="K58" i="3"/>
  <c r="H58" i="3"/>
  <c r="Q57" i="3"/>
  <c r="N57" i="3"/>
  <c r="K57" i="3"/>
  <c r="H57" i="3"/>
  <c r="Q56" i="3"/>
  <c r="N56" i="3"/>
  <c r="K56" i="3"/>
  <c r="H56" i="3"/>
  <c r="Q55" i="3"/>
  <c r="N55" i="3"/>
  <c r="K55" i="3"/>
  <c r="H55" i="3"/>
  <c r="Q54" i="3"/>
  <c r="N54" i="3"/>
  <c r="K54" i="3"/>
  <c r="H54" i="3"/>
  <c r="Q50" i="3"/>
  <c r="N50" i="3"/>
  <c r="K50" i="3"/>
  <c r="H50" i="3"/>
  <c r="Q49" i="3"/>
  <c r="N49" i="3"/>
  <c r="K49" i="3"/>
  <c r="H49" i="3"/>
  <c r="Q48" i="3"/>
  <c r="N48" i="3"/>
  <c r="K48" i="3"/>
  <c r="H48" i="3"/>
  <c r="Q47" i="3"/>
  <c r="N47" i="3"/>
  <c r="K47" i="3"/>
  <c r="H47" i="3"/>
  <c r="Q46" i="3"/>
  <c r="N46" i="3"/>
  <c r="K46" i="3"/>
  <c r="H46" i="3"/>
  <c r="Q45" i="3"/>
  <c r="N45" i="3"/>
  <c r="K45" i="3"/>
  <c r="H45" i="3"/>
  <c r="Q44" i="3"/>
  <c r="N44" i="3"/>
  <c r="K44" i="3"/>
  <c r="H44" i="3"/>
  <c r="Q40" i="3"/>
  <c r="N40" i="3"/>
  <c r="K40" i="3"/>
  <c r="H40" i="3"/>
  <c r="Q39" i="3"/>
  <c r="N39" i="3"/>
  <c r="K39" i="3"/>
  <c r="H39" i="3"/>
  <c r="Q38" i="3"/>
  <c r="N38" i="3"/>
  <c r="K38" i="3"/>
  <c r="H38" i="3"/>
  <c r="Q37" i="3"/>
  <c r="N37" i="3"/>
  <c r="K37" i="3"/>
  <c r="H37" i="3"/>
  <c r="Q36" i="3"/>
  <c r="N36" i="3"/>
  <c r="K36" i="3"/>
  <c r="H36" i="3"/>
  <c r="Q35" i="3"/>
  <c r="N35" i="3"/>
  <c r="K35" i="3"/>
  <c r="H35" i="3"/>
  <c r="Q34" i="3"/>
  <c r="N34" i="3"/>
  <c r="K34" i="3"/>
  <c r="H34" i="3"/>
  <c r="Q30" i="3"/>
  <c r="N30" i="3"/>
  <c r="K30" i="3"/>
  <c r="H30" i="3"/>
  <c r="Q29" i="3"/>
  <c r="N29" i="3"/>
  <c r="K29" i="3"/>
  <c r="H29" i="3"/>
  <c r="Q28" i="3"/>
  <c r="N28" i="3"/>
  <c r="K28" i="3"/>
  <c r="H28" i="3"/>
  <c r="Q27" i="3"/>
  <c r="N27" i="3"/>
  <c r="K27" i="3"/>
  <c r="H27" i="3"/>
  <c r="Q26" i="3"/>
  <c r="N26" i="3"/>
  <c r="K26" i="3"/>
  <c r="H26" i="3"/>
  <c r="Q25" i="3"/>
  <c r="N25" i="3"/>
  <c r="K25" i="3"/>
  <c r="H25" i="3"/>
  <c r="Q24" i="3"/>
  <c r="N24" i="3"/>
  <c r="K24" i="3"/>
  <c r="H24" i="3"/>
  <c r="BP167" i="5" l="1"/>
  <c r="BR167" i="5"/>
  <c r="BS167" i="5"/>
  <c r="BU167" i="5"/>
  <c r="BV167" i="5"/>
  <c r="BX167" i="5"/>
  <c r="CA167" i="5"/>
  <c r="CC167" i="5"/>
  <c r="CD167" i="5"/>
  <c r="BQ167" i="5"/>
  <c r="BT167" i="5"/>
  <c r="BW167" i="5"/>
  <c r="BY167" i="5"/>
  <c r="CB167" i="5"/>
  <c r="CE167" i="5"/>
  <c r="BZ167" i="5"/>
  <c r="CA132" i="5"/>
  <c r="BZ132" i="5"/>
  <c r="CA129" i="5"/>
  <c r="BQ129" i="5"/>
  <c r="CQ43" i="5"/>
  <c r="CO43" i="5"/>
  <c r="CP43" i="5"/>
  <c r="AV27" i="5"/>
  <c r="BY120" i="5"/>
  <c r="BX146" i="5"/>
  <c r="V185" i="5"/>
  <c r="H59" i="5"/>
  <c r="H77" i="5"/>
  <c r="AY77" i="5" s="1"/>
  <c r="BP77" i="5" s="1"/>
  <c r="J177" i="5"/>
  <c r="AD185" i="5"/>
  <c r="O84" i="6" s="1"/>
  <c r="BY132" i="5"/>
  <c r="BY159" i="5"/>
  <c r="BG170" i="5"/>
  <c r="S177" i="5"/>
  <c r="I83" i="6" s="1"/>
  <c r="J185" i="5"/>
  <c r="H89" i="5"/>
  <c r="BQ166" i="5"/>
  <c r="BH170" i="5"/>
  <c r="V177" i="5"/>
  <c r="S185" i="5"/>
  <c r="I84" i="6" s="1"/>
  <c r="BI170" i="5"/>
  <c r="AA177" i="5"/>
  <c r="N83" i="6" s="1"/>
  <c r="BJ170" i="5"/>
  <c r="CA170" i="5" s="1"/>
  <c r="CR170" i="5" s="1"/>
  <c r="DK170" i="5" s="1"/>
  <c r="DK177" i="5" s="1"/>
  <c r="V83" i="6" s="1"/>
  <c r="AD177" i="5"/>
  <c r="O83" i="6" s="1"/>
  <c r="AA185" i="5"/>
  <c r="N84" i="6" s="1"/>
  <c r="H182" i="5"/>
  <c r="H143" i="5"/>
  <c r="H106" i="5"/>
  <c r="H110" i="5"/>
  <c r="AY110" i="5" s="1"/>
  <c r="BP110" i="5" s="1"/>
  <c r="H165" i="5"/>
  <c r="AY165" i="5" s="1"/>
  <c r="BP165" i="5" s="1"/>
  <c r="BZ152" i="5"/>
  <c r="CA152" i="5"/>
  <c r="BX159" i="5"/>
  <c r="J169" i="5"/>
  <c r="S169" i="5"/>
  <c r="I82" i="6" s="1"/>
  <c r="I185" i="5"/>
  <c r="CC183" i="5"/>
  <c r="CT183" i="5" s="1"/>
  <c r="DM183" i="5" s="1"/>
  <c r="CA183" i="5"/>
  <c r="CR183" i="5" s="1"/>
  <c r="DK183" i="5" s="1"/>
  <c r="BY183" i="5"/>
  <c r="CP183" i="5" s="1"/>
  <c r="DI183" i="5" s="1"/>
  <c r="CB183" i="5"/>
  <c r="CS183" i="5" s="1"/>
  <c r="DL183" i="5" s="1"/>
  <c r="BZ183" i="5"/>
  <c r="CQ183" i="5" s="1"/>
  <c r="DJ183" i="5" s="1"/>
  <c r="BQ183" i="5"/>
  <c r="CH183" i="5" s="1"/>
  <c r="DA183" i="5" s="1"/>
  <c r="BP183" i="5"/>
  <c r="CG183" i="5" s="1"/>
  <c r="CZ183" i="5" s="1"/>
  <c r="BU183" i="5"/>
  <c r="CL183" i="5" s="1"/>
  <c r="DE183" i="5" s="1"/>
  <c r="BS183" i="5"/>
  <c r="CJ183" i="5" s="1"/>
  <c r="DC183" i="5" s="1"/>
  <c r="BX183" i="5"/>
  <c r="CO183" i="5" s="1"/>
  <c r="DH183" i="5" s="1"/>
  <c r="BV183" i="5"/>
  <c r="CM183" i="5" s="1"/>
  <c r="DF183" i="5" s="1"/>
  <c r="CD183" i="5"/>
  <c r="CU183" i="5" s="1"/>
  <c r="DN183" i="5" s="1"/>
  <c r="CE183" i="5"/>
  <c r="CV183" i="5" s="1"/>
  <c r="DO183" i="5" s="1"/>
  <c r="BR183" i="5"/>
  <c r="CI183" i="5" s="1"/>
  <c r="DB183" i="5" s="1"/>
  <c r="BT183" i="5"/>
  <c r="CK183" i="5" s="1"/>
  <c r="DD183" i="5" s="1"/>
  <c r="BW183" i="5"/>
  <c r="CN183" i="5" s="1"/>
  <c r="DG183" i="5" s="1"/>
  <c r="BZ180" i="5"/>
  <c r="CA180" i="5"/>
  <c r="BR180" i="5"/>
  <c r="CB180" i="5"/>
  <c r="CC180" i="5"/>
  <c r="CD180" i="5"/>
  <c r="BQ180" i="5"/>
  <c r="BS180" i="5"/>
  <c r="BU180" i="5"/>
  <c r="BX180" i="5"/>
  <c r="BY180" i="5"/>
  <c r="CE180" i="5"/>
  <c r="BW180" i="5"/>
  <c r="BT180" i="5"/>
  <c r="BV180" i="5"/>
  <c r="CD174" i="5"/>
  <c r="CC174" i="5"/>
  <c r="CE174" i="5"/>
  <c r="BZ174" i="5"/>
  <c r="BV174" i="5"/>
  <c r="BR174" i="5"/>
  <c r="BU174" i="5"/>
  <c r="BX174" i="5"/>
  <c r="CB174" i="5"/>
  <c r="BQ174" i="5"/>
  <c r="BW174" i="5"/>
  <c r="CA174" i="5"/>
  <c r="BY174" i="5"/>
  <c r="BS174" i="5"/>
  <c r="BT174" i="5"/>
  <c r="BQ172" i="5"/>
  <c r="BT170" i="5"/>
  <c r="CK170" i="5" s="1"/>
  <c r="DD170" i="5" s="1"/>
  <c r="DD177" i="5" s="1"/>
  <c r="AK83" i="6" s="1"/>
  <c r="CE170" i="5"/>
  <c r="CV170" i="5" s="1"/>
  <c r="DO170" i="5" s="1"/>
  <c r="DO177" i="5" s="1"/>
  <c r="AA83" i="6" s="1"/>
  <c r="AV177" i="5"/>
  <c r="G83" i="6" s="1"/>
  <c r="BV170" i="5"/>
  <c r="CM170" i="5" s="1"/>
  <c r="DF170" i="5" s="1"/>
  <c r="DF177" i="5" s="1"/>
  <c r="AL83" i="6" s="1"/>
  <c r="BU170" i="5"/>
  <c r="CL170" i="5" s="1"/>
  <c r="DE170" i="5" s="1"/>
  <c r="DE177" i="5" s="1"/>
  <c r="AO83" i="6" s="1"/>
  <c r="BS170" i="5"/>
  <c r="CJ170" i="5" s="1"/>
  <c r="DC170" i="5" s="1"/>
  <c r="DC177" i="5" s="1"/>
  <c r="AN83" i="6" s="1"/>
  <c r="CB170" i="5"/>
  <c r="CS170" i="5" s="1"/>
  <c r="DL170" i="5" s="1"/>
  <c r="DL177" i="5" s="1"/>
  <c r="W83" i="6" s="1"/>
  <c r="BZ170" i="5"/>
  <c r="CQ170" i="5" s="1"/>
  <c r="DJ170" i="5" s="1"/>
  <c r="DJ177" i="5" s="1"/>
  <c r="U83" i="6" s="1"/>
  <c r="BR170" i="5"/>
  <c r="CD170" i="5"/>
  <c r="CU170" i="5" s="1"/>
  <c r="DN170" i="5" s="1"/>
  <c r="DN177" i="5" s="1"/>
  <c r="Z83" i="6" s="1"/>
  <c r="BX170" i="5"/>
  <c r="CO170" i="5" s="1"/>
  <c r="DH170" i="5" s="1"/>
  <c r="DH177" i="5" s="1"/>
  <c r="R83" i="6" s="1"/>
  <c r="BY170" i="5"/>
  <c r="CP170" i="5" s="1"/>
  <c r="DI170" i="5" s="1"/>
  <c r="DI177" i="5" s="1"/>
  <c r="S83" i="6" s="1"/>
  <c r="CC170" i="5"/>
  <c r="CT170" i="5" s="1"/>
  <c r="DM170" i="5" s="1"/>
  <c r="DM177" i="5" s="1"/>
  <c r="X83" i="6" s="1"/>
  <c r="BW170" i="5"/>
  <c r="CN170" i="5" s="1"/>
  <c r="DG170" i="5" s="1"/>
  <c r="DG177" i="5" s="1"/>
  <c r="CE172" i="5"/>
  <c r="CD172" i="5"/>
  <c r="BY172" i="5"/>
  <c r="BT172" i="5"/>
  <c r="CA172" i="5"/>
  <c r="BX172" i="5"/>
  <c r="BU172" i="5"/>
  <c r="BR172" i="5"/>
  <c r="BV172" i="5"/>
  <c r="CB172" i="5"/>
  <c r="CC172" i="5"/>
  <c r="BW172" i="5"/>
  <c r="BZ172" i="5"/>
  <c r="BS172" i="5"/>
  <c r="BX166" i="5"/>
  <c r="BY166" i="5"/>
  <c r="BZ166" i="5"/>
  <c r="CA166" i="5"/>
  <c r="BR166" i="5"/>
  <c r="CE166" i="5"/>
  <c r="CC166" i="5"/>
  <c r="CD166" i="5"/>
  <c r="BS166" i="5"/>
  <c r="BV166" i="5"/>
  <c r="CB166" i="5"/>
  <c r="BW166" i="5"/>
  <c r="BU166" i="5"/>
  <c r="BT166" i="5"/>
  <c r="BZ159" i="5"/>
  <c r="BQ158" i="5"/>
  <c r="CA159" i="5"/>
  <c r="CE159" i="5"/>
  <c r="BS159" i="5"/>
  <c r="CJ159" i="5" s="1"/>
  <c r="DC159" i="5" s="1"/>
  <c r="BW159" i="5"/>
  <c r="BT159" i="5"/>
  <c r="CB159" i="5"/>
  <c r="BV159" i="5"/>
  <c r="CM159" i="5" s="1"/>
  <c r="DF159" i="5" s="1"/>
  <c r="BU159" i="5"/>
  <c r="CL159" i="5" s="1"/>
  <c r="DE159" i="5" s="1"/>
  <c r="CC159" i="5"/>
  <c r="CT159" i="5" s="1"/>
  <c r="DM159" i="5" s="1"/>
  <c r="BR159" i="5"/>
  <c r="CI159" i="5" s="1"/>
  <c r="DB159" i="5" s="1"/>
  <c r="CD159" i="5"/>
  <c r="BY158" i="5"/>
  <c r="BZ158" i="5"/>
  <c r="CA158" i="5"/>
  <c r="CE158" i="5"/>
  <c r="CD158" i="5"/>
  <c r="BR158" i="5"/>
  <c r="BV158" i="5"/>
  <c r="BS158" i="5"/>
  <c r="BW158" i="5"/>
  <c r="BT158" i="5"/>
  <c r="CB158" i="5"/>
  <c r="BU158" i="5"/>
  <c r="CC158" i="5"/>
  <c r="CQ159" i="5"/>
  <c r="DJ159" i="5" s="1"/>
  <c r="BQ159" i="5"/>
  <c r="CH159" i="5" s="1"/>
  <c r="DA159" i="5" s="1"/>
  <c r="CC152" i="5"/>
  <c r="CB152" i="5"/>
  <c r="BV152" i="5"/>
  <c r="BU152" i="5"/>
  <c r="BW152" i="5"/>
  <c r="BR152" i="5"/>
  <c r="BT152" i="5"/>
  <c r="BS152" i="5"/>
  <c r="CD152" i="5"/>
  <c r="CE152" i="5"/>
  <c r="BQ146" i="5"/>
  <c r="BQ148" i="5"/>
  <c r="BY146" i="5"/>
  <c r="BX148" i="5"/>
  <c r="BZ146" i="5"/>
  <c r="BY148" i="5"/>
  <c r="BQ152" i="5"/>
  <c r="CA146" i="5"/>
  <c r="BZ148" i="5"/>
  <c r="BW146" i="5"/>
  <c r="BU146" i="5"/>
  <c r="BT146" i="5"/>
  <c r="BR146" i="5"/>
  <c r="CD146" i="5"/>
  <c r="BV146" i="5"/>
  <c r="CE146" i="5"/>
  <c r="CC146" i="5"/>
  <c r="CB146" i="5"/>
  <c r="BS146" i="5"/>
  <c r="CA148" i="5"/>
  <c r="BX152" i="5"/>
  <c r="BT148" i="5"/>
  <c r="BS148" i="5"/>
  <c r="BR148" i="5"/>
  <c r="BV148" i="5"/>
  <c r="BW148" i="5"/>
  <c r="CB148" i="5"/>
  <c r="CE148" i="5"/>
  <c r="CC148" i="5"/>
  <c r="CD148" i="5"/>
  <c r="BU148" i="5"/>
  <c r="BY152" i="5"/>
  <c r="BX129" i="5"/>
  <c r="CD132" i="5"/>
  <c r="CC132" i="5"/>
  <c r="CB132" i="5"/>
  <c r="BV132" i="5"/>
  <c r="BU132" i="5"/>
  <c r="BT132" i="5"/>
  <c r="BW132" i="5"/>
  <c r="BR132" i="5"/>
  <c r="BS132" i="5"/>
  <c r="CE132" i="5"/>
  <c r="BY129" i="5"/>
  <c r="BZ129" i="5"/>
  <c r="BT129" i="5"/>
  <c r="CB129" i="5"/>
  <c r="BS129" i="5"/>
  <c r="BR129" i="5"/>
  <c r="BU129" i="5"/>
  <c r="BV129" i="5"/>
  <c r="CE129" i="5"/>
  <c r="BW129" i="5"/>
  <c r="CD129" i="5"/>
  <c r="CC129" i="5"/>
  <c r="BQ132" i="5"/>
  <c r="BX132" i="5"/>
  <c r="BQ120" i="5"/>
  <c r="BX120" i="5"/>
  <c r="BZ120" i="5"/>
  <c r="CA120" i="5"/>
  <c r="CC120" i="5"/>
  <c r="CB120" i="5"/>
  <c r="CD120" i="5"/>
  <c r="CE120" i="5"/>
  <c r="BR120" i="5"/>
  <c r="BS120" i="5"/>
  <c r="BT120" i="5"/>
  <c r="BU120" i="5"/>
  <c r="BV120" i="5"/>
  <c r="BW120" i="5"/>
  <c r="BQ96" i="5"/>
  <c r="CA92" i="5"/>
  <c r="BW92" i="5"/>
  <c r="BV92" i="5"/>
  <c r="BU92" i="5"/>
  <c r="BT92" i="5"/>
  <c r="CB92" i="5"/>
  <c r="BP92" i="5"/>
  <c r="BZ92" i="5"/>
  <c r="BY92" i="5"/>
  <c r="BX92" i="5"/>
  <c r="CE92" i="5"/>
  <c r="BS92" i="5"/>
  <c r="CD92" i="5"/>
  <c r="BR92" i="5"/>
  <c r="CC92" i="5"/>
  <c r="BQ92" i="5"/>
  <c r="BX96" i="5"/>
  <c r="BY96" i="5"/>
  <c r="BZ96" i="5"/>
  <c r="CE96" i="5"/>
  <c r="CD96" i="5"/>
  <c r="CC96" i="5"/>
  <c r="CB96" i="5"/>
  <c r="BT96" i="5"/>
  <c r="BS96" i="5"/>
  <c r="BR96" i="5"/>
  <c r="BW96" i="5"/>
  <c r="BU96" i="5"/>
  <c r="CA96" i="5"/>
  <c r="BV96" i="5"/>
  <c r="BR77" i="5"/>
  <c r="CD77" i="5"/>
  <c r="BS77" i="5"/>
  <c r="CE77" i="5"/>
  <c r="BX77" i="5"/>
  <c r="BT77" i="5"/>
  <c r="BU77" i="5"/>
  <c r="BW77" i="5"/>
  <c r="BZ77" i="5"/>
  <c r="CB77" i="5"/>
  <c r="BQ77" i="5"/>
  <c r="CC77" i="5"/>
  <c r="BV77" i="5"/>
  <c r="BY77" i="5"/>
  <c r="CA77" i="5"/>
  <c r="CC65" i="5"/>
  <c r="BQ65" i="5"/>
  <c r="CA65" i="5"/>
  <c r="BZ65" i="5"/>
  <c r="BX65" i="5"/>
  <c r="BU65" i="5"/>
  <c r="BT65" i="5"/>
  <c r="CB65" i="5"/>
  <c r="BP65" i="5"/>
  <c r="BW65" i="5"/>
  <c r="BV65" i="5"/>
  <c r="CE65" i="5"/>
  <c r="BS65" i="5"/>
  <c r="CD65" i="5"/>
  <c r="BR65" i="5"/>
  <c r="BY65" i="5"/>
  <c r="BZ48" i="5"/>
  <c r="I177" i="5"/>
  <c r="AZ170" i="5"/>
  <c r="BQ170" i="5" s="1"/>
  <c r="CH170" i="5" s="1"/>
  <c r="DA170" i="5" s="1"/>
  <c r="DA177" i="5" s="1"/>
  <c r="H123" i="5"/>
  <c r="AY123" i="5" s="1"/>
  <c r="BP123" i="5" s="1"/>
  <c r="H141" i="5"/>
  <c r="AY141" i="5" s="1"/>
  <c r="H58" i="5"/>
  <c r="DH39" i="5"/>
  <c r="CO38" i="5"/>
  <c r="DJ39" i="5"/>
  <c r="CQ38" i="5"/>
  <c r="DI39" i="5"/>
  <c r="CP38" i="5"/>
  <c r="DA39" i="5"/>
  <c r="CH38" i="5"/>
  <c r="H172" i="5"/>
  <c r="AY172" i="5" s="1"/>
  <c r="BP172" i="5" s="1"/>
  <c r="V169" i="5"/>
  <c r="S161" i="5"/>
  <c r="I81" i="6" s="1"/>
  <c r="H166" i="5"/>
  <c r="BP166" i="5" s="1"/>
  <c r="H121" i="5"/>
  <c r="AY121" i="5" s="1"/>
  <c r="BP121" i="5" s="1"/>
  <c r="H161" i="3"/>
  <c r="I51" i="6" s="1"/>
  <c r="K161" i="3"/>
  <c r="J51" i="6" s="1"/>
  <c r="N161" i="3"/>
  <c r="N51" i="6" s="1"/>
  <c r="Q161" i="3"/>
  <c r="O51" i="6" s="1"/>
  <c r="I161" i="5"/>
  <c r="H53" i="5"/>
  <c r="J153" i="5"/>
  <c r="AA169" i="5"/>
  <c r="N82" i="6" s="1"/>
  <c r="V161" i="5"/>
  <c r="AD169" i="5"/>
  <c r="O82" i="6" s="1"/>
  <c r="H93" i="5"/>
  <c r="BQ102" i="5"/>
  <c r="H155" i="5"/>
  <c r="BX102" i="5"/>
  <c r="H65" i="5"/>
  <c r="BY102" i="5"/>
  <c r="H134" i="5"/>
  <c r="H147" i="5"/>
  <c r="H67" i="5"/>
  <c r="AY67" i="5" s="1"/>
  <c r="H85" i="5"/>
  <c r="AY85" i="5" s="1"/>
  <c r="I169" i="5"/>
  <c r="H42" i="5"/>
  <c r="AY42" i="5" s="1"/>
  <c r="BP42" i="5" s="1"/>
  <c r="I153" i="5"/>
  <c r="J161" i="5"/>
  <c r="H130" i="5"/>
  <c r="AY130" i="5" s="1"/>
  <c r="BP130" i="5" s="1"/>
  <c r="V153" i="5"/>
  <c r="H150" i="5"/>
  <c r="AA161" i="5"/>
  <c r="N81" i="6" s="1"/>
  <c r="H132" i="5"/>
  <c r="AY132" i="5" s="1"/>
  <c r="BP132" i="5" s="1"/>
  <c r="AA153" i="5"/>
  <c r="N80" i="6" s="1"/>
  <c r="AD161" i="5"/>
  <c r="O81" i="6" s="1"/>
  <c r="AD153" i="5"/>
  <c r="O80" i="6" s="1"/>
  <c r="H49" i="5"/>
  <c r="H159" i="5"/>
  <c r="AY159" i="5" s="1"/>
  <c r="BP159" i="5" s="1"/>
  <c r="S153" i="5"/>
  <c r="I80" i="6" s="1"/>
  <c r="H103" i="5"/>
  <c r="AY103" i="5" s="1"/>
  <c r="H151" i="5"/>
  <c r="H105" i="5"/>
  <c r="H107" i="5"/>
  <c r="AY107" i="5" s="1"/>
  <c r="H111" i="5"/>
  <c r="AY111" i="5" s="1"/>
  <c r="BP111" i="5" s="1"/>
  <c r="BX48" i="5"/>
  <c r="BY48" i="5"/>
  <c r="H128" i="5"/>
  <c r="H139" i="5"/>
  <c r="H164" i="5"/>
  <c r="H170" i="5"/>
  <c r="AY170" i="5" s="1"/>
  <c r="BP170" i="5" s="1"/>
  <c r="CG170" i="5" s="1"/>
  <c r="CZ170" i="5" s="1"/>
  <c r="CZ177" i="5" s="1"/>
  <c r="H175" i="5"/>
  <c r="H52" i="5"/>
  <c r="H157" i="5"/>
  <c r="H180" i="5"/>
  <c r="AY180" i="5" s="1"/>
  <c r="BP180" i="5" s="1"/>
  <c r="H60" i="5"/>
  <c r="DA42" i="5"/>
  <c r="BQ48" i="5"/>
  <c r="H57" i="5"/>
  <c r="H122" i="5"/>
  <c r="AY122" i="5" s="1"/>
  <c r="BP122" i="5" s="1"/>
  <c r="H66" i="5"/>
  <c r="H124" i="5"/>
  <c r="AY124" i="5" s="1"/>
  <c r="BP124" i="5" s="1"/>
  <c r="H156" i="5"/>
  <c r="H167" i="5"/>
  <c r="H173" i="5"/>
  <c r="H50" i="5"/>
  <c r="H71" i="5"/>
  <c r="H116" i="5"/>
  <c r="H140" i="5"/>
  <c r="H40" i="5"/>
  <c r="AY40" i="5" s="1"/>
  <c r="BP40" i="5" s="1"/>
  <c r="H62" i="5"/>
  <c r="H183" i="5"/>
  <c r="AY183" i="5" s="1"/>
  <c r="DJ42" i="5"/>
  <c r="H68" i="5"/>
  <c r="H86" i="5"/>
  <c r="H137" i="5"/>
  <c r="H168" i="5"/>
  <c r="H174" i="5"/>
  <c r="AY174" i="5" s="1"/>
  <c r="BP174" i="5" s="1"/>
  <c r="H74" i="5"/>
  <c r="H88" i="5"/>
  <c r="H95" i="5"/>
  <c r="H148" i="5"/>
  <c r="AY148" i="5" s="1"/>
  <c r="BP148" i="5" s="1"/>
  <c r="H154" i="5"/>
  <c r="H171" i="5"/>
  <c r="BZ15" i="5"/>
  <c r="H83" i="5"/>
  <c r="BZ102" i="5"/>
  <c r="H112" i="5"/>
  <c r="H184" i="5"/>
  <c r="DI41" i="5"/>
  <c r="H51" i="5"/>
  <c r="H114" i="5"/>
  <c r="AY114" i="5" s="1"/>
  <c r="BP114" i="5" s="1"/>
  <c r="H69" i="5"/>
  <c r="BS102" i="5"/>
  <c r="BT102" i="5"/>
  <c r="CC102" i="5"/>
  <c r="CE102" i="5"/>
  <c r="CD102" i="5"/>
  <c r="CB102" i="5"/>
  <c r="BR102" i="5"/>
  <c r="BV102" i="5"/>
  <c r="CA102" i="5"/>
  <c r="BW102" i="5"/>
  <c r="BU102" i="5"/>
  <c r="H125" i="5"/>
  <c r="H138" i="5"/>
  <c r="AY138" i="5" s="1"/>
  <c r="BP138" i="5" s="1"/>
  <c r="H158" i="5"/>
  <c r="AY158" i="5" s="1"/>
  <c r="BP158" i="5" s="1"/>
  <c r="H133" i="5"/>
  <c r="H131" i="5"/>
  <c r="H129" i="5"/>
  <c r="AY129" i="5" s="1"/>
  <c r="BP129" i="5" s="1"/>
  <c r="DA41" i="5"/>
  <c r="H149" i="5"/>
  <c r="H41" i="5"/>
  <c r="AY41" i="5" s="1"/>
  <c r="BP41" i="5" s="1"/>
  <c r="CZ41" i="5" s="1"/>
  <c r="H43" i="5"/>
  <c r="AY43" i="5" s="1"/>
  <c r="BP43" i="5" s="1"/>
  <c r="H47" i="5"/>
  <c r="CA48" i="5"/>
  <c r="CB48" i="5"/>
  <c r="CD48" i="5"/>
  <c r="CC48" i="5"/>
  <c r="CE48" i="5"/>
  <c r="BV48" i="5"/>
  <c r="BW48" i="5"/>
  <c r="BS48" i="5"/>
  <c r="BR48" i="5"/>
  <c r="BU48" i="5"/>
  <c r="BT48" i="5"/>
  <c r="H78" i="5"/>
  <c r="H92" i="5"/>
  <c r="H101" i="5"/>
  <c r="H119" i="5"/>
  <c r="H146" i="5"/>
  <c r="AY146" i="5" s="1"/>
  <c r="BP146" i="5" s="1"/>
  <c r="H80" i="5"/>
  <c r="BZ16" i="5"/>
  <c r="DJ41" i="5"/>
  <c r="H56" i="5"/>
  <c r="H75" i="5"/>
  <c r="H84" i="5"/>
  <c r="H160" i="5"/>
  <c r="H176" i="5"/>
  <c r="H38" i="5"/>
  <c r="BS14" i="5"/>
  <c r="BR15" i="5"/>
  <c r="H44" i="5"/>
  <c r="AY44" i="5" s="1"/>
  <c r="BP44" i="5" s="1"/>
  <c r="CZ44" i="5" s="1"/>
  <c r="AZ44" i="5"/>
  <c r="BQ44" i="5" s="1"/>
  <c r="DA44" i="5" s="1"/>
  <c r="H48" i="5"/>
  <c r="AY48" i="5" s="1"/>
  <c r="BP48" i="5" s="1"/>
  <c r="H98" i="5"/>
  <c r="AY98" i="5" s="1"/>
  <c r="BP98" i="5" s="1"/>
  <c r="AZ98" i="5"/>
  <c r="BQ98" i="5" s="1"/>
  <c r="H120" i="5"/>
  <c r="AY120" i="5" s="1"/>
  <c r="BP120" i="5" s="1"/>
  <c r="H179" i="5"/>
  <c r="H79" i="5"/>
  <c r="H102" i="5"/>
  <c r="AY102" i="5" s="1"/>
  <c r="BP102" i="5" s="1"/>
  <c r="H113" i="5"/>
  <c r="DI42" i="5"/>
  <c r="H181" i="5"/>
  <c r="BW14" i="5"/>
  <c r="H39" i="5"/>
  <c r="AY39" i="5" s="1"/>
  <c r="BP39" i="5" s="1"/>
  <c r="BW15" i="5"/>
  <c r="H76" i="5"/>
  <c r="H97" i="5"/>
  <c r="H142" i="5"/>
  <c r="H152" i="5"/>
  <c r="BP152" i="5" s="1"/>
  <c r="H162" i="5"/>
  <c r="H178" i="5"/>
  <c r="H104" i="5"/>
  <c r="AY104" i="5" s="1"/>
  <c r="CA98" i="5"/>
  <c r="BR98" i="5"/>
  <c r="BV98" i="5"/>
  <c r="BS98" i="5"/>
  <c r="BT98" i="5"/>
  <c r="BU98" i="5"/>
  <c r="BY98" i="5"/>
  <c r="BX98" i="5"/>
  <c r="BZ98" i="5"/>
  <c r="BW98" i="5"/>
  <c r="H96" i="5"/>
  <c r="AY96" i="5" s="1"/>
  <c r="BP96" i="5" s="1"/>
  <c r="H94" i="5"/>
  <c r="H87" i="5"/>
  <c r="H70" i="5"/>
  <c r="DH42" i="5"/>
  <c r="DH41" i="5"/>
  <c r="CC32" i="5"/>
  <c r="CB32" i="5"/>
  <c r="CA32" i="5"/>
  <c r="BV26" i="5"/>
  <c r="BW26" i="5"/>
  <c r="BZ26" i="5"/>
  <c r="BR26" i="5"/>
  <c r="BS26" i="5"/>
  <c r="BT26" i="5"/>
  <c r="BU26" i="5"/>
  <c r="BT22" i="5"/>
  <c r="BU21" i="5"/>
  <c r="BZ21" i="5"/>
  <c r="BS16" i="5"/>
  <c r="BU16" i="5"/>
  <c r="BV16" i="5"/>
  <c r="BT16" i="5"/>
  <c r="BW16" i="5"/>
  <c r="BT15" i="5"/>
  <c r="BS15" i="5"/>
  <c r="BU15" i="5"/>
  <c r="BV15" i="5"/>
  <c r="BT14" i="5"/>
  <c r="BU14" i="5"/>
  <c r="CE21" i="5"/>
  <c r="CD21" i="5"/>
  <c r="CC21" i="5"/>
  <c r="CB21" i="5"/>
  <c r="CA21" i="5"/>
  <c r="BZ22" i="5"/>
  <c r="CE18" i="5"/>
  <c r="CD18" i="5"/>
  <c r="CC18" i="5"/>
  <c r="CB18" i="5"/>
  <c r="CA18" i="5"/>
  <c r="BV14" i="5"/>
  <c r="BR18" i="5"/>
  <c r="CE22" i="5"/>
  <c r="CD22" i="5"/>
  <c r="CB22" i="5"/>
  <c r="CC22" i="5"/>
  <c r="CA22" i="5"/>
  <c r="BT18" i="5"/>
  <c r="BR21" i="5"/>
  <c r="BU18" i="5"/>
  <c r="BS21" i="5"/>
  <c r="BR22" i="5"/>
  <c r="BS18" i="5"/>
  <c r="BZ14" i="5"/>
  <c r="BV18" i="5"/>
  <c r="BT21" i="5"/>
  <c r="BS22" i="5"/>
  <c r="CA14" i="5"/>
  <c r="CE15" i="5"/>
  <c r="CD15" i="5"/>
  <c r="CC15" i="5"/>
  <c r="CB15" i="5"/>
  <c r="CA15" i="5"/>
  <c r="BV21" i="5"/>
  <c r="BU22" i="5"/>
  <c r="CE14" i="5"/>
  <c r="CD14" i="5"/>
  <c r="CC14" i="5"/>
  <c r="CB14" i="5"/>
  <c r="BW18" i="5"/>
  <c r="CC16" i="5"/>
  <c r="CB16" i="5"/>
  <c r="CD16" i="5"/>
  <c r="BR16" i="5"/>
  <c r="CE16" i="5"/>
  <c r="CA16" i="5"/>
  <c r="BW21" i="5"/>
  <c r="BV22" i="5"/>
  <c r="BR14" i="5"/>
  <c r="BZ18" i="5"/>
  <c r="BW22" i="5"/>
  <c r="CE26" i="5"/>
  <c r="CD26" i="5"/>
  <c r="CC26" i="5"/>
  <c r="CB26" i="5"/>
  <c r="CA26" i="5"/>
  <c r="BW32" i="5"/>
  <c r="BV32" i="5"/>
  <c r="BS32" i="5"/>
  <c r="BU32" i="5"/>
  <c r="BR32" i="5"/>
  <c r="BT32" i="5"/>
  <c r="CE32" i="5"/>
  <c r="CD32" i="5"/>
  <c r="CU159" i="5" l="1"/>
  <c r="DN159" i="5" s="1"/>
  <c r="CK159" i="5"/>
  <c r="DD159" i="5" s="1"/>
  <c r="CR159" i="5"/>
  <c r="DK159" i="5" s="1"/>
  <c r="CS159" i="5"/>
  <c r="DL159" i="5" s="1"/>
  <c r="CP159" i="5"/>
  <c r="DI159" i="5" s="1"/>
  <c r="CN159" i="5"/>
  <c r="DG159" i="5" s="1"/>
  <c r="CV159" i="5"/>
  <c r="DO159" i="5" s="1"/>
  <c r="CO159" i="5"/>
  <c r="DH159" i="5" s="1"/>
  <c r="CG159" i="5"/>
  <c r="CZ159" i="5" s="1"/>
  <c r="CH43" i="5"/>
  <c r="F65" i="6"/>
  <c r="H65" i="6"/>
  <c r="CI170" i="5"/>
  <c r="DB170" i="5" s="1"/>
  <c r="DB177" i="5" s="1"/>
  <c r="AJ83" i="6" s="1"/>
  <c r="H185" i="5"/>
  <c r="AM83" i="6"/>
  <c r="AP83" i="6"/>
  <c r="F83" i="6"/>
  <c r="H83" i="6"/>
  <c r="AR83" i="6"/>
  <c r="CZ39" i="5"/>
  <c r="CG38" i="5"/>
  <c r="CZ42" i="5"/>
  <c r="CG43" i="5"/>
  <c r="H177" i="5"/>
  <c r="H153" i="5"/>
  <c r="H169" i="5"/>
  <c r="H161" i="5"/>
  <c r="CK12" i="5"/>
  <c r="CJ12" i="5"/>
  <c r="CQ12" i="5"/>
  <c r="CI12" i="5"/>
  <c r="CL12" i="5"/>
  <c r="CT12" i="5"/>
  <c r="CU12" i="5"/>
  <c r="CM12" i="5"/>
  <c r="CV12" i="5"/>
  <c r="CN12" i="5"/>
  <c r="CR12" i="5"/>
  <c r="CS12" i="5"/>
  <c r="EC185" i="5"/>
  <c r="EI185" i="5"/>
  <c r="EH185" i="5"/>
  <c r="EG185" i="5"/>
  <c r="EF185" i="5"/>
  <c r="EE185" i="5"/>
  <c r="ED185" i="5"/>
  <c r="EB185" i="5"/>
  <c r="EA185" i="5"/>
  <c r="DZ185" i="5"/>
  <c r="DY185" i="5"/>
  <c r="DX185" i="5"/>
  <c r="DW185" i="5"/>
  <c r="DV185" i="5"/>
  <c r="DU185" i="5"/>
  <c r="DT185" i="5"/>
  <c r="DS185" i="5"/>
  <c r="DR185" i="5"/>
  <c r="DQ185" i="5"/>
  <c r="AR185" i="5"/>
  <c r="AQ185" i="5"/>
  <c r="BN179" i="5"/>
  <c r="BM179" i="5"/>
  <c r="BL179" i="5"/>
  <c r="BK179" i="5"/>
  <c r="T24" i="6"/>
  <c r="A8" i="15" l="1"/>
  <c r="A9" i="15" s="1"/>
  <c r="A10" i="15" s="1"/>
  <c r="A11" i="15" s="1"/>
  <c r="A12" i="15" s="1"/>
  <c r="A13" i="15" s="1"/>
  <c r="A14" i="15" s="1"/>
  <c r="A15" i="15" s="1"/>
  <c r="A16" i="15" s="1"/>
  <c r="A17" i="15" s="1"/>
  <c r="A18" i="15" s="1"/>
  <c r="O25" i="15"/>
  <c r="A26" i="15"/>
  <c r="A27" i="15" s="1"/>
  <c r="A28" i="15" s="1"/>
  <c r="A29" i="15" s="1"/>
  <c r="A30" i="15" s="1"/>
  <c r="A31" i="15" s="1"/>
  <c r="A32" i="15" s="1"/>
  <c r="A33" i="15" s="1"/>
  <c r="A34" i="15" s="1"/>
  <c r="A35" i="15" s="1"/>
  <c r="A36" i="15" s="1"/>
  <c r="O26" i="15"/>
  <c r="BN131" i="5" l="1"/>
  <c r="BM131" i="5"/>
  <c r="BL131" i="5"/>
  <c r="BK131" i="5"/>
  <c r="BN142" i="5"/>
  <c r="BM142" i="5"/>
  <c r="BL142" i="5"/>
  <c r="BK142" i="5"/>
  <c r="BN139" i="5"/>
  <c r="BM139" i="5"/>
  <c r="BL139" i="5"/>
  <c r="BK139" i="5"/>
  <c r="M24" i="6" l="1"/>
  <c r="T23" i="6"/>
  <c r="M23" i="6"/>
  <c r="T22" i="6"/>
  <c r="M22" i="6"/>
  <c r="T21" i="6"/>
  <c r="M21" i="6"/>
  <c r="T20" i="6"/>
  <c r="M20" i="6"/>
  <c r="T19" i="6"/>
  <c r="M19" i="6"/>
  <c r="T18" i="6"/>
  <c r="M18" i="6"/>
  <c r="T17" i="6"/>
  <c r="M17" i="6"/>
  <c r="T16" i="6"/>
  <c r="M16" i="6"/>
  <c r="T15" i="6"/>
  <c r="M15" i="6"/>
  <c r="T14" i="6"/>
  <c r="M14" i="6"/>
  <c r="T13" i="6"/>
  <c r="M13" i="6"/>
  <c r="T12" i="6"/>
  <c r="M12" i="6"/>
  <c r="T11" i="6"/>
  <c r="M11" i="6"/>
  <c r="G144" i="5"/>
  <c r="D79" i="6" s="1"/>
  <c r="F144" i="5"/>
  <c r="E144" i="5"/>
  <c r="D144" i="5"/>
  <c r="C79" i="6" s="1"/>
  <c r="G135" i="5"/>
  <c r="D78" i="6" s="1"/>
  <c r="F135" i="5"/>
  <c r="E135" i="5"/>
  <c r="D135" i="5"/>
  <c r="C78" i="6" s="1"/>
  <c r="G126" i="5"/>
  <c r="D77" i="6" s="1"/>
  <c r="F126" i="5"/>
  <c r="E126" i="5"/>
  <c r="D126" i="5"/>
  <c r="C77" i="6" s="1"/>
  <c r="G99" i="5"/>
  <c r="F99" i="5"/>
  <c r="E99" i="5"/>
  <c r="D99" i="5"/>
  <c r="G108" i="5"/>
  <c r="D75" i="6" s="1"/>
  <c r="F108" i="5"/>
  <c r="E108" i="5"/>
  <c r="D108" i="5"/>
  <c r="F117" i="5"/>
  <c r="E117" i="5"/>
  <c r="T86" i="6"/>
  <c r="DN27" i="5"/>
  <c r="Z66" i="6" s="1"/>
  <c r="DM27" i="5"/>
  <c r="X66" i="6" s="1"/>
  <c r="DL27" i="5"/>
  <c r="Q66" i="6"/>
  <c r="O66" i="6"/>
  <c r="N66" i="6"/>
  <c r="X151" i="3"/>
  <c r="Q50" i="6" s="1"/>
  <c r="W151" i="3"/>
  <c r="P50" i="6" s="1"/>
  <c r="X131" i="3"/>
  <c r="Q48" i="6" s="1"/>
  <c r="W131" i="3"/>
  <c r="X141" i="3"/>
  <c r="Q49" i="6" s="1"/>
  <c r="W141" i="3"/>
  <c r="P49" i="6" s="1"/>
  <c r="X111" i="3"/>
  <c r="Q46" i="6" s="1"/>
  <c r="W111" i="3"/>
  <c r="P46" i="6" s="1"/>
  <c r="X121" i="3"/>
  <c r="Q47" i="6" s="1"/>
  <c r="W121" i="3"/>
  <c r="P47" i="6" s="1"/>
  <c r="X91" i="3"/>
  <c r="W91" i="3"/>
  <c r="P44" i="6" s="1"/>
  <c r="X101" i="3"/>
  <c r="Q45" i="6" s="1"/>
  <c r="W101" i="3"/>
  <c r="P45" i="6" s="1"/>
  <c r="X81" i="3"/>
  <c r="Q43" i="6" s="1"/>
  <c r="W81" i="3"/>
  <c r="P43" i="6" s="1"/>
  <c r="X61" i="3"/>
  <c r="Q41" i="6" s="1"/>
  <c r="W61" i="3"/>
  <c r="P41" i="6" s="1"/>
  <c r="X71" i="3"/>
  <c r="Q42" i="6" s="1"/>
  <c r="W71" i="3"/>
  <c r="P42" i="6" s="1"/>
  <c r="X51" i="3"/>
  <c r="W51" i="3"/>
  <c r="P40" i="6" s="1"/>
  <c r="X41" i="3"/>
  <c r="Q39" i="6" s="1"/>
  <c r="W41" i="3"/>
  <c r="P39" i="6" s="1"/>
  <c r="X31" i="3"/>
  <c r="W31" i="3"/>
  <c r="P38" i="6" s="1"/>
  <c r="X21" i="3"/>
  <c r="W21" i="3"/>
  <c r="P37" i="6" s="1"/>
  <c r="P9" i="6" s="1"/>
  <c r="CE98" i="5"/>
  <c r="CD98" i="5"/>
  <c r="CC98" i="5"/>
  <c r="CB98" i="5"/>
  <c r="P66" i="6" l="1"/>
  <c r="P10" i="6" s="1"/>
  <c r="Q37" i="6"/>
  <c r="Q40" i="6"/>
  <c r="Q44" i="6"/>
  <c r="P48" i="6"/>
  <c r="Q38" i="6"/>
  <c r="Q10" i="6" s="1"/>
  <c r="AH108" i="5"/>
  <c r="AG108" i="5"/>
  <c r="AF108" i="5"/>
  <c r="AE108" i="5"/>
  <c r="AC108" i="5"/>
  <c r="AB108" i="5"/>
  <c r="AH99" i="5"/>
  <c r="AG99" i="5"/>
  <c r="AF99" i="5"/>
  <c r="AE99" i="5"/>
  <c r="AC99" i="5"/>
  <c r="AB99" i="5"/>
  <c r="AH90" i="5"/>
  <c r="AG90" i="5"/>
  <c r="AF90" i="5"/>
  <c r="AE90" i="5"/>
  <c r="AC90" i="5"/>
  <c r="AB90" i="5"/>
  <c r="AH81" i="5"/>
  <c r="AG81" i="5"/>
  <c r="AF81" i="5"/>
  <c r="AE81" i="5"/>
  <c r="AC81" i="5"/>
  <c r="AB81" i="5"/>
  <c r="AH72" i="5"/>
  <c r="AG72" i="5"/>
  <c r="AF72" i="5"/>
  <c r="AE72" i="5"/>
  <c r="AC72" i="5"/>
  <c r="AB72" i="5"/>
  <c r="AH63" i="5"/>
  <c r="AG63" i="5"/>
  <c r="AF63" i="5"/>
  <c r="AE63" i="5"/>
  <c r="AC63" i="5"/>
  <c r="AB63" i="5"/>
  <c r="AH54" i="5"/>
  <c r="AG54" i="5"/>
  <c r="AF54" i="5"/>
  <c r="AE54" i="5"/>
  <c r="AC54" i="5"/>
  <c r="AB54" i="5"/>
  <c r="AH45" i="5"/>
  <c r="AG45" i="5"/>
  <c r="AF45" i="5"/>
  <c r="AE45" i="5"/>
  <c r="AC45" i="5"/>
  <c r="AB45" i="5"/>
  <c r="AD35" i="5"/>
  <c r="AA35" i="5"/>
  <c r="AD34" i="5"/>
  <c r="AA34" i="5"/>
  <c r="AD33" i="5"/>
  <c r="AA33" i="5"/>
  <c r="AD32" i="5"/>
  <c r="AA32" i="5"/>
  <c r="BZ32" i="5" s="1"/>
  <c r="AD31" i="5"/>
  <c r="AA31" i="5"/>
  <c r="AD30" i="5"/>
  <c r="AA30" i="5"/>
  <c r="AD29" i="5"/>
  <c r="AA29" i="5"/>
  <c r="AH36" i="5"/>
  <c r="AG36" i="5"/>
  <c r="AF36" i="5"/>
  <c r="AE36" i="5"/>
  <c r="AC36" i="5"/>
  <c r="AB36" i="5"/>
  <c r="BJ179" i="5"/>
  <c r="AH144" i="5"/>
  <c r="AG144" i="5"/>
  <c r="AF144" i="5"/>
  <c r="AE144" i="5"/>
  <c r="AC144" i="5"/>
  <c r="AB144" i="5"/>
  <c r="BJ142" i="5"/>
  <c r="BJ139" i="5"/>
  <c r="AH135" i="5"/>
  <c r="AG135" i="5"/>
  <c r="AF135" i="5"/>
  <c r="AE135" i="5"/>
  <c r="AC135" i="5"/>
  <c r="AB135" i="5"/>
  <c r="BJ131" i="5"/>
  <c r="AH126" i="5"/>
  <c r="AG126" i="5"/>
  <c r="AF126" i="5"/>
  <c r="AE126" i="5"/>
  <c r="AC126" i="5"/>
  <c r="AB126" i="5"/>
  <c r="AH117" i="5"/>
  <c r="AG117" i="5"/>
  <c r="AF117" i="5"/>
  <c r="AE117" i="5"/>
  <c r="AC117" i="5"/>
  <c r="AB117" i="5"/>
  <c r="BJ113" i="5"/>
  <c r="AD36" i="5" l="1"/>
  <c r="O67" i="6" s="1"/>
  <c r="AD45" i="5"/>
  <c r="O68" i="6" s="1"/>
  <c r="AD99" i="5"/>
  <c r="O74" i="6" s="1"/>
  <c r="AD72" i="5"/>
  <c r="O71" i="6" s="1"/>
  <c r="AD90" i="5"/>
  <c r="O73" i="6" s="1"/>
  <c r="AD108" i="5"/>
  <c r="O75" i="6" s="1"/>
  <c r="AA36" i="5"/>
  <c r="N67" i="6" s="1"/>
  <c r="AA72" i="5"/>
  <c r="N71" i="6" s="1"/>
  <c r="AD63" i="5"/>
  <c r="O70" i="6" s="1"/>
  <c r="AA63" i="5"/>
  <c r="N70" i="6" s="1"/>
  <c r="AD54" i="5"/>
  <c r="O69" i="6" s="1"/>
  <c r="P76" i="6"/>
  <c r="P20" i="6" s="1"/>
  <c r="Q69" i="6"/>
  <c r="Q13" i="6" s="1"/>
  <c r="Q72" i="6"/>
  <c r="Q16" i="6" s="1"/>
  <c r="Q74" i="6"/>
  <c r="Q18" i="6" s="1"/>
  <c r="P69" i="6"/>
  <c r="P13" i="6" s="1"/>
  <c r="P74" i="6"/>
  <c r="P18" i="6" s="1"/>
  <c r="Q76" i="6"/>
  <c r="Q20" i="6" s="1"/>
  <c r="Q78" i="6"/>
  <c r="Q22" i="6" s="1"/>
  <c r="P67" i="6"/>
  <c r="P11" i="6" s="1"/>
  <c r="AA45" i="5"/>
  <c r="N68" i="6" s="1"/>
  <c r="AA81" i="5"/>
  <c r="N72" i="6" s="1"/>
  <c r="AA90" i="5"/>
  <c r="N73" i="6" s="1"/>
  <c r="AA108" i="5"/>
  <c r="N75" i="6" s="1"/>
  <c r="Q79" i="6"/>
  <c r="P70" i="6"/>
  <c r="P14" i="6" s="1"/>
  <c r="P73" i="6"/>
  <c r="P17" i="6" s="1"/>
  <c r="P75" i="6"/>
  <c r="P19" i="6" s="1"/>
  <c r="P79" i="6"/>
  <c r="Q67" i="6"/>
  <c r="Q11" i="6" s="1"/>
  <c r="P71" i="6"/>
  <c r="P15" i="6" s="1"/>
  <c r="P77" i="6"/>
  <c r="P21" i="6" s="1"/>
  <c r="Q68" i="6"/>
  <c r="Q12" i="6" s="1"/>
  <c r="Q70" i="6"/>
  <c r="Q14" i="6" s="1"/>
  <c r="Q71" i="6"/>
  <c r="Q15" i="6" s="1"/>
  <c r="Q73" i="6"/>
  <c r="Q17" i="6" s="1"/>
  <c r="Q75" i="6"/>
  <c r="Q19" i="6" s="1"/>
  <c r="P68" i="6"/>
  <c r="P12" i="6" s="1"/>
  <c r="Q77" i="6"/>
  <c r="Q21" i="6" s="1"/>
  <c r="AA54" i="5"/>
  <c r="N69" i="6" s="1"/>
  <c r="AA99" i="5"/>
  <c r="N74" i="6" s="1"/>
  <c r="AD81" i="5"/>
  <c r="O72" i="6" s="1"/>
  <c r="P72" i="6"/>
  <c r="P16" i="6" s="1"/>
  <c r="Q9" i="6"/>
  <c r="P78" i="6"/>
  <c r="P22" i="6" s="1"/>
  <c r="AA117" i="5"/>
  <c r="N76" i="6" s="1"/>
  <c r="AD117" i="5"/>
  <c r="O76" i="6" s="1"/>
  <c r="AD144" i="5"/>
  <c r="O79" i="6" s="1"/>
  <c r="AA144" i="5"/>
  <c r="N79" i="6" s="1"/>
  <c r="AD135" i="5"/>
  <c r="O78" i="6" s="1"/>
  <c r="AA135" i="5"/>
  <c r="N78" i="6" s="1"/>
  <c r="AD126" i="5"/>
  <c r="O77" i="6" s="1"/>
  <c r="AA126" i="5"/>
  <c r="N77" i="6" s="1"/>
  <c r="I582" i="1"/>
  <c r="I575" i="1"/>
  <c r="I568" i="1"/>
  <c r="I561" i="1"/>
  <c r="I554" i="1"/>
  <c r="T111" i="3"/>
  <c r="AU80" i="6" l="1"/>
  <c r="F54" i="5" l="1"/>
  <c r="E54" i="5"/>
  <c r="W66" i="6" l="1"/>
  <c r="L66" i="6"/>
  <c r="K66" i="6"/>
  <c r="J66" i="6"/>
  <c r="D66" i="6"/>
  <c r="C66" i="6"/>
  <c r="G36" i="5"/>
  <c r="D67" i="6" s="1"/>
  <c r="F36" i="5"/>
  <c r="E36" i="5"/>
  <c r="D36" i="5"/>
  <c r="C67" i="6" s="1"/>
  <c r="E45" i="5"/>
  <c r="F45" i="5"/>
  <c r="A14" i="5"/>
  <c r="A15" i="5" s="1"/>
  <c r="A16" i="5" s="1"/>
  <c r="A17" i="5" s="1"/>
  <c r="A18" i="5" s="1"/>
  <c r="A20" i="5" s="1"/>
  <c r="A21" i="5" s="1"/>
  <c r="A22" i="5" s="1"/>
  <c r="A23" i="5" s="1"/>
  <c r="A24" i="5" s="1"/>
  <c r="A25" i="5" s="1"/>
  <c r="A26" i="5" s="1"/>
  <c r="M205" i="1" l="1"/>
  <c r="M204" i="1"/>
  <c r="M202" i="1" s="1"/>
  <c r="M203" i="1"/>
  <c r="I197" i="1"/>
  <c r="N97" i="1" l="1"/>
  <c r="M97" i="1"/>
  <c r="O97" i="1" s="1"/>
  <c r="O96" i="1"/>
  <c r="O95" i="1"/>
  <c r="O94" i="1"/>
  <c r="O93" i="1"/>
  <c r="O98" i="1" l="1"/>
  <c r="BI179" i="5" l="1"/>
  <c r="BF179" i="5"/>
  <c r="BE179" i="5"/>
  <c r="BD179" i="5"/>
  <c r="BC179" i="5"/>
  <c r="BB179" i="5"/>
  <c r="BA179" i="5"/>
  <c r="AV179" i="5"/>
  <c r="AV185" i="5" s="1"/>
  <c r="G84" i="6" s="1"/>
  <c r="BH179" i="5"/>
  <c r="BG179" i="5"/>
  <c r="AV164" i="5"/>
  <c r="AV169" i="5" s="1"/>
  <c r="G82" i="6" s="1"/>
  <c r="AV156" i="5"/>
  <c r="AV161" i="5" s="1"/>
  <c r="G81" i="6" s="1"/>
  <c r="Z144" i="5"/>
  <c r="L79" i="6" s="1"/>
  <c r="Y144" i="5"/>
  <c r="K79" i="6" s="1"/>
  <c r="X144" i="5"/>
  <c r="W144" i="5"/>
  <c r="U144" i="5"/>
  <c r="T144" i="5"/>
  <c r="J79" i="6" s="1"/>
  <c r="R144" i="5"/>
  <c r="Q144" i="5"/>
  <c r="P144" i="5"/>
  <c r="O144" i="5"/>
  <c r="N144" i="5"/>
  <c r="M144" i="5"/>
  <c r="L144" i="5"/>
  <c r="K144" i="5"/>
  <c r="AG79" i="6" s="1"/>
  <c r="AG23" i="6" s="1"/>
  <c r="BI142" i="5"/>
  <c r="BF142" i="5"/>
  <c r="BE142" i="5"/>
  <c r="BD142" i="5"/>
  <c r="BC142" i="5"/>
  <c r="BB142" i="5"/>
  <c r="BA142" i="5"/>
  <c r="BH142" i="5"/>
  <c r="BG142" i="5"/>
  <c r="AZ142" i="5"/>
  <c r="BI139" i="5"/>
  <c r="BF139" i="5"/>
  <c r="BE139" i="5"/>
  <c r="BD139" i="5"/>
  <c r="BC139" i="5"/>
  <c r="BB139" i="5"/>
  <c r="BA139" i="5"/>
  <c r="AV139" i="5"/>
  <c r="BH139" i="5"/>
  <c r="BG139" i="5"/>
  <c r="Z135" i="5"/>
  <c r="L78" i="6" s="1"/>
  <c r="Y135" i="5"/>
  <c r="K78" i="6" s="1"/>
  <c r="X135" i="5"/>
  <c r="W135" i="5"/>
  <c r="U135" i="5"/>
  <c r="T135" i="5"/>
  <c r="J78" i="6" s="1"/>
  <c r="R135" i="5"/>
  <c r="Q135" i="5"/>
  <c r="P135" i="5"/>
  <c r="O135" i="5"/>
  <c r="N135" i="5"/>
  <c r="M135" i="5"/>
  <c r="L135" i="5"/>
  <c r="K135" i="5"/>
  <c r="AV133" i="5"/>
  <c r="BI131" i="5"/>
  <c r="BF131" i="5"/>
  <c r="BE131" i="5"/>
  <c r="BD131" i="5"/>
  <c r="BC131" i="5"/>
  <c r="BB131" i="5"/>
  <c r="BA131" i="5"/>
  <c r="BH131" i="5"/>
  <c r="BG131" i="5"/>
  <c r="Z126" i="5"/>
  <c r="L77" i="6" s="1"/>
  <c r="Y126" i="5"/>
  <c r="K77" i="6" s="1"/>
  <c r="X126" i="5"/>
  <c r="W126" i="5"/>
  <c r="U126" i="5"/>
  <c r="T126" i="5"/>
  <c r="J77" i="6" s="1"/>
  <c r="R126" i="5"/>
  <c r="Q126" i="5"/>
  <c r="P126" i="5"/>
  <c r="O126" i="5"/>
  <c r="N126" i="5"/>
  <c r="M126" i="5"/>
  <c r="L126" i="5"/>
  <c r="K126" i="5"/>
  <c r="Q210" i="3"/>
  <c r="N210" i="3"/>
  <c r="K210" i="3"/>
  <c r="H210" i="3"/>
  <c r="Q209" i="3"/>
  <c r="N209" i="3"/>
  <c r="K209" i="3"/>
  <c r="H209" i="3"/>
  <c r="Q208" i="3"/>
  <c r="N208" i="3"/>
  <c r="K208" i="3"/>
  <c r="H208" i="3"/>
  <c r="Q207" i="3"/>
  <c r="N207" i="3"/>
  <c r="K207" i="3"/>
  <c r="H207" i="3"/>
  <c r="Q206" i="3"/>
  <c r="N206" i="3"/>
  <c r="K206" i="3"/>
  <c r="H206" i="3"/>
  <c r="Q205" i="3"/>
  <c r="N205" i="3"/>
  <c r="K205" i="3"/>
  <c r="H205" i="3"/>
  <c r="Q204" i="3"/>
  <c r="Q211" i="3" s="1"/>
  <c r="O56" i="6" s="1"/>
  <c r="O28" i="6" s="1"/>
  <c r="N204" i="3"/>
  <c r="N211" i="3" s="1"/>
  <c r="N56" i="6" s="1"/>
  <c r="N28" i="6" s="1"/>
  <c r="K204" i="3"/>
  <c r="H204" i="3"/>
  <c r="Q200" i="3"/>
  <c r="N200" i="3"/>
  <c r="K200" i="3"/>
  <c r="H200" i="3"/>
  <c r="Q199" i="3"/>
  <c r="N199" i="3"/>
  <c r="K199" i="3"/>
  <c r="H199" i="3"/>
  <c r="Q198" i="3"/>
  <c r="N198" i="3"/>
  <c r="K198" i="3"/>
  <c r="H198" i="3"/>
  <c r="Q197" i="3"/>
  <c r="N197" i="3"/>
  <c r="K197" i="3"/>
  <c r="H197" i="3"/>
  <c r="Q196" i="3"/>
  <c r="N196" i="3"/>
  <c r="K196" i="3"/>
  <c r="H196" i="3"/>
  <c r="Q195" i="3"/>
  <c r="N195" i="3"/>
  <c r="K195" i="3"/>
  <c r="H195" i="3"/>
  <c r="Q194" i="3"/>
  <c r="N194" i="3"/>
  <c r="K194" i="3"/>
  <c r="H194" i="3"/>
  <c r="Q190" i="3"/>
  <c r="N190" i="3"/>
  <c r="K190" i="3"/>
  <c r="H190" i="3"/>
  <c r="Q189" i="3"/>
  <c r="N189" i="3"/>
  <c r="K189" i="3"/>
  <c r="H189" i="3"/>
  <c r="Q188" i="3"/>
  <c r="N188" i="3"/>
  <c r="K188" i="3"/>
  <c r="H188" i="3"/>
  <c r="Q187" i="3"/>
  <c r="N187" i="3"/>
  <c r="K187" i="3"/>
  <c r="H187" i="3"/>
  <c r="Q186" i="3"/>
  <c r="N186" i="3"/>
  <c r="K186" i="3"/>
  <c r="H186" i="3"/>
  <c r="Q185" i="3"/>
  <c r="N185" i="3"/>
  <c r="K185" i="3"/>
  <c r="H185" i="3"/>
  <c r="Q184" i="3"/>
  <c r="N184" i="3"/>
  <c r="K184" i="3"/>
  <c r="K191" i="3" s="1"/>
  <c r="J54" i="6" s="1"/>
  <c r="J26" i="6" s="1"/>
  <c r="H184" i="3"/>
  <c r="Q180" i="3"/>
  <c r="N180" i="3"/>
  <c r="K180" i="3"/>
  <c r="H180" i="3"/>
  <c r="Q179" i="3"/>
  <c r="N179" i="3"/>
  <c r="K179" i="3"/>
  <c r="H179" i="3"/>
  <c r="Q178" i="3"/>
  <c r="N178" i="3"/>
  <c r="K178" i="3"/>
  <c r="H178" i="3"/>
  <c r="Q177" i="3"/>
  <c r="N177" i="3"/>
  <c r="K177" i="3"/>
  <c r="H177" i="3"/>
  <c r="Q176" i="3"/>
  <c r="N176" i="3"/>
  <c r="K176" i="3"/>
  <c r="H176" i="3"/>
  <c r="Q175" i="3"/>
  <c r="N175" i="3"/>
  <c r="K175" i="3"/>
  <c r="H175" i="3"/>
  <c r="Q174" i="3"/>
  <c r="N174" i="3"/>
  <c r="N181" i="3" s="1"/>
  <c r="N53" i="6" s="1"/>
  <c r="N25" i="6" s="1"/>
  <c r="K174" i="3"/>
  <c r="H174" i="3"/>
  <c r="Q170" i="3"/>
  <c r="N170" i="3"/>
  <c r="K170" i="3"/>
  <c r="H170" i="3"/>
  <c r="Q169" i="3"/>
  <c r="N169" i="3"/>
  <c r="K169" i="3"/>
  <c r="H169" i="3"/>
  <c r="Q168" i="3"/>
  <c r="N168" i="3"/>
  <c r="K168" i="3"/>
  <c r="H168" i="3"/>
  <c r="Q167" i="3"/>
  <c r="N167" i="3"/>
  <c r="K167" i="3"/>
  <c r="H167" i="3"/>
  <c r="C23" i="6"/>
  <c r="Q166" i="3"/>
  <c r="N166" i="3"/>
  <c r="K166" i="3"/>
  <c r="H166" i="3"/>
  <c r="F152" i="3"/>
  <c r="D50" i="6" s="1"/>
  <c r="E152" i="3"/>
  <c r="C50" i="6" s="1"/>
  <c r="C22" i="6" s="1"/>
  <c r="D152" i="3"/>
  <c r="B50" i="6" s="1"/>
  <c r="CQ151" i="3"/>
  <c r="CP151" i="3"/>
  <c r="CO151" i="3"/>
  <c r="CN151" i="3"/>
  <c r="CM151" i="3"/>
  <c r="CL151" i="3"/>
  <c r="CK151" i="3"/>
  <c r="CI151" i="3"/>
  <c r="CH151" i="3"/>
  <c r="CG151" i="3"/>
  <c r="CF151" i="3"/>
  <c r="CE151" i="3"/>
  <c r="CD151" i="3"/>
  <c r="CC151" i="3"/>
  <c r="CA151" i="3"/>
  <c r="BZ151" i="3"/>
  <c r="BY151" i="3"/>
  <c r="BX151" i="3"/>
  <c r="BW151" i="3"/>
  <c r="BV151" i="3"/>
  <c r="BU151" i="3"/>
  <c r="BS151" i="3"/>
  <c r="BR151" i="3"/>
  <c r="BQ151" i="3"/>
  <c r="BP151" i="3"/>
  <c r="BO151" i="3"/>
  <c r="BN151" i="3"/>
  <c r="BM151" i="3"/>
  <c r="BK151" i="3"/>
  <c r="BJ151" i="3"/>
  <c r="BI151" i="3"/>
  <c r="BH151" i="3"/>
  <c r="BG151" i="3"/>
  <c r="BF151" i="3"/>
  <c r="BE151" i="3"/>
  <c r="BC151" i="3"/>
  <c r="AI50" i="6" s="1"/>
  <c r="BB151" i="3"/>
  <c r="AH50" i="6" s="1"/>
  <c r="BA151" i="3"/>
  <c r="AG50" i="6" s="1"/>
  <c r="AZ151" i="3"/>
  <c r="AF50" i="6" s="1"/>
  <c r="AY151" i="3"/>
  <c r="AE50" i="6" s="1"/>
  <c r="AX151" i="3"/>
  <c r="AD50" i="6" s="1"/>
  <c r="AW151" i="3"/>
  <c r="AC50" i="6" s="1"/>
  <c r="AU151" i="3"/>
  <c r="AT151" i="3"/>
  <c r="AS151" i="3"/>
  <c r="AR151" i="3"/>
  <c r="AQ151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V151" i="3"/>
  <c r="U151" i="3"/>
  <c r="L50" i="6" s="1"/>
  <c r="T151" i="3"/>
  <c r="K50" i="6" s="1"/>
  <c r="S151" i="3"/>
  <c r="R151" i="3"/>
  <c r="P151" i="3"/>
  <c r="O151" i="3"/>
  <c r="M151" i="3"/>
  <c r="L151" i="3"/>
  <c r="J151" i="3"/>
  <c r="I151" i="3"/>
  <c r="F142" i="3"/>
  <c r="D49" i="6" s="1"/>
  <c r="E142" i="3"/>
  <c r="C49" i="6" s="1"/>
  <c r="C21" i="6" s="1"/>
  <c r="D142" i="3"/>
  <c r="B49" i="6" s="1"/>
  <c r="CQ141" i="3"/>
  <c r="CP141" i="3"/>
  <c r="CO141" i="3"/>
  <c r="CN141" i="3"/>
  <c r="CM141" i="3"/>
  <c r="CL141" i="3"/>
  <c r="CK141" i="3"/>
  <c r="CI141" i="3"/>
  <c r="CH141" i="3"/>
  <c r="CG141" i="3"/>
  <c r="CF141" i="3"/>
  <c r="CE141" i="3"/>
  <c r="CD141" i="3"/>
  <c r="CC141" i="3"/>
  <c r="CA141" i="3"/>
  <c r="BZ141" i="3"/>
  <c r="BY141" i="3"/>
  <c r="BX141" i="3"/>
  <c r="BW141" i="3"/>
  <c r="BV141" i="3"/>
  <c r="BU141" i="3"/>
  <c r="BS141" i="3"/>
  <c r="BR141" i="3"/>
  <c r="BQ141" i="3"/>
  <c r="BP141" i="3"/>
  <c r="BO141" i="3"/>
  <c r="BN141" i="3"/>
  <c r="BM141" i="3"/>
  <c r="BK141" i="3"/>
  <c r="BJ141" i="3"/>
  <c r="BI141" i="3"/>
  <c r="BH141" i="3"/>
  <c r="BG141" i="3"/>
  <c r="BF141" i="3"/>
  <c r="BE141" i="3"/>
  <c r="BC141" i="3"/>
  <c r="AI49" i="6" s="1"/>
  <c r="BB141" i="3"/>
  <c r="AH49" i="6" s="1"/>
  <c r="BA141" i="3"/>
  <c r="AG49" i="6" s="1"/>
  <c r="AZ141" i="3"/>
  <c r="AF49" i="6" s="1"/>
  <c r="AY141" i="3"/>
  <c r="AE49" i="6" s="1"/>
  <c r="AX141" i="3"/>
  <c r="AD49" i="6" s="1"/>
  <c r="AW141" i="3"/>
  <c r="AC49" i="6" s="1"/>
  <c r="AU141" i="3"/>
  <c r="AT141" i="3"/>
  <c r="AS141" i="3"/>
  <c r="AR141" i="3"/>
  <c r="AQ141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V141" i="3"/>
  <c r="U141" i="3"/>
  <c r="L49" i="6" s="1"/>
  <c r="T141" i="3"/>
  <c r="K49" i="6" s="1"/>
  <c r="S141" i="3"/>
  <c r="R141" i="3"/>
  <c r="P141" i="3"/>
  <c r="O141" i="3"/>
  <c r="M141" i="3"/>
  <c r="L141" i="3"/>
  <c r="J141" i="3"/>
  <c r="I141" i="3"/>
  <c r="K1023" i="1"/>
  <c r="I1023" i="1"/>
  <c r="G1022" i="1"/>
  <c r="H1022" i="1" s="1"/>
  <c r="G1021" i="1"/>
  <c r="H1021" i="1" s="1"/>
  <c r="G1020" i="1"/>
  <c r="H1020" i="1" s="1"/>
  <c r="G1019" i="1"/>
  <c r="H1019" i="1" s="1"/>
  <c r="G1018" i="1"/>
  <c r="H1018" i="1" s="1"/>
  <c r="K1016" i="1"/>
  <c r="I1016" i="1"/>
  <c r="G1015" i="1"/>
  <c r="H1015" i="1" s="1"/>
  <c r="G1014" i="1"/>
  <c r="H1014" i="1" s="1"/>
  <c r="G1013" i="1"/>
  <c r="H1013" i="1" s="1"/>
  <c r="G1012" i="1"/>
  <c r="H1012" i="1" s="1"/>
  <c r="G1011" i="1"/>
  <c r="H1011" i="1" s="1"/>
  <c r="K1009" i="1"/>
  <c r="G1008" i="1"/>
  <c r="H1008" i="1" s="1"/>
  <c r="G1007" i="1"/>
  <c r="H1007" i="1" s="1"/>
  <c r="G1006" i="1"/>
  <c r="H1006" i="1" s="1"/>
  <c r="G1005" i="1"/>
  <c r="H1005" i="1" s="1"/>
  <c r="G1004" i="1"/>
  <c r="H1004" i="1" s="1"/>
  <c r="K1002" i="1"/>
  <c r="I1002" i="1"/>
  <c r="G1001" i="1"/>
  <c r="H1001" i="1" s="1"/>
  <c r="G1000" i="1"/>
  <c r="H1000" i="1" s="1"/>
  <c r="G999" i="1"/>
  <c r="H999" i="1" s="1"/>
  <c r="G998" i="1"/>
  <c r="H998" i="1" s="1"/>
  <c r="G997" i="1"/>
  <c r="H997" i="1" s="1"/>
  <c r="K995" i="1"/>
  <c r="I995" i="1"/>
  <c r="G994" i="1"/>
  <c r="H994" i="1" s="1"/>
  <c r="H993" i="1"/>
  <c r="G993" i="1"/>
  <c r="G992" i="1"/>
  <c r="H992" i="1" s="1"/>
  <c r="G991" i="1"/>
  <c r="H991" i="1" s="1"/>
  <c r="G990" i="1"/>
  <c r="H990" i="1" s="1"/>
  <c r="K988" i="1"/>
  <c r="I988" i="1"/>
  <c r="G987" i="1"/>
  <c r="H987" i="1" s="1"/>
  <c r="G986" i="1"/>
  <c r="H986" i="1" s="1"/>
  <c r="G985" i="1"/>
  <c r="H985" i="1" s="1"/>
  <c r="G984" i="1"/>
  <c r="H984" i="1" s="1"/>
  <c r="G983" i="1"/>
  <c r="H983" i="1" s="1"/>
  <c r="K981" i="1"/>
  <c r="I981" i="1"/>
  <c r="G980" i="1"/>
  <c r="H980" i="1" s="1"/>
  <c r="G979" i="1"/>
  <c r="H979" i="1" s="1"/>
  <c r="G978" i="1"/>
  <c r="H978" i="1" s="1"/>
  <c r="G977" i="1"/>
  <c r="H977" i="1" s="1"/>
  <c r="G976" i="1"/>
  <c r="H976" i="1" s="1"/>
  <c r="K974" i="1"/>
  <c r="I974" i="1"/>
  <c r="G973" i="1"/>
  <c r="H973" i="1" s="1"/>
  <c r="G972" i="1"/>
  <c r="H972" i="1" s="1"/>
  <c r="G971" i="1"/>
  <c r="H971" i="1" s="1"/>
  <c r="G970" i="1"/>
  <c r="H970" i="1" s="1"/>
  <c r="G969" i="1"/>
  <c r="H969" i="1" s="1"/>
  <c r="K967" i="1"/>
  <c r="I967" i="1"/>
  <c r="G966" i="1"/>
  <c r="H966" i="1" s="1"/>
  <c r="G965" i="1"/>
  <c r="H965" i="1" s="1"/>
  <c r="G964" i="1"/>
  <c r="H964" i="1" s="1"/>
  <c r="G963" i="1"/>
  <c r="H963" i="1" s="1"/>
  <c r="G962" i="1"/>
  <c r="H962" i="1" s="1"/>
  <c r="K960" i="1"/>
  <c r="G959" i="1"/>
  <c r="H959" i="1" s="1"/>
  <c r="G958" i="1"/>
  <c r="H958" i="1" s="1"/>
  <c r="G957" i="1"/>
  <c r="H957" i="1" s="1"/>
  <c r="G956" i="1"/>
  <c r="H956" i="1" s="1"/>
  <c r="G955" i="1"/>
  <c r="H955" i="1" s="1"/>
  <c r="K953" i="1"/>
  <c r="I953" i="1"/>
  <c r="G952" i="1"/>
  <c r="H952" i="1" s="1"/>
  <c r="G951" i="1"/>
  <c r="H951" i="1" s="1"/>
  <c r="G950" i="1"/>
  <c r="H950" i="1" s="1"/>
  <c r="G949" i="1"/>
  <c r="H949" i="1" s="1"/>
  <c r="G948" i="1"/>
  <c r="H948" i="1" s="1"/>
  <c r="K946" i="1"/>
  <c r="G945" i="1"/>
  <c r="H945" i="1" s="1"/>
  <c r="G944" i="1"/>
  <c r="H944" i="1" s="1"/>
  <c r="G943" i="1"/>
  <c r="H943" i="1" s="1"/>
  <c r="G942" i="1"/>
  <c r="H942" i="1" s="1"/>
  <c r="G941" i="1"/>
  <c r="H941" i="1" s="1"/>
  <c r="K939" i="1"/>
  <c r="I939" i="1"/>
  <c r="G938" i="1"/>
  <c r="H938" i="1" s="1"/>
  <c r="G937" i="1"/>
  <c r="H937" i="1" s="1"/>
  <c r="G936" i="1"/>
  <c r="H936" i="1" s="1"/>
  <c r="G935" i="1"/>
  <c r="H935" i="1" s="1"/>
  <c r="G934" i="1"/>
  <c r="H934" i="1" s="1"/>
  <c r="K932" i="1"/>
  <c r="G931" i="1"/>
  <c r="H931" i="1" s="1"/>
  <c r="G930" i="1"/>
  <c r="H930" i="1" s="1"/>
  <c r="G929" i="1"/>
  <c r="H929" i="1" s="1"/>
  <c r="G928" i="1"/>
  <c r="H928" i="1" s="1"/>
  <c r="G927" i="1"/>
  <c r="H927" i="1" s="1"/>
  <c r="K925" i="1"/>
  <c r="G924" i="1"/>
  <c r="H924" i="1" s="1"/>
  <c r="G923" i="1"/>
  <c r="H923" i="1" s="1"/>
  <c r="G922" i="1"/>
  <c r="H922" i="1" s="1"/>
  <c r="G921" i="1"/>
  <c r="H921" i="1" s="1"/>
  <c r="G920" i="1"/>
  <c r="H920" i="1" s="1"/>
  <c r="K918" i="1"/>
  <c r="G917" i="1"/>
  <c r="H917" i="1" s="1"/>
  <c r="G916" i="1"/>
  <c r="H916" i="1" s="1"/>
  <c r="G915" i="1"/>
  <c r="H915" i="1" s="1"/>
  <c r="G914" i="1"/>
  <c r="H914" i="1" s="1"/>
  <c r="G913" i="1"/>
  <c r="H913" i="1" s="1"/>
  <c r="K911" i="1"/>
  <c r="G910" i="1"/>
  <c r="H910" i="1" s="1"/>
  <c r="G909" i="1"/>
  <c r="H909" i="1" s="1"/>
  <c r="G908" i="1"/>
  <c r="H908" i="1" s="1"/>
  <c r="G907" i="1"/>
  <c r="H907" i="1" s="1"/>
  <c r="G906" i="1"/>
  <c r="H906" i="1" s="1"/>
  <c r="K904" i="1"/>
  <c r="G903" i="1"/>
  <c r="H903" i="1" s="1"/>
  <c r="G902" i="1"/>
  <c r="H902" i="1" s="1"/>
  <c r="G901" i="1"/>
  <c r="H901" i="1" s="1"/>
  <c r="G900" i="1"/>
  <c r="H900" i="1" s="1"/>
  <c r="G899" i="1"/>
  <c r="H899" i="1" s="1"/>
  <c r="K897" i="1"/>
  <c r="G896" i="1"/>
  <c r="H896" i="1" s="1"/>
  <c r="G895" i="1"/>
  <c r="H895" i="1" s="1"/>
  <c r="G894" i="1"/>
  <c r="H894" i="1" s="1"/>
  <c r="G893" i="1"/>
  <c r="H893" i="1" s="1"/>
  <c r="G892" i="1"/>
  <c r="H892" i="1" s="1"/>
  <c r="K890" i="1"/>
  <c r="G889" i="1"/>
  <c r="H889" i="1" s="1"/>
  <c r="G888" i="1"/>
  <c r="H888" i="1" s="1"/>
  <c r="G887" i="1"/>
  <c r="H887" i="1" s="1"/>
  <c r="G886" i="1"/>
  <c r="H886" i="1" s="1"/>
  <c r="G885" i="1"/>
  <c r="H885" i="1" s="1"/>
  <c r="K883" i="1"/>
  <c r="I883" i="1"/>
  <c r="G882" i="1"/>
  <c r="H882" i="1" s="1"/>
  <c r="G881" i="1"/>
  <c r="H881" i="1" s="1"/>
  <c r="G880" i="1"/>
  <c r="H880" i="1" s="1"/>
  <c r="G879" i="1"/>
  <c r="H879" i="1" s="1"/>
  <c r="G878" i="1"/>
  <c r="H878" i="1" s="1"/>
  <c r="K876" i="1"/>
  <c r="G875" i="1"/>
  <c r="H875" i="1" s="1"/>
  <c r="G874" i="1"/>
  <c r="H874" i="1" s="1"/>
  <c r="G873" i="1"/>
  <c r="H873" i="1" s="1"/>
  <c r="G872" i="1"/>
  <c r="H872" i="1" s="1"/>
  <c r="G871" i="1"/>
  <c r="H871" i="1" s="1"/>
  <c r="K869" i="1"/>
  <c r="G868" i="1"/>
  <c r="H868" i="1" s="1"/>
  <c r="G867" i="1"/>
  <c r="H867" i="1" s="1"/>
  <c r="G866" i="1"/>
  <c r="H866" i="1" s="1"/>
  <c r="G865" i="1"/>
  <c r="H865" i="1" s="1"/>
  <c r="G864" i="1"/>
  <c r="H864" i="1" s="1"/>
  <c r="K862" i="1"/>
  <c r="I862" i="1"/>
  <c r="G861" i="1"/>
  <c r="H861" i="1" s="1"/>
  <c r="G860" i="1"/>
  <c r="H860" i="1" s="1"/>
  <c r="G859" i="1"/>
  <c r="H859" i="1" s="1"/>
  <c r="G858" i="1"/>
  <c r="H858" i="1" s="1"/>
  <c r="G857" i="1"/>
  <c r="H857" i="1" s="1"/>
  <c r="K855" i="1"/>
  <c r="I855" i="1"/>
  <c r="G854" i="1"/>
  <c r="H854" i="1" s="1"/>
  <c r="G853" i="1"/>
  <c r="H853" i="1" s="1"/>
  <c r="G852" i="1"/>
  <c r="H852" i="1" s="1"/>
  <c r="G851" i="1"/>
  <c r="H851" i="1" s="1"/>
  <c r="G850" i="1"/>
  <c r="H850" i="1" s="1"/>
  <c r="K848" i="1"/>
  <c r="I848" i="1"/>
  <c r="G847" i="1"/>
  <c r="H847" i="1" s="1"/>
  <c r="G846" i="1"/>
  <c r="H846" i="1" s="1"/>
  <c r="G845" i="1"/>
  <c r="H845" i="1" s="1"/>
  <c r="G844" i="1"/>
  <c r="H844" i="1" s="1"/>
  <c r="G843" i="1"/>
  <c r="H843" i="1" s="1"/>
  <c r="K841" i="1"/>
  <c r="G840" i="1"/>
  <c r="H840" i="1" s="1"/>
  <c r="G839" i="1"/>
  <c r="H839" i="1" s="1"/>
  <c r="G838" i="1"/>
  <c r="H838" i="1" s="1"/>
  <c r="G837" i="1"/>
  <c r="H837" i="1" s="1"/>
  <c r="G836" i="1"/>
  <c r="H836" i="1" s="1"/>
  <c r="K834" i="1"/>
  <c r="G833" i="1"/>
  <c r="H833" i="1" s="1"/>
  <c r="G832" i="1"/>
  <c r="H832" i="1" s="1"/>
  <c r="H831" i="1"/>
  <c r="G830" i="1"/>
  <c r="H830" i="1" s="1"/>
  <c r="G829" i="1"/>
  <c r="H829" i="1" s="1"/>
  <c r="K827" i="1"/>
  <c r="G826" i="1"/>
  <c r="H826" i="1" s="1"/>
  <c r="G825" i="1"/>
  <c r="H825" i="1" s="1"/>
  <c r="G824" i="1"/>
  <c r="H824" i="1" s="1"/>
  <c r="G823" i="1"/>
  <c r="H823" i="1" s="1"/>
  <c r="G822" i="1"/>
  <c r="H822" i="1" s="1"/>
  <c r="K820" i="1"/>
  <c r="G819" i="1"/>
  <c r="H819" i="1" s="1"/>
  <c r="G818" i="1"/>
  <c r="H818" i="1" s="1"/>
  <c r="G817" i="1"/>
  <c r="H817" i="1" s="1"/>
  <c r="G816" i="1"/>
  <c r="H816" i="1" s="1"/>
  <c r="G815" i="1"/>
  <c r="H815" i="1" s="1"/>
  <c r="K813" i="1"/>
  <c r="G812" i="1"/>
  <c r="H812" i="1" s="1"/>
  <c r="G811" i="1"/>
  <c r="H811" i="1" s="1"/>
  <c r="G810" i="1"/>
  <c r="H810" i="1" s="1"/>
  <c r="G809" i="1"/>
  <c r="H809" i="1" s="1"/>
  <c r="G808" i="1"/>
  <c r="H808" i="1" s="1"/>
  <c r="K806" i="1"/>
  <c r="G805" i="1"/>
  <c r="H805" i="1" s="1"/>
  <c r="G804" i="1"/>
  <c r="H804" i="1" s="1"/>
  <c r="G803" i="1"/>
  <c r="H803" i="1" s="1"/>
  <c r="G802" i="1"/>
  <c r="H802" i="1" s="1"/>
  <c r="G801" i="1"/>
  <c r="H801" i="1" s="1"/>
  <c r="K799" i="1"/>
  <c r="G798" i="1"/>
  <c r="H798" i="1" s="1"/>
  <c r="G797" i="1"/>
  <c r="H797" i="1" s="1"/>
  <c r="G796" i="1"/>
  <c r="H796" i="1" s="1"/>
  <c r="G795" i="1"/>
  <c r="H795" i="1" s="1"/>
  <c r="G794" i="1"/>
  <c r="H794" i="1" s="1"/>
  <c r="K792" i="1"/>
  <c r="I792" i="1"/>
  <c r="G791" i="1"/>
  <c r="H791" i="1" s="1"/>
  <c r="G790" i="1"/>
  <c r="H790" i="1" s="1"/>
  <c r="G789" i="1"/>
  <c r="H789" i="1" s="1"/>
  <c r="G788" i="1"/>
  <c r="H788" i="1" s="1"/>
  <c r="G787" i="1"/>
  <c r="H787" i="1" s="1"/>
  <c r="K785" i="1"/>
  <c r="I785" i="1"/>
  <c r="G784" i="1"/>
  <c r="H784" i="1" s="1"/>
  <c r="G783" i="1"/>
  <c r="H783" i="1" s="1"/>
  <c r="G782" i="1"/>
  <c r="H782" i="1" s="1"/>
  <c r="G781" i="1"/>
  <c r="H781" i="1" s="1"/>
  <c r="G780" i="1"/>
  <c r="H780" i="1" s="1"/>
  <c r="K778" i="1"/>
  <c r="I778" i="1"/>
  <c r="G777" i="1"/>
  <c r="H777" i="1" s="1"/>
  <c r="G776" i="1"/>
  <c r="H776" i="1" s="1"/>
  <c r="G775" i="1"/>
  <c r="H775" i="1" s="1"/>
  <c r="G774" i="1"/>
  <c r="H774" i="1" s="1"/>
  <c r="G773" i="1"/>
  <c r="H773" i="1" s="1"/>
  <c r="K771" i="1"/>
  <c r="I771" i="1"/>
  <c r="G770" i="1"/>
  <c r="H770" i="1" s="1"/>
  <c r="G769" i="1"/>
  <c r="H769" i="1" s="1"/>
  <c r="G768" i="1"/>
  <c r="H768" i="1" s="1"/>
  <c r="G767" i="1"/>
  <c r="H767" i="1" s="1"/>
  <c r="G766" i="1"/>
  <c r="H766" i="1" s="1"/>
  <c r="K764" i="1"/>
  <c r="G763" i="1"/>
  <c r="H763" i="1" s="1"/>
  <c r="G762" i="1"/>
  <c r="H762" i="1" s="1"/>
  <c r="G761" i="1"/>
  <c r="H761" i="1" s="1"/>
  <c r="G760" i="1"/>
  <c r="H760" i="1" s="1"/>
  <c r="G759" i="1"/>
  <c r="H759" i="1" s="1"/>
  <c r="K757" i="1"/>
  <c r="I757" i="1"/>
  <c r="G756" i="1"/>
  <c r="H756" i="1" s="1"/>
  <c r="G755" i="1"/>
  <c r="H755" i="1" s="1"/>
  <c r="G754" i="1"/>
  <c r="H754" i="1" s="1"/>
  <c r="G753" i="1"/>
  <c r="H753" i="1" s="1"/>
  <c r="G752" i="1"/>
  <c r="H752" i="1" s="1"/>
  <c r="K750" i="1"/>
  <c r="I750" i="1"/>
  <c r="G749" i="1"/>
  <c r="H749" i="1" s="1"/>
  <c r="G748" i="1"/>
  <c r="H748" i="1" s="1"/>
  <c r="G747" i="1"/>
  <c r="H747" i="1" s="1"/>
  <c r="G746" i="1"/>
  <c r="H746" i="1" s="1"/>
  <c r="G745" i="1"/>
  <c r="H745" i="1" s="1"/>
  <c r="K743" i="1"/>
  <c r="I743" i="1"/>
  <c r="G742" i="1"/>
  <c r="H742" i="1" s="1"/>
  <c r="G741" i="1"/>
  <c r="H741" i="1" s="1"/>
  <c r="G740" i="1"/>
  <c r="H740" i="1" s="1"/>
  <c r="G739" i="1"/>
  <c r="H739" i="1" s="1"/>
  <c r="G738" i="1"/>
  <c r="H738" i="1" s="1"/>
  <c r="K736" i="1"/>
  <c r="G735" i="1"/>
  <c r="H735" i="1" s="1"/>
  <c r="G734" i="1"/>
  <c r="H734" i="1" s="1"/>
  <c r="G733" i="1"/>
  <c r="H733" i="1" s="1"/>
  <c r="G732" i="1"/>
  <c r="H732" i="1" s="1"/>
  <c r="G731" i="1"/>
  <c r="H731" i="1" s="1"/>
  <c r="K729" i="1"/>
  <c r="G728" i="1"/>
  <c r="H728" i="1" s="1"/>
  <c r="G727" i="1"/>
  <c r="H727" i="1" s="1"/>
  <c r="G726" i="1"/>
  <c r="H726" i="1" s="1"/>
  <c r="G725" i="1"/>
  <c r="H725" i="1" s="1"/>
  <c r="G724" i="1"/>
  <c r="H724" i="1" s="1"/>
  <c r="K722" i="1"/>
  <c r="G721" i="1"/>
  <c r="H721" i="1" s="1"/>
  <c r="G720" i="1"/>
  <c r="H720" i="1" s="1"/>
  <c r="G719" i="1"/>
  <c r="H719" i="1" s="1"/>
  <c r="G718" i="1"/>
  <c r="H718" i="1" s="1"/>
  <c r="G717" i="1"/>
  <c r="H717" i="1" s="1"/>
  <c r="K715" i="1"/>
  <c r="G714" i="1"/>
  <c r="H714" i="1" s="1"/>
  <c r="G713" i="1"/>
  <c r="H713" i="1" s="1"/>
  <c r="G712" i="1"/>
  <c r="H712" i="1" s="1"/>
  <c r="G711" i="1"/>
  <c r="H711" i="1" s="1"/>
  <c r="G710" i="1"/>
  <c r="H710" i="1" s="1"/>
  <c r="K708" i="1"/>
  <c r="G707" i="1"/>
  <c r="H707" i="1" s="1"/>
  <c r="G706" i="1"/>
  <c r="H706" i="1" s="1"/>
  <c r="G705" i="1"/>
  <c r="H705" i="1" s="1"/>
  <c r="G704" i="1"/>
  <c r="H704" i="1" s="1"/>
  <c r="G703" i="1"/>
  <c r="H703" i="1" s="1"/>
  <c r="K701" i="1"/>
  <c r="G700" i="1"/>
  <c r="H700" i="1" s="1"/>
  <c r="G699" i="1"/>
  <c r="H699" i="1" s="1"/>
  <c r="G698" i="1"/>
  <c r="H698" i="1" s="1"/>
  <c r="G697" i="1"/>
  <c r="H697" i="1" s="1"/>
  <c r="G696" i="1"/>
  <c r="H696" i="1" s="1"/>
  <c r="K694" i="1"/>
  <c r="G693" i="1"/>
  <c r="H693" i="1" s="1"/>
  <c r="G692" i="1"/>
  <c r="H692" i="1" s="1"/>
  <c r="G691" i="1"/>
  <c r="H691" i="1" s="1"/>
  <c r="G690" i="1"/>
  <c r="H690" i="1" s="1"/>
  <c r="G689" i="1"/>
  <c r="H689" i="1" s="1"/>
  <c r="K687" i="1"/>
  <c r="G686" i="1"/>
  <c r="H686" i="1" s="1"/>
  <c r="G685" i="1"/>
  <c r="H685" i="1" s="1"/>
  <c r="G684" i="1"/>
  <c r="H684" i="1" s="1"/>
  <c r="G683" i="1"/>
  <c r="H683" i="1" s="1"/>
  <c r="G682" i="1"/>
  <c r="H682" i="1" s="1"/>
  <c r="K680" i="1"/>
  <c r="G679" i="1"/>
  <c r="H679" i="1" s="1"/>
  <c r="G678" i="1"/>
  <c r="H678" i="1" s="1"/>
  <c r="G677" i="1"/>
  <c r="H677" i="1" s="1"/>
  <c r="G676" i="1"/>
  <c r="H676" i="1" s="1"/>
  <c r="G675" i="1"/>
  <c r="H675" i="1" s="1"/>
  <c r="K673" i="1"/>
  <c r="G672" i="1"/>
  <c r="H672" i="1" s="1"/>
  <c r="G671" i="1"/>
  <c r="H671" i="1" s="1"/>
  <c r="H670" i="1"/>
  <c r="G669" i="1"/>
  <c r="H669" i="1" s="1"/>
  <c r="G668" i="1"/>
  <c r="H668" i="1" s="1"/>
  <c r="K666" i="1"/>
  <c r="G665" i="1"/>
  <c r="H665" i="1" s="1"/>
  <c r="G664" i="1"/>
  <c r="H664" i="1" s="1"/>
  <c r="G663" i="1"/>
  <c r="H663" i="1" s="1"/>
  <c r="G662" i="1"/>
  <c r="H662" i="1" s="1"/>
  <c r="G661" i="1"/>
  <c r="H661" i="1" s="1"/>
  <c r="K659" i="1"/>
  <c r="G658" i="1"/>
  <c r="H658" i="1" s="1"/>
  <c r="G657" i="1"/>
  <c r="H657" i="1" s="1"/>
  <c r="G656" i="1"/>
  <c r="H656" i="1" s="1"/>
  <c r="G655" i="1"/>
  <c r="H655" i="1" s="1"/>
  <c r="G654" i="1"/>
  <c r="H654" i="1" s="1"/>
  <c r="K652" i="1"/>
  <c r="G651" i="1"/>
  <c r="H651" i="1" s="1"/>
  <c r="G650" i="1"/>
  <c r="H650" i="1" s="1"/>
  <c r="G649" i="1"/>
  <c r="H649" i="1" s="1"/>
  <c r="G648" i="1"/>
  <c r="H648" i="1" s="1"/>
  <c r="G647" i="1"/>
  <c r="H647" i="1" s="1"/>
  <c r="K645" i="1"/>
  <c r="G644" i="1"/>
  <c r="H644" i="1" s="1"/>
  <c r="G643" i="1"/>
  <c r="H643" i="1" s="1"/>
  <c r="G642" i="1"/>
  <c r="H642" i="1" s="1"/>
  <c r="G641" i="1"/>
  <c r="H641" i="1" s="1"/>
  <c r="G640" i="1"/>
  <c r="H640" i="1" s="1"/>
  <c r="K638" i="1"/>
  <c r="G637" i="1"/>
  <c r="H637" i="1" s="1"/>
  <c r="G636" i="1"/>
  <c r="H636" i="1" s="1"/>
  <c r="G635" i="1"/>
  <c r="H635" i="1" s="1"/>
  <c r="G634" i="1"/>
  <c r="H634" i="1" s="1"/>
  <c r="G633" i="1"/>
  <c r="H633" i="1" s="1"/>
  <c r="K631" i="1"/>
  <c r="G630" i="1"/>
  <c r="H630" i="1" s="1"/>
  <c r="G629" i="1"/>
  <c r="H629" i="1" s="1"/>
  <c r="G628" i="1"/>
  <c r="H628" i="1" s="1"/>
  <c r="G627" i="1"/>
  <c r="H627" i="1" s="1"/>
  <c r="G626" i="1"/>
  <c r="H626" i="1" s="1"/>
  <c r="K624" i="1"/>
  <c r="G623" i="1"/>
  <c r="H623" i="1" s="1"/>
  <c r="G622" i="1"/>
  <c r="H622" i="1" s="1"/>
  <c r="G621" i="1"/>
  <c r="H621" i="1" s="1"/>
  <c r="G620" i="1"/>
  <c r="H620" i="1" s="1"/>
  <c r="G619" i="1"/>
  <c r="H619" i="1" s="1"/>
  <c r="K617" i="1"/>
  <c r="G616" i="1"/>
  <c r="H616" i="1" s="1"/>
  <c r="G615" i="1"/>
  <c r="H615" i="1" s="1"/>
  <c r="G614" i="1"/>
  <c r="H614" i="1" s="1"/>
  <c r="G613" i="1"/>
  <c r="H613" i="1" s="1"/>
  <c r="G612" i="1"/>
  <c r="H612" i="1" s="1"/>
  <c r="K610" i="1"/>
  <c r="G609" i="1"/>
  <c r="H609" i="1" s="1"/>
  <c r="G608" i="1"/>
  <c r="H608" i="1" s="1"/>
  <c r="G607" i="1"/>
  <c r="H607" i="1" s="1"/>
  <c r="G606" i="1"/>
  <c r="H606" i="1" s="1"/>
  <c r="G605" i="1"/>
  <c r="H605" i="1" s="1"/>
  <c r="K603" i="1"/>
  <c r="I603" i="1"/>
  <c r="G602" i="1"/>
  <c r="H602" i="1" s="1"/>
  <c r="G601" i="1"/>
  <c r="H601" i="1" s="1"/>
  <c r="G600" i="1"/>
  <c r="H600" i="1" s="1"/>
  <c r="G599" i="1"/>
  <c r="H599" i="1" s="1"/>
  <c r="G598" i="1"/>
  <c r="H598" i="1" s="1"/>
  <c r="K596" i="1"/>
  <c r="G595" i="1"/>
  <c r="H595" i="1" s="1"/>
  <c r="G594" i="1"/>
  <c r="H594" i="1" s="1"/>
  <c r="G593" i="1"/>
  <c r="H593" i="1" s="1"/>
  <c r="G592" i="1"/>
  <c r="H592" i="1" s="1"/>
  <c r="G591" i="1"/>
  <c r="H591" i="1" s="1"/>
  <c r="K589" i="1"/>
  <c r="G588" i="1"/>
  <c r="H588" i="1" s="1"/>
  <c r="G587" i="1"/>
  <c r="H587" i="1" s="1"/>
  <c r="G586" i="1"/>
  <c r="H586" i="1" s="1"/>
  <c r="G585" i="1"/>
  <c r="H585" i="1" s="1"/>
  <c r="G584" i="1"/>
  <c r="H584" i="1" s="1"/>
  <c r="K582" i="1"/>
  <c r="G581" i="1"/>
  <c r="H581" i="1" s="1"/>
  <c r="G580" i="1"/>
  <c r="H580" i="1" s="1"/>
  <c r="G579" i="1"/>
  <c r="H579" i="1" s="1"/>
  <c r="G578" i="1"/>
  <c r="H578" i="1" s="1"/>
  <c r="G577" i="1"/>
  <c r="H577" i="1" s="1"/>
  <c r="K575" i="1"/>
  <c r="G574" i="1"/>
  <c r="H574" i="1" s="1"/>
  <c r="G573" i="1"/>
  <c r="H573" i="1" s="1"/>
  <c r="G572" i="1"/>
  <c r="H572" i="1" s="1"/>
  <c r="G571" i="1"/>
  <c r="H571" i="1" s="1"/>
  <c r="G570" i="1"/>
  <c r="H570" i="1" s="1"/>
  <c r="K568" i="1"/>
  <c r="G567" i="1"/>
  <c r="H567" i="1" s="1"/>
  <c r="G566" i="1"/>
  <c r="H566" i="1" s="1"/>
  <c r="G565" i="1"/>
  <c r="H565" i="1" s="1"/>
  <c r="G564" i="1"/>
  <c r="H564" i="1" s="1"/>
  <c r="G563" i="1"/>
  <c r="H563" i="1" s="1"/>
  <c r="K561" i="1"/>
  <c r="G560" i="1"/>
  <c r="H560" i="1" s="1"/>
  <c r="G559" i="1"/>
  <c r="H559" i="1" s="1"/>
  <c r="G558" i="1"/>
  <c r="H558" i="1" s="1"/>
  <c r="G557" i="1"/>
  <c r="H557" i="1" s="1"/>
  <c r="G556" i="1"/>
  <c r="H556" i="1" s="1"/>
  <c r="K554" i="1"/>
  <c r="G553" i="1"/>
  <c r="H553" i="1" s="1"/>
  <c r="G552" i="1"/>
  <c r="H552" i="1" s="1"/>
  <c r="G551" i="1"/>
  <c r="H551" i="1" s="1"/>
  <c r="G550" i="1"/>
  <c r="H550" i="1" s="1"/>
  <c r="G549" i="1"/>
  <c r="H549" i="1" s="1"/>
  <c r="K547" i="1"/>
  <c r="G546" i="1"/>
  <c r="H546" i="1" s="1"/>
  <c r="G545" i="1"/>
  <c r="H545" i="1" s="1"/>
  <c r="G544" i="1"/>
  <c r="H544" i="1" s="1"/>
  <c r="G543" i="1"/>
  <c r="H543" i="1" s="1"/>
  <c r="G542" i="1"/>
  <c r="H542" i="1" s="1"/>
  <c r="K540" i="1"/>
  <c r="G539" i="1"/>
  <c r="H539" i="1" s="1"/>
  <c r="G538" i="1"/>
  <c r="H538" i="1" s="1"/>
  <c r="G537" i="1"/>
  <c r="H537" i="1" s="1"/>
  <c r="G536" i="1"/>
  <c r="H536" i="1" s="1"/>
  <c r="G535" i="1"/>
  <c r="H535" i="1" s="1"/>
  <c r="BX131" i="5" l="1"/>
  <c r="BY131" i="5"/>
  <c r="H191" i="3"/>
  <c r="I54" i="6" s="1"/>
  <c r="I26" i="6" s="1"/>
  <c r="N191" i="3"/>
  <c r="N54" i="6" s="1"/>
  <c r="N26" i="6" s="1"/>
  <c r="Q181" i="3"/>
  <c r="O53" i="6" s="1"/>
  <c r="O25" i="6" s="1"/>
  <c r="Q191" i="3"/>
  <c r="O54" i="6" s="1"/>
  <c r="O26" i="6" s="1"/>
  <c r="H201" i="3"/>
  <c r="I55" i="6" s="1"/>
  <c r="I27" i="6" s="1"/>
  <c r="K201" i="3"/>
  <c r="J55" i="6" s="1"/>
  <c r="J27" i="6" s="1"/>
  <c r="N201" i="3"/>
  <c r="N55" i="6" s="1"/>
  <c r="N27" i="6" s="1"/>
  <c r="Q201" i="3"/>
  <c r="O55" i="6" s="1"/>
  <c r="O27" i="6" s="1"/>
  <c r="H181" i="3"/>
  <c r="I53" i="6" s="1"/>
  <c r="I25" i="6" s="1"/>
  <c r="H211" i="3"/>
  <c r="I56" i="6" s="1"/>
  <c r="I28" i="6" s="1"/>
  <c r="K181" i="3"/>
  <c r="J53" i="6" s="1"/>
  <c r="J25" i="6" s="1"/>
  <c r="K211" i="3"/>
  <c r="J56" i="6" s="1"/>
  <c r="J28" i="6" s="1"/>
  <c r="H84" i="6"/>
  <c r="F84" i="6"/>
  <c r="AR84" i="6"/>
  <c r="F82" i="6"/>
  <c r="AR82" i="6"/>
  <c r="H82" i="6"/>
  <c r="H81" i="6"/>
  <c r="AR81" i="6"/>
  <c r="F81" i="6"/>
  <c r="BR131" i="5"/>
  <c r="CJ133" i="5"/>
  <c r="DC133" i="5" s="1"/>
  <c r="CT133" i="5"/>
  <c r="DM133" i="5" s="1"/>
  <c r="CV133" i="5"/>
  <c r="DO133" i="5" s="1"/>
  <c r="CD131" i="5"/>
  <c r="CE131" i="5"/>
  <c r="CB131" i="5"/>
  <c r="CC131" i="5"/>
  <c r="CA131" i="5"/>
  <c r="CI133" i="5"/>
  <c r="DB133" i="5" s="1"/>
  <c r="BS131" i="5"/>
  <c r="CK133" i="5"/>
  <c r="DD133" i="5" s="1"/>
  <c r="BT131" i="5"/>
  <c r="BU131" i="5"/>
  <c r="BV131" i="5"/>
  <c r="CN133" i="5"/>
  <c r="DG133" i="5" s="1"/>
  <c r="BW131" i="5"/>
  <c r="CQ133" i="5"/>
  <c r="DJ133" i="5" s="1"/>
  <c r="BZ131" i="5"/>
  <c r="CH133" i="5"/>
  <c r="DA133" i="5" s="1"/>
  <c r="CO133" i="5"/>
  <c r="DH133" i="5" s="1"/>
  <c r="N171" i="3"/>
  <c r="N52" i="6" s="1"/>
  <c r="H171" i="3"/>
  <c r="I52" i="6" s="1"/>
  <c r="K171" i="3"/>
  <c r="J52" i="6" s="1"/>
  <c r="Q171" i="3"/>
  <c r="O52" i="6" s="1"/>
  <c r="AV153" i="5"/>
  <c r="G80" i="6" s="1"/>
  <c r="AV144" i="5"/>
  <c r="G79" i="6" s="1"/>
  <c r="AV135" i="5"/>
  <c r="G78" i="6" s="1"/>
  <c r="AV126" i="5"/>
  <c r="G77" i="6" s="1"/>
  <c r="H862" i="1"/>
  <c r="J862" i="1" s="1"/>
  <c r="H995" i="1"/>
  <c r="J995" i="1" s="1"/>
  <c r="H799" i="1"/>
  <c r="J799" i="1" s="1"/>
  <c r="H883" i="1"/>
  <c r="J883" i="1" s="1"/>
  <c r="H827" i="1"/>
  <c r="H757" i="1"/>
  <c r="J757" i="1" s="1"/>
  <c r="H1023" i="1"/>
  <c r="J1023" i="1" s="1"/>
  <c r="H666" i="1"/>
  <c r="J666" i="1" s="1"/>
  <c r="H589" i="1"/>
  <c r="J589" i="1" s="1"/>
  <c r="H645" i="1"/>
  <c r="J645" i="1" s="1"/>
  <c r="H701" i="1"/>
  <c r="J701" i="1" s="1"/>
  <c r="H1016" i="1"/>
  <c r="J1016" i="1" s="1"/>
  <c r="H603" i="1"/>
  <c r="J603" i="1" s="1"/>
  <c r="H911" i="1"/>
  <c r="J911" i="1" s="1"/>
  <c r="H981" i="1"/>
  <c r="J981" i="1" s="1"/>
  <c r="H904" i="1"/>
  <c r="J904" i="1" s="1"/>
  <c r="AC79" i="6"/>
  <c r="AC23" i="6" s="1"/>
  <c r="AF77" i="6"/>
  <c r="AF21" i="6" s="1"/>
  <c r="AF78" i="6"/>
  <c r="AF22" i="6" s="1"/>
  <c r="AF79" i="6"/>
  <c r="AF23" i="6" s="1"/>
  <c r="AE79" i="6"/>
  <c r="AE23" i="6" s="1"/>
  <c r="AI79" i="6"/>
  <c r="AI23" i="6" s="1"/>
  <c r="AH77" i="6"/>
  <c r="AH21" i="6" s="1"/>
  <c r="AD77" i="6"/>
  <c r="AD21" i="6" s="1"/>
  <c r="AI77" i="6"/>
  <c r="AI21" i="6" s="1"/>
  <c r="AE77" i="6"/>
  <c r="AE21" i="6" s="1"/>
  <c r="AH79" i="6"/>
  <c r="AH23" i="6" s="1"/>
  <c r="AD79" i="6"/>
  <c r="AD23" i="6" s="1"/>
  <c r="K21" i="6"/>
  <c r="L21" i="6"/>
  <c r="K22" i="6"/>
  <c r="N141" i="3"/>
  <c r="N49" i="6" s="1"/>
  <c r="N21" i="6" s="1"/>
  <c r="CB179" i="5"/>
  <c r="CS178" i="5" s="1"/>
  <c r="DL178" i="5" s="1"/>
  <c r="CE179" i="5"/>
  <c r="CV178" i="5" s="1"/>
  <c r="DO178" i="5" s="1"/>
  <c r="CD179" i="5"/>
  <c r="CU178" i="5" s="1"/>
  <c r="DN178" i="5" s="1"/>
  <c r="CC179" i="5"/>
  <c r="CT178" i="5" s="1"/>
  <c r="DM178" i="5" s="1"/>
  <c r="CV167" i="5"/>
  <c r="DO167" i="5" s="1"/>
  <c r="CU167" i="5"/>
  <c r="DN167" i="5" s="1"/>
  <c r="CT167" i="5"/>
  <c r="DM167" i="5" s="1"/>
  <c r="CS167" i="5"/>
  <c r="DL167" i="5" s="1"/>
  <c r="CS162" i="5"/>
  <c r="DL162" i="5" s="1"/>
  <c r="CU162" i="5"/>
  <c r="DN162" i="5" s="1"/>
  <c r="CV162" i="5"/>
  <c r="DO162" i="5" s="1"/>
  <c r="CT162" i="5"/>
  <c r="DM162" i="5" s="1"/>
  <c r="H848" i="1"/>
  <c r="J848" i="1" s="1"/>
  <c r="CV154" i="5"/>
  <c r="DO154" i="5" s="1"/>
  <c r="DO161" i="5" s="1"/>
  <c r="AA81" i="6" s="1"/>
  <c r="CU154" i="5"/>
  <c r="DN154" i="5" s="1"/>
  <c r="DN161" i="5" s="1"/>
  <c r="Z81" i="6" s="1"/>
  <c r="CT154" i="5"/>
  <c r="DM154" i="5" s="1"/>
  <c r="DM161" i="5" s="1"/>
  <c r="X81" i="6" s="1"/>
  <c r="CS154" i="5"/>
  <c r="DL154" i="5" s="1"/>
  <c r="DL161" i="5" s="1"/>
  <c r="W81" i="6" s="1"/>
  <c r="H820" i="1"/>
  <c r="D24" i="6"/>
  <c r="B24" i="6"/>
  <c r="H771" i="1"/>
  <c r="J771" i="1" s="1"/>
  <c r="H743" i="1"/>
  <c r="J743" i="1" s="1"/>
  <c r="D23" i="6"/>
  <c r="H736" i="1"/>
  <c r="J736" i="1" s="1"/>
  <c r="H722" i="1"/>
  <c r="J722" i="1" s="1"/>
  <c r="H715" i="1"/>
  <c r="J715" i="1" s="1"/>
  <c r="AI78" i="6"/>
  <c r="AI22" i="6" s="1"/>
  <c r="AE78" i="6"/>
  <c r="AE22" i="6" s="1"/>
  <c r="AC78" i="6"/>
  <c r="AC22" i="6" s="1"/>
  <c r="AG78" i="6"/>
  <c r="AG22" i="6" s="1"/>
  <c r="AD78" i="6"/>
  <c r="AD22" i="6" s="1"/>
  <c r="AH78" i="6"/>
  <c r="AH22" i="6" s="1"/>
  <c r="L22" i="6"/>
  <c r="D22" i="6"/>
  <c r="B22" i="6"/>
  <c r="CV146" i="5"/>
  <c r="DO146" i="5" s="1"/>
  <c r="CU146" i="5"/>
  <c r="DN146" i="5" s="1"/>
  <c r="CS146" i="5"/>
  <c r="DL146" i="5" s="1"/>
  <c r="CT146" i="5"/>
  <c r="DM146" i="5" s="1"/>
  <c r="CE151" i="5"/>
  <c r="CV151" i="5" s="1"/>
  <c r="DO151" i="5" s="1"/>
  <c r="CD151" i="5"/>
  <c r="CU151" i="5" s="1"/>
  <c r="CC151" i="5"/>
  <c r="CT151" i="5" s="1"/>
  <c r="DM151" i="5" s="1"/>
  <c r="CB151" i="5"/>
  <c r="CS151" i="5" s="1"/>
  <c r="DL151" i="5" s="1"/>
  <c r="CE142" i="5"/>
  <c r="CD142" i="5"/>
  <c r="CC142" i="5"/>
  <c r="CB142" i="5"/>
  <c r="CE139" i="5"/>
  <c r="CD139" i="5"/>
  <c r="CC139" i="5"/>
  <c r="CB139" i="5"/>
  <c r="CU133" i="5"/>
  <c r="DN133" i="5" s="1"/>
  <c r="CS133" i="5"/>
  <c r="DL133" i="5" s="1"/>
  <c r="H680" i="1"/>
  <c r="J680" i="1" s="1"/>
  <c r="H659" i="1"/>
  <c r="J659" i="1" s="1"/>
  <c r="CV119" i="5"/>
  <c r="CU119" i="5"/>
  <c r="CT119" i="5"/>
  <c r="CS119" i="5"/>
  <c r="AG77" i="6"/>
  <c r="AG21" i="6" s="1"/>
  <c r="AC77" i="6"/>
  <c r="AC21" i="6" s="1"/>
  <c r="D21" i="6"/>
  <c r="B21" i="6"/>
  <c r="H141" i="3"/>
  <c r="I49" i="6" s="1"/>
  <c r="BY139" i="5"/>
  <c r="CR119" i="5"/>
  <c r="CK154" i="5"/>
  <c r="DD154" i="5" s="1"/>
  <c r="DD161" i="5" s="1"/>
  <c r="AK81" i="6" s="1"/>
  <c r="BW139" i="5"/>
  <c r="BR179" i="5"/>
  <c r="CI178" i="5" s="1"/>
  <c r="DB178" i="5" s="1"/>
  <c r="CO154" i="5"/>
  <c r="DH154" i="5" s="1"/>
  <c r="DH161" i="5" s="1"/>
  <c r="R81" i="6" s="1"/>
  <c r="BV151" i="5"/>
  <c r="CM151" i="5" s="1"/>
  <c r="DF151" i="5" s="1"/>
  <c r="CP154" i="5"/>
  <c r="DI154" i="5" s="1"/>
  <c r="DI161" i="5" s="1"/>
  <c r="S81" i="6" s="1"/>
  <c r="H624" i="1"/>
  <c r="J624" i="1" s="1"/>
  <c r="H582" i="1"/>
  <c r="J582" i="1" s="1"/>
  <c r="C120" i="3" s="1"/>
  <c r="V126" i="5"/>
  <c r="CO119" i="5"/>
  <c r="CP119" i="5"/>
  <c r="BX139" i="5"/>
  <c r="BZ139" i="5"/>
  <c r="CP162" i="5"/>
  <c r="DI162" i="5" s="1"/>
  <c r="CN162" i="5"/>
  <c r="DG162" i="5" s="1"/>
  <c r="BU142" i="5"/>
  <c r="CK146" i="5"/>
  <c r="DD146" i="5" s="1"/>
  <c r="AY179" i="5"/>
  <c r="BP179" i="5" s="1"/>
  <c r="CG178" i="5" s="1"/>
  <c r="CZ178" i="5" s="1"/>
  <c r="BY142" i="5"/>
  <c r="BR142" i="5"/>
  <c r="CA142" i="5"/>
  <c r="CN146" i="5"/>
  <c r="DG146" i="5" s="1"/>
  <c r="BW151" i="5"/>
  <c r="CN151" i="5" s="1"/>
  <c r="CA151" i="5"/>
  <c r="CR151" i="5" s="1"/>
  <c r="DK151" i="5" s="1"/>
  <c r="AY142" i="5"/>
  <c r="BP142" i="5" s="1"/>
  <c r="BR151" i="5"/>
  <c r="CI151" i="5" s="1"/>
  <c r="DB151" i="5" s="1"/>
  <c r="CG119" i="5"/>
  <c r="J144" i="5"/>
  <c r="BQ142" i="5"/>
  <c r="BX179" i="5"/>
  <c r="CO178" i="5" s="1"/>
  <c r="DH178" i="5" s="1"/>
  <c r="CH119" i="5"/>
  <c r="CK119" i="5"/>
  <c r="I126" i="5"/>
  <c r="CL119" i="5"/>
  <c r="V144" i="5"/>
  <c r="BV142" i="5"/>
  <c r="CM146" i="5"/>
  <c r="DF146" i="5" s="1"/>
  <c r="CL162" i="5"/>
  <c r="DE162" i="5" s="1"/>
  <c r="AY139" i="5"/>
  <c r="BP139" i="5" s="1"/>
  <c r="CO162" i="5"/>
  <c r="DH162" i="5" s="1"/>
  <c r="CM162" i="5"/>
  <c r="DF162" i="5" s="1"/>
  <c r="AZ179" i="5"/>
  <c r="BQ179" i="5" s="1"/>
  <c r="CH178" i="5" s="1"/>
  <c r="DA178" i="5" s="1"/>
  <c r="K141" i="3"/>
  <c r="J49" i="6" s="1"/>
  <c r="J21" i="6" s="1"/>
  <c r="Q141" i="3"/>
  <c r="O49" i="6" s="1"/>
  <c r="O21" i="6" s="1"/>
  <c r="H151" i="3"/>
  <c r="I50" i="6" s="1"/>
  <c r="K151" i="3"/>
  <c r="J50" i="6" s="1"/>
  <c r="J22" i="6" s="1"/>
  <c r="N151" i="3"/>
  <c r="N50" i="6" s="1"/>
  <c r="N22" i="6" s="1"/>
  <c r="Q151" i="3"/>
  <c r="O50" i="6" s="1"/>
  <c r="O22" i="6" s="1"/>
  <c r="CO167" i="5"/>
  <c r="DH167" i="5" s="1"/>
  <c r="CP167" i="5"/>
  <c r="DI167" i="5" s="1"/>
  <c r="CM167" i="5"/>
  <c r="DF167" i="5" s="1"/>
  <c r="CM119" i="5"/>
  <c r="BZ142" i="5"/>
  <c r="CI167" i="5"/>
  <c r="DB167" i="5" s="1"/>
  <c r="CN119" i="5"/>
  <c r="S144" i="5"/>
  <c r="I79" i="6" s="1"/>
  <c r="AU79" i="6" s="1"/>
  <c r="CI146" i="5"/>
  <c r="DB146" i="5" s="1"/>
  <c r="CR146" i="5"/>
  <c r="DK146" i="5" s="1"/>
  <c r="CJ167" i="5"/>
  <c r="DC167" i="5" s="1"/>
  <c r="CQ162" i="5"/>
  <c r="DJ162" i="5" s="1"/>
  <c r="CL167" i="5"/>
  <c r="DE167" i="5" s="1"/>
  <c r="BW179" i="5"/>
  <c r="CN178" i="5" s="1"/>
  <c r="DG178" i="5" s="1"/>
  <c r="V135" i="5"/>
  <c r="CR133" i="5"/>
  <c r="DK133" i="5" s="1"/>
  <c r="CL146" i="5"/>
  <c r="DE146" i="5" s="1"/>
  <c r="CR162" i="5"/>
  <c r="DK162" i="5" s="1"/>
  <c r="CK167" i="5"/>
  <c r="DD167" i="5" s="1"/>
  <c r="J126" i="5"/>
  <c r="AZ139" i="5"/>
  <c r="BQ139" i="5" s="1"/>
  <c r="BS142" i="5"/>
  <c r="CI162" i="5"/>
  <c r="DB162" i="5" s="1"/>
  <c r="CN167" i="5"/>
  <c r="DG167" i="5" s="1"/>
  <c r="S126" i="5"/>
  <c r="I77" i="6" s="1"/>
  <c r="BY151" i="5"/>
  <c r="CP151" i="5" s="1"/>
  <c r="DI151" i="5" s="1"/>
  <c r="CJ162" i="5"/>
  <c r="DC162" i="5" s="1"/>
  <c r="CQ167" i="5"/>
  <c r="DJ167" i="5" s="1"/>
  <c r="I144" i="5"/>
  <c r="BX142" i="5"/>
  <c r="BT142" i="5"/>
  <c r="BZ151" i="5"/>
  <c r="CQ151" i="5" s="1"/>
  <c r="DJ151" i="5" s="1"/>
  <c r="CK162" i="5"/>
  <c r="DD162" i="5" s="1"/>
  <c r="CR167" i="5"/>
  <c r="DK167" i="5" s="1"/>
  <c r="BT179" i="5"/>
  <c r="CK178" i="5" s="1"/>
  <c r="DD178" i="5" s="1"/>
  <c r="CH167" i="5"/>
  <c r="DA167" i="5" s="1"/>
  <c r="CG167" i="5"/>
  <c r="CZ167" i="5" s="1"/>
  <c r="CH162" i="5"/>
  <c r="DA162" i="5" s="1"/>
  <c r="CG162" i="5"/>
  <c r="CZ162" i="5" s="1"/>
  <c r="BV179" i="5"/>
  <c r="CM178" i="5" s="1"/>
  <c r="DF178" i="5" s="1"/>
  <c r="BU179" i="5"/>
  <c r="CL178" i="5" s="1"/>
  <c r="DE178" i="5" s="1"/>
  <c r="BY179" i="5"/>
  <c r="CP178" i="5" s="1"/>
  <c r="DI178" i="5" s="1"/>
  <c r="BZ179" i="5"/>
  <c r="CQ178" i="5" s="1"/>
  <c r="DJ178" i="5" s="1"/>
  <c r="BS179" i="5"/>
  <c r="CJ178" i="5" s="1"/>
  <c r="DC178" i="5" s="1"/>
  <c r="CA179" i="5"/>
  <c r="CR178" i="5" s="1"/>
  <c r="DK178" i="5" s="1"/>
  <c r="S135" i="5"/>
  <c r="I78" i="6" s="1"/>
  <c r="CM133" i="5"/>
  <c r="DF133" i="5" s="1"/>
  <c r="CL133" i="5"/>
  <c r="DE133" i="5" s="1"/>
  <c r="CP133" i="5"/>
  <c r="DI133" i="5" s="1"/>
  <c r="I135" i="5"/>
  <c r="J135" i="5"/>
  <c r="AZ131" i="5"/>
  <c r="BQ131" i="5" s="1"/>
  <c r="AY131" i="5"/>
  <c r="BP131" i="5" s="1"/>
  <c r="BW142" i="5"/>
  <c r="BX151" i="5"/>
  <c r="CO151" i="5" s="1"/>
  <c r="DH151" i="5" s="1"/>
  <c r="CQ154" i="5"/>
  <c r="DJ154" i="5" s="1"/>
  <c r="DJ161" i="5" s="1"/>
  <c r="U81" i="6" s="1"/>
  <c r="BS139" i="5"/>
  <c r="CA139" i="5"/>
  <c r="CP146" i="5"/>
  <c r="DI146" i="5" s="1"/>
  <c r="CN154" i="5"/>
  <c r="DG154" i="5" s="1"/>
  <c r="DG161" i="5" s="1"/>
  <c r="CM154" i="5"/>
  <c r="DF154" i="5" s="1"/>
  <c r="DF161" i="5" s="1"/>
  <c r="AL81" i="6" s="1"/>
  <c r="CR154" i="5"/>
  <c r="DK154" i="5" s="1"/>
  <c r="DK161" i="5" s="1"/>
  <c r="V81" i="6" s="1"/>
  <c r="CO146" i="5"/>
  <c r="DH146" i="5" s="1"/>
  <c r="CI154" i="5"/>
  <c r="DB154" i="5" s="1"/>
  <c r="DB161" i="5" s="1"/>
  <c r="AJ81" i="6" s="1"/>
  <c r="CH154" i="5"/>
  <c r="DA154" i="5" s="1"/>
  <c r="DA161" i="5" s="1"/>
  <c r="BR139" i="5"/>
  <c r="CQ146" i="5"/>
  <c r="DJ146" i="5" s="1"/>
  <c r="BS151" i="5"/>
  <c r="CJ151" i="5" s="1"/>
  <c r="DC151" i="5" s="1"/>
  <c r="BT151" i="5"/>
  <c r="CK151" i="5" s="1"/>
  <c r="DD151" i="5" s="1"/>
  <c r="CJ154" i="5"/>
  <c r="DC154" i="5" s="1"/>
  <c r="DC161" i="5" s="1"/>
  <c r="AN81" i="6" s="1"/>
  <c r="CI119" i="5"/>
  <c r="CQ119" i="5"/>
  <c r="BV139" i="5"/>
  <c r="BT139" i="5"/>
  <c r="BQ151" i="5"/>
  <c r="CH151" i="5" s="1"/>
  <c r="BP151" i="5"/>
  <c r="CG151" i="5" s="1"/>
  <c r="CZ151" i="5" s="1"/>
  <c r="CJ119" i="5"/>
  <c r="BU139" i="5"/>
  <c r="CJ146" i="5"/>
  <c r="DC146" i="5" s="1"/>
  <c r="BU151" i="5"/>
  <c r="CL151" i="5" s="1"/>
  <c r="DE151" i="5" s="1"/>
  <c r="CL154" i="5"/>
  <c r="DE154" i="5" s="1"/>
  <c r="DE161" i="5" s="1"/>
  <c r="AO81" i="6" s="1"/>
  <c r="CH146" i="5"/>
  <c r="DA146" i="5" s="1"/>
  <c r="CG146" i="5"/>
  <c r="CZ146" i="5" s="1"/>
  <c r="CG154" i="5"/>
  <c r="CZ154" i="5" s="1"/>
  <c r="CZ161" i="5" s="1"/>
  <c r="H785" i="1"/>
  <c r="J785" i="1" s="1"/>
  <c r="H869" i="1"/>
  <c r="J869" i="1" s="1"/>
  <c r="H960" i="1"/>
  <c r="J960" i="1" s="1"/>
  <c r="H967" i="1"/>
  <c r="J967" i="1" s="1"/>
  <c r="H974" i="1"/>
  <c r="J974" i="1" s="1"/>
  <c r="H834" i="1"/>
  <c r="J834" i="1" s="1"/>
  <c r="H918" i="1"/>
  <c r="J918" i="1" s="1"/>
  <c r="H792" i="1"/>
  <c r="H876" i="1"/>
  <c r="J876" i="1" s="1"/>
  <c r="H925" i="1"/>
  <c r="J925" i="1" s="1"/>
  <c r="H988" i="1"/>
  <c r="J988" i="1" s="1"/>
  <c r="H841" i="1"/>
  <c r="J841" i="1" s="1"/>
  <c r="H932" i="1"/>
  <c r="J932" i="1" s="1"/>
  <c r="H1002" i="1"/>
  <c r="J1002" i="1" s="1"/>
  <c r="H890" i="1"/>
  <c r="J890" i="1" s="1"/>
  <c r="H939" i="1"/>
  <c r="J939" i="1" s="1"/>
  <c r="H946" i="1"/>
  <c r="J946" i="1" s="1"/>
  <c r="H806" i="1"/>
  <c r="H813" i="1"/>
  <c r="H855" i="1"/>
  <c r="J855" i="1" s="1"/>
  <c r="H1009" i="1"/>
  <c r="J1009" i="1" s="1"/>
  <c r="H897" i="1"/>
  <c r="J897" i="1" s="1"/>
  <c r="H953" i="1"/>
  <c r="J953" i="1" s="1"/>
  <c r="H596" i="1"/>
  <c r="J596" i="1" s="1"/>
  <c r="H554" i="1"/>
  <c r="J554" i="1" s="1"/>
  <c r="C116" i="3" s="1"/>
  <c r="H652" i="1"/>
  <c r="H708" i="1"/>
  <c r="J708" i="1" s="1"/>
  <c r="H778" i="1"/>
  <c r="J778" i="1" s="1"/>
  <c r="H547" i="1"/>
  <c r="J547" i="1" s="1"/>
  <c r="H561" i="1"/>
  <c r="J561" i="1" s="1"/>
  <c r="C117" i="3" s="1"/>
  <c r="H568" i="1"/>
  <c r="J568" i="1" s="1"/>
  <c r="C118" i="3" s="1"/>
  <c r="H610" i="1"/>
  <c r="J610" i="1" s="1"/>
  <c r="C127" i="3" s="1"/>
  <c r="H750" i="1"/>
  <c r="J750" i="1" s="1"/>
  <c r="H575" i="1"/>
  <c r="J575" i="1" s="1"/>
  <c r="C119" i="3" s="1"/>
  <c r="H617" i="1"/>
  <c r="J617" i="1" s="1"/>
  <c r="H673" i="1"/>
  <c r="J673" i="1" s="1"/>
  <c r="H631" i="1"/>
  <c r="J631" i="1" s="1"/>
  <c r="H687" i="1"/>
  <c r="J687" i="1" s="1"/>
  <c r="H764" i="1"/>
  <c r="J764" i="1" s="1"/>
  <c r="H540" i="1"/>
  <c r="J540" i="1" s="1"/>
  <c r="H638" i="1"/>
  <c r="J638" i="1" s="1"/>
  <c r="H694" i="1"/>
  <c r="J694" i="1" s="1"/>
  <c r="H729" i="1"/>
  <c r="J729" i="1" s="1"/>
  <c r="Z36" i="5"/>
  <c r="L67" i="6" s="1"/>
  <c r="Y36" i="5"/>
  <c r="K67" i="6" s="1"/>
  <c r="X36" i="5"/>
  <c r="W36" i="5"/>
  <c r="U36" i="5"/>
  <c r="T36" i="5"/>
  <c r="J67" i="6" s="1"/>
  <c r="R36" i="5"/>
  <c r="Q36" i="5"/>
  <c r="P36" i="5"/>
  <c r="O36" i="5"/>
  <c r="N36" i="5"/>
  <c r="M36" i="5"/>
  <c r="L36" i="5"/>
  <c r="K36" i="5"/>
  <c r="BJ35" i="5"/>
  <c r="BI35" i="5"/>
  <c r="BF35" i="5"/>
  <c r="BE35" i="5"/>
  <c r="BD35" i="5"/>
  <c r="BC35" i="5"/>
  <c r="BB35" i="5"/>
  <c r="BA35" i="5"/>
  <c r="AS35" i="5"/>
  <c r="AV35" i="5" s="1"/>
  <c r="V35" i="5"/>
  <c r="BH35" i="5" s="1"/>
  <c r="S35" i="5"/>
  <c r="BG35" i="5" s="1"/>
  <c r="J35" i="5"/>
  <c r="I35" i="5"/>
  <c r="AZ35" i="5" s="1"/>
  <c r="BJ34" i="5"/>
  <c r="BI34" i="5"/>
  <c r="BF34" i="5"/>
  <c r="BE34" i="5"/>
  <c r="BD34" i="5"/>
  <c r="BC34" i="5"/>
  <c r="BB34" i="5"/>
  <c r="BA34" i="5"/>
  <c r="AS34" i="5"/>
  <c r="AV34" i="5" s="1"/>
  <c r="V34" i="5"/>
  <c r="BH34" i="5" s="1"/>
  <c r="S34" i="5"/>
  <c r="BG34" i="5" s="1"/>
  <c r="J34" i="5"/>
  <c r="I34" i="5"/>
  <c r="AZ34" i="5" s="1"/>
  <c r="V33" i="5"/>
  <c r="S33" i="5"/>
  <c r="J33" i="5"/>
  <c r="I33" i="5"/>
  <c r="V32" i="5"/>
  <c r="BY32" i="5" s="1"/>
  <c r="S32" i="5"/>
  <c r="BX32" i="5" s="1"/>
  <c r="J32" i="5"/>
  <c r="I32" i="5"/>
  <c r="BQ32" i="5" s="1"/>
  <c r="V31" i="5"/>
  <c r="S31" i="5"/>
  <c r="J31" i="5"/>
  <c r="I31" i="5"/>
  <c r="BJ30" i="5"/>
  <c r="BI30" i="5"/>
  <c r="BF30" i="5"/>
  <c r="BE30" i="5"/>
  <c r="BD30" i="5"/>
  <c r="BC30" i="5"/>
  <c r="BB30" i="5"/>
  <c r="BA30" i="5"/>
  <c r="AS30" i="5"/>
  <c r="AV30" i="5" s="1"/>
  <c r="V30" i="5"/>
  <c r="BH30" i="5" s="1"/>
  <c r="S30" i="5"/>
  <c r="BG30" i="5" s="1"/>
  <c r="J30" i="5"/>
  <c r="I30" i="5"/>
  <c r="AZ30" i="5" s="1"/>
  <c r="BJ29" i="5"/>
  <c r="BI29" i="5"/>
  <c r="BF29" i="5"/>
  <c r="BE29" i="5"/>
  <c r="BD29" i="5"/>
  <c r="BC29" i="5"/>
  <c r="BB29" i="5"/>
  <c r="BA29" i="5"/>
  <c r="AS29" i="5"/>
  <c r="AV29" i="5" s="1"/>
  <c r="V29" i="5"/>
  <c r="S29" i="5"/>
  <c r="BG29" i="5" s="1"/>
  <c r="J29" i="5"/>
  <c r="I29" i="5"/>
  <c r="Z117" i="5"/>
  <c r="L76" i="6" s="1"/>
  <c r="Y117" i="5"/>
  <c r="K76" i="6" s="1"/>
  <c r="X117" i="5"/>
  <c r="W117" i="5"/>
  <c r="U117" i="5"/>
  <c r="T117" i="5"/>
  <c r="R117" i="5"/>
  <c r="Q117" i="5"/>
  <c r="P117" i="5"/>
  <c r="O117" i="5"/>
  <c r="N117" i="5"/>
  <c r="M117" i="5"/>
  <c r="L117" i="5"/>
  <c r="K117" i="5"/>
  <c r="G117" i="5"/>
  <c r="D76" i="6" s="1"/>
  <c r="D117" i="5"/>
  <c r="C76" i="6" s="1"/>
  <c r="BI113" i="5"/>
  <c r="BF113" i="5"/>
  <c r="BE113" i="5"/>
  <c r="BD113" i="5"/>
  <c r="BC113" i="5"/>
  <c r="BB113" i="5"/>
  <c r="BA113" i="5"/>
  <c r="AV113" i="5"/>
  <c r="BH113" i="5"/>
  <c r="BG113" i="5"/>
  <c r="AZ113" i="5"/>
  <c r="Z108" i="5"/>
  <c r="Y108" i="5"/>
  <c r="X108" i="5"/>
  <c r="W108" i="5"/>
  <c r="U108" i="5"/>
  <c r="T108" i="5"/>
  <c r="R108" i="5"/>
  <c r="Q108" i="5"/>
  <c r="P108" i="5"/>
  <c r="O108" i="5"/>
  <c r="N108" i="5"/>
  <c r="M108" i="5"/>
  <c r="L108" i="5"/>
  <c r="K108" i="5"/>
  <c r="BJ101" i="5"/>
  <c r="BI101" i="5"/>
  <c r="BF101" i="5"/>
  <c r="BE101" i="5"/>
  <c r="BD101" i="5"/>
  <c r="BC101" i="5"/>
  <c r="BB101" i="5"/>
  <c r="BA101" i="5"/>
  <c r="AV101" i="5"/>
  <c r="AV108" i="5" s="1"/>
  <c r="BG101" i="5"/>
  <c r="Z99" i="5"/>
  <c r="Y99" i="5"/>
  <c r="X99" i="5"/>
  <c r="W99" i="5"/>
  <c r="U99" i="5"/>
  <c r="T99" i="5"/>
  <c r="R99" i="5"/>
  <c r="Q99" i="5"/>
  <c r="P99" i="5"/>
  <c r="O99" i="5"/>
  <c r="N99" i="5"/>
  <c r="M99" i="5"/>
  <c r="L99" i="5"/>
  <c r="K99" i="5"/>
  <c r="BJ97" i="5"/>
  <c r="BI97" i="5"/>
  <c r="BF97" i="5"/>
  <c r="BE97" i="5"/>
  <c r="BD97" i="5"/>
  <c r="BC97" i="5"/>
  <c r="BB97" i="5"/>
  <c r="BA97" i="5"/>
  <c r="AV97" i="5"/>
  <c r="BH97" i="5"/>
  <c r="BG97" i="5"/>
  <c r="AZ97" i="5"/>
  <c r="BJ95" i="5"/>
  <c r="BI95" i="5"/>
  <c r="BF95" i="5"/>
  <c r="BE95" i="5"/>
  <c r="BD95" i="5"/>
  <c r="BC95" i="5"/>
  <c r="BB95" i="5"/>
  <c r="BA95" i="5"/>
  <c r="AV95" i="5"/>
  <c r="BH95" i="5"/>
  <c r="BG95" i="5"/>
  <c r="AZ95" i="5"/>
  <c r="BJ94" i="5"/>
  <c r="BI94" i="5"/>
  <c r="BF94" i="5"/>
  <c r="BE94" i="5"/>
  <c r="BD94" i="5"/>
  <c r="BC94" i="5"/>
  <c r="BB94" i="5"/>
  <c r="BA94" i="5"/>
  <c r="AV94" i="5"/>
  <c r="BH94" i="5"/>
  <c r="BG94" i="5"/>
  <c r="AZ94" i="5"/>
  <c r="AV93" i="5"/>
  <c r="Z90" i="5"/>
  <c r="Y90" i="5"/>
  <c r="X90" i="5"/>
  <c r="W90" i="5"/>
  <c r="U90" i="5"/>
  <c r="T90" i="5"/>
  <c r="R90" i="5"/>
  <c r="Q90" i="5"/>
  <c r="P90" i="5"/>
  <c r="O90" i="5"/>
  <c r="N90" i="5"/>
  <c r="M90" i="5"/>
  <c r="L90" i="5"/>
  <c r="K90" i="5"/>
  <c r="G90" i="5"/>
  <c r="D90" i="5"/>
  <c r="BJ89" i="5"/>
  <c r="BI89" i="5"/>
  <c r="BF89" i="5"/>
  <c r="BE89" i="5"/>
  <c r="BD89" i="5"/>
  <c r="BC89" i="5"/>
  <c r="BB89" i="5"/>
  <c r="BA89" i="5"/>
  <c r="AV89" i="5"/>
  <c r="BH89" i="5"/>
  <c r="BG89" i="5"/>
  <c r="AZ89" i="5"/>
  <c r="AV88" i="5"/>
  <c r="BJ87" i="5"/>
  <c r="BI87" i="5"/>
  <c r="BF87" i="5"/>
  <c r="BE87" i="5"/>
  <c r="BD87" i="5"/>
  <c r="BC87" i="5"/>
  <c r="BB87" i="5"/>
  <c r="BA87" i="5"/>
  <c r="AV87" i="5"/>
  <c r="BH87" i="5"/>
  <c r="BG87" i="5"/>
  <c r="AZ87" i="5"/>
  <c r="BJ86" i="5"/>
  <c r="BI86" i="5"/>
  <c r="BF86" i="5"/>
  <c r="BE86" i="5"/>
  <c r="BD86" i="5"/>
  <c r="BC86" i="5"/>
  <c r="BB86" i="5"/>
  <c r="BA86" i="5"/>
  <c r="AV86" i="5"/>
  <c r="BH86" i="5"/>
  <c r="BG86" i="5"/>
  <c r="AZ86" i="5"/>
  <c r="AV85" i="5"/>
  <c r="BJ84" i="5"/>
  <c r="BI84" i="5"/>
  <c r="BF84" i="5"/>
  <c r="BE84" i="5"/>
  <c r="BD84" i="5"/>
  <c r="BC84" i="5"/>
  <c r="BB84" i="5"/>
  <c r="BA84" i="5"/>
  <c r="AV84" i="5"/>
  <c r="BH84" i="5"/>
  <c r="BG84" i="5"/>
  <c r="AZ84" i="5"/>
  <c r="BJ83" i="5"/>
  <c r="BI83" i="5"/>
  <c r="BF83" i="5"/>
  <c r="BE83" i="5"/>
  <c r="BD83" i="5"/>
  <c r="BC83" i="5"/>
  <c r="BB83" i="5"/>
  <c r="BA83" i="5"/>
  <c r="AV83" i="5"/>
  <c r="Z81" i="5"/>
  <c r="Y81" i="5"/>
  <c r="X81" i="5"/>
  <c r="W81" i="5"/>
  <c r="U81" i="5"/>
  <c r="T81" i="5"/>
  <c r="R81" i="5"/>
  <c r="Q81" i="5"/>
  <c r="P81" i="5"/>
  <c r="O81" i="5"/>
  <c r="N81" i="5"/>
  <c r="M81" i="5"/>
  <c r="L81" i="5"/>
  <c r="K81" i="5"/>
  <c r="G81" i="5"/>
  <c r="D72" i="6" s="1"/>
  <c r="D81" i="5"/>
  <c r="BJ80" i="5"/>
  <c r="BI80" i="5"/>
  <c r="BF80" i="5"/>
  <c r="BE80" i="5"/>
  <c r="BD80" i="5"/>
  <c r="BC80" i="5"/>
  <c r="BB80" i="5"/>
  <c r="BA80" i="5"/>
  <c r="AV80" i="5"/>
  <c r="BH80" i="5"/>
  <c r="BG80" i="5"/>
  <c r="AZ80" i="5"/>
  <c r="BJ79" i="5"/>
  <c r="BI79" i="5"/>
  <c r="BF79" i="5"/>
  <c r="BE79" i="5"/>
  <c r="BD79" i="5"/>
  <c r="BC79" i="5"/>
  <c r="BB79" i="5"/>
  <c r="BA79" i="5"/>
  <c r="AV79" i="5"/>
  <c r="BH79" i="5"/>
  <c r="BG79" i="5"/>
  <c r="BJ78" i="5"/>
  <c r="BI78" i="5"/>
  <c r="BF78" i="5"/>
  <c r="BE78" i="5"/>
  <c r="BD78" i="5"/>
  <c r="BC78" i="5"/>
  <c r="BB78" i="5"/>
  <c r="BA78" i="5"/>
  <c r="AV78" i="5"/>
  <c r="BH78" i="5"/>
  <c r="BG78" i="5"/>
  <c r="AZ78" i="5"/>
  <c r="BJ76" i="5"/>
  <c r="BI76" i="5"/>
  <c r="BF76" i="5"/>
  <c r="BE76" i="5"/>
  <c r="BD76" i="5"/>
  <c r="BC76" i="5"/>
  <c r="BB76" i="5"/>
  <c r="BA76" i="5"/>
  <c r="AV76" i="5"/>
  <c r="BH76" i="5"/>
  <c r="BG76" i="5"/>
  <c r="BJ75" i="5"/>
  <c r="BI75" i="5"/>
  <c r="BF75" i="5"/>
  <c r="BE75" i="5"/>
  <c r="BD75" i="5"/>
  <c r="BC75" i="5"/>
  <c r="BB75" i="5"/>
  <c r="BA75" i="5"/>
  <c r="AV75" i="5"/>
  <c r="BH75" i="5"/>
  <c r="BG75" i="5"/>
  <c r="AZ75" i="5"/>
  <c r="BJ74" i="5"/>
  <c r="BI74" i="5"/>
  <c r="BF74" i="5"/>
  <c r="BE74" i="5"/>
  <c r="BD74" i="5"/>
  <c r="BC74" i="5"/>
  <c r="BB74" i="5"/>
  <c r="BA74" i="5"/>
  <c r="AV74" i="5"/>
  <c r="BG74" i="5"/>
  <c r="AZ74" i="5"/>
  <c r="Z72" i="5"/>
  <c r="Y72" i="5"/>
  <c r="X72" i="5"/>
  <c r="W72" i="5"/>
  <c r="U72" i="5"/>
  <c r="T72" i="5"/>
  <c r="R72" i="5"/>
  <c r="Q72" i="5"/>
  <c r="P72" i="5"/>
  <c r="O72" i="5"/>
  <c r="N72" i="5"/>
  <c r="M72" i="5"/>
  <c r="L72" i="5"/>
  <c r="K72" i="5"/>
  <c r="G72" i="5"/>
  <c r="D71" i="6" s="1"/>
  <c r="D72" i="5"/>
  <c r="BJ71" i="5"/>
  <c r="BI71" i="5"/>
  <c r="BF71" i="5"/>
  <c r="BE71" i="5"/>
  <c r="BD71" i="5"/>
  <c r="BC71" i="5"/>
  <c r="BB71" i="5"/>
  <c r="BA71" i="5"/>
  <c r="AV71" i="5"/>
  <c r="BH71" i="5"/>
  <c r="BG71" i="5"/>
  <c r="AZ71" i="5"/>
  <c r="BJ70" i="5"/>
  <c r="BI70" i="5"/>
  <c r="BF70" i="5"/>
  <c r="BE70" i="5"/>
  <c r="BD70" i="5"/>
  <c r="BC70" i="5"/>
  <c r="BB70" i="5"/>
  <c r="BA70" i="5"/>
  <c r="AV70" i="5"/>
  <c r="BH70" i="5"/>
  <c r="BG70" i="5"/>
  <c r="AZ70" i="5"/>
  <c r="AV67" i="5"/>
  <c r="BJ66" i="5"/>
  <c r="BI66" i="5"/>
  <c r="BF66" i="5"/>
  <c r="BE66" i="5"/>
  <c r="BD66" i="5"/>
  <c r="BC66" i="5"/>
  <c r="BB66" i="5"/>
  <c r="BA66" i="5"/>
  <c r="AV66" i="5"/>
  <c r="BH66" i="5"/>
  <c r="BG66" i="5"/>
  <c r="AZ66" i="5"/>
  <c r="Z63" i="5"/>
  <c r="Y63" i="5"/>
  <c r="X63" i="5"/>
  <c r="W63" i="5"/>
  <c r="U63" i="5"/>
  <c r="T63" i="5"/>
  <c r="R63" i="5"/>
  <c r="Q63" i="5"/>
  <c r="P63" i="5"/>
  <c r="O63" i="5"/>
  <c r="N63" i="5"/>
  <c r="M63" i="5"/>
  <c r="L63" i="5"/>
  <c r="K63" i="5"/>
  <c r="G63" i="5"/>
  <c r="D63" i="5"/>
  <c r="BJ62" i="5"/>
  <c r="BI62" i="5"/>
  <c r="BF62" i="5"/>
  <c r="BE62" i="5"/>
  <c r="BD62" i="5"/>
  <c r="BC62" i="5"/>
  <c r="BB62" i="5"/>
  <c r="BA62" i="5"/>
  <c r="AV62" i="5"/>
  <c r="BH62" i="5"/>
  <c r="BG62" i="5"/>
  <c r="AZ62" i="5"/>
  <c r="BJ61" i="5"/>
  <c r="BI61" i="5"/>
  <c r="BF61" i="5"/>
  <c r="BE61" i="5"/>
  <c r="BD61" i="5"/>
  <c r="BC61" i="5"/>
  <c r="BB61" i="5"/>
  <c r="BA61" i="5"/>
  <c r="AV61" i="5"/>
  <c r="BH61" i="5"/>
  <c r="BG61" i="5"/>
  <c r="AZ61" i="5"/>
  <c r="BJ60" i="5"/>
  <c r="BI60" i="5"/>
  <c r="BF60" i="5"/>
  <c r="BE60" i="5"/>
  <c r="BD60" i="5"/>
  <c r="BC60" i="5"/>
  <c r="BB60" i="5"/>
  <c r="BA60" i="5"/>
  <c r="AV60" i="5"/>
  <c r="BH60" i="5"/>
  <c r="BG60" i="5"/>
  <c r="AZ60" i="5"/>
  <c r="BJ59" i="5"/>
  <c r="BI59" i="5"/>
  <c r="BF59" i="5"/>
  <c r="BE59" i="5"/>
  <c r="BD59" i="5"/>
  <c r="BC59" i="5"/>
  <c r="BB59" i="5"/>
  <c r="BA59" i="5"/>
  <c r="AV59" i="5"/>
  <c r="BH59" i="5"/>
  <c r="BG59" i="5"/>
  <c r="AZ59" i="5"/>
  <c r="BJ58" i="5"/>
  <c r="BI58" i="5"/>
  <c r="BF58" i="5"/>
  <c r="BE58" i="5"/>
  <c r="BD58" i="5"/>
  <c r="BC58" i="5"/>
  <c r="BB58" i="5"/>
  <c r="BA58" i="5"/>
  <c r="AV58" i="5"/>
  <c r="BH58" i="5"/>
  <c r="BG58" i="5"/>
  <c r="AZ58" i="5"/>
  <c r="BJ57" i="5"/>
  <c r="BI57" i="5"/>
  <c r="BF57" i="5"/>
  <c r="BE57" i="5"/>
  <c r="BD57" i="5"/>
  <c r="BC57" i="5"/>
  <c r="BB57" i="5"/>
  <c r="BA57" i="5"/>
  <c r="AV57" i="5"/>
  <c r="BH57" i="5"/>
  <c r="BG57" i="5"/>
  <c r="AZ57" i="5"/>
  <c r="Z54" i="5"/>
  <c r="Y54" i="5"/>
  <c r="X54" i="5"/>
  <c r="W54" i="5"/>
  <c r="U54" i="5"/>
  <c r="T54" i="5"/>
  <c r="R54" i="5"/>
  <c r="Q54" i="5"/>
  <c r="P54" i="5"/>
  <c r="O54" i="5"/>
  <c r="N54" i="5"/>
  <c r="M54" i="5"/>
  <c r="L54" i="5"/>
  <c r="K54" i="5"/>
  <c r="G54" i="5"/>
  <c r="D54" i="5"/>
  <c r="C69" i="6" s="1"/>
  <c r="BJ53" i="5"/>
  <c r="BI53" i="5"/>
  <c r="BF53" i="5"/>
  <c r="BE53" i="5"/>
  <c r="BD53" i="5"/>
  <c r="BC53" i="5"/>
  <c r="BB53" i="5"/>
  <c r="BA53" i="5"/>
  <c r="BH53" i="5"/>
  <c r="BG53" i="5"/>
  <c r="AZ53" i="5"/>
  <c r="BJ52" i="5"/>
  <c r="BI52" i="5"/>
  <c r="BF52" i="5"/>
  <c r="BE52" i="5"/>
  <c r="BD52" i="5"/>
  <c r="BC52" i="5"/>
  <c r="BB52" i="5"/>
  <c r="BA52" i="5"/>
  <c r="AV52" i="5"/>
  <c r="BH52" i="5"/>
  <c r="BG52" i="5"/>
  <c r="AZ52" i="5"/>
  <c r="BJ51" i="5"/>
  <c r="BI51" i="5"/>
  <c r="BF51" i="5"/>
  <c r="BE51" i="5"/>
  <c r="BD51" i="5"/>
  <c r="BC51" i="5"/>
  <c r="BB51" i="5"/>
  <c r="BA51" i="5"/>
  <c r="AV51" i="5"/>
  <c r="BH51" i="5"/>
  <c r="BG51" i="5"/>
  <c r="AZ51" i="5"/>
  <c r="BJ50" i="5"/>
  <c r="BI50" i="5"/>
  <c r="BF50" i="5"/>
  <c r="BE50" i="5"/>
  <c r="BD50" i="5"/>
  <c r="BC50" i="5"/>
  <c r="BB50" i="5"/>
  <c r="BA50" i="5"/>
  <c r="AV50" i="5"/>
  <c r="BH50" i="5"/>
  <c r="BG50" i="5"/>
  <c r="AZ50" i="5"/>
  <c r="BJ49" i="5"/>
  <c r="BI49" i="5"/>
  <c r="BF49" i="5"/>
  <c r="BE49" i="5"/>
  <c r="BD49" i="5"/>
  <c r="BC49" i="5"/>
  <c r="BB49" i="5"/>
  <c r="BA49" i="5"/>
  <c r="AV49" i="5"/>
  <c r="BH49" i="5"/>
  <c r="BG49" i="5"/>
  <c r="AC131" i="3"/>
  <c r="AB131" i="3"/>
  <c r="AA131" i="3"/>
  <c r="Z131" i="3"/>
  <c r="AC121" i="3"/>
  <c r="AB121" i="3"/>
  <c r="AA121" i="3"/>
  <c r="Z121" i="3"/>
  <c r="AC111" i="3"/>
  <c r="AB111" i="3"/>
  <c r="AA111" i="3"/>
  <c r="Z111" i="3"/>
  <c r="AC101" i="3"/>
  <c r="AB101" i="3"/>
  <c r="AA101" i="3"/>
  <c r="Z101" i="3"/>
  <c r="AC91" i="3"/>
  <c r="AB91" i="3"/>
  <c r="AA91" i="3"/>
  <c r="Z91" i="3"/>
  <c r="AC71" i="3"/>
  <c r="AB71" i="3"/>
  <c r="AA71" i="3"/>
  <c r="Z71" i="3"/>
  <c r="AC81" i="3"/>
  <c r="AB81" i="3"/>
  <c r="AA81" i="3"/>
  <c r="Z81" i="3"/>
  <c r="AC61" i="3"/>
  <c r="AB61" i="3"/>
  <c r="AA61" i="3"/>
  <c r="Z61" i="3"/>
  <c r="AC51" i="3"/>
  <c r="AB51" i="3"/>
  <c r="AA51" i="3"/>
  <c r="Z51" i="3"/>
  <c r="AC41" i="3"/>
  <c r="AB41" i="3"/>
  <c r="AA41" i="3"/>
  <c r="Z41" i="3"/>
  <c r="BS85" i="5" l="1"/>
  <c r="BV85" i="5"/>
  <c r="CA85" i="5"/>
  <c r="BP85" i="5"/>
  <c r="BU85" i="5"/>
  <c r="BZ85" i="5"/>
  <c r="CD85" i="5"/>
  <c r="BR85" i="5"/>
  <c r="BT85" i="5"/>
  <c r="BX85" i="5"/>
  <c r="CB85" i="5"/>
  <c r="CE85" i="5"/>
  <c r="BQ85" i="5"/>
  <c r="BW85" i="5"/>
  <c r="BY85" i="5"/>
  <c r="CC85" i="5"/>
  <c r="DI169" i="5"/>
  <c r="S82" i="6" s="1"/>
  <c r="DO153" i="5"/>
  <c r="AA80" i="6" s="1"/>
  <c r="DH153" i="5"/>
  <c r="R80" i="6" s="1"/>
  <c r="DC169" i="5"/>
  <c r="AN82" i="6" s="1"/>
  <c r="DM153" i="5"/>
  <c r="X80" i="6" s="1"/>
  <c r="DD153" i="5"/>
  <c r="AK80" i="6" s="1"/>
  <c r="DC153" i="5"/>
  <c r="AN80" i="6" s="1"/>
  <c r="DD169" i="5"/>
  <c r="AK82" i="6" s="1"/>
  <c r="DK169" i="5"/>
  <c r="V82" i="6" s="1"/>
  <c r="DL169" i="5"/>
  <c r="W82" i="6" s="1"/>
  <c r="DM169" i="5"/>
  <c r="X82" i="6" s="1"/>
  <c r="DN169" i="5"/>
  <c r="Z82" i="6" s="1"/>
  <c r="DO169" i="5"/>
  <c r="AA82" i="6" s="1"/>
  <c r="DA169" i="5"/>
  <c r="DF153" i="5"/>
  <c r="AL80" i="6" s="1"/>
  <c r="DL153" i="5"/>
  <c r="W80" i="6" s="1"/>
  <c r="DF169" i="5"/>
  <c r="AL82" i="6" s="1"/>
  <c r="DJ169" i="5"/>
  <c r="U82" i="6" s="1"/>
  <c r="DH169" i="5"/>
  <c r="R82" i="6" s="1"/>
  <c r="CZ169" i="5"/>
  <c r="CZ185" i="5" s="1"/>
  <c r="DB169" i="5"/>
  <c r="AJ82" i="6" s="1"/>
  <c r="DG169" i="5"/>
  <c r="DE169" i="5"/>
  <c r="AO82" i="6" s="1"/>
  <c r="AP81" i="6"/>
  <c r="AM81" i="6"/>
  <c r="CZ153" i="5"/>
  <c r="DK153" i="5"/>
  <c r="V80" i="6" s="1"/>
  <c r="DE153" i="5"/>
  <c r="AO80" i="6" s="1"/>
  <c r="CU185" i="5"/>
  <c r="DN151" i="5"/>
  <c r="DN153" i="5" s="1"/>
  <c r="Z80" i="6" s="1"/>
  <c r="DB153" i="5"/>
  <c r="AJ80" i="6" s="1"/>
  <c r="DJ153" i="5"/>
  <c r="U80" i="6" s="1"/>
  <c r="CH185" i="5"/>
  <c r="DA151" i="5"/>
  <c r="DA153" i="5" s="1"/>
  <c r="CN185" i="5"/>
  <c r="DG151" i="5"/>
  <c r="DG153" i="5" s="1"/>
  <c r="DI153" i="5"/>
  <c r="S80" i="6" s="1"/>
  <c r="CG133" i="5"/>
  <c r="CZ133" i="5" s="1"/>
  <c r="C212" i="3"/>
  <c r="E56" i="6" s="1"/>
  <c r="C202" i="3"/>
  <c r="G202" i="3" s="1"/>
  <c r="C192" i="3"/>
  <c r="E54" i="6" s="1"/>
  <c r="C182" i="3"/>
  <c r="G182" i="3" s="1"/>
  <c r="C172" i="3"/>
  <c r="E52" i="6" s="1"/>
  <c r="H52" i="6" s="1"/>
  <c r="C162" i="3"/>
  <c r="E51" i="6" s="1"/>
  <c r="H80" i="6"/>
  <c r="CT185" i="5"/>
  <c r="CV185" i="5"/>
  <c r="CQ185" i="5"/>
  <c r="CS185" i="5"/>
  <c r="CP185" i="5"/>
  <c r="CR185" i="5"/>
  <c r="CK185" i="5"/>
  <c r="CG185" i="5"/>
  <c r="CJ185" i="5"/>
  <c r="CM185" i="5"/>
  <c r="CL185" i="5"/>
  <c r="CO185" i="5"/>
  <c r="CI185" i="5"/>
  <c r="G76" i="6"/>
  <c r="BS185" i="5"/>
  <c r="CA185" i="5"/>
  <c r="BU185" i="5"/>
  <c r="BY185" i="5"/>
  <c r="BX185" i="5"/>
  <c r="CE185" i="5"/>
  <c r="BP185" i="5"/>
  <c r="BR185" i="5"/>
  <c r="BT185" i="5"/>
  <c r="CC185" i="5"/>
  <c r="BW185" i="5"/>
  <c r="CB185" i="5"/>
  <c r="CD185" i="5"/>
  <c r="BZ185" i="5"/>
  <c r="BQ185" i="5"/>
  <c r="BV185" i="5"/>
  <c r="C152" i="3"/>
  <c r="E50" i="6" s="1"/>
  <c r="E22" i="6" s="1"/>
  <c r="DC185" i="5"/>
  <c r="AN84" i="6" s="1"/>
  <c r="DF185" i="5"/>
  <c r="AL84" i="6" s="1"/>
  <c r="DH185" i="5"/>
  <c r="R84" i="6" s="1"/>
  <c r="DO185" i="5"/>
  <c r="AA84" i="6" s="1"/>
  <c r="CQ142" i="5"/>
  <c r="DJ142" i="5" s="1"/>
  <c r="DL119" i="5"/>
  <c r="CU124" i="5"/>
  <c r="DN124" i="5" s="1"/>
  <c r="DH119" i="5"/>
  <c r="AF76" i="6"/>
  <c r="CS128" i="5"/>
  <c r="DL128" i="5" s="1"/>
  <c r="DL135" i="5" s="1"/>
  <c r="W78" i="6" s="1"/>
  <c r="CT124" i="5"/>
  <c r="DM124" i="5" s="1"/>
  <c r="CH142" i="5"/>
  <c r="DA142" i="5" s="1"/>
  <c r="CS137" i="5"/>
  <c r="DL137" i="5" s="1"/>
  <c r="DA119" i="5"/>
  <c r="CS124" i="5"/>
  <c r="DL124" i="5" s="1"/>
  <c r="CQ137" i="5"/>
  <c r="DJ137" i="5" s="1"/>
  <c r="CV124" i="5"/>
  <c r="DO124" i="5" s="1"/>
  <c r="DG119" i="5"/>
  <c r="CE57" i="5"/>
  <c r="CD57" i="5"/>
  <c r="CC57" i="5"/>
  <c r="CB57" i="5"/>
  <c r="CE74" i="5"/>
  <c r="CD74" i="5"/>
  <c r="CC74" i="5"/>
  <c r="CB74" i="5"/>
  <c r="CE79" i="5"/>
  <c r="CD79" i="5"/>
  <c r="CC79" i="5"/>
  <c r="CB79" i="5"/>
  <c r="CE89" i="5"/>
  <c r="CD89" i="5"/>
  <c r="CC89" i="5"/>
  <c r="CB89" i="5"/>
  <c r="CE104" i="5"/>
  <c r="CD104" i="5"/>
  <c r="CC104" i="5"/>
  <c r="CB104" i="5"/>
  <c r="DO119" i="5"/>
  <c r="CE58" i="5"/>
  <c r="CD58" i="5"/>
  <c r="CC58" i="5"/>
  <c r="CB58" i="5"/>
  <c r="CE52" i="5"/>
  <c r="CD52" i="5"/>
  <c r="CC52" i="5"/>
  <c r="CB52" i="5"/>
  <c r="CE62" i="5"/>
  <c r="CD62" i="5"/>
  <c r="CC62" i="5"/>
  <c r="CB62" i="5"/>
  <c r="CC86" i="5"/>
  <c r="CB86" i="5"/>
  <c r="CD86" i="5"/>
  <c r="CE86" i="5"/>
  <c r="CB93" i="5"/>
  <c r="CE93" i="5"/>
  <c r="CD93" i="5"/>
  <c r="CC93" i="5"/>
  <c r="DF119" i="5"/>
  <c r="CE49" i="5"/>
  <c r="CD49" i="5"/>
  <c r="CC49" i="5"/>
  <c r="CB49" i="5"/>
  <c r="CE59" i="5"/>
  <c r="CD59" i="5"/>
  <c r="CC59" i="5"/>
  <c r="CB59" i="5"/>
  <c r="CE66" i="5"/>
  <c r="CD66" i="5"/>
  <c r="CC66" i="5"/>
  <c r="CB66" i="5"/>
  <c r="CE76" i="5"/>
  <c r="CD76" i="5"/>
  <c r="CC76" i="5"/>
  <c r="CB76" i="5"/>
  <c r="CA83" i="5"/>
  <c r="CE83" i="5"/>
  <c r="CD83" i="5"/>
  <c r="CC83" i="5"/>
  <c r="CB83" i="5"/>
  <c r="CA95" i="5"/>
  <c r="CB95" i="5"/>
  <c r="CC95" i="5"/>
  <c r="CD95" i="5"/>
  <c r="CE95" i="5"/>
  <c r="CD101" i="5"/>
  <c r="CC101" i="5"/>
  <c r="CB101" i="5"/>
  <c r="CE101" i="5"/>
  <c r="AI76" i="6"/>
  <c r="AE76" i="6"/>
  <c r="CA35" i="5"/>
  <c r="CE35" i="5"/>
  <c r="CD35" i="5"/>
  <c r="CC35" i="5"/>
  <c r="CB35" i="5"/>
  <c r="CT137" i="5"/>
  <c r="DM137" i="5" s="1"/>
  <c r="CE71" i="5"/>
  <c r="CD71" i="5"/>
  <c r="CC71" i="5"/>
  <c r="CB71" i="5"/>
  <c r="CE78" i="5"/>
  <c r="CD78" i="5"/>
  <c r="CC78" i="5"/>
  <c r="CB78" i="5"/>
  <c r="CC88" i="5"/>
  <c r="CB88" i="5"/>
  <c r="CD88" i="5"/>
  <c r="CE88" i="5"/>
  <c r="CB97" i="5"/>
  <c r="CS97" i="5" s="1"/>
  <c r="DL97" i="5" s="1"/>
  <c r="CC97" i="5"/>
  <c r="CT97" i="5" s="1"/>
  <c r="DM97" i="5" s="1"/>
  <c r="CD97" i="5"/>
  <c r="CU97" i="5" s="1"/>
  <c r="DN97" i="5" s="1"/>
  <c r="CE97" i="5"/>
  <c r="CV97" i="5" s="1"/>
  <c r="DO97" i="5" s="1"/>
  <c r="CE30" i="5"/>
  <c r="CD30" i="5"/>
  <c r="CC30" i="5"/>
  <c r="CB30" i="5"/>
  <c r="CE51" i="5"/>
  <c r="CD51" i="5"/>
  <c r="CC51" i="5"/>
  <c r="CB51" i="5"/>
  <c r="CE61" i="5"/>
  <c r="CV61" i="5" s="1"/>
  <c r="CD61" i="5"/>
  <c r="CC61" i="5"/>
  <c r="CB61" i="5"/>
  <c r="AG76" i="6"/>
  <c r="AC76" i="6"/>
  <c r="CE75" i="5"/>
  <c r="CD75" i="5"/>
  <c r="CC75" i="5"/>
  <c r="CB75" i="5"/>
  <c r="CE80" i="5"/>
  <c r="CD80" i="5"/>
  <c r="CC80" i="5"/>
  <c r="CB80" i="5"/>
  <c r="CC94" i="5"/>
  <c r="CD94" i="5"/>
  <c r="CE94" i="5"/>
  <c r="CB94" i="5"/>
  <c r="CE34" i="5"/>
  <c r="CD34" i="5"/>
  <c r="CC34" i="5"/>
  <c r="CB34" i="5"/>
  <c r="CO128" i="5"/>
  <c r="DH128" i="5" s="1"/>
  <c r="DH135" i="5" s="1"/>
  <c r="R78" i="6" s="1"/>
  <c r="CR128" i="5"/>
  <c r="DK128" i="5" s="1"/>
  <c r="DK135" i="5" s="1"/>
  <c r="V78" i="6" s="1"/>
  <c r="CE53" i="5"/>
  <c r="CD53" i="5"/>
  <c r="CC53" i="5"/>
  <c r="CB53" i="5"/>
  <c r="CE70" i="5"/>
  <c r="CD70" i="5"/>
  <c r="CC70" i="5"/>
  <c r="CB70" i="5"/>
  <c r="CE87" i="5"/>
  <c r="CD87" i="5"/>
  <c r="CC87" i="5"/>
  <c r="CB87" i="5"/>
  <c r="CV110" i="5"/>
  <c r="DO110" i="5" s="1"/>
  <c r="CU110" i="5"/>
  <c r="DN110" i="5" s="1"/>
  <c r="CT110" i="5"/>
  <c r="DM110" i="5" s="1"/>
  <c r="CS110" i="5"/>
  <c r="DL110" i="5" s="1"/>
  <c r="CC115" i="5"/>
  <c r="CB115" i="5"/>
  <c r="CD115" i="5"/>
  <c r="CE115" i="5"/>
  <c r="AH76" i="6"/>
  <c r="AD76" i="6"/>
  <c r="CE29" i="5"/>
  <c r="CD29" i="5"/>
  <c r="CC29" i="5"/>
  <c r="CB29" i="5"/>
  <c r="CE50" i="5"/>
  <c r="CD50" i="5"/>
  <c r="CC50" i="5"/>
  <c r="CB50" i="5"/>
  <c r="CE60" i="5"/>
  <c r="CD60" i="5"/>
  <c r="CC60" i="5"/>
  <c r="CB60" i="5"/>
  <c r="CE67" i="5"/>
  <c r="CD67" i="5"/>
  <c r="CC67" i="5"/>
  <c r="CB67" i="5"/>
  <c r="CC84" i="5"/>
  <c r="CB84" i="5"/>
  <c r="CD84" i="5"/>
  <c r="CE84" i="5"/>
  <c r="DM119" i="5"/>
  <c r="AT50" i="6"/>
  <c r="AU49" i="6"/>
  <c r="I22" i="6"/>
  <c r="AT49" i="6"/>
  <c r="AU50" i="6"/>
  <c r="CU142" i="5"/>
  <c r="DN142" i="5" s="1"/>
  <c r="CM142" i="5"/>
  <c r="DF142" i="5" s="1"/>
  <c r="CI142" i="5"/>
  <c r="DB142" i="5" s="1"/>
  <c r="CG142" i="5"/>
  <c r="CZ142" i="5" s="1"/>
  <c r="CN142" i="5"/>
  <c r="DG142" i="5" s="1"/>
  <c r="CP142" i="5"/>
  <c r="DI142" i="5" s="1"/>
  <c r="CL142" i="5"/>
  <c r="DE142" i="5" s="1"/>
  <c r="CS142" i="5"/>
  <c r="DL142" i="5" s="1"/>
  <c r="CT142" i="5"/>
  <c r="DM142" i="5" s="1"/>
  <c r="CK142" i="5"/>
  <c r="DD142" i="5" s="1"/>
  <c r="CO142" i="5"/>
  <c r="DH142" i="5" s="1"/>
  <c r="CJ142" i="5"/>
  <c r="DC142" i="5" s="1"/>
  <c r="CR142" i="5"/>
  <c r="DK142" i="5" s="1"/>
  <c r="CV142" i="5"/>
  <c r="DO142" i="5" s="1"/>
  <c r="CR137" i="5"/>
  <c r="DK137" i="5" s="1"/>
  <c r="CU137" i="5"/>
  <c r="DN137" i="5" s="1"/>
  <c r="CI137" i="5"/>
  <c r="DB137" i="5" s="1"/>
  <c r="CJ137" i="5"/>
  <c r="DC137" i="5" s="1"/>
  <c r="CN137" i="5"/>
  <c r="DG137" i="5" s="1"/>
  <c r="CV137" i="5"/>
  <c r="DO137" i="5" s="1"/>
  <c r="CL137" i="5"/>
  <c r="DE137" i="5" s="1"/>
  <c r="CP137" i="5"/>
  <c r="DI137" i="5" s="1"/>
  <c r="CO137" i="5"/>
  <c r="DH137" i="5" s="1"/>
  <c r="CH137" i="5"/>
  <c r="DA137" i="5" s="1"/>
  <c r="CM137" i="5"/>
  <c r="DF137" i="5" s="1"/>
  <c r="CK137" i="5"/>
  <c r="DD137" i="5" s="1"/>
  <c r="B23" i="6"/>
  <c r="CV128" i="5"/>
  <c r="DO128" i="5" s="1"/>
  <c r="DO135" i="5" s="1"/>
  <c r="AA78" i="6" s="1"/>
  <c r="CU128" i="5"/>
  <c r="DN128" i="5" s="1"/>
  <c r="DN135" i="5" s="1"/>
  <c r="Z78" i="6" s="1"/>
  <c r="AU78" i="6"/>
  <c r="CN128" i="5"/>
  <c r="DG128" i="5" s="1"/>
  <c r="DG135" i="5" s="1"/>
  <c r="CJ128" i="5"/>
  <c r="DC128" i="5" s="1"/>
  <c r="DC135" i="5" s="1"/>
  <c r="AN78" i="6" s="1"/>
  <c r="CI128" i="5"/>
  <c r="DB128" i="5" s="1"/>
  <c r="DB135" i="5" s="1"/>
  <c r="AJ78" i="6" s="1"/>
  <c r="CP128" i="5"/>
  <c r="DI128" i="5" s="1"/>
  <c r="DI135" i="5" s="1"/>
  <c r="S78" i="6" s="1"/>
  <c r="CQ128" i="5"/>
  <c r="DJ128" i="5" s="1"/>
  <c r="DJ135" i="5" s="1"/>
  <c r="U78" i="6" s="1"/>
  <c r="CT128" i="5"/>
  <c r="DM128" i="5" s="1"/>
  <c r="DM135" i="5" s="1"/>
  <c r="CK128" i="5"/>
  <c r="DD128" i="5" s="1"/>
  <c r="DD135" i="5" s="1"/>
  <c r="AK78" i="6" s="1"/>
  <c r="CL128" i="5"/>
  <c r="DE128" i="5" s="1"/>
  <c r="DE135" i="5" s="1"/>
  <c r="AO78" i="6" s="1"/>
  <c r="CM128" i="5"/>
  <c r="DF128" i="5" s="1"/>
  <c r="DF135" i="5" s="1"/>
  <c r="AL78" i="6" s="1"/>
  <c r="CH128" i="5"/>
  <c r="DA128" i="5" s="1"/>
  <c r="DA135" i="5" s="1"/>
  <c r="H79" i="6"/>
  <c r="AR79" i="6"/>
  <c r="F79" i="6"/>
  <c r="AR78" i="6"/>
  <c r="H78" i="6"/>
  <c r="F78" i="6"/>
  <c r="DC119" i="5"/>
  <c r="DE119" i="5"/>
  <c r="DD119" i="5"/>
  <c r="DI119" i="5"/>
  <c r="DJ119" i="5"/>
  <c r="DB119" i="5"/>
  <c r="DN119" i="5"/>
  <c r="CQ124" i="5"/>
  <c r="DJ124" i="5" s="1"/>
  <c r="CI124" i="5"/>
  <c r="DB124" i="5" s="1"/>
  <c r="CM124" i="5"/>
  <c r="DF124" i="5" s="1"/>
  <c r="CH124" i="5"/>
  <c r="DA124" i="5" s="1"/>
  <c r="CG124" i="5"/>
  <c r="CZ124" i="5" s="1"/>
  <c r="CK124" i="5"/>
  <c r="DD124" i="5" s="1"/>
  <c r="CJ124" i="5"/>
  <c r="DC124" i="5" s="1"/>
  <c r="CO124" i="5"/>
  <c r="DH124" i="5" s="1"/>
  <c r="CP124" i="5"/>
  <c r="DI124" i="5" s="1"/>
  <c r="CN124" i="5"/>
  <c r="DG124" i="5" s="1"/>
  <c r="CR124" i="5"/>
  <c r="DK124" i="5" s="1"/>
  <c r="CL124" i="5"/>
  <c r="DE124" i="5" s="1"/>
  <c r="AU77" i="6"/>
  <c r="I21" i="6"/>
  <c r="H77" i="6"/>
  <c r="F77" i="6"/>
  <c r="AR77" i="6"/>
  <c r="AY51" i="5"/>
  <c r="BP51" i="5" s="1"/>
  <c r="I72" i="5"/>
  <c r="BW66" i="5"/>
  <c r="BU50" i="5"/>
  <c r="G66" i="6"/>
  <c r="H31" i="5"/>
  <c r="BT79" i="5"/>
  <c r="BT34" i="5"/>
  <c r="BU104" i="5"/>
  <c r="BX87" i="5"/>
  <c r="BQ74" i="5"/>
  <c r="BV49" i="5"/>
  <c r="AY58" i="5"/>
  <c r="BP58" i="5" s="1"/>
  <c r="BS78" i="5"/>
  <c r="BW80" i="5"/>
  <c r="BQ60" i="5"/>
  <c r="BQ78" i="5"/>
  <c r="BY79" i="5"/>
  <c r="BX30" i="5"/>
  <c r="H33" i="5"/>
  <c r="BT52" i="5"/>
  <c r="BQ52" i="5"/>
  <c r="BU59" i="5"/>
  <c r="BY60" i="5"/>
  <c r="BZ60" i="5"/>
  <c r="BX59" i="5"/>
  <c r="BU29" i="5"/>
  <c r="BY30" i="5"/>
  <c r="BY59" i="5"/>
  <c r="BX74" i="5"/>
  <c r="J36" i="5"/>
  <c r="BR60" i="5"/>
  <c r="BT70" i="5"/>
  <c r="BX71" i="5"/>
  <c r="AY76" i="5"/>
  <c r="BP76" i="5" s="1"/>
  <c r="BY78" i="5"/>
  <c r="BX50" i="5"/>
  <c r="BU53" i="5"/>
  <c r="I63" i="5"/>
  <c r="AY57" i="5"/>
  <c r="BP57" i="5" s="1"/>
  <c r="BT67" i="5"/>
  <c r="CA78" i="5"/>
  <c r="V108" i="5"/>
  <c r="BQ115" i="5"/>
  <c r="BU115" i="5"/>
  <c r="V54" i="5"/>
  <c r="AY49" i="5"/>
  <c r="BP49" i="5" s="1"/>
  <c r="BT71" i="5"/>
  <c r="J117" i="5"/>
  <c r="BS59" i="5"/>
  <c r="CA57" i="5"/>
  <c r="BT76" i="5"/>
  <c r="AY78" i="5"/>
  <c r="BP78" i="5" s="1"/>
  <c r="BY97" i="5"/>
  <c r="CP97" i="5" s="1"/>
  <c r="DI97" i="5" s="1"/>
  <c r="BV51" i="5"/>
  <c r="BT51" i="5"/>
  <c r="BW51" i="5"/>
  <c r="AY94" i="5"/>
  <c r="BP94" i="5" s="1"/>
  <c r="CI110" i="5"/>
  <c r="DB110" i="5" s="1"/>
  <c r="CR110" i="5"/>
  <c r="BX35" i="5"/>
  <c r="BV35" i="5"/>
  <c r="I54" i="5"/>
  <c r="BX53" i="5"/>
  <c r="BV53" i="5"/>
  <c r="BV70" i="5"/>
  <c r="V81" i="5"/>
  <c r="AZ76" i="5"/>
  <c r="BQ76" i="5" s="1"/>
  <c r="BT97" i="5"/>
  <c r="CK97" i="5" s="1"/>
  <c r="DD97" i="5" s="1"/>
  <c r="I108" i="5"/>
  <c r="V36" i="5"/>
  <c r="BY35" i="5"/>
  <c r="BW35" i="5"/>
  <c r="BV71" i="5"/>
  <c r="BP67" i="5"/>
  <c r="J54" i="5"/>
  <c r="BW59" i="5"/>
  <c r="BX70" i="5"/>
  <c r="BW70" i="5"/>
  <c r="BR79" i="5"/>
  <c r="CA79" i="5"/>
  <c r="BQ97" i="5"/>
  <c r="CH97" i="5" s="1"/>
  <c r="DA97" i="5" s="1"/>
  <c r="J108" i="5"/>
  <c r="CK110" i="5"/>
  <c r="DD110" i="5" s="1"/>
  <c r="BX115" i="5"/>
  <c r="BW115" i="5"/>
  <c r="BS30" i="5"/>
  <c r="BX34" i="5"/>
  <c r="BZ35" i="5"/>
  <c r="BU35" i="5"/>
  <c r="J72" i="5"/>
  <c r="AZ49" i="5"/>
  <c r="BQ49" i="5" s="1"/>
  <c r="CH47" i="5" s="1"/>
  <c r="BZ53" i="5"/>
  <c r="V63" i="5"/>
  <c r="BR59" i="5"/>
  <c r="CA59" i="5"/>
  <c r="AY61" i="5"/>
  <c r="BP61" i="5" s="1"/>
  <c r="BR78" i="5"/>
  <c r="BZ78" i="5"/>
  <c r="BS79" i="5"/>
  <c r="I90" i="5"/>
  <c r="BT83" i="5"/>
  <c r="BX84" i="5"/>
  <c r="BV84" i="5"/>
  <c r="BT86" i="5"/>
  <c r="BW87" i="5"/>
  <c r="BT89" i="5"/>
  <c r="I99" i="5"/>
  <c r="BV97" i="5"/>
  <c r="CM97" i="5" s="1"/>
  <c r="DF97" i="5" s="1"/>
  <c r="BW101" i="5"/>
  <c r="I117" i="5"/>
  <c r="BQ51" i="5"/>
  <c r="BY51" i="5"/>
  <c r="J81" i="5"/>
  <c r="J90" i="5"/>
  <c r="J99" i="5"/>
  <c r="BQ30" i="5"/>
  <c r="BU30" i="5"/>
  <c r="BR35" i="5"/>
  <c r="BR51" i="5"/>
  <c r="BZ51" i="5"/>
  <c r="BR53" i="5"/>
  <c r="BU60" i="5"/>
  <c r="I81" i="5"/>
  <c r="BX80" i="5"/>
  <c r="S90" i="5"/>
  <c r="BV83" i="5"/>
  <c r="BZ84" i="5"/>
  <c r="BV86" i="5"/>
  <c r="BV89" i="5"/>
  <c r="S99" i="5"/>
  <c r="S117" i="5"/>
  <c r="I76" i="6" s="1"/>
  <c r="BZ80" i="5"/>
  <c r="BS51" i="5"/>
  <c r="CA51" i="5"/>
  <c r="BR52" i="5"/>
  <c r="CI52" i="5" s="1"/>
  <c r="CA52" i="5"/>
  <c r="BS53" i="5"/>
  <c r="J63" i="5"/>
  <c r="BU74" i="5"/>
  <c r="BW75" i="5"/>
  <c r="BV76" i="5"/>
  <c r="V90" i="5"/>
  <c r="BW83" i="5"/>
  <c r="V117" i="5"/>
  <c r="J76" i="6" s="1"/>
  <c r="I36" i="5"/>
  <c r="BW30" i="5"/>
  <c r="BS34" i="5"/>
  <c r="BQ35" i="5"/>
  <c r="BT35" i="5"/>
  <c r="H144" i="5"/>
  <c r="CG137" i="5"/>
  <c r="CZ137" i="5" s="1"/>
  <c r="H135" i="5"/>
  <c r="CG128" i="5"/>
  <c r="CZ128" i="5" s="1"/>
  <c r="DK119" i="5"/>
  <c r="CZ119" i="5"/>
  <c r="H126" i="5"/>
  <c r="BW29" i="5"/>
  <c r="BT30" i="5"/>
  <c r="BV30" i="5"/>
  <c r="BZ30" i="5"/>
  <c r="BQ34" i="5"/>
  <c r="BX29" i="5"/>
  <c r="BR30" i="5"/>
  <c r="CA30" i="5"/>
  <c r="BV34" i="5"/>
  <c r="BT29" i="5"/>
  <c r="AV36" i="5"/>
  <c r="G67" i="6" s="1"/>
  <c r="BV29" i="5"/>
  <c r="BZ29" i="5"/>
  <c r="BW34" i="5"/>
  <c r="BR29" i="5"/>
  <c r="CA29" i="5"/>
  <c r="BY34" i="5"/>
  <c r="BS29" i="5"/>
  <c r="BU34" i="5"/>
  <c r="BZ34" i="5"/>
  <c r="BR34" i="5"/>
  <c r="CA34" i="5"/>
  <c r="H29" i="5"/>
  <c r="AZ29" i="5"/>
  <c r="BQ29" i="5" s="1"/>
  <c r="BH29" i="5"/>
  <c r="BY29" i="5" s="1"/>
  <c r="H30" i="5"/>
  <c r="AY30" i="5" s="1"/>
  <c r="BP30" i="5" s="1"/>
  <c r="BS35" i="5"/>
  <c r="S36" i="5"/>
  <c r="I67" i="6" s="1"/>
  <c r="H35" i="5"/>
  <c r="AY35" i="5" s="1"/>
  <c r="BP35" i="5" s="1"/>
  <c r="H34" i="5"/>
  <c r="AY34" i="5" s="1"/>
  <c r="BP34" i="5" s="1"/>
  <c r="H32" i="5"/>
  <c r="BP32" i="5" s="1"/>
  <c r="BW49" i="5"/>
  <c r="BW50" i="5"/>
  <c r="BU51" i="5"/>
  <c r="BS52" i="5"/>
  <c r="CJ52" i="5" s="1"/>
  <c r="BQ53" i="5"/>
  <c r="BT53" i="5"/>
  <c r="BQ59" i="5"/>
  <c r="BT59" i="5"/>
  <c r="BV59" i="5"/>
  <c r="BT60" i="5"/>
  <c r="BX61" i="5"/>
  <c r="CO61" i="5" s="1"/>
  <c r="BV61" i="5"/>
  <c r="BY66" i="5"/>
  <c r="BQ70" i="5"/>
  <c r="BU70" i="5"/>
  <c r="BY71" i="5"/>
  <c r="BW71" i="5"/>
  <c r="BW76" i="5"/>
  <c r="BY80" i="5"/>
  <c r="BU83" i="5"/>
  <c r="BY84" i="5"/>
  <c r="BW84" i="5"/>
  <c r="BQ86" i="5"/>
  <c r="BU86" i="5"/>
  <c r="BQ89" i="5"/>
  <c r="BQ94" i="5"/>
  <c r="BR95" i="5"/>
  <c r="BX97" i="5"/>
  <c r="CO97" i="5" s="1"/>
  <c r="DH97" i="5" s="1"/>
  <c r="BW97" i="5"/>
  <c r="CN97" i="5" s="1"/>
  <c r="DG97" i="5" s="1"/>
  <c r="BX101" i="5"/>
  <c r="BR104" i="5"/>
  <c r="BZ104" i="5"/>
  <c r="CJ110" i="5"/>
  <c r="DC110" i="5" s="1"/>
  <c r="BY104" i="5"/>
  <c r="BW57" i="5"/>
  <c r="BY61" i="5"/>
  <c r="BX66" i="5"/>
  <c r="BX76" i="5"/>
  <c r="CA94" i="5"/>
  <c r="BX57" i="5"/>
  <c r="BZ66" i="5"/>
  <c r="BZ71" i="5"/>
  <c r="BY76" i="5"/>
  <c r="CA80" i="5"/>
  <c r="CA84" i="5"/>
  <c r="BX86" i="5"/>
  <c r="BW86" i="5"/>
  <c r="BR87" i="5"/>
  <c r="BX89" i="5"/>
  <c r="BW89" i="5"/>
  <c r="BQ95" i="5"/>
  <c r="BT95" i="5"/>
  <c r="BQ104" i="5"/>
  <c r="BV104" i="5"/>
  <c r="CH110" i="5"/>
  <c r="DA110" i="5" s="1"/>
  <c r="BY50" i="5"/>
  <c r="BR50" i="5"/>
  <c r="BZ50" i="5"/>
  <c r="BX51" i="5"/>
  <c r="BY53" i="5"/>
  <c r="BW53" i="5"/>
  <c r="BQ57" i="5"/>
  <c r="BY57" i="5"/>
  <c r="BX60" i="5"/>
  <c r="BR66" i="5"/>
  <c r="CA66" i="5"/>
  <c r="BY70" i="5"/>
  <c r="BR71" i="5"/>
  <c r="BR80" i="5"/>
  <c r="BV80" i="5"/>
  <c r="BZ83" i="5"/>
  <c r="BR84" i="5"/>
  <c r="BY86" i="5"/>
  <c r="BZ86" i="5"/>
  <c r="BS87" i="5"/>
  <c r="BY89" i="5"/>
  <c r="BZ89" i="5"/>
  <c r="BU95" i="5"/>
  <c r="BR57" i="5"/>
  <c r="BZ57" i="5"/>
  <c r="BS66" i="5"/>
  <c r="BT66" i="5"/>
  <c r="BS71" i="5"/>
  <c r="BS80" i="5"/>
  <c r="BS84" i="5"/>
  <c r="BX95" i="5"/>
  <c r="BQ50" i="5"/>
  <c r="BV50" i="5"/>
  <c r="CA53" i="5"/>
  <c r="BZ59" i="5"/>
  <c r="BQ66" i="5"/>
  <c r="BV66" i="5"/>
  <c r="BQ71" i="5"/>
  <c r="BQ75" i="5"/>
  <c r="BU75" i="5"/>
  <c r="BQ80" i="5"/>
  <c r="BT80" i="5"/>
  <c r="BR83" i="5"/>
  <c r="BQ84" i="5"/>
  <c r="BT84" i="5"/>
  <c r="BQ93" i="5"/>
  <c r="BU93" i="5"/>
  <c r="BX94" i="5"/>
  <c r="BV94" i="5"/>
  <c r="BY95" i="5"/>
  <c r="BW95" i="5"/>
  <c r="BW104" i="5"/>
  <c r="BT57" i="5"/>
  <c r="BR58" i="5"/>
  <c r="BZ58" i="5"/>
  <c r="BU66" i="5"/>
  <c r="BU71" i="5"/>
  <c r="BV75" i="5"/>
  <c r="BU80" i="5"/>
  <c r="BU84" i="5"/>
  <c r="BS86" i="5"/>
  <c r="BV87" i="5"/>
  <c r="BS89" i="5"/>
  <c r="BZ95" i="5"/>
  <c r="BX104" i="5"/>
  <c r="BV115" i="5"/>
  <c r="BY115" i="5"/>
  <c r="BZ115" i="5"/>
  <c r="BR115" i="5"/>
  <c r="CA115" i="5"/>
  <c r="CO110" i="5"/>
  <c r="DH110" i="5" s="1"/>
  <c r="CN110" i="5"/>
  <c r="DG110" i="5" s="1"/>
  <c r="CP110" i="5"/>
  <c r="DI110" i="5" s="1"/>
  <c r="BS115" i="5"/>
  <c r="CL110" i="5"/>
  <c r="DE110" i="5" s="1"/>
  <c r="CM110" i="5"/>
  <c r="DF110" i="5" s="1"/>
  <c r="CQ110" i="5"/>
  <c r="DJ110" i="5" s="1"/>
  <c r="BT115" i="5"/>
  <c r="BP115" i="5"/>
  <c r="AY113" i="5"/>
  <c r="CA101" i="5"/>
  <c r="BS101" i="5"/>
  <c r="BZ101" i="5"/>
  <c r="BR101" i="5"/>
  <c r="BT101" i="5"/>
  <c r="BU101" i="5"/>
  <c r="BV101" i="5"/>
  <c r="AZ101" i="5"/>
  <c r="BQ101" i="5" s="1"/>
  <c r="BH101" i="5"/>
  <c r="BY101" i="5" s="1"/>
  <c r="S108" i="5"/>
  <c r="BS104" i="5"/>
  <c r="CA104" i="5"/>
  <c r="BT104" i="5"/>
  <c r="BP104" i="5"/>
  <c r="BW94" i="5"/>
  <c r="BZ94" i="5"/>
  <c r="BR94" i="5"/>
  <c r="BU94" i="5"/>
  <c r="BY94" i="5"/>
  <c r="BY93" i="5"/>
  <c r="BX93" i="5"/>
  <c r="BR93" i="5"/>
  <c r="CA93" i="5"/>
  <c r="BS94" i="5"/>
  <c r="BZ97" i="5"/>
  <c r="CQ97" i="5" s="1"/>
  <c r="DJ97" i="5" s="1"/>
  <c r="BR97" i="5"/>
  <c r="CI97" i="5" s="1"/>
  <c r="DB97" i="5" s="1"/>
  <c r="BU97" i="5"/>
  <c r="CL97" i="5" s="1"/>
  <c r="DE97" i="5" s="1"/>
  <c r="CA97" i="5"/>
  <c r="CR97" i="5" s="1"/>
  <c r="DK97" i="5" s="1"/>
  <c r="BS97" i="5"/>
  <c r="CJ97" i="5" s="1"/>
  <c r="DC97" i="5" s="1"/>
  <c r="BV93" i="5"/>
  <c r="BW93" i="5"/>
  <c r="BT93" i="5"/>
  <c r="BZ93" i="5"/>
  <c r="AV99" i="5"/>
  <c r="BS93" i="5"/>
  <c r="BT94" i="5"/>
  <c r="BV95" i="5"/>
  <c r="BP93" i="5"/>
  <c r="V99" i="5"/>
  <c r="BS95" i="5"/>
  <c r="AY97" i="5"/>
  <c r="BP97" i="5" s="1"/>
  <c r="CG97" i="5" s="1"/>
  <c r="CZ97" i="5" s="1"/>
  <c r="AY95" i="5"/>
  <c r="BP95" i="5" s="1"/>
  <c r="BY87" i="5"/>
  <c r="BZ87" i="5"/>
  <c r="BS88" i="5"/>
  <c r="BU89" i="5"/>
  <c r="BV88" i="5"/>
  <c r="BU88" i="5"/>
  <c r="BZ88" i="5"/>
  <c r="BR88" i="5"/>
  <c r="CA88" i="5"/>
  <c r="CA87" i="5"/>
  <c r="BT88" i="5"/>
  <c r="BQ88" i="5"/>
  <c r="CA86" i="5"/>
  <c r="BT87" i="5"/>
  <c r="BX88" i="5"/>
  <c r="BW88" i="5"/>
  <c r="CA89" i="5"/>
  <c r="BR86" i="5"/>
  <c r="BQ87" i="5"/>
  <c r="BU87" i="5"/>
  <c r="BY88" i="5"/>
  <c r="BR89" i="5"/>
  <c r="BG83" i="5"/>
  <c r="BX83" i="5" s="1"/>
  <c r="AZ83" i="5"/>
  <c r="BQ83" i="5" s="1"/>
  <c r="BH83" i="5"/>
  <c r="BY83" i="5" s="1"/>
  <c r="AY84" i="5"/>
  <c r="BP84" i="5" s="1"/>
  <c r="AV90" i="5"/>
  <c r="AY89" i="5"/>
  <c r="BP89" i="5" s="1"/>
  <c r="BP88" i="5"/>
  <c r="AY87" i="5"/>
  <c r="BP87" i="5" s="1"/>
  <c r="BS83" i="5"/>
  <c r="AY86" i="5"/>
  <c r="BP86" i="5" s="1"/>
  <c r="BV74" i="5"/>
  <c r="BY75" i="5"/>
  <c r="BX75" i="5"/>
  <c r="BW74" i="5"/>
  <c r="CA75" i="5"/>
  <c r="BS75" i="5"/>
  <c r="BR75" i="5"/>
  <c r="BZ75" i="5"/>
  <c r="BT75" i="5"/>
  <c r="BX79" i="5"/>
  <c r="CA74" i="5"/>
  <c r="BS74" i="5"/>
  <c r="BZ74" i="5"/>
  <c r="BT74" i="5"/>
  <c r="AV81" i="5"/>
  <c r="BR74" i="5"/>
  <c r="BV78" i="5"/>
  <c r="BU78" i="5"/>
  <c r="BT78" i="5"/>
  <c r="BW78" i="5"/>
  <c r="BX78" i="5"/>
  <c r="BW79" i="5"/>
  <c r="BU79" i="5"/>
  <c r="BV79" i="5"/>
  <c r="BZ79" i="5"/>
  <c r="BS76" i="5"/>
  <c r="S81" i="5"/>
  <c r="BH74" i="5"/>
  <c r="BY74" i="5" s="1"/>
  <c r="AY75" i="5"/>
  <c r="BP75" i="5" s="1"/>
  <c r="BU76" i="5"/>
  <c r="AY80" i="5"/>
  <c r="BP80" i="5" s="1"/>
  <c r="BR76" i="5"/>
  <c r="BZ76" i="5"/>
  <c r="AY79" i="5"/>
  <c r="BP79" i="5" s="1"/>
  <c r="AZ79" i="5"/>
  <c r="BQ79" i="5" s="1"/>
  <c r="CA76" i="5"/>
  <c r="BX67" i="5"/>
  <c r="BW67" i="5"/>
  <c r="BV67" i="5"/>
  <c r="BU67" i="5"/>
  <c r="BY67" i="5"/>
  <c r="BQ67" i="5"/>
  <c r="BZ67" i="5"/>
  <c r="AV72" i="5"/>
  <c r="BS70" i="5"/>
  <c r="BZ70" i="5"/>
  <c r="BR70" i="5"/>
  <c r="CA70" i="5"/>
  <c r="BR67" i="5"/>
  <c r="CA67" i="5"/>
  <c r="BS67" i="5"/>
  <c r="S72" i="5"/>
  <c r="AY66" i="5"/>
  <c r="BP66" i="5" s="1"/>
  <c r="CA71" i="5"/>
  <c r="V72" i="5"/>
  <c r="AY71" i="5"/>
  <c r="BP71" i="5" s="1"/>
  <c r="AY70" i="5"/>
  <c r="BP70" i="5" s="1"/>
  <c r="BW61" i="5"/>
  <c r="BZ61" i="5"/>
  <c r="BQ61" i="5"/>
  <c r="BT62" i="5"/>
  <c r="BT58" i="5"/>
  <c r="BU58" i="5"/>
  <c r="BV58" i="5"/>
  <c r="BW58" i="5"/>
  <c r="BX58" i="5"/>
  <c r="BR61" i="5"/>
  <c r="BQ62" i="5"/>
  <c r="BU62" i="5"/>
  <c r="CA61" i="5"/>
  <c r="CR61" i="5" s="1"/>
  <c r="BQ58" i="5"/>
  <c r="BY58" i="5"/>
  <c r="BV60" i="5"/>
  <c r="BW60" i="5"/>
  <c r="CA60" i="5"/>
  <c r="BS61" i="5"/>
  <c r="BV62" i="5"/>
  <c r="BT61" i="5"/>
  <c r="CK61" i="5" s="1"/>
  <c r="BX62" i="5"/>
  <c r="BW62" i="5"/>
  <c r="BS58" i="5"/>
  <c r="CA58" i="5"/>
  <c r="BS60" i="5"/>
  <c r="BU61" i="5"/>
  <c r="BY62" i="5"/>
  <c r="BZ62" i="5"/>
  <c r="CA62" i="5"/>
  <c r="BS62" i="5"/>
  <c r="BR62" i="5"/>
  <c r="BV57" i="5"/>
  <c r="CM56" i="5" s="1"/>
  <c r="AV63" i="5"/>
  <c r="BU57" i="5"/>
  <c r="CL56" i="5" s="1"/>
  <c r="S63" i="5"/>
  <c r="AY62" i="5"/>
  <c r="BP62" i="5" s="1"/>
  <c r="AY60" i="5"/>
  <c r="BP60" i="5" s="1"/>
  <c r="BS57" i="5"/>
  <c r="AY59" i="5"/>
  <c r="BP59" i="5" s="1"/>
  <c r="BY49" i="5"/>
  <c r="BV52" i="5"/>
  <c r="CM52" i="5" s="1"/>
  <c r="BT49" i="5"/>
  <c r="CA49" i="5"/>
  <c r="BS49" i="5"/>
  <c r="BZ49" i="5"/>
  <c r="BR49" i="5"/>
  <c r="BU49" i="5"/>
  <c r="CL47" i="5" s="1"/>
  <c r="BX49" i="5"/>
  <c r="AV54" i="5"/>
  <c r="BX52" i="5"/>
  <c r="CO52" i="5" s="1"/>
  <c r="BY52" i="5"/>
  <c r="CP52" i="5" s="1"/>
  <c r="BW52" i="5"/>
  <c r="CN52" i="5" s="1"/>
  <c r="BU52" i="5"/>
  <c r="CL52" i="5" s="1"/>
  <c r="BZ52" i="5"/>
  <c r="S54" i="5"/>
  <c r="AY53" i="5"/>
  <c r="BP53" i="5" s="1"/>
  <c r="BS50" i="5"/>
  <c r="CA50" i="5"/>
  <c r="AY52" i="5"/>
  <c r="BP52" i="5" s="1"/>
  <c r="BT50" i="5"/>
  <c r="AY50" i="5"/>
  <c r="BP50" i="5" s="1"/>
  <c r="AV45" i="5"/>
  <c r="G68" i="6" s="1"/>
  <c r="S131" i="3"/>
  <c r="R131" i="3"/>
  <c r="S121" i="3"/>
  <c r="R121" i="3"/>
  <c r="S111" i="3"/>
  <c r="R111" i="3"/>
  <c r="S101" i="3"/>
  <c r="R101" i="3"/>
  <c r="S91" i="3"/>
  <c r="R91" i="3"/>
  <c r="S81" i="3"/>
  <c r="R81" i="3"/>
  <c r="S71" i="3"/>
  <c r="R71" i="3"/>
  <c r="S61" i="3"/>
  <c r="R61" i="3"/>
  <c r="S51" i="3"/>
  <c r="R51" i="3"/>
  <c r="Q51" i="3"/>
  <c r="O40" i="6" s="1"/>
  <c r="O12" i="6" s="1"/>
  <c r="E28" i="15" s="1"/>
  <c r="S41" i="3"/>
  <c r="R41" i="3"/>
  <c r="Q41" i="3"/>
  <c r="O39" i="6" s="1"/>
  <c r="O11" i="6" s="1"/>
  <c r="E27" i="15" s="1"/>
  <c r="S31" i="3"/>
  <c r="R31" i="3"/>
  <c r="Q31" i="3"/>
  <c r="O38" i="6" s="1"/>
  <c r="O10" i="6" s="1"/>
  <c r="E26" i="15" s="1"/>
  <c r="S21" i="3"/>
  <c r="R21" i="3"/>
  <c r="Q20" i="3"/>
  <c r="Q19" i="3"/>
  <c r="Q18" i="3"/>
  <c r="Q17" i="3"/>
  <c r="Q16" i="3"/>
  <c r="Q15" i="3"/>
  <c r="Q14" i="3"/>
  <c r="H24" i="6" l="1"/>
  <c r="F52" i="6"/>
  <c r="AR52" i="6" s="1"/>
  <c r="G52" i="6"/>
  <c r="G24" i="6" s="1"/>
  <c r="CG52" i="5"/>
  <c r="CZ52" i="5" s="1"/>
  <c r="CV52" i="5"/>
  <c r="DO52" i="5" s="1"/>
  <c r="CT52" i="5"/>
  <c r="DM52" i="5" s="1"/>
  <c r="DD185" i="5"/>
  <c r="AK84" i="6" s="1"/>
  <c r="DK185" i="5"/>
  <c r="V84" i="6" s="1"/>
  <c r="DJ185" i="5"/>
  <c r="U84" i="6" s="1"/>
  <c r="DG185" i="5"/>
  <c r="DL185" i="5"/>
  <c r="W84" i="6" s="1"/>
  <c r="DN185" i="5"/>
  <c r="Z84" i="6" s="1"/>
  <c r="DB185" i="5"/>
  <c r="AJ84" i="6" s="1"/>
  <c r="DM185" i="5"/>
  <c r="X84" i="6" s="1"/>
  <c r="DE185" i="5"/>
  <c r="AO84" i="6" s="1"/>
  <c r="E53" i="6"/>
  <c r="H53" i="6" s="1"/>
  <c r="DI185" i="5"/>
  <c r="S84" i="6" s="1"/>
  <c r="DA185" i="5"/>
  <c r="G172" i="3"/>
  <c r="DF144" i="5"/>
  <c r="G162" i="3"/>
  <c r="CI61" i="5"/>
  <c r="DB61" i="5" s="1"/>
  <c r="CJ61" i="5"/>
  <c r="DC61" i="5" s="1"/>
  <c r="CG61" i="5"/>
  <c r="CZ61" i="5" s="1"/>
  <c r="CL61" i="5"/>
  <c r="DE61" i="5" s="1"/>
  <c r="CH61" i="5"/>
  <c r="DA61" i="5" s="1"/>
  <c r="CQ61" i="5"/>
  <c r="DJ61" i="5" s="1"/>
  <c r="CS61" i="5"/>
  <c r="DL61" i="5" s="1"/>
  <c r="CN61" i="5"/>
  <c r="DG61" i="5" s="1"/>
  <c r="CP61" i="5"/>
  <c r="DI61" i="5" s="1"/>
  <c r="CT61" i="5"/>
  <c r="DM61" i="5" s="1"/>
  <c r="CM61" i="5"/>
  <c r="DF61" i="5" s="1"/>
  <c r="CU61" i="5"/>
  <c r="DN61" i="5" s="1"/>
  <c r="CV56" i="5"/>
  <c r="DO56" i="5" s="1"/>
  <c r="CK56" i="5"/>
  <c r="DD56" i="5" s="1"/>
  <c r="CI56" i="5"/>
  <c r="DB56" i="5" s="1"/>
  <c r="CT56" i="5"/>
  <c r="DM56" i="5" s="1"/>
  <c r="CH56" i="5"/>
  <c r="DA56" i="5" s="1"/>
  <c r="CR56" i="5"/>
  <c r="CG56" i="5"/>
  <c r="CZ56" i="5" s="1"/>
  <c r="CJ56" i="5"/>
  <c r="DC56" i="5" s="1"/>
  <c r="CQ56" i="5"/>
  <c r="DJ56" i="5" s="1"/>
  <c r="CS56" i="5"/>
  <c r="DL56" i="5" s="1"/>
  <c r="CN56" i="5"/>
  <c r="DG56" i="5" s="1"/>
  <c r="CU56" i="5"/>
  <c r="DN56" i="5" s="1"/>
  <c r="CP56" i="5"/>
  <c r="DI56" i="5" s="1"/>
  <c r="CO56" i="5"/>
  <c r="DH56" i="5" s="1"/>
  <c r="E55" i="6"/>
  <c r="CU52" i="5"/>
  <c r="DN52" i="5" s="1"/>
  <c r="CH52" i="5"/>
  <c r="DA52" i="5" s="1"/>
  <c r="CK52" i="5"/>
  <c r="DD52" i="5" s="1"/>
  <c r="CR52" i="5"/>
  <c r="DK52" i="5" s="1"/>
  <c r="CQ52" i="5"/>
  <c r="DJ52" i="5" s="1"/>
  <c r="CS52" i="5"/>
  <c r="DL52" i="5" s="1"/>
  <c r="CI47" i="5"/>
  <c r="DB47" i="5" s="1"/>
  <c r="CS47" i="5"/>
  <c r="DL47" i="5" s="1"/>
  <c r="CT47" i="5"/>
  <c r="DM47" i="5" s="1"/>
  <c r="CU47" i="5"/>
  <c r="DN47" i="5" s="1"/>
  <c r="CV47" i="5"/>
  <c r="DO47" i="5" s="1"/>
  <c r="CG47" i="5"/>
  <c r="CZ47" i="5" s="1"/>
  <c r="CO47" i="5"/>
  <c r="DH47" i="5" s="1"/>
  <c r="CN47" i="5"/>
  <c r="DG47" i="5" s="1"/>
  <c r="CM47" i="5"/>
  <c r="DF47" i="5" s="1"/>
  <c r="CQ47" i="5"/>
  <c r="DJ47" i="5" s="1"/>
  <c r="CJ47" i="5"/>
  <c r="DC47" i="5" s="1"/>
  <c r="CR47" i="5"/>
  <c r="DK47" i="5" s="1"/>
  <c r="CK47" i="5"/>
  <c r="DD47" i="5" s="1"/>
  <c r="CP47" i="5"/>
  <c r="DI47" i="5" s="1"/>
  <c r="DM144" i="5"/>
  <c r="X79" i="6" s="1"/>
  <c r="DL144" i="5"/>
  <c r="W79" i="6" s="1"/>
  <c r="DI144" i="5"/>
  <c r="S79" i="6" s="1"/>
  <c r="DJ144" i="5"/>
  <c r="U79" i="6" s="1"/>
  <c r="AM82" i="6"/>
  <c r="AP82" i="6"/>
  <c r="AM80" i="6"/>
  <c r="AP80" i="6"/>
  <c r="DK144" i="5"/>
  <c r="V79" i="6" s="1"/>
  <c r="DH144" i="5"/>
  <c r="R79" i="6" s="1"/>
  <c r="DD144" i="5"/>
  <c r="AK79" i="6" s="1"/>
  <c r="DE144" i="5"/>
  <c r="AO79" i="6" s="1"/>
  <c r="DG144" i="5"/>
  <c r="CZ144" i="5"/>
  <c r="DB144" i="5"/>
  <c r="AJ79" i="6" s="1"/>
  <c r="DO144" i="5"/>
  <c r="AA79" i="6" s="1"/>
  <c r="DA144" i="5"/>
  <c r="DN144" i="5"/>
  <c r="Z79" i="6" s="1"/>
  <c r="DC144" i="5"/>
  <c r="AN79" i="6" s="1"/>
  <c r="AP78" i="6"/>
  <c r="AM78" i="6"/>
  <c r="CZ135" i="5"/>
  <c r="G212" i="3"/>
  <c r="H212" i="3"/>
  <c r="R56" i="6" s="1"/>
  <c r="R28" i="6" s="1"/>
  <c r="BQ212" i="3"/>
  <c r="BW212" i="3"/>
  <c r="AR212" i="3"/>
  <c r="BH212" i="3"/>
  <c r="AF212" i="3"/>
  <c r="Z212" i="3"/>
  <c r="R212" i="3"/>
  <c r="P212" i="3"/>
  <c r="W212" i="3"/>
  <c r="Z56" i="6" s="1"/>
  <c r="J212" i="3"/>
  <c r="Q212" i="3"/>
  <c r="V56" i="6" s="1"/>
  <c r="U212" i="3"/>
  <c r="X56" i="6" s="1"/>
  <c r="V212" i="3"/>
  <c r="Y56" i="6" s="1"/>
  <c r="Y28" i="6" s="1"/>
  <c r="E28" i="6"/>
  <c r="H56" i="6"/>
  <c r="CD202" i="3"/>
  <c r="Z202" i="3"/>
  <c r="BY202" i="3"/>
  <c r="CK202" i="3"/>
  <c r="BX202" i="3"/>
  <c r="CF202" i="3"/>
  <c r="BM202" i="3"/>
  <c r="AZ202" i="3"/>
  <c r="AM55" i="6" s="1"/>
  <c r="H202" i="3"/>
  <c r="R55" i="6" s="1"/>
  <c r="R27" i="6" s="1"/>
  <c r="CH202" i="3"/>
  <c r="CA202" i="3"/>
  <c r="BS202" i="3"/>
  <c r="V202" i="3"/>
  <c r="Y55" i="6" s="1"/>
  <c r="Y27" i="6" s="1"/>
  <c r="R202" i="3"/>
  <c r="Q202" i="3"/>
  <c r="V55" i="6" s="1"/>
  <c r="V27" i="6" s="1"/>
  <c r="AG202" i="3"/>
  <c r="BO202" i="3"/>
  <c r="BA202" i="3"/>
  <c r="AN55" i="6" s="1"/>
  <c r="AI202" i="3"/>
  <c r="AY202" i="3"/>
  <c r="AL55" i="6" s="1"/>
  <c r="AO202" i="3"/>
  <c r="BZ202" i="3"/>
  <c r="CQ202" i="3"/>
  <c r="BI202" i="3"/>
  <c r="BR202" i="3"/>
  <c r="AE202" i="3"/>
  <c r="CC202" i="3"/>
  <c r="BN202" i="3"/>
  <c r="J202" i="3"/>
  <c r="BJ202" i="3"/>
  <c r="BW202" i="3"/>
  <c r="AM202" i="3"/>
  <c r="W202" i="3"/>
  <c r="Z55" i="6" s="1"/>
  <c r="Z27" i="6" s="1"/>
  <c r="AR202" i="3"/>
  <c r="AF202" i="3"/>
  <c r="P202" i="3"/>
  <c r="AT202" i="3"/>
  <c r="AU202" i="3"/>
  <c r="AC202" i="3"/>
  <c r="BF202" i="3"/>
  <c r="AB202" i="3"/>
  <c r="BG202" i="3"/>
  <c r="CO202" i="3"/>
  <c r="BQ202" i="3"/>
  <c r="CP202" i="3"/>
  <c r="AL202" i="3"/>
  <c r="CM202" i="3"/>
  <c r="L202" i="3"/>
  <c r="AH202" i="3"/>
  <c r="AA202" i="3"/>
  <c r="AJ202" i="3"/>
  <c r="CG202" i="3"/>
  <c r="T202" i="3"/>
  <c r="W55" i="6" s="1"/>
  <c r="CI202" i="3"/>
  <c r="I202" i="3"/>
  <c r="AN202" i="3"/>
  <c r="CL202" i="3"/>
  <c r="S202" i="3"/>
  <c r="X202" i="3"/>
  <c r="AA55" i="6" s="1"/>
  <c r="AA27" i="6" s="1"/>
  <c r="BK202" i="3"/>
  <c r="CE202" i="3"/>
  <c r="BV202" i="3"/>
  <c r="AX202" i="3"/>
  <c r="AK55" i="6" s="1"/>
  <c r="CN202" i="3"/>
  <c r="BU202" i="3"/>
  <c r="AD202" i="3"/>
  <c r="AQ202" i="3"/>
  <c r="AP202" i="3"/>
  <c r="AS202" i="3"/>
  <c r="AW202" i="3"/>
  <c r="AJ55" i="6" s="1"/>
  <c r="BP202" i="3"/>
  <c r="U202" i="3"/>
  <c r="X55" i="6" s="1"/>
  <c r="AK202" i="3"/>
  <c r="BB202" i="3"/>
  <c r="AO55" i="6" s="1"/>
  <c r="N202" i="3"/>
  <c r="U55" i="6" s="1"/>
  <c r="U27" i="6" s="1"/>
  <c r="BH202" i="3"/>
  <c r="K202" i="3"/>
  <c r="S55" i="6" s="1"/>
  <c r="S27" i="6" s="1"/>
  <c r="O202" i="3"/>
  <c r="M202" i="3"/>
  <c r="BE202" i="3"/>
  <c r="BC202" i="3"/>
  <c r="AP55" i="6" s="1"/>
  <c r="E27" i="6"/>
  <c r="H55" i="6"/>
  <c r="G192" i="3"/>
  <c r="AZ192" i="3" s="1"/>
  <c r="AM54" i="6" s="1"/>
  <c r="E26" i="6"/>
  <c r="H54" i="6"/>
  <c r="O182" i="3"/>
  <c r="BS182" i="3"/>
  <c r="CE182" i="3"/>
  <c r="CM182" i="3"/>
  <c r="BU182" i="3"/>
  <c r="AK182" i="3"/>
  <c r="BR182" i="3"/>
  <c r="BN182" i="3"/>
  <c r="BI182" i="3"/>
  <c r="BA182" i="3"/>
  <c r="AN53" i="6" s="1"/>
  <c r="AL182" i="3"/>
  <c r="BO182" i="3"/>
  <c r="BF182" i="3"/>
  <c r="Z182" i="3"/>
  <c r="BZ182" i="3"/>
  <c r="AO182" i="3"/>
  <c r="CG182" i="3"/>
  <c r="S182" i="3"/>
  <c r="W182" i="3"/>
  <c r="Z53" i="6" s="1"/>
  <c r="Z25" i="6" s="1"/>
  <c r="CH182" i="3"/>
  <c r="CO182" i="3"/>
  <c r="BP182" i="3"/>
  <c r="BV182" i="3"/>
  <c r="BC182" i="3"/>
  <c r="AP53" i="6" s="1"/>
  <c r="CN182" i="3"/>
  <c r="AZ182" i="3"/>
  <c r="AM53" i="6" s="1"/>
  <c r="CQ182" i="3"/>
  <c r="AF182" i="3"/>
  <c r="L182" i="3"/>
  <c r="BH182" i="3"/>
  <c r="AE182" i="3"/>
  <c r="BE182" i="3"/>
  <c r="AH182" i="3"/>
  <c r="AP182" i="3"/>
  <c r="CD182" i="3"/>
  <c r="AN182" i="3"/>
  <c r="BX182" i="3"/>
  <c r="AG182" i="3"/>
  <c r="AW182" i="3"/>
  <c r="AJ53" i="6" s="1"/>
  <c r="AA182" i="3"/>
  <c r="BM182" i="3"/>
  <c r="BW182" i="3"/>
  <c r="CA182" i="3"/>
  <c r="AQ182" i="3"/>
  <c r="AM182" i="3"/>
  <c r="AS182" i="3"/>
  <c r="AD182" i="3"/>
  <c r="AB182" i="3"/>
  <c r="AJ182" i="3"/>
  <c r="T182" i="3"/>
  <c r="W53" i="6" s="1"/>
  <c r="H182" i="3"/>
  <c r="R53" i="6" s="1"/>
  <c r="R25" i="6" s="1"/>
  <c r="V182" i="3"/>
  <c r="Y53" i="6" s="1"/>
  <c r="Y25" i="6" s="1"/>
  <c r="AU182" i="3"/>
  <c r="K182" i="3"/>
  <c r="S53" i="6" s="1"/>
  <c r="S25" i="6" s="1"/>
  <c r="AI182" i="3"/>
  <c r="BG182" i="3"/>
  <c r="BJ182" i="3"/>
  <c r="I182" i="3"/>
  <c r="CC182" i="3"/>
  <c r="R182" i="3"/>
  <c r="U182" i="3"/>
  <c r="X53" i="6" s="1"/>
  <c r="CK182" i="3"/>
  <c r="AC182" i="3"/>
  <c r="CP182" i="3"/>
  <c r="BY182" i="3"/>
  <c r="AX182" i="3"/>
  <c r="AK53" i="6" s="1"/>
  <c r="J182" i="3"/>
  <c r="M182" i="3"/>
  <c r="CI182" i="3"/>
  <c r="BB182" i="3"/>
  <c r="AO53" i="6" s="1"/>
  <c r="BQ182" i="3"/>
  <c r="CF182" i="3"/>
  <c r="P182" i="3"/>
  <c r="N182" i="3"/>
  <c r="U53" i="6" s="1"/>
  <c r="U25" i="6" s="1"/>
  <c r="AY182" i="3"/>
  <c r="AL53" i="6" s="1"/>
  <c r="X182" i="3"/>
  <c r="AA53" i="6" s="1"/>
  <c r="AA25" i="6" s="1"/>
  <c r="BK182" i="3"/>
  <c r="CL182" i="3"/>
  <c r="Q182" i="3"/>
  <c r="V53" i="6" s="1"/>
  <c r="V25" i="6" s="1"/>
  <c r="AT182" i="3"/>
  <c r="AR182" i="3"/>
  <c r="E25" i="6"/>
  <c r="J23" i="6"/>
  <c r="O23" i="6"/>
  <c r="P23" i="6"/>
  <c r="K23" i="6"/>
  <c r="Q23" i="6"/>
  <c r="N23" i="6"/>
  <c r="L23" i="6"/>
  <c r="AT51" i="6"/>
  <c r="CS115" i="5"/>
  <c r="DL115" i="5" s="1"/>
  <c r="DL117" i="5" s="1"/>
  <c r="W76" i="6" s="1"/>
  <c r="I23" i="6"/>
  <c r="AU51" i="6"/>
  <c r="CT34" i="5"/>
  <c r="DM34" i="5" s="1"/>
  <c r="G152" i="3"/>
  <c r="CG152" i="3" s="1"/>
  <c r="AL79" i="6"/>
  <c r="CZ126" i="5"/>
  <c r="CV70" i="5"/>
  <c r="DO70" i="5" s="1"/>
  <c r="H50" i="6"/>
  <c r="G50" i="6" s="1"/>
  <c r="G22" i="6" s="1"/>
  <c r="DM126" i="5"/>
  <c r="X77" i="6" s="1"/>
  <c r="CK79" i="5"/>
  <c r="DD79" i="5" s="1"/>
  <c r="E24" i="6"/>
  <c r="DH126" i="5"/>
  <c r="R77" i="6" s="1"/>
  <c r="DN126" i="5"/>
  <c r="Z77" i="6" s="1"/>
  <c r="CU115" i="5"/>
  <c r="DN115" i="5" s="1"/>
  <c r="DN117" i="5" s="1"/>
  <c r="Z76" i="6" s="1"/>
  <c r="CV88" i="5"/>
  <c r="DO88" i="5" s="1"/>
  <c r="CT29" i="5"/>
  <c r="DM29" i="5" s="1"/>
  <c r="DA126" i="5"/>
  <c r="CT88" i="5"/>
  <c r="DM88" i="5" s="1"/>
  <c r="CT70" i="5"/>
  <c r="DM70" i="5" s="1"/>
  <c r="DL126" i="5"/>
  <c r="W77" i="6" s="1"/>
  <c r="CV34" i="5"/>
  <c r="DO34" i="5" s="1"/>
  <c r="DB126" i="5"/>
  <c r="AJ77" i="6" s="1"/>
  <c r="DG126" i="5"/>
  <c r="CV29" i="5"/>
  <c r="DO29" i="5" s="1"/>
  <c r="DO126" i="5"/>
  <c r="AA77" i="6" s="1"/>
  <c r="DF126" i="5"/>
  <c r="AL77" i="6" s="1"/>
  <c r="CV115" i="5"/>
  <c r="DO115" i="5" s="1"/>
  <c r="DO117" i="5" s="1"/>
  <c r="AA76" i="6" s="1"/>
  <c r="CU34" i="5"/>
  <c r="DN34" i="5" s="1"/>
  <c r="DO106" i="5"/>
  <c r="CS74" i="5"/>
  <c r="DL74" i="5" s="1"/>
  <c r="DJ126" i="5"/>
  <c r="U77" i="6" s="1"/>
  <c r="CU88" i="5"/>
  <c r="DN88" i="5" s="1"/>
  <c r="DM43" i="5"/>
  <c r="CR92" i="5"/>
  <c r="DK92" i="5" s="1"/>
  <c r="DK99" i="5" s="1"/>
  <c r="V74" i="6" s="1"/>
  <c r="AU76" i="6"/>
  <c r="CU29" i="5"/>
  <c r="DN29" i="5" s="1"/>
  <c r="DD126" i="5"/>
  <c r="AK77" i="6" s="1"/>
  <c r="CR34" i="5"/>
  <c r="DK34" i="5" s="1"/>
  <c r="CU70" i="5"/>
  <c r="DN70" i="5" s="1"/>
  <c r="CS34" i="5"/>
  <c r="DL34" i="5" s="1"/>
  <c r="CS70" i="5"/>
  <c r="DL70" i="5" s="1"/>
  <c r="DN43" i="5"/>
  <c r="CV101" i="5"/>
  <c r="DO101" i="5" s="1"/>
  <c r="CT92" i="5"/>
  <c r="DM92" i="5" s="1"/>
  <c r="DM99" i="5" s="1"/>
  <c r="X74" i="6" s="1"/>
  <c r="CT74" i="5"/>
  <c r="DM74" i="5" s="1"/>
  <c r="AR76" i="6"/>
  <c r="F76" i="6"/>
  <c r="DO43" i="5"/>
  <c r="CS88" i="5"/>
  <c r="DL88" i="5" s="1"/>
  <c r="CT115" i="5"/>
  <c r="DM115" i="5" s="1"/>
  <c r="DM117" i="5" s="1"/>
  <c r="X76" i="6" s="1"/>
  <c r="CS101" i="5"/>
  <c r="DL101" i="5" s="1"/>
  <c r="CS83" i="5"/>
  <c r="DL83" i="5" s="1"/>
  <c r="CU92" i="5"/>
  <c r="DN92" i="5" s="1"/>
  <c r="DN99" i="5" s="1"/>
  <c r="Z74" i="6" s="1"/>
  <c r="CU74" i="5"/>
  <c r="DN74" i="5" s="1"/>
  <c r="CT101" i="5"/>
  <c r="DM101" i="5" s="1"/>
  <c r="CT83" i="5"/>
  <c r="DM83" i="5" s="1"/>
  <c r="CS65" i="5"/>
  <c r="DL65" i="5" s="1"/>
  <c r="CV92" i="5"/>
  <c r="DO92" i="5" s="1"/>
  <c r="DO99" i="5" s="1"/>
  <c r="AA74" i="6" s="1"/>
  <c r="CV74" i="5"/>
  <c r="DO74" i="5" s="1"/>
  <c r="CU101" i="5"/>
  <c r="DN101" i="5" s="1"/>
  <c r="CU83" i="5"/>
  <c r="DN83" i="5" s="1"/>
  <c r="CT65" i="5"/>
  <c r="DM65" i="5" s="1"/>
  <c r="CS92" i="5"/>
  <c r="DL92" i="5" s="1"/>
  <c r="DL99" i="5" s="1"/>
  <c r="W74" i="6" s="1"/>
  <c r="CS79" i="5"/>
  <c r="DL79" i="5" s="1"/>
  <c r="DO61" i="5"/>
  <c r="DL106" i="5"/>
  <c r="CV83" i="5"/>
  <c r="DO83" i="5" s="1"/>
  <c r="CU65" i="5"/>
  <c r="DN65" i="5" s="1"/>
  <c r="CT79" i="5"/>
  <c r="DM79" i="5" s="1"/>
  <c r="DI126" i="5"/>
  <c r="S77" i="6" s="1"/>
  <c r="DM106" i="5"/>
  <c r="CV65" i="5"/>
  <c r="DO65" i="5" s="1"/>
  <c r="CU79" i="5"/>
  <c r="DN79" i="5" s="1"/>
  <c r="CS29" i="5"/>
  <c r="DL29" i="5" s="1"/>
  <c r="DL43" i="5"/>
  <c r="H76" i="6"/>
  <c r="DN106" i="5"/>
  <c r="CV79" i="5"/>
  <c r="DO79" i="5" s="1"/>
  <c r="X78" i="6"/>
  <c r="DC126" i="5"/>
  <c r="AN77" i="6" s="1"/>
  <c r="DE126" i="5"/>
  <c r="AO77" i="6" s="1"/>
  <c r="DK126" i="5"/>
  <c r="V77" i="6" s="1"/>
  <c r="DK43" i="5"/>
  <c r="CN79" i="5"/>
  <c r="DG79" i="5" s="1"/>
  <c r="CH88" i="5"/>
  <c r="DA88" i="5" s="1"/>
  <c r="CI70" i="5"/>
  <c r="DB70" i="5" s="1"/>
  <c r="DC106" i="5"/>
  <c r="CJ70" i="5"/>
  <c r="DC70" i="5" s="1"/>
  <c r="CI34" i="5"/>
  <c r="DB34" i="5" s="1"/>
  <c r="CQ79" i="5"/>
  <c r="DJ79" i="5" s="1"/>
  <c r="DJ106" i="5"/>
  <c r="CH101" i="5"/>
  <c r="DA101" i="5" s="1"/>
  <c r="CK34" i="5"/>
  <c r="DD34" i="5" s="1"/>
  <c r="DB43" i="5"/>
  <c r="CN88" i="5"/>
  <c r="DG88" i="5" s="1"/>
  <c r="DC43" i="5"/>
  <c r="DF12" i="5"/>
  <c r="DF27" i="5" s="1"/>
  <c r="AL66" i="6" s="1"/>
  <c r="CP65" i="5"/>
  <c r="DI65" i="5" s="1"/>
  <c r="CM92" i="5"/>
  <c r="DF92" i="5" s="1"/>
  <c r="DF99" i="5" s="1"/>
  <c r="CP101" i="5"/>
  <c r="DI101" i="5" s="1"/>
  <c r="CN115" i="5"/>
  <c r="DG115" i="5" s="1"/>
  <c r="DG117" i="5" s="1"/>
  <c r="CP74" i="5"/>
  <c r="DI74" i="5" s="1"/>
  <c r="DC52" i="5"/>
  <c r="CJ29" i="5"/>
  <c r="DC29" i="5" s="1"/>
  <c r="DF43" i="5"/>
  <c r="CQ65" i="5"/>
  <c r="DJ65" i="5" s="1"/>
  <c r="CI92" i="5"/>
  <c r="DB92" i="5" s="1"/>
  <c r="DB99" i="5" s="1"/>
  <c r="CP92" i="5"/>
  <c r="DI92" i="5" s="1"/>
  <c r="DI99" i="5" s="1"/>
  <c r="DF106" i="5"/>
  <c r="CK115" i="5"/>
  <c r="DD115" i="5" s="1"/>
  <c r="DD117" i="5" s="1"/>
  <c r="AK76" i="6" s="1"/>
  <c r="CL92" i="5"/>
  <c r="DE92" i="5" s="1"/>
  <c r="DE99" i="5" s="1"/>
  <c r="CQ70" i="5"/>
  <c r="DJ70" i="5" s="1"/>
  <c r="DK110" i="5"/>
  <c r="CR65" i="5"/>
  <c r="DK65" i="5" s="1"/>
  <c r="CJ92" i="5"/>
  <c r="DC92" i="5" s="1"/>
  <c r="DC99" i="5" s="1"/>
  <c r="DD106" i="5"/>
  <c r="CJ65" i="5"/>
  <c r="DC65" i="5" s="1"/>
  <c r="CK92" i="5"/>
  <c r="DD92" i="5" s="1"/>
  <c r="DD99" i="5" s="1"/>
  <c r="CQ92" i="5"/>
  <c r="DJ92" i="5" s="1"/>
  <c r="DJ99" i="5" s="1"/>
  <c r="U74" i="6" s="1"/>
  <c r="CH92" i="5"/>
  <c r="DA92" i="5" s="1"/>
  <c r="DA99" i="5" s="1"/>
  <c r="DC12" i="5"/>
  <c r="DC27" i="5" s="1"/>
  <c r="AN66" i="6" s="1"/>
  <c r="DG43" i="5"/>
  <c r="CN92" i="5"/>
  <c r="DG92" i="5" s="1"/>
  <c r="DG99" i="5" s="1"/>
  <c r="AM74" i="6" s="1"/>
  <c r="CQ88" i="5"/>
  <c r="DJ88" i="5" s="1"/>
  <c r="CH65" i="5"/>
  <c r="DA65" i="5" s="1"/>
  <c r="CO92" i="5"/>
  <c r="DH92" i="5" s="1"/>
  <c r="DH99" i="5" s="1"/>
  <c r="CR101" i="5"/>
  <c r="DD12" i="5"/>
  <c r="DD27" i="5" s="1"/>
  <c r="AK66" i="6" s="1"/>
  <c r="CI101" i="5"/>
  <c r="DB101" i="5" s="1"/>
  <c r="CJ101" i="5"/>
  <c r="DC101" i="5" s="1"/>
  <c r="CI65" i="5"/>
  <c r="DB65" i="5" s="1"/>
  <c r="CO65" i="5"/>
  <c r="DH65" i="5" s="1"/>
  <c r="DH61" i="5"/>
  <c r="CH29" i="5"/>
  <c r="DA29" i="5" s="1"/>
  <c r="CH34" i="5"/>
  <c r="DA34" i="5" s="1"/>
  <c r="DG12" i="5"/>
  <c r="DG27" i="5" s="1"/>
  <c r="CM101" i="5"/>
  <c r="DF101" i="5" s="1"/>
  <c r="DJ12" i="5"/>
  <c r="DJ27" i="5" s="1"/>
  <c r="U66" i="6" s="1"/>
  <c r="CL65" i="5"/>
  <c r="DE65" i="5" s="1"/>
  <c r="CR74" i="5"/>
  <c r="DK61" i="5"/>
  <c r="CM65" i="5"/>
  <c r="DF65" i="5" s="1"/>
  <c r="DJ43" i="5"/>
  <c r="CN65" i="5"/>
  <c r="DG65" i="5" s="1"/>
  <c r="CR115" i="5"/>
  <c r="DK115" i="5" s="1"/>
  <c r="CO101" i="5"/>
  <c r="DH101" i="5" s="1"/>
  <c r="CH70" i="5"/>
  <c r="DA70" i="5" s="1"/>
  <c r="H67" i="6"/>
  <c r="F67" i="6"/>
  <c r="CN101" i="5"/>
  <c r="DG101" i="5" s="1"/>
  <c r="DB12" i="5"/>
  <c r="DB27" i="5" s="1"/>
  <c r="AJ66" i="6" s="1"/>
  <c r="CM88" i="5"/>
  <c r="DF88" i="5" s="1"/>
  <c r="CK101" i="5"/>
  <c r="DD101" i="5" s="1"/>
  <c r="CK65" i="5"/>
  <c r="DD65" i="5" s="1"/>
  <c r="CK29" i="5"/>
  <c r="DD29" i="5" s="1"/>
  <c r="DE52" i="5"/>
  <c r="CN74" i="5"/>
  <c r="DG74" i="5" s="1"/>
  <c r="CL101" i="5"/>
  <c r="DE101" i="5" s="1"/>
  <c r="CQ101" i="5"/>
  <c r="DJ101" i="5" s="1"/>
  <c r="CJ115" i="5"/>
  <c r="DC115" i="5" s="1"/>
  <c r="DC117" i="5" s="1"/>
  <c r="AN76" i="6" s="1"/>
  <c r="DE12" i="5"/>
  <c r="DE27" i="5" s="1"/>
  <c r="AO66" i="6" s="1"/>
  <c r="H66" i="6"/>
  <c r="F66" i="6"/>
  <c r="AR66" i="6"/>
  <c r="CL115" i="5"/>
  <c r="DE115" i="5" s="1"/>
  <c r="DE117" i="5" s="1"/>
  <c r="AO76" i="6" s="1"/>
  <c r="CI115" i="5"/>
  <c r="DB115" i="5" s="1"/>
  <c r="DB117" i="5" s="1"/>
  <c r="AJ76" i="6" s="1"/>
  <c r="CH115" i="5"/>
  <c r="DA115" i="5" s="1"/>
  <c r="DA117" i="5" s="1"/>
  <c r="CQ115" i="5"/>
  <c r="DJ115" i="5" s="1"/>
  <c r="DJ117" i="5" s="1"/>
  <c r="U76" i="6" s="1"/>
  <c r="CG115" i="5"/>
  <c r="CZ115" i="5" s="1"/>
  <c r="CP115" i="5"/>
  <c r="DI115" i="5" s="1"/>
  <c r="DI117" i="5" s="1"/>
  <c r="S76" i="6" s="1"/>
  <c r="CM115" i="5"/>
  <c r="DF115" i="5" s="1"/>
  <c r="DF117" i="5" s="1"/>
  <c r="AL76" i="6" s="1"/>
  <c r="CO115" i="5"/>
  <c r="DH115" i="5" s="1"/>
  <c r="DH117" i="5" s="1"/>
  <c r="R76" i="6" s="1"/>
  <c r="CZ106" i="5"/>
  <c r="DG106" i="5"/>
  <c r="DE106" i="5"/>
  <c r="DI106" i="5"/>
  <c r="DA106" i="5"/>
  <c r="DK106" i="5"/>
  <c r="DB106" i="5"/>
  <c r="DH106" i="5"/>
  <c r="CJ88" i="5"/>
  <c r="DC88" i="5" s="1"/>
  <c r="CL88" i="5"/>
  <c r="DE88" i="5" s="1"/>
  <c r="CG88" i="5"/>
  <c r="CZ88" i="5" s="1"/>
  <c r="CK88" i="5"/>
  <c r="DD88" i="5" s="1"/>
  <c r="CP88" i="5"/>
  <c r="DI88" i="5" s="1"/>
  <c r="CO88" i="5"/>
  <c r="DH88" i="5" s="1"/>
  <c r="CR88" i="5"/>
  <c r="DK88" i="5" s="1"/>
  <c r="CI88" i="5"/>
  <c r="DB88" i="5" s="1"/>
  <c r="CH83" i="5"/>
  <c r="DA83" i="5" s="1"/>
  <c r="CL83" i="5"/>
  <c r="DE83" i="5" s="1"/>
  <c r="CR83" i="5"/>
  <c r="CJ83" i="5"/>
  <c r="DC83" i="5" s="1"/>
  <c r="CO83" i="5"/>
  <c r="DH83" i="5" s="1"/>
  <c r="CQ83" i="5"/>
  <c r="DJ83" i="5" s="1"/>
  <c r="CN83" i="5"/>
  <c r="DG83" i="5" s="1"/>
  <c r="CP83" i="5"/>
  <c r="DI83" i="5" s="1"/>
  <c r="CK83" i="5"/>
  <c r="DD83" i="5" s="1"/>
  <c r="CI83" i="5"/>
  <c r="DB83" i="5" s="1"/>
  <c r="CM83" i="5"/>
  <c r="DF83" i="5" s="1"/>
  <c r="CG79" i="5"/>
  <c r="CZ79" i="5" s="1"/>
  <c r="CM79" i="5"/>
  <c r="DF79" i="5" s="1"/>
  <c r="CP79" i="5"/>
  <c r="DI79" i="5" s="1"/>
  <c r="CO79" i="5"/>
  <c r="DH79" i="5" s="1"/>
  <c r="CJ79" i="5"/>
  <c r="DC79" i="5" s="1"/>
  <c r="CR79" i="5"/>
  <c r="DK79" i="5" s="1"/>
  <c r="CH79" i="5"/>
  <c r="DA79" i="5" s="1"/>
  <c r="CL79" i="5"/>
  <c r="DE79" i="5" s="1"/>
  <c r="CI79" i="5"/>
  <c r="DB79" i="5" s="1"/>
  <c r="CM74" i="5"/>
  <c r="DF74" i="5" s="1"/>
  <c r="CQ74" i="5"/>
  <c r="DJ74" i="5" s="1"/>
  <c r="CH74" i="5"/>
  <c r="DA74" i="5" s="1"/>
  <c r="CK74" i="5"/>
  <c r="DD74" i="5" s="1"/>
  <c r="CO74" i="5"/>
  <c r="DH74" i="5" s="1"/>
  <c r="CJ74" i="5"/>
  <c r="DC74" i="5" s="1"/>
  <c r="CL74" i="5"/>
  <c r="DE74" i="5" s="1"/>
  <c r="CI74" i="5"/>
  <c r="DB74" i="5" s="1"/>
  <c r="CR70" i="5"/>
  <c r="DK70" i="5" s="1"/>
  <c r="CO70" i="5"/>
  <c r="DH70" i="5" s="1"/>
  <c r="CL70" i="5"/>
  <c r="DE70" i="5" s="1"/>
  <c r="CP70" i="5"/>
  <c r="DI70" i="5" s="1"/>
  <c r="CK70" i="5"/>
  <c r="DD70" i="5" s="1"/>
  <c r="CG70" i="5"/>
  <c r="CZ70" i="5" s="1"/>
  <c r="CN70" i="5"/>
  <c r="DG70" i="5" s="1"/>
  <c r="CM70" i="5"/>
  <c r="DF70" i="5" s="1"/>
  <c r="DD61" i="5"/>
  <c r="DE56" i="5"/>
  <c r="DF56" i="5"/>
  <c r="DE47" i="5"/>
  <c r="DA47" i="5"/>
  <c r="DB52" i="5"/>
  <c r="DI52" i="5"/>
  <c r="DG52" i="5"/>
  <c r="DH52" i="5"/>
  <c r="DF52" i="5"/>
  <c r="CO29" i="5"/>
  <c r="DH29" i="5" s="1"/>
  <c r="CQ34" i="5"/>
  <c r="DJ34" i="5" s="1"/>
  <c r="CM29" i="5"/>
  <c r="DF29" i="5" s="1"/>
  <c r="CN29" i="5"/>
  <c r="DG29" i="5" s="1"/>
  <c r="CL29" i="5"/>
  <c r="DE29" i="5" s="1"/>
  <c r="DI43" i="5"/>
  <c r="DE43" i="5"/>
  <c r="DD43" i="5"/>
  <c r="DH43" i="5"/>
  <c r="CJ34" i="5"/>
  <c r="DC34" i="5" s="1"/>
  <c r="CG34" i="5"/>
  <c r="CZ34" i="5" s="1"/>
  <c r="CM34" i="5"/>
  <c r="DF34" i="5" s="1"/>
  <c r="CL34" i="5"/>
  <c r="DE34" i="5" s="1"/>
  <c r="CN34" i="5"/>
  <c r="DG34" i="5" s="1"/>
  <c r="CO34" i="5"/>
  <c r="DH34" i="5" s="1"/>
  <c r="CP34" i="5"/>
  <c r="DI34" i="5" s="1"/>
  <c r="CQ29" i="5"/>
  <c r="DJ29" i="5" s="1"/>
  <c r="CR29" i="5"/>
  <c r="DK29" i="5" s="1"/>
  <c r="CI29" i="5"/>
  <c r="DB29" i="5" s="1"/>
  <c r="CP29" i="5"/>
  <c r="DI29" i="5" s="1"/>
  <c r="H36" i="5"/>
  <c r="AY29" i="5"/>
  <c r="BP29" i="5" s="1"/>
  <c r="CG29" i="5" s="1"/>
  <c r="CZ29" i="5" s="1"/>
  <c r="H117" i="5"/>
  <c r="CG110" i="5"/>
  <c r="CZ110" i="5" s="1"/>
  <c r="H108" i="5"/>
  <c r="AY101" i="5"/>
  <c r="BP101" i="5" s="1"/>
  <c r="CG101" i="5" s="1"/>
  <c r="CZ101" i="5" s="1"/>
  <c r="H99" i="5"/>
  <c r="CG92" i="5"/>
  <c r="CZ92" i="5" s="1"/>
  <c r="CZ99" i="5" s="1"/>
  <c r="H90" i="5"/>
  <c r="AY83" i="5"/>
  <c r="BP83" i="5" s="1"/>
  <c r="CG83" i="5" s="1"/>
  <c r="CZ83" i="5" s="1"/>
  <c r="H81" i="5"/>
  <c r="AY74" i="5"/>
  <c r="BP74" i="5" s="1"/>
  <c r="CG74" i="5" s="1"/>
  <c r="CZ74" i="5" s="1"/>
  <c r="H72" i="5"/>
  <c r="CG65" i="5"/>
  <c r="CZ65" i="5" s="1"/>
  <c r="H63" i="5"/>
  <c r="H54" i="5"/>
  <c r="Q21" i="3"/>
  <c r="O37" i="6" s="1"/>
  <c r="Q121" i="3"/>
  <c r="O47" i="6" s="1"/>
  <c r="O19" i="6" s="1"/>
  <c r="R6" i="3"/>
  <c r="S6" i="3"/>
  <c r="Q61" i="3"/>
  <c r="O41" i="6" s="1"/>
  <c r="O13" i="6" s="1"/>
  <c r="E29" i="15" s="1"/>
  <c r="Q131" i="3"/>
  <c r="O48" i="6" s="1"/>
  <c r="O20" i="6" s="1"/>
  <c r="Q111" i="3"/>
  <c r="O46" i="6" s="1"/>
  <c r="O18" i="6" s="1"/>
  <c r="Q101" i="3"/>
  <c r="O45" i="6" s="1"/>
  <c r="O17" i="6" s="1"/>
  <c r="Q91" i="3"/>
  <c r="O44" i="6" s="1"/>
  <c r="O16" i="6" s="1"/>
  <c r="Q81" i="3"/>
  <c r="O43" i="6" s="1"/>
  <c r="O15" i="6" s="1"/>
  <c r="Q71" i="3"/>
  <c r="O42" i="6" s="1"/>
  <c r="O14" i="6" s="1"/>
  <c r="E30" i="15" s="1"/>
  <c r="CA212" i="3" l="1"/>
  <c r="AB212" i="3"/>
  <c r="AX212" i="3"/>
  <c r="AK56" i="6" s="1"/>
  <c r="CF212" i="3"/>
  <c r="CM212" i="3"/>
  <c r="BS172" i="3"/>
  <c r="BP172" i="3"/>
  <c r="BM172" i="3"/>
  <c r="BI172" i="3"/>
  <c r="BF172" i="3"/>
  <c r="AY172" i="3"/>
  <c r="AL52" i="6" s="1"/>
  <c r="BB172" i="3"/>
  <c r="AO52" i="6" s="1"/>
  <c r="CP172" i="3"/>
  <c r="BG172" i="3"/>
  <c r="CM172" i="3"/>
  <c r="CI172" i="3"/>
  <c r="CG172" i="3"/>
  <c r="CE172" i="3"/>
  <c r="CC172" i="3"/>
  <c r="CA172" i="3"/>
  <c r="BX172" i="3"/>
  <c r="BQ172" i="3"/>
  <c r="BN172" i="3"/>
  <c r="BJ172" i="3"/>
  <c r="BH172" i="3"/>
  <c r="BE172" i="3"/>
  <c r="AZ172" i="3"/>
  <c r="AM52" i="6" s="1"/>
  <c r="BA172" i="3"/>
  <c r="AN52" i="6" s="1"/>
  <c r="BC172" i="3"/>
  <c r="AP52" i="6" s="1"/>
  <c r="CO172" i="3"/>
  <c r="CL172" i="3"/>
  <c r="CH172" i="3"/>
  <c r="CD172" i="3"/>
  <c r="BY172" i="3"/>
  <c r="BV172" i="3"/>
  <c r="BR172" i="3"/>
  <c r="BO172" i="3"/>
  <c r="BK172" i="3"/>
  <c r="BU172" i="3"/>
  <c r="AX172" i="3"/>
  <c r="AK52" i="6" s="1"/>
  <c r="AW172" i="3"/>
  <c r="AJ52" i="6" s="1"/>
  <c r="CQ172" i="3"/>
  <c r="CN172" i="3"/>
  <c r="CK172" i="3"/>
  <c r="CF172" i="3"/>
  <c r="BZ172" i="3"/>
  <c r="BW172" i="3"/>
  <c r="AS162" i="3"/>
  <c r="CO162" i="3"/>
  <c r="CG162" i="3"/>
  <c r="BC162" i="3"/>
  <c r="AP51" i="6" s="1"/>
  <c r="AH162" i="3"/>
  <c r="CA162" i="3"/>
  <c r="AY162" i="3"/>
  <c r="AL51" i="6" s="1"/>
  <c r="AB162" i="3"/>
  <c r="Z162" i="3"/>
  <c r="BQ162" i="3"/>
  <c r="J162" i="3"/>
  <c r="BS162" i="3"/>
  <c r="BE162" i="3"/>
  <c r="BM162" i="3"/>
  <c r="AL162" i="3"/>
  <c r="BI162" i="3"/>
  <c r="AJ162" i="3"/>
  <c r="P162" i="3"/>
  <c r="AG162" i="3"/>
  <c r="AR162" i="3"/>
  <c r="L162" i="3"/>
  <c r="BJ162" i="3"/>
  <c r="CH162" i="3"/>
  <c r="O162" i="3"/>
  <c r="Z28" i="6"/>
  <c r="AP84" i="6"/>
  <c r="AM84" i="6"/>
  <c r="AM79" i="6"/>
  <c r="AP79" i="6"/>
  <c r="BG162" i="3"/>
  <c r="BK162" i="3"/>
  <c r="W162" i="3"/>
  <c r="Z51" i="6" s="1"/>
  <c r="AQ162" i="3"/>
  <c r="X162" i="3"/>
  <c r="AA51" i="6" s="1"/>
  <c r="AW162" i="3"/>
  <c r="AJ51" i="6" s="1"/>
  <c r="CF162" i="3"/>
  <c r="AK162" i="3"/>
  <c r="AX162" i="3"/>
  <c r="AK51" i="6" s="1"/>
  <c r="BN162" i="3"/>
  <c r="AC162" i="3"/>
  <c r="AD162" i="3"/>
  <c r="AI162" i="3"/>
  <c r="CD162" i="3"/>
  <c r="AN162" i="3"/>
  <c r="BU162" i="3"/>
  <c r="I162" i="3"/>
  <c r="M162" i="3"/>
  <c r="AU162" i="3"/>
  <c r="H162" i="3"/>
  <c r="R51" i="6" s="1"/>
  <c r="V162" i="3"/>
  <c r="Y51" i="6" s="1"/>
  <c r="Y23" i="6" s="1"/>
  <c r="AO162" i="3"/>
  <c r="BW162" i="3"/>
  <c r="BZ162" i="3"/>
  <c r="CN162" i="3"/>
  <c r="BF162" i="3"/>
  <c r="BR162" i="3"/>
  <c r="BY162" i="3"/>
  <c r="CI162" i="3"/>
  <c r="V28" i="6"/>
  <c r="CE192" i="3"/>
  <c r="BK192" i="3"/>
  <c r="K192" i="3"/>
  <c r="S54" i="6" s="1"/>
  <c r="S26" i="6" s="1"/>
  <c r="BZ192" i="3"/>
  <c r="AR192" i="3"/>
  <c r="BO192" i="3"/>
  <c r="AH192" i="3"/>
  <c r="AA192" i="3"/>
  <c r="CI192" i="3"/>
  <c r="BM192" i="3"/>
  <c r="U192" i="3"/>
  <c r="X54" i="6" s="1"/>
  <c r="W192" i="3"/>
  <c r="Z54" i="6" s="1"/>
  <c r="Z26" i="6" s="1"/>
  <c r="H192" i="3"/>
  <c r="R54" i="6" s="1"/>
  <c r="R26" i="6" s="1"/>
  <c r="BC192" i="3"/>
  <c r="AP54" i="6" s="1"/>
  <c r="BX192" i="3"/>
  <c r="BB192" i="3"/>
  <c r="AO54" i="6" s="1"/>
  <c r="BU192" i="3"/>
  <c r="AQ192" i="3"/>
  <c r="BR192" i="3"/>
  <c r="BS192" i="3"/>
  <c r="CC192" i="3"/>
  <c r="L192" i="3"/>
  <c r="T192" i="3"/>
  <c r="W54" i="6" s="1"/>
  <c r="J192" i="3"/>
  <c r="BY192" i="3"/>
  <c r="X192" i="3"/>
  <c r="AA54" i="6" s="1"/>
  <c r="AA26" i="6" s="1"/>
  <c r="CM192" i="3"/>
  <c r="AY192" i="3"/>
  <c r="AL54" i="6" s="1"/>
  <c r="N192" i="3"/>
  <c r="U54" i="6" s="1"/>
  <c r="U26" i="6" s="1"/>
  <c r="BN192" i="3"/>
  <c r="BI192" i="3"/>
  <c r="AI192" i="3"/>
  <c r="CP192" i="3"/>
  <c r="AS192" i="3"/>
  <c r="Q192" i="3"/>
  <c r="V54" i="6" s="1"/>
  <c r="V26" i="6" s="1"/>
  <c r="AW192" i="3"/>
  <c r="AJ54" i="6" s="1"/>
  <c r="Z52" i="6"/>
  <c r="Z24" i="6" s="1"/>
  <c r="AA52" i="6"/>
  <c r="AA24" i="6" s="1"/>
  <c r="W52" i="6"/>
  <c r="S24" i="6"/>
  <c r="U52" i="6"/>
  <c r="U24" i="6" s="1"/>
  <c r="X52" i="6"/>
  <c r="Y52" i="6"/>
  <c r="Y24" i="6" s="1"/>
  <c r="V52" i="6"/>
  <c r="V24" i="6" s="1"/>
  <c r="R24" i="6"/>
  <c r="BO162" i="3"/>
  <c r="AA162" i="3"/>
  <c r="Q162" i="3"/>
  <c r="V51" i="6" s="1"/>
  <c r="U162" i="3"/>
  <c r="X51" i="6" s="1"/>
  <c r="BP162" i="3"/>
  <c r="BX162" i="3"/>
  <c r="S162" i="3"/>
  <c r="AZ162" i="3"/>
  <c r="AM51" i="6" s="1"/>
  <c r="CP162" i="3"/>
  <c r="CC162" i="3"/>
  <c r="K162" i="3"/>
  <c r="S51" i="6" s="1"/>
  <c r="AT162" i="3"/>
  <c r="T162" i="3"/>
  <c r="W51" i="6" s="1"/>
  <c r="AP162" i="3"/>
  <c r="CQ162" i="3"/>
  <c r="BB162" i="3"/>
  <c r="AO51" i="6" s="1"/>
  <c r="BV162" i="3"/>
  <c r="CK162" i="3"/>
  <c r="BH162" i="3"/>
  <c r="AM162" i="3"/>
  <c r="CL162" i="3"/>
  <c r="CE162" i="3"/>
  <c r="R162" i="3"/>
  <c r="BA162" i="3"/>
  <c r="AN51" i="6" s="1"/>
  <c r="AE162" i="3"/>
  <c r="N162" i="3"/>
  <c r="U51" i="6" s="1"/>
  <c r="AF162" i="3"/>
  <c r="CM162" i="3"/>
  <c r="AC192" i="3"/>
  <c r="CD192" i="3"/>
  <c r="AG192" i="3"/>
  <c r="BQ192" i="3"/>
  <c r="AD192" i="3"/>
  <c r="AT192" i="3"/>
  <c r="BS212" i="3"/>
  <c r="AE212" i="3"/>
  <c r="CC212" i="3"/>
  <c r="BE192" i="3"/>
  <c r="BF192" i="3"/>
  <c r="AO192" i="3"/>
  <c r="AJ192" i="3"/>
  <c r="CA192" i="3"/>
  <c r="AF192" i="3"/>
  <c r="CO212" i="3"/>
  <c r="AP212" i="3"/>
  <c r="CK212" i="3"/>
  <c r="AE192" i="3"/>
  <c r="AB192" i="3"/>
  <c r="R192" i="3"/>
  <c r="BP192" i="3"/>
  <c r="CF192" i="3"/>
  <c r="BA192" i="3"/>
  <c r="AN54" i="6" s="1"/>
  <c r="AK192" i="3"/>
  <c r="AN212" i="3"/>
  <c r="CD212" i="3"/>
  <c r="AD212" i="3"/>
  <c r="BN152" i="3"/>
  <c r="AL192" i="3"/>
  <c r="BV192" i="3"/>
  <c r="S192" i="3"/>
  <c r="AU192" i="3"/>
  <c r="V192" i="3"/>
  <c r="Y54" i="6" s="1"/>
  <c r="Y26" i="6" s="1"/>
  <c r="AN192" i="3"/>
  <c r="AP192" i="3"/>
  <c r="BR152" i="3"/>
  <c r="P192" i="3"/>
  <c r="BH192" i="3"/>
  <c r="Z192" i="3"/>
  <c r="CN192" i="3"/>
  <c r="I192" i="3"/>
  <c r="AX192" i="3"/>
  <c r="AK54" i="6" s="1"/>
  <c r="AM192" i="3"/>
  <c r="I212" i="3"/>
  <c r="BP212" i="3"/>
  <c r="BG192" i="3"/>
  <c r="BJ192" i="3"/>
  <c r="BW192" i="3"/>
  <c r="O192" i="3"/>
  <c r="CH192" i="3"/>
  <c r="CG192" i="3"/>
  <c r="BN212" i="3"/>
  <c r="AW212" i="3"/>
  <c r="AJ56" i="6" s="1"/>
  <c r="BO212" i="3"/>
  <c r="DN90" i="5"/>
  <c r="Z73" i="6" s="1"/>
  <c r="DM36" i="5"/>
  <c r="X67" i="6" s="1"/>
  <c r="AP77" i="6"/>
  <c r="AM77" i="6"/>
  <c r="AP76" i="6"/>
  <c r="AM76" i="6"/>
  <c r="AM66" i="6"/>
  <c r="AP66" i="6"/>
  <c r="S212" i="3"/>
  <c r="BJ212" i="3"/>
  <c r="AY212" i="3"/>
  <c r="AL56" i="6" s="1"/>
  <c r="BK212" i="3"/>
  <c r="X212" i="3"/>
  <c r="AA56" i="6" s="1"/>
  <c r="AA28" i="6" s="1"/>
  <c r="AI212" i="3"/>
  <c r="BY212" i="3"/>
  <c r="CQ212" i="3"/>
  <c r="CN212" i="3"/>
  <c r="BX212" i="3"/>
  <c r="AH212" i="3"/>
  <c r="BV212" i="3"/>
  <c r="AT212" i="3"/>
  <c r="AK212" i="3"/>
  <c r="BE212" i="3"/>
  <c r="CP212" i="3"/>
  <c r="BG212" i="3"/>
  <c r="BM212" i="3"/>
  <c r="BF212" i="3"/>
  <c r="M212" i="3"/>
  <c r="AA212" i="3"/>
  <c r="BC212" i="3"/>
  <c r="AP56" i="6" s="1"/>
  <c r="L212" i="3"/>
  <c r="AQ212" i="3"/>
  <c r="CH212" i="3"/>
  <c r="CG212" i="3"/>
  <c r="AU212" i="3"/>
  <c r="AJ212" i="3"/>
  <c r="BR212" i="3"/>
  <c r="AC212" i="3"/>
  <c r="BA212" i="3"/>
  <c r="AN56" i="6" s="1"/>
  <c r="AS212" i="3"/>
  <c r="BZ212" i="3"/>
  <c r="BU212" i="3"/>
  <c r="BB212" i="3"/>
  <c r="AO56" i="6" s="1"/>
  <c r="AO212" i="3"/>
  <c r="AZ212" i="3"/>
  <c r="AM56" i="6" s="1"/>
  <c r="K212" i="3"/>
  <c r="S56" i="6" s="1"/>
  <c r="S28" i="6" s="1"/>
  <c r="BI212" i="3"/>
  <c r="AL212" i="3"/>
  <c r="CI212" i="3"/>
  <c r="CL212" i="3"/>
  <c r="AM212" i="3"/>
  <c r="O212" i="3"/>
  <c r="T212" i="3"/>
  <c r="W56" i="6" s="1"/>
  <c r="CE212" i="3"/>
  <c r="N212" i="3"/>
  <c r="U56" i="6" s="1"/>
  <c r="U28" i="6" s="1"/>
  <c r="AG212" i="3"/>
  <c r="M192" i="3"/>
  <c r="CK192" i="3"/>
  <c r="CO192" i="3"/>
  <c r="CL192" i="3"/>
  <c r="CQ192" i="3"/>
  <c r="H28" i="6"/>
  <c r="F56" i="6"/>
  <c r="G56" i="6"/>
  <c r="G28" i="6" s="1"/>
  <c r="G55" i="6"/>
  <c r="G27" i="6" s="1"/>
  <c r="H27" i="6"/>
  <c r="F55" i="6"/>
  <c r="F54" i="6"/>
  <c r="H26" i="6"/>
  <c r="G54" i="6"/>
  <c r="G26" i="6" s="1"/>
  <c r="H25" i="6"/>
  <c r="G53" i="6"/>
  <c r="G25" i="6" s="1"/>
  <c r="F53" i="6"/>
  <c r="AR152" i="3"/>
  <c r="BU152" i="3"/>
  <c r="CL152" i="3"/>
  <c r="BK152" i="3"/>
  <c r="S152" i="3"/>
  <c r="CI152" i="3"/>
  <c r="BJ152" i="3"/>
  <c r="AK152" i="3"/>
  <c r="R152" i="3"/>
  <c r="CD152" i="3"/>
  <c r="AB152" i="3"/>
  <c r="BE152" i="3"/>
  <c r="BO152" i="3"/>
  <c r="T152" i="3"/>
  <c r="W50" i="6" s="1"/>
  <c r="AS152" i="3"/>
  <c r="CF152" i="3"/>
  <c r="CE152" i="3"/>
  <c r="N152" i="3"/>
  <c r="U50" i="6" s="1"/>
  <c r="U22" i="6" s="1"/>
  <c r="H152" i="3"/>
  <c r="R50" i="6" s="1"/>
  <c r="R22" i="6" s="1"/>
  <c r="O152" i="3"/>
  <c r="CA152" i="3"/>
  <c r="L152" i="3"/>
  <c r="BB152" i="3"/>
  <c r="AO50" i="6" s="1"/>
  <c r="BF152" i="3"/>
  <c r="AG152" i="3"/>
  <c r="BH152" i="3"/>
  <c r="BA152" i="3"/>
  <c r="AN50" i="6" s="1"/>
  <c r="CO152" i="3"/>
  <c r="CN152" i="3"/>
  <c r="V152" i="3"/>
  <c r="Y50" i="6" s="1"/>
  <c r="Y22" i="6" s="1"/>
  <c r="AP152" i="3"/>
  <c r="BZ152" i="3"/>
  <c r="AY152" i="3"/>
  <c r="AL50" i="6" s="1"/>
  <c r="AE152" i="3"/>
  <c r="AZ152" i="3"/>
  <c r="AM50" i="6" s="1"/>
  <c r="K152" i="3"/>
  <c r="S50" i="6" s="1"/>
  <c r="S22" i="6" s="1"/>
  <c r="AO152" i="3"/>
  <c r="BC152" i="3"/>
  <c r="AP50" i="6" s="1"/>
  <c r="X152" i="3"/>
  <c r="AA50" i="6" s="1"/>
  <c r="AA22" i="6" s="1"/>
  <c r="Z152" i="3"/>
  <c r="BM152" i="3"/>
  <c r="BQ152" i="3"/>
  <c r="CQ152" i="3"/>
  <c r="AM152" i="3"/>
  <c r="CH152" i="3"/>
  <c r="BV152" i="3"/>
  <c r="CM152" i="3"/>
  <c r="AH152" i="3"/>
  <c r="AI152" i="3"/>
  <c r="BX152" i="3"/>
  <c r="U152" i="3"/>
  <c r="X50" i="6" s="1"/>
  <c r="AT152" i="3"/>
  <c r="BI152" i="3"/>
  <c r="BW152" i="3"/>
  <c r="AQ152" i="3"/>
  <c r="AD152" i="3"/>
  <c r="AN152" i="3"/>
  <c r="J152" i="3"/>
  <c r="AL152" i="3"/>
  <c r="I152" i="3"/>
  <c r="CK152" i="3"/>
  <c r="Q152" i="3"/>
  <c r="V50" i="6" s="1"/>
  <c r="V22" i="6" s="1"/>
  <c r="AF152" i="3"/>
  <c r="AX152" i="3"/>
  <c r="AK50" i="6" s="1"/>
  <c r="M152" i="3"/>
  <c r="AW152" i="3"/>
  <c r="AJ50" i="6" s="1"/>
  <c r="AU152" i="3"/>
  <c r="BS152" i="3"/>
  <c r="AC152" i="3"/>
  <c r="AA152" i="3"/>
  <c r="P152" i="3"/>
  <c r="BY152" i="3"/>
  <c r="BG152" i="3"/>
  <c r="CC152" i="3"/>
  <c r="AJ152" i="3"/>
  <c r="W152" i="3"/>
  <c r="Z50" i="6" s="1"/>
  <c r="Z22" i="6" s="1"/>
  <c r="BP152" i="3"/>
  <c r="CP152" i="3"/>
  <c r="H22" i="6"/>
  <c r="F50" i="6"/>
  <c r="AR50" i="6" s="1"/>
  <c r="AR22" i="6" s="1"/>
  <c r="DB54" i="5"/>
  <c r="DD81" i="5"/>
  <c r="DO72" i="5"/>
  <c r="AA71" i="6" s="1"/>
  <c r="DK36" i="5"/>
  <c r="V67" i="6" s="1"/>
  <c r="DO90" i="5"/>
  <c r="AA73" i="6" s="1"/>
  <c r="DD45" i="5"/>
  <c r="DD54" i="5"/>
  <c r="DG72" i="5"/>
  <c r="AM71" i="6" s="1"/>
  <c r="DE36" i="5"/>
  <c r="E23" i="6"/>
  <c r="H51" i="6"/>
  <c r="DL63" i="5"/>
  <c r="W70" i="6" s="1"/>
  <c r="DO36" i="5"/>
  <c r="AA67" i="6" s="1"/>
  <c r="DM72" i="5"/>
  <c r="X71" i="6" s="1"/>
  <c r="DL81" i="5"/>
  <c r="W72" i="6" s="1"/>
  <c r="DM54" i="5"/>
  <c r="X69" i="6" s="1"/>
  <c r="DO54" i="5"/>
  <c r="AA69" i="6" s="1"/>
  <c r="DA54" i="5"/>
  <c r="DD72" i="5"/>
  <c r="DE45" i="5"/>
  <c r="DE72" i="5"/>
  <c r="DM90" i="5"/>
  <c r="X73" i="6" s="1"/>
  <c r="DM63" i="5"/>
  <c r="X70" i="6" s="1"/>
  <c r="DO108" i="5"/>
  <c r="AA75" i="6" s="1"/>
  <c r="DG45" i="5"/>
  <c r="AM68" i="6" s="1"/>
  <c r="DC36" i="5"/>
  <c r="DM45" i="5"/>
  <c r="X68" i="6" s="1"/>
  <c r="DF36" i="5"/>
  <c r="DN63" i="5"/>
  <c r="Z70" i="6" s="1"/>
  <c r="DI63" i="5"/>
  <c r="DA72" i="5"/>
  <c r="DF54" i="5"/>
  <c r="DL90" i="5"/>
  <c r="W73" i="6" s="1"/>
  <c r="DF72" i="5"/>
  <c r="DN36" i="5"/>
  <c r="Z67" i="6" s="1"/>
  <c r="DO63" i="5"/>
  <c r="AA70" i="6" s="1"/>
  <c r="DC72" i="5"/>
  <c r="DE63" i="5"/>
  <c r="DC90" i="5"/>
  <c r="DJ45" i="5"/>
  <c r="U68" i="6" s="1"/>
  <c r="DN72" i="5"/>
  <c r="Z71" i="6" s="1"/>
  <c r="DO45" i="5"/>
  <c r="AA68" i="6" s="1"/>
  <c r="DK72" i="5"/>
  <c r="V71" i="6" s="1"/>
  <c r="DI108" i="5"/>
  <c r="DJ54" i="5"/>
  <c r="U69" i="6" s="1"/>
  <c r="DJ108" i="5"/>
  <c r="U75" i="6" s="1"/>
  <c r="CZ63" i="5"/>
  <c r="DC45" i="5"/>
  <c r="DM108" i="5"/>
  <c r="X75" i="6" s="1"/>
  <c r="DI72" i="5"/>
  <c r="DC81" i="5"/>
  <c r="DB90" i="5"/>
  <c r="DC108" i="5"/>
  <c r="DL108" i="5"/>
  <c r="W75" i="6" s="1"/>
  <c r="DK54" i="5"/>
  <c r="V69" i="6" s="1"/>
  <c r="DI81" i="5"/>
  <c r="DH90" i="5"/>
  <c r="DJ72" i="5"/>
  <c r="U71" i="6" s="1"/>
  <c r="DN54" i="5"/>
  <c r="Z69" i="6" s="1"/>
  <c r="DL36" i="5"/>
  <c r="W67" i="6" s="1"/>
  <c r="DN45" i="5"/>
  <c r="Z68" i="6" s="1"/>
  <c r="DC54" i="5"/>
  <c r="DI36" i="5"/>
  <c r="S67" i="6" s="1"/>
  <c r="DG63" i="5"/>
  <c r="AM70" i="6" s="1"/>
  <c r="DG90" i="5"/>
  <c r="AM73" i="6" s="1"/>
  <c r="DN108" i="5"/>
  <c r="Z75" i="6" s="1"/>
  <c r="DL54" i="5"/>
  <c r="W69" i="6" s="1"/>
  <c r="DH36" i="5"/>
  <c r="R67" i="6" s="1"/>
  <c r="CZ54" i="5"/>
  <c r="DH81" i="5"/>
  <c r="DE54" i="5"/>
  <c r="DA36" i="5"/>
  <c r="DB45" i="5"/>
  <c r="DB72" i="5"/>
  <c r="DM81" i="5"/>
  <c r="X72" i="6" s="1"/>
  <c r="DA63" i="5"/>
  <c r="DH72" i="5"/>
  <c r="DJ90" i="5"/>
  <c r="U73" i="6" s="1"/>
  <c r="DC63" i="5"/>
  <c r="DD36" i="5"/>
  <c r="DA90" i="5"/>
  <c r="DN81" i="5"/>
  <c r="Z72" i="6" s="1"/>
  <c r="DB63" i="5"/>
  <c r="DF81" i="5"/>
  <c r="DI90" i="5"/>
  <c r="DG81" i="5"/>
  <c r="AM72" i="6" s="1"/>
  <c r="DO81" i="5"/>
  <c r="AA72" i="6" s="1"/>
  <c r="DG36" i="5"/>
  <c r="AM67" i="6" s="1"/>
  <c r="DH54" i="5"/>
  <c r="DB81" i="5"/>
  <c r="CZ81" i="5"/>
  <c r="DD90" i="5"/>
  <c r="DH63" i="5"/>
  <c r="DK45" i="5"/>
  <c r="V68" i="6" s="1"/>
  <c r="DL45" i="5"/>
  <c r="W68" i="6" s="1"/>
  <c r="DI45" i="5"/>
  <c r="S68" i="6" s="1"/>
  <c r="CZ36" i="5"/>
  <c r="DG54" i="5"/>
  <c r="AM69" i="6" s="1"/>
  <c r="DF63" i="5"/>
  <c r="DE81" i="5"/>
  <c r="CZ90" i="5"/>
  <c r="DF90" i="5"/>
  <c r="DJ63" i="5"/>
  <c r="U70" i="6" s="1"/>
  <c r="DF45" i="5"/>
  <c r="DJ81" i="5"/>
  <c r="U72" i="6" s="1"/>
  <c r="DH45" i="5"/>
  <c r="R68" i="6" s="1"/>
  <c r="DJ36" i="5"/>
  <c r="U67" i="6" s="1"/>
  <c r="DI54" i="5"/>
  <c r="DD63" i="5"/>
  <c r="CZ72" i="5"/>
  <c r="DA81" i="5"/>
  <c r="DE90" i="5"/>
  <c r="DB36" i="5"/>
  <c r="DL72" i="5"/>
  <c r="W71" i="6" s="1"/>
  <c r="O9" i="6"/>
  <c r="DK74" i="5"/>
  <c r="DK81" i="5" s="1"/>
  <c r="V72" i="6" s="1"/>
  <c r="DK101" i="5"/>
  <c r="DK108" i="5" s="1"/>
  <c r="V75" i="6" s="1"/>
  <c r="DG108" i="5"/>
  <c r="AM75" i="6" s="1"/>
  <c r="DH108" i="5"/>
  <c r="DK117" i="5"/>
  <c r="V76" i="6" s="1"/>
  <c r="DB108" i="5"/>
  <c r="DA108" i="5"/>
  <c r="DF108" i="5"/>
  <c r="CZ117" i="5"/>
  <c r="DD108" i="5"/>
  <c r="CZ108" i="5"/>
  <c r="DE108" i="5"/>
  <c r="DO12" i="5"/>
  <c r="DO27" i="5" s="1"/>
  <c r="AA66" i="6" s="1"/>
  <c r="DK12" i="5"/>
  <c r="DK27" i="5" s="1"/>
  <c r="V66" i="6" s="1"/>
  <c r="DK83" i="5"/>
  <c r="DK90" i="5" s="1"/>
  <c r="V73" i="6" s="1"/>
  <c r="DK56" i="5"/>
  <c r="DK63" i="5" s="1"/>
  <c r="V70" i="6" s="1"/>
  <c r="Q6" i="3"/>
  <c r="I50" i="1"/>
  <c r="I43" i="1"/>
  <c r="F28" i="6" l="1"/>
  <c r="AR56" i="6"/>
  <c r="AR28" i="6" s="1"/>
  <c r="F27" i="6"/>
  <c r="AR55" i="6"/>
  <c r="AR27" i="6" s="1"/>
  <c r="F26" i="6"/>
  <c r="AR54" i="6"/>
  <c r="AR26" i="6" s="1"/>
  <c r="AR53" i="6"/>
  <c r="AR25" i="6" s="1"/>
  <c r="F25" i="6"/>
  <c r="F22" i="6"/>
  <c r="Z86" i="6"/>
  <c r="AA86" i="6"/>
  <c r="F51" i="6"/>
  <c r="H23" i="6"/>
  <c r="G51" i="6"/>
  <c r="G23" i="6" s="1"/>
  <c r="AA23" i="6"/>
  <c r="V23" i="6"/>
  <c r="L24" i="6"/>
  <c r="S23" i="6"/>
  <c r="J24" i="6"/>
  <c r="K24" i="6"/>
  <c r="U23" i="6"/>
  <c r="N24" i="6"/>
  <c r="R23" i="6"/>
  <c r="Z23" i="6"/>
  <c r="E25" i="15"/>
  <c r="E39" i="15" s="1"/>
  <c r="U86" i="6"/>
  <c r="L75" i="6"/>
  <c r="K75" i="6"/>
  <c r="C75" i="6"/>
  <c r="O24" i="6" l="1"/>
  <c r="O30" i="6" s="1"/>
  <c r="O58" i="6"/>
  <c r="Q58" i="6"/>
  <c r="Q24" i="6"/>
  <c r="Q30" i="6" s="1"/>
  <c r="P58" i="6"/>
  <c r="P24" i="6"/>
  <c r="P30" i="6" s="1"/>
  <c r="I24" i="6"/>
  <c r="AT52" i="6"/>
  <c r="AU52" i="6"/>
  <c r="AR51" i="6"/>
  <c r="AR23" i="6" s="1"/>
  <c r="F23" i="6"/>
  <c r="M531" i="1"/>
  <c r="M530" i="1"/>
  <c r="M524" i="1"/>
  <c r="M523" i="1"/>
  <c r="M510" i="1"/>
  <c r="M509" i="1"/>
  <c r="M503" i="1"/>
  <c r="M502" i="1"/>
  <c r="M496" i="1"/>
  <c r="M495" i="1"/>
  <c r="M489" i="1"/>
  <c r="M488" i="1"/>
  <c r="M504" i="1" l="1"/>
  <c r="O502" i="1" s="1"/>
  <c r="M532" i="1"/>
  <c r="O530" i="1" s="1"/>
  <c r="M490" i="1"/>
  <c r="N488" i="1" s="1"/>
  <c r="M497" i="1"/>
  <c r="O495" i="1" s="1"/>
  <c r="M525" i="1"/>
  <c r="O523" i="1" s="1"/>
  <c r="M511" i="1"/>
  <c r="O509" i="1" s="1"/>
  <c r="N495" i="1" l="1"/>
  <c r="N523" i="1"/>
  <c r="N502" i="1"/>
  <c r="O488" i="1"/>
  <c r="M518" i="1" s="1"/>
  <c r="N530" i="1"/>
  <c r="N509" i="1"/>
  <c r="L518" i="1" s="1"/>
  <c r="L517" i="1" s="1"/>
  <c r="J75" i="6" l="1"/>
  <c r="I75" i="6"/>
  <c r="AU75" i="6" l="1"/>
  <c r="D122" i="3"/>
  <c r="E122" i="3"/>
  <c r="F122" i="3"/>
  <c r="D102" i="3"/>
  <c r="E102" i="3"/>
  <c r="F102" i="3"/>
  <c r="CJ7" i="3"/>
  <c r="CB7" i="3"/>
  <c r="BT7" i="3"/>
  <c r="BL7" i="3"/>
  <c r="BD7" i="3"/>
  <c r="AV7" i="3"/>
  <c r="Y7" i="3"/>
  <c r="CJ6" i="3"/>
  <c r="CB6" i="3"/>
  <c r="BT6" i="3"/>
  <c r="BL6" i="3"/>
  <c r="BD6" i="3"/>
  <c r="AV6" i="3"/>
  <c r="Y6" i="3"/>
  <c r="G455" i="1" l="1"/>
  <c r="H455" i="1" s="1"/>
  <c r="AC67" i="6" l="1"/>
  <c r="A38" i="6" l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M9" i="6"/>
  <c r="A10" i="6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68" i="6" l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67" i="6"/>
  <c r="F132" i="3" l="1"/>
  <c r="D48" i="6" s="1"/>
  <c r="D20" i="6" s="1"/>
  <c r="E132" i="3"/>
  <c r="C48" i="6" s="1"/>
  <c r="D132" i="3"/>
  <c r="B48" i="6" s="1"/>
  <c r="CQ131" i="3"/>
  <c r="CP131" i="3"/>
  <c r="CO131" i="3"/>
  <c r="CN131" i="3"/>
  <c r="CM131" i="3"/>
  <c r="CL131" i="3"/>
  <c r="CK131" i="3"/>
  <c r="CI131" i="3"/>
  <c r="CH131" i="3"/>
  <c r="CG131" i="3"/>
  <c r="CF131" i="3"/>
  <c r="CE131" i="3"/>
  <c r="CD131" i="3"/>
  <c r="CC131" i="3"/>
  <c r="CA131" i="3"/>
  <c r="BZ131" i="3"/>
  <c r="BY131" i="3"/>
  <c r="BX131" i="3"/>
  <c r="BW131" i="3"/>
  <c r="BV131" i="3"/>
  <c r="BU131" i="3"/>
  <c r="BS131" i="3"/>
  <c r="BR131" i="3"/>
  <c r="BQ131" i="3"/>
  <c r="BP131" i="3"/>
  <c r="BO131" i="3"/>
  <c r="BN131" i="3"/>
  <c r="BM131" i="3"/>
  <c r="BK131" i="3"/>
  <c r="BJ131" i="3"/>
  <c r="BI131" i="3"/>
  <c r="BH131" i="3"/>
  <c r="BG131" i="3"/>
  <c r="BF131" i="3"/>
  <c r="BE131" i="3"/>
  <c r="BC131" i="3"/>
  <c r="AI48" i="6" s="1"/>
  <c r="BB131" i="3"/>
  <c r="AH48" i="6" s="1"/>
  <c r="BA131" i="3"/>
  <c r="AG48" i="6" s="1"/>
  <c r="AZ131" i="3"/>
  <c r="AF48" i="6" s="1"/>
  <c r="AY131" i="3"/>
  <c r="AE48" i="6" s="1"/>
  <c r="AX131" i="3"/>
  <c r="AD48" i="6" s="1"/>
  <c r="AW131" i="3"/>
  <c r="AC48" i="6" s="1"/>
  <c r="AU131" i="3"/>
  <c r="AT131" i="3"/>
  <c r="AS131" i="3"/>
  <c r="AR131" i="3"/>
  <c r="AQ131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V131" i="3"/>
  <c r="U131" i="3"/>
  <c r="L48" i="6" s="1"/>
  <c r="L20" i="6" s="1"/>
  <c r="T131" i="3"/>
  <c r="K48" i="6" s="1"/>
  <c r="K20" i="6" s="1"/>
  <c r="P131" i="3"/>
  <c r="O131" i="3"/>
  <c r="M131" i="3"/>
  <c r="L131" i="3"/>
  <c r="J131" i="3"/>
  <c r="I131" i="3"/>
  <c r="K131" i="3"/>
  <c r="J48" i="6" s="1"/>
  <c r="J20" i="6" s="1"/>
  <c r="D47" i="6"/>
  <c r="C47" i="6"/>
  <c r="C19" i="6" s="1"/>
  <c r="B47" i="6"/>
  <c r="CQ121" i="3"/>
  <c r="CP121" i="3"/>
  <c r="CO121" i="3"/>
  <c r="CN121" i="3"/>
  <c r="CM121" i="3"/>
  <c r="CL121" i="3"/>
  <c r="CK121" i="3"/>
  <c r="CI121" i="3"/>
  <c r="CH121" i="3"/>
  <c r="CG121" i="3"/>
  <c r="CF121" i="3"/>
  <c r="CE121" i="3"/>
  <c r="CD121" i="3"/>
  <c r="CC121" i="3"/>
  <c r="CA121" i="3"/>
  <c r="BZ121" i="3"/>
  <c r="BY121" i="3"/>
  <c r="BX121" i="3"/>
  <c r="BW121" i="3"/>
  <c r="BV121" i="3"/>
  <c r="BU121" i="3"/>
  <c r="BS121" i="3"/>
  <c r="BR121" i="3"/>
  <c r="BQ121" i="3"/>
  <c r="BP121" i="3"/>
  <c r="BO121" i="3"/>
  <c r="BN121" i="3"/>
  <c r="BM121" i="3"/>
  <c r="BK121" i="3"/>
  <c r="BJ121" i="3"/>
  <c r="BI121" i="3"/>
  <c r="BH121" i="3"/>
  <c r="BG121" i="3"/>
  <c r="BF121" i="3"/>
  <c r="BE121" i="3"/>
  <c r="BC121" i="3"/>
  <c r="AI47" i="6" s="1"/>
  <c r="BB121" i="3"/>
  <c r="AH47" i="6" s="1"/>
  <c r="BA121" i="3"/>
  <c r="AG47" i="6" s="1"/>
  <c r="AZ121" i="3"/>
  <c r="AF47" i="6" s="1"/>
  <c r="AY121" i="3"/>
  <c r="AE47" i="6" s="1"/>
  <c r="AX121" i="3"/>
  <c r="AD47" i="6" s="1"/>
  <c r="AW121" i="3"/>
  <c r="AC47" i="6" s="1"/>
  <c r="AU121" i="3"/>
  <c r="AT121" i="3"/>
  <c r="AS121" i="3"/>
  <c r="AR121" i="3"/>
  <c r="AQ121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V121" i="3"/>
  <c r="U121" i="3"/>
  <c r="L47" i="6" s="1"/>
  <c r="L19" i="6" s="1"/>
  <c r="T121" i="3"/>
  <c r="K47" i="6" s="1"/>
  <c r="K19" i="6" s="1"/>
  <c r="P121" i="3"/>
  <c r="O121" i="3"/>
  <c r="N121" i="3"/>
  <c r="M121" i="3"/>
  <c r="L121" i="3"/>
  <c r="J121" i="3"/>
  <c r="I121" i="3"/>
  <c r="H121" i="3"/>
  <c r="F22" i="3"/>
  <c r="D37" i="6" s="1"/>
  <c r="E22" i="3"/>
  <c r="C37" i="6" s="1"/>
  <c r="C9" i="6" s="1"/>
  <c r="C7" i="15" s="1"/>
  <c r="D22" i="3"/>
  <c r="B37" i="6" s="1"/>
  <c r="CQ21" i="3"/>
  <c r="CP21" i="3"/>
  <c r="CO21" i="3"/>
  <c r="CN21" i="3"/>
  <c r="CM21" i="3"/>
  <c r="CL21" i="3"/>
  <c r="CK21" i="3"/>
  <c r="CI21" i="3"/>
  <c r="CH21" i="3"/>
  <c r="CG21" i="3"/>
  <c r="CF21" i="3"/>
  <c r="CE21" i="3"/>
  <c r="CD21" i="3"/>
  <c r="CC21" i="3"/>
  <c r="CA21" i="3"/>
  <c r="BZ21" i="3"/>
  <c r="BY21" i="3"/>
  <c r="BX21" i="3"/>
  <c r="BW21" i="3"/>
  <c r="BV21" i="3"/>
  <c r="BU21" i="3"/>
  <c r="BS21" i="3"/>
  <c r="BR21" i="3"/>
  <c r="BQ21" i="3"/>
  <c r="BP21" i="3"/>
  <c r="BO21" i="3"/>
  <c r="BN21" i="3"/>
  <c r="BM21" i="3"/>
  <c r="BK21" i="3"/>
  <c r="BJ21" i="3"/>
  <c r="BI21" i="3"/>
  <c r="BH21" i="3"/>
  <c r="BG21" i="3"/>
  <c r="BF21" i="3"/>
  <c r="BE21" i="3"/>
  <c r="BC21" i="3"/>
  <c r="BB21" i="3"/>
  <c r="BA21" i="3"/>
  <c r="AZ21" i="3"/>
  <c r="AF37" i="6" s="1"/>
  <c r="AY21" i="3"/>
  <c r="AE37" i="6" s="1"/>
  <c r="AX21" i="3"/>
  <c r="AD37" i="6" s="1"/>
  <c r="AW21" i="3"/>
  <c r="AU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V21" i="3"/>
  <c r="U21" i="3"/>
  <c r="T21" i="3"/>
  <c r="P21" i="3"/>
  <c r="O21" i="3"/>
  <c r="M21" i="3"/>
  <c r="L21" i="3"/>
  <c r="J21" i="3"/>
  <c r="I21" i="3"/>
  <c r="F32" i="3"/>
  <c r="E32" i="3"/>
  <c r="D32" i="3"/>
  <c r="CQ31" i="3"/>
  <c r="CP31" i="3"/>
  <c r="CO31" i="3"/>
  <c r="CN31" i="3"/>
  <c r="CM31" i="3"/>
  <c r="CL31" i="3"/>
  <c r="CK31" i="3"/>
  <c r="CI31" i="3"/>
  <c r="CH31" i="3"/>
  <c r="CG31" i="3"/>
  <c r="CF31" i="3"/>
  <c r="CE31" i="3"/>
  <c r="CD31" i="3"/>
  <c r="CC31" i="3"/>
  <c r="CA31" i="3"/>
  <c r="BZ31" i="3"/>
  <c r="BY31" i="3"/>
  <c r="BX31" i="3"/>
  <c r="BW31" i="3"/>
  <c r="BV31" i="3"/>
  <c r="BU31" i="3"/>
  <c r="BS31" i="3"/>
  <c r="BR31" i="3"/>
  <c r="BQ31" i="3"/>
  <c r="BP31" i="3"/>
  <c r="BO31" i="3"/>
  <c r="BN31" i="3"/>
  <c r="BM31" i="3"/>
  <c r="BK31" i="3"/>
  <c r="BJ31" i="3"/>
  <c r="BI31" i="3"/>
  <c r="BH31" i="3"/>
  <c r="BG31" i="3"/>
  <c r="BF31" i="3"/>
  <c r="BE31" i="3"/>
  <c r="BC31" i="3"/>
  <c r="BB31" i="3"/>
  <c r="BA31" i="3"/>
  <c r="AZ31" i="3"/>
  <c r="AF38" i="6" s="1"/>
  <c r="AY31" i="3"/>
  <c r="AE38" i="6" s="1"/>
  <c r="AX31" i="3"/>
  <c r="AD38" i="6" s="1"/>
  <c r="AW31" i="3"/>
  <c r="AU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V31" i="3"/>
  <c r="U31" i="3"/>
  <c r="T31" i="3"/>
  <c r="P31" i="3"/>
  <c r="O31" i="3"/>
  <c r="M31" i="3"/>
  <c r="M2" i="3" s="1"/>
  <c r="L31" i="3"/>
  <c r="L2" i="3" s="1"/>
  <c r="J31" i="3"/>
  <c r="J2" i="3" s="1"/>
  <c r="I31" i="3"/>
  <c r="I2" i="3" s="1"/>
  <c r="B19" i="6" l="1"/>
  <c r="B17" i="15" s="1"/>
  <c r="P35" i="15" s="1"/>
  <c r="B20" i="6"/>
  <c r="D19" i="6"/>
  <c r="C20" i="6"/>
  <c r="N47" i="6"/>
  <c r="N19" i="6" s="1"/>
  <c r="B9" i="6"/>
  <c r="B7" i="15" s="1"/>
  <c r="AG37" i="6"/>
  <c r="AG9" i="6" s="1"/>
  <c r="D9" i="6"/>
  <c r="D7" i="15" s="1"/>
  <c r="AF9" i="6"/>
  <c r="K37" i="6"/>
  <c r="K9" i="6" s="1"/>
  <c r="AH37" i="6"/>
  <c r="AH9" i="6" s="1"/>
  <c r="L37" i="6"/>
  <c r="L9" i="6" s="1"/>
  <c r="AI37" i="6"/>
  <c r="AI9" i="6" s="1"/>
  <c r="N131" i="3"/>
  <c r="N48" i="6" s="1"/>
  <c r="N20" i="6" s="1"/>
  <c r="AC37" i="6"/>
  <c r="AC9" i="6" s="1"/>
  <c r="K31" i="3"/>
  <c r="K2" i="3" s="1"/>
  <c r="AE9" i="6"/>
  <c r="AD9" i="6"/>
  <c r="I47" i="6"/>
  <c r="I19" i="6" s="1"/>
  <c r="H131" i="3"/>
  <c r="I48" i="6" s="1"/>
  <c r="K121" i="3"/>
  <c r="J47" i="6" s="1"/>
  <c r="J19" i="6" s="1"/>
  <c r="H31" i="3"/>
  <c r="H2" i="3" s="1"/>
  <c r="N31" i="3"/>
  <c r="N38" i="6" s="1"/>
  <c r="N10" i="6" s="1"/>
  <c r="D26" i="15" s="1"/>
  <c r="V32" i="6"/>
  <c r="AT47" i="6" l="1"/>
  <c r="AU47" i="6"/>
  <c r="AU48" i="6"/>
  <c r="I20" i="6"/>
  <c r="AT48" i="6"/>
  <c r="N101" i="3" l="1"/>
  <c r="N45" i="6" s="1"/>
  <c r="N17" i="6" s="1"/>
  <c r="I330" i="1" l="1"/>
  <c r="I36" i="1" l="1"/>
  <c r="I29" i="1"/>
  <c r="I22" i="1"/>
  <c r="AU5" i="5" l="1"/>
  <c r="AU4" i="5"/>
  <c r="Z45" i="5" l="1"/>
  <c r="L68" i="6" s="1"/>
  <c r="Y45" i="5"/>
  <c r="K68" i="6" s="1"/>
  <c r="X45" i="5"/>
  <c r="W45" i="5"/>
  <c r="U45" i="5"/>
  <c r="T45" i="5"/>
  <c r="J68" i="6" s="1"/>
  <c r="R45" i="5"/>
  <c r="Q45" i="5"/>
  <c r="P45" i="5"/>
  <c r="O45" i="5"/>
  <c r="N45" i="5"/>
  <c r="M45" i="5"/>
  <c r="L45" i="5"/>
  <c r="K45" i="5"/>
  <c r="G45" i="5"/>
  <c r="D68" i="6" s="1"/>
  <c r="D45" i="5"/>
  <c r="C68" i="6" s="1"/>
  <c r="A38" i="5"/>
  <c r="V26" i="5"/>
  <c r="BH26" i="5" s="1"/>
  <c r="BY26" i="5" s="1"/>
  <c r="S26" i="5"/>
  <c r="BG26" i="5" s="1"/>
  <c r="BX26" i="5" s="1"/>
  <c r="J26" i="5"/>
  <c r="I26" i="5"/>
  <c r="AZ26" i="5" s="1"/>
  <c r="BQ26" i="5" s="1"/>
  <c r="V25" i="5"/>
  <c r="S25" i="5"/>
  <c r="J25" i="5"/>
  <c r="I25" i="5"/>
  <c r="V24" i="5"/>
  <c r="S24" i="5"/>
  <c r="J24" i="5"/>
  <c r="I24" i="5"/>
  <c r="V23" i="5"/>
  <c r="S23" i="5"/>
  <c r="J23" i="5"/>
  <c r="I23" i="5"/>
  <c r="V22" i="5"/>
  <c r="BY22" i="5" s="1"/>
  <c r="S22" i="5"/>
  <c r="BX22" i="5" s="1"/>
  <c r="J22" i="5"/>
  <c r="I22" i="5"/>
  <c r="BQ22" i="5" s="1"/>
  <c r="V21" i="5"/>
  <c r="BY21" i="5" s="1"/>
  <c r="S21" i="5"/>
  <c r="BX21" i="5" s="1"/>
  <c r="J21" i="5"/>
  <c r="I21" i="5"/>
  <c r="BQ21" i="5" s="1"/>
  <c r="V20" i="5"/>
  <c r="S20" i="5"/>
  <c r="J20" i="5"/>
  <c r="I20" i="5"/>
  <c r="V18" i="5"/>
  <c r="BY18" i="5" s="1"/>
  <c r="S18" i="5"/>
  <c r="BX18" i="5" s="1"/>
  <c r="J18" i="5"/>
  <c r="I18" i="5"/>
  <c r="BQ18" i="5" s="1"/>
  <c r="V17" i="5"/>
  <c r="S17" i="5"/>
  <c r="J17" i="5"/>
  <c r="I17" i="5"/>
  <c r="V16" i="5"/>
  <c r="BY16" i="5" s="1"/>
  <c r="S16" i="5"/>
  <c r="BX16" i="5" s="1"/>
  <c r="J16" i="5"/>
  <c r="I16" i="5"/>
  <c r="BQ16" i="5" s="1"/>
  <c r="V15" i="5"/>
  <c r="BY15" i="5" s="1"/>
  <c r="S15" i="5"/>
  <c r="BX15" i="5" s="1"/>
  <c r="J15" i="5"/>
  <c r="I15" i="5"/>
  <c r="BQ15" i="5" s="1"/>
  <c r="V14" i="5"/>
  <c r="BY14" i="5" s="1"/>
  <c r="S14" i="5"/>
  <c r="BX14" i="5" s="1"/>
  <c r="J14" i="5"/>
  <c r="I14" i="5"/>
  <c r="BQ14" i="5" s="1"/>
  <c r="V13" i="5"/>
  <c r="S13" i="5"/>
  <c r="J13" i="5"/>
  <c r="I13" i="5"/>
  <c r="V12" i="5"/>
  <c r="S12" i="5"/>
  <c r="J12" i="5"/>
  <c r="I12" i="5"/>
  <c r="G532" i="1"/>
  <c r="H532" i="1" s="1"/>
  <c r="G531" i="1"/>
  <c r="H531" i="1" s="1"/>
  <c r="G530" i="1"/>
  <c r="H530" i="1" s="1"/>
  <c r="G529" i="1"/>
  <c r="H529" i="1" s="1"/>
  <c r="G528" i="1"/>
  <c r="H528" i="1" s="1"/>
  <c r="G525" i="1"/>
  <c r="H525" i="1" s="1"/>
  <c r="G524" i="1"/>
  <c r="H524" i="1" s="1"/>
  <c r="G523" i="1"/>
  <c r="H523" i="1" s="1"/>
  <c r="G522" i="1"/>
  <c r="H522" i="1" s="1"/>
  <c r="G521" i="1"/>
  <c r="H521" i="1" s="1"/>
  <c r="G518" i="1"/>
  <c r="H518" i="1" s="1"/>
  <c r="G517" i="1"/>
  <c r="H517" i="1" s="1"/>
  <c r="G516" i="1"/>
  <c r="H516" i="1" s="1"/>
  <c r="G515" i="1"/>
  <c r="H515" i="1" s="1"/>
  <c r="G514" i="1"/>
  <c r="H514" i="1" s="1"/>
  <c r="G511" i="1"/>
  <c r="H511" i="1" s="1"/>
  <c r="G510" i="1"/>
  <c r="H510" i="1" s="1"/>
  <c r="G509" i="1"/>
  <c r="H509" i="1" s="1"/>
  <c r="G508" i="1"/>
  <c r="H508" i="1" s="1"/>
  <c r="G507" i="1"/>
  <c r="H507" i="1" s="1"/>
  <c r="G504" i="1"/>
  <c r="H504" i="1" s="1"/>
  <c r="G503" i="1"/>
  <c r="H503" i="1" s="1"/>
  <c r="G502" i="1"/>
  <c r="H502" i="1" s="1"/>
  <c r="G501" i="1"/>
  <c r="H501" i="1" s="1"/>
  <c r="G500" i="1"/>
  <c r="H500" i="1" s="1"/>
  <c r="G497" i="1"/>
  <c r="H497" i="1" s="1"/>
  <c r="G496" i="1"/>
  <c r="H496" i="1" s="1"/>
  <c r="G495" i="1"/>
  <c r="H495" i="1" s="1"/>
  <c r="G494" i="1"/>
  <c r="H494" i="1" s="1"/>
  <c r="G493" i="1"/>
  <c r="H493" i="1" s="1"/>
  <c r="G490" i="1"/>
  <c r="H490" i="1" s="1"/>
  <c r="G489" i="1"/>
  <c r="H489" i="1" s="1"/>
  <c r="G488" i="1"/>
  <c r="H488" i="1" s="1"/>
  <c r="G487" i="1"/>
  <c r="H487" i="1" s="1"/>
  <c r="G486" i="1"/>
  <c r="H486" i="1" s="1"/>
  <c r="G483" i="1"/>
  <c r="H483" i="1" s="1"/>
  <c r="G482" i="1"/>
  <c r="H482" i="1" s="1"/>
  <c r="G481" i="1"/>
  <c r="H481" i="1" s="1"/>
  <c r="G480" i="1"/>
  <c r="H480" i="1" s="1"/>
  <c r="G479" i="1"/>
  <c r="H479" i="1" s="1"/>
  <c r="K477" i="1"/>
  <c r="G476" i="1"/>
  <c r="H476" i="1" s="1"/>
  <c r="G475" i="1"/>
  <c r="H475" i="1" s="1"/>
  <c r="G474" i="1"/>
  <c r="H474" i="1" s="1"/>
  <c r="G473" i="1"/>
  <c r="H473" i="1" s="1"/>
  <c r="G472" i="1"/>
  <c r="H472" i="1" s="1"/>
  <c r="K470" i="1"/>
  <c r="G469" i="1"/>
  <c r="H469" i="1" s="1"/>
  <c r="G468" i="1"/>
  <c r="H468" i="1" s="1"/>
  <c r="G467" i="1"/>
  <c r="H467" i="1" s="1"/>
  <c r="G466" i="1"/>
  <c r="H466" i="1" s="1"/>
  <c r="G465" i="1"/>
  <c r="H465" i="1" s="1"/>
  <c r="G462" i="1"/>
  <c r="H462" i="1" s="1"/>
  <c r="G461" i="1"/>
  <c r="H461" i="1" s="1"/>
  <c r="G460" i="1"/>
  <c r="H460" i="1" s="1"/>
  <c r="G459" i="1"/>
  <c r="H459" i="1" s="1"/>
  <c r="G458" i="1"/>
  <c r="H458" i="1" s="1"/>
  <c r="G454" i="1"/>
  <c r="H454" i="1" s="1"/>
  <c r="G453" i="1"/>
  <c r="H453" i="1" s="1"/>
  <c r="G452" i="1"/>
  <c r="H452" i="1" s="1"/>
  <c r="G451" i="1"/>
  <c r="H451" i="1" s="1"/>
  <c r="K449" i="1"/>
  <c r="G448" i="1"/>
  <c r="H448" i="1" s="1"/>
  <c r="G447" i="1"/>
  <c r="H447" i="1" s="1"/>
  <c r="G446" i="1"/>
  <c r="H446" i="1" s="1"/>
  <c r="G445" i="1"/>
  <c r="H445" i="1" s="1"/>
  <c r="G444" i="1"/>
  <c r="H444" i="1" s="1"/>
  <c r="K442" i="1"/>
  <c r="G441" i="1"/>
  <c r="H441" i="1" s="1"/>
  <c r="G440" i="1"/>
  <c r="H440" i="1" s="1"/>
  <c r="G439" i="1"/>
  <c r="H439" i="1" s="1"/>
  <c r="G438" i="1"/>
  <c r="H438" i="1" s="1"/>
  <c r="G437" i="1"/>
  <c r="H437" i="1" s="1"/>
  <c r="K435" i="1"/>
  <c r="G434" i="1"/>
  <c r="H434" i="1" s="1"/>
  <c r="G433" i="1"/>
  <c r="H433" i="1" s="1"/>
  <c r="G432" i="1"/>
  <c r="H432" i="1" s="1"/>
  <c r="G431" i="1"/>
  <c r="H431" i="1" s="1"/>
  <c r="G430" i="1"/>
  <c r="H430" i="1" s="1"/>
  <c r="K428" i="1"/>
  <c r="G427" i="1"/>
  <c r="H427" i="1" s="1"/>
  <c r="G426" i="1"/>
  <c r="H426" i="1" s="1"/>
  <c r="G425" i="1"/>
  <c r="H425" i="1" s="1"/>
  <c r="G424" i="1"/>
  <c r="H424" i="1" s="1"/>
  <c r="G423" i="1"/>
  <c r="H423" i="1" s="1"/>
  <c r="G420" i="1"/>
  <c r="H420" i="1" s="1"/>
  <c r="G419" i="1"/>
  <c r="H419" i="1" s="1"/>
  <c r="G418" i="1"/>
  <c r="H418" i="1" s="1"/>
  <c r="G417" i="1"/>
  <c r="H417" i="1" s="1"/>
  <c r="G416" i="1"/>
  <c r="H416" i="1" s="1"/>
  <c r="G413" i="1"/>
  <c r="H413" i="1" s="1"/>
  <c r="G412" i="1"/>
  <c r="H412" i="1" s="1"/>
  <c r="G411" i="1"/>
  <c r="H411" i="1" s="1"/>
  <c r="G410" i="1"/>
  <c r="H410" i="1" s="1"/>
  <c r="G409" i="1"/>
  <c r="H409" i="1" s="1"/>
  <c r="K407" i="1"/>
  <c r="G406" i="1"/>
  <c r="H406" i="1" s="1"/>
  <c r="G405" i="1"/>
  <c r="H405" i="1" s="1"/>
  <c r="G404" i="1"/>
  <c r="H404" i="1" s="1"/>
  <c r="G403" i="1"/>
  <c r="H403" i="1" s="1"/>
  <c r="G402" i="1"/>
  <c r="H402" i="1" s="1"/>
  <c r="G399" i="1"/>
  <c r="H399" i="1" s="1"/>
  <c r="G398" i="1"/>
  <c r="H398" i="1" s="1"/>
  <c r="G397" i="1"/>
  <c r="H397" i="1" s="1"/>
  <c r="G396" i="1"/>
  <c r="H396" i="1" s="1"/>
  <c r="G395" i="1"/>
  <c r="H395" i="1" s="1"/>
  <c r="K393" i="1"/>
  <c r="G392" i="1"/>
  <c r="H392" i="1" s="1"/>
  <c r="G391" i="1"/>
  <c r="H391" i="1" s="1"/>
  <c r="G390" i="1"/>
  <c r="G389" i="1"/>
  <c r="H389" i="1" s="1"/>
  <c r="G388" i="1"/>
  <c r="H388" i="1" s="1"/>
  <c r="G385" i="1"/>
  <c r="H385" i="1" s="1"/>
  <c r="G384" i="1"/>
  <c r="H384" i="1" s="1"/>
  <c r="G383" i="1"/>
  <c r="H383" i="1" s="1"/>
  <c r="G382" i="1"/>
  <c r="H382" i="1" s="1"/>
  <c r="G381" i="1"/>
  <c r="H381" i="1" s="1"/>
  <c r="G378" i="1"/>
  <c r="H378" i="1" s="1"/>
  <c r="G377" i="1"/>
  <c r="H377" i="1" s="1"/>
  <c r="G376" i="1"/>
  <c r="H376" i="1" s="1"/>
  <c r="G375" i="1"/>
  <c r="H375" i="1" s="1"/>
  <c r="G374" i="1"/>
  <c r="H374" i="1" s="1"/>
  <c r="K372" i="1"/>
  <c r="G371" i="1"/>
  <c r="H371" i="1" s="1"/>
  <c r="G370" i="1"/>
  <c r="H370" i="1" s="1"/>
  <c r="G369" i="1"/>
  <c r="H369" i="1" s="1"/>
  <c r="G368" i="1"/>
  <c r="H368" i="1" s="1"/>
  <c r="G367" i="1"/>
  <c r="H367" i="1" s="1"/>
  <c r="K365" i="1"/>
  <c r="G364" i="1"/>
  <c r="H364" i="1" s="1"/>
  <c r="G363" i="1"/>
  <c r="H363" i="1" s="1"/>
  <c r="G362" i="1"/>
  <c r="H362" i="1" s="1"/>
  <c r="G361" i="1"/>
  <c r="H361" i="1" s="1"/>
  <c r="G360" i="1"/>
  <c r="H360" i="1" s="1"/>
  <c r="G357" i="1"/>
  <c r="H357" i="1" s="1"/>
  <c r="G356" i="1"/>
  <c r="H356" i="1" s="1"/>
  <c r="G355" i="1"/>
  <c r="H355" i="1" s="1"/>
  <c r="G354" i="1"/>
  <c r="H354" i="1" s="1"/>
  <c r="G353" i="1"/>
  <c r="H353" i="1" s="1"/>
  <c r="G350" i="1"/>
  <c r="H350" i="1" s="1"/>
  <c r="G349" i="1"/>
  <c r="H349" i="1" s="1"/>
  <c r="G348" i="1"/>
  <c r="H348" i="1" s="1"/>
  <c r="G347" i="1"/>
  <c r="H347" i="1" s="1"/>
  <c r="G346" i="1"/>
  <c r="H346" i="1" s="1"/>
  <c r="G343" i="1"/>
  <c r="H343" i="1" s="1"/>
  <c r="G342" i="1"/>
  <c r="H342" i="1" s="1"/>
  <c r="G341" i="1"/>
  <c r="H341" i="1" s="1"/>
  <c r="G340" i="1"/>
  <c r="H340" i="1" s="1"/>
  <c r="G339" i="1"/>
  <c r="H339" i="1" s="1"/>
  <c r="G336" i="1"/>
  <c r="H336" i="1" s="1"/>
  <c r="G335" i="1"/>
  <c r="H335" i="1" s="1"/>
  <c r="G334" i="1"/>
  <c r="H334" i="1" s="1"/>
  <c r="G333" i="1"/>
  <c r="H333" i="1" s="1"/>
  <c r="G332" i="1"/>
  <c r="H332" i="1" s="1"/>
  <c r="G329" i="1"/>
  <c r="H329" i="1" s="1"/>
  <c r="G328" i="1"/>
  <c r="H328" i="1" s="1"/>
  <c r="G327" i="1"/>
  <c r="H327" i="1" s="1"/>
  <c r="G326" i="1"/>
  <c r="H326" i="1" s="1"/>
  <c r="G325" i="1"/>
  <c r="H325" i="1" s="1"/>
  <c r="K323" i="1"/>
  <c r="G322" i="1"/>
  <c r="H322" i="1" s="1"/>
  <c r="G321" i="1"/>
  <c r="H321" i="1" s="1"/>
  <c r="G320" i="1"/>
  <c r="H320" i="1" s="1"/>
  <c r="G319" i="1"/>
  <c r="H319" i="1" s="1"/>
  <c r="G318" i="1"/>
  <c r="H318" i="1" s="1"/>
  <c r="G315" i="1"/>
  <c r="H315" i="1" s="1"/>
  <c r="G314" i="1"/>
  <c r="H314" i="1" s="1"/>
  <c r="G313" i="1"/>
  <c r="H313" i="1" s="1"/>
  <c r="G312" i="1"/>
  <c r="H312" i="1" s="1"/>
  <c r="G311" i="1"/>
  <c r="H311" i="1" s="1"/>
  <c r="G308" i="1"/>
  <c r="H308" i="1" s="1"/>
  <c r="G307" i="1"/>
  <c r="H307" i="1" s="1"/>
  <c r="G306" i="1"/>
  <c r="H306" i="1" s="1"/>
  <c r="G305" i="1"/>
  <c r="H305" i="1" s="1"/>
  <c r="G304" i="1"/>
  <c r="H304" i="1" s="1"/>
  <c r="G301" i="1"/>
  <c r="H301" i="1" s="1"/>
  <c r="G300" i="1"/>
  <c r="H300" i="1" s="1"/>
  <c r="G299" i="1"/>
  <c r="H299" i="1" s="1"/>
  <c r="G298" i="1"/>
  <c r="H298" i="1" s="1"/>
  <c r="G297" i="1"/>
  <c r="H297" i="1" s="1"/>
  <c r="G294" i="1"/>
  <c r="H294" i="1" s="1"/>
  <c r="G293" i="1"/>
  <c r="H293" i="1" s="1"/>
  <c r="G292" i="1"/>
  <c r="H292" i="1" s="1"/>
  <c r="G291" i="1"/>
  <c r="H291" i="1" s="1"/>
  <c r="G290" i="1"/>
  <c r="H290" i="1" s="1"/>
  <c r="K288" i="1"/>
  <c r="G287" i="1"/>
  <c r="H287" i="1" s="1"/>
  <c r="G286" i="1"/>
  <c r="H286" i="1" s="1"/>
  <c r="G285" i="1"/>
  <c r="H285" i="1" s="1"/>
  <c r="G284" i="1"/>
  <c r="H284" i="1" s="1"/>
  <c r="G283" i="1"/>
  <c r="H283" i="1" s="1"/>
  <c r="K281" i="1"/>
  <c r="G280" i="1"/>
  <c r="H280" i="1" s="1"/>
  <c r="G279" i="1"/>
  <c r="H279" i="1" s="1"/>
  <c r="G278" i="1"/>
  <c r="H278" i="1" s="1"/>
  <c r="G277" i="1"/>
  <c r="H277" i="1" s="1"/>
  <c r="H276" i="1"/>
  <c r="K274" i="1"/>
  <c r="G273" i="1"/>
  <c r="H273" i="1" s="1"/>
  <c r="G272" i="1"/>
  <c r="H272" i="1" s="1"/>
  <c r="G271" i="1"/>
  <c r="H271" i="1" s="1"/>
  <c r="G270" i="1"/>
  <c r="H270" i="1" s="1"/>
  <c r="G269" i="1"/>
  <c r="H269" i="1" s="1"/>
  <c r="G266" i="1"/>
  <c r="H266" i="1" s="1"/>
  <c r="G265" i="1"/>
  <c r="H265" i="1" s="1"/>
  <c r="G264" i="1"/>
  <c r="H264" i="1" s="1"/>
  <c r="G263" i="1"/>
  <c r="H263" i="1" s="1"/>
  <c r="G262" i="1"/>
  <c r="H262" i="1" s="1"/>
  <c r="K260" i="1"/>
  <c r="G259" i="1"/>
  <c r="H259" i="1" s="1"/>
  <c r="G258" i="1"/>
  <c r="H258" i="1" s="1"/>
  <c r="G257" i="1"/>
  <c r="H257" i="1" s="1"/>
  <c r="G256" i="1"/>
  <c r="H256" i="1" s="1"/>
  <c r="G255" i="1"/>
  <c r="G252" i="1"/>
  <c r="H252" i="1" s="1"/>
  <c r="G251" i="1"/>
  <c r="H251" i="1" s="1"/>
  <c r="G250" i="1"/>
  <c r="H250" i="1" s="1"/>
  <c r="G249" i="1"/>
  <c r="H249" i="1" s="1"/>
  <c r="G248" i="1"/>
  <c r="H248" i="1" s="1"/>
  <c r="K246" i="1"/>
  <c r="G245" i="1"/>
  <c r="H245" i="1" s="1"/>
  <c r="G244" i="1"/>
  <c r="H244" i="1" s="1"/>
  <c r="G243" i="1"/>
  <c r="H243" i="1" s="1"/>
  <c r="G242" i="1"/>
  <c r="H242" i="1" s="1"/>
  <c r="G241" i="1"/>
  <c r="H241" i="1" s="1"/>
  <c r="K239" i="1"/>
  <c r="G238" i="1"/>
  <c r="H238" i="1" s="1"/>
  <c r="G237" i="1"/>
  <c r="H237" i="1" s="1"/>
  <c r="G236" i="1"/>
  <c r="H236" i="1" s="1"/>
  <c r="G235" i="1"/>
  <c r="H235" i="1" s="1"/>
  <c r="G234" i="1"/>
  <c r="H234" i="1" s="1"/>
  <c r="G231" i="1"/>
  <c r="H231" i="1" s="1"/>
  <c r="G230" i="1"/>
  <c r="H230" i="1" s="1"/>
  <c r="G229" i="1"/>
  <c r="H229" i="1" s="1"/>
  <c r="G228" i="1"/>
  <c r="H228" i="1" s="1"/>
  <c r="H227" i="1"/>
  <c r="K225" i="1"/>
  <c r="G224" i="1"/>
  <c r="H224" i="1" s="1"/>
  <c r="G223" i="1"/>
  <c r="H223" i="1" s="1"/>
  <c r="G222" i="1"/>
  <c r="H222" i="1" s="1"/>
  <c r="G221" i="1"/>
  <c r="H221" i="1" s="1"/>
  <c r="G220" i="1"/>
  <c r="H220" i="1" s="1"/>
  <c r="K218" i="1"/>
  <c r="G217" i="1"/>
  <c r="H217" i="1" s="1"/>
  <c r="G216" i="1"/>
  <c r="H216" i="1" s="1"/>
  <c r="G215" i="1"/>
  <c r="H215" i="1" s="1"/>
  <c r="G214" i="1"/>
  <c r="H214" i="1" s="1"/>
  <c r="G213" i="1"/>
  <c r="H213" i="1" s="1"/>
  <c r="G210" i="1"/>
  <c r="H210" i="1" s="1"/>
  <c r="G209" i="1"/>
  <c r="H209" i="1" s="1"/>
  <c r="G208" i="1"/>
  <c r="H208" i="1" s="1"/>
  <c r="G207" i="1"/>
  <c r="H207" i="1" s="1"/>
  <c r="G206" i="1"/>
  <c r="H206" i="1" s="1"/>
  <c r="G203" i="1"/>
  <c r="H203" i="1" s="1"/>
  <c r="G202" i="1"/>
  <c r="H202" i="1" s="1"/>
  <c r="G201" i="1"/>
  <c r="H201" i="1" s="1"/>
  <c r="G200" i="1"/>
  <c r="H200" i="1" s="1"/>
  <c r="G199" i="1"/>
  <c r="H199" i="1" s="1"/>
  <c r="K197" i="1"/>
  <c r="G196" i="1"/>
  <c r="H196" i="1" s="1"/>
  <c r="G195" i="1"/>
  <c r="H195" i="1" s="1"/>
  <c r="G194" i="1"/>
  <c r="H194" i="1" s="1"/>
  <c r="G193" i="1"/>
  <c r="H193" i="1" s="1"/>
  <c r="G192" i="1"/>
  <c r="H192" i="1" s="1"/>
  <c r="K190" i="1"/>
  <c r="G189" i="1"/>
  <c r="H189" i="1" s="1"/>
  <c r="G188" i="1"/>
  <c r="H188" i="1" s="1"/>
  <c r="G187" i="1"/>
  <c r="H187" i="1" s="1"/>
  <c r="G186" i="1"/>
  <c r="H186" i="1" s="1"/>
  <c r="G185" i="1"/>
  <c r="H185" i="1" s="1"/>
  <c r="G182" i="1"/>
  <c r="H182" i="1" s="1"/>
  <c r="G181" i="1"/>
  <c r="H181" i="1" s="1"/>
  <c r="G180" i="1"/>
  <c r="H180" i="1" s="1"/>
  <c r="G179" i="1"/>
  <c r="H179" i="1" s="1"/>
  <c r="G178" i="1"/>
  <c r="H178" i="1" s="1"/>
  <c r="G175" i="1"/>
  <c r="H175" i="1" s="1"/>
  <c r="G174" i="1"/>
  <c r="H174" i="1" s="1"/>
  <c r="G173" i="1"/>
  <c r="H173" i="1" s="1"/>
  <c r="G172" i="1"/>
  <c r="H172" i="1" s="1"/>
  <c r="G171" i="1"/>
  <c r="H171" i="1" s="1"/>
  <c r="G168" i="1"/>
  <c r="H168" i="1" s="1"/>
  <c r="G167" i="1"/>
  <c r="H167" i="1" s="1"/>
  <c r="G166" i="1"/>
  <c r="H166" i="1" s="1"/>
  <c r="G165" i="1"/>
  <c r="H165" i="1" s="1"/>
  <c r="G164" i="1"/>
  <c r="H164" i="1" s="1"/>
  <c r="G161" i="1"/>
  <c r="H161" i="1" s="1"/>
  <c r="G160" i="1"/>
  <c r="H160" i="1" s="1"/>
  <c r="G159" i="1"/>
  <c r="H159" i="1" s="1"/>
  <c r="G158" i="1"/>
  <c r="H158" i="1" s="1"/>
  <c r="G157" i="1"/>
  <c r="H157" i="1" s="1"/>
  <c r="G154" i="1"/>
  <c r="H154" i="1" s="1"/>
  <c r="G153" i="1"/>
  <c r="H153" i="1" s="1"/>
  <c r="G152" i="1"/>
  <c r="H152" i="1" s="1"/>
  <c r="G151" i="1"/>
  <c r="H151" i="1" s="1"/>
  <c r="G150" i="1"/>
  <c r="H150" i="1" s="1"/>
  <c r="G147" i="1"/>
  <c r="H147" i="1" s="1"/>
  <c r="G146" i="1"/>
  <c r="H146" i="1" s="1"/>
  <c r="G145" i="1"/>
  <c r="H145" i="1" s="1"/>
  <c r="G144" i="1"/>
  <c r="H144" i="1" s="1"/>
  <c r="G143" i="1"/>
  <c r="H143" i="1" s="1"/>
  <c r="K141" i="1"/>
  <c r="G140" i="1"/>
  <c r="H140" i="1" s="1"/>
  <c r="G139" i="1"/>
  <c r="H139" i="1" s="1"/>
  <c r="G138" i="1"/>
  <c r="H138" i="1" s="1"/>
  <c r="G137" i="1"/>
  <c r="H137" i="1" s="1"/>
  <c r="G136" i="1"/>
  <c r="H136" i="1" s="1"/>
  <c r="G133" i="1"/>
  <c r="H133" i="1" s="1"/>
  <c r="G132" i="1"/>
  <c r="H132" i="1" s="1"/>
  <c r="G131" i="1"/>
  <c r="H131" i="1" s="1"/>
  <c r="G130" i="1"/>
  <c r="H130" i="1" s="1"/>
  <c r="G129" i="1"/>
  <c r="H129" i="1" s="1"/>
  <c r="G126" i="1"/>
  <c r="H126" i="1" s="1"/>
  <c r="G125" i="1"/>
  <c r="H125" i="1" s="1"/>
  <c r="G124" i="1"/>
  <c r="H124" i="1" s="1"/>
  <c r="G123" i="1"/>
  <c r="H123" i="1" s="1"/>
  <c r="G122" i="1"/>
  <c r="H122" i="1" s="1"/>
  <c r="K120" i="1"/>
  <c r="G119" i="1"/>
  <c r="H119" i="1" s="1"/>
  <c r="G118" i="1"/>
  <c r="H118" i="1" s="1"/>
  <c r="G117" i="1"/>
  <c r="H117" i="1" s="1"/>
  <c r="G116" i="1"/>
  <c r="H116" i="1" s="1"/>
  <c r="G115" i="1"/>
  <c r="H115" i="1" s="1"/>
  <c r="G112" i="1"/>
  <c r="H112" i="1" s="1"/>
  <c r="G111" i="1"/>
  <c r="H111" i="1" s="1"/>
  <c r="G110" i="1"/>
  <c r="H110" i="1" s="1"/>
  <c r="G109" i="1"/>
  <c r="H109" i="1" s="1"/>
  <c r="G108" i="1"/>
  <c r="H108" i="1" s="1"/>
  <c r="G105" i="1"/>
  <c r="H105" i="1" s="1"/>
  <c r="G104" i="1"/>
  <c r="H104" i="1" s="1"/>
  <c r="G103" i="1"/>
  <c r="H103" i="1" s="1"/>
  <c r="G102" i="1"/>
  <c r="H102" i="1" s="1"/>
  <c r="G101" i="1"/>
  <c r="H101" i="1" s="1"/>
  <c r="G98" i="1"/>
  <c r="H98" i="1" s="1"/>
  <c r="G97" i="1"/>
  <c r="H97" i="1" s="1"/>
  <c r="G96" i="1"/>
  <c r="H96" i="1" s="1"/>
  <c r="G95" i="1"/>
  <c r="H95" i="1" s="1"/>
  <c r="G94" i="1"/>
  <c r="H94" i="1" s="1"/>
  <c r="G91" i="1"/>
  <c r="H91" i="1" s="1"/>
  <c r="G90" i="1"/>
  <c r="H90" i="1" s="1"/>
  <c r="G89" i="1"/>
  <c r="H89" i="1" s="1"/>
  <c r="G88" i="1"/>
  <c r="H88" i="1" s="1"/>
  <c r="H87" i="1"/>
  <c r="K85" i="1"/>
  <c r="G84" i="1"/>
  <c r="H84" i="1" s="1"/>
  <c r="G83" i="1"/>
  <c r="H83" i="1" s="1"/>
  <c r="G82" i="1"/>
  <c r="H82" i="1" s="1"/>
  <c r="G81" i="1"/>
  <c r="H81" i="1" s="1"/>
  <c r="G80" i="1"/>
  <c r="H80" i="1" s="1"/>
  <c r="G77" i="1"/>
  <c r="H77" i="1" s="1"/>
  <c r="G76" i="1"/>
  <c r="H76" i="1" s="1"/>
  <c r="G75" i="1"/>
  <c r="H75" i="1" s="1"/>
  <c r="G74" i="1"/>
  <c r="H74" i="1" s="1"/>
  <c r="G73" i="1"/>
  <c r="H73" i="1" s="1"/>
  <c r="G70" i="1"/>
  <c r="H70" i="1" s="1"/>
  <c r="G69" i="1"/>
  <c r="H69" i="1" s="1"/>
  <c r="G68" i="1"/>
  <c r="H68" i="1" s="1"/>
  <c r="G67" i="1"/>
  <c r="H67" i="1" s="1"/>
  <c r="G66" i="1"/>
  <c r="H66" i="1" s="1"/>
  <c r="G63" i="1"/>
  <c r="H63" i="1" s="1"/>
  <c r="G62" i="1"/>
  <c r="H62" i="1" s="1"/>
  <c r="G61" i="1"/>
  <c r="H61" i="1" s="1"/>
  <c r="G60" i="1"/>
  <c r="H60" i="1" s="1"/>
  <c r="G59" i="1"/>
  <c r="H59" i="1" s="1"/>
  <c r="G56" i="1"/>
  <c r="H56" i="1" s="1"/>
  <c r="G55" i="1"/>
  <c r="H55" i="1" s="1"/>
  <c r="G54" i="1"/>
  <c r="H54" i="1" s="1"/>
  <c r="G53" i="1"/>
  <c r="H53" i="1" s="1"/>
  <c r="G52" i="1"/>
  <c r="H52" i="1" s="1"/>
  <c r="K50" i="1"/>
  <c r="G49" i="1"/>
  <c r="H49" i="1" s="1"/>
  <c r="G48" i="1"/>
  <c r="H48" i="1" s="1"/>
  <c r="G47" i="1"/>
  <c r="H47" i="1" s="1"/>
  <c r="G46" i="1"/>
  <c r="H46" i="1" s="1"/>
  <c r="G45" i="1"/>
  <c r="H45" i="1" s="1"/>
  <c r="K43" i="1"/>
  <c r="G42" i="1"/>
  <c r="H42" i="1" s="1"/>
  <c r="G41" i="1"/>
  <c r="H41" i="1" s="1"/>
  <c r="G40" i="1"/>
  <c r="H40" i="1" s="1"/>
  <c r="G39" i="1"/>
  <c r="H39" i="1" s="1"/>
  <c r="G38" i="1"/>
  <c r="H38" i="1" s="1"/>
  <c r="K36" i="1"/>
  <c r="G35" i="1"/>
  <c r="H35" i="1" s="1"/>
  <c r="G34" i="1"/>
  <c r="H34" i="1" s="1"/>
  <c r="G33" i="1"/>
  <c r="H33" i="1" s="1"/>
  <c r="G32" i="1"/>
  <c r="H32" i="1" s="1"/>
  <c r="G31" i="1"/>
  <c r="H31" i="1" s="1"/>
  <c r="K29" i="1"/>
  <c r="G28" i="1"/>
  <c r="H28" i="1" s="1"/>
  <c r="G27" i="1"/>
  <c r="H27" i="1" s="1"/>
  <c r="G26" i="1"/>
  <c r="H26" i="1" s="1"/>
  <c r="G25" i="1"/>
  <c r="H25" i="1" s="1"/>
  <c r="G24" i="1"/>
  <c r="H24" i="1" s="1"/>
  <c r="S27" i="5" l="1"/>
  <c r="CO12" i="5"/>
  <c r="DH12" i="5" s="1"/>
  <c r="DH27" i="5" s="1"/>
  <c r="R66" i="6" s="1"/>
  <c r="CH12" i="5"/>
  <c r="DA12" i="5" s="1"/>
  <c r="DA27" i="5" s="1"/>
  <c r="J27" i="5"/>
  <c r="CP12" i="5"/>
  <c r="DI12" i="5" s="1"/>
  <c r="DI27" i="5" s="1"/>
  <c r="I27" i="5"/>
  <c r="I66" i="6"/>
  <c r="DA43" i="5"/>
  <c r="H68" i="6"/>
  <c r="F68" i="6"/>
  <c r="H255" i="1"/>
  <c r="H260" i="1" s="1"/>
  <c r="J260" i="1" s="1"/>
  <c r="C56" i="3" s="1"/>
  <c r="J652" i="1"/>
  <c r="C142" i="3" s="1"/>
  <c r="H25" i="5"/>
  <c r="AI75" i="6"/>
  <c r="AI19" i="6" s="1"/>
  <c r="AE75" i="6"/>
  <c r="AE19" i="6" s="1"/>
  <c r="AG75" i="6"/>
  <c r="AG19" i="6" s="1"/>
  <c r="AC75" i="6"/>
  <c r="AC19" i="6" s="1"/>
  <c r="AH75" i="6"/>
  <c r="AH19" i="6" s="1"/>
  <c r="AD75" i="6"/>
  <c r="AD19" i="6" s="1"/>
  <c r="AF75" i="6"/>
  <c r="AF19" i="6" s="1"/>
  <c r="K533" i="1"/>
  <c r="K512" i="1"/>
  <c r="K505" i="1"/>
  <c r="K498" i="1"/>
  <c r="AH3" i="5"/>
  <c r="W6" i="5"/>
  <c r="O3" i="5"/>
  <c r="T6" i="5"/>
  <c r="K3" i="5"/>
  <c r="Y3" i="5"/>
  <c r="R3" i="5"/>
  <c r="U3" i="5"/>
  <c r="P3" i="5"/>
  <c r="Z3" i="5"/>
  <c r="Q3" i="5"/>
  <c r="AA3" i="5"/>
  <c r="U6" i="5"/>
  <c r="L3" i="5"/>
  <c r="N3" i="5"/>
  <c r="X6" i="5"/>
  <c r="X3" i="5"/>
  <c r="W3" i="5"/>
  <c r="M3" i="5"/>
  <c r="T3" i="5"/>
  <c r="K64" i="1"/>
  <c r="K295" i="1"/>
  <c r="K400" i="1"/>
  <c r="K344" i="1"/>
  <c r="K330" i="1"/>
  <c r="K337" i="1"/>
  <c r="K316" i="1"/>
  <c r="K309" i="1"/>
  <c r="K302" i="1"/>
  <c r="K253" i="1"/>
  <c r="K71" i="1"/>
  <c r="H393" i="1"/>
  <c r="J393" i="1" s="1"/>
  <c r="C84" i="3" s="1"/>
  <c r="K57" i="1"/>
  <c r="K232" i="1"/>
  <c r="K211" i="1"/>
  <c r="H442" i="1"/>
  <c r="J442" i="1" s="1"/>
  <c r="C94" i="3" s="1"/>
  <c r="H337" i="1"/>
  <c r="H470" i="1"/>
  <c r="J470" i="1" s="1"/>
  <c r="C98" i="3" s="1"/>
  <c r="H365" i="1"/>
  <c r="J365" i="1" s="1"/>
  <c r="C77" i="3" s="1"/>
  <c r="H498" i="1"/>
  <c r="H519" i="1"/>
  <c r="H533" i="1"/>
  <c r="K204" i="1"/>
  <c r="K176" i="1"/>
  <c r="K169" i="1"/>
  <c r="K127" i="1"/>
  <c r="K113" i="1"/>
  <c r="H204" i="1"/>
  <c r="H71" i="1"/>
  <c r="H176" i="1"/>
  <c r="H400" i="1"/>
  <c r="J400" i="1" s="1"/>
  <c r="C85" i="3" s="1"/>
  <c r="H421" i="1"/>
  <c r="H491" i="1"/>
  <c r="H344" i="1"/>
  <c r="H372" i="1"/>
  <c r="J372" i="1" s="1"/>
  <c r="C78" i="3" s="1"/>
  <c r="H463" i="1"/>
  <c r="H512" i="1"/>
  <c r="H239" i="1"/>
  <c r="H267" i="1"/>
  <c r="H295" i="1"/>
  <c r="H323" i="1"/>
  <c r="J323" i="1" s="1"/>
  <c r="C68" i="3" s="1"/>
  <c r="H414" i="1"/>
  <c r="H428" i="1"/>
  <c r="J428" i="1" s="1"/>
  <c r="C89" i="3" s="1"/>
  <c r="H358" i="1"/>
  <c r="H386" i="1"/>
  <c r="H407" i="1"/>
  <c r="J407" i="1" s="1"/>
  <c r="C86" i="3" s="1"/>
  <c r="H435" i="1"/>
  <c r="J435" i="1" s="1"/>
  <c r="C90" i="3" s="1"/>
  <c r="H449" i="1"/>
  <c r="J449" i="1" s="1"/>
  <c r="C95" i="3" s="1"/>
  <c r="H477" i="1"/>
  <c r="J477" i="1" s="1"/>
  <c r="C99" i="3" s="1"/>
  <c r="H505" i="1"/>
  <c r="H526" i="1"/>
  <c r="H190" i="1"/>
  <c r="J190" i="1" s="1"/>
  <c r="C40" i="3" s="1"/>
  <c r="K183" i="1"/>
  <c r="K162" i="1"/>
  <c r="H162" i="1"/>
  <c r="J162" i="1" s="1"/>
  <c r="C36" i="3" s="1"/>
  <c r="K148" i="1"/>
  <c r="H148" i="1"/>
  <c r="J148" i="1" s="1"/>
  <c r="C34" i="3" s="1"/>
  <c r="H134" i="1"/>
  <c r="K134" i="1"/>
  <c r="K106" i="1"/>
  <c r="K99" i="1"/>
  <c r="K92" i="1"/>
  <c r="K78" i="1"/>
  <c r="H21" i="5"/>
  <c r="H26" i="5"/>
  <c r="AY26" i="5" s="1"/>
  <c r="BP26" i="5" s="1"/>
  <c r="J45" i="5"/>
  <c r="H20" i="5"/>
  <c r="A39" i="5"/>
  <c r="A40" i="5" s="1"/>
  <c r="A41" i="5" s="1"/>
  <c r="A42" i="5" s="1"/>
  <c r="A43" i="5" s="1"/>
  <c r="A44" i="5" s="1"/>
  <c r="A47" i="5"/>
  <c r="A30" i="5"/>
  <c r="A31" i="5" s="1"/>
  <c r="A32" i="5" s="1"/>
  <c r="A33" i="5" s="1"/>
  <c r="A34" i="5" s="1"/>
  <c r="A35" i="5" s="1"/>
  <c r="S45" i="5"/>
  <c r="I68" i="6" s="1"/>
  <c r="AU68" i="6" s="1"/>
  <c r="O28" i="15" s="1"/>
  <c r="I45" i="5"/>
  <c r="G75" i="6"/>
  <c r="H75" i="6" s="1"/>
  <c r="H24" i="5"/>
  <c r="V45" i="5"/>
  <c r="H23" i="5"/>
  <c r="H22" i="5"/>
  <c r="BP22" i="5" s="1"/>
  <c r="H13" i="5"/>
  <c r="H15" i="5"/>
  <c r="BP15" i="5" s="1"/>
  <c r="H17" i="5"/>
  <c r="H12" i="5"/>
  <c r="H14" i="5"/>
  <c r="BP14" i="5" s="1"/>
  <c r="H18" i="5"/>
  <c r="BP18" i="5" s="1"/>
  <c r="H16" i="5"/>
  <c r="BP16" i="5" s="1"/>
  <c r="H456" i="1"/>
  <c r="H484" i="1"/>
  <c r="K463" i="1"/>
  <c r="K491" i="1"/>
  <c r="K519" i="1"/>
  <c r="K456" i="1"/>
  <c r="K484" i="1"/>
  <c r="K526" i="1"/>
  <c r="H351" i="1"/>
  <c r="H379" i="1"/>
  <c r="K358" i="1"/>
  <c r="K386" i="1"/>
  <c r="K414" i="1"/>
  <c r="K351" i="1"/>
  <c r="K379" i="1"/>
  <c r="K421" i="1"/>
  <c r="H253" i="1"/>
  <c r="H281" i="1"/>
  <c r="J281" i="1" s="1"/>
  <c r="C59" i="3" s="1"/>
  <c r="H309" i="1"/>
  <c r="H232" i="1"/>
  <c r="H288" i="1"/>
  <c r="J288" i="1" s="1"/>
  <c r="C60" i="3" s="1"/>
  <c r="H316" i="1"/>
  <c r="H246" i="1"/>
  <c r="J246" i="1" s="1"/>
  <c r="C54" i="3" s="1"/>
  <c r="H274" i="1"/>
  <c r="J274" i="1" s="1"/>
  <c r="C58" i="3" s="1"/>
  <c r="H302" i="1"/>
  <c r="H330" i="1"/>
  <c r="H218" i="1"/>
  <c r="H127" i="1"/>
  <c r="H141" i="1"/>
  <c r="H155" i="1"/>
  <c r="H183" i="1"/>
  <c r="H197" i="1"/>
  <c r="J197" i="1" s="1"/>
  <c r="C44" i="3" s="1"/>
  <c r="H211" i="1"/>
  <c r="H225" i="1"/>
  <c r="J225" i="1" s="1"/>
  <c r="C48" i="3" s="1"/>
  <c r="H169" i="1"/>
  <c r="J169" i="1" s="1"/>
  <c r="C37" i="3" s="1"/>
  <c r="H120" i="1"/>
  <c r="J120" i="1" s="1"/>
  <c r="C27" i="3" s="1"/>
  <c r="H113" i="1"/>
  <c r="H106" i="1"/>
  <c r="H99" i="1"/>
  <c r="H92" i="1"/>
  <c r="J92" i="1" s="1"/>
  <c r="C20" i="3" s="1"/>
  <c r="H85" i="1"/>
  <c r="J85" i="1" s="1"/>
  <c r="C19" i="3" s="1"/>
  <c r="H78" i="1"/>
  <c r="H64" i="1"/>
  <c r="H57" i="1"/>
  <c r="H50" i="1"/>
  <c r="J50" i="1" s="1"/>
  <c r="H43" i="1"/>
  <c r="J43" i="1" s="1"/>
  <c r="H36" i="1"/>
  <c r="J36" i="1" s="1"/>
  <c r="H29" i="1"/>
  <c r="J29" i="1" s="1"/>
  <c r="T15" i="12"/>
  <c r="T14" i="12"/>
  <c r="T13" i="12"/>
  <c r="S15" i="12"/>
  <c r="S14" i="12"/>
  <c r="S13" i="12"/>
  <c r="R15" i="12"/>
  <c r="R14" i="12"/>
  <c r="R13" i="12"/>
  <c r="Q15" i="12"/>
  <c r="Q14" i="12"/>
  <c r="Q13" i="12"/>
  <c r="P15" i="12"/>
  <c r="P14" i="12"/>
  <c r="P13" i="12"/>
  <c r="O15" i="12"/>
  <c r="O14" i="12"/>
  <c r="O13" i="12"/>
  <c r="J113" i="1" l="1"/>
  <c r="C26" i="3" s="1"/>
  <c r="J99" i="1"/>
  <c r="C24" i="3" s="1"/>
  <c r="J211" i="1"/>
  <c r="C46" i="3" s="1"/>
  <c r="J505" i="1"/>
  <c r="C106" i="3" s="1"/>
  <c r="H27" i="5"/>
  <c r="BP21" i="5"/>
  <c r="CG12" i="5" s="1"/>
  <c r="CZ12" i="5" s="1"/>
  <c r="CZ27" i="5" s="1"/>
  <c r="E49" i="6"/>
  <c r="G142" i="3"/>
  <c r="DA45" i="5"/>
  <c r="M159" i="1"/>
  <c r="O159" i="1" s="1"/>
  <c r="P159" i="1" s="1"/>
  <c r="M194" i="1"/>
  <c r="M192" i="1"/>
  <c r="M193" i="1"/>
  <c r="M196" i="1"/>
  <c r="M195" i="1"/>
  <c r="CZ43" i="5"/>
  <c r="J106" i="1"/>
  <c r="C25" i="3" s="1"/>
  <c r="J512" i="1"/>
  <c r="C107" i="3" s="1"/>
  <c r="A5" i="5"/>
  <c r="J309" i="1"/>
  <c r="C66" i="3" s="1"/>
  <c r="J302" i="1"/>
  <c r="C65" i="3" s="1"/>
  <c r="J64" i="1"/>
  <c r="C16" i="3" s="1"/>
  <c r="J232" i="1"/>
  <c r="C49" i="3" s="1"/>
  <c r="J330" i="1"/>
  <c r="C69" i="3" s="1"/>
  <c r="J253" i="1"/>
  <c r="C55" i="3" s="1"/>
  <c r="J183" i="1"/>
  <c r="C39" i="3" s="1"/>
  <c r="J239" i="1"/>
  <c r="C50" i="3" s="1"/>
  <c r="J155" i="1"/>
  <c r="C35" i="3" s="1"/>
  <c r="J344" i="1"/>
  <c r="C74" i="3" s="1"/>
  <c r="M137" i="1"/>
  <c r="M152" i="1"/>
  <c r="M129" i="1"/>
  <c r="J141" i="1"/>
  <c r="C30" i="3" s="1"/>
  <c r="J57" i="1"/>
  <c r="J127" i="1"/>
  <c r="C28" i="3" s="1"/>
  <c r="M157" i="1"/>
  <c r="M153" i="1"/>
  <c r="M131" i="1"/>
  <c r="M160" i="1"/>
  <c r="M138" i="1"/>
  <c r="M132" i="1"/>
  <c r="M136" i="1"/>
  <c r="M140" i="1"/>
  <c r="M150" i="1"/>
  <c r="J78" i="1"/>
  <c r="C18" i="3" s="1"/>
  <c r="J176" i="1"/>
  <c r="C38" i="3" s="1"/>
  <c r="J533" i="1"/>
  <c r="C110" i="3" s="1"/>
  <c r="M154" i="1"/>
  <c r="M130" i="1"/>
  <c r="M151" i="1"/>
  <c r="M161" i="1"/>
  <c r="M139" i="1"/>
  <c r="M133" i="1"/>
  <c r="M158" i="1"/>
  <c r="J526" i="1"/>
  <c r="C109" i="3" s="1"/>
  <c r="J498" i="1"/>
  <c r="C105" i="3" s="1"/>
  <c r="AK75" i="6"/>
  <c r="F75" i="6"/>
  <c r="AR75" i="6"/>
  <c r="J267" i="1"/>
  <c r="C57" i="3" s="1"/>
  <c r="J218" i="1"/>
  <c r="C47" i="3" s="1"/>
  <c r="M164" i="1"/>
  <c r="M168" i="1"/>
  <c r="M167" i="1"/>
  <c r="M165" i="1"/>
  <c r="M166" i="1"/>
  <c r="J519" i="1"/>
  <c r="C108" i="3" s="1"/>
  <c r="J134" i="1"/>
  <c r="C29" i="3" s="1"/>
  <c r="J379" i="1"/>
  <c r="C79" i="3" s="1"/>
  <c r="S6" i="5"/>
  <c r="V6" i="5"/>
  <c r="V3" i="5"/>
  <c r="I3" i="5"/>
  <c r="S3" i="5"/>
  <c r="J3" i="5"/>
  <c r="J295" i="1"/>
  <c r="C64" i="3" s="1"/>
  <c r="J491" i="1"/>
  <c r="C104" i="3" s="1"/>
  <c r="J463" i="1"/>
  <c r="C97" i="3" s="1"/>
  <c r="J484" i="1"/>
  <c r="C100" i="3" s="1"/>
  <c r="J421" i="1"/>
  <c r="C88" i="3" s="1"/>
  <c r="J386" i="1"/>
  <c r="C80" i="3" s="1"/>
  <c r="J358" i="1"/>
  <c r="C76" i="3" s="1"/>
  <c r="J316" i="1"/>
  <c r="C67" i="3" s="1"/>
  <c r="J337" i="1"/>
  <c r="C70" i="3" s="1"/>
  <c r="J71" i="1"/>
  <c r="C17" i="3" s="1"/>
  <c r="J414" i="1"/>
  <c r="C87" i="3" s="1"/>
  <c r="J204" i="1"/>
  <c r="C45" i="3" s="1"/>
  <c r="H45" i="5"/>
  <c r="A48" i="5"/>
  <c r="A49" i="5" s="1"/>
  <c r="A50" i="5" s="1"/>
  <c r="A51" i="5" s="1"/>
  <c r="A52" i="5" s="1"/>
  <c r="A53" i="5" s="1"/>
  <c r="A56" i="5"/>
  <c r="J456" i="1"/>
  <c r="C96" i="3" s="1"/>
  <c r="J351" i="1"/>
  <c r="C75" i="3" s="1"/>
  <c r="CZ45" i="5" l="1"/>
  <c r="AS142" i="3"/>
  <c r="BN142" i="3"/>
  <c r="BR142" i="3"/>
  <c r="AX142" i="3"/>
  <c r="CL142" i="3"/>
  <c r="AP142" i="3"/>
  <c r="BZ142" i="3"/>
  <c r="BP142" i="3"/>
  <c r="AG142" i="3"/>
  <c r="AK142" i="3"/>
  <c r="AN142" i="3"/>
  <c r="CP142" i="3"/>
  <c r="AB142" i="3"/>
  <c r="H142" i="3"/>
  <c r="R49" i="6" s="1"/>
  <c r="R21" i="6" s="1"/>
  <c r="AH142" i="3"/>
  <c r="BW142" i="3"/>
  <c r="AE142" i="3"/>
  <c r="R142" i="3"/>
  <c r="Z142" i="3"/>
  <c r="M142" i="3"/>
  <c r="J142" i="3"/>
  <c r="BY142" i="3"/>
  <c r="BQ142" i="3"/>
  <c r="O142" i="3"/>
  <c r="AT142" i="3"/>
  <c r="BB142" i="3"/>
  <c r="CG142" i="3"/>
  <c r="BC142" i="3"/>
  <c r="BM142" i="3"/>
  <c r="AJ142" i="3"/>
  <c r="X142" i="3"/>
  <c r="AA49" i="6" s="1"/>
  <c r="AA21" i="6" s="1"/>
  <c r="BU142" i="3"/>
  <c r="AM142" i="3"/>
  <c r="CH142" i="3"/>
  <c r="BF142" i="3"/>
  <c r="CQ142" i="3"/>
  <c r="CM142" i="3"/>
  <c r="BS142" i="3"/>
  <c r="AA142" i="3"/>
  <c r="AZ142" i="3"/>
  <c r="CN142" i="3"/>
  <c r="CC142" i="3"/>
  <c r="AF142" i="3"/>
  <c r="AL142" i="3"/>
  <c r="AU142" i="3"/>
  <c r="N142" i="3"/>
  <c r="U49" i="6" s="1"/>
  <c r="U21" i="6" s="1"/>
  <c r="I142" i="3"/>
  <c r="Q142" i="3"/>
  <c r="V49" i="6" s="1"/>
  <c r="V21" i="6" s="1"/>
  <c r="BA142" i="3"/>
  <c r="BH142" i="3"/>
  <c r="BG142" i="3"/>
  <c r="AC142" i="3"/>
  <c r="CI142" i="3"/>
  <c r="BX142" i="3"/>
  <c r="BO142" i="3"/>
  <c r="CK142" i="3"/>
  <c r="AY142" i="3"/>
  <c r="CE142" i="3"/>
  <c r="K142" i="3"/>
  <c r="S49" i="6" s="1"/>
  <c r="S21" i="6" s="1"/>
  <c r="BK142" i="3"/>
  <c r="L142" i="3"/>
  <c r="T142" i="3"/>
  <c r="W49" i="6" s="1"/>
  <c r="AQ142" i="3"/>
  <c r="CO142" i="3"/>
  <c r="AW142" i="3"/>
  <c r="S142" i="3"/>
  <c r="CF142" i="3"/>
  <c r="AI142" i="3"/>
  <c r="U142" i="3"/>
  <c r="X49" i="6" s="1"/>
  <c r="CD142" i="3"/>
  <c r="BJ142" i="3"/>
  <c r="AD142" i="3"/>
  <c r="W142" i="3"/>
  <c r="Z49" i="6" s="1"/>
  <c r="Z21" i="6" s="1"/>
  <c r="V142" i="3"/>
  <c r="Y49" i="6" s="1"/>
  <c r="Y21" i="6" s="1"/>
  <c r="BE142" i="3"/>
  <c r="CA142" i="3"/>
  <c r="BV142" i="3"/>
  <c r="AO142" i="3"/>
  <c r="AR142" i="3"/>
  <c r="P142" i="3"/>
  <c r="BI142" i="3"/>
  <c r="E21" i="6"/>
  <c r="H49" i="6"/>
  <c r="N159" i="1"/>
  <c r="N196" i="1"/>
  <c r="O196" i="1"/>
  <c r="P196" i="1" s="1"/>
  <c r="N195" i="1"/>
  <c r="O195" i="1"/>
  <c r="P195" i="1" s="1"/>
  <c r="N193" i="1"/>
  <c r="O193" i="1"/>
  <c r="P193" i="1" s="1"/>
  <c r="N192" i="1"/>
  <c r="O192" i="1"/>
  <c r="P192" i="1" s="1"/>
  <c r="N194" i="1"/>
  <c r="O194" i="1"/>
  <c r="P194" i="1" s="1"/>
  <c r="S75" i="6"/>
  <c r="C132" i="3"/>
  <c r="E48" i="6" s="1"/>
  <c r="AJ75" i="6"/>
  <c r="AL75" i="6"/>
  <c r="R75" i="6"/>
  <c r="C102" i="3"/>
  <c r="O161" i="1"/>
  <c r="P161" i="1" s="1"/>
  <c r="N161" i="1"/>
  <c r="O150" i="1"/>
  <c r="P150" i="1" s="1"/>
  <c r="N150" i="1"/>
  <c r="O138" i="1"/>
  <c r="P138" i="1" s="1"/>
  <c r="N138" i="1"/>
  <c r="C32" i="3"/>
  <c r="N151" i="1"/>
  <c r="O151" i="1"/>
  <c r="P151" i="1" s="1"/>
  <c r="O140" i="1"/>
  <c r="P140" i="1" s="1"/>
  <c r="N140" i="1"/>
  <c r="N160" i="1"/>
  <c r="O160" i="1"/>
  <c r="P160" i="1" s="1"/>
  <c r="O154" i="1"/>
  <c r="P154" i="1" s="1"/>
  <c r="N154" i="1"/>
  <c r="N132" i="1"/>
  <c r="O132" i="1"/>
  <c r="P132" i="1" s="1"/>
  <c r="O153" i="1"/>
  <c r="P153" i="1" s="1"/>
  <c r="N153" i="1"/>
  <c r="O139" i="1"/>
  <c r="P139" i="1" s="1"/>
  <c r="N139" i="1"/>
  <c r="O137" i="1"/>
  <c r="P137" i="1" s="1"/>
  <c r="N137" i="1"/>
  <c r="O130" i="1"/>
  <c r="P130" i="1" s="1"/>
  <c r="N130" i="1"/>
  <c r="O136" i="1"/>
  <c r="P136" i="1" s="1"/>
  <c r="M141" i="1"/>
  <c r="N141" i="1" s="1"/>
  <c r="N136" i="1"/>
  <c r="O131" i="1"/>
  <c r="P131" i="1" s="1"/>
  <c r="N131" i="1"/>
  <c r="N157" i="1"/>
  <c r="O157" i="1"/>
  <c r="P157" i="1" s="1"/>
  <c r="C122" i="3"/>
  <c r="G122" i="3" s="1"/>
  <c r="AO75" i="6"/>
  <c r="AP75" i="6"/>
  <c r="O158" i="1"/>
  <c r="P158" i="1" s="1"/>
  <c r="N158" i="1"/>
  <c r="O129" i="1"/>
  <c r="P129" i="1" s="1"/>
  <c r="M134" i="1"/>
  <c r="R134" i="1" s="1"/>
  <c r="S134" i="1" s="1"/>
  <c r="N129" i="1"/>
  <c r="O133" i="1"/>
  <c r="P133" i="1" s="1"/>
  <c r="N133" i="1"/>
  <c r="O152" i="1"/>
  <c r="P152" i="1" s="1"/>
  <c r="N152" i="1"/>
  <c r="AN75" i="6"/>
  <c r="N166" i="1"/>
  <c r="O166" i="1"/>
  <c r="P166" i="1" s="1"/>
  <c r="N165" i="1"/>
  <c r="O165" i="1"/>
  <c r="P165" i="1" s="1"/>
  <c r="N167" i="1"/>
  <c r="O167" i="1"/>
  <c r="P167" i="1" s="1"/>
  <c r="N168" i="1"/>
  <c r="O168" i="1"/>
  <c r="P168" i="1" s="1"/>
  <c r="N164" i="1"/>
  <c r="O164" i="1"/>
  <c r="P164" i="1" s="1"/>
  <c r="H3" i="5"/>
  <c r="A57" i="5"/>
  <c r="A58" i="5" s="1"/>
  <c r="A59" i="5" s="1"/>
  <c r="A60" i="5" s="1"/>
  <c r="A61" i="5" s="1"/>
  <c r="A62" i="5" s="1"/>
  <c r="A65" i="5"/>
  <c r="A74" i="5" s="1"/>
  <c r="A75" i="5" s="1"/>
  <c r="A76" i="5" s="1"/>
  <c r="A77" i="5" s="1"/>
  <c r="A78" i="5" s="1"/>
  <c r="A79" i="5" s="1"/>
  <c r="A80" i="5" s="1"/>
  <c r="M15" i="12"/>
  <c r="L15" i="12"/>
  <c r="K15" i="12"/>
  <c r="J15" i="12"/>
  <c r="I15" i="12"/>
  <c r="H15" i="12"/>
  <c r="G15" i="12"/>
  <c r="G19" i="12" s="1"/>
  <c r="G23" i="12" s="1"/>
  <c r="F15" i="12"/>
  <c r="E15" i="12"/>
  <c r="M14" i="12"/>
  <c r="L14" i="12"/>
  <c r="K14" i="12"/>
  <c r="J14" i="12"/>
  <c r="I14" i="12"/>
  <c r="H14" i="12"/>
  <c r="H18" i="12" s="1"/>
  <c r="H22" i="12" s="1"/>
  <c r="G14" i="12"/>
  <c r="F14" i="12"/>
  <c r="E14" i="12"/>
  <c r="M13" i="12"/>
  <c r="L13" i="12"/>
  <c r="K13" i="12"/>
  <c r="J13" i="12"/>
  <c r="I13" i="12"/>
  <c r="H13" i="12"/>
  <c r="G13" i="12"/>
  <c r="F13" i="12"/>
  <c r="E13" i="12"/>
  <c r="E17" i="12" s="1"/>
  <c r="E21" i="12" s="1"/>
  <c r="D15" i="12"/>
  <c r="D19" i="12" s="1"/>
  <c r="D14" i="12"/>
  <c r="D18" i="12" s="1"/>
  <c r="D13" i="12"/>
  <c r="X5" i="5"/>
  <c r="W5" i="5"/>
  <c r="V5" i="5"/>
  <c r="AL49" i="6" l="1"/>
  <c r="AJ49" i="6"/>
  <c r="AM49" i="6"/>
  <c r="AP49" i="6"/>
  <c r="AK49" i="6"/>
  <c r="AO49" i="6"/>
  <c r="AN49" i="6"/>
  <c r="H21" i="6"/>
  <c r="G49" i="6"/>
  <c r="G21" i="6" s="1"/>
  <c r="F49" i="6"/>
  <c r="G32" i="3"/>
  <c r="O32" i="3" s="1"/>
  <c r="E20" i="6"/>
  <c r="H48" i="6"/>
  <c r="X122" i="3"/>
  <c r="AA47" i="6" s="1"/>
  <c r="AA19" i="6" s="1"/>
  <c r="W122" i="3"/>
  <c r="Z47" i="6" s="1"/>
  <c r="Z19" i="6" s="1"/>
  <c r="AC122" i="3"/>
  <c r="AA122" i="3"/>
  <c r="Z122" i="3"/>
  <c r="AB122" i="3"/>
  <c r="R122" i="3"/>
  <c r="S122" i="3"/>
  <c r="Q122" i="3"/>
  <c r="V47" i="6" s="1"/>
  <c r="V19" i="6" s="1"/>
  <c r="I35" i="15" s="1"/>
  <c r="F18" i="12"/>
  <c r="F22" i="12" s="1"/>
  <c r="E19" i="12"/>
  <c r="E23" i="12" s="1"/>
  <c r="G17" i="12"/>
  <c r="G21" i="12" s="1"/>
  <c r="G132" i="3"/>
  <c r="E47" i="6"/>
  <c r="E19" i="6" s="1"/>
  <c r="H17" i="12"/>
  <c r="H21" i="12" s="1"/>
  <c r="G18" i="12"/>
  <c r="G22" i="12" s="1"/>
  <c r="F19" i="12"/>
  <c r="F23" i="12" s="1"/>
  <c r="D17" i="12"/>
  <c r="H19" i="12"/>
  <c r="H23" i="12" s="1"/>
  <c r="G24" i="12"/>
  <c r="F17" i="12"/>
  <c r="F21" i="12" s="1"/>
  <c r="D21" i="12" s="1"/>
  <c r="E18" i="12"/>
  <c r="E22" i="12" s="1"/>
  <c r="E24" i="12" s="1"/>
  <c r="P122" i="3"/>
  <c r="AN122" i="3"/>
  <c r="AE122" i="3"/>
  <c r="AL122" i="3"/>
  <c r="AK122" i="3"/>
  <c r="BG122" i="3"/>
  <c r="CC122" i="3"/>
  <c r="CK122" i="3"/>
  <c r="CM122" i="3"/>
  <c r="AQ122" i="3"/>
  <c r="BB122" i="3"/>
  <c r="AO47" i="6" s="1"/>
  <c r="CI122" i="3"/>
  <c r="AI122" i="3"/>
  <c r="CO122" i="3"/>
  <c r="V122" i="3"/>
  <c r="Y47" i="6" s="1"/>
  <c r="Y19" i="6" s="1"/>
  <c r="AD122" i="3"/>
  <c r="T122" i="3"/>
  <c r="W47" i="6" s="1"/>
  <c r="W19" i="6" s="1"/>
  <c r="AO122" i="3"/>
  <c r="AF122" i="3"/>
  <c r="BR122" i="3"/>
  <c r="AZ122" i="3"/>
  <c r="AM47" i="6" s="1"/>
  <c r="CG122" i="3"/>
  <c r="AP122" i="3"/>
  <c r="BJ122" i="3"/>
  <c r="AW122" i="3"/>
  <c r="AJ47" i="6" s="1"/>
  <c r="CF122" i="3"/>
  <c r="CN122" i="3"/>
  <c r="U122" i="3"/>
  <c r="X47" i="6" s="1"/>
  <c r="X19" i="6" s="1"/>
  <c r="CD122" i="3"/>
  <c r="AG122" i="3"/>
  <c r="BA122" i="3"/>
  <c r="AN47" i="6" s="1"/>
  <c r="AY122" i="3"/>
  <c r="AL47" i="6" s="1"/>
  <c r="BV122" i="3"/>
  <c r="BI122" i="3"/>
  <c r="AJ122" i="3"/>
  <c r="AH122" i="3"/>
  <c r="BZ122" i="3"/>
  <c r="CL122" i="3"/>
  <c r="BW122" i="3"/>
  <c r="CE122" i="3"/>
  <c r="J122" i="3"/>
  <c r="AS122" i="3"/>
  <c r="M122" i="3"/>
  <c r="BQ122" i="3"/>
  <c r="BO122" i="3"/>
  <c r="BN122" i="3"/>
  <c r="CH122" i="3"/>
  <c r="AX122" i="3"/>
  <c r="AK47" i="6" s="1"/>
  <c r="O122" i="3"/>
  <c r="BY122" i="3"/>
  <c r="BF122" i="3"/>
  <c r="CP122" i="3"/>
  <c r="L122" i="3"/>
  <c r="AT122" i="3"/>
  <c r="H122" i="3"/>
  <c r="R47" i="6" s="1"/>
  <c r="R19" i="6" s="1"/>
  <c r="F35" i="15" s="1"/>
  <c r="BS122" i="3"/>
  <c r="BE122" i="3"/>
  <c r="BM122" i="3"/>
  <c r="BU122" i="3"/>
  <c r="I122" i="3"/>
  <c r="BP122" i="3"/>
  <c r="BH122" i="3"/>
  <c r="CA122" i="3"/>
  <c r="K122" i="3"/>
  <c r="S47" i="6" s="1"/>
  <c r="S19" i="6" s="1"/>
  <c r="G35" i="15" s="1"/>
  <c r="AR122" i="3"/>
  <c r="N122" i="3"/>
  <c r="U47" i="6" s="1"/>
  <c r="U19" i="6" s="1"/>
  <c r="H35" i="15" s="1"/>
  <c r="AU122" i="3"/>
  <c r="BC122" i="3"/>
  <c r="AP47" i="6" s="1"/>
  <c r="BK122" i="3"/>
  <c r="CQ122" i="3"/>
  <c r="BX122" i="3"/>
  <c r="AM122" i="3"/>
  <c r="A66" i="5"/>
  <c r="A67" i="5" s="1"/>
  <c r="A68" i="5" s="1"/>
  <c r="A69" i="5" s="1"/>
  <c r="A70" i="5" s="1"/>
  <c r="A71" i="5" s="1"/>
  <c r="Y86" i="6"/>
  <c r="V86" i="6"/>
  <c r="Q86" i="6"/>
  <c r="M86" i="6"/>
  <c r="BS32" i="3" l="1"/>
  <c r="AO32" i="3"/>
  <c r="BC32" i="3"/>
  <c r="AP38" i="6" s="1"/>
  <c r="P32" i="3"/>
  <c r="BJ32" i="3"/>
  <c r="Q7" i="7" s="1"/>
  <c r="V32" i="3"/>
  <c r="AL32" i="3"/>
  <c r="CL32" i="3"/>
  <c r="AT32" i="3"/>
  <c r="BN32" i="3"/>
  <c r="BY32" i="3"/>
  <c r="Q32" i="3"/>
  <c r="V38" i="6" s="1"/>
  <c r="V10" i="6" s="1"/>
  <c r="I26" i="15" s="1"/>
  <c r="BG32" i="3"/>
  <c r="N7" i="7" s="1"/>
  <c r="AG32" i="3"/>
  <c r="AX32" i="3"/>
  <c r="AK38" i="6" s="1"/>
  <c r="BI32" i="3"/>
  <c r="P7" i="7" s="1"/>
  <c r="BQ32" i="3"/>
  <c r="AW32" i="3"/>
  <c r="M32" i="3"/>
  <c r="BV32" i="3"/>
  <c r="BU32" i="3"/>
  <c r="AR32" i="3"/>
  <c r="AC32" i="3"/>
  <c r="CI32" i="3"/>
  <c r="CH32" i="3"/>
  <c r="CQ32" i="3"/>
  <c r="AI32" i="3"/>
  <c r="H32" i="3"/>
  <c r="U32" i="3"/>
  <c r="K32" i="3"/>
  <c r="T32" i="3"/>
  <c r="CG32" i="3"/>
  <c r="R32" i="3"/>
  <c r="BP32" i="3"/>
  <c r="CE32" i="3"/>
  <c r="X32" i="3"/>
  <c r="AA38" i="6" s="1"/>
  <c r="AA10" i="6" s="1"/>
  <c r="W32" i="3"/>
  <c r="Z38" i="6" s="1"/>
  <c r="Z10" i="6" s="1"/>
  <c r="BX32" i="3"/>
  <c r="CF32" i="3"/>
  <c r="I32" i="3"/>
  <c r="AJ32" i="3"/>
  <c r="AZ32" i="3"/>
  <c r="AM38" i="6" s="1"/>
  <c r="BK32" i="3"/>
  <c r="R7" i="7" s="1"/>
  <c r="BW32" i="3"/>
  <c r="AQ32" i="3"/>
  <c r="CD32" i="3"/>
  <c r="AY32" i="3"/>
  <c r="AL38" i="6" s="1"/>
  <c r="AN32" i="3"/>
  <c r="AH32" i="3"/>
  <c r="Z32" i="3"/>
  <c r="AE32" i="3"/>
  <c r="AD32" i="3"/>
  <c r="CM32" i="3"/>
  <c r="N32" i="3"/>
  <c r="U38" i="6" s="1"/>
  <c r="U10" i="6" s="1"/>
  <c r="H26" i="15" s="1"/>
  <c r="CN32" i="3"/>
  <c r="AB32" i="3"/>
  <c r="AK32" i="3"/>
  <c r="BZ32" i="3"/>
  <c r="CA32" i="3"/>
  <c r="CO32" i="3"/>
  <c r="S32" i="3"/>
  <c r="CC32" i="3"/>
  <c r="BE32" i="3"/>
  <c r="L7" i="7" s="1"/>
  <c r="AS32" i="3"/>
  <c r="AP32" i="3"/>
  <c r="BB32" i="3"/>
  <c r="AO38" i="6" s="1"/>
  <c r="AA32" i="3"/>
  <c r="BR32" i="3"/>
  <c r="L32" i="3"/>
  <c r="BF32" i="3"/>
  <c r="M7" i="7" s="1"/>
  <c r="BA32" i="3"/>
  <c r="BO32" i="3"/>
  <c r="AM32" i="3"/>
  <c r="CP32" i="3"/>
  <c r="CK32" i="3"/>
  <c r="J32" i="3"/>
  <c r="AF32" i="3"/>
  <c r="AU32" i="3"/>
  <c r="F21" i="6"/>
  <c r="AR49" i="6"/>
  <c r="AR21" i="6" s="1"/>
  <c r="BH32" i="3"/>
  <c r="O7" i="7" s="1"/>
  <c r="BM32" i="3"/>
  <c r="AM19" i="6"/>
  <c r="AF20" i="6"/>
  <c r="CK132" i="3"/>
  <c r="W132" i="3"/>
  <c r="Z48" i="6" s="1"/>
  <c r="Z20" i="6" s="1"/>
  <c r="X132" i="3"/>
  <c r="AA48" i="6" s="1"/>
  <c r="AA20" i="6" s="1"/>
  <c r="AN19" i="6"/>
  <c r="AG20" i="6"/>
  <c r="AP19" i="6"/>
  <c r="AI20" i="6"/>
  <c r="AO19" i="6"/>
  <c r="AH20" i="6"/>
  <c r="G48" i="6"/>
  <c r="G20" i="6" s="1"/>
  <c r="G18" i="15" s="1"/>
  <c r="H20" i="6"/>
  <c r="F48" i="6"/>
  <c r="AJ19" i="6"/>
  <c r="AC20" i="6"/>
  <c r="AK19" i="6"/>
  <c r="AD20" i="6"/>
  <c r="AL19" i="6"/>
  <c r="AE20" i="6"/>
  <c r="L132" i="3"/>
  <c r="BA132" i="3"/>
  <c r="CD132" i="3"/>
  <c r="AY132" i="3"/>
  <c r="BN132" i="3"/>
  <c r="BR132" i="3"/>
  <c r="AW132" i="3"/>
  <c r="BE132" i="3"/>
  <c r="CQ132" i="3"/>
  <c r="BW132" i="3"/>
  <c r="CF132" i="3"/>
  <c r="AZ132" i="3"/>
  <c r="CE132" i="3"/>
  <c r="BY132" i="3"/>
  <c r="K132" i="3"/>
  <c r="S48" i="6" s="1"/>
  <c r="S20" i="6" s="1"/>
  <c r="BX132" i="3"/>
  <c r="AD132" i="3"/>
  <c r="CL132" i="3"/>
  <c r="N132" i="3"/>
  <c r="U48" i="6" s="1"/>
  <c r="U20" i="6" s="1"/>
  <c r="AC132" i="3"/>
  <c r="AA132" i="3"/>
  <c r="Z132" i="3"/>
  <c r="AB132" i="3"/>
  <c r="P132" i="3"/>
  <c r="BK132" i="3"/>
  <c r="AE132" i="3"/>
  <c r="CH132" i="3"/>
  <c r="O132" i="3"/>
  <c r="CP132" i="3"/>
  <c r="AT132" i="3"/>
  <c r="AG132" i="3"/>
  <c r="M132" i="3"/>
  <c r="AX132" i="3"/>
  <c r="BO132" i="3"/>
  <c r="AP132" i="3"/>
  <c r="BU132" i="3"/>
  <c r="BB132" i="3"/>
  <c r="BM132" i="3"/>
  <c r="BP132" i="3"/>
  <c r="BS132" i="3"/>
  <c r="BV132" i="3"/>
  <c r="AL132" i="3"/>
  <c r="AU132" i="3"/>
  <c r="CI132" i="3"/>
  <c r="T132" i="3"/>
  <c r="W48" i="6" s="1"/>
  <c r="W20" i="6" s="1"/>
  <c r="AF132" i="3"/>
  <c r="U132" i="3"/>
  <c r="X48" i="6" s="1"/>
  <c r="X20" i="6" s="1"/>
  <c r="BG132" i="3"/>
  <c r="BF132" i="3"/>
  <c r="AJ132" i="3"/>
  <c r="V132" i="3"/>
  <c r="Y48" i="6" s="1"/>
  <c r="Y20" i="6" s="1"/>
  <c r="J132" i="3"/>
  <c r="H132" i="3"/>
  <c r="R48" i="6" s="1"/>
  <c r="R20" i="6" s="1"/>
  <c r="AH132" i="3"/>
  <c r="AN132" i="3"/>
  <c r="AM132" i="3"/>
  <c r="CC132" i="3"/>
  <c r="AR132" i="3"/>
  <c r="BZ132" i="3"/>
  <c r="AO132" i="3"/>
  <c r="CG132" i="3"/>
  <c r="CM132" i="3"/>
  <c r="CA132" i="3"/>
  <c r="AS132" i="3"/>
  <c r="CO132" i="3"/>
  <c r="BI132" i="3"/>
  <c r="CN132" i="3"/>
  <c r="AQ132" i="3"/>
  <c r="BH132" i="3"/>
  <c r="BC132" i="3"/>
  <c r="I132" i="3"/>
  <c r="BJ132" i="3"/>
  <c r="AK132" i="3"/>
  <c r="BQ132" i="3"/>
  <c r="AI132" i="3"/>
  <c r="F24" i="12"/>
  <c r="R132" i="3"/>
  <c r="S132" i="3"/>
  <c r="Q132" i="3"/>
  <c r="V48" i="6" s="1"/>
  <c r="V20" i="6" s="1"/>
  <c r="H24" i="12"/>
  <c r="H47" i="6"/>
  <c r="D24" i="12"/>
  <c r="D23" i="12"/>
  <c r="D22" i="12"/>
  <c r="A83" i="5"/>
  <c r="AN48" i="6" l="1"/>
  <c r="AN20" i="6" s="1"/>
  <c r="AO48" i="6"/>
  <c r="AO20" i="6" s="1"/>
  <c r="AL48" i="6"/>
  <c r="AL20" i="6" s="1"/>
  <c r="AM48" i="6"/>
  <c r="AM20" i="6" s="1"/>
  <c r="AP48" i="6"/>
  <c r="AP20" i="6" s="1"/>
  <c r="AK48" i="6"/>
  <c r="AK20" i="6" s="1"/>
  <c r="AJ48" i="6"/>
  <c r="AJ20" i="6" s="1"/>
  <c r="S4" i="6"/>
  <c r="R4" i="6"/>
  <c r="AR48" i="6"/>
  <c r="AR20" i="6" s="1"/>
  <c r="F20" i="6"/>
  <c r="F18" i="15" s="1"/>
  <c r="G47" i="6"/>
  <c r="G19" i="6" s="1"/>
  <c r="G17" i="15" s="1"/>
  <c r="H19" i="6"/>
  <c r="H17" i="15" s="1"/>
  <c r="F47" i="6"/>
  <c r="A84" i="5"/>
  <c r="A85" i="5" s="1"/>
  <c r="A86" i="5" s="1"/>
  <c r="A87" i="5" s="1"/>
  <c r="A88" i="5" s="1"/>
  <c r="A89" i="5" s="1"/>
  <c r="A92" i="5"/>
  <c r="K22" i="1"/>
  <c r="AS101" i="3"/>
  <c r="AR101" i="3"/>
  <c r="AS111" i="3"/>
  <c r="AR111" i="3"/>
  <c r="AS91" i="3"/>
  <c r="AR91" i="3"/>
  <c r="AS71" i="3"/>
  <c r="AR71" i="3"/>
  <c r="AS81" i="3"/>
  <c r="AR81" i="3"/>
  <c r="AS51" i="3"/>
  <c r="AR51" i="3"/>
  <c r="AS61" i="3"/>
  <c r="AR61" i="3"/>
  <c r="AS41" i="3"/>
  <c r="AR41" i="3"/>
  <c r="AU111" i="3"/>
  <c r="AT111" i="3"/>
  <c r="AQ111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U101" i="3"/>
  <c r="AT101" i="3"/>
  <c r="AQ101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U91" i="3"/>
  <c r="AT91" i="3"/>
  <c r="AQ91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U81" i="3"/>
  <c r="AT81" i="3"/>
  <c r="AQ81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U71" i="3"/>
  <c r="AT71" i="3"/>
  <c r="AQ71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U61" i="3"/>
  <c r="AT61" i="3"/>
  <c r="AQ61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Q51" i="3"/>
  <c r="AP51" i="3"/>
  <c r="AO51" i="3"/>
  <c r="AN51" i="3"/>
  <c r="AQ41" i="3"/>
  <c r="AP41" i="3"/>
  <c r="AO41" i="3"/>
  <c r="AN41" i="3"/>
  <c r="T4" i="6" l="1"/>
  <c r="AR47" i="6"/>
  <c r="AR19" i="6" s="1"/>
  <c r="F19" i="6"/>
  <c r="F17" i="15" s="1"/>
  <c r="AS6" i="3"/>
  <c r="AN6" i="3"/>
  <c r="AO6" i="3"/>
  <c r="AP6" i="3"/>
  <c r="AR6" i="3"/>
  <c r="AQ6" i="3"/>
  <c r="A93" i="5"/>
  <c r="A94" i="5" s="1"/>
  <c r="A95" i="5" s="1"/>
  <c r="A96" i="5" s="1"/>
  <c r="A97" i="5" s="1"/>
  <c r="A98" i="5" s="1"/>
  <c r="A101" i="5"/>
  <c r="A102" i="5" l="1"/>
  <c r="A103" i="5" s="1"/>
  <c r="A104" i="5" s="1"/>
  <c r="A105" i="5" s="1"/>
  <c r="A106" i="5" s="1"/>
  <c r="A107" i="5" s="1"/>
  <c r="A110" i="5"/>
  <c r="AF74" i="6"/>
  <c r="L74" i="6"/>
  <c r="K74" i="6"/>
  <c r="C74" i="6"/>
  <c r="D74" i="6"/>
  <c r="A111" i="5" l="1"/>
  <c r="A112" i="5" s="1"/>
  <c r="A113" i="5" s="1"/>
  <c r="A114" i="5" s="1"/>
  <c r="A115" i="5" s="1"/>
  <c r="A116" i="5" s="1"/>
  <c r="A119" i="5"/>
  <c r="AF73" i="6"/>
  <c r="L73" i="6"/>
  <c r="K73" i="6"/>
  <c r="D73" i="6"/>
  <c r="C73" i="6"/>
  <c r="F112" i="3"/>
  <c r="E112" i="3"/>
  <c r="D112" i="3"/>
  <c r="A128" i="5" l="1"/>
  <c r="A120" i="5"/>
  <c r="A121" i="5" s="1"/>
  <c r="A122" i="5" s="1"/>
  <c r="A123" i="5" s="1"/>
  <c r="A124" i="5" s="1"/>
  <c r="A125" i="5" s="1"/>
  <c r="B46" i="6"/>
  <c r="D46" i="6"/>
  <c r="C46" i="6"/>
  <c r="C18" i="6" s="1"/>
  <c r="D45" i="6"/>
  <c r="C45" i="6"/>
  <c r="C17" i="6" s="1"/>
  <c r="B45" i="6"/>
  <c r="L72" i="6"/>
  <c r="K72" i="6"/>
  <c r="C72" i="6"/>
  <c r="AF72" i="6"/>
  <c r="F92" i="3"/>
  <c r="D44" i="6" s="1"/>
  <c r="E92" i="3"/>
  <c r="C44" i="6" s="1"/>
  <c r="C16" i="6" l="1"/>
  <c r="B17" i="6"/>
  <c r="D16" i="6"/>
  <c r="B18" i="6"/>
  <c r="D17" i="6"/>
  <c r="D18" i="6"/>
  <c r="A129" i="5"/>
  <c r="A130" i="5" s="1"/>
  <c r="A131" i="5" s="1"/>
  <c r="A132" i="5" s="1"/>
  <c r="A133" i="5" s="1"/>
  <c r="A134" i="5" s="1"/>
  <c r="A137" i="5"/>
  <c r="A146" i="5" l="1"/>
  <c r="A138" i="5"/>
  <c r="A139" i="5" s="1"/>
  <c r="A140" i="5" s="1"/>
  <c r="A141" i="5" s="1"/>
  <c r="A142" i="5" s="1"/>
  <c r="A143" i="5" s="1"/>
  <c r="AM86" i="6"/>
  <c r="A154" i="5" l="1"/>
  <c r="A147" i="5"/>
  <c r="A148" i="5" s="1"/>
  <c r="A149" i="5" s="1"/>
  <c r="A150" i="5" s="1"/>
  <c r="A151" i="5" s="1"/>
  <c r="A152" i="5" s="1"/>
  <c r="L71" i="6"/>
  <c r="K71" i="6"/>
  <c r="C71" i="6"/>
  <c r="AF71" i="6"/>
  <c r="A155" i="5" l="1"/>
  <c r="A156" i="5" s="1"/>
  <c r="A157" i="5" s="1"/>
  <c r="A158" i="5" s="1"/>
  <c r="A159" i="5" s="1"/>
  <c r="A160" i="5" s="1"/>
  <c r="A162" i="5"/>
  <c r="A163" i="5" l="1"/>
  <c r="A164" i="5" s="1"/>
  <c r="A165" i="5" s="1"/>
  <c r="A166" i="5" s="1"/>
  <c r="A167" i="5" s="1"/>
  <c r="A168" i="5" s="1"/>
  <c r="A170" i="5"/>
  <c r="AF70" i="6"/>
  <c r="L70" i="6"/>
  <c r="K70" i="6"/>
  <c r="C70" i="6"/>
  <c r="F82" i="3"/>
  <c r="D43" i="6" s="1"/>
  <c r="E82" i="3"/>
  <c r="D82" i="3"/>
  <c r="B43" i="6" s="1"/>
  <c r="F72" i="3"/>
  <c r="D42" i="6" s="1"/>
  <c r="E72" i="3"/>
  <c r="C42" i="6" s="1"/>
  <c r="C14" i="6" l="1"/>
  <c r="C12" i="15" s="1"/>
  <c r="D15" i="6"/>
  <c r="B15" i="6"/>
  <c r="A178" i="5"/>
  <c r="A179" i="5" s="1"/>
  <c r="A180" i="5" s="1"/>
  <c r="A181" i="5" s="1"/>
  <c r="A182" i="5" s="1"/>
  <c r="A183" i="5" s="1"/>
  <c r="A184" i="5" s="1"/>
  <c r="A171" i="5"/>
  <c r="A172" i="5" s="1"/>
  <c r="A173" i="5" s="1"/>
  <c r="A174" i="5" s="1"/>
  <c r="A175" i="5" s="1"/>
  <c r="A176" i="5" s="1"/>
  <c r="C43" i="6"/>
  <c r="C15" i="6" s="1"/>
  <c r="D70" i="6"/>
  <c r="D14" i="6" s="1"/>
  <c r="D12" i="15" s="1"/>
  <c r="AF69" i="6" l="1"/>
  <c r="L69" i="6"/>
  <c r="K69" i="6"/>
  <c r="D69" i="6"/>
  <c r="AF68" i="6" l="1"/>
  <c r="AF67" i="6" l="1"/>
  <c r="AF86" i="6" s="1"/>
  <c r="F62" i="3" l="1"/>
  <c r="E62" i="3"/>
  <c r="C41" i="6" s="1"/>
  <c r="C13" i="6" s="1"/>
  <c r="C11" i="15" s="1"/>
  <c r="F52" i="3"/>
  <c r="E52" i="3"/>
  <c r="F42" i="3"/>
  <c r="D39" i="6" s="1"/>
  <c r="E42" i="3"/>
  <c r="C39" i="6" s="1"/>
  <c r="C11" i="6" s="1"/>
  <c r="C9" i="15" s="1"/>
  <c r="D11" i="6" l="1"/>
  <c r="D9" i="15" s="1"/>
  <c r="D40" i="6"/>
  <c r="F6" i="3"/>
  <c r="C40" i="6"/>
  <c r="C12" i="6" s="1"/>
  <c r="C10" i="15" s="1"/>
  <c r="E6" i="3"/>
  <c r="D41" i="6"/>
  <c r="D13" i="6" s="1"/>
  <c r="D11" i="15" s="1"/>
  <c r="D12" i="6" l="1"/>
  <c r="D10" i="15" s="1"/>
  <c r="K86" i="6"/>
  <c r="L86" i="6"/>
  <c r="J69" i="6" l="1"/>
  <c r="I69" i="6"/>
  <c r="N20" i="3"/>
  <c r="K20" i="3"/>
  <c r="H20" i="3"/>
  <c r="N19" i="3"/>
  <c r="K19" i="3"/>
  <c r="H19" i="3"/>
  <c r="N18" i="3"/>
  <c r="K18" i="3"/>
  <c r="H18" i="3"/>
  <c r="N17" i="3"/>
  <c r="K17" i="3"/>
  <c r="H17" i="3"/>
  <c r="N16" i="3"/>
  <c r="K16" i="3"/>
  <c r="H16" i="3"/>
  <c r="N15" i="3"/>
  <c r="K15" i="3"/>
  <c r="H15" i="3"/>
  <c r="N14" i="3"/>
  <c r="K14" i="3"/>
  <c r="H14" i="3"/>
  <c r="AU69" i="6" l="1"/>
  <c r="O29" i="15" s="1"/>
  <c r="K21" i="3"/>
  <c r="J37" i="6" s="1"/>
  <c r="J9" i="6" s="1"/>
  <c r="C25" i="15" s="1"/>
  <c r="N21" i="3"/>
  <c r="N37" i="6" s="1"/>
  <c r="N9" i="6" s="1"/>
  <c r="D25" i="15" s="1"/>
  <c r="H21" i="3"/>
  <c r="J70" i="6"/>
  <c r="I70" i="6"/>
  <c r="AU70" i="6" l="1"/>
  <c r="O30" i="15" s="1"/>
  <c r="I37" i="6"/>
  <c r="D92" i="3"/>
  <c r="B44" i="6" s="1"/>
  <c r="CQ91" i="3"/>
  <c r="CP91" i="3"/>
  <c r="CO91" i="3"/>
  <c r="CN91" i="3"/>
  <c r="CM91" i="3"/>
  <c r="CL91" i="3"/>
  <c r="CK91" i="3"/>
  <c r="CI91" i="3"/>
  <c r="CH91" i="3"/>
  <c r="CG91" i="3"/>
  <c r="CF91" i="3"/>
  <c r="CE91" i="3"/>
  <c r="CD91" i="3"/>
  <c r="CC91" i="3"/>
  <c r="CA91" i="3"/>
  <c r="BZ91" i="3"/>
  <c r="BY91" i="3"/>
  <c r="BX91" i="3"/>
  <c r="BW91" i="3"/>
  <c r="BV91" i="3"/>
  <c r="BU91" i="3"/>
  <c r="BS91" i="3"/>
  <c r="BR91" i="3"/>
  <c r="BQ91" i="3"/>
  <c r="BP91" i="3"/>
  <c r="BO91" i="3"/>
  <c r="BN91" i="3"/>
  <c r="BM91" i="3"/>
  <c r="BK91" i="3"/>
  <c r="BJ91" i="3"/>
  <c r="BI91" i="3"/>
  <c r="BH91" i="3"/>
  <c r="BG91" i="3"/>
  <c r="BF91" i="3"/>
  <c r="BE91" i="3"/>
  <c r="BC91" i="3"/>
  <c r="AI44" i="6" s="1"/>
  <c r="BB91" i="3"/>
  <c r="AH44" i="6" s="1"/>
  <c r="BA91" i="3"/>
  <c r="AG44" i="6" s="1"/>
  <c r="AZ91" i="3"/>
  <c r="AF44" i="6" s="1"/>
  <c r="AY91" i="3"/>
  <c r="AE44" i="6" s="1"/>
  <c r="AX91" i="3"/>
  <c r="AD44" i="6" s="1"/>
  <c r="AW91" i="3"/>
  <c r="AC44" i="6" s="1"/>
  <c r="V91" i="3"/>
  <c r="U91" i="3"/>
  <c r="L44" i="6" s="1"/>
  <c r="L16" i="6" s="1"/>
  <c r="T91" i="3"/>
  <c r="K44" i="6" s="1"/>
  <c r="K16" i="6" s="1"/>
  <c r="P91" i="3"/>
  <c r="O91" i="3"/>
  <c r="M91" i="3"/>
  <c r="L91" i="3"/>
  <c r="J91" i="3"/>
  <c r="I91" i="3"/>
  <c r="B16" i="6" l="1"/>
  <c r="I9" i="6"/>
  <c r="B25" i="15" s="1"/>
  <c r="P25" i="15" s="1"/>
  <c r="N25" i="15"/>
  <c r="AT37" i="6"/>
  <c r="AF16" i="6"/>
  <c r="CQ111" i="3" l="1"/>
  <c r="CP111" i="3"/>
  <c r="CO111" i="3"/>
  <c r="CN111" i="3"/>
  <c r="CM111" i="3"/>
  <c r="CL111" i="3"/>
  <c r="CK111" i="3"/>
  <c r="CI111" i="3"/>
  <c r="CH111" i="3"/>
  <c r="CG111" i="3"/>
  <c r="CF111" i="3"/>
  <c r="CE111" i="3"/>
  <c r="CD111" i="3"/>
  <c r="CC111" i="3"/>
  <c r="CA111" i="3"/>
  <c r="BZ111" i="3"/>
  <c r="BY111" i="3"/>
  <c r="BX111" i="3"/>
  <c r="BW111" i="3"/>
  <c r="BV111" i="3"/>
  <c r="BU111" i="3"/>
  <c r="BS111" i="3"/>
  <c r="BR111" i="3"/>
  <c r="BQ111" i="3"/>
  <c r="BP111" i="3"/>
  <c r="BO111" i="3"/>
  <c r="BN111" i="3"/>
  <c r="BM111" i="3"/>
  <c r="BK111" i="3"/>
  <c r="BJ111" i="3"/>
  <c r="BI111" i="3"/>
  <c r="BH111" i="3"/>
  <c r="BG111" i="3"/>
  <c r="BF111" i="3"/>
  <c r="BE111" i="3"/>
  <c r="BC111" i="3"/>
  <c r="AI46" i="6" s="1"/>
  <c r="BB111" i="3"/>
  <c r="AH46" i="6" s="1"/>
  <c r="BA111" i="3"/>
  <c r="AG46" i="6" s="1"/>
  <c r="AZ111" i="3"/>
  <c r="AF46" i="6" s="1"/>
  <c r="AY111" i="3"/>
  <c r="AE46" i="6" s="1"/>
  <c r="AX111" i="3"/>
  <c r="AD46" i="6" s="1"/>
  <c r="AW111" i="3"/>
  <c r="AC46" i="6" s="1"/>
  <c r="V111" i="3"/>
  <c r="U111" i="3"/>
  <c r="L46" i="6" s="1"/>
  <c r="L18" i="6" s="1"/>
  <c r="K46" i="6"/>
  <c r="K18" i="6" s="1"/>
  <c r="P111" i="3"/>
  <c r="O111" i="3"/>
  <c r="M111" i="3"/>
  <c r="L111" i="3"/>
  <c r="J111" i="3"/>
  <c r="I111" i="3"/>
  <c r="CQ101" i="3"/>
  <c r="CP101" i="3"/>
  <c r="CO101" i="3"/>
  <c r="CN101" i="3"/>
  <c r="CM101" i="3"/>
  <c r="CL101" i="3"/>
  <c r="CK101" i="3"/>
  <c r="CI101" i="3"/>
  <c r="CH101" i="3"/>
  <c r="CG101" i="3"/>
  <c r="CF101" i="3"/>
  <c r="CE101" i="3"/>
  <c r="CD101" i="3"/>
  <c r="CC101" i="3"/>
  <c r="CA101" i="3"/>
  <c r="BZ101" i="3"/>
  <c r="BY101" i="3"/>
  <c r="BX101" i="3"/>
  <c r="BW101" i="3"/>
  <c r="BV101" i="3"/>
  <c r="BU101" i="3"/>
  <c r="BS101" i="3"/>
  <c r="BR101" i="3"/>
  <c r="BQ101" i="3"/>
  <c r="BP101" i="3"/>
  <c r="BO101" i="3"/>
  <c r="BN101" i="3"/>
  <c r="BM101" i="3"/>
  <c r="BK101" i="3"/>
  <c r="BJ101" i="3"/>
  <c r="BI101" i="3"/>
  <c r="BH101" i="3"/>
  <c r="BG101" i="3"/>
  <c r="BF101" i="3"/>
  <c r="BE101" i="3"/>
  <c r="BC101" i="3"/>
  <c r="AI45" i="6" s="1"/>
  <c r="BB101" i="3"/>
  <c r="AH45" i="6" s="1"/>
  <c r="BA101" i="3"/>
  <c r="AG45" i="6" s="1"/>
  <c r="AZ101" i="3"/>
  <c r="AF45" i="6" s="1"/>
  <c r="AY101" i="3"/>
  <c r="AE45" i="6" s="1"/>
  <c r="AX101" i="3"/>
  <c r="AD45" i="6" s="1"/>
  <c r="AW101" i="3"/>
  <c r="AC45" i="6" s="1"/>
  <c r="V101" i="3"/>
  <c r="U101" i="3"/>
  <c r="T101" i="3"/>
  <c r="P101" i="3"/>
  <c r="O101" i="3"/>
  <c r="M101" i="3"/>
  <c r="L101" i="3"/>
  <c r="J101" i="3"/>
  <c r="I101" i="3"/>
  <c r="CQ81" i="3"/>
  <c r="CP81" i="3"/>
  <c r="CO81" i="3"/>
  <c r="CN81" i="3"/>
  <c r="CM81" i="3"/>
  <c r="CL81" i="3"/>
  <c r="CK81" i="3"/>
  <c r="CI81" i="3"/>
  <c r="CH81" i="3"/>
  <c r="CG81" i="3"/>
  <c r="CF81" i="3"/>
  <c r="CE81" i="3"/>
  <c r="CD81" i="3"/>
  <c r="CC81" i="3"/>
  <c r="CA81" i="3"/>
  <c r="BZ81" i="3"/>
  <c r="BY81" i="3"/>
  <c r="BX81" i="3"/>
  <c r="BW81" i="3"/>
  <c r="BV81" i="3"/>
  <c r="BU81" i="3"/>
  <c r="BS81" i="3"/>
  <c r="BR81" i="3"/>
  <c r="BQ81" i="3"/>
  <c r="BP81" i="3"/>
  <c r="BO81" i="3"/>
  <c r="BN81" i="3"/>
  <c r="BM81" i="3"/>
  <c r="BK81" i="3"/>
  <c r="BJ81" i="3"/>
  <c r="BI81" i="3"/>
  <c r="BH81" i="3"/>
  <c r="BG81" i="3"/>
  <c r="BF81" i="3"/>
  <c r="BE81" i="3"/>
  <c r="BC81" i="3"/>
  <c r="AI43" i="6" s="1"/>
  <c r="BB81" i="3"/>
  <c r="AH43" i="6" s="1"/>
  <c r="BA81" i="3"/>
  <c r="AG43" i="6" s="1"/>
  <c r="AZ81" i="3"/>
  <c r="AF43" i="6" s="1"/>
  <c r="AY81" i="3"/>
  <c r="AE43" i="6" s="1"/>
  <c r="AX81" i="3"/>
  <c r="AD43" i="6" s="1"/>
  <c r="AW81" i="3"/>
  <c r="AC43" i="6" s="1"/>
  <c r="V81" i="3"/>
  <c r="U81" i="3"/>
  <c r="T81" i="3"/>
  <c r="K43" i="6" s="1"/>
  <c r="K15" i="6" s="1"/>
  <c r="P81" i="3"/>
  <c r="O81" i="3"/>
  <c r="M81" i="3"/>
  <c r="L81" i="3"/>
  <c r="J81" i="3"/>
  <c r="I81" i="3"/>
  <c r="D72" i="3"/>
  <c r="B42" i="6" s="1"/>
  <c r="CQ71" i="3"/>
  <c r="CP71" i="3"/>
  <c r="CO71" i="3"/>
  <c r="CN71" i="3"/>
  <c r="CM71" i="3"/>
  <c r="CL71" i="3"/>
  <c r="CK71" i="3"/>
  <c r="CI71" i="3"/>
  <c r="CH71" i="3"/>
  <c r="CG71" i="3"/>
  <c r="CF71" i="3"/>
  <c r="CE71" i="3"/>
  <c r="CD71" i="3"/>
  <c r="CC71" i="3"/>
  <c r="CA71" i="3"/>
  <c r="BZ71" i="3"/>
  <c r="BY71" i="3"/>
  <c r="BX71" i="3"/>
  <c r="BW71" i="3"/>
  <c r="BV71" i="3"/>
  <c r="BU71" i="3"/>
  <c r="BS71" i="3"/>
  <c r="BR71" i="3"/>
  <c r="BQ71" i="3"/>
  <c r="BP71" i="3"/>
  <c r="BO71" i="3"/>
  <c r="BN71" i="3"/>
  <c r="BM71" i="3"/>
  <c r="BK71" i="3"/>
  <c r="BJ71" i="3"/>
  <c r="BI71" i="3"/>
  <c r="BH71" i="3"/>
  <c r="BG71" i="3"/>
  <c r="BF71" i="3"/>
  <c r="BE71" i="3"/>
  <c r="BC71" i="3"/>
  <c r="AI42" i="6" s="1"/>
  <c r="BB71" i="3"/>
  <c r="AH42" i="6" s="1"/>
  <c r="BA71" i="3"/>
  <c r="AG42" i="6" s="1"/>
  <c r="AZ71" i="3"/>
  <c r="AF42" i="6" s="1"/>
  <c r="AY71" i="3"/>
  <c r="AE42" i="6" s="1"/>
  <c r="AX71" i="3"/>
  <c r="AD42" i="6" s="1"/>
  <c r="AW71" i="3"/>
  <c r="AC42" i="6" s="1"/>
  <c r="V71" i="3"/>
  <c r="U71" i="3"/>
  <c r="L42" i="6" s="1"/>
  <c r="L14" i="6" s="1"/>
  <c r="T71" i="3"/>
  <c r="P71" i="3"/>
  <c r="O71" i="3"/>
  <c r="M71" i="3"/>
  <c r="L71" i="3"/>
  <c r="J71" i="3"/>
  <c r="I71" i="3"/>
  <c r="D62" i="3"/>
  <c r="B41" i="6" s="1"/>
  <c r="B13" i="6" s="1"/>
  <c r="B11" i="15" s="1"/>
  <c r="CQ61" i="3"/>
  <c r="CP61" i="3"/>
  <c r="CO61" i="3"/>
  <c r="CN61" i="3"/>
  <c r="CM61" i="3"/>
  <c r="CL61" i="3"/>
  <c r="CK61" i="3"/>
  <c r="CI61" i="3"/>
  <c r="CH61" i="3"/>
  <c r="CG61" i="3"/>
  <c r="CF61" i="3"/>
  <c r="CE61" i="3"/>
  <c r="CD61" i="3"/>
  <c r="CC61" i="3"/>
  <c r="CA61" i="3"/>
  <c r="BZ61" i="3"/>
  <c r="BY61" i="3"/>
  <c r="BX61" i="3"/>
  <c r="BW61" i="3"/>
  <c r="BV61" i="3"/>
  <c r="BU61" i="3"/>
  <c r="BS61" i="3"/>
  <c r="BR61" i="3"/>
  <c r="BQ61" i="3"/>
  <c r="BP61" i="3"/>
  <c r="BO61" i="3"/>
  <c r="BN61" i="3"/>
  <c r="BM61" i="3"/>
  <c r="BK61" i="3"/>
  <c r="BJ61" i="3"/>
  <c r="BI61" i="3"/>
  <c r="BH61" i="3"/>
  <c r="BG61" i="3"/>
  <c r="BF61" i="3"/>
  <c r="BE61" i="3"/>
  <c r="BC61" i="3"/>
  <c r="AI41" i="6" s="1"/>
  <c r="BB61" i="3"/>
  <c r="AH41" i="6" s="1"/>
  <c r="BA61" i="3"/>
  <c r="AG41" i="6" s="1"/>
  <c r="AZ61" i="3"/>
  <c r="AF41" i="6" s="1"/>
  <c r="AY61" i="3"/>
  <c r="AE41" i="6" s="1"/>
  <c r="AX61" i="3"/>
  <c r="AD41" i="6" s="1"/>
  <c r="AW61" i="3"/>
  <c r="AC41" i="6" s="1"/>
  <c r="V61" i="3"/>
  <c r="U61" i="3"/>
  <c r="T61" i="3"/>
  <c r="K41" i="6" s="1"/>
  <c r="K13" i="6" s="1"/>
  <c r="P61" i="3"/>
  <c r="O61" i="3"/>
  <c r="M61" i="3"/>
  <c r="L61" i="3"/>
  <c r="J61" i="3"/>
  <c r="I61" i="3"/>
  <c r="B14" i="6" l="1"/>
  <c r="B12" i="15" s="1"/>
  <c r="K42" i="6"/>
  <c r="K14" i="6" s="1"/>
  <c r="L41" i="6"/>
  <c r="L13" i="6" s="1"/>
  <c r="L43" i="6"/>
  <c r="L15" i="6" s="1"/>
  <c r="K45" i="6"/>
  <c r="K17" i="6" s="1"/>
  <c r="L45" i="6"/>
  <c r="L17" i="6" s="1"/>
  <c r="J4" i="3"/>
  <c r="M4" i="3"/>
  <c r="I4" i="3"/>
  <c r="L4" i="3"/>
  <c r="AF14" i="6"/>
  <c r="AF18" i="6"/>
  <c r="AF17" i="6"/>
  <c r="AF15" i="6"/>
  <c r="AF13" i="6" l="1"/>
  <c r="D52" i="3"/>
  <c r="CQ51" i="3"/>
  <c r="CP51" i="3"/>
  <c r="CO51" i="3"/>
  <c r="CN51" i="3"/>
  <c r="CM51" i="3"/>
  <c r="CL51" i="3"/>
  <c r="CK51" i="3"/>
  <c r="CI51" i="3"/>
  <c r="CH51" i="3"/>
  <c r="CG51" i="3"/>
  <c r="CF51" i="3"/>
  <c r="CE51" i="3"/>
  <c r="CD51" i="3"/>
  <c r="CC51" i="3"/>
  <c r="CA51" i="3"/>
  <c r="BZ51" i="3"/>
  <c r="BY51" i="3"/>
  <c r="BX51" i="3"/>
  <c r="BW51" i="3"/>
  <c r="BV51" i="3"/>
  <c r="BU51" i="3"/>
  <c r="BS51" i="3"/>
  <c r="BR51" i="3"/>
  <c r="BQ51" i="3"/>
  <c r="BP51" i="3"/>
  <c r="BO51" i="3"/>
  <c r="BN51" i="3"/>
  <c r="BM51" i="3"/>
  <c r="BK51" i="3"/>
  <c r="BJ51" i="3"/>
  <c r="BI51" i="3"/>
  <c r="BH51" i="3"/>
  <c r="BG51" i="3"/>
  <c r="BF51" i="3"/>
  <c r="BE51" i="3"/>
  <c r="BC51" i="3"/>
  <c r="AI40" i="6" s="1"/>
  <c r="BB51" i="3"/>
  <c r="AH40" i="6" s="1"/>
  <c r="BA51" i="3"/>
  <c r="AG40" i="6" s="1"/>
  <c r="AZ51" i="3"/>
  <c r="AF40" i="6" s="1"/>
  <c r="AY51" i="3"/>
  <c r="AE40" i="6" s="1"/>
  <c r="AX51" i="3"/>
  <c r="AD40" i="6" s="1"/>
  <c r="AW51" i="3"/>
  <c r="AC40" i="6" s="1"/>
  <c r="AU51" i="3"/>
  <c r="AT51" i="3"/>
  <c r="AM51" i="3"/>
  <c r="AL51" i="3"/>
  <c r="AK51" i="3"/>
  <c r="AJ51" i="3"/>
  <c r="AI51" i="3"/>
  <c r="AH51" i="3"/>
  <c r="AG51" i="3"/>
  <c r="AF51" i="3"/>
  <c r="AE51" i="3"/>
  <c r="AD51" i="3"/>
  <c r="V51" i="3"/>
  <c r="U51" i="3"/>
  <c r="T51" i="3"/>
  <c r="P51" i="3"/>
  <c r="O51" i="3"/>
  <c r="M51" i="3"/>
  <c r="M3" i="3" s="1"/>
  <c r="L51" i="3"/>
  <c r="L3" i="3" s="1"/>
  <c r="J51" i="3"/>
  <c r="J3" i="3" s="1"/>
  <c r="I51" i="3"/>
  <c r="I3" i="3" s="1"/>
  <c r="B40" i="6" l="1"/>
  <c r="K40" i="6"/>
  <c r="K12" i="6" s="1"/>
  <c r="AF12" i="6"/>
  <c r="L40" i="6"/>
  <c r="L12" i="6" s="1"/>
  <c r="B12" i="6" l="1"/>
  <c r="B10" i="15" s="1"/>
  <c r="G69" i="6"/>
  <c r="AR69" i="6" l="1"/>
  <c r="H69" i="6"/>
  <c r="F69" i="6"/>
  <c r="AR68" i="6" l="1"/>
  <c r="AN68" i="6"/>
  <c r="AJ68" i="6"/>
  <c r="AP68" i="6"/>
  <c r="CQ41" i="3"/>
  <c r="CQ6" i="3" s="1"/>
  <c r="CP41" i="3"/>
  <c r="CP6" i="3" s="1"/>
  <c r="CO41" i="3"/>
  <c r="CO6" i="3" s="1"/>
  <c r="CN41" i="3"/>
  <c r="CN6" i="3" s="1"/>
  <c r="CM41" i="3"/>
  <c r="CM6" i="3" s="1"/>
  <c r="CL41" i="3"/>
  <c r="CL6" i="3" s="1"/>
  <c r="CK41" i="3"/>
  <c r="CK6" i="3" s="1"/>
  <c r="CI41" i="3"/>
  <c r="CI6" i="3" s="1"/>
  <c r="CH41" i="3"/>
  <c r="CH6" i="3" s="1"/>
  <c r="CG41" i="3"/>
  <c r="CG6" i="3" s="1"/>
  <c r="CF41" i="3"/>
  <c r="CF6" i="3" s="1"/>
  <c r="CE41" i="3"/>
  <c r="CE6" i="3" s="1"/>
  <c r="CD41" i="3"/>
  <c r="CD6" i="3" s="1"/>
  <c r="CC41" i="3"/>
  <c r="CC6" i="3" s="1"/>
  <c r="CA41" i="3"/>
  <c r="CA6" i="3" s="1"/>
  <c r="BZ41" i="3"/>
  <c r="BZ6" i="3" s="1"/>
  <c r="BY41" i="3"/>
  <c r="BY6" i="3" s="1"/>
  <c r="BX41" i="3"/>
  <c r="BX6" i="3" s="1"/>
  <c r="BW41" i="3"/>
  <c r="BW6" i="3" s="1"/>
  <c r="BV41" i="3"/>
  <c r="BV6" i="3" s="1"/>
  <c r="BU41" i="3"/>
  <c r="BU6" i="3" s="1"/>
  <c r="BS41" i="3"/>
  <c r="BS6" i="3" s="1"/>
  <c r="BR41" i="3"/>
  <c r="BR6" i="3" s="1"/>
  <c r="BQ41" i="3"/>
  <c r="BQ6" i="3" s="1"/>
  <c r="BP41" i="3"/>
  <c r="BP6" i="3" s="1"/>
  <c r="BO41" i="3"/>
  <c r="BO6" i="3" s="1"/>
  <c r="BN41" i="3"/>
  <c r="BN6" i="3" s="1"/>
  <c r="BM41" i="3"/>
  <c r="BM6" i="3" s="1"/>
  <c r="BK41" i="3"/>
  <c r="BK6" i="3" s="1"/>
  <c r="BJ41" i="3"/>
  <c r="BJ6" i="3" s="1"/>
  <c r="BI41" i="3"/>
  <c r="BI6" i="3" s="1"/>
  <c r="BH41" i="3"/>
  <c r="BH6" i="3" s="1"/>
  <c r="BG41" i="3"/>
  <c r="BG6" i="3" s="1"/>
  <c r="BF41" i="3"/>
  <c r="BF6" i="3" s="1"/>
  <c r="BE41" i="3"/>
  <c r="BE6" i="3" s="1"/>
  <c r="BC41" i="3"/>
  <c r="BB41" i="3"/>
  <c r="BA41" i="3"/>
  <c r="AZ41" i="3"/>
  <c r="AY41" i="3"/>
  <c r="AE39" i="6" s="1"/>
  <c r="AX41" i="3"/>
  <c r="AD39" i="6" s="1"/>
  <c r="AW41" i="3"/>
  <c r="AU41" i="3"/>
  <c r="AU6" i="3" s="1"/>
  <c r="AT41" i="3"/>
  <c r="AT6" i="3" s="1"/>
  <c r="AM41" i="3"/>
  <c r="AM6" i="3" s="1"/>
  <c r="AL41" i="3"/>
  <c r="AL6" i="3" s="1"/>
  <c r="AK41" i="3"/>
  <c r="AK6" i="3" s="1"/>
  <c r="AJ41" i="3"/>
  <c r="AJ6" i="3" s="1"/>
  <c r="AI41" i="3"/>
  <c r="AI6" i="3" s="1"/>
  <c r="AH41" i="3"/>
  <c r="AH6" i="3" s="1"/>
  <c r="AG41" i="3"/>
  <c r="AG6" i="3" s="1"/>
  <c r="AF41" i="3"/>
  <c r="AF6" i="3" s="1"/>
  <c r="AE41" i="3"/>
  <c r="AE6" i="3" s="1"/>
  <c r="AD41" i="3"/>
  <c r="AD6" i="3" s="1"/>
  <c r="AC6" i="3"/>
  <c r="AB6" i="3"/>
  <c r="AA6" i="3"/>
  <c r="Z6" i="3"/>
  <c r="X6" i="3"/>
  <c r="V41" i="3"/>
  <c r="V6" i="3" s="1"/>
  <c r="U41" i="3"/>
  <c r="U6" i="3" s="1"/>
  <c r="T41" i="3"/>
  <c r="T6" i="3" s="1"/>
  <c r="P41" i="3"/>
  <c r="P6" i="3" s="1"/>
  <c r="O41" i="3"/>
  <c r="O6" i="3" s="1"/>
  <c r="M41" i="3"/>
  <c r="M6" i="3" s="1"/>
  <c r="L41" i="3"/>
  <c r="L6" i="3" s="1"/>
  <c r="I41" i="3"/>
  <c r="I6" i="3" s="1"/>
  <c r="J41" i="3"/>
  <c r="J6" i="3" s="1"/>
  <c r="D42" i="3"/>
  <c r="D6" i="3" s="1"/>
  <c r="AZ6" i="3" l="1"/>
  <c r="AF39" i="6"/>
  <c r="AF11" i="6" s="1"/>
  <c r="AC39" i="6"/>
  <c r="AW6" i="3"/>
  <c r="AX6" i="3"/>
  <c r="AY6" i="3"/>
  <c r="AG39" i="6"/>
  <c r="BA6" i="3"/>
  <c r="AH39" i="6"/>
  <c r="BB6" i="3"/>
  <c r="AI39" i="6"/>
  <c r="BC6" i="3"/>
  <c r="B39" i="6"/>
  <c r="L39" i="6"/>
  <c r="L11" i="6" s="1"/>
  <c r="K39" i="6"/>
  <c r="K11" i="6" s="1"/>
  <c r="AO68" i="6"/>
  <c r="AK68" i="6"/>
  <c r="AL68" i="6"/>
  <c r="B11" i="6" l="1"/>
  <c r="B9" i="15" s="1"/>
  <c r="D86" i="6"/>
  <c r="J74" i="6" l="1"/>
  <c r="I74" i="6"/>
  <c r="J72" i="6"/>
  <c r="I72" i="6"/>
  <c r="J71" i="6"/>
  <c r="I71" i="6"/>
  <c r="AU72" i="6" l="1"/>
  <c r="AU74" i="6"/>
  <c r="AU71" i="6"/>
  <c r="I73" i="6"/>
  <c r="J73" i="6"/>
  <c r="N91" i="3"/>
  <c r="N44" i="6" s="1"/>
  <c r="N16" i="6" s="1"/>
  <c r="K91" i="3"/>
  <c r="H91" i="3"/>
  <c r="N61" i="3"/>
  <c r="N41" i="6" s="1"/>
  <c r="K51" i="3"/>
  <c r="H71" i="3"/>
  <c r="I42" i="6" s="1"/>
  <c r="K101" i="3"/>
  <c r="H111" i="3"/>
  <c r="I46" i="6" s="1"/>
  <c r="H41" i="3"/>
  <c r="N51" i="3"/>
  <c r="N40" i="6" s="1"/>
  <c r="N12" i="6" s="1"/>
  <c r="D28" i="15" s="1"/>
  <c r="H51" i="3"/>
  <c r="H81" i="3"/>
  <c r="I43" i="6" s="1"/>
  <c r="K111" i="3"/>
  <c r="J46" i="6" s="1"/>
  <c r="J18" i="6" s="1"/>
  <c r="K41" i="3"/>
  <c r="J39" i="6" s="1"/>
  <c r="J11" i="6" s="1"/>
  <c r="C27" i="15" s="1"/>
  <c r="N71" i="3"/>
  <c r="N42" i="6" s="1"/>
  <c r="N14" i="6" s="1"/>
  <c r="D30" i="15" s="1"/>
  <c r="N41" i="3"/>
  <c r="N39" i="6" s="1"/>
  <c r="N11" i="6" s="1"/>
  <c r="D27" i="15" s="1"/>
  <c r="K61" i="3"/>
  <c r="N81" i="3"/>
  <c r="N43" i="6" s="1"/>
  <c r="N15" i="6" s="1"/>
  <c r="H101" i="3"/>
  <c r="I45" i="6" s="1"/>
  <c r="K71" i="3"/>
  <c r="H61" i="3"/>
  <c r="K81" i="3"/>
  <c r="N111" i="3"/>
  <c r="N46" i="6" s="1"/>
  <c r="N18" i="6" s="1"/>
  <c r="M10" i="6"/>
  <c r="I15" i="6" l="1"/>
  <c r="I14" i="6"/>
  <c r="B30" i="15" s="1"/>
  <c r="I17" i="6"/>
  <c r="I18" i="6"/>
  <c r="AU46" i="6"/>
  <c r="AT46" i="6"/>
  <c r="N13" i="6"/>
  <c r="D29" i="15" s="1"/>
  <c r="N58" i="6"/>
  <c r="AU73" i="6"/>
  <c r="H6" i="3"/>
  <c r="N6" i="3"/>
  <c r="J42" i="6"/>
  <c r="J14" i="6" s="1"/>
  <c r="C30" i="15" s="1"/>
  <c r="K6" i="3"/>
  <c r="J41" i="6"/>
  <c r="J43" i="6"/>
  <c r="J15" i="6" s="1"/>
  <c r="I41" i="6"/>
  <c r="I13" i="6" s="1"/>
  <c r="B29" i="15" s="1"/>
  <c r="J45" i="6"/>
  <c r="J17" i="6" s="1"/>
  <c r="K3" i="3"/>
  <c r="J44" i="6"/>
  <c r="J16" i="6" s="1"/>
  <c r="C32" i="15" s="1"/>
  <c r="P32" i="15" s="1"/>
  <c r="K4" i="3"/>
  <c r="I44" i="6"/>
  <c r="H4" i="3"/>
  <c r="I40" i="6"/>
  <c r="H3" i="3"/>
  <c r="J40" i="6"/>
  <c r="J12" i="6" s="1"/>
  <c r="C28" i="15" s="1"/>
  <c r="I39" i="6"/>
  <c r="P30" i="15" l="1"/>
  <c r="AT45" i="6"/>
  <c r="I12" i="6"/>
  <c r="B28" i="15" s="1"/>
  <c r="P28" i="15" s="1"/>
  <c r="AU40" i="6"/>
  <c r="N28" i="15" s="1"/>
  <c r="AT40" i="6"/>
  <c r="AT42" i="6"/>
  <c r="AU42" i="6"/>
  <c r="N30" i="15" s="1"/>
  <c r="I16" i="6"/>
  <c r="AU44" i="6"/>
  <c r="N32" i="15" s="1"/>
  <c r="AT44" i="6"/>
  <c r="I11" i="6"/>
  <c r="B27" i="15" s="1"/>
  <c r="P27" i="15" s="1"/>
  <c r="AU39" i="6"/>
  <c r="N27" i="15" s="1"/>
  <c r="AT39" i="6"/>
  <c r="AT43" i="6"/>
  <c r="AU43" i="6"/>
  <c r="AU45" i="6"/>
  <c r="AT41" i="6"/>
  <c r="J13" i="6"/>
  <c r="C29" i="15" s="1"/>
  <c r="P29" i="15" s="1"/>
  <c r="AU41" i="6"/>
  <c r="N29" i="15" s="1"/>
  <c r="D39" i="15"/>
  <c r="N30" i="6"/>
  <c r="M58" i="6"/>
  <c r="M30" i="6" l="1"/>
  <c r="X86" i="6" l="1"/>
  <c r="W86" i="6"/>
  <c r="U5" i="5" l="1"/>
  <c r="T5" i="5"/>
  <c r="AG67" i="6"/>
  <c r="G21" i="1"/>
  <c r="H21" i="1" s="1"/>
  <c r="G20" i="1"/>
  <c r="H20" i="1" s="1"/>
  <c r="G19" i="1"/>
  <c r="H19" i="1" s="1"/>
  <c r="G18" i="1"/>
  <c r="H18" i="1" s="1"/>
  <c r="G17" i="1"/>
  <c r="H17" i="1" s="1"/>
  <c r="AI68" i="6" l="1"/>
  <c r="AI12" i="6" s="1"/>
  <c r="AE68" i="6"/>
  <c r="AE12" i="6" s="1"/>
  <c r="AH72" i="6"/>
  <c r="AH16" i="6" s="1"/>
  <c r="AD72" i="6"/>
  <c r="AD16" i="6" s="1"/>
  <c r="AI67" i="6"/>
  <c r="AE67" i="6"/>
  <c r="AH69" i="6"/>
  <c r="AH13" i="6" s="1"/>
  <c r="AD69" i="6"/>
  <c r="AD13" i="6" s="1"/>
  <c r="AG73" i="6"/>
  <c r="AG17" i="6" s="1"/>
  <c r="AC73" i="6"/>
  <c r="AC17" i="6" s="1"/>
  <c r="AH68" i="6"/>
  <c r="AH12" i="6" s="1"/>
  <c r="AD68" i="6"/>
  <c r="AD12" i="6" s="1"/>
  <c r="AG70" i="6"/>
  <c r="AG14" i="6" s="1"/>
  <c r="AC70" i="6"/>
  <c r="AC14" i="6" s="1"/>
  <c r="AI70" i="6"/>
  <c r="AI14" i="6" s="1"/>
  <c r="AE70" i="6"/>
  <c r="AE14" i="6" s="1"/>
  <c r="AG71" i="6"/>
  <c r="AG15" i="6" s="1"/>
  <c r="AC71" i="6"/>
  <c r="AC15" i="6" s="1"/>
  <c r="AI71" i="6"/>
  <c r="AI15" i="6" s="1"/>
  <c r="AE71" i="6"/>
  <c r="AE15" i="6" s="1"/>
  <c r="AG72" i="6"/>
  <c r="AG16" i="6" s="1"/>
  <c r="AC72" i="6"/>
  <c r="AC16" i="6" s="1"/>
  <c r="AI72" i="6"/>
  <c r="AI16" i="6" s="1"/>
  <c r="AE72" i="6"/>
  <c r="AE16" i="6" s="1"/>
  <c r="AH67" i="6"/>
  <c r="AD67" i="6"/>
  <c r="AG68" i="6"/>
  <c r="AG12" i="6" s="1"/>
  <c r="AC68" i="6"/>
  <c r="AC12" i="6" s="1"/>
  <c r="AH70" i="6"/>
  <c r="AH14" i="6" s="1"/>
  <c r="AD70" i="6"/>
  <c r="AD14" i="6" s="1"/>
  <c r="AH71" i="6"/>
  <c r="AH15" i="6" s="1"/>
  <c r="AD71" i="6"/>
  <c r="AD15" i="6" s="1"/>
  <c r="AI73" i="6"/>
  <c r="AI17" i="6" s="1"/>
  <c r="AE73" i="6"/>
  <c r="AE17" i="6" s="1"/>
  <c r="AH74" i="6"/>
  <c r="AH18" i="6" s="1"/>
  <c r="AD74" i="6"/>
  <c r="AD18" i="6" s="1"/>
  <c r="AG69" i="6"/>
  <c r="AG13" i="6" s="1"/>
  <c r="AC69" i="6"/>
  <c r="AC13" i="6" s="1"/>
  <c r="AI69" i="6"/>
  <c r="AI13" i="6" s="1"/>
  <c r="AE69" i="6"/>
  <c r="AE13" i="6" s="1"/>
  <c r="AD73" i="6"/>
  <c r="AD17" i="6" s="1"/>
  <c r="AH73" i="6"/>
  <c r="AH17" i="6" s="1"/>
  <c r="AG74" i="6"/>
  <c r="AG18" i="6" s="1"/>
  <c r="AC74" i="6"/>
  <c r="AC18" i="6" s="1"/>
  <c r="AI74" i="6"/>
  <c r="AI18" i="6" s="1"/>
  <c r="AE74" i="6"/>
  <c r="AE18" i="6" s="1"/>
  <c r="AJ69" i="6"/>
  <c r="AL69" i="6"/>
  <c r="G70" i="6"/>
  <c r="S69" i="6"/>
  <c r="AK69" i="6"/>
  <c r="G74" i="6"/>
  <c r="G73" i="6"/>
  <c r="F73" i="6" s="1"/>
  <c r="G72" i="6"/>
  <c r="G71" i="6"/>
  <c r="AN69" i="6"/>
  <c r="AP69" i="6"/>
  <c r="AO69" i="6"/>
  <c r="H22" i="1"/>
  <c r="B52" i="1" l="1"/>
  <c r="B59" i="1" s="1"/>
  <c r="B66" i="1" s="1"/>
  <c r="B73" i="1" s="1"/>
  <c r="B80" i="1" s="1"/>
  <c r="B87" i="1" s="1"/>
  <c r="B94" i="1" s="1"/>
  <c r="B101" i="1" s="1"/>
  <c r="B108" i="1" s="1"/>
  <c r="B115" i="1" s="1"/>
  <c r="B122" i="1" s="1"/>
  <c r="B129" i="1" s="1"/>
  <c r="B136" i="1" s="1"/>
  <c r="B143" i="1" s="1"/>
  <c r="B150" i="1" s="1"/>
  <c r="B157" i="1" s="1"/>
  <c r="B164" i="1" s="1"/>
  <c r="B171" i="1" s="1"/>
  <c r="B178" i="1" s="1"/>
  <c r="B185" i="1" s="1"/>
  <c r="B192" i="1" s="1"/>
  <c r="B199" i="1" s="1"/>
  <c r="B206" i="1" s="1"/>
  <c r="B213" i="1" s="1"/>
  <c r="B220" i="1" s="1"/>
  <c r="B227" i="1" s="1"/>
  <c r="B234" i="1" s="1"/>
  <c r="B241" i="1" s="1"/>
  <c r="B248" i="1" s="1"/>
  <c r="B255" i="1" s="1"/>
  <c r="B262" i="1" s="1"/>
  <c r="B269" i="1" s="1"/>
  <c r="B276" i="1" s="1"/>
  <c r="B283" i="1" s="1"/>
  <c r="B290" i="1" s="1"/>
  <c r="B297" i="1" s="1"/>
  <c r="B304" i="1" s="1"/>
  <c r="B311" i="1" s="1"/>
  <c r="B318" i="1" s="1"/>
  <c r="B325" i="1" s="1"/>
  <c r="B332" i="1" s="1"/>
  <c r="B339" i="1" s="1"/>
  <c r="B346" i="1" s="1"/>
  <c r="B353" i="1" s="1"/>
  <c r="B360" i="1" s="1"/>
  <c r="B367" i="1" s="1"/>
  <c r="B374" i="1" s="1"/>
  <c r="B381" i="1" s="1"/>
  <c r="B388" i="1" s="1"/>
  <c r="B395" i="1" s="1"/>
  <c r="B402" i="1" s="1"/>
  <c r="B409" i="1" s="1"/>
  <c r="B416" i="1" s="1"/>
  <c r="B423" i="1" s="1"/>
  <c r="B430" i="1" s="1"/>
  <c r="B437" i="1" s="1"/>
  <c r="B444" i="1" s="1"/>
  <c r="B451" i="1" s="1"/>
  <c r="B458" i="1" s="1"/>
  <c r="B465" i="1" s="1"/>
  <c r="B472" i="1" s="1"/>
  <c r="B479" i="1" s="1"/>
  <c r="B486" i="1" s="1"/>
  <c r="B493" i="1" s="1"/>
  <c r="B500" i="1" s="1"/>
  <c r="B507" i="1" s="1"/>
  <c r="B514" i="1" s="1"/>
  <c r="B521" i="1" s="1"/>
  <c r="B528" i="1" s="1"/>
  <c r="B535" i="1" s="1"/>
  <c r="B542" i="1" s="1"/>
  <c r="B549" i="1" s="1"/>
  <c r="B556" i="1" s="1"/>
  <c r="B563" i="1" s="1"/>
  <c r="B570" i="1" s="1"/>
  <c r="B577" i="1" s="1"/>
  <c r="B584" i="1" s="1"/>
  <c r="B591" i="1" s="1"/>
  <c r="B598" i="1" s="1"/>
  <c r="B605" i="1" s="1"/>
  <c r="B612" i="1" s="1"/>
  <c r="B619" i="1" s="1"/>
  <c r="B626" i="1" s="1"/>
  <c r="B633" i="1" s="1"/>
  <c r="B640" i="1" s="1"/>
  <c r="B647" i="1" s="1"/>
  <c r="B654" i="1" s="1"/>
  <c r="B661" i="1" s="1"/>
  <c r="B668" i="1" s="1"/>
  <c r="B675" i="1" s="1"/>
  <c r="B682" i="1" s="1"/>
  <c r="B689" i="1" s="1"/>
  <c r="B696" i="1" s="1"/>
  <c r="B703" i="1" s="1"/>
  <c r="B710" i="1" s="1"/>
  <c r="B717" i="1" s="1"/>
  <c r="B724" i="1" s="1"/>
  <c r="B731" i="1" s="1"/>
  <c r="B738" i="1" s="1"/>
  <c r="B745" i="1" s="1"/>
  <c r="B752" i="1" s="1"/>
  <c r="B759" i="1" s="1"/>
  <c r="B766" i="1" s="1"/>
  <c r="B773" i="1" s="1"/>
  <c r="B780" i="1" s="1"/>
  <c r="B787" i="1" s="1"/>
  <c r="B794" i="1" s="1"/>
  <c r="B801" i="1" s="1"/>
  <c r="B808" i="1" s="1"/>
  <c r="B815" i="1" s="1"/>
  <c r="B822" i="1" s="1"/>
  <c r="B829" i="1" s="1"/>
  <c r="B836" i="1" s="1"/>
  <c r="B843" i="1" s="1"/>
  <c r="B850" i="1" s="1"/>
  <c r="B857" i="1" s="1"/>
  <c r="B864" i="1" s="1"/>
  <c r="B871" i="1" s="1"/>
  <c r="B878" i="1" s="1"/>
  <c r="B885" i="1" s="1"/>
  <c r="B892" i="1" s="1"/>
  <c r="B899" i="1" s="1"/>
  <c r="B906" i="1" s="1"/>
  <c r="B913" i="1" s="1"/>
  <c r="B920" i="1" s="1"/>
  <c r="B927" i="1" s="1"/>
  <c r="B934" i="1" s="1"/>
  <c r="B941" i="1" s="1"/>
  <c r="B948" i="1" s="1"/>
  <c r="B955" i="1" s="1"/>
  <c r="B962" i="1" s="1"/>
  <c r="B969" i="1" s="1"/>
  <c r="B976" i="1" s="1"/>
  <c r="B983" i="1" s="1"/>
  <c r="B990" i="1" s="1"/>
  <c r="B997" i="1" s="1"/>
  <c r="B1004" i="1" s="1"/>
  <c r="B1011" i="1" s="1"/>
  <c r="B1018" i="1" s="1"/>
  <c r="S5" i="5"/>
  <c r="J22" i="1"/>
  <c r="C22" i="3" s="1"/>
  <c r="J86" i="6"/>
  <c r="G86" i="6"/>
  <c r="I86" i="6"/>
  <c r="AD86" i="6"/>
  <c r="AG86" i="6"/>
  <c r="AC86" i="6"/>
  <c r="AH86" i="6"/>
  <c r="AE86" i="6"/>
  <c r="AI86" i="6"/>
  <c r="H72" i="6"/>
  <c r="F72" i="6"/>
  <c r="AR72" i="6"/>
  <c r="H74" i="6"/>
  <c r="F74" i="6"/>
  <c r="AR74" i="6"/>
  <c r="AR73" i="6"/>
  <c r="H73" i="6"/>
  <c r="AO73" i="6"/>
  <c r="H70" i="6"/>
  <c r="F70" i="6"/>
  <c r="AR70" i="6"/>
  <c r="F71" i="6"/>
  <c r="AR71" i="6"/>
  <c r="H71" i="6"/>
  <c r="AL73" i="6"/>
  <c r="AR67" i="6"/>
  <c r="B15" i="3"/>
  <c r="B16" i="3" s="1"/>
  <c r="B17" i="3" s="1"/>
  <c r="B18" i="3" s="1"/>
  <c r="B19" i="3" s="1"/>
  <c r="B20" i="3" s="1"/>
  <c r="AL70" i="6"/>
  <c r="S70" i="6"/>
  <c r="AP70" i="6"/>
  <c r="AJ70" i="6"/>
  <c r="AK70" i="6"/>
  <c r="AN70" i="6"/>
  <c r="AO72" i="6"/>
  <c r="AO70" i="6"/>
  <c r="R70" i="6"/>
  <c r="R69" i="6"/>
  <c r="G22" i="3" l="1"/>
  <c r="E37" i="6"/>
  <c r="C52" i="3"/>
  <c r="C72" i="3"/>
  <c r="E42" i="6" s="1"/>
  <c r="E45" i="6"/>
  <c r="E17" i="6" s="1"/>
  <c r="C82" i="3"/>
  <c r="G82" i="3" s="1"/>
  <c r="C92" i="3"/>
  <c r="E44" i="6" s="1"/>
  <c r="E16" i="6" s="1"/>
  <c r="C112" i="3"/>
  <c r="E46" i="6" s="1"/>
  <c r="E18" i="6" s="1"/>
  <c r="C62" i="3"/>
  <c r="E41" i="6" s="1"/>
  <c r="H41" i="6" s="1"/>
  <c r="R73" i="6"/>
  <c r="S73" i="6"/>
  <c r="AP73" i="6"/>
  <c r="AN73" i="6"/>
  <c r="AJ73" i="6"/>
  <c r="AK73" i="6"/>
  <c r="S72" i="6"/>
  <c r="AK71" i="6"/>
  <c r="AJ67" i="6"/>
  <c r="AO67" i="6"/>
  <c r="C42" i="3"/>
  <c r="AK67" i="6"/>
  <c r="AN67" i="6"/>
  <c r="AL67" i="6"/>
  <c r="AP67" i="6"/>
  <c r="S71" i="6"/>
  <c r="AN72" i="6"/>
  <c r="B24" i="3"/>
  <c r="B25" i="3" s="1"/>
  <c r="B26" i="3" s="1"/>
  <c r="B27" i="3" s="1"/>
  <c r="B28" i="3" s="1"/>
  <c r="B29" i="3" s="1"/>
  <c r="B30" i="3" s="1"/>
  <c r="AP74" i="6"/>
  <c r="AO74" i="6"/>
  <c r="R74" i="6"/>
  <c r="AL74" i="6"/>
  <c r="AN74" i="6"/>
  <c r="R71" i="6"/>
  <c r="AK74" i="6"/>
  <c r="AJ74" i="6"/>
  <c r="S74" i="6"/>
  <c r="AO71" i="6"/>
  <c r="AL72" i="6"/>
  <c r="AP71" i="6"/>
  <c r="AJ72" i="6"/>
  <c r="AN71" i="6"/>
  <c r="AP72" i="6"/>
  <c r="AL71" i="6"/>
  <c r="AJ71" i="6"/>
  <c r="R72" i="6"/>
  <c r="AK72" i="6"/>
  <c r="C7" i="3" l="1"/>
  <c r="W82" i="3"/>
  <c r="Z43" i="6" s="1"/>
  <c r="Z15" i="6" s="1"/>
  <c r="X82" i="3"/>
  <c r="AA43" i="6" s="1"/>
  <c r="AA15" i="6" s="1"/>
  <c r="H42" i="6"/>
  <c r="F42" i="6" s="1"/>
  <c r="E14" i="6"/>
  <c r="E12" i="15" s="1"/>
  <c r="G41" i="6"/>
  <c r="G13" i="6" s="1"/>
  <c r="G11" i="15" s="1"/>
  <c r="E13" i="6"/>
  <c r="E11" i="15" s="1"/>
  <c r="W22" i="3"/>
  <c r="Z37" i="6" s="1"/>
  <c r="X22" i="3"/>
  <c r="AA37" i="6" s="1"/>
  <c r="AC82" i="3"/>
  <c r="Z82" i="3"/>
  <c r="AB82" i="3"/>
  <c r="AA82" i="3"/>
  <c r="CC22" i="3"/>
  <c r="S22" i="3"/>
  <c r="R22" i="3"/>
  <c r="Q22" i="3"/>
  <c r="V37" i="6" s="1"/>
  <c r="S82" i="3"/>
  <c r="R82" i="3"/>
  <c r="Q82" i="3"/>
  <c r="V43" i="6" s="1"/>
  <c r="V15" i="6" s="1"/>
  <c r="I31" i="15" s="1"/>
  <c r="AD22" i="3"/>
  <c r="AS22" i="3"/>
  <c r="BZ22" i="3"/>
  <c r="BQ22" i="3"/>
  <c r="AK22" i="3"/>
  <c r="AW22" i="3"/>
  <c r="AJ37" i="6" s="1"/>
  <c r="AJ9" i="6" s="1"/>
  <c r="BR22" i="3"/>
  <c r="BU22" i="3"/>
  <c r="I22" i="3"/>
  <c r="M22" i="3"/>
  <c r="AP22" i="3"/>
  <c r="BF22" i="3"/>
  <c r="CM22" i="3"/>
  <c r="AJ22" i="3"/>
  <c r="AC22" i="3"/>
  <c r="AH22" i="3"/>
  <c r="CN22" i="3"/>
  <c r="BY22" i="3"/>
  <c r="K22" i="3"/>
  <c r="S37" i="6" s="1"/>
  <c r="S9" i="6" s="1"/>
  <c r="AQ22" i="3"/>
  <c r="CG22" i="3"/>
  <c r="BJ22" i="3"/>
  <c r="AB22" i="3"/>
  <c r="BA22" i="3"/>
  <c r="AN37" i="6" s="1"/>
  <c r="AN9" i="6" s="1"/>
  <c r="H22" i="3"/>
  <c r="R37" i="6" s="1"/>
  <c r="R9" i="6" s="1"/>
  <c r="U22" i="3"/>
  <c r="X37" i="6" s="1"/>
  <c r="X9" i="6" s="1"/>
  <c r="BV22" i="3"/>
  <c r="BC22" i="3"/>
  <c r="CP22" i="3"/>
  <c r="N22" i="3"/>
  <c r="BP22" i="3"/>
  <c r="AA22" i="3"/>
  <c r="CD22" i="3"/>
  <c r="V22" i="3"/>
  <c r="Y37" i="6" s="1"/>
  <c r="Y9" i="6" s="1"/>
  <c r="T22" i="3"/>
  <c r="W37" i="6" s="1"/>
  <c r="W9" i="6" s="1"/>
  <c r="CQ22" i="3"/>
  <c r="AF22" i="3"/>
  <c r="BO22" i="3"/>
  <c r="BH22" i="3"/>
  <c r="BK22" i="3"/>
  <c r="BG22" i="3"/>
  <c r="Z22" i="3"/>
  <c r="CK22" i="3"/>
  <c r="AR22" i="3"/>
  <c r="AU22" i="3"/>
  <c r="AY22" i="3"/>
  <c r="AI22" i="3"/>
  <c r="CL22" i="3"/>
  <c r="J22" i="3"/>
  <c r="CH22" i="3"/>
  <c r="CE22" i="3"/>
  <c r="AL22" i="3"/>
  <c r="L22" i="3"/>
  <c r="CF22" i="3"/>
  <c r="BE22" i="3"/>
  <c r="CO22" i="3"/>
  <c r="BB22" i="3"/>
  <c r="AN22" i="3"/>
  <c r="CA22" i="3"/>
  <c r="BW22" i="3"/>
  <c r="BM22" i="3"/>
  <c r="CI22" i="3"/>
  <c r="BX22" i="3"/>
  <c r="BS22" i="3"/>
  <c r="O22" i="3"/>
  <c r="BI22" i="3"/>
  <c r="AX22" i="3"/>
  <c r="AE22" i="3"/>
  <c r="AO22" i="3"/>
  <c r="AG22" i="3"/>
  <c r="P22" i="3"/>
  <c r="AT22" i="3"/>
  <c r="AZ22" i="3"/>
  <c r="BN22" i="3"/>
  <c r="AM22" i="3"/>
  <c r="E9" i="6"/>
  <c r="E7" i="15" s="1"/>
  <c r="H37" i="6"/>
  <c r="H45" i="6"/>
  <c r="H46" i="6"/>
  <c r="H44" i="6"/>
  <c r="E43" i="6"/>
  <c r="E15" i="6" s="1"/>
  <c r="E13" i="15" s="1"/>
  <c r="G72" i="3"/>
  <c r="G112" i="3"/>
  <c r="G102" i="3"/>
  <c r="G92" i="3"/>
  <c r="G62" i="3"/>
  <c r="R86" i="6"/>
  <c r="S86" i="6"/>
  <c r="AS82" i="3"/>
  <c r="AR82" i="3"/>
  <c r="BO82" i="3"/>
  <c r="AF82" i="3"/>
  <c r="AT82" i="3"/>
  <c r="AN82" i="3"/>
  <c r="AK82" i="3"/>
  <c r="AD82" i="3"/>
  <c r="AI82" i="3"/>
  <c r="AJ82" i="3"/>
  <c r="AO82" i="3"/>
  <c r="AH82" i="3"/>
  <c r="AM82" i="3"/>
  <c r="AU82" i="3"/>
  <c r="AL82" i="3"/>
  <c r="AQ82" i="3"/>
  <c r="AG82" i="3"/>
  <c r="AP82" i="3"/>
  <c r="AE82" i="3"/>
  <c r="AL86" i="6"/>
  <c r="AN86" i="6"/>
  <c r="AO86" i="6"/>
  <c r="AJ86" i="6"/>
  <c r="AP86" i="6"/>
  <c r="AK86" i="6"/>
  <c r="BQ82" i="3"/>
  <c r="CL82" i="3"/>
  <c r="BE82" i="3"/>
  <c r="AY82" i="3"/>
  <c r="BK82" i="3"/>
  <c r="BC82" i="3"/>
  <c r="CK82" i="3"/>
  <c r="H82" i="3"/>
  <c r="R43" i="6" s="1"/>
  <c r="R15" i="6" s="1"/>
  <c r="F31" i="15" s="1"/>
  <c r="CC82" i="3"/>
  <c r="BP82" i="3"/>
  <c r="T82" i="3"/>
  <c r="W43" i="6" s="1"/>
  <c r="W15" i="6" s="1"/>
  <c r="BR82" i="3"/>
  <c r="E40" i="6"/>
  <c r="K82" i="3"/>
  <c r="S43" i="6" s="1"/>
  <c r="S15" i="6" s="1"/>
  <c r="G31" i="15" s="1"/>
  <c r="BF82" i="3"/>
  <c r="J82" i="3"/>
  <c r="BI82" i="3"/>
  <c r="M82" i="3"/>
  <c r="CP82" i="3"/>
  <c r="BM82" i="3"/>
  <c r="N82" i="3"/>
  <c r="U43" i="6" s="1"/>
  <c r="U15" i="6" s="1"/>
  <c r="H31" i="15" s="1"/>
  <c r="P82" i="3"/>
  <c r="BU82" i="3"/>
  <c r="BV82" i="3"/>
  <c r="L82" i="3"/>
  <c r="CM82" i="3"/>
  <c r="U82" i="3"/>
  <c r="X43" i="6" s="1"/>
  <c r="X15" i="6" s="1"/>
  <c r="CQ82" i="3"/>
  <c r="I82" i="3"/>
  <c r="BX82" i="3"/>
  <c r="CE82" i="3"/>
  <c r="CO82" i="3"/>
  <c r="BZ82" i="3"/>
  <c r="AZ82" i="3"/>
  <c r="CG82" i="3"/>
  <c r="BY82" i="3"/>
  <c r="BN82" i="3"/>
  <c r="O82" i="3"/>
  <c r="BH82" i="3"/>
  <c r="BJ82" i="3"/>
  <c r="CA82" i="3"/>
  <c r="V82" i="3"/>
  <c r="Y43" i="6" s="1"/>
  <c r="Y15" i="6" s="1"/>
  <c r="BS82" i="3"/>
  <c r="BA82" i="3"/>
  <c r="AN43" i="6" s="1"/>
  <c r="AN15" i="6" s="1"/>
  <c r="CF82" i="3"/>
  <c r="CN82" i="3"/>
  <c r="BG82" i="3"/>
  <c r="AW82" i="3"/>
  <c r="AJ43" i="6" s="1"/>
  <c r="AJ15" i="6" s="1"/>
  <c r="CI82" i="3"/>
  <c r="BW82" i="3"/>
  <c r="AX82" i="3"/>
  <c r="CD82" i="3"/>
  <c r="BB82" i="3"/>
  <c r="CH82" i="3"/>
  <c r="E39" i="6"/>
  <c r="AG11" i="6"/>
  <c r="AE11" i="6"/>
  <c r="AI11" i="6"/>
  <c r="AD11" i="6"/>
  <c r="AH11" i="6"/>
  <c r="AC11" i="6"/>
  <c r="G52" i="3"/>
  <c r="G42" i="3"/>
  <c r="B34" i="3"/>
  <c r="B35" i="3" s="1"/>
  <c r="B36" i="3" s="1"/>
  <c r="B37" i="3" s="1"/>
  <c r="B38" i="3" s="1"/>
  <c r="B39" i="3" s="1"/>
  <c r="B40" i="3" s="1"/>
  <c r="AM43" i="6" l="1"/>
  <c r="AM15" i="6" s="1"/>
  <c r="AP43" i="6"/>
  <c r="AP15" i="6" s="1"/>
  <c r="AO43" i="6"/>
  <c r="AO15" i="6" s="1"/>
  <c r="AL43" i="6"/>
  <c r="AL15" i="6" s="1"/>
  <c r="AK43" i="6"/>
  <c r="AK15" i="6" s="1"/>
  <c r="AO37" i="6"/>
  <c r="AO9" i="6" s="1"/>
  <c r="AK37" i="6"/>
  <c r="AK9" i="6" s="1"/>
  <c r="AL37" i="6"/>
  <c r="AL9" i="6" s="1"/>
  <c r="AP37" i="6"/>
  <c r="AP9" i="6" s="1"/>
  <c r="AM37" i="6"/>
  <c r="AM9" i="6" s="1"/>
  <c r="F25" i="15"/>
  <c r="G25" i="15"/>
  <c r="V9" i="6"/>
  <c r="I25" i="15" s="1"/>
  <c r="X112" i="3"/>
  <c r="AA46" i="6" s="1"/>
  <c r="AA18" i="6" s="1"/>
  <c r="W112" i="3"/>
  <c r="Z46" i="6" s="1"/>
  <c r="Z18" i="6" s="1"/>
  <c r="Z9" i="6"/>
  <c r="W72" i="3"/>
  <c r="Z42" i="6" s="1"/>
  <c r="Z14" i="6" s="1"/>
  <c r="X72" i="3"/>
  <c r="AA42" i="6" s="1"/>
  <c r="AA14" i="6" s="1"/>
  <c r="X42" i="3"/>
  <c r="AA39" i="6" s="1"/>
  <c r="AA11" i="6" s="1"/>
  <c r="W42" i="3"/>
  <c r="Z39" i="6" s="1"/>
  <c r="Z11" i="6" s="1"/>
  <c r="H39" i="6"/>
  <c r="H11" i="6" s="1"/>
  <c r="H9" i="15" s="1"/>
  <c r="E11" i="6"/>
  <c r="E9" i="15" s="1"/>
  <c r="F41" i="6"/>
  <c r="H13" i="6"/>
  <c r="H11" i="15" s="1"/>
  <c r="W102" i="3"/>
  <c r="Z45" i="6" s="1"/>
  <c r="Z17" i="6" s="1"/>
  <c r="X102" i="3"/>
  <c r="AA45" i="6" s="1"/>
  <c r="AA17" i="6" s="1"/>
  <c r="AA9" i="6"/>
  <c r="W52" i="3"/>
  <c r="Z40" i="6" s="1"/>
  <c r="Z12" i="6" s="1"/>
  <c r="X52" i="3"/>
  <c r="AA40" i="6" s="1"/>
  <c r="AA12" i="6" s="1"/>
  <c r="AR42" i="6"/>
  <c r="F14" i="6"/>
  <c r="F12" i="15" s="1"/>
  <c r="H40" i="6"/>
  <c r="H12" i="6" s="1"/>
  <c r="H10" i="15" s="1"/>
  <c r="E12" i="6"/>
  <c r="E10" i="15" s="1"/>
  <c r="G44" i="6"/>
  <c r="G16" i="6" s="1"/>
  <c r="H16" i="6"/>
  <c r="G42" i="6"/>
  <c r="G14" i="6" s="1"/>
  <c r="G12" i="15" s="1"/>
  <c r="H14" i="6"/>
  <c r="H12" i="15" s="1"/>
  <c r="X62" i="3"/>
  <c r="AA41" i="6" s="1"/>
  <c r="AA13" i="6" s="1"/>
  <c r="W62" i="3"/>
  <c r="Z41" i="6" s="1"/>
  <c r="Z13" i="6" s="1"/>
  <c r="G46" i="6"/>
  <c r="G18" i="6" s="1"/>
  <c r="H18" i="6"/>
  <c r="W92" i="3"/>
  <c r="Z44" i="6" s="1"/>
  <c r="Z16" i="6" s="1"/>
  <c r="X92" i="3"/>
  <c r="AA44" i="6" s="1"/>
  <c r="AA16" i="6" s="1"/>
  <c r="F45" i="6"/>
  <c r="F17" i="6" s="1"/>
  <c r="H17" i="6"/>
  <c r="T9" i="6"/>
  <c r="U37" i="6"/>
  <c r="U9" i="6" s="1"/>
  <c r="AA112" i="3"/>
  <c r="Z112" i="3"/>
  <c r="AC112" i="3"/>
  <c r="AB112" i="3"/>
  <c r="Z62" i="3"/>
  <c r="AC62" i="3"/>
  <c r="AA62" i="3"/>
  <c r="AB62" i="3"/>
  <c r="AA92" i="3"/>
  <c r="AC92" i="3"/>
  <c r="AB92" i="3"/>
  <c r="Z92" i="3"/>
  <c r="AC102" i="3"/>
  <c r="Z102" i="3"/>
  <c r="AB102" i="3"/>
  <c r="AA102" i="3"/>
  <c r="AA42" i="3"/>
  <c r="AB42" i="3"/>
  <c r="Z42" i="3"/>
  <c r="AC42" i="3"/>
  <c r="AA52" i="3"/>
  <c r="AB52" i="3"/>
  <c r="Z52" i="3"/>
  <c r="AC52" i="3"/>
  <c r="AA72" i="3"/>
  <c r="AC72" i="3"/>
  <c r="AB72" i="3"/>
  <c r="Z72" i="3"/>
  <c r="AS72" i="3"/>
  <c r="S72" i="3"/>
  <c r="R72" i="3"/>
  <c r="Q72" i="3"/>
  <c r="V42" i="6" s="1"/>
  <c r="V14" i="6" s="1"/>
  <c r="I30" i="15" s="1"/>
  <c r="R42" i="3"/>
  <c r="S42" i="3"/>
  <c r="Q42" i="3"/>
  <c r="V39" i="6" s="1"/>
  <c r="V11" i="6" s="1"/>
  <c r="I27" i="15" s="1"/>
  <c r="R52" i="3"/>
  <c r="Q52" i="3"/>
  <c r="V40" i="6" s="1"/>
  <c r="V12" i="6" s="1"/>
  <c r="I28" i="15" s="1"/>
  <c r="S52" i="3"/>
  <c r="R62" i="3"/>
  <c r="S62" i="3"/>
  <c r="Q62" i="3"/>
  <c r="V41" i="6" s="1"/>
  <c r="V13" i="6" s="1"/>
  <c r="I29" i="15" s="1"/>
  <c r="AS92" i="3"/>
  <c r="R92" i="3"/>
  <c r="S92" i="3"/>
  <c r="Q92" i="3"/>
  <c r="V44" i="6" s="1"/>
  <c r="V16" i="6" s="1"/>
  <c r="AG112" i="3"/>
  <c r="S112" i="3"/>
  <c r="R112" i="3"/>
  <c r="Q112" i="3"/>
  <c r="V46" i="6" s="1"/>
  <c r="V18" i="6" s="1"/>
  <c r="R102" i="3"/>
  <c r="S102" i="3"/>
  <c r="Q102" i="3"/>
  <c r="V45" i="6" s="1"/>
  <c r="V17" i="6" s="1"/>
  <c r="I33" i="15" s="1"/>
  <c r="H9" i="6"/>
  <c r="H7" i="15" s="1"/>
  <c r="F37" i="6"/>
  <c r="G37" i="6"/>
  <c r="G9" i="6" s="1"/>
  <c r="G7" i="15" s="1"/>
  <c r="AR62" i="3"/>
  <c r="AF102" i="3"/>
  <c r="N102" i="3"/>
  <c r="U45" i="6" s="1"/>
  <c r="U17" i="6" s="1"/>
  <c r="H33" i="15" s="1"/>
  <c r="AQ72" i="3"/>
  <c r="P112" i="3"/>
  <c r="F46" i="6"/>
  <c r="F18" i="6" s="1"/>
  <c r="G45" i="6"/>
  <c r="G17" i="6" s="1"/>
  <c r="G15" i="15" s="1"/>
  <c r="F44" i="6"/>
  <c r="F16" i="6" s="1"/>
  <c r="CI72" i="3"/>
  <c r="H72" i="3"/>
  <c r="R42" i="6" s="1"/>
  <c r="R14" i="6" s="1"/>
  <c r="F30" i="15" s="1"/>
  <c r="CG72" i="3"/>
  <c r="BZ72" i="3"/>
  <c r="CA72" i="3"/>
  <c r="V72" i="3"/>
  <c r="Y42" i="6" s="1"/>
  <c r="Y14" i="6" s="1"/>
  <c r="AK72" i="3"/>
  <c r="M72" i="3"/>
  <c r="AY72" i="3"/>
  <c r="CC72" i="3"/>
  <c r="AU72" i="3"/>
  <c r="BA62" i="3"/>
  <c r="AN41" i="6" s="1"/>
  <c r="AN13" i="6" s="1"/>
  <c r="AR72" i="3"/>
  <c r="BJ112" i="3"/>
  <c r="M112" i="3"/>
  <c r="T112" i="3"/>
  <c r="W46" i="6" s="1"/>
  <c r="W18" i="6" s="1"/>
  <c r="L112" i="3"/>
  <c r="BW112" i="3"/>
  <c r="AH112" i="3"/>
  <c r="AX72" i="3"/>
  <c r="BR72" i="3"/>
  <c r="BM72" i="3"/>
  <c r="CM72" i="3"/>
  <c r="J72" i="3"/>
  <c r="AL72" i="3"/>
  <c r="CN72" i="3"/>
  <c r="BB72" i="3"/>
  <c r="CF72" i="3"/>
  <c r="BU72" i="3"/>
  <c r="CK72" i="3"/>
  <c r="I72" i="3"/>
  <c r="AG72" i="3"/>
  <c r="CL72" i="3"/>
  <c r="BH72" i="3"/>
  <c r="N72" i="3"/>
  <c r="U42" i="6" s="1"/>
  <c r="U14" i="6" s="1"/>
  <c r="H30" i="15" s="1"/>
  <c r="BY72" i="3"/>
  <c r="BI72" i="3"/>
  <c r="BE72" i="3"/>
  <c r="CD112" i="3"/>
  <c r="BS112" i="3"/>
  <c r="CL112" i="3"/>
  <c r="AN72" i="3"/>
  <c r="J112" i="3"/>
  <c r="BM112" i="3"/>
  <c r="BB112" i="3"/>
  <c r="BN112" i="3"/>
  <c r="AI72" i="3"/>
  <c r="AO72" i="3"/>
  <c r="CO62" i="3"/>
  <c r="AT112" i="3"/>
  <c r="K62" i="3"/>
  <c r="S41" i="6" s="1"/>
  <c r="S13" i="6" s="1"/>
  <c r="G29" i="15" s="1"/>
  <c r="BZ92" i="3"/>
  <c r="BK62" i="3"/>
  <c r="BZ62" i="3"/>
  <c r="H43" i="6"/>
  <c r="H15" i="6" s="1"/>
  <c r="H13" i="15" s="1"/>
  <c r="I62" i="3"/>
  <c r="AM62" i="3"/>
  <c r="BS92" i="3"/>
  <c r="BI62" i="3"/>
  <c r="BB62" i="3"/>
  <c r="AP112" i="3"/>
  <c r="AD112" i="3"/>
  <c r="CC92" i="3"/>
  <c r="BY92" i="3"/>
  <c r="O92" i="3"/>
  <c r="M62" i="3"/>
  <c r="BX62" i="3"/>
  <c r="CP62" i="3"/>
  <c r="BO62" i="3"/>
  <c r="BQ62" i="3"/>
  <c r="AE92" i="3"/>
  <c r="AJ62" i="3"/>
  <c r="AF62" i="3"/>
  <c r="BQ92" i="3"/>
  <c r="BG92" i="3"/>
  <c r="BF62" i="3"/>
  <c r="CI62" i="3"/>
  <c r="BS62" i="3"/>
  <c r="CK62" i="3"/>
  <c r="CG62" i="3"/>
  <c r="T62" i="3"/>
  <c r="W41" i="6" s="1"/>
  <c r="W13" i="6" s="1"/>
  <c r="AK62" i="3"/>
  <c r="H92" i="3"/>
  <c r="R44" i="6" s="1"/>
  <c r="R16" i="6" s="1"/>
  <c r="J92" i="3"/>
  <c r="CH92" i="3"/>
  <c r="BK92" i="3"/>
  <c r="AP92" i="3"/>
  <c r="AR92" i="3"/>
  <c r="BS72" i="3"/>
  <c r="BW72" i="3"/>
  <c r="CO72" i="3"/>
  <c r="BC72" i="3"/>
  <c r="BA72" i="3"/>
  <c r="AN42" i="6" s="1"/>
  <c r="AN14" i="6" s="1"/>
  <c r="BP72" i="3"/>
  <c r="BX72" i="3"/>
  <c r="CQ72" i="3"/>
  <c r="BK72" i="3"/>
  <c r="CE72" i="3"/>
  <c r="T72" i="3"/>
  <c r="W42" i="6" s="1"/>
  <c r="W14" i="6" s="1"/>
  <c r="P72" i="3"/>
  <c r="L102" i="3"/>
  <c r="CG92" i="3"/>
  <c r="T92" i="3"/>
  <c r="W44" i="6" s="1"/>
  <c r="W16" i="6" s="1"/>
  <c r="CF92" i="3"/>
  <c r="BA92" i="3"/>
  <c r="AN44" i="6" s="1"/>
  <c r="AN16" i="6" s="1"/>
  <c r="BG72" i="3"/>
  <c r="BJ72" i="3"/>
  <c r="U72" i="3"/>
  <c r="X42" i="6" s="1"/>
  <c r="X14" i="6" s="1"/>
  <c r="BF72" i="3"/>
  <c r="BQ72" i="3"/>
  <c r="BV72" i="3"/>
  <c r="AW72" i="3"/>
  <c r="AJ42" i="6" s="1"/>
  <c r="AJ14" i="6" s="1"/>
  <c r="BN72" i="3"/>
  <c r="CP72" i="3"/>
  <c r="CD72" i="3"/>
  <c r="K72" i="3"/>
  <c r="S42" i="6" s="1"/>
  <c r="S14" i="6" s="1"/>
  <c r="G30" i="15" s="1"/>
  <c r="O72" i="3"/>
  <c r="L72" i="3"/>
  <c r="AZ72" i="3"/>
  <c r="CN102" i="3"/>
  <c r="CP92" i="3"/>
  <c r="BO92" i="3"/>
  <c r="BP92" i="3"/>
  <c r="BX92" i="3"/>
  <c r="BW92" i="3"/>
  <c r="AH72" i="3"/>
  <c r="AD72" i="3"/>
  <c r="AJ72" i="3"/>
  <c r="AT72" i="3"/>
  <c r="AH92" i="3"/>
  <c r="CL92" i="3"/>
  <c r="AX92" i="3"/>
  <c r="BR92" i="3"/>
  <c r="CH72" i="3"/>
  <c r="BO72" i="3"/>
  <c r="BF92" i="3"/>
  <c r="CN92" i="3"/>
  <c r="BB92" i="3"/>
  <c r="AM72" i="3"/>
  <c r="AP72" i="3"/>
  <c r="AE72" i="3"/>
  <c r="AF72" i="3"/>
  <c r="AM92" i="3"/>
  <c r="AD92" i="3"/>
  <c r="AQ92" i="3"/>
  <c r="AK92" i="3"/>
  <c r="AG92" i="3"/>
  <c r="N92" i="3"/>
  <c r="U44" i="6" s="1"/>
  <c r="U16" i="6" s="1"/>
  <c r="CE92" i="3"/>
  <c r="BM92" i="3"/>
  <c r="CI92" i="3"/>
  <c r="M92" i="3"/>
  <c r="AW92" i="3"/>
  <c r="AJ44" i="6" s="1"/>
  <c r="AJ16" i="6" s="1"/>
  <c r="BI92" i="3"/>
  <c r="CD92" i="3"/>
  <c r="BN92" i="3"/>
  <c r="V92" i="3"/>
  <c r="Y44" i="6" s="1"/>
  <c r="Y16" i="6" s="1"/>
  <c r="AZ92" i="3"/>
  <c r="BE92" i="3"/>
  <c r="BC92" i="3"/>
  <c r="U92" i="3"/>
  <c r="X44" i="6" s="1"/>
  <c r="X16" i="6" s="1"/>
  <c r="CH62" i="3"/>
  <c r="BE62" i="3"/>
  <c r="AW62" i="3"/>
  <c r="AJ41" i="6" s="1"/>
  <c r="AJ13" i="6" s="1"/>
  <c r="BW62" i="3"/>
  <c r="BG62" i="3"/>
  <c r="BU62" i="3"/>
  <c r="P62" i="3"/>
  <c r="BP62" i="3"/>
  <c r="BH62" i="3"/>
  <c r="AY62" i="3"/>
  <c r="AO92" i="3"/>
  <c r="AJ92" i="3"/>
  <c r="AI92" i="3"/>
  <c r="AT92" i="3"/>
  <c r="AD62" i="3"/>
  <c r="AP62" i="3"/>
  <c r="AL62" i="3"/>
  <c r="AT62" i="3"/>
  <c r="AS62" i="3"/>
  <c r="K92" i="3"/>
  <c r="S44" i="6" s="1"/>
  <c r="S16" i="6" s="1"/>
  <c r="G32" i="15" s="1"/>
  <c r="CA92" i="3"/>
  <c r="BV92" i="3"/>
  <c r="BU92" i="3"/>
  <c r="I92" i="3"/>
  <c r="AY92" i="3"/>
  <c r="CO92" i="3"/>
  <c r="CQ92" i="3"/>
  <c r="CM92" i="3"/>
  <c r="CK92" i="3"/>
  <c r="L92" i="3"/>
  <c r="BJ92" i="3"/>
  <c r="BH92" i="3"/>
  <c r="P92" i="3"/>
  <c r="N62" i="3"/>
  <c r="U41" i="6" s="1"/>
  <c r="BM62" i="3"/>
  <c r="AX62" i="3"/>
  <c r="CA62" i="3"/>
  <c r="BJ62" i="3"/>
  <c r="U62" i="3"/>
  <c r="X41" i="6" s="1"/>
  <c r="X13" i="6" s="1"/>
  <c r="CQ62" i="3"/>
  <c r="CN62" i="3"/>
  <c r="L62" i="3"/>
  <c r="BN62" i="3"/>
  <c r="BY62" i="3"/>
  <c r="CD62" i="3"/>
  <c r="AN92" i="3"/>
  <c r="AL92" i="3"/>
  <c r="AU92" i="3"/>
  <c r="AF92" i="3"/>
  <c r="AQ62" i="3"/>
  <c r="AU62" i="3"/>
  <c r="AO62" i="3"/>
  <c r="AH62" i="3"/>
  <c r="BH102" i="3"/>
  <c r="BW102" i="3"/>
  <c r="AO102" i="3"/>
  <c r="U102" i="3"/>
  <c r="BB102" i="3"/>
  <c r="AO45" i="6" s="1"/>
  <c r="CK102" i="3"/>
  <c r="BP102" i="3"/>
  <c r="BG112" i="3"/>
  <c r="AX112" i="3"/>
  <c r="AW112" i="3"/>
  <c r="AJ46" i="6" s="1"/>
  <c r="AJ18" i="6" s="1"/>
  <c r="BC112" i="3"/>
  <c r="U112" i="3"/>
  <c r="X46" i="6" s="1"/>
  <c r="X18" i="6" s="1"/>
  <c r="J102" i="3"/>
  <c r="CH102" i="3"/>
  <c r="AU112" i="3"/>
  <c r="AQ112" i="3"/>
  <c r="AI112" i="3"/>
  <c r="AR112" i="3"/>
  <c r="K112" i="3"/>
  <c r="S46" i="6" s="1"/>
  <c r="S18" i="6" s="1"/>
  <c r="CE112" i="3"/>
  <c r="BY112" i="3"/>
  <c r="CP112" i="3"/>
  <c r="BP112" i="3"/>
  <c r="CA112" i="3"/>
  <c r="CM112" i="3"/>
  <c r="BO102" i="3"/>
  <c r="AW102" i="3"/>
  <c r="BX102" i="3"/>
  <c r="AL112" i="3"/>
  <c r="AJ112" i="3"/>
  <c r="N112" i="3"/>
  <c r="U46" i="6" s="1"/>
  <c r="U18" i="6" s="1"/>
  <c r="BR112" i="3"/>
  <c r="BU112" i="3"/>
  <c r="AZ112" i="3"/>
  <c r="BA112" i="3"/>
  <c r="CO112" i="3"/>
  <c r="BK112" i="3"/>
  <c r="CQ112" i="3"/>
  <c r="CC112" i="3"/>
  <c r="BH112" i="3"/>
  <c r="O112" i="3"/>
  <c r="V112" i="3"/>
  <c r="Y46" i="6" s="1"/>
  <c r="Y18" i="6" s="1"/>
  <c r="BX112" i="3"/>
  <c r="K102" i="3"/>
  <c r="BM102" i="3"/>
  <c r="BR102" i="3"/>
  <c r="BE102" i="3"/>
  <c r="V102" i="3"/>
  <c r="Y45" i="6" s="1"/>
  <c r="Y17" i="6" s="1"/>
  <c r="BS102" i="3"/>
  <c r="AO112" i="3"/>
  <c r="AM112" i="3"/>
  <c r="AF112" i="3"/>
  <c r="AS112" i="3"/>
  <c r="H112" i="3"/>
  <c r="R46" i="6" s="1"/>
  <c r="R18" i="6" s="1"/>
  <c r="BV112" i="3"/>
  <c r="BI112" i="3"/>
  <c r="BO112" i="3"/>
  <c r="CN112" i="3"/>
  <c r="BF112" i="3"/>
  <c r="I112" i="3"/>
  <c r="AY112" i="3"/>
  <c r="BE112" i="3"/>
  <c r="CI112" i="3"/>
  <c r="CH112" i="3"/>
  <c r="BQ112" i="3"/>
  <c r="BZ112" i="3"/>
  <c r="CG112" i="3"/>
  <c r="CF112" i="3"/>
  <c r="CK112" i="3"/>
  <c r="AY102" i="3"/>
  <c r="AL45" i="6" s="1"/>
  <c r="CL102" i="3"/>
  <c r="BF102" i="3"/>
  <c r="P102" i="3"/>
  <c r="CM102" i="3"/>
  <c r="CE102" i="3"/>
  <c r="CG102" i="3"/>
  <c r="AE112" i="3"/>
  <c r="AN112" i="3"/>
  <c r="AK112" i="3"/>
  <c r="AE102" i="3"/>
  <c r="AT102" i="3"/>
  <c r="AH102" i="3"/>
  <c r="AG102" i="3"/>
  <c r="AL102" i="3"/>
  <c r="AN102" i="3"/>
  <c r="AR102" i="3"/>
  <c r="BK102" i="3"/>
  <c r="CA102" i="3"/>
  <c r="CC102" i="3"/>
  <c r="BU102" i="3"/>
  <c r="BJ102" i="3"/>
  <c r="BV102" i="3"/>
  <c r="CO102" i="3"/>
  <c r="CQ102" i="3"/>
  <c r="M102" i="3"/>
  <c r="BA102" i="3"/>
  <c r="CP102" i="3"/>
  <c r="BI102" i="3"/>
  <c r="BN102" i="3"/>
  <c r="AZ102" i="3"/>
  <c r="AM45" i="6" s="1"/>
  <c r="AK102" i="3"/>
  <c r="AQ102" i="3"/>
  <c r="AU102" i="3"/>
  <c r="AJ102" i="3"/>
  <c r="AS102" i="3"/>
  <c r="H102" i="3"/>
  <c r="R45" i="6" s="1"/>
  <c r="R17" i="6" s="1"/>
  <c r="F33" i="15" s="1"/>
  <c r="T102" i="3"/>
  <c r="I102" i="3"/>
  <c r="BG102" i="3"/>
  <c r="CD102" i="3"/>
  <c r="AX102" i="3"/>
  <c r="AK45" i="6" s="1"/>
  <c r="BZ102" i="3"/>
  <c r="CI102" i="3"/>
  <c r="CF102" i="3"/>
  <c r="O102" i="3"/>
  <c r="BC102" i="3"/>
  <c r="AP45" i="6" s="1"/>
  <c r="BQ102" i="3"/>
  <c r="BY102" i="3"/>
  <c r="AI102" i="3"/>
  <c r="AD102" i="3"/>
  <c r="AP102" i="3"/>
  <c r="AM102" i="3"/>
  <c r="H62" i="3"/>
  <c r="R41" i="6" s="1"/>
  <c r="R13" i="6" s="1"/>
  <c r="F29" i="15" s="1"/>
  <c r="O62" i="3"/>
  <c r="CE62" i="3"/>
  <c r="CF62" i="3"/>
  <c r="BC62" i="3"/>
  <c r="V62" i="3"/>
  <c r="Y41" i="6" s="1"/>
  <c r="Y13" i="6" s="1"/>
  <c r="J62" i="3"/>
  <c r="CL62" i="3"/>
  <c r="BR62" i="3"/>
  <c r="CM62" i="3"/>
  <c r="AZ62" i="3"/>
  <c r="CC62" i="3"/>
  <c r="BV62" i="3"/>
  <c r="AG62" i="3"/>
  <c r="AI62" i="3"/>
  <c r="AE62" i="3"/>
  <c r="AN62" i="3"/>
  <c r="AS52" i="3"/>
  <c r="AR52" i="3"/>
  <c r="AS42" i="3"/>
  <c r="AR42" i="3"/>
  <c r="AN52" i="3"/>
  <c r="AQ52" i="3"/>
  <c r="AO52" i="3"/>
  <c r="AP52" i="3"/>
  <c r="N42" i="3"/>
  <c r="U39" i="6" s="1"/>
  <c r="U11" i="6" s="1"/>
  <c r="H27" i="15" s="1"/>
  <c r="AO42" i="3"/>
  <c r="AP42" i="3"/>
  <c r="AN42" i="3"/>
  <c r="AQ42" i="3"/>
  <c r="I52" i="3"/>
  <c r="AW52" i="3"/>
  <c r="CG52" i="3"/>
  <c r="AD52" i="3"/>
  <c r="AL52" i="3"/>
  <c r="AX52" i="3"/>
  <c r="AK40" i="6" s="1"/>
  <c r="BJ52" i="3"/>
  <c r="H52" i="3"/>
  <c r="AK52" i="3"/>
  <c r="AU52" i="3"/>
  <c r="CO52" i="3"/>
  <c r="AM52" i="3"/>
  <c r="L52" i="3"/>
  <c r="BY52" i="3"/>
  <c r="AT52" i="3"/>
  <c r="CA52" i="3"/>
  <c r="M52" i="3"/>
  <c r="CM52" i="3"/>
  <c r="BN52" i="3"/>
  <c r="AF52" i="3"/>
  <c r="AE52" i="3"/>
  <c r="CC52" i="3"/>
  <c r="BK52" i="3"/>
  <c r="BQ52" i="3"/>
  <c r="CF52" i="3"/>
  <c r="CL52" i="3"/>
  <c r="CI52" i="3"/>
  <c r="O52" i="3"/>
  <c r="BV52" i="3"/>
  <c r="BM52" i="3"/>
  <c r="BA52" i="3"/>
  <c r="CH52" i="3"/>
  <c r="BC52" i="3"/>
  <c r="AP40" i="6" s="1"/>
  <c r="BH52" i="3"/>
  <c r="CE52" i="3"/>
  <c r="K52" i="3"/>
  <c r="CD52" i="3"/>
  <c r="AY52" i="3"/>
  <c r="AL40" i="6" s="1"/>
  <c r="BS52" i="3"/>
  <c r="BP52" i="3"/>
  <c r="BB52" i="3"/>
  <c r="AO40" i="6" s="1"/>
  <c r="AZ52" i="3"/>
  <c r="AM40" i="6" s="1"/>
  <c r="P52" i="3"/>
  <c r="BG52" i="3"/>
  <c r="BW52" i="3"/>
  <c r="V52" i="3"/>
  <c r="Y40" i="6" s="1"/>
  <c r="Y12" i="6" s="1"/>
  <c r="BI52" i="3"/>
  <c r="CK52" i="3"/>
  <c r="BU52" i="3"/>
  <c r="CP52" i="3"/>
  <c r="BR52" i="3"/>
  <c r="N52" i="3"/>
  <c r="U40" i="6" s="1"/>
  <c r="U12" i="6" s="1"/>
  <c r="H28" i="15" s="1"/>
  <c r="AJ52" i="3"/>
  <c r="U52" i="3"/>
  <c r="AI52" i="3"/>
  <c r="BE52" i="3"/>
  <c r="BZ52" i="3"/>
  <c r="BO52" i="3"/>
  <c r="CN52" i="3"/>
  <c r="BF52" i="3"/>
  <c r="BX52" i="3"/>
  <c r="T52" i="3"/>
  <c r="CQ52" i="3"/>
  <c r="AH52" i="3"/>
  <c r="AG52" i="3"/>
  <c r="J52" i="3"/>
  <c r="BX42" i="3"/>
  <c r="CL42" i="3"/>
  <c r="CK42" i="3"/>
  <c r="CM42" i="3"/>
  <c r="BA42" i="3"/>
  <c r="CI42" i="3"/>
  <c r="BG42" i="3"/>
  <c r="V42" i="3"/>
  <c r="BE42" i="3"/>
  <c r="BW42" i="3"/>
  <c r="BN42" i="3"/>
  <c r="AT42" i="3"/>
  <c r="AG42" i="3"/>
  <c r="CG42" i="3"/>
  <c r="H42" i="3"/>
  <c r="AK42" i="3"/>
  <c r="BJ42" i="3"/>
  <c r="CA42" i="3"/>
  <c r="L42" i="3"/>
  <c r="AH42" i="3"/>
  <c r="AW42" i="3"/>
  <c r="AX42" i="3"/>
  <c r="AF42" i="3"/>
  <c r="BQ42" i="3"/>
  <c r="AE42" i="3"/>
  <c r="BC42" i="3"/>
  <c r="I42" i="3"/>
  <c r="BV42" i="3"/>
  <c r="BI42" i="3"/>
  <c r="BS42" i="3"/>
  <c r="BO42" i="3"/>
  <c r="O42" i="3"/>
  <c r="AY42" i="3"/>
  <c r="CC42" i="3"/>
  <c r="M42" i="3"/>
  <c r="BY42" i="3"/>
  <c r="BB42" i="3"/>
  <c r="CP42" i="3"/>
  <c r="CQ42" i="3"/>
  <c r="J42" i="3"/>
  <c r="AI42" i="3"/>
  <c r="AZ42" i="3"/>
  <c r="U42" i="3"/>
  <c r="P42" i="3"/>
  <c r="AJ42" i="3"/>
  <c r="CN42" i="3"/>
  <c r="BH42" i="3"/>
  <c r="CE42" i="3"/>
  <c r="BU42" i="3"/>
  <c r="K42" i="3"/>
  <c r="AU42" i="3"/>
  <c r="BF42" i="3"/>
  <c r="CD42" i="3"/>
  <c r="BZ42" i="3"/>
  <c r="T42" i="3"/>
  <c r="BK42" i="3"/>
  <c r="CF42" i="3"/>
  <c r="CO42" i="3"/>
  <c r="BM42" i="3"/>
  <c r="CH42" i="3"/>
  <c r="AM42" i="3"/>
  <c r="BP42" i="3"/>
  <c r="AD42" i="3"/>
  <c r="AL42" i="3"/>
  <c r="BR42" i="3"/>
  <c r="B44" i="3"/>
  <c r="B45" i="3" s="1"/>
  <c r="B46" i="3" s="1"/>
  <c r="B47" i="3" s="1"/>
  <c r="B48" i="3" s="1"/>
  <c r="B49" i="3" s="1"/>
  <c r="B50" i="3" s="1"/>
  <c r="EE2" i="5"/>
  <c r="AN46" i="6" l="1"/>
  <c r="AN18" i="6" s="1"/>
  <c r="AP46" i="6"/>
  <c r="AP18" i="6" s="1"/>
  <c r="AO46" i="6"/>
  <c r="AO18" i="6" s="1"/>
  <c r="AK46" i="6"/>
  <c r="AK18" i="6" s="1"/>
  <c r="AM46" i="6"/>
  <c r="AM18" i="6" s="1"/>
  <c r="AL46" i="6"/>
  <c r="AL18" i="6" s="1"/>
  <c r="AL44" i="6"/>
  <c r="AL16" i="6" s="1"/>
  <c r="AO44" i="6"/>
  <c r="AO16" i="6" s="1"/>
  <c r="AP44" i="6"/>
  <c r="AP16" i="6" s="1"/>
  <c r="AM44" i="6"/>
  <c r="AM16" i="6" s="1"/>
  <c r="AK44" i="6"/>
  <c r="AK16" i="6" s="1"/>
  <c r="AO42" i="6"/>
  <c r="AO14" i="6" s="1"/>
  <c r="AM42" i="6"/>
  <c r="AM14" i="6" s="1"/>
  <c r="AL42" i="6"/>
  <c r="AL14" i="6" s="1"/>
  <c r="AP42" i="6"/>
  <c r="AP14" i="6" s="1"/>
  <c r="AK42" i="6"/>
  <c r="AK14" i="6" s="1"/>
  <c r="AL41" i="6"/>
  <c r="AL13" i="6" s="1"/>
  <c r="AM41" i="6"/>
  <c r="AM13" i="6" s="1"/>
  <c r="AO41" i="6"/>
  <c r="AO13" i="6" s="1"/>
  <c r="AP41" i="6"/>
  <c r="AP13" i="6" s="1"/>
  <c r="AK41" i="6"/>
  <c r="AK13" i="6" s="1"/>
  <c r="M8" i="7"/>
  <c r="AK39" i="6"/>
  <c r="AK11" i="6" s="1"/>
  <c r="AL39" i="6"/>
  <c r="AL11" i="6" s="1"/>
  <c r="N8" i="7"/>
  <c r="AJ39" i="6"/>
  <c r="AJ11" i="6" s="1"/>
  <c r="L8" i="7"/>
  <c r="AP39" i="6"/>
  <c r="AP11" i="6" s="1"/>
  <c r="R8" i="7"/>
  <c r="AM39" i="6"/>
  <c r="AM11" i="6" s="1"/>
  <c r="O8" i="7"/>
  <c r="AN39" i="6"/>
  <c r="AN11" i="6" s="1"/>
  <c r="P8" i="7"/>
  <c r="AO39" i="6"/>
  <c r="AO11" i="6" s="1"/>
  <c r="Q8" i="7"/>
  <c r="Z30" i="6"/>
  <c r="AA30" i="6"/>
  <c r="R3" i="6"/>
  <c r="H25" i="15"/>
  <c r="G40" i="6"/>
  <c r="G12" i="6" s="1"/>
  <c r="G10" i="15" s="1"/>
  <c r="F40" i="6"/>
  <c r="AR40" i="6" s="1"/>
  <c r="AR12" i="6" s="1"/>
  <c r="F39" i="6"/>
  <c r="AR39" i="6" s="1"/>
  <c r="AR11" i="6" s="1"/>
  <c r="G39" i="6"/>
  <c r="G11" i="6" s="1"/>
  <c r="G9" i="15" s="1"/>
  <c r="AR45" i="6"/>
  <c r="AR17" i="6" s="1"/>
  <c r="Z58" i="6"/>
  <c r="AR41" i="6"/>
  <c r="AR13" i="6" s="1"/>
  <c r="F13" i="6"/>
  <c r="F11" i="15" s="1"/>
  <c r="AA58" i="6"/>
  <c r="V58" i="6"/>
  <c r="I39" i="15"/>
  <c r="U13" i="6"/>
  <c r="H29" i="15" s="1"/>
  <c r="U58" i="6"/>
  <c r="Q7" i="3"/>
  <c r="R7" i="3"/>
  <c r="S7" i="3"/>
  <c r="AS7" i="3"/>
  <c r="BI7" i="3"/>
  <c r="BU7" i="3"/>
  <c r="AM7" i="3"/>
  <c r="CI7" i="3"/>
  <c r="AC7" i="3"/>
  <c r="AP7" i="3"/>
  <c r="AG7" i="3"/>
  <c r="BN7" i="3"/>
  <c r="AA7" i="3"/>
  <c r="BS7" i="3"/>
  <c r="BW7" i="3"/>
  <c r="CG7" i="3"/>
  <c r="V7" i="3"/>
  <c r="AD7" i="3"/>
  <c r="BZ7" i="3"/>
  <c r="CP7" i="3"/>
  <c r="CC7" i="3"/>
  <c r="AH7" i="3"/>
  <c r="AJ7" i="3"/>
  <c r="CA7" i="3"/>
  <c r="AT7" i="3"/>
  <c r="L7" i="3"/>
  <c r="BY7" i="3"/>
  <c r="CD7" i="3"/>
  <c r="AU7" i="3"/>
  <c r="M7" i="3"/>
  <c r="BK7" i="3"/>
  <c r="AE7" i="3"/>
  <c r="BM7" i="3"/>
  <c r="BQ7" i="3"/>
  <c r="BG7" i="3"/>
  <c r="AQ7" i="3"/>
  <c r="CQ7" i="3"/>
  <c r="AR7" i="3"/>
  <c r="BF7" i="3"/>
  <c r="J7" i="3"/>
  <c r="AK7" i="3"/>
  <c r="CO7" i="3"/>
  <c r="AN7" i="3"/>
  <c r="CL7" i="3"/>
  <c r="Z7" i="3"/>
  <c r="O7" i="3"/>
  <c r="BV7" i="3"/>
  <c r="AL7" i="3"/>
  <c r="X7" i="3"/>
  <c r="CF7" i="3"/>
  <c r="BJ7" i="3"/>
  <c r="CE7" i="3"/>
  <c r="AI7" i="3"/>
  <c r="CM7" i="3"/>
  <c r="BR7" i="3"/>
  <c r="P7" i="3"/>
  <c r="I7" i="3"/>
  <c r="BO7" i="3"/>
  <c r="CN7" i="3"/>
  <c r="BH7" i="3"/>
  <c r="BE7" i="3"/>
  <c r="AK17" i="6"/>
  <c r="AX7" i="3"/>
  <c r="AN45" i="6"/>
  <c r="AN17" i="6" s="1"/>
  <c r="BA7" i="3"/>
  <c r="AB7" i="3"/>
  <c r="BP7" i="3"/>
  <c r="N7" i="3"/>
  <c r="CH7" i="3"/>
  <c r="CK7" i="3"/>
  <c r="AF7" i="3"/>
  <c r="S45" i="6"/>
  <c r="S17" i="6" s="1"/>
  <c r="G33" i="15" s="1"/>
  <c r="K7" i="3"/>
  <c r="AO17" i="6"/>
  <c r="BB7" i="3"/>
  <c r="AP17" i="6"/>
  <c r="BC7" i="3"/>
  <c r="BX7" i="3"/>
  <c r="X45" i="6"/>
  <c r="X17" i="6" s="1"/>
  <c r="U7" i="3"/>
  <c r="W45" i="6"/>
  <c r="W17" i="6" s="1"/>
  <c r="T7" i="3"/>
  <c r="AM17" i="6"/>
  <c r="AZ7" i="3"/>
  <c r="AL17" i="6"/>
  <c r="AY7" i="3"/>
  <c r="AJ45" i="6"/>
  <c r="AJ17" i="6" s="1"/>
  <c r="AW7" i="3"/>
  <c r="AO7" i="3"/>
  <c r="F9" i="6"/>
  <c r="F7" i="15" s="1"/>
  <c r="AR37" i="6"/>
  <c r="AR9" i="6" s="1"/>
  <c r="F43" i="6"/>
  <c r="F15" i="6" s="1"/>
  <c r="F13" i="15" s="1"/>
  <c r="AR46" i="6"/>
  <c r="AR18" i="6" s="1"/>
  <c r="AR44" i="6"/>
  <c r="AR16" i="6" s="1"/>
  <c r="Y39" i="6"/>
  <c r="Y11" i="6" s="1"/>
  <c r="G43" i="6"/>
  <c r="G15" i="6" s="1"/>
  <c r="G13" i="15" s="1"/>
  <c r="AO12" i="6"/>
  <c r="S40" i="6"/>
  <c r="S12" i="6" s="1"/>
  <c r="G28" i="15" s="1"/>
  <c r="W39" i="6"/>
  <c r="W11" i="6" s="1"/>
  <c r="X39" i="6"/>
  <c r="X11" i="6" s="1"/>
  <c r="AM12" i="6"/>
  <c r="AL12" i="6"/>
  <c r="AP12" i="6"/>
  <c r="R40" i="6"/>
  <c r="R12" i="6" s="1"/>
  <c r="F28" i="15" s="1"/>
  <c r="S39" i="6"/>
  <c r="S11" i="6" s="1"/>
  <c r="G27" i="15" s="1"/>
  <c r="W40" i="6"/>
  <c r="W12" i="6" s="1"/>
  <c r="AN40" i="6"/>
  <c r="AN12" i="6" s="1"/>
  <c r="AK12" i="6"/>
  <c r="X40" i="6"/>
  <c r="X12" i="6" s="1"/>
  <c r="AJ40" i="6"/>
  <c r="AJ12" i="6" s="1"/>
  <c r="R39" i="6"/>
  <c r="R11" i="6" s="1"/>
  <c r="F27" i="15" s="1"/>
  <c r="AR14" i="6"/>
  <c r="B54" i="3"/>
  <c r="B55" i="3" s="1"/>
  <c r="B56" i="3" s="1"/>
  <c r="B57" i="3" s="1"/>
  <c r="B58" i="3" s="1"/>
  <c r="B59" i="3" s="1"/>
  <c r="B60" i="3" s="1"/>
  <c r="U30" i="6" l="1"/>
  <c r="S3" i="6"/>
  <c r="S2" i="6"/>
  <c r="R2" i="6"/>
  <c r="F12" i="6"/>
  <c r="F10" i="15" s="1"/>
  <c r="F11" i="6"/>
  <c r="F9" i="15" s="1"/>
  <c r="AR43" i="6"/>
  <c r="AR15" i="6" s="1"/>
  <c r="B64" i="3"/>
  <c r="B65" i="3" s="1"/>
  <c r="B66" i="3" s="1"/>
  <c r="B67" i="3" s="1"/>
  <c r="B68" i="3" s="1"/>
  <c r="B69" i="3" s="1"/>
  <c r="B70" i="3" s="1"/>
  <c r="T3" i="6" l="1"/>
  <c r="T2" i="6"/>
  <c r="B74" i="3"/>
  <c r="B75" i="3" s="1"/>
  <c r="B76" i="3" s="1"/>
  <c r="B77" i="3" s="1"/>
  <c r="B78" i="3" s="1"/>
  <c r="B79" i="3" s="1"/>
  <c r="B80" i="3" s="1"/>
  <c r="B84" i="3" l="1"/>
  <c r="B85" i="3" s="1"/>
  <c r="B86" i="3" s="1"/>
  <c r="B87" i="3" s="1"/>
  <c r="B88" i="3" s="1"/>
  <c r="B89" i="3" s="1"/>
  <c r="B90" i="3" s="1"/>
  <c r="B94" i="3" s="1"/>
  <c r="B95" i="3" s="1"/>
  <c r="B96" i="3" s="1"/>
  <c r="B97" i="3" s="1"/>
  <c r="B98" i="3" s="1"/>
  <c r="B99" i="3" s="1"/>
  <c r="B100" i="3" s="1"/>
  <c r="B104" i="3" l="1"/>
  <c r="B105" i="3" s="1"/>
  <c r="B106" i="3" s="1"/>
  <c r="B107" i="3" s="1"/>
  <c r="B108" i="3" s="1"/>
  <c r="B109" i="3" s="1"/>
  <c r="B110" i="3" s="1"/>
  <c r="B114" i="3" s="1"/>
  <c r="B115" i="3" s="1"/>
  <c r="B116" i="3" s="1"/>
  <c r="B117" i="3" s="1"/>
  <c r="B118" i="3" s="1"/>
  <c r="B119" i="3" s="1"/>
  <c r="B120" i="3" s="1"/>
  <c r="B124" i="3" s="1"/>
  <c r="B125" i="3" s="1"/>
  <c r="B126" i="3" s="1"/>
  <c r="B127" i="3" s="1"/>
  <c r="B128" i="3" s="1"/>
  <c r="B129" i="3" s="1"/>
  <c r="B130" i="3" s="1"/>
  <c r="B134" i="3" s="1"/>
  <c r="B135" i="3" s="1"/>
  <c r="B136" i="3" s="1"/>
  <c r="B137" i="3" s="1"/>
  <c r="B138" i="3" s="1"/>
  <c r="B139" i="3" s="1"/>
  <c r="B140" i="3" s="1"/>
  <c r="B144" i="3" s="1"/>
  <c r="B145" i="3" s="1"/>
  <c r="B146" i="3" s="1"/>
  <c r="B147" i="3" s="1"/>
  <c r="B148" i="3" s="1"/>
  <c r="B149" i="3" s="1"/>
  <c r="B150" i="3" s="1"/>
  <c r="B154" i="3" s="1"/>
  <c r="B155" i="3" s="1"/>
  <c r="B156" i="3" s="1"/>
  <c r="B157" i="3" s="1"/>
  <c r="B158" i="3" s="1"/>
  <c r="B159" i="3" s="1"/>
  <c r="B160" i="3" s="1"/>
  <c r="B164" i="3" s="1"/>
  <c r="B165" i="3" s="1"/>
  <c r="B166" i="3" s="1"/>
  <c r="B167" i="3" l="1"/>
  <c r="B168" i="3" s="1"/>
  <c r="B169" i="3" s="1"/>
  <c r="B170" i="3" s="1"/>
  <c r="B174" i="3" s="1"/>
  <c r="B175" i="3" s="1"/>
  <c r="B176" i="3" s="1"/>
  <c r="B177" i="3" s="1"/>
  <c r="B178" i="3" s="1"/>
  <c r="B179" i="3" s="1"/>
  <c r="B180" i="3" s="1"/>
  <c r="B184" i="3" s="1"/>
  <c r="B185" i="3" s="1"/>
  <c r="B186" i="3" s="1"/>
  <c r="B187" i="3" s="1"/>
  <c r="B188" i="3" s="1"/>
  <c r="B189" i="3" s="1"/>
  <c r="B190" i="3" s="1"/>
  <c r="B194" i="3" s="1"/>
  <c r="B195" i="3" s="1"/>
  <c r="B196" i="3" s="1"/>
  <c r="B197" i="3" s="1"/>
  <c r="B198" i="3" s="1"/>
  <c r="B199" i="3" s="1"/>
  <c r="B200" i="3" s="1"/>
  <c r="B204" i="3" s="1"/>
  <c r="B205" i="3" s="1"/>
  <c r="B206" i="3" s="1"/>
  <c r="B207" i="3" s="1"/>
  <c r="B208" i="3" s="1"/>
  <c r="B209" i="3" s="1"/>
  <c r="B210" i="3" s="1"/>
  <c r="A15" i="7"/>
  <c r="A45" i="7" s="1"/>
  <c r="A14" i="7"/>
  <c r="A44" i="7" s="1"/>
  <c r="A13" i="7"/>
  <c r="A43" i="7" s="1"/>
  <c r="A12" i="7"/>
  <c r="A42" i="7" s="1"/>
  <c r="A11" i="7"/>
  <c r="A41" i="7" s="1"/>
  <c r="A10" i="7"/>
  <c r="A40" i="7" s="1"/>
  <c r="A9" i="7"/>
  <c r="A39" i="7" s="1"/>
  <c r="A8" i="7"/>
  <c r="A38" i="7" s="1"/>
  <c r="A7" i="7"/>
  <c r="A22" i="7" s="1"/>
  <c r="A37" i="7" l="1"/>
  <c r="A26" i="7"/>
  <c r="A30" i="7"/>
  <c r="A25" i="7"/>
  <c r="A29" i="7"/>
  <c r="A24" i="7"/>
  <c r="A28" i="7"/>
  <c r="A23" i="7"/>
  <c r="A27" i="7"/>
  <c r="X4" i="5" l="1"/>
  <c r="X19" i="5" s="1"/>
  <c r="X27" i="5" s="1"/>
  <c r="T4" i="5"/>
  <c r="U4" i="5"/>
  <c r="U19" i="5" s="1"/>
  <c r="U27" i="5" s="1"/>
  <c r="S4" i="5"/>
  <c r="V4" i="5"/>
  <c r="V19" i="5" s="1"/>
  <c r="V27" i="5" s="1"/>
  <c r="W4" i="5"/>
  <c r="CZ3" i="5" l="1"/>
  <c r="DG3" i="5"/>
  <c r="DA3" i="5"/>
  <c r="DE3" i="5" l="1"/>
  <c r="DD3" i="5"/>
  <c r="DF3" i="5"/>
  <c r="DI3" i="5"/>
  <c r="DC3" i="5"/>
  <c r="DH3" i="5"/>
  <c r="DK3" i="5"/>
  <c r="DB3" i="5"/>
  <c r="DJ3" i="5"/>
  <c r="DY2" i="5"/>
  <c r="DS2" i="5"/>
  <c r="DX2" i="5"/>
  <c r="DS4" i="5"/>
  <c r="DV4" i="5"/>
  <c r="DZ2" i="5"/>
  <c r="DW4" i="5"/>
  <c r="EA4" i="5"/>
  <c r="DT4" i="5"/>
  <c r="DZ4" i="5"/>
  <c r="DX4" i="5"/>
  <c r="EB2" i="5"/>
  <c r="DU4" i="5"/>
  <c r="EA2" i="5"/>
  <c r="ED2" i="5"/>
  <c r="DU2" i="5"/>
  <c r="DW2" i="5"/>
  <c r="DT2" i="5"/>
  <c r="EC2" i="5"/>
  <c r="DV2" i="5"/>
  <c r="EB4" i="5" l="1"/>
  <c r="DY4" i="5"/>
  <c r="EC4" i="5"/>
  <c r="ED4" i="5"/>
  <c r="EE3" i="5" l="1"/>
  <c r="D65" i="2"/>
  <c r="E65" i="2"/>
  <c r="F65" i="2"/>
  <c r="H65" i="2"/>
  <c r="E8" i="7"/>
  <c r="F8" i="7"/>
  <c r="G8" i="7"/>
  <c r="H8" i="7"/>
  <c r="I8" i="7"/>
  <c r="J8" i="7"/>
  <c r="K8" i="7"/>
  <c r="E23" i="7"/>
  <c r="F23" i="7"/>
  <c r="G23" i="7"/>
  <c r="H23" i="7"/>
  <c r="I23" i="7"/>
  <c r="J23" i="7"/>
  <c r="K23" i="7"/>
  <c r="E38" i="7"/>
  <c r="F38" i="7"/>
  <c r="G38" i="7"/>
  <c r="H38" i="7"/>
  <c r="I38" i="7"/>
  <c r="J38" i="7"/>
  <c r="K38" i="7"/>
  <c r="T8" i="7"/>
  <c r="U8" i="7"/>
  <c r="V8" i="7"/>
  <c r="W8" i="7"/>
  <c r="X8" i="7"/>
  <c r="Y8" i="7"/>
  <c r="Z8" i="7"/>
  <c r="T23" i="7"/>
  <c r="U23" i="7"/>
  <c r="V23" i="7"/>
  <c r="W23" i="7"/>
  <c r="X23" i="7"/>
  <c r="Y23" i="7"/>
  <c r="Z23" i="7"/>
  <c r="T38" i="7"/>
  <c r="U38" i="7"/>
  <c r="V38" i="7"/>
  <c r="W38" i="7"/>
  <c r="X38" i="7"/>
  <c r="Y38" i="7"/>
  <c r="Z38" i="7"/>
  <c r="E9" i="7"/>
  <c r="F9" i="7"/>
  <c r="I9" i="7"/>
  <c r="J9" i="7"/>
  <c r="F24" i="7"/>
  <c r="G24" i="7"/>
  <c r="J24" i="7"/>
  <c r="K24" i="7"/>
  <c r="G39" i="7"/>
  <c r="H39" i="7"/>
  <c r="K39" i="7"/>
  <c r="T9" i="7"/>
  <c r="W9" i="7"/>
  <c r="X9" i="7"/>
  <c r="T24" i="7"/>
  <c r="U24" i="7"/>
  <c r="X24" i="7"/>
  <c r="Y24" i="7"/>
  <c r="U39" i="7"/>
  <c r="V39" i="7"/>
  <c r="Y39" i="7"/>
  <c r="Z39" i="7"/>
  <c r="E10" i="7"/>
  <c r="G10" i="7"/>
  <c r="H10" i="7"/>
  <c r="I10" i="7"/>
  <c r="J10" i="7"/>
  <c r="K10" i="7"/>
  <c r="E25" i="7"/>
  <c r="F25" i="7"/>
  <c r="G25" i="7"/>
  <c r="H25" i="7"/>
  <c r="I25" i="7"/>
  <c r="J25" i="7"/>
  <c r="K25" i="7"/>
  <c r="E40" i="7"/>
  <c r="F40" i="7"/>
  <c r="H40" i="7"/>
  <c r="I40" i="7"/>
  <c r="J40" i="7"/>
  <c r="K40" i="7"/>
  <c r="T10" i="7"/>
  <c r="U10" i="7"/>
  <c r="W10" i="7"/>
  <c r="Y10" i="7"/>
  <c r="Z10" i="7"/>
  <c r="T25" i="7"/>
  <c r="U25" i="7"/>
  <c r="V25" i="7"/>
  <c r="W25" i="7"/>
  <c r="X25" i="7"/>
  <c r="Y25" i="7"/>
  <c r="Z25" i="7"/>
  <c r="T40" i="7"/>
  <c r="U40" i="7"/>
  <c r="W40" i="7"/>
  <c r="Y40" i="7"/>
  <c r="Z40" i="7"/>
  <c r="E11" i="7"/>
  <c r="F11" i="7"/>
  <c r="G11" i="7"/>
  <c r="I11" i="7"/>
  <c r="J11" i="7"/>
  <c r="K11" i="7"/>
  <c r="E26" i="7"/>
  <c r="F26" i="7"/>
  <c r="G26" i="7"/>
  <c r="H26" i="7"/>
  <c r="J26" i="7"/>
  <c r="K26" i="7"/>
  <c r="G41" i="7"/>
  <c r="H41" i="7"/>
  <c r="J41" i="7"/>
  <c r="K41" i="7"/>
  <c r="T11" i="7"/>
  <c r="U11" i="7"/>
  <c r="W11" i="7"/>
  <c r="X11" i="7"/>
  <c r="Y11" i="7"/>
  <c r="Z11" i="7"/>
  <c r="T26" i="7"/>
  <c r="U26" i="7"/>
  <c r="V26" i="7"/>
  <c r="W26" i="7"/>
  <c r="X26" i="7"/>
  <c r="Y26" i="7"/>
  <c r="Z26" i="7"/>
  <c r="T41" i="7"/>
  <c r="U41" i="7"/>
  <c r="W41" i="7"/>
  <c r="X41" i="7"/>
  <c r="Z41" i="7"/>
  <c r="F12" i="7"/>
  <c r="H12" i="7"/>
  <c r="J12" i="7"/>
  <c r="E27" i="7"/>
  <c r="G27" i="7"/>
  <c r="I27" i="7"/>
  <c r="K27" i="7"/>
  <c r="G42" i="7"/>
  <c r="H42" i="7"/>
  <c r="J42" i="7"/>
  <c r="K42" i="7"/>
  <c r="T12" i="7"/>
  <c r="W12" i="7"/>
  <c r="Z12" i="7"/>
  <c r="T27" i="7"/>
  <c r="U27" i="7"/>
  <c r="V27" i="7"/>
  <c r="X27" i="7"/>
  <c r="Z27" i="7"/>
  <c r="T42" i="7"/>
  <c r="U42" i="7"/>
  <c r="X42" i="7"/>
  <c r="Z42" i="7"/>
  <c r="E13" i="7"/>
  <c r="F13" i="7"/>
  <c r="G13" i="7"/>
  <c r="H13" i="7"/>
  <c r="J13" i="7"/>
  <c r="F28" i="7"/>
  <c r="G28" i="7"/>
  <c r="H28" i="7"/>
  <c r="J28" i="7"/>
  <c r="K28" i="7"/>
  <c r="F43" i="7"/>
  <c r="G43" i="7"/>
  <c r="H43" i="7"/>
  <c r="J43" i="7"/>
  <c r="T13" i="7"/>
  <c r="U13" i="7"/>
  <c r="W13" i="7"/>
  <c r="Y13" i="7"/>
  <c r="Z13" i="7"/>
  <c r="T28" i="7"/>
  <c r="U28" i="7"/>
  <c r="V28" i="7"/>
  <c r="W28" i="7"/>
  <c r="X28" i="7"/>
  <c r="Y28" i="7"/>
  <c r="Z28" i="7"/>
  <c r="T43" i="7"/>
  <c r="U43" i="7"/>
  <c r="V43" i="7"/>
  <c r="W43" i="7"/>
  <c r="X43" i="7"/>
  <c r="Y43" i="7"/>
  <c r="Z43" i="7"/>
  <c r="E14" i="7"/>
  <c r="F14" i="7"/>
  <c r="G14" i="7"/>
  <c r="I14" i="7"/>
  <c r="J14" i="7"/>
  <c r="K14" i="7"/>
  <c r="E29" i="7"/>
  <c r="F29" i="7"/>
  <c r="G29" i="7"/>
  <c r="H29" i="7"/>
  <c r="I29" i="7"/>
  <c r="J29" i="7"/>
  <c r="K29" i="7"/>
  <c r="E44" i="7"/>
  <c r="F44" i="7"/>
  <c r="G44" i="7"/>
  <c r="H44" i="7"/>
  <c r="I44" i="7"/>
  <c r="J44" i="7"/>
  <c r="K44" i="7"/>
  <c r="T14" i="7"/>
  <c r="U14" i="7"/>
  <c r="W14" i="7"/>
  <c r="X14" i="7"/>
  <c r="Z14" i="7"/>
  <c r="T29" i="7"/>
  <c r="V29" i="7"/>
  <c r="W29" i="7"/>
  <c r="X29" i="7"/>
  <c r="Z29" i="7"/>
  <c r="T44" i="7"/>
  <c r="U44" i="7"/>
  <c r="X44" i="7"/>
  <c r="Y44" i="7"/>
  <c r="Z44" i="7"/>
  <c r="Y14" i="7"/>
  <c r="Y29" i="7"/>
  <c r="U29" i="7"/>
  <c r="V42" i="7"/>
  <c r="Y27" i="7"/>
  <c r="W27" i="7"/>
  <c r="X12" i="7"/>
  <c r="U12" i="7"/>
  <c r="I42" i="7"/>
  <c r="K12" i="7"/>
  <c r="I12" i="7"/>
  <c r="G12" i="7"/>
  <c r="E12" i="7"/>
  <c r="Y41" i="7"/>
  <c r="F41" i="7"/>
  <c r="F10" i="7"/>
  <c r="V44" i="7"/>
  <c r="K43" i="7"/>
  <c r="K13" i="7"/>
  <c r="I13" i="7"/>
  <c r="Y42" i="7"/>
  <c r="W42" i="7"/>
  <c r="F27" i="7"/>
  <c r="V12" i="7"/>
  <c r="I26" i="7"/>
  <c r="H11" i="7"/>
  <c r="X10" i="7"/>
  <c r="X40" i="7"/>
  <c r="V40" i="7"/>
  <c r="V10" i="7"/>
  <c r="G40" i="7"/>
  <c r="I41" i="7"/>
  <c r="E41" i="7"/>
  <c r="V41" i="7"/>
  <c r="V11" i="7"/>
  <c r="Y12" i="7"/>
  <c r="F42" i="7"/>
  <c r="J27" i="7"/>
  <c r="E42" i="7"/>
  <c r="V13" i="7"/>
  <c r="I28" i="7"/>
  <c r="E28" i="7"/>
  <c r="X13" i="7"/>
  <c r="I43" i="7"/>
  <c r="E43" i="7"/>
  <c r="V14" i="7"/>
  <c r="EE4" i="5" l="1"/>
  <c r="EE5" i="5" s="1"/>
  <c r="H14" i="7"/>
  <c r="W44" i="7"/>
  <c r="H27" i="7"/>
  <c r="X39" i="7"/>
  <c r="T39" i="7"/>
  <c r="W24" i="7"/>
  <c r="Z9" i="7"/>
  <c r="V9" i="7"/>
  <c r="J39" i="7"/>
  <c r="F39" i="7"/>
  <c r="I24" i="7"/>
  <c r="E24" i="7"/>
  <c r="H9" i="7"/>
  <c r="W39" i="7"/>
  <c r="Z24" i="7"/>
  <c r="V24" i="7"/>
  <c r="Y9" i="7"/>
  <c r="U9" i="7"/>
  <c r="I39" i="7"/>
  <c r="E39" i="7"/>
  <c r="H24" i="7"/>
  <c r="K9" i="7"/>
  <c r="G9" i="7"/>
  <c r="DX3" i="5" l="1"/>
  <c r="DT3" i="5"/>
  <c r="AC39" i="7"/>
  <c r="DV3" i="5" l="1"/>
  <c r="DV5" i="5" s="1"/>
  <c r="DW3" i="5"/>
  <c r="EC3" i="5"/>
  <c r="ED3" i="5"/>
  <c r="DY3" i="5"/>
  <c r="DS3" i="5"/>
  <c r="DS5" i="5" s="1"/>
  <c r="DT5" i="5"/>
  <c r="DX5" i="5"/>
  <c r="AB39" i="7"/>
  <c r="AF39" i="7"/>
  <c r="AD39" i="7"/>
  <c r="AE39" i="7"/>
  <c r="AA39" i="7"/>
  <c r="AG39" i="7"/>
  <c r="AG43" i="7"/>
  <c r="AA43" i="7"/>
  <c r="AD43" i="7"/>
  <c r="AC43" i="7"/>
  <c r="AE43" i="7"/>
  <c r="AF43" i="7"/>
  <c r="AB43" i="7"/>
  <c r="AE42" i="7"/>
  <c r="AD42" i="7"/>
  <c r="AG42" i="7"/>
  <c r="AB42" i="7"/>
  <c r="AA42" i="7"/>
  <c r="AF42" i="7"/>
  <c r="AC42" i="7"/>
  <c r="AF38" i="7"/>
  <c r="AC38" i="7"/>
  <c r="AD38" i="7"/>
  <c r="AA38" i="7"/>
  <c r="AG38" i="7"/>
  <c r="AC41" i="7"/>
  <c r="AE41" i="7"/>
  <c r="AB41" i="7"/>
  <c r="AA41" i="7"/>
  <c r="AF41" i="7"/>
  <c r="AD41" i="7"/>
  <c r="AG41" i="7"/>
  <c r="EB3" i="5" l="1"/>
  <c r="EB5" i="5" s="1"/>
  <c r="EA3" i="5"/>
  <c r="EA5" i="5" s="1"/>
  <c r="DZ3" i="5"/>
  <c r="DZ5" i="5" s="1"/>
  <c r="DU3" i="5"/>
  <c r="DU5" i="5" s="1"/>
  <c r="EC5" i="5"/>
  <c r="AA27" i="7"/>
  <c r="AB28" i="7"/>
  <c r="AD14" i="7"/>
  <c r="AF26" i="7"/>
  <c r="ED5" i="5"/>
  <c r="DY5" i="5"/>
  <c r="DW5" i="5"/>
  <c r="L38" i="7"/>
  <c r="L25" i="7"/>
  <c r="AC10" i="7"/>
  <c r="L40" i="7"/>
  <c r="AC25" i="7"/>
  <c r="AF25" i="7"/>
  <c r="AB25" i="7"/>
  <c r="Q25" i="7"/>
  <c r="AA25" i="7"/>
  <c r="Q40" i="7"/>
  <c r="O25" i="7"/>
  <c r="AF10" i="7"/>
  <c r="AE10" i="7"/>
  <c r="AA10" i="7"/>
  <c r="M25" i="7"/>
  <c r="M40" i="7"/>
  <c r="AD25" i="7"/>
  <c r="AB10" i="7"/>
  <c r="O40" i="7"/>
  <c r="R25" i="7"/>
  <c r="R40" i="7"/>
  <c r="P25" i="7"/>
  <c r="AG10" i="7"/>
  <c r="P40" i="7"/>
  <c r="AG25" i="7"/>
  <c r="N40" i="7"/>
  <c r="AE25" i="7"/>
  <c r="N25" i="7"/>
  <c r="AB38" i="7"/>
  <c r="AE38" i="7"/>
  <c r="AF37" i="7"/>
  <c r="AA37" i="7"/>
  <c r="AE37" i="7"/>
  <c r="AC37" i="7"/>
  <c r="AB37" i="7"/>
  <c r="AG37" i="7"/>
  <c r="AD37" i="7"/>
  <c r="AA40" i="7"/>
  <c r="AG40" i="7"/>
  <c r="AC40" i="7"/>
  <c r="AE40" i="7"/>
  <c r="AB40" i="7"/>
  <c r="AD40" i="7"/>
  <c r="AF40" i="7"/>
  <c r="AA44" i="7"/>
  <c r="AC44" i="7"/>
  <c r="AD44" i="7"/>
  <c r="AB44" i="7"/>
  <c r="AE44" i="7"/>
  <c r="AG44" i="7"/>
  <c r="AF44" i="7"/>
  <c r="O43" i="7" l="1"/>
  <c r="N39" i="7"/>
  <c r="P28" i="7"/>
  <c r="AE28" i="7"/>
  <c r="AC13" i="7"/>
  <c r="N28" i="7"/>
  <c r="AE13" i="7"/>
  <c r="AG13" i="7"/>
  <c r="AF28" i="7"/>
  <c r="O28" i="7"/>
  <c r="Q27" i="7"/>
  <c r="O29" i="7"/>
  <c r="AF27" i="7"/>
  <c r="AC12" i="7"/>
  <c r="AE12" i="7"/>
  <c r="M42" i="7"/>
  <c r="Q24" i="7"/>
  <c r="AE9" i="7"/>
  <c r="Q39" i="7"/>
  <c r="AC24" i="7"/>
  <c r="M39" i="7"/>
  <c r="AD9" i="7"/>
  <c r="M27" i="7"/>
  <c r="N27" i="7"/>
  <c r="R27" i="7"/>
  <c r="P42" i="7"/>
  <c r="AD27" i="7"/>
  <c r="L27" i="7"/>
  <c r="AE27" i="7"/>
  <c r="L42" i="7"/>
  <c r="O27" i="7"/>
  <c r="AF12" i="7"/>
  <c r="AD12" i="7"/>
  <c r="AB27" i="7"/>
  <c r="AG27" i="7"/>
  <c r="Q42" i="7"/>
  <c r="AG12" i="7"/>
  <c r="AC27" i="7"/>
  <c r="AA12" i="7"/>
  <c r="R42" i="7"/>
  <c r="N42" i="7"/>
  <c r="AB12" i="7"/>
  <c r="P27" i="7"/>
  <c r="O42" i="7"/>
  <c r="AG9" i="7"/>
  <c r="AA9" i="7"/>
  <c r="P24" i="7"/>
  <c r="R24" i="7"/>
  <c r="R39" i="7"/>
  <c r="AB24" i="7"/>
  <c r="AA13" i="7"/>
  <c r="AA28" i="7"/>
  <c r="Q43" i="7"/>
  <c r="AD13" i="7"/>
  <c r="O39" i="7"/>
  <c r="AF9" i="7"/>
  <c r="M24" i="7"/>
  <c r="O24" i="7"/>
  <c r="AB9" i="7"/>
  <c r="AD24" i="7"/>
  <c r="L43" i="7"/>
  <c r="R43" i="7"/>
  <c r="P43" i="7"/>
  <c r="R28" i="7"/>
  <c r="AC28" i="7"/>
  <c r="L28" i="7"/>
  <c r="M43" i="7"/>
  <c r="L24" i="7"/>
  <c r="N24" i="7"/>
  <c r="AA24" i="7"/>
  <c r="AG24" i="7"/>
  <c r="AC9" i="7"/>
  <c r="L39" i="7"/>
  <c r="AF24" i="7"/>
  <c r="AE24" i="7"/>
  <c r="AF13" i="7"/>
  <c r="M28" i="7"/>
  <c r="N43" i="7"/>
  <c r="AD28" i="7"/>
  <c r="AG28" i="7"/>
  <c r="AB13" i="7"/>
  <c r="Q28" i="7"/>
  <c r="AA29" i="7"/>
  <c r="N29" i="7"/>
  <c r="AE14" i="7"/>
  <c r="R29" i="7"/>
  <c r="AA14" i="7"/>
  <c r="Q44" i="7"/>
  <c r="AB14" i="7"/>
  <c r="O44" i="7"/>
  <c r="AF14" i="7"/>
  <c r="AC14" i="7"/>
  <c r="Q29" i="7"/>
  <c r="P44" i="7"/>
  <c r="L29" i="7"/>
  <c r="AG29" i="7"/>
  <c r="P29" i="7"/>
  <c r="AE29" i="7"/>
  <c r="N44" i="7"/>
  <c r="R44" i="7"/>
  <c r="AF29" i="7"/>
  <c r="AB29" i="7"/>
  <c r="AD29" i="7"/>
  <c r="M29" i="7"/>
  <c r="L44" i="7"/>
  <c r="AG14" i="7"/>
  <c r="AC29" i="7"/>
  <c r="M44" i="7"/>
  <c r="R22" i="7"/>
  <c r="R41" i="7"/>
  <c r="AE26" i="7"/>
  <c r="P39" i="7"/>
  <c r="AG26" i="7"/>
  <c r="AB26" i="7"/>
  <c r="AB11" i="7"/>
  <c r="N41" i="7"/>
  <c r="L41" i="7"/>
  <c r="AA11" i="7"/>
  <c r="P41" i="7"/>
  <c r="AC11" i="7"/>
  <c r="AD26" i="7"/>
  <c r="AG11" i="7"/>
  <c r="N26" i="7"/>
  <c r="O26" i="7"/>
  <c r="P26" i="7"/>
  <c r="R26" i="7"/>
  <c r="M26" i="7"/>
  <c r="O41" i="7"/>
  <c r="Q26" i="7"/>
  <c r="AD11" i="7"/>
  <c r="AE11" i="7"/>
  <c r="AC26" i="7"/>
  <c r="M41" i="7"/>
  <c r="AF11" i="7"/>
  <c r="AA26" i="7"/>
  <c r="L26" i="7"/>
  <c r="Q41" i="7"/>
  <c r="AA23" i="7"/>
  <c r="AF23" i="7"/>
  <c r="AE8" i="7"/>
  <c r="AB7" i="7"/>
  <c r="P22" i="7"/>
  <c r="Q37" i="7"/>
  <c r="O37" i="7"/>
  <c r="AE7" i="7"/>
  <c r="AD22" i="7"/>
  <c r="M22" i="7"/>
  <c r="R38" i="7"/>
  <c r="M38" i="7"/>
  <c r="AC23" i="7"/>
  <c r="AC8" i="7"/>
  <c r="N38" i="7"/>
  <c r="AB8" i="7"/>
  <c r="AD23" i="7"/>
  <c r="AD8" i="7"/>
  <c r="O38" i="7"/>
  <c r="AE23" i="7"/>
  <c r="AA8" i="7"/>
  <c r="P38" i="7"/>
  <c r="AB23" i="7"/>
  <c r="AF8" i="7"/>
  <c r="Q38" i="7"/>
  <c r="AG23" i="7"/>
  <c r="AG8" i="7"/>
  <c r="AE22" i="7"/>
  <c r="R37" i="7"/>
  <c r="P37" i="7"/>
  <c r="AA7" i="7"/>
  <c r="N22" i="7"/>
  <c r="L22" i="7"/>
  <c r="AD7" i="7"/>
  <c r="AF22" i="7"/>
  <c r="AG7" i="7"/>
  <c r="AC7" i="7"/>
  <c r="AF7" i="7"/>
  <c r="AA22" i="7"/>
  <c r="N37" i="7"/>
  <c r="L37" i="7"/>
  <c r="Q22" i="7"/>
  <c r="AG22" i="7"/>
  <c r="AC22" i="7"/>
  <c r="O22" i="7"/>
  <c r="AB22" i="7"/>
  <c r="M37" i="7"/>
  <c r="AD10" i="7"/>
  <c r="AA46" i="7"/>
  <c r="AG46" i="7"/>
  <c r="AB46" i="7"/>
  <c r="AF46" i="7"/>
  <c r="AD46" i="7"/>
  <c r="AC46" i="7"/>
  <c r="AE46" i="7"/>
  <c r="Q23" i="7" l="1"/>
  <c r="Q31" i="7" s="1"/>
  <c r="P23" i="7"/>
  <c r="P31" i="7" s="1"/>
  <c r="O23" i="7"/>
  <c r="O31" i="7" s="1"/>
  <c r="N23" i="7"/>
  <c r="N31" i="7" s="1"/>
  <c r="R23" i="7"/>
  <c r="R31" i="7" s="1"/>
  <c r="M23" i="7"/>
  <c r="M31" i="7" s="1"/>
  <c r="L23" i="7"/>
  <c r="L31" i="7" s="1"/>
  <c r="AB31" i="7"/>
  <c r="R46" i="7"/>
  <c r="L46" i="7"/>
  <c r="AF31" i="7"/>
  <c r="AE16" i="7"/>
  <c r="AA31" i="7"/>
  <c r="AA16" i="7"/>
  <c r="AC31" i="7"/>
  <c r="AD31" i="7"/>
  <c r="AE31" i="7"/>
  <c r="AB16" i="7"/>
  <c r="Q46" i="7"/>
  <c r="M46" i="7"/>
  <c r="N46" i="7"/>
  <c r="AD16" i="7"/>
  <c r="AG31" i="7"/>
  <c r="AC16" i="7"/>
  <c r="P46" i="7"/>
  <c r="O46" i="7"/>
  <c r="AF16" i="7"/>
  <c r="AG16" i="7"/>
  <c r="N16" i="7" l="1"/>
  <c r="O16" i="7"/>
  <c r="L16" i="7"/>
  <c r="P16" i="7"/>
  <c r="R16" i="7"/>
  <c r="M16" i="7"/>
  <c r="Q16" i="7"/>
  <c r="H7" i="3" l="1"/>
  <c r="T37" i="7"/>
  <c r="T46" i="7" s="1"/>
  <c r="Z37" i="7"/>
  <c r="Z46" i="7" s="1"/>
  <c r="T22" i="7"/>
  <c r="T31" i="7" s="1"/>
  <c r="V22" i="7"/>
  <c r="V31" i="7" s="1"/>
  <c r="W22" i="7"/>
  <c r="W31" i="7" s="1"/>
  <c r="Z22" i="7"/>
  <c r="Z31" i="7" s="1"/>
  <c r="G37" i="7"/>
  <c r="G46" i="7" s="1"/>
  <c r="X38" i="6"/>
  <c r="Y7" i="7"/>
  <c r="Y16" i="7" s="1"/>
  <c r="K22" i="7"/>
  <c r="K31" i="7" s="1"/>
  <c r="I37" i="7"/>
  <c r="I46" i="7" s="1"/>
  <c r="W7" i="7"/>
  <c r="W16" i="7" s="1"/>
  <c r="X7" i="7"/>
  <c r="X16" i="7" s="1"/>
  <c r="F37" i="7"/>
  <c r="F46" i="7" s="1"/>
  <c r="H37" i="7"/>
  <c r="H46" i="7" s="1"/>
  <c r="Y37" i="7"/>
  <c r="Y46" i="7" s="1"/>
  <c r="AN38" i="6"/>
  <c r="AN58" i="6" s="1"/>
  <c r="AK10" i="6"/>
  <c r="AK30" i="6" s="1"/>
  <c r="F22" i="7"/>
  <c r="F31" i="7" s="1"/>
  <c r="G7" i="7"/>
  <c r="G16" i="7" s="1"/>
  <c r="U22" i="7"/>
  <c r="U31" i="7" s="1"/>
  <c r="E7" i="7"/>
  <c r="E16" i="7" s="1"/>
  <c r="AI38" i="6"/>
  <c r="AI58" i="6" s="1"/>
  <c r="U37" i="7"/>
  <c r="U46" i="7" s="1"/>
  <c r="X22" i="7"/>
  <c r="X31" i="7" s="1"/>
  <c r="E37" i="7"/>
  <c r="E46" i="7" s="1"/>
  <c r="W38" i="6"/>
  <c r="K37" i="7"/>
  <c r="K46" i="7" s="1"/>
  <c r="J37" i="7"/>
  <c r="J46" i="7" s="1"/>
  <c r="I22" i="7"/>
  <c r="I31" i="7" s="1"/>
  <c r="AM10" i="6"/>
  <c r="AM30" i="6" s="1"/>
  <c r="U7" i="7"/>
  <c r="U16" i="7" s="1"/>
  <c r="AG38" i="6"/>
  <c r="AG10" i="6" s="1"/>
  <c r="AG30" i="6" s="1"/>
  <c r="J7" i="7"/>
  <c r="J16" i="7" s="1"/>
  <c r="AJ38" i="6"/>
  <c r="AJ58" i="6" s="1"/>
  <c r="I7" i="7"/>
  <c r="I16" i="7" s="1"/>
  <c r="AL10" i="6"/>
  <c r="AL30" i="6" s="1"/>
  <c r="W37" i="7"/>
  <c r="W46" i="7" s="1"/>
  <c r="E38" i="6"/>
  <c r="E10" i="6" s="1"/>
  <c r="AP58" i="6"/>
  <c r="AE58" i="6"/>
  <c r="V37" i="7"/>
  <c r="V46" i="7" s="1"/>
  <c r="B38" i="6"/>
  <c r="J22" i="7"/>
  <c r="J31" i="7" s="1"/>
  <c r="I38" i="6"/>
  <c r="I58" i="6" s="1"/>
  <c r="AO58" i="6"/>
  <c r="V7" i="7"/>
  <c r="V16" i="7" s="1"/>
  <c r="F7" i="7"/>
  <c r="F16" i="7" s="1"/>
  <c r="H7" i="7"/>
  <c r="H16" i="7" s="1"/>
  <c r="AF10" i="6"/>
  <c r="AF30" i="6" s="1"/>
  <c r="R38" i="6"/>
  <c r="AD10" i="6"/>
  <c r="AD30" i="6" s="1"/>
  <c r="C38" i="6"/>
  <c r="L38" i="6"/>
  <c r="L10" i="6" s="1"/>
  <c r="L30" i="6" s="1"/>
  <c r="AC38" i="6"/>
  <c r="AC58" i="6" s="1"/>
  <c r="G22" i="7"/>
  <c r="G31" i="7" s="1"/>
  <c r="J38" i="6"/>
  <c r="J10" i="6" s="1"/>
  <c r="Y38" i="6"/>
  <c r="X37" i="7"/>
  <c r="X46" i="7" s="1"/>
  <c r="Y22" i="7"/>
  <c r="Y31" i="7" s="1"/>
  <c r="AH38" i="6"/>
  <c r="AH58" i="6" s="1"/>
  <c r="Z7" i="7"/>
  <c r="Z16" i="7" s="1"/>
  <c r="K7" i="7"/>
  <c r="K16" i="7" s="1"/>
  <c r="K38" i="6"/>
  <c r="K58" i="6" s="1"/>
  <c r="H22" i="7"/>
  <c r="H31" i="7" s="1"/>
  <c r="D38" i="6"/>
  <c r="T7" i="7"/>
  <c r="T16" i="7" s="1"/>
  <c r="E22" i="7"/>
  <c r="E31" i="7" s="1"/>
  <c r="S38" i="6"/>
  <c r="C58" i="6" l="1"/>
  <c r="C10" i="6"/>
  <c r="E8" i="15"/>
  <c r="E20" i="15" s="1"/>
  <c r="S10" i="6"/>
  <c r="T58" i="6"/>
  <c r="T10" i="6"/>
  <c r="T30" i="6" s="1"/>
  <c r="R58" i="6"/>
  <c r="R10" i="6"/>
  <c r="B58" i="6"/>
  <c r="AT38" i="6"/>
  <c r="X58" i="6"/>
  <c r="X10" i="6"/>
  <c r="X30" i="6" s="1"/>
  <c r="Y58" i="6"/>
  <c r="Y10" i="6"/>
  <c r="Y30" i="6" s="1"/>
  <c r="W10" i="6"/>
  <c r="W30" i="6" s="1"/>
  <c r="N26" i="15"/>
  <c r="C26" i="15"/>
  <c r="C39" i="15" s="1"/>
  <c r="AE10" i="6"/>
  <c r="AE30" i="6" s="1"/>
  <c r="E30" i="6"/>
  <c r="J30" i="6"/>
  <c r="L58" i="6"/>
  <c r="K10" i="6"/>
  <c r="AC10" i="6"/>
  <c r="AC30" i="6" s="1"/>
  <c r="AJ10" i="6"/>
  <c r="AJ30" i="6" s="1"/>
  <c r="J58" i="6"/>
  <c r="B10" i="6"/>
  <c r="AK58" i="6"/>
  <c r="H38" i="6"/>
  <c r="H10" i="6" s="1"/>
  <c r="H8" i="15" s="1"/>
  <c r="AL58" i="6"/>
  <c r="AH10" i="6"/>
  <c r="AH30" i="6" s="1"/>
  <c r="W58" i="6"/>
  <c r="AO10" i="6"/>
  <c r="AO30" i="6" s="1"/>
  <c r="D58" i="6"/>
  <c r="I10" i="6"/>
  <c r="B26" i="15" s="1"/>
  <c r="E58" i="6"/>
  <c r="AD58" i="6"/>
  <c r="AM58" i="6"/>
  <c r="H39" i="15"/>
  <c r="S58" i="6"/>
  <c r="D10" i="6"/>
  <c r="AP10" i="6"/>
  <c r="AP30" i="6" s="1"/>
  <c r="AF58" i="6"/>
  <c r="AG58" i="6"/>
  <c r="AI10" i="6"/>
  <c r="AI30" i="6" s="1"/>
  <c r="AN10" i="6"/>
  <c r="AN30" i="6" s="1"/>
  <c r="R59" i="6" l="1"/>
  <c r="F26" i="15"/>
  <c r="F39" i="15" s="1"/>
  <c r="R1" i="6"/>
  <c r="G26" i="15"/>
  <c r="G39" i="15" s="1"/>
  <c r="S1" i="6"/>
  <c r="S30" i="6"/>
  <c r="H58" i="6"/>
  <c r="D8" i="15"/>
  <c r="D20" i="15" s="1"/>
  <c r="C8" i="15"/>
  <c r="C20" i="15" s="1"/>
  <c r="B8" i="15"/>
  <c r="B39" i="15"/>
  <c r="B30" i="6"/>
  <c r="V30" i="6"/>
  <c r="I30" i="6"/>
  <c r="I31" i="6" s="1"/>
  <c r="K30" i="6"/>
  <c r="D30" i="6"/>
  <c r="G38" i="6"/>
  <c r="G10" i="6" s="1"/>
  <c r="F38" i="6"/>
  <c r="F10" i="6" s="1"/>
  <c r="R30" i="6"/>
  <c r="P26" i="15" l="1"/>
  <c r="B20" i="15"/>
  <c r="R31" i="6"/>
  <c r="T1" i="6"/>
  <c r="T5" i="6" s="1"/>
  <c r="G8" i="15"/>
  <c r="G20" i="15" s="1"/>
  <c r="H20" i="15" s="1"/>
  <c r="F8" i="15"/>
  <c r="F20" i="15" s="1"/>
  <c r="AR38" i="6"/>
  <c r="AR10" i="6" s="1"/>
  <c r="F58" i="6"/>
  <c r="G30" i="6"/>
  <c r="H30" i="6" s="1"/>
  <c r="G58" i="6"/>
  <c r="AR58" i="6" l="1"/>
  <c r="AR80" i="6" l="1"/>
  <c r="F80" i="6"/>
  <c r="C86" i="6"/>
  <c r="C24" i="6"/>
  <c r="C30" i="6" l="1"/>
  <c r="AR86" i="6"/>
  <c r="AR24" i="6"/>
  <c r="AR30" i="6" s="1"/>
  <c r="F86" i="6"/>
  <c r="H86" i="6" s="1"/>
  <c r="F24" i="6"/>
  <c r="F30" i="6" l="1"/>
</calcChain>
</file>

<file path=xl/sharedStrings.xml><?xml version="1.0" encoding="utf-8"?>
<sst xmlns="http://schemas.openxmlformats.org/spreadsheetml/2006/main" count="2463" uniqueCount="249">
  <si>
    <t>______________________________________________________________________________________________________________________________________________________________________________________________________________</t>
  </si>
  <si>
    <t>Trailers</t>
  </si>
  <si>
    <t>Date</t>
  </si>
  <si>
    <t xml:space="preserve">  Ramp</t>
  </si>
  <si>
    <t>counted</t>
  </si>
  <si>
    <t>Hour</t>
  </si>
  <si>
    <t>Total</t>
  </si>
  <si>
    <t>Mon</t>
  </si>
  <si>
    <t>Wahluke</t>
  </si>
  <si>
    <t>Vernita</t>
  </si>
  <si>
    <t>Tue</t>
  </si>
  <si>
    <t>Wed</t>
  </si>
  <si>
    <t>Thu</t>
  </si>
  <si>
    <t>Fri</t>
  </si>
  <si>
    <t>Sat</t>
  </si>
  <si>
    <t>Sun</t>
  </si>
  <si>
    <t/>
  </si>
  <si>
    <t>Table 1.  Expansion factors converting trailer counts to estimates of total boat angling effort (boat trips)</t>
  </si>
  <si>
    <t>for the fall chinook sport fishery on the Hanford Reach of the Columbia River.  The expansion factors</t>
  </si>
  <si>
    <t>are based on 1994 dawn-to-dusk trailer count and aerial boat count data.</t>
  </si>
  <si>
    <t>______________________________________________________________________________________________________________________________________________________________________________________________________</t>
  </si>
  <si>
    <t>( B )</t>
  </si>
  <si>
    <t>Expansion converting trailer counts</t>
  </si>
  <si>
    <t>to daily peak trailer counts</t>
  </si>
  <si>
    <t>____________________________________________________________________________________________________________</t>
  </si>
  <si>
    <t xml:space="preserve">      Vernita ramps</t>
  </si>
  <si>
    <t>Month</t>
  </si>
  <si>
    <t>___________________________________________________________________</t>
  </si>
  <si>
    <t>Ringold &amp;</t>
  </si>
  <si>
    <t>Weekday</t>
  </si>
  <si>
    <t>Weekend</t>
  </si>
  <si>
    <t xml:space="preserve"> Wahluke</t>
  </si>
  <si>
    <t>( A ) Expansion for missing counts</t>
  </si>
  <si>
    <t>__________________________________</t>
  </si>
  <si>
    <t>September</t>
  </si>
  <si>
    <t>Bridge</t>
  </si>
  <si>
    <t>x  rough count</t>
  </si>
  <si>
    <t>7 am</t>
  </si>
  <si>
    <t>Rough</t>
  </si>
  <si>
    <t>x  bridge count</t>
  </si>
  <si>
    <t>8 am</t>
  </si>
  <si>
    <t>x  Ringold count</t>
  </si>
  <si>
    <t>9 am</t>
  </si>
  <si>
    <t>Ringold</t>
  </si>
  <si>
    <t>x  Wahluke count</t>
  </si>
  <si>
    <t>10am</t>
  </si>
  <si>
    <t>_____________________________________________________________________________________________________________________________________</t>
  </si>
  <si>
    <t>11am</t>
  </si>
  <si>
    <t>noon</t>
  </si>
  <si>
    <t>1 pm</t>
  </si>
  <si>
    <t>October</t>
  </si>
  <si>
    <t>( C )</t>
  </si>
  <si>
    <t>Expansion of the peak trailer count</t>
  </si>
  <si>
    <t>( D )</t>
  </si>
  <si>
    <t>Expansion of the peak</t>
  </si>
  <si>
    <t>to the peak boat count for the river</t>
  </si>
  <si>
    <t>boat count to the day's</t>
  </si>
  <si>
    <t>from RM342 to Priest Rapids Dam</t>
  </si>
  <si>
    <t>total boat trips</t>
  </si>
  <si>
    <t>_______________________________________________________________________________________________________________________________________</t>
  </si>
  <si>
    <t>Ramps</t>
  </si>
  <si>
    <t xml:space="preserve">            Ramps</t>
  </si>
  <si>
    <t xml:space="preserve">  Vernita</t>
  </si>
  <si>
    <t>Wahluke,</t>
  </si>
  <si>
    <t xml:space="preserve"> Ringold</t>
  </si>
  <si>
    <t>Number of</t>
  </si>
  <si>
    <t>bridge &amp;</t>
  </si>
  <si>
    <t xml:space="preserve">  sampler</t>
  </si>
  <si>
    <t>Sample</t>
  </si>
  <si>
    <t>Week</t>
  </si>
  <si>
    <t xml:space="preserve">   rough</t>
  </si>
  <si>
    <t xml:space="preserve">     B&amp;R</t>
  </si>
  <si>
    <t>Vern B&amp;R</t>
  </si>
  <si>
    <t>days/week</t>
  </si>
  <si>
    <t xml:space="preserve">    rate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</si>
  <si>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</si>
  <si>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</si>
  <si>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</si>
  <si>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</si>
  <si>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</si>
  <si>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</si>
  <si>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</si>
  <si>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</si>
  <si>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</si>
  <si>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</si>
  <si>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Average</t>
  </si>
  <si>
    <t>Calculation of daily angling effort (angling boats):</t>
  </si>
  <si>
    <t>(Trailer count) x ( A ) (if necessary) x ( B ) x ( C ) x ( D )</t>
  </si>
  <si>
    <t>Estimated</t>
  </si>
  <si>
    <t>Day</t>
  </si>
  <si>
    <t>Jacks</t>
  </si>
  <si>
    <t>Waluke</t>
  </si>
  <si>
    <t>(exp)</t>
  </si>
  <si>
    <t>Boats</t>
  </si>
  <si>
    <t>Tues</t>
  </si>
  <si>
    <t>Thur</t>
  </si>
  <si>
    <t>Wild</t>
  </si>
  <si>
    <t>All</t>
  </si>
  <si>
    <t>From Summary</t>
  </si>
  <si>
    <t>&amp; Waluke</t>
  </si>
  <si>
    <t>&amp; Ringold</t>
  </si>
  <si>
    <t>Coho</t>
  </si>
  <si>
    <t>Released</t>
  </si>
  <si>
    <t>Steelhead</t>
  </si>
  <si>
    <t>Unk</t>
  </si>
  <si>
    <t>Expanded</t>
  </si>
  <si>
    <t>Sampled</t>
  </si>
  <si>
    <t>Harvest</t>
  </si>
  <si>
    <t>Ending</t>
  </si>
  <si>
    <t>Chinook</t>
  </si>
  <si>
    <t>Ad Only</t>
  </si>
  <si>
    <t>ADRV</t>
  </si>
  <si>
    <t>Catch</t>
  </si>
  <si>
    <t>Exp. Catch</t>
  </si>
  <si>
    <t>Exp. Harvest</t>
  </si>
  <si>
    <t>Harvest (Sampled)</t>
  </si>
  <si>
    <t>Salmon</t>
  </si>
  <si>
    <t>Anglers</t>
  </si>
  <si>
    <t>Adult</t>
  </si>
  <si>
    <t>Jack</t>
  </si>
  <si>
    <t>AD</t>
  </si>
  <si>
    <t>Totals</t>
  </si>
  <si>
    <t>Bank</t>
  </si>
  <si>
    <t>Pole Hrs</t>
  </si>
  <si>
    <t>Powerlines to Priest Rapids</t>
  </si>
  <si>
    <t>Below Powerlines</t>
  </si>
  <si>
    <t>Salmon Anglers (Summary)</t>
  </si>
  <si>
    <t>Steelhead &amp; Salmon/Steelhead</t>
  </si>
  <si>
    <t>Catch and Harvest (Sampled)</t>
  </si>
  <si>
    <t>Sturgeon</t>
  </si>
  <si>
    <t>Walleye</t>
  </si>
  <si>
    <t>SMB</t>
  </si>
  <si>
    <t>NPM</t>
  </si>
  <si>
    <t>Sucker</t>
  </si>
  <si>
    <t>C. Catfish</t>
  </si>
  <si>
    <t>Whitefish</t>
  </si>
  <si>
    <t>Under</t>
  </si>
  <si>
    <t>Over</t>
  </si>
  <si>
    <t>Kept</t>
  </si>
  <si>
    <t>Effort</t>
  </si>
  <si>
    <t>Hours</t>
  </si>
  <si>
    <t>Count</t>
  </si>
  <si>
    <t>Index</t>
  </si>
  <si>
    <t>Pole</t>
  </si>
  <si>
    <t>Non-Clipped/Wild</t>
  </si>
  <si>
    <t>PIT</t>
  </si>
  <si>
    <t>Trout</t>
  </si>
  <si>
    <t>Smallmouth</t>
  </si>
  <si>
    <t>Pikeminnow</t>
  </si>
  <si>
    <t>Rel</t>
  </si>
  <si>
    <t>(total)</t>
  </si>
  <si>
    <t>(#)</t>
  </si>
  <si>
    <t>Avg</t>
  </si>
  <si>
    <t>Daylight</t>
  </si>
  <si>
    <t>Hrs</t>
  </si>
  <si>
    <t>AdRv</t>
  </si>
  <si>
    <t>%</t>
  </si>
  <si>
    <t>Angler</t>
  </si>
  <si>
    <t>Snyder</t>
  </si>
  <si>
    <t>% Sal</t>
  </si>
  <si>
    <t>Ad only</t>
  </si>
  <si>
    <t>AD+</t>
  </si>
  <si>
    <t>CWT Only</t>
  </si>
  <si>
    <t>Trips</t>
  </si>
  <si>
    <t>Tot</t>
  </si>
  <si>
    <t>NM</t>
  </si>
  <si>
    <t>Bateman</t>
  </si>
  <si>
    <t>Bass</t>
  </si>
  <si>
    <t>-9.15</t>
  </si>
  <si>
    <t>9/16-30</t>
  </si>
  <si>
    <t>Area Expansion</t>
  </si>
  <si>
    <t>Sept</t>
  </si>
  <si>
    <t>Oct</t>
  </si>
  <si>
    <t>From steelhead sport summary</t>
  </si>
  <si>
    <t>W. Bluffs</t>
  </si>
  <si>
    <t>&amp; Snyder</t>
  </si>
  <si>
    <t>&amp; Bateman</t>
  </si>
  <si>
    <t>Aug</t>
  </si>
  <si>
    <t>Expansion</t>
  </si>
  <si>
    <t>Ramp</t>
  </si>
  <si>
    <t>Salmon (%)</t>
  </si>
  <si>
    <t>Peak Hour Expansion</t>
  </si>
  <si>
    <t>Boats (expanded)</t>
  </si>
  <si>
    <t>Total Boats</t>
  </si>
  <si>
    <t>August</t>
  </si>
  <si>
    <t>% of Effort</t>
  </si>
  <si>
    <t>Boat Fishery</t>
  </si>
  <si>
    <t>Bank Fishery</t>
  </si>
  <si>
    <t>Catch &amp; Release</t>
  </si>
  <si>
    <t>Sockeye</t>
  </si>
  <si>
    <t>Chinook (C&amp;R)</t>
  </si>
  <si>
    <t>per Boat</t>
  </si>
  <si>
    <t>per Fish</t>
  </si>
  <si>
    <t>Unknown</t>
  </si>
  <si>
    <t>C&amp;R</t>
  </si>
  <si>
    <t>Carp</t>
  </si>
  <si>
    <t>Salmon Anglers Only</t>
  </si>
  <si>
    <t>Salmon Anglers Only (Hwy 395 - Hanford)</t>
  </si>
  <si>
    <t>Salmon Anglers Only (Hanford - PRD)</t>
  </si>
  <si>
    <t>Sample (%)</t>
  </si>
  <si>
    <t>Legal Rel</t>
  </si>
  <si>
    <t>Shad</t>
  </si>
  <si>
    <t>Salmon/Steelhead Anglers</t>
  </si>
  <si>
    <t>Salmon/Steelhead Anglers (Hanford - PRD)</t>
  </si>
  <si>
    <t>Salmon/Steelhead Anglers (Hwy 395 - Hanford)</t>
  </si>
  <si>
    <t>Sept 1-15</t>
  </si>
  <si>
    <t>Sept 16-30</t>
  </si>
  <si>
    <t>Evening Fishery</t>
  </si>
  <si>
    <t>Boat</t>
  </si>
  <si>
    <t>Chinook (not wanded for CWT)</t>
  </si>
  <si>
    <t>Combined</t>
  </si>
  <si>
    <t>Hanford Reach Non Salmon Anglers</t>
  </si>
  <si>
    <t>Location</t>
  </si>
  <si>
    <t>Target</t>
  </si>
  <si>
    <t>C. Point</t>
  </si>
  <si>
    <t>Fish per Boat</t>
  </si>
  <si>
    <t>&lt;43"</t>
  </si>
  <si>
    <t>43"-54"</t>
  </si>
  <si>
    <t>&gt;54"</t>
  </si>
  <si>
    <t>Oct 1-15</t>
  </si>
  <si>
    <t>Oct 16-31</t>
  </si>
  <si>
    <t>Poles</t>
  </si>
  <si>
    <t># of</t>
  </si>
  <si>
    <t>CC</t>
  </si>
  <si>
    <t>Perch</t>
  </si>
  <si>
    <t>Bluegill</t>
  </si>
  <si>
    <t>Chinook (jack)</t>
  </si>
  <si>
    <t>Crappie</t>
  </si>
  <si>
    <t>Peamouth</t>
  </si>
  <si>
    <t>Staff</t>
  </si>
  <si>
    <t>Species</t>
  </si>
  <si>
    <t>Hatchery</t>
  </si>
  <si>
    <t>AD only</t>
  </si>
  <si>
    <t>Coho (C&amp;R)</t>
  </si>
  <si>
    <t xml:space="preserve">Coho </t>
  </si>
  <si>
    <t>Hours/Fish</t>
  </si>
  <si>
    <t>(%)</t>
  </si>
  <si>
    <t>M. Spanos</t>
  </si>
  <si>
    <t>Duck</t>
  </si>
  <si>
    <t>D. Pobereyko</t>
  </si>
  <si>
    <t>B. Rea</t>
  </si>
  <si>
    <t>M. Boes</t>
  </si>
  <si>
    <t>C. Shaffer</t>
  </si>
  <si>
    <t>Nov</t>
  </si>
  <si>
    <t>Pole Count</t>
  </si>
  <si>
    <t>Peak Angler</t>
  </si>
  <si>
    <t>2024 Hanford Reach Fall Chinook Counts and Expansions</t>
  </si>
  <si>
    <t xml:space="preserve">2025 Hanford Reach Salmon Fishery </t>
  </si>
  <si>
    <t xml:space="preserve">2025 Hanford Reach Salmon and Steelhead Fishery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</si>
</sst>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0.0"/>
    <numFmt numFmtId="165" formatCode="m/d"/>
    <numFmt numFmtId="166" formatCode="0.000"/>
    <numFmt numFmtId="167" formatCode="0.0000"/>
    <numFmt numFmtId="168" formatCode="m/d/yy"/>
    <numFmt numFmtId="169" formatCode="0.0%"/>
    <numFmt numFmtId="170" formatCode="mmm\ d"/>
    <numFmt numFmtId="171" formatCode="mmm\ dd"/>
    <numFmt numFmtId="172" formatCode="_(* #,##0_);_(* \(#,##0\);_(* &quot;-&quot;??_);_(@_)"/>
    <numFmt numFmtId="173" formatCode="#,##0.0"/>
    <numFmt numFmtId="174" formatCode="m/d;@"/>
  </numFmts>
  <fonts count="14" x14ac:knownFonts="1">
    <font>
      <sz val="10"/>
      <name val="Times New Roman"/>
    </font>
    <font>
      <b/>
      <sz val="10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color theme="1"/>
      <name val="Times New Roman"/>
      <family val="1"/>
    </font>
    <font>
      <b/>
      <sz val="12"/>
      <color indexed="10"/>
      <name val="Times New Roman"/>
      <family val="1"/>
    </font>
    <font>
      <sz val="10"/>
      <name val="Times New Roman"/>
      <family val="1"/>
    </font>
    <font>
      <sz val="12"/>
      <color theme="1"/>
      <name val="Times New Roman"/>
      <family val="2"/>
    </font>
    <font>
      <sz val="11"/>
      <name val="Times New Roman"/>
      <family val="1"/>
    </font>
    <font>
      <b/>
      <sz val="11"/>
      <color indexed="10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249977111117893"/>
        <bgColor indexed="64"/>
      </patternFill>
    </fill>
  </fills>
  <borders count="9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0" tint="-0.24994659260841701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8" fillId="0" borderId="0" applyFont="0" applyFill="0" applyBorder="0" applyAlignment="0" applyProtection="0"/>
    <xf numFmtId="0" fontId="9" fillId="0" borderId="0"/>
    <xf numFmtId="0" fontId="3" fillId="0" borderId="0"/>
  </cellStyleXfs>
  <cellXfs count="741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0" xfId="0" applyFont="1"/>
    <xf numFmtId="3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/>
    <xf numFmtId="167" fontId="0" fillId="0" borderId="0" xfId="0" applyNumberFormat="1"/>
    <xf numFmtId="3" fontId="1" fillId="0" borderId="0" xfId="0" applyNumberFormat="1" applyFont="1"/>
    <xf numFmtId="0" fontId="0" fillId="0" borderId="3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16" xfId="0" applyBorder="1" applyAlignment="1">
      <alignment horizontal="center"/>
    </xf>
    <xf numFmtId="0" fontId="5" fillId="0" borderId="0" xfId="0" applyFont="1" applyAlignment="1">
      <alignment horizontal="right" wrapText="1"/>
    </xf>
    <xf numFmtId="0" fontId="0" fillId="0" borderId="21" xfId="0" applyBorder="1"/>
    <xf numFmtId="0" fontId="0" fillId="0" borderId="22" xfId="0" applyBorder="1"/>
    <xf numFmtId="0" fontId="0" fillId="0" borderId="25" xfId="0" applyBorder="1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28" xfId="0" applyFont="1" applyBorder="1" applyAlignment="1">
      <alignment horizontal="center"/>
    </xf>
    <xf numFmtId="0" fontId="5" fillId="0" borderId="0" xfId="0" applyFont="1"/>
    <xf numFmtId="0" fontId="5" fillId="0" borderId="27" xfId="0" applyFont="1" applyBorder="1"/>
    <xf numFmtId="0" fontId="5" fillId="0" borderId="29" xfId="0" applyFont="1" applyBorder="1" applyAlignment="1">
      <alignment horizontal="center"/>
    </xf>
    <xf numFmtId="170" fontId="5" fillId="0" borderId="0" xfId="0" applyNumberFormat="1" applyFont="1" applyAlignment="1">
      <alignment horizontal="left"/>
    </xf>
    <xf numFmtId="3" fontId="5" fillId="0" borderId="0" xfId="0" applyNumberFormat="1" applyFont="1"/>
    <xf numFmtId="0" fontId="5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2" borderId="18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168" fontId="5" fillId="0" borderId="0" xfId="0" applyNumberFormat="1" applyFont="1" applyAlignment="1">
      <alignment horizontal="left"/>
    </xf>
    <xf numFmtId="169" fontId="5" fillId="0" borderId="0" xfId="0" applyNumberFormat="1" applyFont="1"/>
    <xf numFmtId="0" fontId="5" fillId="0" borderId="7" xfId="0" applyFont="1" applyBorder="1"/>
    <xf numFmtId="0" fontId="5" fillId="0" borderId="9" xfId="0" applyFont="1" applyBorder="1"/>
    <xf numFmtId="0" fontId="5" fillId="0" borderId="28" xfId="0" applyFont="1" applyBorder="1" applyAlignment="1">
      <alignment horizontal="center"/>
    </xf>
    <xf numFmtId="0" fontId="5" fillId="0" borderId="32" xfId="0" applyFont="1" applyBorder="1" applyAlignment="1">
      <alignment horizontal="center"/>
    </xf>
    <xf numFmtId="0" fontId="5" fillId="0" borderId="3" xfId="0" applyFont="1" applyBorder="1"/>
    <xf numFmtId="3" fontId="5" fillId="0" borderId="3" xfId="0" applyNumberFormat="1" applyFont="1" applyBorder="1"/>
    <xf numFmtId="3" fontId="5" fillId="0" borderId="4" xfId="0" applyNumberFormat="1" applyFont="1" applyBorder="1"/>
    <xf numFmtId="3" fontId="5" fillId="0" borderId="13" xfId="0" applyNumberFormat="1" applyFont="1" applyBorder="1"/>
    <xf numFmtId="3" fontId="5" fillId="0" borderId="14" xfId="0" applyNumberFormat="1" applyFont="1" applyBorder="1"/>
    <xf numFmtId="0" fontId="5" fillId="0" borderId="34" xfId="0" applyFont="1" applyBorder="1"/>
    <xf numFmtId="164" fontId="5" fillId="0" borderId="3" xfId="0" applyNumberFormat="1" applyFont="1" applyBorder="1"/>
    <xf numFmtId="0" fontId="5" fillId="0" borderId="21" xfId="0" applyFont="1" applyBorder="1"/>
    <xf numFmtId="0" fontId="5" fillId="0" borderId="22" xfId="0" applyFont="1" applyBorder="1"/>
    <xf numFmtId="170" fontId="5" fillId="0" borderId="13" xfId="0" applyNumberFormat="1" applyFont="1" applyBorder="1" applyAlignment="1">
      <alignment horizontal="left"/>
    </xf>
    <xf numFmtId="169" fontId="5" fillId="0" borderId="3" xfId="0" applyNumberFormat="1" applyFont="1" applyBorder="1"/>
    <xf numFmtId="0" fontId="5" fillId="0" borderId="27" xfId="0" applyFont="1" applyBorder="1" applyAlignment="1">
      <alignment horizontal="center"/>
    </xf>
    <xf numFmtId="3" fontId="5" fillId="0" borderId="34" xfId="0" applyNumberFormat="1" applyFont="1" applyBorder="1"/>
    <xf numFmtId="0" fontId="0" fillId="0" borderId="40" xfId="0" applyBorder="1"/>
    <xf numFmtId="0" fontId="0" fillId="0" borderId="41" xfId="0" applyBorder="1"/>
    <xf numFmtId="170" fontId="1" fillId="0" borderId="42" xfId="0" applyNumberFormat="1" applyFont="1" applyBorder="1" applyAlignment="1">
      <alignment horizontal="left"/>
    </xf>
    <xf numFmtId="0" fontId="1" fillId="0" borderId="13" xfId="0" applyFont="1" applyBorder="1"/>
    <xf numFmtId="170" fontId="0" fillId="0" borderId="13" xfId="0" applyNumberFormat="1" applyBorder="1" applyAlignment="1">
      <alignment horizontal="left"/>
    </xf>
    <xf numFmtId="0" fontId="0" fillId="0" borderId="38" xfId="0" applyBorder="1"/>
    <xf numFmtId="0" fontId="1" fillId="0" borderId="21" xfId="0" applyFont="1" applyBorder="1"/>
    <xf numFmtId="0" fontId="1" fillId="0" borderId="15" xfId="0" applyFont="1" applyBorder="1"/>
    <xf numFmtId="0" fontId="0" fillId="0" borderId="16" xfId="0" applyBorder="1"/>
    <xf numFmtId="3" fontId="0" fillId="0" borderId="13" xfId="0" applyNumberFormat="1" applyBorder="1"/>
    <xf numFmtId="3" fontId="0" fillId="0" borderId="3" xfId="0" applyNumberFormat="1" applyBorder="1"/>
    <xf numFmtId="3" fontId="0" fillId="0" borderId="14" xfId="0" applyNumberFormat="1" applyBorder="1"/>
    <xf numFmtId="3" fontId="0" fillId="0" borderId="42" xfId="0" applyNumberFormat="1" applyBorder="1"/>
    <xf numFmtId="3" fontId="0" fillId="0" borderId="40" xfId="0" applyNumberFormat="1" applyBorder="1"/>
    <xf numFmtId="3" fontId="0" fillId="0" borderId="43" xfId="0" applyNumberFormat="1" applyBorder="1"/>
    <xf numFmtId="3" fontId="0" fillId="0" borderId="41" xfId="0" applyNumberFormat="1" applyBorder="1"/>
    <xf numFmtId="169" fontId="0" fillId="0" borderId="0" xfId="0" applyNumberFormat="1"/>
    <xf numFmtId="2" fontId="5" fillId="0" borderId="28" xfId="0" applyNumberFormat="1" applyFont="1" applyBorder="1" applyAlignment="1">
      <alignment horizontal="center"/>
    </xf>
    <xf numFmtId="164" fontId="5" fillId="0" borderId="6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1" fontId="0" fillId="0" borderId="13" xfId="0" applyNumberFormat="1" applyBorder="1" applyAlignment="1">
      <alignment horizontal="right"/>
    </xf>
    <xf numFmtId="1" fontId="0" fillId="0" borderId="0" xfId="0" applyNumberFormat="1" applyAlignment="1">
      <alignment horizontal="right"/>
    </xf>
    <xf numFmtId="1" fontId="0" fillId="0" borderId="3" xfId="0" applyNumberFormat="1" applyBorder="1" applyAlignment="1">
      <alignment horizontal="right"/>
    </xf>
    <xf numFmtId="1" fontId="0" fillId="0" borderId="14" xfId="0" applyNumberFormat="1" applyBorder="1" applyAlignment="1">
      <alignment horizontal="right"/>
    </xf>
    <xf numFmtId="3" fontId="0" fillId="0" borderId="13" xfId="0" applyNumberFormat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 applyAlignment="1">
      <alignment horizontal="center"/>
    </xf>
    <xf numFmtId="3" fontId="0" fillId="0" borderId="14" xfId="0" applyNumberFormat="1" applyBorder="1" applyAlignment="1">
      <alignment horizontal="center"/>
    </xf>
    <xf numFmtId="3" fontId="5" fillId="0" borderId="45" xfId="0" applyNumberFormat="1" applyFont="1" applyBorder="1"/>
    <xf numFmtId="3" fontId="5" fillId="0" borderId="46" xfId="0" applyNumberFormat="1" applyFont="1" applyBorder="1"/>
    <xf numFmtId="0" fontId="5" fillId="2" borderId="29" xfId="0" applyFont="1" applyFill="1" applyBorder="1" applyAlignment="1">
      <alignment horizontal="center"/>
    </xf>
    <xf numFmtId="0" fontId="5" fillId="2" borderId="32" xfId="0" applyFont="1" applyFill="1" applyBorder="1" applyAlignment="1">
      <alignment horizontal="center"/>
    </xf>
    <xf numFmtId="3" fontId="4" fillId="0" borderId="26" xfId="0" applyNumberFormat="1" applyFont="1" applyBorder="1"/>
    <xf numFmtId="3" fontId="4" fillId="0" borderId="1" xfId="0" applyNumberFormat="1" applyFont="1" applyBorder="1"/>
    <xf numFmtId="0" fontId="5" fillId="0" borderId="31" xfId="0" applyFont="1" applyBorder="1" applyAlignment="1">
      <alignment horizontal="center"/>
    </xf>
    <xf numFmtId="3" fontId="4" fillId="0" borderId="36" xfId="0" applyNumberFormat="1" applyFont="1" applyBorder="1"/>
    <xf numFmtId="3" fontId="4" fillId="0" borderId="38" xfId="0" applyNumberFormat="1" applyFont="1" applyBorder="1"/>
    <xf numFmtId="3" fontId="5" fillId="0" borderId="48" xfId="0" applyNumberFormat="1" applyFont="1" applyBorder="1"/>
    <xf numFmtId="3" fontId="5" fillId="0" borderId="49" xfId="0" applyNumberFormat="1" applyFont="1" applyBorder="1"/>
    <xf numFmtId="3" fontId="5" fillId="0" borderId="47" xfId="0" applyNumberFormat="1" applyFont="1" applyBorder="1"/>
    <xf numFmtId="3" fontId="4" fillId="0" borderId="37" xfId="0" applyNumberFormat="1" applyFont="1" applyBorder="1"/>
    <xf numFmtId="1" fontId="5" fillId="0" borderId="0" xfId="0" applyNumberFormat="1" applyFont="1"/>
    <xf numFmtId="0" fontId="4" fillId="0" borderId="51" xfId="0" applyFont="1" applyBorder="1" applyAlignment="1">
      <alignment horizontal="left"/>
    </xf>
    <xf numFmtId="0" fontId="4" fillId="0" borderId="15" xfId="0" applyFont="1" applyBorder="1" applyAlignment="1">
      <alignment horizontal="left"/>
    </xf>
    <xf numFmtId="0" fontId="4" fillId="0" borderId="52" xfId="0" applyFont="1" applyBorder="1" applyAlignment="1">
      <alignment horizontal="left"/>
    </xf>
    <xf numFmtId="3" fontId="5" fillId="0" borderId="54" xfId="0" applyNumberFormat="1" applyFont="1" applyBorder="1"/>
    <xf numFmtId="0" fontId="5" fillId="0" borderId="54" xfId="0" applyFont="1" applyBorder="1"/>
    <xf numFmtId="0" fontId="4" fillId="0" borderId="50" xfId="0" applyFont="1" applyBorder="1" applyAlignment="1">
      <alignment horizontal="center"/>
    </xf>
    <xf numFmtId="0" fontId="4" fillId="0" borderId="57" xfId="0" applyFont="1" applyBorder="1" applyAlignment="1">
      <alignment horizontal="center"/>
    </xf>
    <xf numFmtId="3" fontId="4" fillId="0" borderId="10" xfId="0" applyNumberFormat="1" applyFont="1" applyBorder="1" applyAlignment="1">
      <alignment horizontal="center"/>
    </xf>
    <xf numFmtId="3" fontId="4" fillId="0" borderId="11" xfId="0" applyNumberFormat="1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1" fontId="5" fillId="0" borderId="45" xfId="0" applyNumberFormat="1" applyFont="1" applyBorder="1"/>
    <xf numFmtId="0" fontId="5" fillId="0" borderId="61" xfId="0" applyFont="1" applyBorder="1"/>
    <xf numFmtId="0" fontId="5" fillId="0" borderId="59" xfId="0" applyFont="1" applyBorder="1"/>
    <xf numFmtId="0" fontId="5" fillId="2" borderId="19" xfId="0" applyFont="1" applyFill="1" applyBorder="1" applyAlignment="1">
      <alignment horizontal="center"/>
    </xf>
    <xf numFmtId="168" fontId="4" fillId="0" borderId="26" xfId="0" applyNumberFormat="1" applyFont="1" applyBorder="1" applyAlignment="1">
      <alignment horizontal="left"/>
    </xf>
    <xf numFmtId="3" fontId="4" fillId="0" borderId="56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3" fontId="4" fillId="0" borderId="66" xfId="0" applyNumberFormat="1" applyFont="1" applyBorder="1"/>
    <xf numFmtId="3" fontId="4" fillId="0" borderId="68" xfId="0" applyNumberFormat="1" applyFont="1" applyBorder="1"/>
    <xf numFmtId="170" fontId="4" fillId="0" borderId="65" xfId="0" applyNumberFormat="1" applyFont="1" applyBorder="1" applyAlignment="1">
      <alignment horizontal="left"/>
    </xf>
    <xf numFmtId="3" fontId="4" fillId="0" borderId="69" xfId="0" applyNumberFormat="1" applyFont="1" applyBorder="1"/>
    <xf numFmtId="3" fontId="4" fillId="0" borderId="67" xfId="0" applyNumberFormat="1" applyFont="1" applyBorder="1"/>
    <xf numFmtId="3" fontId="4" fillId="0" borderId="63" xfId="0" applyNumberFormat="1" applyFont="1" applyBorder="1"/>
    <xf numFmtId="3" fontId="4" fillId="0" borderId="65" xfId="0" applyNumberFormat="1" applyFont="1" applyBorder="1"/>
    <xf numFmtId="2" fontId="5" fillId="0" borderId="0" xfId="0" applyNumberFormat="1" applyFont="1"/>
    <xf numFmtId="164" fontId="5" fillId="0" borderId="0" xfId="0" applyNumberFormat="1" applyFont="1"/>
    <xf numFmtId="167" fontId="5" fillId="0" borderId="0" xfId="0" applyNumberFormat="1" applyFont="1"/>
    <xf numFmtId="0" fontId="4" fillId="0" borderId="45" xfId="0" applyFont="1" applyBorder="1"/>
    <xf numFmtId="0" fontId="5" fillId="3" borderId="0" xfId="0" applyFont="1" applyFill="1"/>
    <xf numFmtId="0" fontId="5" fillId="0" borderId="7" xfId="0" applyFont="1" applyBorder="1" applyAlignment="1">
      <alignment horizontal="center"/>
    </xf>
    <xf numFmtId="0" fontId="5" fillId="0" borderId="28" xfId="0" applyFont="1" applyBorder="1"/>
    <xf numFmtId="0" fontId="5" fillId="0" borderId="13" xfId="0" applyFont="1" applyBorder="1"/>
    <xf numFmtId="0" fontId="4" fillId="0" borderId="70" xfId="0" applyFont="1" applyBorder="1" applyAlignment="1">
      <alignment horizontal="center"/>
    </xf>
    <xf numFmtId="3" fontId="5" fillId="0" borderId="33" xfId="0" applyNumberFormat="1" applyFont="1" applyBorder="1"/>
    <xf numFmtId="169" fontId="5" fillId="0" borderId="33" xfId="0" applyNumberFormat="1" applyFont="1" applyBorder="1"/>
    <xf numFmtId="169" fontId="4" fillId="0" borderId="71" xfId="0" applyNumberFormat="1" applyFont="1" applyBorder="1"/>
    <xf numFmtId="0" fontId="5" fillId="0" borderId="30" xfId="0" applyFont="1" applyBorder="1" applyAlignment="1">
      <alignment horizontal="center"/>
    </xf>
    <xf numFmtId="0" fontId="5" fillId="2" borderId="30" xfId="0" applyFont="1" applyFill="1" applyBorder="1" applyAlignment="1">
      <alignment horizontal="center"/>
    </xf>
    <xf numFmtId="0" fontId="5" fillId="0" borderId="0" xfId="0" applyFont="1" applyAlignment="1">
      <alignment wrapText="1"/>
    </xf>
    <xf numFmtId="0" fontId="4" fillId="3" borderId="0" xfId="0" applyFont="1" applyFill="1"/>
    <xf numFmtId="164" fontId="5" fillId="0" borderId="0" xfId="0" applyNumberFormat="1" applyFont="1" applyAlignment="1">
      <alignment horizontal="center"/>
    </xf>
    <xf numFmtId="1" fontId="4" fillId="0" borderId="0" xfId="0" applyNumberFormat="1" applyFont="1"/>
    <xf numFmtId="0" fontId="4" fillId="0" borderId="0" xfId="0" applyFont="1" applyAlignment="1">
      <alignment horizontal="left"/>
    </xf>
    <xf numFmtId="10" fontId="5" fillId="0" borderId="0" xfId="0" applyNumberFormat="1" applyFont="1"/>
    <xf numFmtId="2" fontId="5" fillId="0" borderId="27" xfId="0" applyNumberFormat="1" applyFont="1" applyBorder="1" applyAlignment="1">
      <alignment horizontal="center"/>
    </xf>
    <xf numFmtId="2" fontId="5" fillId="0" borderId="27" xfId="0" applyNumberFormat="1" applyFont="1" applyBorder="1"/>
    <xf numFmtId="164" fontId="5" fillId="0" borderId="9" xfId="0" applyNumberFormat="1" applyFont="1" applyBorder="1" applyAlignment="1">
      <alignment horizontal="center"/>
    </xf>
    <xf numFmtId="2" fontId="5" fillId="0" borderId="34" xfId="0" applyNumberFormat="1" applyFont="1" applyBorder="1"/>
    <xf numFmtId="0" fontId="5" fillId="0" borderId="4" xfId="0" applyFont="1" applyBorder="1" applyAlignment="1">
      <alignment horizontal="center"/>
    </xf>
    <xf numFmtId="0" fontId="5" fillId="0" borderId="34" xfId="0" applyFont="1" applyBorder="1" applyAlignment="1">
      <alignment horizontal="center"/>
    </xf>
    <xf numFmtId="0" fontId="5" fillId="0" borderId="4" xfId="0" applyFont="1" applyBorder="1"/>
    <xf numFmtId="164" fontId="5" fillId="0" borderId="34" xfId="0" applyNumberFormat="1" applyFont="1" applyBorder="1" applyAlignment="1">
      <alignment horizontal="center"/>
    </xf>
    <xf numFmtId="169" fontId="5" fillId="0" borderId="34" xfId="0" applyNumberFormat="1" applyFont="1" applyBorder="1" applyAlignment="1">
      <alignment horizontal="center"/>
    </xf>
    <xf numFmtId="164" fontId="5" fillId="0" borderId="34" xfId="0" applyNumberFormat="1" applyFont="1" applyBorder="1"/>
    <xf numFmtId="167" fontId="5" fillId="0" borderId="3" xfId="0" applyNumberFormat="1" applyFont="1" applyBorder="1"/>
    <xf numFmtId="167" fontId="5" fillId="0" borderId="4" xfId="0" applyNumberFormat="1" applyFont="1" applyBorder="1"/>
    <xf numFmtId="164" fontId="5" fillId="0" borderId="4" xfId="0" applyNumberFormat="1" applyFont="1" applyBorder="1"/>
    <xf numFmtId="171" fontId="5" fillId="0" borderId="34" xfId="0" applyNumberFormat="1" applyFont="1" applyBorder="1" applyAlignment="1">
      <alignment horizontal="left"/>
    </xf>
    <xf numFmtId="1" fontId="5" fillId="0" borderId="8" xfId="0" applyNumberFormat="1" applyFont="1" applyBorder="1" applyAlignment="1">
      <alignment horizontal="center"/>
    </xf>
    <xf numFmtId="1" fontId="5" fillId="0" borderId="0" xfId="0" applyNumberFormat="1" applyFont="1" applyAlignment="1">
      <alignment horizontal="center"/>
    </xf>
    <xf numFmtId="1" fontId="5" fillId="0" borderId="4" xfId="0" applyNumberFormat="1" applyFont="1" applyBorder="1" applyAlignment="1">
      <alignment horizontal="center"/>
    </xf>
    <xf numFmtId="0" fontId="4" fillId="0" borderId="0" xfId="0" applyFont="1" applyAlignment="1">
      <alignment horizontal="right"/>
    </xf>
    <xf numFmtId="3" fontId="4" fillId="0" borderId="0" xfId="0" applyNumberFormat="1" applyFont="1"/>
    <xf numFmtId="16" fontId="5" fillId="0" borderId="0" xfId="0" quotePrefix="1" applyNumberFormat="1" applyFont="1"/>
    <xf numFmtId="0" fontId="5" fillId="0" borderId="8" xfId="0" applyFont="1" applyBorder="1"/>
    <xf numFmtId="165" fontId="5" fillId="0" borderId="22" xfId="0" applyNumberFormat="1" applyFont="1" applyBorder="1" applyAlignment="1">
      <alignment horizontal="left"/>
    </xf>
    <xf numFmtId="165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/>
    </xf>
    <xf numFmtId="0" fontId="5" fillId="5" borderId="3" xfId="0" applyFont="1" applyFill="1" applyBorder="1"/>
    <xf numFmtId="0" fontId="5" fillId="0" borderId="47" xfId="0" applyFont="1" applyBorder="1"/>
    <xf numFmtId="165" fontId="5" fillId="0" borderId="45" xfId="0" applyNumberFormat="1" applyFont="1" applyBorder="1" applyAlignment="1">
      <alignment horizontal="left"/>
    </xf>
    <xf numFmtId="0" fontId="5" fillId="0" borderId="45" xfId="0" applyFont="1" applyBorder="1"/>
    <xf numFmtId="3" fontId="5" fillId="0" borderId="0" xfId="0" applyNumberFormat="1" applyFont="1" applyAlignment="1">
      <alignment horizontal="right"/>
    </xf>
    <xf numFmtId="3" fontId="4" fillId="0" borderId="29" xfId="0" applyNumberFormat="1" applyFont="1" applyBorder="1"/>
    <xf numFmtId="164" fontId="5" fillId="0" borderId="8" xfId="0" applyNumberFormat="1" applyFont="1" applyBorder="1"/>
    <xf numFmtId="0" fontId="5" fillId="0" borderId="5" xfId="0" applyFont="1" applyBorder="1"/>
    <xf numFmtId="0" fontId="5" fillId="0" borderId="2" xfId="0" applyFont="1" applyBorder="1"/>
    <xf numFmtId="0" fontId="5" fillId="0" borderId="6" xfId="0" applyFont="1" applyBorder="1"/>
    <xf numFmtId="164" fontId="5" fillId="0" borderId="27" xfId="0" applyNumberFormat="1" applyFont="1" applyBorder="1"/>
    <xf numFmtId="1" fontId="7" fillId="0" borderId="0" xfId="0" applyNumberFormat="1" applyFont="1"/>
    <xf numFmtId="0" fontId="4" fillId="5" borderId="9" xfId="0" applyFont="1" applyFill="1" applyBorder="1" applyAlignment="1">
      <alignment horizontal="center" wrapText="1"/>
    </xf>
    <xf numFmtId="0" fontId="5" fillId="0" borderId="27" xfId="0" applyFont="1" applyBorder="1" applyAlignment="1">
      <alignment horizontal="center" wrapText="1"/>
    </xf>
    <xf numFmtId="0" fontId="5" fillId="0" borderId="0" xfId="0" applyFont="1" applyAlignment="1">
      <alignment horizontal="center" wrapText="1"/>
    </xf>
    <xf numFmtId="0" fontId="5" fillId="0" borderId="7" xfId="0" applyFont="1" applyBorder="1" applyAlignment="1">
      <alignment horizontal="center" wrapText="1"/>
    </xf>
    <xf numFmtId="0" fontId="5" fillId="0" borderId="1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center" vertical="center" wrapText="1"/>
    </xf>
    <xf numFmtId="171" fontId="5" fillId="0" borderId="29" xfId="0" applyNumberFormat="1" applyFont="1" applyBorder="1" applyAlignment="1">
      <alignment horizontal="left"/>
    </xf>
    <xf numFmtId="169" fontId="5" fillId="0" borderId="27" xfId="0" applyNumberFormat="1" applyFont="1" applyBorder="1" applyAlignment="1">
      <alignment horizontal="center"/>
    </xf>
    <xf numFmtId="2" fontId="5" fillId="0" borderId="28" xfId="0" applyNumberFormat="1" applyFont="1" applyBorder="1"/>
    <xf numFmtId="164" fontId="5" fillId="0" borderId="28" xfId="0" applyNumberFormat="1" applyFont="1" applyBorder="1" applyAlignment="1">
      <alignment horizontal="center"/>
    </xf>
    <xf numFmtId="169" fontId="5" fillId="0" borderId="28" xfId="0" applyNumberFormat="1" applyFont="1" applyBorder="1" applyAlignment="1">
      <alignment horizontal="center"/>
    </xf>
    <xf numFmtId="164" fontId="4" fillId="3" borderId="28" xfId="0" applyNumberFormat="1" applyFont="1" applyFill="1" applyBorder="1"/>
    <xf numFmtId="171" fontId="5" fillId="0" borderId="3" xfId="0" applyNumberFormat="1" applyFont="1" applyBorder="1" applyAlignment="1">
      <alignment horizontal="left"/>
    </xf>
    <xf numFmtId="171" fontId="5" fillId="0" borderId="12" xfId="0" applyNumberFormat="1" applyFont="1" applyBorder="1" applyAlignment="1">
      <alignment horizontal="left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4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5" borderId="12" xfId="0" applyFont="1" applyFill="1" applyBorder="1"/>
    <xf numFmtId="0" fontId="4" fillId="5" borderId="29" xfId="0" applyFont="1" applyFill="1" applyBorder="1"/>
    <xf numFmtId="0" fontId="4" fillId="5" borderId="30" xfId="0" applyFont="1" applyFill="1" applyBorder="1"/>
    <xf numFmtId="0" fontId="4" fillId="5" borderId="18" xfId="0" applyFont="1" applyFill="1" applyBorder="1"/>
    <xf numFmtId="171" fontId="5" fillId="0" borderId="7" xfId="0" applyNumberFormat="1" applyFont="1" applyBorder="1" applyAlignment="1">
      <alignment horizontal="left"/>
    </xf>
    <xf numFmtId="171" fontId="5" fillId="0" borderId="27" xfId="0" applyNumberFormat="1" applyFont="1" applyBorder="1" applyAlignment="1">
      <alignment horizontal="left"/>
    </xf>
    <xf numFmtId="0" fontId="5" fillId="5" borderId="7" xfId="0" applyFont="1" applyFill="1" applyBorder="1"/>
    <xf numFmtId="167" fontId="5" fillId="0" borderId="7" xfId="0" applyNumberFormat="1" applyFont="1" applyBorder="1"/>
    <xf numFmtId="167" fontId="5" fillId="0" borderId="9" xfId="0" applyNumberFormat="1" applyFont="1" applyBorder="1"/>
    <xf numFmtId="167" fontId="5" fillId="0" borderId="8" xfId="0" applyNumberFormat="1" applyFont="1" applyBorder="1"/>
    <xf numFmtId="167" fontId="5" fillId="0" borderId="5" xfId="0" applyNumberFormat="1" applyFont="1" applyBorder="1"/>
    <xf numFmtId="167" fontId="5" fillId="0" borderId="6" xfId="0" applyNumberFormat="1" applyFont="1" applyBorder="1"/>
    <xf numFmtId="167" fontId="5" fillId="0" borderId="2" xfId="0" applyNumberFormat="1" applyFont="1" applyBorder="1"/>
    <xf numFmtId="164" fontId="5" fillId="0" borderId="7" xfId="0" applyNumberFormat="1" applyFont="1" applyBorder="1"/>
    <xf numFmtId="164" fontId="5" fillId="0" borderId="9" xfId="0" applyNumberFormat="1" applyFont="1" applyBorder="1"/>
    <xf numFmtId="164" fontId="5" fillId="0" borderId="5" xfId="0" applyNumberFormat="1" applyFont="1" applyBorder="1"/>
    <xf numFmtId="164" fontId="5" fillId="0" borderId="6" xfId="0" applyNumberFormat="1" applyFont="1" applyBorder="1"/>
    <xf numFmtId="0" fontId="5" fillId="0" borderId="12" xfId="0" applyFont="1" applyBorder="1"/>
    <xf numFmtId="0" fontId="5" fillId="0" borderId="18" xfId="0" applyFont="1" applyBorder="1"/>
    <xf numFmtId="0" fontId="5" fillId="0" borderId="30" xfId="0" applyFont="1" applyBorder="1"/>
    <xf numFmtId="0" fontId="5" fillId="0" borderId="29" xfId="0" applyFont="1" applyBorder="1"/>
    <xf numFmtId="1" fontId="5" fillId="0" borderId="7" xfId="0" applyNumberFormat="1" applyFont="1" applyBorder="1" applyAlignment="1">
      <alignment horizontal="center"/>
    </xf>
    <xf numFmtId="1" fontId="5" fillId="0" borderId="9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1" fontId="4" fillId="4" borderId="5" xfId="0" applyNumberFormat="1" applyFont="1" applyFill="1" applyBorder="1" applyAlignment="1">
      <alignment horizontal="center"/>
    </xf>
    <xf numFmtId="1" fontId="4" fillId="4" borderId="2" xfId="0" applyNumberFormat="1" applyFont="1" applyFill="1" applyBorder="1" applyAlignment="1">
      <alignment horizontal="center"/>
    </xf>
    <xf numFmtId="1" fontId="4" fillId="4" borderId="6" xfId="0" applyNumberFormat="1" applyFont="1" applyFill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5" borderId="27" xfId="0" applyFont="1" applyFill="1" applyBorder="1" applyAlignment="1">
      <alignment horizontal="center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17" xfId="0" applyFont="1" applyBorder="1" applyAlignment="1">
      <alignment horizontal="center"/>
    </xf>
    <xf numFmtId="170" fontId="5" fillId="0" borderId="77" xfId="0" applyNumberFormat="1" applyFont="1" applyBorder="1" applyAlignment="1">
      <alignment horizontal="left"/>
    </xf>
    <xf numFmtId="3" fontId="5" fillId="0" borderId="22" xfId="0" applyNumberFormat="1" applyFont="1" applyBorder="1" applyAlignment="1">
      <alignment horizontal="right"/>
    </xf>
    <xf numFmtId="3" fontId="5" fillId="0" borderId="45" xfId="0" applyNumberFormat="1" applyFont="1" applyBorder="1" applyAlignment="1">
      <alignment horizontal="right"/>
    </xf>
    <xf numFmtId="0" fontId="5" fillId="0" borderId="48" xfId="0" applyFont="1" applyBorder="1" applyAlignment="1">
      <alignment horizontal="right"/>
    </xf>
    <xf numFmtId="0" fontId="5" fillId="0" borderId="45" xfId="0" applyFont="1" applyBorder="1" applyAlignment="1">
      <alignment horizontal="right"/>
    </xf>
    <xf numFmtId="3" fontId="5" fillId="0" borderId="1" xfId="0" applyNumberFormat="1" applyFont="1" applyBorder="1" applyAlignment="1">
      <alignment horizontal="right"/>
    </xf>
    <xf numFmtId="3" fontId="5" fillId="0" borderId="37" xfId="0" applyNumberFormat="1" applyFont="1" applyBorder="1" applyAlignment="1">
      <alignment horizontal="right"/>
    </xf>
    <xf numFmtId="3" fontId="5" fillId="0" borderId="36" xfId="0" applyNumberFormat="1" applyFont="1" applyBorder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5" fillId="5" borderId="21" xfId="0" applyFont="1" applyFill="1" applyBorder="1" applyAlignment="1">
      <alignment horizontal="right"/>
    </xf>
    <xf numFmtId="0" fontId="5" fillId="5" borderId="13" xfId="0" applyFont="1" applyFill="1" applyBorder="1" applyAlignment="1">
      <alignment horizontal="right"/>
    </xf>
    <xf numFmtId="0" fontId="5" fillId="5" borderId="77" xfId="0" applyFont="1" applyFill="1" applyBorder="1" applyAlignment="1">
      <alignment horizontal="right"/>
    </xf>
    <xf numFmtId="3" fontId="4" fillId="0" borderId="0" xfId="0" applyNumberFormat="1" applyFont="1" applyAlignment="1">
      <alignment horizontal="center"/>
    </xf>
    <xf numFmtId="4" fontId="5" fillId="0" borderId="0" xfId="0" applyNumberFormat="1" applyFont="1"/>
    <xf numFmtId="0" fontId="5" fillId="0" borderId="53" xfId="0" applyFont="1" applyBorder="1"/>
    <xf numFmtId="0" fontId="4" fillId="0" borderId="21" xfId="0" applyFont="1" applyBorder="1" applyAlignment="1">
      <alignment horizontal="left"/>
    </xf>
    <xf numFmtId="0" fontId="4" fillId="0" borderId="3" xfId="0" applyFont="1" applyBorder="1" applyAlignment="1">
      <alignment horizontal="right"/>
    </xf>
    <xf numFmtId="0" fontId="5" fillId="0" borderId="24" xfId="0" applyFont="1" applyBorder="1" applyAlignment="1">
      <alignment horizontal="right"/>
    </xf>
    <xf numFmtId="0" fontId="5" fillId="0" borderId="22" xfId="0" applyFont="1" applyBorder="1" applyAlignment="1">
      <alignment horizontal="right"/>
    </xf>
    <xf numFmtId="0" fontId="5" fillId="0" borderId="23" xfId="0" applyFont="1" applyBorder="1" applyAlignment="1">
      <alignment horizontal="right"/>
    </xf>
    <xf numFmtId="0" fontId="5" fillId="0" borderId="21" xfId="0" applyFont="1" applyBorder="1" applyAlignment="1">
      <alignment horizontal="right"/>
    </xf>
    <xf numFmtId="0" fontId="5" fillId="0" borderId="25" xfId="0" applyFont="1" applyBorder="1" applyAlignment="1">
      <alignment horizontal="right"/>
    </xf>
    <xf numFmtId="0" fontId="5" fillId="0" borderId="4" xfId="0" applyFont="1" applyBorder="1" applyAlignment="1">
      <alignment horizontal="right"/>
    </xf>
    <xf numFmtId="0" fontId="5" fillId="0" borderId="3" xfId="0" applyFont="1" applyBorder="1" applyAlignment="1">
      <alignment horizontal="right"/>
    </xf>
    <xf numFmtId="0" fontId="5" fillId="0" borderId="13" xfId="0" applyFont="1" applyBorder="1" applyAlignment="1">
      <alignment horizontal="right"/>
    </xf>
    <xf numFmtId="0" fontId="5" fillId="0" borderId="14" xfId="0" applyFont="1" applyBorder="1" applyAlignment="1">
      <alignment horizontal="right"/>
    </xf>
    <xf numFmtId="0" fontId="5" fillId="0" borderId="46" xfId="0" applyFont="1" applyBorder="1" applyAlignment="1">
      <alignment horizontal="right"/>
    </xf>
    <xf numFmtId="0" fontId="5" fillId="0" borderId="47" xfId="0" applyFont="1" applyBorder="1" applyAlignment="1">
      <alignment horizontal="right"/>
    </xf>
    <xf numFmtId="0" fontId="5" fillId="0" borderId="49" xfId="0" applyFont="1" applyBorder="1" applyAlignment="1">
      <alignment horizontal="right"/>
    </xf>
    <xf numFmtId="1" fontId="5" fillId="0" borderId="36" xfId="0" applyNumberFormat="1" applyFont="1" applyBorder="1" applyAlignment="1">
      <alignment horizontal="right"/>
    </xf>
    <xf numFmtId="1" fontId="5" fillId="0" borderId="37" xfId="0" applyNumberFormat="1" applyFont="1" applyBorder="1" applyAlignment="1">
      <alignment horizontal="right"/>
    </xf>
    <xf numFmtId="169" fontId="5" fillId="0" borderId="36" xfId="0" applyNumberFormat="1" applyFont="1" applyBorder="1" applyAlignment="1">
      <alignment horizontal="right"/>
    </xf>
    <xf numFmtId="3" fontId="5" fillId="0" borderId="26" xfId="0" applyNumberFormat="1" applyFont="1" applyBorder="1" applyAlignment="1">
      <alignment horizontal="right"/>
    </xf>
    <xf numFmtId="3" fontId="5" fillId="0" borderId="38" xfId="0" applyNumberFormat="1" applyFont="1" applyBorder="1" applyAlignment="1">
      <alignment horizontal="right"/>
    </xf>
    <xf numFmtId="0" fontId="4" fillId="0" borderId="24" xfId="0" applyFont="1" applyBorder="1" applyAlignment="1">
      <alignment horizontal="right"/>
    </xf>
    <xf numFmtId="169" fontId="5" fillId="0" borderId="0" xfId="0" applyNumberFormat="1" applyFont="1" applyAlignment="1">
      <alignment horizontal="right"/>
    </xf>
    <xf numFmtId="165" fontId="5" fillId="0" borderId="37" xfId="0" applyNumberFormat="1" applyFont="1" applyBorder="1" applyAlignment="1">
      <alignment horizontal="left"/>
    </xf>
    <xf numFmtId="165" fontId="5" fillId="0" borderId="80" xfId="0" applyNumberFormat="1" applyFont="1" applyBorder="1" applyAlignment="1">
      <alignment horizontal="left"/>
    </xf>
    <xf numFmtId="3" fontId="5" fillId="0" borderId="6" xfId="0" applyNumberFormat="1" applyFont="1" applyBorder="1" applyAlignment="1">
      <alignment horizontal="right"/>
    </xf>
    <xf numFmtId="3" fontId="5" fillId="0" borderId="5" xfId="0" applyNumberFormat="1" applyFont="1" applyBorder="1" applyAlignment="1">
      <alignment horizontal="right"/>
    </xf>
    <xf numFmtId="0" fontId="5" fillId="0" borderId="6" xfId="0" applyFont="1" applyBorder="1" applyAlignment="1">
      <alignment horizontal="right"/>
    </xf>
    <xf numFmtId="0" fontId="5" fillId="0" borderId="5" xfId="0" applyFont="1" applyBorder="1" applyAlignment="1">
      <alignment horizontal="right"/>
    </xf>
    <xf numFmtId="3" fontId="4" fillId="5" borderId="26" xfId="0" applyNumberFormat="1" applyFont="1" applyFill="1" applyBorder="1" applyAlignment="1">
      <alignment horizontal="right"/>
    </xf>
    <xf numFmtId="169" fontId="5" fillId="0" borderId="48" xfId="0" applyNumberFormat="1" applyFont="1" applyBorder="1"/>
    <xf numFmtId="169" fontId="4" fillId="0" borderId="36" xfId="0" applyNumberFormat="1" applyFont="1" applyBorder="1"/>
    <xf numFmtId="3" fontId="5" fillId="0" borderId="79" xfId="0" applyNumberFormat="1" applyFont="1" applyBorder="1" applyAlignment="1">
      <alignment horizontal="right"/>
    </xf>
    <xf numFmtId="3" fontId="5" fillId="0" borderId="81" xfId="0" applyNumberFormat="1" applyFont="1" applyBorder="1" applyAlignment="1">
      <alignment horizontal="right"/>
    </xf>
    <xf numFmtId="3" fontId="5" fillId="0" borderId="75" xfId="0" applyNumberFormat="1" applyFont="1" applyBorder="1" applyAlignment="1">
      <alignment horizontal="right"/>
    </xf>
    <xf numFmtId="3" fontId="5" fillId="0" borderId="82" xfId="0" applyNumberFormat="1" applyFont="1" applyBorder="1" applyAlignment="1">
      <alignment horizontal="right"/>
    </xf>
    <xf numFmtId="0" fontId="4" fillId="0" borderId="85" xfId="0" applyFont="1" applyBorder="1" applyAlignment="1">
      <alignment horizontal="right"/>
    </xf>
    <xf numFmtId="0" fontId="4" fillId="0" borderId="20" xfId="0" applyFont="1" applyBorder="1" applyAlignment="1">
      <alignment horizontal="right"/>
    </xf>
    <xf numFmtId="3" fontId="4" fillId="0" borderId="0" xfId="0" applyNumberFormat="1" applyFont="1" applyAlignment="1">
      <alignment horizontal="right"/>
    </xf>
    <xf numFmtId="3" fontId="4" fillId="0" borderId="26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3" fontId="4" fillId="0" borderId="36" xfId="0" applyNumberFormat="1" applyFont="1" applyBorder="1" applyAlignment="1">
      <alignment horizontal="right"/>
    </xf>
    <xf numFmtId="3" fontId="4" fillId="0" borderId="38" xfId="0" applyNumberFormat="1" applyFont="1" applyBorder="1" applyAlignment="1">
      <alignment horizontal="right"/>
    </xf>
    <xf numFmtId="1" fontId="5" fillId="0" borderId="75" xfId="0" applyNumberFormat="1" applyFont="1" applyBorder="1" applyAlignment="1">
      <alignment horizontal="right"/>
    </xf>
    <xf numFmtId="1" fontId="5" fillId="0" borderId="80" xfId="0" applyNumberFormat="1" applyFont="1" applyBorder="1" applyAlignment="1">
      <alignment horizontal="right"/>
    </xf>
    <xf numFmtId="169" fontId="5" fillId="0" borderId="75" xfId="0" applyNumberFormat="1" applyFont="1" applyBorder="1" applyAlignment="1">
      <alignment horizontal="right"/>
    </xf>
    <xf numFmtId="3" fontId="5" fillId="5" borderId="79" xfId="0" applyNumberFormat="1" applyFont="1" applyFill="1" applyBorder="1" applyAlignment="1">
      <alignment horizontal="right"/>
    </xf>
    <xf numFmtId="3" fontId="5" fillId="0" borderId="80" xfId="0" applyNumberFormat="1" applyFont="1" applyBorder="1" applyAlignment="1">
      <alignment horizontal="right"/>
    </xf>
    <xf numFmtId="0" fontId="4" fillId="0" borderId="79" xfId="0" applyFont="1" applyBorder="1"/>
    <xf numFmtId="0" fontId="4" fillId="0" borderId="26" xfId="0" applyFont="1" applyBorder="1"/>
    <xf numFmtId="0" fontId="4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9" xfId="0" applyFont="1" applyBorder="1" applyAlignment="1">
      <alignment horizontal="center" vertical="center" wrapText="1"/>
    </xf>
    <xf numFmtId="1" fontId="4" fillId="3" borderId="0" xfId="0" applyNumberFormat="1" applyFont="1" applyFill="1"/>
    <xf numFmtId="0" fontId="4" fillId="0" borderId="86" xfId="0" applyFont="1" applyBorder="1" applyAlignment="1">
      <alignment horizontal="center"/>
    </xf>
    <xf numFmtId="164" fontId="5" fillId="0" borderId="28" xfId="0" applyNumberFormat="1" applyFont="1" applyBorder="1"/>
    <xf numFmtId="172" fontId="5" fillId="0" borderId="36" xfId="1" applyNumberFormat="1" applyFont="1" applyFill="1" applyBorder="1" applyAlignment="1">
      <alignment horizontal="right"/>
    </xf>
    <xf numFmtId="172" fontId="5" fillId="0" borderId="37" xfId="1" applyNumberFormat="1" applyFont="1" applyBorder="1" applyAlignment="1">
      <alignment horizontal="right"/>
    </xf>
    <xf numFmtId="169" fontId="4" fillId="0" borderId="29" xfId="0" applyNumberFormat="1" applyFont="1" applyBorder="1"/>
    <xf numFmtId="3" fontId="4" fillId="0" borderId="29" xfId="0" applyNumberFormat="1" applyFont="1" applyBorder="1" applyAlignment="1">
      <alignment horizontal="right"/>
    </xf>
    <xf numFmtId="0" fontId="5" fillId="0" borderId="38" xfId="0" applyFont="1" applyBorder="1"/>
    <xf numFmtId="0" fontId="5" fillId="5" borderId="64" xfId="0" applyFont="1" applyFill="1" applyBorder="1" applyAlignment="1">
      <alignment horizontal="right"/>
    </xf>
    <xf numFmtId="14" fontId="5" fillId="0" borderId="0" xfId="0" applyNumberFormat="1" applyFont="1"/>
    <xf numFmtId="0" fontId="4" fillId="5" borderId="87" xfId="0" applyFont="1" applyFill="1" applyBorder="1" applyAlignment="1">
      <alignment horizontal="center" wrapText="1"/>
    </xf>
    <xf numFmtId="0" fontId="4" fillId="0" borderId="0" xfId="0" quotePrefix="1" applyFont="1" applyAlignment="1">
      <alignment horizontal="center"/>
    </xf>
    <xf numFmtId="1" fontId="5" fillId="0" borderId="81" xfId="0" applyNumberFormat="1" applyFont="1" applyBorder="1" applyAlignment="1">
      <alignment horizontal="right"/>
    </xf>
    <xf numFmtId="164" fontId="5" fillId="0" borderId="22" xfId="0" applyNumberFormat="1" applyFont="1" applyBorder="1" applyAlignment="1">
      <alignment horizontal="right"/>
    </xf>
    <xf numFmtId="164" fontId="5" fillId="0" borderId="0" xfId="0" applyNumberFormat="1" applyFont="1" applyAlignment="1">
      <alignment horizontal="right"/>
    </xf>
    <xf numFmtId="164" fontId="5" fillId="0" borderId="45" xfId="0" applyNumberFormat="1" applyFont="1" applyBorder="1" applyAlignment="1">
      <alignment horizontal="right"/>
    </xf>
    <xf numFmtId="0" fontId="5" fillId="5" borderId="27" xfId="0" applyFont="1" applyFill="1" applyBorder="1"/>
    <xf numFmtId="0" fontId="5" fillId="5" borderId="34" xfId="0" applyFont="1" applyFill="1" applyBorder="1"/>
    <xf numFmtId="172" fontId="5" fillId="0" borderId="36" xfId="1" applyNumberFormat="1" applyFont="1" applyFill="1" applyBorder="1" applyAlignment="1"/>
    <xf numFmtId="172" fontId="5" fillId="0" borderId="37" xfId="1" applyNumberFormat="1" applyFont="1" applyBorder="1" applyAlignment="1"/>
    <xf numFmtId="0" fontId="5" fillId="5" borderId="5" xfId="0" applyFont="1" applyFill="1" applyBorder="1"/>
    <xf numFmtId="3" fontId="4" fillId="0" borderId="37" xfId="0" applyNumberFormat="1" applyFont="1" applyBorder="1" applyAlignment="1">
      <alignment horizontal="right"/>
    </xf>
    <xf numFmtId="3" fontId="4" fillId="0" borderId="20" xfId="0" applyNumberFormat="1" applyFont="1" applyBorder="1" applyAlignment="1">
      <alignment horizontal="right"/>
    </xf>
    <xf numFmtId="3" fontId="4" fillId="0" borderId="85" xfId="0" applyNumberFormat="1" applyFont="1" applyBorder="1" applyAlignment="1">
      <alignment horizontal="right"/>
    </xf>
    <xf numFmtId="169" fontId="4" fillId="0" borderId="73" xfId="0" applyNumberFormat="1" applyFont="1" applyBorder="1"/>
    <xf numFmtId="3" fontId="6" fillId="0" borderId="0" xfId="0" applyNumberFormat="1" applyFont="1" applyAlignment="1">
      <alignment horizontal="right"/>
    </xf>
    <xf numFmtId="0" fontId="3" fillId="3" borderId="31" xfId="0" applyFont="1" applyFill="1" applyBorder="1" applyAlignment="1">
      <alignment horizontal="center"/>
    </xf>
    <xf numFmtId="0" fontId="3" fillId="3" borderId="12" xfId="0" applyFont="1" applyFill="1" applyBorder="1" applyAlignment="1">
      <alignment horizontal="center"/>
    </xf>
    <xf numFmtId="0" fontId="3" fillId="3" borderId="29" xfId="0" applyFont="1" applyFill="1" applyBorder="1" applyAlignment="1">
      <alignment horizontal="center"/>
    </xf>
    <xf numFmtId="0" fontId="3" fillId="3" borderId="30" xfId="0" applyFont="1" applyFill="1" applyBorder="1" applyAlignment="1">
      <alignment horizontal="center"/>
    </xf>
    <xf numFmtId="0" fontId="3" fillId="3" borderId="32" xfId="0" applyFont="1" applyFill="1" applyBorder="1" applyAlignment="1">
      <alignment horizontal="center"/>
    </xf>
    <xf numFmtId="171" fontId="5" fillId="0" borderId="5" xfId="0" applyNumberFormat="1" applyFont="1" applyBorder="1" applyAlignment="1">
      <alignment horizontal="left"/>
    </xf>
    <xf numFmtId="0" fontId="5" fillId="0" borderId="9" xfId="0" applyFont="1" applyBorder="1" applyAlignment="1">
      <alignment horizontal="center" vertical="center" wrapText="1"/>
    </xf>
    <xf numFmtId="0" fontId="5" fillId="5" borderId="28" xfId="0" applyFont="1" applyFill="1" applyBorder="1"/>
    <xf numFmtId="0" fontId="5" fillId="0" borderId="0" xfId="0" applyFont="1" applyAlignment="1">
      <alignment horizontal="left"/>
    </xf>
    <xf numFmtId="171" fontId="5" fillId="0" borderId="0" xfId="0" applyNumberFormat="1" applyFont="1" applyAlignment="1">
      <alignment horizontal="left"/>
    </xf>
    <xf numFmtId="3" fontId="5" fillId="0" borderId="0" xfId="0" applyNumberFormat="1" applyFont="1" applyAlignment="1">
      <alignment horizontal="center"/>
    </xf>
    <xf numFmtId="173" fontId="5" fillId="0" borderId="0" xfId="0" applyNumberFormat="1" applyFont="1" applyAlignment="1">
      <alignment horizontal="right"/>
    </xf>
    <xf numFmtId="3" fontId="5" fillId="0" borderId="3" xfId="0" applyNumberFormat="1" applyFont="1" applyBorder="1" applyAlignment="1">
      <alignment horizontal="right"/>
    </xf>
    <xf numFmtId="3" fontId="5" fillId="0" borderId="4" xfId="0" applyNumberFormat="1" applyFont="1" applyBorder="1" applyAlignment="1">
      <alignment horizontal="right"/>
    </xf>
    <xf numFmtId="0" fontId="5" fillId="0" borderId="12" xfId="0" applyFont="1" applyBorder="1" applyAlignment="1">
      <alignment horizontal="center" vertical="center" wrapText="1"/>
    </xf>
    <xf numFmtId="0" fontId="5" fillId="0" borderId="18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3" fontId="5" fillId="0" borderId="40" xfId="0" applyNumberFormat="1" applyFont="1" applyBorder="1" applyAlignment="1">
      <alignment horizontal="right"/>
    </xf>
    <xf numFmtId="10" fontId="4" fillId="0" borderId="67" xfId="0" applyNumberFormat="1" applyFont="1" applyBorder="1"/>
    <xf numFmtId="3" fontId="4" fillId="0" borderId="71" xfId="0" applyNumberFormat="1" applyFont="1" applyBorder="1"/>
    <xf numFmtId="2" fontId="5" fillId="0" borderId="18" xfId="0" applyNumberFormat="1" applyFont="1" applyBorder="1"/>
    <xf numFmtId="164" fontId="5" fillId="0" borderId="18" xfId="0" applyNumberFormat="1" applyFont="1" applyBorder="1" applyAlignment="1">
      <alignment horizontal="center"/>
    </xf>
    <xf numFmtId="169" fontId="5" fillId="0" borderId="18" xfId="0" applyNumberFormat="1" applyFont="1" applyBorder="1" applyAlignment="1">
      <alignment horizontal="center"/>
    </xf>
    <xf numFmtId="164" fontId="5" fillId="0" borderId="18" xfId="0" applyNumberFormat="1" applyFont="1" applyBorder="1"/>
    <xf numFmtId="167" fontId="5" fillId="0" borderId="18" xfId="0" applyNumberFormat="1" applyFont="1" applyBorder="1"/>
    <xf numFmtId="0" fontId="4" fillId="0" borderId="72" xfId="0" applyFont="1" applyBorder="1" applyAlignment="1">
      <alignment horizontal="center"/>
    </xf>
    <xf numFmtId="0" fontId="4" fillId="5" borderId="0" xfId="0" applyFont="1" applyFill="1"/>
    <xf numFmtId="0" fontId="0" fillId="0" borderId="4" xfId="0" applyBorder="1" applyAlignment="1">
      <alignment horizontal="center"/>
    </xf>
    <xf numFmtId="164" fontId="5" fillId="0" borderId="27" xfId="0" applyNumberFormat="1" applyFont="1" applyBorder="1" applyAlignment="1">
      <alignment horizontal="center"/>
    </xf>
    <xf numFmtId="3" fontId="4" fillId="6" borderId="29" xfId="0" applyNumberFormat="1" applyFont="1" applyFill="1" applyBorder="1"/>
    <xf numFmtId="169" fontId="5" fillId="0" borderId="55" xfId="0" applyNumberFormat="1" applyFont="1" applyBorder="1"/>
    <xf numFmtId="0" fontId="5" fillId="5" borderId="52" xfId="0" applyFont="1" applyFill="1" applyBorder="1" applyAlignment="1">
      <alignment horizontal="right"/>
    </xf>
    <xf numFmtId="0" fontId="10" fillId="0" borderId="0" xfId="0" applyFont="1"/>
    <xf numFmtId="3" fontId="10" fillId="0" borderId="0" xfId="0" quotePrefix="1" applyNumberFormat="1" applyFont="1" applyAlignment="1">
      <alignment horizontal="center"/>
    </xf>
    <xf numFmtId="0" fontId="11" fillId="0" borderId="0" xfId="0" applyFont="1" applyAlignment="1">
      <alignment horizontal="center"/>
    </xf>
    <xf numFmtId="167" fontId="10" fillId="0" borderId="0" xfId="0" applyNumberFormat="1" applyFont="1"/>
    <xf numFmtId="166" fontId="12" fillId="0" borderId="0" xfId="0" applyNumberFormat="1" applyFont="1" applyAlignment="1">
      <alignment horizontal="center"/>
    </xf>
    <xf numFmtId="0" fontId="12" fillId="0" borderId="0" xfId="0" applyFont="1"/>
    <xf numFmtId="0" fontId="12" fillId="0" borderId="0" xfId="0" applyFont="1" applyAlignment="1">
      <alignment horizontal="center"/>
    </xf>
    <xf numFmtId="0" fontId="12" fillId="0" borderId="50" xfId="0" applyFont="1" applyBorder="1"/>
    <xf numFmtId="0" fontId="10" fillId="0" borderId="21" xfId="0" applyFont="1" applyBorder="1"/>
    <xf numFmtId="0" fontId="10" fillId="0" borderId="22" xfId="0" applyFont="1" applyBorder="1"/>
    <xf numFmtId="0" fontId="12" fillId="0" borderId="22" xfId="0" applyFont="1" applyBorder="1" applyAlignment="1">
      <alignment horizontal="center"/>
    </xf>
    <xf numFmtId="167" fontId="10" fillId="0" borderId="22" xfId="0" applyNumberFormat="1" applyFont="1" applyBorder="1" applyAlignment="1">
      <alignment horizontal="center"/>
    </xf>
    <xf numFmtId="0" fontId="10" fillId="0" borderId="25" xfId="0" applyFont="1" applyBorder="1"/>
    <xf numFmtId="166" fontId="12" fillId="0" borderId="22" xfId="0" applyNumberFormat="1" applyFont="1" applyBorder="1" applyAlignment="1">
      <alignment horizontal="center"/>
    </xf>
    <xf numFmtId="0" fontId="12" fillId="0" borderId="10" xfId="0" applyFont="1" applyBorder="1"/>
    <xf numFmtId="0" fontId="10" fillId="0" borderId="13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14" xfId="0" applyFont="1" applyBorder="1"/>
    <xf numFmtId="0" fontId="10" fillId="0" borderId="13" xfId="0" applyFont="1" applyBorder="1"/>
    <xf numFmtId="0" fontId="11" fillId="0" borderId="13" xfId="0" applyFont="1" applyBorder="1" applyAlignment="1">
      <alignment horizontal="center"/>
    </xf>
    <xf numFmtId="0" fontId="12" fillId="0" borderId="14" xfId="0" applyFont="1" applyBorder="1" applyAlignment="1">
      <alignment horizontal="center"/>
    </xf>
    <xf numFmtId="0" fontId="10" fillId="0" borderId="10" xfId="0" applyFont="1" applyBorder="1"/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166" fontId="12" fillId="0" borderId="2" xfId="0" applyNumberFormat="1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166" fontId="12" fillId="0" borderId="16" xfId="0" applyNumberFormat="1" applyFont="1" applyBorder="1" applyAlignment="1">
      <alignment horizontal="center"/>
    </xf>
    <xf numFmtId="0" fontId="12" fillId="4" borderId="78" xfId="0" applyFont="1" applyFill="1" applyBorder="1"/>
    <xf numFmtId="166" fontId="12" fillId="4" borderId="17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center"/>
    </xf>
    <xf numFmtId="166" fontId="12" fillId="4" borderId="18" xfId="0" applyNumberFormat="1" applyFont="1" applyFill="1" applyBorder="1" applyAlignment="1">
      <alignment horizontal="right"/>
    </xf>
    <xf numFmtId="166" fontId="12" fillId="4" borderId="19" xfId="0" applyNumberFormat="1" applyFont="1" applyFill="1" applyBorder="1" applyAlignment="1">
      <alignment horizontal="right"/>
    </xf>
    <xf numFmtId="0" fontId="12" fillId="4" borderId="11" xfId="0" applyFont="1" applyFill="1" applyBorder="1"/>
    <xf numFmtId="0" fontId="12" fillId="3" borderId="27" xfId="0" applyFont="1" applyFill="1" applyBorder="1" applyAlignment="1">
      <alignment horizontal="center" vertical="center"/>
    </xf>
    <xf numFmtId="165" fontId="10" fillId="0" borderId="0" xfId="0" applyNumberFormat="1" applyFont="1" applyAlignment="1">
      <alignment horizontal="center"/>
    </xf>
    <xf numFmtId="0" fontId="10" fillId="0" borderId="7" xfId="0" applyFont="1" applyBorder="1"/>
    <xf numFmtId="0" fontId="10" fillId="0" borderId="8" xfId="0" applyFont="1" applyBorder="1"/>
    <xf numFmtId="9" fontId="10" fillId="0" borderId="8" xfId="0" applyNumberFormat="1" applyFont="1" applyBorder="1"/>
    <xf numFmtId="2" fontId="10" fillId="0" borderId="8" xfId="0" applyNumberFormat="1" applyFont="1" applyBorder="1"/>
    <xf numFmtId="164" fontId="10" fillId="0" borderId="27" xfId="0" applyNumberFormat="1" applyFont="1" applyBorder="1"/>
    <xf numFmtId="166" fontId="10" fillId="0" borderId="7" xfId="0" applyNumberFormat="1" applyFont="1" applyBorder="1"/>
    <xf numFmtId="0" fontId="10" fillId="0" borderId="27" xfId="0" applyFont="1" applyBorder="1"/>
    <xf numFmtId="164" fontId="10" fillId="0" borderId="9" xfId="0" quotePrefix="1" applyNumberFormat="1" applyFont="1" applyBorder="1"/>
    <xf numFmtId="0" fontId="10" fillId="0" borderId="3" xfId="0" applyFont="1" applyBorder="1"/>
    <xf numFmtId="9" fontId="10" fillId="0" borderId="0" xfId="0" applyNumberFormat="1" applyFont="1"/>
    <xf numFmtId="2" fontId="10" fillId="0" borderId="0" xfId="0" applyNumberFormat="1" applyFont="1"/>
    <xf numFmtId="164" fontId="10" fillId="0" borderId="34" xfId="0" applyNumberFormat="1" applyFont="1" applyBorder="1"/>
    <xf numFmtId="166" fontId="10" fillId="0" borderId="3" xfId="0" applyNumberFormat="1" applyFont="1" applyBorder="1"/>
    <xf numFmtId="0" fontId="10" fillId="0" borderId="34" xfId="0" applyFont="1" applyBorder="1"/>
    <xf numFmtId="0" fontId="10" fillId="0" borderId="4" xfId="0" applyFont="1" applyBorder="1"/>
    <xf numFmtId="169" fontId="10" fillId="0" borderId="0" xfId="0" applyNumberFormat="1" applyFont="1"/>
    <xf numFmtId="164" fontId="10" fillId="0" borderId="0" xfId="0" applyNumberFormat="1" applyFont="1"/>
    <xf numFmtId="0" fontId="10" fillId="0" borderId="48" xfId="0" applyFont="1" applyBorder="1"/>
    <xf numFmtId="0" fontId="10" fillId="0" borderId="45" xfId="0" applyFont="1" applyBorder="1"/>
    <xf numFmtId="9" fontId="10" fillId="0" borderId="45" xfId="0" applyNumberFormat="1" applyFont="1" applyBorder="1"/>
    <xf numFmtId="2" fontId="10" fillId="0" borderId="45" xfId="0" applyNumberFormat="1" applyFont="1" applyBorder="1"/>
    <xf numFmtId="164" fontId="10" fillId="0" borderId="54" xfId="0" applyNumberFormat="1" applyFont="1" applyBorder="1"/>
    <xf numFmtId="166" fontId="10" fillId="0" borderId="48" xfId="0" applyNumberFormat="1" applyFont="1" applyBorder="1"/>
    <xf numFmtId="0" fontId="10" fillId="0" borderId="54" xfId="0" applyFont="1" applyBorder="1"/>
    <xf numFmtId="0" fontId="10" fillId="0" borderId="75" xfId="0" applyFont="1" applyBorder="1"/>
    <xf numFmtId="0" fontId="10" fillId="0" borderId="2" xfId="0" applyFont="1" applyBorder="1"/>
    <xf numFmtId="9" fontId="10" fillId="0" borderId="2" xfId="0" applyNumberFormat="1" applyFont="1" applyBorder="1"/>
    <xf numFmtId="164" fontId="10" fillId="0" borderId="2" xfId="0" applyNumberFormat="1" applyFont="1" applyBorder="1"/>
    <xf numFmtId="164" fontId="10" fillId="0" borderId="74" xfId="0" applyNumberFormat="1" applyFont="1" applyBorder="1"/>
    <xf numFmtId="166" fontId="10" fillId="0" borderId="28" xfId="0" applyNumberFormat="1" applyFont="1" applyBorder="1" applyAlignment="1">
      <alignment horizontal="center"/>
    </xf>
    <xf numFmtId="3" fontId="12" fillId="3" borderId="28" xfId="0" applyNumberFormat="1" applyFont="1" applyFill="1" applyBorder="1" applyAlignment="1">
      <alignment horizontal="center"/>
    </xf>
    <xf numFmtId="0" fontId="12" fillId="0" borderId="6" xfId="0" applyFont="1" applyBorder="1"/>
    <xf numFmtId="166" fontId="10" fillId="0" borderId="0" xfId="0" applyNumberFormat="1" applyFont="1"/>
    <xf numFmtId="166" fontId="12" fillId="0" borderId="0" xfId="0" applyNumberFormat="1" applyFont="1"/>
    <xf numFmtId="166" fontId="10" fillId="4" borderId="21" xfId="0" applyNumberFormat="1" applyFont="1" applyFill="1" applyBorder="1"/>
    <xf numFmtId="164" fontId="10" fillId="4" borderId="22" xfId="0" applyNumberFormat="1" applyFont="1" applyFill="1" applyBorder="1"/>
    <xf numFmtId="166" fontId="10" fillId="4" borderId="22" xfId="0" applyNumberFormat="1" applyFont="1" applyFill="1" applyBorder="1"/>
    <xf numFmtId="164" fontId="10" fillId="4" borderId="25" xfId="0" applyNumberFormat="1" applyFont="1" applyFill="1" applyBorder="1"/>
    <xf numFmtId="166" fontId="10" fillId="4" borderId="13" xfId="0" applyNumberFormat="1" applyFont="1" applyFill="1" applyBorder="1"/>
    <xf numFmtId="164" fontId="10" fillId="4" borderId="0" xfId="0" applyNumberFormat="1" applyFont="1" applyFill="1"/>
    <xf numFmtId="166" fontId="10" fillId="4" borderId="0" xfId="0" applyNumberFormat="1" applyFont="1" applyFill="1"/>
    <xf numFmtId="164" fontId="10" fillId="4" borderId="14" xfId="0" applyNumberFormat="1" applyFont="1" applyFill="1" applyBorder="1"/>
    <xf numFmtId="166" fontId="10" fillId="4" borderId="26" xfId="0" applyNumberFormat="1" applyFont="1" applyFill="1" applyBorder="1"/>
    <xf numFmtId="164" fontId="10" fillId="4" borderId="1" xfId="0" applyNumberFormat="1" applyFont="1" applyFill="1" applyBorder="1"/>
    <xf numFmtId="166" fontId="10" fillId="4" borderId="1" xfId="0" applyNumberFormat="1" applyFont="1" applyFill="1" applyBorder="1"/>
    <xf numFmtId="164" fontId="10" fillId="4" borderId="38" xfId="0" applyNumberFormat="1" applyFont="1" applyFill="1" applyBorder="1"/>
    <xf numFmtId="0" fontId="10" fillId="3" borderId="0" xfId="0" applyFont="1" applyFill="1"/>
    <xf numFmtId="166" fontId="12" fillId="4" borderId="26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center"/>
    </xf>
    <xf numFmtId="166" fontId="12" fillId="4" borderId="1" xfId="0" applyNumberFormat="1" applyFont="1" applyFill="1" applyBorder="1" applyAlignment="1">
      <alignment horizontal="right"/>
    </xf>
    <xf numFmtId="166" fontId="12" fillId="4" borderId="38" xfId="0" applyNumberFormat="1" applyFont="1" applyFill="1" applyBorder="1" applyAlignment="1">
      <alignment horizontal="right"/>
    </xf>
    <xf numFmtId="0" fontId="4" fillId="0" borderId="22" xfId="0" applyFont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4" fillId="0" borderId="22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52" xfId="0" applyFont="1" applyBorder="1"/>
    <xf numFmtId="0" fontId="4" fillId="0" borderId="39" xfId="0" applyFont="1" applyBorder="1"/>
    <xf numFmtId="0" fontId="4" fillId="0" borderId="64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4" fillId="0" borderId="64" xfId="0" applyFont="1" applyBorder="1"/>
    <xf numFmtId="0" fontId="4" fillId="0" borderId="34" xfId="0" applyFont="1" applyBorder="1" applyAlignment="1">
      <alignment horizontal="center"/>
    </xf>
    <xf numFmtId="0" fontId="4" fillId="0" borderId="44" xfId="0" applyFont="1" applyBorder="1" applyAlignment="1">
      <alignment horizontal="left"/>
    </xf>
    <xf numFmtId="0" fontId="4" fillId="0" borderId="2" xfId="0" applyFont="1" applyBorder="1" applyAlignment="1">
      <alignment horizontal="center"/>
    </xf>
    <xf numFmtId="0" fontId="1" fillId="0" borderId="64" xfId="0" applyFont="1" applyBorder="1"/>
    <xf numFmtId="0" fontId="3" fillId="0" borderId="88" xfId="0" applyFont="1" applyBorder="1" applyAlignment="1">
      <alignment horizontal="center"/>
    </xf>
    <xf numFmtId="0" fontId="3" fillId="0" borderId="27" xfId="0" applyFont="1" applyBorder="1" applyAlignment="1">
      <alignment horizontal="center"/>
    </xf>
    <xf numFmtId="0" fontId="3" fillId="0" borderId="86" xfId="0" applyFont="1" applyBorder="1" applyAlignment="1">
      <alignment horizontal="center"/>
    </xf>
    <xf numFmtId="0" fontId="3" fillId="0" borderId="9" xfId="0" applyFont="1" applyBorder="1" applyAlignment="1">
      <alignment horizontal="center"/>
    </xf>
    <xf numFmtId="1" fontId="5" fillId="0" borderId="39" xfId="3" applyNumberFormat="1" applyFont="1" applyBorder="1" applyAlignment="1">
      <alignment horizontal="center" wrapText="1"/>
    </xf>
    <xf numFmtId="1" fontId="5" fillId="0" borderId="52" xfId="3" applyNumberFormat="1" applyFont="1" applyBorder="1" applyAlignment="1">
      <alignment horizontal="center" wrapText="1"/>
    </xf>
    <xf numFmtId="1" fontId="5" fillId="0" borderId="72" xfId="3" applyNumberFormat="1" applyFont="1" applyBorder="1" applyAlignment="1">
      <alignment horizontal="center" wrapText="1"/>
    </xf>
    <xf numFmtId="174" fontId="5" fillId="0" borderId="27" xfId="0" applyNumberFormat="1" applyFont="1" applyBorder="1" applyAlignment="1">
      <alignment horizontal="left"/>
    </xf>
    <xf numFmtId="174" fontId="5" fillId="0" borderId="7" xfId="0" applyNumberFormat="1" applyFont="1" applyBorder="1" applyAlignment="1">
      <alignment horizontal="left"/>
    </xf>
    <xf numFmtId="0" fontId="5" fillId="0" borderId="86" xfId="0" applyFont="1" applyBorder="1" applyAlignment="1">
      <alignment horizontal="left"/>
    </xf>
    <xf numFmtId="0" fontId="0" fillId="0" borderId="88" xfId="0" applyBorder="1" applyAlignment="1">
      <alignment horizontal="center"/>
    </xf>
    <xf numFmtId="164" fontId="5" fillId="0" borderId="86" xfId="0" applyNumberFormat="1" applyFont="1" applyBorder="1" applyAlignment="1">
      <alignment horizontal="center"/>
    </xf>
    <xf numFmtId="0" fontId="0" fillId="0" borderId="8" xfId="0" applyBorder="1"/>
    <xf numFmtId="0" fontId="0" fillId="0" borderId="7" xfId="0" applyBorder="1"/>
    <xf numFmtId="0" fontId="0" fillId="0" borderId="9" xfId="0" applyBorder="1"/>
    <xf numFmtId="174" fontId="5" fillId="0" borderId="34" xfId="0" applyNumberFormat="1" applyFont="1" applyBorder="1" applyAlignment="1">
      <alignment horizontal="left"/>
    </xf>
    <xf numFmtId="174" fontId="5" fillId="0" borderId="3" xfId="0" applyNumberFormat="1" applyFont="1" applyBorder="1" applyAlignment="1">
      <alignment horizontal="left"/>
    </xf>
    <xf numFmtId="0" fontId="5" fillId="0" borderId="33" xfId="0" applyFont="1" applyBorder="1" applyAlignment="1">
      <alignment horizontal="left"/>
    </xf>
    <xf numFmtId="0" fontId="0" fillId="0" borderId="64" xfId="0" applyBorder="1" applyAlignment="1">
      <alignment horizontal="center"/>
    </xf>
    <xf numFmtId="164" fontId="5" fillId="0" borderId="33" xfId="0" applyNumberFormat="1" applyFont="1" applyBorder="1" applyAlignment="1">
      <alignment horizontal="center"/>
    </xf>
    <xf numFmtId="0" fontId="0" fillId="0" borderId="3" xfId="0" applyBorder="1"/>
    <xf numFmtId="0" fontId="0" fillId="0" borderId="4" xfId="0" applyBorder="1"/>
    <xf numFmtId="174" fontId="0" fillId="0" borderId="34" xfId="0" applyNumberFormat="1" applyBorder="1" applyAlignment="1">
      <alignment horizontal="left"/>
    </xf>
    <xf numFmtId="0" fontId="0" fillId="0" borderId="34" xfId="0" applyBorder="1" applyAlignment="1">
      <alignment horizontal="center"/>
    </xf>
    <xf numFmtId="164" fontId="0" fillId="0" borderId="33" xfId="0" applyNumberFormat="1" applyBorder="1" applyAlignment="1">
      <alignment horizontal="center"/>
    </xf>
    <xf numFmtId="0" fontId="0" fillId="0" borderId="33" xfId="0" applyBorder="1" applyAlignment="1">
      <alignment horizontal="left"/>
    </xf>
    <xf numFmtId="0" fontId="5" fillId="0" borderId="3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3" fontId="5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0" fontId="13" fillId="0" borderId="33" xfId="0" applyFont="1" applyBorder="1" applyAlignment="1">
      <alignment horizontal="left"/>
    </xf>
    <xf numFmtId="166" fontId="10" fillId="0" borderId="21" xfId="0" applyNumberFormat="1" applyFont="1" applyBorder="1"/>
    <xf numFmtId="164" fontId="10" fillId="0" borderId="22" xfId="0" applyNumberFormat="1" applyFont="1" applyBorder="1"/>
    <xf numFmtId="166" fontId="10" fillId="0" borderId="22" xfId="0" applyNumberFormat="1" applyFont="1" applyBorder="1"/>
    <xf numFmtId="164" fontId="10" fillId="0" borderId="25" xfId="0" applyNumberFormat="1" applyFont="1" applyBorder="1"/>
    <xf numFmtId="166" fontId="10" fillId="0" borderId="13" xfId="0" applyNumberFormat="1" applyFont="1" applyBorder="1"/>
    <xf numFmtId="164" fontId="10" fillId="0" borderId="14" xfId="0" applyNumberFormat="1" applyFont="1" applyBorder="1"/>
    <xf numFmtId="166" fontId="10" fillId="0" borderId="26" xfId="0" applyNumberFormat="1" applyFont="1" applyBorder="1"/>
    <xf numFmtId="164" fontId="10" fillId="0" borderId="1" xfId="0" applyNumberFormat="1" applyFont="1" applyBorder="1"/>
    <xf numFmtId="166" fontId="10" fillId="0" borderId="1" xfId="0" applyNumberFormat="1" applyFont="1" applyBorder="1"/>
    <xf numFmtId="164" fontId="10" fillId="0" borderId="38" xfId="0" applyNumberFormat="1" applyFont="1" applyBorder="1"/>
    <xf numFmtId="9" fontId="12" fillId="0" borderId="0" xfId="0" applyNumberFormat="1" applyFont="1"/>
    <xf numFmtId="3" fontId="5" fillId="0" borderId="89" xfId="0" applyNumberFormat="1" applyFont="1" applyBorder="1"/>
    <xf numFmtId="0" fontId="5" fillId="0" borderId="7" xfId="0" applyFont="1" applyBorder="1" applyAlignment="1">
      <alignment horizontal="center" vertical="center" wrapText="1"/>
    </xf>
    <xf numFmtId="167" fontId="5" fillId="0" borderId="29" xfId="0" applyNumberFormat="1" applyFont="1" applyBorder="1"/>
    <xf numFmtId="167" fontId="5" fillId="0" borderId="30" xfId="0" applyNumberFormat="1" applyFont="1" applyBorder="1"/>
    <xf numFmtId="167" fontId="5" fillId="0" borderId="12" xfId="0" applyNumberFormat="1" applyFont="1" applyBorder="1"/>
    <xf numFmtId="164" fontId="5" fillId="0" borderId="12" xfId="0" applyNumberFormat="1" applyFont="1" applyBorder="1"/>
    <xf numFmtId="164" fontId="5" fillId="0" borderId="30" xfId="0" applyNumberFormat="1" applyFont="1" applyBorder="1"/>
    <xf numFmtId="0" fontId="5" fillId="0" borderId="19" xfId="0" applyFont="1" applyBorder="1" applyAlignment="1">
      <alignment horizontal="center" vertical="center" wrapText="1"/>
    </xf>
    <xf numFmtId="1" fontId="5" fillId="0" borderId="31" xfId="3" applyNumberFormat="1" applyFont="1" applyBorder="1" applyAlignment="1">
      <alignment horizontal="center" wrapText="1"/>
    </xf>
    <xf numFmtId="1" fontId="5" fillId="0" borderId="29" xfId="3" applyNumberFormat="1" applyFont="1" applyBorder="1" applyAlignment="1">
      <alignment horizontal="center" wrapText="1"/>
    </xf>
    <xf numFmtId="0" fontId="5" fillId="0" borderId="32" xfId="0" applyFont="1" applyBorder="1" applyAlignment="1">
      <alignment horizontal="center" wrapText="1"/>
    </xf>
    <xf numFmtId="0" fontId="5" fillId="0" borderId="30" xfId="0" applyFont="1" applyBorder="1" applyAlignment="1">
      <alignment horizontal="center" wrapText="1"/>
    </xf>
    <xf numFmtId="0" fontId="5" fillId="0" borderId="17" xfId="0" applyFont="1" applyBorder="1" applyAlignment="1">
      <alignment horizontal="center" wrapText="1"/>
    </xf>
    <xf numFmtId="0" fontId="5" fillId="0" borderId="12" xfId="0" applyFont="1" applyBorder="1" applyAlignment="1">
      <alignment horizontal="center" wrapText="1"/>
    </xf>
    <xf numFmtId="0" fontId="5" fillId="0" borderId="19" xfId="0" applyFont="1" applyBorder="1" applyAlignment="1">
      <alignment horizontal="center" wrapText="1"/>
    </xf>
    <xf numFmtId="0" fontId="5" fillId="0" borderId="7" xfId="0" applyFont="1" applyBorder="1" applyAlignment="1">
      <alignment horizontal="right"/>
    </xf>
    <xf numFmtId="0" fontId="4" fillId="5" borderId="31" xfId="0" applyFont="1" applyFill="1" applyBorder="1" applyAlignment="1">
      <alignment horizontal="center" vertical="center" wrapText="1"/>
    </xf>
    <xf numFmtId="0" fontId="5" fillId="0" borderId="17" xfId="0" applyFont="1" applyBorder="1" applyAlignment="1">
      <alignment horizontal="center" vertical="center" wrapText="1"/>
    </xf>
    <xf numFmtId="3" fontId="5" fillId="0" borderId="7" xfId="0" applyNumberFormat="1" applyFont="1" applyBorder="1"/>
    <xf numFmtId="1" fontId="4" fillId="4" borderId="28" xfId="0" applyNumberFormat="1" applyFont="1" applyFill="1" applyBorder="1" applyAlignment="1">
      <alignment horizontal="center"/>
    </xf>
    <xf numFmtId="0" fontId="5" fillId="0" borderId="1" xfId="0" applyFont="1" applyBorder="1"/>
    <xf numFmtId="2" fontId="5" fillId="0" borderId="33" xfId="0" applyNumberFormat="1" applyFont="1" applyBorder="1" applyAlignment="1">
      <alignment horizontal="center"/>
    </xf>
    <xf numFmtId="0" fontId="5" fillId="0" borderId="73" xfId="0" applyFont="1" applyBorder="1"/>
    <xf numFmtId="1" fontId="4" fillId="5" borderId="29" xfId="0" applyNumberFormat="1" applyFont="1" applyFill="1" applyBorder="1"/>
    <xf numFmtId="20" fontId="10" fillId="0" borderId="0" xfId="0" applyNumberFormat="1" applyFont="1"/>
    <xf numFmtId="20" fontId="10" fillId="0" borderId="45" xfId="0" applyNumberFormat="1" applyFont="1" applyBorder="1"/>
    <xf numFmtId="0" fontId="5" fillId="0" borderId="40" xfId="0" applyFont="1" applyBorder="1" applyAlignment="1">
      <alignment horizontal="right"/>
    </xf>
    <xf numFmtId="1" fontId="13" fillId="0" borderId="0" xfId="0" applyNumberFormat="1" applyFont="1" applyAlignment="1">
      <alignment horizontal="right"/>
    </xf>
    <xf numFmtId="1" fontId="13" fillId="0" borderId="14" xfId="0" applyNumberFormat="1" applyFont="1" applyBorder="1" applyAlignment="1">
      <alignment horizontal="right"/>
    </xf>
    <xf numFmtId="0" fontId="0" fillId="0" borderId="34" xfId="0" applyBorder="1"/>
    <xf numFmtId="0" fontId="4" fillId="0" borderId="13" xfId="0" applyFont="1" applyBorder="1" applyAlignment="1">
      <alignment horizontal="right"/>
    </xf>
    <xf numFmtId="0" fontId="4" fillId="7" borderId="3" xfId="0" applyFont="1" applyFill="1" applyBorder="1"/>
    <xf numFmtId="164" fontId="5" fillId="0" borderId="29" xfId="0" applyNumberFormat="1" applyFont="1" applyBorder="1" applyAlignment="1">
      <alignment horizontal="center"/>
    </xf>
    <xf numFmtId="169" fontId="5" fillId="0" borderId="29" xfId="0" applyNumberFormat="1" applyFont="1" applyBorder="1" applyAlignment="1">
      <alignment horizontal="center"/>
    </xf>
    <xf numFmtId="164" fontId="5" fillId="0" borderId="90" xfId="0" applyNumberFormat="1" applyFont="1" applyBorder="1"/>
    <xf numFmtId="1" fontId="5" fillId="0" borderId="0" xfId="0" applyNumberFormat="1" applyFont="1" applyAlignment="1">
      <alignment horizontal="right"/>
    </xf>
    <xf numFmtId="0" fontId="4" fillId="0" borderId="91" xfId="0" applyFont="1" applyBorder="1"/>
    <xf numFmtId="165" fontId="5" fillId="0" borderId="85" xfId="0" applyNumberFormat="1" applyFont="1" applyBorder="1" applyAlignment="1">
      <alignment horizontal="left"/>
    </xf>
    <xf numFmtId="172" fontId="5" fillId="0" borderId="20" xfId="1" applyNumberFormat="1" applyFont="1" applyFill="1" applyBorder="1" applyAlignment="1">
      <alignment horizontal="right"/>
    </xf>
    <xf numFmtId="0" fontId="5" fillId="0" borderId="40" xfId="0" applyFont="1" applyBorder="1"/>
    <xf numFmtId="0" fontId="5" fillId="5" borderId="50" xfId="0" applyFont="1" applyFill="1" applyBorder="1"/>
    <xf numFmtId="0" fontId="5" fillId="5" borderId="10" xfId="0" applyFont="1" applyFill="1" applyBorder="1" applyAlignment="1">
      <alignment horizontal="right"/>
    </xf>
    <xf numFmtId="1" fontId="0" fillId="0" borderId="51" xfId="0" applyNumberFormat="1" applyBorder="1" applyAlignment="1">
      <alignment horizontal="right"/>
    </xf>
    <xf numFmtId="1" fontId="0" fillId="0" borderId="8" xfId="0" applyNumberFormat="1" applyBorder="1" applyAlignment="1">
      <alignment horizontal="right"/>
    </xf>
    <xf numFmtId="1" fontId="0" fillId="0" borderId="89" xfId="0" applyNumberFormat="1" applyBorder="1" applyAlignment="1">
      <alignment horizontal="right"/>
    </xf>
    <xf numFmtId="3" fontId="0" fillId="0" borderId="38" xfId="0" applyNumberFormat="1" applyBorder="1"/>
    <xf numFmtId="3" fontId="0" fillId="0" borderId="26" xfId="0" applyNumberFormat="1" applyBorder="1"/>
    <xf numFmtId="3" fontId="5" fillId="0" borderId="27" xfId="0" applyNumberFormat="1" applyFont="1" applyBorder="1"/>
    <xf numFmtId="3" fontId="5" fillId="0" borderId="15" xfId="0" applyNumberFormat="1" applyFont="1" applyBorder="1" applyAlignment="1">
      <alignment horizontal="right"/>
    </xf>
    <xf numFmtId="3" fontId="5" fillId="0" borderId="2" xfId="0" applyNumberFormat="1" applyFont="1" applyBorder="1" applyAlignment="1">
      <alignment horizontal="right"/>
    </xf>
    <xf numFmtId="3" fontId="5" fillId="0" borderId="16" xfId="0" applyNumberFormat="1" applyFont="1" applyBorder="1" applyAlignment="1">
      <alignment horizontal="right"/>
    </xf>
    <xf numFmtId="0" fontId="0" fillId="0" borderId="45" xfId="0" applyBorder="1"/>
    <xf numFmtId="0" fontId="0" fillId="0" borderId="48" xfId="0" applyBorder="1"/>
    <xf numFmtId="0" fontId="0" fillId="0" borderId="46" xfId="0" applyBorder="1"/>
    <xf numFmtId="0" fontId="0" fillId="0" borderId="49" xfId="0" applyBorder="1"/>
    <xf numFmtId="1" fontId="13" fillId="0" borderId="45" xfId="0" applyNumberFormat="1" applyFont="1" applyBorder="1" applyAlignment="1">
      <alignment horizontal="right"/>
    </xf>
    <xf numFmtId="1" fontId="13" fillId="0" borderId="49" xfId="0" applyNumberFormat="1" applyFont="1" applyBorder="1" applyAlignment="1">
      <alignment horizontal="right"/>
    </xf>
    <xf numFmtId="0" fontId="0" fillId="0" borderId="92" xfId="0" applyBorder="1" applyAlignment="1">
      <alignment horizontal="center"/>
    </xf>
    <xf numFmtId="0" fontId="5" fillId="0" borderId="93" xfId="0" applyFont="1" applyBorder="1" applyAlignment="1">
      <alignment horizontal="right"/>
    </xf>
    <xf numFmtId="0" fontId="5" fillId="0" borderId="95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5" fillId="5" borderId="0" xfId="0" applyFont="1" applyFill="1"/>
    <xf numFmtId="0" fontId="5" fillId="5" borderId="2" xfId="0" applyFont="1" applyFill="1" applyBorder="1"/>
    <xf numFmtId="2" fontId="5" fillId="0" borderId="9" xfId="0" applyNumberFormat="1" applyFont="1" applyBorder="1"/>
    <xf numFmtId="2" fontId="5" fillId="0" borderId="4" xfId="0" applyNumberFormat="1" applyFont="1" applyBorder="1"/>
    <xf numFmtId="2" fontId="5" fillId="0" borderId="6" xfId="0" applyNumberFormat="1" applyFont="1" applyBorder="1"/>
    <xf numFmtId="164" fontId="10" fillId="0" borderId="8" xfId="0" applyNumberFormat="1" applyFont="1" applyBorder="1"/>
    <xf numFmtId="164" fontId="10" fillId="0" borderId="45" xfId="0" applyNumberFormat="1" applyFont="1" applyBorder="1"/>
    <xf numFmtId="9" fontId="10" fillId="3" borderId="8" xfId="0" applyNumberFormat="1" applyFont="1" applyFill="1" applyBorder="1"/>
    <xf numFmtId="9" fontId="10" fillId="3" borderId="0" xfId="0" applyNumberFormat="1" applyFont="1" applyFill="1"/>
    <xf numFmtId="164" fontId="4" fillId="5" borderId="12" xfId="0" applyNumberFormat="1" applyFont="1" applyFill="1" applyBorder="1"/>
    <xf numFmtId="164" fontId="10" fillId="3" borderId="0" xfId="0" applyNumberFormat="1" applyFont="1" applyFill="1"/>
    <xf numFmtId="164" fontId="5" fillId="0" borderId="3" xfId="0" applyNumberFormat="1" applyFont="1" applyBorder="1" applyAlignment="1">
      <alignment horizontal="right"/>
    </xf>
    <xf numFmtId="0" fontId="5" fillId="0" borderId="13" xfId="0" applyFont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4" xfId="0" applyFont="1" applyBorder="1"/>
    <xf numFmtId="0" fontId="5" fillId="0" borderId="48" xfId="0" applyFont="1" applyBorder="1"/>
    <xf numFmtId="0" fontId="5" fillId="0" borderId="46" xfId="0" applyFont="1" applyBorder="1"/>
    <xf numFmtId="171" fontId="5" fillId="0" borderId="7" xfId="0" applyNumberFormat="1" applyFont="1" applyBorder="1"/>
    <xf numFmtId="0" fontId="5" fillId="5" borderId="8" xfId="0" applyFont="1" applyFill="1" applyBorder="1"/>
    <xf numFmtId="0" fontId="5" fillId="0" borderId="92" xfId="0" applyFont="1" applyBorder="1" applyAlignment="1">
      <alignment horizontal="center"/>
    </xf>
    <xf numFmtId="171" fontId="5" fillId="0" borderId="3" xfId="0" applyNumberFormat="1" applyFont="1" applyBorder="1"/>
    <xf numFmtId="171" fontId="5" fillId="0" borderId="34" xfId="0" applyNumberFormat="1" applyFont="1" applyBorder="1"/>
    <xf numFmtId="169" fontId="5" fillId="0" borderId="27" xfId="0" applyNumberFormat="1" applyFont="1" applyBorder="1"/>
    <xf numFmtId="169" fontId="5" fillId="0" borderId="34" xfId="0" applyNumberFormat="1" applyFont="1" applyBorder="1"/>
    <xf numFmtId="169" fontId="5" fillId="0" borderId="28" xfId="0" applyNumberFormat="1" applyFont="1" applyBorder="1"/>
    <xf numFmtId="0" fontId="5" fillId="0" borderId="27" xfId="0" applyFont="1" applyBorder="1" applyAlignment="1">
      <alignment horizontal="right"/>
    </xf>
    <xf numFmtId="0" fontId="5" fillId="0" borderId="34" xfId="0" applyFont="1" applyBorder="1" applyAlignment="1">
      <alignment horizontal="right"/>
    </xf>
    <xf numFmtId="0" fontId="5" fillId="0" borderId="49" xfId="0" applyFont="1" applyBorder="1"/>
    <xf numFmtId="0" fontId="5" fillId="0" borderId="47" xfId="0" applyFont="1" applyBorder="1" applyAlignment="1">
      <alignment horizontal="center"/>
    </xf>
    <xf numFmtId="0" fontId="5" fillId="0" borderId="45" xfId="0" applyFont="1" applyBorder="1" applyAlignment="1">
      <alignment horizontal="center"/>
    </xf>
    <xf numFmtId="0" fontId="5" fillId="0" borderId="49" xfId="0" applyFont="1" applyBorder="1" applyAlignment="1">
      <alignment horizontal="center"/>
    </xf>
    <xf numFmtId="0" fontId="5" fillId="0" borderId="94" xfId="0" applyFont="1" applyBorder="1" applyAlignment="1">
      <alignment horizontal="center"/>
    </xf>
    <xf numFmtId="164" fontId="5" fillId="0" borderId="5" xfId="0" applyNumberFormat="1" applyFont="1" applyBorder="1" applyAlignment="1">
      <alignment horizontal="right"/>
    </xf>
    <xf numFmtId="0" fontId="5" fillId="0" borderId="36" xfId="0" applyFont="1" applyBorder="1"/>
    <xf numFmtId="0" fontId="5" fillId="0" borderId="37" xfId="0" applyFont="1" applyBorder="1"/>
    <xf numFmtId="164" fontId="5" fillId="0" borderId="86" xfId="0" applyNumberFormat="1" applyFont="1" applyBorder="1" applyAlignment="1">
      <alignment horizontal="right"/>
    </xf>
    <xf numFmtId="0" fontId="5" fillId="0" borderId="51" xfId="0" applyFont="1" applyBorder="1"/>
    <xf numFmtId="0" fontId="5" fillId="0" borderId="89" xfId="0" applyFont="1" applyBorder="1" applyAlignment="1">
      <alignment horizontal="center"/>
    </xf>
    <xf numFmtId="164" fontId="5" fillId="0" borderId="33" xfId="0" applyNumberFormat="1" applyFont="1" applyBorder="1" applyAlignment="1">
      <alignment horizontal="right"/>
    </xf>
    <xf numFmtId="3" fontId="5" fillId="0" borderId="55" xfId="0" applyNumberFormat="1" applyFont="1" applyBorder="1"/>
    <xf numFmtId="0" fontId="5" fillId="3" borderId="3" xfId="0" applyFont="1" applyFill="1" applyBorder="1"/>
    <xf numFmtId="0" fontId="5" fillId="3" borderId="5" xfId="0" applyFont="1" applyFill="1" applyBorder="1"/>
    <xf numFmtId="0" fontId="5" fillId="3" borderId="7" xfId="0" applyFont="1" applyFill="1" applyBorder="1"/>
    <xf numFmtId="3" fontId="4" fillId="0" borderId="96" xfId="0" applyNumberFormat="1" applyFont="1" applyBorder="1" applyAlignment="1">
      <alignment horizontal="right"/>
    </xf>
    <xf numFmtId="3" fontId="4" fillId="0" borderId="91" xfId="0" applyNumberFormat="1" applyFont="1" applyBorder="1" applyAlignment="1">
      <alignment horizontal="right"/>
    </xf>
    <xf numFmtId="3" fontId="4" fillId="0" borderId="97" xfId="0" applyNumberFormat="1" applyFont="1" applyBorder="1" applyAlignment="1">
      <alignment horizontal="right"/>
    </xf>
    <xf numFmtId="2" fontId="5" fillId="0" borderId="29" xfId="0" applyNumberFormat="1" applyFont="1" applyBorder="1"/>
    <xf numFmtId="164" fontId="5" fillId="0" borderId="29" xfId="0" applyNumberFormat="1" applyFont="1" applyBorder="1"/>
    <xf numFmtId="0" fontId="10" fillId="3" borderId="8" xfId="0" applyFont="1" applyFill="1" applyBorder="1"/>
    <xf numFmtId="0" fontId="10" fillId="3" borderId="45" xfId="0" applyFont="1" applyFill="1" applyBorder="1"/>
    <xf numFmtId="9" fontId="10" fillId="3" borderId="45" xfId="0" applyNumberFormat="1" applyFont="1" applyFill="1" applyBorder="1"/>
    <xf numFmtId="164" fontId="5" fillId="3" borderId="7" xfId="0" applyNumberFormat="1" applyFont="1" applyFill="1" applyBorder="1"/>
    <xf numFmtId="164" fontId="5" fillId="3" borderId="27" xfId="0" applyNumberFormat="1" applyFont="1" applyFill="1" applyBorder="1"/>
    <xf numFmtId="41" fontId="4" fillId="0" borderId="65" xfId="1" applyNumberFormat="1" applyFont="1" applyBorder="1"/>
    <xf numFmtId="2" fontId="5" fillId="3" borderId="0" xfId="0" applyNumberFormat="1" applyFont="1" applyFill="1"/>
    <xf numFmtId="1" fontId="5" fillId="0" borderId="45" xfId="0" applyNumberFormat="1" applyFont="1" applyBorder="1" applyAlignment="1">
      <alignment horizontal="right"/>
    </xf>
    <xf numFmtId="164" fontId="10" fillId="3" borderId="45" xfId="0" applyNumberFormat="1" applyFont="1" applyFill="1" applyBorder="1"/>
    <xf numFmtId="0" fontId="5" fillId="3" borderId="34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1" fontId="5" fillId="0" borderId="22" xfId="0" applyNumberFormat="1" applyFont="1" applyBorder="1" applyAlignment="1">
      <alignment horizontal="right"/>
    </xf>
    <xf numFmtId="3" fontId="5" fillId="3" borderId="0" xfId="0" applyNumberFormat="1" applyFont="1" applyFill="1" applyAlignment="1">
      <alignment horizontal="right"/>
    </xf>
    <xf numFmtId="0" fontId="4" fillId="0" borderId="12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83" xfId="0" applyFont="1" applyBorder="1" applyAlignment="1">
      <alignment horizontal="center"/>
    </xf>
    <xf numFmtId="0" fontId="4" fillId="0" borderId="76" xfId="0" applyFont="1" applyBorder="1" applyAlignment="1">
      <alignment horizontal="center"/>
    </xf>
    <xf numFmtId="0" fontId="4" fillId="0" borderId="58" xfId="0" applyFont="1" applyBorder="1" applyAlignment="1">
      <alignment horizontal="center"/>
    </xf>
    <xf numFmtId="0" fontId="4" fillId="0" borderId="84" xfId="0" applyFont="1" applyBorder="1" applyAlignment="1">
      <alignment horizontal="center"/>
    </xf>
    <xf numFmtId="0" fontId="4" fillId="0" borderId="61" xfId="0" applyFont="1" applyBorder="1" applyAlignment="1">
      <alignment horizontal="center"/>
    </xf>
    <xf numFmtId="0" fontId="4" fillId="0" borderId="59" xfId="0" applyFont="1" applyBorder="1" applyAlignment="1">
      <alignment horizontal="center"/>
    </xf>
    <xf numFmtId="0" fontId="4" fillId="0" borderId="60" xfId="0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3" fontId="4" fillId="0" borderId="0" xfId="0" applyNumberFormat="1" applyFont="1" applyAlignment="1">
      <alignment horizontal="center"/>
    </xf>
    <xf numFmtId="0" fontId="4" fillId="0" borderId="19" xfId="0" applyFont="1" applyBorder="1" applyAlignment="1">
      <alignment horizontal="center"/>
    </xf>
    <xf numFmtId="0" fontId="4" fillId="0" borderId="42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4" fillId="2" borderId="58" xfId="0" applyFont="1" applyFill="1" applyBorder="1" applyAlignment="1">
      <alignment horizontal="center"/>
    </xf>
    <xf numFmtId="0" fontId="4" fillId="2" borderId="59" xfId="0" applyFont="1" applyFill="1" applyBorder="1" applyAlignment="1">
      <alignment horizontal="center"/>
    </xf>
    <xf numFmtId="0" fontId="4" fillId="2" borderId="62" xfId="0" applyFont="1" applyFill="1" applyBorder="1" applyAlignment="1">
      <alignment horizontal="center"/>
    </xf>
    <xf numFmtId="0" fontId="4" fillId="2" borderId="60" xfId="0" applyFont="1" applyFill="1" applyBorder="1" applyAlignment="1">
      <alignment horizontal="center"/>
    </xf>
    <xf numFmtId="0" fontId="4" fillId="0" borderId="58" xfId="0" applyFont="1" applyBorder="1" applyAlignment="1">
      <alignment horizontal="center" vertical="center"/>
    </xf>
    <xf numFmtId="0" fontId="4" fillId="0" borderId="59" xfId="0" applyFont="1" applyBorder="1" applyAlignment="1">
      <alignment horizontal="center" vertical="center"/>
    </xf>
    <xf numFmtId="0" fontId="4" fillId="0" borderId="6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/>
    </xf>
    <xf numFmtId="0" fontId="4" fillId="0" borderId="62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30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3" fontId="4" fillId="3" borderId="22" xfId="0" applyNumberFormat="1" applyFont="1" applyFill="1" applyBorder="1" applyAlignment="1">
      <alignment horizontal="center"/>
    </xf>
    <xf numFmtId="0" fontId="4" fillId="0" borderId="52" xfId="0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4" fillId="0" borderId="39" xfId="0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" fillId="0" borderId="72" xfId="0" applyFont="1" applyBorder="1" applyAlignment="1">
      <alignment horizontal="center" wrapText="1"/>
    </xf>
    <xf numFmtId="0" fontId="0" fillId="0" borderId="70" xfId="0" applyBorder="1" applyAlignment="1">
      <alignment horizontal="center" wrapText="1"/>
    </xf>
    <xf numFmtId="0" fontId="4" fillId="0" borderId="28" xfId="0" applyFont="1" applyBorder="1" applyAlignment="1">
      <alignment horizontal="center"/>
    </xf>
    <xf numFmtId="0" fontId="4" fillId="0" borderId="70" xfId="0" applyFont="1" applyBorder="1" applyAlignment="1">
      <alignment horizontal="center"/>
    </xf>
    <xf numFmtId="0" fontId="4" fillId="0" borderId="44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5" fillId="0" borderId="22" xfId="0" applyFont="1" applyBorder="1" applyAlignment="1">
      <alignment horizontal="center"/>
    </xf>
    <xf numFmtId="0" fontId="12" fillId="0" borderId="39" xfId="0" applyFont="1" applyBorder="1" applyAlignment="1">
      <alignment horizontal="center" vertical="center" wrapText="1"/>
    </xf>
    <xf numFmtId="0" fontId="12" fillId="0" borderId="53" xfId="0" applyFont="1" applyBorder="1" applyAlignment="1">
      <alignment horizontal="center" vertical="center" wrapText="1"/>
    </xf>
    <xf numFmtId="165" fontId="12" fillId="0" borderId="27" xfId="0" applyNumberFormat="1" applyFont="1" applyBorder="1" applyAlignment="1">
      <alignment horizontal="center" vertical="center" wrapText="1"/>
    </xf>
    <xf numFmtId="165" fontId="12" fillId="0" borderId="34" xfId="0" applyNumberFormat="1" applyFont="1" applyBorder="1" applyAlignment="1">
      <alignment horizontal="center" vertical="center" wrapText="1"/>
    </xf>
    <xf numFmtId="165" fontId="12" fillId="0" borderId="28" xfId="0" applyNumberFormat="1" applyFont="1" applyBorder="1" applyAlignment="1">
      <alignment horizontal="center" vertical="center" wrapText="1"/>
    </xf>
    <xf numFmtId="165" fontId="12" fillId="0" borderId="9" xfId="0" applyNumberFormat="1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39" xfId="0" applyFont="1" applyBorder="1" applyAlignment="1">
      <alignment horizontal="center" wrapText="1"/>
    </xf>
    <xf numFmtId="0" fontId="10" fillId="0" borderId="53" xfId="0" applyFont="1" applyBorder="1" applyAlignment="1">
      <alignment horizontal="center" wrapText="1"/>
    </xf>
    <xf numFmtId="0" fontId="10" fillId="0" borderId="53" xfId="0" applyFont="1" applyBorder="1" applyAlignment="1">
      <alignment horizontal="center" vertical="center" wrapText="1"/>
    </xf>
    <xf numFmtId="0" fontId="12" fillId="0" borderId="52" xfId="0" applyFont="1" applyBorder="1" applyAlignment="1">
      <alignment horizontal="center" vertical="center" wrapText="1"/>
    </xf>
    <xf numFmtId="0" fontId="10" fillId="0" borderId="35" xfId="0" applyFont="1" applyBorder="1" applyAlignment="1">
      <alignment horizontal="center" vertical="center" wrapText="1"/>
    </xf>
    <xf numFmtId="0" fontId="12" fillId="0" borderId="72" xfId="0" applyFont="1" applyBorder="1" applyAlignment="1">
      <alignment horizontal="center" wrapText="1"/>
    </xf>
    <xf numFmtId="0" fontId="10" fillId="0" borderId="73" xfId="0" applyFont="1" applyBorder="1" applyAlignment="1">
      <alignment horizontal="center" wrapText="1"/>
    </xf>
    <xf numFmtId="0" fontId="12" fillId="0" borderId="50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30" xfId="0" applyFont="1" applyBorder="1" applyAlignment="1">
      <alignment horizontal="center"/>
    </xf>
    <xf numFmtId="0" fontId="5" fillId="0" borderId="29" xfId="0" applyFont="1" applyBorder="1" applyAlignment="1">
      <alignment horizontal="center"/>
    </xf>
    <xf numFmtId="0" fontId="4" fillId="3" borderId="61" xfId="0" applyFont="1" applyFill="1" applyBorder="1" applyAlignment="1">
      <alignment horizontal="center"/>
    </xf>
    <xf numFmtId="0" fontId="4" fillId="3" borderId="59" xfId="0" applyFont="1" applyFill="1" applyBorder="1" applyAlignment="1">
      <alignment horizontal="center"/>
    </xf>
    <xf numFmtId="0" fontId="4" fillId="3" borderId="60" xfId="0" applyFont="1" applyFill="1" applyBorder="1" applyAlignment="1">
      <alignment horizontal="center"/>
    </xf>
    <xf numFmtId="0" fontId="4" fillId="3" borderId="3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29" xfId="0" applyFont="1" applyFill="1" applyBorder="1" applyAlignment="1">
      <alignment horizontal="center"/>
    </xf>
    <xf numFmtId="0" fontId="4" fillId="3" borderId="30" xfId="0" applyFont="1" applyFill="1" applyBorder="1" applyAlignment="1">
      <alignment horizontal="center"/>
    </xf>
    <xf numFmtId="0" fontId="4" fillId="3" borderId="32" xfId="0" applyFont="1" applyFill="1" applyBorder="1" applyAlignment="1">
      <alignment horizontal="center"/>
    </xf>
    <xf numFmtId="0" fontId="4" fillId="0" borderId="7" xfId="0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8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4" fillId="0" borderId="27" xfId="0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6" fillId="0" borderId="60" xfId="0" applyFont="1" applyBorder="1" applyAlignment="1">
      <alignment horizontal="center"/>
    </xf>
    <xf numFmtId="0" fontId="6" fillId="0" borderId="61" xfId="0" applyFont="1" applyBorder="1" applyAlignment="1">
      <alignment horizontal="center"/>
    </xf>
    <xf numFmtId="0" fontId="6" fillId="0" borderId="59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6" fillId="0" borderId="62" xfId="0" applyFont="1" applyBorder="1" applyAlignment="1">
      <alignment horizontal="center"/>
    </xf>
    <xf numFmtId="0" fontId="6" fillId="0" borderId="58" xfId="0" applyFont="1" applyBorder="1" applyAlignment="1">
      <alignment horizontal="center"/>
    </xf>
    <xf numFmtId="0" fontId="4" fillId="0" borderId="25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61" xfId="0" applyFont="1" applyBorder="1" applyAlignment="1">
      <alignment horizontal="center"/>
    </xf>
    <xf numFmtId="0" fontId="1" fillId="0" borderId="59" xfId="0" applyFont="1" applyBorder="1" applyAlignment="1">
      <alignment horizontal="center"/>
    </xf>
    <xf numFmtId="0" fontId="1" fillId="0" borderId="58" xfId="0" applyFont="1" applyBorder="1" applyAlignment="1">
      <alignment horizontal="center"/>
    </xf>
    <xf numFmtId="0" fontId="1" fillId="0" borderId="60" xfId="0" applyFont="1" applyBorder="1" applyAlignment="1">
      <alignment horizontal="center"/>
    </xf>
    <xf numFmtId="0" fontId="1" fillId="2" borderId="59" xfId="0" applyFont="1" applyFill="1" applyBorder="1" applyAlignment="1">
      <alignment horizontal="center"/>
    </xf>
    <xf numFmtId="0" fontId="1" fillId="2" borderId="58" xfId="0" applyFont="1" applyFill="1" applyBorder="1" applyAlignment="1">
      <alignment horizontal="center"/>
    </xf>
    <xf numFmtId="0" fontId="1" fillId="2" borderId="60" xfId="0" applyFont="1" applyFill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30" xfId="0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0" fontId="5" fillId="0" borderId="0" xfId="0" applyFont="1" applyBorder="1"/>
    <xf numFmtId="3" fontId="5" fillId="0" borderId="9" xfId="0" applyNumberFormat="1" applyFont="1" applyBorder="1"/>
    <xf numFmtId="3" fontId="5" fillId="0" borderId="0" xfId="0" applyNumberFormat="1" applyFont="1" applyBorder="1"/>
    <xf numFmtId="3" fontId="5" fillId="0" borderId="8" xfId="0" applyNumberFormat="1" applyFont="1" applyBorder="1"/>
  </cellXfs>
  <cellStyles count="4">
    <cellStyle name="Comma" xfId="1" builtinId="3"/>
    <cellStyle name="Normal" xfId="0" builtinId="0"/>
    <cellStyle name="Normal 2" xfId="2" xr:uid="{00000000-0005-0000-0000-000002000000}"/>
    <cellStyle name="Normal 3" xfId="3" xr:uid="{8537E46A-9F1F-48F8-9955-2EBE4D05E6D3}"/>
  </cellStyles>
  <dxfs count="0"/>
  <tableStyles count="0" defaultTableStyle="TableStyleMedium9" defaultPivotStyle="PivotStyleLight16"/>
  <colors>
    <mruColors>
      <color rgb="FF00FF00"/>
      <color rgb="FF00FFFF"/>
      <color rgb="FFF1F9EB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5:U65"/>
  <sheetViews>
    <sheetView zoomScale="75" workbookViewId="0">
      <selection activeCell="H29" sqref="H29"/>
    </sheetView>
  </sheetViews>
  <sheetFormatPr defaultRowHeight="12.75" x14ac:dyDescent="0.2"/>
  <cols>
    <col min="8" max="8" width="12.6640625" customWidth="1"/>
  </cols>
  <sheetData>
    <row r="5" spans="1:21" x14ac:dyDescent="0.2">
      <c r="A5" t="s">
        <v>17</v>
      </c>
    </row>
    <row r="6" spans="1:21" x14ac:dyDescent="0.2">
      <c r="A6" t="s">
        <v>18</v>
      </c>
    </row>
    <row r="7" spans="1:21" x14ac:dyDescent="0.2">
      <c r="A7" t="s">
        <v>19</v>
      </c>
    </row>
    <row r="8" spans="1:21" x14ac:dyDescent="0.2">
      <c r="A8" t="s">
        <v>20</v>
      </c>
    </row>
    <row r="10" spans="1:21" x14ac:dyDescent="0.2">
      <c r="A10" t="s">
        <v>21</v>
      </c>
      <c r="C10" t="s">
        <v>22</v>
      </c>
    </row>
    <row r="11" spans="1:21" x14ac:dyDescent="0.2">
      <c r="C11" t="s">
        <v>23</v>
      </c>
    </row>
    <row r="12" spans="1:21" x14ac:dyDescent="0.2">
      <c r="A12" t="s">
        <v>24</v>
      </c>
      <c r="J12" t="s">
        <v>16</v>
      </c>
    </row>
    <row r="13" spans="1:21" x14ac:dyDescent="0.2">
      <c r="D13" t="s">
        <v>25</v>
      </c>
    </row>
    <row r="14" spans="1:21" x14ac:dyDescent="0.2">
      <c r="A14" t="s">
        <v>26</v>
      </c>
      <c r="D14" t="s">
        <v>27</v>
      </c>
      <c r="H14" t="s">
        <v>28</v>
      </c>
    </row>
    <row r="15" spans="1:21" x14ac:dyDescent="0.2">
      <c r="B15" t="s">
        <v>5</v>
      </c>
      <c r="D15" t="s">
        <v>29</v>
      </c>
      <c r="F15" t="s">
        <v>30</v>
      </c>
      <c r="H15" t="s">
        <v>31</v>
      </c>
      <c r="N15" t="s">
        <v>32</v>
      </c>
    </row>
    <row r="16" spans="1:21" x14ac:dyDescent="0.2">
      <c r="A16" t="s">
        <v>24</v>
      </c>
      <c r="J16" t="s">
        <v>16</v>
      </c>
      <c r="N16" t="s">
        <v>33</v>
      </c>
      <c r="U16" t="s">
        <v>16</v>
      </c>
    </row>
    <row r="17" spans="1:21" x14ac:dyDescent="0.2">
      <c r="A17" t="s">
        <v>34</v>
      </c>
      <c r="N17" t="s">
        <v>35</v>
      </c>
      <c r="P17">
        <v>3.0059701492537312</v>
      </c>
      <c r="Q17" t="s">
        <v>36</v>
      </c>
    </row>
    <row r="18" spans="1:21" x14ac:dyDescent="0.2">
      <c r="B18" t="s">
        <v>37</v>
      </c>
      <c r="D18" s="7">
        <v>1.198943661971831</v>
      </c>
      <c r="E18" s="7"/>
      <c r="F18" s="7">
        <v>1.2308917197452229</v>
      </c>
      <c r="G18" s="7"/>
      <c r="H18" s="7">
        <v>1.3238434163701067</v>
      </c>
      <c r="N18" t="s">
        <v>38</v>
      </c>
      <c r="P18">
        <v>1.4985119047619047</v>
      </c>
      <c r="Q18" t="s">
        <v>39</v>
      </c>
    </row>
    <row r="19" spans="1:21" x14ac:dyDescent="0.2">
      <c r="B19" t="s">
        <v>40</v>
      </c>
      <c r="D19" s="7">
        <v>1.067398119122257</v>
      </c>
      <c r="E19" s="7"/>
      <c r="F19" s="7">
        <v>1.0980113636363635</v>
      </c>
      <c r="G19" s="7"/>
      <c r="H19" s="7">
        <v>1.1104477611940298</v>
      </c>
      <c r="N19" t="s">
        <v>8</v>
      </c>
      <c r="P19">
        <v>1.6151761517615175</v>
      </c>
      <c r="Q19" t="s">
        <v>41</v>
      </c>
    </row>
    <row r="20" spans="1:21" x14ac:dyDescent="0.2">
      <c r="B20" t="s">
        <v>42</v>
      </c>
      <c r="D20" s="7">
        <v>1.0118870728083209</v>
      </c>
      <c r="E20" s="7"/>
      <c r="F20" s="7">
        <v>1.034805890227577</v>
      </c>
      <c r="G20" s="7"/>
      <c r="H20" s="7">
        <v>1.024793388429752</v>
      </c>
      <c r="N20" t="s">
        <v>43</v>
      </c>
      <c r="P20">
        <v>2.6255506607929515</v>
      </c>
      <c r="Q20" t="s">
        <v>44</v>
      </c>
    </row>
    <row r="21" spans="1:21" x14ac:dyDescent="0.2">
      <c r="B21" t="s">
        <v>45</v>
      </c>
      <c r="D21" s="7">
        <v>1</v>
      </c>
      <c r="E21" s="7"/>
      <c r="F21" s="7">
        <v>1.0104575163398692</v>
      </c>
      <c r="G21" s="7"/>
      <c r="H21" s="7">
        <v>1</v>
      </c>
      <c r="N21" t="s">
        <v>46</v>
      </c>
      <c r="U21" t="s">
        <v>16</v>
      </c>
    </row>
    <row r="22" spans="1:21" x14ac:dyDescent="0.2">
      <c r="B22" t="s">
        <v>47</v>
      </c>
      <c r="D22" s="7">
        <v>1.0333839150227617</v>
      </c>
      <c r="E22" s="7"/>
      <c r="F22" s="7">
        <v>1</v>
      </c>
      <c r="G22" s="7"/>
      <c r="H22" s="7">
        <v>1.0276243093922652</v>
      </c>
    </row>
    <row r="23" spans="1:21" x14ac:dyDescent="0.2">
      <c r="B23" t="s">
        <v>48</v>
      </c>
      <c r="D23" s="7">
        <v>1.2634508348794062</v>
      </c>
      <c r="E23" s="7"/>
      <c r="F23" s="7">
        <v>1.1367647058823529</v>
      </c>
      <c r="G23" s="7"/>
      <c r="H23" s="7">
        <v>1.2277227722772277</v>
      </c>
    </row>
    <row r="24" spans="1:21" x14ac:dyDescent="0.2">
      <c r="B24" t="s">
        <v>49</v>
      </c>
      <c r="D24" s="7">
        <v>1.4041237113402063</v>
      </c>
      <c r="E24" s="7"/>
      <c r="F24" s="7">
        <v>1.2308917197452229</v>
      </c>
      <c r="G24" s="7"/>
      <c r="H24" s="7">
        <v>1.393258426966292</v>
      </c>
    </row>
    <row r="25" spans="1:21" x14ac:dyDescent="0.2">
      <c r="A25" t="s">
        <v>50</v>
      </c>
      <c r="D25" s="7"/>
      <c r="E25" s="7"/>
      <c r="F25" s="7"/>
      <c r="G25" s="7"/>
      <c r="H25" s="7"/>
    </row>
    <row r="26" spans="1:21" x14ac:dyDescent="0.2">
      <c r="B26" t="s">
        <v>37</v>
      </c>
      <c r="D26" s="7">
        <v>1.3450064850843062</v>
      </c>
      <c r="E26" s="7"/>
      <c r="F26" s="7">
        <v>1.2643573381950775</v>
      </c>
      <c r="G26" s="7"/>
      <c r="H26" s="7">
        <v>1.2094594594594594</v>
      </c>
    </row>
    <row r="27" spans="1:21" x14ac:dyDescent="0.2">
      <c r="B27" t="s">
        <v>40</v>
      </c>
      <c r="D27" s="7">
        <v>1.0904311251314407</v>
      </c>
      <c r="E27" s="7"/>
      <c r="F27" s="7">
        <v>1.0491679273827534</v>
      </c>
      <c r="G27" s="7"/>
      <c r="H27" s="7">
        <v>1.0376811594202899</v>
      </c>
    </row>
    <row r="28" spans="1:21" x14ac:dyDescent="0.2">
      <c r="B28" t="s">
        <v>42</v>
      </c>
      <c r="D28" s="7">
        <v>1.0287698412698412</v>
      </c>
      <c r="E28" s="7"/>
      <c r="F28" s="7">
        <v>1.0028922631959509</v>
      </c>
      <c r="G28" s="7"/>
      <c r="H28" s="7">
        <v>0.99721448467966567</v>
      </c>
    </row>
    <row r="29" spans="1:21" x14ac:dyDescent="0.2">
      <c r="B29" t="s">
        <v>45</v>
      </c>
      <c r="D29" s="7">
        <v>1</v>
      </c>
      <c r="E29" s="7"/>
      <c r="F29" s="7">
        <v>1</v>
      </c>
      <c r="G29" s="7"/>
      <c r="H29" s="7">
        <v>1</v>
      </c>
    </row>
    <row r="30" spans="1:21" x14ac:dyDescent="0.2">
      <c r="B30" t="s">
        <v>47</v>
      </c>
      <c r="D30" s="7">
        <v>1.0443101711983886</v>
      </c>
      <c r="E30" s="7"/>
      <c r="F30" s="7">
        <v>1.0483749055177627</v>
      </c>
      <c r="G30" s="7"/>
      <c r="H30" s="7">
        <v>1.1737704918032787</v>
      </c>
    </row>
    <row r="31" spans="1:21" x14ac:dyDescent="0.2">
      <c r="B31" t="s">
        <v>48</v>
      </c>
      <c r="D31" s="7">
        <v>1.2185663924794361</v>
      </c>
      <c r="E31" s="7"/>
      <c r="F31" s="7">
        <v>1.2124125874125875</v>
      </c>
      <c r="G31" s="7"/>
      <c r="H31" s="7">
        <v>1.510548523206751</v>
      </c>
    </row>
    <row r="32" spans="1:21" x14ac:dyDescent="0.2">
      <c r="B32" t="s">
        <v>49</v>
      </c>
      <c r="D32" s="7">
        <v>1.3900804289544235</v>
      </c>
      <c r="E32" s="7"/>
      <c r="F32" s="7">
        <v>1.401010101010101</v>
      </c>
      <c r="G32" s="7"/>
      <c r="H32" s="7">
        <v>1.6807511737089202</v>
      </c>
    </row>
    <row r="33" spans="1:21" x14ac:dyDescent="0.2">
      <c r="A33" t="s">
        <v>24</v>
      </c>
      <c r="J33" t="s">
        <v>16</v>
      </c>
    </row>
    <row r="35" spans="1:21" x14ac:dyDescent="0.2">
      <c r="A35" t="s">
        <v>51</v>
      </c>
      <c r="C35" t="s">
        <v>52</v>
      </c>
      <c r="K35" t="s">
        <v>53</v>
      </c>
      <c r="M35" t="s">
        <v>54</v>
      </c>
    </row>
    <row r="36" spans="1:21" x14ac:dyDescent="0.2">
      <c r="C36" t="s">
        <v>55</v>
      </c>
      <c r="M36" t="s">
        <v>56</v>
      </c>
    </row>
    <row r="37" spans="1:21" x14ac:dyDescent="0.2">
      <c r="C37" t="s">
        <v>57</v>
      </c>
      <c r="M37" t="s">
        <v>58</v>
      </c>
    </row>
    <row r="38" spans="1:21" x14ac:dyDescent="0.2">
      <c r="A38" t="s">
        <v>59</v>
      </c>
      <c r="J38" t="s">
        <v>16</v>
      </c>
      <c r="K38" t="s">
        <v>59</v>
      </c>
      <c r="R38" t="s">
        <v>16</v>
      </c>
    </row>
    <row r="39" spans="1:21" x14ac:dyDescent="0.2">
      <c r="F39" t="s">
        <v>60</v>
      </c>
      <c r="N39" t="s">
        <v>61</v>
      </c>
    </row>
    <row r="40" spans="1:21" x14ac:dyDescent="0.2">
      <c r="D40" t="s">
        <v>27</v>
      </c>
      <c r="J40" t="s">
        <v>16</v>
      </c>
      <c r="N40" t="s">
        <v>27</v>
      </c>
      <c r="R40" t="s">
        <v>16</v>
      </c>
      <c r="S40" t="s">
        <v>59</v>
      </c>
    </row>
    <row r="41" spans="1:21" x14ac:dyDescent="0.2">
      <c r="D41" t="s">
        <v>62</v>
      </c>
      <c r="F41" t="s">
        <v>63</v>
      </c>
      <c r="H41" t="s">
        <v>64</v>
      </c>
      <c r="N41" t="s">
        <v>62</v>
      </c>
      <c r="P41" t="s">
        <v>64</v>
      </c>
      <c r="S41" t="s">
        <v>65</v>
      </c>
    </row>
    <row r="42" spans="1:21" x14ac:dyDescent="0.2">
      <c r="D42" t="s">
        <v>66</v>
      </c>
      <c r="F42" t="s">
        <v>62</v>
      </c>
      <c r="H42" t="s">
        <v>63</v>
      </c>
      <c r="N42" t="s">
        <v>66</v>
      </c>
      <c r="P42" t="s">
        <v>63</v>
      </c>
      <c r="S42" t="s">
        <v>67</v>
      </c>
      <c r="U42" t="s">
        <v>68</v>
      </c>
    </row>
    <row r="43" spans="1:21" x14ac:dyDescent="0.2">
      <c r="A43" t="s">
        <v>69</v>
      </c>
      <c r="D43" t="s">
        <v>70</v>
      </c>
      <c r="F43" t="s">
        <v>71</v>
      </c>
      <c r="H43" t="s">
        <v>72</v>
      </c>
      <c r="K43" t="s">
        <v>69</v>
      </c>
      <c r="N43" t="s">
        <v>70</v>
      </c>
      <c r="P43" t="s">
        <v>72</v>
      </c>
      <c r="S43" t="s">
        <v>73</v>
      </c>
      <c r="U43" t="s">
        <v>74</v>
      </c>
    </row>
    <row r="44" spans="1:21" x14ac:dyDescent="0.2">
      <c r="A44" t="s">
        <v>59</v>
      </c>
      <c r="J44" t="s">
        <v>16</v>
      </c>
      <c r="K44" t="s">
        <v>59</v>
      </c>
      <c r="R44" t="s">
        <v>16</v>
      </c>
      <c r="S44" t="s">
        <v>59</v>
      </c>
    </row>
    <row r="46" spans="1:21" x14ac:dyDescent="0.2">
      <c r="B46" t="s">
        <v>75</v>
      </c>
      <c r="D46">
        <v>2.64</v>
      </c>
      <c r="F46">
        <v>2.13</v>
      </c>
      <c r="H46">
        <v>1.84</v>
      </c>
      <c r="L46" t="s">
        <v>75</v>
      </c>
      <c r="N46">
        <v>1.2465259653490661</v>
      </c>
      <c r="P46">
        <v>1.468657952671184</v>
      </c>
      <c r="S46">
        <v>4</v>
      </c>
      <c r="U46">
        <v>6.9297077645630492E-2</v>
      </c>
    </row>
    <row r="47" spans="1:21" x14ac:dyDescent="0.2">
      <c r="B47" t="s">
        <v>76</v>
      </c>
      <c r="D47">
        <v>2.64</v>
      </c>
      <c r="F47">
        <v>2.13</v>
      </c>
      <c r="H47">
        <v>1.84</v>
      </c>
      <c r="L47" t="s">
        <v>76</v>
      </c>
      <c r="N47">
        <v>1.4203241146808638</v>
      </c>
      <c r="P47">
        <v>1.201459233458162</v>
      </c>
      <c r="S47">
        <v>5</v>
      </c>
      <c r="U47">
        <v>0.11853870653395893</v>
      </c>
    </row>
    <row r="48" spans="1:21" x14ac:dyDescent="0.2">
      <c r="B48" t="s">
        <v>77</v>
      </c>
      <c r="D48">
        <v>2.19</v>
      </c>
      <c r="F48">
        <v>1.55</v>
      </c>
      <c r="H48">
        <v>1.31</v>
      </c>
      <c r="L48" t="s">
        <v>77</v>
      </c>
      <c r="N48">
        <v>1.1835105236677956</v>
      </c>
      <c r="P48">
        <v>1.2618166535190647</v>
      </c>
      <c r="S48">
        <v>12</v>
      </c>
      <c r="U48">
        <v>0.15763777806322612</v>
      </c>
    </row>
    <row r="49" spans="1:21" x14ac:dyDescent="0.2">
      <c r="B49" t="s">
        <v>78</v>
      </c>
      <c r="D49">
        <v>2.19</v>
      </c>
      <c r="F49">
        <v>1.55</v>
      </c>
      <c r="H49">
        <v>1.31</v>
      </c>
      <c r="L49" t="s">
        <v>78</v>
      </c>
      <c r="N49">
        <v>1.0584866164364806</v>
      </c>
      <c r="P49">
        <v>1.3294562072638514</v>
      </c>
      <c r="S49">
        <v>15</v>
      </c>
      <c r="U49">
        <v>0.27069926108899484</v>
      </c>
    </row>
    <row r="50" spans="1:21" x14ac:dyDescent="0.2">
      <c r="B50" t="s">
        <v>79</v>
      </c>
      <c r="D50">
        <v>2.19</v>
      </c>
      <c r="F50">
        <v>1.55</v>
      </c>
      <c r="H50">
        <v>1.31</v>
      </c>
      <c r="L50" t="s">
        <v>79</v>
      </c>
      <c r="N50">
        <v>1.3442796946351721</v>
      </c>
      <c r="P50">
        <v>1.5031852589694814</v>
      </c>
      <c r="S50">
        <v>19</v>
      </c>
      <c r="U50">
        <v>0.23188594517351227</v>
      </c>
    </row>
    <row r="51" spans="1:21" x14ac:dyDescent="0.2">
      <c r="B51" t="s">
        <v>80</v>
      </c>
      <c r="D51">
        <v>1.72</v>
      </c>
      <c r="F51">
        <v>1.37</v>
      </c>
      <c r="H51">
        <v>1.21</v>
      </c>
      <c r="L51" t="s">
        <v>80</v>
      </c>
      <c r="N51">
        <v>1.3325608770958339</v>
      </c>
      <c r="P51">
        <v>1.2911970499122147</v>
      </c>
      <c r="S51">
        <v>25</v>
      </c>
      <c r="U51">
        <v>0.30091849805392223</v>
      </c>
    </row>
    <row r="52" spans="1:21" x14ac:dyDescent="0.2">
      <c r="B52" t="s">
        <v>81</v>
      </c>
      <c r="D52">
        <v>1.72</v>
      </c>
      <c r="F52">
        <v>1.37</v>
      </c>
      <c r="H52">
        <v>1.21</v>
      </c>
      <c r="L52" t="s">
        <v>81</v>
      </c>
      <c r="N52">
        <v>1.2613009028573878</v>
      </c>
      <c r="P52">
        <v>1.256001532080383</v>
      </c>
      <c r="S52">
        <v>25</v>
      </c>
      <c r="U52">
        <v>0.34351539485799365</v>
      </c>
    </row>
    <row r="53" spans="1:21" x14ac:dyDescent="0.2">
      <c r="B53" t="s">
        <v>82</v>
      </c>
      <c r="D53">
        <v>1.72</v>
      </c>
      <c r="F53">
        <v>1.37</v>
      </c>
      <c r="H53">
        <v>1.21</v>
      </c>
      <c r="L53" t="s">
        <v>82</v>
      </c>
      <c r="N53">
        <v>1.3181203644571104</v>
      </c>
      <c r="P53">
        <v>1.356386885950545</v>
      </c>
      <c r="S53">
        <v>24</v>
      </c>
      <c r="U53">
        <v>0.36837348072973636</v>
      </c>
    </row>
    <row r="54" spans="1:21" x14ac:dyDescent="0.2">
      <c r="B54" t="s">
        <v>83</v>
      </c>
      <c r="D54">
        <v>1.72</v>
      </c>
      <c r="F54">
        <v>1.37</v>
      </c>
      <c r="H54">
        <v>1.21</v>
      </c>
      <c r="L54" t="s">
        <v>83</v>
      </c>
      <c r="N54">
        <v>1.0018341064660825</v>
      </c>
      <c r="P54">
        <v>1.3000923010715082</v>
      </c>
      <c r="S54">
        <v>12</v>
      </c>
      <c r="U54">
        <v>0.28447996815262522</v>
      </c>
    </row>
    <row r="55" spans="1:21" x14ac:dyDescent="0.2">
      <c r="B55" t="s">
        <v>84</v>
      </c>
      <c r="D55">
        <v>1.72</v>
      </c>
      <c r="F55">
        <v>1.37</v>
      </c>
      <c r="H55">
        <v>1.21</v>
      </c>
      <c r="L55" t="s">
        <v>84</v>
      </c>
      <c r="N55">
        <v>1.0018341064660825</v>
      </c>
      <c r="P55">
        <v>1.3000923010715082</v>
      </c>
      <c r="S55" t="s">
        <v>59</v>
      </c>
    </row>
    <row r="57" spans="1:21" x14ac:dyDescent="0.2">
      <c r="A57" t="s">
        <v>85</v>
      </c>
      <c r="D57">
        <v>2.0811111111111114</v>
      </c>
      <c r="F57">
        <v>1.5988888888888892</v>
      </c>
      <c r="H57">
        <v>1.3833333333333337</v>
      </c>
      <c r="K57" t="s">
        <v>85</v>
      </c>
      <c r="N57">
        <v>1.2407714628495325</v>
      </c>
      <c r="P57">
        <v>1.3298058972107105</v>
      </c>
    </row>
    <row r="58" spans="1:21" x14ac:dyDescent="0.2">
      <c r="A58" t="s">
        <v>59</v>
      </c>
      <c r="J58" t="s">
        <v>16</v>
      </c>
      <c r="K58" t="s">
        <v>59</v>
      </c>
      <c r="R58" t="s">
        <v>16</v>
      </c>
    </row>
    <row r="60" spans="1:21" x14ac:dyDescent="0.2">
      <c r="A60" t="s">
        <v>86</v>
      </c>
    </row>
    <row r="61" spans="1:21" x14ac:dyDescent="0.2">
      <c r="C61" t="s">
        <v>87</v>
      </c>
    </row>
    <row r="62" spans="1:21" x14ac:dyDescent="0.2">
      <c r="A62" t="s">
        <v>59</v>
      </c>
    </row>
    <row r="64" spans="1:21" x14ac:dyDescent="0.2">
      <c r="D64">
        <v>100</v>
      </c>
      <c r="F64">
        <v>125</v>
      </c>
      <c r="H64">
        <v>150</v>
      </c>
    </row>
    <row r="65" spans="4:8" x14ac:dyDescent="0.2">
      <c r="D65">
        <f>D64*D57</f>
        <v>208.11111111111114</v>
      </c>
      <c r="E65">
        <f>E64*E57</f>
        <v>0</v>
      </c>
      <c r="F65">
        <f>F64*F57</f>
        <v>199.86111111111114</v>
      </c>
      <c r="H65">
        <f>H64*H57</f>
        <v>207.50000000000006</v>
      </c>
    </row>
  </sheetData>
  <phoneticPr fontId="0" type="noConversion"/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Q213"/>
  <sheetViews>
    <sheetView zoomScaleNormal="100" workbookViewId="0">
      <pane xSplit="2" ySplit="13" topLeftCell="AC115" activePane="bottomRight" state="frozen"/>
      <selection pane="topRight" activeCell="C1" sqref="C1"/>
      <selection pane="bottomLeft" activeCell="A14" sqref="A14"/>
      <selection pane="bottomRight" activeCell="AH128" sqref="AH128"/>
    </sheetView>
  </sheetViews>
  <sheetFormatPr defaultColWidth="9.33203125" defaultRowHeight="15.75" x14ac:dyDescent="0.25"/>
  <cols>
    <col min="1" max="1" width="8.1640625" style="27" customWidth="1"/>
    <col min="2" max="2" width="8.83203125" style="27" customWidth="1"/>
    <col min="3" max="3" width="11.6640625" style="27" customWidth="1"/>
    <col min="4" max="4" width="12.83203125" style="27" customWidth="1"/>
    <col min="5" max="6" width="12.6640625" style="27" customWidth="1"/>
    <col min="7" max="7" width="13.33203125" style="27" customWidth="1"/>
    <col min="8" max="8" width="9.83203125" style="27" customWidth="1"/>
    <col min="9" max="9" width="10.6640625" style="27" customWidth="1"/>
    <col min="10" max="10" width="10.1640625" style="27" bestFit="1" customWidth="1"/>
    <col min="11" max="11" width="7.83203125" style="27" customWidth="1"/>
    <col min="12" max="13" width="10.1640625" style="27" bestFit="1" customWidth="1"/>
    <col min="14" max="14" width="10.33203125" style="27" customWidth="1"/>
    <col min="15" max="16" width="10.1640625" style="27" bestFit="1" customWidth="1"/>
    <col min="17" max="21" width="7.83203125" style="27" customWidth="1"/>
    <col min="22" max="23" width="10.5" style="27" customWidth="1"/>
    <col min="24" max="24" width="13.33203125" style="27" bestFit="1" customWidth="1"/>
    <col min="25" max="25" width="3.83203125" style="27" customWidth="1"/>
    <col min="26" max="26" width="7.83203125" style="27" customWidth="1"/>
    <col min="27" max="27" width="10.6640625" style="27" customWidth="1"/>
    <col min="28" max="30" width="7.83203125" style="27" customWidth="1"/>
    <col min="31" max="31" width="9.6640625" style="27" customWidth="1"/>
    <col min="32" max="47" width="9.83203125" style="27" customWidth="1"/>
    <col min="48" max="55" width="7.83203125" style="27" customWidth="1"/>
    <col min="56" max="56" width="2.1640625" style="27" customWidth="1"/>
    <col min="57" max="63" width="7.83203125" style="27" customWidth="1"/>
    <col min="64" max="64" width="3" style="27" customWidth="1"/>
    <col min="65" max="95" width="7.83203125" style="27" customWidth="1"/>
    <col min="96" max="16384" width="9.33203125" style="27"/>
  </cols>
  <sheetData>
    <row r="1" spans="1:95" x14ac:dyDescent="0.25">
      <c r="D1" s="99"/>
      <c r="E1" s="99"/>
      <c r="F1" s="99"/>
      <c r="H1" s="99"/>
      <c r="I1" s="99"/>
      <c r="J1" s="99"/>
      <c r="K1" s="99"/>
      <c r="L1" s="99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</row>
    <row r="2" spans="1:95" x14ac:dyDescent="0.25">
      <c r="D2" s="99"/>
      <c r="E2" s="99"/>
      <c r="F2" s="99"/>
      <c r="G2" s="27" t="s">
        <v>177</v>
      </c>
      <c r="H2" s="99">
        <f t="shared" ref="H2:M2" si="0">H31+H34+H35+H36</f>
        <v>0</v>
      </c>
      <c r="I2" s="99">
        <f t="shared" si="0"/>
        <v>0</v>
      </c>
      <c r="J2" s="99">
        <f t="shared" si="0"/>
        <v>0</v>
      </c>
      <c r="K2" s="99">
        <f t="shared" si="0"/>
        <v>0</v>
      </c>
      <c r="L2" s="99">
        <f t="shared" si="0"/>
        <v>0</v>
      </c>
      <c r="M2" s="99">
        <f t="shared" si="0"/>
        <v>0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</row>
    <row r="3" spans="1:95" x14ac:dyDescent="0.25">
      <c r="D3" s="99"/>
      <c r="E3" s="99"/>
      <c r="F3" s="99"/>
      <c r="G3" s="27" t="s">
        <v>171</v>
      </c>
      <c r="H3" s="99">
        <f t="shared" ref="H3:M3" si="1">H37+H38+H39+H40+H51+H61+H71+SUM(H74:H78)</f>
        <v>411</v>
      </c>
      <c r="I3" s="99">
        <f t="shared" si="1"/>
        <v>282</v>
      </c>
      <c r="J3" s="99">
        <f t="shared" si="1"/>
        <v>129</v>
      </c>
      <c r="K3" s="99">
        <f t="shared" si="1"/>
        <v>26</v>
      </c>
      <c r="L3" s="99">
        <f t="shared" si="1"/>
        <v>16</v>
      </c>
      <c r="M3" s="99">
        <f t="shared" si="1"/>
        <v>10</v>
      </c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</row>
    <row r="4" spans="1:95" x14ac:dyDescent="0.25">
      <c r="D4" s="99"/>
      <c r="E4" s="99"/>
      <c r="F4" s="99"/>
      <c r="G4" s="27" t="s">
        <v>172</v>
      </c>
      <c r="H4" s="99">
        <f t="shared" ref="H4:M4" si="2">H79+H80+H91+H101+H111+H121</f>
        <v>1607</v>
      </c>
      <c r="I4" s="99">
        <f t="shared" si="2"/>
        <v>1031</v>
      </c>
      <c r="J4" s="99">
        <f t="shared" si="2"/>
        <v>576</v>
      </c>
      <c r="K4" s="99">
        <f t="shared" si="2"/>
        <v>68</v>
      </c>
      <c r="L4" s="99">
        <f t="shared" si="2"/>
        <v>36</v>
      </c>
      <c r="M4" s="99">
        <f t="shared" si="2"/>
        <v>32</v>
      </c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</row>
    <row r="5" spans="1:95" x14ac:dyDescent="0.25">
      <c r="D5" s="99"/>
      <c r="E5" s="99"/>
      <c r="F5" s="99"/>
      <c r="I5" s="99"/>
      <c r="J5" s="99"/>
      <c r="K5" s="99"/>
      <c r="L5" s="99"/>
      <c r="M5" s="99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</row>
    <row r="6" spans="1:95" x14ac:dyDescent="0.25">
      <c r="B6" s="309" t="s">
        <v>106</v>
      </c>
      <c r="D6" s="174">
        <f>D22+D32+D42+D52+D62+D72+D82+D92+D102+D112+D122+D132</f>
        <v>1755</v>
      </c>
      <c r="E6" s="174">
        <f>E22+E32+E42+E52+E62+E72+E82+E92+E102+E112+E122+E132</f>
        <v>4794</v>
      </c>
      <c r="F6" s="174">
        <f>F22+F32+F42+F52+F62+F72+F82+F92+F102+F112+F122+F132</f>
        <v>29853.46</v>
      </c>
      <c r="G6" s="174"/>
      <c r="H6" s="360">
        <f>H21+H31+H41+H51+H61+H71+H81+H91+H101+H111+H121+H131</f>
        <v>2038</v>
      </c>
      <c r="I6" s="360">
        <f t="shared" ref="I6:BW7" si="3">I21+I31+I41+I51+I61+I71+I81+I91+I101+I111+I121+I131</f>
        <v>1320</v>
      </c>
      <c r="J6" s="360">
        <f t="shared" si="3"/>
        <v>718</v>
      </c>
      <c r="K6" s="360">
        <f t="shared" si="3"/>
        <v>94</v>
      </c>
      <c r="L6" s="360">
        <f t="shared" si="3"/>
        <v>52</v>
      </c>
      <c r="M6" s="360">
        <f t="shared" si="3"/>
        <v>42</v>
      </c>
      <c r="N6" s="360">
        <f t="shared" si="3"/>
        <v>17</v>
      </c>
      <c r="O6" s="360">
        <f t="shared" si="3"/>
        <v>4</v>
      </c>
      <c r="P6" s="360">
        <f t="shared" si="3"/>
        <v>13</v>
      </c>
      <c r="Q6" s="360">
        <f t="shared" ref="Q6:S6" si="4">Q21+Q31+Q41+Q51+Q61+Q71+Q81+Q91+Q101+Q111+Q121+Q131</f>
        <v>3</v>
      </c>
      <c r="R6" s="360">
        <f t="shared" si="4"/>
        <v>0</v>
      </c>
      <c r="S6" s="360">
        <f t="shared" si="4"/>
        <v>3</v>
      </c>
      <c r="T6" s="360">
        <f t="shared" si="3"/>
        <v>63</v>
      </c>
      <c r="U6" s="360">
        <f t="shared" si="3"/>
        <v>13</v>
      </c>
      <c r="V6" s="360">
        <f t="shared" si="3"/>
        <v>0</v>
      </c>
      <c r="W6" s="360"/>
      <c r="X6" s="360">
        <f t="shared" si="3"/>
        <v>0</v>
      </c>
      <c r="Y6" s="174">
        <f t="shared" si="3"/>
        <v>0</v>
      </c>
      <c r="Z6" s="174">
        <f t="shared" si="3"/>
        <v>25</v>
      </c>
      <c r="AA6" s="174">
        <f t="shared" si="3"/>
        <v>6</v>
      </c>
      <c r="AB6" s="174">
        <f t="shared" si="3"/>
        <v>0</v>
      </c>
      <c r="AC6" s="174">
        <f t="shared" si="3"/>
        <v>0</v>
      </c>
      <c r="AD6" s="174">
        <f t="shared" si="3"/>
        <v>9</v>
      </c>
      <c r="AE6" s="174">
        <f t="shared" si="3"/>
        <v>22</v>
      </c>
      <c r="AF6" s="174">
        <f t="shared" si="3"/>
        <v>33</v>
      </c>
      <c r="AG6" s="174">
        <f t="shared" si="3"/>
        <v>8</v>
      </c>
      <c r="AH6" s="174">
        <f t="shared" si="3"/>
        <v>4</v>
      </c>
      <c r="AI6" s="174">
        <f t="shared" si="3"/>
        <v>4</v>
      </c>
      <c r="AJ6" s="174">
        <f t="shared" si="3"/>
        <v>0</v>
      </c>
      <c r="AK6" s="174">
        <f t="shared" si="3"/>
        <v>0</v>
      </c>
      <c r="AL6" s="174">
        <f t="shared" si="3"/>
        <v>0</v>
      </c>
      <c r="AM6" s="174">
        <f t="shared" si="3"/>
        <v>0</v>
      </c>
      <c r="AN6" s="174">
        <f t="shared" si="3"/>
        <v>2</v>
      </c>
      <c r="AO6" s="174">
        <f t="shared" si="3"/>
        <v>0</v>
      </c>
      <c r="AP6" s="174">
        <f t="shared" si="3"/>
        <v>0</v>
      </c>
      <c r="AQ6" s="174">
        <f t="shared" si="3"/>
        <v>0</v>
      </c>
      <c r="AR6" s="174">
        <f t="shared" si="3"/>
        <v>0</v>
      </c>
      <c r="AS6" s="174">
        <f t="shared" si="3"/>
        <v>0</v>
      </c>
      <c r="AT6" s="174">
        <f t="shared" si="3"/>
        <v>1</v>
      </c>
      <c r="AU6" s="174">
        <f t="shared" si="3"/>
        <v>0</v>
      </c>
      <c r="AV6" s="174">
        <f t="shared" si="3"/>
        <v>0</v>
      </c>
      <c r="AW6" s="174">
        <f t="shared" si="3"/>
        <v>1</v>
      </c>
      <c r="AX6" s="174">
        <f t="shared" si="3"/>
        <v>4</v>
      </c>
      <c r="AY6" s="174">
        <f t="shared" si="3"/>
        <v>10</v>
      </c>
      <c r="AZ6" s="174">
        <f t="shared" si="3"/>
        <v>3</v>
      </c>
      <c r="BA6" s="174">
        <f t="shared" si="3"/>
        <v>5</v>
      </c>
      <c r="BB6" s="174">
        <f t="shared" si="3"/>
        <v>0</v>
      </c>
      <c r="BC6" s="174">
        <f t="shared" si="3"/>
        <v>0</v>
      </c>
      <c r="BD6" s="174">
        <f t="shared" si="3"/>
        <v>0</v>
      </c>
      <c r="BE6" s="174">
        <f t="shared" si="3"/>
        <v>1</v>
      </c>
      <c r="BF6" s="174">
        <f t="shared" si="3"/>
        <v>4</v>
      </c>
      <c r="BG6" s="174">
        <f t="shared" si="3"/>
        <v>10</v>
      </c>
      <c r="BH6" s="174">
        <f t="shared" si="3"/>
        <v>3</v>
      </c>
      <c r="BI6" s="174">
        <f t="shared" si="3"/>
        <v>5</v>
      </c>
      <c r="BJ6" s="174">
        <f t="shared" si="3"/>
        <v>0</v>
      </c>
      <c r="BK6" s="174">
        <f t="shared" si="3"/>
        <v>0</v>
      </c>
      <c r="BL6" s="174">
        <f t="shared" si="3"/>
        <v>0</v>
      </c>
      <c r="BM6" s="174">
        <f t="shared" si="3"/>
        <v>0</v>
      </c>
      <c r="BN6" s="174">
        <f t="shared" si="3"/>
        <v>0</v>
      </c>
      <c r="BO6" s="174">
        <f t="shared" si="3"/>
        <v>0</v>
      </c>
      <c r="BP6" s="174">
        <f t="shared" si="3"/>
        <v>0</v>
      </c>
      <c r="BQ6" s="174">
        <f t="shared" si="3"/>
        <v>0</v>
      </c>
      <c r="BR6" s="174">
        <f t="shared" si="3"/>
        <v>0</v>
      </c>
      <c r="BS6" s="174">
        <f t="shared" si="3"/>
        <v>0</v>
      </c>
      <c r="BT6" s="174">
        <f t="shared" si="3"/>
        <v>0</v>
      </c>
      <c r="BU6" s="174">
        <f t="shared" si="3"/>
        <v>0</v>
      </c>
      <c r="BV6" s="174">
        <f t="shared" si="3"/>
        <v>0</v>
      </c>
      <c r="BW6" s="174">
        <f t="shared" si="3"/>
        <v>0</v>
      </c>
      <c r="BX6" s="174">
        <f t="shared" ref="BX6:CQ7" si="5">BX21+BX31+BX41+BX51+BX61+BX71+BX81+BX91+BX101+BX111+BX121+BX131</f>
        <v>0</v>
      </c>
      <c r="BY6" s="174">
        <f t="shared" si="5"/>
        <v>0</v>
      </c>
      <c r="BZ6" s="174">
        <f t="shared" si="5"/>
        <v>0</v>
      </c>
      <c r="CA6" s="174">
        <f t="shared" si="5"/>
        <v>0</v>
      </c>
      <c r="CB6" s="174">
        <f t="shared" si="5"/>
        <v>0</v>
      </c>
      <c r="CC6" s="174">
        <f t="shared" si="5"/>
        <v>0</v>
      </c>
      <c r="CD6" s="174">
        <f t="shared" si="5"/>
        <v>0</v>
      </c>
      <c r="CE6" s="174">
        <f t="shared" si="5"/>
        <v>0</v>
      </c>
      <c r="CF6" s="174">
        <f t="shared" si="5"/>
        <v>0</v>
      </c>
      <c r="CG6" s="174">
        <f t="shared" si="5"/>
        <v>0</v>
      </c>
      <c r="CH6" s="174">
        <f t="shared" si="5"/>
        <v>0</v>
      </c>
      <c r="CI6" s="174">
        <f t="shared" si="5"/>
        <v>0</v>
      </c>
      <c r="CJ6" s="174">
        <f t="shared" si="5"/>
        <v>0</v>
      </c>
      <c r="CK6" s="174">
        <f t="shared" si="5"/>
        <v>0</v>
      </c>
      <c r="CL6" s="174">
        <f t="shared" si="5"/>
        <v>0</v>
      </c>
      <c r="CM6" s="174">
        <f t="shared" si="5"/>
        <v>0</v>
      </c>
      <c r="CN6" s="174">
        <f t="shared" si="5"/>
        <v>0</v>
      </c>
      <c r="CO6" s="174">
        <f t="shared" si="5"/>
        <v>0</v>
      </c>
      <c r="CP6" s="174">
        <f t="shared" si="5"/>
        <v>0</v>
      </c>
      <c r="CQ6" s="174">
        <f t="shared" si="5"/>
        <v>0</v>
      </c>
    </row>
    <row r="7" spans="1:95" x14ac:dyDescent="0.25">
      <c r="B7" s="309" t="s">
        <v>105</v>
      </c>
      <c r="C7" s="174">
        <f>+C32+C42+C52+C62+C72+C82+C92+C102+C112</f>
        <v>6165.93082050676</v>
      </c>
      <c r="D7" s="174"/>
      <c r="E7" s="174"/>
      <c r="F7" s="174"/>
      <c r="G7" s="308"/>
      <c r="H7" s="174">
        <f>+H32+H42+H52+H62+H72+H82+H92+H102+H112</f>
        <v>7136.8061528206126</v>
      </c>
      <c r="I7" s="174">
        <f t="shared" si="3"/>
        <v>4764.6905807659014</v>
      </c>
      <c r="J7" s="174">
        <f t="shared" si="3"/>
        <v>2550.8201995737249</v>
      </c>
      <c r="K7" s="174">
        <f t="shared" si="3"/>
        <v>332.58778591169204</v>
      </c>
      <c r="L7" s="174">
        <f t="shared" si="3"/>
        <v>186.74187601518389</v>
      </c>
      <c r="M7" s="174">
        <f t="shared" si="3"/>
        <v>145.84590989650809</v>
      </c>
      <c r="N7" s="174">
        <f t="shared" si="3"/>
        <v>59.178590847967499</v>
      </c>
      <c r="O7" s="174">
        <f t="shared" si="3"/>
        <v>12.803270899191963</v>
      </c>
      <c r="P7" s="174">
        <f t="shared" si="3"/>
        <v>46.375319948775534</v>
      </c>
      <c r="Q7" s="174">
        <f t="shared" ref="Q7:S7" si="6">Q22+Q32+Q42+Q52+Q62+Q72+Q82+Q92+Q102+Q112+Q122+Q132</f>
        <v>11.218856067850103</v>
      </c>
      <c r="R7" s="174">
        <f t="shared" si="6"/>
        <v>0</v>
      </c>
      <c r="S7" s="174">
        <f t="shared" si="6"/>
        <v>11.218856067850103</v>
      </c>
      <c r="T7" s="174">
        <f t="shared" si="3"/>
        <v>189.12169209724857</v>
      </c>
      <c r="U7" s="174">
        <f t="shared" si="3"/>
        <v>48.914063593466174</v>
      </c>
      <c r="V7" s="174">
        <f t="shared" si="3"/>
        <v>0</v>
      </c>
      <c r="W7" s="174"/>
      <c r="X7" s="174">
        <f t="shared" si="3"/>
        <v>0</v>
      </c>
      <c r="Y7" s="174">
        <f t="shared" si="3"/>
        <v>0</v>
      </c>
      <c r="Z7" s="174">
        <f t="shared" si="3"/>
        <v>89.431446131051672</v>
      </c>
      <c r="AA7" s="174">
        <f t="shared" si="3"/>
        <v>24.064632326134706</v>
      </c>
      <c r="AB7" s="174">
        <f t="shared" si="3"/>
        <v>0</v>
      </c>
      <c r="AC7" s="174">
        <f t="shared" si="3"/>
        <v>0</v>
      </c>
      <c r="AD7" s="174">
        <f t="shared" si="3"/>
        <v>31.907016783221415</v>
      </c>
      <c r="AE7" s="174">
        <f t="shared" si="3"/>
        <v>83.471810253441191</v>
      </c>
      <c r="AF7" s="174">
        <f t="shared" si="3"/>
        <v>113.57315696305493</v>
      </c>
      <c r="AG7" s="174">
        <f t="shared" si="3"/>
        <v>22.657791261653049</v>
      </c>
      <c r="AH7" s="174">
        <f t="shared" si="3"/>
        <v>16.298661962906241</v>
      </c>
      <c r="AI7" s="174">
        <f t="shared" si="3"/>
        <v>12.877709221056321</v>
      </c>
      <c r="AJ7" s="174">
        <f t="shared" si="3"/>
        <v>0</v>
      </c>
      <c r="AK7" s="174">
        <f t="shared" si="3"/>
        <v>0</v>
      </c>
      <c r="AL7" s="174">
        <f t="shared" si="3"/>
        <v>0</v>
      </c>
      <c r="AM7" s="174">
        <f t="shared" si="3"/>
        <v>0</v>
      </c>
      <c r="AN7" s="174">
        <f t="shared" si="3"/>
        <v>9.2529360184414742</v>
      </c>
      <c r="AO7" s="174">
        <f t="shared" si="3"/>
        <v>0</v>
      </c>
      <c r="AP7" s="174">
        <f t="shared" si="3"/>
        <v>0</v>
      </c>
      <c r="AQ7" s="174">
        <f t="shared" si="3"/>
        <v>0</v>
      </c>
      <c r="AR7" s="174">
        <f t="shared" si="3"/>
        <v>0</v>
      </c>
      <c r="AS7" s="174">
        <f t="shared" si="3"/>
        <v>0</v>
      </c>
      <c r="AT7" s="174">
        <f t="shared" si="3"/>
        <v>4.2930872726583837</v>
      </c>
      <c r="AU7" s="174">
        <f t="shared" si="3"/>
        <v>0</v>
      </c>
      <c r="AV7" s="174">
        <f t="shared" si="3"/>
        <v>0</v>
      </c>
      <c r="AW7" s="174">
        <f t="shared" si="3"/>
        <v>4.0047547973441988</v>
      </c>
      <c r="AX7" s="174">
        <f t="shared" si="3"/>
        <v>12.483553150698649</v>
      </c>
      <c r="AY7" s="174">
        <f t="shared" si="3"/>
        <v>35.110904565654124</v>
      </c>
      <c r="AZ7" s="174">
        <f t="shared" si="3"/>
        <v>11.217558633894583</v>
      </c>
      <c r="BA7" s="174">
        <f t="shared" si="3"/>
        <v>14.134132665707932</v>
      </c>
      <c r="BB7" s="174">
        <f t="shared" si="3"/>
        <v>0</v>
      </c>
      <c r="BC7" s="174">
        <f t="shared" si="3"/>
        <v>0</v>
      </c>
      <c r="BD7" s="174">
        <f t="shared" si="3"/>
        <v>0</v>
      </c>
      <c r="BE7" s="174">
        <f t="shared" si="3"/>
        <v>4.0047547973441988</v>
      </c>
      <c r="BF7" s="174">
        <f t="shared" si="3"/>
        <v>12.483553150698649</v>
      </c>
      <c r="BG7" s="174">
        <f t="shared" si="3"/>
        <v>35.110904565654124</v>
      </c>
      <c r="BH7" s="174">
        <f t="shared" si="3"/>
        <v>11.217558633894583</v>
      </c>
      <c r="BI7" s="174">
        <f t="shared" si="3"/>
        <v>14.134132665707932</v>
      </c>
      <c r="BJ7" s="174">
        <f t="shared" si="3"/>
        <v>0</v>
      </c>
      <c r="BK7" s="174">
        <f t="shared" si="3"/>
        <v>0</v>
      </c>
      <c r="BL7" s="174">
        <f t="shared" si="3"/>
        <v>0</v>
      </c>
      <c r="BM7" s="174">
        <f t="shared" si="3"/>
        <v>0</v>
      </c>
      <c r="BN7" s="174">
        <f t="shared" si="3"/>
        <v>0</v>
      </c>
      <c r="BO7" s="174">
        <f t="shared" si="3"/>
        <v>0</v>
      </c>
      <c r="BP7" s="174">
        <f t="shared" si="3"/>
        <v>0</v>
      </c>
      <c r="BQ7" s="174">
        <f t="shared" si="3"/>
        <v>0</v>
      </c>
      <c r="BR7" s="174">
        <f t="shared" si="3"/>
        <v>0</v>
      </c>
      <c r="BS7" s="174">
        <f t="shared" si="3"/>
        <v>0</v>
      </c>
      <c r="BT7" s="174">
        <f t="shared" si="3"/>
        <v>0</v>
      </c>
      <c r="BU7" s="174">
        <f t="shared" si="3"/>
        <v>0</v>
      </c>
      <c r="BV7" s="174">
        <f t="shared" si="3"/>
        <v>0</v>
      </c>
      <c r="BW7" s="174">
        <f t="shared" si="3"/>
        <v>0</v>
      </c>
      <c r="BX7" s="174">
        <f t="shared" si="5"/>
        <v>0</v>
      </c>
      <c r="BY7" s="174">
        <f t="shared" si="5"/>
        <v>0</v>
      </c>
      <c r="BZ7" s="174">
        <f t="shared" si="5"/>
        <v>0</v>
      </c>
      <c r="CA7" s="174">
        <f t="shared" si="5"/>
        <v>0</v>
      </c>
      <c r="CB7" s="174">
        <f t="shared" si="5"/>
        <v>0</v>
      </c>
      <c r="CC7" s="174">
        <f t="shared" si="5"/>
        <v>0</v>
      </c>
      <c r="CD7" s="174">
        <f t="shared" si="5"/>
        <v>0</v>
      </c>
      <c r="CE7" s="174">
        <f t="shared" si="5"/>
        <v>0</v>
      </c>
      <c r="CF7" s="174">
        <f t="shared" si="5"/>
        <v>0</v>
      </c>
      <c r="CG7" s="174">
        <f t="shared" si="5"/>
        <v>0</v>
      </c>
      <c r="CH7" s="174">
        <f t="shared" si="5"/>
        <v>0</v>
      </c>
      <c r="CI7" s="174">
        <f t="shared" si="5"/>
        <v>0</v>
      </c>
      <c r="CJ7" s="174">
        <f t="shared" si="5"/>
        <v>0</v>
      </c>
      <c r="CK7" s="174">
        <f t="shared" si="5"/>
        <v>0</v>
      </c>
      <c r="CL7" s="174">
        <f t="shared" si="5"/>
        <v>0</v>
      </c>
      <c r="CM7" s="174">
        <f t="shared" si="5"/>
        <v>0</v>
      </c>
      <c r="CN7" s="174">
        <f t="shared" si="5"/>
        <v>0</v>
      </c>
      <c r="CO7" s="174">
        <f t="shared" si="5"/>
        <v>0</v>
      </c>
      <c r="CP7" s="174">
        <f t="shared" si="5"/>
        <v>0</v>
      </c>
      <c r="CQ7" s="174">
        <f t="shared" si="5"/>
        <v>0</v>
      </c>
    </row>
    <row r="8" spans="1:95" x14ac:dyDescent="0.25">
      <c r="B8" s="162" t="s">
        <v>98</v>
      </c>
      <c r="C8" s="99"/>
      <c r="D8" s="99"/>
      <c r="E8" s="99"/>
      <c r="F8" s="99"/>
      <c r="H8" s="174"/>
      <c r="I8" s="174"/>
      <c r="J8" s="174"/>
      <c r="K8" s="174"/>
      <c r="L8" s="174"/>
      <c r="M8" s="174"/>
      <c r="N8" s="174"/>
      <c r="O8" s="174"/>
      <c r="P8" s="174"/>
      <c r="Q8" s="174"/>
      <c r="R8" s="174"/>
      <c r="S8" s="174"/>
      <c r="T8" s="174"/>
      <c r="U8" s="174"/>
      <c r="V8" s="174"/>
      <c r="W8" s="174"/>
      <c r="X8" s="174"/>
      <c r="Y8" s="164"/>
      <c r="Z8" s="164"/>
      <c r="AA8" s="164"/>
      <c r="AB8" s="164"/>
      <c r="AC8" s="164"/>
      <c r="AD8" s="164"/>
      <c r="AE8" s="164"/>
      <c r="AF8" s="164"/>
      <c r="AG8" s="164"/>
      <c r="AH8" s="164"/>
      <c r="AI8" s="164"/>
      <c r="AJ8" s="164"/>
      <c r="AK8" s="164"/>
      <c r="AL8" s="164"/>
      <c r="AM8" s="164"/>
      <c r="AN8" s="164"/>
      <c r="AO8" s="164"/>
      <c r="AP8" s="164"/>
      <c r="AQ8" s="164"/>
      <c r="AR8" s="164"/>
      <c r="AS8" s="164"/>
      <c r="AT8" s="164"/>
      <c r="AU8" s="164"/>
      <c r="AV8" s="164"/>
      <c r="AW8" s="174"/>
      <c r="AX8" s="174"/>
      <c r="AY8" s="174"/>
      <c r="AZ8" s="174"/>
      <c r="BA8" s="174"/>
      <c r="BB8" s="174"/>
      <c r="BC8" s="174"/>
      <c r="BD8" s="164"/>
      <c r="BE8" s="174"/>
      <c r="BF8" s="174"/>
      <c r="BG8" s="174"/>
      <c r="BH8" s="174"/>
      <c r="BI8" s="174"/>
      <c r="BJ8" s="174"/>
      <c r="BK8" s="174"/>
      <c r="BL8" s="164"/>
      <c r="BM8" s="174"/>
      <c r="BN8" s="174"/>
      <c r="BO8" s="174"/>
      <c r="BP8" s="174"/>
      <c r="BQ8" s="174"/>
      <c r="BR8" s="174"/>
      <c r="BS8" s="174"/>
      <c r="BT8" s="164"/>
      <c r="BU8" s="174"/>
      <c r="BV8" s="174"/>
      <c r="BW8" s="174"/>
      <c r="BX8" s="174"/>
      <c r="BY8" s="174"/>
      <c r="BZ8" s="174"/>
      <c r="CA8" s="174"/>
      <c r="CB8" s="164"/>
      <c r="CC8" s="174"/>
      <c r="CD8" s="174"/>
      <c r="CE8" s="174"/>
      <c r="CF8" s="174"/>
      <c r="CG8" s="174"/>
      <c r="CH8" s="174"/>
      <c r="CI8" s="174"/>
      <c r="CJ8" s="164"/>
      <c r="CK8" s="174"/>
      <c r="CL8" s="174"/>
      <c r="CM8" s="174"/>
      <c r="CN8" s="174"/>
      <c r="CO8" s="174"/>
      <c r="CP8" s="174"/>
      <c r="CQ8" s="174"/>
    </row>
    <row r="9" spans="1:95" ht="16.5" thickBot="1" x14ac:dyDescent="0.3">
      <c r="B9" s="162"/>
      <c r="C9" s="99"/>
      <c r="D9" s="99"/>
      <c r="E9" s="99"/>
      <c r="F9" s="99"/>
      <c r="H9" s="163"/>
      <c r="K9" s="24"/>
      <c r="L9" s="24"/>
      <c r="M9" s="24"/>
      <c r="N9" s="24"/>
      <c r="O9" s="24"/>
      <c r="T9" s="24"/>
      <c r="U9" s="24"/>
      <c r="V9" s="24"/>
      <c r="W9" s="24"/>
      <c r="X9" s="24"/>
      <c r="Y9" s="164"/>
      <c r="Z9" s="164"/>
      <c r="AA9" s="164"/>
      <c r="AB9" s="164"/>
      <c r="AC9" s="164"/>
      <c r="AD9" s="164"/>
      <c r="AE9" s="164"/>
      <c r="AF9" s="164"/>
      <c r="AG9" s="164"/>
      <c r="AH9" s="164"/>
      <c r="AI9" s="164"/>
      <c r="AJ9" s="164"/>
      <c r="AK9" s="164"/>
      <c r="AL9" s="164"/>
      <c r="AM9" s="164"/>
      <c r="AN9" s="164"/>
      <c r="AO9" s="164"/>
      <c r="AP9" s="164"/>
      <c r="AQ9" s="164"/>
      <c r="AR9" s="164"/>
      <c r="AS9" s="164"/>
      <c r="AT9" s="164"/>
      <c r="AU9" s="164"/>
      <c r="AV9" s="164"/>
      <c r="AW9" s="163"/>
      <c r="AX9" s="163"/>
      <c r="AY9" s="163"/>
      <c r="AZ9" s="163"/>
      <c r="BA9" s="163"/>
      <c r="BB9" s="163"/>
      <c r="BC9" s="163"/>
      <c r="BD9" s="163"/>
      <c r="BE9" s="163"/>
      <c r="BF9" s="163"/>
      <c r="BG9" s="163"/>
      <c r="BH9" s="163"/>
      <c r="BI9" s="163"/>
      <c r="BJ9" s="163"/>
      <c r="BK9" s="163"/>
      <c r="BL9" s="163"/>
      <c r="BM9" s="163"/>
      <c r="BN9" s="163"/>
      <c r="BO9" s="163"/>
      <c r="BP9" s="163"/>
      <c r="BQ9" s="163"/>
      <c r="BR9" s="163"/>
      <c r="BS9" s="163"/>
      <c r="BT9" s="163"/>
      <c r="BU9" s="163"/>
      <c r="BV9" s="163"/>
      <c r="BW9" s="163"/>
      <c r="BX9" s="163"/>
      <c r="BY9" s="163"/>
      <c r="BZ9" s="163"/>
      <c r="CA9" s="163"/>
      <c r="CB9" s="163"/>
      <c r="CC9" s="163"/>
      <c r="CD9" s="163"/>
      <c r="CE9" s="163"/>
      <c r="CF9" s="163"/>
      <c r="CG9" s="163"/>
      <c r="CH9" s="163"/>
      <c r="CI9" s="163"/>
      <c r="CJ9" s="163"/>
      <c r="CK9" s="163"/>
      <c r="CL9" s="163"/>
      <c r="CM9" s="163"/>
      <c r="CN9" s="163"/>
      <c r="CO9" s="163"/>
      <c r="CP9" s="163"/>
      <c r="CQ9" s="163"/>
    </row>
    <row r="10" spans="1:95" ht="16.5" thickBot="1" x14ac:dyDescent="0.3">
      <c r="C10" s="180"/>
      <c r="AW10" s="642" t="s">
        <v>196</v>
      </c>
      <c r="AX10" s="643"/>
      <c r="AY10" s="643"/>
      <c r="AZ10" s="643"/>
      <c r="BA10" s="643"/>
      <c r="BB10" s="643"/>
      <c r="BC10" s="644"/>
      <c r="BE10" s="642" t="s">
        <v>198</v>
      </c>
      <c r="BF10" s="643"/>
      <c r="BG10" s="643"/>
      <c r="BH10" s="643"/>
      <c r="BI10" s="643"/>
      <c r="BJ10" s="643"/>
      <c r="BK10" s="644"/>
      <c r="BM10" s="642" t="s">
        <v>197</v>
      </c>
      <c r="BN10" s="643"/>
      <c r="BO10" s="643"/>
      <c r="BP10" s="643"/>
      <c r="BQ10" s="643"/>
      <c r="BR10" s="643"/>
      <c r="BS10" s="644"/>
      <c r="BU10" s="642" t="s">
        <v>202</v>
      </c>
      <c r="BV10" s="643"/>
      <c r="BW10" s="643"/>
      <c r="BX10" s="643"/>
      <c r="BY10" s="643"/>
      <c r="BZ10" s="643"/>
      <c r="CA10" s="644"/>
      <c r="CC10" s="642" t="s">
        <v>203</v>
      </c>
      <c r="CD10" s="643"/>
      <c r="CE10" s="643"/>
      <c r="CF10" s="643"/>
      <c r="CG10" s="643"/>
      <c r="CH10" s="643"/>
      <c r="CI10" s="644"/>
      <c r="CK10" s="642" t="s">
        <v>204</v>
      </c>
      <c r="CL10" s="643"/>
      <c r="CM10" s="643"/>
      <c r="CN10" s="643"/>
      <c r="CO10" s="643"/>
      <c r="CP10" s="643"/>
      <c r="CQ10" s="644"/>
    </row>
    <row r="11" spans="1:95" ht="16.5" thickBot="1" x14ac:dyDescent="0.3">
      <c r="H11" s="636" t="s">
        <v>115</v>
      </c>
      <c r="I11" s="637"/>
      <c r="J11" s="637"/>
      <c r="K11" s="637"/>
      <c r="L11" s="637"/>
      <c r="M11" s="637"/>
      <c r="N11" s="637"/>
      <c r="O11" s="637"/>
      <c r="P11" s="637"/>
      <c r="Q11" s="449"/>
      <c r="R11" s="449"/>
      <c r="S11" s="449"/>
      <c r="T11" s="636" t="s">
        <v>188</v>
      </c>
      <c r="U11" s="637"/>
      <c r="V11" s="637"/>
      <c r="W11" s="637"/>
      <c r="X11" s="638"/>
      <c r="Y11" s="25"/>
      <c r="AD11" s="636" t="s">
        <v>128</v>
      </c>
      <c r="AE11" s="637"/>
      <c r="AF11" s="637"/>
      <c r="AG11" s="637"/>
      <c r="AH11" s="637"/>
      <c r="AI11" s="637"/>
      <c r="AJ11" s="637"/>
      <c r="AK11" s="637"/>
      <c r="AL11" s="637"/>
      <c r="AM11" s="637"/>
      <c r="AN11" s="637"/>
      <c r="AO11" s="637"/>
      <c r="AP11" s="637"/>
      <c r="AQ11" s="637"/>
      <c r="AR11" s="637"/>
      <c r="AS11" s="637"/>
      <c r="AT11" s="637"/>
      <c r="AU11" s="638"/>
      <c r="AV11" s="25"/>
      <c r="AW11" s="675" t="s">
        <v>103</v>
      </c>
      <c r="AX11" s="676"/>
      <c r="AY11" s="676"/>
      <c r="AZ11" s="676"/>
      <c r="BA11" s="676"/>
      <c r="BB11" s="676"/>
      <c r="BC11" s="676"/>
      <c r="BD11" s="77"/>
      <c r="BE11" s="675" t="s">
        <v>103</v>
      </c>
      <c r="BF11" s="676"/>
      <c r="BG11" s="676"/>
      <c r="BH11" s="676"/>
      <c r="BI11" s="676"/>
      <c r="BJ11" s="676"/>
      <c r="BK11" s="676"/>
      <c r="BL11" s="77"/>
      <c r="BM11" s="675" t="s">
        <v>103</v>
      </c>
      <c r="BN11" s="676"/>
      <c r="BO11" s="676"/>
      <c r="BP11" s="676"/>
      <c r="BQ11" s="676"/>
      <c r="BR11" s="676"/>
      <c r="BS11" s="676"/>
      <c r="BT11" s="25"/>
      <c r="BU11" s="675" t="s">
        <v>103</v>
      </c>
      <c r="BV11" s="676"/>
      <c r="BW11" s="676"/>
      <c r="BX11" s="676"/>
      <c r="BY11" s="676"/>
      <c r="BZ11" s="676"/>
      <c r="CA11" s="676"/>
      <c r="CB11" s="77"/>
      <c r="CC11" s="675" t="s">
        <v>103</v>
      </c>
      <c r="CD11" s="676"/>
      <c r="CE11" s="676"/>
      <c r="CF11" s="676"/>
      <c r="CG11" s="676"/>
      <c r="CH11" s="676"/>
      <c r="CI11" s="676"/>
      <c r="CJ11" s="77"/>
      <c r="CK11" s="675" t="s">
        <v>103</v>
      </c>
      <c r="CL11" s="676"/>
      <c r="CM11" s="676"/>
      <c r="CN11" s="676"/>
      <c r="CO11" s="676"/>
      <c r="CP11" s="676"/>
      <c r="CQ11" s="676"/>
    </row>
    <row r="12" spans="1:95" x14ac:dyDescent="0.25">
      <c r="A12" s="666" t="s">
        <v>89</v>
      </c>
      <c r="B12" s="668" t="s">
        <v>2</v>
      </c>
      <c r="C12" s="633" t="s">
        <v>93</v>
      </c>
      <c r="D12" s="633"/>
      <c r="E12" s="243"/>
      <c r="F12" s="243"/>
      <c r="G12" s="670" t="s">
        <v>199</v>
      </c>
      <c r="H12" s="639" t="s">
        <v>109</v>
      </c>
      <c r="I12" s="639"/>
      <c r="J12" s="639"/>
      <c r="K12" s="639"/>
      <c r="L12" s="639"/>
      <c r="M12" s="630"/>
      <c r="N12" s="639" t="s">
        <v>101</v>
      </c>
      <c r="O12" s="639"/>
      <c r="P12" s="639"/>
      <c r="Q12" s="639"/>
      <c r="R12" s="639"/>
      <c r="S12" s="630"/>
      <c r="T12" s="674" t="s">
        <v>109</v>
      </c>
      <c r="U12" s="672"/>
      <c r="V12" s="24"/>
      <c r="W12" s="672" t="s">
        <v>101</v>
      </c>
      <c r="X12" s="673"/>
      <c r="Y12" s="25"/>
      <c r="Z12" s="658" t="s">
        <v>129</v>
      </c>
      <c r="AA12" s="659"/>
      <c r="AB12" s="659"/>
      <c r="AC12" s="660"/>
      <c r="AD12" s="652" t="s">
        <v>130</v>
      </c>
      <c r="AE12" s="630"/>
      <c r="AF12" s="629" t="s">
        <v>131</v>
      </c>
      <c r="AG12" s="630"/>
      <c r="AH12" s="639" t="s">
        <v>132</v>
      </c>
      <c r="AI12" s="639"/>
      <c r="AJ12" s="629" t="s">
        <v>195</v>
      </c>
      <c r="AK12" s="630"/>
      <c r="AL12" s="629" t="s">
        <v>134</v>
      </c>
      <c r="AM12" s="630"/>
      <c r="AN12" s="629" t="s">
        <v>133</v>
      </c>
      <c r="AO12" s="630"/>
      <c r="AP12" s="629" t="s">
        <v>201</v>
      </c>
      <c r="AQ12" s="630"/>
      <c r="AR12" s="629" t="s">
        <v>146</v>
      </c>
      <c r="AS12" s="630"/>
      <c r="AT12" s="639" t="s">
        <v>135</v>
      </c>
      <c r="AU12" s="641"/>
      <c r="AV12" s="25"/>
      <c r="AW12" s="636" t="s">
        <v>112</v>
      </c>
      <c r="AX12" s="637"/>
      <c r="AY12" s="637"/>
      <c r="AZ12" s="637"/>
      <c r="BA12" s="634" t="s">
        <v>107</v>
      </c>
      <c r="BB12" s="637"/>
      <c r="BC12" s="638"/>
      <c r="BD12" s="25"/>
      <c r="BE12" s="636" t="s">
        <v>112</v>
      </c>
      <c r="BF12" s="637"/>
      <c r="BG12" s="637"/>
      <c r="BH12" s="637"/>
      <c r="BI12" s="634" t="s">
        <v>107</v>
      </c>
      <c r="BJ12" s="637"/>
      <c r="BK12" s="638"/>
      <c r="BL12" s="25"/>
      <c r="BM12" s="636" t="s">
        <v>112</v>
      </c>
      <c r="BN12" s="637"/>
      <c r="BO12" s="637"/>
      <c r="BP12" s="637"/>
      <c r="BQ12" s="634" t="s">
        <v>107</v>
      </c>
      <c r="BR12" s="637"/>
      <c r="BS12" s="638"/>
      <c r="BT12" s="25"/>
      <c r="BU12" s="636" t="s">
        <v>112</v>
      </c>
      <c r="BV12" s="637"/>
      <c r="BW12" s="637"/>
      <c r="BX12" s="637"/>
      <c r="BY12" s="634" t="s">
        <v>107</v>
      </c>
      <c r="BZ12" s="637"/>
      <c r="CA12" s="638"/>
      <c r="CB12" s="25"/>
      <c r="CC12" s="636" t="s">
        <v>112</v>
      </c>
      <c r="CD12" s="637"/>
      <c r="CE12" s="637"/>
      <c r="CF12" s="637"/>
      <c r="CG12" s="634" t="s">
        <v>107</v>
      </c>
      <c r="CH12" s="637"/>
      <c r="CI12" s="638"/>
      <c r="CJ12" s="25"/>
      <c r="CK12" s="636" t="s">
        <v>112</v>
      </c>
      <c r="CL12" s="637"/>
      <c r="CM12" s="637"/>
      <c r="CN12" s="637"/>
      <c r="CO12" s="634" t="s">
        <v>107</v>
      </c>
      <c r="CP12" s="637"/>
      <c r="CQ12" s="638"/>
    </row>
    <row r="13" spans="1:95" ht="32.25" thickBot="1" x14ac:dyDescent="0.3">
      <c r="A13" s="667"/>
      <c r="B13" s="669"/>
      <c r="C13" s="245" t="s">
        <v>6</v>
      </c>
      <c r="D13" s="245" t="s">
        <v>106</v>
      </c>
      <c r="E13" s="244" t="s">
        <v>117</v>
      </c>
      <c r="F13" s="26" t="s">
        <v>140</v>
      </c>
      <c r="G13" s="671"/>
      <c r="H13" s="521" t="s">
        <v>118</v>
      </c>
      <c r="I13" s="302" t="s">
        <v>165</v>
      </c>
      <c r="J13" s="302" t="s">
        <v>120</v>
      </c>
      <c r="K13" s="521" t="s">
        <v>90</v>
      </c>
      <c r="L13" s="302" t="s">
        <v>165</v>
      </c>
      <c r="M13" s="302" t="s">
        <v>120</v>
      </c>
      <c r="N13" s="521" t="s">
        <v>118</v>
      </c>
      <c r="O13" s="302" t="s">
        <v>165</v>
      </c>
      <c r="P13" s="302" t="s">
        <v>120</v>
      </c>
      <c r="Q13" s="521" t="s">
        <v>119</v>
      </c>
      <c r="R13" s="302" t="s">
        <v>165</v>
      </c>
      <c r="S13" s="302" t="s">
        <v>120</v>
      </c>
      <c r="T13" s="522" t="s">
        <v>118</v>
      </c>
      <c r="U13" s="345" t="s">
        <v>90</v>
      </c>
      <c r="V13" s="343" t="s">
        <v>189</v>
      </c>
      <c r="W13" s="343" t="s">
        <v>118</v>
      </c>
      <c r="X13" s="512" t="s">
        <v>90</v>
      </c>
      <c r="Y13" s="183"/>
      <c r="Z13" s="513" t="s">
        <v>216</v>
      </c>
      <c r="AA13" s="514" t="s">
        <v>217</v>
      </c>
      <c r="AB13" s="514" t="s">
        <v>218</v>
      </c>
      <c r="AC13" s="515" t="s">
        <v>104</v>
      </c>
      <c r="AD13" s="517" t="s">
        <v>112</v>
      </c>
      <c r="AE13" s="516" t="s">
        <v>107</v>
      </c>
      <c r="AF13" s="518" t="s">
        <v>112</v>
      </c>
      <c r="AG13" s="516" t="s">
        <v>107</v>
      </c>
      <c r="AH13" s="518" t="s">
        <v>112</v>
      </c>
      <c r="AI13" s="516" t="s">
        <v>107</v>
      </c>
      <c r="AJ13" s="518" t="s">
        <v>112</v>
      </c>
      <c r="AK13" s="516" t="s">
        <v>107</v>
      </c>
      <c r="AL13" s="518" t="s">
        <v>112</v>
      </c>
      <c r="AM13" s="516" t="s">
        <v>107</v>
      </c>
      <c r="AN13" s="518" t="s">
        <v>112</v>
      </c>
      <c r="AO13" s="516" t="s">
        <v>107</v>
      </c>
      <c r="AP13" s="518" t="s">
        <v>112</v>
      </c>
      <c r="AQ13" s="516" t="s">
        <v>107</v>
      </c>
      <c r="AR13" s="518" t="s">
        <v>112</v>
      </c>
      <c r="AS13" s="516" t="s">
        <v>107</v>
      </c>
      <c r="AT13" s="518" t="s">
        <v>112</v>
      </c>
      <c r="AU13" s="519" t="s">
        <v>107</v>
      </c>
      <c r="AV13" s="183"/>
      <c r="AW13" s="185" t="s">
        <v>155</v>
      </c>
      <c r="AX13" s="186" t="s">
        <v>110</v>
      </c>
      <c r="AY13" s="186" t="s">
        <v>96</v>
      </c>
      <c r="AZ13" s="186" t="s">
        <v>104</v>
      </c>
      <c r="BA13" s="187" t="s">
        <v>155</v>
      </c>
      <c r="BB13" s="186" t="s">
        <v>110</v>
      </c>
      <c r="BC13" s="188" t="s">
        <v>96</v>
      </c>
      <c r="BD13" s="183"/>
      <c r="BE13" s="185" t="s">
        <v>155</v>
      </c>
      <c r="BF13" s="186" t="s">
        <v>110</v>
      </c>
      <c r="BG13" s="186" t="s">
        <v>96</v>
      </c>
      <c r="BH13" s="186" t="s">
        <v>104</v>
      </c>
      <c r="BI13" s="187" t="s">
        <v>155</v>
      </c>
      <c r="BJ13" s="186" t="s">
        <v>110</v>
      </c>
      <c r="BK13" s="188" t="s">
        <v>96</v>
      </c>
      <c r="BL13" s="183"/>
      <c r="BM13" s="185" t="s">
        <v>155</v>
      </c>
      <c r="BN13" s="186" t="s">
        <v>110</v>
      </c>
      <c r="BO13" s="186" t="s">
        <v>96</v>
      </c>
      <c r="BP13" s="186" t="s">
        <v>104</v>
      </c>
      <c r="BQ13" s="187" t="s">
        <v>155</v>
      </c>
      <c r="BR13" s="186" t="s">
        <v>110</v>
      </c>
      <c r="BS13" s="188" t="s">
        <v>96</v>
      </c>
      <c r="BT13" s="183"/>
      <c r="BU13" s="185" t="s">
        <v>155</v>
      </c>
      <c r="BV13" s="186" t="s">
        <v>110</v>
      </c>
      <c r="BW13" s="186" t="s">
        <v>96</v>
      </c>
      <c r="BX13" s="186" t="s">
        <v>104</v>
      </c>
      <c r="BY13" s="187" t="s">
        <v>155</v>
      </c>
      <c r="BZ13" s="186" t="s">
        <v>110</v>
      </c>
      <c r="CA13" s="188" t="s">
        <v>96</v>
      </c>
      <c r="CB13" s="183"/>
      <c r="CC13" s="185" t="s">
        <v>155</v>
      </c>
      <c r="CD13" s="186" t="s">
        <v>110</v>
      </c>
      <c r="CE13" s="186" t="s">
        <v>96</v>
      </c>
      <c r="CF13" s="186" t="s">
        <v>104</v>
      </c>
      <c r="CG13" s="187" t="s">
        <v>155</v>
      </c>
      <c r="CH13" s="186" t="s">
        <v>110</v>
      </c>
      <c r="CI13" s="188" t="s">
        <v>96</v>
      </c>
      <c r="CJ13" s="183"/>
      <c r="CK13" s="185" t="s">
        <v>155</v>
      </c>
      <c r="CL13" s="186" t="s">
        <v>110</v>
      </c>
      <c r="CM13" s="186" t="s">
        <v>96</v>
      </c>
      <c r="CN13" s="186" t="s">
        <v>104</v>
      </c>
      <c r="CO13" s="187" t="s">
        <v>155</v>
      </c>
      <c r="CP13" s="186" t="s">
        <v>110</v>
      </c>
      <c r="CQ13" s="188" t="s">
        <v>96</v>
      </c>
    </row>
    <row r="14" spans="1:95" x14ac:dyDescent="0.25">
      <c r="A14" s="132" t="s">
        <v>7</v>
      </c>
      <c r="B14" s="167">
        <v>45880</v>
      </c>
      <c r="C14" s="173">
        <f>Boats!J50</f>
        <v>0</v>
      </c>
      <c r="D14" s="259"/>
      <c r="E14" s="168"/>
      <c r="F14" s="317"/>
      <c r="G14" s="253"/>
      <c r="H14" s="247">
        <f t="shared" ref="H14:H20" si="7">SUM(I14:J14)</f>
        <v>0</v>
      </c>
      <c r="I14" s="260"/>
      <c r="J14" s="168"/>
      <c r="K14" s="247">
        <f t="shared" ref="K14:K20" si="8">SUM(L14:M14)</f>
        <v>0</v>
      </c>
      <c r="L14" s="260"/>
      <c r="M14" s="168"/>
      <c r="N14" s="311">
        <f t="shared" ref="N14:N20" si="9">SUM(O14:P14)</f>
        <v>0</v>
      </c>
      <c r="O14" s="260"/>
      <c r="P14" s="259"/>
      <c r="Q14" s="311">
        <f t="shared" ref="Q14:Q20" si="10">SUM(R14:S14)</f>
        <v>0</v>
      </c>
      <c r="R14" s="260"/>
      <c r="S14" s="259"/>
      <c r="T14" s="261"/>
      <c r="U14" s="168"/>
      <c r="V14" s="260"/>
      <c r="W14" s="520"/>
      <c r="X14" s="262"/>
      <c r="Y14" s="168"/>
      <c r="Z14" s="261"/>
      <c r="AA14" s="168"/>
      <c r="AB14" s="168"/>
      <c r="AC14" s="262"/>
      <c r="AD14" s="261"/>
      <c r="AE14" s="259"/>
      <c r="AF14" s="260"/>
      <c r="AG14" s="259"/>
      <c r="AH14" s="168"/>
      <c r="AI14" s="168"/>
      <c r="AJ14" s="260"/>
      <c r="AK14" s="259"/>
      <c r="AL14" s="260"/>
      <c r="AM14" s="259"/>
      <c r="AN14" s="168"/>
      <c r="AO14" s="168"/>
      <c r="AP14" s="260"/>
      <c r="AQ14" s="259"/>
      <c r="AR14" s="168"/>
      <c r="AS14" s="168"/>
      <c r="AT14" s="168"/>
      <c r="AU14" s="262"/>
      <c r="AV14" s="168"/>
      <c r="AW14" s="257"/>
      <c r="AX14" s="255"/>
      <c r="AY14" s="255"/>
      <c r="AZ14" s="255"/>
      <c r="BA14" s="254"/>
      <c r="BB14" s="255"/>
      <c r="BC14" s="258"/>
      <c r="BD14" s="168"/>
      <c r="BE14" s="257"/>
      <c r="BF14" s="255"/>
      <c r="BG14" s="255"/>
      <c r="BH14" s="255"/>
      <c r="BI14" s="254"/>
      <c r="BJ14" s="255"/>
      <c r="BK14" s="258"/>
      <c r="BL14" s="168"/>
      <c r="BM14" s="257"/>
      <c r="BN14" s="255"/>
      <c r="BO14" s="255"/>
      <c r="BP14" s="255"/>
      <c r="BQ14" s="254"/>
      <c r="BR14" s="255"/>
      <c r="BS14" s="258"/>
      <c r="BT14" s="168"/>
      <c r="BU14" s="257"/>
      <c r="BV14" s="255"/>
      <c r="BW14" s="255"/>
      <c r="BX14" s="255"/>
      <c r="BY14" s="254"/>
      <c r="BZ14" s="255"/>
      <c r="CA14" s="258"/>
      <c r="CB14" s="168"/>
      <c r="CC14" s="257"/>
      <c r="CD14" s="255"/>
      <c r="CE14" s="255"/>
      <c r="CF14" s="255"/>
      <c r="CG14" s="254"/>
      <c r="CH14" s="255"/>
      <c r="CI14" s="258"/>
      <c r="CJ14" s="168"/>
      <c r="CK14" s="257"/>
      <c r="CL14" s="255"/>
      <c r="CM14" s="255"/>
      <c r="CN14" s="255"/>
      <c r="CO14" s="254"/>
      <c r="CP14" s="255"/>
      <c r="CQ14" s="258"/>
    </row>
    <row r="15" spans="1:95" x14ac:dyDescent="0.25">
      <c r="A15" s="132" t="s">
        <v>10</v>
      </c>
      <c r="B15" s="167">
        <f t="shared" ref="B15:B20" si="11">B14+1</f>
        <v>45881</v>
      </c>
      <c r="C15" s="173">
        <f>Boats!J57</f>
        <v>0</v>
      </c>
      <c r="D15" s="259"/>
      <c r="E15" s="168"/>
      <c r="F15" s="317"/>
      <c r="G15" s="253"/>
      <c r="H15" s="247">
        <f t="shared" si="7"/>
        <v>0</v>
      </c>
      <c r="I15" s="260"/>
      <c r="J15" s="168"/>
      <c r="K15" s="247">
        <f t="shared" si="8"/>
        <v>0</v>
      </c>
      <c r="L15" s="260"/>
      <c r="M15" s="168"/>
      <c r="N15" s="311">
        <f t="shared" si="9"/>
        <v>0</v>
      </c>
      <c r="O15" s="260"/>
      <c r="P15" s="259"/>
      <c r="Q15" s="311">
        <f t="shared" si="10"/>
        <v>0</v>
      </c>
      <c r="R15" s="260"/>
      <c r="S15" s="259"/>
      <c r="T15" s="261"/>
      <c r="U15" s="168"/>
      <c r="V15" s="260"/>
      <c r="W15" s="260"/>
      <c r="X15" s="262"/>
      <c r="Y15" s="168"/>
      <c r="Z15" s="261"/>
      <c r="AA15" s="168"/>
      <c r="AB15" s="168"/>
      <c r="AC15" s="262"/>
      <c r="AD15" s="261"/>
      <c r="AE15" s="259"/>
      <c r="AF15" s="260"/>
      <c r="AG15" s="259"/>
      <c r="AH15" s="168"/>
      <c r="AI15" s="168"/>
      <c r="AJ15" s="260"/>
      <c r="AK15" s="259"/>
      <c r="AL15" s="260"/>
      <c r="AM15" s="259"/>
      <c r="AN15" s="168"/>
      <c r="AO15" s="168"/>
      <c r="AP15" s="260"/>
      <c r="AQ15" s="259"/>
      <c r="AR15" s="168"/>
      <c r="AS15" s="168"/>
      <c r="AT15" s="168"/>
      <c r="AU15" s="262"/>
      <c r="AV15" s="168"/>
      <c r="AW15" s="261"/>
      <c r="AX15" s="168"/>
      <c r="AY15" s="168"/>
      <c r="AZ15" s="168"/>
      <c r="BA15" s="260"/>
      <c r="BB15" s="168"/>
      <c r="BC15" s="262"/>
      <c r="BD15" s="168"/>
      <c r="BE15" s="261"/>
      <c r="BF15" s="168"/>
      <c r="BG15" s="168"/>
      <c r="BH15" s="168"/>
      <c r="BI15" s="260"/>
      <c r="BJ15" s="168"/>
      <c r="BK15" s="262"/>
      <c r="BL15" s="168"/>
      <c r="BM15" s="261"/>
      <c r="BN15" s="168"/>
      <c r="BO15" s="168"/>
      <c r="BP15" s="168"/>
      <c r="BQ15" s="260"/>
      <c r="BR15" s="168"/>
      <c r="BS15" s="262"/>
      <c r="BT15" s="168"/>
      <c r="BU15" s="261"/>
      <c r="BV15" s="168"/>
      <c r="BW15" s="168"/>
      <c r="BX15" s="168"/>
      <c r="BY15" s="260"/>
      <c r="BZ15" s="168"/>
      <c r="CA15" s="262"/>
      <c r="CB15" s="168"/>
      <c r="CC15" s="261"/>
      <c r="CD15" s="168"/>
      <c r="CE15" s="168"/>
      <c r="CF15" s="168"/>
      <c r="CG15" s="260"/>
      <c r="CH15" s="168"/>
      <c r="CI15" s="262"/>
      <c r="CJ15" s="168"/>
      <c r="CK15" s="261"/>
      <c r="CL15" s="168"/>
      <c r="CM15" s="168"/>
      <c r="CN15" s="168"/>
      <c r="CO15" s="260"/>
      <c r="CP15" s="168"/>
      <c r="CQ15" s="262"/>
    </row>
    <row r="16" spans="1:95" x14ac:dyDescent="0.25">
      <c r="A16" s="132" t="s">
        <v>11</v>
      </c>
      <c r="B16" s="167">
        <f t="shared" si="11"/>
        <v>45882</v>
      </c>
      <c r="C16" s="173">
        <f>Boats!J64</f>
        <v>0</v>
      </c>
      <c r="D16" s="259"/>
      <c r="E16" s="168"/>
      <c r="F16" s="317"/>
      <c r="G16" s="253"/>
      <c r="H16" s="247">
        <f t="shared" si="7"/>
        <v>0</v>
      </c>
      <c r="I16" s="260"/>
      <c r="J16" s="168"/>
      <c r="K16" s="247">
        <f t="shared" si="8"/>
        <v>0</v>
      </c>
      <c r="L16" s="260"/>
      <c r="M16" s="168"/>
      <c r="N16" s="311">
        <f t="shared" si="9"/>
        <v>0</v>
      </c>
      <c r="O16" s="260"/>
      <c r="P16" s="259"/>
      <c r="Q16" s="311">
        <f t="shared" si="10"/>
        <v>0</v>
      </c>
      <c r="R16" s="260"/>
      <c r="S16" s="259"/>
      <c r="T16" s="261"/>
      <c r="U16" s="168"/>
      <c r="V16" s="260"/>
      <c r="W16" s="260"/>
      <c r="X16" s="262"/>
      <c r="Y16" s="168"/>
      <c r="Z16" s="261"/>
      <c r="AA16" s="168"/>
      <c r="AB16" s="168"/>
      <c r="AC16" s="262"/>
      <c r="AD16" s="261"/>
      <c r="AE16" s="259"/>
      <c r="AF16" s="260"/>
      <c r="AG16" s="259"/>
      <c r="AH16" s="168"/>
      <c r="AI16" s="168"/>
      <c r="AJ16" s="260"/>
      <c r="AK16" s="259"/>
      <c r="AL16" s="260"/>
      <c r="AM16" s="259"/>
      <c r="AN16" s="168"/>
      <c r="AO16" s="168"/>
      <c r="AP16" s="260"/>
      <c r="AQ16" s="259"/>
      <c r="AR16" s="168"/>
      <c r="AS16" s="168"/>
      <c r="AT16" s="168"/>
      <c r="AU16" s="262"/>
      <c r="AV16" s="168"/>
      <c r="AW16" s="261"/>
      <c r="AX16" s="168"/>
      <c r="AY16" s="168"/>
      <c r="AZ16" s="168"/>
      <c r="BA16" s="260"/>
      <c r="BB16" s="168"/>
      <c r="BC16" s="262"/>
      <c r="BD16" s="168"/>
      <c r="BE16" s="261"/>
      <c r="BF16" s="168"/>
      <c r="BG16" s="168"/>
      <c r="BH16" s="168"/>
      <c r="BI16" s="260"/>
      <c r="BJ16" s="168"/>
      <c r="BK16" s="262"/>
      <c r="BL16" s="168"/>
      <c r="BM16" s="261"/>
      <c r="BN16" s="168"/>
      <c r="BO16" s="168"/>
      <c r="BP16" s="168"/>
      <c r="BQ16" s="260"/>
      <c r="BR16" s="168"/>
      <c r="BS16" s="262"/>
      <c r="BT16" s="168"/>
      <c r="BU16" s="261"/>
      <c r="BV16" s="168"/>
      <c r="BW16" s="168"/>
      <c r="BX16" s="168"/>
      <c r="BY16" s="260"/>
      <c r="BZ16" s="168"/>
      <c r="CA16" s="262"/>
      <c r="CB16" s="168"/>
      <c r="CC16" s="261"/>
      <c r="CD16" s="168"/>
      <c r="CE16" s="168"/>
      <c r="CF16" s="168"/>
      <c r="CG16" s="260"/>
      <c r="CH16" s="168"/>
      <c r="CI16" s="262"/>
      <c r="CJ16" s="168"/>
      <c r="CK16" s="261"/>
      <c r="CL16" s="168"/>
      <c r="CM16" s="168"/>
      <c r="CN16" s="168"/>
      <c r="CO16" s="260"/>
      <c r="CP16" s="168"/>
      <c r="CQ16" s="262"/>
    </row>
    <row r="17" spans="1:95" x14ac:dyDescent="0.25">
      <c r="A17" s="132" t="s">
        <v>12</v>
      </c>
      <c r="B17" s="167">
        <f t="shared" si="11"/>
        <v>45883</v>
      </c>
      <c r="C17" s="173">
        <f>Boats!J71</f>
        <v>0</v>
      </c>
      <c r="D17" s="259"/>
      <c r="E17" s="168"/>
      <c r="F17" s="317"/>
      <c r="G17" s="253"/>
      <c r="H17" s="247">
        <f t="shared" si="7"/>
        <v>0</v>
      </c>
      <c r="I17" s="260"/>
      <c r="J17" s="168"/>
      <c r="K17" s="247">
        <f t="shared" si="8"/>
        <v>0</v>
      </c>
      <c r="L17" s="260"/>
      <c r="M17" s="168"/>
      <c r="N17" s="311">
        <f t="shared" si="9"/>
        <v>0</v>
      </c>
      <c r="O17" s="260"/>
      <c r="P17" s="259"/>
      <c r="Q17" s="311">
        <f t="shared" si="10"/>
        <v>0</v>
      </c>
      <c r="R17" s="260"/>
      <c r="S17" s="259"/>
      <c r="T17" s="261"/>
      <c r="U17" s="168"/>
      <c r="V17" s="260"/>
      <c r="W17" s="260"/>
      <c r="X17" s="262"/>
      <c r="Y17" s="168"/>
      <c r="Z17" s="261"/>
      <c r="AA17" s="168"/>
      <c r="AB17" s="168"/>
      <c r="AC17" s="262"/>
      <c r="AD17" s="261"/>
      <c r="AE17" s="259"/>
      <c r="AF17" s="260"/>
      <c r="AG17" s="259"/>
      <c r="AH17" s="168"/>
      <c r="AI17" s="168"/>
      <c r="AJ17" s="260"/>
      <c r="AK17" s="259"/>
      <c r="AL17" s="260"/>
      <c r="AM17" s="259"/>
      <c r="AN17" s="168"/>
      <c r="AO17" s="168"/>
      <c r="AP17" s="260"/>
      <c r="AQ17" s="259"/>
      <c r="AR17" s="168"/>
      <c r="AS17" s="168"/>
      <c r="AT17" s="168"/>
      <c r="AU17" s="262"/>
      <c r="AV17" s="168"/>
      <c r="AW17" s="261"/>
      <c r="AX17" s="168"/>
      <c r="AY17" s="168"/>
      <c r="AZ17" s="168"/>
      <c r="BA17" s="260"/>
      <c r="BB17" s="168"/>
      <c r="BC17" s="262"/>
      <c r="BD17" s="168"/>
      <c r="BE17" s="261"/>
      <c r="BF17" s="168"/>
      <c r="BG17" s="168"/>
      <c r="BH17" s="168"/>
      <c r="BI17" s="260"/>
      <c r="BJ17" s="168"/>
      <c r="BK17" s="262"/>
      <c r="BL17" s="168"/>
      <c r="BM17" s="261"/>
      <c r="BN17" s="168"/>
      <c r="BO17" s="168"/>
      <c r="BP17" s="168"/>
      <c r="BQ17" s="260"/>
      <c r="BR17" s="168"/>
      <c r="BS17" s="262"/>
      <c r="BT17" s="168"/>
      <c r="BU17" s="261"/>
      <c r="BV17" s="168"/>
      <c r="BW17" s="168"/>
      <c r="BX17" s="168"/>
      <c r="BY17" s="260"/>
      <c r="BZ17" s="168"/>
      <c r="CA17" s="262"/>
      <c r="CB17" s="168"/>
      <c r="CC17" s="261"/>
      <c r="CD17" s="168"/>
      <c r="CE17" s="168"/>
      <c r="CF17" s="168"/>
      <c r="CG17" s="260"/>
      <c r="CH17" s="168"/>
      <c r="CI17" s="262"/>
      <c r="CJ17" s="168"/>
      <c r="CK17" s="261"/>
      <c r="CL17" s="168"/>
      <c r="CM17" s="168"/>
      <c r="CN17" s="168"/>
      <c r="CO17" s="260"/>
      <c r="CP17" s="168"/>
      <c r="CQ17" s="262"/>
    </row>
    <row r="18" spans="1:95" x14ac:dyDescent="0.25">
      <c r="A18" s="132" t="s">
        <v>13</v>
      </c>
      <c r="B18" s="167">
        <f t="shared" si="11"/>
        <v>45884</v>
      </c>
      <c r="C18" s="173">
        <f>Boats!J78</f>
        <v>0</v>
      </c>
      <c r="D18" s="259"/>
      <c r="E18" s="168"/>
      <c r="F18" s="317"/>
      <c r="G18" s="253"/>
      <c r="H18" s="247">
        <f t="shared" si="7"/>
        <v>0</v>
      </c>
      <c r="I18" s="260"/>
      <c r="J18" s="168"/>
      <c r="K18" s="247">
        <f t="shared" si="8"/>
        <v>0</v>
      </c>
      <c r="L18" s="260"/>
      <c r="M18" s="168"/>
      <c r="N18" s="311">
        <f t="shared" si="9"/>
        <v>0</v>
      </c>
      <c r="O18" s="260"/>
      <c r="P18" s="259"/>
      <c r="Q18" s="311">
        <f t="shared" si="10"/>
        <v>0</v>
      </c>
      <c r="R18" s="260"/>
      <c r="S18" s="259"/>
      <c r="T18" s="261"/>
      <c r="U18" s="168"/>
      <c r="V18" s="260"/>
      <c r="W18" s="260"/>
      <c r="X18" s="262"/>
      <c r="Y18" s="168"/>
      <c r="Z18" s="261"/>
      <c r="AA18" s="168"/>
      <c r="AB18" s="168"/>
      <c r="AC18" s="262"/>
      <c r="AD18" s="261"/>
      <c r="AE18" s="259"/>
      <c r="AF18" s="260"/>
      <c r="AG18" s="259"/>
      <c r="AH18" s="168"/>
      <c r="AI18" s="168"/>
      <c r="AJ18" s="260"/>
      <c r="AK18" s="259"/>
      <c r="AL18" s="260"/>
      <c r="AM18" s="259"/>
      <c r="AN18" s="168"/>
      <c r="AO18" s="168"/>
      <c r="AP18" s="260"/>
      <c r="AQ18" s="259"/>
      <c r="AR18" s="168"/>
      <c r="AS18" s="168"/>
      <c r="AT18" s="168"/>
      <c r="AU18" s="262"/>
      <c r="AV18" s="168"/>
      <c r="AW18" s="261"/>
      <c r="AX18" s="168"/>
      <c r="AY18" s="168"/>
      <c r="AZ18" s="168"/>
      <c r="BA18" s="260"/>
      <c r="BB18" s="168"/>
      <c r="BC18" s="262"/>
      <c r="BD18" s="168"/>
      <c r="BE18" s="261"/>
      <c r="BF18" s="168"/>
      <c r="BG18" s="168"/>
      <c r="BH18" s="168"/>
      <c r="BI18" s="260"/>
      <c r="BJ18" s="168"/>
      <c r="BK18" s="262"/>
      <c r="BL18" s="168"/>
      <c r="BM18" s="261"/>
      <c r="BN18" s="168"/>
      <c r="BO18" s="168"/>
      <c r="BP18" s="168"/>
      <c r="BQ18" s="260"/>
      <c r="BR18" s="168"/>
      <c r="BS18" s="262"/>
      <c r="BT18" s="168"/>
      <c r="BU18" s="261"/>
      <c r="BV18" s="168"/>
      <c r="BW18" s="168"/>
      <c r="BX18" s="168"/>
      <c r="BY18" s="260"/>
      <c r="BZ18" s="168"/>
      <c r="CA18" s="262"/>
      <c r="CB18" s="168"/>
      <c r="CC18" s="261"/>
      <c r="CD18" s="168"/>
      <c r="CE18" s="168"/>
      <c r="CF18" s="168"/>
      <c r="CG18" s="260"/>
      <c r="CH18" s="168"/>
      <c r="CI18" s="262"/>
      <c r="CJ18" s="168"/>
      <c r="CK18" s="261"/>
      <c r="CL18" s="168"/>
      <c r="CM18" s="168"/>
      <c r="CN18" s="168"/>
      <c r="CO18" s="260"/>
      <c r="CP18" s="168"/>
      <c r="CQ18" s="262"/>
    </row>
    <row r="19" spans="1:95" x14ac:dyDescent="0.25">
      <c r="A19" s="132" t="s">
        <v>14</v>
      </c>
      <c r="B19" s="167">
        <f t="shared" si="11"/>
        <v>45885</v>
      </c>
      <c r="C19" s="173">
        <f>Boats!J85</f>
        <v>20.034566970574829</v>
      </c>
      <c r="D19" s="259">
        <v>4</v>
      </c>
      <c r="E19" s="168">
        <v>8</v>
      </c>
      <c r="F19" s="317">
        <v>53.67</v>
      </c>
      <c r="G19" s="260"/>
      <c r="H19" s="247">
        <f t="shared" si="7"/>
        <v>0</v>
      </c>
      <c r="I19" s="260"/>
      <c r="J19" s="168"/>
      <c r="K19" s="247">
        <f t="shared" si="8"/>
        <v>0</v>
      </c>
      <c r="L19" s="260"/>
      <c r="M19" s="168"/>
      <c r="N19" s="311">
        <f t="shared" si="9"/>
        <v>0</v>
      </c>
      <c r="O19" s="260"/>
      <c r="P19" s="259"/>
      <c r="Q19" s="311">
        <f t="shared" si="10"/>
        <v>0</v>
      </c>
      <c r="R19" s="260"/>
      <c r="S19" s="259"/>
      <c r="T19" s="261"/>
      <c r="U19" s="168"/>
      <c r="V19" s="260"/>
      <c r="W19" s="260"/>
      <c r="X19" s="262"/>
      <c r="Y19" s="168"/>
      <c r="Z19" s="261"/>
      <c r="AA19" s="168">
        <v>2</v>
      </c>
      <c r="AB19" s="168"/>
      <c r="AC19" s="262"/>
      <c r="AD19" s="261"/>
      <c r="AE19" s="259"/>
      <c r="AF19" s="260"/>
      <c r="AG19" s="259"/>
      <c r="AH19" s="168"/>
      <c r="AI19" s="168"/>
      <c r="AJ19" s="260"/>
      <c r="AK19" s="259"/>
      <c r="AL19" s="260"/>
      <c r="AM19" s="259"/>
      <c r="AN19" s="168"/>
      <c r="AO19" s="168"/>
      <c r="AP19" s="260"/>
      <c r="AQ19" s="259"/>
      <c r="AR19" s="168"/>
      <c r="AS19" s="168"/>
      <c r="AT19" s="168"/>
      <c r="AU19" s="262"/>
      <c r="AV19" s="168"/>
      <c r="AW19" s="261"/>
      <c r="AX19" s="168"/>
      <c r="AY19" s="168"/>
      <c r="AZ19" s="168">
        <v>2</v>
      </c>
      <c r="BA19" s="260"/>
      <c r="BB19" s="168"/>
      <c r="BC19" s="262"/>
      <c r="BD19" s="168"/>
      <c r="BE19" s="261"/>
      <c r="BF19" s="168"/>
      <c r="BG19" s="168"/>
      <c r="BH19" s="168">
        <v>2</v>
      </c>
      <c r="BI19" s="260"/>
      <c r="BJ19" s="168"/>
      <c r="BK19" s="262"/>
      <c r="BL19" s="168"/>
      <c r="BM19" s="261"/>
      <c r="BN19" s="168"/>
      <c r="BO19" s="168"/>
      <c r="BP19" s="168"/>
      <c r="BQ19" s="260"/>
      <c r="BR19" s="168"/>
      <c r="BS19" s="262"/>
      <c r="BT19" s="168"/>
      <c r="BU19" s="261"/>
      <c r="BV19" s="168"/>
      <c r="BW19" s="168"/>
      <c r="BX19" s="168"/>
      <c r="BY19" s="260"/>
      <c r="BZ19" s="168"/>
      <c r="CA19" s="262"/>
      <c r="CB19" s="168"/>
      <c r="CC19" s="261"/>
      <c r="CD19" s="168"/>
      <c r="CE19" s="168"/>
      <c r="CF19" s="168"/>
      <c r="CG19" s="260"/>
      <c r="CH19" s="168"/>
      <c r="CI19" s="262"/>
      <c r="CJ19" s="168"/>
      <c r="CK19" s="261"/>
      <c r="CL19" s="168"/>
      <c r="CM19" s="168"/>
      <c r="CN19" s="168"/>
      <c r="CO19" s="260"/>
      <c r="CP19" s="168"/>
      <c r="CQ19" s="262"/>
    </row>
    <row r="20" spans="1:95" ht="16.5" thickBot="1" x14ac:dyDescent="0.3">
      <c r="A20" s="170" t="s">
        <v>15</v>
      </c>
      <c r="B20" s="171">
        <f t="shared" si="11"/>
        <v>45886</v>
      </c>
      <c r="C20" s="236">
        <f>Boats!J92</f>
        <v>11.125554154988066</v>
      </c>
      <c r="D20" s="263">
        <v>5</v>
      </c>
      <c r="E20" s="238">
        <v>8</v>
      </c>
      <c r="F20" s="318">
        <v>69.7</v>
      </c>
      <c r="G20" s="237"/>
      <c r="H20" s="248">
        <f t="shared" si="7"/>
        <v>0</v>
      </c>
      <c r="I20" s="237"/>
      <c r="J20" s="238"/>
      <c r="K20" s="248">
        <f t="shared" si="8"/>
        <v>0</v>
      </c>
      <c r="L20" s="237"/>
      <c r="M20" s="238"/>
      <c r="N20" s="248">
        <f t="shared" si="9"/>
        <v>0</v>
      </c>
      <c r="O20" s="237"/>
      <c r="P20" s="263"/>
      <c r="Q20" s="248">
        <f t="shared" si="10"/>
        <v>0</v>
      </c>
      <c r="R20" s="237"/>
      <c r="S20" s="263"/>
      <c r="T20" s="264"/>
      <c r="U20" s="238"/>
      <c r="V20" s="237"/>
      <c r="W20" s="237"/>
      <c r="X20" s="265"/>
      <c r="Y20" s="168"/>
      <c r="Z20" s="264"/>
      <c r="AA20" s="238"/>
      <c r="AB20" s="238"/>
      <c r="AC20" s="265"/>
      <c r="AD20" s="264"/>
      <c r="AE20" s="263"/>
      <c r="AF20" s="237"/>
      <c r="AG20" s="263"/>
      <c r="AH20" s="238"/>
      <c r="AI20" s="238"/>
      <c r="AJ20" s="237"/>
      <c r="AK20" s="263"/>
      <c r="AL20" s="237"/>
      <c r="AM20" s="263"/>
      <c r="AN20" s="238"/>
      <c r="AO20" s="238"/>
      <c r="AP20" s="237"/>
      <c r="AQ20" s="263"/>
      <c r="AR20" s="238"/>
      <c r="AS20" s="238"/>
      <c r="AT20" s="238"/>
      <c r="AU20" s="265"/>
      <c r="AV20" s="168"/>
      <c r="AW20" s="264"/>
      <c r="AX20" s="238"/>
      <c r="AY20" s="238"/>
      <c r="AZ20" s="238"/>
      <c r="BA20" s="237"/>
      <c r="BB20" s="238"/>
      <c r="BC20" s="265"/>
      <c r="BD20" s="168"/>
      <c r="BE20" s="264"/>
      <c r="BF20" s="238"/>
      <c r="BG20" s="238"/>
      <c r="BH20" s="238"/>
      <c r="BI20" s="237"/>
      <c r="BJ20" s="238"/>
      <c r="BK20" s="265"/>
      <c r="BL20" s="168"/>
      <c r="BM20" s="264"/>
      <c r="BN20" s="238"/>
      <c r="BO20" s="238"/>
      <c r="BP20" s="238"/>
      <c r="BQ20" s="237"/>
      <c r="BR20" s="238"/>
      <c r="BS20" s="265"/>
      <c r="BT20" s="168"/>
      <c r="BU20" s="264"/>
      <c r="BV20" s="238"/>
      <c r="BW20" s="238"/>
      <c r="BX20" s="238"/>
      <c r="BY20" s="237"/>
      <c r="BZ20" s="238"/>
      <c r="CA20" s="265"/>
      <c r="CB20" s="168"/>
      <c r="CC20" s="264"/>
      <c r="CD20" s="238"/>
      <c r="CE20" s="238"/>
      <c r="CF20" s="238"/>
      <c r="CG20" s="237"/>
      <c r="CH20" s="238"/>
      <c r="CI20" s="265"/>
      <c r="CJ20" s="168"/>
      <c r="CK20" s="264"/>
      <c r="CL20" s="238"/>
      <c r="CM20" s="238"/>
      <c r="CN20" s="238"/>
      <c r="CO20" s="237"/>
      <c r="CP20" s="238"/>
      <c r="CQ20" s="265"/>
    </row>
    <row r="21" spans="1:95" ht="16.5" thickTop="1" x14ac:dyDescent="0.25">
      <c r="A21" s="298" t="s">
        <v>106</v>
      </c>
      <c r="B21" s="274"/>
      <c r="C21" s="293"/>
      <c r="D21" s="294"/>
      <c r="E21" s="315"/>
      <c r="F21" s="315"/>
      <c r="G21" s="295"/>
      <c r="H21" s="296">
        <f t="shared" ref="H21:V21" si="12">SUM(H14:H20)</f>
        <v>0</v>
      </c>
      <c r="I21" s="284">
        <f t="shared" si="12"/>
        <v>0</v>
      </c>
      <c r="J21" s="283">
        <f t="shared" si="12"/>
        <v>0</v>
      </c>
      <c r="K21" s="296">
        <f t="shared" si="12"/>
        <v>0</v>
      </c>
      <c r="L21" s="284">
        <f t="shared" si="12"/>
        <v>0</v>
      </c>
      <c r="M21" s="283">
        <f t="shared" si="12"/>
        <v>0</v>
      </c>
      <c r="N21" s="296">
        <f t="shared" si="12"/>
        <v>0</v>
      </c>
      <c r="O21" s="284">
        <f t="shared" si="12"/>
        <v>0</v>
      </c>
      <c r="P21" s="297">
        <f t="shared" si="12"/>
        <v>0</v>
      </c>
      <c r="Q21" s="296">
        <f t="shared" ref="Q21:S21" si="13">SUM(Q14:Q20)</f>
        <v>0</v>
      </c>
      <c r="R21" s="284">
        <f t="shared" si="13"/>
        <v>0</v>
      </c>
      <c r="S21" s="297">
        <f t="shared" si="13"/>
        <v>0</v>
      </c>
      <c r="T21" s="282">
        <f t="shared" si="12"/>
        <v>0</v>
      </c>
      <c r="U21" s="283">
        <f t="shared" si="12"/>
        <v>0</v>
      </c>
      <c r="V21" s="284">
        <f t="shared" si="12"/>
        <v>0</v>
      </c>
      <c r="W21" s="284">
        <f t="shared" ref="W21:X21" si="14">SUM(W14:W20)</f>
        <v>0</v>
      </c>
      <c r="X21" s="285">
        <f t="shared" si="14"/>
        <v>0</v>
      </c>
      <c r="Y21" s="173"/>
      <c r="Z21" s="282">
        <f>SUM(Z14:Z20)</f>
        <v>0</v>
      </c>
      <c r="AA21" s="283">
        <f>SUM(AA14:AA20)</f>
        <v>2</v>
      </c>
      <c r="AB21" s="283">
        <f>SUM(AB14:AB20)</f>
        <v>0</v>
      </c>
      <c r="AC21" s="285">
        <f>SUM(AC14:AC20)</f>
        <v>0</v>
      </c>
      <c r="AD21" s="282">
        <f t="shared" ref="AD21:AU21" si="15">SUM(AD14:AD20)</f>
        <v>0</v>
      </c>
      <c r="AE21" s="297">
        <f t="shared" si="15"/>
        <v>0</v>
      </c>
      <c r="AF21" s="284">
        <f t="shared" si="15"/>
        <v>0</v>
      </c>
      <c r="AG21" s="297">
        <f t="shared" si="15"/>
        <v>0</v>
      </c>
      <c r="AH21" s="283">
        <f t="shared" si="15"/>
        <v>0</v>
      </c>
      <c r="AI21" s="283">
        <f t="shared" si="15"/>
        <v>0</v>
      </c>
      <c r="AJ21" s="284">
        <f t="shared" si="15"/>
        <v>0</v>
      </c>
      <c r="AK21" s="297">
        <f t="shared" si="15"/>
        <v>0</v>
      </c>
      <c r="AL21" s="284">
        <f t="shared" si="15"/>
        <v>0</v>
      </c>
      <c r="AM21" s="297">
        <f t="shared" si="15"/>
        <v>0</v>
      </c>
      <c r="AN21" s="276">
        <f t="shared" si="15"/>
        <v>0</v>
      </c>
      <c r="AO21" s="275">
        <f t="shared" si="15"/>
        <v>0</v>
      </c>
      <c r="AP21" s="276">
        <f t="shared" si="15"/>
        <v>0</v>
      </c>
      <c r="AQ21" s="275">
        <f t="shared" si="15"/>
        <v>0</v>
      </c>
      <c r="AR21" s="278">
        <f t="shared" si="15"/>
        <v>0</v>
      </c>
      <c r="AS21" s="277">
        <f t="shared" si="15"/>
        <v>0</v>
      </c>
      <c r="AT21" s="283">
        <f t="shared" si="15"/>
        <v>0</v>
      </c>
      <c r="AU21" s="285">
        <f t="shared" si="15"/>
        <v>0</v>
      </c>
      <c r="AV21" s="173"/>
      <c r="AW21" s="282">
        <f t="shared" ref="AW21:BC21" si="16">SUM(AW14:AW20)</f>
        <v>0</v>
      </c>
      <c r="AX21" s="283">
        <f t="shared" si="16"/>
        <v>0</v>
      </c>
      <c r="AY21" s="283">
        <f t="shared" si="16"/>
        <v>0</v>
      </c>
      <c r="AZ21" s="283">
        <f t="shared" si="16"/>
        <v>2</v>
      </c>
      <c r="BA21" s="284">
        <f t="shared" si="16"/>
        <v>0</v>
      </c>
      <c r="BB21" s="283">
        <f t="shared" si="16"/>
        <v>0</v>
      </c>
      <c r="BC21" s="285">
        <f t="shared" si="16"/>
        <v>0</v>
      </c>
      <c r="BD21" s="173"/>
      <c r="BE21" s="282">
        <f t="shared" ref="BE21:BK21" si="17">SUM(BE14:BE20)</f>
        <v>0</v>
      </c>
      <c r="BF21" s="283">
        <f t="shared" si="17"/>
        <v>0</v>
      </c>
      <c r="BG21" s="283">
        <f t="shared" si="17"/>
        <v>0</v>
      </c>
      <c r="BH21" s="283">
        <f t="shared" si="17"/>
        <v>2</v>
      </c>
      <c r="BI21" s="284">
        <f t="shared" si="17"/>
        <v>0</v>
      </c>
      <c r="BJ21" s="283">
        <f t="shared" si="17"/>
        <v>0</v>
      </c>
      <c r="BK21" s="285">
        <f t="shared" si="17"/>
        <v>0</v>
      </c>
      <c r="BL21" s="173"/>
      <c r="BM21" s="282">
        <f t="shared" ref="BM21:BS21" si="18">SUM(BM14:BM20)</f>
        <v>0</v>
      </c>
      <c r="BN21" s="283">
        <f t="shared" si="18"/>
        <v>0</v>
      </c>
      <c r="BO21" s="283">
        <f t="shared" si="18"/>
        <v>0</v>
      </c>
      <c r="BP21" s="283">
        <f t="shared" si="18"/>
        <v>0</v>
      </c>
      <c r="BQ21" s="284">
        <f t="shared" si="18"/>
        <v>0</v>
      </c>
      <c r="BR21" s="283">
        <f t="shared" si="18"/>
        <v>0</v>
      </c>
      <c r="BS21" s="285">
        <f t="shared" si="18"/>
        <v>0</v>
      </c>
      <c r="BT21" s="173"/>
      <c r="BU21" s="282">
        <f t="shared" ref="BU21:CA21" si="19">SUM(BU14:BU20)</f>
        <v>0</v>
      </c>
      <c r="BV21" s="283">
        <f t="shared" si="19"/>
        <v>0</v>
      </c>
      <c r="BW21" s="283">
        <f t="shared" si="19"/>
        <v>0</v>
      </c>
      <c r="BX21" s="283">
        <f t="shared" si="19"/>
        <v>0</v>
      </c>
      <c r="BY21" s="284">
        <f t="shared" si="19"/>
        <v>0</v>
      </c>
      <c r="BZ21" s="283">
        <f t="shared" si="19"/>
        <v>0</v>
      </c>
      <c r="CA21" s="285">
        <f t="shared" si="19"/>
        <v>0</v>
      </c>
      <c r="CB21" s="173"/>
      <c r="CC21" s="282">
        <f t="shared" ref="CC21:CI21" si="20">SUM(CC14:CC20)</f>
        <v>0</v>
      </c>
      <c r="CD21" s="283">
        <f t="shared" si="20"/>
        <v>0</v>
      </c>
      <c r="CE21" s="283">
        <f t="shared" si="20"/>
        <v>0</v>
      </c>
      <c r="CF21" s="283">
        <f t="shared" si="20"/>
        <v>0</v>
      </c>
      <c r="CG21" s="284">
        <f t="shared" si="20"/>
        <v>0</v>
      </c>
      <c r="CH21" s="283">
        <f t="shared" si="20"/>
        <v>0</v>
      </c>
      <c r="CI21" s="285">
        <f t="shared" si="20"/>
        <v>0</v>
      </c>
      <c r="CJ21" s="173"/>
      <c r="CK21" s="282">
        <f t="shared" ref="CK21:CQ21" si="21">SUM(CK14:CK20)</f>
        <v>0</v>
      </c>
      <c r="CL21" s="283">
        <f t="shared" si="21"/>
        <v>0</v>
      </c>
      <c r="CM21" s="283">
        <f t="shared" si="21"/>
        <v>0</v>
      </c>
      <c r="CN21" s="283">
        <f t="shared" si="21"/>
        <v>0</v>
      </c>
      <c r="CO21" s="284">
        <f t="shared" si="21"/>
        <v>0</v>
      </c>
      <c r="CP21" s="283">
        <f t="shared" si="21"/>
        <v>0</v>
      </c>
      <c r="CQ21" s="285">
        <f t="shared" si="21"/>
        <v>0</v>
      </c>
    </row>
    <row r="22" spans="1:95" ht="16.5" thickBot="1" x14ac:dyDescent="0.3">
      <c r="A22" s="299" t="s">
        <v>105</v>
      </c>
      <c r="B22" s="273"/>
      <c r="C22" s="306">
        <f>SUM(C14:C20)</f>
        <v>31.160121125562895</v>
      </c>
      <c r="D22" s="307">
        <f>SUM(D14:D20)</f>
        <v>9</v>
      </c>
      <c r="E22" s="266">
        <f>SUM(E14:E20)</f>
        <v>16</v>
      </c>
      <c r="F22" s="267">
        <f>SUM(F14:F20)</f>
        <v>123.37</v>
      </c>
      <c r="G22" s="268">
        <f>D22/C22</f>
        <v>0.28883071294022189</v>
      </c>
      <c r="H22" s="279">
        <f t="shared" ref="H22:V22" si="22">H21/$G22</f>
        <v>0</v>
      </c>
      <c r="I22" s="241">
        <f t="shared" si="22"/>
        <v>0</v>
      </c>
      <c r="J22" s="239">
        <f t="shared" si="22"/>
        <v>0</v>
      </c>
      <c r="K22" s="279">
        <f t="shared" si="22"/>
        <v>0</v>
      </c>
      <c r="L22" s="241">
        <f t="shared" si="22"/>
        <v>0</v>
      </c>
      <c r="M22" s="239">
        <f t="shared" si="22"/>
        <v>0</v>
      </c>
      <c r="N22" s="279">
        <f t="shared" si="22"/>
        <v>0</v>
      </c>
      <c r="O22" s="241">
        <f t="shared" si="22"/>
        <v>0</v>
      </c>
      <c r="P22" s="240">
        <f t="shared" si="22"/>
        <v>0</v>
      </c>
      <c r="Q22" s="279">
        <f t="shared" ref="Q22:S22" si="23">Q21/$G22</f>
        <v>0</v>
      </c>
      <c r="R22" s="241">
        <f t="shared" si="23"/>
        <v>0</v>
      </c>
      <c r="S22" s="240">
        <f t="shared" si="23"/>
        <v>0</v>
      </c>
      <c r="T22" s="269">
        <f t="shared" si="22"/>
        <v>0</v>
      </c>
      <c r="U22" s="239">
        <f t="shared" si="22"/>
        <v>0</v>
      </c>
      <c r="V22" s="241">
        <f t="shared" si="22"/>
        <v>0</v>
      </c>
      <c r="W22" s="241">
        <f t="shared" ref="W22:X22" si="24">W21/$G22</f>
        <v>0</v>
      </c>
      <c r="X22" s="270">
        <f t="shared" si="24"/>
        <v>0</v>
      </c>
      <c r="Y22" s="173"/>
      <c r="Z22" s="289">
        <f>Z21/$G22</f>
        <v>0</v>
      </c>
      <c r="AA22" s="290">
        <f t="shared" ref="AA22:AU22" si="25">AA21/$G22</f>
        <v>6.9244713612361988</v>
      </c>
      <c r="AB22" s="290">
        <f t="shared" si="25"/>
        <v>0</v>
      </c>
      <c r="AC22" s="292">
        <f t="shared" si="25"/>
        <v>0</v>
      </c>
      <c r="AD22" s="289">
        <f t="shared" si="25"/>
        <v>0</v>
      </c>
      <c r="AE22" s="324">
        <f t="shared" si="25"/>
        <v>0</v>
      </c>
      <c r="AF22" s="291">
        <f t="shared" si="25"/>
        <v>0</v>
      </c>
      <c r="AG22" s="324">
        <f t="shared" si="25"/>
        <v>0</v>
      </c>
      <c r="AH22" s="290">
        <f t="shared" si="25"/>
        <v>0</v>
      </c>
      <c r="AI22" s="290">
        <f t="shared" si="25"/>
        <v>0</v>
      </c>
      <c r="AJ22" s="291">
        <f t="shared" si="25"/>
        <v>0</v>
      </c>
      <c r="AK22" s="324">
        <f t="shared" si="25"/>
        <v>0</v>
      </c>
      <c r="AL22" s="291">
        <f t="shared" si="25"/>
        <v>0</v>
      </c>
      <c r="AM22" s="324">
        <f t="shared" si="25"/>
        <v>0</v>
      </c>
      <c r="AN22" s="325">
        <f t="shared" si="25"/>
        <v>0</v>
      </c>
      <c r="AO22" s="326">
        <f t="shared" si="25"/>
        <v>0</v>
      </c>
      <c r="AP22" s="325">
        <f t="shared" si="25"/>
        <v>0</v>
      </c>
      <c r="AQ22" s="326">
        <f t="shared" si="25"/>
        <v>0</v>
      </c>
      <c r="AR22" s="287">
        <f t="shared" si="25"/>
        <v>0</v>
      </c>
      <c r="AS22" s="286">
        <f t="shared" si="25"/>
        <v>0</v>
      </c>
      <c r="AT22" s="290">
        <f t="shared" si="25"/>
        <v>0</v>
      </c>
      <c r="AU22" s="292">
        <f t="shared" si="25"/>
        <v>0</v>
      </c>
      <c r="AV22" s="288"/>
      <c r="AW22" s="289">
        <f t="shared" ref="AW22:BC22" si="26">AW21/$G22</f>
        <v>0</v>
      </c>
      <c r="AX22" s="290">
        <f t="shared" si="26"/>
        <v>0</v>
      </c>
      <c r="AY22" s="290">
        <f t="shared" si="26"/>
        <v>0</v>
      </c>
      <c r="AZ22" s="290">
        <f t="shared" si="26"/>
        <v>6.9244713612361988</v>
      </c>
      <c r="BA22" s="291">
        <f t="shared" si="26"/>
        <v>0</v>
      </c>
      <c r="BB22" s="290">
        <f t="shared" si="26"/>
        <v>0</v>
      </c>
      <c r="BC22" s="292">
        <f t="shared" si="26"/>
        <v>0</v>
      </c>
      <c r="BD22" s="288"/>
      <c r="BE22" s="289">
        <f t="shared" ref="BE22:BK22" si="27">BE21/$G22</f>
        <v>0</v>
      </c>
      <c r="BF22" s="290">
        <f t="shared" si="27"/>
        <v>0</v>
      </c>
      <c r="BG22" s="290">
        <f t="shared" si="27"/>
        <v>0</v>
      </c>
      <c r="BH22" s="290">
        <f t="shared" si="27"/>
        <v>6.9244713612361988</v>
      </c>
      <c r="BI22" s="291">
        <f t="shared" si="27"/>
        <v>0</v>
      </c>
      <c r="BJ22" s="290">
        <f t="shared" si="27"/>
        <v>0</v>
      </c>
      <c r="BK22" s="292">
        <f t="shared" si="27"/>
        <v>0</v>
      </c>
      <c r="BL22" s="288"/>
      <c r="BM22" s="289">
        <f t="shared" ref="BM22:BS22" si="28">BM21/$G22</f>
        <v>0</v>
      </c>
      <c r="BN22" s="290">
        <f t="shared" si="28"/>
        <v>0</v>
      </c>
      <c r="BO22" s="290">
        <f t="shared" si="28"/>
        <v>0</v>
      </c>
      <c r="BP22" s="290">
        <f t="shared" si="28"/>
        <v>0</v>
      </c>
      <c r="BQ22" s="291">
        <f t="shared" si="28"/>
        <v>0</v>
      </c>
      <c r="BR22" s="290">
        <f t="shared" si="28"/>
        <v>0</v>
      </c>
      <c r="BS22" s="292">
        <f t="shared" si="28"/>
        <v>0</v>
      </c>
      <c r="BT22" s="288"/>
      <c r="BU22" s="289">
        <f t="shared" ref="BU22:CA22" si="29">BU21/$G22</f>
        <v>0</v>
      </c>
      <c r="BV22" s="290">
        <f t="shared" si="29"/>
        <v>0</v>
      </c>
      <c r="BW22" s="290">
        <f t="shared" si="29"/>
        <v>0</v>
      </c>
      <c r="BX22" s="290">
        <f t="shared" si="29"/>
        <v>0</v>
      </c>
      <c r="BY22" s="291">
        <f t="shared" si="29"/>
        <v>0</v>
      </c>
      <c r="BZ22" s="290">
        <f t="shared" si="29"/>
        <v>0</v>
      </c>
      <c r="CA22" s="292">
        <f t="shared" si="29"/>
        <v>0</v>
      </c>
      <c r="CB22" s="288"/>
      <c r="CC22" s="289">
        <f t="shared" ref="CC22:CI22" si="30">CC21/$G22</f>
        <v>0</v>
      </c>
      <c r="CD22" s="290">
        <f t="shared" si="30"/>
        <v>0</v>
      </c>
      <c r="CE22" s="290">
        <f t="shared" si="30"/>
        <v>0</v>
      </c>
      <c r="CF22" s="290">
        <f t="shared" si="30"/>
        <v>0</v>
      </c>
      <c r="CG22" s="291">
        <f t="shared" si="30"/>
        <v>0</v>
      </c>
      <c r="CH22" s="290">
        <f t="shared" si="30"/>
        <v>0</v>
      </c>
      <c r="CI22" s="292">
        <f t="shared" si="30"/>
        <v>0</v>
      </c>
      <c r="CJ22" s="288"/>
      <c r="CK22" s="289">
        <f t="shared" ref="CK22:CQ22" si="31">CK21/$G22</f>
        <v>0</v>
      </c>
      <c r="CL22" s="290">
        <f t="shared" si="31"/>
        <v>0</v>
      </c>
      <c r="CM22" s="290">
        <f t="shared" si="31"/>
        <v>0</v>
      </c>
      <c r="CN22" s="290">
        <f t="shared" si="31"/>
        <v>0</v>
      </c>
      <c r="CO22" s="291">
        <f t="shared" si="31"/>
        <v>0</v>
      </c>
      <c r="CP22" s="290">
        <f t="shared" si="31"/>
        <v>0</v>
      </c>
      <c r="CQ22" s="292">
        <f t="shared" si="31"/>
        <v>0</v>
      </c>
    </row>
    <row r="23" spans="1:95" ht="16.5" thickBot="1" x14ac:dyDescent="0.3">
      <c r="A23" s="45"/>
      <c r="B23" s="167"/>
      <c r="C23" s="255"/>
      <c r="D23" s="168"/>
      <c r="E23" s="168"/>
      <c r="F23" s="168"/>
      <c r="G23" s="272"/>
      <c r="H23" s="173"/>
      <c r="I23" s="168"/>
      <c r="J23" s="168"/>
      <c r="K23" s="173"/>
      <c r="L23" s="168"/>
      <c r="M23" s="168"/>
      <c r="N23" s="235"/>
      <c r="O23" s="168"/>
      <c r="P23" s="168"/>
      <c r="Q23" s="235"/>
      <c r="R23" s="168"/>
      <c r="S23" s="168"/>
      <c r="T23" s="168"/>
      <c r="U23" s="168"/>
      <c r="V23" s="168"/>
      <c r="W23" s="168"/>
      <c r="X23" s="168"/>
      <c r="Y23" s="168"/>
      <c r="Z23" s="168"/>
      <c r="AA23" s="168"/>
      <c r="AB23" s="168"/>
      <c r="AC23" s="168"/>
      <c r="AD23" s="168"/>
      <c r="AE23" s="168"/>
      <c r="AF23" s="168"/>
      <c r="AG23" s="168"/>
      <c r="AH23" s="168"/>
      <c r="AI23" s="168"/>
      <c r="AJ23" s="168"/>
      <c r="AK23" s="168"/>
      <c r="AL23" s="168"/>
      <c r="AM23" s="168"/>
      <c r="AN23" s="168"/>
      <c r="AO23" s="168"/>
      <c r="AP23" s="168"/>
      <c r="AQ23" s="168"/>
      <c r="AR23" s="168"/>
      <c r="AS23" s="168"/>
      <c r="AT23" s="168"/>
      <c r="AU23" s="168"/>
      <c r="AV23" s="168"/>
      <c r="AW23" s="168"/>
      <c r="AX23" s="168"/>
      <c r="AY23" s="168"/>
      <c r="AZ23" s="168"/>
      <c r="BA23" s="168"/>
      <c r="BB23" s="168"/>
      <c r="BC23" s="168"/>
      <c r="BD23" s="168"/>
      <c r="BE23" s="168"/>
      <c r="BF23" s="168"/>
      <c r="BG23" s="168"/>
      <c r="BH23" s="168"/>
      <c r="BI23" s="168"/>
      <c r="BJ23" s="168"/>
      <c r="BK23" s="168"/>
      <c r="BL23" s="168"/>
      <c r="BM23" s="168"/>
      <c r="BN23" s="168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</row>
    <row r="24" spans="1:95" x14ac:dyDescent="0.25">
      <c r="A24" s="52" t="s">
        <v>7</v>
      </c>
      <c r="B24" s="166">
        <f>B20+1</f>
        <v>45887</v>
      </c>
      <c r="C24" s="235">
        <f>Boats!J99</f>
        <v>0</v>
      </c>
      <c r="D24" s="256"/>
      <c r="E24" s="255"/>
      <c r="F24" s="316"/>
      <c r="G24" s="271"/>
      <c r="H24" s="246">
        <f t="shared" ref="H24:H30" si="32">SUM(I24:J24)</f>
        <v>0</v>
      </c>
      <c r="I24" s="254"/>
      <c r="J24" s="255"/>
      <c r="K24" s="246">
        <f t="shared" ref="K24:K30" si="33">SUM(L24:M24)</f>
        <v>0</v>
      </c>
      <c r="L24" s="254"/>
      <c r="M24" s="255"/>
      <c r="N24" s="362">
        <f t="shared" ref="N24:N30" si="34">SUM(O24:P24)</f>
        <v>0</v>
      </c>
      <c r="O24" s="254"/>
      <c r="P24" s="256"/>
      <c r="Q24" s="362">
        <f t="shared" ref="Q24:Q30" si="35">SUM(R24:S24)</f>
        <v>0</v>
      </c>
      <c r="R24" s="254"/>
      <c r="S24" s="256"/>
      <c r="T24" s="257"/>
      <c r="U24" s="255"/>
      <c r="V24" s="254"/>
      <c r="W24" s="254"/>
      <c r="X24" s="258"/>
      <c r="Y24" s="255"/>
      <c r="Z24" s="257"/>
      <c r="AA24" s="255"/>
      <c r="AB24" s="255"/>
      <c r="AC24" s="258"/>
      <c r="AD24" s="257"/>
      <c r="AE24" s="256"/>
      <c r="AF24" s="254"/>
      <c r="AG24" s="256"/>
      <c r="AH24" s="255"/>
      <c r="AI24" s="255"/>
      <c r="AJ24" s="254"/>
      <c r="AK24" s="256"/>
      <c r="AL24" s="254"/>
      <c r="AM24" s="256"/>
      <c r="AN24" s="255"/>
      <c r="AO24" s="255"/>
      <c r="AP24" s="254"/>
      <c r="AQ24" s="256"/>
      <c r="AR24" s="255"/>
      <c r="AS24" s="255"/>
      <c r="AT24" s="255"/>
      <c r="AU24" s="258"/>
      <c r="AV24" s="168"/>
      <c r="AW24" s="257"/>
      <c r="AX24" s="255"/>
      <c r="AY24" s="255"/>
      <c r="AZ24" s="255"/>
      <c r="BA24" s="254"/>
      <c r="BB24" s="255"/>
      <c r="BC24" s="258"/>
      <c r="BD24" s="168"/>
      <c r="BE24" s="257"/>
      <c r="BF24" s="255"/>
      <c r="BG24" s="255"/>
      <c r="BH24" s="255"/>
      <c r="BI24" s="254"/>
      <c r="BJ24" s="255"/>
      <c r="BK24" s="258"/>
      <c r="BL24" s="168"/>
      <c r="BM24" s="257"/>
      <c r="BN24" s="255"/>
      <c r="BO24" s="255"/>
      <c r="BP24" s="255"/>
      <c r="BQ24" s="254"/>
      <c r="BR24" s="255"/>
      <c r="BS24" s="258"/>
      <c r="BT24" s="168"/>
      <c r="BU24" s="257"/>
      <c r="BV24" s="255"/>
      <c r="BW24" s="255"/>
      <c r="BX24" s="255"/>
      <c r="BY24" s="254"/>
      <c r="BZ24" s="255"/>
      <c r="CA24" s="258"/>
      <c r="CB24" s="168"/>
      <c r="CC24" s="257"/>
      <c r="CD24" s="255"/>
      <c r="CE24" s="255"/>
      <c r="CF24" s="255"/>
      <c r="CG24" s="254"/>
      <c r="CH24" s="255"/>
      <c r="CI24" s="258"/>
      <c r="CJ24" s="168"/>
      <c r="CK24" s="257"/>
      <c r="CL24" s="255"/>
      <c r="CM24" s="255"/>
      <c r="CN24" s="255"/>
      <c r="CO24" s="254"/>
      <c r="CP24" s="255"/>
      <c r="CQ24" s="258"/>
    </row>
    <row r="25" spans="1:95" x14ac:dyDescent="0.25">
      <c r="A25" s="132" t="s">
        <v>10</v>
      </c>
      <c r="B25" s="167">
        <f t="shared" ref="B25:B30" si="36">B24+1</f>
        <v>45888</v>
      </c>
      <c r="C25" s="173">
        <f>Boats!J106</f>
        <v>3.8036064754406951</v>
      </c>
      <c r="D25" s="259">
        <v>1</v>
      </c>
      <c r="E25" s="168">
        <v>1</v>
      </c>
      <c r="F25" s="317">
        <v>11</v>
      </c>
      <c r="G25" s="253"/>
      <c r="H25" s="247">
        <f t="shared" si="32"/>
        <v>0</v>
      </c>
      <c r="I25" s="260"/>
      <c r="J25" s="168"/>
      <c r="K25" s="247">
        <f t="shared" si="33"/>
        <v>0</v>
      </c>
      <c r="L25" s="260"/>
      <c r="M25" s="168"/>
      <c r="N25" s="311">
        <f t="shared" si="34"/>
        <v>0</v>
      </c>
      <c r="O25" s="260"/>
      <c r="P25" s="259"/>
      <c r="Q25" s="311">
        <f t="shared" si="35"/>
        <v>0</v>
      </c>
      <c r="R25" s="260"/>
      <c r="S25" s="259"/>
      <c r="T25" s="261"/>
      <c r="U25" s="168"/>
      <c r="V25" s="260"/>
      <c r="W25" s="260"/>
      <c r="X25" s="262"/>
      <c r="Y25" s="168"/>
      <c r="Z25" s="261"/>
      <c r="AA25" s="168"/>
      <c r="AB25" s="168"/>
      <c r="AC25" s="262"/>
      <c r="AD25" s="261"/>
      <c r="AE25" s="259"/>
      <c r="AF25" s="260"/>
      <c r="AG25" s="259"/>
      <c r="AH25" s="168"/>
      <c r="AI25" s="168"/>
      <c r="AJ25" s="260"/>
      <c r="AK25" s="259"/>
      <c r="AL25" s="260"/>
      <c r="AM25" s="259"/>
      <c r="AN25" s="168"/>
      <c r="AO25" s="168"/>
      <c r="AP25" s="260"/>
      <c r="AQ25" s="259"/>
      <c r="AR25" s="168"/>
      <c r="AS25" s="168"/>
      <c r="AT25" s="168"/>
      <c r="AU25" s="262"/>
      <c r="AV25" s="168"/>
      <c r="AW25" s="261"/>
      <c r="AX25" s="168"/>
      <c r="AY25" s="168"/>
      <c r="AZ25" s="168"/>
      <c r="BA25" s="260"/>
      <c r="BB25" s="168"/>
      <c r="BC25" s="262"/>
      <c r="BD25" s="168"/>
      <c r="BE25" s="261"/>
      <c r="BF25" s="168"/>
      <c r="BG25" s="168"/>
      <c r="BH25" s="168"/>
      <c r="BI25" s="260"/>
      <c r="BJ25" s="168"/>
      <c r="BK25" s="262"/>
      <c r="BL25" s="168"/>
      <c r="BM25" s="261"/>
      <c r="BN25" s="168"/>
      <c r="BO25" s="168"/>
      <c r="BP25" s="168"/>
      <c r="BQ25" s="260"/>
      <c r="BR25" s="168"/>
      <c r="BS25" s="262"/>
      <c r="BT25" s="168"/>
      <c r="BU25" s="261"/>
      <c r="BV25" s="168"/>
      <c r="BW25" s="168"/>
      <c r="BX25" s="168"/>
      <c r="BY25" s="260"/>
      <c r="BZ25" s="168"/>
      <c r="CA25" s="262"/>
      <c r="CB25" s="168"/>
      <c r="CC25" s="261"/>
      <c r="CD25" s="168"/>
      <c r="CE25" s="168"/>
      <c r="CF25" s="168"/>
      <c r="CG25" s="260"/>
      <c r="CH25" s="168"/>
      <c r="CI25" s="262"/>
      <c r="CJ25" s="168"/>
      <c r="CK25" s="261"/>
      <c r="CL25" s="168"/>
      <c r="CM25" s="168"/>
      <c r="CN25" s="168"/>
      <c r="CO25" s="260"/>
      <c r="CP25" s="168"/>
      <c r="CQ25" s="262"/>
    </row>
    <row r="26" spans="1:95" x14ac:dyDescent="0.25">
      <c r="A26" s="132" t="s">
        <v>11</v>
      </c>
      <c r="B26" s="167">
        <f t="shared" si="36"/>
        <v>45889</v>
      </c>
      <c r="C26" s="173">
        <f>Boats!J113</f>
        <v>4.9552817631008628</v>
      </c>
      <c r="D26" s="259">
        <v>2</v>
      </c>
      <c r="E26" s="168">
        <v>4</v>
      </c>
      <c r="F26" s="317">
        <v>28.83</v>
      </c>
      <c r="G26" s="253"/>
      <c r="H26" s="247">
        <f t="shared" si="32"/>
        <v>0</v>
      </c>
      <c r="I26" s="260"/>
      <c r="J26" s="168"/>
      <c r="K26" s="247">
        <f t="shared" si="33"/>
        <v>0</v>
      </c>
      <c r="L26" s="260"/>
      <c r="M26" s="168"/>
      <c r="N26" s="311">
        <f t="shared" si="34"/>
        <v>0</v>
      </c>
      <c r="O26" s="260"/>
      <c r="P26" s="259"/>
      <c r="Q26" s="311">
        <f t="shared" si="35"/>
        <v>0</v>
      </c>
      <c r="R26" s="260"/>
      <c r="S26" s="259"/>
      <c r="T26" s="261"/>
      <c r="U26" s="168"/>
      <c r="V26" s="260"/>
      <c r="W26" s="260"/>
      <c r="X26" s="262"/>
      <c r="Y26" s="168"/>
      <c r="Z26" s="261"/>
      <c r="AA26" s="168"/>
      <c r="AB26" s="168"/>
      <c r="AC26" s="262"/>
      <c r="AD26" s="261"/>
      <c r="AE26" s="259"/>
      <c r="AF26" s="260">
        <v>1</v>
      </c>
      <c r="AG26" s="259"/>
      <c r="AH26" s="168"/>
      <c r="AI26" s="168"/>
      <c r="AJ26" s="260"/>
      <c r="AK26" s="259"/>
      <c r="AL26" s="260"/>
      <c r="AM26" s="259"/>
      <c r="AN26" s="168"/>
      <c r="AO26" s="168"/>
      <c r="AP26" s="260"/>
      <c r="AQ26" s="259"/>
      <c r="AR26" s="168"/>
      <c r="AS26" s="168"/>
      <c r="AT26" s="168"/>
      <c r="AU26" s="262"/>
      <c r="AV26" s="168"/>
      <c r="AW26" s="261"/>
      <c r="AX26" s="168"/>
      <c r="AY26" s="168"/>
      <c r="AZ26" s="168"/>
      <c r="BA26" s="260"/>
      <c r="BB26" s="168"/>
      <c r="BC26" s="262"/>
      <c r="BD26" s="168"/>
      <c r="BE26" s="261"/>
      <c r="BF26" s="168"/>
      <c r="BG26" s="168"/>
      <c r="BH26" s="168"/>
      <c r="BI26" s="260"/>
      <c r="BJ26" s="168"/>
      <c r="BK26" s="262"/>
      <c r="BL26" s="168"/>
      <c r="BM26" s="261"/>
      <c r="BN26" s="168"/>
      <c r="BO26" s="168"/>
      <c r="BP26" s="168"/>
      <c r="BQ26" s="260"/>
      <c r="BR26" s="168"/>
      <c r="BS26" s="262"/>
      <c r="BT26" s="168"/>
      <c r="BU26" s="261"/>
      <c r="BV26" s="168"/>
      <c r="BW26" s="168"/>
      <c r="BX26" s="168"/>
      <c r="BY26" s="260"/>
      <c r="BZ26" s="168"/>
      <c r="CA26" s="262"/>
      <c r="CB26" s="168"/>
      <c r="CC26" s="261"/>
      <c r="CD26" s="168"/>
      <c r="CE26" s="168"/>
      <c r="CF26" s="168"/>
      <c r="CG26" s="260"/>
      <c r="CH26" s="168"/>
      <c r="CI26" s="262"/>
      <c r="CJ26" s="168"/>
      <c r="CK26" s="261"/>
      <c r="CL26" s="168"/>
      <c r="CM26" s="168"/>
      <c r="CN26" s="168"/>
      <c r="CO26" s="260"/>
      <c r="CP26" s="168"/>
      <c r="CQ26" s="262"/>
    </row>
    <row r="27" spans="1:95" x14ac:dyDescent="0.25">
      <c r="A27" s="132" t="s">
        <v>12</v>
      </c>
      <c r="B27" s="167">
        <f t="shared" si="36"/>
        <v>45890</v>
      </c>
      <c r="C27" s="173">
        <f>Boats!J120</f>
        <v>0</v>
      </c>
      <c r="D27" s="259">
        <v>0</v>
      </c>
      <c r="E27" s="168">
        <v>0</v>
      </c>
      <c r="F27" s="317">
        <v>0</v>
      </c>
      <c r="G27" s="253"/>
      <c r="H27" s="247">
        <f t="shared" si="32"/>
        <v>0</v>
      </c>
      <c r="I27" s="260"/>
      <c r="J27" s="168"/>
      <c r="K27" s="247">
        <f t="shared" si="33"/>
        <v>0</v>
      </c>
      <c r="L27" s="260"/>
      <c r="M27" s="168"/>
      <c r="N27" s="311">
        <f t="shared" si="34"/>
        <v>0</v>
      </c>
      <c r="O27" s="260"/>
      <c r="P27" s="259"/>
      <c r="Q27" s="311">
        <f t="shared" si="35"/>
        <v>0</v>
      </c>
      <c r="R27" s="260"/>
      <c r="S27" s="259"/>
      <c r="T27" s="261"/>
      <c r="U27" s="168"/>
      <c r="V27" s="260"/>
      <c r="W27" s="260"/>
      <c r="X27" s="262"/>
      <c r="Y27" s="168"/>
      <c r="Z27" s="261"/>
      <c r="AA27" s="168"/>
      <c r="AB27" s="168"/>
      <c r="AC27" s="262"/>
      <c r="AD27" s="261"/>
      <c r="AE27" s="259"/>
      <c r="AF27" s="260"/>
      <c r="AG27" s="259"/>
      <c r="AH27" s="168"/>
      <c r="AI27" s="168"/>
      <c r="AJ27" s="260"/>
      <c r="AK27" s="259"/>
      <c r="AL27" s="260"/>
      <c r="AM27" s="259"/>
      <c r="AN27" s="168"/>
      <c r="AO27" s="168"/>
      <c r="AP27" s="260"/>
      <c r="AQ27" s="259"/>
      <c r="AR27" s="168"/>
      <c r="AS27" s="168"/>
      <c r="AT27" s="168"/>
      <c r="AU27" s="262"/>
      <c r="AV27" s="168"/>
      <c r="AW27" s="261"/>
      <c r="AX27" s="168"/>
      <c r="AY27" s="168"/>
      <c r="AZ27" s="168"/>
      <c r="BA27" s="260"/>
      <c r="BB27" s="168"/>
      <c r="BC27" s="262"/>
      <c r="BD27" s="168"/>
      <c r="BE27" s="261"/>
      <c r="BF27" s="168"/>
      <c r="BG27" s="168"/>
      <c r="BH27" s="168"/>
      <c r="BI27" s="260"/>
      <c r="BJ27" s="168"/>
      <c r="BK27" s="262"/>
      <c r="BL27" s="168"/>
      <c r="BM27" s="261"/>
      <c r="BN27" s="168"/>
      <c r="BO27" s="168"/>
      <c r="BP27" s="168"/>
      <c r="BQ27" s="260"/>
      <c r="BR27" s="168"/>
      <c r="BS27" s="262"/>
      <c r="BT27" s="168"/>
      <c r="BU27" s="261"/>
      <c r="BV27" s="168"/>
      <c r="BW27" s="168"/>
      <c r="BX27" s="168"/>
      <c r="BY27" s="260"/>
      <c r="BZ27" s="168"/>
      <c r="CA27" s="262"/>
      <c r="CB27" s="168"/>
      <c r="CC27" s="261"/>
      <c r="CD27" s="168"/>
      <c r="CE27" s="168"/>
      <c r="CF27" s="168"/>
      <c r="CG27" s="260"/>
      <c r="CH27" s="168"/>
      <c r="CI27" s="262"/>
      <c r="CJ27" s="168"/>
      <c r="CK27" s="261"/>
      <c r="CL27" s="168"/>
      <c r="CM27" s="168"/>
      <c r="CN27" s="168"/>
      <c r="CO27" s="260"/>
      <c r="CP27" s="168"/>
      <c r="CQ27" s="262"/>
    </row>
    <row r="28" spans="1:95" x14ac:dyDescent="0.25">
      <c r="A28" s="132" t="s">
        <v>13</v>
      </c>
      <c r="B28" s="167">
        <f t="shared" si="36"/>
        <v>45891</v>
      </c>
      <c r="C28" s="173">
        <f>Boats!J127</f>
        <v>11.847451558032541</v>
      </c>
      <c r="D28" s="259">
        <v>5</v>
      </c>
      <c r="E28" s="168">
        <v>10</v>
      </c>
      <c r="F28" s="317">
        <v>54.8</v>
      </c>
      <c r="G28" s="253"/>
      <c r="H28" s="247">
        <f t="shared" si="32"/>
        <v>0</v>
      </c>
      <c r="I28" s="260"/>
      <c r="J28" s="168"/>
      <c r="K28" s="247">
        <f t="shared" si="33"/>
        <v>0</v>
      </c>
      <c r="L28" s="260"/>
      <c r="M28" s="168"/>
      <c r="N28" s="311">
        <f t="shared" si="34"/>
        <v>0</v>
      </c>
      <c r="O28" s="260"/>
      <c r="P28" s="259"/>
      <c r="Q28" s="311">
        <f t="shared" si="35"/>
        <v>0</v>
      </c>
      <c r="R28" s="260"/>
      <c r="S28" s="259"/>
      <c r="T28" s="261"/>
      <c r="U28" s="168"/>
      <c r="V28" s="260"/>
      <c r="W28" s="260"/>
      <c r="X28" s="262"/>
      <c r="Y28" s="168"/>
      <c r="Z28" s="261"/>
      <c r="AA28" s="168"/>
      <c r="AB28" s="168"/>
      <c r="AC28" s="262"/>
      <c r="AD28" s="261"/>
      <c r="AE28" s="259"/>
      <c r="AF28" s="260"/>
      <c r="AG28" s="259"/>
      <c r="AH28" s="168"/>
      <c r="AI28" s="168"/>
      <c r="AJ28" s="260"/>
      <c r="AK28" s="259"/>
      <c r="AL28" s="260"/>
      <c r="AM28" s="259"/>
      <c r="AN28" s="168"/>
      <c r="AO28" s="168"/>
      <c r="AP28" s="260"/>
      <c r="AQ28" s="259"/>
      <c r="AR28" s="168"/>
      <c r="AS28" s="168"/>
      <c r="AT28" s="168"/>
      <c r="AU28" s="262"/>
      <c r="AV28" s="168"/>
      <c r="AW28" s="261"/>
      <c r="AX28" s="168"/>
      <c r="AY28" s="168"/>
      <c r="AZ28" s="168"/>
      <c r="BA28" s="260"/>
      <c r="BB28" s="168"/>
      <c r="BC28" s="262"/>
      <c r="BD28" s="168"/>
      <c r="BE28" s="261"/>
      <c r="BF28" s="168"/>
      <c r="BG28" s="168"/>
      <c r="BH28" s="168"/>
      <c r="BI28" s="260"/>
      <c r="BJ28" s="168"/>
      <c r="BK28" s="262"/>
      <c r="BL28" s="168"/>
      <c r="BM28" s="261"/>
      <c r="BN28" s="168"/>
      <c r="BO28" s="168"/>
      <c r="BP28" s="168"/>
      <c r="BQ28" s="260"/>
      <c r="BR28" s="168"/>
      <c r="BS28" s="262"/>
      <c r="BT28" s="168"/>
      <c r="BU28" s="261"/>
      <c r="BV28" s="168"/>
      <c r="BW28" s="168"/>
      <c r="BX28" s="168"/>
      <c r="BY28" s="260"/>
      <c r="BZ28" s="168"/>
      <c r="CA28" s="262"/>
      <c r="CB28" s="168"/>
      <c r="CC28" s="261"/>
      <c r="CD28" s="168"/>
      <c r="CE28" s="168"/>
      <c r="CF28" s="168"/>
      <c r="CG28" s="260"/>
      <c r="CH28" s="168"/>
      <c r="CI28" s="262"/>
      <c r="CJ28" s="168"/>
      <c r="CK28" s="261"/>
      <c r="CL28" s="168"/>
      <c r="CM28" s="168"/>
      <c r="CN28" s="168"/>
      <c r="CO28" s="260"/>
      <c r="CP28" s="168"/>
      <c r="CQ28" s="262"/>
    </row>
    <row r="29" spans="1:95" x14ac:dyDescent="0.25">
      <c r="A29" s="132" t="s">
        <v>14</v>
      </c>
      <c r="B29" s="167">
        <f t="shared" si="36"/>
        <v>45892</v>
      </c>
      <c r="C29" s="173">
        <f>Boats!J134</f>
        <v>5.5495778306285573</v>
      </c>
      <c r="D29" s="259">
        <v>2</v>
      </c>
      <c r="E29" s="168">
        <v>3</v>
      </c>
      <c r="F29" s="317">
        <v>7.93</v>
      </c>
      <c r="G29" s="260"/>
      <c r="H29" s="247">
        <f t="shared" si="32"/>
        <v>0</v>
      </c>
      <c r="I29" s="260"/>
      <c r="J29" s="168"/>
      <c r="K29" s="247">
        <f t="shared" si="33"/>
        <v>0</v>
      </c>
      <c r="L29" s="260"/>
      <c r="M29" s="168"/>
      <c r="N29" s="311">
        <f t="shared" si="34"/>
        <v>0</v>
      </c>
      <c r="O29" s="260"/>
      <c r="P29" s="259"/>
      <c r="Q29" s="311">
        <f t="shared" si="35"/>
        <v>0</v>
      </c>
      <c r="R29" s="260"/>
      <c r="S29" s="259"/>
      <c r="T29" s="261"/>
      <c r="U29" s="168"/>
      <c r="V29" s="260"/>
      <c r="W29" s="260"/>
      <c r="X29" s="262"/>
      <c r="Y29" s="168"/>
      <c r="Z29" s="261"/>
      <c r="AA29" s="168"/>
      <c r="AB29" s="168"/>
      <c r="AC29" s="262"/>
      <c r="AD29" s="261"/>
      <c r="AE29" s="259"/>
      <c r="AF29" s="260">
        <v>1</v>
      </c>
      <c r="AG29" s="259"/>
      <c r="AH29" s="168"/>
      <c r="AI29" s="168"/>
      <c r="AJ29" s="260"/>
      <c r="AK29" s="259"/>
      <c r="AL29" s="260"/>
      <c r="AM29" s="259"/>
      <c r="AN29" s="168"/>
      <c r="AO29" s="168"/>
      <c r="AP29" s="260"/>
      <c r="AQ29" s="259"/>
      <c r="AR29" s="168"/>
      <c r="AS29" s="168"/>
      <c r="AT29" s="168"/>
      <c r="AU29" s="262"/>
      <c r="AV29" s="168"/>
      <c r="AW29" s="261"/>
      <c r="AX29" s="168"/>
      <c r="AY29" s="168"/>
      <c r="AZ29" s="168"/>
      <c r="BA29" s="260"/>
      <c r="BB29" s="168"/>
      <c r="BC29" s="262"/>
      <c r="BD29" s="168"/>
      <c r="BE29" s="261"/>
      <c r="BF29" s="168"/>
      <c r="BG29" s="168"/>
      <c r="BH29" s="168"/>
      <c r="BI29" s="260"/>
      <c r="BJ29" s="168"/>
      <c r="BK29" s="262"/>
      <c r="BL29" s="168"/>
      <c r="BM29" s="261"/>
      <c r="BN29" s="168"/>
      <c r="BO29" s="168"/>
      <c r="BP29" s="168"/>
      <c r="BQ29" s="260"/>
      <c r="BR29" s="168"/>
      <c r="BS29" s="262"/>
      <c r="BT29" s="168"/>
      <c r="BU29" s="261"/>
      <c r="BV29" s="168"/>
      <c r="BW29" s="168"/>
      <c r="BX29" s="168"/>
      <c r="BY29" s="260"/>
      <c r="BZ29" s="168"/>
      <c r="CA29" s="262"/>
      <c r="CB29" s="168"/>
      <c r="CC29" s="261"/>
      <c r="CD29" s="168"/>
      <c r="CE29" s="168"/>
      <c r="CF29" s="168"/>
      <c r="CG29" s="260"/>
      <c r="CH29" s="168"/>
      <c r="CI29" s="262"/>
      <c r="CJ29" s="168"/>
      <c r="CK29" s="261"/>
      <c r="CL29" s="168"/>
      <c r="CM29" s="168"/>
      <c r="CN29" s="168"/>
      <c r="CO29" s="260"/>
      <c r="CP29" s="168"/>
      <c r="CQ29" s="262"/>
    </row>
    <row r="30" spans="1:95" ht="16.5" thickBot="1" x14ac:dyDescent="0.3">
      <c r="A30" s="170" t="s">
        <v>15</v>
      </c>
      <c r="B30" s="171">
        <f t="shared" si="36"/>
        <v>45893</v>
      </c>
      <c r="C30" s="236">
        <f>Boats!J141</f>
        <v>21.309077117159116</v>
      </c>
      <c r="D30" s="263">
        <v>7</v>
      </c>
      <c r="E30" s="238">
        <v>14</v>
      </c>
      <c r="F30" s="318">
        <v>67.53</v>
      </c>
      <c r="G30" s="237"/>
      <c r="H30" s="248">
        <f t="shared" si="32"/>
        <v>0</v>
      </c>
      <c r="I30" s="237"/>
      <c r="J30" s="238"/>
      <c r="K30" s="248">
        <f t="shared" si="33"/>
        <v>0</v>
      </c>
      <c r="L30" s="237"/>
      <c r="M30" s="238"/>
      <c r="N30" s="248">
        <f t="shared" si="34"/>
        <v>0</v>
      </c>
      <c r="O30" s="237"/>
      <c r="P30" s="263"/>
      <c r="Q30" s="248">
        <f t="shared" si="35"/>
        <v>0</v>
      </c>
      <c r="R30" s="237"/>
      <c r="S30" s="263"/>
      <c r="T30" s="264"/>
      <c r="U30" s="238"/>
      <c r="V30" s="237"/>
      <c r="W30" s="237"/>
      <c r="X30" s="265"/>
      <c r="Y30" s="168"/>
      <c r="Z30" s="264">
        <v>2</v>
      </c>
      <c r="AA30" s="238"/>
      <c r="AB30" s="238"/>
      <c r="AC30" s="265"/>
      <c r="AD30" s="264"/>
      <c r="AE30" s="263">
        <v>1</v>
      </c>
      <c r="AF30" s="237"/>
      <c r="AG30" s="263"/>
      <c r="AH30" s="238"/>
      <c r="AI30" s="238"/>
      <c r="AJ30" s="237"/>
      <c r="AK30" s="263"/>
      <c r="AL30" s="237"/>
      <c r="AM30" s="263"/>
      <c r="AN30" s="238"/>
      <c r="AO30" s="238"/>
      <c r="AP30" s="237"/>
      <c r="AQ30" s="263"/>
      <c r="AR30" s="238"/>
      <c r="AS30" s="238"/>
      <c r="AT30" s="238"/>
      <c r="AU30" s="265"/>
      <c r="AV30" s="168"/>
      <c r="AW30" s="264"/>
      <c r="AX30" s="238"/>
      <c r="AY30" s="238"/>
      <c r="AZ30" s="238"/>
      <c r="BA30" s="237"/>
      <c r="BB30" s="238"/>
      <c r="BC30" s="265"/>
      <c r="BD30" s="168"/>
      <c r="BE30" s="264"/>
      <c r="BF30" s="238"/>
      <c r="BG30" s="238"/>
      <c r="BH30" s="238"/>
      <c r="BI30" s="237"/>
      <c r="BJ30" s="238"/>
      <c r="BK30" s="265"/>
      <c r="BL30" s="168"/>
      <c r="BM30" s="264"/>
      <c r="BN30" s="238"/>
      <c r="BO30" s="238"/>
      <c r="BP30" s="238"/>
      <c r="BQ30" s="237"/>
      <c r="BR30" s="238"/>
      <c r="BS30" s="265"/>
      <c r="BT30" s="168"/>
      <c r="BU30" s="264"/>
      <c r="BV30" s="238"/>
      <c r="BW30" s="238"/>
      <c r="BX30" s="238"/>
      <c r="BY30" s="237"/>
      <c r="BZ30" s="238"/>
      <c r="CA30" s="265"/>
      <c r="CB30" s="168"/>
      <c r="CC30" s="264"/>
      <c r="CD30" s="238"/>
      <c r="CE30" s="238"/>
      <c r="CF30" s="238"/>
      <c r="CG30" s="237"/>
      <c r="CH30" s="238"/>
      <c r="CI30" s="265"/>
      <c r="CJ30" s="168"/>
      <c r="CK30" s="264"/>
      <c r="CL30" s="238"/>
      <c r="CM30" s="238"/>
      <c r="CN30" s="238"/>
      <c r="CO30" s="237"/>
      <c r="CP30" s="238"/>
      <c r="CQ30" s="265"/>
    </row>
    <row r="31" spans="1:95" ht="16.5" thickTop="1" x14ac:dyDescent="0.25">
      <c r="A31" s="298" t="s">
        <v>106</v>
      </c>
      <c r="B31" s="274"/>
      <c r="C31" s="293"/>
      <c r="D31" s="294"/>
      <c r="E31" s="315"/>
      <c r="F31" s="315"/>
      <c r="G31" s="295"/>
      <c r="H31" s="296">
        <f t="shared" ref="H31:X31" si="37">SUM(H24:H30)</f>
        <v>0</v>
      </c>
      <c r="I31" s="284">
        <f t="shared" si="37"/>
        <v>0</v>
      </c>
      <c r="J31" s="283">
        <f t="shared" si="37"/>
        <v>0</v>
      </c>
      <c r="K31" s="296">
        <f t="shared" si="37"/>
        <v>0</v>
      </c>
      <c r="L31" s="284">
        <f t="shared" si="37"/>
        <v>0</v>
      </c>
      <c r="M31" s="283">
        <f t="shared" si="37"/>
        <v>0</v>
      </c>
      <c r="N31" s="296">
        <f t="shared" si="37"/>
        <v>0</v>
      </c>
      <c r="O31" s="284">
        <f t="shared" si="37"/>
        <v>0</v>
      </c>
      <c r="P31" s="297">
        <f t="shared" si="37"/>
        <v>0</v>
      </c>
      <c r="Q31" s="296">
        <f t="shared" ref="Q31:S31" si="38">SUM(Q24:Q30)</f>
        <v>0</v>
      </c>
      <c r="R31" s="284">
        <f t="shared" si="38"/>
        <v>0</v>
      </c>
      <c r="S31" s="297">
        <f t="shared" si="38"/>
        <v>0</v>
      </c>
      <c r="T31" s="282">
        <f t="shared" si="37"/>
        <v>0</v>
      </c>
      <c r="U31" s="283">
        <f t="shared" si="37"/>
        <v>0</v>
      </c>
      <c r="V31" s="284">
        <f t="shared" si="37"/>
        <v>0</v>
      </c>
      <c r="W31" s="284">
        <f t="shared" si="37"/>
        <v>0</v>
      </c>
      <c r="X31" s="285">
        <f t="shared" si="37"/>
        <v>0</v>
      </c>
      <c r="Y31" s="173"/>
      <c r="Z31" s="282">
        <f>SUM(Z24:Z30)</f>
        <v>2</v>
      </c>
      <c r="AA31" s="283">
        <f>SUM(AA24:AA30)</f>
        <v>0</v>
      </c>
      <c r="AB31" s="283">
        <f>SUM(AB24:AB30)</f>
        <v>0</v>
      </c>
      <c r="AC31" s="285">
        <f>SUM(AC24:AC30)</f>
        <v>0</v>
      </c>
      <c r="AD31" s="282">
        <f t="shared" ref="AD31:AU31" si="39">SUM(AD24:AD30)</f>
        <v>0</v>
      </c>
      <c r="AE31" s="297">
        <f t="shared" si="39"/>
        <v>1</v>
      </c>
      <c r="AF31" s="284">
        <f t="shared" si="39"/>
        <v>2</v>
      </c>
      <c r="AG31" s="297">
        <f t="shared" si="39"/>
        <v>0</v>
      </c>
      <c r="AH31" s="283">
        <f t="shared" si="39"/>
        <v>0</v>
      </c>
      <c r="AI31" s="283">
        <f t="shared" si="39"/>
        <v>0</v>
      </c>
      <c r="AJ31" s="284">
        <f t="shared" si="39"/>
        <v>0</v>
      </c>
      <c r="AK31" s="297">
        <f t="shared" si="39"/>
        <v>0</v>
      </c>
      <c r="AL31" s="284">
        <f t="shared" si="39"/>
        <v>0</v>
      </c>
      <c r="AM31" s="297">
        <f t="shared" si="39"/>
        <v>0</v>
      </c>
      <c r="AN31" s="276">
        <f t="shared" si="39"/>
        <v>0</v>
      </c>
      <c r="AO31" s="275">
        <f t="shared" si="39"/>
        <v>0</v>
      </c>
      <c r="AP31" s="276">
        <f t="shared" si="39"/>
        <v>0</v>
      </c>
      <c r="AQ31" s="275">
        <f t="shared" si="39"/>
        <v>0</v>
      </c>
      <c r="AR31" s="278">
        <f t="shared" si="39"/>
        <v>0</v>
      </c>
      <c r="AS31" s="277">
        <f t="shared" si="39"/>
        <v>0</v>
      </c>
      <c r="AT31" s="283">
        <f t="shared" si="39"/>
        <v>0</v>
      </c>
      <c r="AU31" s="285">
        <f t="shared" si="39"/>
        <v>0</v>
      </c>
      <c r="AV31" s="173"/>
      <c r="AW31" s="282">
        <f t="shared" ref="AW31:BC31" si="40">SUM(AW24:AW30)</f>
        <v>0</v>
      </c>
      <c r="AX31" s="283">
        <f t="shared" si="40"/>
        <v>0</v>
      </c>
      <c r="AY31" s="283">
        <f t="shared" si="40"/>
        <v>0</v>
      </c>
      <c r="AZ31" s="283">
        <f t="shared" si="40"/>
        <v>0</v>
      </c>
      <c r="BA31" s="284">
        <f t="shared" si="40"/>
        <v>0</v>
      </c>
      <c r="BB31" s="283">
        <f t="shared" si="40"/>
        <v>0</v>
      </c>
      <c r="BC31" s="285">
        <f t="shared" si="40"/>
        <v>0</v>
      </c>
      <c r="BD31" s="173"/>
      <c r="BE31" s="282">
        <f t="shared" ref="BE31:BK31" si="41">SUM(BE24:BE30)</f>
        <v>0</v>
      </c>
      <c r="BF31" s="283">
        <f t="shared" si="41"/>
        <v>0</v>
      </c>
      <c r="BG31" s="283">
        <f t="shared" si="41"/>
        <v>0</v>
      </c>
      <c r="BH31" s="283">
        <f t="shared" si="41"/>
        <v>0</v>
      </c>
      <c r="BI31" s="284">
        <f t="shared" si="41"/>
        <v>0</v>
      </c>
      <c r="BJ31" s="283">
        <f t="shared" si="41"/>
        <v>0</v>
      </c>
      <c r="BK31" s="285">
        <f t="shared" si="41"/>
        <v>0</v>
      </c>
      <c r="BL31" s="173"/>
      <c r="BM31" s="282">
        <f t="shared" ref="BM31:BS31" si="42">SUM(BM24:BM30)</f>
        <v>0</v>
      </c>
      <c r="BN31" s="283">
        <f t="shared" si="42"/>
        <v>0</v>
      </c>
      <c r="BO31" s="283">
        <f t="shared" si="42"/>
        <v>0</v>
      </c>
      <c r="BP31" s="283">
        <f t="shared" si="42"/>
        <v>0</v>
      </c>
      <c r="BQ31" s="284">
        <f t="shared" si="42"/>
        <v>0</v>
      </c>
      <c r="BR31" s="283">
        <f t="shared" si="42"/>
        <v>0</v>
      </c>
      <c r="BS31" s="285">
        <f t="shared" si="42"/>
        <v>0</v>
      </c>
      <c r="BT31" s="173"/>
      <c r="BU31" s="282">
        <f t="shared" ref="BU31:CA31" si="43">SUM(BU24:BU30)</f>
        <v>0</v>
      </c>
      <c r="BV31" s="283">
        <f t="shared" si="43"/>
        <v>0</v>
      </c>
      <c r="BW31" s="283">
        <f t="shared" si="43"/>
        <v>0</v>
      </c>
      <c r="BX31" s="283">
        <f t="shared" si="43"/>
        <v>0</v>
      </c>
      <c r="BY31" s="284">
        <f t="shared" si="43"/>
        <v>0</v>
      </c>
      <c r="BZ31" s="283">
        <f t="shared" si="43"/>
        <v>0</v>
      </c>
      <c r="CA31" s="285">
        <f t="shared" si="43"/>
        <v>0</v>
      </c>
      <c r="CB31" s="173"/>
      <c r="CC31" s="282">
        <f t="shared" ref="CC31:CI31" si="44">SUM(CC24:CC30)</f>
        <v>0</v>
      </c>
      <c r="CD31" s="283">
        <f t="shared" si="44"/>
        <v>0</v>
      </c>
      <c r="CE31" s="283">
        <f t="shared" si="44"/>
        <v>0</v>
      </c>
      <c r="CF31" s="283">
        <f t="shared" si="44"/>
        <v>0</v>
      </c>
      <c r="CG31" s="284">
        <f t="shared" si="44"/>
        <v>0</v>
      </c>
      <c r="CH31" s="283">
        <f t="shared" si="44"/>
        <v>0</v>
      </c>
      <c r="CI31" s="285">
        <f t="shared" si="44"/>
        <v>0</v>
      </c>
      <c r="CJ31" s="173"/>
      <c r="CK31" s="282">
        <f t="shared" ref="CK31:CQ31" si="45">SUM(CK24:CK30)</f>
        <v>0</v>
      </c>
      <c r="CL31" s="283">
        <f t="shared" si="45"/>
        <v>0</v>
      </c>
      <c r="CM31" s="283">
        <f t="shared" si="45"/>
        <v>0</v>
      </c>
      <c r="CN31" s="283">
        <f t="shared" si="45"/>
        <v>0</v>
      </c>
      <c r="CO31" s="284">
        <f t="shared" si="45"/>
        <v>0</v>
      </c>
      <c r="CP31" s="283">
        <f t="shared" si="45"/>
        <v>0</v>
      </c>
      <c r="CQ31" s="285">
        <f t="shared" si="45"/>
        <v>0</v>
      </c>
    </row>
    <row r="32" spans="1:95" ht="16.5" thickBot="1" x14ac:dyDescent="0.3">
      <c r="A32" s="299" t="s">
        <v>105</v>
      </c>
      <c r="B32" s="273"/>
      <c r="C32" s="306">
        <f>SUM(C24:C30)</f>
        <v>47.464994744361775</v>
      </c>
      <c r="D32" s="307">
        <f>SUM(D24:D30)</f>
        <v>17</v>
      </c>
      <c r="E32" s="266">
        <f>SUM(E24:E30)</f>
        <v>32</v>
      </c>
      <c r="F32" s="267">
        <f>SUM(F24:F30)</f>
        <v>170.09</v>
      </c>
      <c r="G32" s="268">
        <f>D32/C32</f>
        <v>0.35815868286848129</v>
      </c>
      <c r="H32" s="279">
        <f t="shared" ref="H32:X32" si="46">H31/$G32</f>
        <v>0</v>
      </c>
      <c r="I32" s="241">
        <f t="shared" si="46"/>
        <v>0</v>
      </c>
      <c r="J32" s="239">
        <f t="shared" si="46"/>
        <v>0</v>
      </c>
      <c r="K32" s="279">
        <f t="shared" si="46"/>
        <v>0</v>
      </c>
      <c r="L32" s="241">
        <f t="shared" si="46"/>
        <v>0</v>
      </c>
      <c r="M32" s="239">
        <f t="shared" si="46"/>
        <v>0</v>
      </c>
      <c r="N32" s="279">
        <f t="shared" si="46"/>
        <v>0</v>
      </c>
      <c r="O32" s="241">
        <f t="shared" si="46"/>
        <v>0</v>
      </c>
      <c r="P32" s="240">
        <f t="shared" si="46"/>
        <v>0</v>
      </c>
      <c r="Q32" s="279">
        <f t="shared" ref="Q32:S32" si="47">Q31/$G32</f>
        <v>0</v>
      </c>
      <c r="R32" s="241">
        <f t="shared" si="47"/>
        <v>0</v>
      </c>
      <c r="S32" s="240">
        <f t="shared" si="47"/>
        <v>0</v>
      </c>
      <c r="T32" s="269">
        <f t="shared" si="46"/>
        <v>0</v>
      </c>
      <c r="U32" s="239">
        <f t="shared" si="46"/>
        <v>0</v>
      </c>
      <c r="V32" s="241">
        <f t="shared" si="46"/>
        <v>0</v>
      </c>
      <c r="W32" s="241">
        <f t="shared" si="46"/>
        <v>0</v>
      </c>
      <c r="X32" s="270">
        <f t="shared" si="46"/>
        <v>0</v>
      </c>
      <c r="Y32" s="239"/>
      <c r="Z32" s="289">
        <f>Z31/$G32</f>
        <v>5.5841170287484436</v>
      </c>
      <c r="AA32" s="290">
        <f t="shared" ref="AA32:AU32" si="48">AA31/$G32</f>
        <v>0</v>
      </c>
      <c r="AB32" s="290">
        <f t="shared" si="48"/>
        <v>0</v>
      </c>
      <c r="AC32" s="292">
        <f t="shared" si="48"/>
        <v>0</v>
      </c>
      <c r="AD32" s="289">
        <f t="shared" si="48"/>
        <v>0</v>
      </c>
      <c r="AE32" s="324">
        <f t="shared" si="48"/>
        <v>2.7920585143742218</v>
      </c>
      <c r="AF32" s="291">
        <f t="shared" si="48"/>
        <v>5.5841170287484436</v>
      </c>
      <c r="AG32" s="324">
        <f t="shared" si="48"/>
        <v>0</v>
      </c>
      <c r="AH32" s="290">
        <f t="shared" si="48"/>
        <v>0</v>
      </c>
      <c r="AI32" s="290">
        <f t="shared" si="48"/>
        <v>0</v>
      </c>
      <c r="AJ32" s="291">
        <f t="shared" si="48"/>
        <v>0</v>
      </c>
      <c r="AK32" s="324">
        <f t="shared" si="48"/>
        <v>0</v>
      </c>
      <c r="AL32" s="291">
        <f t="shared" si="48"/>
        <v>0</v>
      </c>
      <c r="AM32" s="324">
        <f t="shared" si="48"/>
        <v>0</v>
      </c>
      <c r="AN32" s="325">
        <f t="shared" si="48"/>
        <v>0</v>
      </c>
      <c r="AO32" s="326">
        <f t="shared" si="48"/>
        <v>0</v>
      </c>
      <c r="AP32" s="325">
        <f t="shared" si="48"/>
        <v>0</v>
      </c>
      <c r="AQ32" s="326">
        <f t="shared" si="48"/>
        <v>0</v>
      </c>
      <c r="AR32" s="287">
        <f t="shared" si="48"/>
        <v>0</v>
      </c>
      <c r="AS32" s="286">
        <f t="shared" si="48"/>
        <v>0</v>
      </c>
      <c r="AT32" s="290">
        <f t="shared" si="48"/>
        <v>0</v>
      </c>
      <c r="AU32" s="292">
        <f t="shared" si="48"/>
        <v>0</v>
      </c>
      <c r="AV32" s="288"/>
      <c r="AW32" s="289">
        <f t="shared" ref="AW32:BC32" si="49">AW31/$G32</f>
        <v>0</v>
      </c>
      <c r="AX32" s="290">
        <f t="shared" si="49"/>
        <v>0</v>
      </c>
      <c r="AY32" s="290">
        <f t="shared" si="49"/>
        <v>0</v>
      </c>
      <c r="AZ32" s="290">
        <f t="shared" si="49"/>
        <v>0</v>
      </c>
      <c r="BA32" s="291">
        <f t="shared" si="49"/>
        <v>0</v>
      </c>
      <c r="BB32" s="290">
        <f t="shared" si="49"/>
        <v>0</v>
      </c>
      <c r="BC32" s="292">
        <f t="shared" si="49"/>
        <v>0</v>
      </c>
      <c r="BD32" s="288"/>
      <c r="BE32" s="289">
        <f t="shared" ref="BE32:BK32" si="50">BE31/$G32</f>
        <v>0</v>
      </c>
      <c r="BF32" s="290">
        <f t="shared" si="50"/>
        <v>0</v>
      </c>
      <c r="BG32" s="290">
        <f t="shared" si="50"/>
        <v>0</v>
      </c>
      <c r="BH32" s="290">
        <f t="shared" si="50"/>
        <v>0</v>
      </c>
      <c r="BI32" s="291">
        <f t="shared" si="50"/>
        <v>0</v>
      </c>
      <c r="BJ32" s="290">
        <f t="shared" si="50"/>
        <v>0</v>
      </c>
      <c r="BK32" s="292">
        <f t="shared" si="50"/>
        <v>0</v>
      </c>
      <c r="BL32" s="288"/>
      <c r="BM32" s="289">
        <f t="shared" ref="BM32:BS32" si="51">BM31/$G32</f>
        <v>0</v>
      </c>
      <c r="BN32" s="290">
        <f t="shared" si="51"/>
        <v>0</v>
      </c>
      <c r="BO32" s="290">
        <f t="shared" si="51"/>
        <v>0</v>
      </c>
      <c r="BP32" s="290">
        <f t="shared" si="51"/>
        <v>0</v>
      </c>
      <c r="BQ32" s="291">
        <f t="shared" si="51"/>
        <v>0</v>
      </c>
      <c r="BR32" s="290">
        <f t="shared" si="51"/>
        <v>0</v>
      </c>
      <c r="BS32" s="292">
        <f t="shared" si="51"/>
        <v>0</v>
      </c>
      <c r="BT32" s="288"/>
      <c r="BU32" s="289">
        <f t="shared" ref="BU32:CA32" si="52">BU31/$G32</f>
        <v>0</v>
      </c>
      <c r="BV32" s="290">
        <f t="shared" si="52"/>
        <v>0</v>
      </c>
      <c r="BW32" s="290">
        <f t="shared" si="52"/>
        <v>0</v>
      </c>
      <c r="BX32" s="290">
        <f t="shared" si="52"/>
        <v>0</v>
      </c>
      <c r="BY32" s="291">
        <f t="shared" si="52"/>
        <v>0</v>
      </c>
      <c r="BZ32" s="290">
        <f t="shared" si="52"/>
        <v>0</v>
      </c>
      <c r="CA32" s="292">
        <f t="shared" si="52"/>
        <v>0</v>
      </c>
      <c r="CB32" s="288"/>
      <c r="CC32" s="289">
        <f t="shared" ref="CC32:CI32" si="53">CC31/$G32</f>
        <v>0</v>
      </c>
      <c r="CD32" s="290">
        <f t="shared" si="53"/>
        <v>0</v>
      </c>
      <c r="CE32" s="290">
        <f t="shared" si="53"/>
        <v>0</v>
      </c>
      <c r="CF32" s="290">
        <f t="shared" si="53"/>
        <v>0</v>
      </c>
      <c r="CG32" s="291">
        <f t="shared" si="53"/>
        <v>0</v>
      </c>
      <c r="CH32" s="290">
        <f t="shared" si="53"/>
        <v>0</v>
      </c>
      <c r="CI32" s="292">
        <f t="shared" si="53"/>
        <v>0</v>
      </c>
      <c r="CJ32" s="288"/>
      <c r="CK32" s="289">
        <f t="shared" ref="CK32:CQ32" si="54">CK31/$G32</f>
        <v>0</v>
      </c>
      <c r="CL32" s="290">
        <f t="shared" si="54"/>
        <v>0</v>
      </c>
      <c r="CM32" s="290">
        <f t="shared" si="54"/>
        <v>0</v>
      </c>
      <c r="CN32" s="290">
        <f t="shared" si="54"/>
        <v>0</v>
      </c>
      <c r="CO32" s="291">
        <f t="shared" si="54"/>
        <v>0</v>
      </c>
      <c r="CP32" s="290">
        <f t="shared" si="54"/>
        <v>0</v>
      </c>
      <c r="CQ32" s="292">
        <f t="shared" si="54"/>
        <v>0</v>
      </c>
    </row>
    <row r="33" spans="1:95" ht="16.5" thickBot="1" x14ac:dyDescent="0.3">
      <c r="A33" s="45"/>
      <c r="B33" s="167"/>
      <c r="C33" s="168"/>
      <c r="D33" s="168"/>
      <c r="E33" s="168"/>
      <c r="F33" s="168"/>
      <c r="G33" s="272"/>
      <c r="H33" s="173"/>
      <c r="I33" s="168"/>
      <c r="J33" s="168"/>
      <c r="K33" s="173"/>
      <c r="L33" s="168"/>
      <c r="M33" s="168"/>
      <c r="N33" s="173"/>
      <c r="O33" s="168"/>
      <c r="P33" s="168"/>
      <c r="Q33" s="173"/>
      <c r="R33" s="168"/>
      <c r="S33" s="168"/>
      <c r="T33" s="168"/>
      <c r="U33" s="168"/>
      <c r="V33" s="168"/>
      <c r="W33" s="168"/>
      <c r="X33" s="168"/>
      <c r="Y33" s="168"/>
      <c r="Z33" s="168"/>
      <c r="AA33" s="168"/>
      <c r="AB33" s="168"/>
      <c r="AC33" s="168"/>
      <c r="AD33" s="168"/>
      <c r="AE33" s="168"/>
      <c r="AF33" s="168"/>
      <c r="AG33" s="168"/>
      <c r="AH33" s="168"/>
      <c r="AI33" s="168"/>
      <c r="AJ33" s="168"/>
      <c r="AK33" s="168"/>
      <c r="AL33" s="168"/>
      <c r="AM33" s="168"/>
      <c r="AN33" s="168"/>
      <c r="AO33" s="168"/>
      <c r="AP33" s="168"/>
      <c r="AQ33" s="168"/>
      <c r="AR33" s="168"/>
      <c r="AS33" s="168"/>
      <c r="AT33" s="168"/>
      <c r="AU33" s="168"/>
      <c r="AV33" s="168"/>
      <c r="AW33" s="168"/>
      <c r="AX33" s="168"/>
      <c r="AY33" s="168"/>
      <c r="AZ33" s="168"/>
      <c r="BA33" s="168"/>
      <c r="BB33" s="168"/>
      <c r="BC33" s="168"/>
      <c r="BD33" s="168"/>
      <c r="BE33" s="168"/>
      <c r="BF33" s="168"/>
      <c r="BG33" s="168"/>
      <c r="BH33" s="168"/>
      <c r="BI33" s="168"/>
      <c r="BJ33" s="168"/>
      <c r="BK33" s="168"/>
      <c r="BL33" s="168"/>
      <c r="BM33" s="168"/>
      <c r="BN33" s="168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</row>
    <row r="34" spans="1:95" x14ac:dyDescent="0.25">
      <c r="A34" s="52" t="s">
        <v>7</v>
      </c>
      <c r="B34" s="166">
        <f>B30+1</f>
        <v>45894</v>
      </c>
      <c r="C34" s="235">
        <f>Boats!J148</f>
        <v>2.023167379162063</v>
      </c>
      <c r="D34" s="256">
        <v>0</v>
      </c>
      <c r="E34" s="255">
        <v>0</v>
      </c>
      <c r="F34" s="316">
        <v>0</v>
      </c>
      <c r="G34" s="271"/>
      <c r="H34" s="246">
        <f t="shared" ref="H34:H40" si="55">SUM(I34:J34)</f>
        <v>0</v>
      </c>
      <c r="I34" s="254"/>
      <c r="J34" s="255"/>
      <c r="K34" s="246">
        <f t="shared" ref="K34:K40" si="56">SUM(L34:M34)</f>
        <v>0</v>
      </c>
      <c r="L34" s="254"/>
      <c r="M34" s="255"/>
      <c r="N34" s="362">
        <f t="shared" ref="N34:N40" si="57">SUM(O34:P34)</f>
        <v>0</v>
      </c>
      <c r="O34" s="254"/>
      <c r="P34" s="256"/>
      <c r="Q34" s="362">
        <f t="shared" ref="Q34:Q40" si="58">SUM(R34:S34)</f>
        <v>0</v>
      </c>
      <c r="R34" s="254"/>
      <c r="S34" s="256"/>
      <c r="T34" s="257"/>
      <c r="U34" s="255"/>
      <c r="V34" s="254"/>
      <c r="W34" s="254"/>
      <c r="X34" s="258"/>
      <c r="Y34" s="255"/>
      <c r="Z34" s="257"/>
      <c r="AA34" s="255"/>
      <c r="AB34" s="255"/>
      <c r="AC34" s="258"/>
      <c r="AD34" s="257"/>
      <c r="AE34" s="256"/>
      <c r="AF34" s="254"/>
      <c r="AG34" s="256"/>
      <c r="AH34" s="255"/>
      <c r="AI34" s="255"/>
      <c r="AJ34" s="254"/>
      <c r="AK34" s="256"/>
      <c r="AL34" s="254"/>
      <c r="AM34" s="256"/>
      <c r="AN34" s="255"/>
      <c r="AO34" s="255"/>
      <c r="AP34" s="254"/>
      <c r="AQ34" s="256"/>
      <c r="AR34" s="255"/>
      <c r="AS34" s="255"/>
      <c r="AT34" s="255"/>
      <c r="AU34" s="258"/>
      <c r="AV34" s="168"/>
      <c r="AW34" s="257"/>
      <c r="AX34" s="255"/>
      <c r="AY34" s="255"/>
      <c r="AZ34" s="255"/>
      <c r="BA34" s="254"/>
      <c r="BB34" s="255"/>
      <c r="BC34" s="258"/>
      <c r="BD34" s="168"/>
      <c r="BE34" s="257"/>
      <c r="BF34" s="255"/>
      <c r="BG34" s="255"/>
      <c r="BH34" s="255"/>
      <c r="BI34" s="254"/>
      <c r="BJ34" s="255"/>
      <c r="BK34" s="258"/>
      <c r="BL34" s="168"/>
      <c r="BM34" s="257"/>
      <c r="BN34" s="255"/>
      <c r="BO34" s="255"/>
      <c r="BP34" s="255"/>
      <c r="BQ34" s="254"/>
      <c r="BR34" s="255"/>
      <c r="BS34" s="258"/>
      <c r="BT34" s="168"/>
      <c r="BU34" s="257"/>
      <c r="BV34" s="255"/>
      <c r="BW34" s="255"/>
      <c r="BX34" s="255"/>
      <c r="BY34" s="254"/>
      <c r="BZ34" s="255"/>
      <c r="CA34" s="258"/>
      <c r="CB34" s="168"/>
      <c r="CC34" s="257"/>
      <c r="CD34" s="255"/>
      <c r="CE34" s="255"/>
      <c r="CF34" s="255"/>
      <c r="CG34" s="254"/>
      <c r="CH34" s="255"/>
      <c r="CI34" s="258"/>
      <c r="CJ34" s="168"/>
      <c r="CK34" s="257"/>
      <c r="CL34" s="255"/>
      <c r="CM34" s="255"/>
      <c r="CN34" s="255"/>
      <c r="CO34" s="254"/>
      <c r="CP34" s="255"/>
      <c r="CQ34" s="258"/>
    </row>
    <row r="35" spans="1:95" x14ac:dyDescent="0.25">
      <c r="A35" s="132" t="s">
        <v>10</v>
      </c>
      <c r="B35" s="167">
        <f t="shared" ref="B35:B40" si="59">B34+1</f>
        <v>45895</v>
      </c>
      <c r="C35" s="173">
        <f>Boats!J155</f>
        <v>3.0728940079450631</v>
      </c>
      <c r="D35" s="259">
        <v>1</v>
      </c>
      <c r="E35" s="168">
        <v>2</v>
      </c>
      <c r="F35" s="317">
        <v>15.07</v>
      </c>
      <c r="G35" s="253"/>
      <c r="H35" s="247">
        <f t="shared" si="55"/>
        <v>0</v>
      </c>
      <c r="I35" s="260"/>
      <c r="J35" s="168"/>
      <c r="K35" s="247">
        <f t="shared" si="56"/>
        <v>0</v>
      </c>
      <c r="L35" s="260"/>
      <c r="M35" s="168"/>
      <c r="N35" s="311">
        <f t="shared" si="57"/>
        <v>0</v>
      </c>
      <c r="O35" s="260"/>
      <c r="P35" s="259"/>
      <c r="Q35" s="311">
        <f t="shared" si="58"/>
        <v>0</v>
      </c>
      <c r="R35" s="260"/>
      <c r="S35" s="259"/>
      <c r="T35" s="261"/>
      <c r="U35" s="168"/>
      <c r="V35" s="260"/>
      <c r="W35" s="260"/>
      <c r="X35" s="262"/>
      <c r="Y35" s="168"/>
      <c r="Z35" s="261"/>
      <c r="AA35" s="168"/>
      <c r="AB35" s="168"/>
      <c r="AC35" s="262"/>
      <c r="AD35" s="261"/>
      <c r="AE35" s="259"/>
      <c r="AF35" s="260"/>
      <c r="AG35" s="259"/>
      <c r="AH35" s="168"/>
      <c r="AI35" s="168"/>
      <c r="AJ35" s="260"/>
      <c r="AK35" s="259"/>
      <c r="AL35" s="260"/>
      <c r="AM35" s="259"/>
      <c r="AN35" s="168"/>
      <c r="AO35" s="168"/>
      <c r="AP35" s="260"/>
      <c r="AQ35" s="259"/>
      <c r="AR35" s="168"/>
      <c r="AS35" s="168"/>
      <c r="AT35" s="168"/>
      <c r="AU35" s="262"/>
      <c r="AV35" s="168"/>
      <c r="AW35" s="261"/>
      <c r="AX35" s="168"/>
      <c r="AY35" s="168"/>
      <c r="AZ35" s="168"/>
      <c r="BA35" s="260"/>
      <c r="BB35" s="168"/>
      <c r="BC35" s="262"/>
      <c r="BD35" s="168"/>
      <c r="BE35" s="261"/>
      <c r="BF35" s="168"/>
      <c r="BG35" s="168"/>
      <c r="BH35" s="168"/>
      <c r="BI35" s="260"/>
      <c r="BJ35" s="168"/>
      <c r="BK35" s="262"/>
      <c r="BL35" s="168"/>
      <c r="BM35" s="261"/>
      <c r="BN35" s="168"/>
      <c r="BO35" s="168"/>
      <c r="BP35" s="168"/>
      <c r="BQ35" s="260"/>
      <c r="BR35" s="168"/>
      <c r="BS35" s="262"/>
      <c r="BT35" s="168"/>
      <c r="BU35" s="261"/>
      <c r="BV35" s="168"/>
      <c r="BW35" s="168"/>
      <c r="BX35" s="168"/>
      <c r="BY35" s="260"/>
      <c r="BZ35" s="168"/>
      <c r="CA35" s="262"/>
      <c r="CB35" s="168"/>
      <c r="CC35" s="261"/>
      <c r="CD35" s="168"/>
      <c r="CE35" s="168"/>
      <c r="CF35" s="168"/>
      <c r="CG35" s="260"/>
      <c r="CH35" s="168"/>
      <c r="CI35" s="262"/>
      <c r="CJ35" s="168"/>
      <c r="CK35" s="261"/>
      <c r="CL35" s="168"/>
      <c r="CM35" s="168"/>
      <c r="CN35" s="168"/>
      <c r="CO35" s="260"/>
      <c r="CP35" s="168"/>
      <c r="CQ35" s="262"/>
    </row>
    <row r="36" spans="1:95" x14ac:dyDescent="0.25">
      <c r="A36" s="132" t="s">
        <v>11</v>
      </c>
      <c r="B36" s="167">
        <f t="shared" si="59"/>
        <v>45896</v>
      </c>
      <c r="C36" s="173">
        <f>Boats!J162</f>
        <v>2.4472044380752482</v>
      </c>
      <c r="D36" s="151">
        <v>1</v>
      </c>
      <c r="E36" s="168">
        <v>2</v>
      </c>
      <c r="F36" s="317">
        <v>9.1999999999999993</v>
      </c>
      <c r="G36" s="253"/>
      <c r="H36" s="247">
        <f t="shared" si="55"/>
        <v>0</v>
      </c>
      <c r="I36" s="260"/>
      <c r="J36" s="168"/>
      <c r="K36" s="247">
        <f t="shared" si="56"/>
        <v>0</v>
      </c>
      <c r="L36" s="260"/>
      <c r="M36" s="168"/>
      <c r="N36" s="311">
        <f t="shared" si="57"/>
        <v>0</v>
      </c>
      <c r="O36" s="260"/>
      <c r="P36" s="259"/>
      <c r="Q36" s="311">
        <f t="shared" si="58"/>
        <v>0</v>
      </c>
      <c r="R36" s="260"/>
      <c r="S36" s="259"/>
      <c r="T36" s="261"/>
      <c r="U36" s="168"/>
      <c r="V36" s="260"/>
      <c r="W36" s="260"/>
      <c r="X36" s="262"/>
      <c r="Y36" s="168"/>
      <c r="Z36" s="261"/>
      <c r="AA36" s="168"/>
      <c r="AB36" s="168"/>
      <c r="AC36" s="262"/>
      <c r="AD36" s="261"/>
      <c r="AE36" s="259"/>
      <c r="AF36" s="260"/>
      <c r="AG36" s="259"/>
      <c r="AH36" s="168"/>
      <c r="AI36" s="168"/>
      <c r="AJ36" s="260"/>
      <c r="AK36" s="259"/>
      <c r="AL36" s="260"/>
      <c r="AM36" s="259"/>
      <c r="AN36" s="168"/>
      <c r="AO36" s="168"/>
      <c r="AP36" s="260"/>
      <c r="AQ36" s="259"/>
      <c r="AR36" s="168"/>
      <c r="AS36" s="168"/>
      <c r="AT36" s="168"/>
      <c r="AU36" s="262"/>
      <c r="AV36" s="168"/>
      <c r="AW36" s="261"/>
      <c r="AX36" s="168"/>
      <c r="AY36" s="168"/>
      <c r="AZ36" s="168"/>
      <c r="BA36" s="260"/>
      <c r="BB36" s="168"/>
      <c r="BC36" s="262"/>
      <c r="BD36" s="168"/>
      <c r="BE36" s="261"/>
      <c r="BF36" s="168"/>
      <c r="BG36" s="168"/>
      <c r="BH36" s="168"/>
      <c r="BI36" s="260"/>
      <c r="BJ36" s="168"/>
      <c r="BK36" s="262"/>
      <c r="BL36" s="168"/>
      <c r="BM36" s="261"/>
      <c r="BN36" s="168"/>
      <c r="BO36" s="168"/>
      <c r="BP36" s="168"/>
      <c r="BQ36" s="260"/>
      <c r="BR36" s="168"/>
      <c r="BS36" s="262"/>
      <c r="BT36" s="168"/>
      <c r="BU36" s="261"/>
      <c r="BV36" s="168"/>
      <c r="BW36" s="168"/>
      <c r="BX36" s="168"/>
      <c r="BY36" s="260"/>
      <c r="BZ36" s="168"/>
      <c r="CA36" s="262"/>
      <c r="CB36" s="168"/>
      <c r="CC36" s="261"/>
      <c r="CD36" s="168"/>
      <c r="CE36" s="168"/>
      <c r="CF36" s="168"/>
      <c r="CG36" s="260"/>
      <c r="CH36" s="168"/>
      <c r="CI36" s="262"/>
      <c r="CJ36" s="168"/>
      <c r="CK36" s="261"/>
      <c r="CL36" s="168"/>
      <c r="CM36" s="168"/>
      <c r="CN36" s="168"/>
      <c r="CO36" s="260"/>
      <c r="CP36" s="168"/>
      <c r="CQ36" s="262"/>
    </row>
    <row r="37" spans="1:95" x14ac:dyDescent="0.25">
      <c r="A37" s="132" t="s">
        <v>12</v>
      </c>
      <c r="B37" s="167">
        <f t="shared" si="59"/>
        <v>45897</v>
      </c>
      <c r="C37" s="173">
        <f>Boats!J169</f>
        <v>12.098011462984315</v>
      </c>
      <c r="D37" s="259">
        <v>3</v>
      </c>
      <c r="E37" s="168">
        <v>5</v>
      </c>
      <c r="F37" s="317">
        <v>33.630000000000003</v>
      </c>
      <c r="G37" s="253"/>
      <c r="H37" s="247">
        <f t="shared" si="55"/>
        <v>1</v>
      </c>
      <c r="I37" s="260"/>
      <c r="J37" s="168">
        <v>1</v>
      </c>
      <c r="K37" s="247">
        <f t="shared" si="56"/>
        <v>0</v>
      </c>
      <c r="L37" s="260"/>
      <c r="M37" s="168"/>
      <c r="N37" s="311">
        <f t="shared" si="57"/>
        <v>0</v>
      </c>
      <c r="O37" s="260"/>
      <c r="P37" s="259"/>
      <c r="Q37" s="311">
        <f t="shared" si="58"/>
        <v>0</v>
      </c>
      <c r="R37" s="260"/>
      <c r="S37" s="259"/>
      <c r="T37" s="261"/>
      <c r="U37" s="168"/>
      <c r="V37" s="260"/>
      <c r="W37" s="260"/>
      <c r="X37" s="262"/>
      <c r="Y37" s="168"/>
      <c r="Z37" s="261"/>
      <c r="AA37" s="168"/>
      <c r="AB37" s="168"/>
      <c r="AC37" s="262"/>
      <c r="AD37" s="261"/>
      <c r="AE37" s="259"/>
      <c r="AF37" s="260"/>
      <c r="AG37" s="259"/>
      <c r="AH37" s="168"/>
      <c r="AI37" s="168"/>
      <c r="AJ37" s="260"/>
      <c r="AK37" s="259"/>
      <c r="AL37" s="260"/>
      <c r="AM37" s="259"/>
      <c r="AN37" s="168"/>
      <c r="AO37" s="168"/>
      <c r="AP37" s="260"/>
      <c r="AQ37" s="259"/>
      <c r="AR37" s="168"/>
      <c r="AS37" s="168"/>
      <c r="AT37" s="168"/>
      <c r="AU37" s="262"/>
      <c r="AV37" s="168"/>
      <c r="AW37" s="261"/>
      <c r="AX37" s="168"/>
      <c r="AY37" s="168"/>
      <c r="AZ37" s="168"/>
      <c r="BA37" s="260"/>
      <c r="BB37" s="168"/>
      <c r="BC37" s="262"/>
      <c r="BD37" s="168"/>
      <c r="BE37" s="261"/>
      <c r="BF37" s="168"/>
      <c r="BG37" s="168"/>
      <c r="BH37" s="168"/>
      <c r="BI37" s="260"/>
      <c r="BJ37" s="168"/>
      <c r="BK37" s="262"/>
      <c r="BL37" s="168"/>
      <c r="BM37" s="261"/>
      <c r="BN37" s="168"/>
      <c r="BO37" s="168"/>
      <c r="BP37" s="168"/>
      <c r="BQ37" s="260"/>
      <c r="BR37" s="168"/>
      <c r="BS37" s="262"/>
      <c r="BT37" s="168"/>
      <c r="BU37" s="261"/>
      <c r="BV37" s="168"/>
      <c r="BW37" s="168"/>
      <c r="BX37" s="168"/>
      <c r="BY37" s="260"/>
      <c r="BZ37" s="168"/>
      <c r="CA37" s="262"/>
      <c r="CB37" s="168"/>
      <c r="CC37" s="261"/>
      <c r="CD37" s="168"/>
      <c r="CE37" s="168"/>
      <c r="CF37" s="168"/>
      <c r="CG37" s="260"/>
      <c r="CH37" s="168"/>
      <c r="CI37" s="262"/>
      <c r="CJ37" s="168"/>
      <c r="CK37" s="261"/>
      <c r="CL37" s="168"/>
      <c r="CM37" s="168"/>
      <c r="CN37" s="168"/>
      <c r="CO37" s="260"/>
      <c r="CP37" s="168"/>
      <c r="CQ37" s="262"/>
    </row>
    <row r="38" spans="1:95" x14ac:dyDescent="0.25">
      <c r="A38" s="132" t="s">
        <v>13</v>
      </c>
      <c r="B38" s="167">
        <f t="shared" si="59"/>
        <v>45898</v>
      </c>
      <c r="C38" s="173">
        <f>Boats!J176</f>
        <v>16.224786299905627</v>
      </c>
      <c r="D38" s="259">
        <v>11</v>
      </c>
      <c r="E38" s="168">
        <v>19</v>
      </c>
      <c r="F38" s="317">
        <v>110.43</v>
      </c>
      <c r="G38" s="253"/>
      <c r="H38" s="247">
        <f t="shared" si="55"/>
        <v>0</v>
      </c>
      <c r="I38" s="260"/>
      <c r="J38" s="168"/>
      <c r="K38" s="247">
        <f t="shared" si="56"/>
        <v>0</v>
      </c>
      <c r="L38" s="260"/>
      <c r="M38" s="168"/>
      <c r="N38" s="311">
        <f t="shared" si="57"/>
        <v>0</v>
      </c>
      <c r="O38" s="260"/>
      <c r="P38" s="259"/>
      <c r="Q38" s="311">
        <f t="shared" si="58"/>
        <v>0</v>
      </c>
      <c r="R38" s="260"/>
      <c r="S38" s="259"/>
      <c r="T38" s="261"/>
      <c r="U38" s="168"/>
      <c r="V38" s="260"/>
      <c r="W38" s="260"/>
      <c r="X38" s="262"/>
      <c r="Y38" s="168"/>
      <c r="Z38" s="261"/>
      <c r="AA38" s="168"/>
      <c r="AB38" s="168"/>
      <c r="AC38" s="262"/>
      <c r="AD38" s="261">
        <v>3</v>
      </c>
      <c r="AE38" s="259"/>
      <c r="AF38" s="260">
        <v>6</v>
      </c>
      <c r="AG38" s="259"/>
      <c r="AH38" s="168"/>
      <c r="AI38" s="168"/>
      <c r="AJ38" s="260"/>
      <c r="AK38" s="259"/>
      <c r="AL38" s="260"/>
      <c r="AM38" s="259"/>
      <c r="AN38" s="168"/>
      <c r="AO38" s="168"/>
      <c r="AP38" s="260"/>
      <c r="AQ38" s="259"/>
      <c r="AR38" s="168"/>
      <c r="AS38" s="168"/>
      <c r="AT38" s="168"/>
      <c r="AU38" s="262"/>
      <c r="AV38" s="168"/>
      <c r="AW38" s="261"/>
      <c r="AX38" s="168"/>
      <c r="AY38" s="168"/>
      <c r="AZ38" s="168"/>
      <c r="BA38" s="260"/>
      <c r="BB38" s="168"/>
      <c r="BC38" s="262"/>
      <c r="BD38" s="168"/>
      <c r="BE38" s="261"/>
      <c r="BF38" s="168"/>
      <c r="BG38" s="168"/>
      <c r="BH38" s="168"/>
      <c r="BI38" s="260"/>
      <c r="BJ38" s="168"/>
      <c r="BK38" s="262"/>
      <c r="BL38" s="168"/>
      <c r="BM38" s="261"/>
      <c r="BN38" s="168"/>
      <c r="BO38" s="168"/>
      <c r="BP38" s="168"/>
      <c r="BQ38" s="260"/>
      <c r="BR38" s="168"/>
      <c r="BS38" s="262"/>
      <c r="BT38" s="168"/>
      <c r="BU38" s="261"/>
      <c r="BV38" s="168"/>
      <c r="BW38" s="168"/>
      <c r="BX38" s="168"/>
      <c r="BY38" s="260"/>
      <c r="BZ38" s="168"/>
      <c r="CA38" s="262"/>
      <c r="CB38" s="168"/>
      <c r="CC38" s="261"/>
      <c r="CD38" s="168"/>
      <c r="CE38" s="168"/>
      <c r="CF38" s="168"/>
      <c r="CG38" s="260"/>
      <c r="CH38" s="168"/>
      <c r="CI38" s="262"/>
      <c r="CJ38" s="168"/>
      <c r="CK38" s="261"/>
      <c r="CL38" s="168"/>
      <c r="CM38" s="168"/>
      <c r="CN38" s="168"/>
      <c r="CO38" s="260"/>
      <c r="CP38" s="168"/>
      <c r="CQ38" s="262"/>
    </row>
    <row r="39" spans="1:95" x14ac:dyDescent="0.25">
      <c r="A39" s="132" t="s">
        <v>14</v>
      </c>
      <c r="B39" s="167">
        <f t="shared" si="59"/>
        <v>45899</v>
      </c>
      <c r="C39" s="173">
        <f>Boats!J183</f>
        <v>33.182445318009421</v>
      </c>
      <c r="D39" s="259">
        <v>10</v>
      </c>
      <c r="E39" s="168">
        <v>25</v>
      </c>
      <c r="F39" s="317">
        <v>178.27</v>
      </c>
      <c r="G39" s="260"/>
      <c r="H39" s="247">
        <f t="shared" si="55"/>
        <v>3</v>
      </c>
      <c r="I39" s="260">
        <v>3</v>
      </c>
      <c r="J39" s="168"/>
      <c r="K39" s="247">
        <f t="shared" si="56"/>
        <v>0</v>
      </c>
      <c r="L39" s="260"/>
      <c r="M39" s="168"/>
      <c r="N39" s="311">
        <f t="shared" si="57"/>
        <v>0</v>
      </c>
      <c r="O39" s="260"/>
      <c r="P39" s="259"/>
      <c r="Q39" s="311">
        <f t="shared" si="58"/>
        <v>0</v>
      </c>
      <c r="R39" s="260"/>
      <c r="S39" s="259"/>
      <c r="T39" s="261"/>
      <c r="U39" s="168"/>
      <c r="V39" s="260"/>
      <c r="W39" s="260"/>
      <c r="X39" s="262"/>
      <c r="Y39" s="168"/>
      <c r="Z39" s="261"/>
      <c r="AA39" s="168"/>
      <c r="AB39" s="168"/>
      <c r="AC39" s="262"/>
      <c r="AD39" s="261"/>
      <c r="AE39" s="259"/>
      <c r="AF39" s="260"/>
      <c r="AG39" s="259"/>
      <c r="AH39" s="168"/>
      <c r="AI39" s="168"/>
      <c r="AJ39" s="260"/>
      <c r="AK39" s="259"/>
      <c r="AL39" s="260"/>
      <c r="AM39" s="259"/>
      <c r="AN39" s="168"/>
      <c r="AO39" s="168"/>
      <c r="AP39" s="260"/>
      <c r="AQ39" s="259"/>
      <c r="AR39" s="168"/>
      <c r="AS39" s="168"/>
      <c r="AT39" s="168"/>
      <c r="AU39" s="262"/>
      <c r="AV39" s="168"/>
      <c r="AW39" s="261"/>
      <c r="AX39" s="168"/>
      <c r="AY39" s="168"/>
      <c r="AZ39" s="168"/>
      <c r="BA39" s="260"/>
      <c r="BB39" s="168"/>
      <c r="BC39" s="262"/>
      <c r="BD39" s="168"/>
      <c r="BE39" s="261"/>
      <c r="BF39" s="168"/>
      <c r="BG39" s="168"/>
      <c r="BH39" s="168"/>
      <c r="BI39" s="260"/>
      <c r="BJ39" s="168"/>
      <c r="BK39" s="262"/>
      <c r="BL39" s="168"/>
      <c r="BM39" s="261"/>
      <c r="BN39" s="168"/>
      <c r="BO39" s="168"/>
      <c r="BP39" s="168"/>
      <c r="BQ39" s="260"/>
      <c r="BR39" s="168"/>
      <c r="BS39" s="262"/>
      <c r="BT39" s="168"/>
      <c r="BU39" s="261"/>
      <c r="BV39" s="168"/>
      <c r="BW39" s="168"/>
      <c r="BX39" s="168"/>
      <c r="BY39" s="260"/>
      <c r="BZ39" s="168"/>
      <c r="CA39" s="262"/>
      <c r="CB39" s="168"/>
      <c r="CC39" s="261"/>
      <c r="CD39" s="168"/>
      <c r="CE39" s="168"/>
      <c r="CF39" s="168"/>
      <c r="CG39" s="260"/>
      <c r="CH39" s="168"/>
      <c r="CI39" s="262"/>
      <c r="CJ39" s="168"/>
      <c r="CK39" s="261"/>
      <c r="CL39" s="168"/>
      <c r="CM39" s="168"/>
      <c r="CN39" s="168"/>
      <c r="CO39" s="260"/>
      <c r="CP39" s="168"/>
      <c r="CQ39" s="262"/>
    </row>
    <row r="40" spans="1:95" ht="16.5" thickBot="1" x14ac:dyDescent="0.3">
      <c r="A40" s="170" t="s">
        <v>15</v>
      </c>
      <c r="B40" s="171">
        <f t="shared" si="59"/>
        <v>45900</v>
      </c>
      <c r="C40" s="236">
        <f>Boats!J190</f>
        <v>32.032917329342133</v>
      </c>
      <c r="D40" s="263">
        <v>8</v>
      </c>
      <c r="E40" s="238">
        <v>16</v>
      </c>
      <c r="F40" s="318">
        <v>78.48</v>
      </c>
      <c r="G40" s="237"/>
      <c r="H40" s="248">
        <f t="shared" si="55"/>
        <v>4</v>
      </c>
      <c r="I40" s="237">
        <v>4</v>
      </c>
      <c r="J40" s="238"/>
      <c r="K40" s="248">
        <f t="shared" si="56"/>
        <v>0</v>
      </c>
      <c r="L40" s="237"/>
      <c r="M40" s="238"/>
      <c r="N40" s="248">
        <f t="shared" si="57"/>
        <v>0</v>
      </c>
      <c r="O40" s="237"/>
      <c r="P40" s="263"/>
      <c r="Q40" s="248">
        <f t="shared" si="58"/>
        <v>0</v>
      </c>
      <c r="R40" s="237"/>
      <c r="S40" s="263"/>
      <c r="T40" s="264"/>
      <c r="U40" s="238"/>
      <c r="V40" s="237"/>
      <c r="W40" s="237"/>
      <c r="X40" s="265"/>
      <c r="Y40" s="168"/>
      <c r="Z40" s="264"/>
      <c r="AA40" s="238"/>
      <c r="AB40" s="238"/>
      <c r="AC40" s="265"/>
      <c r="AD40" s="264">
        <v>1</v>
      </c>
      <c r="AE40" s="263"/>
      <c r="AF40" s="237"/>
      <c r="AG40" s="263"/>
      <c r="AH40" s="238"/>
      <c r="AI40" s="238"/>
      <c r="AJ40" s="237"/>
      <c r="AK40" s="263"/>
      <c r="AL40" s="237"/>
      <c r="AM40" s="263"/>
      <c r="AN40" s="238"/>
      <c r="AO40" s="238"/>
      <c r="AP40" s="237"/>
      <c r="AQ40" s="263"/>
      <c r="AR40" s="238"/>
      <c r="AS40" s="238"/>
      <c r="AT40" s="238"/>
      <c r="AU40" s="265"/>
      <c r="AV40" s="168"/>
      <c r="AW40" s="264"/>
      <c r="AX40" s="238"/>
      <c r="AY40" s="238"/>
      <c r="AZ40" s="238"/>
      <c r="BA40" s="237"/>
      <c r="BB40" s="238"/>
      <c r="BC40" s="265"/>
      <c r="BD40" s="168"/>
      <c r="BE40" s="264"/>
      <c r="BF40" s="238"/>
      <c r="BG40" s="238"/>
      <c r="BH40" s="238"/>
      <c r="BI40" s="237"/>
      <c r="BJ40" s="238"/>
      <c r="BK40" s="265"/>
      <c r="BL40" s="168"/>
      <c r="BM40" s="264"/>
      <c r="BN40" s="238"/>
      <c r="BO40" s="238"/>
      <c r="BP40" s="238"/>
      <c r="BQ40" s="237"/>
      <c r="BR40" s="238"/>
      <c r="BS40" s="265"/>
      <c r="BT40" s="168"/>
      <c r="BU40" s="264"/>
      <c r="BV40" s="238"/>
      <c r="BW40" s="238"/>
      <c r="BX40" s="238"/>
      <c r="BY40" s="237"/>
      <c r="BZ40" s="238"/>
      <c r="CA40" s="265"/>
      <c r="CB40" s="168"/>
      <c r="CC40" s="264"/>
      <c r="CD40" s="238"/>
      <c r="CE40" s="238"/>
      <c r="CF40" s="238"/>
      <c r="CG40" s="237"/>
      <c r="CH40" s="238"/>
      <c r="CI40" s="265"/>
      <c r="CJ40" s="168"/>
      <c r="CK40" s="264"/>
      <c r="CL40" s="238"/>
      <c r="CM40" s="238"/>
      <c r="CN40" s="238"/>
      <c r="CO40" s="237"/>
      <c r="CP40" s="238"/>
      <c r="CQ40" s="265"/>
    </row>
    <row r="41" spans="1:95" ht="16.5" thickTop="1" x14ac:dyDescent="0.25">
      <c r="A41" s="298" t="s">
        <v>106</v>
      </c>
      <c r="B41" s="274"/>
      <c r="C41" s="293"/>
      <c r="D41" s="294"/>
      <c r="E41" s="315"/>
      <c r="F41" s="315"/>
      <c r="G41" s="295"/>
      <c r="H41" s="296">
        <f t="shared" ref="H41:X41" si="60">SUM(H34:H40)</f>
        <v>8</v>
      </c>
      <c r="I41" s="284">
        <f t="shared" si="60"/>
        <v>7</v>
      </c>
      <c r="J41" s="283">
        <f t="shared" si="60"/>
        <v>1</v>
      </c>
      <c r="K41" s="296">
        <f t="shared" si="60"/>
        <v>0</v>
      </c>
      <c r="L41" s="284">
        <f t="shared" si="60"/>
        <v>0</v>
      </c>
      <c r="M41" s="283">
        <f t="shared" si="60"/>
        <v>0</v>
      </c>
      <c r="N41" s="296">
        <f t="shared" si="60"/>
        <v>0</v>
      </c>
      <c r="O41" s="284">
        <f t="shared" si="60"/>
        <v>0</v>
      </c>
      <c r="P41" s="297">
        <f t="shared" si="60"/>
        <v>0</v>
      </c>
      <c r="Q41" s="296">
        <f t="shared" ref="Q41:S41" si="61">SUM(Q34:Q40)</f>
        <v>0</v>
      </c>
      <c r="R41" s="284">
        <f t="shared" si="61"/>
        <v>0</v>
      </c>
      <c r="S41" s="297">
        <f t="shared" si="61"/>
        <v>0</v>
      </c>
      <c r="T41" s="282">
        <f t="shared" si="60"/>
        <v>0</v>
      </c>
      <c r="U41" s="283">
        <f t="shared" si="60"/>
        <v>0</v>
      </c>
      <c r="V41" s="284">
        <f t="shared" si="60"/>
        <v>0</v>
      </c>
      <c r="W41" s="284">
        <f t="shared" si="60"/>
        <v>0</v>
      </c>
      <c r="X41" s="285">
        <f t="shared" si="60"/>
        <v>0</v>
      </c>
      <c r="Y41" s="173"/>
      <c r="Z41" s="282">
        <f>SUM(Z34:Z40)</f>
        <v>0</v>
      </c>
      <c r="AA41" s="283">
        <f>SUM(AA34:AA40)</f>
        <v>0</v>
      </c>
      <c r="AB41" s="283">
        <f>SUM(AB34:AB40)</f>
        <v>0</v>
      </c>
      <c r="AC41" s="285">
        <f>SUM(AC34:AC40)</f>
        <v>0</v>
      </c>
      <c r="AD41" s="282">
        <f t="shared" ref="AD41:AU41" si="62">SUM(AD34:AD40)</f>
        <v>4</v>
      </c>
      <c r="AE41" s="297">
        <f t="shared" si="62"/>
        <v>0</v>
      </c>
      <c r="AF41" s="284">
        <f t="shared" si="62"/>
        <v>6</v>
      </c>
      <c r="AG41" s="297">
        <f t="shared" si="62"/>
        <v>0</v>
      </c>
      <c r="AH41" s="283">
        <f t="shared" si="62"/>
        <v>0</v>
      </c>
      <c r="AI41" s="283">
        <f t="shared" si="62"/>
        <v>0</v>
      </c>
      <c r="AJ41" s="284">
        <f t="shared" si="62"/>
        <v>0</v>
      </c>
      <c r="AK41" s="297">
        <f t="shared" si="62"/>
        <v>0</v>
      </c>
      <c r="AL41" s="284">
        <f t="shared" si="62"/>
        <v>0</v>
      </c>
      <c r="AM41" s="297">
        <f t="shared" si="62"/>
        <v>0</v>
      </c>
      <c r="AN41" s="276">
        <f t="shared" si="62"/>
        <v>0</v>
      </c>
      <c r="AO41" s="275">
        <f t="shared" si="62"/>
        <v>0</v>
      </c>
      <c r="AP41" s="276">
        <f t="shared" si="62"/>
        <v>0</v>
      </c>
      <c r="AQ41" s="275">
        <f t="shared" si="62"/>
        <v>0</v>
      </c>
      <c r="AR41" s="278">
        <f t="shared" si="62"/>
        <v>0</v>
      </c>
      <c r="AS41" s="277">
        <f t="shared" si="62"/>
        <v>0</v>
      </c>
      <c r="AT41" s="283">
        <f t="shared" si="62"/>
        <v>0</v>
      </c>
      <c r="AU41" s="285">
        <f t="shared" si="62"/>
        <v>0</v>
      </c>
      <c r="AV41" s="173"/>
      <c r="AW41" s="282">
        <f t="shared" ref="AW41:BC41" si="63">SUM(AW34:AW40)</f>
        <v>0</v>
      </c>
      <c r="AX41" s="283">
        <f t="shared" si="63"/>
        <v>0</v>
      </c>
      <c r="AY41" s="283">
        <f t="shared" si="63"/>
        <v>0</v>
      </c>
      <c r="AZ41" s="283">
        <f t="shared" si="63"/>
        <v>0</v>
      </c>
      <c r="BA41" s="284">
        <f t="shared" si="63"/>
        <v>0</v>
      </c>
      <c r="BB41" s="283">
        <f t="shared" si="63"/>
        <v>0</v>
      </c>
      <c r="BC41" s="285">
        <f t="shared" si="63"/>
        <v>0</v>
      </c>
      <c r="BD41" s="173"/>
      <c r="BE41" s="282">
        <f t="shared" ref="BE41:BK41" si="64">SUM(BE34:BE40)</f>
        <v>0</v>
      </c>
      <c r="BF41" s="283">
        <f t="shared" si="64"/>
        <v>0</v>
      </c>
      <c r="BG41" s="283">
        <f t="shared" si="64"/>
        <v>0</v>
      </c>
      <c r="BH41" s="283">
        <f t="shared" si="64"/>
        <v>0</v>
      </c>
      <c r="BI41" s="284">
        <f t="shared" si="64"/>
        <v>0</v>
      </c>
      <c r="BJ41" s="283">
        <f t="shared" si="64"/>
        <v>0</v>
      </c>
      <c r="BK41" s="285">
        <f t="shared" si="64"/>
        <v>0</v>
      </c>
      <c r="BL41" s="173"/>
      <c r="BM41" s="282">
        <f t="shared" ref="BM41:BS41" si="65">SUM(BM34:BM40)</f>
        <v>0</v>
      </c>
      <c r="BN41" s="283">
        <f t="shared" si="65"/>
        <v>0</v>
      </c>
      <c r="BO41" s="283">
        <f t="shared" si="65"/>
        <v>0</v>
      </c>
      <c r="BP41" s="283">
        <f t="shared" si="65"/>
        <v>0</v>
      </c>
      <c r="BQ41" s="284">
        <f t="shared" si="65"/>
        <v>0</v>
      </c>
      <c r="BR41" s="283">
        <f t="shared" si="65"/>
        <v>0</v>
      </c>
      <c r="BS41" s="285">
        <f t="shared" si="65"/>
        <v>0</v>
      </c>
      <c r="BT41" s="173"/>
      <c r="BU41" s="282">
        <f t="shared" ref="BU41:CA41" si="66">SUM(BU34:BU40)</f>
        <v>0</v>
      </c>
      <c r="BV41" s="283">
        <f t="shared" si="66"/>
        <v>0</v>
      </c>
      <c r="BW41" s="283">
        <f t="shared" si="66"/>
        <v>0</v>
      </c>
      <c r="BX41" s="283">
        <f t="shared" si="66"/>
        <v>0</v>
      </c>
      <c r="BY41" s="284">
        <f t="shared" si="66"/>
        <v>0</v>
      </c>
      <c r="BZ41" s="283">
        <f t="shared" si="66"/>
        <v>0</v>
      </c>
      <c r="CA41" s="285">
        <f t="shared" si="66"/>
        <v>0</v>
      </c>
      <c r="CB41" s="173"/>
      <c r="CC41" s="282">
        <f t="shared" ref="CC41:CI41" si="67">SUM(CC34:CC40)</f>
        <v>0</v>
      </c>
      <c r="CD41" s="283">
        <f t="shared" si="67"/>
        <v>0</v>
      </c>
      <c r="CE41" s="283">
        <f t="shared" si="67"/>
        <v>0</v>
      </c>
      <c r="CF41" s="283">
        <f t="shared" si="67"/>
        <v>0</v>
      </c>
      <c r="CG41" s="284">
        <f t="shared" si="67"/>
        <v>0</v>
      </c>
      <c r="CH41" s="283">
        <f t="shared" si="67"/>
        <v>0</v>
      </c>
      <c r="CI41" s="285">
        <f t="shared" si="67"/>
        <v>0</v>
      </c>
      <c r="CJ41" s="173"/>
      <c r="CK41" s="282">
        <f t="shared" ref="CK41:CQ41" si="68">SUM(CK34:CK40)</f>
        <v>0</v>
      </c>
      <c r="CL41" s="283">
        <f t="shared" si="68"/>
        <v>0</v>
      </c>
      <c r="CM41" s="283">
        <f t="shared" si="68"/>
        <v>0</v>
      </c>
      <c r="CN41" s="283">
        <f t="shared" si="68"/>
        <v>0</v>
      </c>
      <c r="CO41" s="284">
        <f t="shared" si="68"/>
        <v>0</v>
      </c>
      <c r="CP41" s="283">
        <f t="shared" si="68"/>
        <v>0</v>
      </c>
      <c r="CQ41" s="285">
        <f t="shared" si="68"/>
        <v>0</v>
      </c>
    </row>
    <row r="42" spans="1:95" ht="16.5" thickBot="1" x14ac:dyDescent="0.3">
      <c r="A42" s="299" t="s">
        <v>105</v>
      </c>
      <c r="B42" s="273"/>
      <c r="C42" s="306">
        <f>SUM(C34:C40)</f>
        <v>101.08142623542386</v>
      </c>
      <c r="D42" s="307">
        <f>SUM(D34:D40)</f>
        <v>34</v>
      </c>
      <c r="E42" s="266">
        <f>SUM(E34:E40)</f>
        <v>69</v>
      </c>
      <c r="F42" s="267">
        <f>SUM(F34:F40)</f>
        <v>425.08000000000004</v>
      </c>
      <c r="G42" s="268">
        <f>D42/C42</f>
        <v>0.33636248781069078</v>
      </c>
      <c r="H42" s="279">
        <f t="shared" ref="H42:X42" si="69">H41/$G42</f>
        <v>23.783864996570323</v>
      </c>
      <c r="I42" s="241">
        <f t="shared" si="69"/>
        <v>20.810881871999033</v>
      </c>
      <c r="J42" s="239">
        <f t="shared" si="69"/>
        <v>2.9729831245712903</v>
      </c>
      <c r="K42" s="279">
        <f t="shared" si="69"/>
        <v>0</v>
      </c>
      <c r="L42" s="241">
        <f t="shared" si="69"/>
        <v>0</v>
      </c>
      <c r="M42" s="239">
        <f t="shared" si="69"/>
        <v>0</v>
      </c>
      <c r="N42" s="279">
        <f t="shared" si="69"/>
        <v>0</v>
      </c>
      <c r="O42" s="241">
        <f t="shared" si="69"/>
        <v>0</v>
      </c>
      <c r="P42" s="240">
        <f t="shared" si="69"/>
        <v>0</v>
      </c>
      <c r="Q42" s="279">
        <f t="shared" ref="Q42:S42" si="70">Q41/$G42</f>
        <v>0</v>
      </c>
      <c r="R42" s="241">
        <f t="shared" si="70"/>
        <v>0</v>
      </c>
      <c r="S42" s="240">
        <f t="shared" si="70"/>
        <v>0</v>
      </c>
      <c r="T42" s="269">
        <f t="shared" si="69"/>
        <v>0</v>
      </c>
      <c r="U42" s="239">
        <f t="shared" si="69"/>
        <v>0</v>
      </c>
      <c r="V42" s="241">
        <f t="shared" si="69"/>
        <v>0</v>
      </c>
      <c r="W42" s="241">
        <f t="shared" si="69"/>
        <v>0</v>
      </c>
      <c r="X42" s="270">
        <f t="shared" si="69"/>
        <v>0</v>
      </c>
      <c r="Y42" s="173"/>
      <c r="Z42" s="289">
        <f>Z41/$G42</f>
        <v>0</v>
      </c>
      <c r="AA42" s="290">
        <f t="shared" ref="AA42:AC42" si="71">AA41/$G42</f>
        <v>0</v>
      </c>
      <c r="AB42" s="290">
        <f t="shared" si="71"/>
        <v>0</v>
      </c>
      <c r="AC42" s="292">
        <f t="shared" si="71"/>
        <v>0</v>
      </c>
      <c r="AD42" s="289">
        <f t="shared" ref="AD42:AU42" si="72">AD41/$G42</f>
        <v>11.891932498285161</v>
      </c>
      <c r="AE42" s="324">
        <f t="shared" si="72"/>
        <v>0</v>
      </c>
      <c r="AF42" s="291">
        <f t="shared" si="72"/>
        <v>17.83789874742774</v>
      </c>
      <c r="AG42" s="324">
        <f t="shared" si="72"/>
        <v>0</v>
      </c>
      <c r="AH42" s="290">
        <f t="shared" si="72"/>
        <v>0</v>
      </c>
      <c r="AI42" s="290">
        <f t="shared" si="72"/>
        <v>0</v>
      </c>
      <c r="AJ42" s="291">
        <f t="shared" si="72"/>
        <v>0</v>
      </c>
      <c r="AK42" s="324">
        <f t="shared" si="72"/>
        <v>0</v>
      </c>
      <c r="AL42" s="291">
        <f t="shared" si="72"/>
        <v>0</v>
      </c>
      <c r="AM42" s="324">
        <f t="shared" si="72"/>
        <v>0</v>
      </c>
      <c r="AN42" s="325">
        <f t="shared" si="72"/>
        <v>0</v>
      </c>
      <c r="AO42" s="326">
        <f t="shared" si="72"/>
        <v>0</v>
      </c>
      <c r="AP42" s="325">
        <f t="shared" si="72"/>
        <v>0</v>
      </c>
      <c r="AQ42" s="326">
        <f t="shared" si="72"/>
        <v>0</v>
      </c>
      <c r="AR42" s="287">
        <f t="shared" si="72"/>
        <v>0</v>
      </c>
      <c r="AS42" s="286">
        <f t="shared" si="72"/>
        <v>0</v>
      </c>
      <c r="AT42" s="290">
        <f t="shared" si="72"/>
        <v>0</v>
      </c>
      <c r="AU42" s="292">
        <f t="shared" si="72"/>
        <v>0</v>
      </c>
      <c r="AV42" s="288"/>
      <c r="AW42" s="289">
        <f t="shared" ref="AW42:BC42" si="73">AW41/$G42</f>
        <v>0</v>
      </c>
      <c r="AX42" s="290">
        <f t="shared" si="73"/>
        <v>0</v>
      </c>
      <c r="AY42" s="290">
        <f t="shared" si="73"/>
        <v>0</v>
      </c>
      <c r="AZ42" s="290">
        <f t="shared" si="73"/>
        <v>0</v>
      </c>
      <c r="BA42" s="291">
        <f t="shared" si="73"/>
        <v>0</v>
      </c>
      <c r="BB42" s="290">
        <f t="shared" si="73"/>
        <v>0</v>
      </c>
      <c r="BC42" s="292">
        <f t="shared" si="73"/>
        <v>0</v>
      </c>
      <c r="BD42" s="288"/>
      <c r="BE42" s="289">
        <f t="shared" ref="BE42:BK42" si="74">BE41/$G42</f>
        <v>0</v>
      </c>
      <c r="BF42" s="290">
        <f t="shared" si="74"/>
        <v>0</v>
      </c>
      <c r="BG42" s="290">
        <f t="shared" si="74"/>
        <v>0</v>
      </c>
      <c r="BH42" s="290">
        <f t="shared" si="74"/>
        <v>0</v>
      </c>
      <c r="BI42" s="291">
        <f t="shared" si="74"/>
        <v>0</v>
      </c>
      <c r="BJ42" s="290">
        <f t="shared" si="74"/>
        <v>0</v>
      </c>
      <c r="BK42" s="292">
        <f t="shared" si="74"/>
        <v>0</v>
      </c>
      <c r="BL42" s="288"/>
      <c r="BM42" s="289">
        <f t="shared" ref="BM42:BS42" si="75">BM41/$G42</f>
        <v>0</v>
      </c>
      <c r="BN42" s="290">
        <f t="shared" si="75"/>
        <v>0</v>
      </c>
      <c r="BO42" s="290">
        <f t="shared" si="75"/>
        <v>0</v>
      </c>
      <c r="BP42" s="290">
        <f t="shared" si="75"/>
        <v>0</v>
      </c>
      <c r="BQ42" s="291">
        <f t="shared" si="75"/>
        <v>0</v>
      </c>
      <c r="BR42" s="290">
        <f t="shared" si="75"/>
        <v>0</v>
      </c>
      <c r="BS42" s="292">
        <f t="shared" si="75"/>
        <v>0</v>
      </c>
      <c r="BT42" s="288"/>
      <c r="BU42" s="289">
        <f t="shared" ref="BU42:CA42" si="76">BU41/$G42</f>
        <v>0</v>
      </c>
      <c r="BV42" s="290">
        <f t="shared" si="76"/>
        <v>0</v>
      </c>
      <c r="BW42" s="290">
        <f t="shared" si="76"/>
        <v>0</v>
      </c>
      <c r="BX42" s="290">
        <f t="shared" si="76"/>
        <v>0</v>
      </c>
      <c r="BY42" s="291">
        <f t="shared" si="76"/>
        <v>0</v>
      </c>
      <c r="BZ42" s="290">
        <f t="shared" si="76"/>
        <v>0</v>
      </c>
      <c r="CA42" s="292">
        <f t="shared" si="76"/>
        <v>0</v>
      </c>
      <c r="CB42" s="288"/>
      <c r="CC42" s="289">
        <f t="shared" ref="CC42:CI42" si="77">CC41/$G42</f>
        <v>0</v>
      </c>
      <c r="CD42" s="290">
        <f t="shared" si="77"/>
        <v>0</v>
      </c>
      <c r="CE42" s="290">
        <f t="shared" si="77"/>
        <v>0</v>
      </c>
      <c r="CF42" s="290">
        <f t="shared" si="77"/>
        <v>0</v>
      </c>
      <c r="CG42" s="291">
        <f t="shared" si="77"/>
        <v>0</v>
      </c>
      <c r="CH42" s="290">
        <f t="shared" si="77"/>
        <v>0</v>
      </c>
      <c r="CI42" s="292">
        <f t="shared" si="77"/>
        <v>0</v>
      </c>
      <c r="CJ42" s="288"/>
      <c r="CK42" s="289">
        <f t="shared" ref="CK42:CQ42" si="78">CK41/$G42</f>
        <v>0</v>
      </c>
      <c r="CL42" s="290">
        <f t="shared" si="78"/>
        <v>0</v>
      </c>
      <c r="CM42" s="290">
        <f t="shared" si="78"/>
        <v>0</v>
      </c>
      <c r="CN42" s="290">
        <f t="shared" si="78"/>
        <v>0</v>
      </c>
      <c r="CO42" s="291">
        <f t="shared" si="78"/>
        <v>0</v>
      </c>
      <c r="CP42" s="290">
        <f t="shared" si="78"/>
        <v>0</v>
      </c>
      <c r="CQ42" s="292">
        <f t="shared" si="78"/>
        <v>0</v>
      </c>
    </row>
    <row r="43" spans="1:95" ht="16.5" thickBot="1" x14ac:dyDescent="0.3">
      <c r="A43" s="45"/>
      <c r="B43" s="167"/>
      <c r="C43" s="531"/>
      <c r="D43" s="168"/>
      <c r="E43" s="168"/>
      <c r="F43" s="168"/>
      <c r="G43" s="272"/>
      <c r="H43" s="173"/>
      <c r="I43" s="168"/>
      <c r="J43" s="168"/>
      <c r="K43" s="173"/>
      <c r="L43" s="168"/>
      <c r="M43" s="168"/>
      <c r="N43" s="348"/>
      <c r="O43" s="168"/>
      <c r="P43" s="168"/>
      <c r="Q43" s="348"/>
      <c r="R43" s="168"/>
      <c r="S43" s="168"/>
      <c r="T43" s="168"/>
      <c r="U43" s="168"/>
      <c r="V43" s="168"/>
      <c r="W43" s="168"/>
      <c r="X43" s="168"/>
      <c r="Y43" s="168"/>
      <c r="Z43" s="168"/>
      <c r="AA43" s="168"/>
      <c r="AB43" s="168"/>
      <c r="AC43" s="168"/>
      <c r="AD43" s="168"/>
      <c r="AE43" s="168"/>
      <c r="AF43" s="168"/>
      <c r="AG43" s="168"/>
      <c r="AH43" s="168"/>
      <c r="AI43" s="168"/>
      <c r="AJ43" s="168"/>
      <c r="AK43" s="168"/>
      <c r="AL43" s="168"/>
      <c r="AM43" s="168"/>
      <c r="AN43" s="168"/>
      <c r="AO43" s="168"/>
      <c r="AP43" s="168"/>
      <c r="AQ43" s="168"/>
      <c r="AR43" s="168"/>
      <c r="AS43" s="168"/>
      <c r="AT43" s="168"/>
      <c r="AU43" s="168"/>
      <c r="AV43" s="168"/>
      <c r="AW43" s="168"/>
      <c r="AX43" s="168"/>
      <c r="AY43" s="168"/>
      <c r="AZ43" s="168"/>
      <c r="BA43" s="168"/>
      <c r="BB43" s="168"/>
      <c r="BC43" s="168"/>
      <c r="BD43" s="168"/>
      <c r="BE43" s="168"/>
      <c r="BF43" s="168"/>
      <c r="BG43" s="168"/>
      <c r="BH43" s="168"/>
      <c r="BI43" s="168"/>
      <c r="BJ43" s="168"/>
      <c r="BK43" s="168"/>
      <c r="BL43" s="168"/>
      <c r="BM43" s="168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</row>
    <row r="44" spans="1:95" x14ac:dyDescent="0.25">
      <c r="A44" s="52" t="s">
        <v>7</v>
      </c>
      <c r="B44" s="166">
        <f>B40+1</f>
        <v>45901</v>
      </c>
      <c r="C44" s="173">
        <f>Boats!J197</f>
        <v>0</v>
      </c>
      <c r="D44" s="259">
        <v>0</v>
      </c>
      <c r="E44" s="540">
        <v>0</v>
      </c>
      <c r="F44" s="317">
        <v>0</v>
      </c>
      <c r="G44" s="253"/>
      <c r="H44" s="247">
        <f t="shared" ref="H44:H50" si="79">SUM(I44:J44)</f>
        <v>0</v>
      </c>
      <c r="I44" s="260"/>
      <c r="J44" s="168"/>
      <c r="K44" s="247">
        <f t="shared" ref="K44:K50" si="80">SUM(L44:M44)</f>
        <v>0</v>
      </c>
      <c r="L44" s="260"/>
      <c r="M44" s="168"/>
      <c r="N44" s="311">
        <f t="shared" ref="N44:N50" si="81">SUM(O44:P44)</f>
        <v>0</v>
      </c>
      <c r="O44" s="260"/>
      <c r="P44" s="259"/>
      <c r="Q44" s="311">
        <f t="shared" ref="Q44:Q50" si="82">SUM(R44:S44)</f>
        <v>0</v>
      </c>
      <c r="R44" s="260"/>
      <c r="S44" s="259"/>
      <c r="T44" s="261"/>
      <c r="U44" s="168"/>
      <c r="V44" s="260"/>
      <c r="W44" s="520"/>
      <c r="X44" s="262"/>
      <c r="Y44" s="168"/>
      <c r="Z44" s="261"/>
      <c r="AA44" s="168"/>
      <c r="AB44" s="168"/>
      <c r="AC44" s="262"/>
      <c r="AD44" s="261"/>
      <c r="AE44" s="259"/>
      <c r="AF44" s="260"/>
      <c r="AG44" s="259"/>
      <c r="AH44" s="168"/>
      <c r="AI44" s="168"/>
      <c r="AJ44" s="260"/>
      <c r="AK44" s="259"/>
      <c r="AL44" s="260"/>
      <c r="AM44" s="259"/>
      <c r="AN44" s="168"/>
      <c r="AO44" s="168"/>
      <c r="AP44" s="260"/>
      <c r="AQ44" s="259"/>
      <c r="AR44" s="168"/>
      <c r="AS44" s="168"/>
      <c r="AT44" s="168"/>
      <c r="AU44" s="262"/>
      <c r="AV44" s="168"/>
      <c r="AW44" s="257"/>
      <c r="AX44" s="255"/>
      <c r="AY44" s="255"/>
      <c r="AZ44" s="255"/>
      <c r="BA44" s="254"/>
      <c r="BB44" s="255"/>
      <c r="BC44" s="258"/>
      <c r="BD44" s="168"/>
      <c r="BE44" s="257"/>
      <c r="BF44" s="255"/>
      <c r="BG44" s="255"/>
      <c r="BH44" s="255"/>
      <c r="BI44" s="254"/>
      <c r="BJ44" s="255"/>
      <c r="BK44" s="258"/>
      <c r="BL44" s="168"/>
      <c r="BM44" s="257"/>
      <c r="BN44" s="255"/>
      <c r="BO44" s="255"/>
      <c r="BP44" s="255"/>
      <c r="BQ44" s="254"/>
      <c r="BR44" s="255"/>
      <c r="BS44" s="258"/>
      <c r="BT44" s="168"/>
      <c r="BU44" s="257"/>
      <c r="BV44" s="255"/>
      <c r="BW44" s="255"/>
      <c r="BX44" s="255"/>
      <c r="BY44" s="254"/>
      <c r="BZ44" s="255"/>
      <c r="CA44" s="258"/>
      <c r="CB44" s="168"/>
      <c r="CC44" s="257"/>
      <c r="CD44" s="255"/>
      <c r="CE44" s="255"/>
      <c r="CF44" s="255"/>
      <c r="CG44" s="254"/>
      <c r="CH44" s="255"/>
      <c r="CI44" s="258"/>
      <c r="CJ44" s="168"/>
      <c r="CK44" s="257"/>
      <c r="CL44" s="255"/>
      <c r="CM44" s="255"/>
      <c r="CN44" s="255"/>
      <c r="CO44" s="254"/>
      <c r="CP44" s="255"/>
      <c r="CQ44" s="258"/>
    </row>
    <row r="45" spans="1:95" x14ac:dyDescent="0.25">
      <c r="A45" s="132" t="s">
        <v>10</v>
      </c>
      <c r="B45" s="167">
        <f t="shared" ref="B45:B50" si="83">B44+1</f>
        <v>45902</v>
      </c>
      <c r="C45" s="173">
        <f>Boats!J204</f>
        <v>8.2267356693691749</v>
      </c>
      <c r="D45" s="259">
        <v>2</v>
      </c>
      <c r="E45" s="540">
        <v>2</v>
      </c>
      <c r="F45" s="317">
        <v>28.83</v>
      </c>
      <c r="G45" s="253"/>
      <c r="H45" s="247">
        <f t="shared" si="79"/>
        <v>1</v>
      </c>
      <c r="I45" s="260"/>
      <c r="J45" s="168">
        <v>1</v>
      </c>
      <c r="K45" s="247">
        <f t="shared" si="80"/>
        <v>0</v>
      </c>
      <c r="L45" s="260"/>
      <c r="M45" s="168"/>
      <c r="N45" s="311">
        <f t="shared" si="81"/>
        <v>0</v>
      </c>
      <c r="O45" s="260"/>
      <c r="P45" s="259"/>
      <c r="Q45" s="311">
        <f t="shared" si="82"/>
        <v>0</v>
      </c>
      <c r="R45" s="260"/>
      <c r="S45" s="259"/>
      <c r="T45" s="261"/>
      <c r="U45" s="168"/>
      <c r="V45" s="260"/>
      <c r="W45" s="260"/>
      <c r="X45" s="262"/>
      <c r="Y45" s="168"/>
      <c r="Z45" s="261"/>
      <c r="AA45" s="168"/>
      <c r="AB45" s="168"/>
      <c r="AC45" s="262"/>
      <c r="AD45" s="261"/>
      <c r="AE45" s="259"/>
      <c r="AF45" s="260"/>
      <c r="AG45" s="259"/>
      <c r="AH45" s="168"/>
      <c r="AI45" s="168"/>
      <c r="AJ45" s="260"/>
      <c r="AK45" s="259"/>
      <c r="AL45" s="260"/>
      <c r="AM45" s="259"/>
      <c r="AN45" s="168"/>
      <c r="AO45" s="168"/>
      <c r="AP45" s="260"/>
      <c r="AQ45" s="259"/>
      <c r="AR45" s="168"/>
      <c r="AS45" s="168"/>
      <c r="AT45" s="168"/>
      <c r="AU45" s="262"/>
      <c r="AV45" s="168"/>
      <c r="AW45" s="261"/>
      <c r="AX45" s="168"/>
      <c r="AY45" s="168"/>
      <c r="AZ45" s="168"/>
      <c r="BA45" s="260"/>
      <c r="BB45" s="168"/>
      <c r="BC45" s="262"/>
      <c r="BD45" s="168"/>
      <c r="BE45" s="261"/>
      <c r="BF45" s="168"/>
      <c r="BG45" s="168"/>
      <c r="BH45" s="168"/>
      <c r="BI45" s="260"/>
      <c r="BJ45" s="168"/>
      <c r="BK45" s="262"/>
      <c r="BL45" s="168"/>
      <c r="BM45" s="261"/>
      <c r="BN45" s="168"/>
      <c r="BO45" s="168"/>
      <c r="BP45" s="168"/>
      <c r="BQ45" s="260"/>
      <c r="BR45" s="168"/>
      <c r="BS45" s="262"/>
      <c r="BT45" s="168"/>
      <c r="BU45" s="261"/>
      <c r="BV45" s="168"/>
      <c r="BW45" s="168"/>
      <c r="BX45" s="168"/>
      <c r="BY45" s="260"/>
      <c r="BZ45" s="168"/>
      <c r="CA45" s="262"/>
      <c r="CB45" s="168"/>
      <c r="CC45" s="261"/>
      <c r="CD45" s="168"/>
      <c r="CE45" s="168"/>
      <c r="CF45" s="168"/>
      <c r="CG45" s="260"/>
      <c r="CH45" s="168"/>
      <c r="CI45" s="262"/>
      <c r="CJ45" s="168"/>
      <c r="CK45" s="261"/>
      <c r="CL45" s="168"/>
      <c r="CM45" s="168"/>
      <c r="CN45" s="168"/>
      <c r="CO45" s="260"/>
      <c r="CP45" s="168"/>
      <c r="CQ45" s="262"/>
    </row>
    <row r="46" spans="1:95" x14ac:dyDescent="0.25">
      <c r="A46" s="132" t="s">
        <v>11</v>
      </c>
      <c r="B46" s="167">
        <f t="shared" si="83"/>
        <v>45903</v>
      </c>
      <c r="C46" s="173">
        <f>Boats!J211</f>
        <v>14.656206292600007</v>
      </c>
      <c r="D46" s="259">
        <v>5</v>
      </c>
      <c r="E46" s="540">
        <v>8</v>
      </c>
      <c r="F46" s="317">
        <v>54.83</v>
      </c>
      <c r="G46" s="253"/>
      <c r="H46" s="247">
        <f t="shared" si="79"/>
        <v>0</v>
      </c>
      <c r="I46" s="260"/>
      <c r="J46" s="168"/>
      <c r="K46" s="247">
        <f t="shared" si="80"/>
        <v>0</v>
      </c>
      <c r="L46" s="260"/>
      <c r="M46" s="168"/>
      <c r="N46" s="311">
        <f t="shared" si="81"/>
        <v>0</v>
      </c>
      <c r="O46" s="260"/>
      <c r="P46" s="259"/>
      <c r="Q46" s="311">
        <f t="shared" si="82"/>
        <v>0</v>
      </c>
      <c r="R46" s="260"/>
      <c r="S46" s="259"/>
      <c r="T46" s="261"/>
      <c r="U46" s="168"/>
      <c r="V46" s="260"/>
      <c r="W46" s="260"/>
      <c r="X46" s="262"/>
      <c r="Y46" s="168"/>
      <c r="Z46" s="261"/>
      <c r="AA46" s="168"/>
      <c r="AB46" s="168"/>
      <c r="AC46" s="262"/>
      <c r="AD46" s="261"/>
      <c r="AE46" s="259"/>
      <c r="AF46" s="260"/>
      <c r="AG46" s="259"/>
      <c r="AH46" s="168"/>
      <c r="AI46" s="168"/>
      <c r="AJ46" s="260"/>
      <c r="AK46" s="259"/>
      <c r="AL46" s="260"/>
      <c r="AM46" s="259"/>
      <c r="AN46" s="168"/>
      <c r="AO46" s="168"/>
      <c r="AP46" s="260"/>
      <c r="AQ46" s="259"/>
      <c r="AR46" s="168"/>
      <c r="AS46" s="168"/>
      <c r="AT46" s="168"/>
      <c r="AU46" s="262"/>
      <c r="AV46" s="168"/>
      <c r="AW46" s="261"/>
      <c r="AX46" s="168"/>
      <c r="AY46" s="168"/>
      <c r="AZ46" s="168"/>
      <c r="BA46" s="260"/>
      <c r="BB46" s="168"/>
      <c r="BC46" s="262"/>
      <c r="BD46" s="168"/>
      <c r="BE46" s="261"/>
      <c r="BF46" s="168"/>
      <c r="BG46" s="168"/>
      <c r="BH46" s="168"/>
      <c r="BI46" s="260"/>
      <c r="BJ46" s="168"/>
      <c r="BK46" s="262"/>
      <c r="BL46" s="168"/>
      <c r="BM46" s="261"/>
      <c r="BN46" s="168"/>
      <c r="BO46" s="168"/>
      <c r="BP46" s="168"/>
      <c r="BQ46" s="260"/>
      <c r="BR46" s="168"/>
      <c r="BS46" s="262"/>
      <c r="BT46" s="168"/>
      <c r="BU46" s="261"/>
      <c r="BV46" s="168"/>
      <c r="BW46" s="168"/>
      <c r="BX46" s="168"/>
      <c r="BY46" s="260"/>
      <c r="BZ46" s="168"/>
      <c r="CA46" s="262"/>
      <c r="CB46" s="168"/>
      <c r="CC46" s="261"/>
      <c r="CD46" s="168"/>
      <c r="CE46" s="168"/>
      <c r="CF46" s="168"/>
      <c r="CG46" s="260"/>
      <c r="CH46" s="168"/>
      <c r="CI46" s="262"/>
      <c r="CJ46" s="168"/>
      <c r="CK46" s="261"/>
      <c r="CL46" s="168"/>
      <c r="CM46" s="168"/>
      <c r="CN46" s="168"/>
      <c r="CO46" s="260"/>
      <c r="CP46" s="168"/>
      <c r="CQ46" s="262"/>
    </row>
    <row r="47" spans="1:95" x14ac:dyDescent="0.25">
      <c r="A47" s="132" t="s">
        <v>12</v>
      </c>
      <c r="B47" s="167">
        <f t="shared" si="83"/>
        <v>45904</v>
      </c>
      <c r="C47" s="173">
        <f>Boats!J218</f>
        <v>9.7864850126591243</v>
      </c>
      <c r="D47" s="259">
        <v>1</v>
      </c>
      <c r="E47" s="540">
        <v>2</v>
      </c>
      <c r="F47" s="317">
        <v>12</v>
      </c>
      <c r="G47" s="253"/>
      <c r="H47" s="247">
        <f t="shared" si="79"/>
        <v>0</v>
      </c>
      <c r="I47" s="260"/>
      <c r="J47" s="168"/>
      <c r="K47" s="247">
        <f t="shared" si="80"/>
        <v>0</v>
      </c>
      <c r="L47" s="260"/>
      <c r="M47" s="168"/>
      <c r="N47" s="311">
        <f t="shared" si="81"/>
        <v>0</v>
      </c>
      <c r="O47" s="260"/>
      <c r="P47" s="259"/>
      <c r="Q47" s="311">
        <f t="shared" si="82"/>
        <v>0</v>
      </c>
      <c r="R47" s="260"/>
      <c r="S47" s="259"/>
      <c r="T47" s="261"/>
      <c r="U47" s="168"/>
      <c r="V47" s="260"/>
      <c r="W47" s="260"/>
      <c r="X47" s="262"/>
      <c r="Y47" s="168"/>
      <c r="Z47" s="261"/>
      <c r="AA47" s="168"/>
      <c r="AB47" s="168"/>
      <c r="AC47" s="262"/>
      <c r="AD47" s="261"/>
      <c r="AE47" s="259"/>
      <c r="AF47" s="260"/>
      <c r="AG47" s="259"/>
      <c r="AH47" s="168"/>
      <c r="AI47" s="168"/>
      <c r="AJ47" s="260"/>
      <c r="AK47" s="259"/>
      <c r="AL47" s="260"/>
      <c r="AM47" s="259"/>
      <c r="AN47" s="168"/>
      <c r="AO47" s="168"/>
      <c r="AP47" s="260"/>
      <c r="AQ47" s="259"/>
      <c r="AR47" s="168"/>
      <c r="AS47" s="168"/>
      <c r="AT47" s="168"/>
      <c r="AU47" s="262"/>
      <c r="AV47" s="168"/>
      <c r="AW47" s="261"/>
      <c r="AX47" s="168"/>
      <c r="AY47" s="168"/>
      <c r="AZ47" s="168"/>
      <c r="BA47" s="260"/>
      <c r="BB47" s="168"/>
      <c r="BC47" s="262"/>
      <c r="BD47" s="168"/>
      <c r="BE47" s="261"/>
      <c r="BF47" s="168"/>
      <c r="BG47" s="168"/>
      <c r="BH47" s="168"/>
      <c r="BI47" s="260"/>
      <c r="BJ47" s="168"/>
      <c r="BK47" s="262"/>
      <c r="BL47" s="168"/>
      <c r="BM47" s="261"/>
      <c r="BN47" s="168"/>
      <c r="BO47" s="168"/>
      <c r="BP47" s="168"/>
      <c r="BQ47" s="260"/>
      <c r="BR47" s="168"/>
      <c r="BS47" s="262"/>
      <c r="BT47" s="168"/>
      <c r="BU47" s="261"/>
      <c r="BV47" s="168"/>
      <c r="BW47" s="168"/>
      <c r="BX47" s="168"/>
      <c r="BY47" s="260"/>
      <c r="BZ47" s="168"/>
      <c r="CA47" s="262"/>
      <c r="CB47" s="168"/>
      <c r="CC47" s="261"/>
      <c r="CD47" s="168"/>
      <c r="CE47" s="168"/>
      <c r="CF47" s="168"/>
      <c r="CG47" s="260"/>
      <c r="CH47" s="168"/>
      <c r="CI47" s="262"/>
      <c r="CJ47" s="168"/>
      <c r="CK47" s="261"/>
      <c r="CL47" s="168"/>
      <c r="CM47" s="168"/>
      <c r="CN47" s="168"/>
      <c r="CO47" s="260"/>
      <c r="CP47" s="168"/>
      <c r="CQ47" s="262"/>
    </row>
    <row r="48" spans="1:95" x14ac:dyDescent="0.25">
      <c r="A48" s="132" t="s">
        <v>13</v>
      </c>
      <c r="B48" s="167">
        <f t="shared" si="83"/>
        <v>45905</v>
      </c>
      <c r="C48" s="173">
        <f>Boats!J225</f>
        <v>32.968916945502698</v>
      </c>
      <c r="D48" s="259">
        <v>6</v>
      </c>
      <c r="E48" s="540">
        <v>12</v>
      </c>
      <c r="F48" s="317">
        <v>91.33</v>
      </c>
      <c r="G48" s="253"/>
      <c r="H48" s="247">
        <f t="shared" si="79"/>
        <v>5</v>
      </c>
      <c r="I48" s="260">
        <v>2</v>
      </c>
      <c r="J48" s="168">
        <v>3</v>
      </c>
      <c r="K48" s="247">
        <f t="shared" si="80"/>
        <v>0</v>
      </c>
      <c r="L48" s="260"/>
      <c r="M48" s="168"/>
      <c r="N48" s="311">
        <f t="shared" si="81"/>
        <v>0</v>
      </c>
      <c r="O48" s="260"/>
      <c r="P48" s="259"/>
      <c r="Q48" s="311">
        <f t="shared" si="82"/>
        <v>0</v>
      </c>
      <c r="R48" s="260"/>
      <c r="S48" s="259"/>
      <c r="T48" s="261"/>
      <c r="U48" s="168"/>
      <c r="V48" s="260"/>
      <c r="W48" s="260"/>
      <c r="X48" s="262"/>
      <c r="Y48" s="168"/>
      <c r="Z48" s="261"/>
      <c r="AA48" s="168"/>
      <c r="AB48" s="168"/>
      <c r="AC48" s="262"/>
      <c r="AD48" s="261"/>
      <c r="AE48" s="259"/>
      <c r="AF48" s="260"/>
      <c r="AG48" s="259"/>
      <c r="AH48" s="168"/>
      <c r="AI48" s="168"/>
      <c r="AJ48" s="260"/>
      <c r="AK48" s="259"/>
      <c r="AL48" s="260"/>
      <c r="AM48" s="259"/>
      <c r="AN48" s="168"/>
      <c r="AO48" s="168"/>
      <c r="AP48" s="260"/>
      <c r="AQ48" s="259"/>
      <c r="AR48" s="168"/>
      <c r="AS48" s="168"/>
      <c r="AT48" s="168"/>
      <c r="AU48" s="262"/>
      <c r="AV48" s="168"/>
      <c r="AW48" s="261"/>
      <c r="AX48" s="168"/>
      <c r="AY48" s="168"/>
      <c r="AZ48" s="168"/>
      <c r="BA48" s="260"/>
      <c r="BB48" s="168"/>
      <c r="BC48" s="262"/>
      <c r="BD48" s="168"/>
      <c r="BE48" s="261"/>
      <c r="BF48" s="168"/>
      <c r="BG48" s="168"/>
      <c r="BH48" s="168"/>
      <c r="BI48" s="260"/>
      <c r="BJ48" s="168"/>
      <c r="BK48" s="262"/>
      <c r="BL48" s="168"/>
      <c r="BM48" s="261"/>
      <c r="BN48" s="168"/>
      <c r="BO48" s="168"/>
      <c r="BP48" s="168"/>
      <c r="BQ48" s="260"/>
      <c r="BR48" s="168"/>
      <c r="BS48" s="262"/>
      <c r="BT48" s="168"/>
      <c r="BU48" s="261"/>
      <c r="BV48" s="168"/>
      <c r="BW48" s="168"/>
      <c r="BX48" s="168"/>
      <c r="BY48" s="260"/>
      <c r="BZ48" s="168"/>
      <c r="CA48" s="262"/>
      <c r="CB48" s="168"/>
      <c r="CC48" s="261"/>
      <c r="CD48" s="168"/>
      <c r="CE48" s="168"/>
      <c r="CF48" s="168"/>
      <c r="CG48" s="260"/>
      <c r="CH48" s="168"/>
      <c r="CI48" s="262"/>
      <c r="CJ48" s="168"/>
      <c r="CK48" s="261"/>
      <c r="CL48" s="168"/>
      <c r="CM48" s="168"/>
      <c r="CN48" s="168"/>
      <c r="CO48" s="260"/>
      <c r="CP48" s="168"/>
      <c r="CQ48" s="262"/>
    </row>
    <row r="49" spans="1:95" x14ac:dyDescent="0.25">
      <c r="A49" s="132" t="s">
        <v>14</v>
      </c>
      <c r="B49" s="167">
        <f t="shared" si="83"/>
        <v>45906</v>
      </c>
      <c r="C49" s="173">
        <f>Boats!J232</f>
        <v>55.091184819847136</v>
      </c>
      <c r="D49" s="259">
        <v>13</v>
      </c>
      <c r="E49" s="540">
        <v>24</v>
      </c>
      <c r="F49" s="317">
        <v>174</v>
      </c>
      <c r="G49" s="260"/>
      <c r="H49" s="247">
        <f t="shared" si="79"/>
        <v>6</v>
      </c>
      <c r="I49" s="260">
        <v>4</v>
      </c>
      <c r="J49" s="168">
        <v>2</v>
      </c>
      <c r="K49" s="247">
        <f t="shared" si="80"/>
        <v>1</v>
      </c>
      <c r="L49" s="260"/>
      <c r="M49" s="168">
        <v>1</v>
      </c>
      <c r="N49" s="311">
        <f t="shared" si="81"/>
        <v>0</v>
      </c>
      <c r="O49" s="260"/>
      <c r="P49" s="259"/>
      <c r="Q49" s="311">
        <f t="shared" si="82"/>
        <v>0</v>
      </c>
      <c r="R49" s="260"/>
      <c r="S49" s="259"/>
      <c r="T49" s="261"/>
      <c r="U49" s="168"/>
      <c r="V49" s="260"/>
      <c r="W49" s="260"/>
      <c r="X49" s="262"/>
      <c r="Y49" s="168"/>
      <c r="Z49" s="261"/>
      <c r="AA49" s="168"/>
      <c r="AB49" s="168"/>
      <c r="AC49" s="262"/>
      <c r="AD49" s="261"/>
      <c r="AE49" s="259"/>
      <c r="AF49" s="260"/>
      <c r="AG49" s="259"/>
      <c r="AH49" s="168"/>
      <c r="AI49" s="168"/>
      <c r="AJ49" s="260"/>
      <c r="AK49" s="259"/>
      <c r="AL49" s="260"/>
      <c r="AM49" s="259"/>
      <c r="AN49" s="168"/>
      <c r="AO49" s="168"/>
      <c r="AP49" s="260"/>
      <c r="AQ49" s="259"/>
      <c r="AR49" s="168"/>
      <c r="AS49" s="168"/>
      <c r="AT49" s="168"/>
      <c r="AU49" s="262"/>
      <c r="AV49" s="168"/>
      <c r="AW49" s="261"/>
      <c r="AX49" s="168"/>
      <c r="AY49" s="168"/>
      <c r="AZ49" s="168"/>
      <c r="BA49" s="260"/>
      <c r="BB49" s="168"/>
      <c r="BC49" s="262"/>
      <c r="BD49" s="168"/>
      <c r="BE49" s="261"/>
      <c r="BF49" s="168"/>
      <c r="BG49" s="168"/>
      <c r="BH49" s="168"/>
      <c r="BI49" s="260"/>
      <c r="BJ49" s="168"/>
      <c r="BK49" s="262"/>
      <c r="BL49" s="168"/>
      <c r="BM49" s="261"/>
      <c r="BN49" s="168"/>
      <c r="BO49" s="168"/>
      <c r="BP49" s="168"/>
      <c r="BQ49" s="260"/>
      <c r="BR49" s="168"/>
      <c r="BS49" s="262"/>
      <c r="BT49" s="168"/>
      <c r="BU49" s="261"/>
      <c r="BV49" s="168"/>
      <c r="BW49" s="168"/>
      <c r="BX49" s="168"/>
      <c r="BY49" s="260"/>
      <c r="BZ49" s="168"/>
      <c r="CA49" s="262"/>
      <c r="CB49" s="168"/>
      <c r="CC49" s="261"/>
      <c r="CD49" s="168"/>
      <c r="CE49" s="168"/>
      <c r="CF49" s="168"/>
      <c r="CG49" s="260"/>
      <c r="CH49" s="168"/>
      <c r="CI49" s="262"/>
      <c r="CJ49" s="168"/>
      <c r="CK49" s="261"/>
      <c r="CL49" s="168"/>
      <c r="CM49" s="168"/>
      <c r="CN49" s="168"/>
      <c r="CO49" s="260"/>
      <c r="CP49" s="168"/>
      <c r="CQ49" s="262"/>
    </row>
    <row r="50" spans="1:95" ht="16.5" thickBot="1" x14ac:dyDescent="0.3">
      <c r="A50" s="170" t="s">
        <v>15</v>
      </c>
      <c r="B50" s="171">
        <f t="shared" si="83"/>
        <v>45907</v>
      </c>
      <c r="C50" s="236">
        <f>Boats!J239</f>
        <v>51.75624256192615</v>
      </c>
      <c r="D50" s="263">
        <v>11</v>
      </c>
      <c r="E50" s="623">
        <v>31</v>
      </c>
      <c r="F50" s="318">
        <v>187.55</v>
      </c>
      <c r="G50" s="237"/>
      <c r="H50" s="248">
        <f t="shared" si="79"/>
        <v>7</v>
      </c>
      <c r="I50" s="237">
        <v>3</v>
      </c>
      <c r="J50" s="238">
        <v>4</v>
      </c>
      <c r="K50" s="248">
        <f t="shared" si="80"/>
        <v>0</v>
      </c>
      <c r="L50" s="237"/>
      <c r="M50" s="238"/>
      <c r="N50" s="248">
        <f t="shared" si="81"/>
        <v>0</v>
      </c>
      <c r="O50" s="237"/>
      <c r="P50" s="263"/>
      <c r="Q50" s="248">
        <f t="shared" si="82"/>
        <v>0</v>
      </c>
      <c r="R50" s="237"/>
      <c r="S50" s="263"/>
      <c r="T50" s="264"/>
      <c r="U50" s="238"/>
      <c r="V50" s="237"/>
      <c r="W50" s="237"/>
      <c r="X50" s="265"/>
      <c r="Y50" s="168"/>
      <c r="Z50" s="264"/>
      <c r="AA50" s="238"/>
      <c r="AB50" s="238"/>
      <c r="AC50" s="265"/>
      <c r="AD50" s="264"/>
      <c r="AE50" s="263"/>
      <c r="AF50" s="237"/>
      <c r="AG50" s="263"/>
      <c r="AH50" s="238"/>
      <c r="AI50" s="238"/>
      <c r="AJ50" s="237"/>
      <c r="AK50" s="263"/>
      <c r="AL50" s="237"/>
      <c r="AM50" s="263"/>
      <c r="AN50" s="238">
        <v>1</v>
      </c>
      <c r="AO50" s="238"/>
      <c r="AP50" s="237"/>
      <c r="AQ50" s="263"/>
      <c r="AR50" s="238"/>
      <c r="AS50" s="238"/>
      <c r="AT50" s="238"/>
      <c r="AU50" s="265"/>
      <c r="AV50" s="168"/>
      <c r="AW50" s="264"/>
      <c r="AX50" s="238"/>
      <c r="AY50" s="238"/>
      <c r="AZ50" s="238"/>
      <c r="BA50" s="237"/>
      <c r="BB50" s="238"/>
      <c r="BC50" s="265"/>
      <c r="BD50" s="168"/>
      <c r="BE50" s="264"/>
      <c r="BF50" s="238"/>
      <c r="BG50" s="238"/>
      <c r="BH50" s="238"/>
      <c r="BI50" s="237"/>
      <c r="BJ50" s="238"/>
      <c r="BK50" s="265"/>
      <c r="BL50" s="168"/>
      <c r="BM50" s="264"/>
      <c r="BN50" s="238"/>
      <c r="BO50" s="238"/>
      <c r="BP50" s="238"/>
      <c r="BQ50" s="237"/>
      <c r="BR50" s="238"/>
      <c r="BS50" s="265"/>
      <c r="BT50" s="168"/>
      <c r="BU50" s="264"/>
      <c r="BV50" s="238"/>
      <c r="BW50" s="238"/>
      <c r="BX50" s="238"/>
      <c r="BY50" s="237"/>
      <c r="BZ50" s="238"/>
      <c r="CA50" s="265"/>
      <c r="CB50" s="168"/>
      <c r="CC50" s="264"/>
      <c r="CD50" s="238"/>
      <c r="CE50" s="238"/>
      <c r="CF50" s="238"/>
      <c r="CG50" s="237"/>
      <c r="CH50" s="238"/>
      <c r="CI50" s="265"/>
      <c r="CJ50" s="168"/>
      <c r="CK50" s="264"/>
      <c r="CL50" s="238"/>
      <c r="CM50" s="238"/>
      <c r="CN50" s="238"/>
      <c r="CO50" s="237"/>
      <c r="CP50" s="238"/>
      <c r="CQ50" s="265"/>
    </row>
    <row r="51" spans="1:95" ht="16.5" thickTop="1" x14ac:dyDescent="0.25">
      <c r="A51" s="298" t="s">
        <v>106</v>
      </c>
      <c r="B51" s="274"/>
      <c r="C51" s="293"/>
      <c r="D51" s="294"/>
      <c r="E51" s="315"/>
      <c r="F51" s="315"/>
      <c r="G51" s="295"/>
      <c r="H51" s="296">
        <f t="shared" ref="H51:X51" si="84">SUM(H44:H50)</f>
        <v>19</v>
      </c>
      <c r="I51" s="284">
        <f t="shared" si="84"/>
        <v>9</v>
      </c>
      <c r="J51" s="283">
        <f t="shared" si="84"/>
        <v>10</v>
      </c>
      <c r="K51" s="296">
        <f t="shared" si="84"/>
        <v>1</v>
      </c>
      <c r="L51" s="284">
        <f t="shared" si="84"/>
        <v>0</v>
      </c>
      <c r="M51" s="283">
        <f t="shared" si="84"/>
        <v>1</v>
      </c>
      <c r="N51" s="296">
        <f t="shared" si="84"/>
        <v>0</v>
      </c>
      <c r="O51" s="284">
        <f t="shared" si="84"/>
        <v>0</v>
      </c>
      <c r="P51" s="297">
        <f t="shared" si="84"/>
        <v>0</v>
      </c>
      <c r="Q51" s="296">
        <f t="shared" ref="Q51:S51" si="85">SUM(Q44:Q50)</f>
        <v>0</v>
      </c>
      <c r="R51" s="284">
        <f t="shared" si="85"/>
        <v>0</v>
      </c>
      <c r="S51" s="297">
        <f t="shared" si="85"/>
        <v>0</v>
      </c>
      <c r="T51" s="282">
        <f t="shared" si="84"/>
        <v>0</v>
      </c>
      <c r="U51" s="283">
        <f t="shared" si="84"/>
        <v>0</v>
      </c>
      <c r="V51" s="284">
        <f t="shared" si="84"/>
        <v>0</v>
      </c>
      <c r="W51" s="284">
        <f t="shared" si="84"/>
        <v>0</v>
      </c>
      <c r="X51" s="285">
        <f t="shared" si="84"/>
        <v>0</v>
      </c>
      <c r="Y51" s="173"/>
      <c r="Z51" s="282">
        <f>SUM(Z44:Z50)</f>
        <v>0</v>
      </c>
      <c r="AA51" s="283">
        <f>SUM(AA44:AA50)</f>
        <v>0</v>
      </c>
      <c r="AB51" s="283">
        <f>SUM(AB44:AB50)</f>
        <v>0</v>
      </c>
      <c r="AC51" s="285">
        <f>SUM(AC44:AC50)</f>
        <v>0</v>
      </c>
      <c r="AD51" s="282">
        <f t="shared" ref="AD51:AU51" si="86">SUM(AD44:AD50)</f>
        <v>0</v>
      </c>
      <c r="AE51" s="297">
        <f t="shared" si="86"/>
        <v>0</v>
      </c>
      <c r="AF51" s="284">
        <f t="shared" si="86"/>
        <v>0</v>
      </c>
      <c r="AG51" s="297">
        <f t="shared" si="86"/>
        <v>0</v>
      </c>
      <c r="AH51" s="283">
        <f t="shared" si="86"/>
        <v>0</v>
      </c>
      <c r="AI51" s="283">
        <f t="shared" si="86"/>
        <v>0</v>
      </c>
      <c r="AJ51" s="284">
        <f t="shared" si="86"/>
        <v>0</v>
      </c>
      <c r="AK51" s="297">
        <f t="shared" si="86"/>
        <v>0</v>
      </c>
      <c r="AL51" s="284">
        <f t="shared" si="86"/>
        <v>0</v>
      </c>
      <c r="AM51" s="297">
        <f t="shared" si="86"/>
        <v>0</v>
      </c>
      <c r="AN51" s="276">
        <f t="shared" si="86"/>
        <v>1</v>
      </c>
      <c r="AO51" s="275">
        <f t="shared" si="86"/>
        <v>0</v>
      </c>
      <c r="AP51" s="276">
        <f t="shared" si="86"/>
        <v>0</v>
      </c>
      <c r="AQ51" s="275">
        <f t="shared" si="86"/>
        <v>0</v>
      </c>
      <c r="AR51" s="278">
        <f t="shared" si="86"/>
        <v>0</v>
      </c>
      <c r="AS51" s="277">
        <f t="shared" si="86"/>
        <v>0</v>
      </c>
      <c r="AT51" s="283">
        <f t="shared" si="86"/>
        <v>0</v>
      </c>
      <c r="AU51" s="285">
        <f t="shared" si="86"/>
        <v>0</v>
      </c>
      <c r="AV51" s="173"/>
      <c r="AW51" s="282">
        <f t="shared" ref="AW51:BC51" si="87">SUM(AW44:AW50)</f>
        <v>0</v>
      </c>
      <c r="AX51" s="283">
        <f t="shared" si="87"/>
        <v>0</v>
      </c>
      <c r="AY51" s="283">
        <f t="shared" si="87"/>
        <v>0</v>
      </c>
      <c r="AZ51" s="283">
        <f t="shared" si="87"/>
        <v>0</v>
      </c>
      <c r="BA51" s="284">
        <f t="shared" si="87"/>
        <v>0</v>
      </c>
      <c r="BB51" s="283">
        <f t="shared" si="87"/>
        <v>0</v>
      </c>
      <c r="BC51" s="285">
        <f t="shared" si="87"/>
        <v>0</v>
      </c>
      <c r="BD51" s="173"/>
      <c r="BE51" s="282">
        <f t="shared" ref="BE51:BK51" si="88">SUM(BE44:BE50)</f>
        <v>0</v>
      </c>
      <c r="BF51" s="283">
        <f t="shared" si="88"/>
        <v>0</v>
      </c>
      <c r="BG51" s="283">
        <f t="shared" si="88"/>
        <v>0</v>
      </c>
      <c r="BH51" s="283">
        <f t="shared" si="88"/>
        <v>0</v>
      </c>
      <c r="BI51" s="284">
        <f t="shared" si="88"/>
        <v>0</v>
      </c>
      <c r="BJ51" s="283">
        <f t="shared" si="88"/>
        <v>0</v>
      </c>
      <c r="BK51" s="285">
        <f t="shared" si="88"/>
        <v>0</v>
      </c>
      <c r="BL51" s="173"/>
      <c r="BM51" s="282">
        <f t="shared" ref="BM51:BS51" si="89">SUM(BM44:BM50)</f>
        <v>0</v>
      </c>
      <c r="BN51" s="283">
        <f t="shared" si="89"/>
        <v>0</v>
      </c>
      <c r="BO51" s="283">
        <f t="shared" si="89"/>
        <v>0</v>
      </c>
      <c r="BP51" s="283">
        <f t="shared" si="89"/>
        <v>0</v>
      </c>
      <c r="BQ51" s="284">
        <f t="shared" si="89"/>
        <v>0</v>
      </c>
      <c r="BR51" s="283">
        <f t="shared" si="89"/>
        <v>0</v>
      </c>
      <c r="BS51" s="285">
        <f t="shared" si="89"/>
        <v>0</v>
      </c>
      <c r="BT51" s="173"/>
      <c r="BU51" s="282">
        <f t="shared" ref="BU51:CA51" si="90">SUM(BU44:BU50)</f>
        <v>0</v>
      </c>
      <c r="BV51" s="283">
        <f t="shared" si="90"/>
        <v>0</v>
      </c>
      <c r="BW51" s="283">
        <f t="shared" si="90"/>
        <v>0</v>
      </c>
      <c r="BX51" s="283">
        <f t="shared" si="90"/>
        <v>0</v>
      </c>
      <c r="BY51" s="284">
        <f t="shared" si="90"/>
        <v>0</v>
      </c>
      <c r="BZ51" s="283">
        <f t="shared" si="90"/>
        <v>0</v>
      </c>
      <c r="CA51" s="285">
        <f t="shared" si="90"/>
        <v>0</v>
      </c>
      <c r="CB51" s="173"/>
      <c r="CC51" s="282">
        <f t="shared" ref="CC51:CI51" si="91">SUM(CC44:CC50)</f>
        <v>0</v>
      </c>
      <c r="CD51" s="283">
        <f t="shared" si="91"/>
        <v>0</v>
      </c>
      <c r="CE51" s="283">
        <f t="shared" si="91"/>
        <v>0</v>
      </c>
      <c r="CF51" s="283">
        <f t="shared" si="91"/>
        <v>0</v>
      </c>
      <c r="CG51" s="284">
        <f t="shared" si="91"/>
        <v>0</v>
      </c>
      <c r="CH51" s="283">
        <f t="shared" si="91"/>
        <v>0</v>
      </c>
      <c r="CI51" s="285">
        <f t="shared" si="91"/>
        <v>0</v>
      </c>
      <c r="CJ51" s="173"/>
      <c r="CK51" s="282">
        <f t="shared" ref="CK51:CQ51" si="92">SUM(CK44:CK50)</f>
        <v>0</v>
      </c>
      <c r="CL51" s="283">
        <f t="shared" si="92"/>
        <v>0</v>
      </c>
      <c r="CM51" s="283">
        <f t="shared" si="92"/>
        <v>0</v>
      </c>
      <c r="CN51" s="283">
        <f t="shared" si="92"/>
        <v>0</v>
      </c>
      <c r="CO51" s="284">
        <f t="shared" si="92"/>
        <v>0</v>
      </c>
      <c r="CP51" s="283">
        <f t="shared" si="92"/>
        <v>0</v>
      </c>
      <c r="CQ51" s="285">
        <f t="shared" si="92"/>
        <v>0</v>
      </c>
    </row>
    <row r="52" spans="1:95" ht="16.5" thickBot="1" x14ac:dyDescent="0.3">
      <c r="A52" s="299" t="s">
        <v>105</v>
      </c>
      <c r="B52" s="273"/>
      <c r="C52" s="306">
        <f>SUM(C44:C50)</f>
        <v>172.48577130190429</v>
      </c>
      <c r="D52" s="307">
        <f>SUM(D44:D50)</f>
        <v>38</v>
      </c>
      <c r="E52" s="241">
        <f>SUM(E44:E50)</f>
        <v>79</v>
      </c>
      <c r="F52" s="240">
        <f>SUM(F44:F50)</f>
        <v>548.54</v>
      </c>
      <c r="G52" s="268">
        <f>D52/C52</f>
        <v>0.22030802722555046</v>
      </c>
      <c r="H52" s="279">
        <f t="shared" ref="H52:X52" si="93">H51/$G52</f>
        <v>86.242885650952147</v>
      </c>
      <c r="I52" s="241">
        <f t="shared" si="93"/>
        <v>40.851893203082597</v>
      </c>
      <c r="J52" s="239">
        <f t="shared" si="93"/>
        <v>45.39099244786955</v>
      </c>
      <c r="K52" s="279">
        <f t="shared" si="93"/>
        <v>4.5390992447869554</v>
      </c>
      <c r="L52" s="241">
        <f t="shared" si="93"/>
        <v>0</v>
      </c>
      <c r="M52" s="239">
        <f t="shared" si="93"/>
        <v>4.5390992447869554</v>
      </c>
      <c r="N52" s="279">
        <f t="shared" si="93"/>
        <v>0</v>
      </c>
      <c r="O52" s="241">
        <f t="shared" si="93"/>
        <v>0</v>
      </c>
      <c r="P52" s="240">
        <f t="shared" si="93"/>
        <v>0</v>
      </c>
      <c r="Q52" s="279">
        <f t="shared" ref="Q52:S52" si="94">Q51/$G52</f>
        <v>0</v>
      </c>
      <c r="R52" s="241">
        <f t="shared" si="94"/>
        <v>0</v>
      </c>
      <c r="S52" s="240">
        <f t="shared" si="94"/>
        <v>0</v>
      </c>
      <c r="T52" s="269">
        <f t="shared" si="93"/>
        <v>0</v>
      </c>
      <c r="U52" s="239">
        <f t="shared" si="93"/>
        <v>0</v>
      </c>
      <c r="V52" s="241">
        <f t="shared" si="93"/>
        <v>0</v>
      </c>
      <c r="W52" s="241">
        <f t="shared" si="93"/>
        <v>0</v>
      </c>
      <c r="X52" s="270">
        <f t="shared" si="93"/>
        <v>0</v>
      </c>
      <c r="Y52" s="173"/>
      <c r="Z52" s="289">
        <f>Z51/$G52</f>
        <v>0</v>
      </c>
      <c r="AA52" s="290">
        <f t="shared" ref="AA52:AC52" si="95">AA51/$G52</f>
        <v>0</v>
      </c>
      <c r="AB52" s="290">
        <f t="shared" si="95"/>
        <v>0</v>
      </c>
      <c r="AC52" s="292">
        <f t="shared" si="95"/>
        <v>0</v>
      </c>
      <c r="AD52" s="289">
        <f t="shared" ref="AD52:AU52" si="96">AD51/$G52</f>
        <v>0</v>
      </c>
      <c r="AE52" s="324">
        <f t="shared" si="96"/>
        <v>0</v>
      </c>
      <c r="AF52" s="291">
        <f t="shared" si="96"/>
        <v>0</v>
      </c>
      <c r="AG52" s="324">
        <f t="shared" si="96"/>
        <v>0</v>
      </c>
      <c r="AH52" s="290">
        <f t="shared" si="96"/>
        <v>0</v>
      </c>
      <c r="AI52" s="290">
        <f t="shared" si="96"/>
        <v>0</v>
      </c>
      <c r="AJ52" s="291">
        <f t="shared" si="96"/>
        <v>0</v>
      </c>
      <c r="AK52" s="324">
        <f t="shared" si="96"/>
        <v>0</v>
      </c>
      <c r="AL52" s="291">
        <f t="shared" si="96"/>
        <v>0</v>
      </c>
      <c r="AM52" s="324">
        <f t="shared" si="96"/>
        <v>0</v>
      </c>
      <c r="AN52" s="325">
        <f t="shared" si="96"/>
        <v>4.5390992447869554</v>
      </c>
      <c r="AO52" s="326">
        <f t="shared" si="96"/>
        <v>0</v>
      </c>
      <c r="AP52" s="325">
        <f t="shared" si="96"/>
        <v>0</v>
      </c>
      <c r="AQ52" s="326">
        <f t="shared" si="96"/>
        <v>0</v>
      </c>
      <c r="AR52" s="287">
        <f t="shared" si="96"/>
        <v>0</v>
      </c>
      <c r="AS52" s="286">
        <f t="shared" si="96"/>
        <v>0</v>
      </c>
      <c r="AT52" s="290">
        <f t="shared" si="96"/>
        <v>0</v>
      </c>
      <c r="AU52" s="292">
        <f t="shared" si="96"/>
        <v>0</v>
      </c>
      <c r="AV52" s="288"/>
      <c r="AW52" s="289">
        <f t="shared" ref="AW52:BC52" si="97">AW51/$G52</f>
        <v>0</v>
      </c>
      <c r="AX52" s="290">
        <f t="shared" si="97"/>
        <v>0</v>
      </c>
      <c r="AY52" s="290">
        <f t="shared" si="97"/>
        <v>0</v>
      </c>
      <c r="AZ52" s="290">
        <f t="shared" si="97"/>
        <v>0</v>
      </c>
      <c r="BA52" s="291">
        <f t="shared" si="97"/>
        <v>0</v>
      </c>
      <c r="BB52" s="290">
        <f t="shared" si="97"/>
        <v>0</v>
      </c>
      <c r="BC52" s="292">
        <f t="shared" si="97"/>
        <v>0</v>
      </c>
      <c r="BD52" s="288"/>
      <c r="BE52" s="289">
        <f t="shared" ref="BE52:BK52" si="98">BE51/$G52</f>
        <v>0</v>
      </c>
      <c r="BF52" s="290">
        <f t="shared" si="98"/>
        <v>0</v>
      </c>
      <c r="BG52" s="290">
        <f t="shared" si="98"/>
        <v>0</v>
      </c>
      <c r="BH52" s="290">
        <f t="shared" si="98"/>
        <v>0</v>
      </c>
      <c r="BI52" s="291">
        <f t="shared" si="98"/>
        <v>0</v>
      </c>
      <c r="BJ52" s="290">
        <f t="shared" si="98"/>
        <v>0</v>
      </c>
      <c r="BK52" s="292">
        <f t="shared" si="98"/>
        <v>0</v>
      </c>
      <c r="BL52" s="288"/>
      <c r="BM52" s="289">
        <f t="shared" ref="BM52:BS52" si="99">BM51/$G52</f>
        <v>0</v>
      </c>
      <c r="BN52" s="290">
        <f t="shared" si="99"/>
        <v>0</v>
      </c>
      <c r="BO52" s="290">
        <f t="shared" si="99"/>
        <v>0</v>
      </c>
      <c r="BP52" s="290">
        <f t="shared" si="99"/>
        <v>0</v>
      </c>
      <c r="BQ52" s="291">
        <f t="shared" si="99"/>
        <v>0</v>
      </c>
      <c r="BR52" s="290">
        <f t="shared" si="99"/>
        <v>0</v>
      </c>
      <c r="BS52" s="292">
        <f t="shared" si="99"/>
        <v>0</v>
      </c>
      <c r="BT52" s="288"/>
      <c r="BU52" s="289">
        <f t="shared" ref="BU52:CA52" si="100">BU51/$G52</f>
        <v>0</v>
      </c>
      <c r="BV52" s="290">
        <f t="shared" si="100"/>
        <v>0</v>
      </c>
      <c r="BW52" s="290">
        <f t="shared" si="100"/>
        <v>0</v>
      </c>
      <c r="BX52" s="290">
        <f t="shared" si="100"/>
        <v>0</v>
      </c>
      <c r="BY52" s="291">
        <f t="shared" si="100"/>
        <v>0</v>
      </c>
      <c r="BZ52" s="290">
        <f t="shared" si="100"/>
        <v>0</v>
      </c>
      <c r="CA52" s="292">
        <f t="shared" si="100"/>
        <v>0</v>
      </c>
      <c r="CB52" s="288"/>
      <c r="CC52" s="289">
        <f t="shared" ref="CC52:CI52" si="101">CC51/$G52</f>
        <v>0</v>
      </c>
      <c r="CD52" s="290">
        <f t="shared" si="101"/>
        <v>0</v>
      </c>
      <c r="CE52" s="290">
        <f t="shared" si="101"/>
        <v>0</v>
      </c>
      <c r="CF52" s="290">
        <f t="shared" si="101"/>
        <v>0</v>
      </c>
      <c r="CG52" s="291">
        <f t="shared" si="101"/>
        <v>0</v>
      </c>
      <c r="CH52" s="290">
        <f t="shared" si="101"/>
        <v>0</v>
      </c>
      <c r="CI52" s="292">
        <f t="shared" si="101"/>
        <v>0</v>
      </c>
      <c r="CJ52" s="288"/>
      <c r="CK52" s="289">
        <f t="shared" ref="CK52:CQ52" si="102">CK51/$G52</f>
        <v>0</v>
      </c>
      <c r="CL52" s="290">
        <f t="shared" si="102"/>
        <v>0</v>
      </c>
      <c r="CM52" s="290">
        <f t="shared" si="102"/>
        <v>0</v>
      </c>
      <c r="CN52" s="290">
        <f t="shared" si="102"/>
        <v>0</v>
      </c>
      <c r="CO52" s="291">
        <f t="shared" si="102"/>
        <v>0</v>
      </c>
      <c r="CP52" s="290">
        <f t="shared" si="102"/>
        <v>0</v>
      </c>
      <c r="CQ52" s="292">
        <f t="shared" si="102"/>
        <v>0</v>
      </c>
    </row>
    <row r="53" spans="1:95" ht="16.5" thickBot="1" x14ac:dyDescent="0.3">
      <c r="A53" s="45"/>
      <c r="B53" s="167"/>
      <c r="C53" s="173"/>
      <c r="D53" s="173"/>
      <c r="E53" s="173"/>
      <c r="F53" s="173"/>
      <c r="G53" s="272"/>
      <c r="H53" s="173"/>
      <c r="I53" s="168"/>
      <c r="J53" s="168"/>
      <c r="K53" s="173"/>
      <c r="L53" s="168"/>
      <c r="M53" s="168"/>
      <c r="N53" s="348"/>
      <c r="O53" s="168"/>
      <c r="P53" s="168"/>
      <c r="Q53" s="348"/>
      <c r="R53" s="168"/>
      <c r="S53" s="168"/>
      <c r="T53" s="168"/>
      <c r="U53" s="168"/>
      <c r="V53" s="168"/>
      <c r="W53" s="168"/>
      <c r="X53" s="168"/>
      <c r="Y53" s="168"/>
      <c r="Z53" s="168"/>
      <c r="AA53" s="168"/>
      <c r="AB53" s="168"/>
      <c r="AC53" s="168"/>
      <c r="AD53" s="168"/>
      <c r="AE53" s="168"/>
      <c r="AF53" s="168"/>
      <c r="AG53" s="168"/>
      <c r="AH53" s="168"/>
      <c r="AI53" s="168"/>
      <c r="AJ53" s="168"/>
      <c r="AK53" s="168"/>
      <c r="AL53" s="168"/>
      <c r="AM53" s="168"/>
      <c r="AN53" s="168"/>
      <c r="AO53" s="168"/>
      <c r="AP53" s="168"/>
      <c r="AQ53" s="168"/>
      <c r="AR53" s="168"/>
      <c r="AS53" s="168"/>
      <c r="AT53" s="168"/>
      <c r="AU53" s="168"/>
      <c r="AV53" s="168"/>
      <c r="AW53" s="168"/>
      <c r="AX53" s="168"/>
      <c r="AY53" s="168"/>
      <c r="AZ53" s="168"/>
      <c r="BA53" s="168"/>
      <c r="BB53" s="168"/>
      <c r="BC53" s="168"/>
      <c r="BD53" s="168"/>
      <c r="BE53" s="168"/>
      <c r="BF53" s="168"/>
      <c r="BG53" s="168"/>
      <c r="BH53" s="168"/>
      <c r="BI53" s="168"/>
      <c r="BJ53" s="168"/>
      <c r="BK53" s="168"/>
      <c r="BL53" s="168"/>
      <c r="BM53" s="168"/>
      <c r="BN53" s="168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</row>
    <row r="54" spans="1:95" x14ac:dyDescent="0.25">
      <c r="A54" s="52" t="s">
        <v>7</v>
      </c>
      <c r="B54" s="166">
        <f>B50+1</f>
        <v>45908</v>
      </c>
      <c r="C54" s="235">
        <f>Boats!J246</f>
        <v>22.788825799826494</v>
      </c>
      <c r="D54" s="259">
        <v>3</v>
      </c>
      <c r="E54" s="540">
        <v>6</v>
      </c>
      <c r="F54" s="317">
        <v>55.13</v>
      </c>
      <c r="G54" s="253"/>
      <c r="H54" s="247">
        <f t="shared" ref="H54:H60" si="103">SUM(I54:J54)</f>
        <v>2</v>
      </c>
      <c r="I54" s="260">
        <v>2</v>
      </c>
      <c r="J54" s="168"/>
      <c r="K54" s="247">
        <f t="shared" ref="K54:K60" si="104">SUM(L54:M54)</f>
        <v>0</v>
      </c>
      <c r="L54" s="260"/>
      <c r="M54" s="168"/>
      <c r="N54" s="311">
        <f t="shared" ref="N54:N60" si="105">SUM(O54:P54)</f>
        <v>0</v>
      </c>
      <c r="O54" s="260"/>
      <c r="P54" s="259"/>
      <c r="Q54" s="311">
        <f t="shared" ref="Q54:Q60" si="106">SUM(R54:S54)</f>
        <v>0</v>
      </c>
      <c r="R54" s="260"/>
      <c r="S54" s="259"/>
      <c r="T54" s="261"/>
      <c r="U54" s="168"/>
      <c r="V54" s="260"/>
      <c r="W54" s="520"/>
      <c r="X54" s="262"/>
      <c r="Y54" s="168"/>
      <c r="Z54" s="261"/>
      <c r="AA54" s="168"/>
      <c r="AB54" s="168"/>
      <c r="AC54" s="262"/>
      <c r="AD54" s="261"/>
      <c r="AE54" s="259"/>
      <c r="AF54" s="260"/>
      <c r="AG54" s="259"/>
      <c r="AH54" s="168"/>
      <c r="AI54" s="168"/>
      <c r="AJ54" s="260"/>
      <c r="AK54" s="259"/>
      <c r="AL54" s="260"/>
      <c r="AM54" s="259"/>
      <c r="AN54" s="168"/>
      <c r="AO54" s="168"/>
      <c r="AP54" s="260"/>
      <c r="AQ54" s="259"/>
      <c r="AR54" s="168"/>
      <c r="AS54" s="168"/>
      <c r="AT54" s="168"/>
      <c r="AU54" s="262"/>
      <c r="AV54" s="168"/>
      <c r="AW54" s="257"/>
      <c r="AX54" s="255"/>
      <c r="AY54" s="255"/>
      <c r="AZ54" s="255"/>
      <c r="BA54" s="254"/>
      <c r="BB54" s="255"/>
      <c r="BC54" s="258"/>
      <c r="BD54" s="168"/>
      <c r="BE54" s="257"/>
      <c r="BF54" s="255"/>
      <c r="BG54" s="255"/>
      <c r="BH54" s="255"/>
      <c r="BI54" s="254"/>
      <c r="BJ54" s="255"/>
      <c r="BK54" s="258"/>
      <c r="BL54" s="168"/>
      <c r="BM54" s="257"/>
      <c r="BN54" s="255"/>
      <c r="BO54" s="255"/>
      <c r="BP54" s="255"/>
      <c r="BQ54" s="254"/>
      <c r="BR54" s="255"/>
      <c r="BS54" s="258"/>
      <c r="BT54" s="168"/>
      <c r="BU54" s="257"/>
      <c r="BV54" s="255"/>
      <c r="BW54" s="255"/>
      <c r="BX54" s="255"/>
      <c r="BY54" s="254"/>
      <c r="BZ54" s="255"/>
      <c r="CA54" s="258"/>
      <c r="CB54" s="168"/>
      <c r="CC54" s="257"/>
      <c r="CD54" s="255"/>
      <c r="CE54" s="255"/>
      <c r="CF54" s="255"/>
      <c r="CG54" s="254"/>
      <c r="CH54" s="255"/>
      <c r="CI54" s="258"/>
      <c r="CJ54" s="168"/>
      <c r="CK54" s="257"/>
      <c r="CL54" s="255"/>
      <c r="CM54" s="255"/>
      <c r="CN54" s="255"/>
      <c r="CO54" s="254"/>
      <c r="CP54" s="255"/>
      <c r="CQ54" s="258"/>
    </row>
    <row r="55" spans="1:95" x14ac:dyDescent="0.25">
      <c r="A55" s="132" t="s">
        <v>10</v>
      </c>
      <c r="B55" s="167">
        <f t="shared" ref="B55:B60" si="107">B54+1</f>
        <v>45909</v>
      </c>
      <c r="C55" s="173">
        <f>Boats!J253</f>
        <v>28.952690863119297</v>
      </c>
      <c r="D55" s="259">
        <v>9</v>
      </c>
      <c r="E55" s="540">
        <v>19</v>
      </c>
      <c r="F55" s="317">
        <v>130.35</v>
      </c>
      <c r="G55" s="253"/>
      <c r="H55" s="247">
        <f t="shared" si="103"/>
        <v>4</v>
      </c>
      <c r="I55" s="260">
        <v>3</v>
      </c>
      <c r="J55" s="168">
        <v>1</v>
      </c>
      <c r="K55" s="247">
        <f t="shared" si="104"/>
        <v>0</v>
      </c>
      <c r="L55" s="260"/>
      <c r="M55" s="168"/>
      <c r="N55" s="311">
        <f t="shared" si="105"/>
        <v>0</v>
      </c>
      <c r="O55" s="260"/>
      <c r="P55" s="259"/>
      <c r="Q55" s="311">
        <f t="shared" si="106"/>
        <v>0</v>
      </c>
      <c r="R55" s="260"/>
      <c r="S55" s="259"/>
      <c r="T55" s="261"/>
      <c r="U55" s="168"/>
      <c r="V55" s="260"/>
      <c r="W55" s="260"/>
      <c r="X55" s="262"/>
      <c r="Y55" s="168"/>
      <c r="Z55" s="261"/>
      <c r="AA55" s="168"/>
      <c r="AB55" s="168"/>
      <c r="AC55" s="262"/>
      <c r="AD55" s="261"/>
      <c r="AE55" s="259"/>
      <c r="AF55" s="260"/>
      <c r="AG55" s="259"/>
      <c r="AH55" s="168"/>
      <c r="AI55" s="168"/>
      <c r="AJ55" s="260"/>
      <c r="AK55" s="259"/>
      <c r="AL55" s="260"/>
      <c r="AM55" s="259"/>
      <c r="AN55" s="168"/>
      <c r="AO55" s="168"/>
      <c r="AP55" s="260"/>
      <c r="AQ55" s="259"/>
      <c r="AR55" s="168"/>
      <c r="AS55" s="168"/>
      <c r="AT55" s="168"/>
      <c r="AU55" s="262"/>
      <c r="AV55" s="168"/>
      <c r="AW55" s="261"/>
      <c r="AX55" s="168"/>
      <c r="AY55" s="168"/>
      <c r="AZ55" s="168"/>
      <c r="BA55" s="260"/>
      <c r="BB55" s="168"/>
      <c r="BC55" s="262"/>
      <c r="BD55" s="168"/>
      <c r="BE55" s="261"/>
      <c r="BF55" s="168"/>
      <c r="BG55" s="168"/>
      <c r="BH55" s="168"/>
      <c r="BI55" s="260"/>
      <c r="BJ55" s="168"/>
      <c r="BK55" s="262"/>
      <c r="BL55" s="168"/>
      <c r="BM55" s="261"/>
      <c r="BN55" s="168"/>
      <c r="BO55" s="168"/>
      <c r="BP55" s="168"/>
      <c r="BQ55" s="260"/>
      <c r="BR55" s="168"/>
      <c r="BS55" s="262"/>
      <c r="BT55" s="168"/>
      <c r="BU55" s="261"/>
      <c r="BV55" s="168"/>
      <c r="BW55" s="168"/>
      <c r="BX55" s="168"/>
      <c r="BY55" s="260"/>
      <c r="BZ55" s="168"/>
      <c r="CA55" s="262"/>
      <c r="CB55" s="168"/>
      <c r="CC55" s="261"/>
      <c r="CD55" s="168"/>
      <c r="CE55" s="168"/>
      <c r="CF55" s="168"/>
      <c r="CG55" s="260"/>
      <c r="CH55" s="168"/>
      <c r="CI55" s="262"/>
      <c r="CJ55" s="168"/>
      <c r="CK55" s="261"/>
      <c r="CL55" s="168"/>
      <c r="CM55" s="168"/>
      <c r="CN55" s="168"/>
      <c r="CO55" s="260"/>
      <c r="CP55" s="168"/>
      <c r="CQ55" s="262"/>
    </row>
    <row r="56" spans="1:95" x14ac:dyDescent="0.25">
      <c r="A56" s="132" t="s">
        <v>11</v>
      </c>
      <c r="B56" s="167">
        <f t="shared" si="107"/>
        <v>45910</v>
      </c>
      <c r="C56" s="173">
        <f>Boats!J260</f>
        <v>64.073710576015003</v>
      </c>
      <c r="D56" s="259">
        <v>7</v>
      </c>
      <c r="E56" s="540">
        <v>18</v>
      </c>
      <c r="F56" s="317">
        <v>143.72999999999999</v>
      </c>
      <c r="G56" s="253"/>
      <c r="H56" s="247">
        <f t="shared" si="103"/>
        <v>1</v>
      </c>
      <c r="I56" s="260">
        <v>1</v>
      </c>
      <c r="J56" s="168"/>
      <c r="K56" s="247">
        <f t="shared" si="104"/>
        <v>0</v>
      </c>
      <c r="L56" s="260"/>
      <c r="M56" s="168"/>
      <c r="N56" s="311">
        <f t="shared" si="105"/>
        <v>0</v>
      </c>
      <c r="O56" s="260"/>
      <c r="P56" s="259"/>
      <c r="Q56" s="311">
        <f t="shared" si="106"/>
        <v>0</v>
      </c>
      <c r="R56" s="260"/>
      <c r="S56" s="259"/>
      <c r="T56" s="261"/>
      <c r="U56" s="168"/>
      <c r="V56" s="260"/>
      <c r="W56" s="260"/>
      <c r="X56" s="262"/>
      <c r="Y56" s="168"/>
      <c r="Z56" s="261"/>
      <c r="AA56" s="168"/>
      <c r="AB56" s="168"/>
      <c r="AC56" s="262"/>
      <c r="AD56" s="261"/>
      <c r="AE56" s="259"/>
      <c r="AF56" s="260"/>
      <c r="AG56" s="259"/>
      <c r="AH56" s="168">
        <v>1</v>
      </c>
      <c r="AI56" s="168"/>
      <c r="AJ56" s="260"/>
      <c r="AK56" s="259"/>
      <c r="AL56" s="260"/>
      <c r="AM56" s="259"/>
      <c r="AN56" s="168"/>
      <c r="AO56" s="168"/>
      <c r="AP56" s="260"/>
      <c r="AQ56" s="259"/>
      <c r="AR56" s="168"/>
      <c r="AS56" s="168"/>
      <c r="AT56" s="168"/>
      <c r="AU56" s="262"/>
      <c r="AV56" s="168"/>
      <c r="AW56" s="261"/>
      <c r="AX56" s="168"/>
      <c r="AY56" s="168"/>
      <c r="AZ56" s="168"/>
      <c r="BA56" s="260"/>
      <c r="BB56" s="168"/>
      <c r="BC56" s="262"/>
      <c r="BD56" s="168"/>
      <c r="BE56" s="261"/>
      <c r="BF56" s="168"/>
      <c r="BG56" s="168"/>
      <c r="BH56" s="168"/>
      <c r="BI56" s="260"/>
      <c r="BJ56" s="168"/>
      <c r="BK56" s="262"/>
      <c r="BL56" s="168"/>
      <c r="BM56" s="261"/>
      <c r="BN56" s="168"/>
      <c r="BO56" s="168"/>
      <c r="BP56" s="168"/>
      <c r="BQ56" s="260"/>
      <c r="BR56" s="168"/>
      <c r="BS56" s="262"/>
      <c r="BT56" s="168"/>
      <c r="BU56" s="261"/>
      <c r="BV56" s="168"/>
      <c r="BW56" s="168"/>
      <c r="BX56" s="168"/>
      <c r="BY56" s="260"/>
      <c r="BZ56" s="168"/>
      <c r="CA56" s="262"/>
      <c r="CB56" s="168"/>
      <c r="CC56" s="261"/>
      <c r="CD56" s="168"/>
      <c r="CE56" s="168"/>
      <c r="CF56" s="168"/>
      <c r="CG56" s="260"/>
      <c r="CH56" s="168"/>
      <c r="CI56" s="262"/>
      <c r="CJ56" s="168"/>
      <c r="CK56" s="261"/>
      <c r="CL56" s="168"/>
      <c r="CM56" s="168"/>
      <c r="CN56" s="168"/>
      <c r="CO56" s="260"/>
      <c r="CP56" s="168"/>
      <c r="CQ56" s="262"/>
    </row>
    <row r="57" spans="1:95" x14ac:dyDescent="0.25">
      <c r="A57" s="132" t="s">
        <v>12</v>
      </c>
      <c r="B57" s="167">
        <f t="shared" si="107"/>
        <v>45911</v>
      </c>
      <c r="C57" s="173">
        <f>Boats!J267</f>
        <v>84.381693082027724</v>
      </c>
      <c r="D57" s="259">
        <v>11</v>
      </c>
      <c r="E57" s="540">
        <v>29</v>
      </c>
      <c r="F57" s="317">
        <v>171.98</v>
      </c>
      <c r="G57" s="253"/>
      <c r="H57" s="247">
        <f t="shared" si="103"/>
        <v>3</v>
      </c>
      <c r="I57" s="260">
        <v>2</v>
      </c>
      <c r="J57" s="168">
        <v>1</v>
      </c>
      <c r="K57" s="247">
        <f t="shared" si="104"/>
        <v>1</v>
      </c>
      <c r="L57" s="260">
        <v>1</v>
      </c>
      <c r="M57" s="168"/>
      <c r="N57" s="311">
        <f t="shared" si="105"/>
        <v>0</v>
      </c>
      <c r="O57" s="260"/>
      <c r="P57" s="259"/>
      <c r="Q57" s="311">
        <f t="shared" si="106"/>
        <v>0</v>
      </c>
      <c r="R57" s="260"/>
      <c r="S57" s="259"/>
      <c r="T57" s="261"/>
      <c r="U57" s="168"/>
      <c r="V57" s="260"/>
      <c r="W57" s="260"/>
      <c r="X57" s="262"/>
      <c r="Y57" s="168"/>
      <c r="Z57" s="261">
        <v>4</v>
      </c>
      <c r="AA57" s="168"/>
      <c r="AB57" s="168"/>
      <c r="AC57" s="262"/>
      <c r="AD57" s="261"/>
      <c r="AE57" s="259"/>
      <c r="AF57" s="260"/>
      <c r="AG57" s="259"/>
      <c r="AH57" s="168"/>
      <c r="AI57" s="168"/>
      <c r="AJ57" s="260"/>
      <c r="AK57" s="259"/>
      <c r="AL57" s="260"/>
      <c r="AM57" s="259"/>
      <c r="AN57" s="168"/>
      <c r="AO57" s="168"/>
      <c r="AP57" s="260"/>
      <c r="AQ57" s="259"/>
      <c r="AR57" s="168"/>
      <c r="AS57" s="168"/>
      <c r="AT57" s="168"/>
      <c r="AU57" s="262"/>
      <c r="AV57" s="168"/>
      <c r="AW57" s="261"/>
      <c r="AX57" s="168"/>
      <c r="AY57" s="168"/>
      <c r="AZ57" s="168"/>
      <c r="BA57" s="260"/>
      <c r="BB57" s="168"/>
      <c r="BC57" s="262"/>
      <c r="BD57" s="168"/>
      <c r="BE57" s="261"/>
      <c r="BF57" s="168"/>
      <c r="BG57" s="168"/>
      <c r="BH57" s="168"/>
      <c r="BI57" s="260"/>
      <c r="BJ57" s="168"/>
      <c r="BK57" s="262"/>
      <c r="BL57" s="168"/>
      <c r="BM57" s="261"/>
      <c r="BN57" s="168"/>
      <c r="BO57" s="168"/>
      <c r="BP57" s="168"/>
      <c r="BQ57" s="260"/>
      <c r="BR57" s="168"/>
      <c r="BS57" s="262"/>
      <c r="BT57" s="168"/>
      <c r="BU57" s="261"/>
      <c r="BV57" s="168"/>
      <c r="BW57" s="168"/>
      <c r="BX57" s="168"/>
      <c r="BY57" s="260"/>
      <c r="BZ57" s="168"/>
      <c r="CA57" s="262"/>
      <c r="CB57" s="168"/>
      <c r="CC57" s="261"/>
      <c r="CD57" s="168"/>
      <c r="CE57" s="168"/>
      <c r="CF57" s="168"/>
      <c r="CG57" s="260"/>
      <c r="CH57" s="168"/>
      <c r="CI57" s="262"/>
      <c r="CJ57" s="168"/>
      <c r="CK57" s="261"/>
      <c r="CL57" s="168"/>
      <c r="CM57" s="168"/>
      <c r="CN57" s="168"/>
      <c r="CO57" s="260"/>
      <c r="CP57" s="168"/>
      <c r="CQ57" s="262"/>
    </row>
    <row r="58" spans="1:95" x14ac:dyDescent="0.25">
      <c r="A58" s="132" t="s">
        <v>13</v>
      </c>
      <c r="B58" s="167">
        <f t="shared" si="107"/>
        <v>45912</v>
      </c>
      <c r="C58" s="173">
        <f>Boats!J274</f>
        <v>112.42520729386023</v>
      </c>
      <c r="D58" s="259">
        <v>25</v>
      </c>
      <c r="E58" s="540">
        <v>59</v>
      </c>
      <c r="F58" s="317">
        <v>357.44</v>
      </c>
      <c r="G58" s="253"/>
      <c r="H58" s="247">
        <f t="shared" si="103"/>
        <v>12</v>
      </c>
      <c r="I58" s="260">
        <v>10</v>
      </c>
      <c r="J58" s="168">
        <v>2</v>
      </c>
      <c r="K58" s="247">
        <f t="shared" si="104"/>
        <v>0</v>
      </c>
      <c r="L58" s="260"/>
      <c r="M58" s="168"/>
      <c r="N58" s="311">
        <f t="shared" si="105"/>
        <v>0</v>
      </c>
      <c r="O58" s="260"/>
      <c r="P58" s="259"/>
      <c r="Q58" s="311">
        <f t="shared" si="106"/>
        <v>0</v>
      </c>
      <c r="R58" s="260"/>
      <c r="S58" s="259"/>
      <c r="T58" s="261"/>
      <c r="U58" s="168"/>
      <c r="V58" s="260"/>
      <c r="W58" s="260"/>
      <c r="X58" s="262"/>
      <c r="Y58" s="168"/>
      <c r="Z58" s="261"/>
      <c r="AA58" s="168">
        <v>1</v>
      </c>
      <c r="AB58" s="168"/>
      <c r="AC58" s="262"/>
      <c r="AD58" s="261">
        <v>1</v>
      </c>
      <c r="AE58" s="259"/>
      <c r="AF58" s="260">
        <v>3</v>
      </c>
      <c r="AG58" s="259"/>
      <c r="AH58" s="168"/>
      <c r="AI58" s="168"/>
      <c r="AJ58" s="260"/>
      <c r="AK58" s="259"/>
      <c r="AL58" s="260"/>
      <c r="AM58" s="259"/>
      <c r="AN58" s="168"/>
      <c r="AO58" s="168"/>
      <c r="AP58" s="260"/>
      <c r="AQ58" s="259"/>
      <c r="AR58" s="168"/>
      <c r="AS58" s="168"/>
      <c r="AT58" s="168"/>
      <c r="AU58" s="262"/>
      <c r="AV58" s="168"/>
      <c r="AW58" s="261"/>
      <c r="AX58" s="168"/>
      <c r="AY58" s="168"/>
      <c r="AZ58" s="168"/>
      <c r="BA58" s="260"/>
      <c r="BB58" s="168"/>
      <c r="BC58" s="262"/>
      <c r="BD58" s="168"/>
      <c r="BE58" s="261"/>
      <c r="BF58" s="168"/>
      <c r="BG58" s="168"/>
      <c r="BH58" s="168"/>
      <c r="BI58" s="260"/>
      <c r="BJ58" s="168"/>
      <c r="BK58" s="262"/>
      <c r="BL58" s="168"/>
      <c r="BM58" s="261"/>
      <c r="BN58" s="168"/>
      <c r="BO58" s="168"/>
      <c r="BP58" s="168"/>
      <c r="BQ58" s="260"/>
      <c r="BR58" s="168"/>
      <c r="BS58" s="262"/>
      <c r="BT58" s="168"/>
      <c r="BU58" s="261"/>
      <c r="BV58" s="168"/>
      <c r="BW58" s="168"/>
      <c r="BX58" s="168"/>
      <c r="BY58" s="260"/>
      <c r="BZ58" s="168"/>
      <c r="CA58" s="262"/>
      <c r="CB58" s="168"/>
      <c r="CC58" s="261"/>
      <c r="CD58" s="168"/>
      <c r="CE58" s="168"/>
      <c r="CF58" s="168"/>
      <c r="CG58" s="260"/>
      <c r="CH58" s="168"/>
      <c r="CI58" s="262"/>
      <c r="CJ58" s="168"/>
      <c r="CK58" s="261"/>
      <c r="CL58" s="168"/>
      <c r="CM58" s="168"/>
      <c r="CN58" s="168"/>
      <c r="CO58" s="260"/>
      <c r="CP58" s="168"/>
      <c r="CQ58" s="262"/>
    </row>
    <row r="59" spans="1:95" x14ac:dyDescent="0.25">
      <c r="A59" s="132" t="s">
        <v>14</v>
      </c>
      <c r="B59" s="167">
        <f t="shared" si="107"/>
        <v>45913</v>
      </c>
      <c r="C59" s="173">
        <f>Boats!J281</f>
        <v>126.23387294384797</v>
      </c>
      <c r="D59" s="259">
        <v>30</v>
      </c>
      <c r="E59" s="540">
        <v>77</v>
      </c>
      <c r="F59" s="317">
        <v>455.32</v>
      </c>
      <c r="G59" s="260"/>
      <c r="H59" s="247">
        <f t="shared" si="103"/>
        <v>17</v>
      </c>
      <c r="I59" s="260">
        <v>11</v>
      </c>
      <c r="J59" s="168">
        <v>6</v>
      </c>
      <c r="K59" s="247">
        <f t="shared" si="104"/>
        <v>0</v>
      </c>
      <c r="L59" s="260"/>
      <c r="M59" s="168"/>
      <c r="N59" s="311">
        <f t="shared" si="105"/>
        <v>0</v>
      </c>
      <c r="O59" s="260"/>
      <c r="P59" s="259"/>
      <c r="Q59" s="311">
        <f t="shared" si="106"/>
        <v>0</v>
      </c>
      <c r="R59" s="260"/>
      <c r="S59" s="259"/>
      <c r="T59" s="261">
        <v>1</v>
      </c>
      <c r="U59" s="168"/>
      <c r="V59" s="260"/>
      <c r="W59" s="260"/>
      <c r="X59" s="262"/>
      <c r="Y59" s="168"/>
      <c r="Z59" s="261"/>
      <c r="AA59" s="168">
        <v>1</v>
      </c>
      <c r="AB59" s="168"/>
      <c r="AC59" s="262"/>
      <c r="AD59" s="261"/>
      <c r="AE59" s="259">
        <v>1</v>
      </c>
      <c r="AF59" s="260"/>
      <c r="AG59" s="259">
        <v>1</v>
      </c>
      <c r="AH59" s="168"/>
      <c r="AI59" s="168"/>
      <c r="AJ59" s="260"/>
      <c r="AK59" s="259"/>
      <c r="AL59" s="260"/>
      <c r="AM59" s="259"/>
      <c r="AN59" s="168">
        <v>1</v>
      </c>
      <c r="AO59" s="168"/>
      <c r="AP59" s="260"/>
      <c r="AQ59" s="259"/>
      <c r="AR59" s="168"/>
      <c r="AS59" s="168"/>
      <c r="AT59" s="168"/>
      <c r="AU59" s="262"/>
      <c r="AV59" s="168"/>
      <c r="AW59" s="261"/>
      <c r="AX59" s="168">
        <v>1</v>
      </c>
      <c r="AY59" s="168">
        <v>1</v>
      </c>
      <c r="AZ59" s="168"/>
      <c r="BA59" s="260"/>
      <c r="BB59" s="168"/>
      <c r="BC59" s="262"/>
      <c r="BD59" s="168"/>
      <c r="BE59" s="261"/>
      <c r="BF59" s="168">
        <v>1</v>
      </c>
      <c r="BG59" s="168">
        <v>1</v>
      </c>
      <c r="BH59" s="168"/>
      <c r="BI59" s="260"/>
      <c r="BJ59" s="168"/>
      <c r="BK59" s="262"/>
      <c r="BL59" s="168"/>
      <c r="BM59" s="261"/>
      <c r="BN59" s="168"/>
      <c r="BO59" s="168"/>
      <c r="BP59" s="168"/>
      <c r="BQ59" s="260"/>
      <c r="BR59" s="168"/>
      <c r="BS59" s="262"/>
      <c r="BT59" s="168"/>
      <c r="BU59" s="261"/>
      <c r="BV59" s="168"/>
      <c r="BW59" s="168"/>
      <c r="BX59" s="168"/>
      <c r="BY59" s="260"/>
      <c r="BZ59" s="168"/>
      <c r="CA59" s="262"/>
      <c r="CB59" s="168"/>
      <c r="CC59" s="261"/>
      <c r="CD59" s="168"/>
      <c r="CE59" s="168"/>
      <c r="CF59" s="168"/>
      <c r="CG59" s="260"/>
      <c r="CH59" s="168"/>
      <c r="CI59" s="262"/>
      <c r="CJ59" s="168"/>
      <c r="CK59" s="261"/>
      <c r="CL59" s="168"/>
      <c r="CM59" s="168"/>
      <c r="CN59" s="168"/>
      <c r="CO59" s="260"/>
      <c r="CP59" s="168"/>
      <c r="CQ59" s="262"/>
    </row>
    <row r="60" spans="1:95" ht="16.5" thickBot="1" x14ac:dyDescent="0.3">
      <c r="A60" s="170" t="s">
        <v>15</v>
      </c>
      <c r="B60" s="171">
        <f t="shared" si="107"/>
        <v>45914</v>
      </c>
      <c r="C60" s="236">
        <f>Boats!J288</f>
        <v>112.66290195888209</v>
      </c>
      <c r="D60" s="263">
        <v>32</v>
      </c>
      <c r="E60" s="623">
        <v>85</v>
      </c>
      <c r="F60" s="318">
        <v>471</v>
      </c>
      <c r="G60" s="237"/>
      <c r="H60" s="248">
        <f t="shared" si="103"/>
        <v>7</v>
      </c>
      <c r="I60" s="237">
        <v>4</v>
      </c>
      <c r="J60" s="238">
        <v>3</v>
      </c>
      <c r="K60" s="248">
        <f t="shared" si="104"/>
        <v>0</v>
      </c>
      <c r="L60" s="237"/>
      <c r="M60" s="238"/>
      <c r="N60" s="248">
        <f t="shared" si="105"/>
        <v>0</v>
      </c>
      <c r="O60" s="237"/>
      <c r="P60" s="263"/>
      <c r="Q60" s="248">
        <f t="shared" si="106"/>
        <v>0</v>
      </c>
      <c r="R60" s="237"/>
      <c r="S60" s="263"/>
      <c r="T60" s="264"/>
      <c r="U60" s="238"/>
      <c r="V60" s="237"/>
      <c r="W60" s="237"/>
      <c r="X60" s="265"/>
      <c r="Y60" s="168"/>
      <c r="Z60" s="264"/>
      <c r="AA60" s="238">
        <v>1</v>
      </c>
      <c r="AB60" s="238"/>
      <c r="AC60" s="265"/>
      <c r="AD60" s="264"/>
      <c r="AE60" s="263"/>
      <c r="AF60" s="237"/>
      <c r="AG60" s="263"/>
      <c r="AH60" s="238"/>
      <c r="AI60" s="238"/>
      <c r="AJ60" s="237"/>
      <c r="AK60" s="263"/>
      <c r="AL60" s="237"/>
      <c r="AM60" s="263"/>
      <c r="AN60" s="238"/>
      <c r="AO60" s="238"/>
      <c r="AP60" s="237"/>
      <c r="AQ60" s="263"/>
      <c r="AR60" s="238"/>
      <c r="AS60" s="238"/>
      <c r="AT60" s="238"/>
      <c r="AU60" s="265"/>
      <c r="AV60" s="168"/>
      <c r="AW60" s="264"/>
      <c r="AX60" s="238"/>
      <c r="AY60" s="238"/>
      <c r="AZ60" s="238"/>
      <c r="BA60" s="237"/>
      <c r="BB60" s="238"/>
      <c r="BC60" s="265"/>
      <c r="BD60" s="168"/>
      <c r="BE60" s="264"/>
      <c r="BF60" s="238"/>
      <c r="BG60" s="238"/>
      <c r="BH60" s="238"/>
      <c r="BI60" s="237"/>
      <c r="BJ60" s="238"/>
      <c r="BK60" s="265"/>
      <c r="BL60" s="168"/>
      <c r="BM60" s="264"/>
      <c r="BN60" s="238"/>
      <c r="BO60" s="238"/>
      <c r="BP60" s="238"/>
      <c r="BQ60" s="237"/>
      <c r="BR60" s="238"/>
      <c r="BS60" s="265"/>
      <c r="BT60" s="168"/>
      <c r="BU60" s="264"/>
      <c r="BV60" s="238"/>
      <c r="BW60" s="238"/>
      <c r="BX60" s="238"/>
      <c r="BY60" s="237"/>
      <c r="BZ60" s="238"/>
      <c r="CA60" s="265"/>
      <c r="CB60" s="168"/>
      <c r="CC60" s="264"/>
      <c r="CD60" s="238"/>
      <c r="CE60" s="238"/>
      <c r="CF60" s="238"/>
      <c r="CG60" s="237"/>
      <c r="CH60" s="238"/>
      <c r="CI60" s="265"/>
      <c r="CJ60" s="168"/>
      <c r="CK60" s="264"/>
      <c r="CL60" s="238"/>
      <c r="CM60" s="238"/>
      <c r="CN60" s="238"/>
      <c r="CO60" s="237"/>
      <c r="CP60" s="238"/>
      <c r="CQ60" s="265"/>
    </row>
    <row r="61" spans="1:95" ht="16.5" thickTop="1" x14ac:dyDescent="0.25">
      <c r="A61" s="298" t="s">
        <v>106</v>
      </c>
      <c r="B61" s="274"/>
      <c r="C61" s="293"/>
      <c r="D61" s="294"/>
      <c r="E61" s="315"/>
      <c r="F61" s="315"/>
      <c r="G61" s="295"/>
      <c r="H61" s="296">
        <f t="shared" ref="H61:X61" si="108">SUM(H54:H60)</f>
        <v>46</v>
      </c>
      <c r="I61" s="284">
        <f t="shared" si="108"/>
        <v>33</v>
      </c>
      <c r="J61" s="283">
        <f t="shared" si="108"/>
        <v>13</v>
      </c>
      <c r="K61" s="296">
        <f t="shared" si="108"/>
        <v>1</v>
      </c>
      <c r="L61" s="284">
        <f t="shared" si="108"/>
        <v>1</v>
      </c>
      <c r="M61" s="283">
        <f t="shared" si="108"/>
        <v>0</v>
      </c>
      <c r="N61" s="296">
        <f t="shared" si="108"/>
        <v>0</v>
      </c>
      <c r="O61" s="284">
        <f t="shared" si="108"/>
        <v>0</v>
      </c>
      <c r="P61" s="297">
        <f t="shared" si="108"/>
        <v>0</v>
      </c>
      <c r="Q61" s="296">
        <f t="shared" ref="Q61:S61" si="109">SUM(Q54:Q60)</f>
        <v>0</v>
      </c>
      <c r="R61" s="284">
        <f t="shared" si="109"/>
        <v>0</v>
      </c>
      <c r="S61" s="297">
        <f t="shared" si="109"/>
        <v>0</v>
      </c>
      <c r="T61" s="282">
        <f t="shared" si="108"/>
        <v>1</v>
      </c>
      <c r="U61" s="283">
        <f t="shared" si="108"/>
        <v>0</v>
      </c>
      <c r="V61" s="284">
        <f t="shared" si="108"/>
        <v>0</v>
      </c>
      <c r="W61" s="284">
        <f t="shared" si="108"/>
        <v>0</v>
      </c>
      <c r="X61" s="285">
        <f t="shared" si="108"/>
        <v>0</v>
      </c>
      <c r="Y61" s="173"/>
      <c r="Z61" s="282">
        <f>SUM(Z54:Z60)</f>
        <v>4</v>
      </c>
      <c r="AA61" s="283">
        <f>SUM(AA54:AA60)</f>
        <v>3</v>
      </c>
      <c r="AB61" s="283">
        <f>SUM(AB54:AB60)</f>
        <v>0</v>
      </c>
      <c r="AC61" s="285">
        <f>SUM(AC54:AC60)</f>
        <v>0</v>
      </c>
      <c r="AD61" s="282">
        <f t="shared" ref="AD61:AU61" si="110">SUM(AD54:AD60)</f>
        <v>1</v>
      </c>
      <c r="AE61" s="297">
        <f t="shared" si="110"/>
        <v>1</v>
      </c>
      <c r="AF61" s="284">
        <f t="shared" si="110"/>
        <v>3</v>
      </c>
      <c r="AG61" s="297">
        <f t="shared" si="110"/>
        <v>1</v>
      </c>
      <c r="AH61" s="283">
        <f t="shared" si="110"/>
        <v>1</v>
      </c>
      <c r="AI61" s="283">
        <f t="shared" si="110"/>
        <v>0</v>
      </c>
      <c r="AJ61" s="284">
        <f t="shared" si="110"/>
        <v>0</v>
      </c>
      <c r="AK61" s="297">
        <f t="shared" si="110"/>
        <v>0</v>
      </c>
      <c r="AL61" s="284">
        <f t="shared" si="110"/>
        <v>0</v>
      </c>
      <c r="AM61" s="297">
        <f t="shared" si="110"/>
        <v>0</v>
      </c>
      <c r="AN61" s="276">
        <f t="shared" si="110"/>
        <v>1</v>
      </c>
      <c r="AO61" s="275">
        <f t="shared" si="110"/>
        <v>0</v>
      </c>
      <c r="AP61" s="276">
        <f t="shared" si="110"/>
        <v>0</v>
      </c>
      <c r="AQ61" s="275">
        <f t="shared" si="110"/>
        <v>0</v>
      </c>
      <c r="AR61" s="278">
        <f t="shared" si="110"/>
        <v>0</v>
      </c>
      <c r="AS61" s="277">
        <f t="shared" si="110"/>
        <v>0</v>
      </c>
      <c r="AT61" s="283">
        <f t="shared" si="110"/>
        <v>0</v>
      </c>
      <c r="AU61" s="285">
        <f t="shared" si="110"/>
        <v>0</v>
      </c>
      <c r="AV61" s="173"/>
      <c r="AW61" s="282">
        <f t="shared" ref="AW61:BC61" si="111">SUM(AW54:AW60)</f>
        <v>0</v>
      </c>
      <c r="AX61" s="283">
        <f t="shared" si="111"/>
        <v>1</v>
      </c>
      <c r="AY61" s="283">
        <f t="shared" si="111"/>
        <v>1</v>
      </c>
      <c r="AZ61" s="283">
        <f t="shared" si="111"/>
        <v>0</v>
      </c>
      <c r="BA61" s="284">
        <f t="shared" si="111"/>
        <v>0</v>
      </c>
      <c r="BB61" s="283">
        <f t="shared" si="111"/>
        <v>0</v>
      </c>
      <c r="BC61" s="285">
        <f t="shared" si="111"/>
        <v>0</v>
      </c>
      <c r="BD61" s="173"/>
      <c r="BE61" s="282">
        <f t="shared" ref="BE61:BK61" si="112">SUM(BE54:BE60)</f>
        <v>0</v>
      </c>
      <c r="BF61" s="283">
        <f t="shared" si="112"/>
        <v>1</v>
      </c>
      <c r="BG61" s="283">
        <f t="shared" si="112"/>
        <v>1</v>
      </c>
      <c r="BH61" s="283">
        <f t="shared" si="112"/>
        <v>0</v>
      </c>
      <c r="BI61" s="284">
        <f t="shared" si="112"/>
        <v>0</v>
      </c>
      <c r="BJ61" s="283">
        <f t="shared" si="112"/>
        <v>0</v>
      </c>
      <c r="BK61" s="285">
        <f t="shared" si="112"/>
        <v>0</v>
      </c>
      <c r="BL61" s="173"/>
      <c r="BM61" s="282">
        <f t="shared" ref="BM61:BS61" si="113">SUM(BM54:BM60)</f>
        <v>0</v>
      </c>
      <c r="BN61" s="283">
        <f t="shared" si="113"/>
        <v>0</v>
      </c>
      <c r="BO61" s="283">
        <f t="shared" si="113"/>
        <v>0</v>
      </c>
      <c r="BP61" s="283">
        <f t="shared" si="113"/>
        <v>0</v>
      </c>
      <c r="BQ61" s="284">
        <f t="shared" si="113"/>
        <v>0</v>
      </c>
      <c r="BR61" s="283">
        <f t="shared" si="113"/>
        <v>0</v>
      </c>
      <c r="BS61" s="285">
        <f t="shared" si="113"/>
        <v>0</v>
      </c>
      <c r="BT61" s="173"/>
      <c r="BU61" s="282">
        <f t="shared" ref="BU61:CA61" si="114">SUM(BU54:BU60)</f>
        <v>0</v>
      </c>
      <c r="BV61" s="283">
        <f t="shared" si="114"/>
        <v>0</v>
      </c>
      <c r="BW61" s="283">
        <f t="shared" si="114"/>
        <v>0</v>
      </c>
      <c r="BX61" s="283">
        <f t="shared" si="114"/>
        <v>0</v>
      </c>
      <c r="BY61" s="284">
        <f t="shared" si="114"/>
        <v>0</v>
      </c>
      <c r="BZ61" s="283">
        <f t="shared" si="114"/>
        <v>0</v>
      </c>
      <c r="CA61" s="285">
        <f t="shared" si="114"/>
        <v>0</v>
      </c>
      <c r="CB61" s="173"/>
      <c r="CC61" s="282">
        <f t="shared" ref="CC61:CI61" si="115">SUM(CC54:CC60)</f>
        <v>0</v>
      </c>
      <c r="CD61" s="283">
        <f t="shared" si="115"/>
        <v>0</v>
      </c>
      <c r="CE61" s="283">
        <f t="shared" si="115"/>
        <v>0</v>
      </c>
      <c r="CF61" s="283">
        <f t="shared" si="115"/>
        <v>0</v>
      </c>
      <c r="CG61" s="284">
        <f t="shared" si="115"/>
        <v>0</v>
      </c>
      <c r="CH61" s="283">
        <f t="shared" si="115"/>
        <v>0</v>
      </c>
      <c r="CI61" s="285">
        <f t="shared" si="115"/>
        <v>0</v>
      </c>
      <c r="CJ61" s="173"/>
      <c r="CK61" s="282">
        <f t="shared" ref="CK61:CQ61" si="116">SUM(CK54:CK60)</f>
        <v>0</v>
      </c>
      <c r="CL61" s="283">
        <f t="shared" si="116"/>
        <v>0</v>
      </c>
      <c r="CM61" s="283">
        <f t="shared" si="116"/>
        <v>0</v>
      </c>
      <c r="CN61" s="283">
        <f t="shared" si="116"/>
        <v>0</v>
      </c>
      <c r="CO61" s="284">
        <f t="shared" si="116"/>
        <v>0</v>
      </c>
      <c r="CP61" s="283">
        <f t="shared" si="116"/>
        <v>0</v>
      </c>
      <c r="CQ61" s="285">
        <f t="shared" si="116"/>
        <v>0</v>
      </c>
    </row>
    <row r="62" spans="1:95" ht="16.5" thickBot="1" x14ac:dyDescent="0.3">
      <c r="A62" s="299" t="s">
        <v>105</v>
      </c>
      <c r="B62" s="273"/>
      <c r="C62" s="306">
        <f>SUM(C54:C60)</f>
        <v>551.51890251757879</v>
      </c>
      <c r="D62" s="307">
        <f>SUM(D54:D60)</f>
        <v>117</v>
      </c>
      <c r="E62" s="321">
        <f>SUM(E54:E60)</f>
        <v>293</v>
      </c>
      <c r="F62" s="322">
        <f>SUM(F54:F60)</f>
        <v>1784.9499999999998</v>
      </c>
      <c r="G62" s="268">
        <f>D62/C62</f>
        <v>0.21214141431221537</v>
      </c>
      <c r="H62" s="279">
        <f t="shared" ref="H62:X62" si="117">H61/$G62</f>
        <v>216.83649158810789</v>
      </c>
      <c r="I62" s="241">
        <f t="shared" si="117"/>
        <v>155.55661353059915</v>
      </c>
      <c r="J62" s="239">
        <f t="shared" si="117"/>
        <v>61.279878057508753</v>
      </c>
      <c r="K62" s="279">
        <f t="shared" si="117"/>
        <v>4.7138367736545197</v>
      </c>
      <c r="L62" s="241">
        <f t="shared" si="117"/>
        <v>4.7138367736545197</v>
      </c>
      <c r="M62" s="239">
        <f t="shared" si="117"/>
        <v>0</v>
      </c>
      <c r="N62" s="279">
        <f t="shared" si="117"/>
        <v>0</v>
      </c>
      <c r="O62" s="241">
        <f t="shared" si="117"/>
        <v>0</v>
      </c>
      <c r="P62" s="240">
        <f t="shared" si="117"/>
        <v>0</v>
      </c>
      <c r="Q62" s="279">
        <f t="shared" ref="Q62:S62" si="118">Q61/$G62</f>
        <v>0</v>
      </c>
      <c r="R62" s="241">
        <f t="shared" si="118"/>
        <v>0</v>
      </c>
      <c r="S62" s="240">
        <f t="shared" si="118"/>
        <v>0</v>
      </c>
      <c r="T62" s="269">
        <f t="shared" si="117"/>
        <v>4.7138367736545197</v>
      </c>
      <c r="U62" s="239">
        <f t="shared" si="117"/>
        <v>0</v>
      </c>
      <c r="V62" s="241">
        <f t="shared" si="117"/>
        <v>0</v>
      </c>
      <c r="W62" s="241">
        <f t="shared" si="117"/>
        <v>0</v>
      </c>
      <c r="X62" s="270">
        <f t="shared" si="117"/>
        <v>0</v>
      </c>
      <c r="Y62" s="173"/>
      <c r="Z62" s="289">
        <f>Z61/$G62</f>
        <v>18.855347094618079</v>
      </c>
      <c r="AA62" s="290">
        <f t="shared" ref="AA62:AC62" si="119">AA61/$G62</f>
        <v>14.141510320963558</v>
      </c>
      <c r="AB62" s="290">
        <f t="shared" si="119"/>
        <v>0</v>
      </c>
      <c r="AC62" s="292">
        <f t="shared" si="119"/>
        <v>0</v>
      </c>
      <c r="AD62" s="289">
        <f t="shared" ref="AD62:AU62" si="120">AD61/$G62</f>
        <v>4.7138367736545197</v>
      </c>
      <c r="AE62" s="324">
        <f t="shared" si="120"/>
        <v>4.7138367736545197</v>
      </c>
      <c r="AF62" s="291">
        <f t="shared" si="120"/>
        <v>14.141510320963558</v>
      </c>
      <c r="AG62" s="324">
        <f t="shared" si="120"/>
        <v>4.7138367736545197</v>
      </c>
      <c r="AH62" s="290">
        <f t="shared" si="120"/>
        <v>4.7138367736545197</v>
      </c>
      <c r="AI62" s="290">
        <f t="shared" si="120"/>
        <v>0</v>
      </c>
      <c r="AJ62" s="291">
        <f t="shared" si="120"/>
        <v>0</v>
      </c>
      <c r="AK62" s="324">
        <f t="shared" si="120"/>
        <v>0</v>
      </c>
      <c r="AL62" s="291">
        <f t="shared" si="120"/>
        <v>0</v>
      </c>
      <c r="AM62" s="324">
        <f t="shared" si="120"/>
        <v>0</v>
      </c>
      <c r="AN62" s="325">
        <f t="shared" si="120"/>
        <v>4.7138367736545197</v>
      </c>
      <c r="AO62" s="326">
        <f t="shared" si="120"/>
        <v>0</v>
      </c>
      <c r="AP62" s="325">
        <f t="shared" si="120"/>
        <v>0</v>
      </c>
      <c r="AQ62" s="326">
        <f t="shared" si="120"/>
        <v>0</v>
      </c>
      <c r="AR62" s="287">
        <f t="shared" si="120"/>
        <v>0</v>
      </c>
      <c r="AS62" s="286">
        <f t="shared" si="120"/>
        <v>0</v>
      </c>
      <c r="AT62" s="290">
        <f t="shared" si="120"/>
        <v>0</v>
      </c>
      <c r="AU62" s="292">
        <f t="shared" si="120"/>
        <v>0</v>
      </c>
      <c r="AV62" s="288"/>
      <c r="AW62" s="289">
        <f t="shared" ref="AW62:BC62" si="121">AW61/$G62</f>
        <v>0</v>
      </c>
      <c r="AX62" s="290">
        <f t="shared" si="121"/>
        <v>4.7138367736545197</v>
      </c>
      <c r="AY62" s="290">
        <f t="shared" si="121"/>
        <v>4.7138367736545197</v>
      </c>
      <c r="AZ62" s="290">
        <f t="shared" si="121"/>
        <v>0</v>
      </c>
      <c r="BA62" s="291">
        <f t="shared" si="121"/>
        <v>0</v>
      </c>
      <c r="BB62" s="290">
        <f t="shared" si="121"/>
        <v>0</v>
      </c>
      <c r="BC62" s="292">
        <f t="shared" si="121"/>
        <v>0</v>
      </c>
      <c r="BD62" s="288"/>
      <c r="BE62" s="289">
        <f t="shared" ref="BE62:BK62" si="122">BE61/$G62</f>
        <v>0</v>
      </c>
      <c r="BF62" s="290">
        <f t="shared" si="122"/>
        <v>4.7138367736545197</v>
      </c>
      <c r="BG62" s="290">
        <f t="shared" si="122"/>
        <v>4.7138367736545197</v>
      </c>
      <c r="BH62" s="290">
        <f t="shared" si="122"/>
        <v>0</v>
      </c>
      <c r="BI62" s="291">
        <f t="shared" si="122"/>
        <v>0</v>
      </c>
      <c r="BJ62" s="290">
        <f t="shared" si="122"/>
        <v>0</v>
      </c>
      <c r="BK62" s="292">
        <f t="shared" si="122"/>
        <v>0</v>
      </c>
      <c r="BL62" s="288"/>
      <c r="BM62" s="289">
        <f t="shared" ref="BM62:BS62" si="123">BM61/$G62</f>
        <v>0</v>
      </c>
      <c r="BN62" s="290">
        <f t="shared" si="123"/>
        <v>0</v>
      </c>
      <c r="BO62" s="290">
        <f t="shared" si="123"/>
        <v>0</v>
      </c>
      <c r="BP62" s="290">
        <f t="shared" si="123"/>
        <v>0</v>
      </c>
      <c r="BQ62" s="291">
        <f t="shared" si="123"/>
        <v>0</v>
      </c>
      <c r="BR62" s="290">
        <f t="shared" si="123"/>
        <v>0</v>
      </c>
      <c r="BS62" s="292">
        <f t="shared" si="123"/>
        <v>0</v>
      </c>
      <c r="BT62" s="288"/>
      <c r="BU62" s="289">
        <f t="shared" ref="BU62:CA62" si="124">BU61/$G62</f>
        <v>0</v>
      </c>
      <c r="BV62" s="290">
        <f t="shared" si="124"/>
        <v>0</v>
      </c>
      <c r="BW62" s="290">
        <f t="shared" si="124"/>
        <v>0</v>
      </c>
      <c r="BX62" s="290">
        <f t="shared" si="124"/>
        <v>0</v>
      </c>
      <c r="BY62" s="291">
        <f t="shared" si="124"/>
        <v>0</v>
      </c>
      <c r="BZ62" s="290">
        <f t="shared" si="124"/>
        <v>0</v>
      </c>
      <c r="CA62" s="292">
        <f t="shared" si="124"/>
        <v>0</v>
      </c>
      <c r="CB62" s="288"/>
      <c r="CC62" s="289">
        <f t="shared" ref="CC62:CI62" si="125">CC61/$G62</f>
        <v>0</v>
      </c>
      <c r="CD62" s="290">
        <f t="shared" si="125"/>
        <v>0</v>
      </c>
      <c r="CE62" s="290">
        <f t="shared" si="125"/>
        <v>0</v>
      </c>
      <c r="CF62" s="290">
        <f t="shared" si="125"/>
        <v>0</v>
      </c>
      <c r="CG62" s="291">
        <f t="shared" si="125"/>
        <v>0</v>
      </c>
      <c r="CH62" s="290">
        <f t="shared" si="125"/>
        <v>0</v>
      </c>
      <c r="CI62" s="292">
        <f t="shared" si="125"/>
        <v>0</v>
      </c>
      <c r="CJ62" s="288"/>
      <c r="CK62" s="289">
        <f t="shared" ref="CK62:CQ62" si="126">CK61/$G62</f>
        <v>0</v>
      </c>
      <c r="CL62" s="290">
        <f t="shared" si="126"/>
        <v>0</v>
      </c>
      <c r="CM62" s="290">
        <f t="shared" si="126"/>
        <v>0</v>
      </c>
      <c r="CN62" s="290">
        <f t="shared" si="126"/>
        <v>0</v>
      </c>
      <c r="CO62" s="291">
        <f t="shared" si="126"/>
        <v>0</v>
      </c>
      <c r="CP62" s="290">
        <f t="shared" si="126"/>
        <v>0</v>
      </c>
      <c r="CQ62" s="292">
        <f t="shared" si="126"/>
        <v>0</v>
      </c>
    </row>
    <row r="63" spans="1:95" ht="16.5" thickBot="1" x14ac:dyDescent="0.3">
      <c r="A63" s="45"/>
      <c r="B63" s="167"/>
      <c r="C63" s="173"/>
      <c r="D63" s="173"/>
      <c r="E63" s="173"/>
      <c r="F63" s="173"/>
      <c r="G63" s="272"/>
      <c r="H63" s="173"/>
      <c r="I63" s="168"/>
      <c r="J63" s="168"/>
      <c r="K63" s="173"/>
      <c r="L63" s="168"/>
      <c r="M63" s="168"/>
      <c r="N63" s="348"/>
      <c r="O63" s="168"/>
      <c r="P63" s="168"/>
      <c r="Q63" s="348"/>
      <c r="R63" s="168"/>
      <c r="S63" s="168"/>
      <c r="T63" s="168"/>
      <c r="U63" s="168"/>
      <c r="V63" s="168"/>
      <c r="W63" s="168"/>
      <c r="X63" s="168"/>
      <c r="Y63" s="168"/>
      <c r="Z63" s="168"/>
      <c r="AA63" s="168"/>
      <c r="AB63" s="168"/>
      <c r="AC63" s="168"/>
      <c r="AD63" s="168"/>
      <c r="AE63" s="168"/>
      <c r="AF63" s="168"/>
      <c r="AG63" s="168"/>
      <c r="AH63" s="168"/>
      <c r="AI63" s="168"/>
      <c r="AJ63" s="168"/>
      <c r="AK63" s="168"/>
      <c r="AL63" s="168"/>
      <c r="AM63" s="168"/>
      <c r="AN63" s="168"/>
      <c r="AO63" s="168"/>
      <c r="AP63" s="168"/>
      <c r="AQ63" s="168"/>
      <c r="AR63" s="168"/>
      <c r="AS63" s="168"/>
      <c r="AT63" s="168"/>
      <c r="AU63" s="168"/>
      <c r="AV63" s="168"/>
      <c r="AW63" s="168"/>
      <c r="AX63" s="168"/>
      <c r="AY63" s="168"/>
      <c r="AZ63" s="168"/>
      <c r="BA63" s="168"/>
      <c r="BB63" s="168"/>
      <c r="BC63" s="168"/>
      <c r="BD63" s="168"/>
      <c r="BE63" s="168"/>
      <c r="BF63" s="168"/>
      <c r="BG63" s="168"/>
      <c r="BH63" s="168"/>
      <c r="BI63" s="168"/>
      <c r="BJ63" s="168"/>
      <c r="BK63" s="168"/>
      <c r="BL63" s="168"/>
      <c r="BM63" s="168"/>
      <c r="BN63" s="168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</row>
    <row r="64" spans="1:95" x14ac:dyDescent="0.25">
      <c r="A64" s="52" t="s">
        <v>7</v>
      </c>
      <c r="B64" s="166">
        <f>B60+1</f>
        <v>45915</v>
      </c>
      <c r="C64" s="235">
        <f>Boats!J295</f>
        <v>80.157317656890271</v>
      </c>
      <c r="D64" s="77">
        <v>29</v>
      </c>
      <c r="E64" s="150">
        <v>67</v>
      </c>
      <c r="F64" s="579">
        <v>520.29999999999995</v>
      </c>
      <c r="G64" s="253"/>
      <c r="H64" s="247">
        <f t="shared" ref="H64:H70" si="127">SUM(I64:J64)</f>
        <v>4</v>
      </c>
      <c r="I64" s="77">
        <v>3</v>
      </c>
      <c r="J64" s="77">
        <v>1</v>
      </c>
      <c r="K64" s="247">
        <f>SUM(L64:M64)</f>
        <v>2</v>
      </c>
      <c r="L64" s="77">
        <v>1</v>
      </c>
      <c r="M64" s="77">
        <v>1</v>
      </c>
      <c r="N64" s="311">
        <f t="shared" ref="N64:N70" si="128">SUM(O64:P64)</f>
        <v>0</v>
      </c>
      <c r="O64" s="260"/>
      <c r="P64" s="259"/>
      <c r="Q64" s="311">
        <f t="shared" ref="Q64:Q70" si="129">SUM(R64:S64)</f>
        <v>0</v>
      </c>
      <c r="R64" s="260"/>
      <c r="S64" s="259"/>
      <c r="T64" s="580"/>
      <c r="U64" s="581"/>
      <c r="V64" s="260"/>
      <c r="W64" s="520"/>
      <c r="X64" s="262"/>
      <c r="Y64" s="168"/>
      <c r="Z64" s="132"/>
      <c r="AA64" s="532"/>
      <c r="AB64" s="532"/>
      <c r="AC64" s="533"/>
      <c r="AD64" s="132"/>
      <c r="AF64" s="45">
        <v>1</v>
      </c>
      <c r="AG64" s="151"/>
      <c r="AH64"/>
      <c r="AI64"/>
      <c r="AJ64" s="483"/>
      <c r="AK64" s="484"/>
      <c r="AL64"/>
      <c r="AM64" s="484"/>
      <c r="AN64" s="483"/>
      <c r="AO64"/>
      <c r="AP64" s="483"/>
      <c r="AQ64" s="484"/>
      <c r="AR64"/>
      <c r="AS64" s="484"/>
      <c r="AT64"/>
      <c r="AU64" s="11"/>
      <c r="AV64" s="168"/>
      <c r="AW64" s="257"/>
      <c r="AX64" s="255"/>
      <c r="AY64" s="255"/>
      <c r="AZ64" s="255"/>
      <c r="BA64" s="254"/>
      <c r="BB64" s="255"/>
      <c r="BC64" s="258"/>
      <c r="BD64" s="168"/>
      <c r="BE64" s="257"/>
      <c r="BF64" s="255"/>
      <c r="BG64" s="255"/>
      <c r="BH64" s="255"/>
      <c r="BI64" s="254"/>
      <c r="BJ64" s="255"/>
      <c r="BK64" s="258"/>
      <c r="BL64" s="168"/>
      <c r="BM64" s="257"/>
      <c r="BN64" s="255"/>
      <c r="BO64" s="255"/>
      <c r="BP64" s="255"/>
      <c r="BQ64" s="254"/>
      <c r="BR64" s="255"/>
      <c r="BS64" s="258"/>
      <c r="BT64" s="168"/>
      <c r="BU64" s="257"/>
      <c r="BV64" s="255"/>
      <c r="BW64" s="255"/>
      <c r="BX64" s="255"/>
      <c r="BY64" s="254"/>
      <c r="BZ64" s="255"/>
      <c r="CA64" s="258"/>
      <c r="CB64" s="168"/>
      <c r="CC64" s="257"/>
      <c r="CD64" s="255"/>
      <c r="CE64" s="255"/>
      <c r="CF64" s="255"/>
      <c r="CG64" s="254"/>
      <c r="CH64" s="255"/>
      <c r="CI64" s="258"/>
      <c r="CJ64" s="168"/>
      <c r="CK64" s="257"/>
      <c r="CL64" s="255"/>
      <c r="CM64" s="255"/>
      <c r="CN64" s="255"/>
      <c r="CO64" s="254"/>
      <c r="CP64" s="255"/>
      <c r="CQ64" s="258"/>
    </row>
    <row r="65" spans="1:95" x14ac:dyDescent="0.25">
      <c r="A65" s="132" t="s">
        <v>10</v>
      </c>
      <c r="B65" s="167">
        <f t="shared" ref="B65:B70" si="130">B64+1</f>
        <v>45916</v>
      </c>
      <c r="C65" s="173">
        <f>Boats!J302</f>
        <v>73.093888337220321</v>
      </c>
      <c r="D65" s="77">
        <v>24</v>
      </c>
      <c r="E65" s="150">
        <v>53</v>
      </c>
      <c r="F65" s="579">
        <v>412.7</v>
      </c>
      <c r="G65" s="253"/>
      <c r="H65" s="247">
        <f t="shared" si="127"/>
        <v>11</v>
      </c>
      <c r="I65" s="77">
        <v>11</v>
      </c>
      <c r="J65" s="77"/>
      <c r="K65" s="247">
        <f t="shared" ref="K65:K70" si="131">SUM(L65:M65)</f>
        <v>0</v>
      </c>
      <c r="L65" s="77"/>
      <c r="M65" s="77"/>
      <c r="N65" s="311">
        <f t="shared" si="128"/>
        <v>0</v>
      </c>
      <c r="O65" s="260"/>
      <c r="P65" s="259"/>
      <c r="Q65" s="311">
        <f t="shared" si="129"/>
        <v>0</v>
      </c>
      <c r="R65" s="260"/>
      <c r="S65" s="259"/>
      <c r="T65" s="580"/>
      <c r="U65" s="581"/>
      <c r="V65" s="260"/>
      <c r="W65" s="260"/>
      <c r="X65" s="262"/>
      <c r="Y65" s="168"/>
      <c r="Z65" s="132"/>
      <c r="AA65" s="532"/>
      <c r="AB65" s="532"/>
      <c r="AC65" s="533"/>
      <c r="AD65" s="132"/>
      <c r="AF65" s="45"/>
      <c r="AG65" s="151"/>
      <c r="AJ65" s="45"/>
      <c r="AK65" s="151"/>
      <c r="AM65" s="151"/>
      <c r="AN65" s="45"/>
      <c r="AP65" s="45"/>
      <c r="AQ65" s="151"/>
      <c r="AS65" s="151"/>
      <c r="AU65" s="582"/>
      <c r="AV65" s="168"/>
      <c r="AW65" s="261"/>
      <c r="AX65" s="168"/>
      <c r="AY65" s="168"/>
      <c r="AZ65" s="168"/>
      <c r="BA65" s="260"/>
      <c r="BB65" s="168"/>
      <c r="BC65" s="262"/>
      <c r="BD65" s="168"/>
      <c r="BE65" s="261"/>
      <c r="BF65" s="168"/>
      <c r="BG65" s="168"/>
      <c r="BH65" s="168"/>
      <c r="BI65" s="260"/>
      <c r="BJ65" s="168"/>
      <c r="BK65" s="262"/>
      <c r="BL65" s="168"/>
      <c r="BM65" s="261"/>
      <c r="BN65" s="168"/>
      <c r="BO65" s="168"/>
      <c r="BP65" s="168"/>
      <c r="BQ65" s="260"/>
      <c r="BR65" s="168"/>
      <c r="BS65" s="262"/>
      <c r="BT65" s="168"/>
      <c r="BU65" s="261"/>
      <c r="BV65" s="168"/>
      <c r="BW65" s="168"/>
      <c r="BX65" s="168"/>
      <c r="BY65" s="260"/>
      <c r="BZ65" s="168"/>
      <c r="CA65" s="262"/>
      <c r="CB65" s="168"/>
      <c r="CC65" s="261"/>
      <c r="CD65" s="168"/>
      <c r="CE65" s="168"/>
      <c r="CF65" s="168"/>
      <c r="CG65" s="260"/>
      <c r="CH65" s="168"/>
      <c r="CI65" s="262"/>
      <c r="CJ65" s="168"/>
      <c r="CK65" s="261"/>
      <c r="CL65" s="168"/>
      <c r="CM65" s="168"/>
      <c r="CN65" s="168"/>
      <c r="CO65" s="260"/>
      <c r="CP65" s="168"/>
      <c r="CQ65" s="262"/>
    </row>
    <row r="66" spans="1:95" x14ac:dyDescent="0.25">
      <c r="A66" s="132" t="s">
        <v>11</v>
      </c>
      <c r="B66" s="167">
        <f t="shared" si="130"/>
        <v>45917</v>
      </c>
      <c r="C66" s="173">
        <f>Boats!J309</f>
        <v>64.244732480769429</v>
      </c>
      <c r="D66" s="77">
        <v>24</v>
      </c>
      <c r="E66" s="150">
        <v>58</v>
      </c>
      <c r="F66" s="579">
        <v>328.95</v>
      </c>
      <c r="G66" s="253"/>
      <c r="H66" s="247">
        <f t="shared" si="127"/>
        <v>9</v>
      </c>
      <c r="I66" s="77">
        <v>5</v>
      </c>
      <c r="J66" s="77">
        <v>4</v>
      </c>
      <c r="K66" s="247">
        <f t="shared" si="131"/>
        <v>1</v>
      </c>
      <c r="L66" s="77">
        <v>1</v>
      </c>
      <c r="M66" s="77"/>
      <c r="N66" s="311">
        <f t="shared" si="128"/>
        <v>0</v>
      </c>
      <c r="O66" s="260"/>
      <c r="P66" s="259"/>
      <c r="Q66" s="311">
        <f t="shared" si="129"/>
        <v>0</v>
      </c>
      <c r="R66" s="260"/>
      <c r="S66" s="259"/>
      <c r="T66" s="580"/>
      <c r="U66" s="581"/>
      <c r="V66" s="260"/>
      <c r="W66" s="260"/>
      <c r="X66" s="262"/>
      <c r="Y66" s="168"/>
      <c r="Z66" s="132"/>
      <c r="AA66" s="532"/>
      <c r="AB66" s="532"/>
      <c r="AC66" s="533"/>
      <c r="AD66" s="132"/>
      <c r="AF66" s="45"/>
      <c r="AG66" s="151"/>
      <c r="AH66"/>
      <c r="AI66"/>
      <c r="AJ66" s="483"/>
      <c r="AK66" s="484"/>
      <c r="AL66"/>
      <c r="AM66" s="484"/>
      <c r="AN66" s="483"/>
      <c r="AO66"/>
      <c r="AP66" s="483"/>
      <c r="AQ66" s="484"/>
      <c r="AR66"/>
      <c r="AS66" s="484"/>
      <c r="AT66"/>
      <c r="AU66" s="11"/>
      <c r="AV66" s="168"/>
      <c r="AW66" s="261"/>
      <c r="AX66" s="168"/>
      <c r="AY66" s="168"/>
      <c r="AZ66" s="168"/>
      <c r="BA66" s="260"/>
      <c r="BB66" s="168"/>
      <c r="BC66" s="262"/>
      <c r="BD66" s="168"/>
      <c r="BE66" s="261"/>
      <c r="BF66" s="168"/>
      <c r="BG66" s="168"/>
      <c r="BH66" s="168"/>
      <c r="BI66" s="260"/>
      <c r="BJ66" s="168"/>
      <c r="BK66" s="262"/>
      <c r="BL66" s="168"/>
      <c r="BM66" s="261"/>
      <c r="BN66" s="168"/>
      <c r="BO66" s="168"/>
      <c r="BP66" s="168"/>
      <c r="BQ66" s="260"/>
      <c r="BR66" s="168"/>
      <c r="BS66" s="262"/>
      <c r="BT66" s="168"/>
      <c r="BU66" s="261"/>
      <c r="BV66" s="168"/>
      <c r="BW66" s="168"/>
      <c r="BX66" s="168"/>
      <c r="BY66" s="260"/>
      <c r="BZ66" s="168"/>
      <c r="CA66" s="262"/>
      <c r="CB66" s="168"/>
      <c r="CC66" s="261"/>
      <c r="CD66" s="168"/>
      <c r="CE66" s="168"/>
      <c r="CF66" s="168"/>
      <c r="CG66" s="260"/>
      <c r="CH66" s="168"/>
      <c r="CI66" s="262"/>
      <c r="CJ66" s="168"/>
      <c r="CK66" s="261"/>
      <c r="CL66" s="168"/>
      <c r="CM66" s="168"/>
      <c r="CN66" s="168"/>
      <c r="CO66" s="260"/>
      <c r="CP66" s="168"/>
      <c r="CQ66" s="262"/>
    </row>
    <row r="67" spans="1:95" x14ac:dyDescent="0.25">
      <c r="A67" s="132" t="s">
        <v>12</v>
      </c>
      <c r="B67" s="167">
        <f t="shared" si="130"/>
        <v>45918</v>
      </c>
      <c r="C67" s="173">
        <f>Boats!J316</f>
        <v>102.13494417064054</v>
      </c>
      <c r="D67" s="77">
        <v>31</v>
      </c>
      <c r="E67" s="150">
        <v>78</v>
      </c>
      <c r="F67" s="579">
        <v>494.07</v>
      </c>
      <c r="G67" s="253"/>
      <c r="H67" s="247">
        <f t="shared" si="127"/>
        <v>15</v>
      </c>
      <c r="I67" s="77">
        <v>8</v>
      </c>
      <c r="J67" s="77">
        <v>7</v>
      </c>
      <c r="K67" s="247">
        <f t="shared" si="131"/>
        <v>0</v>
      </c>
      <c r="L67" s="77"/>
      <c r="M67" s="77"/>
      <c r="N67" s="311">
        <f t="shared" si="128"/>
        <v>0</v>
      </c>
      <c r="O67" s="260"/>
      <c r="P67" s="259"/>
      <c r="Q67" s="311">
        <f t="shared" si="129"/>
        <v>0</v>
      </c>
      <c r="R67" s="260"/>
      <c r="S67" s="259"/>
      <c r="T67" s="580"/>
      <c r="U67" s="581"/>
      <c r="V67" s="260"/>
      <c r="W67" s="260"/>
      <c r="X67" s="262"/>
      <c r="Y67" s="168"/>
      <c r="Z67" s="132">
        <v>4</v>
      </c>
      <c r="AA67" s="532"/>
      <c r="AB67" s="532"/>
      <c r="AC67" s="533"/>
      <c r="AD67" s="132"/>
      <c r="AE67" s="27">
        <v>1</v>
      </c>
      <c r="AF67" s="45"/>
      <c r="AG67" s="151"/>
      <c r="AH67"/>
      <c r="AI67"/>
      <c r="AJ67" s="483"/>
      <c r="AK67" s="484"/>
      <c r="AL67"/>
      <c r="AM67" s="484"/>
      <c r="AN67" s="483"/>
      <c r="AO67"/>
      <c r="AP67" s="483"/>
      <c r="AQ67" s="484"/>
      <c r="AR67"/>
      <c r="AS67" s="484"/>
      <c r="AT67"/>
      <c r="AU67" s="11"/>
      <c r="AV67" s="168"/>
      <c r="AW67" s="261"/>
      <c r="AX67" s="168"/>
      <c r="AY67" s="168"/>
      <c r="AZ67" s="168"/>
      <c r="BA67" s="260"/>
      <c r="BB67" s="168"/>
      <c r="BC67" s="262"/>
      <c r="BD67" s="168"/>
      <c r="BE67" s="261"/>
      <c r="BF67" s="168"/>
      <c r="BG67" s="168"/>
      <c r="BH67" s="168"/>
      <c r="BI67" s="260"/>
      <c r="BJ67" s="168"/>
      <c r="BK67" s="262"/>
      <c r="BL67" s="168"/>
      <c r="BM67" s="261"/>
      <c r="BN67" s="168"/>
      <c r="BO67" s="168"/>
      <c r="BP67" s="168"/>
      <c r="BQ67" s="260"/>
      <c r="BR67" s="168"/>
      <c r="BS67" s="262"/>
      <c r="BT67" s="168"/>
      <c r="BU67" s="261"/>
      <c r="BV67" s="168"/>
      <c r="BW67" s="168"/>
      <c r="BX67" s="168"/>
      <c r="BY67" s="260"/>
      <c r="BZ67" s="168"/>
      <c r="CA67" s="262"/>
      <c r="CB67" s="168"/>
      <c r="CC67" s="261"/>
      <c r="CD67" s="168"/>
      <c r="CE67" s="168"/>
      <c r="CF67" s="168"/>
      <c r="CG67" s="260"/>
      <c r="CH67" s="168"/>
      <c r="CI67" s="262"/>
      <c r="CJ67" s="168"/>
      <c r="CK67" s="261"/>
      <c r="CL67" s="168"/>
      <c r="CM67" s="168"/>
      <c r="CN67" s="168"/>
      <c r="CO67" s="260"/>
      <c r="CP67" s="168"/>
      <c r="CQ67" s="262"/>
    </row>
    <row r="68" spans="1:95" x14ac:dyDescent="0.25">
      <c r="A68" s="132" t="s">
        <v>13</v>
      </c>
      <c r="B68" s="167">
        <f t="shared" si="130"/>
        <v>45919</v>
      </c>
      <c r="C68" s="173">
        <f>Boats!J323</f>
        <v>139.24328645970442</v>
      </c>
      <c r="D68" s="77">
        <v>21</v>
      </c>
      <c r="E68" s="150">
        <v>39</v>
      </c>
      <c r="F68" s="579">
        <v>827.93</v>
      </c>
      <c r="G68" s="253"/>
      <c r="H68" s="247">
        <f t="shared" si="127"/>
        <v>26</v>
      </c>
      <c r="I68" s="77">
        <v>11</v>
      </c>
      <c r="J68" s="77">
        <v>15</v>
      </c>
      <c r="K68" s="247">
        <f t="shared" si="131"/>
        <v>4</v>
      </c>
      <c r="L68" s="77">
        <v>1</v>
      </c>
      <c r="M68" s="77">
        <v>3</v>
      </c>
      <c r="N68" s="311">
        <f t="shared" si="128"/>
        <v>0</v>
      </c>
      <c r="O68" s="260"/>
      <c r="P68" s="259"/>
      <c r="Q68" s="311">
        <f t="shared" si="129"/>
        <v>0</v>
      </c>
      <c r="R68" s="260"/>
      <c r="S68" s="259"/>
      <c r="T68" s="580"/>
      <c r="U68" s="581">
        <v>1</v>
      </c>
      <c r="V68" s="260"/>
      <c r="W68" s="260"/>
      <c r="X68" s="262"/>
      <c r="Y68" s="168"/>
      <c r="Z68" s="132"/>
      <c r="AA68" s="532"/>
      <c r="AB68" s="532"/>
      <c r="AC68" s="533"/>
      <c r="AD68" s="132"/>
      <c r="AF68" s="45"/>
      <c r="AG68" s="151"/>
      <c r="AH68"/>
      <c r="AI68"/>
      <c r="AJ68" s="483"/>
      <c r="AK68" s="484"/>
      <c r="AL68"/>
      <c r="AM68" s="484"/>
      <c r="AN68" s="483"/>
      <c r="AO68"/>
      <c r="AP68" s="483"/>
      <c r="AQ68" s="484"/>
      <c r="AR68"/>
      <c r="AS68" s="484"/>
      <c r="AT68"/>
      <c r="AU68" s="11"/>
      <c r="AV68" s="168"/>
      <c r="AW68" s="261"/>
      <c r="AX68" s="168"/>
      <c r="AY68" s="168"/>
      <c r="AZ68" s="168"/>
      <c r="BA68" s="260"/>
      <c r="BB68" s="168"/>
      <c r="BC68" s="262"/>
      <c r="BD68" s="168"/>
      <c r="BE68" s="261"/>
      <c r="BF68" s="168"/>
      <c r="BG68" s="168"/>
      <c r="BH68" s="168"/>
      <c r="BI68" s="260"/>
      <c r="BJ68" s="168"/>
      <c r="BK68" s="262"/>
      <c r="BL68" s="168"/>
      <c r="BM68" s="261"/>
      <c r="BN68" s="168"/>
      <c r="BO68" s="168"/>
      <c r="BP68" s="168"/>
      <c r="BQ68" s="260"/>
      <c r="BR68" s="168"/>
      <c r="BS68" s="262"/>
      <c r="BT68" s="168"/>
      <c r="BU68" s="261"/>
      <c r="BV68" s="168"/>
      <c r="BW68" s="168"/>
      <c r="BX68" s="168"/>
      <c r="BY68" s="260"/>
      <c r="BZ68" s="168"/>
      <c r="CA68" s="262"/>
      <c r="CB68" s="168"/>
      <c r="CC68" s="261"/>
      <c r="CD68" s="168"/>
      <c r="CE68" s="168"/>
      <c r="CF68" s="168"/>
      <c r="CG68" s="260"/>
      <c r="CH68" s="168"/>
      <c r="CI68" s="262"/>
      <c r="CJ68" s="168"/>
      <c r="CK68" s="261"/>
      <c r="CL68" s="168"/>
      <c r="CM68" s="168"/>
      <c r="CN68" s="168"/>
      <c r="CO68" s="260"/>
      <c r="CP68" s="168"/>
      <c r="CQ68" s="262"/>
    </row>
    <row r="69" spans="1:95" x14ac:dyDescent="0.25">
      <c r="A69" s="132" t="s">
        <v>14</v>
      </c>
      <c r="B69" s="167">
        <f t="shared" si="130"/>
        <v>45920</v>
      </c>
      <c r="C69" s="173">
        <f>Boats!J330</f>
        <v>191.72459730023107</v>
      </c>
      <c r="D69" s="77">
        <v>80</v>
      </c>
      <c r="E69" s="150">
        <v>224</v>
      </c>
      <c r="F69" s="579">
        <v>1458.25</v>
      </c>
      <c r="G69" s="260"/>
      <c r="H69" s="247">
        <f t="shared" si="127"/>
        <v>44</v>
      </c>
      <c r="I69" s="77">
        <v>30</v>
      </c>
      <c r="J69" s="77">
        <v>14</v>
      </c>
      <c r="K69" s="247">
        <f t="shared" si="131"/>
        <v>4</v>
      </c>
      <c r="L69" s="77">
        <v>2</v>
      </c>
      <c r="M69" s="77">
        <v>2</v>
      </c>
      <c r="N69" s="311">
        <f t="shared" si="128"/>
        <v>0</v>
      </c>
      <c r="O69" s="260"/>
      <c r="P69" s="259"/>
      <c r="Q69" s="311">
        <f t="shared" si="129"/>
        <v>0</v>
      </c>
      <c r="R69" s="260"/>
      <c r="S69" s="259"/>
      <c r="T69" s="580"/>
      <c r="U69" s="581">
        <v>1</v>
      </c>
      <c r="V69" s="260"/>
      <c r="W69" s="260"/>
      <c r="X69" s="262"/>
      <c r="Y69" s="168"/>
      <c r="Z69" s="132">
        <v>2</v>
      </c>
      <c r="AA69" s="532">
        <v>1</v>
      </c>
      <c r="AB69" s="532"/>
      <c r="AC69" s="533"/>
      <c r="AD69" s="132">
        <v>1</v>
      </c>
      <c r="AE69" s="27">
        <v>1</v>
      </c>
      <c r="AF69" s="45">
        <v>4</v>
      </c>
      <c r="AG69" s="151"/>
      <c r="AH69"/>
      <c r="AI69"/>
      <c r="AJ69" s="483"/>
      <c r="AK69" s="484"/>
      <c r="AL69"/>
      <c r="AM69" s="484"/>
      <c r="AN69" s="483"/>
      <c r="AO69"/>
      <c r="AP69" s="483"/>
      <c r="AQ69" s="484"/>
      <c r="AR69"/>
      <c r="AS69" s="484"/>
      <c r="AT69"/>
      <c r="AU69" s="11"/>
      <c r="AV69" s="168"/>
      <c r="AW69" s="261"/>
      <c r="AX69" s="168"/>
      <c r="AY69" s="168"/>
      <c r="AZ69" s="168"/>
      <c r="BA69" s="260"/>
      <c r="BB69" s="168"/>
      <c r="BC69" s="262"/>
      <c r="BD69" s="168"/>
      <c r="BE69" s="261"/>
      <c r="BF69" s="168"/>
      <c r="BG69" s="168"/>
      <c r="BH69" s="168"/>
      <c r="BI69" s="260"/>
      <c r="BJ69" s="168"/>
      <c r="BK69" s="262"/>
      <c r="BL69" s="168"/>
      <c r="BM69" s="261"/>
      <c r="BN69" s="168"/>
      <c r="BO69" s="168"/>
      <c r="BP69" s="168"/>
      <c r="BQ69" s="260"/>
      <c r="BR69" s="168"/>
      <c r="BS69" s="262"/>
      <c r="BT69" s="168"/>
      <c r="BU69" s="261"/>
      <c r="BV69" s="168"/>
      <c r="BW69" s="168"/>
      <c r="BX69" s="168"/>
      <c r="BY69" s="260"/>
      <c r="BZ69" s="168"/>
      <c r="CA69" s="262"/>
      <c r="CB69" s="168"/>
      <c r="CC69" s="261"/>
      <c r="CD69" s="168"/>
      <c r="CE69" s="168"/>
      <c r="CF69" s="168"/>
      <c r="CG69" s="260"/>
      <c r="CH69" s="168"/>
      <c r="CI69" s="262"/>
      <c r="CJ69" s="168"/>
      <c r="CK69" s="261"/>
      <c r="CL69" s="168"/>
      <c r="CM69" s="168"/>
      <c r="CN69" s="168"/>
      <c r="CO69" s="260"/>
      <c r="CP69" s="168"/>
      <c r="CQ69" s="262"/>
    </row>
    <row r="70" spans="1:95" ht="16.5" thickBot="1" x14ac:dyDescent="0.3">
      <c r="A70" s="170" t="s">
        <v>15</v>
      </c>
      <c r="B70" s="171">
        <f t="shared" si="130"/>
        <v>45921</v>
      </c>
      <c r="C70" s="236">
        <f>Boats!J337</f>
        <v>123.05309972976187</v>
      </c>
      <c r="D70" s="77">
        <v>49</v>
      </c>
      <c r="E70" s="150">
        <v>148</v>
      </c>
      <c r="F70" s="579">
        <v>789.87</v>
      </c>
      <c r="G70" s="237"/>
      <c r="H70" s="248">
        <f t="shared" si="127"/>
        <v>56</v>
      </c>
      <c r="I70" s="77">
        <v>37</v>
      </c>
      <c r="J70" s="77">
        <v>19</v>
      </c>
      <c r="K70" s="248">
        <f t="shared" si="131"/>
        <v>0</v>
      </c>
      <c r="L70" s="77"/>
      <c r="M70" s="77"/>
      <c r="N70" s="248">
        <f t="shared" si="128"/>
        <v>0</v>
      </c>
      <c r="O70" s="237"/>
      <c r="P70" s="263"/>
      <c r="Q70" s="248">
        <f t="shared" si="129"/>
        <v>0</v>
      </c>
      <c r="R70" s="237"/>
      <c r="S70" s="263"/>
      <c r="T70" s="580"/>
      <c r="U70" s="581"/>
      <c r="V70" s="237"/>
      <c r="W70" s="237"/>
      <c r="X70" s="265"/>
      <c r="Y70" s="168"/>
      <c r="Z70" s="132">
        <v>1</v>
      </c>
      <c r="AA70" s="532"/>
      <c r="AB70" s="532"/>
      <c r="AC70" s="533"/>
      <c r="AD70" s="170"/>
      <c r="AE70" s="172"/>
      <c r="AF70" s="583"/>
      <c r="AG70" s="584"/>
      <c r="AH70" s="556">
        <v>1</v>
      </c>
      <c r="AI70" s="556"/>
      <c r="AJ70" s="557"/>
      <c r="AK70" s="558"/>
      <c r="AL70" s="556"/>
      <c r="AM70" s="558"/>
      <c r="AN70" s="557"/>
      <c r="AO70" s="556"/>
      <c r="AP70" s="557"/>
      <c r="AQ70" s="558"/>
      <c r="AR70" s="556"/>
      <c r="AS70" s="558"/>
      <c r="AT70" s="556"/>
      <c r="AU70" s="559"/>
      <c r="AV70" s="168"/>
      <c r="AW70" s="264"/>
      <c r="AX70" s="238"/>
      <c r="AY70" s="238">
        <v>1</v>
      </c>
      <c r="AZ70" s="238"/>
      <c r="BA70" s="237"/>
      <c r="BB70" s="238"/>
      <c r="BC70" s="265"/>
      <c r="BD70" s="168"/>
      <c r="BE70" s="264"/>
      <c r="BF70" s="238"/>
      <c r="BG70" s="238">
        <v>1</v>
      </c>
      <c r="BH70" s="238"/>
      <c r="BI70" s="237"/>
      <c r="BJ70" s="238"/>
      <c r="BK70" s="265"/>
      <c r="BL70" s="168"/>
      <c r="BM70" s="264"/>
      <c r="BN70" s="238"/>
      <c r="BO70" s="238"/>
      <c r="BP70" s="238"/>
      <c r="BQ70" s="237"/>
      <c r="BR70" s="238"/>
      <c r="BS70" s="265"/>
      <c r="BT70" s="168"/>
      <c r="BU70" s="264"/>
      <c r="BV70" s="238"/>
      <c r="BW70" s="238"/>
      <c r="BX70" s="238"/>
      <c r="BY70" s="237"/>
      <c r="BZ70" s="238"/>
      <c r="CA70" s="265"/>
      <c r="CB70" s="168"/>
      <c r="CC70" s="264"/>
      <c r="CD70" s="238"/>
      <c r="CE70" s="238"/>
      <c r="CF70" s="238"/>
      <c r="CG70" s="237"/>
      <c r="CH70" s="238"/>
      <c r="CI70" s="265"/>
      <c r="CJ70" s="168"/>
      <c r="CK70" s="264"/>
      <c r="CL70" s="238"/>
      <c r="CM70" s="238"/>
      <c r="CN70" s="238"/>
      <c r="CO70" s="237"/>
      <c r="CP70" s="238"/>
      <c r="CQ70" s="265"/>
    </row>
    <row r="71" spans="1:95" ht="16.5" thickTop="1" x14ac:dyDescent="0.25">
      <c r="A71" s="298" t="s">
        <v>106</v>
      </c>
      <c r="B71" s="274"/>
      <c r="C71" s="293"/>
      <c r="D71" s="294"/>
      <c r="E71" s="315"/>
      <c r="F71" s="315"/>
      <c r="G71" s="295"/>
      <c r="H71" s="296">
        <f t="shared" ref="H71:X71" si="132">SUM(H64:H70)</f>
        <v>165</v>
      </c>
      <c r="I71" s="284">
        <f t="shared" si="132"/>
        <v>105</v>
      </c>
      <c r="J71" s="283">
        <f t="shared" si="132"/>
        <v>60</v>
      </c>
      <c r="K71" s="296">
        <f t="shared" si="132"/>
        <v>11</v>
      </c>
      <c r="L71" s="284">
        <f t="shared" si="132"/>
        <v>5</v>
      </c>
      <c r="M71" s="283">
        <f>SUM(M64:M70)</f>
        <v>6</v>
      </c>
      <c r="N71" s="296">
        <f t="shared" si="132"/>
        <v>0</v>
      </c>
      <c r="O71" s="284">
        <f t="shared" si="132"/>
        <v>0</v>
      </c>
      <c r="P71" s="285">
        <f t="shared" si="132"/>
        <v>0</v>
      </c>
      <c r="Q71" s="296">
        <f t="shared" ref="Q71:S71" si="133">SUM(Q64:Q70)</f>
        <v>0</v>
      </c>
      <c r="R71" s="284">
        <f t="shared" si="133"/>
        <v>0</v>
      </c>
      <c r="S71" s="285">
        <f t="shared" si="133"/>
        <v>0</v>
      </c>
      <c r="T71" s="282">
        <f t="shared" si="132"/>
        <v>0</v>
      </c>
      <c r="U71" s="283">
        <f t="shared" si="132"/>
        <v>2</v>
      </c>
      <c r="V71" s="284">
        <f t="shared" si="132"/>
        <v>0</v>
      </c>
      <c r="W71" s="284">
        <f t="shared" si="132"/>
        <v>0</v>
      </c>
      <c r="X71" s="285">
        <f t="shared" si="132"/>
        <v>0</v>
      </c>
      <c r="Y71" s="173"/>
      <c r="Z71" s="282">
        <f>SUM(Z64:Z70)</f>
        <v>7</v>
      </c>
      <c r="AA71" s="283">
        <f>SUM(AA64:AA70)</f>
        <v>1</v>
      </c>
      <c r="AB71" s="283">
        <f>SUM(AB64:AB70)</f>
        <v>0</v>
      </c>
      <c r="AC71" s="285">
        <f>SUM(AC64:AC70)</f>
        <v>0</v>
      </c>
      <c r="AD71" s="553">
        <f t="shared" ref="AD71:AU71" si="134">SUM(AD64:AD70)</f>
        <v>1</v>
      </c>
      <c r="AE71" s="275">
        <f t="shared" si="134"/>
        <v>2</v>
      </c>
      <c r="AF71" s="276">
        <f t="shared" si="134"/>
        <v>5</v>
      </c>
      <c r="AG71" s="275">
        <f t="shared" si="134"/>
        <v>0</v>
      </c>
      <c r="AH71" s="554">
        <f t="shared" si="134"/>
        <v>1</v>
      </c>
      <c r="AI71" s="554">
        <f t="shared" si="134"/>
        <v>0</v>
      </c>
      <c r="AJ71" s="276">
        <f t="shared" si="134"/>
        <v>0</v>
      </c>
      <c r="AK71" s="275">
        <f t="shared" si="134"/>
        <v>0</v>
      </c>
      <c r="AL71" s="276">
        <f t="shared" si="134"/>
        <v>0</v>
      </c>
      <c r="AM71" s="275">
        <f t="shared" si="134"/>
        <v>0</v>
      </c>
      <c r="AN71" s="276">
        <f t="shared" si="134"/>
        <v>0</v>
      </c>
      <c r="AO71" s="275">
        <f t="shared" si="134"/>
        <v>0</v>
      </c>
      <c r="AP71" s="276">
        <f t="shared" si="134"/>
        <v>0</v>
      </c>
      <c r="AQ71" s="275">
        <f t="shared" si="134"/>
        <v>0</v>
      </c>
      <c r="AR71" s="278">
        <f t="shared" si="134"/>
        <v>0</v>
      </c>
      <c r="AS71" s="277">
        <f t="shared" si="134"/>
        <v>0</v>
      </c>
      <c r="AT71" s="554">
        <f t="shared" si="134"/>
        <v>0</v>
      </c>
      <c r="AU71" s="555">
        <f t="shared" si="134"/>
        <v>0</v>
      </c>
      <c r="AV71" s="173"/>
      <c r="AW71" s="282">
        <f t="shared" ref="AW71:BC71" si="135">SUM(AW64:AW70)</f>
        <v>0</v>
      </c>
      <c r="AX71" s="283">
        <f t="shared" si="135"/>
        <v>0</v>
      </c>
      <c r="AY71" s="283">
        <f t="shared" si="135"/>
        <v>1</v>
      </c>
      <c r="AZ71" s="283">
        <f t="shared" si="135"/>
        <v>0</v>
      </c>
      <c r="BA71" s="284">
        <f t="shared" si="135"/>
        <v>0</v>
      </c>
      <c r="BB71" s="283">
        <f t="shared" si="135"/>
        <v>0</v>
      </c>
      <c r="BC71" s="285">
        <f t="shared" si="135"/>
        <v>0</v>
      </c>
      <c r="BD71" s="173"/>
      <c r="BE71" s="282">
        <f t="shared" ref="BE71:BK71" si="136">SUM(BE64:BE70)</f>
        <v>0</v>
      </c>
      <c r="BF71" s="283">
        <f t="shared" si="136"/>
        <v>0</v>
      </c>
      <c r="BG71" s="283">
        <f t="shared" si="136"/>
        <v>1</v>
      </c>
      <c r="BH71" s="283">
        <f t="shared" si="136"/>
        <v>0</v>
      </c>
      <c r="BI71" s="284">
        <f t="shared" si="136"/>
        <v>0</v>
      </c>
      <c r="BJ71" s="283">
        <f t="shared" si="136"/>
        <v>0</v>
      </c>
      <c r="BK71" s="285">
        <f t="shared" si="136"/>
        <v>0</v>
      </c>
      <c r="BL71" s="173"/>
      <c r="BM71" s="282">
        <f t="shared" ref="BM71:BS71" si="137">SUM(BM64:BM70)</f>
        <v>0</v>
      </c>
      <c r="BN71" s="283">
        <f t="shared" si="137"/>
        <v>0</v>
      </c>
      <c r="BO71" s="283">
        <f t="shared" si="137"/>
        <v>0</v>
      </c>
      <c r="BP71" s="283">
        <f t="shared" si="137"/>
        <v>0</v>
      </c>
      <c r="BQ71" s="284">
        <f t="shared" si="137"/>
        <v>0</v>
      </c>
      <c r="BR71" s="283">
        <f t="shared" si="137"/>
        <v>0</v>
      </c>
      <c r="BS71" s="285">
        <f t="shared" si="137"/>
        <v>0</v>
      </c>
      <c r="BT71" s="173"/>
      <c r="BU71" s="282">
        <f t="shared" ref="BU71:CA71" si="138">SUM(BU64:BU70)</f>
        <v>0</v>
      </c>
      <c r="BV71" s="283">
        <f t="shared" si="138"/>
        <v>0</v>
      </c>
      <c r="BW71" s="283">
        <f t="shared" si="138"/>
        <v>0</v>
      </c>
      <c r="BX71" s="283">
        <f t="shared" si="138"/>
        <v>0</v>
      </c>
      <c r="BY71" s="284">
        <f t="shared" si="138"/>
        <v>0</v>
      </c>
      <c r="BZ71" s="283">
        <f t="shared" si="138"/>
        <v>0</v>
      </c>
      <c r="CA71" s="285">
        <f t="shared" si="138"/>
        <v>0</v>
      </c>
      <c r="CB71" s="173"/>
      <c r="CC71" s="282">
        <f t="shared" ref="CC71:CI71" si="139">SUM(CC64:CC70)</f>
        <v>0</v>
      </c>
      <c r="CD71" s="283">
        <f t="shared" si="139"/>
        <v>0</v>
      </c>
      <c r="CE71" s="283">
        <f t="shared" si="139"/>
        <v>0</v>
      </c>
      <c r="CF71" s="283">
        <f t="shared" si="139"/>
        <v>0</v>
      </c>
      <c r="CG71" s="284">
        <f t="shared" si="139"/>
        <v>0</v>
      </c>
      <c r="CH71" s="283">
        <f t="shared" si="139"/>
        <v>0</v>
      </c>
      <c r="CI71" s="285">
        <f t="shared" si="139"/>
        <v>0</v>
      </c>
      <c r="CJ71" s="173"/>
      <c r="CK71" s="282">
        <f t="shared" ref="CK71:CQ71" si="140">SUM(CK64:CK70)</f>
        <v>0</v>
      </c>
      <c r="CL71" s="283">
        <f t="shared" si="140"/>
        <v>0</v>
      </c>
      <c r="CM71" s="283">
        <f t="shared" si="140"/>
        <v>0</v>
      </c>
      <c r="CN71" s="283">
        <f t="shared" si="140"/>
        <v>0</v>
      </c>
      <c r="CO71" s="284">
        <f t="shared" si="140"/>
        <v>0</v>
      </c>
      <c r="CP71" s="283">
        <f t="shared" si="140"/>
        <v>0</v>
      </c>
      <c r="CQ71" s="285">
        <f t="shared" si="140"/>
        <v>0</v>
      </c>
    </row>
    <row r="72" spans="1:95" ht="16.5" thickBot="1" x14ac:dyDescent="0.3">
      <c r="A72" s="299" t="s">
        <v>105</v>
      </c>
      <c r="B72" s="273"/>
      <c r="C72" s="306">
        <f>SUM(C64:C70)</f>
        <v>773.65186613521792</v>
      </c>
      <c r="D72" s="307">
        <f>SUM(D64:D70)</f>
        <v>258</v>
      </c>
      <c r="E72" s="306">
        <f>SUM(E64:E70)</f>
        <v>667</v>
      </c>
      <c r="F72" s="307">
        <f>SUM(F64:F70)</f>
        <v>4832.07</v>
      </c>
      <c r="G72" s="268">
        <f>D72/C72</f>
        <v>0.33348332925097229</v>
      </c>
      <c r="H72" s="279">
        <f t="shared" ref="H72:X72" si="141">H71/$G72</f>
        <v>494.77735624926726</v>
      </c>
      <c r="I72" s="241">
        <f t="shared" si="141"/>
        <v>314.85831761317007</v>
      </c>
      <c r="J72" s="239">
        <f t="shared" si="141"/>
        <v>179.91903863609718</v>
      </c>
      <c r="K72" s="279">
        <f t="shared" si="141"/>
        <v>32.985157083284484</v>
      </c>
      <c r="L72" s="241">
        <f t="shared" si="141"/>
        <v>14.993253219674765</v>
      </c>
      <c r="M72" s="239">
        <f t="shared" si="141"/>
        <v>17.991903863609718</v>
      </c>
      <c r="N72" s="279">
        <f t="shared" si="141"/>
        <v>0</v>
      </c>
      <c r="O72" s="241">
        <f t="shared" si="141"/>
        <v>0</v>
      </c>
      <c r="P72" s="270">
        <f t="shared" si="141"/>
        <v>0</v>
      </c>
      <c r="Q72" s="279">
        <f t="shared" ref="Q72:S72" si="142">Q71/$G72</f>
        <v>0</v>
      </c>
      <c r="R72" s="241">
        <f t="shared" si="142"/>
        <v>0</v>
      </c>
      <c r="S72" s="270">
        <f t="shared" si="142"/>
        <v>0</v>
      </c>
      <c r="T72" s="269">
        <f t="shared" si="141"/>
        <v>0</v>
      </c>
      <c r="U72" s="239">
        <f t="shared" si="141"/>
        <v>5.9973012878699059</v>
      </c>
      <c r="V72" s="241">
        <f t="shared" si="141"/>
        <v>0</v>
      </c>
      <c r="W72" s="241">
        <f t="shared" si="141"/>
        <v>0</v>
      </c>
      <c r="X72" s="270">
        <f t="shared" si="141"/>
        <v>0</v>
      </c>
      <c r="Y72" s="173"/>
      <c r="Z72" s="289">
        <f>Z71/$G72</f>
        <v>20.990554507544672</v>
      </c>
      <c r="AA72" s="290">
        <f t="shared" ref="AA72:AC72" si="143">AA71/$G72</f>
        <v>2.998650643934953</v>
      </c>
      <c r="AB72" s="290">
        <f t="shared" si="143"/>
        <v>0</v>
      </c>
      <c r="AC72" s="292">
        <f t="shared" si="143"/>
        <v>0</v>
      </c>
      <c r="AD72" s="289">
        <f t="shared" ref="AD72:AU72" si="144">AD71/$G72</f>
        <v>2.998650643934953</v>
      </c>
      <c r="AE72" s="324">
        <f t="shared" si="144"/>
        <v>5.9973012878699059</v>
      </c>
      <c r="AF72" s="291">
        <f t="shared" si="144"/>
        <v>14.993253219674765</v>
      </c>
      <c r="AG72" s="324">
        <f t="shared" si="144"/>
        <v>0</v>
      </c>
      <c r="AH72" s="290">
        <f t="shared" si="144"/>
        <v>2.998650643934953</v>
      </c>
      <c r="AI72" s="290">
        <f t="shared" si="144"/>
        <v>0</v>
      </c>
      <c r="AJ72" s="291">
        <f t="shared" si="144"/>
        <v>0</v>
      </c>
      <c r="AK72" s="324">
        <f t="shared" si="144"/>
        <v>0</v>
      </c>
      <c r="AL72" s="291">
        <f t="shared" si="144"/>
        <v>0</v>
      </c>
      <c r="AM72" s="324">
        <f t="shared" si="144"/>
        <v>0</v>
      </c>
      <c r="AN72" s="325">
        <f t="shared" si="144"/>
        <v>0</v>
      </c>
      <c r="AO72" s="326">
        <f t="shared" si="144"/>
        <v>0</v>
      </c>
      <c r="AP72" s="325">
        <f t="shared" si="144"/>
        <v>0</v>
      </c>
      <c r="AQ72" s="326">
        <f t="shared" si="144"/>
        <v>0</v>
      </c>
      <c r="AR72" s="287">
        <f t="shared" si="144"/>
        <v>0</v>
      </c>
      <c r="AS72" s="286">
        <f t="shared" si="144"/>
        <v>0</v>
      </c>
      <c r="AT72" s="290">
        <f t="shared" si="144"/>
        <v>0</v>
      </c>
      <c r="AU72" s="292">
        <f t="shared" si="144"/>
        <v>0</v>
      </c>
      <c r="AV72" s="288"/>
      <c r="AW72" s="289">
        <f t="shared" ref="AW72:BC72" si="145">AW71/$G72</f>
        <v>0</v>
      </c>
      <c r="AX72" s="290">
        <f t="shared" si="145"/>
        <v>0</v>
      </c>
      <c r="AY72" s="290">
        <f t="shared" si="145"/>
        <v>2.998650643934953</v>
      </c>
      <c r="AZ72" s="290">
        <f t="shared" si="145"/>
        <v>0</v>
      </c>
      <c r="BA72" s="291">
        <f t="shared" si="145"/>
        <v>0</v>
      </c>
      <c r="BB72" s="290">
        <f t="shared" si="145"/>
        <v>0</v>
      </c>
      <c r="BC72" s="292">
        <f t="shared" si="145"/>
        <v>0</v>
      </c>
      <c r="BD72" s="288"/>
      <c r="BE72" s="289">
        <f t="shared" ref="BE72:BK72" si="146">BE71/$G72</f>
        <v>0</v>
      </c>
      <c r="BF72" s="290">
        <f t="shared" si="146"/>
        <v>0</v>
      </c>
      <c r="BG72" s="290">
        <f t="shared" si="146"/>
        <v>2.998650643934953</v>
      </c>
      <c r="BH72" s="290">
        <f t="shared" si="146"/>
        <v>0</v>
      </c>
      <c r="BI72" s="291">
        <f t="shared" si="146"/>
        <v>0</v>
      </c>
      <c r="BJ72" s="290">
        <f t="shared" si="146"/>
        <v>0</v>
      </c>
      <c r="BK72" s="292">
        <f t="shared" si="146"/>
        <v>0</v>
      </c>
      <c r="BL72" s="288"/>
      <c r="BM72" s="289">
        <f t="shared" ref="BM72:BS72" si="147">BM71/$G72</f>
        <v>0</v>
      </c>
      <c r="BN72" s="290">
        <f t="shared" si="147"/>
        <v>0</v>
      </c>
      <c r="BO72" s="290">
        <f t="shared" si="147"/>
        <v>0</v>
      </c>
      <c r="BP72" s="290">
        <f t="shared" si="147"/>
        <v>0</v>
      </c>
      <c r="BQ72" s="291">
        <f t="shared" si="147"/>
        <v>0</v>
      </c>
      <c r="BR72" s="290">
        <f t="shared" si="147"/>
        <v>0</v>
      </c>
      <c r="BS72" s="292">
        <f t="shared" si="147"/>
        <v>0</v>
      </c>
      <c r="BT72" s="288"/>
      <c r="BU72" s="289">
        <f t="shared" ref="BU72:CA72" si="148">BU71/$G72</f>
        <v>0</v>
      </c>
      <c r="BV72" s="290">
        <f t="shared" si="148"/>
        <v>0</v>
      </c>
      <c r="BW72" s="290">
        <f t="shared" si="148"/>
        <v>0</v>
      </c>
      <c r="BX72" s="290">
        <f t="shared" si="148"/>
        <v>0</v>
      </c>
      <c r="BY72" s="291">
        <f t="shared" si="148"/>
        <v>0</v>
      </c>
      <c r="BZ72" s="290">
        <f t="shared" si="148"/>
        <v>0</v>
      </c>
      <c r="CA72" s="292">
        <f t="shared" si="148"/>
        <v>0</v>
      </c>
      <c r="CB72" s="288"/>
      <c r="CC72" s="289">
        <f t="shared" ref="CC72:CI72" si="149">CC71/$G72</f>
        <v>0</v>
      </c>
      <c r="CD72" s="290">
        <f t="shared" si="149"/>
        <v>0</v>
      </c>
      <c r="CE72" s="290">
        <f t="shared" si="149"/>
        <v>0</v>
      </c>
      <c r="CF72" s="290">
        <f t="shared" si="149"/>
        <v>0</v>
      </c>
      <c r="CG72" s="291">
        <f t="shared" si="149"/>
        <v>0</v>
      </c>
      <c r="CH72" s="290">
        <f t="shared" si="149"/>
        <v>0</v>
      </c>
      <c r="CI72" s="292">
        <f t="shared" si="149"/>
        <v>0</v>
      </c>
      <c r="CJ72" s="288"/>
      <c r="CK72" s="289">
        <f t="shared" ref="CK72:CQ72" si="150">CK71/$G72</f>
        <v>0</v>
      </c>
      <c r="CL72" s="290">
        <f t="shared" si="150"/>
        <v>0</v>
      </c>
      <c r="CM72" s="290">
        <f t="shared" si="150"/>
        <v>0</v>
      </c>
      <c r="CN72" s="290">
        <f t="shared" si="150"/>
        <v>0</v>
      </c>
      <c r="CO72" s="291">
        <f t="shared" si="150"/>
        <v>0</v>
      </c>
      <c r="CP72" s="290">
        <f t="shared" si="150"/>
        <v>0</v>
      </c>
      <c r="CQ72" s="292">
        <f t="shared" si="150"/>
        <v>0</v>
      </c>
    </row>
    <row r="73" spans="1:95" ht="16.5" thickBot="1" x14ac:dyDescent="0.3">
      <c r="A73" s="45"/>
      <c r="B73" s="167"/>
      <c r="C73" s="173"/>
      <c r="D73" s="173"/>
      <c r="E73" s="173"/>
      <c r="F73" s="173"/>
      <c r="G73" s="272"/>
      <c r="H73" s="173"/>
      <c r="I73" s="168"/>
      <c r="J73" s="168"/>
      <c r="K73" s="173"/>
      <c r="L73" s="168"/>
      <c r="M73" s="168"/>
      <c r="N73" s="348"/>
      <c r="O73" s="168"/>
      <c r="P73" s="168"/>
      <c r="Q73" s="348"/>
      <c r="R73" s="168"/>
      <c r="S73" s="168"/>
      <c r="T73" s="168"/>
      <c r="U73" s="168"/>
      <c r="V73" s="168"/>
      <c r="W73" s="168"/>
      <c r="X73" s="168"/>
      <c r="Y73" s="168"/>
      <c r="Z73" s="168"/>
      <c r="AA73" s="168"/>
      <c r="AB73" s="168"/>
      <c r="AC73" s="168"/>
      <c r="AD73" s="168"/>
      <c r="AE73" s="168"/>
      <c r="AF73" s="168"/>
      <c r="AG73" s="168"/>
      <c r="AH73" s="168"/>
      <c r="AI73" s="168"/>
      <c r="AJ73" s="168"/>
      <c r="AK73" s="168"/>
      <c r="AL73" s="168"/>
      <c r="AM73" s="168"/>
      <c r="AN73" s="168"/>
      <c r="AO73" s="168"/>
      <c r="AP73" s="168"/>
      <c r="AQ73" s="168"/>
      <c r="AR73" s="168"/>
      <c r="AS73" s="168"/>
      <c r="AT73" s="168"/>
      <c r="AU73" s="168"/>
      <c r="AV73" s="168"/>
      <c r="AW73" s="173"/>
      <c r="AX73" s="173"/>
      <c r="AY73" s="173"/>
      <c r="AZ73" s="173"/>
      <c r="BA73" s="173"/>
      <c r="BB73" s="173"/>
      <c r="BC73" s="173"/>
      <c r="BD73" s="168"/>
      <c r="BE73" s="168"/>
      <c r="BF73" s="168"/>
      <c r="BG73" s="168"/>
      <c r="BH73" s="168"/>
      <c r="BI73" s="168"/>
      <c r="BJ73" s="168"/>
      <c r="BK73" s="168"/>
      <c r="BL73" s="168"/>
      <c r="BM73" s="168"/>
      <c r="BN73" s="168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</row>
    <row r="74" spans="1:95" x14ac:dyDescent="0.25">
      <c r="A74" s="52" t="s">
        <v>7</v>
      </c>
      <c r="B74" s="166">
        <f>B70+1</f>
        <v>45922</v>
      </c>
      <c r="C74" s="235">
        <f>Boats!J344</f>
        <v>129.05594962386365</v>
      </c>
      <c r="D74" s="77">
        <v>22</v>
      </c>
      <c r="E74" s="150">
        <v>57</v>
      </c>
      <c r="F74" s="579">
        <v>377.44</v>
      </c>
      <c r="G74" s="253"/>
      <c r="H74" s="247">
        <f t="shared" ref="H74:H80" si="151">SUM(I74:J74)</f>
        <v>11</v>
      </c>
      <c r="I74" s="77">
        <v>9</v>
      </c>
      <c r="J74" s="77">
        <v>2</v>
      </c>
      <c r="K74" s="247">
        <f t="shared" ref="K74:K80" si="152">SUM(L74:M74)</f>
        <v>1</v>
      </c>
      <c r="L74" s="77">
        <v>1</v>
      </c>
      <c r="M74" s="77"/>
      <c r="N74" s="311">
        <f t="shared" ref="N74:N80" si="153">SUM(O74:P74)</f>
        <v>0</v>
      </c>
      <c r="O74" s="77"/>
      <c r="P74" s="77"/>
      <c r="Q74" s="311">
        <f t="shared" ref="Q74:Q80" si="154">SUM(R74:S74)</f>
        <v>0</v>
      </c>
      <c r="R74" s="117"/>
      <c r="S74" s="77"/>
      <c r="T74" s="580"/>
      <c r="U74" s="581"/>
      <c r="V74" s="260"/>
      <c r="W74" s="117"/>
      <c r="X74" s="581"/>
      <c r="Y74" s="168"/>
      <c r="Z74" s="132"/>
      <c r="AA74" s="532"/>
      <c r="AB74" s="532"/>
      <c r="AC74" s="533"/>
      <c r="AD74" s="132"/>
      <c r="AF74" s="45"/>
      <c r="AG74" s="151"/>
      <c r="AJ74" s="45"/>
      <c r="AK74" s="151"/>
      <c r="AM74" s="151"/>
      <c r="AN74" s="45"/>
      <c r="AP74" s="45"/>
      <c r="AQ74" s="151"/>
      <c r="AS74" s="151"/>
      <c r="AU74" s="582"/>
      <c r="AV74" s="168"/>
      <c r="AW74" s="12"/>
      <c r="AX74" s="5"/>
      <c r="AY74" s="5"/>
      <c r="AZ74" s="13"/>
      <c r="BA74" s="261"/>
      <c r="BB74" s="168"/>
      <c r="BC74" s="262"/>
      <c r="BD74" s="168"/>
      <c r="BE74" s="12"/>
      <c r="BF74" s="5"/>
      <c r="BG74" s="5"/>
      <c r="BH74" s="562"/>
      <c r="BI74" s="563"/>
      <c r="BJ74" s="168"/>
      <c r="BK74" s="262"/>
      <c r="BL74" s="168"/>
      <c r="BM74" s="257"/>
      <c r="BN74" s="255"/>
      <c r="BO74" s="255"/>
      <c r="BP74" s="255"/>
      <c r="BQ74" s="254"/>
      <c r="BR74" s="255"/>
      <c r="BS74" s="258"/>
      <c r="BT74" s="168"/>
      <c r="BU74" s="257"/>
      <c r="BV74" s="255"/>
      <c r="BW74" s="255"/>
      <c r="BX74" s="255"/>
      <c r="BY74" s="254"/>
      <c r="BZ74" s="255"/>
      <c r="CA74" s="258"/>
      <c r="CB74" s="168"/>
      <c r="CC74" s="257"/>
      <c r="CD74" s="255"/>
      <c r="CE74" s="255"/>
      <c r="CF74" s="255"/>
      <c r="CG74" s="254"/>
      <c r="CH74" s="255"/>
      <c r="CI74" s="258"/>
      <c r="CJ74" s="168"/>
      <c r="CK74" s="257"/>
      <c r="CL74" s="255"/>
      <c r="CM74" s="255"/>
      <c r="CN74" s="255"/>
      <c r="CO74" s="254"/>
      <c r="CP74" s="255"/>
      <c r="CQ74" s="258"/>
    </row>
    <row r="75" spans="1:95" x14ac:dyDescent="0.25">
      <c r="A75" s="132" t="s">
        <v>10</v>
      </c>
      <c r="B75" s="167">
        <f t="shared" ref="B75:B80" si="155">B74+1</f>
        <v>45923</v>
      </c>
      <c r="C75" s="173">
        <f>Boats!J351</f>
        <v>128.49777256272358</v>
      </c>
      <c r="D75" s="77">
        <v>26</v>
      </c>
      <c r="E75" s="150">
        <v>71</v>
      </c>
      <c r="F75" s="579">
        <v>467.06</v>
      </c>
      <c r="G75" s="253"/>
      <c r="H75" s="247">
        <f t="shared" si="151"/>
        <v>28</v>
      </c>
      <c r="I75" s="77">
        <v>22</v>
      </c>
      <c r="J75" s="77">
        <v>6</v>
      </c>
      <c r="K75" s="247">
        <f t="shared" si="152"/>
        <v>1</v>
      </c>
      <c r="L75" s="77">
        <v>1</v>
      </c>
      <c r="M75" s="77"/>
      <c r="N75" s="311">
        <f t="shared" si="153"/>
        <v>0</v>
      </c>
      <c r="O75" s="77"/>
      <c r="P75" s="77"/>
      <c r="Q75" s="311">
        <f t="shared" si="154"/>
        <v>0</v>
      </c>
      <c r="R75" s="117"/>
      <c r="S75" s="77"/>
      <c r="T75" s="580"/>
      <c r="U75" s="581">
        <v>1</v>
      </c>
      <c r="V75" s="260"/>
      <c r="W75" s="117"/>
      <c r="X75" s="581"/>
      <c r="Y75" s="168"/>
      <c r="Z75" s="132"/>
      <c r="AA75" s="532"/>
      <c r="AB75" s="532"/>
      <c r="AC75" s="533"/>
      <c r="AD75" s="132"/>
      <c r="AF75" s="45"/>
      <c r="AG75" s="151"/>
      <c r="AJ75" s="45"/>
      <c r="AK75" s="151"/>
      <c r="AM75" s="151"/>
      <c r="AN75" s="45"/>
      <c r="AP75" s="45"/>
      <c r="AQ75" s="151"/>
      <c r="AS75" s="151"/>
      <c r="AU75" s="582"/>
      <c r="AV75" s="168"/>
      <c r="AW75" s="580"/>
      <c r="AX75" s="77"/>
      <c r="AY75" s="77"/>
      <c r="AZ75" s="581">
        <v>1</v>
      </c>
      <c r="BA75" s="261"/>
      <c r="BB75" s="168"/>
      <c r="BC75" s="262"/>
      <c r="BD75" s="168"/>
      <c r="BE75" s="580"/>
      <c r="BF75" s="77"/>
      <c r="BG75" s="77"/>
      <c r="BH75" s="587">
        <v>1</v>
      </c>
      <c r="BI75" s="563"/>
      <c r="BJ75" s="168"/>
      <c r="BK75" s="262"/>
      <c r="BL75" s="168"/>
      <c r="BM75" s="261"/>
      <c r="BN75" s="168"/>
      <c r="BO75" s="168"/>
      <c r="BP75" s="168"/>
      <c r="BQ75" s="260"/>
      <c r="BR75" s="168"/>
      <c r="BS75" s="262"/>
      <c r="BT75" s="168"/>
      <c r="BU75" s="261"/>
      <c r="BV75" s="168"/>
      <c r="BW75" s="168"/>
      <c r="BX75" s="168"/>
      <c r="BY75" s="260"/>
      <c r="BZ75" s="168"/>
      <c r="CA75" s="262"/>
      <c r="CB75" s="168"/>
      <c r="CC75" s="261"/>
      <c r="CD75" s="168"/>
      <c r="CE75" s="168"/>
      <c r="CF75" s="168"/>
      <c r="CG75" s="260"/>
      <c r="CH75" s="168"/>
      <c r="CI75" s="262"/>
      <c r="CJ75" s="168"/>
      <c r="CK75" s="261"/>
      <c r="CL75" s="168"/>
      <c r="CM75" s="168"/>
      <c r="CN75" s="168"/>
      <c r="CO75" s="260"/>
      <c r="CP75" s="168"/>
      <c r="CQ75" s="262"/>
    </row>
    <row r="76" spans="1:95" x14ac:dyDescent="0.25">
      <c r="A76" s="132" t="s">
        <v>11</v>
      </c>
      <c r="B76" s="167">
        <f t="shared" si="155"/>
        <v>45924</v>
      </c>
      <c r="C76" s="173">
        <f>Boats!J358</f>
        <v>160.08752321505932</v>
      </c>
      <c r="D76" s="77">
        <v>26</v>
      </c>
      <c r="E76" s="150">
        <v>64</v>
      </c>
      <c r="F76" s="579">
        <v>461.43</v>
      </c>
      <c r="G76" s="253"/>
      <c r="H76" s="247">
        <f t="shared" si="151"/>
        <v>28</v>
      </c>
      <c r="I76" s="77">
        <v>16</v>
      </c>
      <c r="J76" s="77">
        <v>12</v>
      </c>
      <c r="K76" s="247">
        <f t="shared" si="152"/>
        <v>1</v>
      </c>
      <c r="L76" s="77">
        <v>1</v>
      </c>
      <c r="M76" s="77"/>
      <c r="N76" s="311">
        <f t="shared" si="153"/>
        <v>0</v>
      </c>
      <c r="O76" s="77"/>
      <c r="P76" s="77"/>
      <c r="Q76" s="311">
        <f t="shared" si="154"/>
        <v>0</v>
      </c>
      <c r="R76" s="117"/>
      <c r="S76" s="77"/>
      <c r="T76" s="580">
        <v>1</v>
      </c>
      <c r="U76" s="581"/>
      <c r="V76" s="260"/>
      <c r="W76" s="117"/>
      <c r="X76" s="581"/>
      <c r="Y76" s="168"/>
      <c r="Z76" s="132">
        <v>1</v>
      </c>
      <c r="AA76" s="532"/>
      <c r="AB76" s="532"/>
      <c r="AC76" s="533"/>
      <c r="AD76" s="132"/>
      <c r="AF76" s="45"/>
      <c r="AG76" s="151"/>
      <c r="AH76" s="27">
        <v>2</v>
      </c>
      <c r="AJ76" s="45"/>
      <c r="AK76" s="151"/>
      <c r="AM76" s="151"/>
      <c r="AN76" s="45"/>
      <c r="AP76" s="45"/>
      <c r="AQ76" s="151"/>
      <c r="AS76" s="151"/>
      <c r="AU76" s="582"/>
      <c r="AV76" s="168"/>
      <c r="AW76" s="580"/>
      <c r="AX76" s="77"/>
      <c r="AY76" s="77"/>
      <c r="AZ76" s="581"/>
      <c r="BA76" s="261"/>
      <c r="BB76" s="168"/>
      <c r="BC76" s="262"/>
      <c r="BD76" s="168"/>
      <c r="BE76" s="580"/>
      <c r="BF76" s="77"/>
      <c r="BG76" s="77"/>
      <c r="BH76" s="587"/>
      <c r="BI76" s="563"/>
      <c r="BJ76" s="168"/>
      <c r="BK76" s="262"/>
      <c r="BL76" s="168"/>
      <c r="BM76" s="261"/>
      <c r="BN76" s="168"/>
      <c r="BO76" s="168"/>
      <c r="BP76" s="168"/>
      <c r="BQ76" s="260"/>
      <c r="BR76" s="168"/>
      <c r="BS76" s="262"/>
      <c r="BT76" s="168"/>
      <c r="BU76" s="261"/>
      <c r="BV76" s="168"/>
      <c r="BW76" s="168"/>
      <c r="BX76" s="168"/>
      <c r="BY76" s="260"/>
      <c r="BZ76" s="168"/>
      <c r="CA76" s="262"/>
      <c r="CB76" s="168"/>
      <c r="CC76" s="261"/>
      <c r="CD76" s="168"/>
      <c r="CE76" s="168"/>
      <c r="CF76" s="168"/>
      <c r="CG76" s="260"/>
      <c r="CH76" s="168"/>
      <c r="CI76" s="262"/>
      <c r="CJ76" s="168"/>
      <c r="CK76" s="261"/>
      <c r="CL76" s="168"/>
      <c r="CM76" s="168"/>
      <c r="CN76" s="168"/>
      <c r="CO76" s="260"/>
      <c r="CP76" s="168"/>
      <c r="CQ76" s="262"/>
    </row>
    <row r="77" spans="1:95" x14ac:dyDescent="0.25">
      <c r="A77" s="132" t="s">
        <v>12</v>
      </c>
      <c r="B77" s="167">
        <f t="shared" si="155"/>
        <v>45925</v>
      </c>
      <c r="C77" s="173">
        <f>Boats!J365</f>
        <v>139.57849091946355</v>
      </c>
      <c r="D77" s="77">
        <v>56</v>
      </c>
      <c r="E77" s="150">
        <v>142</v>
      </c>
      <c r="F77" s="579">
        <v>984.39</v>
      </c>
      <c r="G77" s="253"/>
      <c r="H77" s="247">
        <f t="shared" si="151"/>
        <v>49</v>
      </c>
      <c r="I77" s="77">
        <v>40</v>
      </c>
      <c r="J77" s="77">
        <v>9</v>
      </c>
      <c r="K77" s="247">
        <f t="shared" si="152"/>
        <v>5</v>
      </c>
      <c r="L77" s="77">
        <v>5</v>
      </c>
      <c r="M77" s="77"/>
      <c r="N77" s="311">
        <f t="shared" si="153"/>
        <v>0</v>
      </c>
      <c r="O77" s="77"/>
      <c r="P77" s="77"/>
      <c r="Q77" s="311">
        <f t="shared" si="154"/>
        <v>0</v>
      </c>
      <c r="R77" s="117"/>
      <c r="S77" s="77"/>
      <c r="T77" s="580">
        <v>1</v>
      </c>
      <c r="U77" s="581"/>
      <c r="V77" s="260"/>
      <c r="W77" s="117"/>
      <c r="X77" s="581"/>
      <c r="Y77" s="168"/>
      <c r="Z77" s="132">
        <v>4</v>
      </c>
      <c r="AA77" s="532"/>
      <c r="AB77" s="532"/>
      <c r="AC77" s="533"/>
      <c r="AD77" s="132"/>
      <c r="AE77" s="27">
        <v>8</v>
      </c>
      <c r="AF77" s="45">
        <v>4</v>
      </c>
      <c r="AG77" s="151"/>
      <c r="AJ77" s="45"/>
      <c r="AK77" s="151"/>
      <c r="AM77" s="151"/>
      <c r="AN77" s="45"/>
      <c r="AP77" s="45"/>
      <c r="AQ77" s="151"/>
      <c r="AS77" s="151"/>
      <c r="AU77" s="582"/>
      <c r="AV77" s="168"/>
      <c r="AW77" s="580"/>
      <c r="AX77" s="77"/>
      <c r="AY77" s="77"/>
      <c r="AZ77" s="581"/>
      <c r="BA77" s="261"/>
      <c r="BB77" s="168"/>
      <c r="BC77" s="262"/>
      <c r="BD77" s="168"/>
      <c r="BE77" s="580"/>
      <c r="BF77" s="77"/>
      <c r="BG77" s="77"/>
      <c r="BH77" s="587"/>
      <c r="BI77" s="563"/>
      <c r="BJ77" s="168"/>
      <c r="BK77" s="262"/>
      <c r="BL77" s="168"/>
      <c r="BM77" s="261"/>
      <c r="BN77" s="168"/>
      <c r="BO77" s="168"/>
      <c r="BP77" s="168"/>
      <c r="BQ77" s="260"/>
      <c r="BR77" s="168"/>
      <c r="BS77" s="262"/>
      <c r="BT77" s="168"/>
      <c r="BU77" s="261"/>
      <c r="BV77" s="168"/>
      <c r="BW77" s="168"/>
      <c r="BX77" s="168"/>
      <c r="BY77" s="260"/>
      <c r="BZ77" s="168"/>
      <c r="CA77" s="262"/>
      <c r="CB77" s="168"/>
      <c r="CC77" s="261"/>
      <c r="CD77" s="168"/>
      <c r="CE77" s="168"/>
      <c r="CF77" s="168"/>
      <c r="CG77" s="260"/>
      <c r="CH77" s="168"/>
      <c r="CI77" s="262"/>
      <c r="CJ77" s="168"/>
      <c r="CK77" s="261"/>
      <c r="CL77" s="168"/>
      <c r="CM77" s="168"/>
      <c r="CN77" s="168"/>
      <c r="CO77" s="260"/>
      <c r="CP77" s="168"/>
      <c r="CQ77" s="262"/>
    </row>
    <row r="78" spans="1:95" x14ac:dyDescent="0.25">
      <c r="A78" s="132" t="s">
        <v>13</v>
      </c>
      <c r="B78" s="167">
        <f t="shared" si="155"/>
        <v>45926</v>
      </c>
      <c r="C78" s="173">
        <f>Boats!J372</f>
        <v>264.31023112779621</v>
      </c>
      <c r="D78" s="77">
        <v>64</v>
      </c>
      <c r="E78" s="150">
        <v>164</v>
      </c>
      <c r="F78" s="579">
        <v>1127.18</v>
      </c>
      <c r="G78" s="253"/>
      <c r="H78" s="247">
        <f t="shared" si="151"/>
        <v>57</v>
      </c>
      <c r="I78" s="77">
        <v>41</v>
      </c>
      <c r="J78" s="77">
        <v>16</v>
      </c>
      <c r="K78" s="247">
        <f t="shared" si="152"/>
        <v>5</v>
      </c>
      <c r="L78" s="77">
        <v>2</v>
      </c>
      <c r="M78" s="77">
        <v>3</v>
      </c>
      <c r="N78" s="311">
        <f t="shared" si="153"/>
        <v>0</v>
      </c>
      <c r="O78" s="77"/>
      <c r="P78" s="77"/>
      <c r="Q78" s="311">
        <f t="shared" si="154"/>
        <v>0</v>
      </c>
      <c r="R78" s="117"/>
      <c r="S78" s="77"/>
      <c r="T78" s="580">
        <v>1</v>
      </c>
      <c r="U78" s="581">
        <v>1</v>
      </c>
      <c r="V78" s="260"/>
      <c r="W78" s="117"/>
      <c r="X78" s="581"/>
      <c r="Y78" s="168"/>
      <c r="Z78" s="132"/>
      <c r="AA78" s="532"/>
      <c r="AB78" s="532"/>
      <c r="AC78" s="533"/>
      <c r="AD78" s="132">
        <v>1</v>
      </c>
      <c r="AF78" s="45">
        <v>2</v>
      </c>
      <c r="AG78" s="151"/>
      <c r="AJ78" s="45"/>
      <c r="AK78" s="151"/>
      <c r="AM78" s="151"/>
      <c r="AN78" s="45"/>
      <c r="AP78" s="45"/>
      <c r="AQ78" s="151"/>
      <c r="AS78" s="151"/>
      <c r="AU78" s="582"/>
      <c r="AV78" s="168"/>
      <c r="AW78" s="580"/>
      <c r="AX78" s="77"/>
      <c r="AY78" s="77">
        <v>2</v>
      </c>
      <c r="AZ78" s="581"/>
      <c r="BA78" s="261"/>
      <c r="BB78" s="168"/>
      <c r="BC78" s="262"/>
      <c r="BD78" s="168"/>
      <c r="BE78" s="580"/>
      <c r="BF78" s="77"/>
      <c r="BG78" s="77">
        <v>2</v>
      </c>
      <c r="BH78" s="587"/>
      <c r="BI78" s="563"/>
      <c r="BJ78" s="168"/>
      <c r="BK78" s="262"/>
      <c r="BL78" s="168"/>
      <c r="BM78" s="261"/>
      <c r="BN78" s="168"/>
      <c r="BO78" s="168"/>
      <c r="BP78" s="168"/>
      <c r="BQ78" s="260"/>
      <c r="BR78" s="168"/>
      <c r="BS78" s="262"/>
      <c r="BT78" s="168"/>
      <c r="BU78" s="261"/>
      <c r="BV78" s="168"/>
      <c r="BW78" s="168"/>
      <c r="BX78" s="168"/>
      <c r="BY78" s="260"/>
      <c r="BZ78" s="168"/>
      <c r="CA78" s="262"/>
      <c r="CB78" s="168"/>
      <c r="CC78" s="261"/>
      <c r="CD78" s="168"/>
      <c r="CE78" s="168"/>
      <c r="CF78" s="168"/>
      <c r="CG78" s="260"/>
      <c r="CH78" s="168"/>
      <c r="CI78" s="262"/>
      <c r="CJ78" s="168"/>
      <c r="CK78" s="261"/>
      <c r="CL78" s="168"/>
      <c r="CM78" s="168"/>
      <c r="CN78" s="168"/>
      <c r="CO78" s="260"/>
      <c r="CP78" s="168"/>
      <c r="CQ78" s="262"/>
    </row>
    <row r="79" spans="1:95" x14ac:dyDescent="0.25">
      <c r="A79" s="132" t="s">
        <v>14</v>
      </c>
      <c r="B79" s="167">
        <f t="shared" si="155"/>
        <v>45927</v>
      </c>
      <c r="C79" s="173">
        <f>Boats!J379</f>
        <v>350.97905058828098</v>
      </c>
      <c r="D79" s="77">
        <v>70</v>
      </c>
      <c r="E79" s="150">
        <v>220</v>
      </c>
      <c r="F79" s="579">
        <v>1292.23</v>
      </c>
      <c r="G79" s="260"/>
      <c r="H79" s="247">
        <f t="shared" si="151"/>
        <v>71</v>
      </c>
      <c r="I79" s="77">
        <v>49</v>
      </c>
      <c r="J79" s="77">
        <v>22</v>
      </c>
      <c r="K79" s="247">
        <f t="shared" si="152"/>
        <v>3</v>
      </c>
      <c r="L79" s="77">
        <v>3</v>
      </c>
      <c r="M79" s="77"/>
      <c r="N79" s="311">
        <f t="shared" si="153"/>
        <v>0</v>
      </c>
      <c r="O79" s="77"/>
      <c r="P79" s="77"/>
      <c r="Q79" s="311">
        <f t="shared" si="154"/>
        <v>0</v>
      </c>
      <c r="R79" s="117"/>
      <c r="S79" s="77"/>
      <c r="T79" s="580"/>
      <c r="U79" s="581"/>
      <c r="V79" s="260"/>
      <c r="W79" s="117"/>
      <c r="X79" s="581"/>
      <c r="Y79" s="168"/>
      <c r="Z79" s="132"/>
      <c r="AA79" s="532"/>
      <c r="AB79" s="532"/>
      <c r="AC79" s="533"/>
      <c r="AD79" s="132"/>
      <c r="AF79" s="45">
        <v>3</v>
      </c>
      <c r="AG79" s="151">
        <v>1</v>
      </c>
      <c r="AJ79" s="45"/>
      <c r="AK79" s="151"/>
      <c r="AM79" s="151"/>
      <c r="AN79" s="45"/>
      <c r="AP79" s="45"/>
      <c r="AQ79" s="151"/>
      <c r="AS79" s="151"/>
      <c r="AT79" s="27">
        <v>1</v>
      </c>
      <c r="AU79" s="582"/>
      <c r="AV79" s="168"/>
      <c r="AW79" s="580"/>
      <c r="AX79" s="77"/>
      <c r="AY79" s="77"/>
      <c r="AZ79" s="581"/>
      <c r="BA79" s="261"/>
      <c r="BB79" s="168"/>
      <c r="BC79" s="262"/>
      <c r="BD79" s="168"/>
      <c r="BE79" s="580"/>
      <c r="BF79" s="77"/>
      <c r="BG79" s="77"/>
      <c r="BH79" s="587"/>
      <c r="BI79" s="563"/>
      <c r="BJ79" s="168"/>
      <c r="BK79" s="262"/>
      <c r="BL79" s="168"/>
      <c r="BM79" s="261"/>
      <c r="BN79" s="168"/>
      <c r="BO79" s="168"/>
      <c r="BP79" s="168"/>
      <c r="BQ79" s="260"/>
      <c r="BR79" s="168"/>
      <c r="BS79" s="262"/>
      <c r="BT79" s="168"/>
      <c r="BU79" s="261"/>
      <c r="BV79" s="168"/>
      <c r="BW79" s="168"/>
      <c r="BX79" s="168"/>
      <c r="BY79" s="260"/>
      <c r="BZ79" s="168"/>
      <c r="CA79" s="262"/>
      <c r="CB79" s="168"/>
      <c r="CC79" s="261"/>
      <c r="CD79" s="168"/>
      <c r="CE79" s="168"/>
      <c r="CF79" s="168"/>
      <c r="CG79" s="260"/>
      <c r="CH79" s="168"/>
      <c r="CI79" s="262"/>
      <c r="CJ79" s="168"/>
      <c r="CK79" s="261"/>
      <c r="CL79" s="168"/>
      <c r="CM79" s="168"/>
      <c r="CN79" s="168"/>
      <c r="CO79" s="260"/>
      <c r="CP79" s="168"/>
      <c r="CQ79" s="262"/>
    </row>
    <row r="80" spans="1:95" ht="16.5" thickBot="1" x14ac:dyDescent="0.3">
      <c r="A80" s="170" t="s">
        <v>15</v>
      </c>
      <c r="B80" s="171">
        <f t="shared" si="155"/>
        <v>45928</v>
      </c>
      <c r="C80" s="236">
        <f>Boats!J386</f>
        <v>252.7959564853962</v>
      </c>
      <c r="D80" s="77">
        <v>68</v>
      </c>
      <c r="E80" s="150">
        <v>209</v>
      </c>
      <c r="F80" s="579">
        <v>1235.8900000000001</v>
      </c>
      <c r="G80" s="237"/>
      <c r="H80" s="248">
        <f t="shared" si="151"/>
        <v>68</v>
      </c>
      <c r="I80" s="77">
        <v>46</v>
      </c>
      <c r="J80" s="77">
        <v>22</v>
      </c>
      <c r="K80" s="248">
        <f t="shared" si="152"/>
        <v>2</v>
      </c>
      <c r="L80" s="77">
        <v>1</v>
      </c>
      <c r="M80" s="77">
        <v>1</v>
      </c>
      <c r="N80" s="248">
        <f t="shared" si="153"/>
        <v>0</v>
      </c>
      <c r="O80" s="77"/>
      <c r="P80" s="77"/>
      <c r="Q80" s="248">
        <f t="shared" si="154"/>
        <v>0</v>
      </c>
      <c r="R80" s="117"/>
      <c r="S80" s="77"/>
      <c r="T80" s="580"/>
      <c r="U80" s="581">
        <v>1</v>
      </c>
      <c r="V80" s="237"/>
      <c r="W80" s="117"/>
      <c r="X80" s="581"/>
      <c r="Y80" s="168"/>
      <c r="Z80" s="170"/>
      <c r="AA80" s="560"/>
      <c r="AB80" s="560"/>
      <c r="AC80" s="561"/>
      <c r="AD80" s="170"/>
      <c r="AE80" s="172">
        <v>1</v>
      </c>
      <c r="AF80" s="583">
        <v>1</v>
      </c>
      <c r="AG80" s="584"/>
      <c r="AH80" s="172"/>
      <c r="AI80" s="172"/>
      <c r="AJ80" s="583"/>
      <c r="AK80" s="584"/>
      <c r="AL80" s="172"/>
      <c r="AM80" s="584"/>
      <c r="AN80" s="583"/>
      <c r="AO80" s="172"/>
      <c r="AP80" s="583"/>
      <c r="AQ80" s="584"/>
      <c r="AR80" s="172"/>
      <c r="AS80" s="584"/>
      <c r="AT80" s="172"/>
      <c r="AU80" s="595"/>
      <c r="AV80" s="168"/>
      <c r="AW80" s="596"/>
      <c r="AX80" s="597"/>
      <c r="AY80" s="597"/>
      <c r="AZ80" s="598"/>
      <c r="BA80" s="264"/>
      <c r="BB80" s="238"/>
      <c r="BC80" s="265"/>
      <c r="BD80" s="168"/>
      <c r="BE80" s="596"/>
      <c r="BF80" s="597"/>
      <c r="BG80" s="597"/>
      <c r="BH80" s="599"/>
      <c r="BI80" s="564"/>
      <c r="BJ80" s="238"/>
      <c r="BK80" s="265"/>
      <c r="BL80" s="168"/>
      <c r="BM80" s="264"/>
      <c r="BN80" s="238"/>
      <c r="BO80" s="238"/>
      <c r="BP80" s="238"/>
      <c r="BQ80" s="237"/>
      <c r="BR80" s="238"/>
      <c r="BS80" s="265"/>
      <c r="BT80" s="168"/>
      <c r="BU80" s="264"/>
      <c r="BV80" s="238"/>
      <c r="BW80" s="238"/>
      <c r="BX80" s="238"/>
      <c r="BY80" s="237"/>
      <c r="BZ80" s="238"/>
      <c r="CA80" s="265"/>
      <c r="CB80" s="168"/>
      <c r="CC80" s="264"/>
      <c r="CD80" s="238"/>
      <c r="CE80" s="238"/>
      <c r="CF80" s="238"/>
      <c r="CG80" s="237"/>
      <c r="CH80" s="238"/>
      <c r="CI80" s="265"/>
      <c r="CJ80" s="168"/>
      <c r="CK80" s="264"/>
      <c r="CL80" s="238"/>
      <c r="CM80" s="238"/>
      <c r="CN80" s="238"/>
      <c r="CO80" s="237"/>
      <c r="CP80" s="238"/>
      <c r="CQ80" s="265"/>
    </row>
    <row r="81" spans="1:95" ht="16.5" thickTop="1" x14ac:dyDescent="0.25">
      <c r="A81" s="298" t="s">
        <v>106</v>
      </c>
      <c r="B81" s="274"/>
      <c r="C81" s="293"/>
      <c r="D81" s="294"/>
      <c r="E81" s="315"/>
      <c r="F81" s="315"/>
      <c r="G81" s="295"/>
      <c r="H81" s="296">
        <f t="shared" ref="H81:X81" si="156">SUM(H74:H80)</f>
        <v>312</v>
      </c>
      <c r="I81" s="284">
        <f t="shared" si="156"/>
        <v>223</v>
      </c>
      <c r="J81" s="283">
        <f t="shared" si="156"/>
        <v>89</v>
      </c>
      <c r="K81" s="296">
        <f t="shared" si="156"/>
        <v>18</v>
      </c>
      <c r="L81" s="284">
        <f t="shared" si="156"/>
        <v>14</v>
      </c>
      <c r="M81" s="283">
        <f t="shared" si="156"/>
        <v>4</v>
      </c>
      <c r="N81" s="296">
        <f t="shared" si="156"/>
        <v>0</v>
      </c>
      <c r="O81" s="284">
        <f t="shared" si="156"/>
        <v>0</v>
      </c>
      <c r="P81" s="285">
        <f t="shared" si="156"/>
        <v>0</v>
      </c>
      <c r="Q81" s="296">
        <f t="shared" ref="Q81:S81" si="157">SUM(Q74:Q80)</f>
        <v>0</v>
      </c>
      <c r="R81" s="284">
        <f t="shared" si="157"/>
        <v>0</v>
      </c>
      <c r="S81" s="285">
        <f t="shared" si="157"/>
        <v>0</v>
      </c>
      <c r="T81" s="282">
        <f t="shared" si="156"/>
        <v>3</v>
      </c>
      <c r="U81" s="283">
        <f t="shared" si="156"/>
        <v>3</v>
      </c>
      <c r="V81" s="284">
        <f t="shared" si="156"/>
        <v>0</v>
      </c>
      <c r="W81" s="284">
        <f t="shared" si="156"/>
        <v>0</v>
      </c>
      <c r="X81" s="285">
        <f t="shared" si="156"/>
        <v>0</v>
      </c>
      <c r="Y81" s="173"/>
      <c r="Z81" s="553">
        <f>SUM(Z74:Z80)</f>
        <v>5</v>
      </c>
      <c r="AA81" s="554">
        <f>SUM(AA74:AA80)</f>
        <v>0</v>
      </c>
      <c r="AB81" s="554">
        <f>SUM(AB74:AB80)</f>
        <v>0</v>
      </c>
      <c r="AC81" s="555">
        <f>SUM(AC74:AC80)</f>
        <v>0</v>
      </c>
      <c r="AD81" s="553">
        <f t="shared" ref="AD81:AU81" si="158">SUM(AD74:AD80)</f>
        <v>1</v>
      </c>
      <c r="AE81" s="275">
        <f t="shared" si="158"/>
        <v>9</v>
      </c>
      <c r="AF81" s="276">
        <f t="shared" si="158"/>
        <v>10</v>
      </c>
      <c r="AG81" s="275">
        <f t="shared" si="158"/>
        <v>1</v>
      </c>
      <c r="AH81" s="554">
        <f t="shared" si="158"/>
        <v>2</v>
      </c>
      <c r="AI81" s="554">
        <f t="shared" si="158"/>
        <v>0</v>
      </c>
      <c r="AJ81" s="276">
        <f t="shared" si="158"/>
        <v>0</v>
      </c>
      <c r="AK81" s="275">
        <f t="shared" si="158"/>
        <v>0</v>
      </c>
      <c r="AL81" s="276">
        <f t="shared" si="158"/>
        <v>0</v>
      </c>
      <c r="AM81" s="275">
        <f t="shared" si="158"/>
        <v>0</v>
      </c>
      <c r="AN81" s="276">
        <f t="shared" si="158"/>
        <v>0</v>
      </c>
      <c r="AO81" s="275">
        <f t="shared" si="158"/>
        <v>0</v>
      </c>
      <c r="AP81" s="276">
        <f t="shared" si="158"/>
        <v>0</v>
      </c>
      <c r="AQ81" s="275">
        <f t="shared" si="158"/>
        <v>0</v>
      </c>
      <c r="AR81" s="278">
        <f t="shared" si="158"/>
        <v>0</v>
      </c>
      <c r="AS81" s="277">
        <f t="shared" si="158"/>
        <v>0</v>
      </c>
      <c r="AT81" s="554">
        <f t="shared" si="158"/>
        <v>1</v>
      </c>
      <c r="AU81" s="555">
        <f t="shared" si="158"/>
        <v>0</v>
      </c>
      <c r="AV81" s="173"/>
      <c r="AW81" s="282">
        <f t="shared" ref="AW81:BC81" si="159">SUM(AW74:AW80)</f>
        <v>0</v>
      </c>
      <c r="AX81" s="283">
        <f t="shared" si="159"/>
        <v>0</v>
      </c>
      <c r="AY81" s="283">
        <f t="shared" si="159"/>
        <v>2</v>
      </c>
      <c r="AZ81" s="283">
        <f t="shared" si="159"/>
        <v>1</v>
      </c>
      <c r="BA81" s="284">
        <f t="shared" si="159"/>
        <v>0</v>
      </c>
      <c r="BB81" s="283">
        <f t="shared" si="159"/>
        <v>0</v>
      </c>
      <c r="BC81" s="285">
        <f t="shared" si="159"/>
        <v>0</v>
      </c>
      <c r="BD81" s="173"/>
      <c r="BE81" s="282">
        <f t="shared" ref="BE81:BK81" si="160">SUM(BE74:BE80)</f>
        <v>0</v>
      </c>
      <c r="BF81" s="283">
        <f t="shared" si="160"/>
        <v>0</v>
      </c>
      <c r="BG81" s="283">
        <f t="shared" si="160"/>
        <v>2</v>
      </c>
      <c r="BH81" s="283">
        <f t="shared" si="160"/>
        <v>1</v>
      </c>
      <c r="BI81" s="284">
        <f t="shared" si="160"/>
        <v>0</v>
      </c>
      <c r="BJ81" s="283">
        <f t="shared" si="160"/>
        <v>0</v>
      </c>
      <c r="BK81" s="285">
        <f t="shared" si="160"/>
        <v>0</v>
      </c>
      <c r="BL81" s="173"/>
      <c r="BM81" s="282">
        <f t="shared" ref="BM81:BS81" si="161">SUM(BM74:BM80)</f>
        <v>0</v>
      </c>
      <c r="BN81" s="283">
        <f t="shared" si="161"/>
        <v>0</v>
      </c>
      <c r="BO81" s="283">
        <f t="shared" si="161"/>
        <v>0</v>
      </c>
      <c r="BP81" s="283">
        <f t="shared" si="161"/>
        <v>0</v>
      </c>
      <c r="BQ81" s="284">
        <f t="shared" si="161"/>
        <v>0</v>
      </c>
      <c r="BR81" s="283">
        <f t="shared" si="161"/>
        <v>0</v>
      </c>
      <c r="BS81" s="285">
        <f t="shared" si="161"/>
        <v>0</v>
      </c>
      <c r="BT81" s="173"/>
      <c r="BU81" s="282">
        <f t="shared" ref="BU81:CA81" si="162">SUM(BU74:BU80)</f>
        <v>0</v>
      </c>
      <c r="BV81" s="283">
        <f t="shared" si="162"/>
        <v>0</v>
      </c>
      <c r="BW81" s="283">
        <f t="shared" si="162"/>
        <v>0</v>
      </c>
      <c r="BX81" s="283">
        <f t="shared" si="162"/>
        <v>0</v>
      </c>
      <c r="BY81" s="284">
        <f t="shared" si="162"/>
        <v>0</v>
      </c>
      <c r="BZ81" s="283">
        <f t="shared" si="162"/>
        <v>0</v>
      </c>
      <c r="CA81" s="285">
        <f t="shared" si="162"/>
        <v>0</v>
      </c>
      <c r="CB81" s="173"/>
      <c r="CC81" s="282">
        <f t="shared" ref="CC81:CI81" si="163">SUM(CC74:CC80)</f>
        <v>0</v>
      </c>
      <c r="CD81" s="283">
        <f t="shared" si="163"/>
        <v>0</v>
      </c>
      <c r="CE81" s="283">
        <f t="shared" si="163"/>
        <v>0</v>
      </c>
      <c r="CF81" s="283">
        <f t="shared" si="163"/>
        <v>0</v>
      </c>
      <c r="CG81" s="284">
        <f t="shared" si="163"/>
        <v>0</v>
      </c>
      <c r="CH81" s="283">
        <f t="shared" si="163"/>
        <v>0</v>
      </c>
      <c r="CI81" s="285">
        <f t="shared" si="163"/>
        <v>0</v>
      </c>
      <c r="CJ81" s="173"/>
      <c r="CK81" s="282">
        <f t="shared" ref="CK81:CQ81" si="164">SUM(CK74:CK80)</f>
        <v>0</v>
      </c>
      <c r="CL81" s="283">
        <f t="shared" si="164"/>
        <v>0</v>
      </c>
      <c r="CM81" s="283">
        <f t="shared" si="164"/>
        <v>0</v>
      </c>
      <c r="CN81" s="283">
        <f t="shared" si="164"/>
        <v>0</v>
      </c>
      <c r="CO81" s="284">
        <f t="shared" si="164"/>
        <v>0</v>
      </c>
      <c r="CP81" s="283">
        <f t="shared" si="164"/>
        <v>0</v>
      </c>
      <c r="CQ81" s="285">
        <f t="shared" si="164"/>
        <v>0</v>
      </c>
    </row>
    <row r="82" spans="1:95" ht="16.5" thickBot="1" x14ac:dyDescent="0.3">
      <c r="A82" s="299" t="s">
        <v>105</v>
      </c>
      <c r="B82" s="273"/>
      <c r="C82" s="306">
        <f>SUM(C74:C80)</f>
        <v>1425.3049745225833</v>
      </c>
      <c r="D82" s="307">
        <f>SUM(D74:D80)</f>
        <v>332</v>
      </c>
      <c r="E82" s="306">
        <f>SUM(E74:E80)</f>
        <v>927</v>
      </c>
      <c r="F82" s="307">
        <f>SUM(F74:F80)</f>
        <v>5945.62</v>
      </c>
      <c r="G82" s="268">
        <f>D82/C82</f>
        <v>0.23293260455447853</v>
      </c>
      <c r="H82" s="279">
        <f t="shared" ref="H82:X82" si="165">H81/$G82</f>
        <v>1339.4432290694156</v>
      </c>
      <c r="I82" s="241">
        <f t="shared" si="165"/>
        <v>957.35846180281953</v>
      </c>
      <c r="J82" s="239">
        <f t="shared" si="165"/>
        <v>382.08476726659615</v>
      </c>
      <c r="K82" s="279">
        <f t="shared" si="165"/>
        <v>77.275570907850906</v>
      </c>
      <c r="L82" s="241">
        <f t="shared" si="165"/>
        <v>60.103221817217367</v>
      </c>
      <c r="M82" s="239">
        <f t="shared" si="165"/>
        <v>17.172349090633535</v>
      </c>
      <c r="N82" s="279">
        <f t="shared" si="165"/>
        <v>0</v>
      </c>
      <c r="O82" s="241">
        <f t="shared" si="165"/>
        <v>0</v>
      </c>
      <c r="P82" s="270">
        <f t="shared" si="165"/>
        <v>0</v>
      </c>
      <c r="Q82" s="279">
        <f t="shared" ref="Q82:S82" si="166">Q81/$G82</f>
        <v>0</v>
      </c>
      <c r="R82" s="241">
        <f t="shared" si="166"/>
        <v>0</v>
      </c>
      <c r="S82" s="270">
        <f t="shared" si="166"/>
        <v>0</v>
      </c>
      <c r="T82" s="289">
        <f t="shared" si="165"/>
        <v>12.87926181797515</v>
      </c>
      <c r="U82" s="290">
        <f t="shared" si="165"/>
        <v>12.87926181797515</v>
      </c>
      <c r="V82" s="291">
        <f t="shared" si="165"/>
        <v>0</v>
      </c>
      <c r="W82" s="241">
        <f t="shared" si="165"/>
        <v>0</v>
      </c>
      <c r="X82" s="270">
        <f t="shared" si="165"/>
        <v>0</v>
      </c>
      <c r="Y82" s="173"/>
      <c r="Z82" s="289">
        <f>Z81/$G82</f>
        <v>21.465436363291918</v>
      </c>
      <c r="AA82" s="290">
        <f t="shared" ref="AA82:AC82" si="167">AA81/$G82</f>
        <v>0</v>
      </c>
      <c r="AB82" s="290">
        <f t="shared" si="167"/>
        <v>0</v>
      </c>
      <c r="AC82" s="292">
        <f t="shared" si="167"/>
        <v>0</v>
      </c>
      <c r="AD82" s="289">
        <f t="shared" ref="AD82:AU82" si="168">AD81/$G82</f>
        <v>4.2930872726583837</v>
      </c>
      <c r="AE82" s="324">
        <f t="shared" si="168"/>
        <v>38.637785453925453</v>
      </c>
      <c r="AF82" s="291">
        <f t="shared" si="168"/>
        <v>42.930872726583836</v>
      </c>
      <c r="AG82" s="324">
        <f t="shared" si="168"/>
        <v>4.2930872726583837</v>
      </c>
      <c r="AH82" s="290">
        <f t="shared" si="168"/>
        <v>8.5861745453167675</v>
      </c>
      <c r="AI82" s="290">
        <f t="shared" si="168"/>
        <v>0</v>
      </c>
      <c r="AJ82" s="291">
        <f t="shared" si="168"/>
        <v>0</v>
      </c>
      <c r="AK82" s="324">
        <f t="shared" si="168"/>
        <v>0</v>
      </c>
      <c r="AL82" s="291">
        <f t="shared" si="168"/>
        <v>0</v>
      </c>
      <c r="AM82" s="324">
        <f t="shared" si="168"/>
        <v>0</v>
      </c>
      <c r="AN82" s="325">
        <f t="shared" si="168"/>
        <v>0</v>
      </c>
      <c r="AO82" s="326">
        <f t="shared" si="168"/>
        <v>0</v>
      </c>
      <c r="AP82" s="325">
        <f t="shared" si="168"/>
        <v>0</v>
      </c>
      <c r="AQ82" s="326">
        <f t="shared" si="168"/>
        <v>0</v>
      </c>
      <c r="AR82" s="287">
        <f t="shared" si="168"/>
        <v>0</v>
      </c>
      <c r="AS82" s="286">
        <f t="shared" si="168"/>
        <v>0</v>
      </c>
      <c r="AT82" s="290">
        <f t="shared" si="168"/>
        <v>4.2930872726583837</v>
      </c>
      <c r="AU82" s="292">
        <f t="shared" si="168"/>
        <v>0</v>
      </c>
      <c r="AV82" s="288"/>
      <c r="AW82" s="289">
        <f t="shared" ref="AW82:BC82" si="169">AW81/$G82</f>
        <v>0</v>
      </c>
      <c r="AX82" s="290">
        <f t="shared" si="169"/>
        <v>0</v>
      </c>
      <c r="AY82" s="290">
        <f t="shared" si="169"/>
        <v>8.5861745453167675</v>
      </c>
      <c r="AZ82" s="290">
        <f t="shared" si="169"/>
        <v>4.2930872726583837</v>
      </c>
      <c r="BA82" s="291">
        <f t="shared" si="169"/>
        <v>0</v>
      </c>
      <c r="BB82" s="290">
        <f t="shared" si="169"/>
        <v>0</v>
      </c>
      <c r="BC82" s="292">
        <f t="shared" si="169"/>
        <v>0</v>
      </c>
      <c r="BD82" s="288"/>
      <c r="BE82" s="289">
        <f t="shared" ref="BE82:BK82" si="170">BE81/$G82</f>
        <v>0</v>
      </c>
      <c r="BF82" s="290">
        <f t="shared" si="170"/>
        <v>0</v>
      </c>
      <c r="BG82" s="290">
        <f t="shared" si="170"/>
        <v>8.5861745453167675</v>
      </c>
      <c r="BH82" s="290">
        <f t="shared" si="170"/>
        <v>4.2930872726583837</v>
      </c>
      <c r="BI82" s="291">
        <f t="shared" si="170"/>
        <v>0</v>
      </c>
      <c r="BJ82" s="290">
        <f t="shared" si="170"/>
        <v>0</v>
      </c>
      <c r="BK82" s="292">
        <f t="shared" si="170"/>
        <v>0</v>
      </c>
      <c r="BL82" s="288"/>
      <c r="BM82" s="289">
        <f t="shared" ref="BM82:BS82" si="171">BM81/$G82</f>
        <v>0</v>
      </c>
      <c r="BN82" s="290">
        <f t="shared" si="171"/>
        <v>0</v>
      </c>
      <c r="BO82" s="290">
        <f t="shared" si="171"/>
        <v>0</v>
      </c>
      <c r="BP82" s="290">
        <f t="shared" si="171"/>
        <v>0</v>
      </c>
      <c r="BQ82" s="291">
        <f t="shared" si="171"/>
        <v>0</v>
      </c>
      <c r="BR82" s="290">
        <f t="shared" si="171"/>
        <v>0</v>
      </c>
      <c r="BS82" s="292">
        <f t="shared" si="171"/>
        <v>0</v>
      </c>
      <c r="BT82" s="288"/>
      <c r="BU82" s="289">
        <f t="shared" ref="BU82:CA82" si="172">BU81/$G82</f>
        <v>0</v>
      </c>
      <c r="BV82" s="290">
        <f t="shared" si="172"/>
        <v>0</v>
      </c>
      <c r="BW82" s="290">
        <f t="shared" si="172"/>
        <v>0</v>
      </c>
      <c r="BX82" s="290">
        <f t="shared" si="172"/>
        <v>0</v>
      </c>
      <c r="BY82" s="291">
        <f t="shared" si="172"/>
        <v>0</v>
      </c>
      <c r="BZ82" s="290">
        <f t="shared" si="172"/>
        <v>0</v>
      </c>
      <c r="CA82" s="292">
        <f t="shared" si="172"/>
        <v>0</v>
      </c>
      <c r="CB82" s="288"/>
      <c r="CC82" s="289">
        <f t="shared" ref="CC82:CI82" si="173">CC81/$G82</f>
        <v>0</v>
      </c>
      <c r="CD82" s="290">
        <f t="shared" si="173"/>
        <v>0</v>
      </c>
      <c r="CE82" s="290">
        <f t="shared" si="173"/>
        <v>0</v>
      </c>
      <c r="CF82" s="290">
        <f t="shared" si="173"/>
        <v>0</v>
      </c>
      <c r="CG82" s="291">
        <f t="shared" si="173"/>
        <v>0</v>
      </c>
      <c r="CH82" s="290">
        <f t="shared" si="173"/>
        <v>0</v>
      </c>
      <c r="CI82" s="292">
        <f t="shared" si="173"/>
        <v>0</v>
      </c>
      <c r="CJ82" s="288"/>
      <c r="CK82" s="289">
        <f t="shared" ref="CK82:CQ82" si="174">CK81/$G82</f>
        <v>0</v>
      </c>
      <c r="CL82" s="290">
        <f t="shared" si="174"/>
        <v>0</v>
      </c>
      <c r="CM82" s="290">
        <f t="shared" si="174"/>
        <v>0</v>
      </c>
      <c r="CN82" s="290">
        <f t="shared" si="174"/>
        <v>0</v>
      </c>
      <c r="CO82" s="291">
        <f t="shared" si="174"/>
        <v>0</v>
      </c>
      <c r="CP82" s="290">
        <f t="shared" si="174"/>
        <v>0</v>
      </c>
      <c r="CQ82" s="292">
        <f t="shared" si="174"/>
        <v>0</v>
      </c>
    </row>
    <row r="83" spans="1:95" ht="16.5" thickBot="1" x14ac:dyDescent="0.3">
      <c r="A83" s="45"/>
      <c r="B83" s="167"/>
      <c r="C83" s="173"/>
      <c r="D83" s="173"/>
      <c r="E83" s="173"/>
      <c r="F83" s="173"/>
      <c r="G83" s="272"/>
      <c r="H83" s="173"/>
      <c r="I83" s="168"/>
      <c r="J83" s="168"/>
      <c r="K83" s="173"/>
      <c r="L83" s="168"/>
      <c r="M83" s="168"/>
      <c r="N83" s="348"/>
      <c r="O83" s="168"/>
      <c r="P83" s="168"/>
      <c r="Q83" s="348"/>
      <c r="R83" s="168"/>
      <c r="S83" s="168"/>
      <c r="T83" s="168"/>
      <c r="U83" s="168"/>
      <c r="V83" s="168"/>
      <c r="W83" s="168"/>
      <c r="X83" s="168"/>
      <c r="Y83" s="168"/>
      <c r="Z83" s="168"/>
      <c r="AA83" s="168"/>
      <c r="AB83" s="168"/>
      <c r="AC83" s="168"/>
      <c r="AD83" s="168"/>
      <c r="AE83" s="168"/>
      <c r="AF83" s="168"/>
      <c r="AG83" s="168"/>
      <c r="AH83" s="168"/>
      <c r="AI83" s="168"/>
      <c r="AJ83" s="168"/>
      <c r="AK83" s="168"/>
      <c r="AL83" s="168"/>
      <c r="AM83" s="168"/>
      <c r="AN83" s="168"/>
      <c r="AO83" s="168"/>
      <c r="AP83" s="168"/>
      <c r="AQ83" s="168"/>
      <c r="AR83" s="168"/>
      <c r="AS83" s="168"/>
      <c r="AT83" s="168"/>
      <c r="AU83" s="168"/>
      <c r="AV83" s="168"/>
      <c r="AW83" s="168"/>
      <c r="AX83" s="168"/>
      <c r="AY83" s="168"/>
      <c r="AZ83" s="168"/>
      <c r="BA83" s="168"/>
      <c r="BB83" s="168"/>
      <c r="BC83" s="168"/>
      <c r="BD83" s="168"/>
      <c r="BE83" s="168"/>
      <c r="BF83" s="168"/>
      <c r="BG83" s="168"/>
      <c r="BH83" s="168"/>
      <c r="BI83" s="168"/>
      <c r="BJ83" s="168"/>
      <c r="BK83" s="168"/>
      <c r="BL83" s="168"/>
      <c r="BM83" s="168"/>
      <c r="BN83" s="168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</row>
    <row r="84" spans="1:95" x14ac:dyDescent="0.25">
      <c r="A84" s="52" t="s">
        <v>7</v>
      </c>
      <c r="B84" s="166">
        <f>B80+1</f>
        <v>45929</v>
      </c>
      <c r="C84" s="235">
        <f>Boats!J393</f>
        <v>158.90460861652704</v>
      </c>
      <c r="D84" s="77">
        <v>60</v>
      </c>
      <c r="E84" s="150">
        <v>194</v>
      </c>
      <c r="F84" s="579">
        <v>1232.27</v>
      </c>
      <c r="G84" s="253"/>
      <c r="H84" s="247">
        <f t="shared" ref="H84:H90" si="175">SUM(I84:J84)</f>
        <v>110</v>
      </c>
      <c r="I84" s="77">
        <v>76</v>
      </c>
      <c r="J84" s="77">
        <v>34</v>
      </c>
      <c r="K84" s="247">
        <f t="shared" ref="K84:K90" si="176">SUM(L84:M84)</f>
        <v>3</v>
      </c>
      <c r="L84" s="77">
        <v>1</v>
      </c>
      <c r="M84" s="77">
        <v>2</v>
      </c>
      <c r="N84" s="311">
        <f t="shared" ref="N84:N90" si="177">SUM(O84:P84)</f>
        <v>0</v>
      </c>
      <c r="O84" s="77"/>
      <c r="P84" s="77"/>
      <c r="Q84" s="311">
        <f t="shared" ref="Q84:Q90" si="178">SUM(R84:S84)</f>
        <v>0</v>
      </c>
      <c r="R84" s="260"/>
      <c r="S84" s="259"/>
      <c r="T84" s="580"/>
      <c r="U84" s="581"/>
      <c r="V84" s="260"/>
      <c r="W84" s="520"/>
      <c r="X84" s="262"/>
      <c r="Y84" s="168"/>
      <c r="Z84" s="132">
        <v>1</v>
      </c>
      <c r="AA84" s="532"/>
      <c r="AB84" s="532"/>
      <c r="AC84" s="533"/>
      <c r="AD84" s="132"/>
      <c r="AF84" s="45"/>
      <c r="AG84" s="151"/>
      <c r="AJ84" s="45"/>
      <c r="AK84" s="151"/>
      <c r="AM84" s="151"/>
      <c r="AN84" s="45"/>
      <c r="AP84" s="45"/>
      <c r="AQ84" s="151"/>
      <c r="AS84" s="151"/>
      <c r="AU84" s="582"/>
      <c r="AV84" s="168"/>
      <c r="AW84" s="117"/>
      <c r="AX84" s="77"/>
      <c r="AY84" s="77"/>
      <c r="AZ84" s="581"/>
      <c r="BA84" s="580"/>
      <c r="BC84" s="77"/>
      <c r="BD84" s="168"/>
      <c r="BE84" s="117"/>
      <c r="BF84" s="77"/>
      <c r="BG84" s="77"/>
      <c r="BH84" s="581"/>
      <c r="BI84" s="580"/>
      <c r="BK84" s="77"/>
      <c r="BL84" s="168"/>
      <c r="BM84" s="257"/>
      <c r="BN84" s="255"/>
      <c r="BO84" s="255"/>
      <c r="BP84" s="255"/>
      <c r="BQ84" s="254"/>
      <c r="BR84" s="255"/>
      <c r="BS84" s="258"/>
      <c r="BT84" s="168"/>
      <c r="BU84" s="257"/>
      <c r="BV84" s="255"/>
      <c r="BW84" s="255"/>
      <c r="BX84" s="255"/>
      <c r="BY84" s="254"/>
      <c r="BZ84" s="255"/>
      <c r="CA84" s="258"/>
      <c r="CB84" s="168"/>
      <c r="CC84" s="257"/>
      <c r="CD84" s="255"/>
      <c r="CE84" s="255"/>
      <c r="CF84" s="255"/>
      <c r="CG84" s="254"/>
      <c r="CH84" s="255"/>
      <c r="CI84" s="258"/>
      <c r="CJ84" s="168"/>
      <c r="CK84" s="257"/>
      <c r="CL84" s="255"/>
      <c r="CM84" s="255"/>
      <c r="CN84" s="255"/>
      <c r="CO84" s="254"/>
      <c r="CP84" s="255"/>
      <c r="CQ84" s="258"/>
    </row>
    <row r="85" spans="1:95" x14ac:dyDescent="0.25">
      <c r="A85" s="132" t="s">
        <v>10</v>
      </c>
      <c r="B85" s="167">
        <f t="shared" ref="B85:B90" si="179">B84+1</f>
        <v>45930</v>
      </c>
      <c r="C85" s="173">
        <f>Boats!J400</f>
        <v>158.11644357358358</v>
      </c>
      <c r="D85" s="77">
        <v>29</v>
      </c>
      <c r="E85" s="150">
        <v>83</v>
      </c>
      <c r="F85" s="579">
        <v>467.76</v>
      </c>
      <c r="G85" s="253"/>
      <c r="H85" s="247">
        <f t="shared" si="175"/>
        <v>41</v>
      </c>
      <c r="I85" s="77">
        <v>29</v>
      </c>
      <c r="J85" s="77">
        <v>12</v>
      </c>
      <c r="K85" s="247">
        <f t="shared" si="176"/>
        <v>1</v>
      </c>
      <c r="L85" s="77">
        <v>1</v>
      </c>
      <c r="M85" s="77"/>
      <c r="N85" s="311">
        <f t="shared" si="177"/>
        <v>0</v>
      </c>
      <c r="O85" s="77"/>
      <c r="P85" s="77"/>
      <c r="Q85" s="311">
        <f t="shared" si="178"/>
        <v>0</v>
      </c>
      <c r="R85" s="260"/>
      <c r="S85" s="259"/>
      <c r="T85" s="580"/>
      <c r="U85" s="581"/>
      <c r="V85" s="260"/>
      <c r="W85" s="260"/>
      <c r="X85" s="262"/>
      <c r="Y85" s="168"/>
      <c r="Z85" s="132"/>
      <c r="AA85" s="532"/>
      <c r="AB85" s="532"/>
      <c r="AC85" s="533"/>
      <c r="AD85" s="132"/>
      <c r="AF85" s="45"/>
      <c r="AG85" s="151"/>
      <c r="AJ85" s="45"/>
      <c r="AK85" s="151"/>
      <c r="AM85" s="151"/>
      <c r="AN85" s="45"/>
      <c r="AP85" s="45"/>
      <c r="AQ85" s="151"/>
      <c r="AS85" s="151"/>
      <c r="AU85" s="582"/>
      <c r="AV85" s="168"/>
      <c r="AW85" s="117"/>
      <c r="AX85" s="77"/>
      <c r="AY85" s="77"/>
      <c r="AZ85" s="581"/>
      <c r="BA85" s="580"/>
      <c r="BC85" s="77"/>
      <c r="BD85" s="168"/>
      <c r="BE85" s="117"/>
      <c r="BF85" s="77"/>
      <c r="BG85" s="77"/>
      <c r="BH85" s="581"/>
      <c r="BI85" s="580"/>
      <c r="BK85" s="77"/>
      <c r="BL85" s="168"/>
      <c r="BM85" s="261"/>
      <c r="BN85" s="168"/>
      <c r="BO85" s="168"/>
      <c r="BP85" s="168"/>
      <c r="BQ85" s="260"/>
      <c r="BR85" s="168"/>
      <c r="BS85" s="262"/>
      <c r="BT85" s="168"/>
      <c r="BU85" s="261"/>
      <c r="BV85" s="168"/>
      <c r="BW85" s="168"/>
      <c r="BX85" s="168"/>
      <c r="BY85" s="260"/>
      <c r="BZ85" s="168"/>
      <c r="CA85" s="262"/>
      <c r="CB85" s="168"/>
      <c r="CC85" s="261"/>
      <c r="CD85" s="168"/>
      <c r="CE85" s="168"/>
      <c r="CF85" s="168"/>
      <c r="CG85" s="260"/>
      <c r="CH85" s="168"/>
      <c r="CI85" s="262"/>
      <c r="CJ85" s="168"/>
      <c r="CK85" s="261"/>
      <c r="CL85" s="168"/>
      <c r="CM85" s="168"/>
      <c r="CN85" s="168"/>
      <c r="CO85" s="260"/>
      <c r="CP85" s="168"/>
      <c r="CQ85" s="262"/>
    </row>
    <row r="86" spans="1:95" x14ac:dyDescent="0.25">
      <c r="A86" s="132" t="s">
        <v>11</v>
      </c>
      <c r="B86" s="167">
        <f t="shared" si="179"/>
        <v>45931</v>
      </c>
      <c r="C86" s="173">
        <f>Boats!J407</f>
        <v>144.76791243797078</v>
      </c>
      <c r="D86" s="77">
        <v>45</v>
      </c>
      <c r="E86" s="150">
        <v>118</v>
      </c>
      <c r="F86" s="579">
        <v>671.7</v>
      </c>
      <c r="G86" s="253"/>
      <c r="H86" s="247">
        <f t="shared" si="175"/>
        <v>64</v>
      </c>
      <c r="I86" s="77">
        <v>37</v>
      </c>
      <c r="J86" s="77">
        <v>27</v>
      </c>
      <c r="K86" s="247">
        <f t="shared" si="176"/>
        <v>3</v>
      </c>
      <c r="L86" s="77">
        <v>1</v>
      </c>
      <c r="M86" s="77">
        <v>2</v>
      </c>
      <c r="N86" s="311">
        <f t="shared" si="177"/>
        <v>0</v>
      </c>
      <c r="O86" s="77"/>
      <c r="P86" s="77"/>
      <c r="Q86" s="311">
        <f t="shared" si="178"/>
        <v>0</v>
      </c>
      <c r="R86" s="260"/>
      <c r="S86" s="259"/>
      <c r="T86" s="580"/>
      <c r="U86" s="581">
        <v>1</v>
      </c>
      <c r="V86" s="260"/>
      <c r="W86" s="260"/>
      <c r="X86" s="262"/>
      <c r="Y86" s="168"/>
      <c r="Z86" s="132"/>
      <c r="AA86" s="532"/>
      <c r="AB86" s="532"/>
      <c r="AC86" s="533"/>
      <c r="AD86" s="132"/>
      <c r="AE86" s="27">
        <v>2</v>
      </c>
      <c r="AF86" s="45"/>
      <c r="AG86" s="151"/>
      <c r="AJ86" s="45"/>
      <c r="AK86" s="151"/>
      <c r="AM86" s="151"/>
      <c r="AN86" s="45"/>
      <c r="AP86" s="45"/>
      <c r="AQ86" s="151"/>
      <c r="AS86" s="151"/>
      <c r="AU86" s="582"/>
      <c r="AV86" s="168"/>
      <c r="AW86" s="117"/>
      <c r="AX86" s="77">
        <v>1</v>
      </c>
      <c r="AY86" s="77"/>
      <c r="AZ86" s="581"/>
      <c r="BA86" s="580"/>
      <c r="BC86" s="77"/>
      <c r="BD86" s="168"/>
      <c r="BE86" s="117"/>
      <c r="BF86" s="77">
        <v>1</v>
      </c>
      <c r="BG86" s="77"/>
      <c r="BH86" s="581"/>
      <c r="BI86" s="580"/>
      <c r="BK86" s="77"/>
      <c r="BL86" s="168"/>
      <c r="BM86" s="261"/>
      <c r="BN86" s="168"/>
      <c r="BO86" s="168"/>
      <c r="BP86" s="168"/>
      <c r="BQ86" s="260"/>
      <c r="BR86" s="168"/>
      <c r="BS86" s="262"/>
      <c r="BT86" s="168"/>
      <c r="BU86" s="261"/>
      <c r="BV86" s="168"/>
      <c r="BW86" s="168"/>
      <c r="BX86" s="168"/>
      <c r="BY86" s="260"/>
      <c r="BZ86" s="168"/>
      <c r="CA86" s="262"/>
      <c r="CB86" s="168"/>
      <c r="CC86" s="261"/>
      <c r="CD86" s="168"/>
      <c r="CE86" s="168"/>
      <c r="CF86" s="168"/>
      <c r="CG86" s="260"/>
      <c r="CH86" s="168"/>
      <c r="CI86" s="262"/>
      <c r="CJ86" s="168"/>
      <c r="CK86" s="261"/>
      <c r="CL86" s="168"/>
      <c r="CM86" s="168"/>
      <c r="CN86" s="168"/>
      <c r="CO86" s="260"/>
      <c r="CP86" s="168"/>
      <c r="CQ86" s="262"/>
    </row>
    <row r="87" spans="1:95" x14ac:dyDescent="0.25">
      <c r="A87" s="132" t="s">
        <v>12</v>
      </c>
      <c r="B87" s="167">
        <f t="shared" si="179"/>
        <v>45932</v>
      </c>
      <c r="C87" s="173">
        <f>Boats!J414</f>
        <v>172.2429667906861</v>
      </c>
      <c r="D87" s="77">
        <v>57</v>
      </c>
      <c r="E87" s="150">
        <v>141</v>
      </c>
      <c r="F87" s="579">
        <v>816.14</v>
      </c>
      <c r="G87" s="253"/>
      <c r="H87" s="247">
        <f t="shared" si="175"/>
        <v>68</v>
      </c>
      <c r="I87" s="77">
        <v>41</v>
      </c>
      <c r="J87" s="77">
        <v>27</v>
      </c>
      <c r="K87" s="247">
        <f t="shared" si="176"/>
        <v>0</v>
      </c>
      <c r="L87" s="77"/>
      <c r="M87" s="77"/>
      <c r="N87" s="311">
        <f t="shared" si="177"/>
        <v>0</v>
      </c>
      <c r="O87" s="77"/>
      <c r="P87" s="77"/>
      <c r="Q87" s="311">
        <f t="shared" si="178"/>
        <v>1</v>
      </c>
      <c r="R87" s="260"/>
      <c r="S87" s="259">
        <v>1</v>
      </c>
      <c r="T87" s="580">
        <v>1</v>
      </c>
      <c r="U87" s="581"/>
      <c r="V87" s="260"/>
      <c r="W87" s="260"/>
      <c r="X87" s="262"/>
      <c r="Y87" s="168"/>
      <c r="Z87" s="132">
        <v>4</v>
      </c>
      <c r="AA87" s="532"/>
      <c r="AB87" s="532"/>
      <c r="AC87" s="533"/>
      <c r="AD87" s="132"/>
      <c r="AE87" s="27">
        <v>4</v>
      </c>
      <c r="AF87" s="45"/>
      <c r="AG87" s="151"/>
      <c r="AI87" s="27">
        <v>4</v>
      </c>
      <c r="AJ87" s="45"/>
      <c r="AK87" s="151"/>
      <c r="AM87" s="151"/>
      <c r="AN87" s="45"/>
      <c r="AP87" s="45"/>
      <c r="AQ87" s="151"/>
      <c r="AS87" s="151"/>
      <c r="AU87" s="582"/>
      <c r="AV87" s="168"/>
      <c r="AW87" s="117"/>
      <c r="AX87" s="77"/>
      <c r="AY87" s="77"/>
      <c r="AZ87" s="581"/>
      <c r="BA87" s="580"/>
      <c r="BC87" s="77"/>
      <c r="BD87" s="168"/>
      <c r="BE87" s="117"/>
      <c r="BF87" s="77"/>
      <c r="BG87" s="77"/>
      <c r="BH87" s="581"/>
      <c r="BI87" s="580"/>
      <c r="BK87" s="77"/>
      <c r="BL87" s="168"/>
      <c r="BM87" s="261"/>
      <c r="BN87" s="168"/>
      <c r="BO87" s="168"/>
      <c r="BP87" s="168"/>
      <c r="BQ87" s="260"/>
      <c r="BR87" s="168"/>
      <c r="BS87" s="262"/>
      <c r="BT87" s="168"/>
      <c r="BU87" s="261"/>
      <c r="BV87" s="168"/>
      <c r="BW87" s="168"/>
      <c r="BX87" s="168"/>
      <c r="BY87" s="260"/>
      <c r="BZ87" s="168"/>
      <c r="CA87" s="262"/>
      <c r="CB87" s="168"/>
      <c r="CC87" s="261"/>
      <c r="CD87" s="168"/>
      <c r="CE87" s="168"/>
      <c r="CF87" s="168"/>
      <c r="CG87" s="260"/>
      <c r="CH87" s="168"/>
      <c r="CI87" s="262"/>
      <c r="CJ87" s="168"/>
      <c r="CK87" s="261"/>
      <c r="CL87" s="168"/>
      <c r="CM87" s="168"/>
      <c r="CN87" s="168"/>
      <c r="CO87" s="260"/>
      <c r="CP87" s="168"/>
      <c r="CQ87" s="262"/>
    </row>
    <row r="88" spans="1:95" x14ac:dyDescent="0.25">
      <c r="A88" s="132" t="s">
        <v>13</v>
      </c>
      <c r="B88" s="167">
        <f t="shared" si="179"/>
        <v>45933</v>
      </c>
      <c r="C88" s="173">
        <f>Boats!J421</f>
        <v>240.0824163847584</v>
      </c>
      <c r="D88" s="77">
        <v>69</v>
      </c>
      <c r="E88" s="150">
        <v>179</v>
      </c>
      <c r="F88" s="579">
        <v>1111.72</v>
      </c>
      <c r="G88" s="253"/>
      <c r="H88" s="247">
        <f t="shared" si="175"/>
        <v>69</v>
      </c>
      <c r="I88" s="77">
        <v>45</v>
      </c>
      <c r="J88" s="77">
        <v>24</v>
      </c>
      <c r="K88" s="247">
        <f t="shared" si="176"/>
        <v>2</v>
      </c>
      <c r="L88" s="77">
        <v>2</v>
      </c>
      <c r="M88" s="77"/>
      <c r="N88" s="311">
        <f t="shared" si="177"/>
        <v>1</v>
      </c>
      <c r="O88" s="77"/>
      <c r="P88" s="77">
        <v>1</v>
      </c>
      <c r="Q88" s="311">
        <f t="shared" si="178"/>
        <v>0</v>
      </c>
      <c r="R88" s="260"/>
      <c r="S88" s="259"/>
      <c r="T88" s="580">
        <v>1</v>
      </c>
      <c r="U88" s="581"/>
      <c r="V88" s="260"/>
      <c r="W88" s="260"/>
      <c r="X88" s="262"/>
      <c r="Y88" s="168"/>
      <c r="Z88" s="132">
        <v>1</v>
      </c>
      <c r="AA88" s="532"/>
      <c r="AB88" s="532"/>
      <c r="AC88" s="533"/>
      <c r="AD88" s="132"/>
      <c r="AF88" s="45"/>
      <c r="AG88" s="151"/>
      <c r="AJ88" s="45"/>
      <c r="AK88" s="151"/>
      <c r="AM88" s="151"/>
      <c r="AN88" s="45"/>
      <c r="AP88" s="45"/>
      <c r="AQ88" s="151"/>
      <c r="AS88" s="151"/>
      <c r="AU88" s="582"/>
      <c r="AV88" s="168"/>
      <c r="AW88" s="117"/>
      <c r="AX88" s="77"/>
      <c r="AY88" s="77">
        <v>2</v>
      </c>
      <c r="AZ88" s="581"/>
      <c r="BA88" s="580"/>
      <c r="BC88" s="77"/>
      <c r="BD88" s="168"/>
      <c r="BE88" s="117"/>
      <c r="BF88" s="77"/>
      <c r="BG88" s="77">
        <v>2</v>
      </c>
      <c r="BH88" s="581"/>
      <c r="BI88" s="580"/>
      <c r="BK88" s="77"/>
      <c r="BL88" s="168"/>
      <c r="BM88" s="261"/>
      <c r="BN88" s="168"/>
      <c r="BO88" s="168"/>
      <c r="BP88" s="168"/>
      <c r="BQ88" s="260"/>
      <c r="BR88" s="168"/>
      <c r="BS88" s="262"/>
      <c r="BT88" s="168"/>
      <c r="BU88" s="261"/>
      <c r="BV88" s="168"/>
      <c r="BW88" s="168"/>
      <c r="BX88" s="168"/>
      <c r="BY88" s="260"/>
      <c r="BZ88" s="168"/>
      <c r="CA88" s="262"/>
      <c r="CB88" s="168"/>
      <c r="CC88" s="261"/>
      <c r="CD88" s="168"/>
      <c r="CE88" s="168"/>
      <c r="CF88" s="168"/>
      <c r="CG88" s="260"/>
      <c r="CH88" s="168"/>
      <c r="CI88" s="262"/>
      <c r="CJ88" s="168"/>
      <c r="CK88" s="261"/>
      <c r="CL88" s="168"/>
      <c r="CM88" s="168"/>
      <c r="CN88" s="168"/>
      <c r="CO88" s="260"/>
      <c r="CP88" s="168"/>
      <c r="CQ88" s="262"/>
    </row>
    <row r="89" spans="1:95" x14ac:dyDescent="0.25">
      <c r="A89" s="132" t="s">
        <v>14</v>
      </c>
      <c r="B89" s="167">
        <f t="shared" si="179"/>
        <v>45934</v>
      </c>
      <c r="C89" s="173">
        <f>Boats!J428</f>
        <v>336.66865550648589</v>
      </c>
      <c r="D89" s="77">
        <v>103</v>
      </c>
      <c r="E89" s="150">
        <v>359</v>
      </c>
      <c r="F89" s="579">
        <v>2077.54</v>
      </c>
      <c r="G89" s="260"/>
      <c r="H89" s="247">
        <f t="shared" si="175"/>
        <v>195</v>
      </c>
      <c r="I89" s="77">
        <v>143</v>
      </c>
      <c r="J89" s="77">
        <v>52</v>
      </c>
      <c r="K89" s="247">
        <f t="shared" si="176"/>
        <v>4</v>
      </c>
      <c r="L89" s="77">
        <v>2</v>
      </c>
      <c r="M89" s="77">
        <v>2</v>
      </c>
      <c r="N89" s="311">
        <f t="shared" si="177"/>
        <v>1</v>
      </c>
      <c r="O89" s="77">
        <v>1</v>
      </c>
      <c r="P89" s="77"/>
      <c r="Q89" s="311">
        <f t="shared" si="178"/>
        <v>0</v>
      </c>
      <c r="R89" s="260"/>
      <c r="S89" s="259"/>
      <c r="T89" s="580">
        <v>1</v>
      </c>
      <c r="U89" s="581"/>
      <c r="V89" s="260"/>
      <c r="W89" s="260"/>
      <c r="X89" s="262"/>
      <c r="Y89" s="168"/>
      <c r="Z89" s="132">
        <v>1</v>
      </c>
      <c r="AA89" s="532"/>
      <c r="AB89" s="532"/>
      <c r="AC89" s="533"/>
      <c r="AD89" s="132"/>
      <c r="AF89" s="45">
        <v>1</v>
      </c>
      <c r="AG89" s="151"/>
      <c r="AJ89" s="45"/>
      <c r="AK89" s="151"/>
      <c r="AM89" s="151"/>
      <c r="AN89" s="45"/>
      <c r="AP89" s="45"/>
      <c r="AQ89" s="151"/>
      <c r="AS89" s="151"/>
      <c r="AU89" s="582"/>
      <c r="AV89" s="168"/>
      <c r="AW89" s="117"/>
      <c r="AX89" s="77"/>
      <c r="AY89" s="77"/>
      <c r="AZ89" s="581"/>
      <c r="BA89" s="580"/>
      <c r="BC89" s="77"/>
      <c r="BD89" s="168"/>
      <c r="BE89" s="117"/>
      <c r="BF89" s="77"/>
      <c r="BG89" s="77"/>
      <c r="BH89" s="581"/>
      <c r="BI89" s="580"/>
      <c r="BK89" s="77"/>
      <c r="BL89" s="168"/>
      <c r="BM89" s="261"/>
      <c r="BN89" s="168"/>
      <c r="BO89" s="168"/>
      <c r="BP89" s="168"/>
      <c r="BQ89" s="260"/>
      <c r="BR89" s="168"/>
      <c r="BS89" s="262"/>
      <c r="BT89" s="168"/>
      <c r="BU89" s="261"/>
      <c r="BV89" s="168"/>
      <c r="BW89" s="168"/>
      <c r="BX89" s="168"/>
      <c r="BY89" s="260"/>
      <c r="BZ89" s="168"/>
      <c r="CA89" s="262"/>
      <c r="CB89" s="168"/>
      <c r="CC89" s="261"/>
      <c r="CD89" s="168"/>
      <c r="CE89" s="168"/>
      <c r="CF89" s="168"/>
      <c r="CG89" s="260"/>
      <c r="CH89" s="168"/>
      <c r="CI89" s="262"/>
      <c r="CJ89" s="168"/>
      <c r="CK89" s="261"/>
      <c r="CL89" s="168"/>
      <c r="CM89" s="168"/>
      <c r="CN89" s="168"/>
      <c r="CO89" s="260"/>
      <c r="CP89" s="168"/>
      <c r="CQ89" s="262"/>
    </row>
    <row r="90" spans="1:95" ht="16.5" thickBot="1" x14ac:dyDescent="0.3">
      <c r="A90" s="170" t="s">
        <v>15</v>
      </c>
      <c r="B90" s="171">
        <f t="shared" si="179"/>
        <v>45935</v>
      </c>
      <c r="C90" s="236">
        <f>Boats!J435</f>
        <v>260.49527519567289</v>
      </c>
      <c r="D90" s="77">
        <v>94</v>
      </c>
      <c r="E90" s="150">
        <v>279</v>
      </c>
      <c r="F90" s="579">
        <v>1674.21</v>
      </c>
      <c r="G90" s="237"/>
      <c r="H90" s="248">
        <f t="shared" si="175"/>
        <v>147</v>
      </c>
      <c r="I90" s="77">
        <v>91</v>
      </c>
      <c r="J90" s="77">
        <v>56</v>
      </c>
      <c r="K90" s="248">
        <f t="shared" si="176"/>
        <v>6</v>
      </c>
      <c r="L90" s="77">
        <v>3</v>
      </c>
      <c r="M90" s="77">
        <v>3</v>
      </c>
      <c r="N90" s="248">
        <f t="shared" si="177"/>
        <v>0</v>
      </c>
      <c r="O90" s="77"/>
      <c r="P90" s="77"/>
      <c r="Q90" s="248">
        <f t="shared" si="178"/>
        <v>0</v>
      </c>
      <c r="R90" s="237"/>
      <c r="S90" s="263"/>
      <c r="T90" s="580"/>
      <c r="U90" s="581"/>
      <c r="V90" s="237"/>
      <c r="W90" s="237"/>
      <c r="X90" s="265"/>
      <c r="Y90" s="168"/>
      <c r="Z90" s="132"/>
      <c r="AA90" s="532"/>
      <c r="AB90" s="532"/>
      <c r="AC90" s="533"/>
      <c r="AD90" s="132"/>
      <c r="AF90" s="45"/>
      <c r="AG90" s="151"/>
      <c r="AJ90" s="45"/>
      <c r="AK90" s="151"/>
      <c r="AM90" s="151"/>
      <c r="AN90" s="601"/>
      <c r="AO90" s="525"/>
      <c r="AP90" s="601"/>
      <c r="AQ90" s="602"/>
      <c r="AR90" s="525"/>
      <c r="AS90" s="602"/>
      <c r="AU90" s="582"/>
      <c r="AV90" s="168"/>
      <c r="AW90" s="117"/>
      <c r="AX90" s="77"/>
      <c r="AY90" s="77"/>
      <c r="AZ90" s="581"/>
      <c r="BA90" s="580"/>
      <c r="BC90" s="77"/>
      <c r="BD90" s="168"/>
      <c r="BE90" s="117"/>
      <c r="BF90" s="77"/>
      <c r="BG90" s="77"/>
      <c r="BH90" s="581"/>
      <c r="BI90" s="580"/>
      <c r="BK90" s="77"/>
      <c r="BL90" s="168"/>
      <c r="BM90" s="264"/>
      <c r="BN90" s="238"/>
      <c r="BO90" s="238"/>
      <c r="BP90" s="238"/>
      <c r="BQ90" s="237"/>
      <c r="BR90" s="238"/>
      <c r="BS90" s="265"/>
      <c r="BT90" s="168"/>
      <c r="BU90" s="264"/>
      <c r="BV90" s="238"/>
      <c r="BW90" s="238"/>
      <c r="BX90" s="238"/>
      <c r="BY90" s="237"/>
      <c r="BZ90" s="238"/>
      <c r="CA90" s="265"/>
      <c r="CB90" s="168"/>
      <c r="CC90" s="264"/>
      <c r="CD90" s="238"/>
      <c r="CE90" s="238"/>
      <c r="CF90" s="238"/>
      <c r="CG90" s="237"/>
      <c r="CH90" s="238"/>
      <c r="CI90" s="265"/>
      <c r="CJ90" s="168"/>
      <c r="CK90" s="264"/>
      <c r="CL90" s="238"/>
      <c r="CM90" s="238"/>
      <c r="CN90" s="238"/>
      <c r="CO90" s="237"/>
      <c r="CP90" s="238"/>
      <c r="CQ90" s="265"/>
    </row>
    <row r="91" spans="1:95" ht="16.5" thickTop="1" x14ac:dyDescent="0.25">
      <c r="A91" s="298" t="s">
        <v>106</v>
      </c>
      <c r="B91" s="274"/>
      <c r="C91" s="293"/>
      <c r="D91" s="294"/>
      <c r="E91" s="315"/>
      <c r="F91" s="315"/>
      <c r="G91" s="295"/>
      <c r="H91" s="296">
        <f t="shared" ref="H91:X91" si="180">SUM(H84:H90)</f>
        <v>694</v>
      </c>
      <c r="I91" s="284">
        <f t="shared" si="180"/>
        <v>462</v>
      </c>
      <c r="J91" s="283">
        <f t="shared" si="180"/>
        <v>232</v>
      </c>
      <c r="K91" s="296">
        <f t="shared" si="180"/>
        <v>19</v>
      </c>
      <c r="L91" s="284">
        <f t="shared" si="180"/>
        <v>10</v>
      </c>
      <c r="M91" s="283">
        <f t="shared" si="180"/>
        <v>9</v>
      </c>
      <c r="N91" s="296">
        <f t="shared" si="180"/>
        <v>2</v>
      </c>
      <c r="O91" s="284">
        <f t="shared" si="180"/>
        <v>1</v>
      </c>
      <c r="P91" s="285">
        <f t="shared" si="180"/>
        <v>1</v>
      </c>
      <c r="Q91" s="296">
        <f t="shared" ref="Q91:S91" si="181">SUM(Q84:Q90)</f>
        <v>1</v>
      </c>
      <c r="R91" s="284">
        <f t="shared" si="181"/>
        <v>0</v>
      </c>
      <c r="S91" s="285">
        <f t="shared" si="181"/>
        <v>1</v>
      </c>
      <c r="T91" s="282">
        <f t="shared" si="180"/>
        <v>3</v>
      </c>
      <c r="U91" s="283">
        <f t="shared" si="180"/>
        <v>1</v>
      </c>
      <c r="V91" s="284">
        <f t="shared" si="180"/>
        <v>0</v>
      </c>
      <c r="W91" s="284">
        <f t="shared" si="180"/>
        <v>0</v>
      </c>
      <c r="X91" s="285">
        <f t="shared" si="180"/>
        <v>0</v>
      </c>
      <c r="Y91" s="173"/>
      <c r="Z91" s="282">
        <f>SUM(Z84:Z90)</f>
        <v>7</v>
      </c>
      <c r="AA91" s="283">
        <f>SUM(AA84:AA90)</f>
        <v>0</v>
      </c>
      <c r="AB91" s="283">
        <f>SUM(AB84:AB90)</f>
        <v>0</v>
      </c>
      <c r="AC91" s="285">
        <f>SUM(AC84:AC90)</f>
        <v>0</v>
      </c>
      <c r="AD91" s="282">
        <f t="shared" ref="AD91:AU91" si="182">SUM(AD84:AD90)</f>
        <v>0</v>
      </c>
      <c r="AE91" s="297">
        <f t="shared" si="182"/>
        <v>6</v>
      </c>
      <c r="AF91" s="284">
        <f t="shared" si="182"/>
        <v>1</v>
      </c>
      <c r="AG91" s="297">
        <f t="shared" si="182"/>
        <v>0</v>
      </c>
      <c r="AH91" s="283">
        <f t="shared" si="182"/>
        <v>0</v>
      </c>
      <c r="AI91" s="283">
        <f t="shared" si="182"/>
        <v>4</v>
      </c>
      <c r="AJ91" s="284">
        <f t="shared" si="182"/>
        <v>0</v>
      </c>
      <c r="AK91" s="297">
        <f t="shared" si="182"/>
        <v>0</v>
      </c>
      <c r="AL91" s="284">
        <f t="shared" si="182"/>
        <v>0</v>
      </c>
      <c r="AM91" s="297">
        <f t="shared" si="182"/>
        <v>0</v>
      </c>
      <c r="AN91" s="276">
        <f t="shared" si="182"/>
        <v>0</v>
      </c>
      <c r="AO91" s="275">
        <f t="shared" si="182"/>
        <v>0</v>
      </c>
      <c r="AP91" s="276">
        <f t="shared" si="182"/>
        <v>0</v>
      </c>
      <c r="AQ91" s="275">
        <f t="shared" si="182"/>
        <v>0</v>
      </c>
      <c r="AR91" s="278">
        <f t="shared" si="182"/>
        <v>0</v>
      </c>
      <c r="AS91" s="277">
        <f t="shared" si="182"/>
        <v>0</v>
      </c>
      <c r="AT91" s="283">
        <f t="shared" si="182"/>
        <v>0</v>
      </c>
      <c r="AU91" s="285">
        <f t="shared" si="182"/>
        <v>0</v>
      </c>
      <c r="AV91" s="173"/>
      <c r="AW91" s="282">
        <f t="shared" ref="AW91:BC91" si="183">SUM(AW84:AW90)</f>
        <v>0</v>
      </c>
      <c r="AX91" s="283">
        <f t="shared" si="183"/>
        <v>1</v>
      </c>
      <c r="AY91" s="283">
        <f t="shared" si="183"/>
        <v>2</v>
      </c>
      <c r="AZ91" s="283">
        <f t="shared" si="183"/>
        <v>0</v>
      </c>
      <c r="BA91" s="284">
        <f t="shared" si="183"/>
        <v>0</v>
      </c>
      <c r="BB91" s="283">
        <f t="shared" si="183"/>
        <v>0</v>
      </c>
      <c r="BC91" s="285">
        <f t="shared" si="183"/>
        <v>0</v>
      </c>
      <c r="BD91" s="173"/>
      <c r="BE91" s="282">
        <f t="shared" ref="BE91:BK91" si="184">SUM(BE84:BE90)</f>
        <v>0</v>
      </c>
      <c r="BF91" s="283">
        <f t="shared" si="184"/>
        <v>1</v>
      </c>
      <c r="BG91" s="283">
        <f t="shared" si="184"/>
        <v>2</v>
      </c>
      <c r="BH91" s="283">
        <f t="shared" si="184"/>
        <v>0</v>
      </c>
      <c r="BI91" s="284">
        <f t="shared" si="184"/>
        <v>0</v>
      </c>
      <c r="BJ91" s="283">
        <f t="shared" si="184"/>
        <v>0</v>
      </c>
      <c r="BK91" s="285">
        <f t="shared" si="184"/>
        <v>0</v>
      </c>
      <c r="BL91" s="173"/>
      <c r="BM91" s="282">
        <f t="shared" ref="BM91:BS91" si="185">SUM(BM84:BM90)</f>
        <v>0</v>
      </c>
      <c r="BN91" s="283">
        <f t="shared" si="185"/>
        <v>0</v>
      </c>
      <c r="BO91" s="283">
        <f t="shared" si="185"/>
        <v>0</v>
      </c>
      <c r="BP91" s="283">
        <f t="shared" si="185"/>
        <v>0</v>
      </c>
      <c r="BQ91" s="284">
        <f t="shared" si="185"/>
        <v>0</v>
      </c>
      <c r="BR91" s="283">
        <f t="shared" si="185"/>
        <v>0</v>
      </c>
      <c r="BS91" s="285">
        <f t="shared" si="185"/>
        <v>0</v>
      </c>
      <c r="BT91" s="173"/>
      <c r="BU91" s="282">
        <f t="shared" ref="BU91:CA91" si="186">SUM(BU84:BU90)</f>
        <v>0</v>
      </c>
      <c r="BV91" s="283">
        <f t="shared" si="186"/>
        <v>0</v>
      </c>
      <c r="BW91" s="283">
        <f t="shared" si="186"/>
        <v>0</v>
      </c>
      <c r="BX91" s="283">
        <f t="shared" si="186"/>
        <v>0</v>
      </c>
      <c r="BY91" s="284">
        <f t="shared" si="186"/>
        <v>0</v>
      </c>
      <c r="BZ91" s="283">
        <f t="shared" si="186"/>
        <v>0</v>
      </c>
      <c r="CA91" s="285">
        <f t="shared" si="186"/>
        <v>0</v>
      </c>
      <c r="CB91" s="173"/>
      <c r="CC91" s="282">
        <f t="shared" ref="CC91:CI91" si="187">SUM(CC84:CC90)</f>
        <v>0</v>
      </c>
      <c r="CD91" s="283">
        <f t="shared" si="187"/>
        <v>0</v>
      </c>
      <c r="CE91" s="283">
        <f t="shared" si="187"/>
        <v>0</v>
      </c>
      <c r="CF91" s="283">
        <f t="shared" si="187"/>
        <v>0</v>
      </c>
      <c r="CG91" s="284">
        <f t="shared" si="187"/>
        <v>0</v>
      </c>
      <c r="CH91" s="283">
        <f t="shared" si="187"/>
        <v>0</v>
      </c>
      <c r="CI91" s="285">
        <f t="shared" si="187"/>
        <v>0</v>
      </c>
      <c r="CJ91" s="173"/>
      <c r="CK91" s="282">
        <f t="shared" ref="CK91:CQ91" si="188">SUM(CK84:CK90)</f>
        <v>0</v>
      </c>
      <c r="CL91" s="283">
        <f t="shared" si="188"/>
        <v>0</v>
      </c>
      <c r="CM91" s="283">
        <f t="shared" si="188"/>
        <v>0</v>
      </c>
      <c r="CN91" s="283">
        <f t="shared" si="188"/>
        <v>0</v>
      </c>
      <c r="CO91" s="284">
        <f t="shared" si="188"/>
        <v>0</v>
      </c>
      <c r="CP91" s="283">
        <f t="shared" si="188"/>
        <v>0</v>
      </c>
      <c r="CQ91" s="285">
        <f t="shared" si="188"/>
        <v>0</v>
      </c>
    </row>
    <row r="92" spans="1:95" ht="16.5" thickBot="1" x14ac:dyDescent="0.3">
      <c r="A92" s="299" t="s">
        <v>105</v>
      </c>
      <c r="B92" s="273"/>
      <c r="C92" s="306">
        <f>SUM(C84:C90)</f>
        <v>1471.2782785056847</v>
      </c>
      <c r="D92" s="307">
        <f>SUM(D84:D90)</f>
        <v>457</v>
      </c>
      <c r="E92" s="306">
        <f>SUM(E84:E90)</f>
        <v>1353</v>
      </c>
      <c r="F92" s="307">
        <f>SUM(F84:F90)</f>
        <v>8051.34</v>
      </c>
      <c r="G92" s="268">
        <f>D92/C92</f>
        <v>0.31061425066653986</v>
      </c>
      <c r="H92" s="279">
        <f t="shared" ref="H92:X92" si="189">H91/$G92</f>
        <v>2234.2825498532716</v>
      </c>
      <c r="I92" s="241">
        <f t="shared" si="189"/>
        <v>1487.3754150320051</v>
      </c>
      <c r="J92" s="239">
        <f t="shared" si="189"/>
        <v>746.9071348212666</v>
      </c>
      <c r="K92" s="279">
        <f t="shared" si="189"/>
        <v>61.169118800017529</v>
      </c>
      <c r="L92" s="241">
        <f t="shared" si="189"/>
        <v>32.194273052640803</v>
      </c>
      <c r="M92" s="239">
        <f t="shared" si="189"/>
        <v>28.974845747376722</v>
      </c>
      <c r="N92" s="279">
        <f t="shared" si="189"/>
        <v>6.4388546105281605</v>
      </c>
      <c r="O92" s="241">
        <f t="shared" si="189"/>
        <v>3.2194273052640803</v>
      </c>
      <c r="P92" s="270">
        <f t="shared" si="189"/>
        <v>3.2194273052640803</v>
      </c>
      <c r="Q92" s="279">
        <f t="shared" ref="Q92:S92" si="190">Q91/$G92</f>
        <v>3.2194273052640803</v>
      </c>
      <c r="R92" s="241">
        <f t="shared" si="190"/>
        <v>0</v>
      </c>
      <c r="S92" s="270">
        <f t="shared" si="190"/>
        <v>3.2194273052640803</v>
      </c>
      <c r="T92" s="289">
        <f t="shared" si="189"/>
        <v>9.6582819157922408</v>
      </c>
      <c r="U92" s="290">
        <f t="shared" si="189"/>
        <v>3.2194273052640803</v>
      </c>
      <c r="V92" s="291">
        <f t="shared" si="189"/>
        <v>0</v>
      </c>
      <c r="W92" s="241">
        <f t="shared" si="189"/>
        <v>0</v>
      </c>
      <c r="X92" s="270">
        <f t="shared" si="189"/>
        <v>0</v>
      </c>
      <c r="Y92" s="173"/>
      <c r="Z92" s="289">
        <f>Z91/$G92</f>
        <v>22.535991136848562</v>
      </c>
      <c r="AA92" s="290">
        <f t="shared" ref="AA92:AC92" si="191">AA91/$G92</f>
        <v>0</v>
      </c>
      <c r="AB92" s="290">
        <f t="shared" si="191"/>
        <v>0</v>
      </c>
      <c r="AC92" s="292">
        <f t="shared" si="191"/>
        <v>0</v>
      </c>
      <c r="AD92" s="289">
        <f t="shared" ref="AD92:AU92" si="192">AD91/$G92</f>
        <v>0</v>
      </c>
      <c r="AE92" s="324">
        <f t="shared" si="192"/>
        <v>19.316563831584482</v>
      </c>
      <c r="AF92" s="291">
        <f t="shared" si="192"/>
        <v>3.2194273052640803</v>
      </c>
      <c r="AG92" s="324">
        <f t="shared" si="192"/>
        <v>0</v>
      </c>
      <c r="AH92" s="290">
        <f t="shared" si="192"/>
        <v>0</v>
      </c>
      <c r="AI92" s="290">
        <f t="shared" si="192"/>
        <v>12.877709221056321</v>
      </c>
      <c r="AJ92" s="291">
        <f t="shared" si="192"/>
        <v>0</v>
      </c>
      <c r="AK92" s="324">
        <f t="shared" si="192"/>
        <v>0</v>
      </c>
      <c r="AL92" s="291">
        <f t="shared" si="192"/>
        <v>0</v>
      </c>
      <c r="AM92" s="324">
        <f t="shared" si="192"/>
        <v>0</v>
      </c>
      <c r="AN92" s="325">
        <f t="shared" si="192"/>
        <v>0</v>
      </c>
      <c r="AO92" s="326">
        <f t="shared" si="192"/>
        <v>0</v>
      </c>
      <c r="AP92" s="325">
        <f t="shared" si="192"/>
        <v>0</v>
      </c>
      <c r="AQ92" s="326">
        <f t="shared" si="192"/>
        <v>0</v>
      </c>
      <c r="AR92" s="287">
        <f t="shared" si="192"/>
        <v>0</v>
      </c>
      <c r="AS92" s="286">
        <f t="shared" si="192"/>
        <v>0</v>
      </c>
      <c r="AT92" s="290">
        <f t="shared" si="192"/>
        <v>0</v>
      </c>
      <c r="AU92" s="292">
        <f t="shared" si="192"/>
        <v>0</v>
      </c>
      <c r="AV92" s="288"/>
      <c r="AW92" s="289">
        <f t="shared" ref="AW92:BC92" si="193">AW91/$G92</f>
        <v>0</v>
      </c>
      <c r="AX92" s="290">
        <f t="shared" si="193"/>
        <v>3.2194273052640803</v>
      </c>
      <c r="AY92" s="290">
        <f t="shared" si="193"/>
        <v>6.4388546105281605</v>
      </c>
      <c r="AZ92" s="290">
        <f t="shared" si="193"/>
        <v>0</v>
      </c>
      <c r="BA92" s="291">
        <f t="shared" si="193"/>
        <v>0</v>
      </c>
      <c r="BB92" s="290">
        <f t="shared" si="193"/>
        <v>0</v>
      </c>
      <c r="BC92" s="292">
        <f t="shared" si="193"/>
        <v>0</v>
      </c>
      <c r="BD92" s="288"/>
      <c r="BE92" s="289">
        <f t="shared" ref="BE92:BK92" si="194">BE91/$G92</f>
        <v>0</v>
      </c>
      <c r="BF92" s="290">
        <f t="shared" si="194"/>
        <v>3.2194273052640803</v>
      </c>
      <c r="BG92" s="290">
        <f t="shared" si="194"/>
        <v>6.4388546105281605</v>
      </c>
      <c r="BH92" s="290">
        <f t="shared" si="194"/>
        <v>0</v>
      </c>
      <c r="BI92" s="291">
        <f t="shared" si="194"/>
        <v>0</v>
      </c>
      <c r="BJ92" s="290">
        <f t="shared" si="194"/>
        <v>0</v>
      </c>
      <c r="BK92" s="292">
        <f t="shared" si="194"/>
        <v>0</v>
      </c>
      <c r="BL92" s="288"/>
      <c r="BM92" s="289">
        <f t="shared" ref="BM92:BS92" si="195">BM91/$G92</f>
        <v>0</v>
      </c>
      <c r="BN92" s="290">
        <f t="shared" si="195"/>
        <v>0</v>
      </c>
      <c r="BO92" s="290">
        <f t="shared" si="195"/>
        <v>0</v>
      </c>
      <c r="BP92" s="290">
        <f t="shared" si="195"/>
        <v>0</v>
      </c>
      <c r="BQ92" s="291">
        <f t="shared" si="195"/>
        <v>0</v>
      </c>
      <c r="BR92" s="290">
        <f t="shared" si="195"/>
        <v>0</v>
      </c>
      <c r="BS92" s="292">
        <f t="shared" si="195"/>
        <v>0</v>
      </c>
      <c r="BT92" s="288"/>
      <c r="BU92" s="289">
        <f t="shared" ref="BU92:CA92" si="196">BU91/$G92</f>
        <v>0</v>
      </c>
      <c r="BV92" s="290">
        <f t="shared" si="196"/>
        <v>0</v>
      </c>
      <c r="BW92" s="290">
        <f t="shared" si="196"/>
        <v>0</v>
      </c>
      <c r="BX92" s="290">
        <f t="shared" si="196"/>
        <v>0</v>
      </c>
      <c r="BY92" s="291">
        <f t="shared" si="196"/>
        <v>0</v>
      </c>
      <c r="BZ92" s="290">
        <f t="shared" si="196"/>
        <v>0</v>
      </c>
      <c r="CA92" s="292">
        <f t="shared" si="196"/>
        <v>0</v>
      </c>
      <c r="CB92" s="288"/>
      <c r="CC92" s="289">
        <f t="shared" ref="CC92:CI92" si="197">CC91/$G92</f>
        <v>0</v>
      </c>
      <c r="CD92" s="290">
        <f t="shared" si="197"/>
        <v>0</v>
      </c>
      <c r="CE92" s="290">
        <f t="shared" si="197"/>
        <v>0</v>
      </c>
      <c r="CF92" s="290">
        <f t="shared" si="197"/>
        <v>0</v>
      </c>
      <c r="CG92" s="291">
        <f t="shared" si="197"/>
        <v>0</v>
      </c>
      <c r="CH92" s="290">
        <f t="shared" si="197"/>
        <v>0</v>
      </c>
      <c r="CI92" s="292">
        <f t="shared" si="197"/>
        <v>0</v>
      </c>
      <c r="CJ92" s="288"/>
      <c r="CK92" s="289">
        <f t="shared" ref="CK92:CQ92" si="198">CK91/$G92</f>
        <v>0</v>
      </c>
      <c r="CL92" s="290">
        <f t="shared" si="198"/>
        <v>0</v>
      </c>
      <c r="CM92" s="290">
        <f t="shared" si="198"/>
        <v>0</v>
      </c>
      <c r="CN92" s="290">
        <f t="shared" si="198"/>
        <v>0</v>
      </c>
      <c r="CO92" s="291">
        <f t="shared" si="198"/>
        <v>0</v>
      </c>
      <c r="CP92" s="290">
        <f t="shared" si="198"/>
        <v>0</v>
      </c>
      <c r="CQ92" s="292">
        <f t="shared" si="198"/>
        <v>0</v>
      </c>
    </row>
    <row r="93" spans="1:95" ht="16.5" thickBot="1" x14ac:dyDescent="0.3">
      <c r="A93" s="45"/>
      <c r="B93" s="167"/>
      <c r="C93" s="173"/>
      <c r="D93" s="173"/>
      <c r="E93" s="173"/>
      <c r="F93" s="173"/>
      <c r="G93" s="272"/>
      <c r="H93" s="173"/>
      <c r="I93" s="168"/>
      <c r="J93" s="168"/>
      <c r="K93" s="173"/>
      <c r="L93" s="168"/>
      <c r="M93" s="168"/>
      <c r="N93" s="348"/>
      <c r="O93" s="168"/>
      <c r="P93" s="168"/>
      <c r="Q93" s="348"/>
      <c r="R93" s="168"/>
      <c r="S93" s="168"/>
      <c r="T93" s="168"/>
      <c r="U93" s="168"/>
      <c r="V93" s="168"/>
      <c r="W93" s="168"/>
      <c r="X93" s="168"/>
      <c r="Y93" s="168"/>
      <c r="Z93" s="168"/>
      <c r="AA93" s="168"/>
      <c r="AB93" s="168"/>
      <c r="AC93" s="168"/>
      <c r="AD93" s="168"/>
      <c r="AE93" s="168"/>
      <c r="AF93" s="168"/>
      <c r="AG93" s="168"/>
      <c r="AH93" s="168"/>
      <c r="AI93" s="168"/>
      <c r="AJ93" s="168"/>
      <c r="AK93" s="168"/>
      <c r="AL93" s="168"/>
      <c r="AM93" s="168"/>
      <c r="AN93" s="168"/>
      <c r="AO93" s="168"/>
      <c r="AP93" s="168"/>
      <c r="AQ93" s="168"/>
      <c r="AR93" s="168"/>
      <c r="AS93" s="168"/>
      <c r="AT93" s="168"/>
      <c r="AU93" s="168"/>
      <c r="AV93" s="168"/>
      <c r="AW93" s="168"/>
      <c r="AX93" s="168"/>
      <c r="AY93" s="168"/>
      <c r="AZ93" s="168"/>
      <c r="BA93" s="168"/>
      <c r="BB93" s="168"/>
      <c r="BC93" s="168"/>
      <c r="BD93" s="168"/>
      <c r="BE93" s="168"/>
      <c r="BF93" s="168"/>
      <c r="BG93" s="168"/>
      <c r="BH93" s="168"/>
      <c r="BI93" s="168"/>
      <c r="BJ93" s="168"/>
      <c r="BK93" s="168"/>
      <c r="BL93" s="168"/>
      <c r="BM93" s="168"/>
      <c r="BN93" s="168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</row>
    <row r="94" spans="1:95" x14ac:dyDescent="0.25">
      <c r="A94" s="52" t="s">
        <v>7</v>
      </c>
      <c r="B94" s="166">
        <f>B90+1</f>
        <v>45936</v>
      </c>
      <c r="C94" s="235">
        <f>Boats!J442</f>
        <v>162.04615679820938</v>
      </c>
      <c r="D94" s="77">
        <v>45</v>
      </c>
      <c r="E94" s="150">
        <v>119</v>
      </c>
      <c r="F94" s="579">
        <v>685.79</v>
      </c>
      <c r="G94" s="253"/>
      <c r="H94" s="247">
        <f t="shared" ref="H94:H100" si="199">SUM(I94:J94)</f>
        <v>51</v>
      </c>
      <c r="I94" s="77">
        <v>34</v>
      </c>
      <c r="J94" s="77">
        <v>17</v>
      </c>
      <c r="K94" s="247">
        <f t="shared" ref="K94:K100" si="200">SUM(L94:M94)</f>
        <v>3</v>
      </c>
      <c r="L94" s="77">
        <v>2</v>
      </c>
      <c r="M94" s="77">
        <v>1</v>
      </c>
      <c r="N94" s="311">
        <f t="shared" ref="N94:N100" si="201">SUM(O94:P94)</f>
        <v>0</v>
      </c>
      <c r="O94" s="77"/>
      <c r="P94" s="77"/>
      <c r="Q94" s="311">
        <f t="shared" ref="Q94:Q100" si="202">SUM(R94:S94)</f>
        <v>0</v>
      </c>
      <c r="R94" s="117"/>
      <c r="S94" s="77"/>
      <c r="T94" s="580"/>
      <c r="U94" s="581">
        <v>1</v>
      </c>
      <c r="V94" s="260"/>
      <c r="W94" s="117"/>
      <c r="X94" s="581"/>
      <c r="Y94" s="168"/>
      <c r="Z94" s="132"/>
      <c r="AA94" s="532"/>
      <c r="AB94" s="532"/>
      <c r="AC94" s="533"/>
      <c r="AD94" s="132"/>
      <c r="AF94" s="45"/>
      <c r="AG94" s="151"/>
      <c r="AJ94" s="45"/>
      <c r="AK94" s="151"/>
      <c r="AM94" s="151"/>
      <c r="AN94" s="45"/>
      <c r="AP94" s="45"/>
      <c r="AQ94" s="151"/>
      <c r="AS94" s="151"/>
      <c r="AU94" s="582"/>
      <c r="AV94" s="168"/>
      <c r="AW94" s="580"/>
      <c r="AY94" s="77"/>
      <c r="AZ94" s="117"/>
      <c r="BA94" s="77"/>
      <c r="BB94" s="77"/>
      <c r="BC94" s="581"/>
      <c r="BD94" s="168"/>
      <c r="BE94" s="580"/>
      <c r="BG94" s="77"/>
      <c r="BH94" s="117"/>
      <c r="BI94" s="77"/>
      <c r="BJ94" s="77"/>
      <c r="BK94" s="581"/>
      <c r="BL94" s="168"/>
      <c r="BM94" s="257"/>
      <c r="BN94" s="255"/>
      <c r="BO94" s="255"/>
      <c r="BP94" s="255"/>
      <c r="BQ94" s="254"/>
      <c r="BR94" s="255"/>
      <c r="BS94" s="258"/>
      <c r="BT94" s="168"/>
      <c r="BU94" s="257"/>
      <c r="BV94" s="255"/>
      <c r="BW94" s="255"/>
      <c r="BX94" s="255"/>
      <c r="BY94" s="254"/>
      <c r="BZ94" s="255"/>
      <c r="CA94" s="258"/>
      <c r="CB94" s="168"/>
      <c r="CC94" s="257"/>
      <c r="CD94" s="255"/>
      <c r="CE94" s="255"/>
      <c r="CF94" s="255"/>
      <c r="CG94" s="254"/>
      <c r="CH94" s="255"/>
      <c r="CI94" s="258"/>
      <c r="CJ94" s="168"/>
      <c r="CK94" s="257"/>
      <c r="CL94" s="255"/>
      <c r="CM94" s="255"/>
      <c r="CN94" s="255"/>
      <c r="CO94" s="254"/>
      <c r="CP94" s="255"/>
      <c r="CQ94" s="258"/>
    </row>
    <row r="95" spans="1:95" x14ac:dyDescent="0.25">
      <c r="A95" s="132" t="s">
        <v>10</v>
      </c>
      <c r="B95" s="167">
        <f t="shared" ref="B95:B100" si="203">B94+1</f>
        <v>45937</v>
      </c>
      <c r="C95" s="173">
        <f>Boats!J449</f>
        <v>156.28760957048399</v>
      </c>
      <c r="D95" s="77">
        <v>30</v>
      </c>
      <c r="E95" s="150">
        <v>79</v>
      </c>
      <c r="F95" s="579">
        <v>495.48</v>
      </c>
      <c r="G95" s="253"/>
      <c r="H95" s="247">
        <f t="shared" si="199"/>
        <v>36</v>
      </c>
      <c r="I95" s="77">
        <v>20</v>
      </c>
      <c r="J95" s="77">
        <v>16</v>
      </c>
      <c r="K95" s="247">
        <f t="shared" si="200"/>
        <v>1</v>
      </c>
      <c r="L95" s="77"/>
      <c r="M95" s="77">
        <v>1</v>
      </c>
      <c r="N95" s="311">
        <f t="shared" si="201"/>
        <v>0</v>
      </c>
      <c r="O95" s="77"/>
      <c r="P95" s="77"/>
      <c r="Q95" s="311">
        <f t="shared" si="202"/>
        <v>0</v>
      </c>
      <c r="R95" s="117"/>
      <c r="S95" s="77"/>
      <c r="T95" s="580">
        <v>2</v>
      </c>
      <c r="U95" s="581"/>
      <c r="V95" s="260"/>
      <c r="W95" s="117"/>
      <c r="X95" s="581"/>
      <c r="Y95" s="168"/>
      <c r="Z95" s="132"/>
      <c r="AA95" s="532"/>
      <c r="AB95" s="532"/>
      <c r="AC95" s="533"/>
      <c r="AD95" s="132"/>
      <c r="AF95" s="45"/>
      <c r="AG95" s="151"/>
      <c r="AJ95" s="45"/>
      <c r="AK95" s="151"/>
      <c r="AM95" s="151"/>
      <c r="AN95" s="45"/>
      <c r="AP95" s="45"/>
      <c r="AQ95" s="151"/>
      <c r="AS95" s="151"/>
      <c r="AU95" s="582"/>
      <c r="AV95" s="168"/>
      <c r="AW95" s="580"/>
      <c r="AY95" s="77"/>
      <c r="AZ95" s="117"/>
      <c r="BA95" s="77"/>
      <c r="BB95" s="77"/>
      <c r="BC95" s="581"/>
      <c r="BD95" s="168"/>
      <c r="BE95" s="580"/>
      <c r="BG95" s="77"/>
      <c r="BH95" s="117"/>
      <c r="BI95" s="77"/>
      <c r="BJ95" s="77"/>
      <c r="BK95" s="581"/>
      <c r="BL95" s="168"/>
      <c r="BM95" s="261"/>
      <c r="BN95" s="168"/>
      <c r="BO95" s="168"/>
      <c r="BP95" s="168"/>
      <c r="BQ95" s="260"/>
      <c r="BR95" s="168"/>
      <c r="BS95" s="262"/>
      <c r="BT95" s="168"/>
      <c r="BU95" s="261"/>
      <c r="BV95" s="168"/>
      <c r="BW95" s="168"/>
      <c r="BX95" s="168"/>
      <c r="BY95" s="260"/>
      <c r="BZ95" s="168"/>
      <c r="CA95" s="262"/>
      <c r="CB95" s="168"/>
      <c r="CC95" s="261"/>
      <c r="CD95" s="168"/>
      <c r="CE95" s="168"/>
      <c r="CF95" s="168"/>
      <c r="CG95" s="260"/>
      <c r="CH95" s="168"/>
      <c r="CI95" s="262"/>
      <c r="CJ95" s="168"/>
      <c r="CK95" s="261"/>
      <c r="CL95" s="168"/>
      <c r="CM95" s="168"/>
      <c r="CN95" s="168"/>
      <c r="CO95" s="260"/>
      <c r="CP95" s="168"/>
      <c r="CQ95" s="262"/>
    </row>
    <row r="96" spans="1:95" x14ac:dyDescent="0.25">
      <c r="A96" s="132" t="s">
        <v>11</v>
      </c>
      <c r="B96" s="167">
        <f t="shared" si="203"/>
        <v>45938</v>
      </c>
      <c r="C96" s="173">
        <f>Boats!J456</f>
        <v>198.39190905302755</v>
      </c>
      <c r="D96" s="77">
        <v>33</v>
      </c>
      <c r="E96" s="150">
        <v>81</v>
      </c>
      <c r="F96" s="579">
        <v>561.25</v>
      </c>
      <c r="G96" s="253"/>
      <c r="H96" s="247">
        <f t="shared" si="199"/>
        <v>52</v>
      </c>
      <c r="I96" s="77">
        <v>35</v>
      </c>
      <c r="J96" s="77">
        <v>17</v>
      </c>
      <c r="K96" s="247">
        <f t="shared" si="200"/>
        <v>1</v>
      </c>
      <c r="L96" s="77"/>
      <c r="M96" s="77">
        <v>1</v>
      </c>
      <c r="N96" s="311">
        <f t="shared" si="201"/>
        <v>0</v>
      </c>
      <c r="O96" s="77"/>
      <c r="P96" s="77"/>
      <c r="Q96" s="311">
        <f t="shared" si="202"/>
        <v>0</v>
      </c>
      <c r="R96" s="117"/>
      <c r="S96" s="77"/>
      <c r="T96" s="580">
        <v>1</v>
      </c>
      <c r="U96" s="581"/>
      <c r="V96" s="260"/>
      <c r="W96" s="117"/>
      <c r="X96" s="581"/>
      <c r="Y96" s="168"/>
      <c r="Z96" s="132"/>
      <c r="AA96" s="532"/>
      <c r="AB96" s="532"/>
      <c r="AC96" s="533"/>
      <c r="AD96" s="132"/>
      <c r="AF96" s="45">
        <v>1</v>
      </c>
      <c r="AG96" s="151"/>
      <c r="AJ96" s="45"/>
      <c r="AK96" s="151"/>
      <c r="AM96" s="151"/>
      <c r="AN96" s="45"/>
      <c r="AP96" s="45"/>
      <c r="AQ96" s="151"/>
      <c r="AS96" s="151"/>
      <c r="AU96" s="582"/>
      <c r="AV96" s="168"/>
      <c r="AW96" s="580"/>
      <c r="AY96" s="77"/>
      <c r="AZ96" s="117"/>
      <c r="BA96" s="77"/>
      <c r="BB96" s="77"/>
      <c r="BC96" s="581"/>
      <c r="BD96" s="168"/>
      <c r="BE96" s="580"/>
      <c r="BG96" s="77"/>
      <c r="BH96" s="117"/>
      <c r="BI96" s="77"/>
      <c r="BJ96" s="77"/>
      <c r="BK96" s="581"/>
      <c r="BL96" s="168"/>
      <c r="BM96" s="261"/>
      <c r="BN96" s="168"/>
      <c r="BO96" s="168"/>
      <c r="BP96" s="168"/>
      <c r="BQ96" s="260"/>
      <c r="BR96" s="168"/>
      <c r="BS96" s="262"/>
      <c r="BT96" s="168"/>
      <c r="BU96" s="261"/>
      <c r="BV96" s="168"/>
      <c r="BW96" s="168"/>
      <c r="BX96" s="168"/>
      <c r="BY96" s="260"/>
      <c r="BZ96" s="168"/>
      <c r="CA96" s="262"/>
      <c r="CB96" s="168"/>
      <c r="CC96" s="261"/>
      <c r="CD96" s="168"/>
      <c r="CE96" s="168"/>
      <c r="CF96" s="168"/>
      <c r="CG96" s="260"/>
      <c r="CH96" s="168"/>
      <c r="CI96" s="262"/>
      <c r="CJ96" s="168"/>
      <c r="CK96" s="261"/>
      <c r="CL96" s="168"/>
      <c r="CM96" s="168"/>
      <c r="CN96" s="168"/>
      <c r="CO96" s="260"/>
      <c r="CP96" s="168"/>
      <c r="CQ96" s="262"/>
    </row>
    <row r="97" spans="1:95" x14ac:dyDescent="0.25">
      <c r="A97" s="132" t="s">
        <v>12</v>
      </c>
      <c r="B97" s="167">
        <f t="shared" si="203"/>
        <v>45939</v>
      </c>
      <c r="C97" s="173">
        <f>Boats!J463</f>
        <v>128.74224418551287</v>
      </c>
      <c r="D97" s="77">
        <v>49</v>
      </c>
      <c r="E97" s="150">
        <v>150</v>
      </c>
      <c r="F97" s="579">
        <v>951.43</v>
      </c>
      <c r="G97" s="253"/>
      <c r="H97" s="247">
        <f t="shared" si="199"/>
        <v>91</v>
      </c>
      <c r="I97" s="77">
        <v>52</v>
      </c>
      <c r="J97" s="77">
        <v>39</v>
      </c>
      <c r="K97" s="247">
        <f t="shared" si="200"/>
        <v>4</v>
      </c>
      <c r="L97" s="77">
        <v>2</v>
      </c>
      <c r="M97" s="77">
        <v>2</v>
      </c>
      <c r="N97" s="311">
        <f t="shared" si="201"/>
        <v>0</v>
      </c>
      <c r="O97" s="77"/>
      <c r="P97" s="77"/>
      <c r="Q97" s="311">
        <f t="shared" si="202"/>
        <v>0</v>
      </c>
      <c r="R97" s="117"/>
      <c r="S97" s="77"/>
      <c r="T97" s="580">
        <v>1</v>
      </c>
      <c r="U97" s="581"/>
      <c r="V97" s="260"/>
      <c r="W97" s="117"/>
      <c r="X97" s="581"/>
      <c r="Y97" s="168"/>
      <c r="Z97" s="132"/>
      <c r="AA97" s="532"/>
      <c r="AB97" s="532"/>
      <c r="AC97" s="533"/>
      <c r="AD97" s="132">
        <v>1</v>
      </c>
      <c r="AF97" s="45"/>
      <c r="AG97" s="151"/>
      <c r="AJ97" s="45"/>
      <c r="AK97" s="151"/>
      <c r="AM97" s="151"/>
      <c r="AN97" s="45"/>
      <c r="AP97" s="45"/>
      <c r="AQ97" s="151"/>
      <c r="AS97" s="151"/>
      <c r="AU97" s="582"/>
      <c r="AV97" s="168"/>
      <c r="AW97" s="580">
        <v>1</v>
      </c>
      <c r="AY97" s="77"/>
      <c r="AZ97" s="117"/>
      <c r="BA97" s="77">
        <v>1</v>
      </c>
      <c r="BB97" s="77"/>
      <c r="BC97" s="581"/>
      <c r="BD97" s="168"/>
      <c r="BE97" s="580">
        <v>1</v>
      </c>
      <c r="BG97" s="77"/>
      <c r="BH97" s="117"/>
      <c r="BI97" s="77">
        <v>1</v>
      </c>
      <c r="BJ97" s="77"/>
      <c r="BK97" s="581"/>
      <c r="BL97" s="168"/>
      <c r="BM97" s="261"/>
      <c r="BN97" s="168"/>
      <c r="BO97" s="168"/>
      <c r="BP97" s="168"/>
      <c r="BQ97" s="260"/>
      <c r="BR97" s="168"/>
      <c r="BS97" s="262"/>
      <c r="BT97" s="168"/>
      <c r="BU97" s="261"/>
      <c r="BV97" s="168"/>
      <c r="BW97" s="168"/>
      <c r="BX97" s="168"/>
      <c r="BY97" s="260"/>
      <c r="BZ97" s="168"/>
      <c r="CA97" s="262"/>
      <c r="CB97" s="168"/>
      <c r="CC97" s="261"/>
      <c r="CD97" s="168"/>
      <c r="CE97" s="168"/>
      <c r="CF97" s="168"/>
      <c r="CG97" s="260"/>
      <c r="CH97" s="168"/>
      <c r="CI97" s="262"/>
      <c r="CJ97" s="168"/>
      <c r="CK97" s="261"/>
      <c r="CL97" s="168"/>
      <c r="CM97" s="168"/>
      <c r="CN97" s="168"/>
      <c r="CO97" s="260"/>
      <c r="CP97" s="168"/>
      <c r="CQ97" s="262"/>
    </row>
    <row r="98" spans="1:95" x14ac:dyDescent="0.25">
      <c r="A98" s="132" t="s">
        <v>13</v>
      </c>
      <c r="B98" s="167">
        <f t="shared" si="203"/>
        <v>45940</v>
      </c>
      <c r="C98" s="173">
        <f>Boats!J470</f>
        <v>194.89901993410874</v>
      </c>
      <c r="D98" s="77">
        <v>49</v>
      </c>
      <c r="E98" s="150">
        <v>145</v>
      </c>
      <c r="F98" s="579">
        <v>812.65</v>
      </c>
      <c r="G98" s="253"/>
      <c r="H98" s="247">
        <f t="shared" si="199"/>
        <v>101</v>
      </c>
      <c r="I98" s="77">
        <v>70</v>
      </c>
      <c r="J98" s="77">
        <v>31</v>
      </c>
      <c r="K98" s="247">
        <f t="shared" si="200"/>
        <v>7</v>
      </c>
      <c r="L98" s="77">
        <v>5</v>
      </c>
      <c r="M98" s="77">
        <v>2</v>
      </c>
      <c r="N98" s="311">
        <f t="shared" si="201"/>
        <v>0</v>
      </c>
      <c r="O98" s="77"/>
      <c r="P98" s="77"/>
      <c r="Q98" s="311">
        <f t="shared" si="202"/>
        <v>0</v>
      </c>
      <c r="R98" s="117"/>
      <c r="S98" s="77"/>
      <c r="T98" s="580">
        <v>2</v>
      </c>
      <c r="U98" s="581">
        <v>2</v>
      </c>
      <c r="V98" s="260"/>
      <c r="W98" s="117"/>
      <c r="X98" s="581"/>
      <c r="Y98" s="168"/>
      <c r="Z98" s="132"/>
      <c r="AA98" s="532"/>
      <c r="AB98" s="532"/>
      <c r="AC98" s="533"/>
      <c r="AD98" s="132"/>
      <c r="AE98" s="27">
        <v>3</v>
      </c>
      <c r="AF98" s="45"/>
      <c r="AG98" s="151"/>
      <c r="AJ98" s="45"/>
      <c r="AK98" s="151"/>
      <c r="AM98" s="151"/>
      <c r="AN98" s="45"/>
      <c r="AP98" s="45"/>
      <c r="AQ98" s="151"/>
      <c r="AS98" s="151"/>
      <c r="AU98" s="582"/>
      <c r="AV98" s="168"/>
      <c r="AW98" s="580"/>
      <c r="AY98" s="77">
        <v>1</v>
      </c>
      <c r="AZ98" s="117"/>
      <c r="BA98" s="77"/>
      <c r="BB98" s="77"/>
      <c r="BC98" s="581"/>
      <c r="BD98" s="168"/>
      <c r="BE98" s="580"/>
      <c r="BG98" s="77">
        <v>1</v>
      </c>
      <c r="BH98" s="117"/>
      <c r="BI98" s="77"/>
      <c r="BJ98" s="77"/>
      <c r="BK98" s="581"/>
      <c r="BL98" s="168"/>
      <c r="BM98" s="261"/>
      <c r="BN98" s="168"/>
      <c r="BO98" s="168"/>
      <c r="BP98" s="168"/>
      <c r="BQ98" s="260"/>
      <c r="BR98" s="168"/>
      <c r="BS98" s="262"/>
      <c r="BT98" s="168"/>
      <c r="BU98" s="261"/>
      <c r="BV98" s="168"/>
      <c r="BW98" s="168"/>
      <c r="BX98" s="168"/>
      <c r="BY98" s="260"/>
      <c r="BZ98" s="168"/>
      <c r="CA98" s="262"/>
      <c r="CB98" s="168"/>
      <c r="CC98" s="261"/>
      <c r="CD98" s="168"/>
      <c r="CE98" s="168"/>
      <c r="CF98" s="168"/>
      <c r="CG98" s="260"/>
      <c r="CH98" s="168"/>
      <c r="CI98" s="262"/>
      <c r="CJ98" s="168"/>
      <c r="CK98" s="261"/>
      <c r="CL98" s="168"/>
      <c r="CM98" s="168"/>
      <c r="CN98" s="168"/>
      <c r="CO98" s="260"/>
      <c r="CP98" s="168"/>
      <c r="CQ98" s="262"/>
    </row>
    <row r="99" spans="1:95" x14ac:dyDescent="0.25">
      <c r="A99" s="132" t="s">
        <v>14</v>
      </c>
      <c r="B99" s="167">
        <f t="shared" si="203"/>
        <v>45941</v>
      </c>
      <c r="C99" s="173">
        <f>Boats!J477</f>
        <v>222.92121525824416</v>
      </c>
      <c r="D99" s="77">
        <v>59</v>
      </c>
      <c r="E99" s="150">
        <v>198</v>
      </c>
      <c r="F99" s="579">
        <v>1124.1300000000001</v>
      </c>
      <c r="G99" s="260"/>
      <c r="H99" s="247">
        <f t="shared" si="199"/>
        <v>126</v>
      </c>
      <c r="I99" s="77">
        <v>94</v>
      </c>
      <c r="J99" s="77">
        <v>32</v>
      </c>
      <c r="K99" s="247">
        <f t="shared" si="200"/>
        <v>5</v>
      </c>
      <c r="L99" s="77">
        <v>1</v>
      </c>
      <c r="M99" s="77">
        <v>4</v>
      </c>
      <c r="N99" s="311">
        <f t="shared" si="201"/>
        <v>0</v>
      </c>
      <c r="O99" s="77"/>
      <c r="P99" s="77"/>
      <c r="Q99" s="311">
        <f t="shared" si="202"/>
        <v>0</v>
      </c>
      <c r="R99" s="117"/>
      <c r="S99" s="77"/>
      <c r="T99" s="580"/>
      <c r="U99" s="581">
        <v>3</v>
      </c>
      <c r="V99" s="260"/>
      <c r="W99" s="117"/>
      <c r="X99" s="581"/>
      <c r="Y99" s="168"/>
      <c r="Z99" s="132"/>
      <c r="AA99" s="532"/>
      <c r="AB99" s="532"/>
      <c r="AC99" s="533"/>
      <c r="AD99" s="132">
        <v>1</v>
      </c>
      <c r="AF99" s="45"/>
      <c r="AG99" s="151"/>
      <c r="AJ99" s="45"/>
      <c r="AK99" s="151"/>
      <c r="AM99" s="151"/>
      <c r="AN99" s="45"/>
      <c r="AP99" s="45"/>
      <c r="AQ99" s="151"/>
      <c r="AS99" s="151"/>
      <c r="AU99" s="582"/>
      <c r="AV99" s="168"/>
      <c r="AW99" s="580"/>
      <c r="AY99" s="77"/>
      <c r="AZ99" s="117"/>
      <c r="BA99" s="77"/>
      <c r="BB99" s="77"/>
      <c r="BC99" s="581"/>
      <c r="BD99" s="168"/>
      <c r="BE99" s="580"/>
      <c r="BG99" s="77"/>
      <c r="BH99" s="117"/>
      <c r="BI99" s="77"/>
      <c r="BJ99" s="77"/>
      <c r="BK99" s="581"/>
      <c r="BL99" s="168"/>
      <c r="BM99" s="261"/>
      <c r="BN99" s="168"/>
      <c r="BO99" s="168"/>
      <c r="BP99" s="168"/>
      <c r="BQ99" s="260"/>
      <c r="BR99" s="168"/>
      <c r="BS99" s="262"/>
      <c r="BT99" s="168"/>
      <c r="BU99" s="261"/>
      <c r="BV99" s="168"/>
      <c r="BW99" s="168"/>
      <c r="BX99" s="168"/>
      <c r="BY99" s="260"/>
      <c r="BZ99" s="168"/>
      <c r="CA99" s="262"/>
      <c r="CB99" s="168"/>
      <c r="CC99" s="261"/>
      <c r="CD99" s="168"/>
      <c r="CE99" s="168"/>
      <c r="CF99" s="168"/>
      <c r="CG99" s="260"/>
      <c r="CH99" s="168"/>
      <c r="CI99" s="262"/>
      <c r="CJ99" s="168"/>
      <c r="CK99" s="261"/>
      <c r="CL99" s="168"/>
      <c r="CM99" s="168"/>
      <c r="CN99" s="168"/>
      <c r="CO99" s="260"/>
      <c r="CP99" s="168"/>
      <c r="CQ99" s="262"/>
    </row>
    <row r="100" spans="1:95" ht="16.5" thickBot="1" x14ac:dyDescent="0.3">
      <c r="A100" s="170" t="s">
        <v>15</v>
      </c>
      <c r="B100" s="171">
        <f t="shared" si="203"/>
        <v>45942</v>
      </c>
      <c r="C100" s="236">
        <f>Boats!J484</f>
        <v>158.16205839039418</v>
      </c>
      <c r="D100" s="77">
        <v>40</v>
      </c>
      <c r="E100" s="150">
        <v>125</v>
      </c>
      <c r="F100" s="579">
        <v>722.11</v>
      </c>
      <c r="G100" s="237"/>
      <c r="H100" s="248">
        <f t="shared" si="199"/>
        <v>75</v>
      </c>
      <c r="I100" s="77">
        <v>51</v>
      </c>
      <c r="J100" s="77">
        <v>24</v>
      </c>
      <c r="K100" s="248">
        <f t="shared" si="200"/>
        <v>3</v>
      </c>
      <c r="L100" s="77">
        <v>1</v>
      </c>
      <c r="M100" s="77">
        <v>2</v>
      </c>
      <c r="N100" s="248">
        <f t="shared" si="201"/>
        <v>1</v>
      </c>
      <c r="O100" s="77">
        <v>1</v>
      </c>
      <c r="P100" s="77"/>
      <c r="Q100" s="248">
        <f t="shared" si="202"/>
        <v>0</v>
      </c>
      <c r="R100" s="117"/>
      <c r="S100" s="77"/>
      <c r="T100" s="580"/>
      <c r="U100" s="581"/>
      <c r="V100" s="237"/>
      <c r="W100" s="117"/>
      <c r="X100" s="581"/>
      <c r="Y100" s="168"/>
      <c r="Z100" s="132"/>
      <c r="AA100" s="532"/>
      <c r="AB100" s="532"/>
      <c r="AC100" s="533"/>
      <c r="AD100" s="132"/>
      <c r="AF100" s="45"/>
      <c r="AG100" s="151"/>
      <c r="AJ100" s="45"/>
      <c r="AK100" s="151"/>
      <c r="AM100" s="151"/>
      <c r="AN100" s="583"/>
      <c r="AO100" s="172"/>
      <c r="AP100" s="583"/>
      <c r="AQ100" s="584"/>
      <c r="AR100" s="172"/>
      <c r="AS100" s="584"/>
      <c r="AU100" s="582"/>
      <c r="AV100" s="168"/>
      <c r="AW100" s="580"/>
      <c r="AY100" s="77"/>
      <c r="AZ100" s="117"/>
      <c r="BA100" s="77"/>
      <c r="BB100" s="77"/>
      <c r="BC100" s="581"/>
      <c r="BD100" s="168"/>
      <c r="BE100" s="580"/>
      <c r="BG100" s="77"/>
      <c r="BH100" s="117"/>
      <c r="BI100" s="77"/>
      <c r="BJ100" s="77"/>
      <c r="BK100" s="581"/>
      <c r="BL100" s="168"/>
      <c r="BM100" s="264"/>
      <c r="BN100" s="238"/>
      <c r="BO100" s="238"/>
      <c r="BP100" s="238"/>
      <c r="BQ100" s="237"/>
      <c r="BR100" s="238"/>
      <c r="BS100" s="265"/>
      <c r="BT100" s="168"/>
      <c r="BU100" s="264"/>
      <c r="BV100" s="238"/>
      <c r="BW100" s="238"/>
      <c r="BX100" s="238"/>
      <c r="BY100" s="237"/>
      <c r="BZ100" s="238"/>
      <c r="CA100" s="265"/>
      <c r="CB100" s="168"/>
      <c r="CC100" s="264"/>
      <c r="CD100" s="238"/>
      <c r="CE100" s="238"/>
      <c r="CF100" s="238"/>
      <c r="CG100" s="237"/>
      <c r="CH100" s="238"/>
      <c r="CI100" s="265"/>
      <c r="CJ100" s="168"/>
      <c r="CK100" s="264"/>
      <c r="CL100" s="238"/>
      <c r="CM100" s="238"/>
      <c r="CN100" s="238"/>
      <c r="CO100" s="237"/>
      <c r="CP100" s="238"/>
      <c r="CQ100" s="265"/>
    </row>
    <row r="101" spans="1:95" ht="16.5" thickTop="1" x14ac:dyDescent="0.25">
      <c r="A101" s="298" t="s">
        <v>106</v>
      </c>
      <c r="B101" s="274"/>
      <c r="C101" s="293"/>
      <c r="D101" s="294"/>
      <c r="E101" s="315"/>
      <c r="F101" s="315"/>
      <c r="G101" s="295"/>
      <c r="H101" s="296">
        <f t="shared" ref="H101:X101" si="204">SUM(H94:H100)</f>
        <v>532</v>
      </c>
      <c r="I101" s="284">
        <f t="shared" si="204"/>
        <v>356</v>
      </c>
      <c r="J101" s="283">
        <f t="shared" si="204"/>
        <v>176</v>
      </c>
      <c r="K101" s="296">
        <f t="shared" si="204"/>
        <v>24</v>
      </c>
      <c r="L101" s="284">
        <f t="shared" si="204"/>
        <v>11</v>
      </c>
      <c r="M101" s="283">
        <f t="shared" si="204"/>
        <v>13</v>
      </c>
      <c r="N101" s="296">
        <f t="shared" ref="N101" si="205">SUM(N94:N100)</f>
        <v>1</v>
      </c>
      <c r="O101" s="284">
        <f t="shared" si="204"/>
        <v>1</v>
      </c>
      <c r="P101" s="297">
        <f t="shared" si="204"/>
        <v>0</v>
      </c>
      <c r="Q101" s="296">
        <f t="shared" si="204"/>
        <v>0</v>
      </c>
      <c r="R101" s="284">
        <f t="shared" ref="R101:S101" si="206">SUM(R94:R100)</f>
        <v>0</v>
      </c>
      <c r="S101" s="297">
        <f t="shared" si="206"/>
        <v>0</v>
      </c>
      <c r="T101" s="282">
        <f t="shared" si="204"/>
        <v>6</v>
      </c>
      <c r="U101" s="283">
        <f t="shared" si="204"/>
        <v>6</v>
      </c>
      <c r="V101" s="284">
        <f t="shared" si="204"/>
        <v>0</v>
      </c>
      <c r="W101" s="284">
        <f t="shared" si="204"/>
        <v>0</v>
      </c>
      <c r="X101" s="285">
        <f t="shared" si="204"/>
        <v>0</v>
      </c>
      <c r="Y101" s="173"/>
      <c r="Z101" s="282">
        <f>SUM(Z94:Z100)</f>
        <v>0</v>
      </c>
      <c r="AA101" s="283">
        <f>SUM(AA94:AA100)</f>
        <v>0</v>
      </c>
      <c r="AB101" s="283">
        <f>SUM(AB94:AB100)</f>
        <v>0</v>
      </c>
      <c r="AC101" s="285">
        <f>SUM(AC94:AC100)</f>
        <v>0</v>
      </c>
      <c r="AD101" s="282">
        <f t="shared" ref="AD101:AU101" si="207">SUM(AD94:AD100)</f>
        <v>2</v>
      </c>
      <c r="AE101" s="297">
        <f t="shared" si="207"/>
        <v>3</v>
      </c>
      <c r="AF101" s="284">
        <f t="shared" si="207"/>
        <v>1</v>
      </c>
      <c r="AG101" s="297">
        <f t="shared" si="207"/>
        <v>0</v>
      </c>
      <c r="AH101" s="283">
        <f t="shared" si="207"/>
        <v>0</v>
      </c>
      <c r="AI101" s="283">
        <f t="shared" si="207"/>
        <v>0</v>
      </c>
      <c r="AJ101" s="284">
        <f t="shared" si="207"/>
        <v>0</v>
      </c>
      <c r="AK101" s="297">
        <f t="shared" si="207"/>
        <v>0</v>
      </c>
      <c r="AL101" s="284">
        <f t="shared" si="207"/>
        <v>0</v>
      </c>
      <c r="AM101" s="297">
        <f t="shared" si="207"/>
        <v>0</v>
      </c>
      <c r="AN101" s="276">
        <f t="shared" si="207"/>
        <v>0</v>
      </c>
      <c r="AO101" s="275">
        <f t="shared" si="207"/>
        <v>0</v>
      </c>
      <c r="AP101" s="276">
        <f t="shared" si="207"/>
        <v>0</v>
      </c>
      <c r="AQ101" s="275">
        <f t="shared" si="207"/>
        <v>0</v>
      </c>
      <c r="AR101" s="278">
        <f t="shared" si="207"/>
        <v>0</v>
      </c>
      <c r="AS101" s="277">
        <f t="shared" si="207"/>
        <v>0</v>
      </c>
      <c r="AT101" s="283">
        <f t="shared" si="207"/>
        <v>0</v>
      </c>
      <c r="AU101" s="285">
        <f t="shared" si="207"/>
        <v>0</v>
      </c>
      <c r="AV101" s="173"/>
      <c r="AW101" s="282">
        <f t="shared" ref="AW101:BC101" si="208">SUM(AW94:AW100)</f>
        <v>1</v>
      </c>
      <c r="AX101" s="283">
        <f t="shared" si="208"/>
        <v>0</v>
      </c>
      <c r="AY101" s="283">
        <f t="shared" si="208"/>
        <v>1</v>
      </c>
      <c r="AZ101" s="283">
        <f t="shared" si="208"/>
        <v>0</v>
      </c>
      <c r="BA101" s="284">
        <f t="shared" si="208"/>
        <v>1</v>
      </c>
      <c r="BB101" s="283">
        <f t="shared" si="208"/>
        <v>0</v>
      </c>
      <c r="BC101" s="285">
        <f t="shared" si="208"/>
        <v>0</v>
      </c>
      <c r="BD101" s="173"/>
      <c r="BE101" s="282">
        <f t="shared" ref="BE101:BK101" si="209">SUM(BE94:BE100)</f>
        <v>1</v>
      </c>
      <c r="BF101" s="283">
        <f t="shared" si="209"/>
        <v>0</v>
      </c>
      <c r="BG101" s="283">
        <f t="shared" si="209"/>
        <v>1</v>
      </c>
      <c r="BH101" s="283">
        <f t="shared" si="209"/>
        <v>0</v>
      </c>
      <c r="BI101" s="284">
        <f t="shared" si="209"/>
        <v>1</v>
      </c>
      <c r="BJ101" s="283">
        <f t="shared" si="209"/>
        <v>0</v>
      </c>
      <c r="BK101" s="285">
        <f t="shared" si="209"/>
        <v>0</v>
      </c>
      <c r="BL101" s="173"/>
      <c r="BM101" s="282">
        <f t="shared" ref="BM101:BS101" si="210">SUM(BM94:BM100)</f>
        <v>0</v>
      </c>
      <c r="BN101" s="283">
        <f t="shared" si="210"/>
        <v>0</v>
      </c>
      <c r="BO101" s="283">
        <f t="shared" si="210"/>
        <v>0</v>
      </c>
      <c r="BP101" s="283">
        <f t="shared" si="210"/>
        <v>0</v>
      </c>
      <c r="BQ101" s="284">
        <f t="shared" si="210"/>
        <v>0</v>
      </c>
      <c r="BR101" s="283">
        <f t="shared" si="210"/>
        <v>0</v>
      </c>
      <c r="BS101" s="285">
        <f t="shared" si="210"/>
        <v>0</v>
      </c>
      <c r="BT101" s="173"/>
      <c r="BU101" s="282">
        <f t="shared" ref="BU101:CA101" si="211">SUM(BU94:BU100)</f>
        <v>0</v>
      </c>
      <c r="BV101" s="283">
        <f t="shared" si="211"/>
        <v>0</v>
      </c>
      <c r="BW101" s="283">
        <f t="shared" si="211"/>
        <v>0</v>
      </c>
      <c r="BX101" s="283">
        <f t="shared" si="211"/>
        <v>0</v>
      </c>
      <c r="BY101" s="284">
        <f t="shared" si="211"/>
        <v>0</v>
      </c>
      <c r="BZ101" s="283">
        <f t="shared" si="211"/>
        <v>0</v>
      </c>
      <c r="CA101" s="285">
        <f t="shared" si="211"/>
        <v>0</v>
      </c>
      <c r="CB101" s="173"/>
      <c r="CC101" s="282">
        <f t="shared" ref="CC101:CI101" si="212">SUM(CC94:CC100)</f>
        <v>0</v>
      </c>
      <c r="CD101" s="283">
        <f t="shared" si="212"/>
        <v>0</v>
      </c>
      <c r="CE101" s="283">
        <f t="shared" si="212"/>
        <v>0</v>
      </c>
      <c r="CF101" s="283">
        <f t="shared" si="212"/>
        <v>0</v>
      </c>
      <c r="CG101" s="284">
        <f t="shared" si="212"/>
        <v>0</v>
      </c>
      <c r="CH101" s="283">
        <f t="shared" si="212"/>
        <v>0</v>
      </c>
      <c r="CI101" s="285">
        <f t="shared" si="212"/>
        <v>0</v>
      </c>
      <c r="CJ101" s="173"/>
      <c r="CK101" s="282">
        <f t="shared" ref="CK101:CQ101" si="213">SUM(CK94:CK100)</f>
        <v>0</v>
      </c>
      <c r="CL101" s="283">
        <f t="shared" si="213"/>
        <v>0</v>
      </c>
      <c r="CM101" s="283">
        <f t="shared" si="213"/>
        <v>0</v>
      </c>
      <c r="CN101" s="283">
        <f t="shared" si="213"/>
        <v>0</v>
      </c>
      <c r="CO101" s="284">
        <f t="shared" si="213"/>
        <v>0</v>
      </c>
      <c r="CP101" s="283">
        <f t="shared" si="213"/>
        <v>0</v>
      </c>
      <c r="CQ101" s="285">
        <f t="shared" si="213"/>
        <v>0</v>
      </c>
    </row>
    <row r="102" spans="1:95" ht="16.5" thickBot="1" x14ac:dyDescent="0.3">
      <c r="A102" s="299" t="s">
        <v>105</v>
      </c>
      <c r="B102" s="273"/>
      <c r="C102" s="306">
        <f>SUM(C94:C100)</f>
        <v>1221.4502131899808</v>
      </c>
      <c r="D102" s="307">
        <f>SUM(D94:D100)</f>
        <v>305</v>
      </c>
      <c r="E102" s="306">
        <f>SUM(E94:E100)</f>
        <v>897</v>
      </c>
      <c r="F102" s="307">
        <f>SUM(F94:F100)</f>
        <v>5352.8399999999992</v>
      </c>
      <c r="G102" s="268">
        <f>D102/C102</f>
        <v>0.24970317799810413</v>
      </c>
      <c r="H102" s="279">
        <f t="shared" ref="H102:X102" si="214">H101/$G102</f>
        <v>2130.5295521871139</v>
      </c>
      <c r="I102" s="241">
        <f t="shared" si="214"/>
        <v>1425.692707854535</v>
      </c>
      <c r="J102" s="239">
        <f t="shared" si="214"/>
        <v>704.83684433257906</v>
      </c>
      <c r="K102" s="279">
        <f t="shared" si="214"/>
        <v>96.114115136260779</v>
      </c>
      <c r="L102" s="241">
        <f t="shared" si="214"/>
        <v>44.052302770786191</v>
      </c>
      <c r="M102" s="239">
        <f t="shared" si="214"/>
        <v>52.061812365474587</v>
      </c>
      <c r="N102" s="279">
        <f t="shared" si="214"/>
        <v>4.0047547973441988</v>
      </c>
      <c r="O102" s="241">
        <f t="shared" si="214"/>
        <v>4.0047547973441988</v>
      </c>
      <c r="P102" s="240">
        <f t="shared" si="214"/>
        <v>0</v>
      </c>
      <c r="Q102" s="279">
        <f t="shared" ref="Q102:S102" si="215">Q101/$G102</f>
        <v>0</v>
      </c>
      <c r="R102" s="241">
        <f t="shared" si="215"/>
        <v>0</v>
      </c>
      <c r="S102" s="240">
        <f t="shared" si="215"/>
        <v>0</v>
      </c>
      <c r="T102" s="269">
        <f t="shared" si="214"/>
        <v>24.028528784065195</v>
      </c>
      <c r="U102" s="239">
        <f t="shared" si="214"/>
        <v>24.028528784065195</v>
      </c>
      <c r="V102" s="241">
        <f t="shared" si="214"/>
        <v>0</v>
      </c>
      <c r="W102" s="241">
        <f t="shared" si="214"/>
        <v>0</v>
      </c>
      <c r="X102" s="270">
        <f t="shared" si="214"/>
        <v>0</v>
      </c>
      <c r="Y102" s="173"/>
      <c r="Z102" s="289">
        <f>Z101/$G102</f>
        <v>0</v>
      </c>
      <c r="AA102" s="290">
        <f t="shared" ref="AA102:AC102" si="216">AA101/$G102</f>
        <v>0</v>
      </c>
      <c r="AB102" s="290">
        <f t="shared" si="216"/>
        <v>0</v>
      </c>
      <c r="AC102" s="292">
        <f t="shared" si="216"/>
        <v>0</v>
      </c>
      <c r="AD102" s="289">
        <f t="shared" ref="AD102:AU102" si="217">AD101/$G102</f>
        <v>8.0095095946883976</v>
      </c>
      <c r="AE102" s="324">
        <f t="shared" si="217"/>
        <v>12.014264392032597</v>
      </c>
      <c r="AF102" s="291">
        <f t="shared" si="217"/>
        <v>4.0047547973441988</v>
      </c>
      <c r="AG102" s="324">
        <f t="shared" si="217"/>
        <v>0</v>
      </c>
      <c r="AH102" s="290">
        <f t="shared" si="217"/>
        <v>0</v>
      </c>
      <c r="AI102" s="290">
        <f t="shared" si="217"/>
        <v>0</v>
      </c>
      <c r="AJ102" s="291">
        <f t="shared" si="217"/>
        <v>0</v>
      </c>
      <c r="AK102" s="324">
        <f t="shared" si="217"/>
        <v>0</v>
      </c>
      <c r="AL102" s="291">
        <f t="shared" si="217"/>
        <v>0</v>
      </c>
      <c r="AM102" s="324">
        <f t="shared" si="217"/>
        <v>0</v>
      </c>
      <c r="AN102" s="325">
        <f t="shared" si="217"/>
        <v>0</v>
      </c>
      <c r="AO102" s="326">
        <f t="shared" si="217"/>
        <v>0</v>
      </c>
      <c r="AP102" s="325">
        <f t="shared" si="217"/>
        <v>0</v>
      </c>
      <c r="AQ102" s="326">
        <f t="shared" si="217"/>
        <v>0</v>
      </c>
      <c r="AR102" s="287">
        <f t="shared" si="217"/>
        <v>0</v>
      </c>
      <c r="AS102" s="286">
        <f t="shared" si="217"/>
        <v>0</v>
      </c>
      <c r="AT102" s="290">
        <f t="shared" si="217"/>
        <v>0</v>
      </c>
      <c r="AU102" s="292">
        <f t="shared" si="217"/>
        <v>0</v>
      </c>
      <c r="AV102" s="288"/>
      <c r="AW102" s="289">
        <f t="shared" ref="AW102:BC102" si="218">AW101/$G102</f>
        <v>4.0047547973441988</v>
      </c>
      <c r="AX102" s="290">
        <f t="shared" si="218"/>
        <v>0</v>
      </c>
      <c r="AY102" s="290">
        <f t="shared" si="218"/>
        <v>4.0047547973441988</v>
      </c>
      <c r="AZ102" s="290">
        <f t="shared" si="218"/>
        <v>0</v>
      </c>
      <c r="BA102" s="291">
        <f t="shared" si="218"/>
        <v>4.0047547973441988</v>
      </c>
      <c r="BB102" s="290">
        <f t="shared" si="218"/>
        <v>0</v>
      </c>
      <c r="BC102" s="292">
        <f t="shared" si="218"/>
        <v>0</v>
      </c>
      <c r="BD102" s="288"/>
      <c r="BE102" s="289">
        <f t="shared" ref="BE102:BK102" si="219">BE101/$G102</f>
        <v>4.0047547973441988</v>
      </c>
      <c r="BF102" s="290">
        <f t="shared" si="219"/>
        <v>0</v>
      </c>
      <c r="BG102" s="290">
        <f t="shared" si="219"/>
        <v>4.0047547973441988</v>
      </c>
      <c r="BH102" s="290">
        <f t="shared" si="219"/>
        <v>0</v>
      </c>
      <c r="BI102" s="291">
        <f t="shared" si="219"/>
        <v>4.0047547973441988</v>
      </c>
      <c r="BJ102" s="290">
        <f t="shared" si="219"/>
        <v>0</v>
      </c>
      <c r="BK102" s="292">
        <f t="shared" si="219"/>
        <v>0</v>
      </c>
      <c r="BL102" s="288"/>
      <c r="BM102" s="289">
        <f t="shared" ref="BM102:BS102" si="220">BM101/$G102</f>
        <v>0</v>
      </c>
      <c r="BN102" s="290">
        <f t="shared" si="220"/>
        <v>0</v>
      </c>
      <c r="BO102" s="290">
        <f t="shared" si="220"/>
        <v>0</v>
      </c>
      <c r="BP102" s="290">
        <f t="shared" si="220"/>
        <v>0</v>
      </c>
      <c r="BQ102" s="291">
        <f t="shared" si="220"/>
        <v>0</v>
      </c>
      <c r="BR102" s="290">
        <f t="shared" si="220"/>
        <v>0</v>
      </c>
      <c r="BS102" s="292">
        <f t="shared" si="220"/>
        <v>0</v>
      </c>
      <c r="BT102" s="288"/>
      <c r="BU102" s="289">
        <f t="shared" ref="BU102:CA102" si="221">BU101/$G102</f>
        <v>0</v>
      </c>
      <c r="BV102" s="290">
        <f t="shared" si="221"/>
        <v>0</v>
      </c>
      <c r="BW102" s="290">
        <f t="shared" si="221"/>
        <v>0</v>
      </c>
      <c r="BX102" s="290">
        <f t="shared" si="221"/>
        <v>0</v>
      </c>
      <c r="BY102" s="291">
        <f t="shared" si="221"/>
        <v>0</v>
      </c>
      <c r="BZ102" s="290">
        <f t="shared" si="221"/>
        <v>0</v>
      </c>
      <c r="CA102" s="292">
        <f t="shared" si="221"/>
        <v>0</v>
      </c>
      <c r="CB102" s="288"/>
      <c r="CC102" s="289">
        <f t="shared" ref="CC102:CI102" si="222">CC101/$G102</f>
        <v>0</v>
      </c>
      <c r="CD102" s="290">
        <f t="shared" si="222"/>
        <v>0</v>
      </c>
      <c r="CE102" s="290">
        <f t="shared" si="222"/>
        <v>0</v>
      </c>
      <c r="CF102" s="290">
        <f t="shared" si="222"/>
        <v>0</v>
      </c>
      <c r="CG102" s="291">
        <f t="shared" si="222"/>
        <v>0</v>
      </c>
      <c r="CH102" s="290">
        <f t="shared" si="222"/>
        <v>0</v>
      </c>
      <c r="CI102" s="292">
        <f t="shared" si="222"/>
        <v>0</v>
      </c>
      <c r="CJ102" s="288"/>
      <c r="CK102" s="289">
        <f t="shared" ref="CK102:CQ102" si="223">CK101/$G102</f>
        <v>0</v>
      </c>
      <c r="CL102" s="290">
        <f t="shared" si="223"/>
        <v>0</v>
      </c>
      <c r="CM102" s="290">
        <f t="shared" si="223"/>
        <v>0</v>
      </c>
      <c r="CN102" s="290">
        <f t="shared" si="223"/>
        <v>0</v>
      </c>
      <c r="CO102" s="291">
        <f t="shared" si="223"/>
        <v>0</v>
      </c>
      <c r="CP102" s="290">
        <f t="shared" si="223"/>
        <v>0</v>
      </c>
      <c r="CQ102" s="292">
        <f t="shared" si="223"/>
        <v>0</v>
      </c>
    </row>
    <row r="103" spans="1:95" ht="16.5" thickBot="1" x14ac:dyDescent="0.3">
      <c r="B103" s="167"/>
      <c r="C103" s="348"/>
      <c r="D103" s="173"/>
      <c r="E103" s="173"/>
      <c r="F103" s="173"/>
      <c r="G103" s="272"/>
      <c r="H103" s="173"/>
      <c r="I103" s="173"/>
      <c r="J103" s="173"/>
      <c r="K103" s="173"/>
      <c r="L103" s="173"/>
      <c r="M103" s="173"/>
      <c r="N103" s="348"/>
      <c r="O103" s="173"/>
      <c r="P103" s="173"/>
      <c r="Q103" s="348"/>
      <c r="R103" s="173"/>
      <c r="S103" s="173"/>
      <c r="T103" s="173"/>
      <c r="U103" s="173"/>
      <c r="V103" s="173"/>
      <c r="W103" s="173"/>
      <c r="X103" s="173"/>
      <c r="Y103" s="173"/>
      <c r="Z103" s="173"/>
      <c r="AA103" s="173"/>
      <c r="AB103" s="173"/>
      <c r="AC103" s="173"/>
      <c r="AD103" s="168"/>
      <c r="AE103" s="168"/>
      <c r="AF103" s="168"/>
      <c r="AG103" s="168"/>
      <c r="AH103" s="168"/>
      <c r="AI103" s="168"/>
      <c r="AJ103" s="168"/>
      <c r="AK103" s="168"/>
      <c r="AL103" s="168"/>
      <c r="AM103" s="168"/>
      <c r="AN103" s="168"/>
      <c r="AO103" s="168"/>
      <c r="AP103" s="168"/>
      <c r="AQ103" s="168"/>
      <c r="AR103" s="168"/>
      <c r="AS103" s="168"/>
      <c r="AT103" s="168"/>
      <c r="AU103" s="168"/>
      <c r="AV103" s="173"/>
      <c r="AW103" s="173"/>
      <c r="AX103" s="173"/>
      <c r="AY103" s="173"/>
      <c r="AZ103" s="173"/>
      <c r="BA103" s="173"/>
      <c r="BB103" s="173"/>
      <c r="BC103" s="173"/>
      <c r="BD103" s="173"/>
      <c r="BE103" s="173"/>
      <c r="BF103" s="173"/>
      <c r="BG103" s="173"/>
      <c r="BH103" s="173"/>
      <c r="BI103" s="173"/>
      <c r="BJ103" s="173"/>
      <c r="BK103" s="173"/>
      <c r="BL103" s="173"/>
      <c r="BM103" s="173"/>
      <c r="BN103" s="173"/>
      <c r="BO103" s="173"/>
      <c r="BP103" s="173"/>
      <c r="BQ103" s="173"/>
      <c r="BR103" s="173"/>
      <c r="BS103" s="173"/>
      <c r="BT103" s="173"/>
      <c r="BU103" s="173"/>
      <c r="BV103" s="173"/>
      <c r="BW103" s="173"/>
      <c r="BX103" s="173"/>
      <c r="BY103" s="173"/>
      <c r="BZ103" s="173"/>
      <c r="CA103" s="173"/>
      <c r="CB103" s="173"/>
      <c r="CC103" s="173"/>
      <c r="CD103" s="173"/>
      <c r="CE103" s="173"/>
      <c r="CF103" s="173"/>
      <c r="CG103" s="173"/>
      <c r="CH103" s="173"/>
      <c r="CI103" s="173"/>
      <c r="CJ103" s="173"/>
      <c r="CK103" s="173"/>
      <c r="CL103" s="173"/>
      <c r="CM103" s="173"/>
      <c r="CN103" s="173"/>
      <c r="CO103" s="173"/>
      <c r="CP103" s="173"/>
      <c r="CQ103" s="173"/>
    </row>
    <row r="104" spans="1:95" x14ac:dyDescent="0.25">
      <c r="A104" s="52" t="s">
        <v>7</v>
      </c>
      <c r="B104" s="166">
        <f>B100+1</f>
        <v>45943</v>
      </c>
      <c r="C104" s="173">
        <f>Boats!J491</f>
        <v>48.023126463327856</v>
      </c>
      <c r="D104" s="77">
        <v>23</v>
      </c>
      <c r="E104" s="150">
        <v>58</v>
      </c>
      <c r="F104" s="579">
        <v>317.01</v>
      </c>
      <c r="G104" s="253"/>
      <c r="H104" s="247">
        <f t="shared" ref="H104:H110" si="224">SUM(I104:J104)</f>
        <v>35</v>
      </c>
      <c r="I104" s="77">
        <v>24</v>
      </c>
      <c r="J104" s="77">
        <v>11</v>
      </c>
      <c r="K104" s="247">
        <f t="shared" ref="K104:K110" si="225">SUM(L104:M104)</f>
        <v>7</v>
      </c>
      <c r="L104" s="77">
        <v>6</v>
      </c>
      <c r="M104" s="77">
        <v>1</v>
      </c>
      <c r="N104" s="311">
        <f t="shared" ref="N104:N110" si="226">SUM(O104:P104)</f>
        <v>0</v>
      </c>
      <c r="O104" s="77"/>
      <c r="P104" s="77"/>
      <c r="Q104" s="311">
        <f t="shared" ref="Q104:Q110" si="227">SUM(R104:S104)</f>
        <v>0</v>
      </c>
      <c r="R104" s="117"/>
      <c r="S104" s="77"/>
      <c r="T104" s="580"/>
      <c r="U104" s="581">
        <v>1</v>
      </c>
      <c r="V104" s="260"/>
      <c r="W104" s="117"/>
      <c r="X104" s="581"/>
      <c r="Y104" s="168"/>
      <c r="Z104" s="535"/>
      <c r="AA104" s="168"/>
      <c r="AB104" s="168"/>
      <c r="AC104" s="262"/>
      <c r="AD104" s="132"/>
      <c r="AF104" s="45"/>
      <c r="AG104" s="151"/>
      <c r="AJ104" s="45"/>
      <c r="AK104" s="151"/>
      <c r="AM104" s="151"/>
      <c r="AN104" s="45"/>
      <c r="AP104" s="45"/>
      <c r="AQ104" s="151"/>
      <c r="AS104" s="151"/>
      <c r="AU104" s="582"/>
      <c r="AV104" s="168"/>
      <c r="AW104" s="117"/>
      <c r="AX104" s="77"/>
      <c r="AY104" s="77"/>
      <c r="AZ104" s="581"/>
      <c r="BA104" s="580"/>
      <c r="BC104" s="77"/>
      <c r="BD104" s="168"/>
      <c r="BE104" s="117"/>
      <c r="BF104" s="77"/>
      <c r="BG104" s="77"/>
      <c r="BH104" s="581"/>
      <c r="BI104" s="580"/>
      <c r="BK104" s="77"/>
      <c r="BL104" s="168"/>
      <c r="BM104" s="257"/>
      <c r="BN104" s="255"/>
      <c r="BO104" s="255"/>
      <c r="BP104" s="255"/>
      <c r="BQ104" s="254"/>
      <c r="BR104" s="255"/>
      <c r="BS104" s="258"/>
      <c r="BT104" s="168"/>
      <c r="BU104" s="257"/>
      <c r="BV104" s="255"/>
      <c r="BW104" s="255"/>
      <c r="BX104" s="255"/>
      <c r="BY104" s="254"/>
      <c r="BZ104" s="255"/>
      <c r="CA104" s="258"/>
      <c r="CB104" s="168"/>
      <c r="CC104" s="257"/>
      <c r="CD104" s="255"/>
      <c r="CE104" s="255"/>
      <c r="CF104" s="255"/>
      <c r="CG104" s="254"/>
      <c r="CH104" s="255"/>
      <c r="CI104" s="258"/>
      <c r="CJ104" s="168"/>
      <c r="CK104" s="257"/>
      <c r="CL104" s="255"/>
      <c r="CM104" s="255"/>
      <c r="CN104" s="255"/>
      <c r="CO104" s="254"/>
      <c r="CP104" s="255"/>
      <c r="CQ104" s="258"/>
    </row>
    <row r="105" spans="1:95" x14ac:dyDescent="0.25">
      <c r="A105" s="132" t="s">
        <v>10</v>
      </c>
      <c r="B105" s="167">
        <f t="shared" ref="B105:B110" si="228">B104+1</f>
        <v>45944</v>
      </c>
      <c r="C105" s="173">
        <f>Boats!J498</f>
        <v>118.26177669870147</v>
      </c>
      <c r="D105" s="77">
        <v>16</v>
      </c>
      <c r="E105" s="150">
        <v>51</v>
      </c>
      <c r="F105" s="579">
        <v>270.60000000000002</v>
      </c>
      <c r="G105" s="253"/>
      <c r="H105" s="247">
        <f t="shared" si="224"/>
        <v>27</v>
      </c>
      <c r="I105" s="77">
        <v>23</v>
      </c>
      <c r="J105" s="77">
        <v>4</v>
      </c>
      <c r="K105" s="247">
        <f t="shared" si="225"/>
        <v>4</v>
      </c>
      <c r="L105" s="77">
        <v>3</v>
      </c>
      <c r="M105" s="77">
        <v>1</v>
      </c>
      <c r="N105" s="311">
        <f t="shared" si="226"/>
        <v>0</v>
      </c>
      <c r="O105" s="77"/>
      <c r="P105" s="77"/>
      <c r="Q105" s="311">
        <f t="shared" si="227"/>
        <v>0</v>
      </c>
      <c r="R105" s="117"/>
      <c r="S105" s="77"/>
      <c r="T105" s="580">
        <v>5</v>
      </c>
      <c r="U105" s="581"/>
      <c r="V105" s="260"/>
      <c r="W105" s="117"/>
      <c r="X105" s="581"/>
      <c r="Y105" s="168"/>
      <c r="Z105" s="261"/>
      <c r="AA105" s="168"/>
      <c r="AB105" s="168"/>
      <c r="AC105" s="262"/>
      <c r="AD105" s="132"/>
      <c r="AF105" s="45"/>
      <c r="AG105" s="151"/>
      <c r="AJ105" s="45"/>
      <c r="AK105" s="151"/>
      <c r="AM105" s="151"/>
      <c r="AN105" s="45"/>
      <c r="AP105" s="45"/>
      <c r="AQ105" s="151"/>
      <c r="AS105" s="151"/>
      <c r="AU105" s="582"/>
      <c r="AV105" s="168"/>
      <c r="AW105" s="117"/>
      <c r="AX105" s="77"/>
      <c r="AY105" s="77"/>
      <c r="AZ105" s="581"/>
      <c r="BA105" s="580"/>
      <c r="BC105" s="77"/>
      <c r="BD105" s="168"/>
      <c r="BE105" s="117"/>
      <c r="BF105" s="77"/>
      <c r="BG105" s="77"/>
      <c r="BH105" s="581"/>
      <c r="BI105" s="580"/>
      <c r="BK105" s="77"/>
      <c r="BL105" s="168"/>
      <c r="BM105" s="261"/>
      <c r="BN105" s="168"/>
      <c r="BO105" s="168"/>
      <c r="BP105" s="168"/>
      <c r="BQ105" s="260"/>
      <c r="BR105" s="168"/>
      <c r="BS105" s="262"/>
      <c r="BT105" s="168"/>
      <c r="BU105" s="261"/>
      <c r="BV105" s="168"/>
      <c r="BW105" s="168"/>
      <c r="BX105" s="168"/>
      <c r="BY105" s="260"/>
      <c r="BZ105" s="168"/>
      <c r="CA105" s="262"/>
      <c r="CB105" s="168"/>
      <c r="CC105" s="261"/>
      <c r="CD105" s="168"/>
      <c r="CE105" s="168"/>
      <c r="CF105" s="168"/>
      <c r="CG105" s="260"/>
      <c r="CH105" s="168"/>
      <c r="CI105" s="262"/>
      <c r="CJ105" s="168"/>
      <c r="CK105" s="261"/>
      <c r="CL105" s="168"/>
      <c r="CM105" s="168"/>
      <c r="CN105" s="168"/>
      <c r="CO105" s="260"/>
      <c r="CP105" s="168"/>
      <c r="CQ105" s="262"/>
    </row>
    <row r="106" spans="1:95" x14ac:dyDescent="0.25">
      <c r="A106" s="132" t="s">
        <v>11</v>
      </c>
      <c r="B106" s="167">
        <f t="shared" si="228"/>
        <v>45945</v>
      </c>
      <c r="C106" s="173">
        <f>Boats!J505</f>
        <v>111.00636555650183</v>
      </c>
      <c r="D106" s="77">
        <v>31</v>
      </c>
      <c r="E106" s="150">
        <v>84</v>
      </c>
      <c r="F106" s="579">
        <v>475.69</v>
      </c>
      <c r="G106" s="253"/>
      <c r="H106" s="247">
        <f t="shared" si="224"/>
        <v>53</v>
      </c>
      <c r="I106" s="77">
        <v>35</v>
      </c>
      <c r="J106" s="77">
        <v>18</v>
      </c>
      <c r="K106" s="247">
        <f t="shared" si="225"/>
        <v>3</v>
      </c>
      <c r="L106" s="77">
        <v>1</v>
      </c>
      <c r="M106" s="77">
        <v>2</v>
      </c>
      <c r="N106" s="311">
        <f t="shared" si="226"/>
        <v>1</v>
      </c>
      <c r="O106" s="77"/>
      <c r="P106" s="77">
        <v>1</v>
      </c>
      <c r="Q106" s="311">
        <f t="shared" si="227"/>
        <v>0</v>
      </c>
      <c r="R106" s="117"/>
      <c r="S106" s="77"/>
      <c r="T106" s="580">
        <v>15</v>
      </c>
      <c r="U106" s="581"/>
      <c r="V106" s="260"/>
      <c r="W106" s="117"/>
      <c r="X106" s="581"/>
      <c r="Y106" s="168"/>
      <c r="Z106" s="261"/>
      <c r="AA106" s="168"/>
      <c r="AB106" s="168"/>
      <c r="AC106" s="262"/>
      <c r="AD106" s="132"/>
      <c r="AF106" s="45"/>
      <c r="AG106" s="151"/>
      <c r="AJ106" s="45"/>
      <c r="AK106" s="151"/>
      <c r="AM106" s="151"/>
      <c r="AN106" s="45"/>
      <c r="AP106" s="45"/>
      <c r="AQ106" s="151"/>
      <c r="AS106" s="151"/>
      <c r="AU106" s="582"/>
      <c r="AV106" s="168"/>
      <c r="AW106" s="117"/>
      <c r="AX106" s="77"/>
      <c r="AY106" s="77"/>
      <c r="AZ106" s="581"/>
      <c r="BA106" s="580"/>
      <c r="BC106" s="77"/>
      <c r="BD106" s="168"/>
      <c r="BE106" s="117"/>
      <c r="BF106" s="77"/>
      <c r="BG106" s="77"/>
      <c r="BH106" s="581"/>
      <c r="BI106" s="580"/>
      <c r="BK106" s="77"/>
      <c r="BL106" s="168"/>
      <c r="BM106" s="261"/>
      <c r="BN106" s="168"/>
      <c r="BO106" s="168"/>
      <c r="BP106" s="168"/>
      <c r="BQ106" s="260"/>
      <c r="BR106" s="168"/>
      <c r="BS106" s="262"/>
      <c r="BT106" s="168"/>
      <c r="BU106" s="261"/>
      <c r="BV106" s="168"/>
      <c r="BW106" s="168"/>
      <c r="BX106" s="168"/>
      <c r="BY106" s="260"/>
      <c r="BZ106" s="168"/>
      <c r="CA106" s="262"/>
      <c r="CB106" s="168"/>
      <c r="CC106" s="261"/>
      <c r="CD106" s="168"/>
      <c r="CE106" s="168"/>
      <c r="CF106" s="168"/>
      <c r="CG106" s="260"/>
      <c r="CH106" s="168"/>
      <c r="CI106" s="262"/>
      <c r="CJ106" s="168"/>
      <c r="CK106" s="261"/>
      <c r="CL106" s="168"/>
      <c r="CM106" s="168"/>
      <c r="CN106" s="168"/>
      <c r="CO106" s="260"/>
      <c r="CP106" s="168"/>
      <c r="CQ106" s="262"/>
    </row>
    <row r="107" spans="1:95" x14ac:dyDescent="0.25">
      <c r="A107" s="132" t="s">
        <v>12</v>
      </c>
      <c r="B107" s="167">
        <f t="shared" si="228"/>
        <v>45946</v>
      </c>
      <c r="C107" s="173">
        <f>Boats!J512</f>
        <v>23.110661638427079</v>
      </c>
      <c r="D107" s="77">
        <v>17</v>
      </c>
      <c r="E107" s="150">
        <v>35</v>
      </c>
      <c r="F107" s="579">
        <v>161.49</v>
      </c>
      <c r="G107" s="253"/>
      <c r="H107" s="247">
        <f t="shared" si="224"/>
        <v>23</v>
      </c>
      <c r="I107" s="77">
        <v>6</v>
      </c>
      <c r="J107" s="77">
        <v>17</v>
      </c>
      <c r="K107" s="247">
        <f t="shared" si="225"/>
        <v>2</v>
      </c>
      <c r="L107" s="77"/>
      <c r="M107" s="77">
        <v>2</v>
      </c>
      <c r="N107" s="311">
        <f t="shared" si="226"/>
        <v>2</v>
      </c>
      <c r="O107" s="77">
        <v>2</v>
      </c>
      <c r="P107" s="77"/>
      <c r="Q107" s="311">
        <f t="shared" si="227"/>
        <v>0</v>
      </c>
      <c r="R107" s="117"/>
      <c r="S107" s="77"/>
      <c r="T107" s="580">
        <v>4</v>
      </c>
      <c r="U107" s="581"/>
      <c r="V107" s="260"/>
      <c r="W107" s="117"/>
      <c r="X107" s="581"/>
      <c r="Y107" s="168"/>
      <c r="Z107" s="261"/>
      <c r="AA107" s="168"/>
      <c r="AB107" s="168"/>
      <c r="AC107" s="262"/>
      <c r="AD107" s="132"/>
      <c r="AF107" s="45"/>
      <c r="AG107" s="151"/>
      <c r="AJ107" s="45"/>
      <c r="AK107" s="151"/>
      <c r="AM107" s="151"/>
      <c r="AN107" s="45"/>
      <c r="AP107" s="45"/>
      <c r="AQ107" s="151"/>
      <c r="AS107" s="151"/>
      <c r="AU107" s="582"/>
      <c r="AV107" s="168"/>
      <c r="AW107" s="117"/>
      <c r="AX107" s="77"/>
      <c r="AY107" s="77"/>
      <c r="AZ107" s="581"/>
      <c r="BA107" s="580">
        <v>1</v>
      </c>
      <c r="BC107" s="77"/>
      <c r="BD107" s="168"/>
      <c r="BE107" s="117"/>
      <c r="BF107" s="77"/>
      <c r="BG107" s="77"/>
      <c r="BH107" s="581"/>
      <c r="BI107" s="580">
        <v>1</v>
      </c>
      <c r="BK107" s="77"/>
      <c r="BL107" s="168"/>
      <c r="BM107" s="261"/>
      <c r="BN107" s="168"/>
      <c r="BO107" s="168"/>
      <c r="BP107" s="168"/>
      <c r="BQ107" s="260"/>
      <c r="BR107" s="168"/>
      <c r="BS107" s="262"/>
      <c r="BT107" s="168"/>
      <c r="BU107" s="261"/>
      <c r="BV107" s="168"/>
      <c r="BW107" s="168"/>
      <c r="BX107" s="168"/>
      <c r="BY107" s="260"/>
      <c r="BZ107" s="168"/>
      <c r="CA107" s="262"/>
      <c r="CB107" s="168"/>
      <c r="CC107" s="261"/>
      <c r="CD107" s="168"/>
      <c r="CE107" s="168"/>
      <c r="CF107" s="168"/>
      <c r="CG107" s="260"/>
      <c r="CH107" s="168"/>
      <c r="CI107" s="262"/>
      <c r="CJ107" s="168"/>
      <c r="CK107" s="261"/>
      <c r="CL107" s="168"/>
      <c r="CM107" s="168"/>
      <c r="CN107" s="168"/>
      <c r="CO107" s="260"/>
      <c r="CP107" s="168"/>
      <c r="CQ107" s="262"/>
    </row>
    <row r="108" spans="1:95" x14ac:dyDescent="0.25">
      <c r="A108" s="132" t="s">
        <v>13</v>
      </c>
      <c r="B108" s="167">
        <f t="shared" si="228"/>
        <v>45947</v>
      </c>
      <c r="C108" s="173">
        <f>Boats!J519</f>
        <v>44.393233830845773</v>
      </c>
      <c r="D108" s="77">
        <v>23</v>
      </c>
      <c r="E108" s="150">
        <v>55</v>
      </c>
      <c r="F108" s="579">
        <v>309.85000000000002</v>
      </c>
      <c r="G108" s="253"/>
      <c r="H108" s="247">
        <f t="shared" si="224"/>
        <v>41</v>
      </c>
      <c r="I108" s="77">
        <v>10</v>
      </c>
      <c r="J108" s="77">
        <v>31</v>
      </c>
      <c r="K108" s="247">
        <f t="shared" si="225"/>
        <v>3</v>
      </c>
      <c r="L108" s="77"/>
      <c r="M108" s="77">
        <v>3</v>
      </c>
      <c r="N108" s="311">
        <f t="shared" si="226"/>
        <v>0</v>
      </c>
      <c r="O108" s="77"/>
      <c r="P108" s="77"/>
      <c r="Q108" s="311">
        <f t="shared" si="227"/>
        <v>0</v>
      </c>
      <c r="R108" s="117"/>
      <c r="S108" s="77"/>
      <c r="T108" s="580"/>
      <c r="U108" s="581"/>
      <c r="V108" s="260"/>
      <c r="W108" s="117"/>
      <c r="X108" s="581"/>
      <c r="Y108" s="168"/>
      <c r="Z108" s="261"/>
      <c r="AA108" s="168"/>
      <c r="AB108" s="168"/>
      <c r="AC108" s="262"/>
      <c r="AD108" s="132"/>
      <c r="AF108" s="45"/>
      <c r="AG108" s="151"/>
      <c r="AJ108" s="45"/>
      <c r="AK108" s="151"/>
      <c r="AM108" s="151"/>
      <c r="AN108" s="45"/>
      <c r="AP108" s="45"/>
      <c r="AQ108" s="151"/>
      <c r="AS108" s="151"/>
      <c r="AU108" s="582"/>
      <c r="AV108" s="168"/>
      <c r="AW108" s="117"/>
      <c r="AX108" s="77"/>
      <c r="AY108" s="77"/>
      <c r="AZ108" s="581"/>
      <c r="BA108" s="580">
        <v>2</v>
      </c>
      <c r="BC108" s="77"/>
      <c r="BD108" s="168"/>
      <c r="BE108" s="117"/>
      <c r="BF108" s="77"/>
      <c r="BG108" s="77"/>
      <c r="BH108" s="581"/>
      <c r="BI108" s="580">
        <v>2</v>
      </c>
      <c r="BK108" s="77"/>
      <c r="BL108" s="168"/>
      <c r="BM108" s="261"/>
      <c r="BN108" s="168"/>
      <c r="BO108" s="168"/>
      <c r="BP108" s="168"/>
      <c r="BQ108" s="260"/>
      <c r="BR108" s="168"/>
      <c r="BS108" s="262"/>
      <c r="BT108" s="168"/>
      <c r="BU108" s="261"/>
      <c r="BV108" s="168"/>
      <c r="BW108" s="168"/>
      <c r="BX108" s="168"/>
      <c r="BY108" s="260"/>
      <c r="BZ108" s="168"/>
      <c r="CA108" s="262"/>
      <c r="CB108" s="168"/>
      <c r="CC108" s="261"/>
      <c r="CD108" s="168"/>
      <c r="CE108" s="168"/>
      <c r="CF108" s="168"/>
      <c r="CG108" s="260"/>
      <c r="CH108" s="168"/>
      <c r="CI108" s="262"/>
      <c r="CJ108" s="168"/>
      <c r="CK108" s="261"/>
      <c r="CL108" s="168"/>
      <c r="CM108" s="168"/>
      <c r="CN108" s="168"/>
      <c r="CO108" s="260"/>
      <c r="CP108" s="168"/>
      <c r="CQ108" s="262"/>
    </row>
    <row r="109" spans="1:95" x14ac:dyDescent="0.25">
      <c r="A109" s="132" t="s">
        <v>14</v>
      </c>
      <c r="B109" s="167">
        <f t="shared" si="228"/>
        <v>45948</v>
      </c>
      <c r="C109" s="173">
        <f>Boats!J526</f>
        <v>53.964790860512245</v>
      </c>
      <c r="D109" s="77">
        <v>33</v>
      </c>
      <c r="E109" s="150">
        <v>89</v>
      </c>
      <c r="F109" s="579">
        <v>590.12</v>
      </c>
      <c r="G109" s="260"/>
      <c r="H109" s="247">
        <f t="shared" si="224"/>
        <v>36</v>
      </c>
      <c r="I109" s="77">
        <v>12</v>
      </c>
      <c r="J109" s="77">
        <v>24</v>
      </c>
      <c r="K109" s="247">
        <f t="shared" si="225"/>
        <v>1</v>
      </c>
      <c r="L109" s="77">
        <v>1</v>
      </c>
      <c r="M109" s="77"/>
      <c r="N109" s="311">
        <f t="shared" si="226"/>
        <v>3</v>
      </c>
      <c r="O109" s="77"/>
      <c r="P109" s="77">
        <v>3</v>
      </c>
      <c r="Q109" s="311">
        <f t="shared" si="227"/>
        <v>0</v>
      </c>
      <c r="R109" s="117"/>
      <c r="S109" s="77"/>
      <c r="T109" s="580">
        <v>7</v>
      </c>
      <c r="U109" s="581"/>
      <c r="V109" s="260"/>
      <c r="W109" s="117"/>
      <c r="X109" s="581"/>
      <c r="Y109" s="168"/>
      <c r="Z109" s="261"/>
      <c r="AA109" s="168"/>
      <c r="AB109" s="168"/>
      <c r="AC109" s="262"/>
      <c r="AD109" s="132"/>
      <c r="AF109" s="45">
        <v>2</v>
      </c>
      <c r="AG109" s="151">
        <v>3</v>
      </c>
      <c r="AJ109" s="45"/>
      <c r="AK109" s="151"/>
      <c r="AM109" s="151"/>
      <c r="AN109" s="45"/>
      <c r="AP109" s="45"/>
      <c r="AQ109" s="151"/>
      <c r="AS109" s="151"/>
      <c r="AU109" s="582"/>
      <c r="AV109" s="168"/>
      <c r="AW109" s="117"/>
      <c r="AX109" s="77">
        <v>1</v>
      </c>
      <c r="AY109" s="77">
        <v>3</v>
      </c>
      <c r="AZ109" s="581"/>
      <c r="BA109" s="580"/>
      <c r="BC109" s="77"/>
      <c r="BD109" s="168"/>
      <c r="BE109" s="117"/>
      <c r="BF109" s="77">
        <v>1</v>
      </c>
      <c r="BG109" s="77">
        <v>3</v>
      </c>
      <c r="BH109" s="581"/>
      <c r="BI109" s="580"/>
      <c r="BK109" s="77"/>
      <c r="BL109" s="168"/>
      <c r="BM109" s="261"/>
      <c r="BN109" s="168"/>
      <c r="BO109" s="168"/>
      <c r="BP109" s="168"/>
      <c r="BQ109" s="260"/>
      <c r="BR109" s="168"/>
      <c r="BS109" s="262"/>
      <c r="BT109" s="168"/>
      <c r="BU109" s="261"/>
      <c r="BV109" s="168"/>
      <c r="BW109" s="168"/>
      <c r="BX109" s="168"/>
      <c r="BY109" s="260"/>
      <c r="BZ109" s="168"/>
      <c r="CA109" s="262"/>
      <c r="CB109" s="168"/>
      <c r="CC109" s="261"/>
      <c r="CD109" s="168"/>
      <c r="CE109" s="168"/>
      <c r="CF109" s="168"/>
      <c r="CG109" s="260"/>
      <c r="CH109" s="168"/>
      <c r="CI109" s="262"/>
      <c r="CJ109" s="168"/>
      <c r="CK109" s="261"/>
      <c r="CL109" s="168"/>
      <c r="CM109" s="168"/>
      <c r="CN109" s="168"/>
      <c r="CO109" s="260"/>
      <c r="CP109" s="168"/>
      <c r="CQ109" s="262"/>
    </row>
    <row r="110" spans="1:95" ht="16.5" thickBot="1" x14ac:dyDescent="0.3">
      <c r="A110" s="170" t="s">
        <v>15</v>
      </c>
      <c r="B110" s="171">
        <f t="shared" si="228"/>
        <v>45949</v>
      </c>
      <c r="C110" s="236">
        <f>Boats!J533</f>
        <v>2.9344383057090244</v>
      </c>
      <c r="D110" s="77">
        <v>1</v>
      </c>
      <c r="E110" s="150">
        <v>4</v>
      </c>
      <c r="F110" s="579">
        <v>20.72</v>
      </c>
      <c r="G110" s="237"/>
      <c r="H110" s="248">
        <f t="shared" si="224"/>
        <v>4</v>
      </c>
      <c r="I110" s="77">
        <v>2</v>
      </c>
      <c r="J110" s="77">
        <v>2</v>
      </c>
      <c r="K110" s="248">
        <f t="shared" si="225"/>
        <v>0</v>
      </c>
      <c r="L110" s="77"/>
      <c r="M110" s="77"/>
      <c r="N110" s="248">
        <f t="shared" si="226"/>
        <v>0</v>
      </c>
      <c r="O110" s="77"/>
      <c r="P110" s="77"/>
      <c r="Q110" s="248">
        <f t="shared" si="227"/>
        <v>0</v>
      </c>
      <c r="R110" s="117"/>
      <c r="S110" s="77"/>
      <c r="T110" s="580"/>
      <c r="U110" s="581"/>
      <c r="V110" s="237"/>
      <c r="W110" s="117"/>
      <c r="X110" s="581"/>
      <c r="Y110" s="168"/>
      <c r="Z110" s="264"/>
      <c r="AA110" s="238"/>
      <c r="AB110" s="238"/>
      <c r="AC110" s="265"/>
      <c r="AD110" s="132"/>
      <c r="AF110" s="45"/>
      <c r="AG110" s="151"/>
      <c r="AJ110" s="45"/>
      <c r="AK110" s="151"/>
      <c r="AM110" s="151"/>
      <c r="AN110" s="583"/>
      <c r="AO110" s="172"/>
      <c r="AP110" s="583"/>
      <c r="AQ110" s="584"/>
      <c r="AR110" s="172"/>
      <c r="AS110" s="584"/>
      <c r="AU110" s="582"/>
      <c r="AV110" s="168"/>
      <c r="AW110" s="117"/>
      <c r="AX110" s="77"/>
      <c r="AY110" s="77"/>
      <c r="AZ110" s="581"/>
      <c r="BA110" s="580"/>
      <c r="BC110" s="77"/>
      <c r="BD110" s="168"/>
      <c r="BE110" s="117"/>
      <c r="BF110" s="77"/>
      <c r="BG110" s="77"/>
      <c r="BH110" s="581"/>
      <c r="BI110" s="580"/>
      <c r="BK110" s="77"/>
      <c r="BL110" s="168"/>
      <c r="BM110" s="264"/>
      <c r="BN110" s="238"/>
      <c r="BO110" s="238"/>
      <c r="BP110" s="238"/>
      <c r="BQ110" s="237"/>
      <c r="BR110" s="238"/>
      <c r="BS110" s="265"/>
      <c r="BT110" s="168"/>
      <c r="BU110" s="264"/>
      <c r="BV110" s="238"/>
      <c r="BW110" s="238"/>
      <c r="BX110" s="238"/>
      <c r="BY110" s="237"/>
      <c r="BZ110" s="238"/>
      <c r="CA110" s="265"/>
      <c r="CB110" s="168"/>
      <c r="CC110" s="264"/>
      <c r="CD110" s="238"/>
      <c r="CE110" s="238"/>
      <c r="CF110" s="238"/>
      <c r="CG110" s="237"/>
      <c r="CH110" s="238"/>
      <c r="CI110" s="265"/>
      <c r="CJ110" s="168"/>
      <c r="CK110" s="264"/>
      <c r="CL110" s="238"/>
      <c r="CM110" s="238"/>
      <c r="CN110" s="238"/>
      <c r="CO110" s="237"/>
      <c r="CP110" s="238"/>
      <c r="CQ110" s="265"/>
    </row>
    <row r="111" spans="1:95" ht="16.5" thickTop="1" x14ac:dyDescent="0.25">
      <c r="A111" s="298" t="s">
        <v>106</v>
      </c>
      <c r="B111" s="274"/>
      <c r="C111" s="293"/>
      <c r="D111" s="294"/>
      <c r="E111" s="315"/>
      <c r="F111" s="315"/>
      <c r="G111" s="295"/>
      <c r="H111" s="296">
        <f t="shared" ref="H111:X111" si="229">SUM(H104:H110)</f>
        <v>219</v>
      </c>
      <c r="I111" s="284">
        <f t="shared" si="229"/>
        <v>112</v>
      </c>
      <c r="J111" s="283">
        <f t="shared" si="229"/>
        <v>107</v>
      </c>
      <c r="K111" s="296">
        <f t="shared" si="229"/>
        <v>20</v>
      </c>
      <c r="L111" s="284">
        <f t="shared" si="229"/>
        <v>11</v>
      </c>
      <c r="M111" s="283">
        <f t="shared" si="229"/>
        <v>9</v>
      </c>
      <c r="N111" s="296">
        <f t="shared" si="229"/>
        <v>6</v>
      </c>
      <c r="O111" s="284">
        <f t="shared" si="229"/>
        <v>2</v>
      </c>
      <c r="P111" s="297">
        <f t="shared" si="229"/>
        <v>4</v>
      </c>
      <c r="Q111" s="296">
        <f t="shared" ref="Q111:S111" si="230">SUM(Q104:Q110)</f>
        <v>0</v>
      </c>
      <c r="R111" s="284">
        <f t="shared" si="230"/>
        <v>0</v>
      </c>
      <c r="S111" s="297">
        <f t="shared" si="230"/>
        <v>0</v>
      </c>
      <c r="T111" s="282">
        <f t="shared" si="229"/>
        <v>31</v>
      </c>
      <c r="U111" s="283">
        <f t="shared" si="229"/>
        <v>1</v>
      </c>
      <c r="V111" s="284">
        <f t="shared" si="229"/>
        <v>0</v>
      </c>
      <c r="W111" s="284">
        <f t="shared" si="229"/>
        <v>0</v>
      </c>
      <c r="X111" s="285">
        <f t="shared" si="229"/>
        <v>0</v>
      </c>
      <c r="Y111" s="173"/>
      <c r="Z111" s="282">
        <f>SUM(Z104:Z110)</f>
        <v>0</v>
      </c>
      <c r="AA111" s="283">
        <f>SUM(AA104:AA110)</f>
        <v>0</v>
      </c>
      <c r="AB111" s="283">
        <f>SUM(AB104:AB110)</f>
        <v>0</v>
      </c>
      <c r="AC111" s="285">
        <f>SUM(AC104:AC110)</f>
        <v>0</v>
      </c>
      <c r="AD111" s="282">
        <f t="shared" ref="AD111:AU111" si="231">SUM(AD104:AD110)</f>
        <v>0</v>
      </c>
      <c r="AE111" s="297">
        <f t="shared" si="231"/>
        <v>0</v>
      </c>
      <c r="AF111" s="284">
        <f t="shared" si="231"/>
        <v>2</v>
      </c>
      <c r="AG111" s="297">
        <f t="shared" si="231"/>
        <v>3</v>
      </c>
      <c r="AH111" s="283">
        <f t="shared" si="231"/>
        <v>0</v>
      </c>
      <c r="AI111" s="283">
        <f t="shared" si="231"/>
        <v>0</v>
      </c>
      <c r="AJ111" s="284">
        <f t="shared" si="231"/>
        <v>0</v>
      </c>
      <c r="AK111" s="297">
        <f t="shared" si="231"/>
        <v>0</v>
      </c>
      <c r="AL111" s="284">
        <f t="shared" si="231"/>
        <v>0</v>
      </c>
      <c r="AM111" s="297">
        <f t="shared" si="231"/>
        <v>0</v>
      </c>
      <c r="AN111" s="276">
        <f t="shared" si="231"/>
        <v>0</v>
      </c>
      <c r="AO111" s="275">
        <f t="shared" si="231"/>
        <v>0</v>
      </c>
      <c r="AP111" s="276">
        <f t="shared" si="231"/>
        <v>0</v>
      </c>
      <c r="AQ111" s="275">
        <f t="shared" si="231"/>
        <v>0</v>
      </c>
      <c r="AR111" s="278">
        <f t="shared" si="231"/>
        <v>0</v>
      </c>
      <c r="AS111" s="277">
        <f t="shared" si="231"/>
        <v>0</v>
      </c>
      <c r="AT111" s="283">
        <f t="shared" si="231"/>
        <v>0</v>
      </c>
      <c r="AU111" s="285">
        <f t="shared" si="231"/>
        <v>0</v>
      </c>
      <c r="AV111" s="173"/>
      <c r="AW111" s="282">
        <f t="shared" ref="AW111:BC111" si="232">SUM(AW104:AW110)</f>
        <v>0</v>
      </c>
      <c r="AX111" s="283">
        <f t="shared" si="232"/>
        <v>1</v>
      </c>
      <c r="AY111" s="283">
        <f t="shared" si="232"/>
        <v>3</v>
      </c>
      <c r="AZ111" s="283">
        <f t="shared" si="232"/>
        <v>0</v>
      </c>
      <c r="BA111" s="284">
        <f t="shared" si="232"/>
        <v>3</v>
      </c>
      <c r="BB111" s="283">
        <f t="shared" si="232"/>
        <v>0</v>
      </c>
      <c r="BC111" s="285">
        <f t="shared" si="232"/>
        <v>0</v>
      </c>
      <c r="BD111" s="173"/>
      <c r="BE111" s="282">
        <f t="shared" ref="BE111:BK111" si="233">SUM(BE104:BE110)</f>
        <v>0</v>
      </c>
      <c r="BF111" s="283">
        <f t="shared" si="233"/>
        <v>1</v>
      </c>
      <c r="BG111" s="283">
        <f t="shared" si="233"/>
        <v>3</v>
      </c>
      <c r="BH111" s="283">
        <f t="shared" si="233"/>
        <v>0</v>
      </c>
      <c r="BI111" s="284">
        <f t="shared" si="233"/>
        <v>3</v>
      </c>
      <c r="BJ111" s="283">
        <f t="shared" si="233"/>
        <v>0</v>
      </c>
      <c r="BK111" s="285">
        <f t="shared" si="233"/>
        <v>0</v>
      </c>
      <c r="BL111" s="173"/>
      <c r="BM111" s="282">
        <f t="shared" ref="BM111:BS111" si="234">SUM(BM104:BM110)</f>
        <v>0</v>
      </c>
      <c r="BN111" s="283">
        <f t="shared" si="234"/>
        <v>0</v>
      </c>
      <c r="BO111" s="283">
        <f t="shared" si="234"/>
        <v>0</v>
      </c>
      <c r="BP111" s="283">
        <f t="shared" si="234"/>
        <v>0</v>
      </c>
      <c r="BQ111" s="284">
        <f t="shared" si="234"/>
        <v>0</v>
      </c>
      <c r="BR111" s="283">
        <f t="shared" si="234"/>
        <v>0</v>
      </c>
      <c r="BS111" s="285">
        <f t="shared" si="234"/>
        <v>0</v>
      </c>
      <c r="BT111" s="173"/>
      <c r="BU111" s="282">
        <f t="shared" ref="BU111:CA111" si="235">SUM(BU104:BU110)</f>
        <v>0</v>
      </c>
      <c r="BV111" s="283">
        <f t="shared" si="235"/>
        <v>0</v>
      </c>
      <c r="BW111" s="283">
        <f t="shared" si="235"/>
        <v>0</v>
      </c>
      <c r="BX111" s="283">
        <f t="shared" si="235"/>
        <v>0</v>
      </c>
      <c r="BY111" s="284">
        <f t="shared" si="235"/>
        <v>0</v>
      </c>
      <c r="BZ111" s="283">
        <f t="shared" si="235"/>
        <v>0</v>
      </c>
      <c r="CA111" s="285">
        <f t="shared" si="235"/>
        <v>0</v>
      </c>
      <c r="CB111" s="173"/>
      <c r="CC111" s="282">
        <f t="shared" ref="CC111:CI111" si="236">SUM(CC104:CC110)</f>
        <v>0</v>
      </c>
      <c r="CD111" s="283">
        <f t="shared" si="236"/>
        <v>0</v>
      </c>
      <c r="CE111" s="283">
        <f t="shared" si="236"/>
        <v>0</v>
      </c>
      <c r="CF111" s="283">
        <f t="shared" si="236"/>
        <v>0</v>
      </c>
      <c r="CG111" s="284">
        <f t="shared" si="236"/>
        <v>0</v>
      </c>
      <c r="CH111" s="283">
        <f t="shared" si="236"/>
        <v>0</v>
      </c>
      <c r="CI111" s="285">
        <f t="shared" si="236"/>
        <v>0</v>
      </c>
      <c r="CJ111" s="173"/>
      <c r="CK111" s="282">
        <f t="shared" ref="CK111:CQ111" si="237">SUM(CK104:CK110)</f>
        <v>0</v>
      </c>
      <c r="CL111" s="283">
        <f t="shared" si="237"/>
        <v>0</v>
      </c>
      <c r="CM111" s="283">
        <f t="shared" si="237"/>
        <v>0</v>
      </c>
      <c r="CN111" s="283">
        <f t="shared" si="237"/>
        <v>0</v>
      </c>
      <c r="CO111" s="284">
        <f t="shared" si="237"/>
        <v>0</v>
      </c>
      <c r="CP111" s="283">
        <f t="shared" si="237"/>
        <v>0</v>
      </c>
      <c r="CQ111" s="285">
        <f t="shared" si="237"/>
        <v>0</v>
      </c>
    </row>
    <row r="112" spans="1:95" ht="16.5" thickBot="1" x14ac:dyDescent="0.3">
      <c r="A112" s="299" t="s">
        <v>105</v>
      </c>
      <c r="B112" s="273"/>
      <c r="C112" s="306">
        <f>SUM(C104:C110)</f>
        <v>401.69439335402524</v>
      </c>
      <c r="D112" s="307">
        <f>SUM(D104:D110)</f>
        <v>144</v>
      </c>
      <c r="E112" s="306">
        <f>SUM(E104:E110)</f>
        <v>376</v>
      </c>
      <c r="F112" s="307">
        <f>SUM(F104:F110)</f>
        <v>2145.4799999999996</v>
      </c>
      <c r="G112" s="268">
        <f>D112/C112</f>
        <v>0.35848147841358718</v>
      </c>
      <c r="H112" s="279">
        <f t="shared" ref="H112:X112" si="238">H111/$G112</f>
        <v>610.91022322591334</v>
      </c>
      <c r="I112" s="241">
        <f t="shared" si="238"/>
        <v>312.42897260868631</v>
      </c>
      <c r="J112" s="239">
        <f t="shared" si="238"/>
        <v>298.48125061722709</v>
      </c>
      <c r="K112" s="279">
        <f t="shared" si="238"/>
        <v>55.790887965836838</v>
      </c>
      <c r="L112" s="241">
        <f t="shared" si="238"/>
        <v>30.68498838121026</v>
      </c>
      <c r="M112" s="239">
        <f t="shared" si="238"/>
        <v>25.105899584626577</v>
      </c>
      <c r="N112" s="279">
        <f t="shared" si="238"/>
        <v>16.737266389751053</v>
      </c>
      <c r="O112" s="241">
        <f t="shared" si="238"/>
        <v>5.579088796583684</v>
      </c>
      <c r="P112" s="240">
        <f t="shared" si="238"/>
        <v>11.158177593167368</v>
      </c>
      <c r="Q112" s="279">
        <f t="shared" ref="Q112:S112" si="239">Q111/$G112</f>
        <v>0</v>
      </c>
      <c r="R112" s="241">
        <f t="shared" si="239"/>
        <v>0</v>
      </c>
      <c r="S112" s="240">
        <f t="shared" si="239"/>
        <v>0</v>
      </c>
      <c r="T112" s="269">
        <f t="shared" si="238"/>
        <v>86.475876347047105</v>
      </c>
      <c r="U112" s="239">
        <f t="shared" si="238"/>
        <v>2.789544398291842</v>
      </c>
      <c r="V112" s="241">
        <f t="shared" si="238"/>
        <v>0</v>
      </c>
      <c r="W112" s="241">
        <f t="shared" si="238"/>
        <v>0</v>
      </c>
      <c r="X112" s="270">
        <f t="shared" si="238"/>
        <v>0</v>
      </c>
      <c r="Y112" s="173"/>
      <c r="Z112" s="289">
        <f>Z111/$G112</f>
        <v>0</v>
      </c>
      <c r="AA112" s="290">
        <f t="shared" ref="AA112:AC112" si="240">AA111/$G112</f>
        <v>0</v>
      </c>
      <c r="AB112" s="290">
        <f t="shared" si="240"/>
        <v>0</v>
      </c>
      <c r="AC112" s="292">
        <f t="shared" si="240"/>
        <v>0</v>
      </c>
      <c r="AD112" s="289">
        <f t="shared" ref="AD112:AU112" si="241">AD111/$G112</f>
        <v>0</v>
      </c>
      <c r="AE112" s="324">
        <f t="shared" si="241"/>
        <v>0</v>
      </c>
      <c r="AF112" s="291">
        <f t="shared" si="241"/>
        <v>5.579088796583684</v>
      </c>
      <c r="AG112" s="324">
        <f t="shared" si="241"/>
        <v>8.3686331948755264</v>
      </c>
      <c r="AH112" s="290">
        <f t="shared" si="241"/>
        <v>0</v>
      </c>
      <c r="AI112" s="290">
        <f t="shared" si="241"/>
        <v>0</v>
      </c>
      <c r="AJ112" s="291">
        <f t="shared" si="241"/>
        <v>0</v>
      </c>
      <c r="AK112" s="324">
        <f t="shared" si="241"/>
        <v>0</v>
      </c>
      <c r="AL112" s="291">
        <f t="shared" si="241"/>
        <v>0</v>
      </c>
      <c r="AM112" s="324">
        <f t="shared" si="241"/>
        <v>0</v>
      </c>
      <c r="AN112" s="325">
        <f t="shared" si="241"/>
        <v>0</v>
      </c>
      <c r="AO112" s="326">
        <f t="shared" si="241"/>
        <v>0</v>
      </c>
      <c r="AP112" s="325">
        <f t="shared" si="241"/>
        <v>0</v>
      </c>
      <c r="AQ112" s="326">
        <f t="shared" si="241"/>
        <v>0</v>
      </c>
      <c r="AR112" s="287">
        <f t="shared" si="241"/>
        <v>0</v>
      </c>
      <c r="AS112" s="286">
        <f t="shared" si="241"/>
        <v>0</v>
      </c>
      <c r="AT112" s="290">
        <f t="shared" si="241"/>
        <v>0</v>
      </c>
      <c r="AU112" s="292">
        <f t="shared" si="241"/>
        <v>0</v>
      </c>
      <c r="AV112" s="288"/>
      <c r="AW112" s="289">
        <f t="shared" ref="AW112:BC112" si="242">AW111/$G112</f>
        <v>0</v>
      </c>
      <c r="AX112" s="290">
        <f t="shared" si="242"/>
        <v>2.789544398291842</v>
      </c>
      <c r="AY112" s="290">
        <f t="shared" si="242"/>
        <v>8.3686331948755264</v>
      </c>
      <c r="AZ112" s="290">
        <f t="shared" si="242"/>
        <v>0</v>
      </c>
      <c r="BA112" s="291">
        <f t="shared" si="242"/>
        <v>8.3686331948755264</v>
      </c>
      <c r="BB112" s="290">
        <f t="shared" si="242"/>
        <v>0</v>
      </c>
      <c r="BC112" s="292">
        <f t="shared" si="242"/>
        <v>0</v>
      </c>
      <c r="BD112" s="288"/>
      <c r="BE112" s="289">
        <f t="shared" ref="BE112:BK112" si="243">BE111/$G112</f>
        <v>0</v>
      </c>
      <c r="BF112" s="290">
        <f t="shared" si="243"/>
        <v>2.789544398291842</v>
      </c>
      <c r="BG112" s="290">
        <f t="shared" si="243"/>
        <v>8.3686331948755264</v>
      </c>
      <c r="BH112" s="290">
        <f t="shared" si="243"/>
        <v>0</v>
      </c>
      <c r="BI112" s="291">
        <f t="shared" si="243"/>
        <v>8.3686331948755264</v>
      </c>
      <c r="BJ112" s="290">
        <f t="shared" si="243"/>
        <v>0</v>
      </c>
      <c r="BK112" s="292">
        <f t="shared" si="243"/>
        <v>0</v>
      </c>
      <c r="BL112" s="288"/>
      <c r="BM112" s="289">
        <f t="shared" ref="BM112:BS112" si="244">BM111/$G112</f>
        <v>0</v>
      </c>
      <c r="BN112" s="290">
        <f t="shared" si="244"/>
        <v>0</v>
      </c>
      <c r="BO112" s="290">
        <f t="shared" si="244"/>
        <v>0</v>
      </c>
      <c r="BP112" s="290">
        <f t="shared" si="244"/>
        <v>0</v>
      </c>
      <c r="BQ112" s="291">
        <f t="shared" si="244"/>
        <v>0</v>
      </c>
      <c r="BR112" s="290">
        <f t="shared" si="244"/>
        <v>0</v>
      </c>
      <c r="BS112" s="292">
        <f t="shared" si="244"/>
        <v>0</v>
      </c>
      <c r="BT112" s="288"/>
      <c r="BU112" s="289">
        <f t="shared" ref="BU112:CA112" si="245">BU111/$G112</f>
        <v>0</v>
      </c>
      <c r="BV112" s="290">
        <f t="shared" si="245"/>
        <v>0</v>
      </c>
      <c r="BW112" s="290">
        <f t="shared" si="245"/>
        <v>0</v>
      </c>
      <c r="BX112" s="290">
        <f t="shared" si="245"/>
        <v>0</v>
      </c>
      <c r="BY112" s="291">
        <f t="shared" si="245"/>
        <v>0</v>
      </c>
      <c r="BZ112" s="290">
        <f t="shared" si="245"/>
        <v>0</v>
      </c>
      <c r="CA112" s="292">
        <f t="shared" si="245"/>
        <v>0</v>
      </c>
      <c r="CB112" s="288"/>
      <c r="CC112" s="289">
        <f t="shared" ref="CC112:CI112" si="246">CC111/$G112</f>
        <v>0</v>
      </c>
      <c r="CD112" s="290">
        <f t="shared" si="246"/>
        <v>0</v>
      </c>
      <c r="CE112" s="290">
        <f t="shared" si="246"/>
        <v>0</v>
      </c>
      <c r="CF112" s="290">
        <f t="shared" si="246"/>
        <v>0</v>
      </c>
      <c r="CG112" s="291">
        <f t="shared" si="246"/>
        <v>0</v>
      </c>
      <c r="CH112" s="290">
        <f t="shared" si="246"/>
        <v>0</v>
      </c>
      <c r="CI112" s="292">
        <f t="shared" si="246"/>
        <v>0</v>
      </c>
      <c r="CJ112" s="288"/>
      <c r="CK112" s="289">
        <f t="shared" ref="CK112:CQ112" si="247">CK111/$G112</f>
        <v>0</v>
      </c>
      <c r="CL112" s="290">
        <f t="shared" si="247"/>
        <v>0</v>
      </c>
      <c r="CM112" s="290">
        <f t="shared" si="247"/>
        <v>0</v>
      </c>
      <c r="CN112" s="290">
        <f t="shared" si="247"/>
        <v>0</v>
      </c>
      <c r="CO112" s="291">
        <f t="shared" si="247"/>
        <v>0</v>
      </c>
      <c r="CP112" s="290">
        <f t="shared" si="247"/>
        <v>0</v>
      </c>
      <c r="CQ112" s="292">
        <f t="shared" si="247"/>
        <v>0</v>
      </c>
    </row>
    <row r="113" spans="1:95" ht="16.5" thickBot="1" x14ac:dyDescent="0.3">
      <c r="C113" s="168"/>
      <c r="D113" s="168"/>
      <c r="E113" s="168"/>
      <c r="F113" s="168"/>
      <c r="G113" s="272"/>
      <c r="H113" s="168"/>
      <c r="I113" s="168"/>
      <c r="J113" s="168"/>
      <c r="K113" s="168"/>
      <c r="L113" s="168"/>
      <c r="M113" s="168"/>
      <c r="N113" s="168"/>
      <c r="O113" s="168"/>
      <c r="P113" s="168"/>
      <c r="Q113" s="168"/>
      <c r="R113" s="168"/>
      <c r="S113" s="168"/>
      <c r="T113" s="168"/>
      <c r="U113" s="168"/>
      <c r="V113" s="168"/>
      <c r="W113" s="168"/>
      <c r="X113" s="168"/>
      <c r="Y113" s="168"/>
      <c r="Z113" s="168"/>
      <c r="AA113" s="168"/>
      <c r="AB113" s="168"/>
      <c r="AC113" s="168"/>
      <c r="AD113" s="168"/>
      <c r="AE113" s="168"/>
      <c r="AF113" s="168"/>
      <c r="AG113" s="168"/>
      <c r="AH113" s="168"/>
      <c r="AI113" s="168"/>
      <c r="AJ113" s="168"/>
      <c r="AK113" s="168"/>
      <c r="AL113" s="168"/>
      <c r="AM113" s="168"/>
      <c r="AN113" s="168"/>
      <c r="AO113" s="168"/>
      <c r="AP113" s="168"/>
      <c r="AQ113" s="168"/>
      <c r="AR113" s="168"/>
      <c r="AS113" s="168"/>
      <c r="AT113" s="168"/>
      <c r="AU113" s="168"/>
      <c r="AV113" s="168"/>
      <c r="AW113" s="168"/>
      <c r="AX113" s="168"/>
      <c r="AY113" s="168"/>
      <c r="AZ113" s="168"/>
      <c r="BA113" s="168"/>
      <c r="BB113" s="168"/>
      <c r="BC113" s="168"/>
      <c r="BD113" s="168"/>
      <c r="BE113" s="168"/>
      <c r="BF113" s="168"/>
      <c r="BG113" s="168"/>
      <c r="BH113" s="168"/>
      <c r="BI113" s="168"/>
      <c r="BJ113" s="168"/>
      <c r="BK113" s="168"/>
      <c r="BL113" s="168"/>
      <c r="BM113" s="168"/>
      <c r="BN113" s="168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</row>
    <row r="114" spans="1:95" x14ac:dyDescent="0.25">
      <c r="A114" s="52" t="s">
        <v>7</v>
      </c>
      <c r="B114" s="166">
        <f>B110+1</f>
        <v>45950</v>
      </c>
      <c r="C114" s="235">
        <f>Boats!J540</f>
        <v>7.4542786069651727</v>
      </c>
      <c r="D114" s="259">
        <v>2</v>
      </c>
      <c r="E114" s="168">
        <v>3</v>
      </c>
      <c r="F114" s="317">
        <v>13.5</v>
      </c>
      <c r="G114" s="253"/>
      <c r="H114" s="247">
        <f t="shared" ref="H114:H120" si="248">SUM(I114:J114)</f>
        <v>2</v>
      </c>
      <c r="I114" s="260">
        <v>1</v>
      </c>
      <c r="J114" s="168">
        <v>1</v>
      </c>
      <c r="K114" s="247">
        <f t="shared" ref="K114:K120" si="249">SUM(L114:M114)</f>
        <v>0</v>
      </c>
      <c r="L114" s="260"/>
      <c r="M114" s="168"/>
      <c r="N114" s="311">
        <f t="shared" ref="N114:N120" si="250">SUM(O114:P114)</f>
        <v>0</v>
      </c>
      <c r="O114" s="260"/>
      <c r="P114" s="259"/>
      <c r="Q114" s="311">
        <f t="shared" ref="Q114:Q120" si="251">SUM(R114:S114)</f>
        <v>0</v>
      </c>
      <c r="R114" s="260"/>
      <c r="S114" s="259"/>
      <c r="T114" s="261"/>
      <c r="U114" s="168"/>
      <c r="V114" s="260"/>
      <c r="W114" s="520"/>
      <c r="X114" s="262"/>
      <c r="Y114" s="168"/>
      <c r="Z114" s="261"/>
      <c r="AA114" s="168"/>
      <c r="AB114" s="168"/>
      <c r="AC114" s="262"/>
      <c r="AD114" s="261"/>
      <c r="AE114" s="259"/>
      <c r="AF114" s="260"/>
      <c r="AG114" s="259"/>
      <c r="AH114" s="168"/>
      <c r="AI114" s="168"/>
      <c r="AJ114" s="260"/>
      <c r="AK114" s="259"/>
      <c r="AL114" s="260"/>
      <c r="AM114" s="259"/>
      <c r="AN114" s="168"/>
      <c r="AO114" s="168"/>
      <c r="AP114" s="260"/>
      <c r="AQ114" s="259"/>
      <c r="AR114" s="168"/>
      <c r="AS114" s="168"/>
      <c r="AT114" s="168"/>
      <c r="AU114" s="262"/>
      <c r="AV114" s="168"/>
      <c r="AW114" s="257"/>
      <c r="AX114" s="255"/>
      <c r="AY114" s="255"/>
      <c r="AZ114" s="255"/>
      <c r="BA114" s="254"/>
      <c r="BB114" s="255"/>
      <c r="BC114" s="258"/>
      <c r="BD114" s="168"/>
      <c r="BE114" s="257"/>
      <c r="BF114" s="255"/>
      <c r="BG114" s="255"/>
      <c r="BH114" s="255"/>
      <c r="BI114" s="254"/>
      <c r="BJ114" s="255"/>
      <c r="BK114" s="258"/>
      <c r="BL114" s="168"/>
      <c r="BM114" s="257"/>
      <c r="BN114" s="255"/>
      <c r="BO114" s="255"/>
      <c r="BP114" s="255"/>
      <c r="BQ114" s="254"/>
      <c r="BR114" s="255"/>
      <c r="BS114" s="258"/>
      <c r="BT114" s="168"/>
      <c r="BU114" s="257"/>
      <c r="BV114" s="255"/>
      <c r="BW114" s="255"/>
      <c r="BX114" s="255"/>
      <c r="BY114" s="254"/>
      <c r="BZ114" s="255"/>
      <c r="CA114" s="258"/>
      <c r="CB114" s="168"/>
      <c r="CC114" s="257"/>
      <c r="CD114" s="255"/>
      <c r="CE114" s="255"/>
      <c r="CF114" s="255"/>
      <c r="CG114" s="254"/>
      <c r="CH114" s="255"/>
      <c r="CI114" s="258"/>
      <c r="CJ114" s="168"/>
      <c r="CK114" s="257"/>
      <c r="CL114" s="255"/>
      <c r="CM114" s="255"/>
      <c r="CN114" s="255"/>
      <c r="CO114" s="254"/>
      <c r="CP114" s="255"/>
      <c r="CQ114" s="258"/>
    </row>
    <row r="115" spans="1:95" x14ac:dyDescent="0.25">
      <c r="A115" s="132" t="s">
        <v>10</v>
      </c>
      <c r="B115" s="167">
        <f t="shared" ref="B115:B120" si="252">B114+1</f>
        <v>45951</v>
      </c>
      <c r="C115" s="173">
        <f>Boats!J547</f>
        <v>15.776354453627182</v>
      </c>
      <c r="D115" s="259">
        <v>0</v>
      </c>
      <c r="E115" s="168">
        <v>0</v>
      </c>
      <c r="F115" s="317">
        <v>0</v>
      </c>
      <c r="G115" s="253"/>
      <c r="H115" s="247">
        <f t="shared" si="248"/>
        <v>0</v>
      </c>
      <c r="I115" s="260"/>
      <c r="J115" s="168"/>
      <c r="K115" s="247">
        <f t="shared" si="249"/>
        <v>0</v>
      </c>
      <c r="L115" s="260"/>
      <c r="M115" s="168"/>
      <c r="N115" s="311">
        <f t="shared" si="250"/>
        <v>0</v>
      </c>
      <c r="O115" s="260"/>
      <c r="P115" s="259"/>
      <c r="Q115" s="311">
        <f t="shared" si="251"/>
        <v>0</v>
      </c>
      <c r="R115" s="260"/>
      <c r="S115" s="259"/>
      <c r="T115" s="261"/>
      <c r="U115" s="168"/>
      <c r="V115" s="260"/>
      <c r="W115" s="260"/>
      <c r="X115" s="262"/>
      <c r="Y115" s="168"/>
      <c r="Z115" s="261"/>
      <c r="AA115" s="168"/>
      <c r="AB115" s="168"/>
      <c r="AC115" s="262"/>
      <c r="AD115" s="261"/>
      <c r="AE115" s="259"/>
      <c r="AF115" s="260"/>
      <c r="AG115" s="259"/>
      <c r="AH115" s="168"/>
      <c r="AI115" s="168"/>
      <c r="AJ115" s="260"/>
      <c r="AK115" s="259"/>
      <c r="AL115" s="260"/>
      <c r="AM115" s="259"/>
      <c r="AN115" s="168"/>
      <c r="AO115" s="168"/>
      <c r="AP115" s="260"/>
      <c r="AQ115" s="259"/>
      <c r="AR115" s="168"/>
      <c r="AS115" s="168"/>
      <c r="AT115" s="168"/>
      <c r="AU115" s="262"/>
      <c r="AV115" s="168"/>
      <c r="AW115" s="261"/>
      <c r="AX115" s="168"/>
      <c r="AY115" s="168"/>
      <c r="AZ115" s="168"/>
      <c r="BA115" s="260"/>
      <c r="BB115" s="168"/>
      <c r="BC115" s="262"/>
      <c r="BD115" s="168"/>
      <c r="BE115" s="261"/>
      <c r="BF115" s="168"/>
      <c r="BG115" s="168"/>
      <c r="BH115" s="168"/>
      <c r="BI115" s="260"/>
      <c r="BJ115" s="168"/>
      <c r="BK115" s="262"/>
      <c r="BL115" s="168"/>
      <c r="BM115" s="261"/>
      <c r="BN115" s="168"/>
      <c r="BO115" s="168"/>
      <c r="BP115" s="168"/>
      <c r="BQ115" s="260"/>
      <c r="BR115" s="168"/>
      <c r="BS115" s="262"/>
      <c r="BT115" s="168"/>
      <c r="BU115" s="261"/>
      <c r="BV115" s="168"/>
      <c r="BW115" s="168"/>
      <c r="BX115" s="168"/>
      <c r="BY115" s="260"/>
      <c r="BZ115" s="168"/>
      <c r="CA115" s="262"/>
      <c r="CB115" s="168"/>
      <c r="CC115" s="261"/>
      <c r="CD115" s="168"/>
      <c r="CE115" s="168"/>
      <c r="CF115" s="168"/>
      <c r="CG115" s="260"/>
      <c r="CH115" s="168"/>
      <c r="CI115" s="262"/>
      <c r="CJ115" s="168"/>
      <c r="CK115" s="261"/>
      <c r="CL115" s="168"/>
      <c r="CM115" s="168"/>
      <c r="CN115" s="168"/>
      <c r="CO115" s="260"/>
      <c r="CP115" s="168"/>
      <c r="CQ115" s="262"/>
    </row>
    <row r="116" spans="1:95" x14ac:dyDescent="0.25">
      <c r="A116" s="132" t="s">
        <v>11</v>
      </c>
      <c r="B116" s="167">
        <f t="shared" si="252"/>
        <v>45952</v>
      </c>
      <c r="C116" s="173">
        <f>Boats!J554</f>
        <v>15.610135548154544</v>
      </c>
      <c r="D116" s="259">
        <v>8</v>
      </c>
      <c r="E116" s="168">
        <v>12</v>
      </c>
      <c r="F116" s="317">
        <v>64.959999999999994</v>
      </c>
      <c r="G116" s="253"/>
      <c r="H116" s="247">
        <f t="shared" si="248"/>
        <v>9</v>
      </c>
      <c r="I116" s="260">
        <v>1</v>
      </c>
      <c r="J116" s="168">
        <v>8</v>
      </c>
      <c r="K116" s="247">
        <f t="shared" si="249"/>
        <v>0</v>
      </c>
      <c r="L116" s="260"/>
      <c r="M116" s="168"/>
      <c r="N116" s="311">
        <f t="shared" si="250"/>
        <v>3</v>
      </c>
      <c r="O116" s="260"/>
      <c r="P116" s="259">
        <v>3</v>
      </c>
      <c r="Q116" s="311">
        <f t="shared" si="251"/>
        <v>1</v>
      </c>
      <c r="R116" s="260"/>
      <c r="S116" s="259">
        <v>1</v>
      </c>
      <c r="T116" s="261">
        <v>2</v>
      </c>
      <c r="U116" s="168"/>
      <c r="V116" s="260"/>
      <c r="W116" s="260"/>
      <c r="X116" s="262"/>
      <c r="Y116" s="168"/>
      <c r="Z116" s="261"/>
      <c r="AA116" s="168"/>
      <c r="AB116" s="168"/>
      <c r="AC116" s="262"/>
      <c r="AD116" s="261"/>
      <c r="AE116" s="259"/>
      <c r="AF116" s="260"/>
      <c r="AG116" s="259"/>
      <c r="AH116" s="168"/>
      <c r="AI116" s="168"/>
      <c r="AJ116" s="260"/>
      <c r="AK116" s="259"/>
      <c r="AL116" s="260"/>
      <c r="AM116" s="259"/>
      <c r="AN116" s="168"/>
      <c r="AO116" s="168"/>
      <c r="AP116" s="260"/>
      <c r="AQ116" s="259"/>
      <c r="AR116" s="168"/>
      <c r="AS116" s="168"/>
      <c r="AT116" s="168"/>
      <c r="AU116" s="262"/>
      <c r="AV116" s="168"/>
      <c r="AW116" s="261"/>
      <c r="AX116" s="168"/>
      <c r="AY116" s="168"/>
      <c r="AZ116" s="168"/>
      <c r="BA116" s="260"/>
      <c r="BB116" s="168"/>
      <c r="BC116" s="262"/>
      <c r="BD116" s="168"/>
      <c r="BE116" s="261"/>
      <c r="BF116" s="168"/>
      <c r="BG116" s="168"/>
      <c r="BH116" s="168"/>
      <c r="BI116" s="260"/>
      <c r="BJ116" s="168"/>
      <c r="BK116" s="262"/>
      <c r="BL116" s="168"/>
      <c r="BM116" s="261"/>
      <c r="BN116" s="168"/>
      <c r="BO116" s="168"/>
      <c r="BP116" s="168"/>
      <c r="BQ116" s="260"/>
      <c r="BR116" s="168"/>
      <c r="BS116" s="262"/>
      <c r="BT116" s="168"/>
      <c r="BU116" s="261"/>
      <c r="BV116" s="168"/>
      <c r="BW116" s="168"/>
      <c r="BX116" s="168"/>
      <c r="BY116" s="260"/>
      <c r="BZ116" s="168"/>
      <c r="CA116" s="262"/>
      <c r="CB116" s="168"/>
      <c r="CC116" s="261"/>
      <c r="CD116" s="168"/>
      <c r="CE116" s="168"/>
      <c r="CF116" s="168"/>
      <c r="CG116" s="260"/>
      <c r="CH116" s="168"/>
      <c r="CI116" s="262"/>
      <c r="CJ116" s="168"/>
      <c r="CK116" s="261"/>
      <c r="CL116" s="168"/>
      <c r="CM116" s="168"/>
      <c r="CN116" s="168"/>
      <c r="CO116" s="260"/>
      <c r="CP116" s="168"/>
      <c r="CQ116" s="262"/>
    </row>
    <row r="117" spans="1:95" x14ac:dyDescent="0.25">
      <c r="A117" s="132" t="s">
        <v>12</v>
      </c>
      <c r="B117" s="167">
        <f t="shared" si="252"/>
        <v>45953</v>
      </c>
      <c r="C117" s="173">
        <f>Boats!J561</f>
        <v>30.929502487562189</v>
      </c>
      <c r="D117" s="259">
        <v>10</v>
      </c>
      <c r="E117" s="168">
        <v>21</v>
      </c>
      <c r="F117" s="317">
        <v>125.12</v>
      </c>
      <c r="G117" s="253"/>
      <c r="H117" s="247">
        <f t="shared" si="248"/>
        <v>10</v>
      </c>
      <c r="I117" s="260">
        <v>3</v>
      </c>
      <c r="J117" s="168">
        <v>7</v>
      </c>
      <c r="K117" s="247">
        <f t="shared" si="249"/>
        <v>0</v>
      </c>
      <c r="L117" s="260"/>
      <c r="M117" s="168"/>
      <c r="N117" s="311">
        <f t="shared" si="250"/>
        <v>1</v>
      </c>
      <c r="O117" s="260"/>
      <c r="P117" s="259">
        <v>1</v>
      </c>
      <c r="Q117" s="311">
        <f t="shared" si="251"/>
        <v>0</v>
      </c>
      <c r="R117" s="260"/>
      <c r="S117" s="259"/>
      <c r="T117" s="261"/>
      <c r="U117" s="168"/>
      <c r="V117" s="260"/>
      <c r="W117" s="260"/>
      <c r="X117" s="262"/>
      <c r="Y117" s="168"/>
      <c r="Z117" s="261"/>
      <c r="AA117" s="168"/>
      <c r="AB117" s="168"/>
      <c r="AC117" s="262"/>
      <c r="AD117" s="261"/>
      <c r="AE117" s="259"/>
      <c r="AF117" s="260"/>
      <c r="AG117" s="259"/>
      <c r="AH117" s="168"/>
      <c r="AI117" s="168"/>
      <c r="AJ117" s="260"/>
      <c r="AK117" s="259"/>
      <c r="AL117" s="260"/>
      <c r="AM117" s="259"/>
      <c r="AN117" s="168"/>
      <c r="AO117" s="168"/>
      <c r="AP117" s="260"/>
      <c r="AQ117" s="259"/>
      <c r="AR117" s="168"/>
      <c r="AS117" s="168"/>
      <c r="AT117" s="168"/>
      <c r="AU117" s="262"/>
      <c r="AV117" s="168"/>
      <c r="AW117" s="261"/>
      <c r="AX117" s="168"/>
      <c r="AY117" s="168"/>
      <c r="AZ117" s="168"/>
      <c r="BA117" s="260"/>
      <c r="BB117" s="168"/>
      <c r="BC117" s="262"/>
      <c r="BD117" s="168"/>
      <c r="BE117" s="261"/>
      <c r="BF117" s="168"/>
      <c r="BG117" s="168"/>
      <c r="BH117" s="168"/>
      <c r="BI117" s="260"/>
      <c r="BJ117" s="168"/>
      <c r="BK117" s="262"/>
      <c r="BL117" s="168"/>
      <c r="BM117" s="261"/>
      <c r="BN117" s="168"/>
      <c r="BO117" s="168"/>
      <c r="BP117" s="168"/>
      <c r="BQ117" s="260"/>
      <c r="BR117" s="168"/>
      <c r="BS117" s="262"/>
      <c r="BT117" s="168"/>
      <c r="BU117" s="261"/>
      <c r="BV117" s="168"/>
      <c r="BW117" s="168"/>
      <c r="BX117" s="168"/>
      <c r="BY117" s="260"/>
      <c r="BZ117" s="168"/>
      <c r="CA117" s="262"/>
      <c r="CB117" s="168"/>
      <c r="CC117" s="261"/>
      <c r="CD117" s="168"/>
      <c r="CE117" s="168"/>
      <c r="CF117" s="168"/>
      <c r="CG117" s="260"/>
      <c r="CH117" s="168"/>
      <c r="CI117" s="262"/>
      <c r="CJ117" s="168"/>
      <c r="CK117" s="261"/>
      <c r="CL117" s="168"/>
      <c r="CM117" s="168"/>
      <c r="CN117" s="168"/>
      <c r="CO117" s="260"/>
      <c r="CP117" s="168"/>
      <c r="CQ117" s="262"/>
    </row>
    <row r="118" spans="1:95" x14ac:dyDescent="0.25">
      <c r="A118" s="132" t="s">
        <v>13</v>
      </c>
      <c r="B118" s="167">
        <f t="shared" si="252"/>
        <v>45954</v>
      </c>
      <c r="C118" s="628">
        <f>Boats!J568</f>
        <v>33.294925373134326</v>
      </c>
      <c r="D118" s="259">
        <v>0</v>
      </c>
      <c r="E118" s="168"/>
      <c r="F118" s="317"/>
      <c r="G118" s="253"/>
      <c r="H118" s="247">
        <f t="shared" si="248"/>
        <v>0</v>
      </c>
      <c r="I118" s="260"/>
      <c r="J118" s="168"/>
      <c r="K118" s="247">
        <f t="shared" si="249"/>
        <v>0</v>
      </c>
      <c r="L118" s="260"/>
      <c r="M118" s="168"/>
      <c r="N118" s="311">
        <f t="shared" si="250"/>
        <v>0</v>
      </c>
      <c r="O118" s="260"/>
      <c r="P118" s="259"/>
      <c r="Q118" s="311">
        <f t="shared" si="251"/>
        <v>0</v>
      </c>
      <c r="R118" s="260"/>
      <c r="S118" s="259"/>
      <c r="T118" s="261"/>
      <c r="U118" s="168"/>
      <c r="V118" s="260"/>
      <c r="W118" s="260"/>
      <c r="X118" s="262"/>
      <c r="Y118" s="168"/>
      <c r="Z118" s="261"/>
      <c r="AA118" s="168"/>
      <c r="AB118" s="168"/>
      <c r="AC118" s="262"/>
      <c r="AD118" s="261"/>
      <c r="AE118" s="259"/>
      <c r="AF118" s="260"/>
      <c r="AG118" s="259"/>
      <c r="AH118" s="168"/>
      <c r="AI118" s="168"/>
      <c r="AJ118" s="260"/>
      <c r="AK118" s="259"/>
      <c r="AL118" s="260"/>
      <c r="AM118" s="259"/>
      <c r="AN118" s="168"/>
      <c r="AO118" s="168"/>
      <c r="AP118" s="260"/>
      <c r="AQ118" s="259"/>
      <c r="AR118" s="168"/>
      <c r="AS118" s="168"/>
      <c r="AT118" s="168"/>
      <c r="AU118" s="262"/>
      <c r="AV118" s="168"/>
      <c r="AW118" s="261"/>
      <c r="AX118" s="168"/>
      <c r="AY118" s="168"/>
      <c r="AZ118" s="168"/>
      <c r="BA118" s="260"/>
      <c r="BB118" s="168"/>
      <c r="BC118" s="262"/>
      <c r="BD118" s="168"/>
      <c r="BE118" s="261"/>
      <c r="BF118" s="168"/>
      <c r="BG118" s="168"/>
      <c r="BH118" s="168"/>
      <c r="BI118" s="260"/>
      <c r="BJ118" s="168"/>
      <c r="BK118" s="262"/>
      <c r="BL118" s="168"/>
      <c r="BM118" s="261"/>
      <c r="BN118" s="168"/>
      <c r="BO118" s="168"/>
      <c r="BP118" s="168"/>
      <c r="BQ118" s="260"/>
      <c r="BR118" s="168"/>
      <c r="BS118" s="262"/>
      <c r="BT118" s="168"/>
      <c r="BU118" s="261"/>
      <c r="BV118" s="168"/>
      <c r="BW118" s="168"/>
      <c r="BX118" s="168"/>
      <c r="BY118" s="260"/>
      <c r="BZ118" s="168"/>
      <c r="CA118" s="262"/>
      <c r="CB118" s="168"/>
      <c r="CC118" s="261"/>
      <c r="CD118" s="168"/>
      <c r="CE118" s="168"/>
      <c r="CF118" s="168"/>
      <c r="CG118" s="260"/>
      <c r="CH118" s="168"/>
      <c r="CI118" s="262"/>
      <c r="CJ118" s="168"/>
      <c r="CK118" s="261"/>
      <c r="CL118" s="168"/>
      <c r="CM118" s="168"/>
      <c r="CN118" s="168"/>
      <c r="CO118" s="260"/>
      <c r="CP118" s="168"/>
      <c r="CQ118" s="262"/>
    </row>
    <row r="119" spans="1:95" x14ac:dyDescent="0.25">
      <c r="A119" s="132" t="s">
        <v>14</v>
      </c>
      <c r="B119" s="167">
        <f t="shared" si="252"/>
        <v>45955</v>
      </c>
      <c r="C119" s="628">
        <f>Boats!J575</f>
        <v>22.196616915422883</v>
      </c>
      <c r="D119" s="259">
        <v>0</v>
      </c>
      <c r="E119" s="168"/>
      <c r="F119" s="317"/>
      <c r="G119" s="260"/>
      <c r="H119" s="247">
        <f t="shared" si="248"/>
        <v>0</v>
      </c>
      <c r="I119" s="260"/>
      <c r="J119" s="168"/>
      <c r="K119" s="247">
        <f t="shared" si="249"/>
        <v>0</v>
      </c>
      <c r="L119" s="260"/>
      <c r="M119" s="168"/>
      <c r="N119" s="311">
        <f t="shared" si="250"/>
        <v>0</v>
      </c>
      <c r="O119" s="260"/>
      <c r="P119" s="259"/>
      <c r="Q119" s="311">
        <f t="shared" si="251"/>
        <v>0</v>
      </c>
      <c r="R119" s="260"/>
      <c r="S119" s="259"/>
      <c r="T119" s="261"/>
      <c r="U119" s="168"/>
      <c r="V119" s="260"/>
      <c r="W119" s="260"/>
      <c r="X119" s="262"/>
      <c r="Y119" s="168"/>
      <c r="Z119" s="261"/>
      <c r="AA119" s="168"/>
      <c r="AB119" s="168"/>
      <c r="AC119" s="262"/>
      <c r="AD119" s="261"/>
      <c r="AE119" s="259"/>
      <c r="AF119" s="260"/>
      <c r="AG119" s="259"/>
      <c r="AH119" s="168"/>
      <c r="AI119" s="168"/>
      <c r="AJ119" s="260"/>
      <c r="AK119" s="259"/>
      <c r="AL119" s="260"/>
      <c r="AM119" s="259"/>
      <c r="AN119" s="168"/>
      <c r="AO119" s="168"/>
      <c r="AP119" s="260"/>
      <c r="AQ119" s="259"/>
      <c r="AR119" s="168"/>
      <c r="AS119" s="168"/>
      <c r="AT119" s="168"/>
      <c r="AU119" s="262"/>
      <c r="AV119" s="168"/>
      <c r="AW119" s="261"/>
      <c r="AX119" s="168"/>
      <c r="AY119" s="168"/>
      <c r="AZ119" s="168"/>
      <c r="BA119" s="260"/>
      <c r="BB119" s="168"/>
      <c r="BC119" s="262"/>
      <c r="BD119" s="168"/>
      <c r="BE119" s="261"/>
      <c r="BF119" s="168"/>
      <c r="BG119" s="168"/>
      <c r="BH119" s="168"/>
      <c r="BI119" s="260"/>
      <c r="BJ119" s="168"/>
      <c r="BK119" s="262"/>
      <c r="BL119" s="168"/>
      <c r="BM119" s="261"/>
      <c r="BN119" s="168"/>
      <c r="BO119" s="168"/>
      <c r="BP119" s="168"/>
      <c r="BQ119" s="260"/>
      <c r="BR119" s="168"/>
      <c r="BS119" s="262"/>
      <c r="BT119" s="168"/>
      <c r="BU119" s="261"/>
      <c r="BV119" s="168"/>
      <c r="BW119" s="168"/>
      <c r="BX119" s="168"/>
      <c r="BY119" s="260"/>
      <c r="BZ119" s="168"/>
      <c r="CA119" s="262"/>
      <c r="CB119" s="168"/>
      <c r="CC119" s="261"/>
      <c r="CD119" s="168"/>
      <c r="CE119" s="168"/>
      <c r="CF119" s="168"/>
      <c r="CG119" s="260"/>
      <c r="CH119" s="168"/>
      <c r="CI119" s="262"/>
      <c r="CJ119" s="168"/>
      <c r="CK119" s="261"/>
      <c r="CL119" s="168"/>
      <c r="CM119" s="168"/>
      <c r="CN119" s="168"/>
      <c r="CO119" s="260"/>
      <c r="CP119" s="168"/>
      <c r="CQ119" s="262"/>
    </row>
    <row r="120" spans="1:95" ht="16.5" thickBot="1" x14ac:dyDescent="0.3">
      <c r="A120" s="170" t="s">
        <v>15</v>
      </c>
      <c r="B120" s="171">
        <f t="shared" si="252"/>
        <v>45956</v>
      </c>
      <c r="C120" s="236">
        <f>Boats!J582</f>
        <v>5.7505524861878445</v>
      </c>
      <c r="D120" s="263">
        <v>1</v>
      </c>
      <c r="E120" s="238">
        <v>1</v>
      </c>
      <c r="F120" s="318">
        <v>2.46</v>
      </c>
      <c r="G120" s="237"/>
      <c r="H120" s="248">
        <f t="shared" si="248"/>
        <v>2</v>
      </c>
      <c r="I120" s="237">
        <v>1</v>
      </c>
      <c r="J120" s="238">
        <v>1</v>
      </c>
      <c r="K120" s="248">
        <f t="shared" si="249"/>
        <v>0</v>
      </c>
      <c r="L120" s="237"/>
      <c r="M120" s="238"/>
      <c r="N120" s="248">
        <f t="shared" si="250"/>
        <v>0</v>
      </c>
      <c r="O120" s="237"/>
      <c r="P120" s="263"/>
      <c r="Q120" s="248">
        <f t="shared" si="251"/>
        <v>0</v>
      </c>
      <c r="R120" s="237"/>
      <c r="S120" s="263"/>
      <c r="T120" s="264">
        <v>2</v>
      </c>
      <c r="U120" s="238"/>
      <c r="V120" s="237"/>
      <c r="W120" s="237"/>
      <c r="X120" s="265"/>
      <c r="Y120" s="168"/>
      <c r="Z120" s="264"/>
      <c r="AA120" s="238"/>
      <c r="AB120" s="238"/>
      <c r="AC120" s="265"/>
      <c r="AD120" s="264"/>
      <c r="AE120" s="263"/>
      <c r="AF120" s="237"/>
      <c r="AG120" s="263"/>
      <c r="AH120" s="238"/>
      <c r="AI120" s="238"/>
      <c r="AJ120" s="237"/>
      <c r="AK120" s="263"/>
      <c r="AL120" s="237"/>
      <c r="AM120" s="263"/>
      <c r="AN120" s="238"/>
      <c r="AO120" s="238"/>
      <c r="AP120" s="237"/>
      <c r="AQ120" s="263"/>
      <c r="AR120" s="238"/>
      <c r="AS120" s="238"/>
      <c r="AT120" s="238"/>
      <c r="AU120" s="265"/>
      <c r="AV120" s="168"/>
      <c r="AW120" s="264"/>
      <c r="AX120" s="238"/>
      <c r="AY120" s="238"/>
      <c r="AZ120" s="238"/>
      <c r="BA120" s="237"/>
      <c r="BB120" s="238"/>
      <c r="BC120" s="265"/>
      <c r="BD120" s="168"/>
      <c r="BE120" s="264"/>
      <c r="BF120" s="238"/>
      <c r="BG120" s="238"/>
      <c r="BH120" s="238"/>
      <c r="BI120" s="237"/>
      <c r="BJ120" s="238"/>
      <c r="BK120" s="265"/>
      <c r="BL120" s="168"/>
      <c r="BM120" s="264"/>
      <c r="BN120" s="238"/>
      <c r="BO120" s="238"/>
      <c r="BP120" s="238"/>
      <c r="BQ120" s="237"/>
      <c r="BR120" s="238"/>
      <c r="BS120" s="265"/>
      <c r="BT120" s="168"/>
      <c r="BU120" s="264"/>
      <c r="BV120" s="238"/>
      <c r="BW120" s="238"/>
      <c r="BX120" s="238"/>
      <c r="BY120" s="237"/>
      <c r="BZ120" s="238"/>
      <c r="CA120" s="265"/>
      <c r="CB120" s="168"/>
      <c r="CC120" s="264"/>
      <c r="CD120" s="238"/>
      <c r="CE120" s="238"/>
      <c r="CF120" s="238"/>
      <c r="CG120" s="237"/>
      <c r="CH120" s="238"/>
      <c r="CI120" s="265"/>
      <c r="CJ120" s="168"/>
      <c r="CK120" s="264"/>
      <c r="CL120" s="238"/>
      <c r="CM120" s="238"/>
      <c r="CN120" s="238"/>
      <c r="CO120" s="237"/>
      <c r="CP120" s="238"/>
      <c r="CQ120" s="265"/>
    </row>
    <row r="121" spans="1:95" ht="16.5" thickTop="1" x14ac:dyDescent="0.25">
      <c r="A121" s="298" t="s">
        <v>106</v>
      </c>
      <c r="B121" s="274"/>
      <c r="C121" s="293"/>
      <c r="D121" s="294"/>
      <c r="E121" s="315"/>
      <c r="F121" s="315"/>
      <c r="G121" s="295"/>
      <c r="H121" s="296">
        <f t="shared" ref="H121:X121" si="253">SUM(H114:H120)</f>
        <v>23</v>
      </c>
      <c r="I121" s="284">
        <f t="shared" si="253"/>
        <v>6</v>
      </c>
      <c r="J121" s="283">
        <f t="shared" si="253"/>
        <v>17</v>
      </c>
      <c r="K121" s="296">
        <f t="shared" si="253"/>
        <v>0</v>
      </c>
      <c r="L121" s="284">
        <f t="shared" si="253"/>
        <v>0</v>
      </c>
      <c r="M121" s="283">
        <f t="shared" si="253"/>
        <v>0</v>
      </c>
      <c r="N121" s="296">
        <f t="shared" si="253"/>
        <v>4</v>
      </c>
      <c r="O121" s="284">
        <f t="shared" si="253"/>
        <v>0</v>
      </c>
      <c r="P121" s="285">
        <f t="shared" si="253"/>
        <v>4</v>
      </c>
      <c r="Q121" s="296">
        <f t="shared" ref="Q121:S121" si="254">SUM(Q114:Q120)</f>
        <v>1</v>
      </c>
      <c r="R121" s="284">
        <f t="shared" si="254"/>
        <v>0</v>
      </c>
      <c r="S121" s="285">
        <f t="shared" si="254"/>
        <v>1</v>
      </c>
      <c r="T121" s="282">
        <f t="shared" si="253"/>
        <v>4</v>
      </c>
      <c r="U121" s="283">
        <f t="shared" si="253"/>
        <v>0</v>
      </c>
      <c r="V121" s="284">
        <f t="shared" si="253"/>
        <v>0</v>
      </c>
      <c r="W121" s="284">
        <f t="shared" si="253"/>
        <v>0</v>
      </c>
      <c r="X121" s="285">
        <f t="shared" si="253"/>
        <v>0</v>
      </c>
      <c r="Y121" s="173"/>
      <c r="Z121" s="282">
        <f>SUM(Z114:Z120)</f>
        <v>0</v>
      </c>
      <c r="AA121" s="283">
        <f>SUM(AA114:AA120)</f>
        <v>0</v>
      </c>
      <c r="AB121" s="283">
        <f>SUM(AB114:AB120)</f>
        <v>0</v>
      </c>
      <c r="AC121" s="285">
        <f>SUM(AC114:AC120)</f>
        <v>0</v>
      </c>
      <c r="AD121" s="282">
        <f t="shared" ref="AD121:AU121" si="255">SUM(AD114:AD120)</f>
        <v>0</v>
      </c>
      <c r="AE121" s="297">
        <f t="shared" si="255"/>
        <v>0</v>
      </c>
      <c r="AF121" s="284">
        <f t="shared" si="255"/>
        <v>0</v>
      </c>
      <c r="AG121" s="297">
        <f t="shared" si="255"/>
        <v>0</v>
      </c>
      <c r="AH121" s="283">
        <f t="shared" si="255"/>
        <v>0</v>
      </c>
      <c r="AI121" s="283">
        <f t="shared" si="255"/>
        <v>0</v>
      </c>
      <c r="AJ121" s="284">
        <f t="shared" si="255"/>
        <v>0</v>
      </c>
      <c r="AK121" s="297">
        <f t="shared" si="255"/>
        <v>0</v>
      </c>
      <c r="AL121" s="284">
        <f t="shared" si="255"/>
        <v>0</v>
      </c>
      <c r="AM121" s="297">
        <f t="shared" si="255"/>
        <v>0</v>
      </c>
      <c r="AN121" s="276">
        <f t="shared" si="255"/>
        <v>0</v>
      </c>
      <c r="AO121" s="275">
        <f t="shared" si="255"/>
        <v>0</v>
      </c>
      <c r="AP121" s="276">
        <f t="shared" si="255"/>
        <v>0</v>
      </c>
      <c r="AQ121" s="275">
        <f t="shared" si="255"/>
        <v>0</v>
      </c>
      <c r="AR121" s="278">
        <f t="shared" si="255"/>
        <v>0</v>
      </c>
      <c r="AS121" s="277">
        <f t="shared" si="255"/>
        <v>0</v>
      </c>
      <c r="AT121" s="283">
        <f t="shared" si="255"/>
        <v>0</v>
      </c>
      <c r="AU121" s="285">
        <f t="shared" si="255"/>
        <v>0</v>
      </c>
      <c r="AV121" s="173"/>
      <c r="AW121" s="282">
        <f t="shared" ref="AW121:BC121" si="256">SUM(AW114:AW120)</f>
        <v>0</v>
      </c>
      <c r="AX121" s="283">
        <f t="shared" si="256"/>
        <v>0</v>
      </c>
      <c r="AY121" s="283">
        <f t="shared" si="256"/>
        <v>0</v>
      </c>
      <c r="AZ121" s="283">
        <f t="shared" si="256"/>
        <v>0</v>
      </c>
      <c r="BA121" s="284">
        <f t="shared" si="256"/>
        <v>0</v>
      </c>
      <c r="BB121" s="283">
        <f t="shared" si="256"/>
        <v>0</v>
      </c>
      <c r="BC121" s="285">
        <f t="shared" si="256"/>
        <v>0</v>
      </c>
      <c r="BD121" s="173"/>
      <c r="BE121" s="282">
        <f t="shared" ref="BE121:BK121" si="257">SUM(BE114:BE120)</f>
        <v>0</v>
      </c>
      <c r="BF121" s="283">
        <f t="shared" si="257"/>
        <v>0</v>
      </c>
      <c r="BG121" s="283">
        <f t="shared" si="257"/>
        <v>0</v>
      </c>
      <c r="BH121" s="283">
        <f t="shared" si="257"/>
        <v>0</v>
      </c>
      <c r="BI121" s="284">
        <f t="shared" si="257"/>
        <v>0</v>
      </c>
      <c r="BJ121" s="283">
        <f t="shared" si="257"/>
        <v>0</v>
      </c>
      <c r="BK121" s="285">
        <f t="shared" si="257"/>
        <v>0</v>
      </c>
      <c r="BL121" s="173"/>
      <c r="BM121" s="282">
        <f t="shared" ref="BM121:BS121" si="258">SUM(BM114:BM120)</f>
        <v>0</v>
      </c>
      <c r="BN121" s="283">
        <f t="shared" si="258"/>
        <v>0</v>
      </c>
      <c r="BO121" s="283">
        <f t="shared" si="258"/>
        <v>0</v>
      </c>
      <c r="BP121" s="283">
        <f t="shared" si="258"/>
        <v>0</v>
      </c>
      <c r="BQ121" s="284">
        <f t="shared" si="258"/>
        <v>0</v>
      </c>
      <c r="BR121" s="283">
        <f t="shared" si="258"/>
        <v>0</v>
      </c>
      <c r="BS121" s="285">
        <f t="shared" si="258"/>
        <v>0</v>
      </c>
      <c r="BT121" s="173"/>
      <c r="BU121" s="282">
        <f t="shared" ref="BU121:CA121" si="259">SUM(BU114:BU120)</f>
        <v>0</v>
      </c>
      <c r="BV121" s="283">
        <f t="shared" si="259"/>
        <v>0</v>
      </c>
      <c r="BW121" s="283">
        <f t="shared" si="259"/>
        <v>0</v>
      </c>
      <c r="BX121" s="283">
        <f t="shared" si="259"/>
        <v>0</v>
      </c>
      <c r="BY121" s="284">
        <f t="shared" si="259"/>
        <v>0</v>
      </c>
      <c r="BZ121" s="283">
        <f t="shared" si="259"/>
        <v>0</v>
      </c>
      <c r="CA121" s="285">
        <f t="shared" si="259"/>
        <v>0</v>
      </c>
      <c r="CB121" s="173"/>
      <c r="CC121" s="282">
        <f t="shared" ref="CC121:CI121" si="260">SUM(CC114:CC120)</f>
        <v>0</v>
      </c>
      <c r="CD121" s="283">
        <f t="shared" si="260"/>
        <v>0</v>
      </c>
      <c r="CE121" s="283">
        <f t="shared" si="260"/>
        <v>0</v>
      </c>
      <c r="CF121" s="283">
        <f t="shared" si="260"/>
        <v>0</v>
      </c>
      <c r="CG121" s="284">
        <f t="shared" si="260"/>
        <v>0</v>
      </c>
      <c r="CH121" s="283">
        <f t="shared" si="260"/>
        <v>0</v>
      </c>
      <c r="CI121" s="285">
        <f t="shared" si="260"/>
        <v>0</v>
      </c>
      <c r="CJ121" s="173"/>
      <c r="CK121" s="282">
        <f t="shared" ref="CK121:CQ121" si="261">SUM(CK114:CK120)</f>
        <v>0</v>
      </c>
      <c r="CL121" s="283">
        <f t="shared" si="261"/>
        <v>0</v>
      </c>
      <c r="CM121" s="283">
        <f t="shared" si="261"/>
        <v>0</v>
      </c>
      <c r="CN121" s="283">
        <f t="shared" si="261"/>
        <v>0</v>
      </c>
      <c r="CO121" s="284">
        <f t="shared" si="261"/>
        <v>0</v>
      </c>
      <c r="CP121" s="283">
        <f t="shared" si="261"/>
        <v>0</v>
      </c>
      <c r="CQ121" s="285">
        <f t="shared" si="261"/>
        <v>0</v>
      </c>
    </row>
    <row r="122" spans="1:95" ht="16.5" thickBot="1" x14ac:dyDescent="0.3">
      <c r="A122" s="299" t="s">
        <v>105</v>
      </c>
      <c r="B122" s="273"/>
      <c r="C122" s="306">
        <f>SUM(C114:C120)</f>
        <v>131.01236587105413</v>
      </c>
      <c r="D122" s="307">
        <f>SUM(D114:D120)</f>
        <v>21</v>
      </c>
      <c r="E122" s="306">
        <f>SUM(E114:E120)</f>
        <v>37</v>
      </c>
      <c r="F122" s="307">
        <f>SUM(F114:F120)</f>
        <v>206.04</v>
      </c>
      <c r="G122" s="268">
        <f>D122/C122</f>
        <v>0.16029021276257815</v>
      </c>
      <c r="H122" s="279">
        <f t="shared" ref="H122:X122" si="262">H121/$G122</f>
        <v>143.48973404924976</v>
      </c>
      <c r="I122" s="241">
        <f t="shared" si="262"/>
        <v>37.432104534586898</v>
      </c>
      <c r="J122" s="239">
        <f t="shared" si="262"/>
        <v>106.05762951466286</v>
      </c>
      <c r="K122" s="279">
        <f t="shared" si="262"/>
        <v>0</v>
      </c>
      <c r="L122" s="241">
        <f t="shared" si="262"/>
        <v>0</v>
      </c>
      <c r="M122" s="239">
        <f t="shared" si="262"/>
        <v>0</v>
      </c>
      <c r="N122" s="279">
        <f t="shared" si="262"/>
        <v>24.954736356391262</v>
      </c>
      <c r="O122" s="241">
        <f t="shared" si="262"/>
        <v>0</v>
      </c>
      <c r="P122" s="270">
        <f t="shared" si="262"/>
        <v>24.954736356391262</v>
      </c>
      <c r="Q122" s="279">
        <f t="shared" ref="Q122:S122" si="263">Q121/$G122</f>
        <v>6.2386840890978155</v>
      </c>
      <c r="R122" s="241">
        <f t="shared" si="263"/>
        <v>0</v>
      </c>
      <c r="S122" s="270">
        <f t="shared" si="263"/>
        <v>6.2386840890978155</v>
      </c>
      <c r="T122" s="269">
        <f t="shared" si="262"/>
        <v>24.954736356391262</v>
      </c>
      <c r="U122" s="239">
        <f t="shared" si="262"/>
        <v>0</v>
      </c>
      <c r="V122" s="241">
        <f t="shared" si="262"/>
        <v>0</v>
      </c>
      <c r="W122" s="241">
        <f t="shared" si="262"/>
        <v>0</v>
      </c>
      <c r="X122" s="270">
        <f t="shared" si="262"/>
        <v>0</v>
      </c>
      <c r="Y122" s="173"/>
      <c r="Z122" s="289">
        <f>Z121/$G122</f>
        <v>0</v>
      </c>
      <c r="AA122" s="290">
        <f t="shared" ref="AA122:AC122" si="264">AA121/$G122</f>
        <v>0</v>
      </c>
      <c r="AB122" s="290">
        <f t="shared" si="264"/>
        <v>0</v>
      </c>
      <c r="AC122" s="292">
        <f t="shared" si="264"/>
        <v>0</v>
      </c>
      <c r="AD122" s="289">
        <f t="shared" ref="AD122:AU122" si="265">AD121/$G122</f>
        <v>0</v>
      </c>
      <c r="AE122" s="324">
        <f t="shared" si="265"/>
        <v>0</v>
      </c>
      <c r="AF122" s="291">
        <f t="shared" si="265"/>
        <v>0</v>
      </c>
      <c r="AG122" s="324">
        <f t="shared" si="265"/>
        <v>0</v>
      </c>
      <c r="AH122" s="290">
        <f t="shared" si="265"/>
        <v>0</v>
      </c>
      <c r="AI122" s="290">
        <f t="shared" si="265"/>
        <v>0</v>
      </c>
      <c r="AJ122" s="291">
        <f t="shared" si="265"/>
        <v>0</v>
      </c>
      <c r="AK122" s="324">
        <f t="shared" si="265"/>
        <v>0</v>
      </c>
      <c r="AL122" s="291">
        <f t="shared" si="265"/>
        <v>0</v>
      </c>
      <c r="AM122" s="324">
        <f t="shared" si="265"/>
        <v>0</v>
      </c>
      <c r="AN122" s="325">
        <f t="shared" si="265"/>
        <v>0</v>
      </c>
      <c r="AO122" s="326">
        <f t="shared" si="265"/>
        <v>0</v>
      </c>
      <c r="AP122" s="325">
        <f t="shared" si="265"/>
        <v>0</v>
      </c>
      <c r="AQ122" s="326">
        <f t="shared" si="265"/>
        <v>0</v>
      </c>
      <c r="AR122" s="287">
        <f t="shared" si="265"/>
        <v>0</v>
      </c>
      <c r="AS122" s="286">
        <f t="shared" si="265"/>
        <v>0</v>
      </c>
      <c r="AT122" s="290">
        <f t="shared" si="265"/>
        <v>0</v>
      </c>
      <c r="AU122" s="292">
        <f t="shared" si="265"/>
        <v>0</v>
      </c>
      <c r="AV122" s="288"/>
      <c r="AW122" s="289">
        <f t="shared" ref="AW122:BC122" si="266">AW121/$G122</f>
        <v>0</v>
      </c>
      <c r="AX122" s="290">
        <f t="shared" si="266"/>
        <v>0</v>
      </c>
      <c r="AY122" s="290">
        <f t="shared" si="266"/>
        <v>0</v>
      </c>
      <c r="AZ122" s="290">
        <f t="shared" si="266"/>
        <v>0</v>
      </c>
      <c r="BA122" s="291">
        <f t="shared" si="266"/>
        <v>0</v>
      </c>
      <c r="BB122" s="290">
        <f t="shared" si="266"/>
        <v>0</v>
      </c>
      <c r="BC122" s="292">
        <f t="shared" si="266"/>
        <v>0</v>
      </c>
      <c r="BD122" s="288"/>
      <c r="BE122" s="289">
        <f t="shared" ref="BE122:BK122" si="267">BE121/$G122</f>
        <v>0</v>
      </c>
      <c r="BF122" s="290">
        <f t="shared" si="267"/>
        <v>0</v>
      </c>
      <c r="BG122" s="290">
        <f t="shared" si="267"/>
        <v>0</v>
      </c>
      <c r="BH122" s="290">
        <f t="shared" si="267"/>
        <v>0</v>
      </c>
      <c r="BI122" s="291">
        <f t="shared" si="267"/>
        <v>0</v>
      </c>
      <c r="BJ122" s="290">
        <f t="shared" si="267"/>
        <v>0</v>
      </c>
      <c r="BK122" s="292">
        <f t="shared" si="267"/>
        <v>0</v>
      </c>
      <c r="BL122" s="288"/>
      <c r="BM122" s="289">
        <f t="shared" ref="BM122:BS122" si="268">BM121/$G122</f>
        <v>0</v>
      </c>
      <c r="BN122" s="290">
        <f t="shared" si="268"/>
        <v>0</v>
      </c>
      <c r="BO122" s="290">
        <f t="shared" si="268"/>
        <v>0</v>
      </c>
      <c r="BP122" s="290">
        <f t="shared" si="268"/>
        <v>0</v>
      </c>
      <c r="BQ122" s="291">
        <f t="shared" si="268"/>
        <v>0</v>
      </c>
      <c r="BR122" s="290">
        <f t="shared" si="268"/>
        <v>0</v>
      </c>
      <c r="BS122" s="292">
        <f t="shared" si="268"/>
        <v>0</v>
      </c>
      <c r="BT122" s="288"/>
      <c r="BU122" s="289">
        <f t="shared" ref="BU122:CA122" si="269">BU121/$G122</f>
        <v>0</v>
      </c>
      <c r="BV122" s="290">
        <f t="shared" si="269"/>
        <v>0</v>
      </c>
      <c r="BW122" s="290">
        <f t="shared" si="269"/>
        <v>0</v>
      </c>
      <c r="BX122" s="290">
        <f t="shared" si="269"/>
        <v>0</v>
      </c>
      <c r="BY122" s="291">
        <f t="shared" si="269"/>
        <v>0</v>
      </c>
      <c r="BZ122" s="290">
        <f t="shared" si="269"/>
        <v>0</v>
      </c>
      <c r="CA122" s="292">
        <f t="shared" si="269"/>
        <v>0</v>
      </c>
      <c r="CB122" s="288"/>
      <c r="CC122" s="289">
        <f t="shared" ref="CC122:CI122" si="270">CC121/$G122</f>
        <v>0</v>
      </c>
      <c r="CD122" s="290">
        <f t="shared" si="270"/>
        <v>0</v>
      </c>
      <c r="CE122" s="290">
        <f t="shared" si="270"/>
        <v>0</v>
      </c>
      <c r="CF122" s="290">
        <f t="shared" si="270"/>
        <v>0</v>
      </c>
      <c r="CG122" s="291">
        <f t="shared" si="270"/>
        <v>0</v>
      </c>
      <c r="CH122" s="290">
        <f t="shared" si="270"/>
        <v>0</v>
      </c>
      <c r="CI122" s="292">
        <f t="shared" si="270"/>
        <v>0</v>
      </c>
      <c r="CJ122" s="288"/>
      <c r="CK122" s="289">
        <f t="shared" ref="CK122:CQ122" si="271">CK121/$G122</f>
        <v>0</v>
      </c>
      <c r="CL122" s="290">
        <f t="shared" si="271"/>
        <v>0</v>
      </c>
      <c r="CM122" s="290">
        <f t="shared" si="271"/>
        <v>0</v>
      </c>
      <c r="CN122" s="290">
        <f t="shared" si="271"/>
        <v>0</v>
      </c>
      <c r="CO122" s="291">
        <f t="shared" si="271"/>
        <v>0</v>
      </c>
      <c r="CP122" s="290">
        <f t="shared" si="271"/>
        <v>0</v>
      </c>
      <c r="CQ122" s="292">
        <f t="shared" si="271"/>
        <v>0</v>
      </c>
    </row>
    <row r="123" spans="1:95" ht="16.5" thickBot="1" x14ac:dyDescent="0.3">
      <c r="C123" s="168"/>
      <c r="D123" s="168"/>
      <c r="E123" s="168"/>
      <c r="F123" s="168"/>
      <c r="G123" s="272"/>
      <c r="H123" s="168"/>
      <c r="I123" s="168"/>
      <c r="J123" s="168"/>
      <c r="K123" s="168"/>
      <c r="L123" s="168"/>
      <c r="M123" s="168"/>
      <c r="N123" s="168"/>
      <c r="O123" s="168"/>
      <c r="P123" s="168"/>
      <c r="Q123" s="168"/>
      <c r="R123" s="168"/>
      <c r="S123" s="168"/>
      <c r="T123" s="168"/>
      <c r="U123" s="168"/>
      <c r="V123" s="168"/>
      <c r="W123" s="168"/>
      <c r="X123" s="168"/>
      <c r="Y123" s="168"/>
      <c r="Z123" s="168"/>
      <c r="AA123" s="168"/>
      <c r="AB123" s="168"/>
      <c r="AC123" s="168"/>
      <c r="AD123" s="168"/>
      <c r="AE123" s="168"/>
      <c r="AF123" s="168"/>
      <c r="AG123" s="168"/>
      <c r="AH123" s="168"/>
      <c r="AI123" s="168"/>
      <c r="AJ123" s="168"/>
      <c r="AK123" s="168"/>
      <c r="AL123" s="168"/>
      <c r="AM123" s="168"/>
      <c r="AN123" s="168"/>
      <c r="AO123" s="168"/>
      <c r="AP123" s="168"/>
      <c r="AQ123" s="168"/>
      <c r="AR123" s="168"/>
      <c r="AS123" s="168"/>
      <c r="AT123" s="168"/>
      <c r="AU123" s="168"/>
      <c r="AV123" s="168"/>
      <c r="AW123" s="168"/>
      <c r="AX123" s="168"/>
      <c r="AY123" s="168"/>
      <c r="AZ123" s="168"/>
      <c r="BA123" s="168"/>
      <c r="BB123" s="168"/>
      <c r="BC123" s="168"/>
      <c r="BD123" s="168"/>
      <c r="BE123" s="168"/>
      <c r="BF123" s="168"/>
      <c r="BG123" s="168"/>
      <c r="BH123" s="168"/>
      <c r="BI123" s="168"/>
      <c r="BJ123" s="168"/>
      <c r="BK123" s="168"/>
      <c r="BL123" s="168"/>
      <c r="BM123" s="168"/>
      <c r="BN123" s="168"/>
      <c r="BO123" s="168"/>
      <c r="BP123" s="168"/>
      <c r="BQ123" s="168"/>
      <c r="BR123" s="168"/>
      <c r="BS123" s="168"/>
      <c r="BT123" s="168"/>
      <c r="BU123" s="168"/>
      <c r="BV123" s="168"/>
      <c r="BW123" s="168"/>
      <c r="BX123" s="168"/>
      <c r="BY123" s="168"/>
      <c r="BZ123" s="168"/>
      <c r="CA123" s="168"/>
      <c r="CB123" s="168"/>
      <c r="CC123" s="168"/>
      <c r="CD123" s="168"/>
      <c r="CE123" s="168"/>
      <c r="CF123" s="168"/>
      <c r="CG123" s="168"/>
      <c r="CH123" s="168"/>
      <c r="CI123" s="168"/>
      <c r="CJ123" s="168"/>
      <c r="CK123" s="168"/>
      <c r="CL123" s="168"/>
      <c r="CM123" s="168"/>
      <c r="CN123" s="168"/>
      <c r="CO123" s="168"/>
      <c r="CP123" s="168"/>
      <c r="CQ123" s="168"/>
    </row>
    <row r="124" spans="1:95" x14ac:dyDescent="0.25">
      <c r="A124" s="52" t="s">
        <v>7</v>
      </c>
      <c r="B124" s="166">
        <f>B120+1</f>
        <v>45957</v>
      </c>
      <c r="C124" s="235">
        <f>Boats!J589</f>
        <v>5.8521236363636362</v>
      </c>
      <c r="D124" s="259">
        <v>4</v>
      </c>
      <c r="E124" s="168">
        <v>7</v>
      </c>
      <c r="F124" s="317">
        <v>40.14</v>
      </c>
      <c r="G124" s="253"/>
      <c r="H124" s="247">
        <f t="shared" ref="H124:H130" si="272">SUM(I124:J124)</f>
        <v>6</v>
      </c>
      <c r="I124" s="260">
        <v>2</v>
      </c>
      <c r="J124" s="168">
        <v>4</v>
      </c>
      <c r="K124" s="247">
        <f t="shared" ref="K124:K130" si="273">SUM(L124:M124)</f>
        <v>0</v>
      </c>
      <c r="L124" s="260"/>
      <c r="M124" s="168"/>
      <c r="N124" s="311">
        <f t="shared" ref="N124:N130" si="274">SUM(O124:P124)</f>
        <v>0</v>
      </c>
      <c r="O124" s="260"/>
      <c r="P124" s="259"/>
      <c r="Q124" s="311">
        <f t="shared" ref="Q124:Q130" si="275">SUM(R124:S124)</f>
        <v>0</v>
      </c>
      <c r="R124" s="260"/>
      <c r="S124" s="259"/>
      <c r="T124" s="261">
        <v>2</v>
      </c>
      <c r="U124" s="168"/>
      <c r="V124" s="260"/>
      <c r="W124" s="520"/>
      <c r="X124" s="262"/>
      <c r="Y124" s="168"/>
      <c r="Z124" s="261"/>
      <c r="AA124" s="168"/>
      <c r="AB124" s="168"/>
      <c r="AC124" s="262"/>
      <c r="AD124" s="261"/>
      <c r="AE124" s="259"/>
      <c r="AF124" s="260"/>
      <c r="AG124" s="259"/>
      <c r="AH124" s="168"/>
      <c r="AI124" s="168"/>
      <c r="AJ124" s="260"/>
      <c r="AK124" s="259"/>
      <c r="AL124" s="260"/>
      <c r="AM124" s="259"/>
      <c r="AN124" s="168"/>
      <c r="AO124" s="168"/>
      <c r="AP124" s="260"/>
      <c r="AQ124" s="259"/>
      <c r="AR124" s="168"/>
      <c r="AS124" s="168"/>
      <c r="AT124" s="168"/>
      <c r="AU124" s="262"/>
      <c r="AV124" s="168"/>
      <c r="AW124" s="257"/>
      <c r="AX124" s="255"/>
      <c r="AY124" s="255"/>
      <c r="AZ124" s="255"/>
      <c r="BA124" s="254"/>
      <c r="BB124" s="255"/>
      <c r="BC124" s="258"/>
      <c r="BD124" s="168"/>
      <c r="BE124" s="257"/>
      <c r="BF124" s="255"/>
      <c r="BG124" s="255"/>
      <c r="BH124" s="255"/>
      <c r="BI124" s="254"/>
      <c r="BJ124" s="255"/>
      <c r="BK124" s="258"/>
      <c r="BL124" s="168"/>
      <c r="BM124" s="257"/>
      <c r="BN124" s="255"/>
      <c r="BO124" s="255"/>
      <c r="BP124" s="255"/>
      <c r="BQ124" s="254"/>
      <c r="BR124" s="255"/>
      <c r="BS124" s="258"/>
      <c r="BT124" s="168"/>
      <c r="BU124" s="257"/>
      <c r="BV124" s="255"/>
      <c r="BW124" s="255"/>
      <c r="BX124" s="255"/>
      <c r="BY124" s="254"/>
      <c r="BZ124" s="255"/>
      <c r="CA124" s="258"/>
      <c r="CB124" s="168"/>
      <c r="CC124" s="257"/>
      <c r="CD124" s="255"/>
      <c r="CE124" s="255"/>
      <c r="CF124" s="255"/>
      <c r="CG124" s="254"/>
      <c r="CH124" s="255"/>
      <c r="CI124" s="258"/>
      <c r="CJ124" s="168"/>
      <c r="CK124" s="257"/>
      <c r="CL124" s="255"/>
      <c r="CM124" s="255"/>
      <c r="CN124" s="255"/>
      <c r="CO124" s="254"/>
      <c r="CP124" s="255"/>
      <c r="CQ124" s="258"/>
    </row>
    <row r="125" spans="1:95" x14ac:dyDescent="0.25">
      <c r="A125" s="132" t="s">
        <v>10</v>
      </c>
      <c r="B125" s="167">
        <f t="shared" ref="B125:B130" si="276">B124+1</f>
        <v>45958</v>
      </c>
      <c r="C125" s="173">
        <f>Boats!J596</f>
        <v>8.5523822538161731</v>
      </c>
      <c r="D125" s="259">
        <v>4</v>
      </c>
      <c r="E125" s="168">
        <v>9</v>
      </c>
      <c r="F125" s="317">
        <v>55.2</v>
      </c>
      <c r="G125" s="253"/>
      <c r="H125" s="247">
        <f t="shared" si="272"/>
        <v>3</v>
      </c>
      <c r="I125" s="260">
        <v>1</v>
      </c>
      <c r="J125" s="168">
        <v>2</v>
      </c>
      <c r="K125" s="247">
        <f t="shared" si="273"/>
        <v>0</v>
      </c>
      <c r="L125" s="260"/>
      <c r="M125" s="168"/>
      <c r="N125" s="311">
        <f t="shared" si="274"/>
        <v>0</v>
      </c>
      <c r="O125" s="260"/>
      <c r="P125" s="259"/>
      <c r="Q125" s="311">
        <f t="shared" si="275"/>
        <v>0</v>
      </c>
      <c r="R125" s="260"/>
      <c r="S125" s="259"/>
      <c r="T125" s="261"/>
      <c r="U125" s="168"/>
      <c r="V125" s="260"/>
      <c r="W125" s="260"/>
      <c r="X125" s="262"/>
      <c r="Y125" s="168"/>
      <c r="Z125" s="261"/>
      <c r="AA125" s="168"/>
      <c r="AB125" s="168"/>
      <c r="AC125" s="262"/>
      <c r="AD125" s="261"/>
      <c r="AE125" s="259"/>
      <c r="AF125" s="260"/>
      <c r="AG125" s="259"/>
      <c r="AH125" s="168"/>
      <c r="AI125" s="168"/>
      <c r="AJ125" s="260"/>
      <c r="AK125" s="259"/>
      <c r="AL125" s="260"/>
      <c r="AM125" s="259"/>
      <c r="AN125" s="168"/>
      <c r="AO125" s="168"/>
      <c r="AP125" s="260"/>
      <c r="AQ125" s="259"/>
      <c r="AR125" s="168"/>
      <c r="AS125" s="168"/>
      <c r="AT125" s="168"/>
      <c r="AU125" s="262"/>
      <c r="AV125" s="168"/>
      <c r="AW125" s="261"/>
      <c r="AX125" s="168"/>
      <c r="AY125" s="168"/>
      <c r="AZ125" s="168"/>
      <c r="BA125" s="260"/>
      <c r="BB125" s="168"/>
      <c r="BC125" s="262"/>
      <c r="BD125" s="168"/>
      <c r="BE125" s="261"/>
      <c r="BF125" s="168"/>
      <c r="BG125" s="168"/>
      <c r="BH125" s="168"/>
      <c r="BI125" s="260"/>
      <c r="BJ125" s="168"/>
      <c r="BK125" s="262"/>
      <c r="BL125" s="168"/>
      <c r="BM125" s="261"/>
      <c r="BN125" s="168"/>
      <c r="BO125" s="168"/>
      <c r="BP125" s="168"/>
      <c r="BQ125" s="260"/>
      <c r="BR125" s="168"/>
      <c r="BS125" s="262"/>
      <c r="BT125" s="168"/>
      <c r="BU125" s="261"/>
      <c r="BV125" s="168"/>
      <c r="BW125" s="168"/>
      <c r="BX125" s="168"/>
      <c r="BY125" s="260"/>
      <c r="BZ125" s="168"/>
      <c r="CA125" s="262"/>
      <c r="CB125" s="168"/>
      <c r="CC125" s="261"/>
      <c r="CD125" s="168"/>
      <c r="CE125" s="168"/>
      <c r="CF125" s="168"/>
      <c r="CG125" s="260"/>
      <c r="CH125" s="168"/>
      <c r="CI125" s="262"/>
      <c r="CJ125" s="168"/>
      <c r="CK125" s="261"/>
      <c r="CL125" s="168"/>
      <c r="CM125" s="168"/>
      <c r="CN125" s="168"/>
      <c r="CO125" s="260"/>
      <c r="CP125" s="168"/>
      <c r="CQ125" s="262"/>
    </row>
    <row r="126" spans="1:95" x14ac:dyDescent="0.25">
      <c r="A126" s="132" t="s">
        <v>11</v>
      </c>
      <c r="B126" s="167">
        <f t="shared" si="276"/>
        <v>45959</v>
      </c>
      <c r="C126" s="173">
        <f>Boats!J603</f>
        <v>3.7803084223013044</v>
      </c>
      <c r="D126" s="259">
        <v>3</v>
      </c>
      <c r="E126" s="168">
        <v>4</v>
      </c>
      <c r="F126" s="317">
        <v>21.89</v>
      </c>
      <c r="G126" s="253"/>
      <c r="H126" s="247">
        <f t="shared" si="272"/>
        <v>2</v>
      </c>
      <c r="I126" s="260"/>
      <c r="J126" s="168">
        <v>2</v>
      </c>
      <c r="K126" s="247">
        <f t="shared" si="273"/>
        <v>0</v>
      </c>
      <c r="L126" s="260"/>
      <c r="M126" s="168"/>
      <c r="N126" s="311">
        <f t="shared" si="274"/>
        <v>0</v>
      </c>
      <c r="O126" s="260"/>
      <c r="P126" s="259"/>
      <c r="Q126" s="311">
        <f t="shared" si="275"/>
        <v>0</v>
      </c>
      <c r="R126" s="260"/>
      <c r="S126" s="259"/>
      <c r="T126" s="261">
        <v>2</v>
      </c>
      <c r="U126" s="168"/>
      <c r="V126" s="260"/>
      <c r="W126" s="260"/>
      <c r="X126" s="262"/>
      <c r="Y126" s="168"/>
      <c r="Z126" s="261"/>
      <c r="AA126" s="168"/>
      <c r="AB126" s="168"/>
      <c r="AC126" s="262"/>
      <c r="AD126" s="261"/>
      <c r="AE126" s="259"/>
      <c r="AF126" s="260">
        <v>3</v>
      </c>
      <c r="AG126" s="259"/>
      <c r="AH126" s="168"/>
      <c r="AI126" s="168"/>
      <c r="AJ126" s="260"/>
      <c r="AK126" s="259"/>
      <c r="AL126" s="260"/>
      <c r="AM126" s="259"/>
      <c r="AN126" s="168"/>
      <c r="AO126" s="168"/>
      <c r="AP126" s="260"/>
      <c r="AQ126" s="259"/>
      <c r="AR126" s="168"/>
      <c r="AS126" s="168"/>
      <c r="AT126" s="168"/>
      <c r="AU126" s="262"/>
      <c r="AV126" s="168"/>
      <c r="AW126" s="261"/>
      <c r="AX126" s="168"/>
      <c r="AY126" s="168"/>
      <c r="AZ126" s="168"/>
      <c r="BA126" s="260"/>
      <c r="BB126" s="168"/>
      <c r="BC126" s="262"/>
      <c r="BD126" s="168"/>
      <c r="BE126" s="261"/>
      <c r="BF126" s="168"/>
      <c r="BG126" s="168"/>
      <c r="BH126" s="168"/>
      <c r="BI126" s="260"/>
      <c r="BJ126" s="168"/>
      <c r="BK126" s="262"/>
      <c r="BL126" s="168"/>
      <c r="BM126" s="261"/>
      <c r="BN126" s="168"/>
      <c r="BO126" s="168"/>
      <c r="BP126" s="168"/>
      <c r="BQ126" s="260"/>
      <c r="BR126" s="168"/>
      <c r="BS126" s="262"/>
      <c r="BT126" s="168"/>
      <c r="BU126" s="261"/>
      <c r="BV126" s="168"/>
      <c r="BW126" s="168"/>
      <c r="BX126" s="168"/>
      <c r="BY126" s="260"/>
      <c r="BZ126" s="168"/>
      <c r="CA126" s="262"/>
      <c r="CB126" s="168"/>
      <c r="CC126" s="261"/>
      <c r="CD126" s="168"/>
      <c r="CE126" s="168"/>
      <c r="CF126" s="168"/>
      <c r="CG126" s="260"/>
      <c r="CH126" s="168"/>
      <c r="CI126" s="262"/>
      <c r="CJ126" s="168"/>
      <c r="CK126" s="261"/>
      <c r="CL126" s="168"/>
      <c r="CM126" s="168"/>
      <c r="CN126" s="168"/>
      <c r="CO126" s="260"/>
      <c r="CP126" s="168"/>
      <c r="CQ126" s="262"/>
    </row>
    <row r="127" spans="1:95" x14ac:dyDescent="0.25">
      <c r="A127" s="132" t="s">
        <v>12</v>
      </c>
      <c r="B127" s="167">
        <f t="shared" si="276"/>
        <v>45960</v>
      </c>
      <c r="C127" s="173">
        <f>Boats!J610</f>
        <v>5.8521236363636362</v>
      </c>
      <c r="D127" s="259">
        <v>4</v>
      </c>
      <c r="E127" s="168">
        <v>10</v>
      </c>
      <c r="F127" s="317">
        <v>46.67</v>
      </c>
      <c r="G127" s="253"/>
      <c r="H127" s="247">
        <f t="shared" si="272"/>
        <v>7</v>
      </c>
      <c r="I127" s="260">
        <v>3</v>
      </c>
      <c r="J127" s="168">
        <v>4</v>
      </c>
      <c r="K127" s="247">
        <f t="shared" si="273"/>
        <v>0</v>
      </c>
      <c r="L127" s="260"/>
      <c r="M127" s="168"/>
      <c r="N127" s="311">
        <f t="shared" si="274"/>
        <v>0</v>
      </c>
      <c r="O127" s="260"/>
      <c r="P127" s="259"/>
      <c r="Q127" s="311">
        <f t="shared" si="275"/>
        <v>0</v>
      </c>
      <c r="R127" s="260"/>
      <c r="S127" s="259"/>
      <c r="T127" s="261">
        <v>7</v>
      </c>
      <c r="U127" s="168"/>
      <c r="V127" s="260"/>
      <c r="W127" s="260"/>
      <c r="X127" s="262"/>
      <c r="Y127" s="168"/>
      <c r="Z127" s="261"/>
      <c r="AA127" s="168"/>
      <c r="AB127" s="168"/>
      <c r="AC127" s="262"/>
      <c r="AD127" s="261"/>
      <c r="AE127" s="259"/>
      <c r="AF127" s="260"/>
      <c r="AG127" s="259"/>
      <c r="AH127" s="168"/>
      <c r="AI127" s="168"/>
      <c r="AJ127" s="260"/>
      <c r="AK127" s="259"/>
      <c r="AL127" s="260"/>
      <c r="AM127" s="259"/>
      <c r="AN127" s="168"/>
      <c r="AO127" s="168"/>
      <c r="AP127" s="260"/>
      <c r="AQ127" s="259"/>
      <c r="AR127" s="168"/>
      <c r="AS127" s="168"/>
      <c r="AT127" s="168"/>
      <c r="AU127" s="262"/>
      <c r="AV127" s="168"/>
      <c r="AW127" s="261"/>
      <c r="AX127" s="168">
        <v>1</v>
      </c>
      <c r="AY127" s="168"/>
      <c r="AZ127" s="168"/>
      <c r="BA127" s="260"/>
      <c r="BB127" s="168"/>
      <c r="BC127" s="262"/>
      <c r="BD127" s="168"/>
      <c r="BE127" s="261"/>
      <c r="BF127" s="168">
        <v>1</v>
      </c>
      <c r="BG127" s="168"/>
      <c r="BH127" s="168"/>
      <c r="BI127" s="260"/>
      <c r="BJ127" s="168"/>
      <c r="BK127" s="262"/>
      <c r="BL127" s="168"/>
      <c r="BM127" s="261"/>
      <c r="BN127" s="168"/>
      <c r="BO127" s="168"/>
      <c r="BP127" s="168"/>
      <c r="BQ127" s="260"/>
      <c r="BR127" s="168"/>
      <c r="BS127" s="262"/>
      <c r="BT127" s="168"/>
      <c r="BU127" s="261"/>
      <c r="BV127" s="168"/>
      <c r="BW127" s="168"/>
      <c r="BX127" s="168"/>
      <c r="BY127" s="260"/>
      <c r="BZ127" s="168"/>
      <c r="CA127" s="262"/>
      <c r="CB127" s="168"/>
      <c r="CC127" s="261"/>
      <c r="CD127" s="168"/>
      <c r="CE127" s="168"/>
      <c r="CF127" s="168"/>
      <c r="CG127" s="260"/>
      <c r="CH127" s="168"/>
      <c r="CI127" s="262"/>
      <c r="CJ127" s="168"/>
      <c r="CK127" s="261"/>
      <c r="CL127" s="168"/>
      <c r="CM127" s="168"/>
      <c r="CN127" s="168"/>
      <c r="CO127" s="260"/>
      <c r="CP127" s="168"/>
      <c r="CQ127" s="262"/>
    </row>
    <row r="128" spans="1:95" x14ac:dyDescent="0.25">
      <c r="A128" s="132" t="s">
        <v>13</v>
      </c>
      <c r="B128" s="167">
        <f t="shared" si="276"/>
        <v>45961</v>
      </c>
      <c r="C128" s="173">
        <f>Boats!J617</f>
        <v>16.460189541383986</v>
      </c>
      <c r="D128" s="259">
        <v>8</v>
      </c>
      <c r="E128" s="168">
        <v>18</v>
      </c>
      <c r="F128" s="317">
        <v>104.14</v>
      </c>
      <c r="G128" s="253"/>
      <c r="H128" s="247">
        <f t="shared" si="272"/>
        <v>2</v>
      </c>
      <c r="I128" s="260">
        <v>1</v>
      </c>
      <c r="J128" s="168">
        <v>1</v>
      </c>
      <c r="K128" s="247">
        <f t="shared" si="273"/>
        <v>0</v>
      </c>
      <c r="L128" s="260"/>
      <c r="M128" s="168"/>
      <c r="N128" s="311">
        <f t="shared" si="274"/>
        <v>4</v>
      </c>
      <c r="O128" s="260"/>
      <c r="P128" s="259">
        <v>4</v>
      </c>
      <c r="Q128" s="311">
        <f t="shared" si="275"/>
        <v>1</v>
      </c>
      <c r="R128" s="260"/>
      <c r="S128" s="259">
        <v>1</v>
      </c>
      <c r="T128" s="261">
        <v>4</v>
      </c>
      <c r="U128" s="168"/>
      <c r="V128" s="260"/>
      <c r="W128" s="260"/>
      <c r="X128" s="262"/>
      <c r="Y128" s="168"/>
      <c r="Z128" s="261"/>
      <c r="AA128" s="168"/>
      <c r="AB128" s="168"/>
      <c r="AC128" s="262"/>
      <c r="AD128" s="261"/>
      <c r="AE128" s="259"/>
      <c r="AF128" s="260"/>
      <c r="AG128" s="259">
        <v>3</v>
      </c>
      <c r="AH128" s="168"/>
      <c r="AI128" s="168"/>
      <c r="AJ128" s="260"/>
      <c r="AK128" s="259"/>
      <c r="AL128" s="260"/>
      <c r="AM128" s="259"/>
      <c r="AN128" s="168"/>
      <c r="AO128" s="168"/>
      <c r="AP128" s="260"/>
      <c r="AQ128" s="259"/>
      <c r="AR128" s="168"/>
      <c r="AS128" s="168"/>
      <c r="AT128" s="168"/>
      <c r="AU128" s="262"/>
      <c r="AV128" s="168"/>
      <c r="AW128" s="261"/>
      <c r="AX128" s="168"/>
      <c r="AY128" s="168"/>
      <c r="AZ128" s="168"/>
      <c r="BA128" s="260">
        <v>1</v>
      </c>
      <c r="BB128" s="168"/>
      <c r="BC128" s="262"/>
      <c r="BD128" s="168"/>
      <c r="BE128" s="261"/>
      <c r="BF128" s="168"/>
      <c r="BG128" s="168"/>
      <c r="BH128" s="168"/>
      <c r="BI128" s="260">
        <v>1</v>
      </c>
      <c r="BJ128" s="168"/>
      <c r="BK128" s="262"/>
      <c r="BL128" s="168"/>
      <c r="BM128" s="261"/>
      <c r="BN128" s="168"/>
      <c r="BO128" s="168"/>
      <c r="BP128" s="168"/>
      <c r="BQ128" s="260"/>
      <c r="BR128" s="168"/>
      <c r="BS128" s="262"/>
      <c r="BT128" s="168"/>
      <c r="BU128" s="261"/>
      <c r="BV128" s="168"/>
      <c r="BW128" s="168"/>
      <c r="BX128" s="168"/>
      <c r="BY128" s="260"/>
      <c r="BZ128" s="168"/>
      <c r="CA128" s="262"/>
      <c r="CB128" s="168"/>
      <c r="CC128" s="261"/>
      <c r="CD128" s="168"/>
      <c r="CE128" s="168"/>
      <c r="CF128" s="168"/>
      <c r="CG128" s="260"/>
      <c r="CH128" s="168"/>
      <c r="CI128" s="262"/>
      <c r="CJ128" s="168"/>
      <c r="CK128" s="261"/>
      <c r="CL128" s="168"/>
      <c r="CM128" s="168"/>
      <c r="CN128" s="168"/>
      <c r="CO128" s="260"/>
      <c r="CP128" s="168"/>
      <c r="CQ128" s="262"/>
    </row>
    <row r="129" spans="1:95" x14ac:dyDescent="0.25">
      <c r="A129" s="132" t="s">
        <v>14</v>
      </c>
      <c r="B129" s="167">
        <f t="shared" si="276"/>
        <v>45962</v>
      </c>
      <c r="C129" s="173"/>
      <c r="D129" s="259"/>
      <c r="E129" s="168"/>
      <c r="F129" s="317"/>
      <c r="G129" s="260"/>
      <c r="H129" s="247">
        <f t="shared" si="272"/>
        <v>0</v>
      </c>
      <c r="I129" s="260"/>
      <c r="J129" s="168"/>
      <c r="K129" s="247">
        <f t="shared" si="273"/>
        <v>0</v>
      </c>
      <c r="L129" s="260"/>
      <c r="M129" s="168"/>
      <c r="N129" s="311">
        <f t="shared" si="274"/>
        <v>0</v>
      </c>
      <c r="O129" s="260"/>
      <c r="P129" s="259"/>
      <c r="Q129" s="311">
        <f t="shared" si="275"/>
        <v>0</v>
      </c>
      <c r="R129" s="260"/>
      <c r="S129" s="259"/>
      <c r="T129" s="261"/>
      <c r="U129" s="168"/>
      <c r="V129" s="260"/>
      <c r="W129" s="260"/>
      <c r="X129" s="262"/>
      <c r="Y129" s="168"/>
      <c r="Z129" s="261"/>
      <c r="AA129" s="168"/>
      <c r="AB129" s="168"/>
      <c r="AC129" s="262"/>
      <c r="AD129" s="261"/>
      <c r="AE129" s="259"/>
      <c r="AF129" s="260"/>
      <c r="AG129" s="259"/>
      <c r="AH129" s="168"/>
      <c r="AI129" s="168"/>
      <c r="AJ129" s="260"/>
      <c r="AK129" s="259"/>
      <c r="AL129" s="260"/>
      <c r="AM129" s="259"/>
      <c r="AN129" s="168"/>
      <c r="AO129" s="168"/>
      <c r="AP129" s="260"/>
      <c r="AQ129" s="259"/>
      <c r="AR129" s="168"/>
      <c r="AS129" s="168"/>
      <c r="AT129" s="168"/>
      <c r="AU129" s="262"/>
      <c r="AV129" s="168"/>
      <c r="AW129" s="261"/>
      <c r="AX129" s="168"/>
      <c r="AY129" s="168"/>
      <c r="AZ129" s="168"/>
      <c r="BA129" s="260"/>
      <c r="BB129" s="168"/>
      <c r="BC129" s="262"/>
      <c r="BD129" s="168"/>
      <c r="BE129" s="261"/>
      <c r="BF129" s="168"/>
      <c r="BG129" s="168"/>
      <c r="BH129" s="168"/>
      <c r="BI129" s="260"/>
      <c r="BJ129" s="168"/>
      <c r="BK129" s="262"/>
      <c r="BL129" s="168"/>
      <c r="BM129" s="261"/>
      <c r="BN129" s="168"/>
      <c r="BO129" s="168"/>
      <c r="BP129" s="168"/>
      <c r="BQ129" s="260"/>
      <c r="BR129" s="168"/>
      <c r="BS129" s="262"/>
      <c r="BT129" s="168"/>
      <c r="BU129" s="261"/>
      <c r="BV129" s="168"/>
      <c r="BW129" s="168"/>
      <c r="BX129" s="168"/>
      <c r="BY129" s="260"/>
      <c r="BZ129" s="168"/>
      <c r="CA129" s="262"/>
      <c r="CB129" s="168"/>
      <c r="CC129" s="261"/>
      <c r="CD129" s="168"/>
      <c r="CE129" s="168"/>
      <c r="CF129" s="168"/>
      <c r="CG129" s="260"/>
      <c r="CH129" s="168"/>
      <c r="CI129" s="262"/>
      <c r="CJ129" s="168"/>
      <c r="CK129" s="261"/>
      <c r="CL129" s="168"/>
      <c r="CM129" s="168"/>
      <c r="CN129" s="168"/>
      <c r="CO129" s="260"/>
      <c r="CP129" s="168"/>
      <c r="CQ129" s="262"/>
    </row>
    <row r="130" spans="1:95" ht="16.5" thickBot="1" x14ac:dyDescent="0.3">
      <c r="A130" s="170" t="s">
        <v>15</v>
      </c>
      <c r="B130" s="171">
        <f t="shared" si="276"/>
        <v>45963</v>
      </c>
      <c r="C130" s="236"/>
      <c r="D130" s="263"/>
      <c r="E130" s="238"/>
      <c r="F130" s="318"/>
      <c r="G130" s="237"/>
      <c r="H130" s="248">
        <f t="shared" si="272"/>
        <v>0</v>
      </c>
      <c r="I130" s="237"/>
      <c r="J130" s="238"/>
      <c r="K130" s="248">
        <f t="shared" si="273"/>
        <v>0</v>
      </c>
      <c r="L130" s="237"/>
      <c r="M130" s="238"/>
      <c r="N130" s="248">
        <f t="shared" si="274"/>
        <v>0</v>
      </c>
      <c r="O130" s="237"/>
      <c r="P130" s="263"/>
      <c r="Q130" s="248">
        <f t="shared" si="275"/>
        <v>0</v>
      </c>
      <c r="R130" s="237"/>
      <c r="S130" s="263"/>
      <c r="T130" s="264"/>
      <c r="U130" s="238"/>
      <c r="V130" s="237"/>
      <c r="W130" s="237"/>
      <c r="X130" s="265"/>
      <c r="Y130" s="168"/>
      <c r="Z130" s="264"/>
      <c r="AA130" s="238"/>
      <c r="AB130" s="238"/>
      <c r="AC130" s="265"/>
      <c r="AD130" s="264"/>
      <c r="AE130" s="263"/>
      <c r="AF130" s="237"/>
      <c r="AG130" s="263"/>
      <c r="AH130" s="238"/>
      <c r="AI130" s="238"/>
      <c r="AJ130" s="237"/>
      <c r="AK130" s="263"/>
      <c r="AL130" s="237"/>
      <c r="AM130" s="263"/>
      <c r="AN130" s="238"/>
      <c r="AO130" s="238"/>
      <c r="AP130" s="237"/>
      <c r="AQ130" s="263"/>
      <c r="AR130" s="238"/>
      <c r="AS130" s="238"/>
      <c r="AT130" s="238"/>
      <c r="AU130" s="265"/>
      <c r="AV130" s="168"/>
      <c r="AW130" s="264"/>
      <c r="AX130" s="238"/>
      <c r="AY130" s="238"/>
      <c r="AZ130" s="238"/>
      <c r="BA130" s="237"/>
      <c r="BB130" s="238"/>
      <c r="BC130" s="265"/>
      <c r="BD130" s="168"/>
      <c r="BE130" s="264"/>
      <c r="BF130" s="238"/>
      <c r="BG130" s="238"/>
      <c r="BH130" s="238"/>
      <c r="BI130" s="237"/>
      <c r="BJ130" s="238"/>
      <c r="BK130" s="265"/>
      <c r="BL130" s="168"/>
      <c r="BM130" s="264"/>
      <c r="BN130" s="238"/>
      <c r="BO130" s="238"/>
      <c r="BP130" s="238"/>
      <c r="BQ130" s="237"/>
      <c r="BR130" s="238"/>
      <c r="BS130" s="265"/>
      <c r="BT130" s="168"/>
      <c r="BU130" s="264"/>
      <c r="BV130" s="238"/>
      <c r="BW130" s="238"/>
      <c r="BX130" s="238"/>
      <c r="BY130" s="237"/>
      <c r="BZ130" s="238"/>
      <c r="CA130" s="265"/>
      <c r="CB130" s="168"/>
      <c r="CC130" s="264"/>
      <c r="CD130" s="238"/>
      <c r="CE130" s="238"/>
      <c r="CF130" s="238"/>
      <c r="CG130" s="237"/>
      <c r="CH130" s="238"/>
      <c r="CI130" s="265"/>
      <c r="CJ130" s="168"/>
      <c r="CK130" s="264"/>
      <c r="CL130" s="238"/>
      <c r="CM130" s="238"/>
      <c r="CN130" s="238"/>
      <c r="CO130" s="237"/>
      <c r="CP130" s="238"/>
      <c r="CQ130" s="265"/>
    </row>
    <row r="131" spans="1:95" ht="16.5" thickTop="1" x14ac:dyDescent="0.25">
      <c r="A131" s="298" t="s">
        <v>106</v>
      </c>
      <c r="B131" s="274"/>
      <c r="C131" s="293"/>
      <c r="D131" s="294"/>
      <c r="E131" s="315"/>
      <c r="F131" s="315"/>
      <c r="G131" s="295"/>
      <c r="H131" s="296">
        <f t="shared" ref="H131:X131" si="277">SUM(H124:H130)</f>
        <v>20</v>
      </c>
      <c r="I131" s="284">
        <f t="shared" si="277"/>
        <v>7</v>
      </c>
      <c r="J131" s="283">
        <f t="shared" si="277"/>
        <v>13</v>
      </c>
      <c r="K131" s="296">
        <f t="shared" si="277"/>
        <v>0</v>
      </c>
      <c r="L131" s="284">
        <f t="shared" si="277"/>
        <v>0</v>
      </c>
      <c r="M131" s="283">
        <f t="shared" si="277"/>
        <v>0</v>
      </c>
      <c r="N131" s="296">
        <f t="shared" si="277"/>
        <v>4</v>
      </c>
      <c r="O131" s="284">
        <f t="shared" si="277"/>
        <v>0</v>
      </c>
      <c r="P131" s="285">
        <f t="shared" si="277"/>
        <v>4</v>
      </c>
      <c r="Q131" s="296">
        <f t="shared" ref="Q131:S131" si="278">SUM(Q124:Q130)</f>
        <v>1</v>
      </c>
      <c r="R131" s="284">
        <f t="shared" si="278"/>
        <v>0</v>
      </c>
      <c r="S131" s="285">
        <f t="shared" si="278"/>
        <v>1</v>
      </c>
      <c r="T131" s="282">
        <f t="shared" si="277"/>
        <v>15</v>
      </c>
      <c r="U131" s="283">
        <f t="shared" si="277"/>
        <v>0</v>
      </c>
      <c r="V131" s="284">
        <f t="shared" si="277"/>
        <v>0</v>
      </c>
      <c r="W131" s="284">
        <f t="shared" si="277"/>
        <v>0</v>
      </c>
      <c r="X131" s="285">
        <f t="shared" si="277"/>
        <v>0</v>
      </c>
      <c r="Y131" s="173"/>
      <c r="Z131" s="282">
        <f>SUM(Z124:Z130)</f>
        <v>0</v>
      </c>
      <c r="AA131" s="283">
        <f>SUM(AA124:AA130)</f>
        <v>0</v>
      </c>
      <c r="AB131" s="283">
        <f>SUM(AB124:AB130)</f>
        <v>0</v>
      </c>
      <c r="AC131" s="285">
        <f>SUM(AC124:AC130)</f>
        <v>0</v>
      </c>
      <c r="AD131" s="282">
        <f t="shared" ref="AD131:AU131" si="279">SUM(AD124:AD130)</f>
        <v>0</v>
      </c>
      <c r="AE131" s="297">
        <f t="shared" si="279"/>
        <v>0</v>
      </c>
      <c r="AF131" s="284">
        <f t="shared" si="279"/>
        <v>3</v>
      </c>
      <c r="AG131" s="297">
        <f t="shared" si="279"/>
        <v>3</v>
      </c>
      <c r="AH131" s="283">
        <f t="shared" si="279"/>
        <v>0</v>
      </c>
      <c r="AI131" s="283">
        <f t="shared" si="279"/>
        <v>0</v>
      </c>
      <c r="AJ131" s="284">
        <f t="shared" si="279"/>
        <v>0</v>
      </c>
      <c r="AK131" s="297">
        <f t="shared" si="279"/>
        <v>0</v>
      </c>
      <c r="AL131" s="284">
        <f t="shared" si="279"/>
        <v>0</v>
      </c>
      <c r="AM131" s="297">
        <f t="shared" si="279"/>
        <v>0</v>
      </c>
      <c r="AN131" s="276">
        <f t="shared" si="279"/>
        <v>0</v>
      </c>
      <c r="AO131" s="275">
        <f t="shared" si="279"/>
        <v>0</v>
      </c>
      <c r="AP131" s="276">
        <f t="shared" si="279"/>
        <v>0</v>
      </c>
      <c r="AQ131" s="275">
        <f t="shared" si="279"/>
        <v>0</v>
      </c>
      <c r="AR131" s="278">
        <f t="shared" si="279"/>
        <v>0</v>
      </c>
      <c r="AS131" s="277">
        <f t="shared" si="279"/>
        <v>0</v>
      </c>
      <c r="AT131" s="283">
        <f t="shared" si="279"/>
        <v>0</v>
      </c>
      <c r="AU131" s="285">
        <f t="shared" si="279"/>
        <v>0</v>
      </c>
      <c r="AV131" s="173"/>
      <c r="AW131" s="282">
        <f t="shared" ref="AW131:BC131" si="280">SUM(AW124:AW130)</f>
        <v>0</v>
      </c>
      <c r="AX131" s="283">
        <f t="shared" si="280"/>
        <v>1</v>
      </c>
      <c r="AY131" s="283">
        <f t="shared" si="280"/>
        <v>0</v>
      </c>
      <c r="AZ131" s="283">
        <f t="shared" si="280"/>
        <v>0</v>
      </c>
      <c r="BA131" s="284">
        <f t="shared" si="280"/>
        <v>1</v>
      </c>
      <c r="BB131" s="283">
        <f t="shared" si="280"/>
        <v>0</v>
      </c>
      <c r="BC131" s="285">
        <f t="shared" si="280"/>
        <v>0</v>
      </c>
      <c r="BD131" s="173"/>
      <c r="BE131" s="282">
        <f t="shared" ref="BE131:BK131" si="281">SUM(BE124:BE130)</f>
        <v>0</v>
      </c>
      <c r="BF131" s="283">
        <f t="shared" si="281"/>
        <v>1</v>
      </c>
      <c r="BG131" s="283">
        <f t="shared" si="281"/>
        <v>0</v>
      </c>
      <c r="BH131" s="283">
        <f t="shared" si="281"/>
        <v>0</v>
      </c>
      <c r="BI131" s="284">
        <f t="shared" si="281"/>
        <v>1</v>
      </c>
      <c r="BJ131" s="283">
        <f t="shared" si="281"/>
        <v>0</v>
      </c>
      <c r="BK131" s="285">
        <f t="shared" si="281"/>
        <v>0</v>
      </c>
      <c r="BL131" s="173"/>
      <c r="BM131" s="282">
        <f t="shared" ref="BM131:BS131" si="282">SUM(BM124:BM130)</f>
        <v>0</v>
      </c>
      <c r="BN131" s="283">
        <f t="shared" si="282"/>
        <v>0</v>
      </c>
      <c r="BO131" s="283">
        <f t="shared" si="282"/>
        <v>0</v>
      </c>
      <c r="BP131" s="283">
        <f t="shared" si="282"/>
        <v>0</v>
      </c>
      <c r="BQ131" s="284">
        <f t="shared" si="282"/>
        <v>0</v>
      </c>
      <c r="BR131" s="283">
        <f t="shared" si="282"/>
        <v>0</v>
      </c>
      <c r="BS131" s="285">
        <f t="shared" si="282"/>
        <v>0</v>
      </c>
      <c r="BT131" s="173"/>
      <c r="BU131" s="282">
        <f t="shared" ref="BU131:CA131" si="283">SUM(BU124:BU130)</f>
        <v>0</v>
      </c>
      <c r="BV131" s="283">
        <f t="shared" si="283"/>
        <v>0</v>
      </c>
      <c r="BW131" s="283">
        <f t="shared" si="283"/>
        <v>0</v>
      </c>
      <c r="BX131" s="283">
        <f t="shared" si="283"/>
        <v>0</v>
      </c>
      <c r="BY131" s="284">
        <f t="shared" si="283"/>
        <v>0</v>
      </c>
      <c r="BZ131" s="283">
        <f t="shared" si="283"/>
        <v>0</v>
      </c>
      <c r="CA131" s="285">
        <f t="shared" si="283"/>
        <v>0</v>
      </c>
      <c r="CB131" s="173"/>
      <c r="CC131" s="282">
        <f t="shared" ref="CC131:CI131" si="284">SUM(CC124:CC130)</f>
        <v>0</v>
      </c>
      <c r="CD131" s="283">
        <f t="shared" si="284"/>
        <v>0</v>
      </c>
      <c r="CE131" s="283">
        <f t="shared" si="284"/>
        <v>0</v>
      </c>
      <c r="CF131" s="283">
        <f t="shared" si="284"/>
        <v>0</v>
      </c>
      <c r="CG131" s="284">
        <f t="shared" si="284"/>
        <v>0</v>
      </c>
      <c r="CH131" s="283">
        <f t="shared" si="284"/>
        <v>0</v>
      </c>
      <c r="CI131" s="285">
        <f t="shared" si="284"/>
        <v>0</v>
      </c>
      <c r="CJ131" s="173"/>
      <c r="CK131" s="282">
        <f t="shared" ref="CK131:CQ131" si="285">SUM(CK124:CK130)</f>
        <v>0</v>
      </c>
      <c r="CL131" s="283">
        <f t="shared" si="285"/>
        <v>0</v>
      </c>
      <c r="CM131" s="283">
        <f t="shared" si="285"/>
        <v>0</v>
      </c>
      <c r="CN131" s="283">
        <f t="shared" si="285"/>
        <v>0</v>
      </c>
      <c r="CO131" s="284">
        <f t="shared" si="285"/>
        <v>0</v>
      </c>
      <c r="CP131" s="283">
        <f t="shared" si="285"/>
        <v>0</v>
      </c>
      <c r="CQ131" s="285">
        <f t="shared" si="285"/>
        <v>0</v>
      </c>
    </row>
    <row r="132" spans="1:95" ht="16.5" thickBot="1" x14ac:dyDescent="0.3">
      <c r="A132" s="299" t="s">
        <v>105</v>
      </c>
      <c r="B132" s="273"/>
      <c r="C132" s="306">
        <f>SUM(C124:C130)</f>
        <v>40.497127490228735</v>
      </c>
      <c r="D132" s="307">
        <f>SUM(D124:D130)</f>
        <v>23</v>
      </c>
      <c r="E132" s="306">
        <f>SUM(E124:E130)</f>
        <v>48</v>
      </c>
      <c r="F132" s="307">
        <f>SUM(F124:F130)</f>
        <v>268.04000000000002</v>
      </c>
      <c r="G132" s="268">
        <f>D132/C132</f>
        <v>0.5679415164828544</v>
      </c>
      <c r="H132" s="279">
        <f t="shared" ref="H132:X132" si="286">H131/$G132</f>
        <v>35.214893469764121</v>
      </c>
      <c r="I132" s="241">
        <f t="shared" si="286"/>
        <v>12.325212714417441</v>
      </c>
      <c r="J132" s="239">
        <f t="shared" si="286"/>
        <v>22.889680755346678</v>
      </c>
      <c r="K132" s="279">
        <f t="shared" si="286"/>
        <v>0</v>
      </c>
      <c r="L132" s="241">
        <f t="shared" si="286"/>
        <v>0</v>
      </c>
      <c r="M132" s="239">
        <f t="shared" si="286"/>
        <v>0</v>
      </c>
      <c r="N132" s="279">
        <f t="shared" si="286"/>
        <v>7.0429786939528238</v>
      </c>
      <c r="O132" s="241">
        <f t="shared" si="286"/>
        <v>0</v>
      </c>
      <c r="P132" s="270">
        <f t="shared" si="286"/>
        <v>7.0429786939528238</v>
      </c>
      <c r="Q132" s="279">
        <f t="shared" ref="Q132:S132" si="287">Q131/$G132</f>
        <v>1.760744673488206</v>
      </c>
      <c r="R132" s="241">
        <f t="shared" si="287"/>
        <v>0</v>
      </c>
      <c r="S132" s="270">
        <f t="shared" si="287"/>
        <v>1.760744673488206</v>
      </c>
      <c r="T132" s="269">
        <f t="shared" si="286"/>
        <v>26.411170102323087</v>
      </c>
      <c r="U132" s="239">
        <f t="shared" si="286"/>
        <v>0</v>
      </c>
      <c r="V132" s="241">
        <f t="shared" si="286"/>
        <v>0</v>
      </c>
      <c r="W132" s="241">
        <f t="shared" si="286"/>
        <v>0</v>
      </c>
      <c r="X132" s="270">
        <f t="shared" si="286"/>
        <v>0</v>
      </c>
      <c r="Y132" s="173"/>
      <c r="Z132" s="289">
        <f>Z131/$G132</f>
        <v>0</v>
      </c>
      <c r="AA132" s="290">
        <f t="shared" ref="AA132:AC132" si="288">AA131/$G132</f>
        <v>0</v>
      </c>
      <c r="AB132" s="290">
        <f t="shared" si="288"/>
        <v>0</v>
      </c>
      <c r="AC132" s="292">
        <f t="shared" si="288"/>
        <v>0</v>
      </c>
      <c r="AD132" s="289">
        <f t="shared" ref="AD132:AU132" si="289">AD131/$G132</f>
        <v>0</v>
      </c>
      <c r="AE132" s="324">
        <f t="shared" si="289"/>
        <v>0</v>
      </c>
      <c r="AF132" s="291">
        <f t="shared" si="289"/>
        <v>5.2822340204646174</v>
      </c>
      <c r="AG132" s="324">
        <f t="shared" si="289"/>
        <v>5.2822340204646174</v>
      </c>
      <c r="AH132" s="290">
        <f t="shared" si="289"/>
        <v>0</v>
      </c>
      <c r="AI132" s="290">
        <f t="shared" si="289"/>
        <v>0</v>
      </c>
      <c r="AJ132" s="291">
        <f t="shared" si="289"/>
        <v>0</v>
      </c>
      <c r="AK132" s="324">
        <f t="shared" si="289"/>
        <v>0</v>
      </c>
      <c r="AL132" s="291">
        <f t="shared" si="289"/>
        <v>0</v>
      </c>
      <c r="AM132" s="324">
        <f t="shared" si="289"/>
        <v>0</v>
      </c>
      <c r="AN132" s="325">
        <f t="shared" si="289"/>
        <v>0</v>
      </c>
      <c r="AO132" s="326">
        <f t="shared" si="289"/>
        <v>0</v>
      </c>
      <c r="AP132" s="325">
        <f t="shared" si="289"/>
        <v>0</v>
      </c>
      <c r="AQ132" s="326">
        <f t="shared" si="289"/>
        <v>0</v>
      </c>
      <c r="AR132" s="287">
        <f t="shared" si="289"/>
        <v>0</v>
      </c>
      <c r="AS132" s="286">
        <f t="shared" si="289"/>
        <v>0</v>
      </c>
      <c r="AT132" s="290">
        <f t="shared" si="289"/>
        <v>0</v>
      </c>
      <c r="AU132" s="292">
        <f t="shared" si="289"/>
        <v>0</v>
      </c>
      <c r="AV132" s="288"/>
      <c r="AW132" s="289">
        <f t="shared" ref="AW132:BC132" si="290">AW131/$G132</f>
        <v>0</v>
      </c>
      <c r="AX132" s="290">
        <f t="shared" si="290"/>
        <v>1.760744673488206</v>
      </c>
      <c r="AY132" s="290">
        <f t="shared" si="290"/>
        <v>0</v>
      </c>
      <c r="AZ132" s="290">
        <f t="shared" si="290"/>
        <v>0</v>
      </c>
      <c r="BA132" s="291">
        <f t="shared" si="290"/>
        <v>1.760744673488206</v>
      </c>
      <c r="BB132" s="290">
        <f t="shared" si="290"/>
        <v>0</v>
      </c>
      <c r="BC132" s="292">
        <f t="shared" si="290"/>
        <v>0</v>
      </c>
      <c r="BD132" s="288"/>
      <c r="BE132" s="289">
        <f t="shared" ref="BE132:BK132" si="291">BE131/$G132</f>
        <v>0</v>
      </c>
      <c r="BF132" s="290">
        <f t="shared" si="291"/>
        <v>1.760744673488206</v>
      </c>
      <c r="BG132" s="290">
        <f t="shared" si="291"/>
        <v>0</v>
      </c>
      <c r="BH132" s="290">
        <f t="shared" si="291"/>
        <v>0</v>
      </c>
      <c r="BI132" s="291">
        <f t="shared" si="291"/>
        <v>1.760744673488206</v>
      </c>
      <c r="BJ132" s="290">
        <f t="shared" si="291"/>
        <v>0</v>
      </c>
      <c r="BK132" s="292">
        <f t="shared" si="291"/>
        <v>0</v>
      </c>
      <c r="BL132" s="288"/>
      <c r="BM132" s="289">
        <f t="shared" ref="BM132:BS132" si="292">BM131/$G132</f>
        <v>0</v>
      </c>
      <c r="BN132" s="290">
        <f t="shared" si="292"/>
        <v>0</v>
      </c>
      <c r="BO132" s="290">
        <f t="shared" si="292"/>
        <v>0</v>
      </c>
      <c r="BP132" s="290">
        <f t="shared" si="292"/>
        <v>0</v>
      </c>
      <c r="BQ132" s="291">
        <f t="shared" si="292"/>
        <v>0</v>
      </c>
      <c r="BR132" s="290">
        <f t="shared" si="292"/>
        <v>0</v>
      </c>
      <c r="BS132" s="292">
        <f t="shared" si="292"/>
        <v>0</v>
      </c>
      <c r="BT132" s="288"/>
      <c r="BU132" s="289">
        <f t="shared" ref="BU132:CA132" si="293">BU131/$G132</f>
        <v>0</v>
      </c>
      <c r="BV132" s="290">
        <f t="shared" si="293"/>
        <v>0</v>
      </c>
      <c r="BW132" s="290">
        <f t="shared" si="293"/>
        <v>0</v>
      </c>
      <c r="BX132" s="290">
        <f t="shared" si="293"/>
        <v>0</v>
      </c>
      <c r="BY132" s="291">
        <f t="shared" si="293"/>
        <v>0</v>
      </c>
      <c r="BZ132" s="290">
        <f t="shared" si="293"/>
        <v>0</v>
      </c>
      <c r="CA132" s="292">
        <f t="shared" si="293"/>
        <v>0</v>
      </c>
      <c r="CB132" s="288"/>
      <c r="CC132" s="289">
        <f t="shared" ref="CC132:CI132" si="294">CC131/$G132</f>
        <v>0</v>
      </c>
      <c r="CD132" s="290">
        <f t="shared" si="294"/>
        <v>0</v>
      </c>
      <c r="CE132" s="290">
        <f t="shared" si="294"/>
        <v>0</v>
      </c>
      <c r="CF132" s="290">
        <f t="shared" si="294"/>
        <v>0</v>
      </c>
      <c r="CG132" s="291">
        <f t="shared" si="294"/>
        <v>0</v>
      </c>
      <c r="CH132" s="290">
        <f t="shared" si="294"/>
        <v>0</v>
      </c>
      <c r="CI132" s="292">
        <f t="shared" si="294"/>
        <v>0</v>
      </c>
      <c r="CJ132" s="288"/>
      <c r="CK132" s="289">
        <f t="shared" ref="CK132:CQ132" si="295">CK131/$G132</f>
        <v>0</v>
      </c>
      <c r="CL132" s="290">
        <f t="shared" si="295"/>
        <v>0</v>
      </c>
      <c r="CM132" s="290">
        <f t="shared" si="295"/>
        <v>0</v>
      </c>
      <c r="CN132" s="290">
        <f t="shared" si="295"/>
        <v>0</v>
      </c>
      <c r="CO132" s="291">
        <f t="shared" si="295"/>
        <v>0</v>
      </c>
      <c r="CP132" s="290">
        <f t="shared" si="295"/>
        <v>0</v>
      </c>
      <c r="CQ132" s="292">
        <f t="shared" si="295"/>
        <v>0</v>
      </c>
    </row>
    <row r="133" spans="1:95" ht="16.5" thickBot="1" x14ac:dyDescent="0.3">
      <c r="AR133" s="129" t="s">
        <v>232</v>
      </c>
    </row>
    <row r="134" spans="1:95" x14ac:dyDescent="0.25">
      <c r="A134" s="52" t="s">
        <v>7</v>
      </c>
      <c r="B134" s="166">
        <f>B130+1</f>
        <v>45964</v>
      </c>
      <c r="C134" s="235"/>
      <c r="D134" s="259"/>
      <c r="E134" s="168"/>
      <c r="F134" s="317"/>
      <c r="G134" s="253"/>
      <c r="H134" s="247">
        <f t="shared" ref="H134:H140" si="296">SUM(I134:J134)</f>
        <v>0</v>
      </c>
      <c r="I134" s="260"/>
      <c r="J134" s="168"/>
      <c r="K134" s="247">
        <f t="shared" ref="K134:K140" si="297">SUM(L134:M134)</f>
        <v>0</v>
      </c>
      <c r="L134" s="260"/>
      <c r="M134" s="168"/>
      <c r="N134" s="311">
        <f t="shared" ref="N134:N140" si="298">SUM(O134:P134)</f>
        <v>0</v>
      </c>
      <c r="O134" s="260"/>
      <c r="P134" s="259"/>
      <c r="Q134" s="311">
        <f t="shared" ref="Q134:Q140" si="299">SUM(R134:S134)</f>
        <v>0</v>
      </c>
      <c r="R134" s="260"/>
      <c r="S134" s="259"/>
      <c r="T134" s="261"/>
      <c r="U134" s="168"/>
      <c r="V134" s="260"/>
      <c r="W134" s="520"/>
      <c r="X134" s="262"/>
      <c r="Y134" s="168"/>
      <c r="Z134" s="261"/>
      <c r="AA134" s="168"/>
      <c r="AB134" s="168"/>
      <c r="AC134" s="262"/>
      <c r="AD134" s="261"/>
      <c r="AE134" s="259"/>
      <c r="AF134" s="260"/>
      <c r="AG134" s="259"/>
      <c r="AH134" s="168"/>
      <c r="AI134" s="168"/>
      <c r="AJ134" s="260"/>
      <c r="AK134" s="259"/>
      <c r="AL134" s="260"/>
      <c r="AM134" s="259"/>
      <c r="AN134" s="168"/>
      <c r="AO134" s="168"/>
      <c r="AP134" s="260"/>
      <c r="AQ134" s="259"/>
      <c r="AR134" s="168"/>
      <c r="AS134" s="168"/>
      <c r="AT134" s="168"/>
      <c r="AU134" s="262"/>
      <c r="AV134" s="168"/>
      <c r="AW134" s="257"/>
      <c r="AX134" s="255"/>
      <c r="AY134" s="255"/>
      <c r="AZ134" s="255"/>
      <c r="BA134" s="254"/>
      <c r="BB134" s="255"/>
      <c r="BC134" s="258"/>
      <c r="BD134" s="168"/>
      <c r="BE134" s="257"/>
      <c r="BF134" s="255"/>
      <c r="BG134" s="255"/>
      <c r="BH134" s="255"/>
      <c r="BI134" s="254"/>
      <c r="BJ134" s="255"/>
      <c r="BK134" s="258"/>
      <c r="BL134" s="168"/>
      <c r="BM134" s="257"/>
      <c r="BN134" s="255"/>
      <c r="BO134" s="255"/>
      <c r="BP134" s="255"/>
      <c r="BQ134" s="254"/>
      <c r="BR134" s="255"/>
      <c r="BS134" s="258"/>
      <c r="BT134" s="168"/>
      <c r="BU134" s="257"/>
      <c r="BV134" s="255"/>
      <c r="BW134" s="255"/>
      <c r="BX134" s="255"/>
      <c r="BY134" s="254"/>
      <c r="BZ134" s="255"/>
      <c r="CA134" s="258"/>
      <c r="CB134" s="168"/>
      <c r="CC134" s="257"/>
      <c r="CD134" s="255"/>
      <c r="CE134" s="255"/>
      <c r="CF134" s="255"/>
      <c r="CG134" s="254"/>
      <c r="CH134" s="255"/>
      <c r="CI134" s="258"/>
      <c r="CJ134" s="168"/>
      <c r="CK134" s="257"/>
      <c r="CL134" s="255"/>
      <c r="CM134" s="255"/>
      <c r="CN134" s="255"/>
      <c r="CO134" s="254"/>
      <c r="CP134" s="255"/>
      <c r="CQ134" s="258"/>
    </row>
    <row r="135" spans="1:95" x14ac:dyDescent="0.25">
      <c r="A135" s="132" t="s">
        <v>10</v>
      </c>
      <c r="B135" s="167">
        <f t="shared" ref="B135:B140" si="300">B134+1</f>
        <v>45965</v>
      </c>
      <c r="C135" s="173"/>
      <c r="D135" s="259"/>
      <c r="E135" s="168"/>
      <c r="F135" s="317"/>
      <c r="G135" s="253"/>
      <c r="H135" s="247">
        <f t="shared" si="296"/>
        <v>0</v>
      </c>
      <c r="I135" s="260"/>
      <c r="J135" s="168"/>
      <c r="K135" s="247">
        <f t="shared" si="297"/>
        <v>0</v>
      </c>
      <c r="L135" s="260"/>
      <c r="M135" s="168"/>
      <c r="N135" s="311">
        <f t="shared" si="298"/>
        <v>0</v>
      </c>
      <c r="O135" s="260"/>
      <c r="P135" s="259"/>
      <c r="Q135" s="311">
        <f t="shared" si="299"/>
        <v>0</v>
      </c>
      <c r="R135" s="260"/>
      <c r="S135" s="259"/>
      <c r="T135" s="261"/>
      <c r="U135" s="168"/>
      <c r="V135" s="260"/>
      <c r="W135" s="260"/>
      <c r="X135" s="262"/>
      <c r="Y135" s="168"/>
      <c r="Z135" s="261"/>
      <c r="AA135" s="168"/>
      <c r="AB135" s="168"/>
      <c r="AC135" s="262"/>
      <c r="AD135" s="261"/>
      <c r="AE135" s="259"/>
      <c r="AF135" s="260"/>
      <c r="AG135" s="259"/>
      <c r="AH135" s="168"/>
      <c r="AI135" s="168"/>
      <c r="AJ135" s="260"/>
      <c r="AK135" s="259"/>
      <c r="AL135" s="260"/>
      <c r="AM135" s="259"/>
      <c r="AN135" s="168"/>
      <c r="AO135" s="168"/>
      <c r="AP135" s="260"/>
      <c r="AQ135" s="259"/>
      <c r="AR135" s="168"/>
      <c r="AS135" s="168"/>
      <c r="AT135" s="168"/>
      <c r="AU135" s="262"/>
      <c r="AV135" s="168"/>
      <c r="AW135" s="261"/>
      <c r="AX135" s="168"/>
      <c r="AY135" s="168"/>
      <c r="AZ135" s="168"/>
      <c r="BA135" s="260"/>
      <c r="BB135" s="168"/>
      <c r="BC135" s="262"/>
      <c r="BD135" s="168"/>
      <c r="BE135" s="261"/>
      <c r="BF135" s="168"/>
      <c r="BG135" s="168"/>
      <c r="BH135" s="168"/>
      <c r="BI135" s="260"/>
      <c r="BJ135" s="168"/>
      <c r="BK135" s="262"/>
      <c r="BL135" s="168"/>
      <c r="BM135" s="261"/>
      <c r="BN135" s="168"/>
      <c r="BO135" s="168"/>
      <c r="BP135" s="168"/>
      <c r="BQ135" s="260"/>
      <c r="BR135" s="168"/>
      <c r="BS135" s="262"/>
      <c r="BT135" s="168"/>
      <c r="BU135" s="261"/>
      <c r="BV135" s="168"/>
      <c r="BW135" s="168"/>
      <c r="BX135" s="168"/>
      <c r="BY135" s="260"/>
      <c r="BZ135" s="168"/>
      <c r="CA135" s="262"/>
      <c r="CB135" s="168"/>
      <c r="CC135" s="261"/>
      <c r="CD135" s="168"/>
      <c r="CE135" s="168"/>
      <c r="CF135" s="168"/>
      <c r="CG135" s="260"/>
      <c r="CH135" s="168"/>
      <c r="CI135" s="262"/>
      <c r="CJ135" s="168"/>
      <c r="CK135" s="261"/>
      <c r="CL135" s="168"/>
      <c r="CM135" s="168"/>
      <c r="CN135" s="168"/>
      <c r="CO135" s="260"/>
      <c r="CP135" s="168"/>
      <c r="CQ135" s="262"/>
    </row>
    <row r="136" spans="1:95" x14ac:dyDescent="0.25">
      <c r="A136" s="132" t="s">
        <v>11</v>
      </c>
      <c r="B136" s="167">
        <f t="shared" si="300"/>
        <v>45966</v>
      </c>
      <c r="C136" s="173"/>
      <c r="D136" s="259"/>
      <c r="E136" s="168"/>
      <c r="F136" s="317"/>
      <c r="G136" s="253"/>
      <c r="H136" s="247">
        <f t="shared" si="296"/>
        <v>0</v>
      </c>
      <c r="I136" s="260"/>
      <c r="J136" s="168"/>
      <c r="K136" s="247">
        <f t="shared" si="297"/>
        <v>0</v>
      </c>
      <c r="L136" s="260"/>
      <c r="M136" s="168"/>
      <c r="N136" s="311">
        <f t="shared" si="298"/>
        <v>0</v>
      </c>
      <c r="O136" s="260"/>
      <c r="P136" s="259"/>
      <c r="Q136" s="311">
        <f t="shared" si="299"/>
        <v>0</v>
      </c>
      <c r="R136" s="260"/>
      <c r="S136" s="259"/>
      <c r="T136" s="261"/>
      <c r="U136" s="168"/>
      <c r="V136" s="260"/>
      <c r="W136" s="260"/>
      <c r="X136" s="262"/>
      <c r="Y136" s="168"/>
      <c r="Z136" s="261"/>
      <c r="AA136" s="168"/>
      <c r="AB136" s="168"/>
      <c r="AC136" s="262"/>
      <c r="AD136" s="261"/>
      <c r="AE136" s="259"/>
      <c r="AF136" s="260"/>
      <c r="AG136" s="259"/>
      <c r="AH136" s="168"/>
      <c r="AI136" s="168"/>
      <c r="AJ136" s="260"/>
      <c r="AK136" s="259"/>
      <c r="AL136" s="260"/>
      <c r="AM136" s="259"/>
      <c r="AN136" s="168"/>
      <c r="AO136" s="168"/>
      <c r="AP136" s="260"/>
      <c r="AQ136" s="259"/>
      <c r="AR136" s="168"/>
      <c r="AS136" s="168"/>
      <c r="AT136" s="168"/>
      <c r="AU136" s="262"/>
      <c r="AV136" s="168"/>
      <c r="AW136" s="261"/>
      <c r="AX136" s="168"/>
      <c r="AY136" s="168"/>
      <c r="AZ136" s="168"/>
      <c r="BA136" s="260"/>
      <c r="BB136" s="168"/>
      <c r="BC136" s="262"/>
      <c r="BD136" s="168"/>
      <c r="BE136" s="261"/>
      <c r="BF136" s="168"/>
      <c r="BG136" s="168"/>
      <c r="BH136" s="168"/>
      <c r="BI136" s="260"/>
      <c r="BJ136" s="168"/>
      <c r="BK136" s="262"/>
      <c r="BL136" s="168"/>
      <c r="BM136" s="261"/>
      <c r="BN136" s="168"/>
      <c r="BO136" s="168"/>
      <c r="BP136" s="168"/>
      <c r="BQ136" s="260"/>
      <c r="BR136" s="168"/>
      <c r="BS136" s="262"/>
      <c r="BT136" s="168"/>
      <c r="BU136" s="261"/>
      <c r="BV136" s="168"/>
      <c r="BW136" s="168"/>
      <c r="BX136" s="168"/>
      <c r="BY136" s="260"/>
      <c r="BZ136" s="168"/>
      <c r="CA136" s="262"/>
      <c r="CB136" s="168"/>
      <c r="CC136" s="261"/>
      <c r="CD136" s="168"/>
      <c r="CE136" s="168"/>
      <c r="CF136" s="168"/>
      <c r="CG136" s="260"/>
      <c r="CH136" s="168"/>
      <c r="CI136" s="262"/>
      <c r="CJ136" s="168"/>
      <c r="CK136" s="261"/>
      <c r="CL136" s="168"/>
      <c r="CM136" s="168"/>
      <c r="CN136" s="168"/>
      <c r="CO136" s="260"/>
      <c r="CP136" s="168"/>
      <c r="CQ136" s="262"/>
    </row>
    <row r="137" spans="1:95" x14ac:dyDescent="0.25">
      <c r="A137" s="132" t="s">
        <v>12</v>
      </c>
      <c r="B137" s="167">
        <f t="shared" si="300"/>
        <v>45967</v>
      </c>
      <c r="C137" s="173"/>
      <c r="D137" s="259"/>
      <c r="E137" s="168"/>
      <c r="F137" s="317"/>
      <c r="G137" s="253"/>
      <c r="H137" s="247">
        <f t="shared" si="296"/>
        <v>0</v>
      </c>
      <c r="I137" s="260"/>
      <c r="J137" s="168"/>
      <c r="K137" s="247">
        <f t="shared" si="297"/>
        <v>0</v>
      </c>
      <c r="L137" s="260"/>
      <c r="M137" s="168"/>
      <c r="N137" s="311">
        <f t="shared" si="298"/>
        <v>0</v>
      </c>
      <c r="O137" s="260"/>
      <c r="P137" s="259"/>
      <c r="Q137" s="311">
        <f t="shared" si="299"/>
        <v>0</v>
      </c>
      <c r="R137" s="260"/>
      <c r="S137" s="259"/>
      <c r="T137" s="261"/>
      <c r="U137" s="168"/>
      <c r="V137" s="260"/>
      <c r="W137" s="260"/>
      <c r="X137" s="262"/>
      <c r="Y137" s="168"/>
      <c r="Z137" s="261"/>
      <c r="AA137" s="168"/>
      <c r="AB137" s="168"/>
      <c r="AC137" s="262"/>
      <c r="AD137" s="261"/>
      <c r="AE137" s="259"/>
      <c r="AF137" s="260"/>
      <c r="AG137" s="259"/>
      <c r="AH137" s="168"/>
      <c r="AI137" s="168"/>
      <c r="AJ137" s="260"/>
      <c r="AK137" s="259"/>
      <c r="AL137" s="260"/>
      <c r="AM137" s="259"/>
      <c r="AN137" s="168"/>
      <c r="AO137" s="168"/>
      <c r="AP137" s="260"/>
      <c r="AQ137" s="259"/>
      <c r="AR137" s="168"/>
      <c r="AS137" s="168"/>
      <c r="AT137" s="168"/>
      <c r="AU137" s="262"/>
      <c r="AV137" s="168"/>
      <c r="AW137" s="261"/>
      <c r="AX137" s="168"/>
      <c r="AY137" s="168"/>
      <c r="AZ137" s="168"/>
      <c r="BA137" s="260"/>
      <c r="BB137" s="168"/>
      <c r="BC137" s="262"/>
      <c r="BD137" s="168"/>
      <c r="BE137" s="261"/>
      <c r="BF137" s="168"/>
      <c r="BG137" s="168"/>
      <c r="BH137" s="168"/>
      <c r="BI137" s="260"/>
      <c r="BJ137" s="168"/>
      <c r="BK137" s="262"/>
      <c r="BL137" s="168"/>
      <c r="BM137" s="261"/>
      <c r="BN137" s="168"/>
      <c r="BO137" s="168"/>
      <c r="BP137" s="168"/>
      <c r="BQ137" s="260"/>
      <c r="BR137" s="168"/>
      <c r="BS137" s="262"/>
      <c r="BT137" s="168"/>
      <c r="BU137" s="261"/>
      <c r="BV137" s="168"/>
      <c r="BW137" s="168"/>
      <c r="BX137" s="168"/>
      <c r="BY137" s="260"/>
      <c r="BZ137" s="168"/>
      <c r="CA137" s="262"/>
      <c r="CB137" s="168"/>
      <c r="CC137" s="261"/>
      <c r="CD137" s="168"/>
      <c r="CE137" s="168"/>
      <c r="CF137" s="168"/>
      <c r="CG137" s="260"/>
      <c r="CH137" s="168"/>
      <c r="CI137" s="262"/>
      <c r="CJ137" s="168"/>
      <c r="CK137" s="261"/>
      <c r="CL137" s="168"/>
      <c r="CM137" s="168"/>
      <c r="CN137" s="168"/>
      <c r="CO137" s="260"/>
      <c r="CP137" s="168"/>
      <c r="CQ137" s="262"/>
    </row>
    <row r="138" spans="1:95" x14ac:dyDescent="0.25">
      <c r="A138" s="132" t="s">
        <v>13</v>
      </c>
      <c r="B138" s="167">
        <f t="shared" si="300"/>
        <v>45968</v>
      </c>
      <c r="C138" s="173"/>
      <c r="D138" s="259"/>
      <c r="E138" s="168"/>
      <c r="F138" s="317"/>
      <c r="G138" s="253"/>
      <c r="H138" s="247">
        <f t="shared" si="296"/>
        <v>0</v>
      </c>
      <c r="I138" s="260"/>
      <c r="J138" s="168"/>
      <c r="K138" s="247">
        <f t="shared" si="297"/>
        <v>0</v>
      </c>
      <c r="L138" s="260"/>
      <c r="M138" s="168"/>
      <c r="N138" s="311">
        <f t="shared" si="298"/>
        <v>0</v>
      </c>
      <c r="O138" s="260"/>
      <c r="P138" s="259"/>
      <c r="Q138" s="311">
        <f t="shared" si="299"/>
        <v>0</v>
      </c>
      <c r="R138" s="260"/>
      <c r="S138" s="259"/>
      <c r="T138" s="261"/>
      <c r="U138" s="168"/>
      <c r="V138" s="260"/>
      <c r="W138" s="260"/>
      <c r="X138" s="262"/>
      <c r="Y138" s="168"/>
      <c r="Z138" s="261"/>
      <c r="AA138" s="168"/>
      <c r="AB138" s="168"/>
      <c r="AC138" s="262"/>
      <c r="AD138" s="261"/>
      <c r="AE138" s="259"/>
      <c r="AF138" s="260"/>
      <c r="AG138" s="259"/>
      <c r="AH138" s="168"/>
      <c r="AI138" s="168"/>
      <c r="AJ138" s="260"/>
      <c r="AK138" s="259"/>
      <c r="AL138" s="260"/>
      <c r="AM138" s="259"/>
      <c r="AN138" s="168"/>
      <c r="AO138" s="168"/>
      <c r="AP138" s="260"/>
      <c r="AQ138" s="259"/>
      <c r="AR138" s="168"/>
      <c r="AS138" s="168"/>
      <c r="AT138" s="168"/>
      <c r="AU138" s="262"/>
      <c r="AV138" s="168"/>
      <c r="AW138" s="261"/>
      <c r="AX138" s="168"/>
      <c r="AY138" s="168"/>
      <c r="AZ138" s="168"/>
      <c r="BA138" s="260"/>
      <c r="BB138" s="168"/>
      <c r="BC138" s="262"/>
      <c r="BD138" s="168"/>
      <c r="BE138" s="261"/>
      <c r="BF138" s="168"/>
      <c r="BG138" s="168"/>
      <c r="BH138" s="168"/>
      <c r="BI138" s="260"/>
      <c r="BJ138" s="168"/>
      <c r="BK138" s="262"/>
      <c r="BL138" s="168"/>
      <c r="BM138" s="261"/>
      <c r="BN138" s="168"/>
      <c r="BO138" s="168"/>
      <c r="BP138" s="168"/>
      <c r="BQ138" s="260"/>
      <c r="BR138" s="168"/>
      <c r="BS138" s="262"/>
      <c r="BT138" s="168"/>
      <c r="BU138" s="261"/>
      <c r="BV138" s="168"/>
      <c r="BW138" s="168"/>
      <c r="BX138" s="168"/>
      <c r="BY138" s="260"/>
      <c r="BZ138" s="168"/>
      <c r="CA138" s="262"/>
      <c r="CB138" s="168"/>
      <c r="CC138" s="261"/>
      <c r="CD138" s="168"/>
      <c r="CE138" s="168"/>
      <c r="CF138" s="168"/>
      <c r="CG138" s="260"/>
      <c r="CH138" s="168"/>
      <c r="CI138" s="262"/>
      <c r="CJ138" s="168"/>
      <c r="CK138" s="261"/>
      <c r="CL138" s="168"/>
      <c r="CM138" s="168"/>
      <c r="CN138" s="168"/>
      <c r="CO138" s="260"/>
      <c r="CP138" s="168"/>
      <c r="CQ138" s="262"/>
    </row>
    <row r="139" spans="1:95" x14ac:dyDescent="0.25">
      <c r="A139" s="132" t="s">
        <v>14</v>
      </c>
      <c r="B139" s="167">
        <f t="shared" si="300"/>
        <v>45969</v>
      </c>
      <c r="C139" s="173"/>
      <c r="D139" s="259"/>
      <c r="E139" s="168"/>
      <c r="F139" s="317"/>
      <c r="G139" s="260"/>
      <c r="H139" s="247">
        <f t="shared" si="296"/>
        <v>0</v>
      </c>
      <c r="I139" s="260"/>
      <c r="J139" s="168"/>
      <c r="K139" s="247">
        <f t="shared" si="297"/>
        <v>0</v>
      </c>
      <c r="L139" s="260"/>
      <c r="M139" s="168"/>
      <c r="N139" s="311">
        <f t="shared" si="298"/>
        <v>0</v>
      </c>
      <c r="O139" s="260"/>
      <c r="P139" s="259"/>
      <c r="Q139" s="311">
        <f t="shared" si="299"/>
        <v>0</v>
      </c>
      <c r="R139" s="260"/>
      <c r="S139" s="259"/>
      <c r="T139" s="261"/>
      <c r="U139" s="168"/>
      <c r="V139" s="260"/>
      <c r="W139" s="260"/>
      <c r="X139" s="262"/>
      <c r="Y139" s="168"/>
      <c r="Z139" s="261"/>
      <c r="AA139" s="168"/>
      <c r="AB139" s="168"/>
      <c r="AC139" s="262"/>
      <c r="AD139" s="261"/>
      <c r="AE139" s="259"/>
      <c r="AF139" s="260"/>
      <c r="AG139" s="259"/>
      <c r="AH139" s="168">
        <v>1</v>
      </c>
      <c r="AI139" s="168"/>
      <c r="AJ139" s="260"/>
      <c r="AK139" s="259"/>
      <c r="AL139" s="260"/>
      <c r="AM139" s="259"/>
      <c r="AN139" s="168"/>
      <c r="AO139" s="168"/>
      <c r="AP139" s="260"/>
      <c r="AQ139" s="259"/>
      <c r="AR139" s="168"/>
      <c r="AS139" s="168"/>
      <c r="AT139" s="168">
        <v>8</v>
      </c>
      <c r="AU139" s="262"/>
      <c r="AV139" s="168"/>
      <c r="AW139" s="261"/>
      <c r="AX139" s="168"/>
      <c r="AY139" s="168"/>
      <c r="AZ139" s="168"/>
      <c r="BA139" s="260"/>
      <c r="BB139" s="168"/>
      <c r="BC139" s="262"/>
      <c r="BD139" s="168"/>
      <c r="BE139" s="261"/>
      <c r="BF139" s="168"/>
      <c r="BG139" s="168"/>
      <c r="BH139" s="168"/>
      <c r="BI139" s="260"/>
      <c r="BJ139" s="168"/>
      <c r="BK139" s="262"/>
      <c r="BL139" s="168"/>
      <c r="BM139" s="261"/>
      <c r="BN139" s="168"/>
      <c r="BO139" s="168"/>
      <c r="BP139" s="168"/>
      <c r="BQ139" s="260"/>
      <c r="BR139" s="168"/>
      <c r="BS139" s="262"/>
      <c r="BT139" s="168"/>
      <c r="BU139" s="261"/>
      <c r="BV139" s="168"/>
      <c r="BW139" s="168"/>
      <c r="BX139" s="168"/>
      <c r="BY139" s="260"/>
      <c r="BZ139" s="168"/>
      <c r="CA139" s="262"/>
      <c r="CB139" s="168"/>
      <c r="CC139" s="261"/>
      <c r="CD139" s="168"/>
      <c r="CE139" s="168"/>
      <c r="CF139" s="168"/>
      <c r="CG139" s="260"/>
      <c r="CH139" s="168"/>
      <c r="CI139" s="262"/>
      <c r="CJ139" s="168"/>
      <c r="CK139" s="261"/>
      <c r="CL139" s="168"/>
      <c r="CM139" s="168"/>
      <c r="CN139" s="168"/>
      <c r="CO139" s="260"/>
      <c r="CP139" s="168"/>
      <c r="CQ139" s="262"/>
    </row>
    <row r="140" spans="1:95" ht="16.5" thickBot="1" x14ac:dyDescent="0.3">
      <c r="A140" s="170" t="s">
        <v>15</v>
      </c>
      <c r="B140" s="171">
        <f t="shared" si="300"/>
        <v>45970</v>
      </c>
      <c r="C140" s="236"/>
      <c r="D140" s="263"/>
      <c r="E140" s="238"/>
      <c r="F140" s="318"/>
      <c r="G140" s="237"/>
      <c r="H140" s="248">
        <f t="shared" si="296"/>
        <v>0</v>
      </c>
      <c r="I140" s="237"/>
      <c r="J140" s="238"/>
      <c r="K140" s="248">
        <f t="shared" si="297"/>
        <v>0</v>
      </c>
      <c r="L140" s="237"/>
      <c r="M140" s="238"/>
      <c r="N140" s="248">
        <f t="shared" si="298"/>
        <v>0</v>
      </c>
      <c r="O140" s="237"/>
      <c r="P140" s="263"/>
      <c r="Q140" s="248">
        <f t="shared" si="299"/>
        <v>0</v>
      </c>
      <c r="R140" s="237"/>
      <c r="S140" s="263"/>
      <c r="T140" s="264"/>
      <c r="U140" s="238"/>
      <c r="V140" s="237"/>
      <c r="W140" s="237"/>
      <c r="X140" s="265"/>
      <c r="Y140" s="168"/>
      <c r="Z140" s="264"/>
      <c r="AA140" s="238"/>
      <c r="AB140" s="238"/>
      <c r="AC140" s="265"/>
      <c r="AD140" s="264"/>
      <c r="AE140" s="263"/>
      <c r="AF140" s="237"/>
      <c r="AG140" s="263"/>
      <c r="AH140" s="238"/>
      <c r="AI140" s="238"/>
      <c r="AJ140" s="237"/>
      <c r="AK140" s="263"/>
      <c r="AL140" s="237"/>
      <c r="AM140" s="263"/>
      <c r="AN140" s="238"/>
      <c r="AO140" s="238"/>
      <c r="AP140" s="237"/>
      <c r="AQ140" s="263"/>
      <c r="AR140" s="238"/>
      <c r="AS140" s="238"/>
      <c r="AT140" s="238"/>
      <c r="AU140" s="265"/>
      <c r="AV140" s="168"/>
      <c r="AW140" s="264"/>
      <c r="AX140" s="238"/>
      <c r="AY140" s="238"/>
      <c r="AZ140" s="238"/>
      <c r="BA140" s="237"/>
      <c r="BB140" s="238"/>
      <c r="BC140" s="265"/>
      <c r="BD140" s="168"/>
      <c r="BE140" s="264"/>
      <c r="BF140" s="238"/>
      <c r="BG140" s="238"/>
      <c r="BH140" s="238"/>
      <c r="BI140" s="237"/>
      <c r="BJ140" s="238"/>
      <c r="BK140" s="265"/>
      <c r="BL140" s="168"/>
      <c r="BM140" s="264"/>
      <c r="BN140" s="238"/>
      <c r="BO140" s="238"/>
      <c r="BP140" s="238"/>
      <c r="BQ140" s="237"/>
      <c r="BR140" s="238"/>
      <c r="BS140" s="265"/>
      <c r="BT140" s="168"/>
      <c r="BU140" s="264"/>
      <c r="BV140" s="238"/>
      <c r="BW140" s="238"/>
      <c r="BX140" s="238"/>
      <c r="BY140" s="237"/>
      <c r="BZ140" s="238"/>
      <c r="CA140" s="265"/>
      <c r="CB140" s="168"/>
      <c r="CC140" s="264"/>
      <c r="CD140" s="238"/>
      <c r="CE140" s="238"/>
      <c r="CF140" s="238"/>
      <c r="CG140" s="237"/>
      <c r="CH140" s="238"/>
      <c r="CI140" s="265"/>
      <c r="CJ140" s="168"/>
      <c r="CK140" s="264"/>
      <c r="CL140" s="238"/>
      <c r="CM140" s="238"/>
      <c r="CN140" s="238"/>
      <c r="CO140" s="237"/>
      <c r="CP140" s="238"/>
      <c r="CQ140" s="265"/>
    </row>
    <row r="141" spans="1:95" ht="16.5" thickTop="1" x14ac:dyDescent="0.25">
      <c r="A141" s="298" t="s">
        <v>106</v>
      </c>
      <c r="B141" s="274"/>
      <c r="C141" s="293"/>
      <c r="D141" s="294"/>
      <c r="E141" s="315"/>
      <c r="F141" s="315"/>
      <c r="G141" s="295"/>
      <c r="H141" s="296">
        <f t="shared" ref="H141:X141" si="301">SUM(H134:H140)</f>
        <v>0</v>
      </c>
      <c r="I141" s="284">
        <f t="shared" si="301"/>
        <v>0</v>
      </c>
      <c r="J141" s="283">
        <f t="shared" si="301"/>
        <v>0</v>
      </c>
      <c r="K141" s="296">
        <f t="shared" si="301"/>
        <v>0</v>
      </c>
      <c r="L141" s="284">
        <f t="shared" si="301"/>
        <v>0</v>
      </c>
      <c r="M141" s="283">
        <f t="shared" si="301"/>
        <v>0</v>
      </c>
      <c r="N141" s="296">
        <f t="shared" si="301"/>
        <v>0</v>
      </c>
      <c r="O141" s="284">
        <f t="shared" si="301"/>
        <v>0</v>
      </c>
      <c r="P141" s="285">
        <f t="shared" si="301"/>
        <v>0</v>
      </c>
      <c r="Q141" s="296">
        <f t="shared" si="301"/>
        <v>0</v>
      </c>
      <c r="R141" s="284">
        <f t="shared" si="301"/>
        <v>0</v>
      </c>
      <c r="S141" s="285">
        <f t="shared" si="301"/>
        <v>0</v>
      </c>
      <c r="T141" s="282">
        <f t="shared" si="301"/>
        <v>0</v>
      </c>
      <c r="U141" s="283">
        <f t="shared" si="301"/>
        <v>0</v>
      </c>
      <c r="V141" s="284">
        <f t="shared" si="301"/>
        <v>0</v>
      </c>
      <c r="W141" s="284">
        <f t="shared" si="301"/>
        <v>0</v>
      </c>
      <c r="X141" s="285">
        <f t="shared" si="301"/>
        <v>0</v>
      </c>
      <c r="Y141" s="173"/>
      <c r="Z141" s="282">
        <f>SUM(Z134:Z140)</f>
        <v>0</v>
      </c>
      <c r="AA141" s="283">
        <f>SUM(AA134:AA140)</f>
        <v>0</v>
      </c>
      <c r="AB141" s="283">
        <f>SUM(AB134:AB140)</f>
        <v>0</v>
      </c>
      <c r="AC141" s="285">
        <f>SUM(AC134:AC140)</f>
        <v>0</v>
      </c>
      <c r="AD141" s="282">
        <f t="shared" ref="AD141:AU141" si="302">SUM(AD134:AD140)</f>
        <v>0</v>
      </c>
      <c r="AE141" s="297">
        <f t="shared" si="302"/>
        <v>0</v>
      </c>
      <c r="AF141" s="284">
        <f t="shared" si="302"/>
        <v>0</v>
      </c>
      <c r="AG141" s="297">
        <f t="shared" si="302"/>
        <v>0</v>
      </c>
      <c r="AH141" s="283">
        <f t="shared" si="302"/>
        <v>1</v>
      </c>
      <c r="AI141" s="283">
        <f t="shared" si="302"/>
        <v>0</v>
      </c>
      <c r="AJ141" s="284">
        <f t="shared" si="302"/>
        <v>0</v>
      </c>
      <c r="AK141" s="297">
        <f t="shared" si="302"/>
        <v>0</v>
      </c>
      <c r="AL141" s="284">
        <f t="shared" si="302"/>
        <v>0</v>
      </c>
      <c r="AM141" s="297">
        <f t="shared" si="302"/>
        <v>0</v>
      </c>
      <c r="AN141" s="276">
        <f t="shared" si="302"/>
        <v>0</v>
      </c>
      <c r="AO141" s="275">
        <f t="shared" si="302"/>
        <v>0</v>
      </c>
      <c r="AP141" s="276">
        <f t="shared" si="302"/>
        <v>0</v>
      </c>
      <c r="AQ141" s="275">
        <f t="shared" si="302"/>
        <v>0</v>
      </c>
      <c r="AR141" s="278">
        <f t="shared" si="302"/>
        <v>0</v>
      </c>
      <c r="AS141" s="277">
        <f t="shared" si="302"/>
        <v>0</v>
      </c>
      <c r="AT141" s="283">
        <f t="shared" si="302"/>
        <v>8</v>
      </c>
      <c r="AU141" s="285">
        <f t="shared" si="302"/>
        <v>0</v>
      </c>
      <c r="AV141" s="173"/>
      <c r="AW141" s="282">
        <f t="shared" ref="AW141:BC141" si="303">SUM(AW134:AW140)</f>
        <v>0</v>
      </c>
      <c r="AX141" s="283">
        <f t="shared" si="303"/>
        <v>0</v>
      </c>
      <c r="AY141" s="283">
        <f t="shared" si="303"/>
        <v>0</v>
      </c>
      <c r="AZ141" s="283">
        <f t="shared" si="303"/>
        <v>0</v>
      </c>
      <c r="BA141" s="284">
        <f t="shared" si="303"/>
        <v>0</v>
      </c>
      <c r="BB141" s="283">
        <f t="shared" si="303"/>
        <v>0</v>
      </c>
      <c r="BC141" s="285">
        <f t="shared" si="303"/>
        <v>0</v>
      </c>
      <c r="BD141" s="173"/>
      <c r="BE141" s="282">
        <f t="shared" ref="BE141:BK141" si="304">SUM(BE134:BE140)</f>
        <v>0</v>
      </c>
      <c r="BF141" s="283">
        <f t="shared" si="304"/>
        <v>0</v>
      </c>
      <c r="BG141" s="283">
        <f t="shared" si="304"/>
        <v>0</v>
      </c>
      <c r="BH141" s="283">
        <f t="shared" si="304"/>
        <v>0</v>
      </c>
      <c r="BI141" s="284">
        <f t="shared" si="304"/>
        <v>0</v>
      </c>
      <c r="BJ141" s="283">
        <f t="shared" si="304"/>
        <v>0</v>
      </c>
      <c r="BK141" s="285">
        <f t="shared" si="304"/>
        <v>0</v>
      </c>
      <c r="BL141" s="173"/>
      <c r="BM141" s="282">
        <f t="shared" ref="BM141:BS141" si="305">SUM(BM134:BM140)</f>
        <v>0</v>
      </c>
      <c r="BN141" s="283">
        <f t="shared" si="305"/>
        <v>0</v>
      </c>
      <c r="BO141" s="283">
        <f t="shared" si="305"/>
        <v>0</v>
      </c>
      <c r="BP141" s="283">
        <f t="shared" si="305"/>
        <v>0</v>
      </c>
      <c r="BQ141" s="284">
        <f t="shared" si="305"/>
        <v>0</v>
      </c>
      <c r="BR141" s="283">
        <f t="shared" si="305"/>
        <v>0</v>
      </c>
      <c r="BS141" s="285">
        <f t="shared" si="305"/>
        <v>0</v>
      </c>
      <c r="BT141" s="173"/>
      <c r="BU141" s="282">
        <f t="shared" ref="BU141:CA141" si="306">SUM(BU134:BU140)</f>
        <v>0</v>
      </c>
      <c r="BV141" s="283">
        <f t="shared" si="306"/>
        <v>0</v>
      </c>
      <c r="BW141" s="283">
        <f t="shared" si="306"/>
        <v>0</v>
      </c>
      <c r="BX141" s="283">
        <f t="shared" si="306"/>
        <v>0</v>
      </c>
      <c r="BY141" s="284">
        <f t="shared" si="306"/>
        <v>0</v>
      </c>
      <c r="BZ141" s="283">
        <f t="shared" si="306"/>
        <v>0</v>
      </c>
      <c r="CA141" s="285">
        <f t="shared" si="306"/>
        <v>0</v>
      </c>
      <c r="CB141" s="173"/>
      <c r="CC141" s="282">
        <f t="shared" ref="CC141:CI141" si="307">SUM(CC134:CC140)</f>
        <v>0</v>
      </c>
      <c r="CD141" s="283">
        <f t="shared" si="307"/>
        <v>0</v>
      </c>
      <c r="CE141" s="283">
        <f t="shared" si="307"/>
        <v>0</v>
      </c>
      <c r="CF141" s="283">
        <f t="shared" si="307"/>
        <v>0</v>
      </c>
      <c r="CG141" s="284">
        <f t="shared" si="307"/>
        <v>0</v>
      </c>
      <c r="CH141" s="283">
        <f t="shared" si="307"/>
        <v>0</v>
      </c>
      <c r="CI141" s="285">
        <f t="shared" si="307"/>
        <v>0</v>
      </c>
      <c r="CJ141" s="173"/>
      <c r="CK141" s="282">
        <f t="shared" ref="CK141:CQ141" si="308">SUM(CK134:CK140)</f>
        <v>0</v>
      </c>
      <c r="CL141" s="283">
        <f t="shared" si="308"/>
        <v>0</v>
      </c>
      <c r="CM141" s="283">
        <f t="shared" si="308"/>
        <v>0</v>
      </c>
      <c r="CN141" s="283">
        <f t="shared" si="308"/>
        <v>0</v>
      </c>
      <c r="CO141" s="284">
        <f t="shared" si="308"/>
        <v>0</v>
      </c>
      <c r="CP141" s="283">
        <f t="shared" si="308"/>
        <v>0</v>
      </c>
      <c r="CQ141" s="285">
        <f t="shared" si="308"/>
        <v>0</v>
      </c>
    </row>
    <row r="142" spans="1:95" ht="16.5" thickBot="1" x14ac:dyDescent="0.3">
      <c r="A142" s="299" t="s">
        <v>105</v>
      </c>
      <c r="B142" s="273"/>
      <c r="C142" s="306">
        <f>SUM(C134:C140)</f>
        <v>0</v>
      </c>
      <c r="D142" s="307">
        <f>SUM(D134:D140)</f>
        <v>0</v>
      </c>
      <c r="E142" s="306">
        <f>SUM(E134:E140)</f>
        <v>0</v>
      </c>
      <c r="F142" s="307">
        <f>SUM(F134:F140)</f>
        <v>0</v>
      </c>
      <c r="G142" s="268" t="e">
        <f>D142/C142</f>
        <v>#DIV/0!</v>
      </c>
      <c r="H142" s="279" t="e">
        <f t="shared" ref="H142:X142" si="309">H141/$G142</f>
        <v>#DIV/0!</v>
      </c>
      <c r="I142" s="241" t="e">
        <f t="shared" si="309"/>
        <v>#DIV/0!</v>
      </c>
      <c r="J142" s="239" t="e">
        <f t="shared" si="309"/>
        <v>#DIV/0!</v>
      </c>
      <c r="K142" s="279" t="e">
        <f t="shared" si="309"/>
        <v>#DIV/0!</v>
      </c>
      <c r="L142" s="241" t="e">
        <f t="shared" si="309"/>
        <v>#DIV/0!</v>
      </c>
      <c r="M142" s="239" t="e">
        <f t="shared" si="309"/>
        <v>#DIV/0!</v>
      </c>
      <c r="N142" s="279" t="e">
        <f t="shared" si="309"/>
        <v>#DIV/0!</v>
      </c>
      <c r="O142" s="241" t="e">
        <f t="shared" si="309"/>
        <v>#DIV/0!</v>
      </c>
      <c r="P142" s="270" t="e">
        <f t="shared" si="309"/>
        <v>#DIV/0!</v>
      </c>
      <c r="Q142" s="279" t="e">
        <f t="shared" si="309"/>
        <v>#DIV/0!</v>
      </c>
      <c r="R142" s="241" t="e">
        <f t="shared" si="309"/>
        <v>#DIV/0!</v>
      </c>
      <c r="S142" s="270" t="e">
        <f t="shared" si="309"/>
        <v>#DIV/0!</v>
      </c>
      <c r="T142" s="269" t="e">
        <f t="shared" si="309"/>
        <v>#DIV/0!</v>
      </c>
      <c r="U142" s="239" t="e">
        <f t="shared" si="309"/>
        <v>#DIV/0!</v>
      </c>
      <c r="V142" s="241" t="e">
        <f t="shared" si="309"/>
        <v>#DIV/0!</v>
      </c>
      <c r="W142" s="241" t="e">
        <f t="shared" si="309"/>
        <v>#DIV/0!</v>
      </c>
      <c r="X142" s="270" t="e">
        <f t="shared" si="309"/>
        <v>#DIV/0!</v>
      </c>
      <c r="Y142" s="173"/>
      <c r="Z142" s="289" t="e">
        <f>Z141/$G142</f>
        <v>#DIV/0!</v>
      </c>
      <c r="AA142" s="290" t="e">
        <f t="shared" ref="AA142:AU142" si="310">AA141/$G142</f>
        <v>#DIV/0!</v>
      </c>
      <c r="AB142" s="290" t="e">
        <f t="shared" si="310"/>
        <v>#DIV/0!</v>
      </c>
      <c r="AC142" s="292" t="e">
        <f t="shared" si="310"/>
        <v>#DIV/0!</v>
      </c>
      <c r="AD142" s="289" t="e">
        <f t="shared" si="310"/>
        <v>#DIV/0!</v>
      </c>
      <c r="AE142" s="324" t="e">
        <f t="shared" si="310"/>
        <v>#DIV/0!</v>
      </c>
      <c r="AF142" s="291" t="e">
        <f t="shared" si="310"/>
        <v>#DIV/0!</v>
      </c>
      <c r="AG142" s="324" t="e">
        <f t="shared" si="310"/>
        <v>#DIV/0!</v>
      </c>
      <c r="AH142" s="290" t="e">
        <f t="shared" si="310"/>
        <v>#DIV/0!</v>
      </c>
      <c r="AI142" s="290" t="e">
        <f t="shared" si="310"/>
        <v>#DIV/0!</v>
      </c>
      <c r="AJ142" s="291" t="e">
        <f t="shared" si="310"/>
        <v>#DIV/0!</v>
      </c>
      <c r="AK142" s="324" t="e">
        <f t="shared" si="310"/>
        <v>#DIV/0!</v>
      </c>
      <c r="AL142" s="291" t="e">
        <f t="shared" si="310"/>
        <v>#DIV/0!</v>
      </c>
      <c r="AM142" s="324" t="e">
        <f t="shared" si="310"/>
        <v>#DIV/0!</v>
      </c>
      <c r="AN142" s="325" t="e">
        <f t="shared" si="310"/>
        <v>#DIV/0!</v>
      </c>
      <c r="AO142" s="326" t="e">
        <f t="shared" si="310"/>
        <v>#DIV/0!</v>
      </c>
      <c r="AP142" s="325" t="e">
        <f t="shared" si="310"/>
        <v>#DIV/0!</v>
      </c>
      <c r="AQ142" s="326" t="e">
        <f t="shared" si="310"/>
        <v>#DIV/0!</v>
      </c>
      <c r="AR142" s="287" t="e">
        <f t="shared" si="310"/>
        <v>#DIV/0!</v>
      </c>
      <c r="AS142" s="286" t="e">
        <f t="shared" si="310"/>
        <v>#DIV/0!</v>
      </c>
      <c r="AT142" s="290" t="e">
        <f t="shared" si="310"/>
        <v>#DIV/0!</v>
      </c>
      <c r="AU142" s="292" t="e">
        <f t="shared" si="310"/>
        <v>#DIV/0!</v>
      </c>
      <c r="AV142" s="288"/>
      <c r="AW142" s="289" t="e">
        <f t="shared" ref="AW142:BC142" si="311">AW141/$G142</f>
        <v>#DIV/0!</v>
      </c>
      <c r="AX142" s="290" t="e">
        <f t="shared" si="311"/>
        <v>#DIV/0!</v>
      </c>
      <c r="AY142" s="290" t="e">
        <f t="shared" si="311"/>
        <v>#DIV/0!</v>
      </c>
      <c r="AZ142" s="290" t="e">
        <f t="shared" si="311"/>
        <v>#DIV/0!</v>
      </c>
      <c r="BA142" s="291" t="e">
        <f t="shared" si="311"/>
        <v>#DIV/0!</v>
      </c>
      <c r="BB142" s="290" t="e">
        <f t="shared" si="311"/>
        <v>#DIV/0!</v>
      </c>
      <c r="BC142" s="292" t="e">
        <f t="shared" si="311"/>
        <v>#DIV/0!</v>
      </c>
      <c r="BD142" s="288"/>
      <c r="BE142" s="289" t="e">
        <f t="shared" ref="BE142:BK142" si="312">BE141/$G142</f>
        <v>#DIV/0!</v>
      </c>
      <c r="BF142" s="290" t="e">
        <f t="shared" si="312"/>
        <v>#DIV/0!</v>
      </c>
      <c r="BG142" s="290" t="e">
        <f t="shared" si="312"/>
        <v>#DIV/0!</v>
      </c>
      <c r="BH142" s="290" t="e">
        <f t="shared" si="312"/>
        <v>#DIV/0!</v>
      </c>
      <c r="BI142" s="291" t="e">
        <f t="shared" si="312"/>
        <v>#DIV/0!</v>
      </c>
      <c r="BJ142" s="290" t="e">
        <f t="shared" si="312"/>
        <v>#DIV/0!</v>
      </c>
      <c r="BK142" s="292" t="e">
        <f t="shared" si="312"/>
        <v>#DIV/0!</v>
      </c>
      <c r="BL142" s="288"/>
      <c r="BM142" s="289" t="e">
        <f t="shared" ref="BM142:BS142" si="313">BM141/$G142</f>
        <v>#DIV/0!</v>
      </c>
      <c r="BN142" s="290" t="e">
        <f t="shared" si="313"/>
        <v>#DIV/0!</v>
      </c>
      <c r="BO142" s="290" t="e">
        <f t="shared" si="313"/>
        <v>#DIV/0!</v>
      </c>
      <c r="BP142" s="290" t="e">
        <f t="shared" si="313"/>
        <v>#DIV/0!</v>
      </c>
      <c r="BQ142" s="291" t="e">
        <f t="shared" si="313"/>
        <v>#DIV/0!</v>
      </c>
      <c r="BR142" s="290" t="e">
        <f t="shared" si="313"/>
        <v>#DIV/0!</v>
      </c>
      <c r="BS142" s="292" t="e">
        <f t="shared" si="313"/>
        <v>#DIV/0!</v>
      </c>
      <c r="BT142" s="288"/>
      <c r="BU142" s="289" t="e">
        <f t="shared" ref="BU142:CA142" si="314">BU141/$G142</f>
        <v>#DIV/0!</v>
      </c>
      <c r="BV142" s="290" t="e">
        <f t="shared" si="314"/>
        <v>#DIV/0!</v>
      </c>
      <c r="BW142" s="290" t="e">
        <f t="shared" si="314"/>
        <v>#DIV/0!</v>
      </c>
      <c r="BX142" s="290" t="e">
        <f t="shared" si="314"/>
        <v>#DIV/0!</v>
      </c>
      <c r="BY142" s="291" t="e">
        <f t="shared" si="314"/>
        <v>#DIV/0!</v>
      </c>
      <c r="BZ142" s="290" t="e">
        <f t="shared" si="314"/>
        <v>#DIV/0!</v>
      </c>
      <c r="CA142" s="292" t="e">
        <f t="shared" si="314"/>
        <v>#DIV/0!</v>
      </c>
      <c r="CB142" s="288"/>
      <c r="CC142" s="289" t="e">
        <f t="shared" ref="CC142:CI142" si="315">CC141/$G142</f>
        <v>#DIV/0!</v>
      </c>
      <c r="CD142" s="290" t="e">
        <f t="shared" si="315"/>
        <v>#DIV/0!</v>
      </c>
      <c r="CE142" s="290" t="e">
        <f t="shared" si="315"/>
        <v>#DIV/0!</v>
      </c>
      <c r="CF142" s="290" t="e">
        <f t="shared" si="315"/>
        <v>#DIV/0!</v>
      </c>
      <c r="CG142" s="291" t="e">
        <f t="shared" si="315"/>
        <v>#DIV/0!</v>
      </c>
      <c r="CH142" s="290" t="e">
        <f t="shared" si="315"/>
        <v>#DIV/0!</v>
      </c>
      <c r="CI142" s="292" t="e">
        <f t="shared" si="315"/>
        <v>#DIV/0!</v>
      </c>
      <c r="CJ142" s="288"/>
      <c r="CK142" s="289" t="e">
        <f t="shared" ref="CK142:CQ142" si="316">CK141/$G142</f>
        <v>#DIV/0!</v>
      </c>
      <c r="CL142" s="290" t="e">
        <f t="shared" si="316"/>
        <v>#DIV/0!</v>
      </c>
      <c r="CM142" s="290" t="e">
        <f t="shared" si="316"/>
        <v>#DIV/0!</v>
      </c>
      <c r="CN142" s="290" t="e">
        <f t="shared" si="316"/>
        <v>#DIV/0!</v>
      </c>
      <c r="CO142" s="291" t="e">
        <f t="shared" si="316"/>
        <v>#DIV/0!</v>
      </c>
      <c r="CP142" s="290" t="e">
        <f t="shared" si="316"/>
        <v>#DIV/0!</v>
      </c>
      <c r="CQ142" s="292" t="e">
        <f t="shared" si="316"/>
        <v>#DIV/0!</v>
      </c>
    </row>
    <row r="143" spans="1:95" ht="16.5" thickBot="1" x14ac:dyDescent="0.3"/>
    <row r="144" spans="1:95" x14ac:dyDescent="0.25">
      <c r="A144" s="52" t="s">
        <v>7</v>
      </c>
      <c r="B144" s="166">
        <f>B140+1</f>
        <v>45971</v>
      </c>
      <c r="C144" s="235"/>
      <c r="D144" s="259"/>
      <c r="E144" s="168"/>
      <c r="F144" s="317"/>
      <c r="G144" s="253"/>
      <c r="H144" s="247">
        <f t="shared" ref="H144:H150" si="317">SUM(I144:J144)</f>
        <v>0</v>
      </c>
      <c r="I144" s="260"/>
      <c r="J144" s="168"/>
      <c r="K144" s="247">
        <f t="shared" ref="K144:K150" si="318">SUM(L144:M144)</f>
        <v>0</v>
      </c>
      <c r="L144" s="260"/>
      <c r="M144" s="168"/>
      <c r="N144" s="311">
        <f t="shared" ref="N144:N150" si="319">SUM(O144:P144)</f>
        <v>0</v>
      </c>
      <c r="O144" s="260"/>
      <c r="P144" s="259"/>
      <c r="Q144" s="311">
        <f t="shared" ref="Q144:Q150" si="320">SUM(R144:S144)</f>
        <v>0</v>
      </c>
      <c r="R144" s="260"/>
      <c r="S144" s="259"/>
      <c r="T144" s="261"/>
      <c r="U144" s="168"/>
      <c r="V144" s="260"/>
      <c r="W144" s="520"/>
      <c r="X144" s="262"/>
      <c r="Y144" s="168"/>
      <c r="Z144" s="261"/>
      <c r="AA144" s="168"/>
      <c r="AB144" s="168"/>
      <c r="AC144" s="262"/>
      <c r="AD144" s="261"/>
      <c r="AE144" s="259"/>
      <c r="AF144" s="260"/>
      <c r="AG144" s="259"/>
      <c r="AH144" s="168"/>
      <c r="AI144" s="168"/>
      <c r="AJ144" s="260"/>
      <c r="AK144" s="259"/>
      <c r="AL144" s="260"/>
      <c r="AM144" s="259"/>
      <c r="AN144" s="168"/>
      <c r="AO144" s="168"/>
      <c r="AP144" s="260"/>
      <c r="AQ144" s="259"/>
      <c r="AR144" s="168"/>
      <c r="AS144" s="168"/>
      <c r="AT144" s="168"/>
      <c r="AU144" s="262"/>
      <c r="AV144" s="168"/>
      <c r="AW144" s="257"/>
      <c r="AX144" s="255"/>
      <c r="AY144" s="255"/>
      <c r="AZ144" s="255"/>
      <c r="BA144" s="254"/>
      <c r="BB144" s="255"/>
      <c r="BC144" s="258"/>
      <c r="BD144" s="168"/>
      <c r="BE144" s="257"/>
      <c r="BF144" s="255"/>
      <c r="BG144" s="255"/>
      <c r="BH144" s="255"/>
      <c r="BI144" s="254"/>
      <c r="BJ144" s="255"/>
      <c r="BK144" s="258"/>
      <c r="BL144" s="168"/>
      <c r="BM144" s="257"/>
      <c r="BN144" s="255"/>
      <c r="BO144" s="255"/>
      <c r="BP144" s="255"/>
      <c r="BQ144" s="254"/>
      <c r="BR144" s="255"/>
      <c r="BS144" s="258"/>
      <c r="BT144" s="168"/>
      <c r="BU144" s="257"/>
      <c r="BV144" s="255"/>
      <c r="BW144" s="255"/>
      <c r="BX144" s="255"/>
      <c r="BY144" s="254"/>
      <c r="BZ144" s="255"/>
      <c r="CA144" s="258"/>
      <c r="CB144" s="168"/>
      <c r="CC144" s="257"/>
      <c r="CD144" s="255"/>
      <c r="CE144" s="255"/>
      <c r="CF144" s="255"/>
      <c r="CG144" s="254"/>
      <c r="CH144" s="255"/>
      <c r="CI144" s="258"/>
      <c r="CJ144" s="168"/>
      <c r="CK144" s="257"/>
      <c r="CL144" s="255"/>
      <c r="CM144" s="255"/>
      <c r="CN144" s="255"/>
      <c r="CO144" s="254"/>
      <c r="CP144" s="255"/>
      <c r="CQ144" s="258"/>
    </row>
    <row r="145" spans="1:95" x14ac:dyDescent="0.25">
      <c r="A145" s="132" t="s">
        <v>10</v>
      </c>
      <c r="B145" s="167">
        <f t="shared" ref="B145:B150" si="321">B144+1</f>
        <v>45972</v>
      </c>
      <c r="C145" s="173"/>
      <c r="D145" s="259"/>
      <c r="E145" s="168"/>
      <c r="F145" s="317"/>
      <c r="G145" s="253"/>
      <c r="H145" s="247">
        <f t="shared" si="317"/>
        <v>0</v>
      </c>
      <c r="I145" s="260"/>
      <c r="J145" s="168"/>
      <c r="K145" s="247">
        <f t="shared" si="318"/>
        <v>0</v>
      </c>
      <c r="L145" s="260"/>
      <c r="M145" s="168"/>
      <c r="N145" s="311">
        <f t="shared" si="319"/>
        <v>0</v>
      </c>
      <c r="O145" s="260"/>
      <c r="P145" s="259"/>
      <c r="Q145" s="311">
        <f t="shared" si="320"/>
        <v>0</v>
      </c>
      <c r="R145" s="260"/>
      <c r="S145" s="259"/>
      <c r="T145" s="261"/>
      <c r="U145" s="168"/>
      <c r="V145" s="260"/>
      <c r="W145" s="260"/>
      <c r="X145" s="262"/>
      <c r="Y145" s="168"/>
      <c r="Z145" s="261"/>
      <c r="AA145" s="168"/>
      <c r="AB145" s="168"/>
      <c r="AC145" s="262"/>
      <c r="AD145" s="261"/>
      <c r="AE145" s="259"/>
      <c r="AF145" s="260"/>
      <c r="AG145" s="259"/>
      <c r="AH145" s="168"/>
      <c r="AI145" s="168"/>
      <c r="AJ145" s="260"/>
      <c r="AK145" s="259"/>
      <c r="AL145" s="260"/>
      <c r="AM145" s="259"/>
      <c r="AN145" s="168"/>
      <c r="AO145" s="168"/>
      <c r="AP145" s="260"/>
      <c r="AQ145" s="259"/>
      <c r="AR145" s="168"/>
      <c r="AS145" s="168"/>
      <c r="AT145" s="168"/>
      <c r="AU145" s="262"/>
      <c r="AV145" s="168"/>
      <c r="AW145" s="261"/>
      <c r="AX145" s="168"/>
      <c r="AY145" s="168"/>
      <c r="AZ145" s="168"/>
      <c r="BA145" s="260"/>
      <c r="BB145" s="168"/>
      <c r="BC145" s="262"/>
      <c r="BD145" s="168"/>
      <c r="BE145" s="261"/>
      <c r="BF145" s="168"/>
      <c r="BG145" s="168"/>
      <c r="BH145" s="168"/>
      <c r="BI145" s="260"/>
      <c r="BJ145" s="168"/>
      <c r="BK145" s="262"/>
      <c r="BL145" s="168"/>
      <c r="BM145" s="261"/>
      <c r="BN145" s="168"/>
      <c r="BO145" s="168"/>
      <c r="BP145" s="168"/>
      <c r="BQ145" s="260"/>
      <c r="BR145" s="168"/>
      <c r="BS145" s="262"/>
      <c r="BT145" s="168"/>
      <c r="BU145" s="261"/>
      <c r="BV145" s="168"/>
      <c r="BW145" s="168"/>
      <c r="BX145" s="168"/>
      <c r="BY145" s="260"/>
      <c r="BZ145" s="168"/>
      <c r="CA145" s="262"/>
      <c r="CB145" s="168"/>
      <c r="CC145" s="261"/>
      <c r="CD145" s="168"/>
      <c r="CE145" s="168"/>
      <c r="CF145" s="168"/>
      <c r="CG145" s="260"/>
      <c r="CH145" s="168"/>
      <c r="CI145" s="262"/>
      <c r="CJ145" s="168"/>
      <c r="CK145" s="261"/>
      <c r="CL145" s="168"/>
      <c r="CM145" s="168"/>
      <c r="CN145" s="168"/>
      <c r="CO145" s="260"/>
      <c r="CP145" s="168"/>
      <c r="CQ145" s="262"/>
    </row>
    <row r="146" spans="1:95" x14ac:dyDescent="0.25">
      <c r="A146" s="132" t="s">
        <v>11</v>
      </c>
      <c r="B146" s="167">
        <f t="shared" si="321"/>
        <v>45973</v>
      </c>
      <c r="C146" s="173"/>
      <c r="D146" s="259"/>
      <c r="E146" s="168"/>
      <c r="F146" s="317"/>
      <c r="G146" s="253"/>
      <c r="H146" s="247">
        <f t="shared" si="317"/>
        <v>0</v>
      </c>
      <c r="I146" s="260"/>
      <c r="J146" s="168"/>
      <c r="K146" s="247">
        <f t="shared" si="318"/>
        <v>0</v>
      </c>
      <c r="L146" s="260"/>
      <c r="M146" s="168"/>
      <c r="N146" s="311">
        <f t="shared" si="319"/>
        <v>0</v>
      </c>
      <c r="O146" s="260"/>
      <c r="P146" s="259"/>
      <c r="Q146" s="311">
        <f t="shared" si="320"/>
        <v>0</v>
      </c>
      <c r="R146" s="260"/>
      <c r="S146" s="259"/>
      <c r="T146" s="261"/>
      <c r="U146" s="168"/>
      <c r="V146" s="260"/>
      <c r="W146" s="260"/>
      <c r="X146" s="262"/>
      <c r="Y146" s="168"/>
      <c r="Z146" s="261"/>
      <c r="AA146" s="168"/>
      <c r="AB146" s="168"/>
      <c r="AC146" s="262"/>
      <c r="AD146" s="261"/>
      <c r="AE146" s="259"/>
      <c r="AF146" s="260"/>
      <c r="AG146" s="259"/>
      <c r="AH146" s="168"/>
      <c r="AI146" s="168"/>
      <c r="AJ146" s="260"/>
      <c r="AK146" s="259"/>
      <c r="AL146" s="260"/>
      <c r="AM146" s="259"/>
      <c r="AN146" s="168"/>
      <c r="AO146" s="168"/>
      <c r="AP146" s="260"/>
      <c r="AQ146" s="259"/>
      <c r="AR146" s="168"/>
      <c r="AS146" s="168"/>
      <c r="AT146" s="168"/>
      <c r="AU146" s="262"/>
      <c r="AV146" s="168"/>
      <c r="AW146" s="261"/>
      <c r="AX146" s="168"/>
      <c r="AY146" s="168"/>
      <c r="AZ146" s="168"/>
      <c r="BA146" s="260"/>
      <c r="BB146" s="168"/>
      <c r="BC146" s="262"/>
      <c r="BD146" s="168"/>
      <c r="BE146" s="261"/>
      <c r="BF146" s="168"/>
      <c r="BG146" s="168"/>
      <c r="BH146" s="168"/>
      <c r="BI146" s="260"/>
      <c r="BJ146" s="168"/>
      <c r="BK146" s="262"/>
      <c r="BL146" s="168"/>
      <c r="BM146" s="261"/>
      <c r="BN146" s="168"/>
      <c r="BO146" s="168"/>
      <c r="BP146" s="168"/>
      <c r="BQ146" s="260"/>
      <c r="BR146" s="168"/>
      <c r="BS146" s="262"/>
      <c r="BT146" s="168"/>
      <c r="BU146" s="261"/>
      <c r="BV146" s="168"/>
      <c r="BW146" s="168"/>
      <c r="BX146" s="168"/>
      <c r="BY146" s="260"/>
      <c r="BZ146" s="168"/>
      <c r="CA146" s="262"/>
      <c r="CB146" s="168"/>
      <c r="CC146" s="261"/>
      <c r="CD146" s="168"/>
      <c r="CE146" s="168"/>
      <c r="CF146" s="168"/>
      <c r="CG146" s="260"/>
      <c r="CH146" s="168"/>
      <c r="CI146" s="262"/>
      <c r="CJ146" s="168"/>
      <c r="CK146" s="261"/>
      <c r="CL146" s="168"/>
      <c r="CM146" s="168"/>
      <c r="CN146" s="168"/>
      <c r="CO146" s="260"/>
      <c r="CP146" s="168"/>
      <c r="CQ146" s="262"/>
    </row>
    <row r="147" spans="1:95" x14ac:dyDescent="0.25">
      <c r="A147" s="132" t="s">
        <v>12</v>
      </c>
      <c r="B147" s="167">
        <f t="shared" si="321"/>
        <v>45974</v>
      </c>
      <c r="C147" s="173"/>
      <c r="D147" s="259"/>
      <c r="E147" s="168"/>
      <c r="F147" s="317"/>
      <c r="G147" s="253"/>
      <c r="H147" s="247">
        <f t="shared" si="317"/>
        <v>0</v>
      </c>
      <c r="I147" s="260"/>
      <c r="J147" s="168"/>
      <c r="K147" s="247">
        <f t="shared" si="318"/>
        <v>0</v>
      </c>
      <c r="L147" s="260"/>
      <c r="M147" s="168"/>
      <c r="N147" s="311">
        <f t="shared" si="319"/>
        <v>0</v>
      </c>
      <c r="O147" s="260"/>
      <c r="P147" s="259"/>
      <c r="Q147" s="311">
        <f t="shared" si="320"/>
        <v>0</v>
      </c>
      <c r="R147" s="260"/>
      <c r="S147" s="259"/>
      <c r="T147" s="261"/>
      <c r="U147" s="168"/>
      <c r="V147" s="260"/>
      <c r="W147" s="260"/>
      <c r="X147" s="262"/>
      <c r="Y147" s="168"/>
      <c r="Z147" s="261"/>
      <c r="AA147" s="168"/>
      <c r="AB147" s="168"/>
      <c r="AC147" s="262"/>
      <c r="AD147" s="261"/>
      <c r="AE147" s="259"/>
      <c r="AF147" s="260"/>
      <c r="AG147" s="259"/>
      <c r="AH147" s="168"/>
      <c r="AI147" s="168"/>
      <c r="AJ147" s="260"/>
      <c r="AK147" s="259"/>
      <c r="AL147" s="260"/>
      <c r="AM147" s="259"/>
      <c r="AN147" s="168"/>
      <c r="AO147" s="168"/>
      <c r="AP147" s="260"/>
      <c r="AQ147" s="259"/>
      <c r="AR147" s="168"/>
      <c r="AS147" s="168"/>
      <c r="AT147" s="168"/>
      <c r="AU147" s="262"/>
      <c r="AV147" s="168"/>
      <c r="AW147" s="261"/>
      <c r="AX147" s="168"/>
      <c r="AY147" s="168"/>
      <c r="AZ147" s="168"/>
      <c r="BA147" s="260"/>
      <c r="BB147" s="168"/>
      <c r="BC147" s="262"/>
      <c r="BD147" s="168"/>
      <c r="BE147" s="261"/>
      <c r="BF147" s="168"/>
      <c r="BG147" s="168"/>
      <c r="BH147" s="168"/>
      <c r="BI147" s="260"/>
      <c r="BJ147" s="168"/>
      <c r="BK147" s="262"/>
      <c r="BL147" s="168"/>
      <c r="BM147" s="261"/>
      <c r="BN147" s="168"/>
      <c r="BO147" s="168"/>
      <c r="BP147" s="168"/>
      <c r="BQ147" s="260"/>
      <c r="BR147" s="168"/>
      <c r="BS147" s="262"/>
      <c r="BT147" s="168"/>
      <c r="BU147" s="261"/>
      <c r="BV147" s="168"/>
      <c r="BW147" s="168"/>
      <c r="BX147" s="168"/>
      <c r="BY147" s="260"/>
      <c r="BZ147" s="168"/>
      <c r="CA147" s="262"/>
      <c r="CB147" s="168"/>
      <c r="CC147" s="261"/>
      <c r="CD147" s="168"/>
      <c r="CE147" s="168"/>
      <c r="CF147" s="168"/>
      <c r="CG147" s="260"/>
      <c r="CH147" s="168"/>
      <c r="CI147" s="262"/>
      <c r="CJ147" s="168"/>
      <c r="CK147" s="261"/>
      <c r="CL147" s="168"/>
      <c r="CM147" s="168"/>
      <c r="CN147" s="168"/>
      <c r="CO147" s="260"/>
      <c r="CP147" s="168"/>
      <c r="CQ147" s="262"/>
    </row>
    <row r="148" spans="1:95" x14ac:dyDescent="0.25">
      <c r="A148" s="132" t="s">
        <v>13</v>
      </c>
      <c r="B148" s="167">
        <f t="shared" si="321"/>
        <v>45975</v>
      </c>
      <c r="C148" s="173"/>
      <c r="D148" s="259"/>
      <c r="E148" s="168"/>
      <c r="F148" s="317"/>
      <c r="G148" s="253"/>
      <c r="H148" s="247">
        <f t="shared" si="317"/>
        <v>0</v>
      </c>
      <c r="I148" s="260"/>
      <c r="J148" s="168"/>
      <c r="K148" s="247">
        <f t="shared" si="318"/>
        <v>0</v>
      </c>
      <c r="L148" s="260"/>
      <c r="M148" s="168"/>
      <c r="N148" s="311">
        <f t="shared" si="319"/>
        <v>0</v>
      </c>
      <c r="O148" s="260"/>
      <c r="P148" s="259"/>
      <c r="Q148" s="311">
        <f t="shared" si="320"/>
        <v>0</v>
      </c>
      <c r="R148" s="260"/>
      <c r="S148" s="259"/>
      <c r="T148" s="261"/>
      <c r="U148" s="168"/>
      <c r="V148" s="260"/>
      <c r="W148" s="260"/>
      <c r="X148" s="262"/>
      <c r="Y148" s="168"/>
      <c r="Z148" s="261"/>
      <c r="AA148" s="168"/>
      <c r="AB148" s="168"/>
      <c r="AC148" s="262"/>
      <c r="AD148" s="261"/>
      <c r="AE148" s="259"/>
      <c r="AF148" s="260"/>
      <c r="AG148" s="259"/>
      <c r="AH148" s="168"/>
      <c r="AI148" s="168"/>
      <c r="AJ148" s="260"/>
      <c r="AK148" s="259"/>
      <c r="AL148" s="260"/>
      <c r="AM148" s="259"/>
      <c r="AN148" s="168"/>
      <c r="AO148" s="168"/>
      <c r="AP148" s="260"/>
      <c r="AQ148" s="259"/>
      <c r="AR148" s="168"/>
      <c r="AS148" s="168"/>
      <c r="AT148" s="168"/>
      <c r="AU148" s="262"/>
      <c r="AV148" s="168"/>
      <c r="AW148" s="261"/>
      <c r="AX148" s="168"/>
      <c r="AY148" s="168"/>
      <c r="AZ148" s="168"/>
      <c r="BA148" s="260"/>
      <c r="BB148" s="168"/>
      <c r="BC148" s="262"/>
      <c r="BD148" s="168"/>
      <c r="BE148" s="261"/>
      <c r="BF148" s="168"/>
      <c r="BG148" s="168"/>
      <c r="BH148" s="168"/>
      <c r="BI148" s="260"/>
      <c r="BJ148" s="168"/>
      <c r="BK148" s="262"/>
      <c r="BL148" s="168"/>
      <c r="BM148" s="261"/>
      <c r="BN148" s="168"/>
      <c r="BO148" s="168"/>
      <c r="BP148" s="168"/>
      <c r="BQ148" s="260"/>
      <c r="BR148" s="168"/>
      <c r="BS148" s="262"/>
      <c r="BT148" s="168"/>
      <c r="BU148" s="261"/>
      <c r="BV148" s="168"/>
      <c r="BW148" s="168"/>
      <c r="BX148" s="168"/>
      <c r="BY148" s="260"/>
      <c r="BZ148" s="168"/>
      <c r="CA148" s="262"/>
      <c r="CB148" s="168"/>
      <c r="CC148" s="261"/>
      <c r="CD148" s="168"/>
      <c r="CE148" s="168"/>
      <c r="CF148" s="168"/>
      <c r="CG148" s="260"/>
      <c r="CH148" s="168"/>
      <c r="CI148" s="262"/>
      <c r="CJ148" s="168"/>
      <c r="CK148" s="261"/>
      <c r="CL148" s="168"/>
      <c r="CM148" s="168"/>
      <c r="CN148" s="168"/>
      <c r="CO148" s="260"/>
      <c r="CP148" s="168"/>
      <c r="CQ148" s="262"/>
    </row>
    <row r="149" spans="1:95" x14ac:dyDescent="0.25">
      <c r="A149" s="132" t="s">
        <v>14</v>
      </c>
      <c r="B149" s="167">
        <f t="shared" si="321"/>
        <v>45976</v>
      </c>
      <c r="C149" s="173"/>
      <c r="D149" s="259"/>
      <c r="E149" s="168"/>
      <c r="F149" s="317"/>
      <c r="G149" s="260"/>
      <c r="H149" s="247">
        <f t="shared" si="317"/>
        <v>0</v>
      </c>
      <c r="I149" s="260"/>
      <c r="J149" s="168"/>
      <c r="K149" s="247">
        <f t="shared" si="318"/>
        <v>0</v>
      </c>
      <c r="L149" s="260"/>
      <c r="M149" s="168"/>
      <c r="N149" s="311">
        <f t="shared" si="319"/>
        <v>0</v>
      </c>
      <c r="O149" s="260"/>
      <c r="P149" s="259"/>
      <c r="Q149" s="311">
        <f t="shared" si="320"/>
        <v>0</v>
      </c>
      <c r="R149" s="260"/>
      <c r="S149" s="259"/>
      <c r="T149" s="261"/>
      <c r="U149" s="168"/>
      <c r="V149" s="260"/>
      <c r="W149" s="260"/>
      <c r="X149" s="262"/>
      <c r="Y149" s="168"/>
      <c r="Z149" s="261"/>
      <c r="AA149" s="168"/>
      <c r="AB149" s="168"/>
      <c r="AC149" s="262"/>
      <c r="AD149" s="261"/>
      <c r="AE149" s="259"/>
      <c r="AF149" s="260"/>
      <c r="AG149" s="259"/>
      <c r="AH149" s="168"/>
      <c r="AI149" s="168"/>
      <c r="AJ149" s="260"/>
      <c r="AK149" s="259"/>
      <c r="AL149" s="260"/>
      <c r="AM149" s="259"/>
      <c r="AN149" s="168"/>
      <c r="AO149" s="168"/>
      <c r="AP149" s="260"/>
      <c r="AQ149" s="259"/>
      <c r="AR149" s="168"/>
      <c r="AS149" s="168"/>
      <c r="AT149" s="168"/>
      <c r="AU149" s="262"/>
      <c r="AV149" s="168"/>
      <c r="AW149" s="261"/>
      <c r="AX149" s="168"/>
      <c r="AY149" s="168"/>
      <c r="AZ149" s="168"/>
      <c r="BA149" s="260"/>
      <c r="BB149" s="168"/>
      <c r="BC149" s="262"/>
      <c r="BD149" s="168"/>
      <c r="BE149" s="261"/>
      <c r="BF149" s="168"/>
      <c r="BG149" s="168"/>
      <c r="BH149" s="168"/>
      <c r="BI149" s="260"/>
      <c r="BJ149" s="168"/>
      <c r="BK149" s="262"/>
      <c r="BL149" s="168"/>
      <c r="BM149" s="261"/>
      <c r="BN149" s="168"/>
      <c r="BO149" s="168"/>
      <c r="BP149" s="168"/>
      <c r="BQ149" s="260"/>
      <c r="BR149" s="168"/>
      <c r="BS149" s="262"/>
      <c r="BT149" s="168"/>
      <c r="BU149" s="261"/>
      <c r="BV149" s="168"/>
      <c r="BW149" s="168"/>
      <c r="BX149" s="168"/>
      <c r="BY149" s="260"/>
      <c r="BZ149" s="168"/>
      <c r="CA149" s="262"/>
      <c r="CB149" s="168"/>
      <c r="CC149" s="261"/>
      <c r="CD149" s="168"/>
      <c r="CE149" s="168"/>
      <c r="CF149" s="168"/>
      <c r="CG149" s="260"/>
      <c r="CH149" s="168"/>
      <c r="CI149" s="262"/>
      <c r="CJ149" s="168"/>
      <c r="CK149" s="261"/>
      <c r="CL149" s="168"/>
      <c r="CM149" s="168"/>
      <c r="CN149" s="168"/>
      <c r="CO149" s="260"/>
      <c r="CP149" s="168"/>
      <c r="CQ149" s="262"/>
    </row>
    <row r="150" spans="1:95" ht="16.5" thickBot="1" x14ac:dyDescent="0.3">
      <c r="A150" s="170" t="s">
        <v>15</v>
      </c>
      <c r="B150" s="171">
        <f t="shared" si="321"/>
        <v>45977</v>
      </c>
      <c r="C150" s="173"/>
      <c r="D150" s="263"/>
      <c r="E150" s="238"/>
      <c r="F150" s="318"/>
      <c r="G150" s="237"/>
      <c r="H150" s="248">
        <f t="shared" si="317"/>
        <v>0</v>
      </c>
      <c r="I150" s="237"/>
      <c r="J150" s="238"/>
      <c r="K150" s="248">
        <f t="shared" si="318"/>
        <v>0</v>
      </c>
      <c r="L150" s="237"/>
      <c r="M150" s="238"/>
      <c r="N150" s="248">
        <f t="shared" si="319"/>
        <v>0</v>
      </c>
      <c r="O150" s="237"/>
      <c r="P150" s="263"/>
      <c r="Q150" s="248">
        <f t="shared" si="320"/>
        <v>0</v>
      </c>
      <c r="R150" s="237"/>
      <c r="S150" s="263"/>
      <c r="T150" s="264"/>
      <c r="U150" s="238"/>
      <c r="V150" s="237"/>
      <c r="W150" s="237"/>
      <c r="X150" s="265"/>
      <c r="Y150" s="168"/>
      <c r="Z150" s="264"/>
      <c r="AA150" s="238"/>
      <c r="AB150" s="238"/>
      <c r="AC150" s="265"/>
      <c r="AD150" s="264"/>
      <c r="AE150" s="263"/>
      <c r="AF150" s="237"/>
      <c r="AG150" s="263"/>
      <c r="AH150" s="238"/>
      <c r="AI150" s="238"/>
      <c r="AJ150" s="237"/>
      <c r="AK150" s="263"/>
      <c r="AL150" s="237"/>
      <c r="AM150" s="263"/>
      <c r="AN150" s="238"/>
      <c r="AO150" s="238"/>
      <c r="AP150" s="237"/>
      <c r="AQ150" s="263"/>
      <c r="AR150" s="238"/>
      <c r="AS150" s="238"/>
      <c r="AT150" s="238"/>
      <c r="AU150" s="265"/>
      <c r="AV150" s="168"/>
      <c r="AW150" s="264"/>
      <c r="AX150" s="238"/>
      <c r="AY150" s="238"/>
      <c r="AZ150" s="238"/>
      <c r="BA150" s="237"/>
      <c r="BB150" s="238"/>
      <c r="BC150" s="265"/>
      <c r="BD150" s="168"/>
      <c r="BE150" s="264"/>
      <c r="BF150" s="238"/>
      <c r="BG150" s="238"/>
      <c r="BH150" s="238"/>
      <c r="BI150" s="237"/>
      <c r="BJ150" s="238"/>
      <c r="BK150" s="265"/>
      <c r="BL150" s="168"/>
      <c r="BM150" s="264"/>
      <c r="BN150" s="238"/>
      <c r="BO150" s="238"/>
      <c r="BP150" s="238"/>
      <c r="BQ150" s="237"/>
      <c r="BR150" s="238"/>
      <c r="BS150" s="265"/>
      <c r="BT150" s="168"/>
      <c r="BU150" s="264"/>
      <c r="BV150" s="238"/>
      <c r="BW150" s="238"/>
      <c r="BX150" s="238"/>
      <c r="BY150" s="237"/>
      <c r="BZ150" s="238"/>
      <c r="CA150" s="265"/>
      <c r="CB150" s="168"/>
      <c r="CC150" s="264"/>
      <c r="CD150" s="238"/>
      <c r="CE150" s="238"/>
      <c r="CF150" s="238"/>
      <c r="CG150" s="237"/>
      <c r="CH150" s="238"/>
      <c r="CI150" s="265"/>
      <c r="CJ150" s="168"/>
      <c r="CK150" s="264"/>
      <c r="CL150" s="238"/>
      <c r="CM150" s="238"/>
      <c r="CN150" s="238"/>
      <c r="CO150" s="237"/>
      <c r="CP150" s="238"/>
      <c r="CQ150" s="265"/>
    </row>
    <row r="151" spans="1:95" ht="16.5" thickTop="1" x14ac:dyDescent="0.25">
      <c r="A151" s="298" t="s">
        <v>106</v>
      </c>
      <c r="B151" s="274"/>
      <c r="C151" s="293"/>
      <c r="D151" s="294"/>
      <c r="E151" s="315"/>
      <c r="F151" s="315"/>
      <c r="G151" s="295"/>
      <c r="H151" s="296">
        <f t="shared" ref="H151:X151" si="322">SUM(H144:H150)</f>
        <v>0</v>
      </c>
      <c r="I151" s="284">
        <f t="shared" si="322"/>
        <v>0</v>
      </c>
      <c r="J151" s="283">
        <f t="shared" si="322"/>
        <v>0</v>
      </c>
      <c r="K151" s="296">
        <f t="shared" si="322"/>
        <v>0</v>
      </c>
      <c r="L151" s="284">
        <f t="shared" si="322"/>
        <v>0</v>
      </c>
      <c r="M151" s="283">
        <f t="shared" si="322"/>
        <v>0</v>
      </c>
      <c r="N151" s="296">
        <f t="shared" si="322"/>
        <v>0</v>
      </c>
      <c r="O151" s="284">
        <f t="shared" si="322"/>
        <v>0</v>
      </c>
      <c r="P151" s="285">
        <f t="shared" si="322"/>
        <v>0</v>
      </c>
      <c r="Q151" s="296">
        <f t="shared" si="322"/>
        <v>0</v>
      </c>
      <c r="R151" s="284">
        <f t="shared" si="322"/>
        <v>0</v>
      </c>
      <c r="S151" s="285">
        <f t="shared" si="322"/>
        <v>0</v>
      </c>
      <c r="T151" s="282">
        <f t="shared" si="322"/>
        <v>0</v>
      </c>
      <c r="U151" s="283">
        <f t="shared" si="322"/>
        <v>0</v>
      </c>
      <c r="V151" s="284">
        <f t="shared" si="322"/>
        <v>0</v>
      </c>
      <c r="W151" s="284">
        <f t="shared" si="322"/>
        <v>0</v>
      </c>
      <c r="X151" s="285">
        <f t="shared" si="322"/>
        <v>0</v>
      </c>
      <c r="Y151" s="173"/>
      <c r="Z151" s="282">
        <f>SUM(Z144:Z150)</f>
        <v>0</v>
      </c>
      <c r="AA151" s="283">
        <f>SUM(AA144:AA150)</f>
        <v>0</v>
      </c>
      <c r="AB151" s="283">
        <f>SUM(AB144:AB150)</f>
        <v>0</v>
      </c>
      <c r="AC151" s="285">
        <f>SUM(AC144:AC150)</f>
        <v>0</v>
      </c>
      <c r="AD151" s="282">
        <f t="shared" ref="AD151:AU151" si="323">SUM(AD144:AD150)</f>
        <v>0</v>
      </c>
      <c r="AE151" s="297">
        <f t="shared" si="323"/>
        <v>0</v>
      </c>
      <c r="AF151" s="284">
        <f t="shared" si="323"/>
        <v>0</v>
      </c>
      <c r="AG151" s="297">
        <f t="shared" si="323"/>
        <v>0</v>
      </c>
      <c r="AH151" s="283">
        <f t="shared" si="323"/>
        <v>0</v>
      </c>
      <c r="AI151" s="283">
        <f t="shared" si="323"/>
        <v>0</v>
      </c>
      <c r="AJ151" s="284">
        <f t="shared" si="323"/>
        <v>0</v>
      </c>
      <c r="AK151" s="297">
        <f t="shared" si="323"/>
        <v>0</v>
      </c>
      <c r="AL151" s="284">
        <f t="shared" si="323"/>
        <v>0</v>
      </c>
      <c r="AM151" s="297">
        <f t="shared" si="323"/>
        <v>0</v>
      </c>
      <c r="AN151" s="276">
        <f t="shared" si="323"/>
        <v>0</v>
      </c>
      <c r="AO151" s="275">
        <f t="shared" si="323"/>
        <v>0</v>
      </c>
      <c r="AP151" s="276">
        <f t="shared" si="323"/>
        <v>0</v>
      </c>
      <c r="AQ151" s="275">
        <f t="shared" si="323"/>
        <v>0</v>
      </c>
      <c r="AR151" s="278">
        <f t="shared" si="323"/>
        <v>0</v>
      </c>
      <c r="AS151" s="277">
        <f t="shared" si="323"/>
        <v>0</v>
      </c>
      <c r="AT151" s="283">
        <f t="shared" si="323"/>
        <v>0</v>
      </c>
      <c r="AU151" s="285">
        <f t="shared" si="323"/>
        <v>0</v>
      </c>
      <c r="AV151" s="173"/>
      <c r="AW151" s="282">
        <f t="shared" ref="AW151:BC151" si="324">SUM(AW144:AW150)</f>
        <v>0</v>
      </c>
      <c r="AX151" s="283">
        <f t="shared" si="324"/>
        <v>0</v>
      </c>
      <c r="AY151" s="283">
        <f t="shared" si="324"/>
        <v>0</v>
      </c>
      <c r="AZ151" s="283">
        <f t="shared" si="324"/>
        <v>0</v>
      </c>
      <c r="BA151" s="284">
        <f t="shared" si="324"/>
        <v>0</v>
      </c>
      <c r="BB151" s="283">
        <f t="shared" si="324"/>
        <v>0</v>
      </c>
      <c r="BC151" s="285">
        <f t="shared" si="324"/>
        <v>0</v>
      </c>
      <c r="BD151" s="173"/>
      <c r="BE151" s="282">
        <f t="shared" ref="BE151:BK151" si="325">SUM(BE144:BE150)</f>
        <v>0</v>
      </c>
      <c r="BF151" s="283">
        <f t="shared" si="325"/>
        <v>0</v>
      </c>
      <c r="BG151" s="283">
        <f t="shared" si="325"/>
        <v>0</v>
      </c>
      <c r="BH151" s="283">
        <f t="shared" si="325"/>
        <v>0</v>
      </c>
      <c r="BI151" s="284">
        <f t="shared" si="325"/>
        <v>0</v>
      </c>
      <c r="BJ151" s="283">
        <f t="shared" si="325"/>
        <v>0</v>
      </c>
      <c r="BK151" s="285">
        <f t="shared" si="325"/>
        <v>0</v>
      </c>
      <c r="BL151" s="173"/>
      <c r="BM151" s="282">
        <f t="shared" ref="BM151:BS151" si="326">SUM(BM144:BM150)</f>
        <v>0</v>
      </c>
      <c r="BN151" s="283">
        <f t="shared" si="326"/>
        <v>0</v>
      </c>
      <c r="BO151" s="283">
        <f t="shared" si="326"/>
        <v>0</v>
      </c>
      <c r="BP151" s="283">
        <f t="shared" si="326"/>
        <v>0</v>
      </c>
      <c r="BQ151" s="284">
        <f t="shared" si="326"/>
        <v>0</v>
      </c>
      <c r="BR151" s="283">
        <f t="shared" si="326"/>
        <v>0</v>
      </c>
      <c r="BS151" s="285">
        <f t="shared" si="326"/>
        <v>0</v>
      </c>
      <c r="BT151" s="173"/>
      <c r="BU151" s="282">
        <f t="shared" ref="BU151:CA151" si="327">SUM(BU144:BU150)</f>
        <v>0</v>
      </c>
      <c r="BV151" s="283">
        <f t="shared" si="327"/>
        <v>0</v>
      </c>
      <c r="BW151" s="283">
        <f t="shared" si="327"/>
        <v>0</v>
      </c>
      <c r="BX151" s="283">
        <f t="shared" si="327"/>
        <v>0</v>
      </c>
      <c r="BY151" s="284">
        <f t="shared" si="327"/>
        <v>0</v>
      </c>
      <c r="BZ151" s="283">
        <f t="shared" si="327"/>
        <v>0</v>
      </c>
      <c r="CA151" s="285">
        <f t="shared" si="327"/>
        <v>0</v>
      </c>
      <c r="CB151" s="173"/>
      <c r="CC151" s="282">
        <f t="shared" ref="CC151:CI151" si="328">SUM(CC144:CC150)</f>
        <v>0</v>
      </c>
      <c r="CD151" s="283">
        <f t="shared" si="328"/>
        <v>0</v>
      </c>
      <c r="CE151" s="283">
        <f t="shared" si="328"/>
        <v>0</v>
      </c>
      <c r="CF151" s="283">
        <f t="shared" si="328"/>
        <v>0</v>
      </c>
      <c r="CG151" s="284">
        <f t="shared" si="328"/>
        <v>0</v>
      </c>
      <c r="CH151" s="283">
        <f t="shared" si="328"/>
        <v>0</v>
      </c>
      <c r="CI151" s="285">
        <f t="shared" si="328"/>
        <v>0</v>
      </c>
      <c r="CJ151" s="173"/>
      <c r="CK151" s="282">
        <f t="shared" ref="CK151:CQ151" si="329">SUM(CK144:CK150)</f>
        <v>0</v>
      </c>
      <c r="CL151" s="283">
        <f t="shared" si="329"/>
        <v>0</v>
      </c>
      <c r="CM151" s="283">
        <f t="shared" si="329"/>
        <v>0</v>
      </c>
      <c r="CN151" s="283">
        <f t="shared" si="329"/>
        <v>0</v>
      </c>
      <c r="CO151" s="284">
        <f t="shared" si="329"/>
        <v>0</v>
      </c>
      <c r="CP151" s="283">
        <f t="shared" si="329"/>
        <v>0</v>
      </c>
      <c r="CQ151" s="285">
        <f t="shared" si="329"/>
        <v>0</v>
      </c>
    </row>
    <row r="152" spans="1:95" ht="16.5" thickBot="1" x14ac:dyDescent="0.3">
      <c r="A152" s="299" t="s">
        <v>105</v>
      </c>
      <c r="B152" s="273"/>
      <c r="C152" s="306">
        <f>SUM(C144:C150)</f>
        <v>0</v>
      </c>
      <c r="D152" s="307">
        <f>SUM(D144:D150)</f>
        <v>0</v>
      </c>
      <c r="E152" s="306">
        <f>SUM(E144:E150)</f>
        <v>0</v>
      </c>
      <c r="F152" s="307">
        <f>SUM(F144:F150)</f>
        <v>0</v>
      </c>
      <c r="G152" s="268" t="e">
        <f>D152/C152</f>
        <v>#DIV/0!</v>
      </c>
      <c r="H152" s="279" t="e">
        <f t="shared" ref="H152:X152" si="330">H151/$G152</f>
        <v>#DIV/0!</v>
      </c>
      <c r="I152" s="241" t="e">
        <f t="shared" si="330"/>
        <v>#DIV/0!</v>
      </c>
      <c r="J152" s="239" t="e">
        <f t="shared" si="330"/>
        <v>#DIV/0!</v>
      </c>
      <c r="K152" s="279" t="e">
        <f t="shared" si="330"/>
        <v>#DIV/0!</v>
      </c>
      <c r="L152" s="241" t="e">
        <f t="shared" si="330"/>
        <v>#DIV/0!</v>
      </c>
      <c r="M152" s="239" t="e">
        <f t="shared" si="330"/>
        <v>#DIV/0!</v>
      </c>
      <c r="N152" s="279" t="e">
        <f t="shared" si="330"/>
        <v>#DIV/0!</v>
      </c>
      <c r="O152" s="241" t="e">
        <f t="shared" si="330"/>
        <v>#DIV/0!</v>
      </c>
      <c r="P152" s="270" t="e">
        <f t="shared" si="330"/>
        <v>#DIV/0!</v>
      </c>
      <c r="Q152" s="279" t="e">
        <f t="shared" si="330"/>
        <v>#DIV/0!</v>
      </c>
      <c r="R152" s="241" t="e">
        <f t="shared" si="330"/>
        <v>#DIV/0!</v>
      </c>
      <c r="S152" s="270" t="e">
        <f t="shared" si="330"/>
        <v>#DIV/0!</v>
      </c>
      <c r="T152" s="269" t="e">
        <f t="shared" si="330"/>
        <v>#DIV/0!</v>
      </c>
      <c r="U152" s="239" t="e">
        <f t="shared" si="330"/>
        <v>#DIV/0!</v>
      </c>
      <c r="V152" s="241" t="e">
        <f t="shared" si="330"/>
        <v>#DIV/0!</v>
      </c>
      <c r="W152" s="241" t="e">
        <f t="shared" si="330"/>
        <v>#DIV/0!</v>
      </c>
      <c r="X152" s="270" t="e">
        <f t="shared" si="330"/>
        <v>#DIV/0!</v>
      </c>
      <c r="Y152" s="173"/>
      <c r="Z152" s="289" t="e">
        <f>Z151/$G152</f>
        <v>#DIV/0!</v>
      </c>
      <c r="AA152" s="290" t="e">
        <f t="shared" ref="AA152:AU152" si="331">AA151/$G152</f>
        <v>#DIV/0!</v>
      </c>
      <c r="AB152" s="290" t="e">
        <f t="shared" si="331"/>
        <v>#DIV/0!</v>
      </c>
      <c r="AC152" s="292" t="e">
        <f t="shared" si="331"/>
        <v>#DIV/0!</v>
      </c>
      <c r="AD152" s="289" t="e">
        <f t="shared" si="331"/>
        <v>#DIV/0!</v>
      </c>
      <c r="AE152" s="324" t="e">
        <f t="shared" si="331"/>
        <v>#DIV/0!</v>
      </c>
      <c r="AF152" s="291" t="e">
        <f t="shared" si="331"/>
        <v>#DIV/0!</v>
      </c>
      <c r="AG152" s="324" t="e">
        <f t="shared" si="331"/>
        <v>#DIV/0!</v>
      </c>
      <c r="AH152" s="290" t="e">
        <f t="shared" si="331"/>
        <v>#DIV/0!</v>
      </c>
      <c r="AI152" s="290" t="e">
        <f t="shared" si="331"/>
        <v>#DIV/0!</v>
      </c>
      <c r="AJ152" s="291" t="e">
        <f t="shared" si="331"/>
        <v>#DIV/0!</v>
      </c>
      <c r="AK152" s="324" t="e">
        <f t="shared" si="331"/>
        <v>#DIV/0!</v>
      </c>
      <c r="AL152" s="291" t="e">
        <f t="shared" si="331"/>
        <v>#DIV/0!</v>
      </c>
      <c r="AM152" s="324" t="e">
        <f t="shared" si="331"/>
        <v>#DIV/0!</v>
      </c>
      <c r="AN152" s="325" t="e">
        <f t="shared" si="331"/>
        <v>#DIV/0!</v>
      </c>
      <c r="AO152" s="326" t="e">
        <f t="shared" si="331"/>
        <v>#DIV/0!</v>
      </c>
      <c r="AP152" s="325" t="e">
        <f t="shared" si="331"/>
        <v>#DIV/0!</v>
      </c>
      <c r="AQ152" s="326" t="e">
        <f t="shared" si="331"/>
        <v>#DIV/0!</v>
      </c>
      <c r="AR152" s="287" t="e">
        <f t="shared" si="331"/>
        <v>#DIV/0!</v>
      </c>
      <c r="AS152" s="286" t="e">
        <f t="shared" si="331"/>
        <v>#DIV/0!</v>
      </c>
      <c r="AT152" s="290" t="e">
        <f t="shared" si="331"/>
        <v>#DIV/0!</v>
      </c>
      <c r="AU152" s="292" t="e">
        <f t="shared" si="331"/>
        <v>#DIV/0!</v>
      </c>
      <c r="AV152" s="288"/>
      <c r="AW152" s="289" t="e">
        <f t="shared" ref="AW152:BC152" si="332">AW151/$G152</f>
        <v>#DIV/0!</v>
      </c>
      <c r="AX152" s="290" t="e">
        <f t="shared" si="332"/>
        <v>#DIV/0!</v>
      </c>
      <c r="AY152" s="290" t="e">
        <f t="shared" si="332"/>
        <v>#DIV/0!</v>
      </c>
      <c r="AZ152" s="290" t="e">
        <f t="shared" si="332"/>
        <v>#DIV/0!</v>
      </c>
      <c r="BA152" s="291" t="e">
        <f t="shared" si="332"/>
        <v>#DIV/0!</v>
      </c>
      <c r="BB152" s="290" t="e">
        <f t="shared" si="332"/>
        <v>#DIV/0!</v>
      </c>
      <c r="BC152" s="292" t="e">
        <f t="shared" si="332"/>
        <v>#DIV/0!</v>
      </c>
      <c r="BD152" s="288"/>
      <c r="BE152" s="289" t="e">
        <f t="shared" ref="BE152:BK152" si="333">BE151/$G152</f>
        <v>#DIV/0!</v>
      </c>
      <c r="BF152" s="290" t="e">
        <f t="shared" si="333"/>
        <v>#DIV/0!</v>
      </c>
      <c r="BG152" s="290" t="e">
        <f t="shared" si="333"/>
        <v>#DIV/0!</v>
      </c>
      <c r="BH152" s="290" t="e">
        <f t="shared" si="333"/>
        <v>#DIV/0!</v>
      </c>
      <c r="BI152" s="291" t="e">
        <f t="shared" si="333"/>
        <v>#DIV/0!</v>
      </c>
      <c r="BJ152" s="290" t="e">
        <f t="shared" si="333"/>
        <v>#DIV/0!</v>
      </c>
      <c r="BK152" s="292" t="e">
        <f t="shared" si="333"/>
        <v>#DIV/0!</v>
      </c>
      <c r="BL152" s="288"/>
      <c r="BM152" s="289" t="e">
        <f t="shared" ref="BM152:BS152" si="334">BM151/$G152</f>
        <v>#DIV/0!</v>
      </c>
      <c r="BN152" s="290" t="e">
        <f t="shared" si="334"/>
        <v>#DIV/0!</v>
      </c>
      <c r="BO152" s="290" t="e">
        <f t="shared" si="334"/>
        <v>#DIV/0!</v>
      </c>
      <c r="BP152" s="290" t="e">
        <f t="shared" si="334"/>
        <v>#DIV/0!</v>
      </c>
      <c r="BQ152" s="291" t="e">
        <f t="shared" si="334"/>
        <v>#DIV/0!</v>
      </c>
      <c r="BR152" s="290" t="e">
        <f t="shared" si="334"/>
        <v>#DIV/0!</v>
      </c>
      <c r="BS152" s="292" t="e">
        <f t="shared" si="334"/>
        <v>#DIV/0!</v>
      </c>
      <c r="BT152" s="288"/>
      <c r="BU152" s="289" t="e">
        <f t="shared" ref="BU152:CA152" si="335">BU151/$G152</f>
        <v>#DIV/0!</v>
      </c>
      <c r="BV152" s="290" t="e">
        <f t="shared" si="335"/>
        <v>#DIV/0!</v>
      </c>
      <c r="BW152" s="290" t="e">
        <f t="shared" si="335"/>
        <v>#DIV/0!</v>
      </c>
      <c r="BX152" s="290" t="e">
        <f t="shared" si="335"/>
        <v>#DIV/0!</v>
      </c>
      <c r="BY152" s="291" t="e">
        <f t="shared" si="335"/>
        <v>#DIV/0!</v>
      </c>
      <c r="BZ152" s="290" t="e">
        <f t="shared" si="335"/>
        <v>#DIV/0!</v>
      </c>
      <c r="CA152" s="292" t="e">
        <f t="shared" si="335"/>
        <v>#DIV/0!</v>
      </c>
      <c r="CB152" s="288"/>
      <c r="CC152" s="289" t="e">
        <f t="shared" ref="CC152:CI152" si="336">CC151/$G152</f>
        <v>#DIV/0!</v>
      </c>
      <c r="CD152" s="290" t="e">
        <f t="shared" si="336"/>
        <v>#DIV/0!</v>
      </c>
      <c r="CE152" s="290" t="e">
        <f t="shared" si="336"/>
        <v>#DIV/0!</v>
      </c>
      <c r="CF152" s="290" t="e">
        <f t="shared" si="336"/>
        <v>#DIV/0!</v>
      </c>
      <c r="CG152" s="291" t="e">
        <f t="shared" si="336"/>
        <v>#DIV/0!</v>
      </c>
      <c r="CH152" s="290" t="e">
        <f t="shared" si="336"/>
        <v>#DIV/0!</v>
      </c>
      <c r="CI152" s="292" t="e">
        <f t="shared" si="336"/>
        <v>#DIV/0!</v>
      </c>
      <c r="CJ152" s="288"/>
      <c r="CK152" s="289" t="e">
        <f t="shared" ref="CK152:CQ152" si="337">CK151/$G152</f>
        <v>#DIV/0!</v>
      </c>
      <c r="CL152" s="290" t="e">
        <f t="shared" si="337"/>
        <v>#DIV/0!</v>
      </c>
      <c r="CM152" s="290" t="e">
        <f t="shared" si="337"/>
        <v>#DIV/0!</v>
      </c>
      <c r="CN152" s="290" t="e">
        <f t="shared" si="337"/>
        <v>#DIV/0!</v>
      </c>
      <c r="CO152" s="291" t="e">
        <f t="shared" si="337"/>
        <v>#DIV/0!</v>
      </c>
      <c r="CP152" s="290" t="e">
        <f t="shared" si="337"/>
        <v>#DIV/0!</v>
      </c>
      <c r="CQ152" s="292" t="e">
        <f t="shared" si="337"/>
        <v>#DIV/0!</v>
      </c>
    </row>
    <row r="153" spans="1:95" ht="16.5" thickBot="1" x14ac:dyDescent="0.3"/>
    <row r="154" spans="1:95" x14ac:dyDescent="0.25">
      <c r="A154" s="52" t="s">
        <v>7</v>
      </c>
      <c r="B154" s="166">
        <f>B150+1</f>
        <v>45978</v>
      </c>
      <c r="C154" s="627"/>
      <c r="D154" s="259"/>
      <c r="E154" s="168"/>
      <c r="F154" s="317"/>
      <c r="G154" s="253"/>
      <c r="H154" s="247">
        <f t="shared" ref="H154:H160" si="338">SUM(I154:J154)</f>
        <v>0</v>
      </c>
      <c r="I154" s="260"/>
      <c r="J154" s="168"/>
      <c r="K154" s="247">
        <f t="shared" ref="K154:K160" si="339">SUM(L154:M154)</f>
        <v>0</v>
      </c>
      <c r="L154" s="260"/>
      <c r="M154" s="168"/>
      <c r="N154" s="311">
        <f t="shared" ref="N154:N160" si="340">SUM(O154:P154)</f>
        <v>0</v>
      </c>
      <c r="O154" s="260"/>
      <c r="P154" s="259"/>
      <c r="Q154" s="311">
        <f t="shared" ref="Q154:Q160" si="341">SUM(R154:S154)</f>
        <v>0</v>
      </c>
      <c r="R154" s="260"/>
      <c r="S154" s="259"/>
      <c r="T154" s="261"/>
      <c r="U154" s="168"/>
      <c r="V154" s="260"/>
      <c r="W154" s="520"/>
      <c r="X154" s="262"/>
      <c r="Y154" s="168"/>
      <c r="Z154" s="261"/>
      <c r="AA154" s="168"/>
      <c r="AB154" s="168"/>
      <c r="AC154" s="262"/>
      <c r="AD154" s="261"/>
      <c r="AE154" s="259"/>
      <c r="AF154" s="260"/>
      <c r="AG154" s="259"/>
      <c r="AH154" s="168"/>
      <c r="AI154" s="168"/>
      <c r="AJ154" s="260"/>
      <c r="AK154" s="259"/>
      <c r="AL154" s="260"/>
      <c r="AM154" s="259"/>
      <c r="AN154" s="168"/>
      <c r="AO154" s="168"/>
      <c r="AP154" s="260"/>
      <c r="AQ154" s="259"/>
      <c r="AR154" s="168"/>
      <c r="AS154" s="168"/>
      <c r="AT154" s="168"/>
      <c r="AU154" s="262"/>
      <c r="AV154" s="168"/>
      <c r="AW154" s="257"/>
      <c r="AX154" s="255"/>
      <c r="AY154" s="255"/>
      <c r="AZ154" s="255"/>
      <c r="BA154" s="254"/>
      <c r="BB154" s="255"/>
      <c r="BC154" s="258"/>
      <c r="BD154" s="168"/>
      <c r="BE154" s="257"/>
      <c r="BF154" s="255"/>
      <c r="BG154" s="255"/>
      <c r="BH154" s="255"/>
      <c r="BI154" s="254"/>
      <c r="BJ154" s="255"/>
      <c r="BK154" s="258"/>
      <c r="BL154" s="168"/>
      <c r="BM154" s="257"/>
      <c r="BN154" s="255"/>
      <c r="BO154" s="255"/>
      <c r="BP154" s="255"/>
      <c r="BQ154" s="254"/>
      <c r="BR154" s="255"/>
      <c r="BS154" s="258"/>
      <c r="BT154" s="168"/>
      <c r="BU154" s="257"/>
      <c r="BV154" s="255"/>
      <c r="BW154" s="255"/>
      <c r="BX154" s="255"/>
      <c r="BY154" s="254"/>
      <c r="BZ154" s="255"/>
      <c r="CA154" s="258"/>
      <c r="CB154" s="168"/>
      <c r="CC154" s="257"/>
      <c r="CD154" s="255"/>
      <c r="CE154" s="255"/>
      <c r="CF154" s="255"/>
      <c r="CG154" s="254"/>
      <c r="CH154" s="255"/>
      <c r="CI154" s="258"/>
      <c r="CJ154" s="168"/>
      <c r="CK154" s="257"/>
      <c r="CL154" s="255"/>
      <c r="CM154" s="255"/>
      <c r="CN154" s="255"/>
      <c r="CO154" s="254"/>
      <c r="CP154" s="255"/>
      <c r="CQ154" s="258"/>
    </row>
    <row r="155" spans="1:95" x14ac:dyDescent="0.25">
      <c r="A155" s="132" t="s">
        <v>10</v>
      </c>
      <c r="B155" s="167">
        <f t="shared" ref="B155:B166" si="342">B154+1</f>
        <v>45979</v>
      </c>
      <c r="C155" s="540"/>
      <c r="D155" s="259"/>
      <c r="E155" s="168"/>
      <c r="F155" s="317"/>
      <c r="G155" s="253"/>
      <c r="H155" s="247">
        <f t="shared" si="338"/>
        <v>0</v>
      </c>
      <c r="I155" s="260"/>
      <c r="J155" s="168"/>
      <c r="K155" s="247">
        <f t="shared" si="339"/>
        <v>0</v>
      </c>
      <c r="L155" s="260"/>
      <c r="M155" s="168"/>
      <c r="N155" s="311">
        <f t="shared" si="340"/>
        <v>0</v>
      </c>
      <c r="O155" s="260"/>
      <c r="P155" s="259"/>
      <c r="Q155" s="311">
        <f t="shared" si="341"/>
        <v>0</v>
      </c>
      <c r="R155" s="260"/>
      <c r="S155" s="259"/>
      <c r="T155" s="261"/>
      <c r="U155" s="168"/>
      <c r="V155" s="260"/>
      <c r="W155" s="260"/>
      <c r="X155" s="262"/>
      <c r="Y155" s="168"/>
      <c r="Z155" s="261"/>
      <c r="AA155" s="168"/>
      <c r="AB155" s="168"/>
      <c r="AC155" s="262"/>
      <c r="AD155" s="261"/>
      <c r="AE155" s="259"/>
      <c r="AF155" s="260"/>
      <c r="AG155" s="259"/>
      <c r="AH155" s="168"/>
      <c r="AI155" s="168"/>
      <c r="AJ155" s="260"/>
      <c r="AK155" s="259"/>
      <c r="AL155" s="260"/>
      <c r="AM155" s="259"/>
      <c r="AN155" s="168"/>
      <c r="AO155" s="168"/>
      <c r="AP155" s="260"/>
      <c r="AQ155" s="259"/>
      <c r="AR155" s="168"/>
      <c r="AS155" s="168"/>
      <c r="AT155" s="168"/>
      <c r="AU155" s="262"/>
      <c r="AV155" s="168"/>
      <c r="AW155" s="261"/>
      <c r="AX155" s="168"/>
      <c r="AY155" s="168"/>
      <c r="AZ155" s="168"/>
      <c r="BA155" s="260"/>
      <c r="BB155" s="168"/>
      <c r="BC155" s="262"/>
      <c r="BD155" s="168"/>
      <c r="BE155" s="261"/>
      <c r="BF155" s="168"/>
      <c r="BG155" s="168"/>
      <c r="BH155" s="168"/>
      <c r="BI155" s="260"/>
      <c r="BJ155" s="168"/>
      <c r="BK155" s="262"/>
      <c r="BL155" s="168"/>
      <c r="BM155" s="261"/>
      <c r="BN155" s="168"/>
      <c r="BO155" s="168"/>
      <c r="BP155" s="168"/>
      <c r="BQ155" s="260"/>
      <c r="BR155" s="168"/>
      <c r="BS155" s="262"/>
      <c r="BT155" s="168"/>
      <c r="BU155" s="261"/>
      <c r="BV155" s="168"/>
      <c r="BW155" s="168"/>
      <c r="BX155" s="168"/>
      <c r="BY155" s="260"/>
      <c r="BZ155" s="168"/>
      <c r="CA155" s="262"/>
      <c r="CB155" s="168"/>
      <c r="CC155" s="261"/>
      <c r="CD155" s="168"/>
      <c r="CE155" s="168"/>
      <c r="CF155" s="168"/>
      <c r="CG155" s="260"/>
      <c r="CH155" s="168"/>
      <c r="CI155" s="262"/>
      <c r="CJ155" s="168"/>
      <c r="CK155" s="261"/>
      <c r="CL155" s="168"/>
      <c r="CM155" s="168"/>
      <c r="CN155" s="168"/>
      <c r="CO155" s="260"/>
      <c r="CP155" s="168"/>
      <c r="CQ155" s="262"/>
    </row>
    <row r="156" spans="1:95" x14ac:dyDescent="0.25">
      <c r="A156" s="132" t="s">
        <v>11</v>
      </c>
      <c r="B156" s="167">
        <f t="shared" si="342"/>
        <v>45980</v>
      </c>
      <c r="C156" s="540"/>
      <c r="D156" s="259"/>
      <c r="E156" s="168"/>
      <c r="F156" s="317"/>
      <c r="G156" s="253"/>
      <c r="H156" s="247">
        <f t="shared" si="338"/>
        <v>0</v>
      </c>
      <c r="I156" s="260"/>
      <c r="J156" s="168"/>
      <c r="K156" s="247">
        <f t="shared" si="339"/>
        <v>0</v>
      </c>
      <c r="L156" s="260"/>
      <c r="M156" s="168"/>
      <c r="N156" s="311">
        <f t="shared" si="340"/>
        <v>0</v>
      </c>
      <c r="O156" s="260"/>
      <c r="P156" s="259"/>
      <c r="Q156" s="311">
        <f t="shared" si="341"/>
        <v>0</v>
      </c>
      <c r="R156" s="260"/>
      <c r="S156" s="259"/>
      <c r="T156" s="261"/>
      <c r="U156" s="168"/>
      <c r="V156" s="260"/>
      <c r="W156" s="260"/>
      <c r="X156" s="262"/>
      <c r="Y156" s="168"/>
      <c r="Z156" s="261"/>
      <c r="AA156" s="168"/>
      <c r="AB156" s="168"/>
      <c r="AC156" s="262"/>
      <c r="AD156" s="261"/>
      <c r="AE156" s="259"/>
      <c r="AF156" s="260"/>
      <c r="AG156" s="259"/>
      <c r="AH156" s="168"/>
      <c r="AI156" s="168"/>
      <c r="AJ156" s="260"/>
      <c r="AK156" s="259"/>
      <c r="AL156" s="260"/>
      <c r="AM156" s="259"/>
      <c r="AN156" s="168"/>
      <c r="AO156" s="168"/>
      <c r="AP156" s="260"/>
      <c r="AQ156" s="259"/>
      <c r="AR156" s="168"/>
      <c r="AS156" s="168"/>
      <c r="AT156" s="168"/>
      <c r="AU156" s="262"/>
      <c r="AV156" s="168"/>
      <c r="AW156" s="261"/>
      <c r="AX156" s="168"/>
      <c r="AY156" s="168"/>
      <c r="AZ156" s="168"/>
      <c r="BA156" s="260"/>
      <c r="BB156" s="168"/>
      <c r="BC156" s="262"/>
      <c r="BD156" s="168"/>
      <c r="BE156" s="261"/>
      <c r="BF156" s="168"/>
      <c r="BG156" s="168"/>
      <c r="BH156" s="168"/>
      <c r="BI156" s="260"/>
      <c r="BJ156" s="168"/>
      <c r="BK156" s="262"/>
      <c r="BL156" s="168"/>
      <c r="BM156" s="261"/>
      <c r="BN156" s="168"/>
      <c r="BO156" s="168"/>
      <c r="BP156" s="168"/>
      <c r="BQ156" s="260"/>
      <c r="BR156" s="168"/>
      <c r="BS156" s="262"/>
      <c r="BT156" s="168"/>
      <c r="BU156" s="261"/>
      <c r="BV156" s="168"/>
      <c r="BW156" s="168"/>
      <c r="BX156" s="168"/>
      <c r="BY156" s="260"/>
      <c r="BZ156" s="168"/>
      <c r="CA156" s="262"/>
      <c r="CB156" s="168"/>
      <c r="CC156" s="261"/>
      <c r="CD156" s="168"/>
      <c r="CE156" s="168"/>
      <c r="CF156" s="168"/>
      <c r="CG156" s="260"/>
      <c r="CH156" s="168"/>
      <c r="CI156" s="262"/>
      <c r="CJ156" s="168"/>
      <c r="CK156" s="261"/>
      <c r="CL156" s="168"/>
      <c r="CM156" s="168"/>
      <c r="CN156" s="168"/>
      <c r="CO156" s="260"/>
      <c r="CP156" s="168"/>
      <c r="CQ156" s="262"/>
    </row>
    <row r="157" spans="1:95" x14ac:dyDescent="0.25">
      <c r="A157" s="132" t="s">
        <v>12</v>
      </c>
      <c r="B157" s="167">
        <f t="shared" si="342"/>
        <v>45981</v>
      </c>
      <c r="C157" s="540"/>
      <c r="D157" s="259"/>
      <c r="E157" s="168"/>
      <c r="F157" s="317"/>
      <c r="G157" s="253"/>
      <c r="H157" s="247">
        <f t="shared" si="338"/>
        <v>0</v>
      </c>
      <c r="I157" s="260"/>
      <c r="J157" s="168"/>
      <c r="K157" s="247">
        <f t="shared" si="339"/>
        <v>0</v>
      </c>
      <c r="L157" s="260"/>
      <c r="M157" s="168"/>
      <c r="N157" s="311">
        <f t="shared" si="340"/>
        <v>0</v>
      </c>
      <c r="O157" s="260"/>
      <c r="P157" s="259"/>
      <c r="Q157" s="311">
        <f t="shared" si="341"/>
        <v>0</v>
      </c>
      <c r="R157" s="260"/>
      <c r="S157" s="259"/>
      <c r="T157" s="261"/>
      <c r="U157" s="168"/>
      <c r="V157" s="260"/>
      <c r="W157" s="260"/>
      <c r="X157" s="262"/>
      <c r="Y157" s="168"/>
      <c r="Z157" s="261"/>
      <c r="AA157" s="168"/>
      <c r="AB157" s="168"/>
      <c r="AC157" s="262"/>
      <c r="AD157" s="261"/>
      <c r="AE157" s="259"/>
      <c r="AF157" s="260"/>
      <c r="AG157" s="259"/>
      <c r="AH157" s="168"/>
      <c r="AI157" s="168"/>
      <c r="AJ157" s="260"/>
      <c r="AK157" s="259"/>
      <c r="AL157" s="260"/>
      <c r="AM157" s="259"/>
      <c r="AN157" s="168"/>
      <c r="AO157" s="168"/>
      <c r="AP157" s="260"/>
      <c r="AQ157" s="259"/>
      <c r="AR157" s="168"/>
      <c r="AS157" s="168"/>
      <c r="AT157" s="168"/>
      <c r="AU157" s="262"/>
      <c r="AV157" s="168"/>
      <c r="AW157" s="261"/>
      <c r="AX157" s="168"/>
      <c r="AY157" s="168"/>
      <c r="AZ157" s="168"/>
      <c r="BA157" s="260"/>
      <c r="BB157" s="168"/>
      <c r="BC157" s="262"/>
      <c r="BD157" s="168"/>
      <c r="BE157" s="261"/>
      <c r="BF157" s="168"/>
      <c r="BG157" s="168"/>
      <c r="BH157" s="168"/>
      <c r="BI157" s="260"/>
      <c r="BJ157" s="168"/>
      <c r="BK157" s="262"/>
      <c r="BL157" s="168"/>
      <c r="BM157" s="261"/>
      <c r="BN157" s="168"/>
      <c r="BO157" s="168"/>
      <c r="BP157" s="168"/>
      <c r="BQ157" s="260"/>
      <c r="BR157" s="168"/>
      <c r="BS157" s="262"/>
      <c r="BT157" s="168"/>
      <c r="BU157" s="261"/>
      <c r="BV157" s="168"/>
      <c r="BW157" s="168"/>
      <c r="BX157" s="168"/>
      <c r="BY157" s="260"/>
      <c r="BZ157" s="168"/>
      <c r="CA157" s="262"/>
      <c r="CB157" s="168"/>
      <c r="CC157" s="261"/>
      <c r="CD157" s="168"/>
      <c r="CE157" s="168"/>
      <c r="CF157" s="168"/>
      <c r="CG157" s="260"/>
      <c r="CH157" s="168"/>
      <c r="CI157" s="262"/>
      <c r="CJ157" s="168"/>
      <c r="CK157" s="261"/>
      <c r="CL157" s="168"/>
      <c r="CM157" s="168"/>
      <c r="CN157" s="168"/>
      <c r="CO157" s="260"/>
      <c r="CP157" s="168"/>
      <c r="CQ157" s="262"/>
    </row>
    <row r="158" spans="1:95" x14ac:dyDescent="0.25">
      <c r="A158" s="132" t="s">
        <v>13</v>
      </c>
      <c r="B158" s="167">
        <f t="shared" si="342"/>
        <v>45982</v>
      </c>
      <c r="C158" s="540"/>
      <c r="D158" s="259"/>
      <c r="E158" s="168"/>
      <c r="F158" s="317"/>
      <c r="G158" s="253"/>
      <c r="H158" s="247">
        <f t="shared" si="338"/>
        <v>0</v>
      </c>
      <c r="I158" s="260"/>
      <c r="J158" s="168"/>
      <c r="K158" s="247">
        <f t="shared" si="339"/>
        <v>0</v>
      </c>
      <c r="L158" s="260"/>
      <c r="M158" s="168"/>
      <c r="N158" s="311">
        <f t="shared" si="340"/>
        <v>0</v>
      </c>
      <c r="O158" s="260"/>
      <c r="P158" s="259"/>
      <c r="Q158" s="311">
        <f t="shared" si="341"/>
        <v>0</v>
      </c>
      <c r="R158" s="260"/>
      <c r="S158" s="259"/>
      <c r="T158" s="261"/>
      <c r="U158" s="168"/>
      <c r="V158" s="260"/>
      <c r="W158" s="260"/>
      <c r="X158" s="262"/>
      <c r="Y158" s="168"/>
      <c r="Z158" s="261"/>
      <c r="AA158" s="168"/>
      <c r="AB158" s="168"/>
      <c r="AC158" s="262"/>
      <c r="AD158" s="261"/>
      <c r="AE158" s="259"/>
      <c r="AF158" s="260"/>
      <c r="AG158" s="259"/>
      <c r="AH158" s="168"/>
      <c r="AI158" s="168"/>
      <c r="AJ158" s="260"/>
      <c r="AK158" s="259"/>
      <c r="AL158" s="260"/>
      <c r="AM158" s="259"/>
      <c r="AN158" s="168"/>
      <c r="AO158" s="168"/>
      <c r="AP158" s="260"/>
      <c r="AQ158" s="259"/>
      <c r="AR158" s="168"/>
      <c r="AS158" s="168"/>
      <c r="AT158" s="168"/>
      <c r="AU158" s="262"/>
      <c r="AV158" s="168"/>
      <c r="AW158" s="261"/>
      <c r="AX158" s="168"/>
      <c r="AY158" s="168"/>
      <c r="AZ158" s="168"/>
      <c r="BA158" s="260"/>
      <c r="BB158" s="168"/>
      <c r="BC158" s="262"/>
      <c r="BD158" s="168"/>
      <c r="BE158" s="261"/>
      <c r="BF158" s="168"/>
      <c r="BG158" s="168"/>
      <c r="BH158" s="168"/>
      <c r="BI158" s="260"/>
      <c r="BJ158" s="168"/>
      <c r="BK158" s="262"/>
      <c r="BL158" s="168"/>
      <c r="BM158" s="261"/>
      <c r="BN158" s="168"/>
      <c r="BO158" s="168"/>
      <c r="BP158" s="168"/>
      <c r="BQ158" s="260"/>
      <c r="BR158" s="168"/>
      <c r="BS158" s="262"/>
      <c r="BT158" s="168"/>
      <c r="BU158" s="261"/>
      <c r="BV158" s="168"/>
      <c r="BW158" s="168"/>
      <c r="BX158" s="168"/>
      <c r="BY158" s="260"/>
      <c r="BZ158" s="168"/>
      <c r="CA158" s="262"/>
      <c r="CB158" s="168"/>
      <c r="CC158" s="261"/>
      <c r="CD158" s="168"/>
      <c r="CE158" s="168"/>
      <c r="CF158" s="168"/>
      <c r="CG158" s="260"/>
      <c r="CH158" s="168"/>
      <c r="CI158" s="262"/>
      <c r="CJ158" s="168"/>
      <c r="CK158" s="261"/>
      <c r="CL158" s="168"/>
      <c r="CM158" s="168"/>
      <c r="CN158" s="168"/>
      <c r="CO158" s="260"/>
      <c r="CP158" s="168"/>
      <c r="CQ158" s="262"/>
    </row>
    <row r="159" spans="1:95" x14ac:dyDescent="0.25">
      <c r="A159" s="132" t="s">
        <v>14</v>
      </c>
      <c r="B159" s="167">
        <f t="shared" si="342"/>
        <v>45983</v>
      </c>
      <c r="C159" s="173"/>
      <c r="D159" s="259"/>
      <c r="E159" s="168"/>
      <c r="F159" s="317"/>
      <c r="G159" s="260"/>
      <c r="H159" s="247">
        <f t="shared" si="338"/>
        <v>0</v>
      </c>
      <c r="I159" s="260"/>
      <c r="J159" s="168"/>
      <c r="K159" s="247">
        <f t="shared" si="339"/>
        <v>0</v>
      </c>
      <c r="L159" s="260"/>
      <c r="M159" s="168"/>
      <c r="N159" s="311">
        <f t="shared" si="340"/>
        <v>0</v>
      </c>
      <c r="O159" s="260"/>
      <c r="P159" s="259"/>
      <c r="Q159" s="311">
        <f t="shared" si="341"/>
        <v>0</v>
      </c>
      <c r="R159" s="260"/>
      <c r="S159" s="259"/>
      <c r="T159" s="261"/>
      <c r="U159" s="168"/>
      <c r="V159" s="260"/>
      <c r="W159" s="260"/>
      <c r="X159" s="262"/>
      <c r="Y159" s="168"/>
      <c r="Z159" s="261"/>
      <c r="AA159" s="168"/>
      <c r="AB159" s="168"/>
      <c r="AC159" s="262"/>
      <c r="AD159" s="261"/>
      <c r="AE159" s="259"/>
      <c r="AF159" s="260"/>
      <c r="AG159" s="259"/>
      <c r="AH159" s="168"/>
      <c r="AI159" s="168"/>
      <c r="AJ159" s="260"/>
      <c r="AK159" s="259"/>
      <c r="AL159" s="260"/>
      <c r="AM159" s="259"/>
      <c r="AN159" s="168"/>
      <c r="AO159" s="168"/>
      <c r="AP159" s="260"/>
      <c r="AQ159" s="259"/>
      <c r="AR159" s="168"/>
      <c r="AS159" s="168"/>
      <c r="AT159" s="168"/>
      <c r="AU159" s="262"/>
      <c r="AV159" s="168"/>
      <c r="AW159" s="261"/>
      <c r="AX159" s="168"/>
      <c r="AY159" s="168"/>
      <c r="AZ159" s="168"/>
      <c r="BA159" s="260"/>
      <c r="BB159" s="168"/>
      <c r="BC159" s="262"/>
      <c r="BD159" s="168"/>
      <c r="BE159" s="261"/>
      <c r="BF159" s="168"/>
      <c r="BG159" s="168"/>
      <c r="BH159" s="168"/>
      <c r="BI159" s="260"/>
      <c r="BJ159" s="168"/>
      <c r="BK159" s="262"/>
      <c r="BL159" s="168"/>
      <c r="BM159" s="261"/>
      <c r="BN159" s="168"/>
      <c r="BO159" s="168"/>
      <c r="BP159" s="168"/>
      <c r="BQ159" s="260"/>
      <c r="BR159" s="168"/>
      <c r="BS159" s="262"/>
      <c r="BT159" s="168"/>
      <c r="BU159" s="261"/>
      <c r="BV159" s="168"/>
      <c r="BW159" s="168"/>
      <c r="BX159" s="168"/>
      <c r="BY159" s="260"/>
      <c r="BZ159" s="168"/>
      <c r="CA159" s="262"/>
      <c r="CB159" s="168"/>
      <c r="CC159" s="261"/>
      <c r="CD159" s="168"/>
      <c r="CE159" s="168"/>
      <c r="CF159" s="168"/>
      <c r="CG159" s="260"/>
      <c r="CH159" s="168"/>
      <c r="CI159" s="262"/>
      <c r="CJ159" s="168"/>
      <c r="CK159" s="261"/>
      <c r="CL159" s="168"/>
      <c r="CM159" s="168"/>
      <c r="CN159" s="168"/>
      <c r="CO159" s="260"/>
      <c r="CP159" s="168"/>
      <c r="CQ159" s="262"/>
    </row>
    <row r="160" spans="1:95" ht="16.5" thickBot="1" x14ac:dyDescent="0.3">
      <c r="A160" s="132" t="s">
        <v>15</v>
      </c>
      <c r="B160" s="167">
        <f t="shared" si="342"/>
        <v>45984</v>
      </c>
      <c r="C160" s="173"/>
      <c r="D160" s="259"/>
      <c r="E160" s="238"/>
      <c r="F160" s="318"/>
      <c r="G160" s="237"/>
      <c r="H160" s="248">
        <f t="shared" si="338"/>
        <v>0</v>
      </c>
      <c r="I160" s="237"/>
      <c r="J160" s="238"/>
      <c r="K160" s="248">
        <f t="shared" si="339"/>
        <v>0</v>
      </c>
      <c r="L160" s="237"/>
      <c r="M160" s="238"/>
      <c r="N160" s="248">
        <f t="shared" si="340"/>
        <v>0</v>
      </c>
      <c r="O160" s="237"/>
      <c r="P160" s="263"/>
      <c r="Q160" s="248">
        <f t="shared" si="341"/>
        <v>0</v>
      </c>
      <c r="R160" s="237"/>
      <c r="S160" s="263"/>
      <c r="T160" s="264"/>
      <c r="U160" s="238"/>
      <c r="V160" s="237"/>
      <c r="W160" s="237"/>
      <c r="X160" s="265"/>
      <c r="Y160" s="168"/>
      <c r="Z160" s="264"/>
      <c r="AA160" s="238"/>
      <c r="AB160" s="238"/>
      <c r="AC160" s="265"/>
      <c r="AD160" s="264"/>
      <c r="AE160" s="263"/>
      <c r="AF160" s="237"/>
      <c r="AG160" s="263"/>
      <c r="AH160" s="238"/>
      <c r="AI160" s="238"/>
      <c r="AJ160" s="237"/>
      <c r="AK160" s="263"/>
      <c r="AL160" s="237"/>
      <c r="AM160" s="263"/>
      <c r="AN160" s="238"/>
      <c r="AO160" s="238"/>
      <c r="AP160" s="237"/>
      <c r="AQ160" s="263"/>
      <c r="AR160" s="238"/>
      <c r="AS160" s="238"/>
      <c r="AT160" s="238"/>
      <c r="AU160" s="265"/>
      <c r="AV160" s="168"/>
      <c r="AW160" s="264"/>
      <c r="AX160" s="238"/>
      <c r="AY160" s="238"/>
      <c r="AZ160" s="238"/>
      <c r="BA160" s="237"/>
      <c r="BB160" s="238"/>
      <c r="BC160" s="265"/>
      <c r="BD160" s="168"/>
      <c r="BE160" s="264"/>
      <c r="BF160" s="238"/>
      <c r="BG160" s="238"/>
      <c r="BH160" s="238"/>
      <c r="BI160" s="237"/>
      <c r="BJ160" s="238"/>
      <c r="BK160" s="265"/>
      <c r="BL160" s="168"/>
      <c r="BM160" s="264"/>
      <c r="BN160" s="238"/>
      <c r="BO160" s="238"/>
      <c r="BP160" s="238"/>
      <c r="BQ160" s="237"/>
      <c r="BR160" s="238"/>
      <c r="BS160" s="265"/>
      <c r="BT160" s="168"/>
      <c r="BU160" s="264"/>
      <c r="BV160" s="238"/>
      <c r="BW160" s="238"/>
      <c r="BX160" s="238"/>
      <c r="BY160" s="237"/>
      <c r="BZ160" s="238"/>
      <c r="CA160" s="265"/>
      <c r="CB160" s="168"/>
      <c r="CC160" s="264"/>
      <c r="CD160" s="238"/>
      <c r="CE160" s="238"/>
      <c r="CF160" s="238"/>
      <c r="CG160" s="237"/>
      <c r="CH160" s="238"/>
      <c r="CI160" s="265"/>
      <c r="CJ160" s="168"/>
      <c r="CK160" s="264"/>
      <c r="CL160" s="238"/>
      <c r="CM160" s="238"/>
      <c r="CN160" s="238"/>
      <c r="CO160" s="237"/>
      <c r="CP160" s="238"/>
      <c r="CQ160" s="265"/>
    </row>
    <row r="161" spans="1:95" ht="16.5" thickTop="1" x14ac:dyDescent="0.25">
      <c r="A161" s="298" t="s">
        <v>106</v>
      </c>
      <c r="B161" s="274"/>
      <c r="C161" s="293"/>
      <c r="D161" s="294"/>
      <c r="E161" s="315"/>
      <c r="F161" s="315"/>
      <c r="G161" s="295"/>
      <c r="H161" s="296">
        <f t="shared" ref="H161:X161" si="343">SUM(H154:H160)</f>
        <v>0</v>
      </c>
      <c r="I161" s="284">
        <f t="shared" si="343"/>
        <v>0</v>
      </c>
      <c r="J161" s="283">
        <f t="shared" si="343"/>
        <v>0</v>
      </c>
      <c r="K161" s="296">
        <f t="shared" si="343"/>
        <v>0</v>
      </c>
      <c r="L161" s="284">
        <f t="shared" si="343"/>
        <v>0</v>
      </c>
      <c r="M161" s="283">
        <f t="shared" si="343"/>
        <v>0</v>
      </c>
      <c r="N161" s="296">
        <f t="shared" si="343"/>
        <v>0</v>
      </c>
      <c r="O161" s="284">
        <f t="shared" si="343"/>
        <v>0</v>
      </c>
      <c r="P161" s="285">
        <f t="shared" si="343"/>
        <v>0</v>
      </c>
      <c r="Q161" s="296">
        <f t="shared" si="343"/>
        <v>0</v>
      </c>
      <c r="R161" s="284">
        <f t="shared" si="343"/>
        <v>0</v>
      </c>
      <c r="S161" s="285">
        <f t="shared" si="343"/>
        <v>0</v>
      </c>
      <c r="T161" s="282">
        <f t="shared" si="343"/>
        <v>0</v>
      </c>
      <c r="U161" s="283">
        <f t="shared" si="343"/>
        <v>0</v>
      </c>
      <c r="V161" s="284">
        <f t="shared" si="343"/>
        <v>0</v>
      </c>
      <c r="W161" s="284">
        <f t="shared" si="343"/>
        <v>0</v>
      </c>
      <c r="X161" s="285">
        <f t="shared" si="343"/>
        <v>0</v>
      </c>
      <c r="Y161" s="173"/>
      <c r="Z161" s="282">
        <f>SUM(Z154:Z160)</f>
        <v>0</v>
      </c>
      <c r="AA161" s="283">
        <f>SUM(AA154:AA160)</f>
        <v>0</v>
      </c>
      <c r="AB161" s="283">
        <f>SUM(AB154:AB160)</f>
        <v>0</v>
      </c>
      <c r="AC161" s="285">
        <f>SUM(AC154:AC160)</f>
        <v>0</v>
      </c>
      <c r="AD161" s="282">
        <f t="shared" ref="AD161:AU161" si="344">SUM(AD154:AD160)</f>
        <v>0</v>
      </c>
      <c r="AE161" s="297">
        <f t="shared" si="344"/>
        <v>0</v>
      </c>
      <c r="AF161" s="284">
        <f t="shared" si="344"/>
        <v>0</v>
      </c>
      <c r="AG161" s="297">
        <f t="shared" si="344"/>
        <v>0</v>
      </c>
      <c r="AH161" s="283">
        <f t="shared" si="344"/>
        <v>0</v>
      </c>
      <c r="AI161" s="283">
        <f t="shared" si="344"/>
        <v>0</v>
      </c>
      <c r="AJ161" s="284">
        <f t="shared" si="344"/>
        <v>0</v>
      </c>
      <c r="AK161" s="297">
        <f t="shared" si="344"/>
        <v>0</v>
      </c>
      <c r="AL161" s="284">
        <f t="shared" si="344"/>
        <v>0</v>
      </c>
      <c r="AM161" s="297">
        <f t="shared" si="344"/>
        <v>0</v>
      </c>
      <c r="AN161" s="276">
        <f t="shared" si="344"/>
        <v>0</v>
      </c>
      <c r="AO161" s="275">
        <f t="shared" si="344"/>
        <v>0</v>
      </c>
      <c r="AP161" s="276">
        <f t="shared" si="344"/>
        <v>0</v>
      </c>
      <c r="AQ161" s="275">
        <f t="shared" si="344"/>
        <v>0</v>
      </c>
      <c r="AR161" s="278">
        <f t="shared" si="344"/>
        <v>0</v>
      </c>
      <c r="AS161" s="277">
        <f t="shared" si="344"/>
        <v>0</v>
      </c>
      <c r="AT161" s="283">
        <f t="shared" si="344"/>
        <v>0</v>
      </c>
      <c r="AU161" s="285">
        <f t="shared" si="344"/>
        <v>0</v>
      </c>
      <c r="AV161" s="173"/>
      <c r="AW161" s="282">
        <f t="shared" ref="AW161:BC161" si="345">SUM(AW154:AW160)</f>
        <v>0</v>
      </c>
      <c r="AX161" s="283">
        <f t="shared" si="345"/>
        <v>0</v>
      </c>
      <c r="AY161" s="283">
        <f t="shared" si="345"/>
        <v>0</v>
      </c>
      <c r="AZ161" s="283">
        <f t="shared" si="345"/>
        <v>0</v>
      </c>
      <c r="BA161" s="284">
        <f t="shared" si="345"/>
        <v>0</v>
      </c>
      <c r="BB161" s="283">
        <f t="shared" si="345"/>
        <v>0</v>
      </c>
      <c r="BC161" s="285">
        <f t="shared" si="345"/>
        <v>0</v>
      </c>
      <c r="BD161" s="173"/>
      <c r="BE161" s="282">
        <f t="shared" ref="BE161:BK161" si="346">SUM(BE154:BE160)</f>
        <v>0</v>
      </c>
      <c r="BF161" s="283">
        <f t="shared" si="346"/>
        <v>0</v>
      </c>
      <c r="BG161" s="283">
        <f t="shared" si="346"/>
        <v>0</v>
      </c>
      <c r="BH161" s="283">
        <f t="shared" si="346"/>
        <v>0</v>
      </c>
      <c r="BI161" s="284">
        <f t="shared" si="346"/>
        <v>0</v>
      </c>
      <c r="BJ161" s="283">
        <f t="shared" si="346"/>
        <v>0</v>
      </c>
      <c r="BK161" s="285">
        <f t="shared" si="346"/>
        <v>0</v>
      </c>
      <c r="BL161" s="173"/>
      <c r="BM161" s="282">
        <f t="shared" ref="BM161:BS161" si="347">SUM(BM154:BM160)</f>
        <v>0</v>
      </c>
      <c r="BN161" s="283">
        <f t="shared" si="347"/>
        <v>0</v>
      </c>
      <c r="BO161" s="283">
        <f t="shared" si="347"/>
        <v>0</v>
      </c>
      <c r="BP161" s="283">
        <f t="shared" si="347"/>
        <v>0</v>
      </c>
      <c r="BQ161" s="284">
        <f t="shared" si="347"/>
        <v>0</v>
      </c>
      <c r="BR161" s="283">
        <f t="shared" si="347"/>
        <v>0</v>
      </c>
      <c r="BS161" s="285">
        <f t="shared" si="347"/>
        <v>0</v>
      </c>
      <c r="BT161" s="173"/>
      <c r="BU161" s="282">
        <f t="shared" ref="BU161:CA161" si="348">SUM(BU154:BU160)</f>
        <v>0</v>
      </c>
      <c r="BV161" s="283">
        <f t="shared" si="348"/>
        <v>0</v>
      </c>
      <c r="BW161" s="283">
        <f t="shared" si="348"/>
        <v>0</v>
      </c>
      <c r="BX161" s="283">
        <f t="shared" si="348"/>
        <v>0</v>
      </c>
      <c r="BY161" s="284">
        <f t="shared" si="348"/>
        <v>0</v>
      </c>
      <c r="BZ161" s="283">
        <f t="shared" si="348"/>
        <v>0</v>
      </c>
      <c r="CA161" s="285">
        <f t="shared" si="348"/>
        <v>0</v>
      </c>
      <c r="CB161" s="173"/>
      <c r="CC161" s="282">
        <f t="shared" ref="CC161:CI161" si="349">SUM(CC154:CC160)</f>
        <v>0</v>
      </c>
      <c r="CD161" s="283">
        <f t="shared" si="349"/>
        <v>0</v>
      </c>
      <c r="CE161" s="283">
        <f t="shared" si="349"/>
        <v>0</v>
      </c>
      <c r="CF161" s="283">
        <f t="shared" si="349"/>
        <v>0</v>
      </c>
      <c r="CG161" s="284">
        <f t="shared" si="349"/>
        <v>0</v>
      </c>
      <c r="CH161" s="283">
        <f t="shared" si="349"/>
        <v>0</v>
      </c>
      <c r="CI161" s="285">
        <f t="shared" si="349"/>
        <v>0</v>
      </c>
      <c r="CJ161" s="173"/>
      <c r="CK161" s="282">
        <f t="shared" ref="CK161:CQ161" si="350">SUM(CK154:CK160)</f>
        <v>0</v>
      </c>
      <c r="CL161" s="283">
        <f t="shared" si="350"/>
        <v>0</v>
      </c>
      <c r="CM161" s="283">
        <f t="shared" si="350"/>
        <v>0</v>
      </c>
      <c r="CN161" s="283">
        <f t="shared" si="350"/>
        <v>0</v>
      </c>
      <c r="CO161" s="284">
        <f t="shared" si="350"/>
        <v>0</v>
      </c>
      <c r="CP161" s="283">
        <f t="shared" si="350"/>
        <v>0</v>
      </c>
      <c r="CQ161" s="285">
        <f t="shared" si="350"/>
        <v>0</v>
      </c>
    </row>
    <row r="162" spans="1:95" ht="16.5" thickBot="1" x14ac:dyDescent="0.3">
      <c r="A162" s="541" t="s">
        <v>105</v>
      </c>
      <c r="B162" s="542"/>
      <c r="C162" s="543">
        <f>SUM(C154:C160)</f>
        <v>0</v>
      </c>
      <c r="D162" s="307">
        <f>SUM(D154:D160)</f>
        <v>0</v>
      </c>
      <c r="E162" s="306">
        <f>SUM(E154:E160)</f>
        <v>0</v>
      </c>
      <c r="F162" s="307">
        <f>SUM(F154:F160)</f>
        <v>0</v>
      </c>
      <c r="G162" s="268" t="e">
        <f>D162/C162</f>
        <v>#DIV/0!</v>
      </c>
      <c r="H162" s="279" t="e">
        <f t="shared" ref="H162:X162" si="351">H161/$G162</f>
        <v>#DIV/0!</v>
      </c>
      <c r="I162" s="241" t="e">
        <f t="shared" si="351"/>
        <v>#DIV/0!</v>
      </c>
      <c r="J162" s="239" t="e">
        <f t="shared" si="351"/>
        <v>#DIV/0!</v>
      </c>
      <c r="K162" s="279" t="e">
        <f t="shared" si="351"/>
        <v>#DIV/0!</v>
      </c>
      <c r="L162" s="241" t="e">
        <f t="shared" si="351"/>
        <v>#DIV/0!</v>
      </c>
      <c r="M162" s="239" t="e">
        <f t="shared" si="351"/>
        <v>#DIV/0!</v>
      </c>
      <c r="N162" s="279" t="e">
        <f t="shared" si="351"/>
        <v>#DIV/0!</v>
      </c>
      <c r="O162" s="241" t="e">
        <f t="shared" si="351"/>
        <v>#DIV/0!</v>
      </c>
      <c r="P162" s="270" t="e">
        <f t="shared" si="351"/>
        <v>#DIV/0!</v>
      </c>
      <c r="Q162" s="279" t="e">
        <f t="shared" si="351"/>
        <v>#DIV/0!</v>
      </c>
      <c r="R162" s="241" t="e">
        <f t="shared" si="351"/>
        <v>#DIV/0!</v>
      </c>
      <c r="S162" s="270" t="e">
        <f t="shared" si="351"/>
        <v>#DIV/0!</v>
      </c>
      <c r="T162" s="269" t="e">
        <f t="shared" si="351"/>
        <v>#DIV/0!</v>
      </c>
      <c r="U162" s="239" t="e">
        <f t="shared" si="351"/>
        <v>#DIV/0!</v>
      </c>
      <c r="V162" s="241" t="e">
        <f t="shared" si="351"/>
        <v>#DIV/0!</v>
      </c>
      <c r="W162" s="241" t="e">
        <f t="shared" si="351"/>
        <v>#DIV/0!</v>
      </c>
      <c r="X162" s="270" t="e">
        <f t="shared" si="351"/>
        <v>#DIV/0!</v>
      </c>
      <c r="Y162" s="173"/>
      <c r="Z162" s="289" t="e">
        <f>Z161/$G162</f>
        <v>#DIV/0!</v>
      </c>
      <c r="AA162" s="290" t="e">
        <f t="shared" ref="AA162:AU162" si="352">AA161/$G162</f>
        <v>#DIV/0!</v>
      </c>
      <c r="AB162" s="290" t="e">
        <f t="shared" si="352"/>
        <v>#DIV/0!</v>
      </c>
      <c r="AC162" s="292" t="e">
        <f t="shared" si="352"/>
        <v>#DIV/0!</v>
      </c>
      <c r="AD162" s="289" t="e">
        <f t="shared" si="352"/>
        <v>#DIV/0!</v>
      </c>
      <c r="AE162" s="324" t="e">
        <f t="shared" si="352"/>
        <v>#DIV/0!</v>
      </c>
      <c r="AF162" s="291" t="e">
        <f t="shared" si="352"/>
        <v>#DIV/0!</v>
      </c>
      <c r="AG162" s="324" t="e">
        <f t="shared" si="352"/>
        <v>#DIV/0!</v>
      </c>
      <c r="AH162" s="290" t="e">
        <f t="shared" si="352"/>
        <v>#DIV/0!</v>
      </c>
      <c r="AI162" s="290" t="e">
        <f t="shared" si="352"/>
        <v>#DIV/0!</v>
      </c>
      <c r="AJ162" s="291" t="e">
        <f t="shared" si="352"/>
        <v>#DIV/0!</v>
      </c>
      <c r="AK162" s="324" t="e">
        <f t="shared" si="352"/>
        <v>#DIV/0!</v>
      </c>
      <c r="AL162" s="291" t="e">
        <f t="shared" si="352"/>
        <v>#DIV/0!</v>
      </c>
      <c r="AM162" s="324" t="e">
        <f t="shared" si="352"/>
        <v>#DIV/0!</v>
      </c>
      <c r="AN162" s="325" t="e">
        <f t="shared" si="352"/>
        <v>#DIV/0!</v>
      </c>
      <c r="AO162" s="326" t="e">
        <f t="shared" si="352"/>
        <v>#DIV/0!</v>
      </c>
      <c r="AP162" s="325" t="e">
        <f t="shared" si="352"/>
        <v>#DIV/0!</v>
      </c>
      <c r="AQ162" s="326" t="e">
        <f t="shared" si="352"/>
        <v>#DIV/0!</v>
      </c>
      <c r="AR162" s="287" t="e">
        <f t="shared" si="352"/>
        <v>#DIV/0!</v>
      </c>
      <c r="AS162" s="286" t="e">
        <f t="shared" si="352"/>
        <v>#DIV/0!</v>
      </c>
      <c r="AT162" s="290" t="e">
        <f t="shared" si="352"/>
        <v>#DIV/0!</v>
      </c>
      <c r="AU162" s="292" t="e">
        <f t="shared" si="352"/>
        <v>#DIV/0!</v>
      </c>
      <c r="AV162" s="288"/>
      <c r="AW162" s="289" t="e">
        <f t="shared" ref="AW162:BC162" si="353">AW161/$G162</f>
        <v>#DIV/0!</v>
      </c>
      <c r="AX162" s="290" t="e">
        <f t="shared" si="353"/>
        <v>#DIV/0!</v>
      </c>
      <c r="AY162" s="290" t="e">
        <f t="shared" si="353"/>
        <v>#DIV/0!</v>
      </c>
      <c r="AZ162" s="290" t="e">
        <f t="shared" si="353"/>
        <v>#DIV/0!</v>
      </c>
      <c r="BA162" s="291" t="e">
        <f t="shared" si="353"/>
        <v>#DIV/0!</v>
      </c>
      <c r="BB162" s="290" t="e">
        <f t="shared" si="353"/>
        <v>#DIV/0!</v>
      </c>
      <c r="BC162" s="292" t="e">
        <f t="shared" si="353"/>
        <v>#DIV/0!</v>
      </c>
      <c r="BD162" s="288"/>
      <c r="BE162" s="289" t="e">
        <f t="shared" ref="BE162:BK162" si="354">BE161/$G162</f>
        <v>#DIV/0!</v>
      </c>
      <c r="BF162" s="290" t="e">
        <f t="shared" si="354"/>
        <v>#DIV/0!</v>
      </c>
      <c r="BG162" s="290" t="e">
        <f t="shared" si="354"/>
        <v>#DIV/0!</v>
      </c>
      <c r="BH162" s="290" t="e">
        <f t="shared" si="354"/>
        <v>#DIV/0!</v>
      </c>
      <c r="BI162" s="291" t="e">
        <f t="shared" si="354"/>
        <v>#DIV/0!</v>
      </c>
      <c r="BJ162" s="290" t="e">
        <f t="shared" si="354"/>
        <v>#DIV/0!</v>
      </c>
      <c r="BK162" s="292" t="e">
        <f t="shared" si="354"/>
        <v>#DIV/0!</v>
      </c>
      <c r="BL162" s="288"/>
      <c r="BM162" s="289" t="e">
        <f t="shared" ref="BM162:BS162" si="355">BM161/$G162</f>
        <v>#DIV/0!</v>
      </c>
      <c r="BN162" s="290" t="e">
        <f t="shared" si="355"/>
        <v>#DIV/0!</v>
      </c>
      <c r="BO162" s="290" t="e">
        <f t="shared" si="355"/>
        <v>#DIV/0!</v>
      </c>
      <c r="BP162" s="290" t="e">
        <f t="shared" si="355"/>
        <v>#DIV/0!</v>
      </c>
      <c r="BQ162" s="291" t="e">
        <f t="shared" si="355"/>
        <v>#DIV/0!</v>
      </c>
      <c r="BR162" s="290" t="e">
        <f t="shared" si="355"/>
        <v>#DIV/0!</v>
      </c>
      <c r="BS162" s="292" t="e">
        <f t="shared" si="355"/>
        <v>#DIV/0!</v>
      </c>
      <c r="BT162" s="288"/>
      <c r="BU162" s="289" t="e">
        <f t="shared" ref="BU162:CA162" si="356">BU161/$G162</f>
        <v>#DIV/0!</v>
      </c>
      <c r="BV162" s="290" t="e">
        <f t="shared" si="356"/>
        <v>#DIV/0!</v>
      </c>
      <c r="BW162" s="290" t="e">
        <f t="shared" si="356"/>
        <v>#DIV/0!</v>
      </c>
      <c r="BX162" s="290" t="e">
        <f t="shared" si="356"/>
        <v>#DIV/0!</v>
      </c>
      <c r="BY162" s="291" t="e">
        <f t="shared" si="356"/>
        <v>#DIV/0!</v>
      </c>
      <c r="BZ162" s="290" t="e">
        <f t="shared" si="356"/>
        <v>#DIV/0!</v>
      </c>
      <c r="CA162" s="292" t="e">
        <f t="shared" si="356"/>
        <v>#DIV/0!</v>
      </c>
      <c r="CB162" s="288"/>
      <c r="CC162" s="289" t="e">
        <f t="shared" ref="CC162:CI162" si="357">CC161/$G162</f>
        <v>#DIV/0!</v>
      </c>
      <c r="CD162" s="290" t="e">
        <f t="shared" si="357"/>
        <v>#DIV/0!</v>
      </c>
      <c r="CE162" s="290" t="e">
        <f t="shared" si="357"/>
        <v>#DIV/0!</v>
      </c>
      <c r="CF162" s="290" t="e">
        <f t="shared" si="357"/>
        <v>#DIV/0!</v>
      </c>
      <c r="CG162" s="291" t="e">
        <f t="shared" si="357"/>
        <v>#DIV/0!</v>
      </c>
      <c r="CH162" s="290" t="e">
        <f t="shared" si="357"/>
        <v>#DIV/0!</v>
      </c>
      <c r="CI162" s="292" t="e">
        <f t="shared" si="357"/>
        <v>#DIV/0!</v>
      </c>
      <c r="CJ162" s="288"/>
      <c r="CK162" s="289" t="e">
        <f t="shared" ref="CK162:CQ162" si="358">CK161/$G162</f>
        <v>#DIV/0!</v>
      </c>
      <c r="CL162" s="290" t="e">
        <f t="shared" si="358"/>
        <v>#DIV/0!</v>
      </c>
      <c r="CM162" s="290" t="e">
        <f t="shared" si="358"/>
        <v>#DIV/0!</v>
      </c>
      <c r="CN162" s="290" t="e">
        <f t="shared" si="358"/>
        <v>#DIV/0!</v>
      </c>
      <c r="CO162" s="291" t="e">
        <f t="shared" si="358"/>
        <v>#DIV/0!</v>
      </c>
      <c r="CP162" s="290" t="e">
        <f t="shared" si="358"/>
        <v>#DIV/0!</v>
      </c>
      <c r="CQ162" s="292" t="e">
        <f t="shared" si="358"/>
        <v>#DIV/0!</v>
      </c>
    </row>
    <row r="163" spans="1:95" ht="16.5" thickBot="1" x14ac:dyDescent="0.3">
      <c r="A163" s="544"/>
      <c r="B163" s="544"/>
      <c r="C163" s="544"/>
      <c r="H163" s="545"/>
      <c r="K163" s="545"/>
      <c r="N163" s="545"/>
      <c r="Q163" s="545"/>
    </row>
    <row r="164" spans="1:95" x14ac:dyDescent="0.25">
      <c r="A164" s="132" t="s">
        <v>7</v>
      </c>
      <c r="B164" s="167">
        <f>B160+1</f>
        <v>45985</v>
      </c>
      <c r="C164" s="173"/>
      <c r="D164" s="259"/>
      <c r="E164" s="168"/>
      <c r="F164" s="317"/>
      <c r="G164" s="260"/>
      <c r="H164" s="247"/>
      <c r="I164" s="260"/>
      <c r="J164" s="168"/>
      <c r="K164" s="247"/>
      <c r="L164" s="260"/>
      <c r="M164" s="168"/>
      <c r="N164" s="546"/>
      <c r="O164" s="168"/>
      <c r="P164" s="259"/>
      <c r="Q164" s="311"/>
      <c r="R164" s="260"/>
      <c r="S164" s="259"/>
      <c r="T164" s="261"/>
      <c r="U164" s="168"/>
      <c r="V164" s="260"/>
      <c r="W164" s="260"/>
      <c r="X164" s="262"/>
      <c r="Y164" s="168"/>
      <c r="Z164" s="261"/>
      <c r="AA164" s="168"/>
      <c r="AB164" s="168"/>
      <c r="AC164" s="262"/>
      <c r="AD164" s="261"/>
      <c r="AE164" s="259"/>
      <c r="AF164" s="260"/>
      <c r="AG164" s="259"/>
      <c r="AH164" s="168"/>
      <c r="AI164" s="168"/>
      <c r="AJ164" s="260"/>
      <c r="AK164" s="259"/>
      <c r="AL164" s="260"/>
      <c r="AM164" s="259"/>
      <c r="AN164" s="168"/>
      <c r="AO164" s="168"/>
      <c r="AP164" s="260"/>
      <c r="AQ164" s="259"/>
      <c r="AR164" s="168"/>
      <c r="AS164" s="168"/>
      <c r="AT164" s="168"/>
      <c r="AU164" s="262"/>
      <c r="AV164" s="168"/>
      <c r="AW164" s="261"/>
      <c r="AX164" s="168"/>
      <c r="AY164" s="168"/>
      <c r="AZ164" s="168"/>
      <c r="BA164" s="260"/>
      <c r="BB164" s="168"/>
      <c r="BC164" s="262"/>
      <c r="BD164" s="168"/>
      <c r="BE164" s="261"/>
      <c r="BF164" s="168"/>
      <c r="BG164" s="168"/>
      <c r="BH164" s="168"/>
      <c r="BI164" s="260"/>
      <c r="BJ164" s="168"/>
      <c r="BK164" s="262"/>
      <c r="BL164" s="168"/>
      <c r="BM164" s="261"/>
      <c r="BN164" s="168"/>
      <c r="BO164" s="168"/>
      <c r="BP164" s="168"/>
      <c r="BQ164" s="260"/>
      <c r="BR164" s="168"/>
      <c r="BS164" s="262"/>
      <c r="BT164" s="168"/>
      <c r="BU164" s="261"/>
      <c r="BV164" s="168"/>
      <c r="BW164" s="168"/>
      <c r="BX164" s="168"/>
      <c r="BY164" s="260"/>
      <c r="BZ164" s="168"/>
      <c r="CA164" s="262"/>
      <c r="CB164" s="168"/>
      <c r="CC164" s="261"/>
      <c r="CD164" s="168"/>
      <c r="CE164" s="168"/>
      <c r="CF164" s="168"/>
      <c r="CG164" s="260"/>
      <c r="CH164" s="168"/>
      <c r="CI164" s="262"/>
      <c r="CJ164" s="168"/>
      <c r="CK164" s="261"/>
      <c r="CL164" s="168"/>
      <c r="CM164" s="168"/>
      <c r="CN164" s="168"/>
      <c r="CO164" s="260"/>
      <c r="CP164" s="168"/>
      <c r="CQ164" s="262"/>
    </row>
    <row r="165" spans="1:95" x14ac:dyDescent="0.25">
      <c r="A165" s="132" t="s">
        <v>10</v>
      </c>
      <c r="B165" s="167">
        <f t="shared" si="342"/>
        <v>45986</v>
      </c>
      <c r="C165" s="173"/>
      <c r="D165" s="259"/>
      <c r="E165" s="168"/>
      <c r="F165" s="317"/>
      <c r="G165" s="260"/>
      <c r="H165" s="247"/>
      <c r="I165" s="260"/>
      <c r="J165" s="168"/>
      <c r="K165" s="247"/>
      <c r="L165" s="260"/>
      <c r="M165" s="168"/>
      <c r="N165" s="546"/>
      <c r="O165" s="168"/>
      <c r="P165" s="259"/>
      <c r="Q165" s="311"/>
      <c r="R165" s="260"/>
      <c r="S165" s="259"/>
      <c r="T165" s="261"/>
      <c r="U165" s="168"/>
      <c r="V165" s="260"/>
      <c r="W165" s="260"/>
      <c r="X165" s="262"/>
      <c r="Y165" s="168"/>
      <c r="Z165" s="261"/>
      <c r="AA165" s="168"/>
      <c r="AB165" s="168"/>
      <c r="AC165" s="262"/>
      <c r="AD165" s="261"/>
      <c r="AE165" s="259"/>
      <c r="AF165" s="260"/>
      <c r="AG165" s="259"/>
      <c r="AH165" s="168"/>
      <c r="AI165" s="168"/>
      <c r="AJ165" s="260"/>
      <c r="AK165" s="259"/>
      <c r="AL165" s="260"/>
      <c r="AM165" s="259"/>
      <c r="AN165" s="168"/>
      <c r="AO165" s="168"/>
      <c r="AP165" s="260"/>
      <c r="AQ165" s="259"/>
      <c r="AR165" s="168"/>
      <c r="AS165" s="168"/>
      <c r="AT165" s="168"/>
      <c r="AU165" s="262"/>
      <c r="AV165" s="168"/>
      <c r="AW165" s="261"/>
      <c r="AX165" s="168"/>
      <c r="AY165" s="168"/>
      <c r="AZ165" s="168"/>
      <c r="BA165" s="260"/>
      <c r="BB165" s="168"/>
      <c r="BC165" s="262"/>
      <c r="BD165" s="168"/>
      <c r="BE165" s="261"/>
      <c r="BF165" s="168"/>
      <c r="BG165" s="168"/>
      <c r="BH165" s="168"/>
      <c r="BI165" s="260"/>
      <c r="BJ165" s="168"/>
      <c r="BK165" s="262"/>
      <c r="BL165" s="168"/>
      <c r="BM165" s="261"/>
      <c r="BN165" s="168"/>
      <c r="BO165" s="168"/>
      <c r="BP165" s="168"/>
      <c r="BQ165" s="260"/>
      <c r="BR165" s="168"/>
      <c r="BS165" s="262"/>
      <c r="BT165" s="168"/>
      <c r="BU165" s="261"/>
      <c r="BV165" s="168"/>
      <c r="BW165" s="168"/>
      <c r="BX165" s="168"/>
      <c r="BY165" s="260"/>
      <c r="BZ165" s="168"/>
      <c r="CA165" s="262"/>
      <c r="CB165" s="168"/>
      <c r="CC165" s="261"/>
      <c r="CD165" s="168"/>
      <c r="CE165" s="168"/>
      <c r="CF165" s="168"/>
      <c r="CG165" s="260"/>
      <c r="CH165" s="168"/>
      <c r="CI165" s="262"/>
      <c r="CJ165" s="168"/>
      <c r="CK165" s="261"/>
      <c r="CL165" s="168"/>
      <c r="CM165" s="168"/>
      <c r="CN165" s="168"/>
      <c r="CO165" s="260"/>
      <c r="CP165" s="168"/>
      <c r="CQ165" s="262"/>
    </row>
    <row r="166" spans="1:95" x14ac:dyDescent="0.25">
      <c r="A166" s="132" t="s">
        <v>11</v>
      </c>
      <c r="B166" s="167">
        <f t="shared" si="342"/>
        <v>45987</v>
      </c>
      <c r="C166" s="173"/>
      <c r="D166" s="259"/>
      <c r="E166" s="168"/>
      <c r="F166" s="317"/>
      <c r="G166" s="260"/>
      <c r="H166" s="311">
        <f t="shared" ref="H166" si="359">SUM(I166:J166)</f>
        <v>0</v>
      </c>
      <c r="I166" s="260"/>
      <c r="J166" s="168"/>
      <c r="K166" s="311">
        <f t="shared" ref="K166" si="360">SUM(L166:M166)</f>
        <v>0</v>
      </c>
      <c r="L166" s="260"/>
      <c r="M166" s="168"/>
      <c r="N166" s="311">
        <f t="shared" ref="N166" si="361">SUM(O166:P166)</f>
        <v>0</v>
      </c>
      <c r="O166" s="260"/>
      <c r="P166" s="259"/>
      <c r="Q166" s="311">
        <f t="shared" ref="Q166" si="362">SUM(R166:S166)</f>
        <v>0</v>
      </c>
      <c r="R166" s="260"/>
      <c r="S166" s="259"/>
      <c r="T166" s="261"/>
      <c r="U166" s="168"/>
      <c r="V166" s="260"/>
      <c r="W166" s="260"/>
      <c r="X166" s="262"/>
      <c r="Y166" s="168"/>
      <c r="Z166" s="261"/>
      <c r="AA166" s="168"/>
      <c r="AB166" s="168"/>
      <c r="AC166" s="262"/>
      <c r="AD166" s="261"/>
      <c r="AE166" s="259"/>
      <c r="AF166" s="260"/>
      <c r="AG166" s="259"/>
      <c r="AH166" s="168"/>
      <c r="AI166" s="168"/>
      <c r="AJ166" s="260"/>
      <c r="AK166" s="259"/>
      <c r="AL166" s="260"/>
      <c r="AM166" s="259"/>
      <c r="AN166" s="168"/>
      <c r="AO166" s="168"/>
      <c r="AP166" s="260"/>
      <c r="AQ166" s="259"/>
      <c r="AR166" s="168"/>
      <c r="AS166" s="168"/>
      <c r="AT166" s="168"/>
      <c r="AU166" s="262"/>
      <c r="AV166" s="168"/>
      <c r="AW166" s="261"/>
      <c r="AX166" s="168"/>
      <c r="AY166" s="168"/>
      <c r="AZ166" s="168"/>
      <c r="BA166" s="260"/>
      <c r="BB166" s="168"/>
      <c r="BC166" s="262"/>
      <c r="BD166" s="168"/>
      <c r="BE166" s="261"/>
      <c r="BF166" s="168"/>
      <c r="BG166" s="168"/>
      <c r="BH166" s="168"/>
      <c r="BI166" s="260"/>
      <c r="BJ166" s="168"/>
      <c r="BK166" s="262"/>
      <c r="BL166" s="168"/>
      <c r="BM166" s="261"/>
      <c r="BN166" s="168"/>
      <c r="BO166" s="168"/>
      <c r="BP166" s="168"/>
      <c r="BQ166" s="260"/>
      <c r="BR166" s="168"/>
      <c r="BS166" s="262"/>
      <c r="BT166" s="168"/>
      <c r="BU166" s="261"/>
      <c r="BV166" s="168"/>
      <c r="BW166" s="168"/>
      <c r="BX166" s="168"/>
      <c r="BY166" s="260"/>
      <c r="BZ166" s="168"/>
      <c r="CA166" s="262"/>
      <c r="CB166" s="168"/>
      <c r="CC166" s="261"/>
      <c r="CD166" s="168"/>
      <c r="CE166" s="168"/>
      <c r="CF166" s="168"/>
      <c r="CG166" s="260"/>
      <c r="CH166" s="168"/>
      <c r="CI166" s="262"/>
      <c r="CJ166" s="168"/>
      <c r="CK166" s="261"/>
      <c r="CL166" s="168"/>
      <c r="CM166" s="168"/>
      <c r="CN166" s="168"/>
      <c r="CO166" s="260"/>
      <c r="CP166" s="168"/>
      <c r="CQ166" s="262"/>
    </row>
    <row r="167" spans="1:95" x14ac:dyDescent="0.25">
      <c r="A167" s="132" t="s">
        <v>12</v>
      </c>
      <c r="B167" s="167">
        <f>B166+1</f>
        <v>45988</v>
      </c>
      <c r="C167" s="173"/>
      <c r="D167" s="259"/>
      <c r="E167" s="168"/>
      <c r="F167" s="317"/>
      <c r="G167" s="253"/>
      <c r="H167" s="247">
        <f t="shared" ref="H167:H176" si="363">SUM(I167:J167)</f>
        <v>0</v>
      </c>
      <c r="I167" s="260"/>
      <c r="J167" s="168"/>
      <c r="K167" s="247">
        <f t="shared" ref="K167:K176" si="364">SUM(L167:M167)</f>
        <v>0</v>
      </c>
      <c r="L167" s="260"/>
      <c r="M167" s="168"/>
      <c r="N167" s="311">
        <f t="shared" ref="N167:N176" si="365">SUM(O167:P167)</f>
        <v>0</v>
      </c>
      <c r="O167" s="260"/>
      <c r="P167" s="259"/>
      <c r="Q167" s="311">
        <f t="shared" ref="Q167:Q176" si="366">SUM(R167:S167)</f>
        <v>0</v>
      </c>
      <c r="R167" s="260"/>
      <c r="S167" s="259"/>
      <c r="T167" s="261"/>
      <c r="U167" s="168"/>
      <c r="V167" s="260"/>
      <c r="W167" s="260"/>
      <c r="X167" s="262"/>
      <c r="Y167" s="168"/>
      <c r="Z167" s="261"/>
      <c r="AA167" s="168"/>
      <c r="AB167" s="168"/>
      <c r="AC167" s="262"/>
      <c r="AD167" s="261"/>
      <c r="AE167" s="259"/>
      <c r="AF167" s="260"/>
      <c r="AG167" s="259"/>
      <c r="AH167" s="168"/>
      <c r="AI167" s="168"/>
      <c r="AJ167" s="260"/>
      <c r="AK167" s="259"/>
      <c r="AL167" s="260"/>
      <c r="AM167" s="259"/>
      <c r="AN167" s="168"/>
      <c r="AO167" s="168"/>
      <c r="AP167" s="260"/>
      <c r="AQ167" s="259"/>
      <c r="AR167" s="168"/>
      <c r="AS167" s="168"/>
      <c r="AT167" s="168"/>
      <c r="AU167" s="262"/>
      <c r="AV167" s="168"/>
      <c r="AW167" s="261"/>
      <c r="AX167" s="168"/>
      <c r="AY167" s="168"/>
      <c r="AZ167" s="168"/>
      <c r="BA167" s="260"/>
      <c r="BB167" s="168"/>
      <c r="BC167" s="262"/>
      <c r="BD167" s="168"/>
      <c r="BE167" s="261"/>
      <c r="BF167" s="168"/>
      <c r="BG167" s="168"/>
      <c r="BH167" s="168"/>
      <c r="BI167" s="260"/>
      <c r="BJ167" s="168"/>
      <c r="BK167" s="262"/>
      <c r="BL167" s="168"/>
      <c r="BM167" s="261"/>
      <c r="BN167" s="168"/>
      <c r="BO167" s="168"/>
      <c r="BP167" s="168"/>
      <c r="BQ167" s="260"/>
      <c r="BR167" s="168"/>
      <c r="BS167" s="262"/>
      <c r="BT167" s="168"/>
      <c r="BU167" s="261"/>
      <c r="BV167" s="168"/>
      <c r="BW167" s="168"/>
      <c r="BX167" s="168"/>
      <c r="BY167" s="260"/>
      <c r="BZ167" s="168"/>
      <c r="CA167" s="262"/>
      <c r="CB167" s="168"/>
      <c r="CC167" s="261"/>
      <c r="CD167" s="168"/>
      <c r="CE167" s="168"/>
      <c r="CF167" s="168"/>
      <c r="CG167" s="260"/>
      <c r="CH167" s="168"/>
      <c r="CI167" s="262"/>
      <c r="CJ167" s="168"/>
      <c r="CK167" s="261"/>
      <c r="CL167" s="168"/>
      <c r="CM167" s="168"/>
      <c r="CN167" s="168"/>
      <c r="CO167" s="260"/>
      <c r="CP167" s="168"/>
      <c r="CQ167" s="262"/>
    </row>
    <row r="168" spans="1:95" x14ac:dyDescent="0.25">
      <c r="A168" s="132" t="s">
        <v>13</v>
      </c>
      <c r="B168" s="167">
        <f t="shared" ref="B168:B176" si="367">B167+1</f>
        <v>45989</v>
      </c>
      <c r="C168" s="173"/>
      <c r="D168" s="259"/>
      <c r="E168" s="168"/>
      <c r="F168" s="317"/>
      <c r="G168" s="253"/>
      <c r="H168" s="247">
        <f t="shared" si="363"/>
        <v>0</v>
      </c>
      <c r="I168" s="260"/>
      <c r="J168" s="168"/>
      <c r="K168" s="247">
        <f t="shared" si="364"/>
        <v>0</v>
      </c>
      <c r="L168" s="260"/>
      <c r="M168" s="168"/>
      <c r="N168" s="311">
        <f t="shared" si="365"/>
        <v>0</v>
      </c>
      <c r="O168" s="260"/>
      <c r="P168" s="259"/>
      <c r="Q168" s="311">
        <f t="shared" si="366"/>
        <v>0</v>
      </c>
      <c r="R168" s="260"/>
      <c r="S168" s="259"/>
      <c r="T168" s="261"/>
      <c r="U168" s="168"/>
      <c r="V168" s="260"/>
      <c r="W168" s="260"/>
      <c r="X168" s="262"/>
      <c r="Y168" s="168"/>
      <c r="Z168" s="261"/>
      <c r="AA168" s="168"/>
      <c r="AB168" s="168"/>
      <c r="AC168" s="262"/>
      <c r="AD168" s="261"/>
      <c r="AE168" s="259"/>
      <c r="AF168" s="260"/>
      <c r="AG168" s="259"/>
      <c r="AH168" s="168"/>
      <c r="AI168" s="168"/>
      <c r="AJ168" s="260"/>
      <c r="AK168" s="259"/>
      <c r="AL168" s="260"/>
      <c r="AM168" s="259"/>
      <c r="AN168" s="168"/>
      <c r="AO168" s="168"/>
      <c r="AP168" s="260"/>
      <c r="AQ168" s="259"/>
      <c r="AR168" s="168"/>
      <c r="AS168" s="168"/>
      <c r="AT168" s="168"/>
      <c r="AU168" s="262"/>
      <c r="AV168" s="168"/>
      <c r="AW168" s="261"/>
      <c r="AX168" s="168"/>
      <c r="AY168" s="168"/>
      <c r="AZ168" s="168"/>
      <c r="BA168" s="260"/>
      <c r="BB168" s="168"/>
      <c r="BC168" s="262"/>
      <c r="BD168" s="168"/>
      <c r="BE168" s="261"/>
      <c r="BF168" s="168"/>
      <c r="BG168" s="168"/>
      <c r="BH168" s="168"/>
      <c r="BI168" s="260"/>
      <c r="BJ168" s="168"/>
      <c r="BK168" s="262"/>
      <c r="BL168" s="168"/>
      <c r="BM168" s="261"/>
      <c r="BN168" s="168"/>
      <c r="BO168" s="168"/>
      <c r="BP168" s="168"/>
      <c r="BQ168" s="260"/>
      <c r="BR168" s="168"/>
      <c r="BS168" s="262"/>
      <c r="BT168" s="168"/>
      <c r="BU168" s="261"/>
      <c r="BV168" s="168"/>
      <c r="BW168" s="168"/>
      <c r="BX168" s="168"/>
      <c r="BY168" s="260"/>
      <c r="BZ168" s="168"/>
      <c r="CA168" s="262"/>
      <c r="CB168" s="168"/>
      <c r="CC168" s="261"/>
      <c r="CD168" s="168"/>
      <c r="CE168" s="168"/>
      <c r="CF168" s="168"/>
      <c r="CG168" s="260"/>
      <c r="CH168" s="168"/>
      <c r="CI168" s="262"/>
      <c r="CJ168" s="168"/>
      <c r="CK168" s="261"/>
      <c r="CL168" s="168"/>
      <c r="CM168" s="168"/>
      <c r="CN168" s="168"/>
      <c r="CO168" s="260"/>
      <c r="CP168" s="168"/>
      <c r="CQ168" s="262"/>
    </row>
    <row r="169" spans="1:95" x14ac:dyDescent="0.25">
      <c r="A169" s="132" t="s">
        <v>14</v>
      </c>
      <c r="B169" s="167">
        <f t="shared" si="367"/>
        <v>45990</v>
      </c>
      <c r="C169" s="173"/>
      <c r="D169" s="259"/>
      <c r="E169" s="168"/>
      <c r="F169" s="317"/>
      <c r="G169" s="253"/>
      <c r="H169" s="247">
        <f t="shared" si="363"/>
        <v>0</v>
      </c>
      <c r="I169" s="260"/>
      <c r="J169" s="168"/>
      <c r="K169" s="247">
        <f t="shared" si="364"/>
        <v>0</v>
      </c>
      <c r="L169" s="260"/>
      <c r="M169" s="168"/>
      <c r="N169" s="311">
        <f t="shared" si="365"/>
        <v>0</v>
      </c>
      <c r="O169" s="260"/>
      <c r="P169" s="259"/>
      <c r="Q169" s="311">
        <f t="shared" si="366"/>
        <v>0</v>
      </c>
      <c r="R169" s="260"/>
      <c r="S169" s="259"/>
      <c r="T169" s="261"/>
      <c r="U169" s="168"/>
      <c r="V169" s="260"/>
      <c r="W169" s="260"/>
      <c r="X169" s="262"/>
      <c r="Y169" s="168"/>
      <c r="Z169" s="261"/>
      <c r="AA169" s="168"/>
      <c r="AB169" s="168"/>
      <c r="AC169" s="262"/>
      <c r="AD169" s="261"/>
      <c r="AE169" s="259"/>
      <c r="AF169" s="260"/>
      <c r="AG169" s="259"/>
      <c r="AH169" s="168"/>
      <c r="AI169" s="168"/>
      <c r="AJ169" s="260"/>
      <c r="AK169" s="259"/>
      <c r="AL169" s="260"/>
      <c r="AM169" s="259"/>
      <c r="AN169" s="168"/>
      <c r="AO169" s="168"/>
      <c r="AP169" s="260"/>
      <c r="AQ169" s="259"/>
      <c r="AR169" s="168"/>
      <c r="AS169" s="168"/>
      <c r="AT169" s="168"/>
      <c r="AU169" s="262"/>
      <c r="AV169" s="168"/>
      <c r="AW169" s="261"/>
      <c r="AX169" s="168"/>
      <c r="AY169" s="168"/>
      <c r="AZ169" s="168"/>
      <c r="BA169" s="260"/>
      <c r="BB169" s="168"/>
      <c r="BC169" s="262"/>
      <c r="BD169" s="168"/>
      <c r="BE169" s="261"/>
      <c r="BF169" s="168"/>
      <c r="BG169" s="168"/>
      <c r="BH169" s="168"/>
      <c r="BI169" s="260"/>
      <c r="BJ169" s="168"/>
      <c r="BK169" s="262"/>
      <c r="BL169" s="168"/>
      <c r="BM169" s="261"/>
      <c r="BN169" s="168"/>
      <c r="BO169" s="168"/>
      <c r="BP169" s="168"/>
      <c r="BQ169" s="260"/>
      <c r="BR169" s="168"/>
      <c r="BS169" s="262"/>
      <c r="BT169" s="168"/>
      <c r="BU169" s="261"/>
      <c r="BV169" s="168"/>
      <c r="BW169" s="168"/>
      <c r="BX169" s="168"/>
      <c r="BY169" s="260"/>
      <c r="BZ169" s="168"/>
      <c r="CA169" s="262"/>
      <c r="CB169" s="168"/>
      <c r="CC169" s="261"/>
      <c r="CD169" s="168"/>
      <c r="CE169" s="168"/>
      <c r="CF169" s="168"/>
      <c r="CG169" s="260"/>
      <c r="CH169" s="168"/>
      <c r="CI169" s="262"/>
      <c r="CJ169" s="168"/>
      <c r="CK169" s="261"/>
      <c r="CL169" s="168"/>
      <c r="CM169" s="168"/>
      <c r="CN169" s="168"/>
      <c r="CO169" s="260"/>
      <c r="CP169" s="168"/>
      <c r="CQ169" s="262"/>
    </row>
    <row r="170" spans="1:95" ht="16.5" thickBot="1" x14ac:dyDescent="0.3">
      <c r="A170" s="132" t="s">
        <v>15</v>
      </c>
      <c r="B170" s="167">
        <f t="shared" si="367"/>
        <v>45991</v>
      </c>
      <c r="C170" s="173"/>
      <c r="D170" s="259"/>
      <c r="E170" s="168"/>
      <c r="F170" s="317"/>
      <c r="G170" s="253"/>
      <c r="H170" s="247">
        <f t="shared" si="363"/>
        <v>0</v>
      </c>
      <c r="I170" s="260"/>
      <c r="J170" s="168"/>
      <c r="K170" s="247">
        <f t="shared" si="364"/>
        <v>0</v>
      </c>
      <c r="L170" s="260"/>
      <c r="M170" s="168"/>
      <c r="N170" s="311">
        <f t="shared" si="365"/>
        <v>0</v>
      </c>
      <c r="O170" s="260"/>
      <c r="P170" s="259"/>
      <c r="Q170" s="311">
        <f t="shared" si="366"/>
        <v>0</v>
      </c>
      <c r="R170" s="260"/>
      <c r="S170" s="259"/>
      <c r="T170" s="261"/>
      <c r="U170" s="168"/>
      <c r="V170" s="260"/>
      <c r="W170" s="260"/>
      <c r="X170" s="262"/>
      <c r="Y170" s="168"/>
      <c r="Z170" s="261"/>
      <c r="AA170" s="168"/>
      <c r="AB170" s="168"/>
      <c r="AC170" s="262"/>
      <c r="AD170" s="261"/>
      <c r="AE170" s="259"/>
      <c r="AF170" s="260"/>
      <c r="AG170" s="259"/>
      <c r="AH170" s="168"/>
      <c r="AI170" s="168"/>
      <c r="AJ170" s="260"/>
      <c r="AK170" s="259"/>
      <c r="AL170" s="260"/>
      <c r="AM170" s="259"/>
      <c r="AN170" s="237"/>
      <c r="AO170" s="238"/>
      <c r="AP170" s="237"/>
      <c r="AQ170" s="263"/>
      <c r="AR170" s="238"/>
      <c r="AS170" s="238"/>
      <c r="AT170" s="168"/>
      <c r="AU170" s="262"/>
      <c r="AV170" s="168"/>
      <c r="AW170" s="261"/>
      <c r="AX170" s="168"/>
      <c r="AY170" s="168"/>
      <c r="AZ170" s="168"/>
      <c r="BA170" s="260"/>
      <c r="BB170" s="168"/>
      <c r="BC170" s="262"/>
      <c r="BD170" s="168"/>
      <c r="BE170" s="261"/>
      <c r="BF170" s="168"/>
      <c r="BG170" s="168"/>
      <c r="BH170" s="168"/>
      <c r="BI170" s="260"/>
      <c r="BJ170" s="168"/>
      <c r="BK170" s="262"/>
      <c r="BL170" s="168"/>
      <c r="BM170" s="261"/>
      <c r="BN170" s="168"/>
      <c r="BO170" s="168"/>
      <c r="BP170" s="168"/>
      <c r="BQ170" s="260"/>
      <c r="BR170" s="168"/>
      <c r="BS170" s="262"/>
      <c r="BT170" s="168"/>
      <c r="BU170" s="261"/>
      <c r="BV170" s="168"/>
      <c r="BW170" s="168"/>
      <c r="BX170" s="168"/>
      <c r="BY170" s="260"/>
      <c r="BZ170" s="168"/>
      <c r="CA170" s="262"/>
      <c r="CB170" s="168"/>
      <c r="CC170" s="261"/>
      <c r="CD170" s="168"/>
      <c r="CE170" s="168"/>
      <c r="CF170" s="168"/>
      <c r="CG170" s="260"/>
      <c r="CH170" s="168"/>
      <c r="CI170" s="262"/>
      <c r="CJ170" s="168"/>
      <c r="CK170" s="261"/>
      <c r="CL170" s="168"/>
      <c r="CM170" s="168"/>
      <c r="CN170" s="168"/>
      <c r="CO170" s="260"/>
      <c r="CP170" s="168"/>
      <c r="CQ170" s="262"/>
    </row>
    <row r="171" spans="1:95" ht="16.5" thickTop="1" x14ac:dyDescent="0.25">
      <c r="A171" s="298" t="s">
        <v>106</v>
      </c>
      <c r="B171" s="274"/>
      <c r="C171" s="293"/>
      <c r="D171" s="294"/>
      <c r="E171" s="315"/>
      <c r="F171" s="315"/>
      <c r="G171" s="295"/>
      <c r="H171" s="296">
        <f t="shared" ref="H171:X171" si="368">SUM(H164:H170)</f>
        <v>0</v>
      </c>
      <c r="I171" s="284">
        <f t="shared" si="368"/>
        <v>0</v>
      </c>
      <c r="J171" s="283">
        <f t="shared" si="368"/>
        <v>0</v>
      </c>
      <c r="K171" s="296">
        <f t="shared" si="368"/>
        <v>0</v>
      </c>
      <c r="L171" s="284">
        <f t="shared" si="368"/>
        <v>0</v>
      </c>
      <c r="M171" s="283">
        <f t="shared" si="368"/>
        <v>0</v>
      </c>
      <c r="N171" s="296">
        <f t="shared" si="368"/>
        <v>0</v>
      </c>
      <c r="O171" s="284">
        <f t="shared" si="368"/>
        <v>0</v>
      </c>
      <c r="P171" s="285">
        <f t="shared" si="368"/>
        <v>0</v>
      </c>
      <c r="Q171" s="296">
        <f t="shared" si="368"/>
        <v>0</v>
      </c>
      <c r="R171" s="284">
        <f t="shared" si="368"/>
        <v>0</v>
      </c>
      <c r="S171" s="285">
        <f t="shared" si="368"/>
        <v>0</v>
      </c>
      <c r="T171" s="282">
        <f t="shared" si="368"/>
        <v>0</v>
      </c>
      <c r="U171" s="283">
        <f t="shared" si="368"/>
        <v>0</v>
      </c>
      <c r="V171" s="284">
        <f t="shared" si="368"/>
        <v>0</v>
      </c>
      <c r="W171" s="284">
        <f t="shared" si="368"/>
        <v>0</v>
      </c>
      <c r="X171" s="285">
        <f t="shared" si="368"/>
        <v>0</v>
      </c>
      <c r="Y171" s="173"/>
      <c r="Z171" s="282">
        <f>SUM(Z164:Z170)</f>
        <v>0</v>
      </c>
      <c r="AA171" s="283">
        <f>SUM(AA164:AA170)</f>
        <v>0</v>
      </c>
      <c r="AB171" s="283">
        <f>SUM(AB164:AB170)</f>
        <v>0</v>
      </c>
      <c r="AC171" s="285">
        <f>SUM(AC164:AC170)</f>
        <v>0</v>
      </c>
      <c r="AD171" s="282">
        <f t="shared" ref="AD171:AU171" si="369">SUM(AD164:AD170)</f>
        <v>0</v>
      </c>
      <c r="AE171" s="297">
        <f t="shared" si="369"/>
        <v>0</v>
      </c>
      <c r="AF171" s="284">
        <f t="shared" si="369"/>
        <v>0</v>
      </c>
      <c r="AG171" s="297">
        <f t="shared" si="369"/>
        <v>0</v>
      </c>
      <c r="AH171" s="283">
        <f t="shared" si="369"/>
        <v>0</v>
      </c>
      <c r="AI171" s="283">
        <f t="shared" si="369"/>
        <v>0</v>
      </c>
      <c r="AJ171" s="284">
        <f t="shared" si="369"/>
        <v>0</v>
      </c>
      <c r="AK171" s="297">
        <f t="shared" si="369"/>
        <v>0</v>
      </c>
      <c r="AL171" s="284">
        <f t="shared" si="369"/>
        <v>0</v>
      </c>
      <c r="AM171" s="297">
        <f t="shared" si="369"/>
        <v>0</v>
      </c>
      <c r="AN171" s="276">
        <f t="shared" si="369"/>
        <v>0</v>
      </c>
      <c r="AO171" s="275">
        <f t="shared" si="369"/>
        <v>0</v>
      </c>
      <c r="AP171" s="276">
        <f t="shared" si="369"/>
        <v>0</v>
      </c>
      <c r="AQ171" s="275">
        <f t="shared" si="369"/>
        <v>0</v>
      </c>
      <c r="AR171" s="278">
        <f t="shared" si="369"/>
        <v>0</v>
      </c>
      <c r="AS171" s="277">
        <f t="shared" si="369"/>
        <v>0</v>
      </c>
      <c r="AT171" s="283">
        <f t="shared" si="369"/>
        <v>0</v>
      </c>
      <c r="AU171" s="285">
        <f t="shared" si="369"/>
        <v>0</v>
      </c>
      <c r="AV171" s="173"/>
      <c r="AW171" s="282">
        <f t="shared" ref="AW171:BC171" si="370">SUM(AW164:AW170)</f>
        <v>0</v>
      </c>
      <c r="AX171" s="283">
        <f t="shared" si="370"/>
        <v>0</v>
      </c>
      <c r="AY171" s="283">
        <f t="shared" si="370"/>
        <v>0</v>
      </c>
      <c r="AZ171" s="283">
        <f t="shared" si="370"/>
        <v>0</v>
      </c>
      <c r="BA171" s="284">
        <f t="shared" si="370"/>
        <v>0</v>
      </c>
      <c r="BB171" s="283">
        <f t="shared" si="370"/>
        <v>0</v>
      </c>
      <c r="BC171" s="285">
        <f t="shared" si="370"/>
        <v>0</v>
      </c>
      <c r="BD171" s="173"/>
      <c r="BE171" s="282">
        <f t="shared" ref="BE171:BK171" si="371">SUM(BE164:BE170)</f>
        <v>0</v>
      </c>
      <c r="BF171" s="283">
        <f t="shared" si="371"/>
        <v>0</v>
      </c>
      <c r="BG171" s="283">
        <f t="shared" si="371"/>
        <v>0</v>
      </c>
      <c r="BH171" s="283">
        <f t="shared" si="371"/>
        <v>0</v>
      </c>
      <c r="BI171" s="284">
        <f t="shared" si="371"/>
        <v>0</v>
      </c>
      <c r="BJ171" s="283">
        <f t="shared" si="371"/>
        <v>0</v>
      </c>
      <c r="BK171" s="285">
        <f t="shared" si="371"/>
        <v>0</v>
      </c>
      <c r="BL171" s="173"/>
      <c r="BM171" s="282">
        <f t="shared" ref="BM171:BS171" si="372">SUM(BM164:BM170)</f>
        <v>0</v>
      </c>
      <c r="BN171" s="283">
        <f t="shared" si="372"/>
        <v>0</v>
      </c>
      <c r="BO171" s="283">
        <f t="shared" si="372"/>
        <v>0</v>
      </c>
      <c r="BP171" s="283">
        <f t="shared" si="372"/>
        <v>0</v>
      </c>
      <c r="BQ171" s="284">
        <f t="shared" si="372"/>
        <v>0</v>
      </c>
      <c r="BR171" s="283">
        <f t="shared" si="372"/>
        <v>0</v>
      </c>
      <c r="BS171" s="285">
        <f t="shared" si="372"/>
        <v>0</v>
      </c>
      <c r="BT171" s="173"/>
      <c r="BU171" s="282">
        <f t="shared" ref="BU171:CA171" si="373">SUM(BU164:BU170)</f>
        <v>0</v>
      </c>
      <c r="BV171" s="283">
        <f t="shared" si="373"/>
        <v>0</v>
      </c>
      <c r="BW171" s="283">
        <f t="shared" si="373"/>
        <v>0</v>
      </c>
      <c r="BX171" s="283">
        <f t="shared" si="373"/>
        <v>0</v>
      </c>
      <c r="BY171" s="284">
        <f t="shared" si="373"/>
        <v>0</v>
      </c>
      <c r="BZ171" s="283">
        <f t="shared" si="373"/>
        <v>0</v>
      </c>
      <c r="CA171" s="285">
        <f t="shared" si="373"/>
        <v>0</v>
      </c>
      <c r="CB171" s="173"/>
      <c r="CC171" s="282">
        <f t="shared" ref="CC171:CI171" si="374">SUM(CC164:CC170)</f>
        <v>0</v>
      </c>
      <c r="CD171" s="283">
        <f t="shared" si="374"/>
        <v>0</v>
      </c>
      <c r="CE171" s="283">
        <f t="shared" si="374"/>
        <v>0</v>
      </c>
      <c r="CF171" s="283">
        <f t="shared" si="374"/>
        <v>0</v>
      </c>
      <c r="CG171" s="284">
        <f t="shared" si="374"/>
        <v>0</v>
      </c>
      <c r="CH171" s="283">
        <f t="shared" si="374"/>
        <v>0</v>
      </c>
      <c r="CI171" s="285">
        <f t="shared" si="374"/>
        <v>0</v>
      </c>
      <c r="CJ171" s="173"/>
      <c r="CK171" s="282">
        <f t="shared" ref="CK171:CQ171" si="375">SUM(CK164:CK170)</f>
        <v>0</v>
      </c>
      <c r="CL171" s="283">
        <f t="shared" si="375"/>
        <v>0</v>
      </c>
      <c r="CM171" s="283">
        <f t="shared" si="375"/>
        <v>0</v>
      </c>
      <c r="CN171" s="283">
        <f t="shared" si="375"/>
        <v>0</v>
      </c>
      <c r="CO171" s="284">
        <f t="shared" si="375"/>
        <v>0</v>
      </c>
      <c r="CP171" s="283">
        <f t="shared" si="375"/>
        <v>0</v>
      </c>
      <c r="CQ171" s="285">
        <f t="shared" si="375"/>
        <v>0</v>
      </c>
    </row>
    <row r="172" spans="1:95" ht="16.5" thickBot="1" x14ac:dyDescent="0.3">
      <c r="A172" s="541" t="s">
        <v>105</v>
      </c>
      <c r="B172" s="542"/>
      <c r="C172" s="543">
        <f>SUM(C164:C170)</f>
        <v>0</v>
      </c>
      <c r="D172" s="307">
        <f>SUM(D164:D170)</f>
        <v>0</v>
      </c>
      <c r="E172" s="306">
        <f>SUM(E164:E170)</f>
        <v>0</v>
      </c>
      <c r="F172" s="307">
        <f>SUM(F164:F170)</f>
        <v>0</v>
      </c>
      <c r="G172" s="268" t="e">
        <f>D172/C172</f>
        <v>#DIV/0!</v>
      </c>
      <c r="H172" s="279" t="e">
        <f t="shared" ref="H172" si="376">H171/$G172</f>
        <v>#DIV/0!</v>
      </c>
      <c r="I172" s="241" t="e">
        <f t="shared" ref="I172:K172" si="377">I171/$G172</f>
        <v>#DIV/0!</v>
      </c>
      <c r="J172" s="241" t="e">
        <f t="shared" si="377"/>
        <v>#DIV/0!</v>
      </c>
      <c r="K172" s="279" t="e">
        <f t="shared" si="377"/>
        <v>#DIV/0!</v>
      </c>
      <c r="L172" s="241" t="e">
        <f t="shared" ref="L172:N172" si="378">L171/$G172</f>
        <v>#DIV/0!</v>
      </c>
      <c r="M172" s="239" t="e">
        <f t="shared" si="378"/>
        <v>#DIV/0!</v>
      </c>
      <c r="N172" s="279" t="e">
        <f t="shared" si="378"/>
        <v>#DIV/0!</v>
      </c>
      <c r="O172" s="241" t="e">
        <f t="shared" ref="O172:Q172" si="379">O171/$G172</f>
        <v>#DIV/0!</v>
      </c>
      <c r="P172" s="270" t="e">
        <f t="shared" si="379"/>
        <v>#DIV/0!</v>
      </c>
      <c r="Q172" s="279" t="e">
        <f t="shared" si="379"/>
        <v>#DIV/0!</v>
      </c>
      <c r="R172" s="241">
        <v>0</v>
      </c>
      <c r="S172" s="270">
        <v>0</v>
      </c>
      <c r="T172" s="269">
        <v>0</v>
      </c>
      <c r="U172" s="239">
        <v>0</v>
      </c>
      <c r="V172" s="241">
        <v>0</v>
      </c>
      <c r="W172" s="241">
        <v>0</v>
      </c>
      <c r="X172" s="270">
        <v>0</v>
      </c>
      <c r="Y172" s="173"/>
      <c r="Z172" s="289">
        <v>0</v>
      </c>
      <c r="AA172" s="290">
        <v>0</v>
      </c>
      <c r="AB172" s="290">
        <v>0</v>
      </c>
      <c r="AC172" s="292">
        <v>0</v>
      </c>
      <c r="AD172" s="289">
        <v>0</v>
      </c>
      <c r="AE172" s="324">
        <v>0</v>
      </c>
      <c r="AF172" s="291">
        <v>0</v>
      </c>
      <c r="AG172" s="324">
        <v>0</v>
      </c>
      <c r="AH172" s="290">
        <v>0</v>
      </c>
      <c r="AI172" s="290">
        <v>0</v>
      </c>
      <c r="AJ172" s="291">
        <v>0</v>
      </c>
      <c r="AK172" s="324">
        <v>0</v>
      </c>
      <c r="AL172" s="291">
        <v>0</v>
      </c>
      <c r="AM172" s="324">
        <v>0</v>
      </c>
      <c r="AN172" s="325">
        <v>0</v>
      </c>
      <c r="AO172" s="326">
        <v>0</v>
      </c>
      <c r="AP172" s="325">
        <v>0</v>
      </c>
      <c r="AQ172" s="326">
        <v>0</v>
      </c>
      <c r="AR172" s="287">
        <v>0</v>
      </c>
      <c r="AS172" s="286">
        <v>0</v>
      </c>
      <c r="AT172" s="290">
        <v>0</v>
      </c>
      <c r="AU172" s="292">
        <v>0</v>
      </c>
      <c r="AV172" s="288"/>
      <c r="AW172" s="612" t="e">
        <f t="shared" ref="AW172:BC172" si="380">AW171/$G172</f>
        <v>#DIV/0!</v>
      </c>
      <c r="AX172" s="611" t="e">
        <f t="shared" si="380"/>
        <v>#DIV/0!</v>
      </c>
      <c r="AY172" s="611" t="e">
        <f t="shared" si="380"/>
        <v>#DIV/0!</v>
      </c>
      <c r="AZ172" s="611" t="e">
        <f t="shared" si="380"/>
        <v>#DIV/0!</v>
      </c>
      <c r="BA172" s="611" t="e">
        <f t="shared" si="380"/>
        <v>#DIV/0!</v>
      </c>
      <c r="BB172" s="611" t="e">
        <f t="shared" si="380"/>
        <v>#DIV/0!</v>
      </c>
      <c r="BC172" s="613" t="e">
        <f t="shared" si="380"/>
        <v>#DIV/0!</v>
      </c>
      <c r="BD172" s="288">
        <v>0</v>
      </c>
      <c r="BE172" s="289" t="e">
        <f t="shared" ref="BE172:BK172" si="381">BE171/$G172</f>
        <v>#DIV/0!</v>
      </c>
      <c r="BF172" s="290" t="e">
        <f t="shared" si="381"/>
        <v>#DIV/0!</v>
      </c>
      <c r="BG172" s="290" t="e">
        <f t="shared" si="381"/>
        <v>#DIV/0!</v>
      </c>
      <c r="BH172" s="290" t="e">
        <f t="shared" si="381"/>
        <v>#DIV/0!</v>
      </c>
      <c r="BI172" s="291" t="e">
        <f t="shared" si="381"/>
        <v>#DIV/0!</v>
      </c>
      <c r="BJ172" s="290" t="e">
        <f t="shared" si="381"/>
        <v>#DIV/0!</v>
      </c>
      <c r="BK172" s="292" t="e">
        <f t="shared" si="381"/>
        <v>#DIV/0!</v>
      </c>
      <c r="BL172" s="288">
        <v>0</v>
      </c>
      <c r="BM172" s="289" t="e">
        <f t="shared" ref="BM172:BS172" si="382">BM171/$G172</f>
        <v>#DIV/0!</v>
      </c>
      <c r="BN172" s="290" t="e">
        <f t="shared" si="382"/>
        <v>#DIV/0!</v>
      </c>
      <c r="BO172" s="290" t="e">
        <f t="shared" si="382"/>
        <v>#DIV/0!</v>
      </c>
      <c r="BP172" s="290" t="e">
        <f t="shared" si="382"/>
        <v>#DIV/0!</v>
      </c>
      <c r="BQ172" s="291" t="e">
        <f t="shared" si="382"/>
        <v>#DIV/0!</v>
      </c>
      <c r="BR172" s="290" t="e">
        <f t="shared" si="382"/>
        <v>#DIV/0!</v>
      </c>
      <c r="BS172" s="292" t="e">
        <f t="shared" si="382"/>
        <v>#DIV/0!</v>
      </c>
      <c r="BT172" s="288"/>
      <c r="BU172" s="289" t="e">
        <f t="shared" ref="BU172:CA172" si="383">BU171/$G172</f>
        <v>#DIV/0!</v>
      </c>
      <c r="BV172" s="290" t="e">
        <f t="shared" si="383"/>
        <v>#DIV/0!</v>
      </c>
      <c r="BW172" s="290" t="e">
        <f t="shared" si="383"/>
        <v>#DIV/0!</v>
      </c>
      <c r="BX172" s="290" t="e">
        <f t="shared" si="383"/>
        <v>#DIV/0!</v>
      </c>
      <c r="BY172" s="291" t="e">
        <f t="shared" si="383"/>
        <v>#DIV/0!</v>
      </c>
      <c r="BZ172" s="290" t="e">
        <f t="shared" si="383"/>
        <v>#DIV/0!</v>
      </c>
      <c r="CA172" s="292" t="e">
        <f t="shared" si="383"/>
        <v>#DIV/0!</v>
      </c>
      <c r="CB172" s="288"/>
      <c r="CC172" s="289" t="e">
        <f t="shared" ref="CC172:CI172" si="384">CC171/$G172</f>
        <v>#DIV/0!</v>
      </c>
      <c r="CD172" s="290" t="e">
        <f t="shared" si="384"/>
        <v>#DIV/0!</v>
      </c>
      <c r="CE172" s="290" t="e">
        <f t="shared" si="384"/>
        <v>#DIV/0!</v>
      </c>
      <c r="CF172" s="290" t="e">
        <f t="shared" si="384"/>
        <v>#DIV/0!</v>
      </c>
      <c r="CG172" s="291" t="e">
        <f t="shared" si="384"/>
        <v>#DIV/0!</v>
      </c>
      <c r="CH172" s="290" t="e">
        <f t="shared" si="384"/>
        <v>#DIV/0!</v>
      </c>
      <c r="CI172" s="292" t="e">
        <f t="shared" si="384"/>
        <v>#DIV/0!</v>
      </c>
      <c r="CJ172" s="288"/>
      <c r="CK172" s="289" t="e">
        <f t="shared" ref="CK172:CQ172" si="385">CK171/$G172</f>
        <v>#DIV/0!</v>
      </c>
      <c r="CL172" s="290" t="e">
        <f t="shared" si="385"/>
        <v>#DIV/0!</v>
      </c>
      <c r="CM172" s="290" t="e">
        <f t="shared" si="385"/>
        <v>#DIV/0!</v>
      </c>
      <c r="CN172" s="290" t="e">
        <f t="shared" si="385"/>
        <v>#DIV/0!</v>
      </c>
      <c r="CO172" s="291" t="e">
        <f t="shared" si="385"/>
        <v>#DIV/0!</v>
      </c>
      <c r="CP172" s="290" t="e">
        <f t="shared" si="385"/>
        <v>#DIV/0!</v>
      </c>
      <c r="CQ172" s="292" t="e">
        <f t="shared" si="385"/>
        <v>#DIV/0!</v>
      </c>
    </row>
    <row r="173" spans="1:95" ht="16.5" thickBot="1" x14ac:dyDescent="0.3">
      <c r="A173" s="544"/>
      <c r="B173" s="544"/>
      <c r="C173" s="544"/>
      <c r="H173" s="545"/>
      <c r="K173" s="545"/>
      <c r="N173" s="545"/>
      <c r="Q173" s="545"/>
    </row>
    <row r="174" spans="1:95" x14ac:dyDescent="0.25">
      <c r="A174" s="132" t="s">
        <v>7</v>
      </c>
      <c r="B174" s="167">
        <f>B170+1</f>
        <v>45992</v>
      </c>
      <c r="C174" s="173"/>
      <c r="D174" s="259"/>
      <c r="E174" s="168"/>
      <c r="F174" s="317"/>
      <c r="G174" s="253"/>
      <c r="H174" s="247">
        <f t="shared" si="363"/>
        <v>0</v>
      </c>
      <c r="I174" s="260"/>
      <c r="J174" s="168"/>
      <c r="K174" s="247">
        <f t="shared" si="364"/>
        <v>0</v>
      </c>
      <c r="L174" s="260"/>
      <c r="M174" s="168"/>
      <c r="N174" s="311">
        <f t="shared" si="365"/>
        <v>0</v>
      </c>
      <c r="O174" s="260"/>
      <c r="P174" s="259"/>
      <c r="Q174" s="311">
        <f t="shared" si="366"/>
        <v>0</v>
      </c>
      <c r="R174" s="260"/>
      <c r="S174" s="259"/>
      <c r="T174" s="261"/>
      <c r="U174" s="168"/>
      <c r="V174" s="260"/>
      <c r="W174" s="260"/>
      <c r="X174" s="262"/>
      <c r="Y174" s="168"/>
      <c r="Z174" s="261"/>
      <c r="AA174" s="168"/>
      <c r="AB174" s="168"/>
      <c r="AC174" s="262"/>
      <c r="AD174" s="261"/>
      <c r="AE174" s="259"/>
      <c r="AF174" s="260"/>
      <c r="AG174" s="259"/>
      <c r="AH174" s="168"/>
      <c r="AI174" s="168"/>
      <c r="AJ174" s="260"/>
      <c r="AK174" s="259"/>
      <c r="AL174" s="260"/>
      <c r="AM174" s="259"/>
      <c r="AN174" s="168"/>
      <c r="AO174" s="168"/>
      <c r="AP174" s="260"/>
      <c r="AQ174" s="259"/>
      <c r="AR174" s="168"/>
      <c r="AS174" s="168"/>
      <c r="AT174" s="168"/>
      <c r="AU174" s="262"/>
      <c r="AV174" s="168"/>
      <c r="AW174" s="261"/>
      <c r="AX174" s="168"/>
      <c r="AY174" s="168"/>
      <c r="AZ174" s="168"/>
      <c r="BA174" s="260"/>
      <c r="BB174" s="168"/>
      <c r="BC174" s="262"/>
      <c r="BD174" s="168"/>
      <c r="BE174" s="261"/>
      <c r="BF174" s="168"/>
      <c r="BG174" s="168"/>
      <c r="BH174" s="168"/>
      <c r="BI174" s="260"/>
      <c r="BJ174" s="168"/>
      <c r="BK174" s="262"/>
      <c r="BL174" s="168"/>
      <c r="BM174" s="261"/>
      <c r="BN174" s="168"/>
      <c r="BO174" s="168"/>
      <c r="BP174" s="168"/>
      <c r="BQ174" s="260"/>
      <c r="BR174" s="168"/>
      <c r="BS174" s="262"/>
      <c r="BT174" s="168"/>
      <c r="BU174" s="261"/>
      <c r="BV174" s="168"/>
      <c r="BW174" s="168"/>
      <c r="BX174" s="168"/>
      <c r="BY174" s="260"/>
      <c r="BZ174" s="168"/>
      <c r="CA174" s="262"/>
      <c r="CB174" s="168"/>
      <c r="CC174" s="261"/>
      <c r="CD174" s="168"/>
      <c r="CE174" s="168"/>
      <c r="CF174" s="168"/>
      <c r="CG174" s="260"/>
      <c r="CH174" s="168"/>
      <c r="CI174" s="262"/>
      <c r="CJ174" s="168"/>
      <c r="CK174" s="261"/>
      <c r="CL174" s="168"/>
      <c r="CM174" s="168"/>
      <c r="CN174" s="168"/>
      <c r="CO174" s="260"/>
      <c r="CP174" s="168"/>
      <c r="CQ174" s="262"/>
    </row>
    <row r="175" spans="1:95" x14ac:dyDescent="0.25">
      <c r="A175" s="132" t="s">
        <v>10</v>
      </c>
      <c r="B175" s="167">
        <f t="shared" si="367"/>
        <v>45993</v>
      </c>
      <c r="C175" s="173"/>
      <c r="D175" s="259"/>
      <c r="E175" s="168"/>
      <c r="F175" s="317"/>
      <c r="G175" s="260"/>
      <c r="H175" s="247">
        <f t="shared" si="363"/>
        <v>0</v>
      </c>
      <c r="I175" s="260"/>
      <c r="J175" s="168"/>
      <c r="K175" s="247">
        <f t="shared" si="364"/>
        <v>0</v>
      </c>
      <c r="L175" s="260"/>
      <c r="M175" s="168"/>
      <c r="N175" s="311">
        <f t="shared" si="365"/>
        <v>0</v>
      </c>
      <c r="O175" s="260"/>
      <c r="P175" s="259"/>
      <c r="Q175" s="311">
        <f t="shared" si="366"/>
        <v>0</v>
      </c>
      <c r="R175" s="260"/>
      <c r="S175" s="259"/>
      <c r="T175" s="261"/>
      <c r="U175" s="168"/>
      <c r="V175" s="260"/>
      <c r="W175" s="260"/>
      <c r="X175" s="262"/>
      <c r="Y175" s="168"/>
      <c r="Z175" s="261"/>
      <c r="AA175" s="168"/>
      <c r="AB175" s="168"/>
      <c r="AC175" s="262"/>
      <c r="AD175" s="261"/>
      <c r="AE175" s="259"/>
      <c r="AF175" s="260"/>
      <c r="AG175" s="259"/>
      <c r="AH175" s="168"/>
      <c r="AI175" s="168"/>
      <c r="AJ175" s="260"/>
      <c r="AK175" s="259"/>
      <c r="AL175" s="260"/>
      <c r="AM175" s="259"/>
      <c r="AN175" s="168"/>
      <c r="AO175" s="168"/>
      <c r="AP175" s="260"/>
      <c r="AQ175" s="259"/>
      <c r="AR175" s="168"/>
      <c r="AS175" s="168"/>
      <c r="AT175" s="168"/>
      <c r="AU175" s="262"/>
      <c r="AV175" s="168"/>
      <c r="AW175" s="261"/>
      <c r="AX175" s="168"/>
      <c r="AY175" s="168"/>
      <c r="AZ175" s="168"/>
      <c r="BA175" s="260"/>
      <c r="BB175" s="168"/>
      <c r="BC175" s="262"/>
      <c r="BD175" s="168"/>
      <c r="BE175" s="261"/>
      <c r="BF175" s="168"/>
      <c r="BG175" s="168"/>
      <c r="BH175" s="168"/>
      <c r="BI175" s="260"/>
      <c r="BJ175" s="168"/>
      <c r="BK175" s="262"/>
      <c r="BL175" s="168"/>
      <c r="BM175" s="261"/>
      <c r="BN175" s="168"/>
      <c r="BO175" s="168"/>
      <c r="BP175" s="168"/>
      <c r="BQ175" s="260"/>
      <c r="BR175" s="168"/>
      <c r="BS175" s="262"/>
      <c r="BT175" s="168"/>
      <c r="BU175" s="261"/>
      <c r="BV175" s="168"/>
      <c r="BW175" s="168"/>
      <c r="BX175" s="168"/>
      <c r="BY175" s="260"/>
      <c r="BZ175" s="168"/>
      <c r="CA175" s="262"/>
      <c r="CB175" s="168"/>
      <c r="CC175" s="261"/>
      <c r="CD175" s="168"/>
      <c r="CE175" s="168"/>
      <c r="CF175" s="168"/>
      <c r="CG175" s="260"/>
      <c r="CH175" s="168"/>
      <c r="CI175" s="262"/>
      <c r="CJ175" s="168"/>
      <c r="CK175" s="261"/>
      <c r="CL175" s="168"/>
      <c r="CM175" s="168"/>
      <c r="CN175" s="168"/>
      <c r="CO175" s="260"/>
      <c r="CP175" s="168"/>
      <c r="CQ175" s="262"/>
    </row>
    <row r="176" spans="1:95" ht="16.5" thickBot="1" x14ac:dyDescent="0.3">
      <c r="A176" s="132" t="s">
        <v>11</v>
      </c>
      <c r="B176" s="167">
        <f t="shared" si="367"/>
        <v>45994</v>
      </c>
      <c r="C176" s="540"/>
      <c r="D176" s="259"/>
      <c r="E176" s="168"/>
      <c r="F176" s="317"/>
      <c r="G176" s="260"/>
      <c r="H176" s="311">
        <f t="shared" si="363"/>
        <v>0</v>
      </c>
      <c r="I176" s="260"/>
      <c r="J176" s="168"/>
      <c r="K176" s="311">
        <f t="shared" si="364"/>
        <v>0</v>
      </c>
      <c r="L176" s="260"/>
      <c r="M176" s="168"/>
      <c r="N176" s="311">
        <f t="shared" si="365"/>
        <v>0</v>
      </c>
      <c r="O176" s="260"/>
      <c r="P176" s="259"/>
      <c r="Q176" s="311">
        <f t="shared" si="366"/>
        <v>0</v>
      </c>
      <c r="R176" s="260"/>
      <c r="S176" s="259"/>
      <c r="T176" s="261"/>
      <c r="U176" s="168"/>
      <c r="V176" s="260"/>
      <c r="W176" s="260"/>
      <c r="X176" s="262"/>
      <c r="Y176" s="168"/>
      <c r="Z176" s="264"/>
      <c r="AA176" s="238"/>
      <c r="AB176" s="238"/>
      <c r="AC176" s="265"/>
      <c r="AD176" s="264"/>
      <c r="AE176" s="263"/>
      <c r="AF176" s="237"/>
      <c r="AG176" s="263"/>
      <c r="AH176" s="238"/>
      <c r="AI176" s="238"/>
      <c r="AJ176" s="237"/>
      <c r="AK176" s="263"/>
      <c r="AL176" s="237"/>
      <c r="AM176" s="263"/>
      <c r="AN176" s="238"/>
      <c r="AO176" s="238"/>
      <c r="AP176" s="237"/>
      <c r="AQ176" s="263"/>
      <c r="AR176" s="238"/>
      <c r="AS176" s="238"/>
      <c r="AT176" s="238"/>
      <c r="AU176" s="265"/>
      <c r="AV176" s="168"/>
      <c r="AW176" s="264"/>
      <c r="AX176" s="238"/>
      <c r="AY176" s="238"/>
      <c r="AZ176" s="238"/>
      <c r="BA176" s="237"/>
      <c r="BB176" s="238"/>
      <c r="BC176" s="265"/>
      <c r="BD176" s="168"/>
      <c r="BE176" s="264"/>
      <c r="BF176" s="238"/>
      <c r="BG176" s="238"/>
      <c r="BH176" s="238"/>
      <c r="BI176" s="237"/>
      <c r="BJ176" s="238"/>
      <c r="BK176" s="265"/>
      <c r="BL176" s="168"/>
      <c r="BM176" s="264"/>
      <c r="BN176" s="238"/>
      <c r="BO176" s="238"/>
      <c r="BP176" s="238"/>
      <c r="BQ176" s="237"/>
      <c r="BR176" s="238"/>
      <c r="BS176" s="265"/>
      <c r="BT176" s="168"/>
      <c r="BU176" s="264"/>
      <c r="BV176" s="238"/>
      <c r="BW176" s="238"/>
      <c r="BX176" s="238"/>
      <c r="BY176" s="237"/>
      <c r="BZ176" s="238"/>
      <c r="CA176" s="265"/>
      <c r="CB176" s="168"/>
      <c r="CC176" s="264"/>
      <c r="CD176" s="238"/>
      <c r="CE176" s="238"/>
      <c r="CF176" s="238"/>
      <c r="CG176" s="237"/>
      <c r="CH176" s="238"/>
      <c r="CI176" s="265"/>
      <c r="CJ176" s="168"/>
      <c r="CK176" s="264"/>
      <c r="CL176" s="238"/>
      <c r="CM176" s="238"/>
      <c r="CN176" s="238"/>
      <c r="CO176" s="237"/>
      <c r="CP176" s="238"/>
      <c r="CQ176" s="265"/>
    </row>
    <row r="177" spans="1:95" ht="16.5" thickTop="1" x14ac:dyDescent="0.25">
      <c r="A177" s="132" t="s">
        <v>12</v>
      </c>
      <c r="B177" s="167">
        <f>B176+1</f>
        <v>45995</v>
      </c>
      <c r="C177" s="540"/>
      <c r="D177" s="259"/>
      <c r="E177" s="168"/>
      <c r="F177" s="317"/>
      <c r="G177" s="253"/>
      <c r="H177" s="247">
        <f t="shared" ref="H177:H186" si="386">SUM(I177:J177)</f>
        <v>0</v>
      </c>
      <c r="I177" s="260"/>
      <c r="J177" s="168"/>
      <c r="K177" s="247">
        <f t="shared" ref="K177:K186" si="387">SUM(L177:M177)</f>
        <v>0</v>
      </c>
      <c r="L177" s="260"/>
      <c r="M177" s="168"/>
      <c r="N177" s="311">
        <f t="shared" ref="N177:N186" si="388">SUM(O177:P177)</f>
        <v>0</v>
      </c>
      <c r="O177" s="260"/>
      <c r="P177" s="259"/>
      <c r="Q177" s="311">
        <f t="shared" ref="Q177:Q186" si="389">SUM(R177:S177)</f>
        <v>0</v>
      </c>
      <c r="R177" s="260"/>
      <c r="S177" s="259"/>
      <c r="T177" s="261"/>
      <c r="U177" s="168"/>
      <c r="V177" s="260"/>
      <c r="W177" s="260"/>
      <c r="X177" s="262"/>
      <c r="Y177" s="168"/>
      <c r="Z177" s="257"/>
      <c r="AA177" s="255"/>
      <c r="AB177" s="255"/>
      <c r="AC177" s="258"/>
      <c r="AD177" s="257"/>
      <c r="AE177" s="256"/>
      <c r="AF177" s="254"/>
      <c r="AG177" s="256"/>
      <c r="AH177" s="255"/>
      <c r="AI177" s="255"/>
      <c r="AJ177" s="254"/>
      <c r="AK177" s="256"/>
      <c r="AL177" s="254"/>
      <c r="AM177" s="256"/>
      <c r="AN177" s="255"/>
      <c r="AO177" s="255"/>
      <c r="AP177" s="254"/>
      <c r="AQ177" s="256"/>
      <c r="AR177" s="255"/>
      <c r="AS177" s="255"/>
      <c r="AT177" s="255"/>
      <c r="AU177" s="258"/>
      <c r="AV177" s="168"/>
      <c r="AW177" s="257"/>
      <c r="AX177" s="255"/>
      <c r="AY177" s="255"/>
      <c r="AZ177" s="255"/>
      <c r="BA177" s="254"/>
      <c r="BB177" s="255"/>
      <c r="BC177" s="258"/>
      <c r="BD177" s="168"/>
      <c r="BE177" s="257"/>
      <c r="BF177" s="255"/>
      <c r="BG177" s="255"/>
      <c r="BH177" s="255"/>
      <c r="BI177" s="254"/>
      <c r="BJ177" s="255"/>
      <c r="BK177" s="258"/>
      <c r="BL177" s="168"/>
      <c r="BM177" s="257"/>
      <c r="BN177" s="255"/>
      <c r="BO177" s="255"/>
      <c r="BP177" s="255"/>
      <c r="BQ177" s="254"/>
      <c r="BR177" s="255"/>
      <c r="BS177" s="258"/>
      <c r="BT177" s="168"/>
      <c r="BU177" s="257"/>
      <c r="BV177" s="255"/>
      <c r="BW177" s="255"/>
      <c r="BX177" s="255"/>
      <c r="BY177" s="254"/>
      <c r="BZ177" s="255"/>
      <c r="CA177" s="258"/>
      <c r="CB177" s="168"/>
      <c r="CC177" s="257"/>
      <c r="CD177" s="255"/>
      <c r="CE177" s="255"/>
      <c r="CF177" s="255"/>
      <c r="CG177" s="254"/>
      <c r="CH177" s="255"/>
      <c r="CI177" s="258"/>
      <c r="CJ177" s="168"/>
      <c r="CK177" s="257"/>
      <c r="CL177" s="255"/>
      <c r="CM177" s="255"/>
      <c r="CN177" s="255"/>
      <c r="CO177" s="254"/>
      <c r="CP177" s="255"/>
      <c r="CQ177" s="258"/>
    </row>
    <row r="178" spans="1:95" x14ac:dyDescent="0.25">
      <c r="A178" s="132" t="s">
        <v>13</v>
      </c>
      <c r="B178" s="167">
        <f t="shared" ref="B178:B186" si="390">B177+1</f>
        <v>45996</v>
      </c>
      <c r="C178" s="540"/>
      <c r="D178" s="259"/>
      <c r="E178" s="168"/>
      <c r="F178" s="317"/>
      <c r="G178" s="253"/>
      <c r="H178" s="247">
        <f t="shared" si="386"/>
        <v>0</v>
      </c>
      <c r="I178" s="260"/>
      <c r="J178" s="168"/>
      <c r="K178" s="247">
        <f t="shared" si="387"/>
        <v>0</v>
      </c>
      <c r="L178" s="260"/>
      <c r="M178" s="168"/>
      <c r="N178" s="311">
        <f t="shared" si="388"/>
        <v>0</v>
      </c>
      <c r="O178" s="260"/>
      <c r="P178" s="259"/>
      <c r="Q178" s="311">
        <f t="shared" si="389"/>
        <v>0</v>
      </c>
      <c r="R178" s="260"/>
      <c r="S178" s="259"/>
      <c r="T178" s="261"/>
      <c r="U178" s="168"/>
      <c r="V178" s="260"/>
      <c r="W178" s="260"/>
      <c r="X178" s="262"/>
      <c r="Y178" s="168"/>
      <c r="Z178" s="261"/>
      <c r="AA178" s="168"/>
      <c r="AB178" s="168"/>
      <c r="AC178" s="262"/>
      <c r="AD178" s="261"/>
      <c r="AE178" s="259"/>
      <c r="AF178" s="260"/>
      <c r="AG178" s="259"/>
      <c r="AH178" s="168"/>
      <c r="AI178" s="168"/>
      <c r="AJ178" s="260"/>
      <c r="AK178" s="259"/>
      <c r="AL178" s="260"/>
      <c r="AM178" s="259"/>
      <c r="AN178" s="168"/>
      <c r="AO178" s="168"/>
      <c r="AP178" s="260"/>
      <c r="AQ178" s="259"/>
      <c r="AR178" s="168"/>
      <c r="AS178" s="168"/>
      <c r="AT178" s="168"/>
      <c r="AU178" s="262"/>
      <c r="AV178" s="168"/>
      <c r="AW178" s="261"/>
      <c r="AX178" s="168"/>
      <c r="AY178" s="168"/>
      <c r="AZ178" s="168"/>
      <c r="BA178" s="260"/>
      <c r="BB178" s="168"/>
      <c r="BC178" s="262"/>
      <c r="BD178" s="168"/>
      <c r="BE178" s="261"/>
      <c r="BF178" s="168"/>
      <c r="BG178" s="168"/>
      <c r="BH178" s="168"/>
      <c r="BI178" s="260"/>
      <c r="BJ178" s="168"/>
      <c r="BK178" s="262"/>
      <c r="BL178" s="168"/>
      <c r="BM178" s="261"/>
      <c r="BN178" s="168"/>
      <c r="BO178" s="168"/>
      <c r="BP178" s="168"/>
      <c r="BQ178" s="260"/>
      <c r="BR178" s="168"/>
      <c r="BS178" s="262"/>
      <c r="BT178" s="168"/>
      <c r="BU178" s="261"/>
      <c r="BV178" s="168"/>
      <c r="BW178" s="168"/>
      <c r="BX178" s="168"/>
      <c r="BY178" s="260"/>
      <c r="BZ178" s="168"/>
      <c r="CA178" s="262"/>
      <c r="CB178" s="168"/>
      <c r="CC178" s="261"/>
      <c r="CD178" s="168"/>
      <c r="CE178" s="168"/>
      <c r="CF178" s="168"/>
      <c r="CG178" s="260"/>
      <c r="CH178" s="168"/>
      <c r="CI178" s="262"/>
      <c r="CJ178" s="168"/>
      <c r="CK178" s="261"/>
      <c r="CL178" s="168"/>
      <c r="CM178" s="168"/>
      <c r="CN178" s="168"/>
      <c r="CO178" s="260"/>
      <c r="CP178" s="168"/>
      <c r="CQ178" s="262"/>
    </row>
    <row r="179" spans="1:95" x14ac:dyDescent="0.25">
      <c r="A179" s="132" t="s">
        <v>14</v>
      </c>
      <c r="B179" s="167">
        <f t="shared" si="390"/>
        <v>45997</v>
      </c>
      <c r="C179" s="173"/>
      <c r="D179" s="259"/>
      <c r="E179" s="168"/>
      <c r="F179" s="317"/>
      <c r="G179" s="253"/>
      <c r="H179" s="247">
        <f t="shared" si="386"/>
        <v>0</v>
      </c>
      <c r="I179" s="260"/>
      <c r="J179" s="168"/>
      <c r="K179" s="247">
        <f t="shared" si="387"/>
        <v>0</v>
      </c>
      <c r="L179" s="260"/>
      <c r="M179" s="168"/>
      <c r="N179" s="311">
        <f t="shared" si="388"/>
        <v>0</v>
      </c>
      <c r="O179" s="260"/>
      <c r="P179" s="259"/>
      <c r="Q179" s="311">
        <f t="shared" si="389"/>
        <v>0</v>
      </c>
      <c r="R179" s="260"/>
      <c r="S179" s="259"/>
      <c r="T179" s="261"/>
      <c r="U179" s="168"/>
      <c r="V179" s="260"/>
      <c r="W179" s="260"/>
      <c r="X179" s="262"/>
      <c r="Y179" s="168"/>
      <c r="Z179" s="261"/>
      <c r="AA179" s="168"/>
      <c r="AB179" s="168"/>
      <c r="AC179" s="262"/>
      <c r="AD179" s="261"/>
      <c r="AE179" s="259"/>
      <c r="AF179" s="260"/>
      <c r="AG179" s="259"/>
      <c r="AH179" s="168"/>
      <c r="AI179" s="168"/>
      <c r="AJ179" s="260"/>
      <c r="AK179" s="259"/>
      <c r="AL179" s="260"/>
      <c r="AM179" s="259"/>
      <c r="AN179" s="168"/>
      <c r="AO179" s="168"/>
      <c r="AP179" s="260"/>
      <c r="AQ179" s="259"/>
      <c r="AR179" s="168"/>
      <c r="AS179" s="168"/>
      <c r="AT179" s="168"/>
      <c r="AU179" s="262"/>
      <c r="AV179" s="168"/>
      <c r="AW179" s="261"/>
      <c r="AX179" s="168"/>
      <c r="AY179" s="168"/>
      <c r="AZ179" s="168"/>
      <c r="BA179" s="260"/>
      <c r="BB179" s="168"/>
      <c r="BC179" s="262"/>
      <c r="BD179" s="168"/>
      <c r="BE179" s="261"/>
      <c r="BF179" s="168"/>
      <c r="BG179" s="168"/>
      <c r="BH179" s="168"/>
      <c r="BI179" s="260"/>
      <c r="BJ179" s="168"/>
      <c r="BK179" s="262"/>
      <c r="BL179" s="168"/>
      <c r="BM179" s="261"/>
      <c r="BN179" s="168"/>
      <c r="BO179" s="168"/>
      <c r="BP179" s="168"/>
      <c r="BQ179" s="260"/>
      <c r="BR179" s="168"/>
      <c r="BS179" s="262"/>
      <c r="BT179" s="168"/>
      <c r="BU179" s="261"/>
      <c r="BV179" s="168"/>
      <c r="BW179" s="168"/>
      <c r="BX179" s="168"/>
      <c r="BY179" s="260"/>
      <c r="BZ179" s="168"/>
      <c r="CA179" s="262"/>
      <c r="CB179" s="168"/>
      <c r="CC179" s="261"/>
      <c r="CD179" s="168"/>
      <c r="CE179" s="168"/>
      <c r="CF179" s="168"/>
      <c r="CG179" s="260"/>
      <c r="CH179" s="168"/>
      <c r="CI179" s="262"/>
      <c r="CJ179" s="168"/>
      <c r="CK179" s="261"/>
      <c r="CL179" s="168"/>
      <c r="CM179" s="168"/>
      <c r="CN179" s="168"/>
      <c r="CO179" s="260"/>
      <c r="CP179" s="168"/>
      <c r="CQ179" s="262"/>
    </row>
    <row r="180" spans="1:95" ht="16.5" thickBot="1" x14ac:dyDescent="0.3">
      <c r="A180" s="132" t="s">
        <v>15</v>
      </c>
      <c r="B180" s="167">
        <f t="shared" si="390"/>
        <v>45998</v>
      </c>
      <c r="C180" s="173"/>
      <c r="D180" s="259"/>
      <c r="E180" s="168"/>
      <c r="F180" s="317"/>
      <c r="G180" s="253"/>
      <c r="H180" s="247">
        <f t="shared" si="386"/>
        <v>0</v>
      </c>
      <c r="I180" s="260"/>
      <c r="J180" s="168"/>
      <c r="K180" s="247">
        <f t="shared" si="387"/>
        <v>0</v>
      </c>
      <c r="L180" s="260"/>
      <c r="M180" s="168"/>
      <c r="N180" s="311">
        <f t="shared" si="388"/>
        <v>0</v>
      </c>
      <c r="O180" s="260"/>
      <c r="P180" s="259"/>
      <c r="Q180" s="311">
        <f t="shared" si="389"/>
        <v>0</v>
      </c>
      <c r="R180" s="260"/>
      <c r="S180" s="259"/>
      <c r="T180" s="261"/>
      <c r="U180" s="168"/>
      <c r="V180" s="260"/>
      <c r="W180" s="260"/>
      <c r="X180" s="262"/>
      <c r="Y180" s="168"/>
      <c r="Z180" s="261"/>
      <c r="AA180" s="168"/>
      <c r="AB180" s="168"/>
      <c r="AC180" s="262"/>
      <c r="AD180" s="261"/>
      <c r="AE180" s="259"/>
      <c r="AF180" s="260"/>
      <c r="AG180" s="259"/>
      <c r="AH180" s="168"/>
      <c r="AI180" s="168"/>
      <c r="AJ180" s="260"/>
      <c r="AK180" s="259"/>
      <c r="AL180" s="260"/>
      <c r="AM180" s="259"/>
      <c r="AN180" s="237"/>
      <c r="AO180" s="238"/>
      <c r="AP180" s="237"/>
      <c r="AQ180" s="263"/>
      <c r="AR180" s="238"/>
      <c r="AS180" s="238"/>
      <c r="AT180" s="168"/>
      <c r="AU180" s="262"/>
      <c r="AV180" s="168"/>
      <c r="AW180" s="261"/>
      <c r="AX180" s="168"/>
      <c r="AY180" s="168"/>
      <c r="AZ180" s="168"/>
      <c r="BA180" s="260"/>
      <c r="BB180" s="168"/>
      <c r="BC180" s="262"/>
      <c r="BD180" s="168"/>
      <c r="BE180" s="261"/>
      <c r="BF180" s="168"/>
      <c r="BG180" s="168"/>
      <c r="BH180" s="168"/>
      <c r="BI180" s="260"/>
      <c r="BJ180" s="168"/>
      <c r="BK180" s="262"/>
      <c r="BL180" s="168"/>
      <c r="BM180" s="261"/>
      <c r="BN180" s="168"/>
      <c r="BO180" s="168"/>
      <c r="BP180" s="168"/>
      <c r="BQ180" s="260"/>
      <c r="BR180" s="168"/>
      <c r="BS180" s="262"/>
      <c r="BT180" s="168"/>
      <c r="BU180" s="261"/>
      <c r="BV180" s="168"/>
      <c r="BW180" s="168"/>
      <c r="BX180" s="168"/>
      <c r="BY180" s="260"/>
      <c r="BZ180" s="168"/>
      <c r="CA180" s="262"/>
      <c r="CB180" s="168"/>
      <c r="CC180" s="261"/>
      <c r="CD180" s="168"/>
      <c r="CE180" s="168"/>
      <c r="CF180" s="168"/>
      <c r="CG180" s="260"/>
      <c r="CH180" s="168"/>
      <c r="CI180" s="262"/>
      <c r="CJ180" s="168"/>
      <c r="CK180" s="261"/>
      <c r="CL180" s="168"/>
      <c r="CM180" s="168"/>
      <c r="CN180" s="168"/>
      <c r="CO180" s="260"/>
      <c r="CP180" s="168"/>
      <c r="CQ180" s="262"/>
    </row>
    <row r="181" spans="1:95" ht="16.5" thickTop="1" x14ac:dyDescent="0.25">
      <c r="A181" s="298" t="s">
        <v>106</v>
      </c>
      <c r="B181" s="274"/>
      <c r="C181" s="293"/>
      <c r="D181" s="294"/>
      <c r="E181" s="315"/>
      <c r="F181" s="315"/>
      <c r="G181" s="295"/>
      <c r="H181" s="296">
        <f t="shared" ref="H181:X181" si="391">SUM(H174:H180)</f>
        <v>0</v>
      </c>
      <c r="I181" s="284">
        <f t="shared" si="391"/>
        <v>0</v>
      </c>
      <c r="J181" s="283">
        <f t="shared" si="391"/>
        <v>0</v>
      </c>
      <c r="K181" s="296">
        <f t="shared" si="391"/>
        <v>0</v>
      </c>
      <c r="L181" s="284">
        <f t="shared" si="391"/>
        <v>0</v>
      </c>
      <c r="M181" s="283">
        <f t="shared" si="391"/>
        <v>0</v>
      </c>
      <c r="N181" s="296">
        <f t="shared" si="391"/>
        <v>0</v>
      </c>
      <c r="O181" s="284">
        <f t="shared" si="391"/>
        <v>0</v>
      </c>
      <c r="P181" s="285">
        <f t="shared" si="391"/>
        <v>0</v>
      </c>
      <c r="Q181" s="296">
        <f t="shared" si="391"/>
        <v>0</v>
      </c>
      <c r="R181" s="284">
        <f t="shared" si="391"/>
        <v>0</v>
      </c>
      <c r="S181" s="285">
        <f t="shared" si="391"/>
        <v>0</v>
      </c>
      <c r="T181" s="282">
        <f t="shared" si="391"/>
        <v>0</v>
      </c>
      <c r="U181" s="283">
        <f t="shared" si="391"/>
        <v>0</v>
      </c>
      <c r="V181" s="284">
        <f t="shared" si="391"/>
        <v>0</v>
      </c>
      <c r="W181" s="284">
        <f t="shared" si="391"/>
        <v>0</v>
      </c>
      <c r="X181" s="285">
        <f t="shared" si="391"/>
        <v>0</v>
      </c>
      <c r="Y181" s="173"/>
      <c r="Z181" s="282">
        <f>SUM(Z174:Z180)</f>
        <v>0</v>
      </c>
      <c r="AA181" s="283">
        <f>SUM(AA174:AA180)</f>
        <v>0</v>
      </c>
      <c r="AB181" s="283">
        <f>SUM(AB174:AB180)</f>
        <v>0</v>
      </c>
      <c r="AC181" s="285">
        <f>SUM(AC174:AC180)</f>
        <v>0</v>
      </c>
      <c r="AD181" s="282">
        <f t="shared" ref="AD181:AU181" si="392">SUM(AD174:AD180)</f>
        <v>0</v>
      </c>
      <c r="AE181" s="297">
        <f t="shared" si="392"/>
        <v>0</v>
      </c>
      <c r="AF181" s="284">
        <f t="shared" si="392"/>
        <v>0</v>
      </c>
      <c r="AG181" s="297">
        <f t="shared" si="392"/>
        <v>0</v>
      </c>
      <c r="AH181" s="283">
        <f t="shared" si="392"/>
        <v>0</v>
      </c>
      <c r="AI181" s="283">
        <f t="shared" si="392"/>
        <v>0</v>
      </c>
      <c r="AJ181" s="284">
        <f t="shared" si="392"/>
        <v>0</v>
      </c>
      <c r="AK181" s="297">
        <f t="shared" si="392"/>
        <v>0</v>
      </c>
      <c r="AL181" s="284">
        <f t="shared" si="392"/>
        <v>0</v>
      </c>
      <c r="AM181" s="297">
        <f t="shared" si="392"/>
        <v>0</v>
      </c>
      <c r="AN181" s="276">
        <f t="shared" si="392"/>
        <v>0</v>
      </c>
      <c r="AO181" s="275">
        <f t="shared" si="392"/>
        <v>0</v>
      </c>
      <c r="AP181" s="276">
        <f t="shared" si="392"/>
        <v>0</v>
      </c>
      <c r="AQ181" s="275">
        <f t="shared" si="392"/>
        <v>0</v>
      </c>
      <c r="AR181" s="278">
        <f t="shared" si="392"/>
        <v>0</v>
      </c>
      <c r="AS181" s="277">
        <f t="shared" si="392"/>
        <v>0</v>
      </c>
      <c r="AT181" s="283">
        <f t="shared" si="392"/>
        <v>0</v>
      </c>
      <c r="AU181" s="285">
        <f t="shared" si="392"/>
        <v>0</v>
      </c>
      <c r="AV181" s="173"/>
      <c r="AW181" s="282">
        <f t="shared" ref="AW181:BC181" si="393">SUM(AW174:AW180)</f>
        <v>0</v>
      </c>
      <c r="AX181" s="283">
        <f t="shared" si="393"/>
        <v>0</v>
      </c>
      <c r="AY181" s="283">
        <f t="shared" si="393"/>
        <v>0</v>
      </c>
      <c r="AZ181" s="283">
        <f t="shared" si="393"/>
        <v>0</v>
      </c>
      <c r="BA181" s="284">
        <f t="shared" si="393"/>
        <v>0</v>
      </c>
      <c r="BB181" s="283">
        <f t="shared" si="393"/>
        <v>0</v>
      </c>
      <c r="BC181" s="285">
        <f t="shared" si="393"/>
        <v>0</v>
      </c>
      <c r="BD181" s="173"/>
      <c r="BE181" s="282">
        <f t="shared" ref="BE181:BK181" si="394">SUM(BE174:BE180)</f>
        <v>0</v>
      </c>
      <c r="BF181" s="283">
        <f t="shared" si="394"/>
        <v>0</v>
      </c>
      <c r="BG181" s="283">
        <f t="shared" si="394"/>
        <v>0</v>
      </c>
      <c r="BH181" s="283">
        <f t="shared" si="394"/>
        <v>0</v>
      </c>
      <c r="BI181" s="284">
        <f t="shared" si="394"/>
        <v>0</v>
      </c>
      <c r="BJ181" s="283">
        <f t="shared" si="394"/>
        <v>0</v>
      </c>
      <c r="BK181" s="285">
        <f t="shared" si="394"/>
        <v>0</v>
      </c>
      <c r="BL181" s="173"/>
      <c r="BM181" s="282">
        <f t="shared" ref="BM181:BS181" si="395">SUM(BM174:BM180)</f>
        <v>0</v>
      </c>
      <c r="BN181" s="283">
        <f t="shared" si="395"/>
        <v>0</v>
      </c>
      <c r="BO181" s="283">
        <f t="shared" si="395"/>
        <v>0</v>
      </c>
      <c r="BP181" s="283">
        <f t="shared" si="395"/>
        <v>0</v>
      </c>
      <c r="BQ181" s="284">
        <f t="shared" si="395"/>
        <v>0</v>
      </c>
      <c r="BR181" s="283">
        <f t="shared" si="395"/>
        <v>0</v>
      </c>
      <c r="BS181" s="285">
        <f t="shared" si="395"/>
        <v>0</v>
      </c>
      <c r="BT181" s="173"/>
      <c r="BU181" s="282">
        <f t="shared" ref="BU181:CA181" si="396">SUM(BU174:BU180)</f>
        <v>0</v>
      </c>
      <c r="BV181" s="283">
        <f t="shared" si="396"/>
        <v>0</v>
      </c>
      <c r="BW181" s="283">
        <f t="shared" si="396"/>
        <v>0</v>
      </c>
      <c r="BX181" s="283">
        <f t="shared" si="396"/>
        <v>0</v>
      </c>
      <c r="BY181" s="284">
        <f t="shared" si="396"/>
        <v>0</v>
      </c>
      <c r="BZ181" s="283">
        <f t="shared" si="396"/>
        <v>0</v>
      </c>
      <c r="CA181" s="285">
        <f t="shared" si="396"/>
        <v>0</v>
      </c>
      <c r="CB181" s="173"/>
      <c r="CC181" s="282">
        <f t="shared" ref="CC181:CI181" si="397">SUM(CC174:CC180)</f>
        <v>0</v>
      </c>
      <c r="CD181" s="283">
        <f t="shared" si="397"/>
        <v>0</v>
      </c>
      <c r="CE181" s="283">
        <f t="shared" si="397"/>
        <v>0</v>
      </c>
      <c r="CF181" s="283">
        <f t="shared" si="397"/>
        <v>0</v>
      </c>
      <c r="CG181" s="284">
        <f t="shared" si="397"/>
        <v>0</v>
      </c>
      <c r="CH181" s="283">
        <f t="shared" si="397"/>
        <v>0</v>
      </c>
      <c r="CI181" s="285">
        <f t="shared" si="397"/>
        <v>0</v>
      </c>
      <c r="CJ181" s="173"/>
      <c r="CK181" s="282">
        <f t="shared" ref="CK181:CQ181" si="398">SUM(CK174:CK180)</f>
        <v>0</v>
      </c>
      <c r="CL181" s="283">
        <f t="shared" si="398"/>
        <v>0</v>
      </c>
      <c r="CM181" s="283">
        <f t="shared" si="398"/>
        <v>0</v>
      </c>
      <c r="CN181" s="283">
        <f t="shared" si="398"/>
        <v>0</v>
      </c>
      <c r="CO181" s="284">
        <f t="shared" si="398"/>
        <v>0</v>
      </c>
      <c r="CP181" s="283">
        <f t="shared" si="398"/>
        <v>0</v>
      </c>
      <c r="CQ181" s="285">
        <f t="shared" si="398"/>
        <v>0</v>
      </c>
    </row>
    <row r="182" spans="1:95" ht="16.5" thickBot="1" x14ac:dyDescent="0.3">
      <c r="A182" s="541" t="s">
        <v>105</v>
      </c>
      <c r="B182" s="542"/>
      <c r="C182" s="543">
        <f>SUM(C174:C180)</f>
        <v>0</v>
      </c>
      <c r="D182" s="307">
        <f>SUM(D174:D180)</f>
        <v>0</v>
      </c>
      <c r="E182" s="306">
        <f>SUM(E174:E180)</f>
        <v>0</v>
      </c>
      <c r="F182" s="307">
        <f>SUM(F174:F180)</f>
        <v>0</v>
      </c>
      <c r="G182" s="268" t="e">
        <f>D182/C182</f>
        <v>#DIV/0!</v>
      </c>
      <c r="H182" s="279" t="e">
        <f t="shared" ref="H182:X182" si="399">H181/$G182</f>
        <v>#DIV/0!</v>
      </c>
      <c r="I182" s="241" t="e">
        <f t="shared" si="399"/>
        <v>#DIV/0!</v>
      </c>
      <c r="J182" s="239" t="e">
        <f t="shared" si="399"/>
        <v>#DIV/0!</v>
      </c>
      <c r="K182" s="279" t="e">
        <f t="shared" si="399"/>
        <v>#DIV/0!</v>
      </c>
      <c r="L182" s="241" t="e">
        <f t="shared" si="399"/>
        <v>#DIV/0!</v>
      </c>
      <c r="M182" s="239" t="e">
        <f t="shared" si="399"/>
        <v>#DIV/0!</v>
      </c>
      <c r="N182" s="279" t="e">
        <f t="shared" si="399"/>
        <v>#DIV/0!</v>
      </c>
      <c r="O182" s="241" t="e">
        <f t="shared" si="399"/>
        <v>#DIV/0!</v>
      </c>
      <c r="P182" s="270" t="e">
        <f t="shared" si="399"/>
        <v>#DIV/0!</v>
      </c>
      <c r="Q182" s="279" t="e">
        <f t="shared" si="399"/>
        <v>#DIV/0!</v>
      </c>
      <c r="R182" s="241" t="e">
        <f t="shared" si="399"/>
        <v>#DIV/0!</v>
      </c>
      <c r="S182" s="270" t="e">
        <f t="shared" si="399"/>
        <v>#DIV/0!</v>
      </c>
      <c r="T182" s="269" t="e">
        <f t="shared" si="399"/>
        <v>#DIV/0!</v>
      </c>
      <c r="U182" s="239" t="e">
        <f t="shared" si="399"/>
        <v>#DIV/0!</v>
      </c>
      <c r="V182" s="241" t="e">
        <f t="shared" si="399"/>
        <v>#DIV/0!</v>
      </c>
      <c r="W182" s="241" t="e">
        <f t="shared" si="399"/>
        <v>#DIV/0!</v>
      </c>
      <c r="X182" s="270" t="e">
        <f t="shared" si="399"/>
        <v>#DIV/0!</v>
      </c>
      <c r="Y182" s="173"/>
      <c r="Z182" s="289" t="e">
        <f>Z181/$G182</f>
        <v>#DIV/0!</v>
      </c>
      <c r="AA182" s="290" t="e">
        <f t="shared" ref="AA182:AU182" si="400">AA181/$G182</f>
        <v>#DIV/0!</v>
      </c>
      <c r="AB182" s="290" t="e">
        <f t="shared" si="400"/>
        <v>#DIV/0!</v>
      </c>
      <c r="AC182" s="292" t="e">
        <f t="shared" si="400"/>
        <v>#DIV/0!</v>
      </c>
      <c r="AD182" s="289" t="e">
        <f t="shared" si="400"/>
        <v>#DIV/0!</v>
      </c>
      <c r="AE182" s="324" t="e">
        <f t="shared" si="400"/>
        <v>#DIV/0!</v>
      </c>
      <c r="AF182" s="291" t="e">
        <f t="shared" si="400"/>
        <v>#DIV/0!</v>
      </c>
      <c r="AG182" s="324" t="e">
        <f t="shared" si="400"/>
        <v>#DIV/0!</v>
      </c>
      <c r="AH182" s="290" t="e">
        <f t="shared" si="400"/>
        <v>#DIV/0!</v>
      </c>
      <c r="AI182" s="290" t="e">
        <f t="shared" si="400"/>
        <v>#DIV/0!</v>
      </c>
      <c r="AJ182" s="291" t="e">
        <f t="shared" si="400"/>
        <v>#DIV/0!</v>
      </c>
      <c r="AK182" s="324" t="e">
        <f t="shared" si="400"/>
        <v>#DIV/0!</v>
      </c>
      <c r="AL182" s="291" t="e">
        <f t="shared" si="400"/>
        <v>#DIV/0!</v>
      </c>
      <c r="AM182" s="324" t="e">
        <f t="shared" si="400"/>
        <v>#DIV/0!</v>
      </c>
      <c r="AN182" s="325" t="e">
        <f t="shared" si="400"/>
        <v>#DIV/0!</v>
      </c>
      <c r="AO182" s="326" t="e">
        <f t="shared" si="400"/>
        <v>#DIV/0!</v>
      </c>
      <c r="AP182" s="325" t="e">
        <f t="shared" si="400"/>
        <v>#DIV/0!</v>
      </c>
      <c r="AQ182" s="326" t="e">
        <f t="shared" si="400"/>
        <v>#DIV/0!</v>
      </c>
      <c r="AR182" s="287" t="e">
        <f t="shared" si="400"/>
        <v>#DIV/0!</v>
      </c>
      <c r="AS182" s="286" t="e">
        <f t="shared" si="400"/>
        <v>#DIV/0!</v>
      </c>
      <c r="AT182" s="290" t="e">
        <f t="shared" si="400"/>
        <v>#DIV/0!</v>
      </c>
      <c r="AU182" s="292" t="e">
        <f t="shared" si="400"/>
        <v>#DIV/0!</v>
      </c>
      <c r="AV182" s="288"/>
      <c r="AW182" s="289" t="e">
        <f t="shared" ref="AW182:BC182" si="401">AW181/$G182</f>
        <v>#DIV/0!</v>
      </c>
      <c r="AX182" s="290" t="e">
        <f t="shared" si="401"/>
        <v>#DIV/0!</v>
      </c>
      <c r="AY182" s="290" t="e">
        <f t="shared" si="401"/>
        <v>#DIV/0!</v>
      </c>
      <c r="AZ182" s="290" t="e">
        <f t="shared" si="401"/>
        <v>#DIV/0!</v>
      </c>
      <c r="BA182" s="291" t="e">
        <f t="shared" si="401"/>
        <v>#DIV/0!</v>
      </c>
      <c r="BB182" s="290" t="e">
        <f t="shared" si="401"/>
        <v>#DIV/0!</v>
      </c>
      <c r="BC182" s="292" t="e">
        <f t="shared" si="401"/>
        <v>#DIV/0!</v>
      </c>
      <c r="BD182" s="288"/>
      <c r="BE182" s="289" t="e">
        <f t="shared" ref="BE182:BK182" si="402">BE181/$G182</f>
        <v>#DIV/0!</v>
      </c>
      <c r="BF182" s="290" t="e">
        <f t="shared" si="402"/>
        <v>#DIV/0!</v>
      </c>
      <c r="BG182" s="290" t="e">
        <f t="shared" si="402"/>
        <v>#DIV/0!</v>
      </c>
      <c r="BH182" s="290" t="e">
        <f t="shared" si="402"/>
        <v>#DIV/0!</v>
      </c>
      <c r="BI182" s="291" t="e">
        <f t="shared" si="402"/>
        <v>#DIV/0!</v>
      </c>
      <c r="BJ182" s="290" t="e">
        <f t="shared" si="402"/>
        <v>#DIV/0!</v>
      </c>
      <c r="BK182" s="292" t="e">
        <f t="shared" si="402"/>
        <v>#DIV/0!</v>
      </c>
      <c r="BL182" s="288"/>
      <c r="BM182" s="289" t="e">
        <f t="shared" ref="BM182:BS182" si="403">BM181/$G182</f>
        <v>#DIV/0!</v>
      </c>
      <c r="BN182" s="290" t="e">
        <f t="shared" si="403"/>
        <v>#DIV/0!</v>
      </c>
      <c r="BO182" s="290" t="e">
        <f t="shared" si="403"/>
        <v>#DIV/0!</v>
      </c>
      <c r="BP182" s="290" t="e">
        <f t="shared" si="403"/>
        <v>#DIV/0!</v>
      </c>
      <c r="BQ182" s="291" t="e">
        <f t="shared" si="403"/>
        <v>#DIV/0!</v>
      </c>
      <c r="BR182" s="290" t="e">
        <f t="shared" si="403"/>
        <v>#DIV/0!</v>
      </c>
      <c r="BS182" s="292" t="e">
        <f t="shared" si="403"/>
        <v>#DIV/0!</v>
      </c>
      <c r="BT182" s="288"/>
      <c r="BU182" s="289" t="e">
        <f t="shared" ref="BU182:CA182" si="404">BU181/$G182</f>
        <v>#DIV/0!</v>
      </c>
      <c r="BV182" s="290" t="e">
        <f t="shared" si="404"/>
        <v>#DIV/0!</v>
      </c>
      <c r="BW182" s="290" t="e">
        <f t="shared" si="404"/>
        <v>#DIV/0!</v>
      </c>
      <c r="BX182" s="290" t="e">
        <f t="shared" si="404"/>
        <v>#DIV/0!</v>
      </c>
      <c r="BY182" s="291" t="e">
        <f t="shared" si="404"/>
        <v>#DIV/0!</v>
      </c>
      <c r="BZ182" s="290" t="e">
        <f t="shared" si="404"/>
        <v>#DIV/0!</v>
      </c>
      <c r="CA182" s="292" t="e">
        <f t="shared" si="404"/>
        <v>#DIV/0!</v>
      </c>
      <c r="CB182" s="288"/>
      <c r="CC182" s="289" t="e">
        <f t="shared" ref="CC182:CI182" si="405">CC181/$G182</f>
        <v>#DIV/0!</v>
      </c>
      <c r="CD182" s="290" t="e">
        <f t="shared" si="405"/>
        <v>#DIV/0!</v>
      </c>
      <c r="CE182" s="290" t="e">
        <f t="shared" si="405"/>
        <v>#DIV/0!</v>
      </c>
      <c r="CF182" s="290" t="e">
        <f t="shared" si="405"/>
        <v>#DIV/0!</v>
      </c>
      <c r="CG182" s="291" t="e">
        <f t="shared" si="405"/>
        <v>#DIV/0!</v>
      </c>
      <c r="CH182" s="290" t="e">
        <f t="shared" si="405"/>
        <v>#DIV/0!</v>
      </c>
      <c r="CI182" s="292" t="e">
        <f t="shared" si="405"/>
        <v>#DIV/0!</v>
      </c>
      <c r="CJ182" s="288"/>
      <c r="CK182" s="289" t="e">
        <f t="shared" ref="CK182:CQ182" si="406">CK181/$G182</f>
        <v>#DIV/0!</v>
      </c>
      <c r="CL182" s="290" t="e">
        <f t="shared" si="406"/>
        <v>#DIV/0!</v>
      </c>
      <c r="CM182" s="290" t="e">
        <f t="shared" si="406"/>
        <v>#DIV/0!</v>
      </c>
      <c r="CN182" s="290" t="e">
        <f t="shared" si="406"/>
        <v>#DIV/0!</v>
      </c>
      <c r="CO182" s="291" t="e">
        <f t="shared" si="406"/>
        <v>#DIV/0!</v>
      </c>
      <c r="CP182" s="290" t="e">
        <f t="shared" si="406"/>
        <v>#DIV/0!</v>
      </c>
      <c r="CQ182" s="292" t="e">
        <f t="shared" si="406"/>
        <v>#DIV/0!</v>
      </c>
    </row>
    <row r="183" spans="1:95" ht="16.5" thickBot="1" x14ac:dyDescent="0.3">
      <c r="A183" s="544"/>
      <c r="B183" s="544"/>
      <c r="C183" s="544"/>
      <c r="H183" s="545"/>
      <c r="K183" s="545"/>
      <c r="N183" s="545"/>
      <c r="Q183" s="545"/>
    </row>
    <row r="184" spans="1:95" x14ac:dyDescent="0.25">
      <c r="A184" s="132" t="s">
        <v>7</v>
      </c>
      <c r="B184" s="167">
        <f>B180+1</f>
        <v>45999</v>
      </c>
      <c r="C184" s="173"/>
      <c r="D184" s="259"/>
      <c r="E184" s="168"/>
      <c r="F184" s="317"/>
      <c r="G184" s="253"/>
      <c r="H184" s="247">
        <f t="shared" si="386"/>
        <v>0</v>
      </c>
      <c r="I184" s="260"/>
      <c r="J184" s="168"/>
      <c r="K184" s="247">
        <f t="shared" si="387"/>
        <v>0</v>
      </c>
      <c r="L184" s="260"/>
      <c r="M184" s="168"/>
      <c r="N184" s="311">
        <f t="shared" si="388"/>
        <v>0</v>
      </c>
      <c r="O184" s="260"/>
      <c r="P184" s="259"/>
      <c r="Q184" s="311">
        <f t="shared" si="389"/>
        <v>0</v>
      </c>
      <c r="R184" s="260"/>
      <c r="S184" s="259"/>
      <c r="T184" s="261"/>
      <c r="U184" s="168"/>
      <c r="V184" s="260"/>
      <c r="W184" s="260"/>
      <c r="X184" s="262"/>
      <c r="Y184" s="168"/>
      <c r="Z184" s="261"/>
      <c r="AA184" s="168"/>
      <c r="AB184" s="168"/>
      <c r="AC184" s="262"/>
      <c r="AD184" s="261"/>
      <c r="AE184" s="259"/>
      <c r="AF184" s="260"/>
      <c r="AG184" s="259"/>
      <c r="AH184" s="168"/>
      <c r="AI184" s="168"/>
      <c r="AJ184" s="260"/>
      <c r="AK184" s="259"/>
      <c r="AL184" s="260"/>
      <c r="AM184" s="259"/>
      <c r="AN184" s="168"/>
      <c r="AO184" s="168"/>
      <c r="AP184" s="260"/>
      <c r="AQ184" s="259"/>
      <c r="AR184" s="168"/>
      <c r="AS184" s="168"/>
      <c r="AT184" s="168"/>
      <c r="AU184" s="262"/>
      <c r="AV184" s="168"/>
      <c r="AW184" s="261"/>
      <c r="AX184" s="168"/>
      <c r="AY184" s="168"/>
      <c r="AZ184" s="168"/>
      <c r="BA184" s="260"/>
      <c r="BB184" s="168"/>
      <c r="BC184" s="262"/>
      <c r="BD184" s="168"/>
      <c r="BE184" s="261"/>
      <c r="BF184" s="168"/>
      <c r="BG184" s="168"/>
      <c r="BH184" s="168"/>
      <c r="BI184" s="260"/>
      <c r="BJ184" s="168"/>
      <c r="BK184" s="262"/>
      <c r="BL184" s="168"/>
      <c r="BM184" s="261"/>
      <c r="BN184" s="168"/>
      <c r="BO184" s="168"/>
      <c r="BP184" s="168"/>
      <c r="BQ184" s="260"/>
      <c r="BR184" s="168"/>
      <c r="BS184" s="262"/>
      <c r="BT184" s="168"/>
      <c r="BU184" s="261"/>
      <c r="BV184" s="168"/>
      <c r="BW184" s="168"/>
      <c r="BX184" s="168"/>
      <c r="BY184" s="260"/>
      <c r="BZ184" s="168"/>
      <c r="CA184" s="262"/>
      <c r="CB184" s="168"/>
      <c r="CC184" s="261"/>
      <c r="CD184" s="168"/>
      <c r="CE184" s="168"/>
      <c r="CF184" s="168"/>
      <c r="CG184" s="260"/>
      <c r="CH184" s="168"/>
      <c r="CI184" s="262"/>
      <c r="CJ184" s="168"/>
      <c r="CK184" s="261"/>
      <c r="CL184" s="168"/>
      <c r="CM184" s="168"/>
      <c r="CN184" s="168"/>
      <c r="CO184" s="260"/>
      <c r="CP184" s="168"/>
      <c r="CQ184" s="262"/>
    </row>
    <row r="185" spans="1:95" x14ac:dyDescent="0.25">
      <c r="A185" s="132" t="s">
        <v>10</v>
      </c>
      <c r="B185" s="167">
        <f t="shared" si="390"/>
        <v>46000</v>
      </c>
      <c r="C185" s="173"/>
      <c r="D185" s="259"/>
      <c r="E185" s="168"/>
      <c r="F185" s="317"/>
      <c r="G185" s="260"/>
      <c r="H185" s="247">
        <f t="shared" si="386"/>
        <v>0</v>
      </c>
      <c r="I185" s="260"/>
      <c r="J185" s="168"/>
      <c r="K185" s="247">
        <f t="shared" si="387"/>
        <v>0</v>
      </c>
      <c r="L185" s="260"/>
      <c r="M185" s="168"/>
      <c r="N185" s="311">
        <f t="shared" si="388"/>
        <v>0</v>
      </c>
      <c r="O185" s="260"/>
      <c r="P185" s="259"/>
      <c r="Q185" s="311">
        <f t="shared" si="389"/>
        <v>0</v>
      </c>
      <c r="R185" s="260"/>
      <c r="S185" s="259"/>
      <c r="T185" s="261"/>
      <c r="U185" s="168"/>
      <c r="V185" s="260"/>
      <c r="W185" s="260"/>
      <c r="X185" s="262"/>
      <c r="Y185" s="168"/>
      <c r="Z185" s="261"/>
      <c r="AA185" s="168"/>
      <c r="AB185" s="168"/>
      <c r="AC185" s="262"/>
      <c r="AD185" s="261"/>
      <c r="AE185" s="259"/>
      <c r="AF185" s="260"/>
      <c r="AG185" s="259"/>
      <c r="AH185" s="168"/>
      <c r="AI185" s="168"/>
      <c r="AJ185" s="260"/>
      <c r="AK185" s="259"/>
      <c r="AL185" s="260"/>
      <c r="AM185" s="259"/>
      <c r="AN185" s="168"/>
      <c r="AO185" s="168"/>
      <c r="AP185" s="260"/>
      <c r="AQ185" s="259"/>
      <c r="AR185" s="168"/>
      <c r="AS185" s="168"/>
      <c r="AT185" s="168"/>
      <c r="AU185" s="262"/>
      <c r="AV185" s="168"/>
      <c r="AW185" s="261"/>
      <c r="AX185" s="168"/>
      <c r="AY185" s="168"/>
      <c r="AZ185" s="168"/>
      <c r="BA185" s="260"/>
      <c r="BB185" s="168"/>
      <c r="BC185" s="262"/>
      <c r="BD185" s="168"/>
      <c r="BE185" s="261"/>
      <c r="BF185" s="168"/>
      <c r="BG185" s="168"/>
      <c r="BH185" s="168"/>
      <c r="BI185" s="260"/>
      <c r="BJ185" s="168"/>
      <c r="BK185" s="262"/>
      <c r="BL185" s="168"/>
      <c r="BM185" s="261"/>
      <c r="BN185" s="168"/>
      <c r="BO185" s="168"/>
      <c r="BP185" s="168"/>
      <c r="BQ185" s="260"/>
      <c r="BR185" s="168"/>
      <c r="BS185" s="262"/>
      <c r="BT185" s="168"/>
      <c r="BU185" s="261"/>
      <c r="BV185" s="168"/>
      <c r="BW185" s="168"/>
      <c r="BX185" s="168"/>
      <c r="BY185" s="260"/>
      <c r="BZ185" s="168"/>
      <c r="CA185" s="262"/>
      <c r="CB185" s="168"/>
      <c r="CC185" s="261"/>
      <c r="CD185" s="168"/>
      <c r="CE185" s="168"/>
      <c r="CF185" s="168"/>
      <c r="CG185" s="260"/>
      <c r="CH185" s="168"/>
      <c r="CI185" s="262"/>
      <c r="CJ185" s="168"/>
      <c r="CK185" s="261"/>
      <c r="CL185" s="168"/>
      <c r="CM185" s="168"/>
      <c r="CN185" s="168"/>
      <c r="CO185" s="260"/>
      <c r="CP185" s="168"/>
      <c r="CQ185" s="262"/>
    </row>
    <row r="186" spans="1:95" ht="16.5" thickBot="1" x14ac:dyDescent="0.3">
      <c r="A186" s="132" t="s">
        <v>11</v>
      </c>
      <c r="B186" s="167">
        <f t="shared" si="390"/>
        <v>46001</v>
      </c>
      <c r="C186" s="173"/>
      <c r="D186" s="259"/>
      <c r="E186" s="168"/>
      <c r="F186" s="317"/>
      <c r="G186" s="260"/>
      <c r="H186" s="311">
        <f t="shared" si="386"/>
        <v>0</v>
      </c>
      <c r="I186" s="260"/>
      <c r="J186" s="168"/>
      <c r="K186" s="311">
        <f t="shared" si="387"/>
        <v>0</v>
      </c>
      <c r="L186" s="260"/>
      <c r="M186" s="168"/>
      <c r="N186" s="311">
        <f t="shared" si="388"/>
        <v>0</v>
      </c>
      <c r="O186" s="260"/>
      <c r="P186" s="259"/>
      <c r="Q186" s="311">
        <f t="shared" si="389"/>
        <v>0</v>
      </c>
      <c r="R186" s="260"/>
      <c r="S186" s="259"/>
      <c r="T186" s="261"/>
      <c r="U186" s="168"/>
      <c r="V186" s="260"/>
      <c r="W186" s="260"/>
      <c r="X186" s="262"/>
      <c r="Y186" s="168"/>
      <c r="Z186" s="264"/>
      <c r="AA186" s="238"/>
      <c r="AB186" s="238"/>
      <c r="AC186" s="265"/>
      <c r="AD186" s="264"/>
      <c r="AE186" s="263"/>
      <c r="AF186" s="237"/>
      <c r="AG186" s="263"/>
      <c r="AH186" s="238"/>
      <c r="AI186" s="238"/>
      <c r="AJ186" s="237"/>
      <c r="AK186" s="263"/>
      <c r="AL186" s="237"/>
      <c r="AM186" s="263"/>
      <c r="AN186" s="238"/>
      <c r="AO186" s="238"/>
      <c r="AP186" s="237"/>
      <c r="AQ186" s="263"/>
      <c r="AR186" s="238"/>
      <c r="AS186" s="238"/>
      <c r="AT186" s="238"/>
      <c r="AU186" s="265"/>
      <c r="AV186" s="168"/>
      <c r="AW186" s="264"/>
      <c r="AX186" s="238"/>
      <c r="AY186" s="238"/>
      <c r="AZ186" s="238"/>
      <c r="BA186" s="237"/>
      <c r="BB186" s="238"/>
      <c r="BC186" s="265"/>
      <c r="BD186" s="168"/>
      <c r="BE186" s="264"/>
      <c r="BF186" s="238"/>
      <c r="BG186" s="238"/>
      <c r="BH186" s="238"/>
      <c r="BI186" s="237"/>
      <c r="BJ186" s="238"/>
      <c r="BK186" s="265"/>
      <c r="BL186" s="168"/>
      <c r="BM186" s="264"/>
      <c r="BN186" s="238"/>
      <c r="BO186" s="238"/>
      <c r="BP186" s="238"/>
      <c r="BQ186" s="237"/>
      <c r="BR186" s="238"/>
      <c r="BS186" s="265"/>
      <c r="BT186" s="168"/>
      <c r="BU186" s="264"/>
      <c r="BV186" s="238"/>
      <c r="BW186" s="238"/>
      <c r="BX186" s="238"/>
      <c r="BY186" s="237"/>
      <c r="BZ186" s="238"/>
      <c r="CA186" s="265"/>
      <c r="CB186" s="168"/>
      <c r="CC186" s="264"/>
      <c r="CD186" s="238"/>
      <c r="CE186" s="238"/>
      <c r="CF186" s="238"/>
      <c r="CG186" s="237"/>
      <c r="CH186" s="238"/>
      <c r="CI186" s="265"/>
      <c r="CJ186" s="168"/>
      <c r="CK186" s="264"/>
      <c r="CL186" s="238"/>
      <c r="CM186" s="238"/>
      <c r="CN186" s="238"/>
      <c r="CO186" s="237"/>
      <c r="CP186" s="238"/>
      <c r="CQ186" s="265"/>
    </row>
    <row r="187" spans="1:95" ht="16.5" thickTop="1" x14ac:dyDescent="0.25">
      <c r="A187" s="132" t="s">
        <v>12</v>
      </c>
      <c r="B187" s="167">
        <f>B186+1</f>
        <v>46002</v>
      </c>
      <c r="C187" s="173"/>
      <c r="D187" s="259"/>
      <c r="E187" s="168"/>
      <c r="F187" s="317"/>
      <c r="G187" s="253"/>
      <c r="H187" s="247">
        <f t="shared" ref="H187:H196" si="407">SUM(I187:J187)</f>
        <v>0</v>
      </c>
      <c r="I187" s="260"/>
      <c r="J187" s="168"/>
      <c r="K187" s="247">
        <f t="shared" ref="K187:K196" si="408">SUM(L187:M187)</f>
        <v>0</v>
      </c>
      <c r="L187" s="260"/>
      <c r="M187" s="168"/>
      <c r="N187" s="311">
        <f t="shared" ref="N187:N196" si="409">SUM(O187:P187)</f>
        <v>0</v>
      </c>
      <c r="O187" s="260"/>
      <c r="P187" s="259"/>
      <c r="Q187" s="311">
        <f t="shared" ref="Q187:Q196" si="410">SUM(R187:S187)</f>
        <v>0</v>
      </c>
      <c r="R187" s="260"/>
      <c r="S187" s="259"/>
      <c r="T187" s="261"/>
      <c r="U187" s="168"/>
      <c r="V187" s="260"/>
      <c r="W187" s="260"/>
      <c r="X187" s="262"/>
      <c r="Y187" s="168"/>
      <c r="Z187" s="257"/>
      <c r="AA187" s="255"/>
      <c r="AB187" s="255"/>
      <c r="AC187" s="258"/>
      <c r="AD187" s="257"/>
      <c r="AE187" s="256"/>
      <c r="AF187" s="254"/>
      <c r="AG187" s="256"/>
      <c r="AH187" s="255"/>
      <c r="AI187" s="255"/>
      <c r="AJ187" s="254"/>
      <c r="AK187" s="256"/>
      <c r="AL187" s="254"/>
      <c r="AM187" s="256"/>
      <c r="AN187" s="255"/>
      <c r="AO187" s="255"/>
      <c r="AP187" s="254"/>
      <c r="AQ187" s="256"/>
      <c r="AR187" s="255"/>
      <c r="AS187" s="255"/>
      <c r="AT187" s="255"/>
      <c r="AU187" s="258"/>
      <c r="AV187" s="168"/>
      <c r="AW187" s="257"/>
      <c r="AX187" s="255"/>
      <c r="AY187" s="255"/>
      <c r="AZ187" s="255"/>
      <c r="BA187" s="254"/>
      <c r="BB187" s="255"/>
      <c r="BC187" s="258"/>
      <c r="BD187" s="168"/>
      <c r="BE187" s="257"/>
      <c r="BF187" s="255"/>
      <c r="BG187" s="255"/>
      <c r="BH187" s="255"/>
      <c r="BI187" s="254"/>
      <c r="BJ187" s="255"/>
      <c r="BK187" s="258"/>
      <c r="BL187" s="168"/>
      <c r="BM187" s="257"/>
      <c r="BN187" s="255"/>
      <c r="BO187" s="255"/>
      <c r="BP187" s="255"/>
      <c r="BQ187" s="254"/>
      <c r="BR187" s="255"/>
      <c r="BS187" s="258"/>
      <c r="BT187" s="168"/>
      <c r="BU187" s="257"/>
      <c r="BV187" s="255"/>
      <c r="BW187" s="255"/>
      <c r="BX187" s="255"/>
      <c r="BY187" s="254"/>
      <c r="BZ187" s="255"/>
      <c r="CA187" s="258"/>
      <c r="CB187" s="168"/>
      <c r="CC187" s="257"/>
      <c r="CD187" s="255"/>
      <c r="CE187" s="255"/>
      <c r="CF187" s="255"/>
      <c r="CG187" s="254"/>
      <c r="CH187" s="255"/>
      <c r="CI187" s="258"/>
      <c r="CJ187" s="168"/>
      <c r="CK187" s="257"/>
      <c r="CL187" s="255"/>
      <c r="CM187" s="255"/>
      <c r="CN187" s="255"/>
      <c r="CO187" s="254"/>
      <c r="CP187" s="255"/>
      <c r="CQ187" s="258"/>
    </row>
    <row r="188" spans="1:95" x14ac:dyDescent="0.25">
      <c r="A188" s="132" t="s">
        <v>13</v>
      </c>
      <c r="B188" s="167">
        <f t="shared" ref="B188:B196" si="411">B187+1</f>
        <v>46003</v>
      </c>
      <c r="C188" s="173"/>
      <c r="D188" s="259"/>
      <c r="E188" s="168"/>
      <c r="F188" s="317"/>
      <c r="G188" s="253"/>
      <c r="H188" s="247">
        <f t="shared" si="407"/>
        <v>0</v>
      </c>
      <c r="I188" s="260"/>
      <c r="J188" s="168"/>
      <c r="K188" s="247">
        <f t="shared" si="408"/>
        <v>0</v>
      </c>
      <c r="L188" s="260"/>
      <c r="M188" s="168"/>
      <c r="N188" s="311">
        <f t="shared" si="409"/>
        <v>0</v>
      </c>
      <c r="O188" s="260"/>
      <c r="P188" s="259"/>
      <c r="Q188" s="311">
        <f t="shared" si="410"/>
        <v>0</v>
      </c>
      <c r="R188" s="260"/>
      <c r="S188" s="259"/>
      <c r="T188" s="261"/>
      <c r="U188" s="168"/>
      <c r="V188" s="260"/>
      <c r="W188" s="260"/>
      <c r="X188" s="262"/>
      <c r="Y188" s="168"/>
      <c r="Z188" s="261"/>
      <c r="AA188" s="168"/>
      <c r="AB188" s="168"/>
      <c r="AC188" s="262"/>
      <c r="AD188" s="261"/>
      <c r="AE188" s="259"/>
      <c r="AF188" s="260"/>
      <c r="AG188" s="259"/>
      <c r="AH188" s="168"/>
      <c r="AI188" s="168"/>
      <c r="AJ188" s="260"/>
      <c r="AK188" s="259"/>
      <c r="AL188" s="260"/>
      <c r="AM188" s="259"/>
      <c r="AN188" s="168"/>
      <c r="AO188" s="168"/>
      <c r="AP188" s="260"/>
      <c r="AQ188" s="259"/>
      <c r="AR188" s="168"/>
      <c r="AS188" s="168"/>
      <c r="AT188" s="168"/>
      <c r="AU188" s="262"/>
      <c r="AV188" s="168"/>
      <c r="AW188" s="261"/>
      <c r="AX188" s="168"/>
      <c r="AY188" s="168"/>
      <c r="AZ188" s="168"/>
      <c r="BA188" s="260"/>
      <c r="BB188" s="168"/>
      <c r="BC188" s="262"/>
      <c r="BD188" s="168"/>
      <c r="BE188" s="261"/>
      <c r="BF188" s="168"/>
      <c r="BG188" s="168"/>
      <c r="BH188" s="168"/>
      <c r="BI188" s="260"/>
      <c r="BJ188" s="168"/>
      <c r="BK188" s="262"/>
      <c r="BL188" s="168"/>
      <c r="BM188" s="261"/>
      <c r="BN188" s="168"/>
      <c r="BO188" s="168"/>
      <c r="BP188" s="168"/>
      <c r="BQ188" s="260"/>
      <c r="BR188" s="168"/>
      <c r="BS188" s="262"/>
      <c r="BT188" s="168"/>
      <c r="BU188" s="261"/>
      <c r="BV188" s="168"/>
      <c r="BW188" s="168"/>
      <c r="BX188" s="168"/>
      <c r="BY188" s="260"/>
      <c r="BZ188" s="168"/>
      <c r="CA188" s="262"/>
      <c r="CB188" s="168"/>
      <c r="CC188" s="261"/>
      <c r="CD188" s="168"/>
      <c r="CE188" s="168"/>
      <c r="CF188" s="168"/>
      <c r="CG188" s="260"/>
      <c r="CH188" s="168"/>
      <c r="CI188" s="262"/>
      <c r="CJ188" s="168"/>
      <c r="CK188" s="261"/>
      <c r="CL188" s="168"/>
      <c r="CM188" s="168"/>
      <c r="CN188" s="168"/>
      <c r="CO188" s="260"/>
      <c r="CP188" s="168"/>
      <c r="CQ188" s="262"/>
    </row>
    <row r="189" spans="1:95" x14ac:dyDescent="0.25">
      <c r="A189" s="132" t="s">
        <v>14</v>
      </c>
      <c r="B189" s="167">
        <f t="shared" si="411"/>
        <v>46004</v>
      </c>
      <c r="C189" s="173"/>
      <c r="D189" s="259"/>
      <c r="E189" s="168"/>
      <c r="F189" s="317"/>
      <c r="G189" s="253"/>
      <c r="H189" s="247">
        <f t="shared" si="407"/>
        <v>0</v>
      </c>
      <c r="I189" s="260"/>
      <c r="J189" s="168"/>
      <c r="K189" s="247">
        <f t="shared" si="408"/>
        <v>0</v>
      </c>
      <c r="L189" s="260"/>
      <c r="M189" s="168"/>
      <c r="N189" s="311">
        <f t="shared" si="409"/>
        <v>0</v>
      </c>
      <c r="O189" s="260"/>
      <c r="P189" s="259"/>
      <c r="Q189" s="311">
        <f t="shared" si="410"/>
        <v>0</v>
      </c>
      <c r="R189" s="260"/>
      <c r="S189" s="259"/>
      <c r="T189" s="261"/>
      <c r="U189" s="168"/>
      <c r="V189" s="260"/>
      <c r="W189" s="260"/>
      <c r="X189" s="262"/>
      <c r="Y189" s="168"/>
      <c r="Z189" s="261"/>
      <c r="AA189" s="168"/>
      <c r="AB189" s="168"/>
      <c r="AC189" s="262"/>
      <c r="AD189" s="261"/>
      <c r="AE189" s="259"/>
      <c r="AF189" s="260"/>
      <c r="AG189" s="259"/>
      <c r="AH189" s="168"/>
      <c r="AI189" s="168"/>
      <c r="AJ189" s="260"/>
      <c r="AK189" s="259"/>
      <c r="AL189" s="260"/>
      <c r="AM189" s="259"/>
      <c r="AN189" s="168"/>
      <c r="AO189" s="168"/>
      <c r="AP189" s="260"/>
      <c r="AQ189" s="259"/>
      <c r="AR189" s="168"/>
      <c r="AS189" s="168"/>
      <c r="AT189" s="168"/>
      <c r="AU189" s="262"/>
      <c r="AV189" s="168"/>
      <c r="AW189" s="261"/>
      <c r="AX189" s="168"/>
      <c r="AY189" s="168"/>
      <c r="AZ189" s="168"/>
      <c r="BA189" s="260"/>
      <c r="BB189" s="168"/>
      <c r="BC189" s="262"/>
      <c r="BD189" s="168"/>
      <c r="BE189" s="261"/>
      <c r="BF189" s="168"/>
      <c r="BG189" s="168"/>
      <c r="BH189" s="168"/>
      <c r="BI189" s="260"/>
      <c r="BJ189" s="168"/>
      <c r="BK189" s="262"/>
      <c r="BL189" s="168"/>
      <c r="BM189" s="261"/>
      <c r="BN189" s="168"/>
      <c r="BO189" s="168"/>
      <c r="BP189" s="168"/>
      <c r="BQ189" s="260"/>
      <c r="BR189" s="168"/>
      <c r="BS189" s="262"/>
      <c r="BT189" s="168"/>
      <c r="BU189" s="261"/>
      <c r="BV189" s="168"/>
      <c r="BW189" s="168"/>
      <c r="BX189" s="168"/>
      <c r="BY189" s="260"/>
      <c r="BZ189" s="168"/>
      <c r="CA189" s="262"/>
      <c r="CB189" s="168"/>
      <c r="CC189" s="261"/>
      <c r="CD189" s="168"/>
      <c r="CE189" s="168"/>
      <c r="CF189" s="168"/>
      <c r="CG189" s="260"/>
      <c r="CH189" s="168"/>
      <c r="CI189" s="262"/>
      <c r="CJ189" s="168"/>
      <c r="CK189" s="261"/>
      <c r="CL189" s="168"/>
      <c r="CM189" s="168"/>
      <c r="CN189" s="168"/>
      <c r="CO189" s="260"/>
      <c r="CP189" s="168"/>
      <c r="CQ189" s="262"/>
    </row>
    <row r="190" spans="1:95" ht="16.5" thickBot="1" x14ac:dyDescent="0.3">
      <c r="A190" s="132" t="s">
        <v>15</v>
      </c>
      <c r="B190" s="167">
        <f t="shared" si="411"/>
        <v>46005</v>
      </c>
      <c r="C190" s="173"/>
      <c r="D190" s="259"/>
      <c r="E190" s="168"/>
      <c r="F190" s="317"/>
      <c r="G190" s="253"/>
      <c r="H190" s="247">
        <f t="shared" si="407"/>
        <v>0</v>
      </c>
      <c r="I190" s="260"/>
      <c r="J190" s="168"/>
      <c r="K190" s="247">
        <f t="shared" si="408"/>
        <v>0</v>
      </c>
      <c r="L190" s="260"/>
      <c r="M190" s="168"/>
      <c r="N190" s="311">
        <f t="shared" si="409"/>
        <v>0</v>
      </c>
      <c r="O190" s="260"/>
      <c r="P190" s="259"/>
      <c r="Q190" s="311">
        <f t="shared" si="410"/>
        <v>0</v>
      </c>
      <c r="R190" s="260"/>
      <c r="S190" s="259"/>
      <c r="T190" s="261"/>
      <c r="U190" s="168"/>
      <c r="V190" s="260"/>
      <c r="W190" s="260"/>
      <c r="X190" s="262"/>
      <c r="Y190" s="168"/>
      <c r="Z190" s="261"/>
      <c r="AA190" s="168"/>
      <c r="AB190" s="168"/>
      <c r="AC190" s="262"/>
      <c r="AD190" s="261"/>
      <c r="AE190" s="259"/>
      <c r="AF190" s="260"/>
      <c r="AG190" s="259"/>
      <c r="AH190" s="168"/>
      <c r="AI190" s="168"/>
      <c r="AJ190" s="260"/>
      <c r="AK190" s="259"/>
      <c r="AL190" s="260"/>
      <c r="AM190" s="259"/>
      <c r="AN190" s="168"/>
      <c r="AO190" s="168"/>
      <c r="AP190" s="260"/>
      <c r="AQ190" s="259"/>
      <c r="AR190" s="168"/>
      <c r="AS190" s="168"/>
      <c r="AT190" s="168"/>
      <c r="AU190" s="262"/>
      <c r="AV190" s="168"/>
      <c r="AW190" s="261"/>
      <c r="AX190" s="168"/>
      <c r="AY190" s="168"/>
      <c r="AZ190" s="168"/>
      <c r="BA190" s="260"/>
      <c r="BB190" s="168"/>
      <c r="BC190" s="262"/>
      <c r="BD190" s="168"/>
      <c r="BE190" s="261"/>
      <c r="BF190" s="168"/>
      <c r="BG190" s="168"/>
      <c r="BH190" s="168"/>
      <c r="BI190" s="260"/>
      <c r="BJ190" s="168"/>
      <c r="BK190" s="262"/>
      <c r="BL190" s="168"/>
      <c r="BM190" s="261"/>
      <c r="BN190" s="168"/>
      <c r="BO190" s="168"/>
      <c r="BP190" s="168"/>
      <c r="BQ190" s="260"/>
      <c r="BR190" s="168"/>
      <c r="BS190" s="262"/>
      <c r="BT190" s="168"/>
      <c r="BU190" s="261"/>
      <c r="BV190" s="168"/>
      <c r="BW190" s="168"/>
      <c r="BX190" s="168"/>
      <c r="BY190" s="260"/>
      <c r="BZ190" s="168"/>
      <c r="CA190" s="262"/>
      <c r="CB190" s="168"/>
      <c r="CC190" s="261"/>
      <c r="CD190" s="168"/>
      <c r="CE190" s="168"/>
      <c r="CF190" s="168"/>
      <c r="CG190" s="260"/>
      <c r="CH190" s="168"/>
      <c r="CI190" s="262"/>
      <c r="CJ190" s="168"/>
      <c r="CK190" s="261"/>
      <c r="CL190" s="168"/>
      <c r="CM190" s="168"/>
      <c r="CN190" s="168"/>
      <c r="CO190" s="260"/>
      <c r="CP190" s="168"/>
      <c r="CQ190" s="262"/>
    </row>
    <row r="191" spans="1:95" ht="16.5" thickTop="1" x14ac:dyDescent="0.25">
      <c r="A191" s="298" t="s">
        <v>106</v>
      </c>
      <c r="B191" s="274"/>
      <c r="C191" s="293"/>
      <c r="D191" s="294"/>
      <c r="E191" s="315"/>
      <c r="F191" s="315"/>
      <c r="G191" s="295"/>
      <c r="H191" s="296">
        <f t="shared" ref="H191:X191" si="412">SUM(H184:H190)</f>
        <v>0</v>
      </c>
      <c r="I191" s="284">
        <f t="shared" si="412"/>
        <v>0</v>
      </c>
      <c r="J191" s="283">
        <f t="shared" si="412"/>
        <v>0</v>
      </c>
      <c r="K191" s="296">
        <f t="shared" si="412"/>
        <v>0</v>
      </c>
      <c r="L191" s="284">
        <f t="shared" si="412"/>
        <v>0</v>
      </c>
      <c r="M191" s="283">
        <f t="shared" si="412"/>
        <v>0</v>
      </c>
      <c r="N191" s="296">
        <f t="shared" si="412"/>
        <v>0</v>
      </c>
      <c r="O191" s="284">
        <f t="shared" si="412"/>
        <v>0</v>
      </c>
      <c r="P191" s="285">
        <f t="shared" si="412"/>
        <v>0</v>
      </c>
      <c r="Q191" s="296">
        <f t="shared" si="412"/>
        <v>0</v>
      </c>
      <c r="R191" s="284">
        <f t="shared" si="412"/>
        <v>0</v>
      </c>
      <c r="S191" s="285">
        <f t="shared" si="412"/>
        <v>0</v>
      </c>
      <c r="T191" s="282">
        <f t="shared" si="412"/>
        <v>0</v>
      </c>
      <c r="U191" s="283">
        <f t="shared" si="412"/>
        <v>0</v>
      </c>
      <c r="V191" s="284">
        <f t="shared" si="412"/>
        <v>0</v>
      </c>
      <c r="W191" s="284">
        <f t="shared" si="412"/>
        <v>0</v>
      </c>
      <c r="X191" s="285">
        <f t="shared" si="412"/>
        <v>0</v>
      </c>
      <c r="Y191" s="173"/>
      <c r="Z191" s="282">
        <f>SUM(Z184:Z190)</f>
        <v>0</v>
      </c>
      <c r="AA191" s="283">
        <f>SUM(AA184:AA190)</f>
        <v>0</v>
      </c>
      <c r="AB191" s="283">
        <f>SUM(AB184:AB190)</f>
        <v>0</v>
      </c>
      <c r="AC191" s="285">
        <f>SUM(AC184:AC190)</f>
        <v>0</v>
      </c>
      <c r="AD191" s="282">
        <f t="shared" ref="AD191:AU191" si="413">SUM(AD184:AD190)</f>
        <v>0</v>
      </c>
      <c r="AE191" s="297">
        <f t="shared" si="413"/>
        <v>0</v>
      </c>
      <c r="AF191" s="284">
        <f t="shared" si="413"/>
        <v>0</v>
      </c>
      <c r="AG191" s="297">
        <f t="shared" si="413"/>
        <v>0</v>
      </c>
      <c r="AH191" s="283">
        <f t="shared" si="413"/>
        <v>0</v>
      </c>
      <c r="AI191" s="283">
        <f t="shared" si="413"/>
        <v>0</v>
      </c>
      <c r="AJ191" s="284">
        <f t="shared" si="413"/>
        <v>0</v>
      </c>
      <c r="AK191" s="297">
        <f t="shared" si="413"/>
        <v>0</v>
      </c>
      <c r="AL191" s="284">
        <f t="shared" si="413"/>
        <v>0</v>
      </c>
      <c r="AM191" s="297">
        <f t="shared" si="413"/>
        <v>0</v>
      </c>
      <c r="AN191" s="276">
        <f t="shared" si="413"/>
        <v>0</v>
      </c>
      <c r="AO191" s="275">
        <f t="shared" si="413"/>
        <v>0</v>
      </c>
      <c r="AP191" s="276">
        <f t="shared" si="413"/>
        <v>0</v>
      </c>
      <c r="AQ191" s="275">
        <f t="shared" si="413"/>
        <v>0</v>
      </c>
      <c r="AR191" s="278">
        <f t="shared" si="413"/>
        <v>0</v>
      </c>
      <c r="AS191" s="277">
        <f t="shared" si="413"/>
        <v>0</v>
      </c>
      <c r="AT191" s="283">
        <f t="shared" si="413"/>
        <v>0</v>
      </c>
      <c r="AU191" s="285">
        <f t="shared" si="413"/>
        <v>0</v>
      </c>
      <c r="AV191" s="173"/>
      <c r="AW191" s="282">
        <f t="shared" ref="AW191:BC191" si="414">SUM(AW184:AW190)</f>
        <v>0</v>
      </c>
      <c r="AX191" s="283">
        <f t="shared" si="414"/>
        <v>0</v>
      </c>
      <c r="AY191" s="283">
        <f t="shared" si="414"/>
        <v>0</v>
      </c>
      <c r="AZ191" s="283">
        <f t="shared" si="414"/>
        <v>0</v>
      </c>
      <c r="BA191" s="284">
        <f t="shared" si="414"/>
        <v>0</v>
      </c>
      <c r="BB191" s="283">
        <f t="shared" si="414"/>
        <v>0</v>
      </c>
      <c r="BC191" s="285">
        <f t="shared" si="414"/>
        <v>0</v>
      </c>
      <c r="BD191" s="173"/>
      <c r="BE191" s="282">
        <f t="shared" ref="BE191:BK191" si="415">SUM(BE184:BE190)</f>
        <v>0</v>
      </c>
      <c r="BF191" s="283">
        <f t="shared" si="415"/>
        <v>0</v>
      </c>
      <c r="BG191" s="283">
        <f t="shared" si="415"/>
        <v>0</v>
      </c>
      <c r="BH191" s="283">
        <f t="shared" si="415"/>
        <v>0</v>
      </c>
      <c r="BI191" s="284">
        <f t="shared" si="415"/>
        <v>0</v>
      </c>
      <c r="BJ191" s="283">
        <f t="shared" si="415"/>
        <v>0</v>
      </c>
      <c r="BK191" s="285">
        <f t="shared" si="415"/>
        <v>0</v>
      </c>
      <c r="BL191" s="173"/>
      <c r="BM191" s="282">
        <f t="shared" ref="BM191:BS191" si="416">SUM(BM184:BM190)</f>
        <v>0</v>
      </c>
      <c r="BN191" s="283">
        <f t="shared" si="416"/>
        <v>0</v>
      </c>
      <c r="BO191" s="283">
        <f t="shared" si="416"/>
        <v>0</v>
      </c>
      <c r="BP191" s="283">
        <f t="shared" si="416"/>
        <v>0</v>
      </c>
      <c r="BQ191" s="284">
        <f t="shared" si="416"/>
        <v>0</v>
      </c>
      <c r="BR191" s="283">
        <f t="shared" si="416"/>
        <v>0</v>
      </c>
      <c r="BS191" s="285">
        <f t="shared" si="416"/>
        <v>0</v>
      </c>
      <c r="BT191" s="173"/>
      <c r="BU191" s="282">
        <f t="shared" ref="BU191:CA191" si="417">SUM(BU184:BU190)</f>
        <v>0</v>
      </c>
      <c r="BV191" s="283">
        <f t="shared" si="417"/>
        <v>0</v>
      </c>
      <c r="BW191" s="283">
        <f t="shared" si="417"/>
        <v>0</v>
      </c>
      <c r="BX191" s="283">
        <f t="shared" si="417"/>
        <v>0</v>
      </c>
      <c r="BY191" s="284">
        <f t="shared" si="417"/>
        <v>0</v>
      </c>
      <c r="BZ191" s="283">
        <f t="shared" si="417"/>
        <v>0</v>
      </c>
      <c r="CA191" s="285">
        <f t="shared" si="417"/>
        <v>0</v>
      </c>
      <c r="CB191" s="173"/>
      <c r="CC191" s="282">
        <f t="shared" ref="CC191:CI191" si="418">SUM(CC184:CC190)</f>
        <v>0</v>
      </c>
      <c r="CD191" s="283">
        <f t="shared" si="418"/>
        <v>0</v>
      </c>
      <c r="CE191" s="283">
        <f t="shared" si="418"/>
        <v>0</v>
      </c>
      <c r="CF191" s="283">
        <f t="shared" si="418"/>
        <v>0</v>
      </c>
      <c r="CG191" s="284">
        <f t="shared" si="418"/>
        <v>0</v>
      </c>
      <c r="CH191" s="283">
        <f t="shared" si="418"/>
        <v>0</v>
      </c>
      <c r="CI191" s="285">
        <f t="shared" si="418"/>
        <v>0</v>
      </c>
      <c r="CJ191" s="173"/>
      <c r="CK191" s="282">
        <f t="shared" ref="CK191:CQ191" si="419">SUM(CK184:CK190)</f>
        <v>0</v>
      </c>
      <c r="CL191" s="283">
        <f t="shared" si="419"/>
        <v>0</v>
      </c>
      <c r="CM191" s="283">
        <f t="shared" si="419"/>
        <v>0</v>
      </c>
      <c r="CN191" s="283">
        <f t="shared" si="419"/>
        <v>0</v>
      </c>
      <c r="CO191" s="284">
        <f t="shared" si="419"/>
        <v>0</v>
      </c>
      <c r="CP191" s="283">
        <f t="shared" si="419"/>
        <v>0</v>
      </c>
      <c r="CQ191" s="285">
        <f t="shared" si="419"/>
        <v>0</v>
      </c>
    </row>
    <row r="192" spans="1:95" ht="16.5" thickBot="1" x14ac:dyDescent="0.3">
      <c r="A192" s="541" t="s">
        <v>105</v>
      </c>
      <c r="B192" s="542"/>
      <c r="C192" s="543">
        <f>SUM(C184:C190)</f>
        <v>0</v>
      </c>
      <c r="D192" s="307">
        <f>SUM(D184:D190)</f>
        <v>0</v>
      </c>
      <c r="E192" s="306">
        <f>SUM(E184:E190)</f>
        <v>0</v>
      </c>
      <c r="F192" s="307">
        <f>SUM(F184:F190)</f>
        <v>0</v>
      </c>
      <c r="G192" s="268" t="e">
        <f>D192/C192</f>
        <v>#DIV/0!</v>
      </c>
      <c r="H192" s="279" t="e">
        <f t="shared" ref="H192:X192" si="420">H191/$G192</f>
        <v>#DIV/0!</v>
      </c>
      <c r="I192" s="241" t="e">
        <f t="shared" si="420"/>
        <v>#DIV/0!</v>
      </c>
      <c r="J192" s="239" t="e">
        <f t="shared" si="420"/>
        <v>#DIV/0!</v>
      </c>
      <c r="K192" s="279" t="e">
        <f t="shared" si="420"/>
        <v>#DIV/0!</v>
      </c>
      <c r="L192" s="241" t="e">
        <f t="shared" si="420"/>
        <v>#DIV/0!</v>
      </c>
      <c r="M192" s="239" t="e">
        <f t="shared" si="420"/>
        <v>#DIV/0!</v>
      </c>
      <c r="N192" s="279" t="e">
        <f t="shared" si="420"/>
        <v>#DIV/0!</v>
      </c>
      <c r="O192" s="241" t="e">
        <f t="shared" si="420"/>
        <v>#DIV/0!</v>
      </c>
      <c r="P192" s="270" t="e">
        <f t="shared" si="420"/>
        <v>#DIV/0!</v>
      </c>
      <c r="Q192" s="279" t="e">
        <f t="shared" si="420"/>
        <v>#DIV/0!</v>
      </c>
      <c r="R192" s="241" t="e">
        <f t="shared" si="420"/>
        <v>#DIV/0!</v>
      </c>
      <c r="S192" s="270" t="e">
        <f t="shared" si="420"/>
        <v>#DIV/0!</v>
      </c>
      <c r="T192" s="269" t="e">
        <f t="shared" si="420"/>
        <v>#DIV/0!</v>
      </c>
      <c r="U192" s="239" t="e">
        <f t="shared" si="420"/>
        <v>#DIV/0!</v>
      </c>
      <c r="V192" s="241" t="e">
        <f t="shared" si="420"/>
        <v>#DIV/0!</v>
      </c>
      <c r="W192" s="241" t="e">
        <f t="shared" si="420"/>
        <v>#DIV/0!</v>
      </c>
      <c r="X192" s="270" t="e">
        <f t="shared" si="420"/>
        <v>#DIV/0!</v>
      </c>
      <c r="Y192" s="173"/>
      <c r="Z192" s="289" t="e">
        <f>Z191/$G192</f>
        <v>#DIV/0!</v>
      </c>
      <c r="AA192" s="290" t="e">
        <f t="shared" ref="AA192:AU192" si="421">AA191/$G192</f>
        <v>#DIV/0!</v>
      </c>
      <c r="AB192" s="290" t="e">
        <f t="shared" si="421"/>
        <v>#DIV/0!</v>
      </c>
      <c r="AC192" s="292" t="e">
        <f t="shared" si="421"/>
        <v>#DIV/0!</v>
      </c>
      <c r="AD192" s="289" t="e">
        <f t="shared" si="421"/>
        <v>#DIV/0!</v>
      </c>
      <c r="AE192" s="324" t="e">
        <f t="shared" si="421"/>
        <v>#DIV/0!</v>
      </c>
      <c r="AF192" s="291" t="e">
        <f t="shared" si="421"/>
        <v>#DIV/0!</v>
      </c>
      <c r="AG192" s="324" t="e">
        <f t="shared" si="421"/>
        <v>#DIV/0!</v>
      </c>
      <c r="AH192" s="290" t="e">
        <f t="shared" si="421"/>
        <v>#DIV/0!</v>
      </c>
      <c r="AI192" s="290" t="e">
        <f t="shared" si="421"/>
        <v>#DIV/0!</v>
      </c>
      <c r="AJ192" s="291" t="e">
        <f t="shared" si="421"/>
        <v>#DIV/0!</v>
      </c>
      <c r="AK192" s="324" t="e">
        <f t="shared" si="421"/>
        <v>#DIV/0!</v>
      </c>
      <c r="AL192" s="291" t="e">
        <f t="shared" si="421"/>
        <v>#DIV/0!</v>
      </c>
      <c r="AM192" s="324" t="e">
        <f t="shared" si="421"/>
        <v>#DIV/0!</v>
      </c>
      <c r="AN192" s="325" t="e">
        <f t="shared" si="421"/>
        <v>#DIV/0!</v>
      </c>
      <c r="AO192" s="326" t="e">
        <f t="shared" si="421"/>
        <v>#DIV/0!</v>
      </c>
      <c r="AP192" s="325" t="e">
        <f t="shared" si="421"/>
        <v>#DIV/0!</v>
      </c>
      <c r="AQ192" s="326" t="e">
        <f t="shared" si="421"/>
        <v>#DIV/0!</v>
      </c>
      <c r="AR192" s="287" t="e">
        <f t="shared" si="421"/>
        <v>#DIV/0!</v>
      </c>
      <c r="AS192" s="286" t="e">
        <f t="shared" si="421"/>
        <v>#DIV/0!</v>
      </c>
      <c r="AT192" s="290" t="e">
        <f t="shared" si="421"/>
        <v>#DIV/0!</v>
      </c>
      <c r="AU192" s="292" t="e">
        <f t="shared" si="421"/>
        <v>#DIV/0!</v>
      </c>
      <c r="AV192" s="288"/>
      <c r="AW192" s="289" t="e">
        <f t="shared" ref="AW192:BC192" si="422">AW191/$G192</f>
        <v>#DIV/0!</v>
      </c>
      <c r="AX192" s="290" t="e">
        <f t="shared" si="422"/>
        <v>#DIV/0!</v>
      </c>
      <c r="AY192" s="290" t="e">
        <f t="shared" si="422"/>
        <v>#DIV/0!</v>
      </c>
      <c r="AZ192" s="290" t="e">
        <f t="shared" si="422"/>
        <v>#DIV/0!</v>
      </c>
      <c r="BA192" s="291" t="e">
        <f t="shared" si="422"/>
        <v>#DIV/0!</v>
      </c>
      <c r="BB192" s="290" t="e">
        <f t="shared" si="422"/>
        <v>#DIV/0!</v>
      </c>
      <c r="BC192" s="292" t="e">
        <f t="shared" si="422"/>
        <v>#DIV/0!</v>
      </c>
      <c r="BD192" s="288"/>
      <c r="BE192" s="289" t="e">
        <f t="shared" ref="BE192:BK192" si="423">BE191/$G192</f>
        <v>#DIV/0!</v>
      </c>
      <c r="BF192" s="290" t="e">
        <f t="shared" si="423"/>
        <v>#DIV/0!</v>
      </c>
      <c r="BG192" s="290" t="e">
        <f t="shared" si="423"/>
        <v>#DIV/0!</v>
      </c>
      <c r="BH192" s="290" t="e">
        <f t="shared" si="423"/>
        <v>#DIV/0!</v>
      </c>
      <c r="BI192" s="291" t="e">
        <f t="shared" si="423"/>
        <v>#DIV/0!</v>
      </c>
      <c r="BJ192" s="290" t="e">
        <f t="shared" si="423"/>
        <v>#DIV/0!</v>
      </c>
      <c r="BK192" s="292" t="e">
        <f t="shared" si="423"/>
        <v>#DIV/0!</v>
      </c>
      <c r="BL192" s="288"/>
      <c r="BM192" s="289" t="e">
        <f t="shared" ref="BM192:BS192" si="424">BM191/$G192</f>
        <v>#DIV/0!</v>
      </c>
      <c r="BN192" s="290" t="e">
        <f t="shared" si="424"/>
        <v>#DIV/0!</v>
      </c>
      <c r="BO192" s="290" t="e">
        <f t="shared" si="424"/>
        <v>#DIV/0!</v>
      </c>
      <c r="BP192" s="290" t="e">
        <f t="shared" si="424"/>
        <v>#DIV/0!</v>
      </c>
      <c r="BQ192" s="291" t="e">
        <f t="shared" si="424"/>
        <v>#DIV/0!</v>
      </c>
      <c r="BR192" s="290" t="e">
        <f t="shared" si="424"/>
        <v>#DIV/0!</v>
      </c>
      <c r="BS192" s="292" t="e">
        <f t="shared" si="424"/>
        <v>#DIV/0!</v>
      </c>
      <c r="BT192" s="288"/>
      <c r="BU192" s="289" t="e">
        <f t="shared" ref="BU192:CA192" si="425">BU191/$G192</f>
        <v>#DIV/0!</v>
      </c>
      <c r="BV192" s="290" t="e">
        <f t="shared" si="425"/>
        <v>#DIV/0!</v>
      </c>
      <c r="BW192" s="290" t="e">
        <f t="shared" si="425"/>
        <v>#DIV/0!</v>
      </c>
      <c r="BX192" s="290" t="e">
        <f t="shared" si="425"/>
        <v>#DIV/0!</v>
      </c>
      <c r="BY192" s="291" t="e">
        <f t="shared" si="425"/>
        <v>#DIV/0!</v>
      </c>
      <c r="BZ192" s="290" t="e">
        <f t="shared" si="425"/>
        <v>#DIV/0!</v>
      </c>
      <c r="CA192" s="292" t="e">
        <f t="shared" si="425"/>
        <v>#DIV/0!</v>
      </c>
      <c r="CB192" s="288"/>
      <c r="CC192" s="289" t="e">
        <f t="shared" ref="CC192:CI192" si="426">CC191/$G192</f>
        <v>#DIV/0!</v>
      </c>
      <c r="CD192" s="290" t="e">
        <f t="shared" si="426"/>
        <v>#DIV/0!</v>
      </c>
      <c r="CE192" s="290" t="e">
        <f t="shared" si="426"/>
        <v>#DIV/0!</v>
      </c>
      <c r="CF192" s="290" t="e">
        <f t="shared" si="426"/>
        <v>#DIV/0!</v>
      </c>
      <c r="CG192" s="291" t="e">
        <f t="shared" si="426"/>
        <v>#DIV/0!</v>
      </c>
      <c r="CH192" s="290" t="e">
        <f t="shared" si="426"/>
        <v>#DIV/0!</v>
      </c>
      <c r="CI192" s="292" t="e">
        <f t="shared" si="426"/>
        <v>#DIV/0!</v>
      </c>
      <c r="CJ192" s="288"/>
      <c r="CK192" s="289" t="e">
        <f t="shared" ref="CK192:CQ192" si="427">CK191/$G192</f>
        <v>#DIV/0!</v>
      </c>
      <c r="CL192" s="290" t="e">
        <f t="shared" si="427"/>
        <v>#DIV/0!</v>
      </c>
      <c r="CM192" s="290" t="e">
        <f t="shared" si="427"/>
        <v>#DIV/0!</v>
      </c>
      <c r="CN192" s="290" t="e">
        <f t="shared" si="427"/>
        <v>#DIV/0!</v>
      </c>
      <c r="CO192" s="291" t="e">
        <f t="shared" si="427"/>
        <v>#DIV/0!</v>
      </c>
      <c r="CP192" s="290" t="e">
        <f t="shared" si="427"/>
        <v>#DIV/0!</v>
      </c>
      <c r="CQ192" s="292" t="e">
        <f t="shared" si="427"/>
        <v>#DIV/0!</v>
      </c>
    </row>
    <row r="193" spans="1:95" ht="16.5" thickBot="1" x14ac:dyDescent="0.3">
      <c r="A193" s="544"/>
      <c r="B193" s="544"/>
      <c r="C193" s="544"/>
      <c r="H193" s="545"/>
      <c r="K193" s="545"/>
      <c r="N193" s="545"/>
      <c r="Q193" s="545"/>
    </row>
    <row r="194" spans="1:95" x14ac:dyDescent="0.25">
      <c r="A194" s="132" t="s">
        <v>7</v>
      </c>
      <c r="B194" s="167">
        <f>B190+1</f>
        <v>46006</v>
      </c>
      <c r="C194" s="173"/>
      <c r="D194" s="259"/>
      <c r="E194" s="168"/>
      <c r="F194" s="317"/>
      <c r="G194" s="253"/>
      <c r="H194" s="247">
        <f t="shared" si="407"/>
        <v>0</v>
      </c>
      <c r="I194" s="260"/>
      <c r="J194" s="168"/>
      <c r="K194" s="247">
        <f t="shared" si="408"/>
        <v>0</v>
      </c>
      <c r="L194" s="260"/>
      <c r="M194" s="168"/>
      <c r="N194" s="311">
        <f t="shared" si="409"/>
        <v>0</v>
      </c>
      <c r="O194" s="260"/>
      <c r="P194" s="259"/>
      <c r="Q194" s="311">
        <f t="shared" si="410"/>
        <v>0</v>
      </c>
      <c r="R194" s="260"/>
      <c r="S194" s="259"/>
      <c r="T194" s="261"/>
      <c r="U194" s="168"/>
      <c r="V194" s="260"/>
      <c r="W194" s="260"/>
      <c r="X194" s="262"/>
      <c r="Y194" s="168"/>
      <c r="Z194" s="261"/>
      <c r="AA194" s="168"/>
      <c r="AB194" s="168"/>
      <c r="AC194" s="262"/>
      <c r="AD194" s="261"/>
      <c r="AE194" s="259"/>
      <c r="AF194" s="260"/>
      <c r="AG194" s="259"/>
      <c r="AH194" s="168"/>
      <c r="AI194" s="168"/>
      <c r="AJ194" s="260"/>
      <c r="AK194" s="259"/>
      <c r="AL194" s="260"/>
      <c r="AM194" s="259"/>
      <c r="AN194" s="168"/>
      <c r="AO194" s="168"/>
      <c r="AP194" s="260"/>
      <c r="AQ194" s="259"/>
      <c r="AR194" s="168"/>
      <c r="AS194" s="168"/>
      <c r="AT194" s="168"/>
      <c r="AU194" s="262"/>
      <c r="AV194" s="168"/>
      <c r="AW194" s="261"/>
      <c r="AX194" s="168"/>
      <c r="AY194" s="168"/>
      <c r="AZ194" s="168"/>
      <c r="BA194" s="260"/>
      <c r="BB194" s="168"/>
      <c r="BC194" s="262"/>
      <c r="BD194" s="168"/>
      <c r="BE194" s="261"/>
      <c r="BF194" s="168"/>
      <c r="BG194" s="168"/>
      <c r="BH194" s="168"/>
      <c r="BI194" s="260"/>
      <c r="BJ194" s="168"/>
      <c r="BK194" s="262"/>
      <c r="BL194" s="168"/>
      <c r="BM194" s="261"/>
      <c r="BN194" s="168"/>
      <c r="BO194" s="168"/>
      <c r="BP194" s="168"/>
      <c r="BQ194" s="260"/>
      <c r="BR194" s="168"/>
      <c r="BS194" s="262"/>
      <c r="BT194" s="168"/>
      <c r="BU194" s="261"/>
      <c r="BV194" s="168"/>
      <c r="BW194" s="168"/>
      <c r="BX194" s="168"/>
      <c r="BY194" s="260"/>
      <c r="BZ194" s="168"/>
      <c r="CA194" s="262"/>
      <c r="CB194" s="168"/>
      <c r="CC194" s="261"/>
      <c r="CD194" s="168"/>
      <c r="CE194" s="168"/>
      <c r="CF194" s="168"/>
      <c r="CG194" s="260"/>
      <c r="CH194" s="168"/>
      <c r="CI194" s="262"/>
      <c r="CJ194" s="168"/>
      <c r="CK194" s="261"/>
      <c r="CL194" s="168"/>
      <c r="CM194" s="168"/>
      <c r="CN194" s="168"/>
      <c r="CO194" s="260"/>
      <c r="CP194" s="168"/>
      <c r="CQ194" s="262"/>
    </row>
    <row r="195" spans="1:95" x14ac:dyDescent="0.25">
      <c r="A195" s="132" t="s">
        <v>10</v>
      </c>
      <c r="B195" s="167">
        <f t="shared" si="411"/>
        <v>46007</v>
      </c>
      <c r="C195" s="173"/>
      <c r="D195" s="259"/>
      <c r="E195" s="168"/>
      <c r="F195" s="317"/>
      <c r="G195" s="260"/>
      <c r="H195" s="247">
        <f t="shared" si="407"/>
        <v>0</v>
      </c>
      <c r="I195" s="260"/>
      <c r="J195" s="168"/>
      <c r="K195" s="247">
        <f t="shared" si="408"/>
        <v>0</v>
      </c>
      <c r="L195" s="260"/>
      <c r="M195" s="168"/>
      <c r="N195" s="311">
        <f t="shared" si="409"/>
        <v>0</v>
      </c>
      <c r="O195" s="260"/>
      <c r="P195" s="259"/>
      <c r="Q195" s="311">
        <f t="shared" si="410"/>
        <v>0</v>
      </c>
      <c r="R195" s="260"/>
      <c r="S195" s="259"/>
      <c r="T195" s="261"/>
      <c r="U195" s="168"/>
      <c r="V195" s="260"/>
      <c r="W195" s="260"/>
      <c r="X195" s="262"/>
      <c r="Y195" s="168"/>
      <c r="Z195" s="261"/>
      <c r="AA195" s="168"/>
      <c r="AB195" s="168"/>
      <c r="AC195" s="262"/>
      <c r="AD195" s="261"/>
      <c r="AE195" s="259"/>
      <c r="AF195" s="260"/>
      <c r="AG195" s="259"/>
      <c r="AH195" s="168"/>
      <c r="AI195" s="168"/>
      <c r="AJ195" s="260"/>
      <c r="AK195" s="259"/>
      <c r="AL195" s="260"/>
      <c r="AM195" s="259"/>
      <c r="AN195" s="168"/>
      <c r="AO195" s="168"/>
      <c r="AP195" s="260"/>
      <c r="AQ195" s="259"/>
      <c r="AR195" s="168"/>
      <c r="AS195" s="168"/>
      <c r="AT195" s="168"/>
      <c r="AU195" s="262"/>
      <c r="AV195" s="168"/>
      <c r="AW195" s="261"/>
      <c r="AX195" s="168"/>
      <c r="AY195" s="168"/>
      <c r="AZ195" s="168"/>
      <c r="BA195" s="260"/>
      <c r="BB195" s="168"/>
      <c r="BC195" s="262"/>
      <c r="BD195" s="168"/>
      <c r="BE195" s="261"/>
      <c r="BF195" s="168"/>
      <c r="BG195" s="168"/>
      <c r="BH195" s="168"/>
      <c r="BI195" s="260"/>
      <c r="BJ195" s="168"/>
      <c r="BK195" s="262"/>
      <c r="BL195" s="168"/>
      <c r="BM195" s="261"/>
      <c r="BN195" s="168"/>
      <c r="BO195" s="168"/>
      <c r="BP195" s="168"/>
      <c r="BQ195" s="260"/>
      <c r="BR195" s="168"/>
      <c r="BS195" s="262"/>
      <c r="BT195" s="168"/>
      <c r="BU195" s="261"/>
      <c r="BV195" s="168"/>
      <c r="BW195" s="168"/>
      <c r="BX195" s="168"/>
      <c r="BY195" s="260"/>
      <c r="BZ195" s="168"/>
      <c r="CA195" s="262"/>
      <c r="CB195" s="168"/>
      <c r="CC195" s="261"/>
      <c r="CD195" s="168"/>
      <c r="CE195" s="168"/>
      <c r="CF195" s="168"/>
      <c r="CG195" s="260"/>
      <c r="CH195" s="168"/>
      <c r="CI195" s="262"/>
      <c r="CJ195" s="168"/>
      <c r="CK195" s="261"/>
      <c r="CL195" s="168"/>
      <c r="CM195" s="168"/>
      <c r="CN195" s="168"/>
      <c r="CO195" s="260"/>
      <c r="CP195" s="168"/>
      <c r="CQ195" s="262"/>
    </row>
    <row r="196" spans="1:95" ht="16.5" thickBot="1" x14ac:dyDescent="0.3">
      <c r="A196" s="132" t="s">
        <v>11</v>
      </c>
      <c r="B196" s="167">
        <f t="shared" si="411"/>
        <v>46008</v>
      </c>
      <c r="C196" s="173"/>
      <c r="D196" s="259"/>
      <c r="E196" s="168"/>
      <c r="F196" s="317"/>
      <c r="G196" s="260"/>
      <c r="H196" s="311">
        <f t="shared" si="407"/>
        <v>0</v>
      </c>
      <c r="I196" s="260"/>
      <c r="J196" s="168"/>
      <c r="K196" s="311">
        <f t="shared" si="408"/>
        <v>0</v>
      </c>
      <c r="L196" s="260"/>
      <c r="M196" s="168"/>
      <c r="N196" s="311">
        <f t="shared" si="409"/>
        <v>0</v>
      </c>
      <c r="O196" s="260"/>
      <c r="P196" s="259"/>
      <c r="Q196" s="311">
        <f t="shared" si="410"/>
        <v>0</v>
      </c>
      <c r="R196" s="260"/>
      <c r="S196" s="259"/>
      <c r="T196" s="261"/>
      <c r="U196" s="168"/>
      <c r="V196" s="260"/>
      <c r="W196" s="260"/>
      <c r="X196" s="262"/>
      <c r="Y196" s="168"/>
      <c r="Z196" s="264"/>
      <c r="AA196" s="238"/>
      <c r="AB196" s="238"/>
      <c r="AC196" s="265"/>
      <c r="AD196" s="264"/>
      <c r="AE196" s="263"/>
      <c r="AF196" s="237"/>
      <c r="AG196" s="263"/>
      <c r="AH196" s="238"/>
      <c r="AI196" s="238"/>
      <c r="AJ196" s="237"/>
      <c r="AK196" s="263"/>
      <c r="AL196" s="237"/>
      <c r="AM196" s="263"/>
      <c r="AN196" s="238"/>
      <c r="AO196" s="238"/>
      <c r="AP196" s="237"/>
      <c r="AQ196" s="263"/>
      <c r="AR196" s="238"/>
      <c r="AS196" s="238"/>
      <c r="AT196" s="238"/>
      <c r="AU196" s="265"/>
      <c r="AV196" s="168"/>
      <c r="AW196" s="264"/>
      <c r="AX196" s="238"/>
      <c r="AY196" s="238"/>
      <c r="AZ196" s="238"/>
      <c r="BA196" s="237"/>
      <c r="BB196" s="238"/>
      <c r="BC196" s="265"/>
      <c r="BD196" s="168"/>
      <c r="BE196" s="264"/>
      <c r="BF196" s="238"/>
      <c r="BG196" s="238"/>
      <c r="BH196" s="238"/>
      <c r="BI196" s="237"/>
      <c r="BJ196" s="238"/>
      <c r="BK196" s="265"/>
      <c r="BL196" s="168"/>
      <c r="BM196" s="264"/>
      <c r="BN196" s="238"/>
      <c r="BO196" s="238"/>
      <c r="BP196" s="238"/>
      <c r="BQ196" s="237"/>
      <c r="BR196" s="238"/>
      <c r="BS196" s="265"/>
      <c r="BT196" s="168"/>
      <c r="BU196" s="264"/>
      <c r="BV196" s="238"/>
      <c r="BW196" s="238"/>
      <c r="BX196" s="238"/>
      <c r="BY196" s="237"/>
      <c r="BZ196" s="238"/>
      <c r="CA196" s="265"/>
      <c r="CB196" s="168"/>
      <c r="CC196" s="264"/>
      <c r="CD196" s="238"/>
      <c r="CE196" s="238"/>
      <c r="CF196" s="238"/>
      <c r="CG196" s="237"/>
      <c r="CH196" s="238"/>
      <c r="CI196" s="265"/>
      <c r="CJ196" s="168"/>
      <c r="CK196" s="264"/>
      <c r="CL196" s="238"/>
      <c r="CM196" s="238"/>
      <c r="CN196" s="238"/>
      <c r="CO196" s="237"/>
      <c r="CP196" s="238"/>
      <c r="CQ196" s="265"/>
    </row>
    <row r="197" spans="1:95" ht="16.5" thickTop="1" x14ac:dyDescent="0.25">
      <c r="A197" s="132" t="s">
        <v>12</v>
      </c>
      <c r="B197" s="167">
        <f>B196+1</f>
        <v>46009</v>
      </c>
      <c r="C197" s="173"/>
      <c r="D197" s="259"/>
      <c r="E197" s="168"/>
      <c r="F197" s="317"/>
      <c r="G197" s="253"/>
      <c r="H197" s="247">
        <f t="shared" ref="H197:H206" si="428">SUM(I197:J197)</f>
        <v>0</v>
      </c>
      <c r="I197" s="260"/>
      <c r="J197" s="168"/>
      <c r="K197" s="247">
        <f t="shared" ref="K197:K206" si="429">SUM(L197:M197)</f>
        <v>0</v>
      </c>
      <c r="L197" s="260"/>
      <c r="M197" s="168"/>
      <c r="N197" s="311">
        <f t="shared" ref="N197:N206" si="430">SUM(O197:P197)</f>
        <v>0</v>
      </c>
      <c r="O197" s="260"/>
      <c r="P197" s="259"/>
      <c r="Q197" s="311">
        <f t="shared" ref="Q197:Q206" si="431">SUM(R197:S197)</f>
        <v>0</v>
      </c>
      <c r="R197" s="260"/>
      <c r="S197" s="259"/>
      <c r="T197" s="261"/>
      <c r="U197" s="168"/>
      <c r="V197" s="260"/>
      <c r="W197" s="260"/>
      <c r="X197" s="262"/>
      <c r="Y197" s="168"/>
      <c r="Z197" s="257"/>
      <c r="AA197" s="255"/>
      <c r="AB197" s="255"/>
      <c r="AC197" s="258"/>
      <c r="AD197" s="257"/>
      <c r="AE197" s="256"/>
      <c r="AF197" s="254"/>
      <c r="AG197" s="256"/>
      <c r="AH197" s="255"/>
      <c r="AI197" s="255"/>
      <c r="AJ197" s="254"/>
      <c r="AK197" s="256"/>
      <c r="AL197" s="254"/>
      <c r="AM197" s="256"/>
      <c r="AN197" s="255"/>
      <c r="AO197" s="255"/>
      <c r="AP197" s="254"/>
      <c r="AQ197" s="256"/>
      <c r="AR197" s="255"/>
      <c r="AS197" s="255"/>
      <c r="AT197" s="255"/>
      <c r="AU197" s="258"/>
      <c r="AV197" s="168"/>
      <c r="AW197" s="257"/>
      <c r="AX197" s="255"/>
      <c r="AY197" s="255"/>
      <c r="AZ197" s="255"/>
      <c r="BA197" s="254"/>
      <c r="BB197" s="255"/>
      <c r="BC197" s="258"/>
      <c r="BD197" s="168"/>
      <c r="BE197" s="257"/>
      <c r="BF197" s="255"/>
      <c r="BG197" s="255"/>
      <c r="BH197" s="255"/>
      <c r="BI197" s="254"/>
      <c r="BJ197" s="255"/>
      <c r="BK197" s="258"/>
      <c r="BL197" s="168"/>
      <c r="BM197" s="257"/>
      <c r="BN197" s="255"/>
      <c r="BO197" s="255"/>
      <c r="BP197" s="255"/>
      <c r="BQ197" s="254"/>
      <c r="BR197" s="255"/>
      <c r="BS197" s="258"/>
      <c r="BT197" s="168"/>
      <c r="BU197" s="257"/>
      <c r="BV197" s="255"/>
      <c r="BW197" s="255"/>
      <c r="BX197" s="255"/>
      <c r="BY197" s="254"/>
      <c r="BZ197" s="255"/>
      <c r="CA197" s="258"/>
      <c r="CB197" s="168"/>
      <c r="CC197" s="257"/>
      <c r="CD197" s="255"/>
      <c r="CE197" s="255"/>
      <c r="CF197" s="255"/>
      <c r="CG197" s="254"/>
      <c r="CH197" s="255"/>
      <c r="CI197" s="258"/>
      <c r="CJ197" s="168"/>
      <c r="CK197" s="257"/>
      <c r="CL197" s="255"/>
      <c r="CM197" s="255"/>
      <c r="CN197" s="255"/>
      <c r="CO197" s="254"/>
      <c r="CP197" s="255"/>
      <c r="CQ197" s="258"/>
    </row>
    <row r="198" spans="1:95" x14ac:dyDescent="0.25">
      <c r="A198" s="132" t="s">
        <v>13</v>
      </c>
      <c r="B198" s="167">
        <f t="shared" ref="B198:B206" si="432">B197+1</f>
        <v>46010</v>
      </c>
      <c r="C198" s="173"/>
      <c r="D198" s="259"/>
      <c r="E198" s="168"/>
      <c r="F198" s="317"/>
      <c r="G198" s="253"/>
      <c r="H198" s="247">
        <f t="shared" si="428"/>
        <v>0</v>
      </c>
      <c r="I198" s="260"/>
      <c r="J198" s="168"/>
      <c r="K198" s="247">
        <f t="shared" si="429"/>
        <v>0</v>
      </c>
      <c r="L198" s="260"/>
      <c r="M198" s="168"/>
      <c r="N198" s="311">
        <f t="shared" si="430"/>
        <v>0</v>
      </c>
      <c r="O198" s="260"/>
      <c r="P198" s="259"/>
      <c r="Q198" s="311">
        <f t="shared" si="431"/>
        <v>0</v>
      </c>
      <c r="R198" s="260"/>
      <c r="S198" s="259"/>
      <c r="T198" s="261"/>
      <c r="U198" s="168"/>
      <c r="V198" s="260"/>
      <c r="W198" s="260"/>
      <c r="X198" s="262"/>
      <c r="Y198" s="168"/>
      <c r="Z198" s="261"/>
      <c r="AA198" s="168"/>
      <c r="AB198" s="168"/>
      <c r="AC198" s="262"/>
      <c r="AD198" s="261"/>
      <c r="AE198" s="259"/>
      <c r="AF198" s="260"/>
      <c r="AG198" s="259"/>
      <c r="AH198" s="168"/>
      <c r="AI198" s="168"/>
      <c r="AJ198" s="260"/>
      <c r="AK198" s="259"/>
      <c r="AL198" s="260"/>
      <c r="AM198" s="259"/>
      <c r="AN198" s="168"/>
      <c r="AO198" s="168"/>
      <c r="AP198" s="260"/>
      <c r="AQ198" s="259"/>
      <c r="AR198" s="168"/>
      <c r="AS198" s="168"/>
      <c r="AT198" s="168"/>
      <c r="AU198" s="262"/>
      <c r="AV198" s="168"/>
      <c r="AW198" s="261"/>
      <c r="AX198" s="168"/>
      <c r="AY198" s="168"/>
      <c r="AZ198" s="168"/>
      <c r="BA198" s="260"/>
      <c r="BB198" s="168"/>
      <c r="BC198" s="262"/>
      <c r="BD198" s="168"/>
      <c r="BE198" s="261"/>
      <c r="BF198" s="168"/>
      <c r="BG198" s="168"/>
      <c r="BH198" s="168"/>
      <c r="BI198" s="260"/>
      <c r="BJ198" s="168"/>
      <c r="BK198" s="262"/>
      <c r="BL198" s="168"/>
      <c r="BM198" s="261"/>
      <c r="BN198" s="168"/>
      <c r="BO198" s="168"/>
      <c r="BP198" s="168"/>
      <c r="BQ198" s="260"/>
      <c r="BR198" s="168"/>
      <c r="BS198" s="262"/>
      <c r="BT198" s="168"/>
      <c r="BU198" s="261"/>
      <c r="BV198" s="168"/>
      <c r="BW198" s="168"/>
      <c r="BX198" s="168"/>
      <c r="BY198" s="260"/>
      <c r="BZ198" s="168"/>
      <c r="CA198" s="262"/>
      <c r="CB198" s="168"/>
      <c r="CC198" s="261"/>
      <c r="CD198" s="168"/>
      <c r="CE198" s="168"/>
      <c r="CF198" s="168"/>
      <c r="CG198" s="260"/>
      <c r="CH198" s="168"/>
      <c r="CI198" s="262"/>
      <c r="CJ198" s="168"/>
      <c r="CK198" s="261"/>
      <c r="CL198" s="168"/>
      <c r="CM198" s="168"/>
      <c r="CN198" s="168"/>
      <c r="CO198" s="260"/>
      <c r="CP198" s="168"/>
      <c r="CQ198" s="262"/>
    </row>
    <row r="199" spans="1:95" x14ac:dyDescent="0.25">
      <c r="A199" s="132" t="s">
        <v>14</v>
      </c>
      <c r="B199" s="167">
        <f t="shared" si="432"/>
        <v>46011</v>
      </c>
      <c r="C199" s="173"/>
      <c r="D199" s="259"/>
      <c r="E199" s="168"/>
      <c r="F199" s="317"/>
      <c r="G199" s="253"/>
      <c r="H199" s="247">
        <f t="shared" si="428"/>
        <v>0</v>
      </c>
      <c r="I199" s="260"/>
      <c r="J199" s="168"/>
      <c r="K199" s="247">
        <f t="shared" si="429"/>
        <v>0</v>
      </c>
      <c r="L199" s="260"/>
      <c r="M199" s="168"/>
      <c r="N199" s="311">
        <f t="shared" si="430"/>
        <v>0</v>
      </c>
      <c r="O199" s="260"/>
      <c r="P199" s="259"/>
      <c r="Q199" s="311">
        <f t="shared" si="431"/>
        <v>0</v>
      </c>
      <c r="R199" s="260"/>
      <c r="S199" s="259"/>
      <c r="T199" s="261"/>
      <c r="U199" s="168"/>
      <c r="V199" s="260"/>
      <c r="W199" s="260"/>
      <c r="X199" s="262"/>
      <c r="Y199" s="168"/>
      <c r="Z199" s="261"/>
      <c r="AA199" s="168"/>
      <c r="AB199" s="168"/>
      <c r="AC199" s="262"/>
      <c r="AD199" s="261"/>
      <c r="AE199" s="259"/>
      <c r="AF199" s="260"/>
      <c r="AG199" s="259"/>
      <c r="AH199" s="168"/>
      <c r="AI199" s="168"/>
      <c r="AJ199" s="260"/>
      <c r="AK199" s="259"/>
      <c r="AL199" s="260"/>
      <c r="AM199" s="259"/>
      <c r="AN199" s="168"/>
      <c r="AO199" s="168"/>
      <c r="AP199" s="260"/>
      <c r="AQ199" s="259"/>
      <c r="AR199" s="168"/>
      <c r="AS199" s="168"/>
      <c r="AT199" s="168"/>
      <c r="AU199" s="262"/>
      <c r="AV199" s="168"/>
      <c r="AW199" s="261"/>
      <c r="AX199" s="168"/>
      <c r="AY199" s="168"/>
      <c r="AZ199" s="168"/>
      <c r="BA199" s="260"/>
      <c r="BB199" s="168"/>
      <c r="BC199" s="262"/>
      <c r="BD199" s="168"/>
      <c r="BE199" s="261"/>
      <c r="BF199" s="168"/>
      <c r="BG199" s="168"/>
      <c r="BH199" s="168"/>
      <c r="BI199" s="260"/>
      <c r="BJ199" s="168"/>
      <c r="BK199" s="262"/>
      <c r="BL199" s="168"/>
      <c r="BM199" s="261"/>
      <c r="BN199" s="168"/>
      <c r="BO199" s="168"/>
      <c r="BP199" s="168"/>
      <c r="BQ199" s="260"/>
      <c r="BR199" s="168"/>
      <c r="BS199" s="262"/>
      <c r="BT199" s="168"/>
      <c r="BU199" s="261"/>
      <c r="BV199" s="168"/>
      <c r="BW199" s="168"/>
      <c r="BX199" s="168"/>
      <c r="BY199" s="260"/>
      <c r="BZ199" s="168"/>
      <c r="CA199" s="262"/>
      <c r="CB199" s="168"/>
      <c r="CC199" s="261"/>
      <c r="CD199" s="168"/>
      <c r="CE199" s="168"/>
      <c r="CF199" s="168"/>
      <c r="CG199" s="260"/>
      <c r="CH199" s="168"/>
      <c r="CI199" s="262"/>
      <c r="CJ199" s="168"/>
      <c r="CK199" s="261"/>
      <c r="CL199" s="168"/>
      <c r="CM199" s="168"/>
      <c r="CN199" s="168"/>
      <c r="CO199" s="260"/>
      <c r="CP199" s="168"/>
      <c r="CQ199" s="262"/>
    </row>
    <row r="200" spans="1:95" ht="16.5" thickBot="1" x14ac:dyDescent="0.3">
      <c r="A200" s="132" t="s">
        <v>15</v>
      </c>
      <c r="B200" s="167">
        <f t="shared" si="432"/>
        <v>46012</v>
      </c>
      <c r="C200" s="173"/>
      <c r="D200" s="259"/>
      <c r="E200" s="168"/>
      <c r="F200" s="317"/>
      <c r="G200" s="253"/>
      <c r="H200" s="247">
        <f t="shared" si="428"/>
        <v>0</v>
      </c>
      <c r="I200" s="260"/>
      <c r="J200" s="168"/>
      <c r="K200" s="247">
        <f t="shared" si="429"/>
        <v>0</v>
      </c>
      <c r="L200" s="260"/>
      <c r="M200" s="168"/>
      <c r="N200" s="311">
        <f t="shared" si="430"/>
        <v>0</v>
      </c>
      <c r="O200" s="260"/>
      <c r="P200" s="259"/>
      <c r="Q200" s="311">
        <f t="shared" si="431"/>
        <v>0</v>
      </c>
      <c r="R200" s="260"/>
      <c r="S200" s="259"/>
      <c r="T200" s="261"/>
      <c r="U200" s="168"/>
      <c r="V200" s="260"/>
      <c r="W200" s="260"/>
      <c r="X200" s="262"/>
      <c r="Y200" s="168"/>
      <c r="Z200" s="261"/>
      <c r="AA200" s="168"/>
      <c r="AB200" s="168"/>
      <c r="AC200" s="262"/>
      <c r="AD200" s="261"/>
      <c r="AE200" s="259"/>
      <c r="AF200" s="260"/>
      <c r="AG200" s="259"/>
      <c r="AH200" s="168"/>
      <c r="AI200" s="168"/>
      <c r="AJ200" s="260"/>
      <c r="AK200" s="259"/>
      <c r="AL200" s="260"/>
      <c r="AM200" s="259"/>
      <c r="AN200" s="168"/>
      <c r="AO200" s="168"/>
      <c r="AP200" s="260"/>
      <c r="AQ200" s="259"/>
      <c r="AR200" s="168"/>
      <c r="AS200" s="168"/>
      <c r="AT200" s="168"/>
      <c r="AU200" s="262"/>
      <c r="AV200" s="168"/>
      <c r="AW200" s="261"/>
      <c r="AX200" s="168"/>
      <c r="AY200" s="168"/>
      <c r="AZ200" s="168"/>
      <c r="BA200" s="260"/>
      <c r="BB200" s="168"/>
      <c r="BC200" s="262"/>
      <c r="BD200" s="168"/>
      <c r="BE200" s="261"/>
      <c r="BF200" s="168"/>
      <c r="BG200" s="168"/>
      <c r="BH200" s="168"/>
      <c r="BI200" s="260"/>
      <c r="BJ200" s="168"/>
      <c r="BK200" s="262"/>
      <c r="BL200" s="168"/>
      <c r="BM200" s="261"/>
      <c r="BN200" s="168"/>
      <c r="BO200" s="168"/>
      <c r="BP200" s="168"/>
      <c r="BQ200" s="260"/>
      <c r="BR200" s="168"/>
      <c r="BS200" s="262"/>
      <c r="BT200" s="168"/>
      <c r="BU200" s="261"/>
      <c r="BV200" s="168"/>
      <c r="BW200" s="168"/>
      <c r="BX200" s="168"/>
      <c r="BY200" s="260"/>
      <c r="BZ200" s="168"/>
      <c r="CA200" s="262"/>
      <c r="CB200" s="168"/>
      <c r="CC200" s="261"/>
      <c r="CD200" s="168"/>
      <c r="CE200" s="168"/>
      <c r="CF200" s="168"/>
      <c r="CG200" s="260"/>
      <c r="CH200" s="168"/>
      <c r="CI200" s="262"/>
      <c r="CJ200" s="168"/>
      <c r="CK200" s="261"/>
      <c r="CL200" s="168"/>
      <c r="CM200" s="168"/>
      <c r="CN200" s="168"/>
      <c r="CO200" s="260"/>
      <c r="CP200" s="168"/>
      <c r="CQ200" s="262"/>
    </row>
    <row r="201" spans="1:95" ht="16.5" thickTop="1" x14ac:dyDescent="0.25">
      <c r="A201" s="298" t="s">
        <v>106</v>
      </c>
      <c r="B201" s="274"/>
      <c r="C201" s="293"/>
      <c r="D201" s="294"/>
      <c r="E201" s="315"/>
      <c r="F201" s="315"/>
      <c r="G201" s="295"/>
      <c r="H201" s="296">
        <f t="shared" ref="H201:X201" si="433">SUM(H194:H200)</f>
        <v>0</v>
      </c>
      <c r="I201" s="284">
        <f t="shared" si="433"/>
        <v>0</v>
      </c>
      <c r="J201" s="283">
        <f t="shared" si="433"/>
        <v>0</v>
      </c>
      <c r="K201" s="296">
        <f t="shared" si="433"/>
        <v>0</v>
      </c>
      <c r="L201" s="284">
        <f t="shared" si="433"/>
        <v>0</v>
      </c>
      <c r="M201" s="283">
        <f t="shared" si="433"/>
        <v>0</v>
      </c>
      <c r="N201" s="296">
        <f t="shared" si="433"/>
        <v>0</v>
      </c>
      <c r="O201" s="284">
        <f t="shared" si="433"/>
        <v>0</v>
      </c>
      <c r="P201" s="285">
        <f t="shared" si="433"/>
        <v>0</v>
      </c>
      <c r="Q201" s="296">
        <f t="shared" si="433"/>
        <v>0</v>
      </c>
      <c r="R201" s="284">
        <f t="shared" si="433"/>
        <v>0</v>
      </c>
      <c r="S201" s="285">
        <f t="shared" si="433"/>
        <v>0</v>
      </c>
      <c r="T201" s="282">
        <f t="shared" si="433"/>
        <v>0</v>
      </c>
      <c r="U201" s="283">
        <f t="shared" si="433"/>
        <v>0</v>
      </c>
      <c r="V201" s="284">
        <f t="shared" si="433"/>
        <v>0</v>
      </c>
      <c r="W201" s="284">
        <f t="shared" si="433"/>
        <v>0</v>
      </c>
      <c r="X201" s="285">
        <f t="shared" si="433"/>
        <v>0</v>
      </c>
      <c r="Y201" s="173"/>
      <c r="Z201" s="282">
        <f>SUM(Z194:Z200)</f>
        <v>0</v>
      </c>
      <c r="AA201" s="283">
        <f>SUM(AA194:AA200)</f>
        <v>0</v>
      </c>
      <c r="AB201" s="283">
        <f>SUM(AB194:AB200)</f>
        <v>0</v>
      </c>
      <c r="AC201" s="285">
        <f>SUM(AC194:AC200)</f>
        <v>0</v>
      </c>
      <c r="AD201" s="282">
        <f t="shared" ref="AD201:AU201" si="434">SUM(AD194:AD200)</f>
        <v>0</v>
      </c>
      <c r="AE201" s="297">
        <f t="shared" si="434"/>
        <v>0</v>
      </c>
      <c r="AF201" s="284">
        <f t="shared" si="434"/>
        <v>0</v>
      </c>
      <c r="AG201" s="297">
        <f t="shared" si="434"/>
        <v>0</v>
      </c>
      <c r="AH201" s="283">
        <f t="shared" si="434"/>
        <v>0</v>
      </c>
      <c r="AI201" s="283">
        <f t="shared" si="434"/>
        <v>0</v>
      </c>
      <c r="AJ201" s="284">
        <f t="shared" si="434"/>
        <v>0</v>
      </c>
      <c r="AK201" s="297">
        <f t="shared" si="434"/>
        <v>0</v>
      </c>
      <c r="AL201" s="284">
        <f t="shared" si="434"/>
        <v>0</v>
      </c>
      <c r="AM201" s="297">
        <f t="shared" si="434"/>
        <v>0</v>
      </c>
      <c r="AN201" s="276">
        <f t="shared" si="434"/>
        <v>0</v>
      </c>
      <c r="AO201" s="275">
        <f t="shared" si="434"/>
        <v>0</v>
      </c>
      <c r="AP201" s="276">
        <f t="shared" si="434"/>
        <v>0</v>
      </c>
      <c r="AQ201" s="275">
        <f t="shared" si="434"/>
        <v>0</v>
      </c>
      <c r="AR201" s="278">
        <f t="shared" si="434"/>
        <v>0</v>
      </c>
      <c r="AS201" s="277">
        <f t="shared" si="434"/>
        <v>0</v>
      </c>
      <c r="AT201" s="283">
        <f t="shared" si="434"/>
        <v>0</v>
      </c>
      <c r="AU201" s="285">
        <f t="shared" si="434"/>
        <v>0</v>
      </c>
      <c r="AV201" s="173"/>
      <c r="AW201" s="282">
        <f t="shared" ref="AW201:BC201" si="435">SUM(AW194:AW200)</f>
        <v>0</v>
      </c>
      <c r="AX201" s="283">
        <f t="shared" si="435"/>
        <v>0</v>
      </c>
      <c r="AY201" s="283">
        <f t="shared" si="435"/>
        <v>0</v>
      </c>
      <c r="AZ201" s="283">
        <f t="shared" si="435"/>
        <v>0</v>
      </c>
      <c r="BA201" s="284">
        <f t="shared" si="435"/>
        <v>0</v>
      </c>
      <c r="BB201" s="283">
        <f t="shared" si="435"/>
        <v>0</v>
      </c>
      <c r="BC201" s="285">
        <f t="shared" si="435"/>
        <v>0</v>
      </c>
      <c r="BD201" s="173"/>
      <c r="BE201" s="282">
        <f t="shared" ref="BE201:BK201" si="436">SUM(BE194:BE200)</f>
        <v>0</v>
      </c>
      <c r="BF201" s="283">
        <f t="shared" si="436"/>
        <v>0</v>
      </c>
      <c r="BG201" s="283">
        <f t="shared" si="436"/>
        <v>0</v>
      </c>
      <c r="BH201" s="283">
        <f t="shared" si="436"/>
        <v>0</v>
      </c>
      <c r="BI201" s="284">
        <f t="shared" si="436"/>
        <v>0</v>
      </c>
      <c r="BJ201" s="283">
        <f t="shared" si="436"/>
        <v>0</v>
      </c>
      <c r="BK201" s="285">
        <f t="shared" si="436"/>
        <v>0</v>
      </c>
      <c r="BL201" s="173"/>
      <c r="BM201" s="282">
        <f t="shared" ref="BM201:BS201" si="437">SUM(BM194:BM200)</f>
        <v>0</v>
      </c>
      <c r="BN201" s="283">
        <f t="shared" si="437"/>
        <v>0</v>
      </c>
      <c r="BO201" s="283">
        <f t="shared" si="437"/>
        <v>0</v>
      </c>
      <c r="BP201" s="283">
        <f t="shared" si="437"/>
        <v>0</v>
      </c>
      <c r="BQ201" s="284">
        <f t="shared" si="437"/>
        <v>0</v>
      </c>
      <c r="BR201" s="283">
        <f t="shared" si="437"/>
        <v>0</v>
      </c>
      <c r="BS201" s="285">
        <f t="shared" si="437"/>
        <v>0</v>
      </c>
      <c r="BT201" s="173"/>
      <c r="BU201" s="282">
        <f t="shared" ref="BU201:CA201" si="438">SUM(BU194:BU200)</f>
        <v>0</v>
      </c>
      <c r="BV201" s="283">
        <f t="shared" si="438"/>
        <v>0</v>
      </c>
      <c r="BW201" s="283">
        <f t="shared" si="438"/>
        <v>0</v>
      </c>
      <c r="BX201" s="283">
        <f t="shared" si="438"/>
        <v>0</v>
      </c>
      <c r="BY201" s="284">
        <f t="shared" si="438"/>
        <v>0</v>
      </c>
      <c r="BZ201" s="283">
        <f t="shared" si="438"/>
        <v>0</v>
      </c>
      <c r="CA201" s="285">
        <f t="shared" si="438"/>
        <v>0</v>
      </c>
      <c r="CB201" s="173"/>
      <c r="CC201" s="282">
        <f t="shared" ref="CC201:CI201" si="439">SUM(CC194:CC200)</f>
        <v>0</v>
      </c>
      <c r="CD201" s="283">
        <f t="shared" si="439"/>
        <v>0</v>
      </c>
      <c r="CE201" s="283">
        <f t="shared" si="439"/>
        <v>0</v>
      </c>
      <c r="CF201" s="283">
        <f t="shared" si="439"/>
        <v>0</v>
      </c>
      <c r="CG201" s="284">
        <f t="shared" si="439"/>
        <v>0</v>
      </c>
      <c r="CH201" s="283">
        <f t="shared" si="439"/>
        <v>0</v>
      </c>
      <c r="CI201" s="285">
        <f t="shared" si="439"/>
        <v>0</v>
      </c>
      <c r="CJ201" s="173"/>
      <c r="CK201" s="282">
        <f t="shared" ref="CK201:CQ201" si="440">SUM(CK194:CK200)</f>
        <v>0</v>
      </c>
      <c r="CL201" s="283">
        <f t="shared" si="440"/>
        <v>0</v>
      </c>
      <c r="CM201" s="283">
        <f t="shared" si="440"/>
        <v>0</v>
      </c>
      <c r="CN201" s="283">
        <f t="shared" si="440"/>
        <v>0</v>
      </c>
      <c r="CO201" s="284">
        <f t="shared" si="440"/>
        <v>0</v>
      </c>
      <c r="CP201" s="283">
        <f t="shared" si="440"/>
        <v>0</v>
      </c>
      <c r="CQ201" s="285">
        <f t="shared" si="440"/>
        <v>0</v>
      </c>
    </row>
    <row r="202" spans="1:95" ht="16.5" thickBot="1" x14ac:dyDescent="0.3">
      <c r="A202" s="541" t="s">
        <v>105</v>
      </c>
      <c r="B202" s="542"/>
      <c r="C202" s="543">
        <f>SUM(C194:C200)</f>
        <v>0</v>
      </c>
      <c r="D202" s="307">
        <f>SUM(D194:D200)</f>
        <v>0</v>
      </c>
      <c r="E202" s="306">
        <f>SUM(E194:E200)</f>
        <v>0</v>
      </c>
      <c r="F202" s="307">
        <f>SUM(F194:F200)</f>
        <v>0</v>
      </c>
      <c r="G202" s="268" t="e">
        <f>D202/C202</f>
        <v>#DIV/0!</v>
      </c>
      <c r="H202" s="279" t="e">
        <f t="shared" ref="H202:X202" si="441">H201/$G202</f>
        <v>#DIV/0!</v>
      </c>
      <c r="I202" s="241" t="e">
        <f t="shared" si="441"/>
        <v>#DIV/0!</v>
      </c>
      <c r="J202" s="239" t="e">
        <f t="shared" si="441"/>
        <v>#DIV/0!</v>
      </c>
      <c r="K202" s="279" t="e">
        <f t="shared" si="441"/>
        <v>#DIV/0!</v>
      </c>
      <c r="L202" s="241" t="e">
        <f t="shared" si="441"/>
        <v>#DIV/0!</v>
      </c>
      <c r="M202" s="239" t="e">
        <f t="shared" si="441"/>
        <v>#DIV/0!</v>
      </c>
      <c r="N202" s="279" t="e">
        <f t="shared" si="441"/>
        <v>#DIV/0!</v>
      </c>
      <c r="O202" s="241" t="e">
        <f t="shared" si="441"/>
        <v>#DIV/0!</v>
      </c>
      <c r="P202" s="270" t="e">
        <f t="shared" si="441"/>
        <v>#DIV/0!</v>
      </c>
      <c r="Q202" s="279" t="e">
        <f t="shared" si="441"/>
        <v>#DIV/0!</v>
      </c>
      <c r="R202" s="241" t="e">
        <f t="shared" si="441"/>
        <v>#DIV/0!</v>
      </c>
      <c r="S202" s="270" t="e">
        <f t="shared" si="441"/>
        <v>#DIV/0!</v>
      </c>
      <c r="T202" s="269" t="e">
        <f t="shared" si="441"/>
        <v>#DIV/0!</v>
      </c>
      <c r="U202" s="239" t="e">
        <f t="shared" si="441"/>
        <v>#DIV/0!</v>
      </c>
      <c r="V202" s="241" t="e">
        <f t="shared" si="441"/>
        <v>#DIV/0!</v>
      </c>
      <c r="W202" s="241" t="e">
        <f t="shared" si="441"/>
        <v>#DIV/0!</v>
      </c>
      <c r="X202" s="270" t="e">
        <f t="shared" si="441"/>
        <v>#DIV/0!</v>
      </c>
      <c r="Y202" s="173"/>
      <c r="Z202" s="289" t="e">
        <f>Z201/$G202</f>
        <v>#DIV/0!</v>
      </c>
      <c r="AA202" s="290" t="e">
        <f t="shared" ref="AA202:AU202" si="442">AA201/$G202</f>
        <v>#DIV/0!</v>
      </c>
      <c r="AB202" s="290" t="e">
        <f t="shared" si="442"/>
        <v>#DIV/0!</v>
      </c>
      <c r="AC202" s="292" t="e">
        <f t="shared" si="442"/>
        <v>#DIV/0!</v>
      </c>
      <c r="AD202" s="289" t="e">
        <f t="shared" si="442"/>
        <v>#DIV/0!</v>
      </c>
      <c r="AE202" s="324" t="e">
        <f t="shared" si="442"/>
        <v>#DIV/0!</v>
      </c>
      <c r="AF202" s="291" t="e">
        <f t="shared" si="442"/>
        <v>#DIV/0!</v>
      </c>
      <c r="AG202" s="324" t="e">
        <f t="shared" si="442"/>
        <v>#DIV/0!</v>
      </c>
      <c r="AH202" s="290" t="e">
        <f t="shared" si="442"/>
        <v>#DIV/0!</v>
      </c>
      <c r="AI202" s="290" t="e">
        <f t="shared" si="442"/>
        <v>#DIV/0!</v>
      </c>
      <c r="AJ202" s="291" t="e">
        <f t="shared" si="442"/>
        <v>#DIV/0!</v>
      </c>
      <c r="AK202" s="324" t="e">
        <f t="shared" si="442"/>
        <v>#DIV/0!</v>
      </c>
      <c r="AL202" s="291" t="e">
        <f t="shared" si="442"/>
        <v>#DIV/0!</v>
      </c>
      <c r="AM202" s="324" t="e">
        <f t="shared" si="442"/>
        <v>#DIV/0!</v>
      </c>
      <c r="AN202" s="325" t="e">
        <f t="shared" si="442"/>
        <v>#DIV/0!</v>
      </c>
      <c r="AO202" s="326" t="e">
        <f t="shared" si="442"/>
        <v>#DIV/0!</v>
      </c>
      <c r="AP202" s="325" t="e">
        <f t="shared" si="442"/>
        <v>#DIV/0!</v>
      </c>
      <c r="AQ202" s="326" t="e">
        <f t="shared" si="442"/>
        <v>#DIV/0!</v>
      </c>
      <c r="AR202" s="287" t="e">
        <f t="shared" si="442"/>
        <v>#DIV/0!</v>
      </c>
      <c r="AS202" s="286" t="e">
        <f t="shared" si="442"/>
        <v>#DIV/0!</v>
      </c>
      <c r="AT202" s="290" t="e">
        <f t="shared" si="442"/>
        <v>#DIV/0!</v>
      </c>
      <c r="AU202" s="292" t="e">
        <f t="shared" si="442"/>
        <v>#DIV/0!</v>
      </c>
      <c r="AV202" s="288"/>
      <c r="AW202" s="289" t="e">
        <f t="shared" ref="AW202:BC202" si="443">AW201/$G202</f>
        <v>#DIV/0!</v>
      </c>
      <c r="AX202" s="290" t="e">
        <f t="shared" si="443"/>
        <v>#DIV/0!</v>
      </c>
      <c r="AY202" s="290" t="e">
        <f t="shared" si="443"/>
        <v>#DIV/0!</v>
      </c>
      <c r="AZ202" s="290" t="e">
        <f t="shared" si="443"/>
        <v>#DIV/0!</v>
      </c>
      <c r="BA202" s="291" t="e">
        <f t="shared" si="443"/>
        <v>#DIV/0!</v>
      </c>
      <c r="BB202" s="290" t="e">
        <f t="shared" si="443"/>
        <v>#DIV/0!</v>
      </c>
      <c r="BC202" s="292" t="e">
        <f t="shared" si="443"/>
        <v>#DIV/0!</v>
      </c>
      <c r="BD202" s="288"/>
      <c r="BE202" s="289" t="e">
        <f t="shared" ref="BE202:BK202" si="444">BE201/$G202</f>
        <v>#DIV/0!</v>
      </c>
      <c r="BF202" s="290" t="e">
        <f t="shared" si="444"/>
        <v>#DIV/0!</v>
      </c>
      <c r="BG202" s="290" t="e">
        <f t="shared" si="444"/>
        <v>#DIV/0!</v>
      </c>
      <c r="BH202" s="290" t="e">
        <f t="shared" si="444"/>
        <v>#DIV/0!</v>
      </c>
      <c r="BI202" s="291" t="e">
        <f t="shared" si="444"/>
        <v>#DIV/0!</v>
      </c>
      <c r="BJ202" s="290" t="e">
        <f t="shared" si="444"/>
        <v>#DIV/0!</v>
      </c>
      <c r="BK202" s="292" t="e">
        <f t="shared" si="444"/>
        <v>#DIV/0!</v>
      </c>
      <c r="BL202" s="288"/>
      <c r="BM202" s="289" t="e">
        <f t="shared" ref="BM202:BS202" si="445">BM201/$G202</f>
        <v>#DIV/0!</v>
      </c>
      <c r="BN202" s="290" t="e">
        <f t="shared" si="445"/>
        <v>#DIV/0!</v>
      </c>
      <c r="BO202" s="290" t="e">
        <f t="shared" si="445"/>
        <v>#DIV/0!</v>
      </c>
      <c r="BP202" s="290" t="e">
        <f t="shared" si="445"/>
        <v>#DIV/0!</v>
      </c>
      <c r="BQ202" s="291" t="e">
        <f t="shared" si="445"/>
        <v>#DIV/0!</v>
      </c>
      <c r="BR202" s="290" t="e">
        <f t="shared" si="445"/>
        <v>#DIV/0!</v>
      </c>
      <c r="BS202" s="292" t="e">
        <f t="shared" si="445"/>
        <v>#DIV/0!</v>
      </c>
      <c r="BT202" s="288"/>
      <c r="BU202" s="289" t="e">
        <f t="shared" ref="BU202:CA202" si="446">BU201/$G202</f>
        <v>#DIV/0!</v>
      </c>
      <c r="BV202" s="290" t="e">
        <f t="shared" si="446"/>
        <v>#DIV/0!</v>
      </c>
      <c r="BW202" s="290" t="e">
        <f t="shared" si="446"/>
        <v>#DIV/0!</v>
      </c>
      <c r="BX202" s="290" t="e">
        <f t="shared" si="446"/>
        <v>#DIV/0!</v>
      </c>
      <c r="BY202" s="291" t="e">
        <f t="shared" si="446"/>
        <v>#DIV/0!</v>
      </c>
      <c r="BZ202" s="290" t="e">
        <f t="shared" si="446"/>
        <v>#DIV/0!</v>
      </c>
      <c r="CA202" s="292" t="e">
        <f t="shared" si="446"/>
        <v>#DIV/0!</v>
      </c>
      <c r="CB202" s="288"/>
      <c r="CC202" s="289" t="e">
        <f t="shared" ref="CC202:CI202" si="447">CC201/$G202</f>
        <v>#DIV/0!</v>
      </c>
      <c r="CD202" s="290" t="e">
        <f t="shared" si="447"/>
        <v>#DIV/0!</v>
      </c>
      <c r="CE202" s="290" t="e">
        <f t="shared" si="447"/>
        <v>#DIV/0!</v>
      </c>
      <c r="CF202" s="290" t="e">
        <f t="shared" si="447"/>
        <v>#DIV/0!</v>
      </c>
      <c r="CG202" s="291" t="e">
        <f t="shared" si="447"/>
        <v>#DIV/0!</v>
      </c>
      <c r="CH202" s="290" t="e">
        <f t="shared" si="447"/>
        <v>#DIV/0!</v>
      </c>
      <c r="CI202" s="292" t="e">
        <f t="shared" si="447"/>
        <v>#DIV/0!</v>
      </c>
      <c r="CJ202" s="288"/>
      <c r="CK202" s="289" t="e">
        <f t="shared" ref="CK202:CQ202" si="448">CK201/$G202</f>
        <v>#DIV/0!</v>
      </c>
      <c r="CL202" s="290" t="e">
        <f t="shared" si="448"/>
        <v>#DIV/0!</v>
      </c>
      <c r="CM202" s="290" t="e">
        <f t="shared" si="448"/>
        <v>#DIV/0!</v>
      </c>
      <c r="CN202" s="290" t="e">
        <f t="shared" si="448"/>
        <v>#DIV/0!</v>
      </c>
      <c r="CO202" s="291" t="e">
        <f t="shared" si="448"/>
        <v>#DIV/0!</v>
      </c>
      <c r="CP202" s="290" t="e">
        <f t="shared" si="448"/>
        <v>#DIV/0!</v>
      </c>
      <c r="CQ202" s="292" t="e">
        <f t="shared" si="448"/>
        <v>#DIV/0!</v>
      </c>
    </row>
    <row r="203" spans="1:95" ht="16.5" thickBot="1" x14ac:dyDescent="0.3">
      <c r="A203" s="544"/>
      <c r="B203" s="544"/>
      <c r="C203" s="544"/>
      <c r="H203" s="545"/>
      <c r="K203" s="545"/>
      <c r="N203" s="545"/>
      <c r="Q203" s="545"/>
    </row>
    <row r="204" spans="1:95" x14ac:dyDescent="0.25">
      <c r="A204" s="132" t="s">
        <v>7</v>
      </c>
      <c r="B204" s="167">
        <f>B200+1</f>
        <v>46013</v>
      </c>
      <c r="C204" s="173"/>
      <c r="D204" s="259"/>
      <c r="E204" s="168"/>
      <c r="F204" s="317"/>
      <c r="G204" s="253"/>
      <c r="H204" s="247">
        <f t="shared" si="428"/>
        <v>0</v>
      </c>
      <c r="I204" s="260"/>
      <c r="J204" s="168"/>
      <c r="K204" s="247">
        <f t="shared" si="429"/>
        <v>0</v>
      </c>
      <c r="L204" s="260"/>
      <c r="M204" s="168"/>
      <c r="N204" s="311">
        <f t="shared" si="430"/>
        <v>0</v>
      </c>
      <c r="O204" s="260"/>
      <c r="P204" s="259"/>
      <c r="Q204" s="311">
        <f t="shared" si="431"/>
        <v>0</v>
      </c>
      <c r="R204" s="260"/>
      <c r="S204" s="259"/>
      <c r="T204" s="261"/>
      <c r="U204" s="168"/>
      <c r="V204" s="260"/>
      <c r="W204" s="260"/>
      <c r="X204" s="262"/>
      <c r="Y204" s="168"/>
      <c r="Z204" s="261"/>
      <c r="AA204" s="168"/>
      <c r="AB204" s="168"/>
      <c r="AC204" s="262"/>
      <c r="AD204" s="261"/>
      <c r="AE204" s="259"/>
      <c r="AF204" s="260"/>
      <c r="AG204" s="259"/>
      <c r="AH204" s="168"/>
      <c r="AI204" s="168"/>
      <c r="AJ204" s="260"/>
      <c r="AK204" s="259"/>
      <c r="AL204" s="260"/>
      <c r="AM204" s="259"/>
      <c r="AN204" s="168"/>
      <c r="AO204" s="168"/>
      <c r="AP204" s="260"/>
      <c r="AQ204" s="259"/>
      <c r="AR204" s="168"/>
      <c r="AS204" s="168"/>
      <c r="AT204" s="168"/>
      <c r="AU204" s="262"/>
      <c r="AV204" s="168"/>
      <c r="AW204" s="261"/>
      <c r="AX204" s="168"/>
      <c r="AY204" s="168"/>
      <c r="AZ204" s="168"/>
      <c r="BA204" s="260"/>
      <c r="BB204" s="168"/>
      <c r="BC204" s="262"/>
      <c r="BD204" s="168"/>
      <c r="BE204" s="261"/>
      <c r="BF204" s="168"/>
      <c r="BG204" s="168"/>
      <c r="BH204" s="168"/>
      <c r="BI204" s="260"/>
      <c r="BJ204" s="168"/>
      <c r="BK204" s="262"/>
      <c r="BL204" s="168"/>
      <c r="BM204" s="261"/>
      <c r="BN204" s="168"/>
      <c r="BO204" s="168"/>
      <c r="BP204" s="168"/>
      <c r="BQ204" s="260"/>
      <c r="BR204" s="168"/>
      <c r="BS204" s="262"/>
      <c r="BT204" s="168"/>
      <c r="BU204" s="261"/>
      <c r="BV204" s="168"/>
      <c r="BW204" s="168"/>
      <c r="BX204" s="168"/>
      <c r="BY204" s="260"/>
      <c r="BZ204" s="168"/>
      <c r="CA204" s="262"/>
      <c r="CB204" s="168"/>
      <c r="CC204" s="261"/>
      <c r="CD204" s="168"/>
      <c r="CE204" s="168"/>
      <c r="CF204" s="168"/>
      <c r="CG204" s="260"/>
      <c r="CH204" s="168"/>
      <c r="CI204" s="262"/>
      <c r="CJ204" s="168"/>
      <c r="CK204" s="261"/>
      <c r="CL204" s="168"/>
      <c r="CM204" s="168"/>
      <c r="CN204" s="168"/>
      <c r="CO204" s="260"/>
      <c r="CP204" s="168"/>
      <c r="CQ204" s="262"/>
    </row>
    <row r="205" spans="1:95" x14ac:dyDescent="0.25">
      <c r="A205" s="132" t="s">
        <v>10</v>
      </c>
      <c r="B205" s="167">
        <f t="shared" si="432"/>
        <v>46014</v>
      </c>
      <c r="C205" s="173"/>
      <c r="D205" s="259"/>
      <c r="E205" s="168"/>
      <c r="F205" s="317"/>
      <c r="G205" s="260"/>
      <c r="H205" s="247">
        <f t="shared" si="428"/>
        <v>0</v>
      </c>
      <c r="I205" s="260"/>
      <c r="J205" s="168"/>
      <c r="K205" s="247">
        <f t="shared" si="429"/>
        <v>0</v>
      </c>
      <c r="L205" s="260"/>
      <c r="M205" s="168"/>
      <c r="N205" s="311">
        <f t="shared" si="430"/>
        <v>0</v>
      </c>
      <c r="O205" s="260"/>
      <c r="P205" s="259"/>
      <c r="Q205" s="311">
        <f t="shared" si="431"/>
        <v>0</v>
      </c>
      <c r="R205" s="260"/>
      <c r="S205" s="259"/>
      <c r="T205" s="261"/>
      <c r="U205" s="168"/>
      <c r="V205" s="260"/>
      <c r="W205" s="260"/>
      <c r="X205" s="262"/>
      <c r="Y205" s="168"/>
      <c r="Z205" s="261"/>
      <c r="AA205" s="168"/>
      <c r="AB205" s="168"/>
      <c r="AC205" s="262"/>
      <c r="AD205" s="261"/>
      <c r="AE205" s="259"/>
      <c r="AF205" s="260"/>
      <c r="AG205" s="259"/>
      <c r="AH205" s="168"/>
      <c r="AI205" s="168"/>
      <c r="AJ205" s="260"/>
      <c r="AK205" s="259"/>
      <c r="AL205" s="260"/>
      <c r="AM205" s="259"/>
      <c r="AN205" s="168"/>
      <c r="AO205" s="168"/>
      <c r="AP205" s="260"/>
      <c r="AQ205" s="259"/>
      <c r="AR205" s="168"/>
      <c r="AS205" s="168"/>
      <c r="AT205" s="168"/>
      <c r="AU205" s="262"/>
      <c r="AV205" s="168"/>
      <c r="AW205" s="261"/>
      <c r="AX205" s="168"/>
      <c r="AY205" s="168"/>
      <c r="AZ205" s="168"/>
      <c r="BA205" s="260"/>
      <c r="BB205" s="168"/>
      <c r="BC205" s="262"/>
      <c r="BD205" s="168"/>
      <c r="BE205" s="261"/>
      <c r="BF205" s="168"/>
      <c r="BG205" s="168"/>
      <c r="BH205" s="168"/>
      <c r="BI205" s="260"/>
      <c r="BJ205" s="168"/>
      <c r="BK205" s="262"/>
      <c r="BL205" s="168"/>
      <c r="BM205" s="261"/>
      <c r="BN205" s="168"/>
      <c r="BO205" s="168"/>
      <c r="BP205" s="168"/>
      <c r="BQ205" s="260"/>
      <c r="BR205" s="168"/>
      <c r="BS205" s="262"/>
      <c r="BT205" s="168"/>
      <c r="BU205" s="261"/>
      <c r="BV205" s="168"/>
      <c r="BW205" s="168"/>
      <c r="BX205" s="168"/>
      <c r="BY205" s="260"/>
      <c r="BZ205" s="168"/>
      <c r="CA205" s="262"/>
      <c r="CB205" s="168"/>
      <c r="CC205" s="261"/>
      <c r="CD205" s="168"/>
      <c r="CE205" s="168"/>
      <c r="CF205" s="168"/>
      <c r="CG205" s="260"/>
      <c r="CH205" s="168"/>
      <c r="CI205" s="262"/>
      <c r="CJ205" s="168"/>
      <c r="CK205" s="261"/>
      <c r="CL205" s="168"/>
      <c r="CM205" s="168"/>
      <c r="CN205" s="168"/>
      <c r="CO205" s="260"/>
      <c r="CP205" s="168"/>
      <c r="CQ205" s="262"/>
    </row>
    <row r="206" spans="1:95" ht="16.5" thickBot="1" x14ac:dyDescent="0.3">
      <c r="A206" s="132" t="s">
        <v>11</v>
      </c>
      <c r="B206" s="167">
        <f t="shared" si="432"/>
        <v>46015</v>
      </c>
      <c r="C206" s="173"/>
      <c r="D206" s="259"/>
      <c r="E206" s="168"/>
      <c r="F206" s="317"/>
      <c r="G206" s="260"/>
      <c r="H206" s="311">
        <f t="shared" si="428"/>
        <v>0</v>
      </c>
      <c r="I206" s="260"/>
      <c r="J206" s="168"/>
      <c r="K206" s="311">
        <f t="shared" si="429"/>
        <v>0</v>
      </c>
      <c r="L206" s="260"/>
      <c r="M206" s="168"/>
      <c r="N206" s="311">
        <f t="shared" si="430"/>
        <v>0</v>
      </c>
      <c r="O206" s="260"/>
      <c r="P206" s="259"/>
      <c r="Q206" s="311">
        <f t="shared" si="431"/>
        <v>0</v>
      </c>
      <c r="R206" s="260"/>
      <c r="S206" s="259"/>
      <c r="T206" s="261"/>
      <c r="U206" s="168"/>
      <c r="V206" s="260"/>
      <c r="W206" s="260"/>
      <c r="X206" s="262"/>
      <c r="Y206" s="168"/>
      <c r="Z206" s="264"/>
      <c r="AA206" s="238"/>
      <c r="AB206" s="238"/>
      <c r="AC206" s="265"/>
      <c r="AD206" s="264"/>
      <c r="AE206" s="263"/>
      <c r="AF206" s="237"/>
      <c r="AG206" s="263"/>
      <c r="AH206" s="238"/>
      <c r="AI206" s="238"/>
      <c r="AJ206" s="237"/>
      <c r="AK206" s="263"/>
      <c r="AL206" s="237"/>
      <c r="AM206" s="263"/>
      <c r="AN206" s="238"/>
      <c r="AO206" s="238"/>
      <c r="AP206" s="237"/>
      <c r="AQ206" s="263"/>
      <c r="AR206" s="238"/>
      <c r="AS206" s="238"/>
      <c r="AT206" s="238"/>
      <c r="AU206" s="265"/>
      <c r="AV206" s="168"/>
      <c r="AW206" s="264"/>
      <c r="AX206" s="238"/>
      <c r="AY206" s="238"/>
      <c r="AZ206" s="238"/>
      <c r="BA206" s="237"/>
      <c r="BB206" s="238"/>
      <c r="BC206" s="265"/>
      <c r="BD206" s="168"/>
      <c r="BE206" s="264"/>
      <c r="BF206" s="238"/>
      <c r="BG206" s="238"/>
      <c r="BH206" s="238"/>
      <c r="BI206" s="237"/>
      <c r="BJ206" s="238"/>
      <c r="BK206" s="265"/>
      <c r="BL206" s="168"/>
      <c r="BM206" s="264"/>
      <c r="BN206" s="238"/>
      <c r="BO206" s="238"/>
      <c r="BP206" s="238"/>
      <c r="BQ206" s="237"/>
      <c r="BR206" s="238"/>
      <c r="BS206" s="265"/>
      <c r="BT206" s="168"/>
      <c r="BU206" s="264"/>
      <c r="BV206" s="238"/>
      <c r="BW206" s="238"/>
      <c r="BX206" s="238"/>
      <c r="BY206" s="237"/>
      <c r="BZ206" s="238"/>
      <c r="CA206" s="265"/>
      <c r="CB206" s="168"/>
      <c r="CC206" s="264"/>
      <c r="CD206" s="238"/>
      <c r="CE206" s="238"/>
      <c r="CF206" s="238"/>
      <c r="CG206" s="237"/>
      <c r="CH206" s="238"/>
      <c r="CI206" s="265"/>
      <c r="CJ206" s="168"/>
      <c r="CK206" s="264"/>
      <c r="CL206" s="238"/>
      <c r="CM206" s="238"/>
      <c r="CN206" s="238"/>
      <c r="CO206" s="237"/>
      <c r="CP206" s="238"/>
      <c r="CQ206" s="265"/>
    </row>
    <row r="207" spans="1:95" ht="16.5" thickTop="1" x14ac:dyDescent="0.25">
      <c r="A207" s="132" t="s">
        <v>12</v>
      </c>
      <c r="B207" s="167">
        <f>B206+1</f>
        <v>46016</v>
      </c>
      <c r="C207" s="173"/>
      <c r="D207" s="259"/>
      <c r="E207" s="168"/>
      <c r="F207" s="317"/>
      <c r="G207" s="253"/>
      <c r="H207" s="247">
        <f t="shared" ref="H207:H210" si="449">SUM(I207:J207)</f>
        <v>0</v>
      </c>
      <c r="I207" s="260"/>
      <c r="J207" s="168"/>
      <c r="K207" s="247">
        <f t="shared" ref="K207:K210" si="450">SUM(L207:M207)</f>
        <v>0</v>
      </c>
      <c r="L207" s="260"/>
      <c r="M207" s="168"/>
      <c r="N207" s="311">
        <f t="shared" ref="N207:N210" si="451">SUM(O207:P207)</f>
        <v>0</v>
      </c>
      <c r="O207" s="260"/>
      <c r="P207" s="259"/>
      <c r="Q207" s="311">
        <f t="shared" ref="Q207:Q210" si="452">SUM(R207:S207)</f>
        <v>0</v>
      </c>
      <c r="R207" s="260"/>
      <c r="S207" s="259"/>
      <c r="T207" s="261"/>
      <c r="U207" s="168"/>
      <c r="V207" s="260"/>
      <c r="W207" s="260"/>
      <c r="X207" s="262"/>
      <c r="Y207" s="168"/>
      <c r="Z207" s="257"/>
      <c r="AA207" s="255"/>
      <c r="AB207" s="255"/>
      <c r="AC207" s="258"/>
      <c r="AD207" s="257"/>
      <c r="AE207" s="256"/>
      <c r="AF207" s="254"/>
      <c r="AG207" s="256"/>
      <c r="AH207" s="255"/>
      <c r="AI207" s="255"/>
      <c r="AJ207" s="254"/>
      <c r="AK207" s="256"/>
      <c r="AL207" s="254"/>
      <c r="AM207" s="256"/>
      <c r="AN207" s="255"/>
      <c r="AO207" s="255"/>
      <c r="AP207" s="254"/>
      <c r="AQ207" s="256"/>
      <c r="AR207" s="255"/>
      <c r="AS207" s="255"/>
      <c r="AT207" s="255"/>
      <c r="AU207" s="258"/>
      <c r="AV207" s="168"/>
      <c r="AW207" s="257"/>
      <c r="AX207" s="255"/>
      <c r="AY207" s="255"/>
      <c r="AZ207" s="255"/>
      <c r="BA207" s="254"/>
      <c r="BB207" s="255"/>
      <c r="BC207" s="258"/>
      <c r="BD207" s="168"/>
      <c r="BE207" s="257"/>
      <c r="BF207" s="255"/>
      <c r="BG207" s="255"/>
      <c r="BH207" s="255"/>
      <c r="BI207" s="254"/>
      <c r="BJ207" s="255"/>
      <c r="BK207" s="258"/>
      <c r="BL207" s="168"/>
      <c r="BM207" s="257"/>
      <c r="BN207" s="255"/>
      <c r="BO207" s="255"/>
      <c r="BP207" s="255"/>
      <c r="BQ207" s="254"/>
      <c r="BR207" s="255"/>
      <c r="BS207" s="258"/>
      <c r="BT207" s="168"/>
      <c r="BU207" s="257"/>
      <c r="BV207" s="255"/>
      <c r="BW207" s="255"/>
      <c r="BX207" s="255"/>
      <c r="BY207" s="254"/>
      <c r="BZ207" s="255"/>
      <c r="CA207" s="258"/>
      <c r="CB207" s="168"/>
      <c r="CC207" s="257"/>
      <c r="CD207" s="255"/>
      <c r="CE207" s="255"/>
      <c r="CF207" s="255"/>
      <c r="CG207" s="254"/>
      <c r="CH207" s="255"/>
      <c r="CI207" s="258"/>
      <c r="CJ207" s="168"/>
      <c r="CK207" s="257"/>
      <c r="CL207" s="255"/>
      <c r="CM207" s="255"/>
      <c r="CN207" s="255"/>
      <c r="CO207" s="254"/>
      <c r="CP207" s="255"/>
      <c r="CQ207" s="258"/>
    </row>
    <row r="208" spans="1:95" x14ac:dyDescent="0.25">
      <c r="A208" s="132" t="s">
        <v>13</v>
      </c>
      <c r="B208" s="167">
        <f t="shared" ref="B208:B210" si="453">B207+1</f>
        <v>46017</v>
      </c>
      <c r="C208" s="173"/>
      <c r="D208" s="259"/>
      <c r="E208" s="168"/>
      <c r="F208" s="317"/>
      <c r="G208" s="253"/>
      <c r="H208" s="247">
        <f t="shared" si="449"/>
        <v>0</v>
      </c>
      <c r="I208" s="260"/>
      <c r="J208" s="168"/>
      <c r="K208" s="247">
        <f t="shared" si="450"/>
        <v>0</v>
      </c>
      <c r="L208" s="260"/>
      <c r="M208" s="168"/>
      <c r="N208" s="311">
        <f t="shared" si="451"/>
        <v>0</v>
      </c>
      <c r="O208" s="260"/>
      <c r="P208" s="259"/>
      <c r="Q208" s="311">
        <f t="shared" si="452"/>
        <v>0</v>
      </c>
      <c r="R208" s="260"/>
      <c r="S208" s="259"/>
      <c r="T208" s="261"/>
      <c r="U208" s="168"/>
      <c r="V208" s="260"/>
      <c r="W208" s="260"/>
      <c r="X208" s="262"/>
      <c r="Y208" s="168"/>
      <c r="Z208" s="261"/>
      <c r="AA208" s="168"/>
      <c r="AB208" s="168"/>
      <c r="AC208" s="262"/>
      <c r="AD208" s="261"/>
      <c r="AE208" s="259"/>
      <c r="AF208" s="260"/>
      <c r="AG208" s="259"/>
      <c r="AH208" s="168"/>
      <c r="AI208" s="168"/>
      <c r="AJ208" s="260"/>
      <c r="AK208" s="259"/>
      <c r="AL208" s="260"/>
      <c r="AM208" s="259"/>
      <c r="AN208" s="168"/>
      <c r="AO208" s="168"/>
      <c r="AP208" s="260"/>
      <c r="AQ208" s="259"/>
      <c r="AR208" s="168"/>
      <c r="AS208" s="168"/>
      <c r="AT208" s="168"/>
      <c r="AU208" s="262"/>
      <c r="AV208" s="168"/>
      <c r="AW208" s="261"/>
      <c r="AX208" s="168"/>
      <c r="AY208" s="168"/>
      <c r="AZ208" s="168"/>
      <c r="BA208" s="260"/>
      <c r="BB208" s="168"/>
      <c r="BC208" s="262"/>
      <c r="BD208" s="168"/>
      <c r="BE208" s="261"/>
      <c r="BF208" s="168"/>
      <c r="BG208" s="168"/>
      <c r="BH208" s="168"/>
      <c r="BI208" s="260"/>
      <c r="BJ208" s="168"/>
      <c r="BK208" s="262"/>
      <c r="BL208" s="168"/>
      <c r="BM208" s="261"/>
      <c r="BN208" s="168"/>
      <c r="BO208" s="168"/>
      <c r="BP208" s="168"/>
      <c r="BQ208" s="260"/>
      <c r="BR208" s="168"/>
      <c r="BS208" s="262"/>
      <c r="BT208" s="168"/>
      <c r="BU208" s="261"/>
      <c r="BV208" s="168"/>
      <c r="BW208" s="168"/>
      <c r="BX208" s="168"/>
      <c r="BY208" s="260"/>
      <c r="BZ208" s="168"/>
      <c r="CA208" s="262"/>
      <c r="CB208" s="168"/>
      <c r="CC208" s="261"/>
      <c r="CD208" s="168"/>
      <c r="CE208" s="168"/>
      <c r="CF208" s="168"/>
      <c r="CG208" s="260"/>
      <c r="CH208" s="168"/>
      <c r="CI208" s="262"/>
      <c r="CJ208" s="168"/>
      <c r="CK208" s="261"/>
      <c r="CL208" s="168"/>
      <c r="CM208" s="168"/>
      <c r="CN208" s="168"/>
      <c r="CO208" s="260"/>
      <c r="CP208" s="168"/>
      <c r="CQ208" s="262"/>
    </row>
    <row r="209" spans="1:95" x14ac:dyDescent="0.25">
      <c r="A209" s="132" t="s">
        <v>14</v>
      </c>
      <c r="B209" s="167">
        <f t="shared" si="453"/>
        <v>46018</v>
      </c>
      <c r="C209" s="173"/>
      <c r="D209" s="259"/>
      <c r="E209" s="168"/>
      <c r="F209" s="317"/>
      <c r="G209" s="253"/>
      <c r="H209" s="247">
        <f t="shared" si="449"/>
        <v>0</v>
      </c>
      <c r="I209" s="260"/>
      <c r="J209" s="168"/>
      <c r="K209" s="247">
        <f t="shared" si="450"/>
        <v>0</v>
      </c>
      <c r="L209" s="260"/>
      <c r="M209" s="168"/>
      <c r="N209" s="311">
        <f t="shared" si="451"/>
        <v>0</v>
      </c>
      <c r="O209" s="260"/>
      <c r="P209" s="259"/>
      <c r="Q209" s="311">
        <f t="shared" si="452"/>
        <v>0</v>
      </c>
      <c r="R209" s="260"/>
      <c r="S209" s="259"/>
      <c r="T209" s="261"/>
      <c r="U209" s="168"/>
      <c r="V209" s="260"/>
      <c r="W209" s="260"/>
      <c r="X209" s="262"/>
      <c r="Y209" s="168"/>
      <c r="Z209" s="261"/>
      <c r="AA209" s="168"/>
      <c r="AB209" s="168"/>
      <c r="AC209" s="262"/>
      <c r="AD209" s="261"/>
      <c r="AE209" s="259"/>
      <c r="AF209" s="260"/>
      <c r="AG209" s="259"/>
      <c r="AH209" s="168"/>
      <c r="AI209" s="168"/>
      <c r="AJ209" s="260"/>
      <c r="AK209" s="259"/>
      <c r="AL209" s="260"/>
      <c r="AM209" s="259"/>
      <c r="AN209" s="168"/>
      <c r="AO209" s="168"/>
      <c r="AP209" s="260"/>
      <c r="AQ209" s="259"/>
      <c r="AR209" s="168"/>
      <c r="AS209" s="168"/>
      <c r="AT209" s="168"/>
      <c r="AU209" s="262"/>
      <c r="AV209" s="168"/>
      <c r="AW209" s="261"/>
      <c r="AX209" s="168"/>
      <c r="AY209" s="168"/>
      <c r="AZ209" s="168"/>
      <c r="BA209" s="260"/>
      <c r="BB209" s="168"/>
      <c r="BC209" s="262"/>
      <c r="BD209" s="168"/>
      <c r="BE209" s="261"/>
      <c r="BF209" s="168"/>
      <c r="BG209" s="168"/>
      <c r="BH209" s="168"/>
      <c r="BI209" s="260"/>
      <c r="BJ209" s="168"/>
      <c r="BK209" s="262"/>
      <c r="BL209" s="168"/>
      <c r="BM209" s="261"/>
      <c r="BN209" s="168"/>
      <c r="BO209" s="168"/>
      <c r="BP209" s="168"/>
      <c r="BQ209" s="260"/>
      <c r="BR209" s="168"/>
      <c r="BS209" s="262"/>
      <c r="BT209" s="168"/>
      <c r="BU209" s="261"/>
      <c r="BV209" s="168"/>
      <c r="BW209" s="168"/>
      <c r="BX209" s="168"/>
      <c r="BY209" s="260"/>
      <c r="BZ209" s="168"/>
      <c r="CA209" s="262"/>
      <c r="CB209" s="168"/>
      <c r="CC209" s="261"/>
      <c r="CD209" s="168"/>
      <c r="CE209" s="168"/>
      <c r="CF209" s="168"/>
      <c r="CG209" s="260"/>
      <c r="CH209" s="168"/>
      <c r="CI209" s="262"/>
      <c r="CJ209" s="168"/>
      <c r="CK209" s="261"/>
      <c r="CL209" s="168"/>
      <c r="CM209" s="168"/>
      <c r="CN209" s="168"/>
      <c r="CO209" s="260"/>
      <c r="CP209" s="168"/>
      <c r="CQ209" s="262"/>
    </row>
    <row r="210" spans="1:95" ht="16.5" thickBot="1" x14ac:dyDescent="0.3">
      <c r="A210" s="132" t="s">
        <v>12</v>
      </c>
      <c r="B210" s="167">
        <f t="shared" si="453"/>
        <v>46019</v>
      </c>
      <c r="C210" s="173"/>
      <c r="D210" s="259"/>
      <c r="E210" s="168"/>
      <c r="F210" s="317"/>
      <c r="G210" s="253"/>
      <c r="H210" s="247">
        <f t="shared" si="449"/>
        <v>0</v>
      </c>
      <c r="I210" s="260"/>
      <c r="J210" s="168"/>
      <c r="K210" s="247">
        <f t="shared" si="450"/>
        <v>0</v>
      </c>
      <c r="L210" s="260"/>
      <c r="M210" s="168"/>
      <c r="N210" s="311">
        <f t="shared" si="451"/>
        <v>0</v>
      </c>
      <c r="O210" s="260"/>
      <c r="P210" s="259"/>
      <c r="Q210" s="311">
        <f t="shared" si="452"/>
        <v>0</v>
      </c>
      <c r="R210" s="260"/>
      <c r="S210" s="259"/>
      <c r="T210" s="261"/>
      <c r="U210" s="168"/>
      <c r="V210" s="260"/>
      <c r="W210" s="260"/>
      <c r="X210" s="262"/>
      <c r="Y210" s="168"/>
      <c r="Z210" s="261"/>
      <c r="AA210" s="168"/>
      <c r="AB210" s="168"/>
      <c r="AC210" s="262"/>
      <c r="AD210" s="261"/>
      <c r="AE210" s="259"/>
      <c r="AF210" s="260"/>
      <c r="AG210" s="259"/>
      <c r="AH210" s="168"/>
      <c r="AI210" s="168"/>
      <c r="AJ210" s="260"/>
      <c r="AK210" s="259"/>
      <c r="AL210" s="260"/>
      <c r="AM210" s="259"/>
      <c r="AN210" s="168"/>
      <c r="AO210" s="168"/>
      <c r="AP210" s="260"/>
      <c r="AQ210" s="259"/>
      <c r="AR210" s="168"/>
      <c r="AS210" s="168"/>
      <c r="AT210" s="168"/>
      <c r="AU210" s="262"/>
      <c r="AV210" s="168"/>
      <c r="AW210" s="261"/>
      <c r="AX210" s="168"/>
      <c r="AY210" s="168"/>
      <c r="AZ210" s="168"/>
      <c r="BA210" s="260"/>
      <c r="BB210" s="168"/>
      <c r="BC210" s="262"/>
      <c r="BD210" s="168"/>
      <c r="BE210" s="261"/>
      <c r="BF210" s="168"/>
      <c r="BG210" s="168"/>
      <c r="BH210" s="168"/>
      <c r="BI210" s="260"/>
      <c r="BJ210" s="168"/>
      <c r="BK210" s="262"/>
      <c r="BL210" s="168"/>
      <c r="BM210" s="261"/>
      <c r="BN210" s="168"/>
      <c r="BO210" s="168"/>
      <c r="BP210" s="168"/>
      <c r="BQ210" s="260"/>
      <c r="BR210" s="168"/>
      <c r="BS210" s="262"/>
      <c r="BT210" s="168"/>
      <c r="BU210" s="261"/>
      <c r="BV210" s="168"/>
      <c r="BW210" s="168"/>
      <c r="BX210" s="168"/>
      <c r="BY210" s="260"/>
      <c r="BZ210" s="168"/>
      <c r="CA210" s="262"/>
      <c r="CB210" s="168"/>
      <c r="CC210" s="261"/>
      <c r="CD210" s="168"/>
      <c r="CE210" s="168"/>
      <c r="CF210" s="168"/>
      <c r="CG210" s="260"/>
      <c r="CH210" s="168"/>
      <c r="CI210" s="262"/>
      <c r="CJ210" s="168"/>
      <c r="CK210" s="261"/>
      <c r="CL210" s="168"/>
      <c r="CM210" s="168"/>
      <c r="CN210" s="168"/>
      <c r="CO210" s="260"/>
      <c r="CP210" s="168"/>
      <c r="CQ210" s="262"/>
    </row>
    <row r="211" spans="1:95" ht="16.5" thickTop="1" x14ac:dyDescent="0.25">
      <c r="A211" s="298" t="s">
        <v>106</v>
      </c>
      <c r="B211" s="274"/>
      <c r="C211" s="293"/>
      <c r="D211" s="294"/>
      <c r="E211" s="315"/>
      <c r="F211" s="315"/>
      <c r="G211" s="295"/>
      <c r="H211" s="296">
        <f t="shared" ref="H211:X211" si="454">SUM(H204:H210)</f>
        <v>0</v>
      </c>
      <c r="I211" s="284">
        <f t="shared" si="454"/>
        <v>0</v>
      </c>
      <c r="J211" s="283">
        <f t="shared" si="454"/>
        <v>0</v>
      </c>
      <c r="K211" s="296">
        <f t="shared" si="454"/>
        <v>0</v>
      </c>
      <c r="L211" s="284">
        <f t="shared" si="454"/>
        <v>0</v>
      </c>
      <c r="M211" s="283">
        <f t="shared" si="454"/>
        <v>0</v>
      </c>
      <c r="N211" s="296">
        <f t="shared" si="454"/>
        <v>0</v>
      </c>
      <c r="O211" s="284">
        <f t="shared" si="454"/>
        <v>0</v>
      </c>
      <c r="P211" s="285">
        <f t="shared" si="454"/>
        <v>0</v>
      </c>
      <c r="Q211" s="296">
        <f t="shared" si="454"/>
        <v>0</v>
      </c>
      <c r="R211" s="284">
        <f t="shared" si="454"/>
        <v>0</v>
      </c>
      <c r="S211" s="285">
        <f t="shared" si="454"/>
        <v>0</v>
      </c>
      <c r="T211" s="282">
        <f t="shared" si="454"/>
        <v>0</v>
      </c>
      <c r="U211" s="283">
        <f t="shared" si="454"/>
        <v>0</v>
      </c>
      <c r="V211" s="284">
        <f t="shared" si="454"/>
        <v>0</v>
      </c>
      <c r="W211" s="284">
        <f t="shared" si="454"/>
        <v>0</v>
      </c>
      <c r="X211" s="285">
        <f t="shared" si="454"/>
        <v>0</v>
      </c>
      <c r="Y211" s="173"/>
      <c r="Z211" s="282">
        <f>SUM(Z204:Z210)</f>
        <v>0</v>
      </c>
      <c r="AA211" s="283">
        <f>SUM(AA204:AA210)</f>
        <v>0</v>
      </c>
      <c r="AB211" s="283">
        <f>SUM(AB204:AB210)</f>
        <v>0</v>
      </c>
      <c r="AC211" s="285">
        <f>SUM(AC204:AC210)</f>
        <v>0</v>
      </c>
      <c r="AD211" s="282">
        <f t="shared" ref="AD211:AU211" si="455">SUM(AD204:AD210)</f>
        <v>0</v>
      </c>
      <c r="AE211" s="297">
        <f t="shared" si="455"/>
        <v>0</v>
      </c>
      <c r="AF211" s="284">
        <f t="shared" si="455"/>
        <v>0</v>
      </c>
      <c r="AG211" s="297">
        <f t="shared" si="455"/>
        <v>0</v>
      </c>
      <c r="AH211" s="283">
        <f t="shared" si="455"/>
        <v>0</v>
      </c>
      <c r="AI211" s="283">
        <f t="shared" si="455"/>
        <v>0</v>
      </c>
      <c r="AJ211" s="284">
        <f t="shared" si="455"/>
        <v>0</v>
      </c>
      <c r="AK211" s="297">
        <f t="shared" si="455"/>
        <v>0</v>
      </c>
      <c r="AL211" s="284">
        <f t="shared" si="455"/>
        <v>0</v>
      </c>
      <c r="AM211" s="297">
        <f t="shared" si="455"/>
        <v>0</v>
      </c>
      <c r="AN211" s="276">
        <f t="shared" si="455"/>
        <v>0</v>
      </c>
      <c r="AO211" s="275">
        <f t="shared" si="455"/>
        <v>0</v>
      </c>
      <c r="AP211" s="276">
        <f t="shared" si="455"/>
        <v>0</v>
      </c>
      <c r="AQ211" s="275">
        <f t="shared" si="455"/>
        <v>0</v>
      </c>
      <c r="AR211" s="278">
        <f t="shared" si="455"/>
        <v>0</v>
      </c>
      <c r="AS211" s="277">
        <f t="shared" si="455"/>
        <v>0</v>
      </c>
      <c r="AT211" s="283">
        <f t="shared" si="455"/>
        <v>0</v>
      </c>
      <c r="AU211" s="285">
        <f t="shared" si="455"/>
        <v>0</v>
      </c>
      <c r="AV211" s="173"/>
      <c r="AW211" s="282">
        <f t="shared" ref="AW211:BC211" si="456">SUM(AW204:AW210)</f>
        <v>0</v>
      </c>
      <c r="AX211" s="283">
        <f t="shared" si="456"/>
        <v>0</v>
      </c>
      <c r="AY211" s="283">
        <f t="shared" si="456"/>
        <v>0</v>
      </c>
      <c r="AZ211" s="283">
        <f t="shared" si="456"/>
        <v>0</v>
      </c>
      <c r="BA211" s="284">
        <f t="shared" si="456"/>
        <v>0</v>
      </c>
      <c r="BB211" s="283">
        <f t="shared" si="456"/>
        <v>0</v>
      </c>
      <c r="BC211" s="285">
        <f t="shared" si="456"/>
        <v>0</v>
      </c>
      <c r="BD211" s="173"/>
      <c r="BE211" s="282">
        <f t="shared" ref="BE211:BK211" si="457">SUM(BE204:BE210)</f>
        <v>0</v>
      </c>
      <c r="BF211" s="283">
        <f t="shared" si="457"/>
        <v>0</v>
      </c>
      <c r="BG211" s="283">
        <f t="shared" si="457"/>
        <v>0</v>
      </c>
      <c r="BH211" s="283">
        <f t="shared" si="457"/>
        <v>0</v>
      </c>
      <c r="BI211" s="284">
        <f t="shared" si="457"/>
        <v>0</v>
      </c>
      <c r="BJ211" s="283">
        <f t="shared" si="457"/>
        <v>0</v>
      </c>
      <c r="BK211" s="285">
        <f t="shared" si="457"/>
        <v>0</v>
      </c>
      <c r="BL211" s="173"/>
      <c r="BM211" s="282">
        <f t="shared" ref="BM211:BS211" si="458">SUM(BM204:BM210)</f>
        <v>0</v>
      </c>
      <c r="BN211" s="283">
        <f t="shared" si="458"/>
        <v>0</v>
      </c>
      <c r="BO211" s="283">
        <f t="shared" si="458"/>
        <v>0</v>
      </c>
      <c r="BP211" s="283">
        <f t="shared" si="458"/>
        <v>0</v>
      </c>
      <c r="BQ211" s="284">
        <f t="shared" si="458"/>
        <v>0</v>
      </c>
      <c r="BR211" s="283">
        <f t="shared" si="458"/>
        <v>0</v>
      </c>
      <c r="BS211" s="285">
        <f t="shared" si="458"/>
        <v>0</v>
      </c>
      <c r="BT211" s="173"/>
      <c r="BU211" s="282">
        <f t="shared" ref="BU211:CA211" si="459">SUM(BU204:BU210)</f>
        <v>0</v>
      </c>
      <c r="BV211" s="283">
        <f t="shared" si="459"/>
        <v>0</v>
      </c>
      <c r="BW211" s="283">
        <f t="shared" si="459"/>
        <v>0</v>
      </c>
      <c r="BX211" s="283">
        <f t="shared" si="459"/>
        <v>0</v>
      </c>
      <c r="BY211" s="284">
        <f t="shared" si="459"/>
        <v>0</v>
      </c>
      <c r="BZ211" s="283">
        <f t="shared" si="459"/>
        <v>0</v>
      </c>
      <c r="CA211" s="285">
        <f t="shared" si="459"/>
        <v>0</v>
      </c>
      <c r="CB211" s="173"/>
      <c r="CC211" s="282">
        <f t="shared" ref="CC211:CI211" si="460">SUM(CC204:CC210)</f>
        <v>0</v>
      </c>
      <c r="CD211" s="283">
        <f t="shared" si="460"/>
        <v>0</v>
      </c>
      <c r="CE211" s="283">
        <f t="shared" si="460"/>
        <v>0</v>
      </c>
      <c r="CF211" s="283">
        <f t="shared" si="460"/>
        <v>0</v>
      </c>
      <c r="CG211" s="284">
        <f t="shared" si="460"/>
        <v>0</v>
      </c>
      <c r="CH211" s="283">
        <f t="shared" si="460"/>
        <v>0</v>
      </c>
      <c r="CI211" s="285">
        <f t="shared" si="460"/>
        <v>0</v>
      </c>
      <c r="CJ211" s="173"/>
      <c r="CK211" s="282">
        <f t="shared" ref="CK211:CQ211" si="461">SUM(CK204:CK210)</f>
        <v>0</v>
      </c>
      <c r="CL211" s="283">
        <f t="shared" si="461"/>
        <v>0</v>
      </c>
      <c r="CM211" s="283">
        <f t="shared" si="461"/>
        <v>0</v>
      </c>
      <c r="CN211" s="283">
        <f t="shared" si="461"/>
        <v>0</v>
      </c>
      <c r="CO211" s="284">
        <f t="shared" si="461"/>
        <v>0</v>
      </c>
      <c r="CP211" s="283">
        <f t="shared" si="461"/>
        <v>0</v>
      </c>
      <c r="CQ211" s="285">
        <f t="shared" si="461"/>
        <v>0</v>
      </c>
    </row>
    <row r="212" spans="1:95" ht="16.5" thickBot="1" x14ac:dyDescent="0.3">
      <c r="A212" s="541" t="s">
        <v>105</v>
      </c>
      <c r="B212" s="542"/>
      <c r="C212" s="543">
        <f>SUM(C204:C210)</f>
        <v>0</v>
      </c>
      <c r="D212" s="307">
        <f>SUM(D204:D210)</f>
        <v>0</v>
      </c>
      <c r="E212" s="306">
        <f>SUM(E204:E210)</f>
        <v>0</v>
      </c>
      <c r="F212" s="307">
        <f>SUM(F204:F210)</f>
        <v>0</v>
      </c>
      <c r="G212" s="268" t="e">
        <f>D212/C212</f>
        <v>#DIV/0!</v>
      </c>
      <c r="H212" s="279" t="e">
        <f t="shared" ref="H212:X212" si="462">H211/$G212</f>
        <v>#DIV/0!</v>
      </c>
      <c r="I212" s="241" t="e">
        <f t="shared" si="462"/>
        <v>#DIV/0!</v>
      </c>
      <c r="J212" s="239" t="e">
        <f t="shared" si="462"/>
        <v>#DIV/0!</v>
      </c>
      <c r="K212" s="279" t="e">
        <f t="shared" si="462"/>
        <v>#DIV/0!</v>
      </c>
      <c r="L212" s="241" t="e">
        <f t="shared" si="462"/>
        <v>#DIV/0!</v>
      </c>
      <c r="M212" s="239" t="e">
        <f t="shared" si="462"/>
        <v>#DIV/0!</v>
      </c>
      <c r="N212" s="279" t="e">
        <f t="shared" si="462"/>
        <v>#DIV/0!</v>
      </c>
      <c r="O212" s="241" t="e">
        <f t="shared" si="462"/>
        <v>#DIV/0!</v>
      </c>
      <c r="P212" s="270" t="e">
        <f t="shared" si="462"/>
        <v>#DIV/0!</v>
      </c>
      <c r="Q212" s="279" t="e">
        <f t="shared" si="462"/>
        <v>#DIV/0!</v>
      </c>
      <c r="R212" s="241" t="e">
        <f t="shared" si="462"/>
        <v>#DIV/0!</v>
      </c>
      <c r="S212" s="270" t="e">
        <f t="shared" si="462"/>
        <v>#DIV/0!</v>
      </c>
      <c r="T212" s="269" t="e">
        <f t="shared" si="462"/>
        <v>#DIV/0!</v>
      </c>
      <c r="U212" s="239" t="e">
        <f t="shared" si="462"/>
        <v>#DIV/0!</v>
      </c>
      <c r="V212" s="241" t="e">
        <f t="shared" si="462"/>
        <v>#DIV/0!</v>
      </c>
      <c r="W212" s="241" t="e">
        <f t="shared" si="462"/>
        <v>#DIV/0!</v>
      </c>
      <c r="X212" s="270" t="e">
        <f t="shared" si="462"/>
        <v>#DIV/0!</v>
      </c>
      <c r="Y212" s="173"/>
      <c r="Z212" s="289" t="e">
        <f>Z211/$G212</f>
        <v>#DIV/0!</v>
      </c>
      <c r="AA212" s="290" t="e">
        <f t="shared" ref="AA212:AU212" si="463">AA211/$G212</f>
        <v>#DIV/0!</v>
      </c>
      <c r="AB212" s="290" t="e">
        <f t="shared" si="463"/>
        <v>#DIV/0!</v>
      </c>
      <c r="AC212" s="292" t="e">
        <f t="shared" si="463"/>
        <v>#DIV/0!</v>
      </c>
      <c r="AD212" s="289" t="e">
        <f t="shared" si="463"/>
        <v>#DIV/0!</v>
      </c>
      <c r="AE212" s="324" t="e">
        <f t="shared" si="463"/>
        <v>#DIV/0!</v>
      </c>
      <c r="AF212" s="291" t="e">
        <f t="shared" si="463"/>
        <v>#DIV/0!</v>
      </c>
      <c r="AG212" s="324" t="e">
        <f t="shared" si="463"/>
        <v>#DIV/0!</v>
      </c>
      <c r="AH212" s="290" t="e">
        <f t="shared" si="463"/>
        <v>#DIV/0!</v>
      </c>
      <c r="AI212" s="290" t="e">
        <f t="shared" si="463"/>
        <v>#DIV/0!</v>
      </c>
      <c r="AJ212" s="291" t="e">
        <f t="shared" si="463"/>
        <v>#DIV/0!</v>
      </c>
      <c r="AK212" s="324" t="e">
        <f t="shared" si="463"/>
        <v>#DIV/0!</v>
      </c>
      <c r="AL212" s="291" t="e">
        <f t="shared" si="463"/>
        <v>#DIV/0!</v>
      </c>
      <c r="AM212" s="324" t="e">
        <f t="shared" si="463"/>
        <v>#DIV/0!</v>
      </c>
      <c r="AN212" s="325" t="e">
        <f t="shared" si="463"/>
        <v>#DIV/0!</v>
      </c>
      <c r="AO212" s="326" t="e">
        <f t="shared" si="463"/>
        <v>#DIV/0!</v>
      </c>
      <c r="AP212" s="325" t="e">
        <f t="shared" si="463"/>
        <v>#DIV/0!</v>
      </c>
      <c r="AQ212" s="326" t="e">
        <f t="shared" si="463"/>
        <v>#DIV/0!</v>
      </c>
      <c r="AR212" s="287" t="e">
        <f t="shared" si="463"/>
        <v>#DIV/0!</v>
      </c>
      <c r="AS212" s="286" t="e">
        <f t="shared" si="463"/>
        <v>#DIV/0!</v>
      </c>
      <c r="AT212" s="290" t="e">
        <f t="shared" si="463"/>
        <v>#DIV/0!</v>
      </c>
      <c r="AU212" s="292" t="e">
        <f t="shared" si="463"/>
        <v>#DIV/0!</v>
      </c>
      <c r="AV212" s="288"/>
      <c r="AW212" s="289" t="e">
        <f t="shared" ref="AW212:BC212" si="464">AW211/$G212</f>
        <v>#DIV/0!</v>
      </c>
      <c r="AX212" s="290" t="e">
        <f t="shared" si="464"/>
        <v>#DIV/0!</v>
      </c>
      <c r="AY212" s="290" t="e">
        <f t="shared" si="464"/>
        <v>#DIV/0!</v>
      </c>
      <c r="AZ212" s="290" t="e">
        <f t="shared" si="464"/>
        <v>#DIV/0!</v>
      </c>
      <c r="BA212" s="291" t="e">
        <f t="shared" si="464"/>
        <v>#DIV/0!</v>
      </c>
      <c r="BB212" s="290" t="e">
        <f t="shared" si="464"/>
        <v>#DIV/0!</v>
      </c>
      <c r="BC212" s="292" t="e">
        <f t="shared" si="464"/>
        <v>#DIV/0!</v>
      </c>
      <c r="BD212" s="288"/>
      <c r="BE212" s="289" t="e">
        <f t="shared" ref="BE212:BK212" si="465">BE211/$G212</f>
        <v>#DIV/0!</v>
      </c>
      <c r="BF212" s="290" t="e">
        <f t="shared" si="465"/>
        <v>#DIV/0!</v>
      </c>
      <c r="BG212" s="290" t="e">
        <f t="shared" si="465"/>
        <v>#DIV/0!</v>
      </c>
      <c r="BH212" s="290" t="e">
        <f t="shared" si="465"/>
        <v>#DIV/0!</v>
      </c>
      <c r="BI212" s="291" t="e">
        <f t="shared" si="465"/>
        <v>#DIV/0!</v>
      </c>
      <c r="BJ212" s="290" t="e">
        <f t="shared" si="465"/>
        <v>#DIV/0!</v>
      </c>
      <c r="BK212" s="292" t="e">
        <f t="shared" si="465"/>
        <v>#DIV/0!</v>
      </c>
      <c r="BL212" s="288"/>
      <c r="BM212" s="289" t="e">
        <f t="shared" ref="BM212:BS212" si="466">BM211/$G212</f>
        <v>#DIV/0!</v>
      </c>
      <c r="BN212" s="290" t="e">
        <f t="shared" si="466"/>
        <v>#DIV/0!</v>
      </c>
      <c r="BO212" s="290" t="e">
        <f t="shared" si="466"/>
        <v>#DIV/0!</v>
      </c>
      <c r="BP212" s="290" t="e">
        <f t="shared" si="466"/>
        <v>#DIV/0!</v>
      </c>
      <c r="BQ212" s="291" t="e">
        <f t="shared" si="466"/>
        <v>#DIV/0!</v>
      </c>
      <c r="BR212" s="290" t="e">
        <f t="shared" si="466"/>
        <v>#DIV/0!</v>
      </c>
      <c r="BS212" s="292" t="e">
        <f t="shared" si="466"/>
        <v>#DIV/0!</v>
      </c>
      <c r="BT212" s="288"/>
      <c r="BU212" s="289" t="e">
        <f t="shared" ref="BU212:CA212" si="467">BU211/$G212</f>
        <v>#DIV/0!</v>
      </c>
      <c r="BV212" s="290" t="e">
        <f t="shared" si="467"/>
        <v>#DIV/0!</v>
      </c>
      <c r="BW212" s="290" t="e">
        <f t="shared" si="467"/>
        <v>#DIV/0!</v>
      </c>
      <c r="BX212" s="290" t="e">
        <f t="shared" si="467"/>
        <v>#DIV/0!</v>
      </c>
      <c r="BY212" s="291" t="e">
        <f t="shared" si="467"/>
        <v>#DIV/0!</v>
      </c>
      <c r="BZ212" s="290" t="e">
        <f t="shared" si="467"/>
        <v>#DIV/0!</v>
      </c>
      <c r="CA212" s="292" t="e">
        <f t="shared" si="467"/>
        <v>#DIV/0!</v>
      </c>
      <c r="CB212" s="288"/>
      <c r="CC212" s="289" t="e">
        <f t="shared" ref="CC212:CI212" si="468">CC211/$G212</f>
        <v>#DIV/0!</v>
      </c>
      <c r="CD212" s="290" t="e">
        <f t="shared" si="468"/>
        <v>#DIV/0!</v>
      </c>
      <c r="CE212" s="290" t="e">
        <f t="shared" si="468"/>
        <v>#DIV/0!</v>
      </c>
      <c r="CF212" s="290" t="e">
        <f t="shared" si="468"/>
        <v>#DIV/0!</v>
      </c>
      <c r="CG212" s="291" t="e">
        <f t="shared" si="468"/>
        <v>#DIV/0!</v>
      </c>
      <c r="CH212" s="290" t="e">
        <f t="shared" si="468"/>
        <v>#DIV/0!</v>
      </c>
      <c r="CI212" s="292" t="e">
        <f t="shared" si="468"/>
        <v>#DIV/0!</v>
      </c>
      <c r="CJ212" s="288"/>
      <c r="CK212" s="289" t="e">
        <f t="shared" ref="CK212:CQ212" si="469">CK211/$G212</f>
        <v>#DIV/0!</v>
      </c>
      <c r="CL212" s="290" t="e">
        <f t="shared" si="469"/>
        <v>#DIV/0!</v>
      </c>
      <c r="CM212" s="290" t="e">
        <f t="shared" si="469"/>
        <v>#DIV/0!</v>
      </c>
      <c r="CN212" s="290" t="e">
        <f t="shared" si="469"/>
        <v>#DIV/0!</v>
      </c>
      <c r="CO212" s="291" t="e">
        <f t="shared" si="469"/>
        <v>#DIV/0!</v>
      </c>
      <c r="CP212" s="290" t="e">
        <f t="shared" si="469"/>
        <v>#DIV/0!</v>
      </c>
      <c r="CQ212" s="292" t="e">
        <f t="shared" si="469"/>
        <v>#DIV/0!</v>
      </c>
    </row>
    <row r="213" spans="1:95" ht="16.5" thickBot="1" x14ac:dyDescent="0.3">
      <c r="A213" s="544"/>
      <c r="B213" s="544"/>
      <c r="C213" s="544"/>
      <c r="H213" s="545"/>
      <c r="K213" s="545"/>
      <c r="N213" s="545"/>
      <c r="Q213" s="545"/>
    </row>
  </sheetData>
  <mergeCells count="45">
    <mergeCell ref="BU11:CA11"/>
    <mergeCell ref="CC11:CI11"/>
    <mergeCell ref="BU12:BX12"/>
    <mergeCell ref="BY12:CA12"/>
    <mergeCell ref="BE11:BK11"/>
    <mergeCell ref="BI12:BK12"/>
    <mergeCell ref="BM11:BS11"/>
    <mergeCell ref="BM12:BP12"/>
    <mergeCell ref="BQ12:BS12"/>
    <mergeCell ref="BE12:BH12"/>
    <mergeCell ref="CK11:CQ11"/>
    <mergeCell ref="CC12:CF12"/>
    <mergeCell ref="CG12:CI12"/>
    <mergeCell ref="CK12:CN12"/>
    <mergeCell ref="CO12:CQ12"/>
    <mergeCell ref="H11:P11"/>
    <mergeCell ref="T12:U12"/>
    <mergeCell ref="AW11:BC11"/>
    <mergeCell ref="H12:M12"/>
    <mergeCell ref="AW12:AZ12"/>
    <mergeCell ref="AH12:AI12"/>
    <mergeCell ref="AJ12:AK12"/>
    <mergeCell ref="AL12:AM12"/>
    <mergeCell ref="AT12:AU12"/>
    <mergeCell ref="T11:X11"/>
    <mergeCell ref="BA12:BC12"/>
    <mergeCell ref="AN12:AO12"/>
    <mergeCell ref="AP12:AQ12"/>
    <mergeCell ref="AR12:AS12"/>
    <mergeCell ref="AD11:AU11"/>
    <mergeCell ref="A12:A13"/>
    <mergeCell ref="B12:B13"/>
    <mergeCell ref="AD12:AE12"/>
    <mergeCell ref="AF12:AG12"/>
    <mergeCell ref="C12:D12"/>
    <mergeCell ref="Z12:AC12"/>
    <mergeCell ref="G12:G13"/>
    <mergeCell ref="N12:S12"/>
    <mergeCell ref="W12:X12"/>
    <mergeCell ref="CK10:CQ10"/>
    <mergeCell ref="AW10:BC10"/>
    <mergeCell ref="BE10:BK10"/>
    <mergeCell ref="BM10:BS10"/>
    <mergeCell ref="BU10:CA10"/>
    <mergeCell ref="CC10:CI10"/>
  </mergeCells>
  <phoneticPr fontId="0" type="noConversion"/>
  <pageMargins left="0.75" right="0.75" top="1" bottom="1" header="0.5" footer="0.5"/>
  <pageSetup scale="43" orientation="landscape" r:id="rId1"/>
  <headerFooter alignWithMargins="0"/>
  <ignoredErrors>
    <ignoredError sqref="Q138" formulaRange="1"/>
    <ignoredError sqref="AX172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2060"/>
  <sheetViews>
    <sheetView zoomScale="93" zoomScaleNormal="93" workbookViewId="0">
      <pane xSplit="3" ySplit="15" topLeftCell="D602" activePane="bottomRight" state="frozen"/>
      <selection pane="topRight" activeCell="D1" sqref="D1"/>
      <selection pane="bottomLeft" activeCell="A16" sqref="A16"/>
      <selection pane="bottomRight" activeCell="G607" sqref="G607"/>
    </sheetView>
  </sheetViews>
  <sheetFormatPr defaultColWidth="9.33203125" defaultRowHeight="15" x14ac:dyDescent="0.25"/>
  <cols>
    <col min="1" max="1" width="14.83203125" style="363" customWidth="1"/>
    <col min="2" max="2" width="16" style="363" customWidth="1"/>
    <col min="3" max="33" width="13.83203125" style="363" customWidth="1"/>
    <col min="34" max="16384" width="9.33203125" style="363"/>
  </cols>
  <sheetData>
    <row r="1" spans="1:33" x14ac:dyDescent="0.25">
      <c r="J1" s="364"/>
      <c r="L1" s="365"/>
      <c r="O1" s="364" t="s">
        <v>168</v>
      </c>
      <c r="P1" s="366">
        <v>2.2038323425989801</v>
      </c>
      <c r="Q1" s="367"/>
      <c r="R1" s="367"/>
    </row>
    <row r="2" spans="1:33" ht="15.75" thickBot="1" x14ac:dyDescent="0.3">
      <c r="A2" s="368" t="s">
        <v>246</v>
      </c>
      <c r="J2" s="364"/>
      <c r="L2" s="369"/>
      <c r="O2" s="364" t="s">
        <v>169</v>
      </c>
      <c r="P2" s="366">
        <v>1.6911804425391364</v>
      </c>
      <c r="Q2" s="367"/>
      <c r="R2" s="367"/>
      <c r="AA2" s="363" t="s">
        <v>184</v>
      </c>
      <c r="AC2" s="363">
        <v>15.52</v>
      </c>
      <c r="AD2" s="363">
        <v>1.1279999999999999</v>
      </c>
      <c r="AE2" s="363">
        <v>1.22</v>
      </c>
      <c r="AG2" s="363">
        <v>1.1000000000000001</v>
      </c>
    </row>
    <row r="3" spans="1:33" ht="18" customHeight="1" x14ac:dyDescent="0.25">
      <c r="A3" s="370"/>
      <c r="B3" s="371"/>
      <c r="C3" s="372"/>
      <c r="D3" s="372"/>
      <c r="E3" s="372"/>
      <c r="F3" s="372"/>
      <c r="G3" s="373" t="s">
        <v>9</v>
      </c>
      <c r="H3" s="373" t="s">
        <v>9</v>
      </c>
      <c r="I3" s="373" t="s">
        <v>9</v>
      </c>
      <c r="J3" s="372"/>
      <c r="K3" s="372"/>
      <c r="L3" s="374"/>
      <c r="M3" s="373" t="s">
        <v>9</v>
      </c>
      <c r="N3" s="372"/>
      <c r="O3" s="372"/>
      <c r="P3" s="375"/>
      <c r="Q3" s="371"/>
      <c r="R3" s="372"/>
      <c r="S3" s="372"/>
      <c r="T3" s="372"/>
      <c r="U3" s="372"/>
      <c r="V3" s="372"/>
      <c r="W3" s="376" t="s">
        <v>91</v>
      </c>
      <c r="X3" s="372"/>
      <c r="Y3" s="372"/>
      <c r="Z3" s="372"/>
      <c r="AA3" s="372"/>
      <c r="AB3" s="372"/>
      <c r="AC3" s="372"/>
      <c r="AD3" s="372"/>
      <c r="AE3" s="372"/>
      <c r="AF3" s="372"/>
      <c r="AG3" s="375"/>
    </row>
    <row r="4" spans="1:33" ht="18" customHeight="1" x14ac:dyDescent="0.25">
      <c r="A4" s="377"/>
      <c r="B4" s="378"/>
      <c r="C4" s="379"/>
      <c r="D4" s="369" t="s">
        <v>9</v>
      </c>
      <c r="E4" s="369" t="s">
        <v>9</v>
      </c>
      <c r="F4" s="369" t="s">
        <v>9</v>
      </c>
      <c r="G4" s="369" t="s">
        <v>99</v>
      </c>
      <c r="H4" s="369" t="s">
        <v>99</v>
      </c>
      <c r="I4" s="369" t="s">
        <v>99</v>
      </c>
      <c r="K4" s="369" t="s">
        <v>9</v>
      </c>
      <c r="L4" s="367" t="s">
        <v>9</v>
      </c>
      <c r="M4" s="369" t="s">
        <v>100</v>
      </c>
      <c r="O4" s="367" t="s">
        <v>9</v>
      </c>
      <c r="P4" s="380"/>
      <c r="Q4" s="381"/>
      <c r="U4" s="367" t="s">
        <v>91</v>
      </c>
      <c r="V4" s="367" t="s">
        <v>91</v>
      </c>
      <c r="W4" s="367" t="s">
        <v>100</v>
      </c>
      <c r="X4" s="367" t="s">
        <v>91</v>
      </c>
      <c r="AB4" s="367" t="s">
        <v>43</v>
      </c>
      <c r="AG4" s="380"/>
    </row>
    <row r="5" spans="1:33" ht="18" customHeight="1" x14ac:dyDescent="0.25">
      <c r="A5" s="377"/>
      <c r="B5" s="382"/>
      <c r="C5" s="369" t="s">
        <v>9</v>
      </c>
      <c r="D5" s="369" t="s">
        <v>99</v>
      </c>
      <c r="E5" s="369" t="s">
        <v>99</v>
      </c>
      <c r="F5" s="369" t="s">
        <v>99</v>
      </c>
      <c r="G5" s="369" t="s">
        <v>100</v>
      </c>
      <c r="H5" s="367" t="s">
        <v>100</v>
      </c>
      <c r="I5" s="367" t="s">
        <v>175</v>
      </c>
      <c r="J5" s="367" t="s">
        <v>9</v>
      </c>
      <c r="K5" s="369" t="s">
        <v>100</v>
      </c>
      <c r="L5" s="367" t="s">
        <v>100</v>
      </c>
      <c r="M5" s="367" t="s">
        <v>175</v>
      </c>
      <c r="N5" s="367" t="s">
        <v>9</v>
      </c>
      <c r="O5" s="367" t="s">
        <v>175</v>
      </c>
      <c r="P5" s="383" t="s">
        <v>9</v>
      </c>
      <c r="Q5" s="381"/>
      <c r="R5" s="367" t="s">
        <v>91</v>
      </c>
      <c r="S5" s="367" t="s">
        <v>91</v>
      </c>
      <c r="T5" s="369" t="s">
        <v>91</v>
      </c>
      <c r="U5" s="367" t="s">
        <v>100</v>
      </c>
      <c r="V5" s="367" t="s">
        <v>100</v>
      </c>
      <c r="W5" s="369" t="s">
        <v>175</v>
      </c>
      <c r="X5" s="367" t="s">
        <v>175</v>
      </c>
      <c r="Z5" s="367" t="s">
        <v>43</v>
      </c>
      <c r="AA5" s="369" t="s">
        <v>43</v>
      </c>
      <c r="AB5" s="367" t="s">
        <v>175</v>
      </c>
      <c r="AD5" s="369" t="s">
        <v>158</v>
      </c>
      <c r="AG5" s="380"/>
    </row>
    <row r="6" spans="1:33" ht="18" customHeight="1" x14ac:dyDescent="0.25">
      <c r="A6" s="384"/>
      <c r="B6" s="385" t="s">
        <v>9</v>
      </c>
      <c r="C6" s="369" t="s">
        <v>99</v>
      </c>
      <c r="D6" s="367" t="s">
        <v>100</v>
      </c>
      <c r="E6" s="367" t="s">
        <v>175</v>
      </c>
      <c r="F6" s="369" t="s">
        <v>176</v>
      </c>
      <c r="G6" s="367" t="s">
        <v>175</v>
      </c>
      <c r="H6" s="369" t="s">
        <v>176</v>
      </c>
      <c r="I6" s="369" t="s">
        <v>176</v>
      </c>
      <c r="J6" s="367" t="s">
        <v>100</v>
      </c>
      <c r="K6" s="367" t="s">
        <v>175</v>
      </c>
      <c r="L6" s="369" t="s">
        <v>176</v>
      </c>
      <c r="M6" s="369" t="s">
        <v>176</v>
      </c>
      <c r="N6" s="367" t="s">
        <v>175</v>
      </c>
      <c r="O6" s="369" t="s">
        <v>176</v>
      </c>
      <c r="P6" s="383" t="s">
        <v>176</v>
      </c>
      <c r="Q6" s="386" t="s">
        <v>91</v>
      </c>
      <c r="R6" s="387" t="s">
        <v>100</v>
      </c>
      <c r="S6" s="387" t="s">
        <v>175</v>
      </c>
      <c r="T6" s="388" t="s">
        <v>176</v>
      </c>
      <c r="U6" s="388" t="s">
        <v>176</v>
      </c>
      <c r="V6" s="388" t="s">
        <v>175</v>
      </c>
      <c r="W6" s="388" t="s">
        <v>176</v>
      </c>
      <c r="X6" s="388" t="s">
        <v>176</v>
      </c>
      <c r="Y6" s="388" t="s">
        <v>43</v>
      </c>
      <c r="Z6" s="387" t="s">
        <v>175</v>
      </c>
      <c r="AA6" s="388" t="s">
        <v>176</v>
      </c>
      <c r="AB6" s="388" t="s">
        <v>176</v>
      </c>
      <c r="AC6" s="388" t="s">
        <v>158</v>
      </c>
      <c r="AD6" s="388" t="s">
        <v>176</v>
      </c>
      <c r="AE6" s="388" t="s">
        <v>166</v>
      </c>
      <c r="AF6" s="388"/>
      <c r="AG6" s="389" t="s">
        <v>97</v>
      </c>
    </row>
    <row r="7" spans="1:33" ht="18" customHeight="1" x14ac:dyDescent="0.25">
      <c r="A7" s="390" t="s">
        <v>184</v>
      </c>
      <c r="B7" s="391">
        <v>19.444444444444443</v>
      </c>
      <c r="C7" s="392">
        <v>19.444444444444443</v>
      </c>
      <c r="D7" s="392">
        <v>14.942528735632182</v>
      </c>
      <c r="E7" s="392">
        <v>6.9567582552659513</v>
      </c>
      <c r="F7" s="393">
        <v>1.2623251006227887</v>
      </c>
      <c r="G7" s="392">
        <v>6.2798442424288652</v>
      </c>
      <c r="H7" s="393">
        <v>1.2381088027674059</v>
      </c>
      <c r="I7" s="393">
        <v>1.1305752267362406</v>
      </c>
      <c r="J7" s="392">
        <v>14.942528735632182</v>
      </c>
      <c r="K7" s="392">
        <v>6.2798442424288652</v>
      </c>
      <c r="L7" s="393">
        <v>1.2381088027674059</v>
      </c>
      <c r="M7" s="393">
        <v>1.1111111111111112</v>
      </c>
      <c r="N7" s="392">
        <v>6.9567582552659513</v>
      </c>
      <c r="O7" s="393">
        <v>1.1305752267362406</v>
      </c>
      <c r="P7" s="394">
        <v>1.2623251006227887</v>
      </c>
      <c r="Q7" s="391"/>
      <c r="R7" s="392">
        <v>64.539007092198588</v>
      </c>
      <c r="S7" s="392">
        <v>10.8322948990479</v>
      </c>
      <c r="T7" s="392">
        <v>1.3499642052579586</v>
      </c>
      <c r="U7" s="393">
        <v>1.3223055042706493</v>
      </c>
      <c r="V7" s="393">
        <v>9.2754873386110805</v>
      </c>
      <c r="W7" s="393">
        <v>1.1784511784511784</v>
      </c>
      <c r="X7" s="392">
        <v>1.2003693444136661</v>
      </c>
      <c r="Y7" s="393">
        <v>64.539007092198588</v>
      </c>
      <c r="Z7" s="393">
        <v>9.2754873386110805</v>
      </c>
      <c r="AA7" s="392">
        <v>1.3223055042706493</v>
      </c>
      <c r="AB7" s="392">
        <v>1.1784511784511784</v>
      </c>
      <c r="AC7" s="393">
        <v>10.8322948990479</v>
      </c>
      <c r="AD7" s="393">
        <v>1.2003693444136661</v>
      </c>
      <c r="AE7" s="392">
        <v>1.3499642052579586</v>
      </c>
      <c r="AF7" s="393"/>
      <c r="AG7" s="394">
        <v>1.1111111111111109</v>
      </c>
    </row>
    <row r="8" spans="1:33" ht="18" customHeight="1" x14ac:dyDescent="0.25">
      <c r="A8" s="390" t="s">
        <v>205</v>
      </c>
      <c r="B8" s="391">
        <v>3.0563603449098604</v>
      </c>
      <c r="C8" s="392">
        <v>2.6131248665422846</v>
      </c>
      <c r="D8" s="392">
        <v>2.0659799166577919</v>
      </c>
      <c r="E8" s="392">
        <v>1.874991025227813</v>
      </c>
      <c r="F8" s="393">
        <v>1.5432111167472604</v>
      </c>
      <c r="G8" s="392">
        <v>1.5755869511774072</v>
      </c>
      <c r="H8" s="393">
        <v>1.3344939838551437</v>
      </c>
      <c r="I8" s="393">
        <v>1.2521101541115367</v>
      </c>
      <c r="J8" s="392">
        <v>2.3335329157613796</v>
      </c>
      <c r="K8" s="392">
        <v>1.7265578751159187</v>
      </c>
      <c r="L8" s="393">
        <v>1.441232314997448</v>
      </c>
      <c r="M8" s="393">
        <v>1.1841284682724935</v>
      </c>
      <c r="N8" s="392">
        <v>2.0927557518368141</v>
      </c>
      <c r="O8" s="393">
        <v>1.3456147767856841</v>
      </c>
      <c r="P8" s="394">
        <v>1.6877567563619449</v>
      </c>
      <c r="Q8" s="391">
        <v>18.018999999999998</v>
      </c>
      <c r="R8" s="392">
        <v>6.3757106971483282</v>
      </c>
      <c r="S8" s="392">
        <v>4.8508524143072487</v>
      </c>
      <c r="T8" s="392">
        <v>3.1170813646567512</v>
      </c>
      <c r="U8" s="393">
        <v>2.3687636770354623</v>
      </c>
      <c r="V8" s="393">
        <v>3.2520583486430032</v>
      </c>
      <c r="W8" s="393">
        <v>1.7457690663920706</v>
      </c>
      <c r="X8" s="392">
        <v>2.1210472039868216</v>
      </c>
      <c r="Y8" s="393">
        <v>9.8669712571323984</v>
      </c>
      <c r="Z8" s="393">
        <v>3.9682457677445995</v>
      </c>
      <c r="AA8" s="392">
        <v>2.7272917154435827</v>
      </c>
      <c r="AB8" s="392">
        <v>1.9330529187479979</v>
      </c>
      <c r="AC8" s="393">
        <v>6.6378011660340741</v>
      </c>
      <c r="AD8" s="393">
        <v>2.4040299854770542</v>
      </c>
      <c r="AE8" s="392">
        <v>3.7690919892087815</v>
      </c>
      <c r="AF8" s="393"/>
      <c r="AG8" s="394">
        <v>1.1111111111111112</v>
      </c>
    </row>
    <row r="9" spans="1:33" ht="18" customHeight="1" x14ac:dyDescent="0.25">
      <c r="A9" s="390" t="s">
        <v>206</v>
      </c>
      <c r="B9" s="391">
        <v>2.4087999473596051</v>
      </c>
      <c r="C9" s="392">
        <v>1.9841540145328507</v>
      </c>
      <c r="D9" s="392">
        <v>1.5053217352405766</v>
      </c>
      <c r="E9" s="392">
        <v>1.5534738453482946</v>
      </c>
      <c r="F9" s="393">
        <v>1.6667837280104745</v>
      </c>
      <c r="G9" s="392">
        <v>1.2437265297972444</v>
      </c>
      <c r="H9" s="393">
        <v>1.3153143343037872</v>
      </c>
      <c r="I9" s="393">
        <v>1.3519299020214881</v>
      </c>
      <c r="J9" s="392">
        <v>1.7377367453849115</v>
      </c>
      <c r="K9" s="392">
        <v>1.3982364520976143</v>
      </c>
      <c r="L9" s="393">
        <v>1.4893676610628985</v>
      </c>
      <c r="M9" s="393">
        <v>1.2328155598318662</v>
      </c>
      <c r="N9" s="392">
        <v>1.8022241401896346</v>
      </c>
      <c r="O9" s="393">
        <v>1.5364885296593844</v>
      </c>
      <c r="P9" s="394">
        <v>1.9565290307851315</v>
      </c>
      <c r="Q9" s="391">
        <v>11.255000000000001</v>
      </c>
      <c r="R9" s="392">
        <v>4.0133994024075719</v>
      </c>
      <c r="S9" s="392">
        <v>4.3749485817165121</v>
      </c>
      <c r="T9" s="392">
        <v>5.4108636059374051</v>
      </c>
      <c r="U9" s="393">
        <v>2.897458422318143</v>
      </c>
      <c r="V9" s="393">
        <v>2.5714159763197846</v>
      </c>
      <c r="W9" s="393">
        <v>2.0624700707856021</v>
      </c>
      <c r="X9" s="392">
        <v>3.0812952748428017</v>
      </c>
      <c r="Y9" s="393">
        <v>6.237654171008888</v>
      </c>
      <c r="Z9" s="393">
        <v>3.3328651866014956</v>
      </c>
      <c r="AA9" s="392">
        <v>3.9019608045498542</v>
      </c>
      <c r="AB9" s="392">
        <v>2.5252087418184841</v>
      </c>
      <c r="AC9" s="393">
        <v>7.156891789458629</v>
      </c>
      <c r="AD9" s="393">
        <v>4.2428580140791921</v>
      </c>
      <c r="AE9" s="392">
        <v>10.420495445646711</v>
      </c>
      <c r="AF9" s="393"/>
      <c r="AG9" s="394">
        <v>1.1111111111111112</v>
      </c>
    </row>
    <row r="10" spans="1:33" ht="18" customHeight="1" x14ac:dyDescent="0.25">
      <c r="A10" s="390" t="s">
        <v>219</v>
      </c>
      <c r="B10" s="391">
        <v>2.3563383217201812</v>
      </c>
      <c r="C10" s="392">
        <v>1.8989218936658869</v>
      </c>
      <c r="D10" s="392">
        <v>1.4484418256488258</v>
      </c>
      <c r="E10" s="392">
        <v>1.4404741107107906</v>
      </c>
      <c r="F10" s="393">
        <v>1.7586553217518761</v>
      </c>
      <c r="G10" s="392">
        <v>1.1655034067378487</v>
      </c>
      <c r="H10" s="393">
        <v>1.3653764892441471</v>
      </c>
      <c r="I10" s="393">
        <v>1.3582942019382447</v>
      </c>
      <c r="J10" s="392">
        <v>1.70018945221205</v>
      </c>
      <c r="K10" s="392">
        <v>1.3231520804420205</v>
      </c>
      <c r="L10" s="393">
        <v>1.5868698656563378</v>
      </c>
      <c r="M10" s="393">
        <v>1.2534899167353801</v>
      </c>
      <c r="N10" s="392">
        <v>1.6892218602637341</v>
      </c>
      <c r="O10" s="393">
        <v>1.5773114471507033</v>
      </c>
      <c r="P10" s="394">
        <v>2.1441332458229159</v>
      </c>
      <c r="Q10" s="391">
        <v>9.7821200848240473</v>
      </c>
      <c r="R10" s="392">
        <v>3.759259998609386</v>
      </c>
      <c r="S10" s="392">
        <v>3.7060563211360518</v>
      </c>
      <c r="T10" s="392">
        <v>6.9334194373285456</v>
      </c>
      <c r="U10" s="393">
        <v>3.2466325540944148</v>
      </c>
      <c r="V10" s="393">
        <v>2.3062141585196652</v>
      </c>
      <c r="W10" s="393">
        <v>2.1025509790455033</v>
      </c>
      <c r="X10" s="392">
        <v>3.2068729395417104</v>
      </c>
      <c r="Y10" s="393">
        <v>6.1056594724225928</v>
      </c>
      <c r="Z10" s="393">
        <v>3.0176495079457064</v>
      </c>
      <c r="AA10" s="392">
        <v>4.859461419843754</v>
      </c>
      <c r="AB10" s="392">
        <v>2.6781979402999836</v>
      </c>
      <c r="AC10" s="393">
        <v>5.9665417257684457</v>
      </c>
      <c r="AD10" s="393">
        <v>4.7709257915692662</v>
      </c>
      <c r="AE10" s="392">
        <v>23.808588520534641</v>
      </c>
      <c r="AF10" s="393"/>
      <c r="AG10" s="394">
        <v>1.1111111111111112</v>
      </c>
    </row>
    <row r="11" spans="1:33" ht="19.899999999999999" customHeight="1" thickBot="1" x14ac:dyDescent="0.3">
      <c r="A11" s="395" t="s">
        <v>220</v>
      </c>
      <c r="B11" s="445"/>
      <c r="C11" s="446"/>
      <c r="D11" s="446">
        <v>1.6236322529053548</v>
      </c>
      <c r="E11" s="446">
        <v>3.5199247200728205</v>
      </c>
      <c r="F11" s="447"/>
      <c r="G11" s="446">
        <v>1.1111111111111112</v>
      </c>
      <c r="H11" s="447">
        <v>1.6236322529053548</v>
      </c>
      <c r="I11" s="447">
        <v>3.5199247200728205</v>
      </c>
      <c r="J11" s="446">
        <v>1.6236322529053548</v>
      </c>
      <c r="K11" s="446">
        <v>1.1111111111111112</v>
      </c>
      <c r="L11" s="447">
        <v>1.6236322529053548</v>
      </c>
      <c r="M11" s="447">
        <v>1.1111111111111112</v>
      </c>
      <c r="N11" s="446">
        <v>3.5199247200728205</v>
      </c>
      <c r="O11" s="447">
        <v>3.5199247200728205</v>
      </c>
      <c r="P11" s="448"/>
      <c r="Q11" s="445"/>
      <c r="R11" s="446">
        <v>1.6236322529053548</v>
      </c>
      <c r="S11" s="446">
        <v>3.5199247200728205</v>
      </c>
      <c r="T11" s="446"/>
      <c r="U11" s="447">
        <v>1.6236322529053548</v>
      </c>
      <c r="V11" s="447">
        <v>1.1111111111111112</v>
      </c>
      <c r="W11" s="447">
        <v>1.1111111111111112</v>
      </c>
      <c r="X11" s="446">
        <v>3.5199247200728205</v>
      </c>
      <c r="Y11" s="447">
        <v>1.6236322529053548</v>
      </c>
      <c r="Z11" s="447">
        <v>1.1111111111111112</v>
      </c>
      <c r="AA11" s="446">
        <v>1.6236322529053548</v>
      </c>
      <c r="AB11" s="446">
        <v>1.1111111111111112</v>
      </c>
      <c r="AC11" s="447">
        <v>3.5199247200728205</v>
      </c>
      <c r="AD11" s="447">
        <v>3.5199247200728205</v>
      </c>
      <c r="AE11" s="446"/>
      <c r="AF11" s="447"/>
      <c r="AG11" s="448">
        <v>1.1111111111111112</v>
      </c>
    </row>
    <row r="12" spans="1:33" ht="19.899999999999999" customHeight="1" x14ac:dyDescent="0.25">
      <c r="A12" s="368"/>
      <c r="B12" s="367"/>
      <c r="C12" s="367"/>
      <c r="G12" s="366"/>
      <c r="H12" s="366"/>
      <c r="I12" s="366"/>
      <c r="J12" s="366"/>
      <c r="K12" s="366"/>
    </row>
    <row r="13" spans="1:33" ht="16.5" customHeight="1" thickBot="1" x14ac:dyDescent="0.3">
      <c r="A13" s="363" t="s">
        <v>0</v>
      </c>
      <c r="J13" s="396">
        <v>1.2849999999999999</v>
      </c>
    </row>
    <row r="14" spans="1:33" x14ac:dyDescent="0.25">
      <c r="A14" s="688" t="s">
        <v>89</v>
      </c>
      <c r="B14" s="677" t="s">
        <v>2</v>
      </c>
      <c r="C14" s="677" t="s">
        <v>179</v>
      </c>
      <c r="D14" s="677" t="s">
        <v>1</v>
      </c>
      <c r="E14" s="677" t="s">
        <v>5</v>
      </c>
      <c r="F14" s="677" t="s">
        <v>180</v>
      </c>
      <c r="G14" s="677" t="s">
        <v>181</v>
      </c>
      <c r="H14" s="677" t="s">
        <v>182</v>
      </c>
      <c r="I14" s="685" t="s">
        <v>170</v>
      </c>
      <c r="J14" s="690" t="s">
        <v>183</v>
      </c>
      <c r="K14" s="692" t="s">
        <v>207</v>
      </c>
      <c r="M14" s="677" t="s">
        <v>1</v>
      </c>
      <c r="N14" s="677" t="s">
        <v>5</v>
      </c>
      <c r="O14" s="677" t="s">
        <v>180</v>
      </c>
    </row>
    <row r="15" spans="1:33" ht="15.75" thickBot="1" x14ac:dyDescent="0.3">
      <c r="A15" s="689"/>
      <c r="B15" s="687"/>
      <c r="C15" s="678" t="s">
        <v>3</v>
      </c>
      <c r="D15" s="678" t="s">
        <v>4</v>
      </c>
      <c r="E15" s="678" t="s">
        <v>5</v>
      </c>
      <c r="F15" s="678" t="s">
        <v>159</v>
      </c>
      <c r="G15" s="678" t="s">
        <v>178</v>
      </c>
      <c r="H15" s="678" t="s">
        <v>92</v>
      </c>
      <c r="I15" s="686"/>
      <c r="J15" s="691" t="s">
        <v>93</v>
      </c>
      <c r="K15" s="693"/>
      <c r="M15" s="678" t="s">
        <v>4</v>
      </c>
      <c r="N15" s="678" t="s">
        <v>5</v>
      </c>
      <c r="O15" s="678" t="s">
        <v>159</v>
      </c>
    </row>
    <row r="16" spans="1:33" x14ac:dyDescent="0.25">
      <c r="B16" s="397"/>
    </row>
    <row r="17" spans="1:13" x14ac:dyDescent="0.25">
      <c r="A17" s="679" t="s">
        <v>95</v>
      </c>
      <c r="B17" s="682"/>
      <c r="C17" s="398" t="s">
        <v>9</v>
      </c>
      <c r="D17" s="399"/>
      <c r="E17" s="399"/>
      <c r="F17" s="400"/>
      <c r="G17" s="401">
        <f>IF(E17&lt;8,Factors!F$18,IF(E17&lt;9,Factors!F$19,IF(E17&lt;10,Factors!F$20,IF(E17&lt;11,Factors!F$21,IF(E17&lt;12,Factors!F$22,IF(E17&lt;13,Factors!F$23))))))</f>
        <v>1.2308917197452229</v>
      </c>
      <c r="H17" s="402">
        <f>D17*F17*G17</f>
        <v>0</v>
      </c>
      <c r="I17" s="403"/>
      <c r="J17" s="404"/>
      <c r="K17" s="405"/>
    </row>
    <row r="18" spans="1:13" x14ac:dyDescent="0.25">
      <c r="A18" s="680"/>
      <c r="B18" s="683"/>
      <c r="C18" s="406" t="s">
        <v>174</v>
      </c>
      <c r="F18" s="407"/>
      <c r="G18" s="408">
        <f>IF(E18&lt;8,Factors!H$18,IF(E18&lt;9,Factors!H$19,IF(E18&lt;10,Factors!H$20,IF(E18&lt;11,Factors!H$21,IF(E18&lt;12,Factors!H$22,IF(E18&lt;13,Factors!H$23))))))</f>
        <v>1.3238434163701067</v>
      </c>
      <c r="H18" s="409">
        <f>D18*F18*G18</f>
        <v>0</v>
      </c>
      <c r="I18" s="410"/>
      <c r="J18" s="411"/>
      <c r="K18" s="412"/>
    </row>
    <row r="19" spans="1:13" x14ac:dyDescent="0.25">
      <c r="A19" s="680" t="s">
        <v>94</v>
      </c>
      <c r="B19" s="683"/>
      <c r="C19" s="406" t="s">
        <v>43</v>
      </c>
      <c r="F19" s="407"/>
      <c r="G19" s="408">
        <f>IF(E19&lt;8,Factors!H$18,IF(E19&lt;9,Factors!H$19,IF(E19&lt;10,Factors!H$20,IF(E19&lt;11,Factors!H$21,IF(E19&lt;12,Factors!H$22,IF(E19&lt;13,Factors!H$23))))))</f>
        <v>1.3238434163701067</v>
      </c>
      <c r="H19" s="409">
        <f>D19*F19*G19</f>
        <v>0</v>
      </c>
      <c r="I19" s="406"/>
      <c r="J19" s="411"/>
      <c r="K19" s="412"/>
      <c r="L19" s="413"/>
      <c r="M19" s="414"/>
    </row>
    <row r="20" spans="1:13" x14ac:dyDescent="0.25">
      <c r="A20" s="680"/>
      <c r="B20" s="683"/>
      <c r="C20" s="406" t="s">
        <v>166</v>
      </c>
      <c r="F20" s="407"/>
      <c r="G20" s="408">
        <f>IF(E20&lt;8,Factors!H$18,IF(E20&lt;9,Factors!H$19,IF(E20&lt;10,Factors!H$20,IF(E20&lt;11,Factors!H$21,IF(E20&lt;12,Factors!H$22,IF(E20&lt;13,Factors!H$23))))))</f>
        <v>1.3238434163701067</v>
      </c>
      <c r="H20" s="409">
        <f>D20*F20*G20</f>
        <v>0</v>
      </c>
      <c r="I20" s="410"/>
      <c r="J20" s="411"/>
      <c r="K20" s="412"/>
    </row>
    <row r="21" spans="1:13" ht="15.75" thickBot="1" x14ac:dyDescent="0.3">
      <c r="A21" s="680"/>
      <c r="B21" s="683"/>
      <c r="C21" s="415" t="s">
        <v>158</v>
      </c>
      <c r="D21" s="416"/>
      <c r="E21" s="416"/>
      <c r="F21" s="417"/>
      <c r="G21" s="418">
        <f>IF(E21&lt;8,Factors!H$18,IF(E21&lt;9,Factors!H$19,IF(E21&lt;10,Factors!H$20,IF(E21&lt;11,Factors!H$21,IF(E21&lt;12,Factors!H$22,IF(E21&lt;13,Factors!H$23))))))</f>
        <v>1.3238434163701067</v>
      </c>
      <c r="H21" s="419">
        <f>D21*F21*G21</f>
        <v>0</v>
      </c>
      <c r="I21" s="420"/>
      <c r="J21" s="421"/>
      <c r="K21" s="421"/>
    </row>
    <row r="22" spans="1:13" ht="15.75" thickTop="1" x14ac:dyDescent="0.25">
      <c r="A22" s="681"/>
      <c r="B22" s="684"/>
      <c r="C22" s="422"/>
      <c r="D22" s="423"/>
      <c r="E22" s="423"/>
      <c r="F22" s="424"/>
      <c r="G22" s="425"/>
      <c r="H22" s="426">
        <f>SUM(H17:H21)</f>
        <v>0</v>
      </c>
      <c r="I22" s="427">
        <f>$AG$8</f>
        <v>1.1111111111111112</v>
      </c>
      <c r="J22" s="428">
        <f>H22*I22*J$13+K22</f>
        <v>0</v>
      </c>
      <c r="K22" s="429">
        <f>K21+K20</f>
        <v>0</v>
      </c>
    </row>
    <row r="23" spans="1:13" x14ac:dyDescent="0.25">
      <c r="B23" s="397"/>
      <c r="J23" s="430"/>
    </row>
    <row r="24" spans="1:13" x14ac:dyDescent="0.25">
      <c r="A24" s="679" t="s">
        <v>13</v>
      </c>
      <c r="B24" s="682"/>
      <c r="C24" s="398" t="s">
        <v>9</v>
      </c>
      <c r="D24" s="399"/>
      <c r="E24" s="399"/>
      <c r="F24" s="400"/>
      <c r="G24" s="401">
        <f>IF(E24&lt;8,Factors!F$18,IF(E24&lt;9,Factors!F$19,IF(E24&lt;10,Factors!F$20,IF(E24&lt;11,Factors!F$21,IF(E24&lt;12,Factors!F$22,IF(E24&lt;13,Factors!F$23))))))</f>
        <v>1.2308917197452229</v>
      </c>
      <c r="H24" s="402">
        <f>D24*F24*G24</f>
        <v>0</v>
      </c>
      <c r="I24" s="403"/>
      <c r="J24" s="404"/>
      <c r="K24" s="405"/>
    </row>
    <row r="25" spans="1:13" x14ac:dyDescent="0.25">
      <c r="A25" s="680"/>
      <c r="B25" s="683"/>
      <c r="C25" s="406" t="s">
        <v>174</v>
      </c>
      <c r="F25" s="407"/>
      <c r="G25" s="408">
        <f>IF(E25&lt;8,Factors!H$18,IF(E25&lt;9,Factors!H$19,IF(E25&lt;10,Factors!H$20,IF(E25&lt;11,Factors!H$21,IF(E25&lt;12,Factors!H$22,IF(E25&lt;13,Factors!H$23))))))</f>
        <v>1.3238434163701067</v>
      </c>
      <c r="H25" s="409">
        <f>D25*F25*G25</f>
        <v>0</v>
      </c>
      <c r="I25" s="410"/>
      <c r="J25" s="411"/>
      <c r="K25" s="412"/>
      <c r="L25" s="413"/>
      <c r="M25" s="414"/>
    </row>
    <row r="26" spans="1:13" x14ac:dyDescent="0.25">
      <c r="A26" s="680" t="s">
        <v>94</v>
      </c>
      <c r="B26" s="683"/>
      <c r="C26" s="406" t="s">
        <v>43</v>
      </c>
      <c r="F26" s="407"/>
      <c r="G26" s="408">
        <f>IF(E26&lt;8,Factors!H$18,IF(E26&lt;9,Factors!H$19,IF(E26&lt;10,Factors!H$20,IF(E26&lt;11,Factors!H$21,IF(E26&lt;12,Factors!H$22,IF(E26&lt;13,Factors!H$23))))))</f>
        <v>1.3238434163701067</v>
      </c>
      <c r="H26" s="409">
        <f>D26*F26*G26</f>
        <v>0</v>
      </c>
      <c r="I26" s="406"/>
      <c r="J26" s="411"/>
      <c r="K26" s="412"/>
    </row>
    <row r="27" spans="1:13" x14ac:dyDescent="0.25">
      <c r="A27" s="680"/>
      <c r="B27" s="683"/>
      <c r="C27" s="406" t="s">
        <v>166</v>
      </c>
      <c r="F27" s="407"/>
      <c r="G27" s="408">
        <f>IF(E27&lt;8,Factors!H$18,IF(E27&lt;9,Factors!H$19,IF(E27&lt;10,Factors!H$20,IF(E27&lt;11,Factors!H$21,IF(E27&lt;12,Factors!H$22,IF(E27&lt;13,Factors!H$23))))))</f>
        <v>1.3238434163701067</v>
      </c>
      <c r="H27" s="409">
        <f>D27*F27*G27</f>
        <v>0</v>
      </c>
      <c r="I27" s="410"/>
      <c r="J27" s="411"/>
      <c r="K27" s="412"/>
    </row>
    <row r="28" spans="1:13" ht="15.75" thickBot="1" x14ac:dyDescent="0.3">
      <c r="A28" s="680"/>
      <c r="B28" s="683"/>
      <c r="C28" s="415" t="s">
        <v>158</v>
      </c>
      <c r="D28" s="416"/>
      <c r="E28" s="416"/>
      <c r="F28" s="417"/>
      <c r="G28" s="418">
        <f>IF(E28&lt;8,Factors!H$18,IF(E28&lt;9,Factors!H$19,IF(E28&lt;10,Factors!H$20,IF(E28&lt;11,Factors!H$21,IF(E28&lt;12,Factors!H$22,IF(E28&lt;13,Factors!H$23))))))</f>
        <v>1.3238434163701067</v>
      </c>
      <c r="H28" s="419">
        <f>D28*F28*G28</f>
        <v>0</v>
      </c>
      <c r="I28" s="420"/>
      <c r="J28" s="421"/>
      <c r="K28" s="421"/>
    </row>
    <row r="29" spans="1:13" ht="15.75" thickTop="1" x14ac:dyDescent="0.25">
      <c r="A29" s="681"/>
      <c r="B29" s="684"/>
      <c r="C29" s="422"/>
      <c r="D29" s="423"/>
      <c r="E29" s="423"/>
      <c r="F29" s="424"/>
      <c r="G29" s="425"/>
      <c r="H29" s="426">
        <f>SUM(H24:H28)</f>
        <v>0</v>
      </c>
      <c r="I29" s="427">
        <f>$AG$8</f>
        <v>1.1111111111111112</v>
      </c>
      <c r="J29" s="428">
        <f>H29*I29*J$13+K29</f>
        <v>0</v>
      </c>
      <c r="K29" s="429">
        <f>K28+K27</f>
        <v>0</v>
      </c>
    </row>
    <row r="30" spans="1:13" x14ac:dyDescent="0.25">
      <c r="B30" s="397"/>
    </row>
    <row r="31" spans="1:13" x14ac:dyDescent="0.25">
      <c r="A31" s="679" t="s">
        <v>14</v>
      </c>
      <c r="B31" s="682"/>
      <c r="C31" s="398" t="s">
        <v>9</v>
      </c>
      <c r="D31" s="399"/>
      <c r="E31" s="399"/>
      <c r="F31" s="400"/>
      <c r="G31" s="401">
        <f>IF(E31&lt;8,Factors!F$18,IF(E31&lt;9,Factors!F$19,IF(E31&lt;10,Factors!F$20,IF(E31&lt;11,Factors!F$21,IF(E31&lt;12,Factors!F$22,IF(E31&lt;13,Factors!F$23))))))</f>
        <v>1.2308917197452229</v>
      </c>
      <c r="H31" s="402">
        <f>D31*F31*G31</f>
        <v>0</v>
      </c>
      <c r="I31" s="403"/>
      <c r="J31" s="404"/>
      <c r="K31" s="405"/>
      <c r="L31" s="413"/>
      <c r="M31" s="414"/>
    </row>
    <row r="32" spans="1:13" x14ac:dyDescent="0.25">
      <c r="A32" s="680"/>
      <c r="B32" s="683"/>
      <c r="C32" s="406" t="s">
        <v>174</v>
      </c>
      <c r="F32" s="407"/>
      <c r="G32" s="408">
        <f>IF(E32&lt;8,Factors!H$18,IF(E32&lt;9,Factors!H$19,IF(E32&lt;10,Factors!H$20,IF(E32&lt;11,Factors!H$21,IF(E32&lt;12,Factors!H$22,IF(E32&lt;13,Factors!H$23))))))</f>
        <v>1.3238434163701067</v>
      </c>
      <c r="H32" s="409">
        <f>D32*F32*G32</f>
        <v>0</v>
      </c>
      <c r="I32" s="410"/>
      <c r="J32" s="411"/>
      <c r="K32" s="412"/>
    </row>
    <row r="33" spans="1:19" x14ac:dyDescent="0.25">
      <c r="A33" s="680" t="s">
        <v>94</v>
      </c>
      <c r="B33" s="683"/>
      <c r="C33" s="406" t="s">
        <v>43</v>
      </c>
      <c r="F33" s="407"/>
      <c r="G33" s="408">
        <f>IF(E33&lt;8,Factors!H$18,IF(E33&lt;9,Factors!H$19,IF(E33&lt;10,Factors!H$20,IF(E33&lt;11,Factors!H$21,IF(E33&lt;12,Factors!H$22,IF(E33&lt;13,Factors!H$23))))))</f>
        <v>1.3238434163701067</v>
      </c>
      <c r="H33" s="409">
        <f>D33*F33*G33</f>
        <v>0</v>
      </c>
      <c r="I33" s="406"/>
      <c r="J33" s="411"/>
      <c r="K33" s="412"/>
    </row>
    <row r="34" spans="1:19" x14ac:dyDescent="0.25">
      <c r="A34" s="680"/>
      <c r="B34" s="683"/>
      <c r="C34" s="406" t="s">
        <v>166</v>
      </c>
      <c r="F34" s="407"/>
      <c r="G34" s="408">
        <f>IF(E34&lt;8,Factors!H$18,IF(E34&lt;9,Factors!H$19,IF(E34&lt;10,Factors!H$20,IF(E34&lt;11,Factors!H$21,IF(E34&lt;12,Factors!H$22,IF(E34&lt;13,Factors!H$23))))))</f>
        <v>1.3238434163701067</v>
      </c>
      <c r="H34" s="409">
        <f>D34*F34*G34</f>
        <v>0</v>
      </c>
      <c r="I34" s="410"/>
      <c r="J34" s="411"/>
      <c r="K34" s="412"/>
    </row>
    <row r="35" spans="1:19" ht="15.75" thickBot="1" x14ac:dyDescent="0.3">
      <c r="A35" s="680"/>
      <c r="B35" s="683"/>
      <c r="C35" s="415" t="s">
        <v>158</v>
      </c>
      <c r="D35" s="416"/>
      <c r="E35" s="416"/>
      <c r="F35" s="417"/>
      <c r="G35" s="418">
        <f>IF(E35&lt;8,Factors!H$18,IF(E35&lt;9,Factors!H$19,IF(E35&lt;10,Factors!H$20,IF(E35&lt;11,Factors!H$21,IF(E35&lt;12,Factors!H$22,IF(E35&lt;13,Factors!H$23))))))</f>
        <v>1.3238434163701067</v>
      </c>
      <c r="H35" s="419">
        <f>D35*F35*G35</f>
        <v>0</v>
      </c>
      <c r="I35" s="420"/>
      <c r="J35" s="421"/>
      <c r="K35" s="421"/>
    </row>
    <row r="36" spans="1:19" ht="15.75" thickTop="1" x14ac:dyDescent="0.25">
      <c r="A36" s="681"/>
      <c r="B36" s="684"/>
      <c r="C36" s="422"/>
      <c r="D36" s="423"/>
      <c r="E36" s="423"/>
      <c r="F36" s="424"/>
      <c r="G36" s="425"/>
      <c r="H36" s="426">
        <f>SUM(H31:H35)</f>
        <v>0</v>
      </c>
      <c r="I36" s="427">
        <f>$AG$8</f>
        <v>1.1111111111111112</v>
      </c>
      <c r="J36" s="428">
        <f>H36*I36*J$13+K36</f>
        <v>0</v>
      </c>
      <c r="K36" s="429">
        <f>K35+K34</f>
        <v>0</v>
      </c>
    </row>
    <row r="37" spans="1:19" x14ac:dyDescent="0.25">
      <c r="B37" s="397"/>
      <c r="J37" s="430"/>
    </row>
    <row r="38" spans="1:19" x14ac:dyDescent="0.25">
      <c r="A38" s="679" t="s">
        <v>15</v>
      </c>
      <c r="B38" s="682"/>
      <c r="C38" s="398" t="s">
        <v>9</v>
      </c>
      <c r="D38" s="399"/>
      <c r="E38" s="399"/>
      <c r="F38" s="400"/>
      <c r="G38" s="401">
        <f>IF(E38&lt;8,Factors!F$18,IF(E38&lt;9,Factors!F$19,IF(E38&lt;10,Factors!F$20,IF(E38&lt;11,Factors!F$21,IF(E38&lt;12,Factors!F$22,IF(E38&lt;13,Factors!F$23))))))</f>
        <v>1.2308917197452229</v>
      </c>
      <c r="H38" s="402">
        <f>D38*F38*G38</f>
        <v>0</v>
      </c>
      <c r="I38" s="403"/>
      <c r="J38" s="404"/>
      <c r="K38" s="405"/>
      <c r="L38" s="413"/>
      <c r="M38" s="414"/>
    </row>
    <row r="39" spans="1:19" x14ac:dyDescent="0.25">
      <c r="A39" s="680"/>
      <c r="B39" s="683"/>
      <c r="C39" s="406" t="s">
        <v>174</v>
      </c>
      <c r="F39" s="407"/>
      <c r="G39" s="408">
        <f>IF(E39&lt;8,Factors!H$18,IF(E39&lt;9,Factors!H$19,IF(E39&lt;10,Factors!H$20,IF(E39&lt;11,Factors!H$21,IF(E39&lt;12,Factors!H$22,IF(E39&lt;13,Factors!H$23))))))</f>
        <v>1.3238434163701067</v>
      </c>
      <c r="H39" s="409">
        <f>D39*F39*G39</f>
        <v>0</v>
      </c>
      <c r="I39" s="410"/>
      <c r="J39" s="411"/>
      <c r="K39" s="412"/>
    </row>
    <row r="40" spans="1:19" x14ac:dyDescent="0.25">
      <c r="A40" s="680" t="s">
        <v>94</v>
      </c>
      <c r="B40" s="683"/>
      <c r="C40" s="406" t="s">
        <v>43</v>
      </c>
      <c r="F40" s="407"/>
      <c r="G40" s="408">
        <f>IF(E40&lt;8,Factors!H$18,IF(E40&lt;9,Factors!H$19,IF(E40&lt;10,Factors!H$20,IF(E40&lt;11,Factors!H$21,IF(E40&lt;12,Factors!H$22,IF(E40&lt;13,Factors!H$23))))))</f>
        <v>1.3238434163701067</v>
      </c>
      <c r="H40" s="409">
        <f>D40*F40*G40</f>
        <v>0</v>
      </c>
      <c r="I40" s="406"/>
      <c r="J40" s="411"/>
      <c r="K40" s="412"/>
      <c r="S40" s="368"/>
    </row>
    <row r="41" spans="1:19" x14ac:dyDescent="0.25">
      <c r="A41" s="680"/>
      <c r="B41" s="683"/>
      <c r="C41" s="406" t="s">
        <v>166</v>
      </c>
      <c r="F41" s="407"/>
      <c r="G41" s="408">
        <f>IF(E41&lt;8,Factors!H$18,IF(E41&lt;9,Factors!H$19,IF(E41&lt;10,Factors!H$20,IF(E41&lt;11,Factors!H$21,IF(E41&lt;12,Factors!H$22,IF(E41&lt;13,Factors!H$23))))))</f>
        <v>1.3238434163701067</v>
      </c>
      <c r="H41" s="409">
        <f>D41*F41*G41</f>
        <v>0</v>
      </c>
      <c r="I41" s="410"/>
      <c r="J41" s="411"/>
      <c r="K41" s="412"/>
    </row>
    <row r="42" spans="1:19" ht="15.75" thickBot="1" x14ac:dyDescent="0.3">
      <c r="A42" s="680"/>
      <c r="B42" s="683"/>
      <c r="C42" s="415" t="s">
        <v>158</v>
      </c>
      <c r="D42" s="416"/>
      <c r="E42" s="416"/>
      <c r="F42" s="417"/>
      <c r="G42" s="418">
        <f>IF(E42&lt;8,Factors!H$18,IF(E42&lt;9,Factors!H$19,IF(E42&lt;10,Factors!H$20,IF(E42&lt;11,Factors!H$21,IF(E42&lt;12,Factors!H$22,IF(E42&lt;13,Factors!H$23))))))</f>
        <v>1.3238434163701067</v>
      </c>
      <c r="H42" s="419">
        <f>D42*F42*G42</f>
        <v>0</v>
      </c>
      <c r="I42" s="420"/>
      <c r="J42" s="421"/>
      <c r="K42" s="421"/>
    </row>
    <row r="43" spans="1:19" ht="15.75" thickTop="1" x14ac:dyDescent="0.25">
      <c r="A43" s="681"/>
      <c r="B43" s="684"/>
      <c r="C43" s="422"/>
      <c r="D43" s="423"/>
      <c r="E43" s="423"/>
      <c r="F43" s="424"/>
      <c r="G43" s="425"/>
      <c r="H43" s="426">
        <f>SUM(H38:H42)</f>
        <v>0</v>
      </c>
      <c r="I43" s="427">
        <f>AD7</f>
        <v>1.2003693444136661</v>
      </c>
      <c r="J43" s="428">
        <f>H43*I43*J$13+K43</f>
        <v>0</v>
      </c>
      <c r="K43" s="429">
        <f>K42+K41</f>
        <v>0</v>
      </c>
    </row>
    <row r="44" spans="1:19" x14ac:dyDescent="0.25">
      <c r="B44" s="397"/>
    </row>
    <row r="45" spans="1:19" x14ac:dyDescent="0.25">
      <c r="A45" s="679" t="s">
        <v>7</v>
      </c>
      <c r="B45" s="682">
        <v>45880</v>
      </c>
      <c r="C45" s="398" t="s">
        <v>9</v>
      </c>
      <c r="D45" s="399"/>
      <c r="E45" s="399"/>
      <c r="F45" s="400"/>
      <c r="G45" s="401">
        <f>IF(E45&lt;8,Factors!F$18,IF(E45&lt;9,Factors!F$19,IF(E45&lt;10,Factors!F$20,IF(E45&lt;11,Factors!F$21,IF(E45&lt;12,Factors!F$22,IF(E45&lt;13,Factors!F$23))))))</f>
        <v>1.2308917197452229</v>
      </c>
      <c r="H45" s="402">
        <f>D45*F45*G45</f>
        <v>0</v>
      </c>
      <c r="I45" s="403"/>
      <c r="J45" s="404"/>
      <c r="K45" s="405"/>
    </row>
    <row r="46" spans="1:19" x14ac:dyDescent="0.25">
      <c r="A46" s="680"/>
      <c r="B46" s="683"/>
      <c r="C46" s="406" t="s">
        <v>174</v>
      </c>
      <c r="F46" s="407"/>
      <c r="G46" s="408">
        <f>IF(E46&lt;8,Factors!H$18,IF(E46&lt;9,Factors!H$19,IF(E46&lt;10,Factors!H$20,IF(E46&lt;11,Factors!H$21,IF(E46&lt;12,Factors!H$22,IF(E46&lt;13,Factors!H$23))))))</f>
        <v>1.3238434163701067</v>
      </c>
      <c r="H46" s="409">
        <f>D46*F46*G46</f>
        <v>0</v>
      </c>
      <c r="I46" s="410"/>
      <c r="J46" s="411"/>
      <c r="K46" s="412"/>
      <c r="L46" s="413"/>
      <c r="M46" s="414"/>
    </row>
    <row r="47" spans="1:19" x14ac:dyDescent="0.25">
      <c r="A47" s="680" t="s">
        <v>94</v>
      </c>
      <c r="B47" s="683"/>
      <c r="C47" s="406" t="s">
        <v>43</v>
      </c>
      <c r="F47" s="407"/>
      <c r="G47" s="408">
        <f>IF(E47&lt;8,Factors!H$18,IF(E47&lt;9,Factors!H$19,IF(E47&lt;10,Factors!H$20,IF(E47&lt;11,Factors!H$21,IF(E47&lt;12,Factors!H$22,IF(E47&lt;13,Factors!H$23))))))</f>
        <v>1.3238434163701067</v>
      </c>
      <c r="H47" s="409">
        <f>D47*F47*G47</f>
        <v>0</v>
      </c>
      <c r="I47" s="406"/>
      <c r="J47" s="411"/>
      <c r="K47" s="412"/>
    </row>
    <row r="48" spans="1:19" x14ac:dyDescent="0.25">
      <c r="A48" s="680"/>
      <c r="B48" s="683"/>
      <c r="C48" s="406" t="s">
        <v>166</v>
      </c>
      <c r="F48" s="407"/>
      <c r="G48" s="408">
        <f>IF(E48&lt;8,Factors!H$18,IF(E48&lt;9,Factors!H$19,IF(E48&lt;10,Factors!H$20,IF(E48&lt;11,Factors!H$21,IF(E48&lt;12,Factors!H$22,IF(E48&lt;13,Factors!H$23))))))</f>
        <v>1.3238434163701067</v>
      </c>
      <c r="H48" s="409">
        <f>D48*F48*G48</f>
        <v>0</v>
      </c>
      <c r="I48" s="410"/>
      <c r="J48" s="411"/>
      <c r="K48" s="412"/>
    </row>
    <row r="49" spans="1:11" ht="15.75" thickBot="1" x14ac:dyDescent="0.3">
      <c r="A49" s="680"/>
      <c r="B49" s="683"/>
      <c r="C49" s="415" t="s">
        <v>158</v>
      </c>
      <c r="D49" s="416"/>
      <c r="E49" s="416"/>
      <c r="F49" s="417"/>
      <c r="G49" s="418">
        <f>IF(E49&lt;8,Factors!H$18,IF(E49&lt;9,Factors!H$19,IF(E49&lt;10,Factors!H$20,IF(E49&lt;11,Factors!H$21,IF(E49&lt;12,Factors!H$22,IF(E49&lt;13,Factors!H$23))))))</f>
        <v>1.3238434163701067</v>
      </c>
      <c r="H49" s="419">
        <f>D49*F49*G49</f>
        <v>0</v>
      </c>
      <c r="I49" s="420"/>
      <c r="J49" s="421"/>
      <c r="K49" s="421"/>
    </row>
    <row r="50" spans="1:11" ht="15.75" thickTop="1" x14ac:dyDescent="0.25">
      <c r="A50" s="681"/>
      <c r="B50" s="684"/>
      <c r="C50" s="422"/>
      <c r="D50" s="423"/>
      <c r="E50" s="423"/>
      <c r="F50" s="424"/>
      <c r="G50" s="425"/>
      <c r="H50" s="426">
        <f>SUM(H45:H49)</f>
        <v>0</v>
      </c>
      <c r="I50" s="427">
        <f>AD7</f>
        <v>1.2003693444136661</v>
      </c>
      <c r="J50" s="428">
        <f>H50*I50*J$13+K50</f>
        <v>0</v>
      </c>
      <c r="K50" s="429">
        <f>K49+K48</f>
        <v>0</v>
      </c>
    </row>
    <row r="51" spans="1:11" x14ac:dyDescent="0.25">
      <c r="B51" s="397"/>
    </row>
    <row r="52" spans="1:11" x14ac:dyDescent="0.25">
      <c r="A52" s="679" t="s">
        <v>94</v>
      </c>
      <c r="B52" s="682">
        <f>B45+1</f>
        <v>45881</v>
      </c>
      <c r="C52" s="398" t="s">
        <v>9</v>
      </c>
      <c r="D52" s="399"/>
      <c r="E52" s="399"/>
      <c r="F52" s="400"/>
      <c r="G52" s="401">
        <f>IF(E52&lt;8,Factors!F$18,IF(E52&lt;9,Factors!F$19,IF(E52&lt;10,Factors!F$20,IF(E52&lt;11,Factors!F$21,IF(E52&lt;12,Factors!F$22,IF(E52&lt;13,Factors!F$23))))))</f>
        <v>1.2308917197452229</v>
      </c>
      <c r="H52" s="402">
        <f>D52*F52*G52</f>
        <v>0</v>
      </c>
      <c r="I52" s="403"/>
      <c r="J52" s="404"/>
      <c r="K52" s="405"/>
    </row>
    <row r="53" spans="1:11" x14ac:dyDescent="0.25">
      <c r="A53" s="680"/>
      <c r="B53" s="683"/>
      <c r="C53" s="406" t="s">
        <v>174</v>
      </c>
      <c r="F53" s="407"/>
      <c r="G53" s="408">
        <f>IF(E53&lt;8,Factors!H$18,IF(E53&lt;9,Factors!H$19,IF(E53&lt;10,Factors!H$20,IF(E53&lt;11,Factors!H$21,IF(E53&lt;12,Factors!H$22,IF(E53&lt;13,Factors!H$23))))))</f>
        <v>1.3238434163701067</v>
      </c>
      <c r="H53" s="409">
        <f>D53*F53*G53</f>
        <v>0</v>
      </c>
      <c r="I53" s="410"/>
      <c r="J53" s="411"/>
      <c r="K53" s="412"/>
    </row>
    <row r="54" spans="1:11" x14ac:dyDescent="0.25">
      <c r="A54" s="680" t="s">
        <v>94</v>
      </c>
      <c r="B54" s="683"/>
      <c r="C54" s="406" t="s">
        <v>43</v>
      </c>
      <c r="E54" s="529"/>
      <c r="F54" s="407"/>
      <c r="G54" s="408">
        <f>IF(E54&lt;8,Factors!H$18,IF(E54&lt;9,Factors!H$19,IF(E54&lt;10,Factors!H$20,IF(E54&lt;11,Factors!H$21,IF(E54&lt;12,Factors!H$22,IF(E54&lt;13,Factors!H$23))))))</f>
        <v>1.3238434163701067</v>
      </c>
      <c r="H54" s="409">
        <f>D54*F54*G54</f>
        <v>0</v>
      </c>
      <c r="I54" s="406"/>
      <c r="J54" s="411"/>
      <c r="K54" s="412"/>
    </row>
    <row r="55" spans="1:11" x14ac:dyDescent="0.25">
      <c r="A55" s="680"/>
      <c r="B55" s="683"/>
      <c r="C55" s="406" t="s">
        <v>166</v>
      </c>
      <c r="E55" s="529"/>
      <c r="F55" s="407"/>
      <c r="G55" s="408">
        <f>IF(E55&lt;8,Factors!H$18,IF(E55&lt;9,Factors!H$19,IF(E55&lt;10,Factors!H$20,IF(E55&lt;11,Factors!H$21,IF(E55&lt;12,Factors!H$22,IF(E55&lt;13,Factors!H$23))))))</f>
        <v>1.3238434163701067</v>
      </c>
      <c r="H55" s="409">
        <f>D55*F55*G55</f>
        <v>0</v>
      </c>
      <c r="I55" s="410"/>
      <c r="J55" s="411"/>
      <c r="K55" s="412"/>
    </row>
    <row r="56" spans="1:11" ht="15.75" thickBot="1" x14ac:dyDescent="0.3">
      <c r="A56" s="680"/>
      <c r="B56" s="683"/>
      <c r="C56" s="415" t="s">
        <v>158</v>
      </c>
      <c r="D56" s="416"/>
      <c r="E56" s="530"/>
      <c r="F56" s="417"/>
      <c r="G56" s="418">
        <f>IF(E56&lt;8,Factors!H$18,IF(E56&lt;9,Factors!H$19,IF(E56&lt;10,Factors!H$20,IF(E56&lt;11,Factors!H$21,IF(E56&lt;12,Factors!H$22,IF(E56&lt;13,Factors!H$23))))))</f>
        <v>1.3238434163701067</v>
      </c>
      <c r="H56" s="419">
        <f>D56*F56*G56</f>
        <v>0</v>
      </c>
      <c r="I56" s="420"/>
      <c r="J56" s="421"/>
      <c r="K56" s="421"/>
    </row>
    <row r="57" spans="1:11" ht="15.75" thickTop="1" x14ac:dyDescent="0.25">
      <c r="A57" s="681"/>
      <c r="B57" s="684"/>
      <c r="C57" s="422"/>
      <c r="D57" s="423"/>
      <c r="E57" s="423"/>
      <c r="F57" s="424"/>
      <c r="G57" s="425"/>
      <c r="H57" s="426">
        <f>SUM(H52:H56)</f>
        <v>0</v>
      </c>
      <c r="I57" s="427">
        <f>AB7</f>
        <v>1.1784511784511784</v>
      </c>
      <c r="J57" s="428">
        <f>H57*I57*J$13+K57</f>
        <v>0</v>
      </c>
      <c r="K57" s="429">
        <f>K56+K55</f>
        <v>0</v>
      </c>
    </row>
    <row r="58" spans="1:11" x14ac:dyDescent="0.25">
      <c r="B58" s="397"/>
      <c r="F58" s="407"/>
      <c r="G58" s="414"/>
      <c r="H58" s="414"/>
      <c r="I58" s="430"/>
    </row>
    <row r="59" spans="1:11" x14ac:dyDescent="0.25">
      <c r="A59" s="679" t="s">
        <v>11</v>
      </c>
      <c r="B59" s="682">
        <f>B52+1</f>
        <v>45882</v>
      </c>
      <c r="C59" s="398" t="s">
        <v>9</v>
      </c>
      <c r="D59" s="399"/>
      <c r="E59" s="399"/>
      <c r="F59" s="400"/>
      <c r="G59" s="401">
        <f>IF(E59&lt;8,Factors!F$18,IF(E59&lt;9,Factors!F$19,IF(E59&lt;10,Factors!F$20,IF(E59&lt;11,Factors!F$21,IF(E59&lt;12,Factors!F$22,IF(E59&lt;13,Factors!F$23))))))</f>
        <v>1.2308917197452229</v>
      </c>
      <c r="H59" s="402">
        <f>D59*F59*G59</f>
        <v>0</v>
      </c>
      <c r="I59" s="403"/>
      <c r="J59" s="404"/>
      <c r="K59" s="405"/>
    </row>
    <row r="60" spans="1:11" x14ac:dyDescent="0.25">
      <c r="A60" s="680"/>
      <c r="B60" s="683"/>
      <c r="C60" s="406" t="s">
        <v>174</v>
      </c>
      <c r="F60" s="407"/>
      <c r="G60" s="408">
        <f>IF(E60&lt;8,Factors!H$18,IF(E60&lt;9,Factors!H$19,IF(E60&lt;10,Factors!H$20,IF(E60&lt;11,Factors!H$21,IF(E60&lt;12,Factors!H$22,IF(E60&lt;13,Factors!H$23))))))</f>
        <v>1.3238434163701067</v>
      </c>
      <c r="H60" s="409">
        <f>D60*F60*G60</f>
        <v>0</v>
      </c>
      <c r="I60" s="410"/>
      <c r="J60" s="411"/>
      <c r="K60" s="412"/>
    </row>
    <row r="61" spans="1:11" x14ac:dyDescent="0.25">
      <c r="A61" s="680" t="s">
        <v>94</v>
      </c>
      <c r="B61" s="683"/>
      <c r="C61" s="406" t="s">
        <v>43</v>
      </c>
      <c r="E61" s="529"/>
      <c r="F61" s="407"/>
      <c r="G61" s="408">
        <f>IF(E61&lt;8,Factors!H$18,IF(E61&lt;9,Factors!H$19,IF(E61&lt;10,Factors!H$20,IF(E61&lt;11,Factors!H$21,IF(E61&lt;12,Factors!H$22,IF(E61&lt;13,Factors!H$23))))))</f>
        <v>1.3238434163701067</v>
      </c>
      <c r="H61" s="409">
        <f>D61*F61*G61</f>
        <v>0</v>
      </c>
      <c r="I61" s="406"/>
      <c r="J61" s="411"/>
      <c r="K61" s="412"/>
    </row>
    <row r="62" spans="1:11" x14ac:dyDescent="0.25">
      <c r="A62" s="680"/>
      <c r="B62" s="683"/>
      <c r="C62" s="406" t="s">
        <v>166</v>
      </c>
      <c r="E62" s="529"/>
      <c r="F62" s="407"/>
      <c r="G62" s="408">
        <f>IF(E62&lt;8,Factors!H$18,IF(E62&lt;9,Factors!H$19,IF(E62&lt;10,Factors!H$20,IF(E62&lt;11,Factors!H$21,IF(E62&lt;12,Factors!H$22,IF(E62&lt;13,Factors!H$23))))))</f>
        <v>1.3238434163701067</v>
      </c>
      <c r="H62" s="409">
        <f>D62*F62*G62</f>
        <v>0</v>
      </c>
      <c r="I62" s="410"/>
      <c r="J62" s="411"/>
      <c r="K62" s="412"/>
    </row>
    <row r="63" spans="1:11" ht="15.75" thickBot="1" x14ac:dyDescent="0.3">
      <c r="A63" s="680"/>
      <c r="B63" s="683"/>
      <c r="C63" s="415" t="s">
        <v>158</v>
      </c>
      <c r="D63" s="416"/>
      <c r="E63" s="530"/>
      <c r="F63" s="417"/>
      <c r="G63" s="418">
        <f>IF(E63&lt;8,Factors!H$18,IF(E63&lt;9,Factors!H$19,IF(E63&lt;10,Factors!H$20,IF(E63&lt;11,Factors!H$21,IF(E63&lt;12,Factors!H$22,IF(E63&lt;13,Factors!H$23))))))</f>
        <v>1.3238434163701067</v>
      </c>
      <c r="H63" s="419">
        <f>D63*F63*G63</f>
        <v>0</v>
      </c>
      <c r="I63" s="420"/>
      <c r="J63" s="421"/>
      <c r="K63" s="421"/>
    </row>
    <row r="64" spans="1:11" ht="15.75" thickTop="1" x14ac:dyDescent="0.25">
      <c r="A64" s="681"/>
      <c r="B64" s="684"/>
      <c r="C64" s="422"/>
      <c r="D64" s="423"/>
      <c r="E64" s="423"/>
      <c r="F64" s="424"/>
      <c r="G64" s="425"/>
      <c r="H64" s="426">
        <f>SUM(H59:H63)</f>
        <v>0</v>
      </c>
      <c r="I64" s="427">
        <f>AB7</f>
        <v>1.1784511784511784</v>
      </c>
      <c r="J64" s="428">
        <f>H64*I64*J$13+K64</f>
        <v>0</v>
      </c>
      <c r="K64" s="429">
        <f>K63+K62</f>
        <v>0</v>
      </c>
    </row>
    <row r="65" spans="1:14" x14ac:dyDescent="0.25">
      <c r="B65" s="397"/>
      <c r="F65" s="407"/>
    </row>
    <row r="66" spans="1:14" x14ac:dyDescent="0.25">
      <c r="A66" s="679" t="s">
        <v>95</v>
      </c>
      <c r="B66" s="682">
        <f>B59+1</f>
        <v>45883</v>
      </c>
      <c r="C66" s="398" t="s">
        <v>9</v>
      </c>
      <c r="D66" s="399"/>
      <c r="E66" s="399"/>
      <c r="F66" s="400"/>
      <c r="G66" s="401">
        <f>IF(E66&lt;8,Factors!F$18,IF(E66&lt;9,Factors!F$19,IF(E66&lt;10,Factors!F$20,IF(E66&lt;11,Factors!F$21,IF(E66&lt;12,Factors!F$22,IF(E66&lt;13,Factors!F$23))))))</f>
        <v>1.2308917197452229</v>
      </c>
      <c r="H66" s="402">
        <f>D66*F66*G66</f>
        <v>0</v>
      </c>
      <c r="I66" s="403"/>
      <c r="J66" s="404"/>
      <c r="K66" s="405"/>
    </row>
    <row r="67" spans="1:14" x14ac:dyDescent="0.25">
      <c r="A67" s="680"/>
      <c r="B67" s="683"/>
      <c r="C67" s="406" t="s">
        <v>174</v>
      </c>
      <c r="F67" s="407"/>
      <c r="G67" s="408">
        <f>IF(E67&lt;8,Factors!H$18,IF(E67&lt;9,Factors!H$19,IF(E67&lt;10,Factors!H$20,IF(E67&lt;11,Factors!H$21,IF(E67&lt;12,Factors!H$22,IF(E67&lt;13,Factors!H$23))))))</f>
        <v>1.3238434163701067</v>
      </c>
      <c r="H67" s="409">
        <f>D67*F67*G67</f>
        <v>0</v>
      </c>
      <c r="I67" s="410"/>
      <c r="J67" s="411"/>
      <c r="K67" s="412"/>
    </row>
    <row r="68" spans="1:14" x14ac:dyDescent="0.25">
      <c r="A68" s="680" t="s">
        <v>94</v>
      </c>
      <c r="B68" s="683"/>
      <c r="C68" s="406" t="s">
        <v>43</v>
      </c>
      <c r="E68" s="529"/>
      <c r="F68" s="407"/>
      <c r="G68" s="408">
        <f>IF(E68&lt;8,Factors!H$18,IF(E68&lt;9,Factors!H$19,IF(E68&lt;10,Factors!H$20,IF(E68&lt;11,Factors!H$21,IF(E68&lt;12,Factors!H$22,IF(E68&lt;13,Factors!H$23))))))</f>
        <v>1.3238434163701067</v>
      </c>
      <c r="H68" s="409">
        <f>D68*F68*G68</f>
        <v>0</v>
      </c>
      <c r="I68" s="406"/>
      <c r="J68" s="411"/>
      <c r="K68" s="412"/>
    </row>
    <row r="69" spans="1:14" x14ac:dyDescent="0.25">
      <c r="A69" s="680"/>
      <c r="B69" s="683"/>
      <c r="C69" s="406" t="s">
        <v>166</v>
      </c>
      <c r="F69" s="407"/>
      <c r="G69" s="408">
        <f>IF(E69&lt;8,Factors!H$18,IF(E69&lt;9,Factors!H$19,IF(E69&lt;10,Factors!H$20,IF(E69&lt;11,Factors!H$21,IF(E69&lt;12,Factors!H$22,IF(E69&lt;13,Factors!H$23))))))</f>
        <v>1.3238434163701067</v>
      </c>
      <c r="H69" s="409">
        <f>D69*F69*G69</f>
        <v>0</v>
      </c>
      <c r="I69" s="410"/>
      <c r="J69" s="411"/>
      <c r="K69" s="412"/>
      <c r="M69" s="363">
        <v>19.399999999999999</v>
      </c>
      <c r="N69" s="363">
        <v>8</v>
      </c>
    </row>
    <row r="70" spans="1:14" ht="15.75" thickBot="1" x14ac:dyDescent="0.3">
      <c r="A70" s="680"/>
      <c r="B70" s="683"/>
      <c r="C70" s="415" t="s">
        <v>158</v>
      </c>
      <c r="D70" s="416"/>
      <c r="E70" s="416"/>
      <c r="F70" s="417"/>
      <c r="G70" s="418">
        <f>IF(E70&lt;8,Factors!H$18,IF(E70&lt;9,Factors!H$19,IF(E70&lt;10,Factors!H$20,IF(E70&lt;11,Factors!H$21,IF(E70&lt;12,Factors!H$22,IF(E70&lt;13,Factors!H$23))))))</f>
        <v>1.3238434163701067</v>
      </c>
      <c r="H70" s="419">
        <f>D70*F70*G70</f>
        <v>0</v>
      </c>
      <c r="I70" s="420"/>
      <c r="J70" s="421"/>
      <c r="K70" s="421"/>
    </row>
    <row r="71" spans="1:14" ht="15.75" thickTop="1" x14ac:dyDescent="0.25">
      <c r="A71" s="681"/>
      <c r="B71" s="684"/>
      <c r="C71" s="422"/>
      <c r="D71" s="423"/>
      <c r="E71" s="423"/>
      <c r="F71" s="424"/>
      <c r="G71" s="425"/>
      <c r="H71" s="426">
        <f>SUM(H66:H70)</f>
        <v>0</v>
      </c>
      <c r="I71" s="427">
        <f>Y7</f>
        <v>64.539007092198588</v>
      </c>
      <c r="J71" s="428">
        <f>H71*I71*J$13+K71</f>
        <v>0</v>
      </c>
      <c r="K71" s="429">
        <f>K70+K69</f>
        <v>0</v>
      </c>
    </row>
    <row r="72" spans="1:14" x14ac:dyDescent="0.25">
      <c r="B72" s="397"/>
      <c r="J72" s="430"/>
    </row>
    <row r="73" spans="1:14" x14ac:dyDescent="0.25">
      <c r="A73" s="679" t="s">
        <v>13</v>
      </c>
      <c r="B73" s="682">
        <f>B66+1</f>
        <v>45884</v>
      </c>
      <c r="C73" s="398" t="s">
        <v>9</v>
      </c>
      <c r="D73" s="399"/>
      <c r="E73" s="573"/>
      <c r="F73" s="400"/>
      <c r="G73" s="401">
        <f>IF(E73&lt;8,Factors!F$18,IF(E73&lt;9,Factors!F$19,IF(E73&lt;10,Factors!F$20,IF(E73&lt;11,Factors!F$21,IF(E73&lt;12,Factors!F$22,IF(E73&lt;13,Factors!F$23))))))</f>
        <v>1.2308917197452229</v>
      </c>
      <c r="H73" s="402">
        <f>D73*F73*G73</f>
        <v>0</v>
      </c>
      <c r="I73" s="403"/>
      <c r="J73" s="404"/>
      <c r="K73" s="405"/>
    </row>
    <row r="74" spans="1:14" x14ac:dyDescent="0.25">
      <c r="A74" s="680"/>
      <c r="B74" s="683"/>
      <c r="C74" s="406" t="s">
        <v>174</v>
      </c>
      <c r="E74" s="414"/>
      <c r="F74" s="407"/>
      <c r="G74" s="408">
        <f>IF(E74&lt;8,Factors!H$18,IF(E74&lt;9,Factors!H$19,IF(E74&lt;10,Factors!H$20,IF(E74&lt;11,Factors!H$21,IF(E74&lt;12,Factors!H$22,IF(E74&lt;13,Factors!H$23))))))</f>
        <v>1.3238434163701067</v>
      </c>
      <c r="H74" s="409">
        <f>D74*F74*G74</f>
        <v>0</v>
      </c>
      <c r="I74" s="410"/>
      <c r="J74" s="411"/>
      <c r="K74" s="412"/>
    </row>
    <row r="75" spans="1:14" x14ac:dyDescent="0.25">
      <c r="A75" s="680" t="s">
        <v>94</v>
      </c>
      <c r="B75" s="683"/>
      <c r="C75" s="406" t="s">
        <v>43</v>
      </c>
      <c r="E75" s="414"/>
      <c r="F75" s="407"/>
      <c r="G75" s="408">
        <f>IF(E75&lt;8,Factors!H$18,IF(E75&lt;9,Factors!H$19,IF(E75&lt;10,Factors!H$20,IF(E75&lt;11,Factors!H$21,IF(E75&lt;12,Factors!H$22,IF(E75&lt;13,Factors!H$23))))))</f>
        <v>1.3238434163701067</v>
      </c>
      <c r="H75" s="409">
        <f>D75*F75*G75</f>
        <v>0</v>
      </c>
      <c r="I75" s="406"/>
      <c r="J75" s="411"/>
      <c r="K75" s="412"/>
    </row>
    <row r="76" spans="1:14" x14ac:dyDescent="0.25">
      <c r="A76" s="680"/>
      <c r="B76" s="683"/>
      <c r="C76" s="406" t="s">
        <v>166</v>
      </c>
      <c r="E76" s="414"/>
      <c r="F76" s="407"/>
      <c r="G76" s="408">
        <f>IF(E76&lt;8,Factors!H$18,IF(E76&lt;9,Factors!H$19,IF(E76&lt;10,Factors!H$20,IF(E76&lt;11,Factors!H$21,IF(E76&lt;12,Factors!H$22,IF(E76&lt;13,Factors!H$23))))))</f>
        <v>1.3238434163701067</v>
      </c>
      <c r="H76" s="409">
        <f>D76*F76*G76</f>
        <v>0</v>
      </c>
      <c r="I76" s="410"/>
      <c r="J76" s="411"/>
      <c r="K76" s="412"/>
    </row>
    <row r="77" spans="1:14" ht="15.75" thickBot="1" x14ac:dyDescent="0.3">
      <c r="A77" s="680"/>
      <c r="B77" s="683"/>
      <c r="C77" s="415" t="s">
        <v>158</v>
      </c>
      <c r="D77" s="416"/>
      <c r="E77" s="574"/>
      <c r="F77" s="417"/>
      <c r="G77" s="418">
        <f>IF(E77&lt;8,Factors!H$18,IF(E77&lt;9,Factors!H$19,IF(E77&lt;10,Factors!H$20,IF(E77&lt;11,Factors!H$21,IF(E77&lt;12,Factors!H$22,IF(E77&lt;13,Factors!H$23))))))</f>
        <v>1.3238434163701067</v>
      </c>
      <c r="H77" s="419">
        <f>D77*F77*G77</f>
        <v>0</v>
      </c>
      <c r="I77" s="420"/>
      <c r="J77" s="421"/>
      <c r="K77" s="421"/>
    </row>
    <row r="78" spans="1:14" ht="15.75" thickTop="1" x14ac:dyDescent="0.25">
      <c r="A78" s="681"/>
      <c r="B78" s="684"/>
      <c r="C78" s="422"/>
      <c r="D78" s="423"/>
      <c r="E78" s="425"/>
      <c r="F78" s="424"/>
      <c r="G78" s="425"/>
      <c r="H78" s="426">
        <f>SUM(H73:H77)</f>
        <v>0</v>
      </c>
      <c r="I78" s="427">
        <v>1.2</v>
      </c>
      <c r="J78" s="428">
        <f>H78*I78*J$13+K78</f>
        <v>0</v>
      </c>
      <c r="K78" s="429">
        <f>K77+K76</f>
        <v>0</v>
      </c>
    </row>
    <row r="79" spans="1:14" x14ac:dyDescent="0.25">
      <c r="B79" s="397"/>
      <c r="E79" s="414"/>
    </row>
    <row r="80" spans="1:14" x14ac:dyDescent="0.25">
      <c r="A80" s="680" t="s">
        <v>14</v>
      </c>
      <c r="B80" s="682">
        <f>B73+1</f>
        <v>45885</v>
      </c>
      <c r="C80" s="398" t="s">
        <v>9</v>
      </c>
      <c r="D80" s="399">
        <v>9</v>
      </c>
      <c r="E80" s="573">
        <v>8.4</v>
      </c>
      <c r="F80" s="575">
        <v>0.66</v>
      </c>
      <c r="G80" s="401">
        <f>IF(E80&lt;8,Factors!F$18,IF(E80&lt;9,Factors!F$19,IF(E80&lt;10,Factors!F$20,IF(E80&lt;11,Factors!F$21,IF(E80&lt;12,Factors!F$22,IF(E80&lt;13,Factors!F$23))))))</f>
        <v>1.0980113636363635</v>
      </c>
      <c r="H80" s="402">
        <f>D80*F80*G80</f>
        <v>6.5221875000000002</v>
      </c>
      <c r="I80" s="403"/>
      <c r="J80" s="404"/>
      <c r="K80" s="405"/>
    </row>
    <row r="81" spans="1:18" x14ac:dyDescent="0.25">
      <c r="A81" s="680"/>
      <c r="B81" s="683"/>
      <c r="C81" s="406" t="s">
        <v>174</v>
      </c>
      <c r="D81" s="363">
        <v>1</v>
      </c>
      <c r="E81" s="414">
        <v>8.9</v>
      </c>
      <c r="F81" s="576">
        <v>0.66</v>
      </c>
      <c r="G81" s="408">
        <f>IF(E81&lt;8,Factors!H$18,IF(E81&lt;9,Factors!H$19,IF(E81&lt;10,Factors!H$20,IF(E81&lt;11,Factors!H$21,IF(E81&lt;12,Factors!H$22,IF(E81&lt;13,Factors!H$23))))))</f>
        <v>1.1104477611940298</v>
      </c>
      <c r="H81" s="409">
        <f>D81*F81*G81</f>
        <v>0.73289552238805966</v>
      </c>
      <c r="I81" s="410"/>
      <c r="J81" s="411"/>
      <c r="K81" s="412"/>
    </row>
    <row r="82" spans="1:18" x14ac:dyDescent="0.25">
      <c r="A82" s="680" t="s">
        <v>94</v>
      </c>
      <c r="B82" s="683"/>
      <c r="C82" s="406" t="s">
        <v>43</v>
      </c>
      <c r="D82" s="363">
        <v>3</v>
      </c>
      <c r="E82" s="414">
        <v>9.8000000000000007</v>
      </c>
      <c r="F82" s="407">
        <v>0.66</v>
      </c>
      <c r="G82" s="408">
        <f>IF(E82&lt;8,Factors!H$18,IF(E82&lt;9,Factors!H$19,IF(E82&lt;10,Factors!H$20,IF(E82&lt;11,Factors!H$21,IF(E82&lt;12,Factors!H$22,IF(E82&lt;13,Factors!H$23))))))</f>
        <v>1.024793388429752</v>
      </c>
      <c r="H82" s="409">
        <f>D82*F82*G82</f>
        <v>2.0290909090909088</v>
      </c>
      <c r="I82" s="406"/>
      <c r="J82" s="411"/>
      <c r="K82" s="412"/>
    </row>
    <row r="83" spans="1:18" x14ac:dyDescent="0.25">
      <c r="A83" s="680"/>
      <c r="B83" s="683"/>
      <c r="C83" s="406" t="s">
        <v>166</v>
      </c>
      <c r="D83" s="363">
        <v>3</v>
      </c>
      <c r="E83" s="414">
        <v>6.9</v>
      </c>
      <c r="F83" s="576">
        <v>0.5</v>
      </c>
      <c r="G83" s="408">
        <f>IF(E83&lt;8,Factors!H$18,IF(E83&lt;9,Factors!H$19,IF(E83&lt;10,Factors!H$20,IF(E83&lt;11,Factors!H$21,IF(E83&lt;12,Factors!H$22,IF(E83&lt;13,Factors!H$23))))))</f>
        <v>1.3238434163701067</v>
      </c>
      <c r="H83" s="409">
        <f>D83*F83*G83</f>
        <v>1.9857651245551602</v>
      </c>
      <c r="I83" s="410"/>
      <c r="J83" s="411"/>
      <c r="K83" s="412"/>
    </row>
    <row r="84" spans="1:18" ht="15.75" thickBot="1" x14ac:dyDescent="0.3">
      <c r="A84" s="680"/>
      <c r="B84" s="683"/>
      <c r="C84" s="415" t="s">
        <v>158</v>
      </c>
      <c r="D84" s="416">
        <v>2</v>
      </c>
      <c r="E84" s="574">
        <v>7</v>
      </c>
      <c r="F84" s="417">
        <v>0.5</v>
      </c>
      <c r="G84" s="418">
        <f>IF(E84&lt;8,Factors!H$18,IF(E84&lt;9,Factors!H$19,IF(E84&lt;10,Factors!H$20,IF(E84&lt;11,Factors!H$21,IF(E84&lt;12,Factors!H$22,IF(E84&lt;13,Factors!H$23))))))</f>
        <v>1.3238434163701067</v>
      </c>
      <c r="H84" s="419">
        <f>D84*F84*G84</f>
        <v>1.3238434163701067</v>
      </c>
      <c r="I84" s="420"/>
      <c r="J84" s="421"/>
      <c r="K84" s="421"/>
    </row>
    <row r="85" spans="1:18" ht="15.75" thickTop="1" x14ac:dyDescent="0.25">
      <c r="A85" s="681"/>
      <c r="B85" s="684"/>
      <c r="C85" s="422"/>
      <c r="D85" s="423"/>
      <c r="E85" s="425"/>
      <c r="F85" s="424"/>
      <c r="G85" s="425"/>
      <c r="H85" s="426">
        <f>SUM(H80:H84)</f>
        <v>12.593782472404236</v>
      </c>
      <c r="I85" s="427">
        <v>1.238</v>
      </c>
      <c r="J85" s="428">
        <f>H85*I85*J$13+K85</f>
        <v>20.034566970574829</v>
      </c>
      <c r="K85" s="429">
        <f>K84+K83</f>
        <v>0</v>
      </c>
    </row>
    <row r="86" spans="1:18" x14ac:dyDescent="0.25">
      <c r="B86" s="397"/>
      <c r="E86" s="414"/>
      <c r="J86" s="430"/>
    </row>
    <row r="87" spans="1:18" x14ac:dyDescent="0.25">
      <c r="A87" s="679" t="s">
        <v>15</v>
      </c>
      <c r="B87" s="682">
        <f>B80+1</f>
        <v>45886</v>
      </c>
      <c r="C87" s="398" t="s">
        <v>9</v>
      </c>
      <c r="D87" s="399">
        <v>5</v>
      </c>
      <c r="E87" s="573">
        <v>8.1</v>
      </c>
      <c r="F87" s="575">
        <v>0.2</v>
      </c>
      <c r="G87" s="401">
        <v>1</v>
      </c>
      <c r="H87" s="402">
        <f>D87*F87*G87</f>
        <v>1</v>
      </c>
      <c r="I87" s="403"/>
      <c r="J87" s="404"/>
      <c r="K87" s="405"/>
    </row>
    <row r="88" spans="1:18" x14ac:dyDescent="0.25">
      <c r="A88" s="680"/>
      <c r="B88" s="683"/>
      <c r="C88" s="406" t="s">
        <v>174</v>
      </c>
      <c r="D88" s="363">
        <v>3</v>
      </c>
      <c r="E88" s="414">
        <v>8.5</v>
      </c>
      <c r="F88" s="576">
        <v>0.2</v>
      </c>
      <c r="G88" s="408">
        <f>IF(E88&lt;8,Factors!H$18,IF(E88&lt;9,Factors!H$19,IF(E88&lt;10,Factors!H$20,IF(E88&lt;11,Factors!H$21,IF(E88&lt;12,Factors!H$22,IF(E88&lt;13,Factors!H$23))))))</f>
        <v>1.1104477611940298</v>
      </c>
      <c r="H88" s="409">
        <f>D88*F88*G88</f>
        <v>0.666268656716418</v>
      </c>
      <c r="I88" s="410"/>
      <c r="J88" s="411"/>
      <c r="K88" s="412"/>
    </row>
    <row r="89" spans="1:18" x14ac:dyDescent="0.25">
      <c r="A89" s="680" t="s">
        <v>94</v>
      </c>
      <c r="B89" s="683"/>
      <c r="C89" s="406" t="s">
        <v>43</v>
      </c>
      <c r="D89" s="363">
        <v>5</v>
      </c>
      <c r="E89" s="414">
        <v>9.1999999999999993</v>
      </c>
      <c r="F89" s="407">
        <f>1/5</f>
        <v>0.2</v>
      </c>
      <c r="G89" s="408">
        <f>IF(E89&lt;8,Factors!H$18,IF(E89&lt;9,Factors!H$19,IF(E89&lt;10,Factors!H$20,IF(E89&lt;11,Factors!H$21,IF(E89&lt;12,Factors!H$22,IF(E89&lt;13,Factors!H$23))))))</f>
        <v>1.024793388429752</v>
      </c>
      <c r="H89" s="409">
        <f>D89*F89*G89</f>
        <v>1.024793388429752</v>
      </c>
      <c r="I89" s="406"/>
      <c r="J89" s="411"/>
      <c r="K89" s="412"/>
    </row>
    <row r="90" spans="1:18" x14ac:dyDescent="0.25">
      <c r="A90" s="680"/>
      <c r="B90" s="683"/>
      <c r="C90" s="406" t="s">
        <v>166</v>
      </c>
      <c r="D90" s="363">
        <v>2</v>
      </c>
      <c r="E90" s="414">
        <v>7.9</v>
      </c>
      <c r="F90" s="576">
        <v>0.25</v>
      </c>
      <c r="G90" s="408">
        <f>IF(E90&lt;8,Factors!H$18,IF(E90&lt;9,Factors!H$19,IF(E90&lt;10,Factors!H$20,IF(E90&lt;11,Factors!H$21,IF(E90&lt;12,Factors!H$22,IF(E90&lt;13,Factors!H$23))))))</f>
        <v>1.3238434163701067</v>
      </c>
      <c r="H90" s="409">
        <f>D90*F90*G90</f>
        <v>0.66192170818505336</v>
      </c>
      <c r="I90" s="410"/>
      <c r="J90" s="411"/>
      <c r="K90" s="412"/>
    </row>
    <row r="91" spans="1:18" ht="15.75" thickBot="1" x14ac:dyDescent="0.3">
      <c r="A91" s="680"/>
      <c r="B91" s="683"/>
      <c r="C91" s="415" t="s">
        <v>158</v>
      </c>
      <c r="D91" s="416">
        <v>11</v>
      </c>
      <c r="E91" s="574">
        <v>7.9</v>
      </c>
      <c r="F91" s="417">
        <f>4/16</f>
        <v>0.25</v>
      </c>
      <c r="G91" s="418">
        <f>IF(E91&lt;8,Factors!H$18,IF(E91&lt;9,Factors!H$19,IF(E91&lt;10,Factors!H$20,IF(E91&lt;11,Factors!H$21,IF(E91&lt;12,Factors!H$22,IF(E91&lt;13,Factors!H$23))))))</f>
        <v>1.3238434163701067</v>
      </c>
      <c r="H91" s="419">
        <f>D91*F91*G91</f>
        <v>3.6405693950177933</v>
      </c>
      <c r="I91" s="420"/>
      <c r="J91" s="421"/>
      <c r="K91" s="421"/>
    </row>
    <row r="92" spans="1:18" ht="15.75" thickTop="1" x14ac:dyDescent="0.25">
      <c r="A92" s="681"/>
      <c r="B92" s="684"/>
      <c r="C92" s="422"/>
      <c r="D92" s="423"/>
      <c r="E92" s="425"/>
      <c r="F92" s="424"/>
      <c r="G92" s="425"/>
      <c r="H92" s="426">
        <f>SUM(H87:H91)</f>
        <v>6.993553148349017</v>
      </c>
      <c r="I92" s="427">
        <v>1.238</v>
      </c>
      <c r="J92" s="428">
        <f>H92*I92*J$13+K92</f>
        <v>11.125554154988066</v>
      </c>
      <c r="K92" s="429">
        <f>K91+K90</f>
        <v>0</v>
      </c>
    </row>
    <row r="93" spans="1:18" x14ac:dyDescent="0.25">
      <c r="B93" s="397"/>
      <c r="E93" s="414"/>
      <c r="M93" s="363">
        <v>0</v>
      </c>
      <c r="N93" s="363">
        <v>4</v>
      </c>
      <c r="O93" s="408">
        <f>M93/N93</f>
        <v>0</v>
      </c>
    </row>
    <row r="94" spans="1:18" x14ac:dyDescent="0.25">
      <c r="A94" s="679" t="s">
        <v>7</v>
      </c>
      <c r="B94" s="682">
        <f>B87+1</f>
        <v>45887</v>
      </c>
      <c r="C94" s="398" t="s">
        <v>9</v>
      </c>
      <c r="D94" s="616">
        <v>4</v>
      </c>
      <c r="E94" s="573"/>
      <c r="F94" s="400"/>
      <c r="G94" s="401">
        <f>IF(E94&lt;8,Factors!F$18,IF(E94&lt;9,Factors!F$19,IF(E94&lt;10,Factors!F$20,IF(E94&lt;11,Factors!F$21,IF(E94&lt;12,Factors!F$22,IF(E94&lt;13,Factors!F$23))))))</f>
        <v>1.2308917197452229</v>
      </c>
      <c r="H94" s="402">
        <f>D94*F94*G94</f>
        <v>0</v>
      </c>
      <c r="I94" s="403"/>
      <c r="J94" s="404"/>
      <c r="K94" s="405"/>
      <c r="M94" s="363">
        <v>1</v>
      </c>
      <c r="N94" s="363">
        <v>3</v>
      </c>
      <c r="O94" s="408">
        <f>M94/N94</f>
        <v>0.33333333333333331</v>
      </c>
    </row>
    <row r="95" spans="1:18" x14ac:dyDescent="0.25">
      <c r="A95" s="680"/>
      <c r="B95" s="683"/>
      <c r="C95" s="406" t="s">
        <v>174</v>
      </c>
      <c r="D95" s="444">
        <v>1</v>
      </c>
      <c r="E95" s="414"/>
      <c r="F95" s="407"/>
      <c r="G95" s="408">
        <f>IF(E95&lt;8,Factors!H$18,IF(E95&lt;9,Factors!H$19,IF(E95&lt;10,Factors!H$20,IF(E95&lt;11,Factors!H$21,IF(E95&lt;12,Factors!H$22,IF(E95&lt;13,Factors!H$23))))))</f>
        <v>1.3238434163701067</v>
      </c>
      <c r="H95" s="409">
        <f>D95*F95*G95</f>
        <v>0</v>
      </c>
      <c r="I95" s="410"/>
      <c r="J95" s="411"/>
      <c r="K95" s="412"/>
      <c r="M95" s="363">
        <v>6</v>
      </c>
      <c r="N95" s="414">
        <v>10</v>
      </c>
      <c r="O95" s="408">
        <f>M95/N95</f>
        <v>0.6</v>
      </c>
      <c r="P95" s="414"/>
      <c r="Q95" s="414"/>
      <c r="R95" s="430"/>
    </row>
    <row r="96" spans="1:18" x14ac:dyDescent="0.25">
      <c r="A96" s="680" t="s">
        <v>94</v>
      </c>
      <c r="B96" s="683"/>
      <c r="C96" s="406" t="s">
        <v>43</v>
      </c>
      <c r="D96" s="363">
        <v>2</v>
      </c>
      <c r="E96" s="414"/>
      <c r="F96" s="407"/>
      <c r="G96" s="408">
        <f>IF(E96&lt;8,Factors!H$18,IF(E96&lt;9,Factors!H$19,IF(E96&lt;10,Factors!H$20,IF(E96&lt;11,Factors!H$21,IF(E96&lt;12,Factors!H$22,IF(E96&lt;13,Factors!H$23))))))</f>
        <v>1.3238434163701067</v>
      </c>
      <c r="H96" s="409">
        <f>D96*F96*G96</f>
        <v>0</v>
      </c>
      <c r="I96" s="406"/>
      <c r="J96" s="411"/>
      <c r="K96" s="412"/>
      <c r="M96" s="363">
        <v>3</v>
      </c>
      <c r="N96" s="414">
        <v>11</v>
      </c>
      <c r="O96" s="408">
        <f>M96/N96</f>
        <v>0.27272727272727271</v>
      </c>
      <c r="P96" s="414"/>
      <c r="Q96" s="414"/>
      <c r="R96" s="430"/>
    </row>
    <row r="97" spans="1:18" x14ac:dyDescent="0.25">
      <c r="A97" s="680"/>
      <c r="B97" s="683"/>
      <c r="C97" s="406" t="s">
        <v>166</v>
      </c>
      <c r="D97" s="444">
        <v>2</v>
      </c>
      <c r="E97" s="414"/>
      <c r="F97" s="407"/>
      <c r="G97" s="408">
        <f>IF(E97&lt;8,Factors!H$18,IF(E97&lt;9,Factors!H$19,IF(E97&lt;10,Factors!H$20,IF(E97&lt;11,Factors!H$21,IF(E97&lt;12,Factors!H$22,IF(E97&lt;13,Factors!H$23))))))</f>
        <v>1.3238434163701067</v>
      </c>
      <c r="H97" s="409">
        <f>D97*F97*G97</f>
        <v>0</v>
      </c>
      <c r="I97" s="410"/>
      <c r="J97" s="411"/>
      <c r="K97" s="412"/>
      <c r="M97" s="363">
        <f>M96+M95+M94+M93</f>
        <v>10</v>
      </c>
      <c r="N97" s="363">
        <f>N96+N95+N94+N93</f>
        <v>28</v>
      </c>
      <c r="O97" s="408">
        <f>M97/N97</f>
        <v>0.35714285714285715</v>
      </c>
      <c r="P97" s="414"/>
      <c r="Q97" s="414"/>
      <c r="R97" s="430"/>
    </row>
    <row r="98" spans="1:18" ht="15.75" thickBot="1" x14ac:dyDescent="0.3">
      <c r="A98" s="680"/>
      <c r="B98" s="683"/>
      <c r="C98" s="415" t="s">
        <v>158</v>
      </c>
      <c r="D98" s="617">
        <v>3</v>
      </c>
      <c r="E98" s="574"/>
      <c r="F98" s="417"/>
      <c r="G98" s="418">
        <f>IF(E98&lt;8,Factors!H$18,IF(E98&lt;9,Factors!H$19,IF(E98&lt;10,Factors!H$20,IF(E98&lt;11,Factors!H$21,IF(E98&lt;12,Factors!H$22,IF(E98&lt;13,Factors!H$23))))))</f>
        <v>1.3238434163701067</v>
      </c>
      <c r="H98" s="419">
        <f>D98*F98*G98</f>
        <v>0</v>
      </c>
      <c r="I98" s="420"/>
      <c r="J98" s="421"/>
      <c r="K98" s="421"/>
      <c r="O98" s="408">
        <f>AVERAGE(O93:O96)</f>
        <v>0.30151515151515151</v>
      </c>
      <c r="R98" s="431"/>
    </row>
    <row r="99" spans="1:18" ht="15.75" thickTop="1" x14ac:dyDescent="0.25">
      <c r="A99" s="681"/>
      <c r="B99" s="684"/>
      <c r="C99" s="422"/>
      <c r="D99" s="423"/>
      <c r="E99" s="425"/>
      <c r="F99" s="424"/>
      <c r="G99" s="425"/>
      <c r="H99" s="426">
        <f>SUM(H94:H98)</f>
        <v>0</v>
      </c>
      <c r="I99" s="427">
        <v>1.238</v>
      </c>
      <c r="J99" s="428">
        <f>H99*I99*J$13+K99</f>
        <v>0</v>
      </c>
      <c r="K99" s="429">
        <f>K98+K97</f>
        <v>0</v>
      </c>
      <c r="R99" s="431"/>
    </row>
    <row r="100" spans="1:18" x14ac:dyDescent="0.25">
      <c r="B100" s="397"/>
      <c r="E100" s="414"/>
      <c r="J100" s="430"/>
    </row>
    <row r="101" spans="1:18" x14ac:dyDescent="0.25">
      <c r="A101" s="679" t="s">
        <v>94</v>
      </c>
      <c r="B101" s="682">
        <f>B94+1</f>
        <v>45888</v>
      </c>
      <c r="C101" s="398" t="s">
        <v>9</v>
      </c>
      <c r="D101" s="399">
        <v>3</v>
      </c>
      <c r="E101" s="573">
        <v>9</v>
      </c>
      <c r="F101" s="575">
        <v>0.14000000000000001</v>
      </c>
      <c r="G101" s="401">
        <f>IF(E101&lt;8,Factors!F$18,IF(E101&lt;9,Factors!F$19,IF(E101&lt;10,Factors!F$20,IF(E101&lt;11,Factors!F$21,IF(E101&lt;12,Factors!F$22,IF(E101&lt;13,Factors!F$23))))))</f>
        <v>1.034805890227577</v>
      </c>
      <c r="H101" s="402">
        <f>D101*F101*G101</f>
        <v>0.43461847389558239</v>
      </c>
      <c r="I101" s="403"/>
      <c r="J101" s="404"/>
      <c r="K101" s="405"/>
    </row>
    <row r="102" spans="1:18" x14ac:dyDescent="0.25">
      <c r="A102" s="680"/>
      <c r="B102" s="683"/>
      <c r="C102" s="406" t="s">
        <v>174</v>
      </c>
      <c r="D102" s="444">
        <v>1</v>
      </c>
      <c r="E102" s="414">
        <v>9</v>
      </c>
      <c r="F102" s="576">
        <v>0.14000000000000001</v>
      </c>
      <c r="G102" s="408">
        <f>IF(E102&lt;8,Factors!H$18,IF(E102&lt;9,Factors!H$19,IF(E102&lt;10,Factors!H$20,IF(E102&lt;11,Factors!H$21,IF(E102&lt;12,Factors!H$22,IF(E102&lt;13,Factors!H$23))))))</f>
        <v>1.024793388429752</v>
      </c>
      <c r="H102" s="409">
        <f>D102*F102*G102</f>
        <v>0.14347107438016529</v>
      </c>
      <c r="I102" s="410"/>
      <c r="J102" s="411"/>
      <c r="K102" s="412"/>
    </row>
    <row r="103" spans="1:18" x14ac:dyDescent="0.25">
      <c r="A103" s="680" t="s">
        <v>94</v>
      </c>
      <c r="B103" s="683"/>
      <c r="C103" s="406" t="s">
        <v>43</v>
      </c>
      <c r="D103" s="363">
        <v>2</v>
      </c>
      <c r="E103" s="414">
        <v>8.1999999999999993</v>
      </c>
      <c r="F103" s="576">
        <v>0.14000000000000001</v>
      </c>
      <c r="G103" s="408">
        <f>IF(E103&lt;8,Factors!H$18,IF(E103&lt;9,Factors!H$19,IF(E103&lt;10,Factors!H$20,IF(E103&lt;11,Factors!H$21,IF(E103&lt;12,Factors!H$22,IF(E103&lt;13,Factors!H$23))))))</f>
        <v>1.1104477611940298</v>
      </c>
      <c r="H103" s="409">
        <f>D103*F103*G103</f>
        <v>0.31092537313432839</v>
      </c>
      <c r="I103" s="406"/>
      <c r="J103" s="411"/>
      <c r="K103" s="412"/>
    </row>
    <row r="104" spans="1:18" x14ac:dyDescent="0.25">
      <c r="A104" s="680"/>
      <c r="B104" s="683"/>
      <c r="C104" s="406" t="s">
        <v>166</v>
      </c>
      <c r="D104" s="363">
        <v>5</v>
      </c>
      <c r="E104" s="414">
        <v>8</v>
      </c>
      <c r="F104" s="576">
        <v>0.14000000000000001</v>
      </c>
      <c r="G104" s="408">
        <f>IF(E104&lt;8,Factors!H$18,IF(E104&lt;9,Factors!H$19,IF(E104&lt;10,Factors!H$20,IF(E104&lt;11,Factors!H$21,IF(E104&lt;12,Factors!H$22,IF(E104&lt;13,Factors!H$23))))))</f>
        <v>1.1104477611940298</v>
      </c>
      <c r="H104" s="409">
        <f>D104*F104*G104</f>
        <v>0.77731343283582088</v>
      </c>
      <c r="I104" s="410"/>
      <c r="J104" s="411"/>
      <c r="K104" s="412"/>
    </row>
    <row r="105" spans="1:18" ht="15.75" thickBot="1" x14ac:dyDescent="0.3">
      <c r="A105" s="680"/>
      <c r="B105" s="683"/>
      <c r="C105" s="415" t="s">
        <v>158</v>
      </c>
      <c r="D105" s="416">
        <v>6</v>
      </c>
      <c r="E105" s="574">
        <v>8</v>
      </c>
      <c r="F105" s="417">
        <f>1/7</f>
        <v>0.14285714285714285</v>
      </c>
      <c r="G105" s="418">
        <f>IF(E105&lt;8,Factors!H$18,IF(E105&lt;9,Factors!H$19,IF(E105&lt;10,Factors!H$20,IF(E105&lt;11,Factors!H$21,IF(E105&lt;12,Factors!H$22,IF(E105&lt;13,Factors!H$23))))))</f>
        <v>1.1104477611940298</v>
      </c>
      <c r="H105" s="419">
        <f>D105*F105*G105</f>
        <v>0.95181236673773972</v>
      </c>
      <c r="I105" s="420"/>
      <c r="J105" s="421"/>
      <c r="K105" s="421"/>
    </row>
    <row r="106" spans="1:18" ht="15.75" thickTop="1" x14ac:dyDescent="0.25">
      <c r="A106" s="681"/>
      <c r="B106" s="684"/>
      <c r="C106" s="422"/>
      <c r="D106" s="423"/>
      <c r="E106" s="425"/>
      <c r="F106" s="424"/>
      <c r="G106" s="425"/>
      <c r="H106" s="426">
        <f>SUM(H101:H105)</f>
        <v>2.6181407209836367</v>
      </c>
      <c r="I106" s="427">
        <f>I7</f>
        <v>1.1305752267362406</v>
      </c>
      <c r="J106" s="428">
        <f>H106*I106*J$13+K106</f>
        <v>3.8036064754406951</v>
      </c>
      <c r="K106" s="429">
        <f>K105+K104</f>
        <v>0</v>
      </c>
    </row>
    <row r="107" spans="1:18" x14ac:dyDescent="0.25">
      <c r="B107" s="397"/>
      <c r="E107" s="414"/>
      <c r="F107" s="407"/>
      <c r="G107" s="414"/>
      <c r="H107" s="414"/>
      <c r="I107" s="430"/>
    </row>
    <row r="108" spans="1:18" x14ac:dyDescent="0.25">
      <c r="A108" s="679" t="s">
        <v>11</v>
      </c>
      <c r="B108" s="682">
        <f>B101+1</f>
        <v>45889</v>
      </c>
      <c r="C108" s="398" t="s">
        <v>9</v>
      </c>
      <c r="D108" s="399">
        <v>3</v>
      </c>
      <c r="E108" s="573">
        <v>8.5</v>
      </c>
      <c r="F108" s="575">
        <v>0.33</v>
      </c>
      <c r="G108" s="401">
        <f>IF(E108&lt;8,Factors!F$18,IF(E108&lt;9,Factors!F$19,IF(E108&lt;10,Factors!F$20,IF(E108&lt;11,Factors!F$21,IF(E108&lt;12,Factors!F$22,IF(E108&lt;13,Factors!F$23))))))</f>
        <v>1.0980113636363635</v>
      </c>
      <c r="H108" s="402">
        <f>D108*F108*G108</f>
        <v>1.0870312499999999</v>
      </c>
      <c r="I108" s="403"/>
      <c r="J108" s="404"/>
      <c r="K108" s="405"/>
    </row>
    <row r="109" spans="1:18" x14ac:dyDescent="0.25">
      <c r="A109" s="680"/>
      <c r="B109" s="683"/>
      <c r="C109" s="406" t="s">
        <v>174</v>
      </c>
      <c r="D109" s="363">
        <v>0</v>
      </c>
      <c r="E109" s="414">
        <v>9.3000000000000007</v>
      </c>
      <c r="F109" s="576">
        <v>0.33</v>
      </c>
      <c r="G109" s="408">
        <f>IF(E109&lt;8,Factors!H$18,IF(E109&lt;9,Factors!H$19,IF(E109&lt;10,Factors!H$20,IF(E109&lt;11,Factors!H$21,IF(E109&lt;12,Factors!H$22,IF(E109&lt;13,Factors!H$23))))))</f>
        <v>1.024793388429752</v>
      </c>
      <c r="H109" s="409">
        <f>D109*F109*G109</f>
        <v>0</v>
      </c>
      <c r="I109" s="410"/>
      <c r="J109" s="411"/>
      <c r="K109" s="412"/>
    </row>
    <row r="110" spans="1:18" x14ac:dyDescent="0.25">
      <c r="A110" s="680" t="s">
        <v>94</v>
      </c>
      <c r="B110" s="683"/>
      <c r="C110" s="406" t="s">
        <v>43</v>
      </c>
      <c r="D110" s="363">
        <v>3</v>
      </c>
      <c r="E110" s="414">
        <v>10</v>
      </c>
      <c r="F110" s="407">
        <f>1/3</f>
        <v>0.33333333333333331</v>
      </c>
      <c r="G110" s="408">
        <f>IF(E110&lt;8,Factors!H$18,IF(E110&lt;9,Factors!H$19,IF(E110&lt;10,Factors!H$20,IF(E110&lt;11,Factors!H$21,IF(E110&lt;12,Factors!H$22,IF(E110&lt;13,Factors!H$23))))))</f>
        <v>1</v>
      </c>
      <c r="H110" s="409">
        <f>D110*F110*G110</f>
        <v>1</v>
      </c>
      <c r="I110" s="406"/>
      <c r="J110" s="411"/>
      <c r="K110" s="412"/>
    </row>
    <row r="111" spans="1:18" x14ac:dyDescent="0.25">
      <c r="A111" s="680"/>
      <c r="B111" s="683"/>
      <c r="C111" s="406" t="s">
        <v>166</v>
      </c>
      <c r="D111" s="363">
        <v>4</v>
      </c>
      <c r="E111" s="414">
        <v>6.5</v>
      </c>
      <c r="F111" s="576">
        <v>0.1</v>
      </c>
      <c r="G111" s="408">
        <f>IF(E111&lt;8,Factors!H$18,IF(E111&lt;9,Factors!H$19,IF(E111&lt;10,Factors!H$20,IF(E111&lt;11,Factors!H$21,IF(E111&lt;12,Factors!H$22,IF(E111&lt;13,Factors!H$23))))))</f>
        <v>1.3238434163701067</v>
      </c>
      <c r="H111" s="409">
        <f>D111*F111*G111</f>
        <v>0.52953736654804273</v>
      </c>
      <c r="I111" s="410"/>
      <c r="J111" s="411"/>
      <c r="K111" s="412"/>
    </row>
    <row r="112" spans="1:18" ht="15.75" thickBot="1" x14ac:dyDescent="0.3">
      <c r="A112" s="680"/>
      <c r="B112" s="683"/>
      <c r="C112" s="415" t="s">
        <v>158</v>
      </c>
      <c r="D112" s="416">
        <v>6</v>
      </c>
      <c r="E112" s="574">
        <v>6.8</v>
      </c>
      <c r="F112" s="417">
        <f>1/10</f>
        <v>0.1</v>
      </c>
      <c r="G112" s="418">
        <f>IF(E112&lt;8,Factors!H$18,IF(E112&lt;9,Factors!H$19,IF(E112&lt;10,Factors!H$20,IF(E112&lt;11,Factors!H$21,IF(E112&lt;12,Factors!H$22,IF(E112&lt;13,Factors!H$23))))))</f>
        <v>1.3238434163701067</v>
      </c>
      <c r="H112" s="419">
        <f>D112*F112*G112</f>
        <v>0.7943060498220641</v>
      </c>
      <c r="I112" s="420"/>
      <c r="J112" s="421"/>
      <c r="K112" s="421"/>
    </row>
    <row r="113" spans="1:11" ht="15.75" thickTop="1" x14ac:dyDescent="0.25">
      <c r="A113" s="681"/>
      <c r="B113" s="684"/>
      <c r="C113" s="422"/>
      <c r="D113" s="423"/>
      <c r="E113" s="425"/>
      <c r="F113" s="424"/>
      <c r="G113" s="425"/>
      <c r="H113" s="426">
        <f>SUM(H108:H112)</f>
        <v>3.4108746663701068</v>
      </c>
      <c r="I113" s="427">
        <f>I7</f>
        <v>1.1305752267362406</v>
      </c>
      <c r="J113" s="428">
        <f>H113*I113*J$13+K113</f>
        <v>4.9552817631008628</v>
      </c>
      <c r="K113" s="429">
        <f>K112+K111</f>
        <v>0</v>
      </c>
    </row>
    <row r="114" spans="1:11" x14ac:dyDescent="0.25">
      <c r="B114" s="397"/>
      <c r="E114" s="414"/>
    </row>
    <row r="115" spans="1:11" x14ac:dyDescent="0.25">
      <c r="A115" s="679" t="s">
        <v>95</v>
      </c>
      <c r="B115" s="682">
        <f>B108+1</f>
        <v>45890</v>
      </c>
      <c r="C115" s="398" t="s">
        <v>9</v>
      </c>
      <c r="D115" s="399">
        <v>2</v>
      </c>
      <c r="E115" s="573">
        <v>9</v>
      </c>
      <c r="F115" s="575">
        <v>0</v>
      </c>
      <c r="G115" s="401">
        <f>IF(E115&lt;8,Factors!F$18,IF(E115&lt;9,Factors!F$19,IF(E115&lt;10,Factors!F$20,IF(E115&lt;11,Factors!F$21,IF(E115&lt;12,Factors!F$22,IF(E115&lt;13,Factors!F$23))))))</f>
        <v>1.034805890227577</v>
      </c>
      <c r="H115" s="402">
        <f>D115*F115*G115</f>
        <v>0</v>
      </c>
      <c r="I115" s="403"/>
      <c r="J115" s="404"/>
      <c r="K115" s="405"/>
    </row>
    <row r="116" spans="1:11" x14ac:dyDescent="0.25">
      <c r="A116" s="680"/>
      <c r="B116" s="683"/>
      <c r="C116" s="406" t="s">
        <v>174</v>
      </c>
      <c r="D116" s="444">
        <v>1</v>
      </c>
      <c r="E116" s="414">
        <v>9</v>
      </c>
      <c r="F116" s="576">
        <v>0</v>
      </c>
      <c r="G116" s="408">
        <f>IF(E116&lt;8,Factors!H$18,IF(E116&lt;9,Factors!H$19,IF(E116&lt;10,Factors!H$20,IF(E116&lt;11,Factors!H$21,IF(E116&lt;12,Factors!H$22,IF(E116&lt;13,Factors!H$23))))))</f>
        <v>1.024793388429752</v>
      </c>
      <c r="H116" s="409">
        <f>D116*F116*G116</f>
        <v>0</v>
      </c>
      <c r="I116" s="410"/>
      <c r="J116" s="411"/>
      <c r="K116" s="412"/>
    </row>
    <row r="117" spans="1:11" x14ac:dyDescent="0.25">
      <c r="A117" s="680" t="s">
        <v>94</v>
      </c>
      <c r="B117" s="683"/>
      <c r="C117" s="406" t="s">
        <v>43</v>
      </c>
      <c r="D117" s="363">
        <v>1</v>
      </c>
      <c r="E117" s="414">
        <v>9</v>
      </c>
      <c r="F117" s="576">
        <v>0</v>
      </c>
      <c r="G117" s="408">
        <f>IF(E117&lt;8,Factors!H$18,IF(E117&lt;9,Factors!H$19,IF(E117&lt;10,Factors!H$20,IF(E117&lt;11,Factors!H$21,IF(E117&lt;12,Factors!H$22,IF(E117&lt;13,Factors!H$23))))))</f>
        <v>1.024793388429752</v>
      </c>
      <c r="H117" s="409">
        <f>D117*F117*G117</f>
        <v>0</v>
      </c>
      <c r="I117" s="406"/>
      <c r="J117" s="411"/>
      <c r="K117" s="412"/>
    </row>
    <row r="118" spans="1:11" x14ac:dyDescent="0.25">
      <c r="A118" s="680"/>
      <c r="B118" s="683"/>
      <c r="C118" s="406" t="s">
        <v>166</v>
      </c>
      <c r="D118" s="363">
        <v>2</v>
      </c>
      <c r="E118" s="414">
        <v>8.5</v>
      </c>
      <c r="F118" s="576">
        <v>0</v>
      </c>
      <c r="G118" s="408">
        <f>IF(E118&lt;8,Factors!H$18,IF(E118&lt;9,Factors!H$19,IF(E118&lt;10,Factors!H$20,IF(E118&lt;11,Factors!H$21,IF(E118&lt;12,Factors!H$22,IF(E118&lt;13,Factors!H$23))))))</f>
        <v>1.1104477611940298</v>
      </c>
      <c r="H118" s="409">
        <f>D118*F118*G118</f>
        <v>0</v>
      </c>
      <c r="I118" s="410"/>
      <c r="J118" s="411"/>
      <c r="K118" s="412"/>
    </row>
    <row r="119" spans="1:11" ht="15.75" thickBot="1" x14ac:dyDescent="0.3">
      <c r="A119" s="680"/>
      <c r="B119" s="683"/>
      <c r="C119" s="415" t="s">
        <v>158</v>
      </c>
      <c r="D119" s="416">
        <v>3</v>
      </c>
      <c r="E119" s="574">
        <v>9</v>
      </c>
      <c r="F119" s="417">
        <v>0</v>
      </c>
      <c r="G119" s="418">
        <f>IF(E119&lt;8,Factors!H$18,IF(E119&lt;9,Factors!H$19,IF(E119&lt;10,Factors!H$20,IF(E119&lt;11,Factors!H$21,IF(E119&lt;12,Factors!H$22,IF(E119&lt;13,Factors!H$23))))))</f>
        <v>1.024793388429752</v>
      </c>
      <c r="H119" s="419">
        <f>D119*F119*G119</f>
        <v>0</v>
      </c>
      <c r="I119" s="420"/>
      <c r="J119" s="421"/>
      <c r="K119" s="421"/>
    </row>
    <row r="120" spans="1:11" ht="15.75" thickTop="1" x14ac:dyDescent="0.25">
      <c r="A120" s="681"/>
      <c r="B120" s="684"/>
      <c r="C120" s="422"/>
      <c r="D120" s="423"/>
      <c r="E120" s="425"/>
      <c r="F120" s="424"/>
      <c r="G120" s="425"/>
      <c r="H120" s="426">
        <f>SUM(H115:H119)</f>
        <v>0</v>
      </c>
      <c r="I120" s="427">
        <f>I7</f>
        <v>1.1305752267362406</v>
      </c>
      <c r="J120" s="428">
        <f>H120*I120*J$13+K120</f>
        <v>0</v>
      </c>
      <c r="K120" s="429">
        <f>K119+K118</f>
        <v>0</v>
      </c>
    </row>
    <row r="121" spans="1:11" x14ac:dyDescent="0.25">
      <c r="B121" s="397"/>
      <c r="E121" s="414"/>
      <c r="J121" s="430"/>
    </row>
    <row r="122" spans="1:11" x14ac:dyDescent="0.25">
      <c r="A122" s="679" t="s">
        <v>13</v>
      </c>
      <c r="B122" s="682">
        <f>B115+1</f>
        <v>45891</v>
      </c>
      <c r="C122" s="398" t="s">
        <v>9</v>
      </c>
      <c r="D122" s="399">
        <v>2</v>
      </c>
      <c r="E122" s="573">
        <v>8.4</v>
      </c>
      <c r="F122" s="575">
        <v>1</v>
      </c>
      <c r="G122" s="401">
        <f>IF(E122&lt;8,Factors!F$18,IF(E122&lt;9,Factors!F$19,IF(E122&lt;10,Factors!F$20,IF(E122&lt;11,Factors!F$21,IF(E122&lt;12,Factors!F$22,IF(E122&lt;13,Factors!F$23))))))</f>
        <v>1.0980113636363635</v>
      </c>
      <c r="H122" s="402">
        <f>D122*F122*G122</f>
        <v>2.1960227272727271</v>
      </c>
      <c r="I122" s="403"/>
      <c r="J122" s="404"/>
      <c r="K122" s="405"/>
    </row>
    <row r="123" spans="1:11" x14ac:dyDescent="0.25">
      <c r="A123" s="680"/>
      <c r="B123" s="683"/>
      <c r="C123" s="406" t="s">
        <v>174</v>
      </c>
      <c r="D123" s="363">
        <v>0</v>
      </c>
      <c r="E123" s="414">
        <v>8.9</v>
      </c>
      <c r="F123" s="576">
        <v>1</v>
      </c>
      <c r="G123" s="408">
        <f>IF(E123&lt;8,Factors!H$18,IF(E123&lt;9,Factors!H$19,IF(E123&lt;10,Factors!H$20,IF(E123&lt;11,Factors!H$21,IF(E123&lt;12,Factors!H$22,IF(E123&lt;13,Factors!H$23))))))</f>
        <v>1.1104477611940298</v>
      </c>
      <c r="H123" s="409">
        <f>D123*F123*G123</f>
        <v>0</v>
      </c>
      <c r="I123" s="410"/>
      <c r="J123" s="411"/>
      <c r="K123" s="412"/>
    </row>
    <row r="124" spans="1:11" x14ac:dyDescent="0.25">
      <c r="A124" s="680" t="s">
        <v>94</v>
      </c>
      <c r="B124" s="683"/>
      <c r="C124" s="406" t="s">
        <v>43</v>
      </c>
      <c r="D124" s="363">
        <v>1</v>
      </c>
      <c r="E124" s="414">
        <v>9.5</v>
      </c>
      <c r="F124" s="407">
        <f>2/2</f>
        <v>1</v>
      </c>
      <c r="G124" s="408">
        <f>IF(E124&lt;8,Factors!H$18,IF(E124&lt;9,Factors!H$19,IF(E124&lt;10,Factors!H$20,IF(E124&lt;11,Factors!H$21,IF(E124&lt;12,Factors!H$22,IF(E124&lt;13,Factors!H$23))))))</f>
        <v>1.024793388429752</v>
      </c>
      <c r="H124" s="409">
        <f>D124*F124*G124</f>
        <v>1.024793388429752</v>
      </c>
      <c r="I124" s="406"/>
      <c r="J124" s="411"/>
      <c r="K124" s="412"/>
    </row>
    <row r="125" spans="1:11" x14ac:dyDescent="0.25">
      <c r="A125" s="680"/>
      <c r="B125" s="683"/>
      <c r="C125" s="406" t="s">
        <v>166</v>
      </c>
      <c r="D125" s="363">
        <v>3</v>
      </c>
      <c r="E125" s="414">
        <v>7.8</v>
      </c>
      <c r="F125" s="576">
        <v>0.28999999999999998</v>
      </c>
      <c r="G125" s="408">
        <f>IF(E125&lt;8,Factors!H$18,IF(E125&lt;9,Factors!H$19,IF(E125&lt;10,Factors!H$20,IF(E125&lt;11,Factors!H$21,IF(E125&lt;12,Factors!H$22,IF(E125&lt;13,Factors!H$23))))))</f>
        <v>1.3238434163701067</v>
      </c>
      <c r="H125" s="409">
        <f>D125*F125*G125</f>
        <v>1.1517437722419928</v>
      </c>
      <c r="I125" s="410"/>
      <c r="J125" s="411"/>
      <c r="K125" s="412"/>
    </row>
    <row r="126" spans="1:11" ht="15.75" thickBot="1" x14ac:dyDescent="0.3">
      <c r="A126" s="680"/>
      <c r="B126" s="683"/>
      <c r="C126" s="415" t="s">
        <v>158</v>
      </c>
      <c r="D126" s="416">
        <v>10</v>
      </c>
      <c r="E126" s="574">
        <v>7.8</v>
      </c>
      <c r="F126" s="417">
        <f>4/14</f>
        <v>0.2857142857142857</v>
      </c>
      <c r="G126" s="418">
        <f>IF(E126&lt;8,Factors!H$18,IF(E126&lt;9,Factors!H$19,IF(E126&lt;10,Factors!H$20,IF(E126&lt;11,Factors!H$21,IF(E126&lt;12,Factors!H$22,IF(E126&lt;13,Factors!H$23))))))</f>
        <v>1.3238434163701067</v>
      </c>
      <c r="H126" s="419">
        <f>D126*F126*G126</f>
        <v>3.7824097610574472</v>
      </c>
      <c r="I126" s="420"/>
      <c r="J126" s="421"/>
      <c r="K126" s="421"/>
    </row>
    <row r="127" spans="1:11" ht="15.75" thickTop="1" x14ac:dyDescent="0.25">
      <c r="A127" s="681"/>
      <c r="B127" s="684"/>
      <c r="C127" s="422"/>
      <c r="D127" s="423"/>
      <c r="E127" s="425"/>
      <c r="F127" s="424"/>
      <c r="G127" s="425"/>
      <c r="H127" s="426">
        <f>SUM(H122:H126)</f>
        <v>8.1549696490019183</v>
      </c>
      <c r="I127" s="427">
        <f>I7</f>
        <v>1.1305752267362406</v>
      </c>
      <c r="J127" s="428">
        <f>H127*I127*J$13+K127</f>
        <v>11.847451558032541</v>
      </c>
      <c r="K127" s="429">
        <f>K126+K125</f>
        <v>0</v>
      </c>
    </row>
    <row r="128" spans="1:11" ht="15.75" thickBot="1" x14ac:dyDescent="0.3">
      <c r="B128" s="397"/>
      <c r="E128" s="414"/>
      <c r="J128" s="430"/>
    </row>
    <row r="129" spans="1:19" x14ac:dyDescent="0.25">
      <c r="A129" s="680" t="s">
        <v>14</v>
      </c>
      <c r="B129" s="682">
        <f>B122+1</f>
        <v>45892</v>
      </c>
      <c r="C129" s="398" t="s">
        <v>9</v>
      </c>
      <c r="D129" s="399">
        <v>5</v>
      </c>
      <c r="E129" s="573">
        <v>8.3000000000000007</v>
      </c>
      <c r="F129" s="575">
        <v>0.25</v>
      </c>
      <c r="G129" s="401">
        <f>IF(E129&lt;8,Factors!F$18,IF(E129&lt;9,Factors!F$19,IF(E129&lt;10,Factors!F$20,IF(E129&lt;11,Factors!F$21,IF(E129&lt;12,Factors!F$22,IF(E129&lt;13,Factors!F$23))))))</f>
        <v>1.0980113636363635</v>
      </c>
      <c r="H129" s="402">
        <f>D129*F129*G129</f>
        <v>1.3725142045454544</v>
      </c>
      <c r="I129" s="403"/>
      <c r="J129" s="404"/>
      <c r="K129" s="405"/>
      <c r="M129" s="432">
        <f>H129/H$169</f>
        <v>0.18130013766706604</v>
      </c>
      <c r="N129" s="433">
        <f>H129/M129</f>
        <v>7.5703980273081584</v>
      </c>
      <c r="O129" s="434">
        <f>1/M129</f>
        <v>5.5157156131694123</v>
      </c>
      <c r="P129" s="435">
        <f>H129*O129</f>
        <v>7.5703980273081593</v>
      </c>
    </row>
    <row r="130" spans="1:19" x14ac:dyDescent="0.25">
      <c r="A130" s="680"/>
      <c r="B130" s="683"/>
      <c r="C130" s="406" t="s">
        <v>174</v>
      </c>
      <c r="D130" s="363">
        <v>0</v>
      </c>
      <c r="E130" s="414">
        <v>8.9</v>
      </c>
      <c r="F130" s="576">
        <v>0.25</v>
      </c>
      <c r="G130" s="408">
        <f>IF(E130&lt;8,Factors!H$18,IF(E130&lt;9,Factors!H$19,IF(E130&lt;10,Factors!H$20,IF(E130&lt;11,Factors!H$21,IF(E130&lt;12,Factors!H$22,IF(E130&lt;13,Factors!H$23))))))</f>
        <v>1.1104477611940298</v>
      </c>
      <c r="H130" s="409">
        <f>D130*F130*G130</f>
        <v>0</v>
      </c>
      <c r="I130" s="410"/>
      <c r="J130" s="411"/>
      <c r="K130" s="412"/>
      <c r="M130" s="436">
        <f>H130/H$169</f>
        <v>0</v>
      </c>
      <c r="N130" s="437" t="e">
        <f>H130/M130</f>
        <v>#DIV/0!</v>
      </c>
      <c r="O130" s="438" t="e">
        <f>1/M130</f>
        <v>#DIV/0!</v>
      </c>
      <c r="P130" s="439" t="e">
        <f>H130*O130</f>
        <v>#DIV/0!</v>
      </c>
    </row>
    <row r="131" spans="1:19" x14ac:dyDescent="0.25">
      <c r="A131" s="680" t="s">
        <v>94</v>
      </c>
      <c r="B131" s="683"/>
      <c r="C131" s="406" t="s">
        <v>43</v>
      </c>
      <c r="D131" s="363">
        <v>1</v>
      </c>
      <c r="E131" s="414">
        <v>10</v>
      </c>
      <c r="F131" s="407">
        <f>1/2</f>
        <v>0.5</v>
      </c>
      <c r="G131" s="408">
        <f>IF(E131&lt;8,Factors!H$18,IF(E131&lt;9,Factors!H$19,IF(E131&lt;10,Factors!H$20,IF(E131&lt;11,Factors!H$21,IF(E131&lt;12,Factors!H$22,IF(E131&lt;13,Factors!H$23))))))</f>
        <v>1</v>
      </c>
      <c r="H131" s="409">
        <f>D131*F131*G131</f>
        <v>0.5</v>
      </c>
      <c r="I131" s="406"/>
      <c r="J131" s="411"/>
      <c r="K131" s="412"/>
      <c r="M131" s="436">
        <f>H131/H$169</f>
        <v>6.6046725442491336E-2</v>
      </c>
      <c r="N131" s="437">
        <f>H131/M131</f>
        <v>7.5703980273081593</v>
      </c>
      <c r="O131" s="438">
        <f>1/M131</f>
        <v>15.140796054616319</v>
      </c>
      <c r="P131" s="439">
        <f>H131*O131</f>
        <v>7.5703980273081593</v>
      </c>
    </row>
    <row r="132" spans="1:19" x14ac:dyDescent="0.25">
      <c r="A132" s="680"/>
      <c r="B132" s="683"/>
      <c r="C132" s="406" t="s">
        <v>166</v>
      </c>
      <c r="D132" s="363">
        <v>4</v>
      </c>
      <c r="E132" s="414">
        <v>7.8</v>
      </c>
      <c r="F132" s="576">
        <v>0.2</v>
      </c>
      <c r="G132" s="408">
        <f>IF(E132&lt;8,Factors!H$18,IF(E132&lt;9,Factors!H$19,IF(E132&lt;10,Factors!H$20,IF(E132&lt;11,Factors!H$21,IF(E132&lt;12,Factors!H$22,IF(E132&lt;13,Factors!H$23))))))</f>
        <v>1.3238434163701067</v>
      </c>
      <c r="H132" s="409">
        <f>D132*F132*G132</f>
        <v>1.0590747330960855</v>
      </c>
      <c r="I132" s="410"/>
      <c r="J132" s="411"/>
      <c r="K132" s="412"/>
      <c r="M132" s="436">
        <f>H132/H$169</f>
        <v>0.13989683623975388</v>
      </c>
      <c r="N132" s="437">
        <f>H132/M132</f>
        <v>7.5703980273081601</v>
      </c>
      <c r="O132" s="438">
        <f>1/M132</f>
        <v>7.1481244814300835</v>
      </c>
      <c r="P132" s="439">
        <f>H132*O132</f>
        <v>7.5703980273081601</v>
      </c>
    </row>
    <row r="133" spans="1:19" ht="15.75" thickBot="1" x14ac:dyDescent="0.3">
      <c r="A133" s="680"/>
      <c r="B133" s="683"/>
      <c r="C133" s="415" t="s">
        <v>158</v>
      </c>
      <c r="D133" s="416">
        <v>4</v>
      </c>
      <c r="E133" s="574">
        <v>8</v>
      </c>
      <c r="F133" s="417">
        <f>1/5</f>
        <v>0.2</v>
      </c>
      <c r="G133" s="418">
        <f>IF(E133&lt;8,Factors!H$18,IF(E133&lt;9,Factors!H$19,IF(E133&lt;10,Factors!H$20,IF(E133&lt;11,Factors!H$21,IF(E133&lt;12,Factors!H$22,IF(E133&lt;13,Factors!H$23))))))</f>
        <v>1.1104477611940298</v>
      </c>
      <c r="H133" s="419">
        <f>D133*F133*G133</f>
        <v>0.88835820895522388</v>
      </c>
      <c r="I133" s="420"/>
      <c r="J133" s="421"/>
      <c r="K133" s="421"/>
      <c r="M133" s="440">
        <f>H133/H$169</f>
        <v>0.11734630144289804</v>
      </c>
      <c r="N133" s="441">
        <f>H133/M133</f>
        <v>7.5703980273081593</v>
      </c>
      <c r="O133" s="442">
        <f>1/M133</f>
        <v>8.5217854138045475</v>
      </c>
      <c r="P133" s="443">
        <f>H133*O133</f>
        <v>7.5703980273081593</v>
      </c>
    </row>
    <row r="134" spans="1:19" ht="15.75" thickTop="1" x14ac:dyDescent="0.25">
      <c r="A134" s="681"/>
      <c r="B134" s="684"/>
      <c r="C134" s="422"/>
      <c r="D134" s="423"/>
      <c r="E134" s="425"/>
      <c r="F134" s="424"/>
      <c r="G134" s="425"/>
      <c r="H134" s="426">
        <f>SUM(H129:H133)</f>
        <v>3.819947146596764</v>
      </c>
      <c r="I134" s="427">
        <f>I7</f>
        <v>1.1305752267362406</v>
      </c>
      <c r="J134" s="428">
        <f>H134*I134*J$13+K134</f>
        <v>5.5495778306285573</v>
      </c>
      <c r="K134" s="429">
        <f>K133+K132</f>
        <v>0</v>
      </c>
      <c r="M134" s="363">
        <f>SUM(M129:M133)</f>
        <v>0.50459000079220928</v>
      </c>
      <c r="R134" s="363">
        <f>SUM(M131:M133)/M134</f>
        <v>0.64069811652544884</v>
      </c>
      <c r="S134" s="363">
        <f>1/R134</f>
        <v>1.5607974710821231</v>
      </c>
    </row>
    <row r="135" spans="1:19" ht="15.75" thickBot="1" x14ac:dyDescent="0.3">
      <c r="B135" s="397"/>
      <c r="E135" s="414"/>
    </row>
    <row r="136" spans="1:19" x14ac:dyDescent="0.25">
      <c r="A136" s="679" t="s">
        <v>15</v>
      </c>
      <c r="B136" s="682">
        <f>B129+1</f>
        <v>45893</v>
      </c>
      <c r="C136" s="398" t="s">
        <v>9</v>
      </c>
      <c r="D136" s="399">
        <v>5</v>
      </c>
      <c r="E136" s="573">
        <v>8.3000000000000007</v>
      </c>
      <c r="F136" s="575">
        <v>0.5</v>
      </c>
      <c r="G136" s="401">
        <f>IF(E136&lt;8,Factors!F$18,IF(E136&lt;9,Factors!F$19,IF(E136&lt;10,Factors!F$20,IF(E136&lt;11,Factors!F$21,IF(E136&lt;12,Factors!F$22,IF(E136&lt;13,Factors!F$23))))))</f>
        <v>1.0980113636363635</v>
      </c>
      <c r="H136" s="402">
        <f>D136*F136*G136</f>
        <v>2.7450284090909087</v>
      </c>
      <c r="I136" s="403"/>
      <c r="J136" s="404"/>
      <c r="K136" s="405"/>
      <c r="M136" s="432">
        <f>H136/H$169</f>
        <v>0.36260027533413208</v>
      </c>
      <c r="N136" s="433">
        <f>H136/M136</f>
        <v>7.5703980273081584</v>
      </c>
      <c r="O136" s="434">
        <f>1/M136</f>
        <v>2.7578578065847061</v>
      </c>
      <c r="P136" s="435">
        <f>H136*O136</f>
        <v>7.5703980273081593</v>
      </c>
    </row>
    <row r="137" spans="1:19" x14ac:dyDescent="0.25">
      <c r="A137" s="680"/>
      <c r="B137" s="683"/>
      <c r="C137" s="406" t="s">
        <v>174</v>
      </c>
      <c r="D137" s="363">
        <v>1</v>
      </c>
      <c r="E137" s="414">
        <v>8.9</v>
      </c>
      <c r="F137" s="576">
        <v>0.5</v>
      </c>
      <c r="G137" s="408">
        <f>IF(E137&lt;8,Factors!H$18,IF(E137&lt;9,Factors!H$19,IF(E137&lt;10,Factors!H$20,IF(E137&lt;11,Factors!H$21,IF(E137&lt;12,Factors!H$22,IF(E137&lt;13,Factors!H$23))))))</f>
        <v>1.1104477611940298</v>
      </c>
      <c r="H137" s="409">
        <f>D137*F137*G137</f>
        <v>0.55522388059701488</v>
      </c>
      <c r="I137" s="410"/>
      <c r="J137" s="411"/>
      <c r="K137" s="412"/>
      <c r="M137" s="436">
        <f>H137/H$169</f>
        <v>7.334143840181126E-2</v>
      </c>
      <c r="N137" s="437">
        <f>H137/M137</f>
        <v>7.5703980273081601</v>
      </c>
      <c r="O137" s="438">
        <f>1/M137</f>
        <v>13.634856662087278</v>
      </c>
      <c r="P137" s="439">
        <f>H137*O137</f>
        <v>7.5703980273081601</v>
      </c>
    </row>
    <row r="138" spans="1:19" x14ac:dyDescent="0.25">
      <c r="A138" s="680" t="s">
        <v>94</v>
      </c>
      <c r="B138" s="683"/>
      <c r="C138" s="406" t="s">
        <v>43</v>
      </c>
      <c r="D138" s="363">
        <v>3</v>
      </c>
      <c r="E138" s="414">
        <v>10</v>
      </c>
      <c r="F138" s="407">
        <f>2/2</f>
        <v>1</v>
      </c>
      <c r="G138" s="408">
        <f>IF(E138&lt;8,Factors!H$18,IF(E138&lt;9,Factors!H$19,IF(E138&lt;10,Factors!H$20,IF(E138&lt;11,Factors!H$21,IF(E138&lt;12,Factors!H$22,IF(E138&lt;13,Factors!H$23))))))</f>
        <v>1</v>
      </c>
      <c r="H138" s="409">
        <f>D138*F138*G138</f>
        <v>3</v>
      </c>
      <c r="I138" s="406"/>
      <c r="J138" s="411"/>
      <c r="K138" s="412"/>
      <c r="M138" s="436">
        <f>H138/H$169</f>
        <v>0.39628035265494799</v>
      </c>
      <c r="N138" s="437">
        <f>H138/M138</f>
        <v>7.5703980273081593</v>
      </c>
      <c r="O138" s="438">
        <f>1/M138</f>
        <v>2.5234660091027199</v>
      </c>
      <c r="P138" s="439">
        <f>H138*O138</f>
        <v>7.5703980273081601</v>
      </c>
    </row>
    <row r="139" spans="1:19" x14ac:dyDescent="0.25">
      <c r="A139" s="680"/>
      <c r="B139" s="683"/>
      <c r="C139" s="406" t="s">
        <v>166</v>
      </c>
      <c r="D139" s="363">
        <v>6</v>
      </c>
      <c r="E139" s="414">
        <v>7.6</v>
      </c>
      <c r="F139" s="576">
        <v>0.33</v>
      </c>
      <c r="G139" s="408">
        <f>IF(E139&lt;8,Factors!H$18,IF(E139&lt;9,Factors!H$19,IF(E139&lt;10,Factors!H$20,IF(E139&lt;11,Factors!H$21,IF(E139&lt;12,Factors!H$22,IF(E139&lt;13,Factors!H$23))))))</f>
        <v>1.3238434163701067</v>
      </c>
      <c r="H139" s="409">
        <f>D139*F139*G139</f>
        <v>2.6212099644128113</v>
      </c>
      <c r="I139" s="410"/>
      <c r="J139" s="411"/>
      <c r="K139" s="412"/>
      <c r="M139" s="436">
        <f>H139/H$169</f>
        <v>0.34624466969339085</v>
      </c>
      <c r="N139" s="437">
        <f>H139/M139</f>
        <v>7.5703980273081593</v>
      </c>
      <c r="O139" s="438">
        <f>1/M139</f>
        <v>2.8881311036081145</v>
      </c>
      <c r="P139" s="439">
        <f>H139*O139</f>
        <v>7.5703980273081593</v>
      </c>
    </row>
    <row r="140" spans="1:19" ht="15.75" thickBot="1" x14ac:dyDescent="0.3">
      <c r="A140" s="680"/>
      <c r="B140" s="683"/>
      <c r="C140" s="415" t="s">
        <v>158</v>
      </c>
      <c r="D140" s="416">
        <v>10</v>
      </c>
      <c r="E140" s="574">
        <v>7.9</v>
      </c>
      <c r="F140" s="417">
        <f>5/15</f>
        <v>0.33333333333333331</v>
      </c>
      <c r="G140" s="418">
        <f>IF(E140&lt;8,Factors!H$18,IF(E140&lt;9,Factors!H$19,IF(E140&lt;10,Factors!H$20,IF(E140&lt;11,Factors!H$21,IF(E140&lt;12,Factors!H$22,IF(E140&lt;13,Factors!H$23))))))</f>
        <v>1.3238434163701067</v>
      </c>
      <c r="H140" s="419">
        <f>D140*F140*G140</f>
        <v>4.412811387900355</v>
      </c>
      <c r="I140" s="420"/>
      <c r="J140" s="421"/>
      <c r="K140" s="421"/>
      <c r="M140" s="440">
        <f>H140/H$169</f>
        <v>0.58290348433230776</v>
      </c>
      <c r="N140" s="441">
        <f>H140/M140</f>
        <v>7.5703980273081593</v>
      </c>
      <c r="O140" s="442">
        <f>1/M140</f>
        <v>1.7155498755432201</v>
      </c>
      <c r="P140" s="443">
        <f>H140*O140</f>
        <v>7.5703980273081584</v>
      </c>
    </row>
    <row r="141" spans="1:19" ht="15.75" thickTop="1" x14ac:dyDescent="0.25">
      <c r="A141" s="681"/>
      <c r="B141" s="684"/>
      <c r="C141" s="422"/>
      <c r="D141" s="423"/>
      <c r="E141" s="425"/>
      <c r="F141" s="424"/>
      <c r="G141" s="425"/>
      <c r="H141" s="426">
        <f>SUM(H136:H140)</f>
        <v>13.33427364200109</v>
      </c>
      <c r="I141" s="427">
        <f>I7</f>
        <v>1.1305752267362406</v>
      </c>
      <c r="J141" s="428">
        <f>(H141*I141*J$13)*1.1</f>
        <v>21.309077117159116</v>
      </c>
      <c r="K141" s="429">
        <f>K140+K139</f>
        <v>0</v>
      </c>
      <c r="M141" s="363">
        <f>SUM(M136:M140)</f>
        <v>1.76137022041659</v>
      </c>
      <c r="N141" s="363">
        <f>M141*1.1</f>
        <v>1.9375072424582491</v>
      </c>
    </row>
    <row r="142" spans="1:19" x14ac:dyDescent="0.25">
      <c r="B142" s="397"/>
      <c r="E142" s="414"/>
      <c r="J142" s="430"/>
    </row>
    <row r="143" spans="1:19" x14ac:dyDescent="0.25">
      <c r="A143" s="679" t="s">
        <v>7</v>
      </c>
      <c r="B143" s="682">
        <f>B136+1</f>
        <v>45894</v>
      </c>
      <c r="C143" s="398" t="s">
        <v>9</v>
      </c>
      <c r="D143" s="399">
        <v>0</v>
      </c>
      <c r="E143" s="573">
        <v>10</v>
      </c>
      <c r="F143" s="400"/>
      <c r="G143" s="401">
        <f>IF(E143&lt;8,Factors!F$18,IF(E143&lt;9,Factors!F$19,IF(E143&lt;10,Factors!F$20,IF(E143&lt;11,Factors!F$21,IF(E143&lt;12,Factors!F$22,IF(E143&lt;13,Factors!F$23))))))</f>
        <v>1.0104575163398692</v>
      </c>
      <c r="H143" s="402">
        <f>D143*F143*G143</f>
        <v>0</v>
      </c>
      <c r="I143" s="403"/>
      <c r="J143" s="404"/>
      <c r="K143" s="405"/>
    </row>
    <row r="144" spans="1:19" x14ac:dyDescent="0.25">
      <c r="A144" s="680"/>
      <c r="B144" s="683"/>
      <c r="C144" s="406" t="s">
        <v>174</v>
      </c>
      <c r="D144" s="363">
        <v>0</v>
      </c>
      <c r="E144" s="414">
        <v>10</v>
      </c>
      <c r="F144" s="407"/>
      <c r="G144" s="408">
        <f>IF(E144&lt;8,Factors!H$18,IF(E144&lt;9,Factors!H$19,IF(E144&lt;10,Factors!H$20,IF(E144&lt;11,Factors!H$21,IF(E144&lt;12,Factors!H$22,IF(E144&lt;13,Factors!H$23))))))</f>
        <v>1</v>
      </c>
      <c r="H144" s="409">
        <f>D144*F144*G144</f>
        <v>0</v>
      </c>
      <c r="I144" s="410"/>
      <c r="J144" s="411"/>
      <c r="K144" s="412"/>
    </row>
    <row r="145" spans="1:16" x14ac:dyDescent="0.25">
      <c r="A145" s="680" t="s">
        <v>94</v>
      </c>
      <c r="B145" s="683"/>
      <c r="C145" s="406" t="s">
        <v>43</v>
      </c>
      <c r="D145" s="363">
        <v>0</v>
      </c>
      <c r="E145" s="414">
        <v>10</v>
      </c>
      <c r="F145" s="407"/>
      <c r="G145" s="408">
        <f>IF(E145&lt;8,Factors!H$18,IF(E145&lt;9,Factors!H$19,IF(E145&lt;10,Factors!H$20,IF(E145&lt;11,Factors!H$21,IF(E145&lt;12,Factors!H$22,IF(E145&lt;13,Factors!H$23))))))</f>
        <v>1</v>
      </c>
      <c r="H145" s="409">
        <f>D145*F145*G145</f>
        <v>0</v>
      </c>
      <c r="I145" s="406"/>
      <c r="J145" s="411"/>
      <c r="K145" s="412"/>
    </row>
    <row r="146" spans="1:16" x14ac:dyDescent="0.25">
      <c r="A146" s="680"/>
      <c r="B146" s="683"/>
      <c r="C146" s="406" t="s">
        <v>166</v>
      </c>
      <c r="D146" s="363">
        <v>1</v>
      </c>
      <c r="E146" s="414">
        <v>7.4</v>
      </c>
      <c r="F146" s="576">
        <v>0.12</v>
      </c>
      <c r="G146" s="408">
        <f>IF(E146&lt;8,Factors!H$18,IF(E146&lt;9,Factors!H$19,IF(E146&lt;10,Factors!H$20,IF(E146&lt;11,Factors!H$21,IF(E146&lt;12,Factors!H$22,IF(E146&lt;13,Factors!H$23))))))</f>
        <v>1.3238434163701067</v>
      </c>
      <c r="H146" s="409">
        <f>D146*F146*G146</f>
        <v>0.1588612099644128</v>
      </c>
      <c r="I146" s="410"/>
      <c r="J146" s="411"/>
      <c r="K146" s="412"/>
    </row>
    <row r="147" spans="1:16" ht="15.75" thickBot="1" x14ac:dyDescent="0.3">
      <c r="A147" s="680"/>
      <c r="B147" s="683"/>
      <c r="C147" s="415" t="s">
        <v>158</v>
      </c>
      <c r="D147" s="416">
        <v>3</v>
      </c>
      <c r="E147" s="574">
        <v>7.8</v>
      </c>
      <c r="F147" s="618">
        <v>0.12</v>
      </c>
      <c r="G147" s="418">
        <f>IF(E147&lt;8,Factors!H$18,IF(E147&lt;9,Factors!H$19,IF(E147&lt;10,Factors!H$20,IF(E147&lt;11,Factors!H$21,IF(E147&lt;12,Factors!H$22,IF(E147&lt;13,Factors!H$23))))))</f>
        <v>1.3238434163701067</v>
      </c>
      <c r="H147" s="419">
        <f>D147*F147*G147</f>
        <v>0.47658362989323838</v>
      </c>
      <c r="I147" s="420"/>
      <c r="J147" s="421"/>
      <c r="K147" s="421"/>
    </row>
    <row r="148" spans="1:16" ht="15.75" thickTop="1" x14ac:dyDescent="0.25">
      <c r="A148" s="681"/>
      <c r="B148" s="684"/>
      <c r="C148" s="422"/>
      <c r="D148" s="423"/>
      <c r="E148" s="425"/>
      <c r="F148" s="424"/>
      <c r="G148" s="425"/>
      <c r="H148" s="426">
        <f>SUM(H143:H147)</f>
        <v>0.63544483985765121</v>
      </c>
      <c r="I148" s="427">
        <f>I7</f>
        <v>1.1305752267362406</v>
      </c>
      <c r="J148" s="428">
        <f>(H148*I148*J$13)+1.1</f>
        <v>2.023167379162063</v>
      </c>
      <c r="K148" s="429">
        <f>K147+K146</f>
        <v>0</v>
      </c>
    </row>
    <row r="149" spans="1:16" ht="15.75" thickBot="1" x14ac:dyDescent="0.3">
      <c r="E149" s="414"/>
    </row>
    <row r="150" spans="1:16" x14ac:dyDescent="0.25">
      <c r="A150" s="679" t="s">
        <v>94</v>
      </c>
      <c r="B150" s="682">
        <f>B143+1</f>
        <v>45895</v>
      </c>
      <c r="C150" s="398" t="s">
        <v>9</v>
      </c>
      <c r="D150" s="616">
        <v>0</v>
      </c>
      <c r="E150" s="573">
        <v>8</v>
      </c>
      <c r="F150" s="400"/>
      <c r="G150" s="401">
        <f>IF(E150&lt;8,Factors!F$18,IF(E150&lt;9,Factors!F$19,IF(E150&lt;10,Factors!F$20,IF(E150&lt;11,Factors!F$21,IF(E150&lt;12,Factors!F$22,IF(E150&lt;13,Factors!F$23))))))</f>
        <v>1.0980113636363635</v>
      </c>
      <c r="H150" s="402">
        <f>D150*F150*G150</f>
        <v>0</v>
      </c>
      <c r="I150" s="403"/>
      <c r="J150" s="404"/>
      <c r="K150" s="405"/>
      <c r="M150" s="432">
        <f>H150/H$169</f>
        <v>0</v>
      </c>
      <c r="N150" s="433" t="e">
        <f>H150/M150</f>
        <v>#DIV/0!</v>
      </c>
      <c r="O150" s="434" t="e">
        <f>1/M150</f>
        <v>#DIV/0!</v>
      </c>
      <c r="P150" s="435" t="e">
        <f>H150*O150</f>
        <v>#DIV/0!</v>
      </c>
    </row>
    <row r="151" spans="1:16" x14ac:dyDescent="0.25">
      <c r="A151" s="680"/>
      <c r="B151" s="683"/>
      <c r="C151" s="406" t="s">
        <v>174</v>
      </c>
      <c r="D151" s="444">
        <v>0</v>
      </c>
      <c r="E151" s="414">
        <v>8</v>
      </c>
      <c r="F151" s="407"/>
      <c r="G151" s="408">
        <f>IF(E151&lt;8,Factors!H$18,IF(E151&lt;9,Factors!H$19,IF(E151&lt;10,Factors!H$20,IF(E151&lt;11,Factors!H$21,IF(E151&lt;12,Factors!H$22,IF(E151&lt;13,Factors!H$23))))))</f>
        <v>1.1104477611940298</v>
      </c>
      <c r="H151" s="409">
        <f>D151*F151*G151</f>
        <v>0</v>
      </c>
      <c r="I151" s="410"/>
      <c r="J151" s="411"/>
      <c r="K151" s="412"/>
      <c r="M151" s="436">
        <f>H151/H$169</f>
        <v>0</v>
      </c>
      <c r="N151" s="437" t="e">
        <f>H151/M151</f>
        <v>#DIV/0!</v>
      </c>
      <c r="O151" s="438" t="e">
        <f>1/M151</f>
        <v>#DIV/0!</v>
      </c>
      <c r="P151" s="439" t="e">
        <f>H151*O151</f>
        <v>#DIV/0!</v>
      </c>
    </row>
    <row r="152" spans="1:16" x14ac:dyDescent="0.25">
      <c r="A152" s="680" t="s">
        <v>94</v>
      </c>
      <c r="B152" s="683"/>
      <c r="C152" s="406" t="s">
        <v>43</v>
      </c>
      <c r="D152" s="363">
        <v>5</v>
      </c>
      <c r="E152" s="414">
        <v>7.9</v>
      </c>
      <c r="F152" s="576">
        <f>2/17</f>
        <v>0.11764705882352941</v>
      </c>
      <c r="G152" s="408">
        <f>IF(E152&lt;8,Factors!H$18,IF(E152&lt;9,Factors!H$19,IF(E152&lt;10,Factors!H$20,IF(E152&lt;11,Factors!H$21,IF(E152&lt;12,Factors!H$22,IF(E152&lt;13,Factors!H$23))))))</f>
        <v>1.3238434163701067</v>
      </c>
      <c r="H152" s="409">
        <f>D152*F152*G152</f>
        <v>0.7787314213941805</v>
      </c>
      <c r="I152" s="406"/>
      <c r="J152" s="411"/>
      <c r="K152" s="412"/>
      <c r="M152" s="436">
        <f>H152/H$169</f>
        <v>0.10286532076452493</v>
      </c>
      <c r="N152" s="437">
        <f>H152/M152</f>
        <v>7.5703980273081593</v>
      </c>
      <c r="O152" s="438">
        <f>1/M152</f>
        <v>9.7214492947449127</v>
      </c>
      <c r="P152" s="439">
        <f>H152*O152</f>
        <v>7.5703980273081593</v>
      </c>
    </row>
    <row r="153" spans="1:16" x14ac:dyDescent="0.25">
      <c r="A153" s="680"/>
      <c r="B153" s="683"/>
      <c r="C153" s="406" t="s">
        <v>166</v>
      </c>
      <c r="D153" s="363">
        <v>5</v>
      </c>
      <c r="E153" s="414">
        <v>8</v>
      </c>
      <c r="F153" s="576">
        <v>0.12</v>
      </c>
      <c r="G153" s="408">
        <f>IF(E153&lt;8,Factors!H$18,IF(E153&lt;9,Factors!H$19,IF(E153&lt;10,Factors!H$20,IF(E153&lt;11,Factors!H$21,IF(E153&lt;12,Factors!H$22,IF(E153&lt;13,Factors!H$23))))))</f>
        <v>1.1104477611940298</v>
      </c>
      <c r="H153" s="409">
        <f>D153*F153*G153</f>
        <v>0.66626865671641788</v>
      </c>
      <c r="I153" s="410"/>
      <c r="J153" s="411"/>
      <c r="K153" s="412"/>
      <c r="M153" s="436">
        <f>H153/H$169</f>
        <v>8.8009726082173528E-2</v>
      </c>
      <c r="N153" s="437">
        <f>H153/M153</f>
        <v>7.5703980273081584</v>
      </c>
      <c r="O153" s="438">
        <f>1/M153</f>
        <v>11.362380551739397</v>
      </c>
      <c r="P153" s="439">
        <f>H153*O153</f>
        <v>7.5703980273081593</v>
      </c>
    </row>
    <row r="154" spans="1:16" ht="15.75" thickBot="1" x14ac:dyDescent="0.3">
      <c r="A154" s="680"/>
      <c r="B154" s="683"/>
      <c r="C154" s="415" t="s">
        <v>158</v>
      </c>
      <c r="D154" s="416">
        <v>3</v>
      </c>
      <c r="E154" s="574">
        <v>8</v>
      </c>
      <c r="F154" s="618">
        <v>0.12</v>
      </c>
      <c r="G154" s="418">
        <f>IF(E154&lt;8,Factors!H$18,IF(E154&lt;9,Factors!H$19,IF(E154&lt;10,Factors!H$20,IF(E154&lt;11,Factors!H$21,IF(E154&lt;12,Factors!H$22,IF(E154&lt;13,Factors!H$23))))))</f>
        <v>1.1104477611940298</v>
      </c>
      <c r="H154" s="419">
        <f>D154*F154*G154</f>
        <v>0.39976119402985072</v>
      </c>
      <c r="I154" s="420"/>
      <c r="J154" s="421"/>
      <c r="K154" s="421"/>
      <c r="M154" s="440">
        <f>H154/H$169</f>
        <v>5.2805835649304113E-2</v>
      </c>
      <c r="N154" s="441">
        <f>H154/M154</f>
        <v>7.5703980273081593</v>
      </c>
      <c r="O154" s="442">
        <f>1/M154</f>
        <v>18.937300919565661</v>
      </c>
      <c r="P154" s="443">
        <f>H154*O154</f>
        <v>7.5703980273081593</v>
      </c>
    </row>
    <row r="155" spans="1:16" ht="15.75" thickTop="1" x14ac:dyDescent="0.25">
      <c r="A155" s="681"/>
      <c r="B155" s="684"/>
      <c r="C155" s="422"/>
      <c r="D155" s="423"/>
      <c r="E155" s="425"/>
      <c r="F155" s="424"/>
      <c r="G155" s="425"/>
      <c r="H155" s="426">
        <f>SUM(H150:H154)</f>
        <v>1.8447612721404489</v>
      </c>
      <c r="I155" s="427">
        <f>AB7</f>
        <v>1.1784511784511784</v>
      </c>
      <c r="J155" s="428">
        <f>(H155*I155*J$13)*1.1</f>
        <v>3.0728940079450631</v>
      </c>
      <c r="K155" s="429"/>
    </row>
    <row r="156" spans="1:16" ht="15.75" thickBot="1" x14ac:dyDescent="0.3">
      <c r="B156" s="397"/>
      <c r="E156" s="414"/>
      <c r="F156" s="407"/>
    </row>
    <row r="157" spans="1:16" x14ac:dyDescent="0.25">
      <c r="A157" s="679" t="s">
        <v>11</v>
      </c>
      <c r="B157" s="682">
        <f>B150+1</f>
        <v>45896</v>
      </c>
      <c r="C157" s="398" t="s">
        <v>9</v>
      </c>
      <c r="D157" s="399">
        <v>4</v>
      </c>
      <c r="E157" s="573">
        <v>10.4</v>
      </c>
      <c r="F157" s="575">
        <v>0.12</v>
      </c>
      <c r="G157" s="401">
        <f>IF(E157&lt;8,Factors!F$18,IF(E157&lt;9,Factors!F$19,IF(E157&lt;10,Factors!F$20,IF(E157&lt;11,Factors!F$21,IF(E157&lt;12,Factors!F$22,IF(E157&lt;13,Factors!F$23))))))</f>
        <v>1.0104575163398692</v>
      </c>
      <c r="H157" s="402">
        <f>D157*F157*G157</f>
        <v>0.48501960784313725</v>
      </c>
      <c r="I157" s="403"/>
      <c r="J157" s="404"/>
      <c r="K157" s="405"/>
      <c r="M157" s="432">
        <f>H157/H$169</f>
        <v>6.4067913746881006E-2</v>
      </c>
      <c r="N157" s="433">
        <f>H157/M157</f>
        <v>7.5703980273081593</v>
      </c>
      <c r="O157" s="434">
        <f>1/M157</f>
        <v>15.608437071180308</v>
      </c>
      <c r="P157" s="435">
        <f>H157*O157</f>
        <v>7.5703980273081584</v>
      </c>
    </row>
    <row r="158" spans="1:16" x14ac:dyDescent="0.25">
      <c r="A158" s="680"/>
      <c r="B158" s="683"/>
      <c r="C158" s="406" t="s">
        <v>174</v>
      </c>
      <c r="D158" s="444">
        <v>1</v>
      </c>
      <c r="E158" s="578">
        <v>10.4</v>
      </c>
      <c r="F158" s="576">
        <v>0.12</v>
      </c>
      <c r="G158" s="408">
        <f>IF(E158&lt;8,Factors!H$18,IF(E158&lt;9,Factors!H$19,IF(E158&lt;10,Factors!H$20,IF(E158&lt;11,Factors!H$21,IF(E158&lt;12,Factors!H$22,IF(E158&lt;13,Factors!H$23))))))</f>
        <v>1</v>
      </c>
      <c r="H158" s="409">
        <f>D158*F158*G158</f>
        <v>0.12</v>
      </c>
      <c r="I158" s="410"/>
      <c r="J158" s="411"/>
      <c r="K158" s="412"/>
      <c r="M158" s="436">
        <f>H158/H$169</f>
        <v>1.5851214106197921E-2</v>
      </c>
      <c r="N158" s="437">
        <f>H158/M158</f>
        <v>7.5703980273081584</v>
      </c>
      <c r="O158" s="438">
        <f>1/M158</f>
        <v>63.086650227567993</v>
      </c>
      <c r="P158" s="439">
        <f>H158*O158</f>
        <v>7.5703980273081593</v>
      </c>
    </row>
    <row r="159" spans="1:16" x14ac:dyDescent="0.25">
      <c r="A159" s="680" t="s">
        <v>94</v>
      </c>
      <c r="B159" s="683"/>
      <c r="C159" s="406" t="s">
        <v>43</v>
      </c>
      <c r="D159" s="363">
        <v>1</v>
      </c>
      <c r="E159" s="414">
        <v>7.9</v>
      </c>
      <c r="F159" s="576">
        <v>0.12</v>
      </c>
      <c r="G159" s="408">
        <f>IF(E159&lt;8,Factors!H$18,IF(E159&lt;9,Factors!H$19,IF(E159&lt;10,Factors!H$20,IF(E159&lt;11,Factors!H$21,IF(E159&lt;12,Factors!H$22,IF(E159&lt;13,Factors!H$23))))))</f>
        <v>1.3238434163701067</v>
      </c>
      <c r="H159" s="409">
        <f>D159*F159*G159</f>
        <v>0.1588612099644128</v>
      </c>
      <c r="I159" s="406"/>
      <c r="J159" s="411"/>
      <c r="K159" s="412"/>
      <c r="M159" s="436">
        <f>H159/H$169</f>
        <v>2.0984525435963082E-2</v>
      </c>
      <c r="N159" s="437">
        <f>H159/M159</f>
        <v>7.5703980273081593</v>
      </c>
      <c r="O159" s="438">
        <f>1/M159</f>
        <v>47.654163209533891</v>
      </c>
      <c r="P159" s="439">
        <f>H159*O159</f>
        <v>7.5703980273081593</v>
      </c>
    </row>
    <row r="160" spans="1:16" x14ac:dyDescent="0.25">
      <c r="A160" s="680"/>
      <c r="B160" s="683"/>
      <c r="C160" s="406" t="s">
        <v>166</v>
      </c>
      <c r="D160" s="363">
        <v>4</v>
      </c>
      <c r="E160" s="414">
        <v>8.5</v>
      </c>
      <c r="F160" s="576">
        <v>0.12</v>
      </c>
      <c r="G160" s="408">
        <f>IF(E160&lt;8,Factors!H$18,IF(E160&lt;9,Factors!H$19,IF(E160&lt;10,Factors!H$20,IF(E160&lt;11,Factors!H$21,IF(E160&lt;12,Factors!H$22,IF(E160&lt;13,Factors!H$23))))))</f>
        <v>1.1104477611940298</v>
      </c>
      <c r="H160" s="409">
        <f>D160*F160*G160</f>
        <v>0.53301492537313422</v>
      </c>
      <c r="I160" s="410"/>
      <c r="J160" s="411"/>
      <c r="K160" s="412"/>
      <c r="M160" s="436">
        <f>H160/H$169</f>
        <v>7.0407780865738803E-2</v>
      </c>
      <c r="N160" s="437">
        <f>H160/M160</f>
        <v>7.5703980273081593</v>
      </c>
      <c r="O160" s="438">
        <f>1/M160</f>
        <v>14.202975689674249</v>
      </c>
      <c r="P160" s="439">
        <f>H160*O160</f>
        <v>7.5703980273081593</v>
      </c>
    </row>
    <row r="161" spans="1:16" ht="15.75" thickBot="1" x14ac:dyDescent="0.3">
      <c r="A161" s="680"/>
      <c r="B161" s="683"/>
      <c r="C161" s="415" t="s">
        <v>158</v>
      </c>
      <c r="D161" s="416">
        <v>2</v>
      </c>
      <c r="E161" s="574">
        <v>8.8000000000000007</v>
      </c>
      <c r="F161" s="417">
        <f>2/17</f>
        <v>0.11764705882352941</v>
      </c>
      <c r="G161" s="418">
        <f>IF(E161&lt;8,Factors!H$18,IF(E161&lt;9,Factors!H$19,IF(E161&lt;10,Factors!H$20,IF(E161&lt;11,Factors!H$21,IF(E161&lt;12,Factors!H$22,IF(E161&lt;13,Factors!H$23))))))</f>
        <v>1.1104477611940298</v>
      </c>
      <c r="H161" s="419">
        <f>D161*F161*G161</f>
        <v>0.26128182616330115</v>
      </c>
      <c r="I161" s="420"/>
      <c r="J161" s="421"/>
      <c r="K161" s="421"/>
      <c r="M161" s="440">
        <f>H161/H$169</f>
        <v>3.4513618071440599E-2</v>
      </c>
      <c r="N161" s="441">
        <f>H161/M161</f>
        <v>7.5703980273081593</v>
      </c>
      <c r="O161" s="442">
        <f>1/M161</f>
        <v>28.974070406935461</v>
      </c>
      <c r="P161" s="443">
        <f>H161*O161</f>
        <v>7.5703980273081593</v>
      </c>
    </row>
    <row r="162" spans="1:16" ht="15.75" thickTop="1" x14ac:dyDescent="0.25">
      <c r="A162" s="681"/>
      <c r="B162" s="684"/>
      <c r="C162" s="422"/>
      <c r="D162" s="423"/>
      <c r="E162" s="425"/>
      <c r="F162" s="424"/>
      <c r="G162" s="425"/>
      <c r="H162" s="426">
        <f>SUM(H157:H161)</f>
        <v>1.5581775693439854</v>
      </c>
      <c r="I162" s="427">
        <f>M7</f>
        <v>1.1111111111111112</v>
      </c>
      <c r="J162" s="428">
        <f>(H162*I162*J$13)*1.1</f>
        <v>2.4472044380752482</v>
      </c>
      <c r="K162" s="429">
        <f>K161+K160</f>
        <v>0</v>
      </c>
    </row>
    <row r="163" spans="1:16" ht="15.75" thickBot="1" x14ac:dyDescent="0.3">
      <c r="B163" s="397"/>
      <c r="E163" s="414"/>
      <c r="G163" s="414"/>
      <c r="H163" s="414"/>
      <c r="I163" s="430"/>
    </row>
    <row r="164" spans="1:16" x14ac:dyDescent="0.25">
      <c r="A164" s="679" t="s">
        <v>95</v>
      </c>
      <c r="B164" s="682">
        <f>B157+1</f>
        <v>45897</v>
      </c>
      <c r="C164" s="398" t="s">
        <v>9</v>
      </c>
      <c r="D164" s="399">
        <v>2</v>
      </c>
      <c r="E164" s="573">
        <v>10</v>
      </c>
      <c r="F164" s="400">
        <f>1/2</f>
        <v>0.5</v>
      </c>
      <c r="G164" s="401">
        <f>IF(E164&lt;8,Factors!F$18,IF(E164&lt;9,Factors!F$19,IF(E164&lt;10,Factors!F$20,IF(E164&lt;11,Factors!F$21,IF(E164&lt;12,Factors!F$22,IF(E164&lt;13,Factors!F$23))))))</f>
        <v>1.0104575163398692</v>
      </c>
      <c r="H164" s="402">
        <f>D164*F164*G164</f>
        <v>1.0104575163398692</v>
      </c>
      <c r="I164" s="403"/>
      <c r="J164" s="404"/>
      <c r="K164" s="405"/>
      <c r="M164" s="432">
        <f>H164/H$169</f>
        <v>0.13347482030600208</v>
      </c>
      <c r="N164" s="433">
        <f>H164/M164</f>
        <v>7.5703980273081601</v>
      </c>
      <c r="O164" s="434">
        <f>1/M164</f>
        <v>7.4920497941665491</v>
      </c>
      <c r="P164" s="435">
        <f>H164*O164</f>
        <v>7.5703980273081601</v>
      </c>
    </row>
    <row r="165" spans="1:16" x14ac:dyDescent="0.25">
      <c r="A165" s="680"/>
      <c r="B165" s="683"/>
      <c r="C165" s="406" t="s">
        <v>174</v>
      </c>
      <c r="D165" s="363">
        <v>0</v>
      </c>
      <c r="E165" s="414">
        <v>10.5</v>
      </c>
      <c r="F165" s="576">
        <v>0.5</v>
      </c>
      <c r="G165" s="408">
        <f>IF(E165&lt;8,Factors!H$18,IF(E165&lt;9,Factors!H$19,IF(E165&lt;10,Factors!H$20,IF(E165&lt;11,Factors!H$21,IF(E165&lt;12,Factors!H$22,IF(E165&lt;13,Factors!H$23))))))</f>
        <v>1</v>
      </c>
      <c r="H165" s="409">
        <f>D165*F165*G165</f>
        <v>0</v>
      </c>
      <c r="I165" s="410"/>
      <c r="J165" s="411"/>
      <c r="K165" s="412"/>
      <c r="M165" s="436">
        <f>H165/H$169</f>
        <v>0</v>
      </c>
      <c r="N165" s="437" t="e">
        <f>H165/M165</f>
        <v>#DIV/0!</v>
      </c>
      <c r="O165" s="438" t="e">
        <f>1/M165</f>
        <v>#DIV/0!</v>
      </c>
      <c r="P165" s="439" t="e">
        <f>H165*O165</f>
        <v>#DIV/0!</v>
      </c>
    </row>
    <row r="166" spans="1:16" x14ac:dyDescent="0.25">
      <c r="A166" s="680" t="s">
        <v>94</v>
      </c>
      <c r="B166" s="683"/>
      <c r="C166" s="406" t="s">
        <v>43</v>
      </c>
      <c r="D166" s="363">
        <v>4</v>
      </c>
      <c r="E166" s="414">
        <v>7.9</v>
      </c>
      <c r="F166" s="407">
        <f>2/5</f>
        <v>0.4</v>
      </c>
      <c r="G166" s="408">
        <f>IF(E166&lt;8,Factors!H$18,IF(E166&lt;9,Factors!H$19,IF(E166&lt;10,Factors!H$20,IF(E166&lt;11,Factors!H$21,IF(E166&lt;12,Factors!H$22,IF(E166&lt;13,Factors!H$23))))))</f>
        <v>1.3238434163701067</v>
      </c>
      <c r="H166" s="409">
        <f>D166*F166*G166</f>
        <v>2.1181494661921709</v>
      </c>
      <c r="I166" s="406"/>
      <c r="J166" s="411"/>
      <c r="K166" s="412"/>
      <c r="M166" s="436">
        <f>H166/H$169</f>
        <v>0.27979367247950776</v>
      </c>
      <c r="N166" s="437">
        <f>H166/M166</f>
        <v>7.5703980273081601</v>
      </c>
      <c r="O166" s="438">
        <f>1/M166</f>
        <v>3.5740622407150417</v>
      </c>
      <c r="P166" s="439">
        <f>H166*O166</f>
        <v>7.5703980273081601</v>
      </c>
    </row>
    <row r="167" spans="1:16" x14ac:dyDescent="0.25">
      <c r="A167" s="680"/>
      <c r="B167" s="683"/>
      <c r="C167" s="406" t="s">
        <v>166</v>
      </c>
      <c r="D167" s="363">
        <v>5</v>
      </c>
      <c r="E167" s="414">
        <v>8.4</v>
      </c>
      <c r="F167" s="576">
        <v>0.4</v>
      </c>
      <c r="G167" s="408">
        <f>IF(E167&lt;8,Factors!H$18,IF(E167&lt;9,Factors!H$19,IF(E167&lt;10,Factors!H$20,IF(E167&lt;11,Factors!H$21,IF(E167&lt;12,Factors!H$22,IF(E167&lt;13,Factors!H$23))))))</f>
        <v>1.1104477611940298</v>
      </c>
      <c r="H167" s="409">
        <f>D167*F167*G167</f>
        <v>2.2208955223880595</v>
      </c>
      <c r="I167" s="410"/>
      <c r="J167" s="411"/>
      <c r="K167" s="412"/>
      <c r="M167" s="436">
        <f>H167/H$169</f>
        <v>0.29336575360724504</v>
      </c>
      <c r="N167" s="437">
        <f>H167/M167</f>
        <v>7.5703980273081601</v>
      </c>
      <c r="O167" s="438">
        <f>1/M167</f>
        <v>3.4087141655218196</v>
      </c>
      <c r="P167" s="439">
        <f>H167*O167</f>
        <v>7.5703980273081601</v>
      </c>
    </row>
    <row r="168" spans="1:16" ht="15.75" thickBot="1" x14ac:dyDescent="0.3">
      <c r="A168" s="680"/>
      <c r="B168" s="683"/>
      <c r="C168" s="415" t="s">
        <v>158</v>
      </c>
      <c r="D168" s="416">
        <v>5</v>
      </c>
      <c r="E168" s="574">
        <v>8.8000000000000007</v>
      </c>
      <c r="F168" s="618">
        <v>0.4</v>
      </c>
      <c r="G168" s="418">
        <f>IF(E168&lt;8,Factors!H$18,IF(E168&lt;9,Factors!H$19,IF(E168&lt;10,Factors!H$20,IF(E168&lt;11,Factors!H$21,IF(E168&lt;12,Factors!H$22,IF(E168&lt;13,Factors!H$23))))))</f>
        <v>1.1104477611940298</v>
      </c>
      <c r="H168" s="419">
        <f>D168*F168*G168</f>
        <v>2.2208955223880595</v>
      </c>
      <c r="I168" s="420"/>
      <c r="J168" s="421"/>
      <c r="K168" s="421"/>
      <c r="M168" s="440">
        <f>H168/H$169</f>
        <v>0.29336575360724504</v>
      </c>
      <c r="N168" s="441">
        <f>H168/M168</f>
        <v>7.5703980273081601</v>
      </c>
      <c r="O168" s="442">
        <f>1/M168</f>
        <v>3.4087141655218196</v>
      </c>
      <c r="P168" s="443">
        <f>H168*O168</f>
        <v>7.5703980273081601</v>
      </c>
    </row>
    <row r="169" spans="1:16" ht="15.75" thickTop="1" x14ac:dyDescent="0.25">
      <c r="A169" s="681"/>
      <c r="B169" s="684"/>
      <c r="C169" s="422"/>
      <c r="D169" s="423"/>
      <c r="E169" s="425"/>
      <c r="F169" s="424"/>
      <c r="G169" s="425"/>
      <c r="H169" s="426">
        <f>SUM(H164:H168)</f>
        <v>7.5703980273081593</v>
      </c>
      <c r="I169" s="427">
        <f>I7</f>
        <v>1.1305752267362406</v>
      </c>
      <c r="J169" s="428">
        <f>(H169*I169*J$13)*1.1</f>
        <v>12.098011462984315</v>
      </c>
      <c r="K169" s="429">
        <f>K168+K167</f>
        <v>0</v>
      </c>
    </row>
    <row r="170" spans="1:16" x14ac:dyDescent="0.25">
      <c r="B170" s="397"/>
      <c r="E170" s="414"/>
    </row>
    <row r="171" spans="1:16" x14ac:dyDescent="0.25">
      <c r="A171" s="679" t="s">
        <v>13</v>
      </c>
      <c r="B171" s="682">
        <f>B164+1</f>
        <v>45898</v>
      </c>
      <c r="C171" s="398" t="s">
        <v>9</v>
      </c>
      <c r="D171" s="399">
        <v>4</v>
      </c>
      <c r="E171" s="573">
        <v>10.1</v>
      </c>
      <c r="F171" s="400">
        <f>3/4</f>
        <v>0.75</v>
      </c>
      <c r="G171" s="401">
        <f>IF(E171&lt;8,Factors!F$18,IF(E171&lt;9,Factors!F$19,IF(E171&lt;10,Factors!F$20,IF(E171&lt;11,Factors!F$21,IF(E171&lt;12,Factors!F$22,IF(E171&lt;13,Factors!F$23))))))</f>
        <v>1.0104575163398692</v>
      </c>
      <c r="H171" s="402">
        <f>D171*F171*G171</f>
        <v>3.0313725490196077</v>
      </c>
      <c r="I171" s="403"/>
      <c r="J171" s="404"/>
      <c r="K171" s="405"/>
    </row>
    <row r="172" spans="1:16" x14ac:dyDescent="0.25">
      <c r="A172" s="680"/>
      <c r="B172" s="683"/>
      <c r="C172" s="406" t="s">
        <v>174</v>
      </c>
      <c r="D172" s="363">
        <v>1</v>
      </c>
      <c r="E172" s="414">
        <v>9.5</v>
      </c>
      <c r="F172" s="576">
        <v>0.75</v>
      </c>
      <c r="G172" s="408">
        <f>IF(E172&lt;8,Factors!H$18,IF(E172&lt;9,Factors!H$19,IF(E172&lt;10,Factors!H$20,IF(E172&lt;11,Factors!H$21,IF(E172&lt;12,Factors!H$22,IF(E172&lt;13,Factors!H$23))))))</f>
        <v>1.024793388429752</v>
      </c>
      <c r="H172" s="409">
        <f>D172*F172*G172</f>
        <v>0.76859504132231393</v>
      </c>
      <c r="I172" s="410"/>
      <c r="J172" s="411"/>
      <c r="K172" s="412"/>
    </row>
    <row r="173" spans="1:16" x14ac:dyDescent="0.25">
      <c r="A173" s="680" t="s">
        <v>94</v>
      </c>
      <c r="B173" s="683"/>
      <c r="C173" s="406" t="s">
        <v>43</v>
      </c>
      <c r="D173" s="363">
        <v>2</v>
      </c>
      <c r="E173" s="414">
        <v>9.8000000000000007</v>
      </c>
      <c r="F173" s="576">
        <v>0.44</v>
      </c>
      <c r="G173" s="408">
        <f>IF(E173&lt;8,Factors!H$18,IF(E173&lt;9,Factors!H$19,IF(E173&lt;10,Factors!H$20,IF(E173&lt;11,Factors!H$21,IF(E173&lt;12,Factors!H$22,IF(E173&lt;13,Factors!H$23))))))</f>
        <v>1.024793388429752</v>
      </c>
      <c r="H173" s="409">
        <f>D173*F173*G173</f>
        <v>0.90181818181818174</v>
      </c>
      <c r="I173" s="406"/>
      <c r="J173" s="411"/>
      <c r="K173" s="412"/>
    </row>
    <row r="174" spans="1:16" x14ac:dyDescent="0.25">
      <c r="A174" s="680"/>
      <c r="B174" s="683"/>
      <c r="C174" s="406" t="s">
        <v>166</v>
      </c>
      <c r="D174" s="363">
        <v>1</v>
      </c>
      <c r="E174" s="414">
        <v>7.5</v>
      </c>
      <c r="F174" s="576">
        <v>0.44</v>
      </c>
      <c r="G174" s="408">
        <f>IF(E174&lt;8,Factors!H$18,IF(E174&lt;9,Factors!H$19,IF(E174&lt;10,Factors!H$20,IF(E174&lt;11,Factors!H$21,IF(E174&lt;12,Factors!H$22,IF(E174&lt;13,Factors!H$23))))))</f>
        <v>1.3238434163701067</v>
      </c>
      <c r="H174" s="409">
        <f>D174*F174*G174</f>
        <v>0.58249110320284692</v>
      </c>
      <c r="I174" s="410"/>
      <c r="J174" s="411"/>
      <c r="K174" s="412"/>
    </row>
    <row r="175" spans="1:16" ht="15.75" thickBot="1" x14ac:dyDescent="0.3">
      <c r="A175" s="680"/>
      <c r="B175" s="683"/>
      <c r="C175" s="415" t="s">
        <v>158</v>
      </c>
      <c r="D175" s="416">
        <v>10</v>
      </c>
      <c r="E175" s="574">
        <v>7.8</v>
      </c>
      <c r="F175" s="417">
        <f>8/18</f>
        <v>0.44444444444444442</v>
      </c>
      <c r="G175" s="418">
        <f>IF(E175&lt;8,Factors!H$18,IF(E175&lt;9,Factors!H$19,IF(E175&lt;10,Factors!H$20,IF(E175&lt;11,Factors!H$21,IF(E175&lt;12,Factors!H$22,IF(E175&lt;13,Factors!H$23))))))</f>
        <v>1.3238434163701067</v>
      </c>
      <c r="H175" s="419">
        <f>D175*F175*G175</f>
        <v>5.8837485172004742</v>
      </c>
      <c r="I175" s="420"/>
      <c r="J175" s="421"/>
      <c r="K175" s="421"/>
    </row>
    <row r="176" spans="1:16" ht="15.75" thickTop="1" x14ac:dyDescent="0.25">
      <c r="A176" s="681"/>
      <c r="B176" s="684"/>
      <c r="C176" s="422"/>
      <c r="D176" s="423"/>
      <c r="E176" s="425"/>
      <c r="F176" s="424"/>
      <c r="G176" s="425"/>
      <c r="H176" s="426">
        <f>SUM(H171:H175)</f>
        <v>11.168025392563425</v>
      </c>
      <c r="I176" s="427">
        <f>I7</f>
        <v>1.1305752267362406</v>
      </c>
      <c r="J176" s="428">
        <f>H176*I176*J$13+K176</f>
        <v>16.224786299905627</v>
      </c>
      <c r="K176" s="429">
        <f>K175+K174</f>
        <v>0</v>
      </c>
    </row>
    <row r="177" spans="1:16" x14ac:dyDescent="0.25">
      <c r="B177" s="397"/>
      <c r="E177" s="414"/>
      <c r="J177" s="430"/>
    </row>
    <row r="178" spans="1:16" x14ac:dyDescent="0.25">
      <c r="A178" s="680" t="s">
        <v>14</v>
      </c>
      <c r="B178" s="682">
        <f>B171+1</f>
        <v>45899</v>
      </c>
      <c r="C178" s="398" t="s">
        <v>9</v>
      </c>
      <c r="D178" s="399">
        <v>11</v>
      </c>
      <c r="E178" s="573">
        <v>9.4</v>
      </c>
      <c r="F178" s="400">
        <f>6/8</f>
        <v>0.75</v>
      </c>
      <c r="G178" s="401">
        <f>IF(E178&lt;8,Factors!F$18,IF(E178&lt;9,Factors!F$19,IF(E178&lt;10,Factors!F$20,IF(E178&lt;11,Factors!F$21,IF(E178&lt;12,Factors!F$22,IF(E178&lt;13,Factors!F$23))))))</f>
        <v>1.034805890227577</v>
      </c>
      <c r="H178" s="402">
        <f>D178*F178*G178</f>
        <v>8.5371485943775092</v>
      </c>
      <c r="I178" s="403"/>
      <c r="J178" s="404"/>
      <c r="K178" s="405"/>
    </row>
    <row r="179" spans="1:16" x14ac:dyDescent="0.25">
      <c r="A179" s="680"/>
      <c r="B179" s="683"/>
      <c r="C179" s="406" t="s">
        <v>174</v>
      </c>
      <c r="D179" s="363">
        <v>3</v>
      </c>
      <c r="E179" s="414">
        <v>10</v>
      </c>
      <c r="F179" s="576">
        <v>0.75</v>
      </c>
      <c r="G179" s="408">
        <f>IF(E179&lt;8,Factors!H$18,IF(E179&lt;9,Factors!H$19,IF(E179&lt;10,Factors!H$20,IF(E179&lt;11,Factors!H$21,IF(E179&lt;12,Factors!H$22,IF(E179&lt;13,Factors!H$23))))))</f>
        <v>1</v>
      </c>
      <c r="H179" s="409">
        <f>D179*F179*G179</f>
        <v>2.25</v>
      </c>
      <c r="I179" s="410"/>
      <c r="J179" s="411"/>
      <c r="K179" s="412"/>
    </row>
    <row r="180" spans="1:16" x14ac:dyDescent="0.25">
      <c r="A180" s="680" t="s">
        <v>94</v>
      </c>
      <c r="B180" s="683"/>
      <c r="C180" s="406" t="s">
        <v>43</v>
      </c>
      <c r="D180" s="363">
        <v>4</v>
      </c>
      <c r="E180" s="414">
        <v>10.7</v>
      </c>
      <c r="F180" s="407">
        <f>3/4</f>
        <v>0.75</v>
      </c>
      <c r="G180" s="408">
        <f>IF(E180&lt;8,Factors!H$18,IF(E180&lt;9,Factors!H$19,IF(E180&lt;10,Factors!H$20,IF(E180&lt;11,Factors!H$21,IF(E180&lt;12,Factors!H$22,IF(E180&lt;13,Factors!H$23))))))</f>
        <v>1</v>
      </c>
      <c r="H180" s="409">
        <f>D180*F180*G180</f>
        <v>3</v>
      </c>
      <c r="I180" s="406"/>
      <c r="J180" s="411"/>
      <c r="K180" s="412"/>
    </row>
    <row r="181" spans="1:16" x14ac:dyDescent="0.25">
      <c r="A181" s="680"/>
      <c r="B181" s="683"/>
      <c r="C181" s="406" t="s">
        <v>166</v>
      </c>
      <c r="D181" s="363">
        <v>8</v>
      </c>
      <c r="E181" s="414">
        <v>8.8000000000000007</v>
      </c>
      <c r="F181" s="576">
        <v>0.5</v>
      </c>
      <c r="G181" s="408">
        <f>IF(E181&lt;8,Factors!H$18,IF(E181&lt;9,Factors!H$19,IF(E181&lt;10,Factors!H$20,IF(E181&lt;11,Factors!H$21,IF(E181&lt;12,Factors!H$22,IF(E181&lt;13,Factors!H$23))))))</f>
        <v>1.1104477611940298</v>
      </c>
      <c r="H181" s="409">
        <f>D181*F181*G181</f>
        <v>4.4417910447761191</v>
      </c>
      <c r="I181" s="410"/>
      <c r="J181" s="411"/>
      <c r="K181" s="412"/>
    </row>
    <row r="182" spans="1:16" ht="15.75" thickBot="1" x14ac:dyDescent="0.3">
      <c r="A182" s="680"/>
      <c r="B182" s="683"/>
      <c r="C182" s="415" t="s">
        <v>158</v>
      </c>
      <c r="D182" s="416">
        <v>9</v>
      </c>
      <c r="E182" s="574">
        <v>9</v>
      </c>
      <c r="F182" s="417">
        <f>1/2</f>
        <v>0.5</v>
      </c>
      <c r="G182" s="418">
        <f>IF(E182&lt;8,Factors!H$18,IF(E182&lt;9,Factors!H$19,IF(E182&lt;10,Factors!H$20,IF(E182&lt;11,Factors!H$21,IF(E182&lt;12,Factors!H$22,IF(E182&lt;13,Factors!H$23))))))</f>
        <v>1.024793388429752</v>
      </c>
      <c r="H182" s="419">
        <f>D182*F182*G182</f>
        <v>4.6115702479338836</v>
      </c>
      <c r="I182" s="420"/>
      <c r="J182" s="421"/>
      <c r="K182" s="421"/>
    </row>
    <row r="183" spans="1:16" ht="15.75" thickTop="1" x14ac:dyDescent="0.25">
      <c r="A183" s="681"/>
      <c r="B183" s="684"/>
      <c r="C183" s="422"/>
      <c r="D183" s="423"/>
      <c r="E183" s="425"/>
      <c r="F183" s="424"/>
      <c r="G183" s="425"/>
      <c r="H183" s="426">
        <f>SUM(H178:H182)</f>
        <v>22.840509887087514</v>
      </c>
      <c r="I183" s="427">
        <f>I7</f>
        <v>1.1305752267362406</v>
      </c>
      <c r="J183" s="428">
        <f>H183*I183*J$13+K183</f>
        <v>33.182445318009421</v>
      </c>
      <c r="K183" s="429">
        <f>K182+K181</f>
        <v>0</v>
      </c>
    </row>
    <row r="184" spans="1:16" x14ac:dyDescent="0.25">
      <c r="B184" s="397"/>
      <c r="E184" s="414"/>
    </row>
    <row r="185" spans="1:16" x14ac:dyDescent="0.25">
      <c r="A185" s="679" t="s">
        <v>15</v>
      </c>
      <c r="B185" s="682">
        <f>B178+1</f>
        <v>45900</v>
      </c>
      <c r="C185" s="398" t="s">
        <v>9</v>
      </c>
      <c r="D185" s="399">
        <v>10</v>
      </c>
      <c r="E185" s="573">
        <v>9.1999999999999993</v>
      </c>
      <c r="F185" s="400">
        <f>5/5</f>
        <v>1</v>
      </c>
      <c r="G185" s="401">
        <f>IF(E185&lt;8,Factors!F$18,IF(E185&lt;9,Factors!F$19,IF(E185&lt;10,Factors!F$20,IF(E185&lt;11,Factors!F$21,IF(E185&lt;12,Factors!F$22,IF(E185&lt;13,Factors!F$23))))))</f>
        <v>1.034805890227577</v>
      </c>
      <c r="H185" s="402">
        <f>D185*F185*G185</f>
        <v>10.348058902275771</v>
      </c>
      <c r="I185" s="403"/>
      <c r="J185" s="404"/>
      <c r="K185" s="405"/>
    </row>
    <row r="186" spans="1:16" x14ac:dyDescent="0.25">
      <c r="A186" s="680"/>
      <c r="B186" s="683"/>
      <c r="C186" s="406" t="s">
        <v>174</v>
      </c>
      <c r="D186" s="363">
        <v>1</v>
      </c>
      <c r="E186" s="414">
        <v>8.8000000000000007</v>
      </c>
      <c r="F186" s="576">
        <v>1</v>
      </c>
      <c r="G186" s="408">
        <f>IF(E186&lt;8,Factors!H$18,IF(E186&lt;9,Factors!H$19,IF(E186&lt;10,Factors!H$20,IF(E186&lt;11,Factors!H$21,IF(E186&lt;12,Factors!H$22,IF(E186&lt;13,Factors!H$23))))))</f>
        <v>1.1104477611940298</v>
      </c>
      <c r="H186" s="409">
        <f>D186*F186*G186</f>
        <v>1.1104477611940298</v>
      </c>
      <c r="I186" s="410"/>
      <c r="J186" s="411"/>
      <c r="K186" s="412"/>
    </row>
    <row r="187" spans="1:16" x14ac:dyDescent="0.25">
      <c r="A187" s="680" t="s">
        <v>94</v>
      </c>
      <c r="B187" s="683"/>
      <c r="C187" s="406" t="s">
        <v>43</v>
      </c>
      <c r="D187" s="363">
        <v>5</v>
      </c>
      <c r="E187" s="414">
        <v>7.9</v>
      </c>
      <c r="F187" s="576">
        <v>1</v>
      </c>
      <c r="G187" s="408">
        <f>IF(E187&lt;8,Factors!H$18,IF(E187&lt;9,Factors!H$19,IF(E187&lt;10,Factors!H$20,IF(E187&lt;11,Factors!H$21,IF(E187&lt;12,Factors!H$22,IF(E187&lt;13,Factors!H$23))))))</f>
        <v>1.3238434163701067</v>
      </c>
      <c r="H187" s="409">
        <f>D187*F187*G187</f>
        <v>6.6192170818505334</v>
      </c>
      <c r="I187" s="406"/>
      <c r="J187" s="411"/>
      <c r="K187" s="412"/>
    </row>
    <row r="188" spans="1:16" x14ac:dyDescent="0.25">
      <c r="A188" s="680"/>
      <c r="B188" s="683"/>
      <c r="C188" s="406" t="s">
        <v>166</v>
      </c>
      <c r="D188" s="363">
        <v>5</v>
      </c>
      <c r="E188" s="414">
        <v>7.7</v>
      </c>
      <c r="F188" s="576">
        <v>0.25</v>
      </c>
      <c r="G188" s="408">
        <f>IF(E188&lt;8,Factors!H$18,IF(E188&lt;9,Factors!H$19,IF(E188&lt;10,Factors!H$20,IF(E188&lt;11,Factors!H$21,IF(E188&lt;12,Factors!H$22,IF(E188&lt;13,Factors!H$23))))))</f>
        <v>1.3238434163701067</v>
      </c>
      <c r="H188" s="409">
        <f>D188*F188*G188</f>
        <v>1.6548042704626333</v>
      </c>
      <c r="I188" s="410"/>
      <c r="J188" s="411"/>
      <c r="K188" s="412"/>
    </row>
    <row r="189" spans="1:16" ht="15.75" thickBot="1" x14ac:dyDescent="0.3">
      <c r="A189" s="680"/>
      <c r="B189" s="683"/>
      <c r="C189" s="415" t="s">
        <v>158</v>
      </c>
      <c r="D189" s="416">
        <v>7</v>
      </c>
      <c r="E189" s="574">
        <v>7.7</v>
      </c>
      <c r="F189" s="417">
        <f>3/12</f>
        <v>0.25</v>
      </c>
      <c r="G189" s="418">
        <f>IF(E189&lt;8,Factors!H$18,IF(E189&lt;9,Factors!H$19,IF(E189&lt;10,Factors!H$20,IF(E189&lt;11,Factors!H$21,IF(E189&lt;12,Factors!H$22,IF(E189&lt;13,Factors!H$23))))))</f>
        <v>1.3238434163701067</v>
      </c>
      <c r="H189" s="419">
        <f>D189*F189*G189</f>
        <v>2.3167259786476868</v>
      </c>
      <c r="I189" s="420"/>
      <c r="J189" s="421"/>
      <c r="K189" s="421"/>
    </row>
    <row r="190" spans="1:16" ht="15.75" thickTop="1" x14ac:dyDescent="0.25">
      <c r="A190" s="681"/>
      <c r="B190" s="684"/>
      <c r="C190" s="422"/>
      <c r="D190" s="423"/>
      <c r="E190" s="425"/>
      <c r="F190" s="424"/>
      <c r="G190" s="425"/>
      <c r="H190" s="426">
        <f>SUM(H185:H189)</f>
        <v>22.049253994430654</v>
      </c>
      <c r="I190" s="427">
        <f>I7</f>
        <v>1.1305752267362406</v>
      </c>
      <c r="J190" s="428">
        <f>H190*I190*J$13+K190</f>
        <v>32.032917329342133</v>
      </c>
      <c r="K190" s="429">
        <f>K189+K188</f>
        <v>0</v>
      </c>
    </row>
    <row r="191" spans="1:16" ht="15.75" thickBot="1" x14ac:dyDescent="0.3">
      <c r="B191" s="397"/>
      <c r="E191" s="414"/>
      <c r="J191" s="430"/>
    </row>
    <row r="192" spans="1:16" x14ac:dyDescent="0.25">
      <c r="A192" s="679" t="s">
        <v>7</v>
      </c>
      <c r="B192" s="682">
        <f>B185+1</f>
        <v>45901</v>
      </c>
      <c r="C192" s="398" t="s">
        <v>9</v>
      </c>
      <c r="D192" s="616"/>
      <c r="E192" s="573"/>
      <c r="F192" s="400"/>
      <c r="G192" s="401">
        <f>IF(E192&lt;8,Factors!F$18,IF(E192&lt;9,Factors!F$19,IF(E192&lt;10,Factors!F$20,IF(E192&lt;11,Factors!F$21,IF(E192&lt;12,Factors!F$22,IF(E192&lt;13,Factors!F$23))))))</f>
        <v>1.2308917197452229</v>
      </c>
      <c r="H192" s="402">
        <f>D192*F192*G192</f>
        <v>0</v>
      </c>
      <c r="I192" s="403"/>
      <c r="J192" s="404"/>
      <c r="K192" s="405"/>
      <c r="M192" s="494">
        <f>H192/H$169</f>
        <v>0</v>
      </c>
      <c r="N192" s="495" t="e">
        <f>H192/M192</f>
        <v>#DIV/0!</v>
      </c>
      <c r="O192" s="496" t="e">
        <f>1/M192</f>
        <v>#DIV/0!</v>
      </c>
      <c r="P192" s="497" t="e">
        <f>H192*O192</f>
        <v>#DIV/0!</v>
      </c>
    </row>
    <row r="193" spans="1:16" x14ac:dyDescent="0.25">
      <c r="A193" s="680"/>
      <c r="B193" s="683"/>
      <c r="C193" s="406" t="s">
        <v>174</v>
      </c>
      <c r="D193" s="444"/>
      <c r="E193" s="414"/>
      <c r="F193" s="407"/>
      <c r="G193" s="408">
        <f>IF(E193&lt;8,Factors!H$18,IF(E193&lt;9,Factors!H$19,IF(E193&lt;10,Factors!H$20,IF(E193&lt;11,Factors!H$21,IF(E193&lt;12,Factors!H$22,IF(E193&lt;13,Factors!H$23))))))</f>
        <v>1.3238434163701067</v>
      </c>
      <c r="H193" s="409">
        <f>D193*F193*G193</f>
        <v>0</v>
      </c>
      <c r="I193" s="410"/>
      <c r="J193" s="411"/>
      <c r="K193" s="412"/>
      <c r="M193" s="498">
        <f>H193/H$169</f>
        <v>0</v>
      </c>
      <c r="N193" s="414" t="e">
        <f>H193/M193</f>
        <v>#DIV/0!</v>
      </c>
      <c r="O193" s="430" t="e">
        <f>1/M193</f>
        <v>#DIV/0!</v>
      </c>
      <c r="P193" s="499" t="e">
        <f>H193*O193</f>
        <v>#DIV/0!</v>
      </c>
    </row>
    <row r="194" spans="1:16" x14ac:dyDescent="0.25">
      <c r="A194" s="680" t="s">
        <v>94</v>
      </c>
      <c r="B194" s="683"/>
      <c r="C194" s="406" t="s">
        <v>43</v>
      </c>
      <c r="D194" s="444"/>
      <c r="E194" s="414"/>
      <c r="F194" s="407"/>
      <c r="G194" s="408">
        <f>IF(E194&lt;8,Factors!H$18,IF(E194&lt;9,Factors!H$19,IF(E194&lt;10,Factors!H$20,IF(E194&lt;11,Factors!H$21,IF(E194&lt;12,Factors!H$22,IF(E194&lt;13,Factors!H$23))))))</f>
        <v>1.3238434163701067</v>
      </c>
      <c r="H194" s="409">
        <f>D194*F194*G194</f>
        <v>0</v>
      </c>
      <c r="I194" s="406"/>
      <c r="J194" s="411"/>
      <c r="K194" s="412"/>
      <c r="M194" s="498">
        <f>H194/H$169</f>
        <v>0</v>
      </c>
      <c r="N194" s="414" t="e">
        <f>H194/M194</f>
        <v>#DIV/0!</v>
      </c>
      <c r="O194" s="430" t="e">
        <f>1/M194</f>
        <v>#DIV/0!</v>
      </c>
      <c r="P194" s="499" t="e">
        <f>H194*O194</f>
        <v>#DIV/0!</v>
      </c>
    </row>
    <row r="195" spans="1:16" x14ac:dyDescent="0.25">
      <c r="A195" s="680"/>
      <c r="B195" s="683"/>
      <c r="C195" s="406" t="s">
        <v>166</v>
      </c>
      <c r="D195" s="444"/>
      <c r="E195" s="414"/>
      <c r="F195" s="407"/>
      <c r="G195" s="408">
        <f>IF(E195&lt;8,Factors!H$18,IF(E195&lt;9,Factors!H$19,IF(E195&lt;10,Factors!H$20,IF(E195&lt;11,Factors!H$21,IF(E195&lt;12,Factors!H$22,IF(E195&lt;13,Factors!H$23))))))</f>
        <v>1.3238434163701067</v>
      </c>
      <c r="H195" s="409">
        <f>D195*F195*G195</f>
        <v>0</v>
      </c>
      <c r="I195" s="410"/>
      <c r="J195" s="411"/>
      <c r="K195" s="412"/>
      <c r="M195" s="498">
        <f>H195/H$169</f>
        <v>0</v>
      </c>
      <c r="N195" s="414" t="e">
        <f>H195/M195</f>
        <v>#DIV/0!</v>
      </c>
      <c r="O195" s="430" t="e">
        <f>1/M195</f>
        <v>#DIV/0!</v>
      </c>
      <c r="P195" s="499" t="e">
        <f>H195*O195</f>
        <v>#DIV/0!</v>
      </c>
    </row>
    <row r="196" spans="1:16" ht="15.75" thickBot="1" x14ac:dyDescent="0.3">
      <c r="A196" s="680"/>
      <c r="B196" s="683"/>
      <c r="C196" s="415" t="s">
        <v>158</v>
      </c>
      <c r="D196" s="617"/>
      <c r="E196" s="574"/>
      <c r="F196" s="417"/>
      <c r="G196" s="418">
        <f>IF(E196&lt;8,Factors!H$18,IF(E196&lt;9,Factors!H$19,IF(E196&lt;10,Factors!H$20,IF(E196&lt;11,Factors!H$21,IF(E196&lt;12,Factors!H$22,IF(E196&lt;13,Factors!H$23))))))</f>
        <v>1.3238434163701067</v>
      </c>
      <c r="H196" s="419">
        <f>D196*F196*G196</f>
        <v>0</v>
      </c>
      <c r="I196" s="420"/>
      <c r="J196" s="421"/>
      <c r="K196" s="421"/>
      <c r="M196" s="500">
        <f>H196/H$169</f>
        <v>0</v>
      </c>
      <c r="N196" s="501" t="e">
        <f>H196/M196</f>
        <v>#DIV/0!</v>
      </c>
      <c r="O196" s="502" t="e">
        <f>1/M196</f>
        <v>#DIV/0!</v>
      </c>
      <c r="P196" s="503" t="e">
        <f>H196*O196</f>
        <v>#DIV/0!</v>
      </c>
    </row>
    <row r="197" spans="1:16" ht="15.75" thickTop="1" x14ac:dyDescent="0.25">
      <c r="A197" s="681"/>
      <c r="B197" s="684"/>
      <c r="C197" s="422"/>
      <c r="D197" s="423"/>
      <c r="E197" s="425"/>
      <c r="F197" s="424"/>
      <c r="G197" s="425"/>
      <c r="H197" s="426">
        <f>SUM(H192:H196)</f>
        <v>0</v>
      </c>
      <c r="I197" s="427">
        <f>AD8</f>
        <v>2.4040299854770542</v>
      </c>
      <c r="J197" s="428">
        <f>H197*I197*J$13+K197</f>
        <v>0</v>
      </c>
      <c r="K197" s="429">
        <f>K196+K195</f>
        <v>0</v>
      </c>
    </row>
    <row r="198" spans="1:16" x14ac:dyDescent="0.25">
      <c r="B198" s="397"/>
      <c r="E198" s="414"/>
    </row>
    <row r="199" spans="1:16" x14ac:dyDescent="0.25">
      <c r="A199" s="679" t="s">
        <v>94</v>
      </c>
      <c r="B199" s="682">
        <f>B192+1</f>
        <v>45902</v>
      </c>
      <c r="C199" s="398" t="s">
        <v>9</v>
      </c>
      <c r="D199" s="399">
        <v>2</v>
      </c>
      <c r="E199" s="573">
        <v>8.9</v>
      </c>
      <c r="F199" s="400">
        <v>1</v>
      </c>
      <c r="G199" s="401">
        <f>IF(E199&lt;8,Factors!F$18,IF(E199&lt;9,Factors!F$19,IF(E199&lt;10,Factors!F$20,IF(E199&lt;11,Factors!F$21,IF(E199&lt;12,Factors!F$22,IF(E199&lt;13,Factors!F$23))))))</f>
        <v>1.0980113636363635</v>
      </c>
      <c r="H199" s="402">
        <f>D199*F199*G199</f>
        <v>2.1960227272727271</v>
      </c>
      <c r="I199" s="403"/>
      <c r="J199" s="404"/>
      <c r="K199" s="405"/>
    </row>
    <row r="200" spans="1:16" x14ac:dyDescent="0.25">
      <c r="A200" s="680"/>
      <c r="B200" s="683"/>
      <c r="C200" s="406" t="s">
        <v>174</v>
      </c>
      <c r="D200" s="363">
        <v>0</v>
      </c>
      <c r="E200" s="414">
        <v>9.4</v>
      </c>
      <c r="F200" s="576">
        <v>1</v>
      </c>
      <c r="G200" s="408">
        <f>IF(E200&lt;8,Factors!H$18,IF(E200&lt;9,Factors!H$19,IF(E200&lt;10,Factors!H$20,IF(E200&lt;11,Factors!H$21,IF(E200&lt;12,Factors!H$22,IF(E200&lt;13,Factors!H$23))))))</f>
        <v>1.024793388429752</v>
      </c>
      <c r="H200" s="409">
        <f>D200*F200*G200</f>
        <v>0</v>
      </c>
      <c r="I200" s="410"/>
      <c r="J200" s="411"/>
      <c r="K200" s="412"/>
    </row>
    <row r="201" spans="1:16" x14ac:dyDescent="0.25">
      <c r="A201" s="680" t="s">
        <v>94</v>
      </c>
      <c r="B201" s="683"/>
      <c r="C201" s="406" t="s">
        <v>43</v>
      </c>
      <c r="D201" s="363">
        <v>2</v>
      </c>
      <c r="E201" s="414">
        <v>8.1999999999999993</v>
      </c>
      <c r="F201" s="407">
        <v>0.5</v>
      </c>
      <c r="G201" s="408">
        <f>IF(E201&lt;8,Factors!H$18,IF(E201&lt;9,Factors!H$19,IF(E201&lt;10,Factors!H$20,IF(E201&lt;11,Factors!H$21,IF(E201&lt;12,Factors!H$22,IF(E201&lt;13,Factors!H$23))))))</f>
        <v>1.1104477611940298</v>
      </c>
      <c r="H201" s="409">
        <f>D201*F201*G201</f>
        <v>1.1104477611940298</v>
      </c>
      <c r="I201" s="406"/>
      <c r="J201" s="411"/>
      <c r="K201" s="412"/>
    </row>
    <row r="202" spans="1:16" x14ac:dyDescent="0.25">
      <c r="A202" s="680"/>
      <c r="B202" s="683"/>
      <c r="C202" s="406" t="s">
        <v>166</v>
      </c>
      <c r="D202" s="363">
        <v>0</v>
      </c>
      <c r="E202" s="414">
        <v>7.9</v>
      </c>
      <c r="F202" s="576">
        <v>0.5</v>
      </c>
      <c r="G202" s="408">
        <f>IF(E202&lt;8,Factors!H$18,IF(E202&lt;9,Factors!H$19,IF(E202&lt;10,Factors!H$20,IF(E202&lt;11,Factors!H$21,IF(E202&lt;12,Factors!H$22,IF(E202&lt;13,Factors!H$23))))))</f>
        <v>1.3238434163701067</v>
      </c>
      <c r="H202" s="409">
        <f>D202*F202*G202</f>
        <v>0</v>
      </c>
      <c r="I202" s="410"/>
      <c r="J202" s="411"/>
      <c r="K202" s="412"/>
      <c r="M202" s="504">
        <f>AVERAGE(M203:M205)</f>
        <v>0.66333333333333333</v>
      </c>
    </row>
    <row r="203" spans="1:16" ht="15.75" thickBot="1" x14ac:dyDescent="0.3">
      <c r="A203" s="680"/>
      <c r="B203" s="683"/>
      <c r="C203" s="415" t="s">
        <v>158</v>
      </c>
      <c r="D203" s="416">
        <v>4</v>
      </c>
      <c r="E203" s="574">
        <v>12.8</v>
      </c>
      <c r="F203" s="618">
        <v>0.5</v>
      </c>
      <c r="G203" s="418">
        <f>IF(E203&lt;8,Factors!H$18,IF(E203&lt;9,Factors!H$19,IF(E203&lt;10,Factors!H$20,IF(E203&lt;11,Factors!H$21,IF(E203&lt;12,Factors!H$22,IF(E203&lt;13,Factors!H$23))))))</f>
        <v>1.2277227722772277</v>
      </c>
      <c r="H203" s="419">
        <f>D203*F203*G203</f>
        <v>2.4554455445544554</v>
      </c>
      <c r="I203" s="420"/>
      <c r="J203" s="421"/>
      <c r="K203" s="421"/>
      <c r="M203" s="407">
        <f>F224</f>
        <v>0.5</v>
      </c>
    </row>
    <row r="204" spans="1:16" ht="15.75" thickTop="1" x14ac:dyDescent="0.25">
      <c r="A204" s="681"/>
      <c r="B204" s="684"/>
      <c r="C204" s="422"/>
      <c r="D204" s="423"/>
      <c r="E204" s="425"/>
      <c r="F204" s="424"/>
      <c r="G204" s="425"/>
      <c r="H204" s="426">
        <f>SUM(H199:H203)</f>
        <v>5.7619160330212118</v>
      </c>
      <c r="I204" s="427">
        <f>AG8</f>
        <v>1.1111111111111112</v>
      </c>
      <c r="J204" s="428">
        <f>H204*I204*J$13+K204</f>
        <v>8.2267356693691749</v>
      </c>
      <c r="K204" s="429">
        <f>K203+K202</f>
        <v>0</v>
      </c>
      <c r="M204" s="407">
        <f>F231</f>
        <v>0.78</v>
      </c>
    </row>
    <row r="205" spans="1:16" x14ac:dyDescent="0.25">
      <c r="B205" s="397"/>
      <c r="E205" s="414"/>
      <c r="F205" s="407"/>
      <c r="J205" s="430"/>
      <c r="M205" s="407">
        <f>F238</f>
        <v>0.71</v>
      </c>
    </row>
    <row r="206" spans="1:16" x14ac:dyDescent="0.25">
      <c r="A206" s="679" t="s">
        <v>11</v>
      </c>
      <c r="B206" s="682">
        <f>B199+1</f>
        <v>45903</v>
      </c>
      <c r="C206" s="398" t="s">
        <v>9</v>
      </c>
      <c r="D206" s="399">
        <v>2</v>
      </c>
      <c r="E206" s="573">
        <v>9.8000000000000007</v>
      </c>
      <c r="F206" s="400">
        <v>1</v>
      </c>
      <c r="G206" s="401">
        <f>IF(E206&lt;8,Factors!F$18,IF(E206&lt;9,Factors!F$19,IF(E206&lt;10,Factors!F$20,IF(E206&lt;11,Factors!F$21,IF(E206&lt;12,Factors!F$22,IF(E206&lt;13,Factors!F$23))))))</f>
        <v>1.034805890227577</v>
      </c>
      <c r="H206" s="402">
        <f>D206*F206*G206</f>
        <v>2.0696117804551539</v>
      </c>
      <c r="I206" s="403"/>
      <c r="J206" s="404"/>
      <c r="K206" s="405"/>
    </row>
    <row r="207" spans="1:16" x14ac:dyDescent="0.25">
      <c r="A207" s="680"/>
      <c r="B207" s="683"/>
      <c r="C207" s="406" t="s">
        <v>174</v>
      </c>
      <c r="D207" s="363">
        <v>1</v>
      </c>
      <c r="E207" s="414">
        <v>10.4</v>
      </c>
      <c r="F207" s="407">
        <v>1</v>
      </c>
      <c r="G207" s="408">
        <f>IF(E207&lt;8,Factors!H$18,IF(E207&lt;9,Factors!H$19,IF(E207&lt;10,Factors!H$20,IF(E207&lt;11,Factors!H$21,IF(E207&lt;12,Factors!H$22,IF(E207&lt;13,Factors!H$23))))))</f>
        <v>1</v>
      </c>
      <c r="H207" s="409">
        <f>D207*F207*G207</f>
        <v>1</v>
      </c>
      <c r="I207" s="410"/>
      <c r="J207" s="411"/>
      <c r="K207" s="412"/>
    </row>
    <row r="208" spans="1:16" x14ac:dyDescent="0.25">
      <c r="A208" s="680" t="s">
        <v>94</v>
      </c>
      <c r="B208" s="683"/>
      <c r="C208" s="406" t="s">
        <v>43</v>
      </c>
      <c r="D208" s="363">
        <v>5</v>
      </c>
      <c r="E208" s="414">
        <v>9.4</v>
      </c>
      <c r="F208" s="576">
        <v>0.5</v>
      </c>
      <c r="G208" s="408">
        <f>IF(E208&lt;8,Factors!H$18,IF(E208&lt;9,Factors!H$19,IF(E208&lt;10,Factors!H$20,IF(E208&lt;11,Factors!H$21,IF(E208&lt;12,Factors!H$22,IF(E208&lt;13,Factors!H$23))))))</f>
        <v>1.024793388429752</v>
      </c>
      <c r="H208" s="409">
        <f>D208*F208*G208</f>
        <v>2.5619834710743801</v>
      </c>
      <c r="I208" s="406"/>
      <c r="J208" s="411"/>
      <c r="K208" s="412"/>
    </row>
    <row r="209" spans="1:11" x14ac:dyDescent="0.25">
      <c r="A209" s="680"/>
      <c r="B209" s="683"/>
      <c r="C209" s="406" t="s">
        <v>166</v>
      </c>
      <c r="D209" s="363">
        <v>0</v>
      </c>
      <c r="E209" s="414">
        <v>7.9</v>
      </c>
      <c r="F209" s="576">
        <v>0.5</v>
      </c>
      <c r="G209" s="408">
        <f>IF(E209&lt;8,Factors!H$18,IF(E209&lt;9,Factors!H$19,IF(E209&lt;10,Factors!H$20,IF(E209&lt;11,Factors!H$21,IF(E209&lt;12,Factors!H$22,IF(E209&lt;13,Factors!H$23))))))</f>
        <v>1.3238434163701067</v>
      </c>
      <c r="H209" s="409">
        <f>D209*F209*G209</f>
        <v>0</v>
      </c>
      <c r="I209" s="410"/>
      <c r="J209" s="411"/>
      <c r="K209" s="412"/>
    </row>
    <row r="210" spans="1:11" ht="15.75" thickBot="1" x14ac:dyDescent="0.3">
      <c r="A210" s="680"/>
      <c r="B210" s="683"/>
      <c r="C210" s="415" t="s">
        <v>158</v>
      </c>
      <c r="D210" s="416">
        <v>7</v>
      </c>
      <c r="E210" s="574">
        <v>7.9</v>
      </c>
      <c r="F210" s="618">
        <v>0.5</v>
      </c>
      <c r="G210" s="418">
        <f>IF(E210&lt;8,Factors!H$18,IF(E210&lt;9,Factors!H$19,IF(E210&lt;10,Factors!H$20,IF(E210&lt;11,Factors!H$21,IF(E210&lt;12,Factors!H$22,IF(E210&lt;13,Factors!H$23))))))</f>
        <v>1.3238434163701067</v>
      </c>
      <c r="H210" s="419">
        <f>D210*F210*G210</f>
        <v>4.6334519572953736</v>
      </c>
      <c r="I210" s="420"/>
      <c r="J210" s="421"/>
      <c r="K210" s="421"/>
    </row>
    <row r="211" spans="1:11" ht="15.75" thickTop="1" x14ac:dyDescent="0.25">
      <c r="A211" s="681"/>
      <c r="B211" s="684"/>
      <c r="C211" s="422"/>
      <c r="D211" s="423"/>
      <c r="E211" s="425"/>
      <c r="F211" s="424"/>
      <c r="G211" s="425"/>
      <c r="H211" s="426">
        <f>SUM(H206:H210)</f>
        <v>10.265047208824907</v>
      </c>
      <c r="I211" s="427">
        <f>AG8</f>
        <v>1.1111111111111112</v>
      </c>
      <c r="J211" s="428">
        <f>H211*I211*J$13+K211</f>
        <v>14.656206292600007</v>
      </c>
      <c r="K211" s="429">
        <f>K210+K209</f>
        <v>0</v>
      </c>
    </row>
    <row r="212" spans="1:11" x14ac:dyDescent="0.25">
      <c r="B212" s="397"/>
      <c r="E212" s="414"/>
      <c r="G212" s="414"/>
      <c r="H212" s="414"/>
      <c r="I212" s="430"/>
    </row>
    <row r="213" spans="1:11" x14ac:dyDescent="0.25">
      <c r="A213" s="679" t="s">
        <v>95</v>
      </c>
      <c r="B213" s="682">
        <f>B206+1</f>
        <v>45904</v>
      </c>
      <c r="C213" s="398" t="s">
        <v>9</v>
      </c>
      <c r="D213" s="399">
        <v>0</v>
      </c>
      <c r="E213" s="573">
        <v>8.9</v>
      </c>
      <c r="F213" s="575"/>
      <c r="G213" s="401">
        <f>IF(E213&lt;8,Factors!F$18,IF(E213&lt;9,Factors!F$19,IF(E213&lt;10,Factors!F$20,IF(E213&lt;11,Factors!F$21,IF(E213&lt;12,Factors!F$22,IF(E213&lt;13,Factors!F$23))))))</f>
        <v>1.0980113636363635</v>
      </c>
      <c r="H213" s="402">
        <f>D213*F213*G213</f>
        <v>0</v>
      </c>
      <c r="I213" s="403"/>
      <c r="J213" s="404"/>
      <c r="K213" s="405"/>
    </row>
    <row r="214" spans="1:11" x14ac:dyDescent="0.25">
      <c r="A214" s="680"/>
      <c r="B214" s="683"/>
      <c r="C214" s="406" t="s">
        <v>174</v>
      </c>
      <c r="D214" s="363">
        <v>2</v>
      </c>
      <c r="E214" s="414">
        <v>9.5</v>
      </c>
      <c r="F214" s="576"/>
      <c r="G214" s="408">
        <f>IF(E214&lt;8,Factors!H$18,IF(E214&lt;9,Factors!H$19,IF(E214&lt;10,Factors!H$20,IF(E214&lt;11,Factors!H$21,IF(E214&lt;12,Factors!H$22,IF(E214&lt;13,Factors!H$23))))))</f>
        <v>1.024793388429752</v>
      </c>
      <c r="H214" s="409">
        <f>D214*F214*G214</f>
        <v>0</v>
      </c>
      <c r="I214" s="410"/>
      <c r="J214" s="411"/>
      <c r="K214" s="412"/>
    </row>
    <row r="215" spans="1:11" x14ac:dyDescent="0.25">
      <c r="A215" s="680" t="s">
        <v>94</v>
      </c>
      <c r="B215" s="683"/>
      <c r="C215" s="406" t="s">
        <v>43</v>
      </c>
      <c r="D215" s="363">
        <v>2</v>
      </c>
      <c r="E215" s="414">
        <v>8.6999999999999993</v>
      </c>
      <c r="F215" s="407">
        <v>1</v>
      </c>
      <c r="G215" s="408">
        <f>IF(E215&lt;8,Factors!H$18,IF(E215&lt;9,Factors!H$19,IF(E215&lt;10,Factors!H$20,IF(E215&lt;11,Factors!H$21,IF(E215&lt;12,Factors!H$22,IF(E215&lt;13,Factors!H$23))))))</f>
        <v>1.1104477611940298</v>
      </c>
      <c r="H215" s="409">
        <f>D215*F215*G215</f>
        <v>2.2208955223880595</v>
      </c>
      <c r="I215" s="406"/>
      <c r="J215" s="411"/>
      <c r="K215" s="412"/>
    </row>
    <row r="216" spans="1:11" x14ac:dyDescent="0.25">
      <c r="A216" s="680"/>
      <c r="B216" s="683"/>
      <c r="C216" s="406" t="s">
        <v>166</v>
      </c>
      <c r="D216" s="363">
        <v>0</v>
      </c>
      <c r="E216" s="414">
        <v>7.3</v>
      </c>
      <c r="F216" s="576">
        <v>0.5</v>
      </c>
      <c r="G216" s="408">
        <f>IF(E216&lt;8,Factors!H$18,IF(E216&lt;9,Factors!H$19,IF(E216&lt;10,Factors!H$20,IF(E216&lt;11,Factors!H$21,IF(E216&lt;12,Factors!H$22,IF(E216&lt;13,Factors!H$23))))))</f>
        <v>1.3238434163701067</v>
      </c>
      <c r="H216" s="409">
        <f>D216*F216*G216</f>
        <v>0</v>
      </c>
      <c r="I216" s="410"/>
      <c r="J216" s="411"/>
      <c r="K216" s="412"/>
    </row>
    <row r="217" spans="1:11" ht="15.75" thickBot="1" x14ac:dyDescent="0.3">
      <c r="A217" s="680"/>
      <c r="B217" s="683"/>
      <c r="C217" s="415" t="s">
        <v>158</v>
      </c>
      <c r="D217" s="416">
        <v>7</v>
      </c>
      <c r="E217" s="574">
        <v>7.3</v>
      </c>
      <c r="F217" s="618">
        <v>0.5</v>
      </c>
      <c r="G217" s="418">
        <f>IF(E217&lt;8,Factors!H$18,IF(E217&lt;9,Factors!H$19,IF(E217&lt;10,Factors!H$20,IF(E217&lt;11,Factors!H$21,IF(E217&lt;12,Factors!H$22,IF(E217&lt;13,Factors!H$23))))))</f>
        <v>1.3238434163701067</v>
      </c>
      <c r="H217" s="419">
        <f>D217*F217*G217</f>
        <v>4.6334519572953736</v>
      </c>
      <c r="I217" s="420"/>
      <c r="J217" s="421"/>
      <c r="K217" s="421"/>
    </row>
    <row r="218" spans="1:11" ht="15.75" thickTop="1" x14ac:dyDescent="0.25">
      <c r="A218" s="681"/>
      <c r="B218" s="684"/>
      <c r="C218" s="422"/>
      <c r="D218" s="423"/>
      <c r="E218" s="425"/>
      <c r="F218" s="424"/>
      <c r="G218" s="425"/>
      <c r="H218" s="426">
        <f>SUM(H213:H217)</f>
        <v>6.8543474796834332</v>
      </c>
      <c r="I218" s="427">
        <f>AG8</f>
        <v>1.1111111111111112</v>
      </c>
      <c r="J218" s="428">
        <f>H218*I218*J$13+K218</f>
        <v>9.7864850126591243</v>
      </c>
      <c r="K218" s="429">
        <f>K217+K216</f>
        <v>0</v>
      </c>
    </row>
    <row r="219" spans="1:11" x14ac:dyDescent="0.25">
      <c r="B219" s="397"/>
      <c r="E219" s="414"/>
    </row>
    <row r="220" spans="1:11" x14ac:dyDescent="0.25">
      <c r="A220" s="679" t="s">
        <v>13</v>
      </c>
      <c r="B220" s="682">
        <f>B213+1</f>
        <v>45905</v>
      </c>
      <c r="C220" s="398" t="s">
        <v>9</v>
      </c>
      <c r="D220" s="399">
        <v>13</v>
      </c>
      <c r="E220" s="573">
        <v>7.5</v>
      </c>
      <c r="F220" s="400">
        <v>1</v>
      </c>
      <c r="G220" s="401">
        <f>IF(E220&lt;8,Factors!F$18,IF(E220&lt;9,Factors!F$19,IF(E220&lt;10,Factors!F$20,IF(E220&lt;11,Factors!F$21,IF(E220&lt;12,Factors!F$22,IF(E220&lt;13,Factors!F$23))))))</f>
        <v>1.2308917197452229</v>
      </c>
      <c r="H220" s="402">
        <f>D220*F220*G220</f>
        <v>16.001592356687897</v>
      </c>
      <c r="I220" s="403"/>
      <c r="J220" s="404"/>
      <c r="K220" s="405"/>
    </row>
    <row r="221" spans="1:11" x14ac:dyDescent="0.25">
      <c r="A221" s="680"/>
      <c r="B221" s="683"/>
      <c r="C221" s="406" t="s">
        <v>174</v>
      </c>
      <c r="D221" s="363">
        <v>2</v>
      </c>
      <c r="E221" s="414">
        <v>8.1999999999999993</v>
      </c>
      <c r="F221" s="576">
        <v>1</v>
      </c>
      <c r="G221" s="408">
        <f>IF(E221&lt;8,Factors!H$18,IF(E221&lt;9,Factors!H$19,IF(E221&lt;10,Factors!H$20,IF(E221&lt;11,Factors!H$21,IF(E221&lt;12,Factors!H$22,IF(E221&lt;13,Factors!H$23))))))</f>
        <v>1.1104477611940298</v>
      </c>
      <c r="H221" s="409">
        <f>D221*F221*G221</f>
        <v>2.2208955223880595</v>
      </c>
      <c r="I221" s="410"/>
      <c r="J221" s="411"/>
      <c r="K221" s="412"/>
    </row>
    <row r="222" spans="1:11" x14ac:dyDescent="0.25">
      <c r="A222" s="680" t="s">
        <v>94</v>
      </c>
      <c r="B222" s="683"/>
      <c r="C222" s="406" t="s">
        <v>43</v>
      </c>
      <c r="D222" s="363">
        <v>2</v>
      </c>
      <c r="E222" s="414">
        <v>8.8000000000000007</v>
      </c>
      <c r="F222" s="407">
        <v>1</v>
      </c>
      <c r="G222" s="408">
        <f>IF(E222&lt;8,Factors!H$18,IF(E222&lt;9,Factors!H$19,IF(E222&lt;10,Factors!H$20,IF(E222&lt;11,Factors!H$21,IF(E222&lt;12,Factors!H$22,IF(E222&lt;13,Factors!H$23))))))</f>
        <v>1.1104477611940298</v>
      </c>
      <c r="H222" s="409">
        <f>D222*F222*G222</f>
        <v>2.2208955223880595</v>
      </c>
      <c r="I222" s="406"/>
      <c r="J222" s="411"/>
      <c r="K222" s="412"/>
    </row>
    <row r="223" spans="1:11" x14ac:dyDescent="0.25">
      <c r="A223" s="680"/>
      <c r="B223" s="683"/>
      <c r="C223" s="406" t="s">
        <v>166</v>
      </c>
      <c r="D223" s="363">
        <v>0</v>
      </c>
      <c r="E223" s="414">
        <v>7.4</v>
      </c>
      <c r="F223" s="576">
        <v>0.5</v>
      </c>
      <c r="G223" s="408">
        <f>IF(E223&lt;8,Factors!H$18,IF(E223&lt;9,Factors!H$19,IF(E223&lt;10,Factors!H$20,IF(E223&lt;11,Factors!H$21,IF(E223&lt;12,Factors!H$22,IF(E223&lt;13,Factors!H$23))))))</f>
        <v>1.3238434163701067</v>
      </c>
      <c r="H223" s="409">
        <f>D223*F223*G223</f>
        <v>0</v>
      </c>
      <c r="I223" s="410"/>
      <c r="J223" s="411"/>
      <c r="K223" s="412"/>
    </row>
    <row r="224" spans="1:11" ht="15.75" thickBot="1" x14ac:dyDescent="0.3">
      <c r="A224" s="680"/>
      <c r="B224" s="683"/>
      <c r="C224" s="415" t="s">
        <v>158</v>
      </c>
      <c r="D224" s="416">
        <v>4</v>
      </c>
      <c r="E224" s="574">
        <v>7.4</v>
      </c>
      <c r="F224" s="618">
        <v>0.5</v>
      </c>
      <c r="G224" s="418">
        <f>IF(E224&lt;8,Factors!H$18,IF(E224&lt;9,Factors!H$19,IF(E224&lt;10,Factors!H$20,IF(E224&lt;11,Factors!H$21,IF(E224&lt;12,Factors!H$22,IF(E224&lt;13,Factors!H$23))))))</f>
        <v>1.3238434163701067</v>
      </c>
      <c r="H224" s="419">
        <f>D224*F224*G224</f>
        <v>2.6476868327402134</v>
      </c>
      <c r="I224" s="420"/>
      <c r="J224" s="421"/>
      <c r="K224" s="421"/>
    </row>
    <row r="225" spans="1:11" ht="15.75" thickTop="1" x14ac:dyDescent="0.25">
      <c r="A225" s="681"/>
      <c r="B225" s="684"/>
      <c r="C225" s="422"/>
      <c r="D225" s="423"/>
      <c r="E225" s="425"/>
      <c r="F225" s="424"/>
      <c r="G225" s="425"/>
      <c r="H225" s="426">
        <f>SUM(H220:H224)</f>
        <v>23.091070234204228</v>
      </c>
      <c r="I225" s="427">
        <f>AG8</f>
        <v>1.1111111111111112</v>
      </c>
      <c r="J225" s="428">
        <f>H225*I225*J$13+K225</f>
        <v>32.968916945502698</v>
      </c>
      <c r="K225" s="429">
        <f>K224+K223</f>
        <v>0</v>
      </c>
    </row>
    <row r="226" spans="1:11" x14ac:dyDescent="0.25">
      <c r="B226" s="397"/>
      <c r="E226" s="414"/>
    </row>
    <row r="227" spans="1:11" x14ac:dyDescent="0.25">
      <c r="A227" s="680" t="s">
        <v>14</v>
      </c>
      <c r="B227" s="682">
        <f>B220+1</f>
        <v>45906</v>
      </c>
      <c r="C227" s="398" t="s">
        <v>9</v>
      </c>
      <c r="D227" s="399">
        <v>22</v>
      </c>
      <c r="E227" s="573">
        <v>10</v>
      </c>
      <c r="F227" s="400">
        <f>6/7</f>
        <v>0.8571428571428571</v>
      </c>
      <c r="G227" s="408">
        <f>IF(E227&lt;8,Factors!H$18,IF(E227&lt;9,Factors!H$19,IF(E227&lt;10,Factors!H$20,IF(E227&lt;11,Factors!H$21,IF(E227&lt;12,Factors!H$22,IF(E227&lt;13,Factors!H$23))))))</f>
        <v>1</v>
      </c>
      <c r="H227" s="402">
        <f>D227*F227*G227</f>
        <v>18.857142857142858</v>
      </c>
      <c r="I227" s="403"/>
      <c r="J227" s="404"/>
      <c r="K227" s="405"/>
    </row>
    <row r="228" spans="1:11" x14ac:dyDescent="0.25">
      <c r="A228" s="680"/>
      <c r="B228" s="683"/>
      <c r="C228" s="406" t="s">
        <v>174</v>
      </c>
      <c r="D228" s="363">
        <v>4</v>
      </c>
      <c r="E228" s="414">
        <v>9.4</v>
      </c>
      <c r="F228" s="576">
        <v>0.86</v>
      </c>
      <c r="G228" s="408">
        <f>IF(E228&lt;8,Factors!H$18,IF(E228&lt;9,Factors!H$19,IF(E228&lt;10,Factors!H$20,IF(E228&lt;11,Factors!H$21,IF(E228&lt;12,Factors!H$22,IF(E228&lt;13,Factors!H$23))))))</f>
        <v>1.024793388429752</v>
      </c>
      <c r="H228" s="409">
        <f>D228*F228*G228</f>
        <v>3.5252892561983469</v>
      </c>
      <c r="I228" s="410"/>
      <c r="J228" s="411"/>
      <c r="K228" s="412"/>
    </row>
    <row r="229" spans="1:11" x14ac:dyDescent="0.25">
      <c r="A229" s="680" t="s">
        <v>94</v>
      </c>
      <c r="B229" s="683"/>
      <c r="C229" s="406" t="s">
        <v>43</v>
      </c>
      <c r="D229" s="363">
        <v>8</v>
      </c>
      <c r="E229" s="414">
        <v>8</v>
      </c>
      <c r="F229" s="407">
        <f>7/9</f>
        <v>0.77777777777777779</v>
      </c>
      <c r="G229" s="408">
        <f>IF(E229&lt;8,Factors!H$18,IF(E229&lt;9,Factors!H$19,IF(E229&lt;10,Factors!H$20,IF(E229&lt;11,Factors!H$21,IF(E229&lt;12,Factors!H$22,IF(E229&lt;13,Factors!H$23))))))</f>
        <v>1.1104477611940298</v>
      </c>
      <c r="H229" s="409">
        <f>D229*F229*G229</f>
        <v>6.909452736318408</v>
      </c>
      <c r="I229" s="406"/>
      <c r="J229" s="411"/>
      <c r="K229" s="412"/>
    </row>
    <row r="230" spans="1:11" x14ac:dyDescent="0.25">
      <c r="A230" s="680"/>
      <c r="B230" s="683"/>
      <c r="C230" s="406" t="s">
        <v>166</v>
      </c>
      <c r="D230" s="363">
        <v>0</v>
      </c>
      <c r="E230" s="414">
        <v>7.8</v>
      </c>
      <c r="F230" s="576">
        <v>0.78</v>
      </c>
      <c r="G230" s="408">
        <f>IF(E230&lt;8,Factors!H$18,IF(E230&lt;9,Factors!H$19,IF(E230&lt;10,Factors!H$20,IF(E230&lt;11,Factors!H$21,IF(E230&lt;12,Factors!H$22,IF(E230&lt;13,Factors!H$23))))))</f>
        <v>1.3238434163701067</v>
      </c>
      <c r="H230" s="409">
        <f>D230*F230*G230</f>
        <v>0</v>
      </c>
      <c r="I230" s="410"/>
      <c r="J230" s="411"/>
      <c r="K230" s="412"/>
    </row>
    <row r="231" spans="1:11" ht="15.75" thickBot="1" x14ac:dyDescent="0.3">
      <c r="A231" s="680"/>
      <c r="B231" s="683"/>
      <c r="C231" s="415" t="s">
        <v>158</v>
      </c>
      <c r="D231" s="416">
        <v>9</v>
      </c>
      <c r="E231" s="574">
        <v>7.8</v>
      </c>
      <c r="F231" s="618">
        <v>0.78</v>
      </c>
      <c r="G231" s="418">
        <f>IF(E231&lt;8,Factors!H$18,IF(E231&lt;9,Factors!H$19,IF(E231&lt;10,Factors!H$20,IF(E231&lt;11,Factors!H$21,IF(E231&lt;12,Factors!H$22,IF(E231&lt;13,Factors!H$23))))))</f>
        <v>1.3238434163701067</v>
      </c>
      <c r="H231" s="419">
        <f>D231*F231*G231</f>
        <v>9.293380782918149</v>
      </c>
      <c r="I231" s="420"/>
      <c r="J231" s="421"/>
      <c r="K231" s="421"/>
    </row>
    <row r="232" spans="1:11" ht="15.75" thickTop="1" x14ac:dyDescent="0.25">
      <c r="A232" s="681"/>
      <c r="B232" s="684"/>
      <c r="C232" s="422"/>
      <c r="D232" s="423"/>
      <c r="E232" s="425"/>
      <c r="F232" s="424"/>
      <c r="G232" s="425"/>
      <c r="H232" s="426">
        <f>SUM(H227:H231)</f>
        <v>38.585265632577759</v>
      </c>
      <c r="I232" s="427">
        <f>AG8</f>
        <v>1.1111111111111112</v>
      </c>
      <c r="J232" s="428">
        <f>H232*I232*J$13+K232</f>
        <v>55.091184819847136</v>
      </c>
      <c r="K232" s="429">
        <f>K231+K230</f>
        <v>0</v>
      </c>
    </row>
    <row r="233" spans="1:11" x14ac:dyDescent="0.25">
      <c r="B233" s="397"/>
      <c r="E233" s="414"/>
      <c r="J233" s="430"/>
    </row>
    <row r="234" spans="1:11" x14ac:dyDescent="0.25">
      <c r="A234" s="679" t="s">
        <v>15</v>
      </c>
      <c r="B234" s="682">
        <f>B227+1</f>
        <v>45907</v>
      </c>
      <c r="C234" s="398" t="s">
        <v>9</v>
      </c>
      <c r="D234" s="399">
        <v>15</v>
      </c>
      <c r="E234" s="573">
        <v>7.5</v>
      </c>
      <c r="F234" s="400">
        <f>6/8</f>
        <v>0.75</v>
      </c>
      <c r="G234" s="401">
        <f>IF(E234&lt;8,Factors!F$18,IF(E234&lt;9,Factors!F$19,IF(E234&lt;10,Factors!F$20,IF(E234&lt;11,Factors!F$21,IF(E234&lt;12,Factors!F$22,IF(E234&lt;13,Factors!F$23))))))</f>
        <v>1.2308917197452229</v>
      </c>
      <c r="H234" s="402">
        <f>D234*F234*G234</f>
        <v>13.847531847133759</v>
      </c>
      <c r="I234" s="403"/>
      <c r="J234" s="404"/>
      <c r="K234" s="405"/>
    </row>
    <row r="235" spans="1:11" x14ac:dyDescent="0.25">
      <c r="A235" s="680"/>
      <c r="B235" s="683"/>
      <c r="C235" s="406" t="s">
        <v>174</v>
      </c>
      <c r="D235" s="444">
        <v>4</v>
      </c>
      <c r="E235" s="414">
        <v>7.5</v>
      </c>
      <c r="F235" s="576">
        <v>0.75</v>
      </c>
      <c r="G235" s="408">
        <f>IF(E235&lt;8,Factors!H$18,IF(E235&lt;9,Factors!H$19,IF(E235&lt;10,Factors!H$20,IF(E235&lt;11,Factors!H$21,IF(E235&lt;12,Factors!H$22,IF(E235&lt;13,Factors!H$23))))))</f>
        <v>1.3238434163701067</v>
      </c>
      <c r="H235" s="409">
        <f>D235*F235*G235</f>
        <v>3.9715302491103204</v>
      </c>
      <c r="I235" s="410"/>
      <c r="J235" s="411"/>
      <c r="K235" s="412"/>
    </row>
    <row r="236" spans="1:11" x14ac:dyDescent="0.25">
      <c r="A236" s="680" t="s">
        <v>94</v>
      </c>
      <c r="B236" s="683"/>
      <c r="C236" s="406" t="s">
        <v>43</v>
      </c>
      <c r="D236" s="363">
        <v>8</v>
      </c>
      <c r="E236" s="414">
        <v>9.3000000000000007</v>
      </c>
      <c r="F236" s="407">
        <f>5/7</f>
        <v>0.7142857142857143</v>
      </c>
      <c r="G236" s="408">
        <f>IF(E236&lt;8,Factors!H$18,IF(E236&lt;9,Factors!H$19,IF(E236&lt;10,Factors!H$20,IF(E236&lt;11,Factors!H$21,IF(E236&lt;12,Factors!H$22,IF(E236&lt;13,Factors!H$23))))))</f>
        <v>1.024793388429752</v>
      </c>
      <c r="H236" s="409">
        <f>D236*F236*G236</f>
        <v>5.8559622195985828</v>
      </c>
      <c r="I236" s="406"/>
      <c r="J236" s="411"/>
      <c r="K236" s="412"/>
    </row>
    <row r="237" spans="1:11" x14ac:dyDescent="0.25">
      <c r="A237" s="680"/>
      <c r="B237" s="683"/>
      <c r="C237" s="406" t="s">
        <v>166</v>
      </c>
      <c r="D237" s="363">
        <v>0</v>
      </c>
      <c r="E237" s="414">
        <v>6.9</v>
      </c>
      <c r="F237" s="576">
        <v>0.71</v>
      </c>
      <c r="G237" s="408">
        <f>IF(E237&lt;8,Factors!H$18,IF(E237&lt;9,Factors!H$19,IF(E237&lt;10,Factors!H$20,IF(E237&lt;11,Factors!H$21,IF(E237&lt;12,Factors!H$22,IF(E237&lt;13,Factors!H$23))))))</f>
        <v>1.3238434163701067</v>
      </c>
      <c r="H237" s="409">
        <f>D237*F237*G237</f>
        <v>0</v>
      </c>
      <c r="I237" s="410"/>
      <c r="J237" s="411"/>
      <c r="K237" s="412"/>
    </row>
    <row r="238" spans="1:11" ht="15.75" thickBot="1" x14ac:dyDescent="0.3">
      <c r="A238" s="680"/>
      <c r="B238" s="683"/>
      <c r="C238" s="415" t="s">
        <v>158</v>
      </c>
      <c r="D238" s="416">
        <v>11</v>
      </c>
      <c r="E238" s="574">
        <v>6.9</v>
      </c>
      <c r="F238" s="618">
        <v>0.71</v>
      </c>
      <c r="G238" s="418">
        <f>IF(E238&lt;8,Factors!H$18,IF(E238&lt;9,Factors!H$19,IF(E238&lt;10,Factors!H$20,IF(E238&lt;11,Factors!H$21,IF(E238&lt;12,Factors!H$22,IF(E238&lt;13,Factors!H$23))))))</f>
        <v>1.3238434163701067</v>
      </c>
      <c r="H238" s="419">
        <f>D238*F238*G238</f>
        <v>10.339217081850533</v>
      </c>
      <c r="I238" s="420"/>
      <c r="J238" s="421"/>
      <c r="K238" s="421"/>
    </row>
    <row r="239" spans="1:11" ht="15.75" thickTop="1" x14ac:dyDescent="0.25">
      <c r="A239" s="681"/>
      <c r="B239" s="684"/>
      <c r="C239" s="422"/>
      <c r="D239" s="423"/>
      <c r="E239" s="425"/>
      <c r="F239" s="424"/>
      <c r="G239" s="425"/>
      <c r="H239" s="426">
        <f>SUM(H234:H238)</f>
        <v>34.014241397693198</v>
      </c>
      <c r="I239" s="427">
        <f>M8</f>
        <v>1.1841284682724935</v>
      </c>
      <c r="J239" s="428">
        <f>H239*I239*J$13+K239</f>
        <v>51.75624256192615</v>
      </c>
      <c r="K239" s="429">
        <f>K238+K237</f>
        <v>0</v>
      </c>
    </row>
    <row r="240" spans="1:11" x14ac:dyDescent="0.25">
      <c r="B240" s="397"/>
      <c r="E240" s="414"/>
    </row>
    <row r="241" spans="1:15" x14ac:dyDescent="0.25">
      <c r="A241" s="679" t="s">
        <v>7</v>
      </c>
      <c r="B241" s="682">
        <f>B234+1</f>
        <v>45908</v>
      </c>
      <c r="C241" s="398" t="s">
        <v>9</v>
      </c>
      <c r="D241" s="399">
        <v>7</v>
      </c>
      <c r="E241" s="573">
        <v>11.4</v>
      </c>
      <c r="F241" s="400">
        <v>1</v>
      </c>
      <c r="G241" s="401">
        <f>IF(E241&lt;8,Factors!F$18,IF(E241&lt;9,Factors!F$19,IF(E241&lt;10,Factors!F$20,IF(E241&lt;11,Factors!F$21,IF(E241&lt;12,Factors!F$22,IF(E241&lt;13,Factors!F$23))))))</f>
        <v>1</v>
      </c>
      <c r="H241" s="402">
        <f>D241*F241*G241</f>
        <v>7</v>
      </c>
      <c r="I241" s="403"/>
      <c r="J241" s="404"/>
      <c r="K241" s="405"/>
    </row>
    <row r="242" spans="1:15" x14ac:dyDescent="0.25">
      <c r="A242" s="680"/>
      <c r="B242" s="683"/>
      <c r="C242" s="406" t="s">
        <v>174</v>
      </c>
      <c r="D242" s="363">
        <v>2</v>
      </c>
      <c r="E242" s="414">
        <v>10.5</v>
      </c>
      <c r="F242" s="407">
        <v>1</v>
      </c>
      <c r="G242" s="408">
        <f>IF(E242&lt;8,Factors!H$18,IF(E242&lt;9,Factors!H$19,IF(E242&lt;10,Factors!H$20,IF(E242&lt;11,Factors!H$21,IF(E242&lt;12,Factors!H$22,IF(E242&lt;13,Factors!H$23))))))</f>
        <v>1</v>
      </c>
      <c r="H242" s="409">
        <f>D242*F242*G242</f>
        <v>2</v>
      </c>
      <c r="I242" s="410"/>
      <c r="J242" s="411"/>
      <c r="K242" s="412"/>
    </row>
    <row r="243" spans="1:15" x14ac:dyDescent="0.25">
      <c r="A243" s="680" t="s">
        <v>94</v>
      </c>
      <c r="B243" s="683"/>
      <c r="C243" s="406" t="s">
        <v>43</v>
      </c>
      <c r="D243" s="363">
        <v>3</v>
      </c>
      <c r="E243" s="414">
        <v>8.4</v>
      </c>
      <c r="F243" s="576">
        <v>0.5</v>
      </c>
      <c r="G243" s="408">
        <f>IF(E243&lt;8,Factors!H$18,IF(E243&lt;9,Factors!H$19,IF(E243&lt;10,Factors!H$20,IF(E243&lt;11,Factors!H$21,IF(E243&lt;12,Factors!H$22,IF(E243&lt;13,Factors!H$23))))))</f>
        <v>1.1104477611940298</v>
      </c>
      <c r="H243" s="409">
        <f>D243*F243*G243</f>
        <v>1.6656716417910447</v>
      </c>
      <c r="I243" s="406"/>
      <c r="J243" s="411"/>
      <c r="K243" s="412"/>
    </row>
    <row r="244" spans="1:15" x14ac:dyDescent="0.25">
      <c r="A244" s="680"/>
      <c r="B244" s="683"/>
      <c r="C244" s="406" t="s">
        <v>166</v>
      </c>
      <c r="D244" s="363">
        <v>0</v>
      </c>
      <c r="E244" s="414">
        <v>7.1</v>
      </c>
      <c r="F244" s="576">
        <v>0.5</v>
      </c>
      <c r="G244" s="408">
        <f>IF(E244&lt;8,Factors!H$18,IF(E244&lt;9,Factors!H$19,IF(E244&lt;10,Factors!H$20,IF(E244&lt;11,Factors!H$21,IF(E244&lt;12,Factors!H$22,IF(E244&lt;13,Factors!H$23))))))</f>
        <v>1.3238434163701067</v>
      </c>
      <c r="H244" s="409">
        <f>D244*F244*G244</f>
        <v>0</v>
      </c>
      <c r="I244" s="410"/>
      <c r="J244" s="411"/>
      <c r="K244" s="412"/>
      <c r="M244" s="363">
        <v>27</v>
      </c>
      <c r="N244" s="363">
        <v>8</v>
      </c>
      <c r="O244" s="407">
        <v>1</v>
      </c>
    </row>
    <row r="245" spans="1:15" ht="15.75" thickBot="1" x14ac:dyDescent="0.3">
      <c r="A245" s="680"/>
      <c r="B245" s="683"/>
      <c r="C245" s="415" t="s">
        <v>158</v>
      </c>
      <c r="D245" s="416">
        <v>8</v>
      </c>
      <c r="E245" s="574">
        <v>7.1</v>
      </c>
      <c r="F245" s="618">
        <v>0.5</v>
      </c>
      <c r="G245" s="418">
        <f>IF(E245&lt;8,Factors!H$18,IF(E245&lt;9,Factors!H$19,IF(E245&lt;10,Factors!H$20,IF(E245&lt;11,Factors!H$21,IF(E245&lt;12,Factors!H$22,IF(E245&lt;13,Factors!H$23))))))</f>
        <v>1.3238434163701067</v>
      </c>
      <c r="H245" s="419">
        <f>D245*F245*G245</f>
        <v>5.2953736654804269</v>
      </c>
      <c r="I245" s="420"/>
      <c r="J245" s="421"/>
      <c r="K245" s="421"/>
      <c r="M245" s="416">
        <v>21</v>
      </c>
      <c r="N245" s="416">
        <v>8</v>
      </c>
      <c r="O245" s="417">
        <v>1</v>
      </c>
    </row>
    <row r="246" spans="1:15" ht="15.75" thickTop="1" x14ac:dyDescent="0.25">
      <c r="A246" s="681"/>
      <c r="B246" s="684"/>
      <c r="C246" s="422"/>
      <c r="D246" s="423"/>
      <c r="E246" s="425"/>
      <c r="F246" s="424"/>
      <c r="G246" s="425"/>
      <c r="H246" s="426">
        <f>SUM(H241:H245)</f>
        <v>15.961045307271473</v>
      </c>
      <c r="I246" s="427">
        <f>AG8</f>
        <v>1.1111111111111112</v>
      </c>
      <c r="J246" s="428">
        <f>H246*I246*J$13+K246</f>
        <v>22.788825799826494</v>
      </c>
      <c r="K246" s="429">
        <f>K245+K244</f>
        <v>0</v>
      </c>
    </row>
    <row r="247" spans="1:15" x14ac:dyDescent="0.25">
      <c r="B247" s="397"/>
      <c r="E247" s="414"/>
      <c r="J247" s="430"/>
    </row>
    <row r="248" spans="1:15" x14ac:dyDescent="0.25">
      <c r="A248" s="679" t="s">
        <v>94</v>
      </c>
      <c r="B248" s="682">
        <f>B241+1</f>
        <v>45909</v>
      </c>
      <c r="C248" s="398" t="s">
        <v>9</v>
      </c>
      <c r="D248" s="399">
        <v>10</v>
      </c>
      <c r="E248" s="573">
        <v>9.8000000000000007</v>
      </c>
      <c r="F248" s="400">
        <v>1</v>
      </c>
      <c r="G248" s="401">
        <f>IF(E248&lt;8,Factors!F$18,IF(E248&lt;9,Factors!F$19,IF(E248&lt;10,Factors!F$20,IF(E248&lt;11,Factors!F$21,IF(E248&lt;12,Factors!F$22,IF(E248&lt;13,Factors!F$23))))))</f>
        <v>1.034805890227577</v>
      </c>
      <c r="H248" s="402">
        <f>D248*F248*G248</f>
        <v>10.348058902275771</v>
      </c>
      <c r="I248" s="403"/>
      <c r="J248" s="404"/>
      <c r="K248" s="405"/>
    </row>
    <row r="249" spans="1:15" x14ac:dyDescent="0.25">
      <c r="A249" s="680"/>
      <c r="B249" s="683"/>
      <c r="C249" s="406" t="s">
        <v>174</v>
      </c>
      <c r="D249" s="363">
        <v>2</v>
      </c>
      <c r="E249" s="414">
        <v>9.1</v>
      </c>
      <c r="F249" s="407">
        <v>1</v>
      </c>
      <c r="G249" s="408">
        <f>IF(E249&lt;8,Factors!H$18,IF(E249&lt;9,Factors!H$19,IF(E249&lt;10,Factors!H$20,IF(E249&lt;11,Factors!H$21,IF(E249&lt;12,Factors!H$22,IF(E249&lt;13,Factors!H$23))))))</f>
        <v>1.024793388429752</v>
      </c>
      <c r="H249" s="409">
        <f>D249*F249*G249</f>
        <v>2.049586776859504</v>
      </c>
      <c r="I249" s="410"/>
      <c r="J249" s="411"/>
      <c r="K249" s="412"/>
    </row>
    <row r="250" spans="1:15" x14ac:dyDescent="0.25">
      <c r="A250" s="680" t="s">
        <v>94</v>
      </c>
      <c r="B250" s="683"/>
      <c r="C250" s="406" t="s">
        <v>43</v>
      </c>
      <c r="D250" s="363">
        <v>3</v>
      </c>
      <c r="E250" s="414">
        <v>8.5</v>
      </c>
      <c r="F250" s="407">
        <f>1/2</f>
        <v>0.5</v>
      </c>
      <c r="G250" s="408">
        <f>IF(E250&lt;8,Factors!H$18,IF(E250&lt;9,Factors!H$19,IF(E250&lt;10,Factors!H$20,IF(E250&lt;11,Factors!H$21,IF(E250&lt;12,Factors!H$22,IF(E250&lt;13,Factors!H$23))))))</f>
        <v>1.1104477611940298</v>
      </c>
      <c r="H250" s="409">
        <f>D250*F250*G250</f>
        <v>1.6656716417910447</v>
      </c>
      <c r="I250" s="406"/>
      <c r="J250" s="411"/>
      <c r="K250" s="412"/>
    </row>
    <row r="251" spans="1:15" x14ac:dyDescent="0.25">
      <c r="A251" s="680"/>
      <c r="B251" s="683"/>
      <c r="C251" s="406" t="s">
        <v>166</v>
      </c>
      <c r="D251" s="444">
        <v>1</v>
      </c>
      <c r="E251" s="578">
        <v>7.8</v>
      </c>
      <c r="F251" s="576">
        <v>0.75</v>
      </c>
      <c r="G251" s="408">
        <f>IF(E251&lt;8,Factors!H$18,IF(E251&lt;9,Factors!H$19,IF(E251&lt;10,Factors!H$20,IF(E251&lt;11,Factors!H$21,IF(E251&lt;12,Factors!H$22,IF(E251&lt;13,Factors!H$23))))))</f>
        <v>1.3238434163701067</v>
      </c>
      <c r="H251" s="409">
        <f>D251*F251*G251</f>
        <v>0.99288256227758009</v>
      </c>
      <c r="I251" s="410"/>
      <c r="J251" s="411"/>
      <c r="K251" s="412"/>
    </row>
    <row r="252" spans="1:15" ht="15.75" thickBot="1" x14ac:dyDescent="0.3">
      <c r="A252" s="680"/>
      <c r="B252" s="683"/>
      <c r="C252" s="415" t="s">
        <v>158</v>
      </c>
      <c r="D252" s="416">
        <v>4</v>
      </c>
      <c r="E252" s="574">
        <v>7.8</v>
      </c>
      <c r="F252" s="417">
        <f>3/4</f>
        <v>0.75</v>
      </c>
      <c r="G252" s="418">
        <f>IF(E252&lt;8,Factors!H$18,IF(E252&lt;9,Factors!H$19,IF(E252&lt;10,Factors!H$20,IF(E252&lt;11,Factors!H$21,IF(E252&lt;12,Factors!H$22,IF(E252&lt;13,Factors!H$23))))))</f>
        <v>1.3238434163701067</v>
      </c>
      <c r="H252" s="419">
        <f>D252*F252*G252</f>
        <v>3.9715302491103204</v>
      </c>
      <c r="I252" s="420"/>
      <c r="J252" s="421"/>
      <c r="K252" s="421"/>
    </row>
    <row r="253" spans="1:15" ht="15.75" thickTop="1" x14ac:dyDescent="0.25">
      <c r="A253" s="681"/>
      <c r="B253" s="684"/>
      <c r="C253" s="422"/>
      <c r="D253" s="423"/>
      <c r="E253" s="425"/>
      <c r="F253" s="424"/>
      <c r="G253" s="425"/>
      <c r="H253" s="426">
        <f>SUM(H248:H252)</f>
        <v>19.027730132314222</v>
      </c>
      <c r="I253" s="427">
        <f>M8</f>
        <v>1.1841284682724935</v>
      </c>
      <c r="J253" s="428">
        <f>H253*I253*J$13+K253</f>
        <v>28.952690863119297</v>
      </c>
      <c r="K253" s="429">
        <f>K252+K251</f>
        <v>0</v>
      </c>
    </row>
    <row r="254" spans="1:15" x14ac:dyDescent="0.25">
      <c r="B254" s="397"/>
      <c r="E254" s="414"/>
      <c r="F254" s="407"/>
    </row>
    <row r="255" spans="1:15" x14ac:dyDescent="0.25">
      <c r="A255" s="679" t="s">
        <v>11</v>
      </c>
      <c r="B255" s="682">
        <f>B248+1</f>
        <v>45910</v>
      </c>
      <c r="C255" s="398" t="s">
        <v>9</v>
      </c>
      <c r="D255" s="399">
        <v>13</v>
      </c>
      <c r="E255" s="573">
        <v>8.6999999999999993</v>
      </c>
      <c r="F255" s="400">
        <v>1</v>
      </c>
      <c r="G255" s="401">
        <f>IF(E255&lt;8,Factors!F$18,IF(E255&lt;9,Factors!F$19,IF(E255&lt;10,Factors!F$20,IF(E255&lt;11,Factors!F$21,IF(E255&lt;12,Factors!F$22,IF(E255&lt;13,Factors!F$23))))))</f>
        <v>1.0980113636363635</v>
      </c>
      <c r="H255" s="402">
        <f>D255*F255*G255</f>
        <v>14.274147727272727</v>
      </c>
      <c r="I255" s="403"/>
      <c r="J255" s="404"/>
      <c r="K255" s="405"/>
    </row>
    <row r="256" spans="1:15" x14ac:dyDescent="0.25">
      <c r="A256" s="680"/>
      <c r="B256" s="683"/>
      <c r="C256" s="406" t="s">
        <v>174</v>
      </c>
      <c r="D256" s="444">
        <v>2</v>
      </c>
      <c r="E256" s="578">
        <v>8.6999999999999993</v>
      </c>
      <c r="F256" s="407">
        <v>1</v>
      </c>
      <c r="G256" s="408">
        <f>IF(E256&lt;8,Factors!H$18,IF(E256&lt;9,Factors!H$19,IF(E256&lt;10,Factors!H$20,IF(E256&lt;11,Factors!H$21,IF(E256&lt;12,Factors!H$22,IF(E256&lt;13,Factors!H$23))))))</f>
        <v>1.1104477611940298</v>
      </c>
      <c r="H256" s="409">
        <f>D256*F256*G256</f>
        <v>2.2208955223880595</v>
      </c>
      <c r="I256" s="410"/>
      <c r="J256" s="411"/>
      <c r="K256" s="412"/>
    </row>
    <row r="257" spans="1:11" x14ac:dyDescent="0.25">
      <c r="A257" s="680" t="s">
        <v>94</v>
      </c>
      <c r="B257" s="683"/>
      <c r="C257" s="406" t="s">
        <v>43</v>
      </c>
      <c r="D257" s="363">
        <v>4</v>
      </c>
      <c r="E257" s="414">
        <v>8.4</v>
      </c>
      <c r="F257" s="407">
        <v>1</v>
      </c>
      <c r="G257" s="408">
        <f>IF(E257&lt;8,Factors!H$18,IF(E257&lt;9,Factors!H$19,IF(E257&lt;10,Factors!H$20,IF(E257&lt;11,Factors!H$21,IF(E257&lt;12,Factors!H$22,IF(E257&lt;13,Factors!H$23))))))</f>
        <v>1.1104477611940298</v>
      </c>
      <c r="H257" s="409">
        <f>D257*F257*G257</f>
        <v>4.4417910447761191</v>
      </c>
      <c r="I257" s="406"/>
      <c r="J257" s="411"/>
      <c r="K257" s="412"/>
    </row>
    <row r="258" spans="1:11" x14ac:dyDescent="0.25">
      <c r="A258" s="680"/>
      <c r="B258" s="683"/>
      <c r="C258" s="406" t="s">
        <v>166</v>
      </c>
      <c r="D258" s="444">
        <v>1</v>
      </c>
      <c r="E258" s="578">
        <v>7</v>
      </c>
      <c r="F258" s="407">
        <v>1</v>
      </c>
      <c r="G258" s="408">
        <f>IF(E258&lt;8,Factors!H$18,IF(E258&lt;9,Factors!H$19,IF(E258&lt;10,Factors!H$20,IF(E258&lt;11,Factors!H$21,IF(E258&lt;12,Factors!H$22,IF(E258&lt;13,Factors!H$23))))))</f>
        <v>1.3238434163701067</v>
      </c>
      <c r="H258" s="409">
        <f>D258*F258*G258</f>
        <v>1.3238434163701067</v>
      </c>
      <c r="I258" s="410"/>
      <c r="J258" s="411"/>
      <c r="K258" s="412"/>
    </row>
    <row r="259" spans="1:11" ht="15.75" thickBot="1" x14ac:dyDescent="0.3">
      <c r="A259" s="680"/>
      <c r="B259" s="683"/>
      <c r="C259" s="415" t="s">
        <v>158</v>
      </c>
      <c r="D259" s="416">
        <v>5</v>
      </c>
      <c r="E259" s="574">
        <v>7</v>
      </c>
      <c r="F259" s="417">
        <v>1</v>
      </c>
      <c r="G259" s="418">
        <f>IF(E259&lt;8,Factors!H$18,IF(E259&lt;9,Factors!H$19,IF(E259&lt;10,Factors!H$20,IF(E259&lt;11,Factors!H$21,IF(E259&lt;12,Factors!H$22,IF(E259&lt;13,Factors!H$23))))))</f>
        <v>1.3238434163701067</v>
      </c>
      <c r="H259" s="419">
        <f>D259*F259*G259</f>
        <v>6.6192170818505334</v>
      </c>
      <c r="I259" s="420"/>
      <c r="J259" s="421"/>
      <c r="K259" s="421"/>
    </row>
    <row r="260" spans="1:11" ht="15.75" thickTop="1" x14ac:dyDescent="0.25">
      <c r="A260" s="681"/>
      <c r="B260" s="684"/>
      <c r="C260" s="422"/>
      <c r="D260" s="423"/>
      <c r="E260" s="425"/>
      <c r="F260" s="424"/>
      <c r="G260" s="425"/>
      <c r="H260" s="426">
        <f>SUM(H255:H259)</f>
        <v>28.879894792657545</v>
      </c>
      <c r="I260" s="427">
        <f>K8</f>
        <v>1.7265578751159187</v>
      </c>
      <c r="J260" s="428">
        <f>H260*I260*J$13+K260</f>
        <v>64.073710576015003</v>
      </c>
      <c r="K260" s="429">
        <f>K259+K258</f>
        <v>0</v>
      </c>
    </row>
    <row r="261" spans="1:11" x14ac:dyDescent="0.25">
      <c r="B261" s="397"/>
      <c r="E261" s="414"/>
    </row>
    <row r="262" spans="1:11" x14ac:dyDescent="0.25">
      <c r="A262" s="679" t="s">
        <v>95</v>
      </c>
      <c r="B262" s="682">
        <f>B255+1</f>
        <v>45911</v>
      </c>
      <c r="C262" s="398" t="s">
        <v>9</v>
      </c>
      <c r="D262" s="399">
        <v>21</v>
      </c>
      <c r="E262" s="573">
        <v>8.9</v>
      </c>
      <c r="F262" s="400">
        <v>1</v>
      </c>
      <c r="G262" s="401">
        <f>IF(E262&lt;8,Factors!F$18,IF(E262&lt;9,Factors!F$19,IF(E262&lt;10,Factors!F$20,IF(E262&lt;11,Factors!F$21,IF(E262&lt;12,Factors!F$22,IF(E262&lt;13,Factors!F$23))))))</f>
        <v>1.0980113636363635</v>
      </c>
      <c r="H262" s="402">
        <f>D262*F262*G262</f>
        <v>23.058238636363633</v>
      </c>
      <c r="I262" s="403"/>
      <c r="J262" s="404"/>
      <c r="K262" s="405"/>
    </row>
    <row r="263" spans="1:11" x14ac:dyDescent="0.25">
      <c r="A263" s="680"/>
      <c r="B263" s="683"/>
      <c r="C263" s="406" t="s">
        <v>174</v>
      </c>
      <c r="D263" s="363">
        <v>2</v>
      </c>
      <c r="E263" s="414">
        <v>9.5</v>
      </c>
      <c r="F263" s="407">
        <v>1</v>
      </c>
      <c r="G263" s="408">
        <f>IF(E263&lt;8,Factors!H$18,IF(E263&lt;9,Factors!H$19,IF(E263&lt;10,Factors!H$20,IF(E263&lt;11,Factors!H$21,IF(E263&lt;12,Factors!H$22,IF(E263&lt;13,Factors!H$23))))))</f>
        <v>1.024793388429752</v>
      </c>
      <c r="H263" s="409">
        <f>D263*F263*G263</f>
        <v>2.049586776859504</v>
      </c>
      <c r="I263" s="410"/>
      <c r="J263" s="411"/>
      <c r="K263" s="412"/>
    </row>
    <row r="264" spans="1:11" x14ac:dyDescent="0.25">
      <c r="A264" s="680" t="s">
        <v>94</v>
      </c>
      <c r="B264" s="683"/>
      <c r="C264" s="406" t="s">
        <v>43</v>
      </c>
      <c r="D264" s="363">
        <v>3</v>
      </c>
      <c r="E264" s="414">
        <v>8.5</v>
      </c>
      <c r="F264" s="407">
        <v>1</v>
      </c>
      <c r="G264" s="408">
        <f>IF(E264&lt;8,Factors!H$18,IF(E264&lt;9,Factors!H$19,IF(E264&lt;10,Factors!H$20,IF(E264&lt;11,Factors!H$21,IF(E264&lt;12,Factors!H$22,IF(E264&lt;13,Factors!H$23))))))</f>
        <v>1.1104477611940298</v>
      </c>
      <c r="H264" s="409">
        <f>D264*F264*G264</f>
        <v>3.3313432835820893</v>
      </c>
      <c r="I264" s="406"/>
      <c r="J264" s="411"/>
      <c r="K264" s="412"/>
    </row>
    <row r="265" spans="1:11" x14ac:dyDescent="0.25">
      <c r="A265" s="680"/>
      <c r="B265" s="683"/>
      <c r="C265" s="406" t="s">
        <v>166</v>
      </c>
      <c r="D265" s="444">
        <v>1</v>
      </c>
      <c r="E265" s="578">
        <v>7.8</v>
      </c>
      <c r="F265" s="576">
        <v>1</v>
      </c>
      <c r="G265" s="408">
        <f>IF(E265&lt;8,Factors!H$18,IF(E265&lt;9,Factors!H$19,IF(E265&lt;10,Factors!H$20,IF(E265&lt;11,Factors!H$21,IF(E265&lt;12,Factors!H$22,IF(E265&lt;13,Factors!H$23))))))</f>
        <v>1.3238434163701067</v>
      </c>
      <c r="H265" s="409">
        <f>D265*F265*G265</f>
        <v>1.3238434163701067</v>
      </c>
      <c r="I265" s="410"/>
      <c r="J265" s="411"/>
      <c r="K265" s="412"/>
    </row>
    <row r="266" spans="1:11" ht="15.75" thickBot="1" x14ac:dyDescent="0.3">
      <c r="A266" s="680"/>
      <c r="B266" s="683"/>
      <c r="C266" s="415" t="s">
        <v>158</v>
      </c>
      <c r="D266" s="416">
        <v>9</v>
      </c>
      <c r="E266" s="574">
        <v>7.8</v>
      </c>
      <c r="F266" s="417">
        <v>1</v>
      </c>
      <c r="G266" s="418">
        <f>IF(E266&lt;8,Factors!H$18,IF(E266&lt;9,Factors!H$19,IF(E266&lt;10,Factors!H$20,IF(E266&lt;11,Factors!H$21,IF(E266&lt;12,Factors!H$22,IF(E266&lt;13,Factors!H$23))))))</f>
        <v>1.3238434163701067</v>
      </c>
      <c r="H266" s="419">
        <f>D266*F266*G266</f>
        <v>11.91459074733096</v>
      </c>
      <c r="I266" s="420"/>
      <c r="J266" s="421"/>
      <c r="K266" s="421"/>
    </row>
    <row r="267" spans="1:11" ht="15.75" thickTop="1" x14ac:dyDescent="0.25">
      <c r="A267" s="681"/>
      <c r="B267" s="684"/>
      <c r="C267" s="422"/>
      <c r="D267" s="423"/>
      <c r="E267" s="425"/>
      <c r="F267" s="424"/>
      <c r="G267" s="425"/>
      <c r="H267" s="426">
        <f>SUM(H262:H266)</f>
        <v>41.67760286050629</v>
      </c>
      <c r="I267" s="427">
        <f>G8</f>
        <v>1.5755869511774072</v>
      </c>
      <c r="J267" s="428">
        <f>H267*I267*J$13+K267</f>
        <v>84.381693082027724</v>
      </c>
      <c r="K267" s="429"/>
    </row>
    <row r="268" spans="1:11" x14ac:dyDescent="0.25">
      <c r="B268" s="397"/>
      <c r="E268" s="414"/>
      <c r="G268" s="414"/>
      <c r="H268" s="414"/>
      <c r="I268" s="430"/>
    </row>
    <row r="269" spans="1:11" x14ac:dyDescent="0.25">
      <c r="A269" s="679" t="s">
        <v>13</v>
      </c>
      <c r="B269" s="682">
        <f>B262+1</f>
        <v>45912</v>
      </c>
      <c r="C269" s="398" t="s">
        <v>9</v>
      </c>
      <c r="D269" s="399">
        <v>33</v>
      </c>
      <c r="E269" s="573">
        <v>7.5</v>
      </c>
      <c r="F269" s="400">
        <v>1</v>
      </c>
      <c r="G269" s="401">
        <f>IF(E269&lt;8,Factors!F$18,IF(E269&lt;9,Factors!F$19,IF(E269&lt;10,Factors!F$20,IF(E269&lt;11,Factors!F$21,IF(E269&lt;12,Factors!F$22,IF(E269&lt;13,Factors!F$23))))))</f>
        <v>1.2308917197452229</v>
      </c>
      <c r="H269" s="402">
        <f>D269*F269*G269</f>
        <v>40.619426751592357</v>
      </c>
      <c r="I269" s="403"/>
      <c r="J269" s="404"/>
      <c r="K269" s="405"/>
    </row>
    <row r="270" spans="1:11" x14ac:dyDescent="0.25">
      <c r="A270" s="680"/>
      <c r="B270" s="683"/>
      <c r="C270" s="406" t="s">
        <v>174</v>
      </c>
      <c r="D270" s="363">
        <v>6</v>
      </c>
      <c r="E270" s="414">
        <v>8.1999999999999993</v>
      </c>
      <c r="F270" s="407">
        <v>1</v>
      </c>
      <c r="G270" s="408">
        <f>IF(E270&lt;8,Factors!H$18,IF(E270&lt;9,Factors!H$19,IF(E270&lt;10,Factors!H$20,IF(E270&lt;11,Factors!H$21,IF(E270&lt;12,Factors!H$22,IF(E270&lt;13,Factors!H$23))))))</f>
        <v>1.1104477611940298</v>
      </c>
      <c r="H270" s="409">
        <f>D270*F270*G270</f>
        <v>6.6626865671641786</v>
      </c>
      <c r="I270" s="410"/>
      <c r="J270" s="411"/>
      <c r="K270" s="412"/>
    </row>
    <row r="271" spans="1:11" x14ac:dyDescent="0.25">
      <c r="A271" s="680" t="s">
        <v>94</v>
      </c>
      <c r="B271" s="683"/>
      <c r="C271" s="406" t="s">
        <v>43</v>
      </c>
      <c r="D271" s="444">
        <v>6</v>
      </c>
      <c r="E271" s="578">
        <v>8</v>
      </c>
      <c r="F271" s="576">
        <v>1</v>
      </c>
      <c r="G271" s="408">
        <f>IF(E271&lt;8,Factors!H$18,IF(E271&lt;9,Factors!H$19,IF(E271&lt;10,Factors!H$20,IF(E271&lt;11,Factors!H$21,IF(E271&lt;12,Factors!H$22,IF(E271&lt;13,Factors!H$23))))))</f>
        <v>1.1104477611940298</v>
      </c>
      <c r="H271" s="409">
        <f>D271*F271*G271</f>
        <v>6.6626865671641786</v>
      </c>
      <c r="I271" s="406"/>
      <c r="J271" s="411"/>
      <c r="K271" s="412"/>
    </row>
    <row r="272" spans="1:11" x14ac:dyDescent="0.25">
      <c r="A272" s="680"/>
      <c r="B272" s="683"/>
      <c r="C272" s="406" t="s">
        <v>166</v>
      </c>
      <c r="D272" s="363">
        <v>7</v>
      </c>
      <c r="E272" s="414">
        <v>7.8</v>
      </c>
      <c r="F272" s="407">
        <v>1</v>
      </c>
      <c r="G272" s="408">
        <f>IF(E272&lt;8,Factors!H$18,IF(E272&lt;9,Factors!H$19,IF(E272&lt;10,Factors!H$20,IF(E272&lt;11,Factors!H$21,IF(E272&lt;12,Factors!H$22,IF(E272&lt;13,Factors!H$23))))))</f>
        <v>1.3238434163701067</v>
      </c>
      <c r="H272" s="409">
        <f>D272*F272*G272</f>
        <v>9.2669039145907472</v>
      </c>
      <c r="I272" s="410"/>
      <c r="J272" s="411"/>
      <c r="K272" s="412"/>
    </row>
    <row r="273" spans="1:11" ht="15.75" thickBot="1" x14ac:dyDescent="0.3">
      <c r="A273" s="680"/>
      <c r="B273" s="683"/>
      <c r="C273" s="415" t="s">
        <v>158</v>
      </c>
      <c r="D273" s="416">
        <v>6</v>
      </c>
      <c r="E273" s="574">
        <v>8</v>
      </c>
      <c r="F273" s="417">
        <v>1</v>
      </c>
      <c r="G273" s="418">
        <f>IF(E273&lt;8,Factors!H$18,IF(E273&lt;9,Factors!H$19,IF(E273&lt;10,Factors!H$20,IF(E273&lt;11,Factors!H$21,IF(E273&lt;12,Factors!H$22,IF(E273&lt;13,Factors!H$23))))))</f>
        <v>1.1104477611940298</v>
      </c>
      <c r="H273" s="419">
        <f>D273*F273*G273</f>
        <v>6.6626865671641786</v>
      </c>
      <c r="I273" s="420"/>
      <c r="J273" s="421"/>
      <c r="K273" s="421"/>
    </row>
    <row r="274" spans="1:11" ht="15.75" thickTop="1" x14ac:dyDescent="0.25">
      <c r="A274" s="681"/>
      <c r="B274" s="684"/>
      <c r="C274" s="422"/>
      <c r="D274" s="423"/>
      <c r="E274" s="425"/>
      <c r="F274" s="424"/>
      <c r="G274" s="425"/>
      <c r="H274" s="426">
        <f>SUM(H269:H273)</f>
        <v>69.874390367675645</v>
      </c>
      <c r="I274" s="427">
        <f>I8</f>
        <v>1.2521101541115367</v>
      </c>
      <c r="J274" s="428">
        <f>H274*I274*J$13+K274</f>
        <v>112.42520729386023</v>
      </c>
      <c r="K274" s="429">
        <f>K273+K272</f>
        <v>0</v>
      </c>
    </row>
    <row r="275" spans="1:11" x14ac:dyDescent="0.25">
      <c r="B275" s="397"/>
      <c r="E275" s="414"/>
    </row>
    <row r="276" spans="1:11" x14ac:dyDescent="0.25">
      <c r="A276" s="680" t="s">
        <v>14</v>
      </c>
      <c r="B276" s="682">
        <f>B269+1</f>
        <v>45913</v>
      </c>
      <c r="C276" s="398" t="s">
        <v>9</v>
      </c>
      <c r="D276" s="399">
        <v>49</v>
      </c>
      <c r="E276" s="573">
        <v>8</v>
      </c>
      <c r="F276" s="400">
        <v>1</v>
      </c>
      <c r="G276" s="401">
        <f>IF(E276&lt;8,Factors!F$18,IF(E276&lt;9,Factors!F$19,IF(E276&lt;10,Factors!F$20,IF(E276&lt;11,Factors!F$21,IF(E276&lt;12,Factors!F$22,IF(E276&lt;13,Factors!F$23))))))</f>
        <v>1.0980113636363635</v>
      </c>
      <c r="H276" s="402">
        <f>D276*F276*G276</f>
        <v>53.802556818181813</v>
      </c>
      <c r="I276" s="403"/>
      <c r="J276" s="404"/>
      <c r="K276" s="405"/>
    </row>
    <row r="277" spans="1:11" x14ac:dyDescent="0.25">
      <c r="A277" s="680"/>
      <c r="B277" s="683"/>
      <c r="C277" s="406" t="s">
        <v>174</v>
      </c>
      <c r="D277" s="363">
        <v>8</v>
      </c>
      <c r="E277" s="414">
        <v>8.5</v>
      </c>
      <c r="F277" s="576">
        <v>1</v>
      </c>
      <c r="G277" s="408">
        <f>IF(E277&lt;8,Factors!H$18,IF(E277&lt;9,Factors!H$19,IF(E277&lt;10,Factors!H$20,IF(E277&lt;11,Factors!H$21,IF(E277&lt;12,Factors!H$22,IF(E277&lt;13,Factors!H$23))))))</f>
        <v>1.1104477611940298</v>
      </c>
      <c r="H277" s="409">
        <f>D277*F277*G277</f>
        <v>8.8835820895522382</v>
      </c>
      <c r="I277" s="410"/>
      <c r="J277" s="411"/>
      <c r="K277" s="412"/>
    </row>
    <row r="278" spans="1:11" x14ac:dyDescent="0.25">
      <c r="A278" s="680" t="s">
        <v>94</v>
      </c>
      <c r="B278" s="683"/>
      <c r="C278" s="406" t="s">
        <v>43</v>
      </c>
      <c r="D278" s="363">
        <v>7</v>
      </c>
      <c r="E278" s="414">
        <v>7.5</v>
      </c>
      <c r="F278" s="407">
        <f>5/6</f>
        <v>0.83333333333333337</v>
      </c>
      <c r="G278" s="408">
        <f>IF(E278&lt;8,Factors!H$18,IF(E278&lt;9,Factors!H$19,IF(E278&lt;10,Factors!H$20,IF(E278&lt;11,Factors!H$21,IF(E278&lt;12,Factors!H$22,IF(E278&lt;13,Factors!H$23))))))</f>
        <v>1.3238434163701067</v>
      </c>
      <c r="H278" s="409">
        <f>D278*F278*G278</f>
        <v>7.722419928825623</v>
      </c>
      <c r="I278" s="406"/>
      <c r="J278" s="411"/>
      <c r="K278" s="412"/>
    </row>
    <row r="279" spans="1:11" x14ac:dyDescent="0.25">
      <c r="A279" s="680"/>
      <c r="B279" s="683"/>
      <c r="C279" s="406" t="s">
        <v>166</v>
      </c>
      <c r="D279" s="363">
        <v>8</v>
      </c>
      <c r="E279" s="414">
        <v>7.4</v>
      </c>
      <c r="F279" s="576">
        <v>0.8</v>
      </c>
      <c r="G279" s="408">
        <f>IF(E279&lt;8,Factors!H$18,IF(E279&lt;9,Factors!H$19,IF(E279&lt;10,Factors!H$20,IF(E279&lt;11,Factors!H$21,IF(E279&lt;12,Factors!H$22,IF(E279&lt;13,Factors!H$23))))))</f>
        <v>1.3238434163701067</v>
      </c>
      <c r="H279" s="409">
        <f>D279*F279*G279</f>
        <v>8.4725978647686837</v>
      </c>
      <c r="I279" s="410"/>
      <c r="J279" s="411"/>
      <c r="K279" s="412"/>
    </row>
    <row r="280" spans="1:11" ht="15.75" thickBot="1" x14ac:dyDescent="0.3">
      <c r="A280" s="680"/>
      <c r="B280" s="683"/>
      <c r="C280" s="415" t="s">
        <v>158</v>
      </c>
      <c r="D280" s="416">
        <v>9</v>
      </c>
      <c r="E280" s="574">
        <v>7.8</v>
      </c>
      <c r="F280" s="417">
        <f>8/10</f>
        <v>0.8</v>
      </c>
      <c r="G280" s="418">
        <f>IF(E280&lt;8,Factors!H$18,IF(E280&lt;9,Factors!H$19,IF(E280&lt;10,Factors!H$20,IF(E280&lt;11,Factors!H$21,IF(E280&lt;12,Factors!H$22,IF(E280&lt;13,Factors!H$23))))))</f>
        <v>1.3238434163701067</v>
      </c>
      <c r="H280" s="419">
        <f>D280*F280*G280</f>
        <v>9.5316725978647678</v>
      </c>
      <c r="I280" s="420"/>
      <c r="J280" s="421"/>
      <c r="K280" s="421"/>
    </row>
    <row r="281" spans="1:11" ht="15.75" thickTop="1" x14ac:dyDescent="0.25">
      <c r="A281" s="681"/>
      <c r="B281" s="684"/>
      <c r="C281" s="422"/>
      <c r="D281" s="423"/>
      <c r="E281" s="425"/>
      <c r="F281" s="424"/>
      <c r="G281" s="425"/>
      <c r="H281" s="426">
        <f>SUM(H276:H280)</f>
        <v>88.412829299193135</v>
      </c>
      <c r="I281" s="427">
        <f>AG8</f>
        <v>1.1111111111111112</v>
      </c>
      <c r="J281" s="428">
        <f>H281*I281*J$13+K281</f>
        <v>126.23387294384797</v>
      </c>
      <c r="K281" s="429">
        <f>K280+K279</f>
        <v>0</v>
      </c>
    </row>
    <row r="282" spans="1:11" x14ac:dyDescent="0.25">
      <c r="B282" s="397"/>
      <c r="E282" s="414"/>
      <c r="J282" s="430"/>
    </row>
    <row r="283" spans="1:11" x14ac:dyDescent="0.25">
      <c r="A283" s="679" t="s">
        <v>15</v>
      </c>
      <c r="B283" s="682">
        <f>B276+1</f>
        <v>45914</v>
      </c>
      <c r="C283" s="398" t="s">
        <v>9</v>
      </c>
      <c r="D283" s="399">
        <v>45</v>
      </c>
      <c r="E283" s="573">
        <v>9.1999999999999993</v>
      </c>
      <c r="F283" s="400">
        <f>21/22</f>
        <v>0.95454545454545459</v>
      </c>
      <c r="G283" s="401">
        <f>IF(E283&lt;8,Factors!F$18,IF(E283&lt;9,Factors!F$19,IF(E283&lt;10,Factors!F$20,IF(E283&lt;11,Factors!F$21,IF(E283&lt;12,Factors!F$22,IF(E283&lt;13,Factors!F$23))))))</f>
        <v>1.034805890227577</v>
      </c>
      <c r="H283" s="402">
        <f>D283*F283*G283</f>
        <v>44.449616648411826</v>
      </c>
      <c r="I283" s="403"/>
      <c r="J283" s="404"/>
      <c r="K283" s="405"/>
    </row>
    <row r="284" spans="1:11" x14ac:dyDescent="0.25">
      <c r="A284" s="680"/>
      <c r="B284" s="683"/>
      <c r="C284" s="406" t="s">
        <v>174</v>
      </c>
      <c r="D284" s="363">
        <v>4</v>
      </c>
      <c r="E284" s="414">
        <v>8.5</v>
      </c>
      <c r="F284" s="576">
        <v>1</v>
      </c>
      <c r="G284" s="408">
        <f>IF(E284&lt;8,Factors!H$18,IF(E284&lt;9,Factors!H$19,IF(E284&lt;10,Factors!H$20,IF(E284&lt;11,Factors!H$21,IF(E284&lt;12,Factors!H$22,IF(E284&lt;13,Factors!H$23))))))</f>
        <v>1.1104477611940298</v>
      </c>
      <c r="H284" s="409">
        <f>D284*F284*G284</f>
        <v>4.4417910447761191</v>
      </c>
      <c r="I284" s="410"/>
      <c r="J284" s="411"/>
      <c r="K284" s="412"/>
    </row>
    <row r="285" spans="1:11" x14ac:dyDescent="0.25">
      <c r="A285" s="680" t="s">
        <v>94</v>
      </c>
      <c r="B285" s="683"/>
      <c r="C285" s="406" t="s">
        <v>43</v>
      </c>
      <c r="D285" s="444">
        <v>7</v>
      </c>
      <c r="E285" s="578">
        <v>8</v>
      </c>
      <c r="F285" s="576">
        <v>1</v>
      </c>
      <c r="G285" s="408">
        <f>IF(E285&lt;8,Factors!H$18,IF(E285&lt;9,Factors!H$19,IF(E285&lt;10,Factors!H$20,IF(E285&lt;11,Factors!H$21,IF(E285&lt;12,Factors!H$22,IF(E285&lt;13,Factors!H$23))))))</f>
        <v>1.1104477611940298</v>
      </c>
      <c r="H285" s="409">
        <f>D285*F285*G285</f>
        <v>7.7731343283582088</v>
      </c>
      <c r="I285" s="406"/>
      <c r="J285" s="411"/>
      <c r="K285" s="412"/>
    </row>
    <row r="286" spans="1:11" x14ac:dyDescent="0.25">
      <c r="A286" s="680"/>
      <c r="B286" s="683"/>
      <c r="C286" s="406" t="s">
        <v>166</v>
      </c>
      <c r="D286" s="363">
        <v>2</v>
      </c>
      <c r="E286" s="414">
        <v>7.7</v>
      </c>
      <c r="F286" s="576">
        <v>0.92</v>
      </c>
      <c r="G286" s="408">
        <f>IF(E286&lt;8,Factors!H$18,IF(E286&lt;9,Factors!H$19,IF(E286&lt;10,Factors!H$20,IF(E286&lt;11,Factors!H$21,IF(E286&lt;12,Factors!H$22,IF(E286&lt;13,Factors!H$23))))))</f>
        <v>1.3238434163701067</v>
      </c>
      <c r="H286" s="409">
        <f>D286*F286*G286</f>
        <v>2.4358718861209963</v>
      </c>
      <c r="I286" s="410"/>
      <c r="J286" s="411"/>
      <c r="K286" s="412"/>
    </row>
    <row r="287" spans="1:11" ht="15.75" thickBot="1" x14ac:dyDescent="0.3">
      <c r="A287" s="680"/>
      <c r="B287" s="683"/>
      <c r="C287" s="415" t="s">
        <v>158</v>
      </c>
      <c r="D287" s="416">
        <v>9</v>
      </c>
      <c r="E287" s="574">
        <v>7.7</v>
      </c>
      <c r="F287" s="417">
        <f>11/12</f>
        <v>0.91666666666666663</v>
      </c>
      <c r="G287" s="418">
        <f>IF(E287&lt;8,Factors!H$18,IF(E287&lt;9,Factors!H$19,IF(E287&lt;10,Factors!H$20,IF(E287&lt;11,Factors!H$21,IF(E287&lt;12,Factors!H$22,IF(E287&lt;13,Factors!H$23))))))</f>
        <v>1.3238434163701067</v>
      </c>
      <c r="H287" s="419">
        <f>D287*F287*G287</f>
        <v>10.921708185053381</v>
      </c>
      <c r="I287" s="420"/>
      <c r="J287" s="421"/>
      <c r="K287" s="421"/>
    </row>
    <row r="288" spans="1:11" ht="15.75" thickTop="1" x14ac:dyDescent="0.25">
      <c r="A288" s="681"/>
      <c r="B288" s="684"/>
      <c r="C288" s="422"/>
      <c r="D288" s="423"/>
      <c r="E288" s="425"/>
      <c r="F288" s="424"/>
      <c r="G288" s="425"/>
      <c r="H288" s="426">
        <f>SUM(H283:H287)</f>
        <v>70.022122092720537</v>
      </c>
      <c r="I288" s="427">
        <f>I8</f>
        <v>1.2521101541115367</v>
      </c>
      <c r="J288" s="428">
        <f>H288*I288*J$13+K288</f>
        <v>112.66290195888209</v>
      </c>
      <c r="K288" s="429">
        <f>K287+K286</f>
        <v>0</v>
      </c>
    </row>
    <row r="289" spans="1:11" x14ac:dyDescent="0.25">
      <c r="B289" s="397"/>
      <c r="E289" s="414"/>
    </row>
    <row r="290" spans="1:11" x14ac:dyDescent="0.25">
      <c r="A290" s="679" t="s">
        <v>7</v>
      </c>
      <c r="B290" s="682">
        <f>B283+1</f>
        <v>45915</v>
      </c>
      <c r="C290" s="398" t="s">
        <v>9</v>
      </c>
      <c r="D290" s="399">
        <v>16</v>
      </c>
      <c r="E290" s="573">
        <v>9.1999999999999993</v>
      </c>
      <c r="F290" s="400">
        <v>1</v>
      </c>
      <c r="G290" s="401">
        <f>IF(E290&lt;8,Factors!F$18,IF(E290&lt;9,Factors!F$19,IF(E290&lt;10,Factors!F$20,IF(E290&lt;11,Factors!F$21,IF(E290&lt;12,Factors!F$22,IF(E290&lt;13,Factors!F$23))))))</f>
        <v>1.034805890227577</v>
      </c>
      <c r="H290" s="402">
        <f>D290*F290*G290</f>
        <v>16.556894243641231</v>
      </c>
      <c r="I290" s="403"/>
      <c r="J290" s="404"/>
      <c r="K290" s="405"/>
    </row>
    <row r="291" spans="1:11" x14ac:dyDescent="0.25">
      <c r="A291" s="680"/>
      <c r="B291" s="683"/>
      <c r="C291" s="406" t="s">
        <v>174</v>
      </c>
      <c r="D291" s="444">
        <v>4</v>
      </c>
      <c r="E291" s="578">
        <v>9.1999999999999993</v>
      </c>
      <c r="F291" s="576">
        <v>1</v>
      </c>
      <c r="G291" s="408">
        <f>IF(E291&lt;8,Factors!H$18,IF(E291&lt;9,Factors!H$19,IF(E291&lt;10,Factors!H$20,IF(E291&lt;11,Factors!H$21,IF(E291&lt;12,Factors!H$22,IF(E291&lt;13,Factors!H$23))))))</f>
        <v>1.024793388429752</v>
      </c>
      <c r="H291" s="409">
        <f>D291*F291*G291</f>
        <v>4.0991735537190079</v>
      </c>
      <c r="I291" s="410"/>
      <c r="J291" s="411"/>
      <c r="K291" s="412"/>
    </row>
    <row r="292" spans="1:11" x14ac:dyDescent="0.25">
      <c r="A292" s="680" t="s">
        <v>94</v>
      </c>
      <c r="B292" s="683"/>
      <c r="C292" s="406" t="s">
        <v>43</v>
      </c>
      <c r="D292" s="363">
        <v>5</v>
      </c>
      <c r="E292" s="414">
        <v>7.8</v>
      </c>
      <c r="F292" s="407">
        <v>1</v>
      </c>
      <c r="G292" s="408">
        <f>IF(E292&lt;8,Factors!H$18,IF(E292&lt;9,Factors!H$19,IF(E292&lt;10,Factors!H$20,IF(E292&lt;11,Factors!H$21,IF(E292&lt;12,Factors!H$22,IF(E292&lt;13,Factors!H$23))))))</f>
        <v>1.3238434163701067</v>
      </c>
      <c r="H292" s="409">
        <f>D292*F292*G292</f>
        <v>6.6192170818505334</v>
      </c>
      <c r="I292" s="406"/>
      <c r="J292" s="411"/>
      <c r="K292" s="412"/>
    </row>
    <row r="293" spans="1:11" x14ac:dyDescent="0.25">
      <c r="A293" s="680"/>
      <c r="B293" s="683"/>
      <c r="C293" s="406" t="s">
        <v>166</v>
      </c>
      <c r="D293" s="363">
        <v>21</v>
      </c>
      <c r="E293" s="414">
        <v>8.8000000000000007</v>
      </c>
      <c r="F293" s="407">
        <v>1</v>
      </c>
      <c r="G293" s="408">
        <f>IF(E293&lt;8,Factors!H$18,IF(E293&lt;9,Factors!H$19,IF(E293&lt;10,Factors!H$20,IF(E293&lt;11,Factors!H$21,IF(E293&lt;12,Factors!H$22,IF(E293&lt;13,Factors!H$23))))))</f>
        <v>1.1104477611940298</v>
      </c>
      <c r="H293" s="409">
        <f>D293*F293*G293</f>
        <v>23.319402985074625</v>
      </c>
      <c r="I293" s="410"/>
      <c r="J293" s="411"/>
      <c r="K293" s="412"/>
    </row>
    <row r="294" spans="1:11" ht="15.75" thickBot="1" x14ac:dyDescent="0.3">
      <c r="A294" s="680"/>
      <c r="B294" s="683"/>
      <c r="C294" s="415" t="s">
        <v>158</v>
      </c>
      <c r="D294" s="416">
        <v>6</v>
      </c>
      <c r="E294" s="574">
        <v>8.1999999999999993</v>
      </c>
      <c r="F294" s="417">
        <f>5/6</f>
        <v>0.83333333333333337</v>
      </c>
      <c r="G294" s="418">
        <f>IF(E294&lt;8,Factors!H$18,IF(E294&lt;9,Factors!H$19,IF(E294&lt;10,Factors!H$20,IF(E294&lt;11,Factors!H$21,IF(E294&lt;12,Factors!H$22,IF(E294&lt;13,Factors!H$23))))))</f>
        <v>1.1104477611940298</v>
      </c>
      <c r="H294" s="419">
        <f>D294*F294*G294</f>
        <v>5.5522388059701484</v>
      </c>
      <c r="I294" s="420"/>
      <c r="J294" s="421"/>
      <c r="K294" s="421"/>
    </row>
    <row r="295" spans="1:11" ht="15.75" thickTop="1" x14ac:dyDescent="0.25">
      <c r="A295" s="681"/>
      <c r="B295" s="684"/>
      <c r="C295" s="422"/>
      <c r="D295" s="423"/>
      <c r="E295" s="425"/>
      <c r="F295" s="424"/>
      <c r="G295" s="425"/>
      <c r="H295" s="426">
        <f>SUM(H290:H294)</f>
        <v>56.146926670255546</v>
      </c>
      <c r="I295" s="427">
        <v>1.111</v>
      </c>
      <c r="J295" s="428">
        <f>H295*I295*J$13+K295</f>
        <v>80.157317656890271</v>
      </c>
      <c r="K295" s="429">
        <f>K294+K293</f>
        <v>0</v>
      </c>
    </row>
    <row r="296" spans="1:11" x14ac:dyDescent="0.25">
      <c r="E296" s="414"/>
      <c r="J296" s="430"/>
    </row>
    <row r="297" spans="1:11" x14ac:dyDescent="0.25">
      <c r="A297" s="679" t="s">
        <v>94</v>
      </c>
      <c r="B297" s="682">
        <f>B290+1</f>
        <v>45916</v>
      </c>
      <c r="C297" s="398" t="s">
        <v>9</v>
      </c>
      <c r="D297" s="399">
        <v>21</v>
      </c>
      <c r="E297" s="573">
        <v>9.6999999999999993</v>
      </c>
      <c r="F297" s="400">
        <v>1</v>
      </c>
      <c r="G297" s="401">
        <f>IF(E297&lt;8,Factors!F$18,IF(E297&lt;9,Factors!F$19,IF(E297&lt;10,Factors!F$20,IF(E297&lt;11,Factors!F$21,IF(E297&lt;12,Factors!F$22,IF(E297&lt;13,Factors!F$23))))))</f>
        <v>1.034805890227577</v>
      </c>
      <c r="H297" s="402">
        <f>D297*F297*G297</f>
        <v>21.730923694779115</v>
      </c>
      <c r="I297" s="403"/>
      <c r="J297" s="404"/>
      <c r="K297" s="405"/>
    </row>
    <row r="298" spans="1:11" x14ac:dyDescent="0.25">
      <c r="A298" s="680"/>
      <c r="B298" s="683"/>
      <c r="C298" s="406" t="s">
        <v>174</v>
      </c>
      <c r="D298" s="363">
        <v>4</v>
      </c>
      <c r="E298" s="414">
        <v>8.6999999999999993</v>
      </c>
      <c r="F298" s="407">
        <v>1</v>
      </c>
      <c r="G298" s="408">
        <f>IF(E298&lt;8,Factors!H$18,IF(E298&lt;9,Factors!H$19,IF(E298&lt;10,Factors!H$20,IF(E298&lt;11,Factors!H$21,IF(E298&lt;12,Factors!H$22,IF(E298&lt;13,Factors!H$23))))))</f>
        <v>1.1104477611940298</v>
      </c>
      <c r="H298" s="409">
        <f>D298*F298*G298</f>
        <v>4.4417910447761191</v>
      </c>
      <c r="I298" s="410"/>
      <c r="J298" s="411"/>
      <c r="K298" s="412"/>
    </row>
    <row r="299" spans="1:11" x14ac:dyDescent="0.25">
      <c r="A299" s="680" t="s">
        <v>94</v>
      </c>
      <c r="B299" s="683"/>
      <c r="C299" s="406" t="s">
        <v>43</v>
      </c>
      <c r="D299" s="363">
        <v>8</v>
      </c>
      <c r="E299" s="414">
        <v>7.9</v>
      </c>
      <c r="F299" s="407">
        <v>1</v>
      </c>
      <c r="G299" s="408">
        <f>IF(E299&lt;8,Factors!H$18,IF(E299&lt;9,Factors!H$19,IF(E299&lt;10,Factors!H$20,IF(E299&lt;11,Factors!H$21,IF(E299&lt;12,Factors!H$22,IF(E299&lt;13,Factors!H$23))))))</f>
        <v>1.3238434163701067</v>
      </c>
      <c r="H299" s="409">
        <f>D299*F299*G299</f>
        <v>10.590747330960854</v>
      </c>
      <c r="I299" s="406"/>
      <c r="J299" s="411"/>
      <c r="K299" s="412"/>
    </row>
    <row r="300" spans="1:11" x14ac:dyDescent="0.25">
      <c r="A300" s="680"/>
      <c r="B300" s="683"/>
      <c r="C300" s="406" t="s">
        <v>166</v>
      </c>
      <c r="D300" s="363">
        <v>8</v>
      </c>
      <c r="E300" s="414">
        <v>8</v>
      </c>
      <c r="F300" s="407">
        <v>1</v>
      </c>
      <c r="G300" s="408">
        <f>IF(E300&lt;8,Factors!H$18,IF(E300&lt;9,Factors!H$19,IF(E300&lt;10,Factors!H$20,IF(E300&lt;11,Factors!H$21,IF(E300&lt;12,Factors!H$22,IF(E300&lt;13,Factors!H$23))))))</f>
        <v>1.1104477611940298</v>
      </c>
      <c r="H300" s="409">
        <f>D300*F300*G300</f>
        <v>8.8835820895522382</v>
      </c>
      <c r="I300" s="410"/>
      <c r="J300" s="411"/>
      <c r="K300" s="412"/>
    </row>
    <row r="301" spans="1:11" ht="15.75" thickBot="1" x14ac:dyDescent="0.3">
      <c r="A301" s="680"/>
      <c r="B301" s="683"/>
      <c r="C301" s="415" t="s">
        <v>158</v>
      </c>
      <c r="D301" s="416">
        <v>5</v>
      </c>
      <c r="E301" s="574">
        <v>8.3000000000000007</v>
      </c>
      <c r="F301" s="417">
        <v>1</v>
      </c>
      <c r="G301" s="418">
        <f>IF(E301&lt;8,Factors!H$18,IF(E301&lt;9,Factors!H$19,IF(E301&lt;10,Factors!H$20,IF(E301&lt;11,Factors!H$21,IF(E301&lt;12,Factors!H$22,IF(E301&lt;13,Factors!H$23))))))</f>
        <v>1.1104477611940298</v>
      </c>
      <c r="H301" s="419">
        <f>D301*F301*G301</f>
        <v>5.5522388059701484</v>
      </c>
      <c r="I301" s="420"/>
      <c r="J301" s="421"/>
      <c r="K301" s="421"/>
    </row>
    <row r="302" spans="1:11" ht="15.75" thickTop="1" x14ac:dyDescent="0.25">
      <c r="A302" s="681"/>
      <c r="B302" s="684"/>
      <c r="C302" s="422"/>
      <c r="D302" s="423"/>
      <c r="E302" s="425"/>
      <c r="F302" s="424"/>
      <c r="G302" s="425"/>
      <c r="H302" s="426">
        <f>SUM(H297:H301)</f>
        <v>51.199282966038467</v>
      </c>
      <c r="I302" s="427">
        <v>1.111</v>
      </c>
      <c r="J302" s="428">
        <f>H302*I302*J$13+K302</f>
        <v>73.093888337220321</v>
      </c>
      <c r="K302" s="429">
        <f>K301+K300</f>
        <v>0</v>
      </c>
    </row>
    <row r="303" spans="1:11" x14ac:dyDescent="0.25">
      <c r="B303" s="397"/>
      <c r="E303" s="414"/>
      <c r="F303" s="407"/>
      <c r="I303" s="430"/>
    </row>
    <row r="304" spans="1:11" x14ac:dyDescent="0.25">
      <c r="A304" s="679" t="s">
        <v>11</v>
      </c>
      <c r="B304" s="682">
        <f>B297+1</f>
        <v>45917</v>
      </c>
      <c r="C304" s="398" t="s">
        <v>9</v>
      </c>
      <c r="D304" s="399">
        <v>20</v>
      </c>
      <c r="E304" s="573">
        <v>8.4</v>
      </c>
      <c r="F304" s="400">
        <v>1</v>
      </c>
      <c r="G304" s="401">
        <f>IF(E304&lt;8,Factors!F$18,IF(E304&lt;9,Factors!F$19,IF(E304&lt;10,Factors!F$20,IF(E304&lt;11,Factors!F$21,IF(E304&lt;12,Factors!F$22,IF(E304&lt;13,Factors!F$23))))))</f>
        <v>1.0980113636363635</v>
      </c>
      <c r="H304" s="402">
        <f>D304*F304*G304</f>
        <v>21.96022727272727</v>
      </c>
      <c r="I304" s="403"/>
      <c r="J304" s="404"/>
      <c r="K304" s="405"/>
    </row>
    <row r="305" spans="1:11" x14ac:dyDescent="0.25">
      <c r="A305" s="680"/>
      <c r="B305" s="683"/>
      <c r="C305" s="406" t="s">
        <v>174</v>
      </c>
      <c r="D305" s="444">
        <v>4</v>
      </c>
      <c r="E305" s="578">
        <v>8</v>
      </c>
      <c r="F305" s="407">
        <v>1</v>
      </c>
      <c r="G305" s="408">
        <f>IF(E305&lt;8,Factors!H$18,IF(E305&lt;9,Factors!H$19,IF(E305&lt;10,Factors!H$20,IF(E305&lt;11,Factors!H$21,IF(E305&lt;12,Factors!H$22,IF(E305&lt;13,Factors!H$23))))))</f>
        <v>1.1104477611940298</v>
      </c>
      <c r="H305" s="409">
        <f>D305*F305*G305</f>
        <v>4.4417910447761191</v>
      </c>
      <c r="I305" s="410"/>
      <c r="J305" s="411"/>
      <c r="K305" s="412"/>
    </row>
    <row r="306" spans="1:11" x14ac:dyDescent="0.25">
      <c r="A306" s="680" t="s">
        <v>94</v>
      </c>
      <c r="B306" s="683"/>
      <c r="C306" s="406" t="s">
        <v>43</v>
      </c>
      <c r="D306" s="363">
        <v>8</v>
      </c>
      <c r="E306" s="414">
        <v>9.1</v>
      </c>
      <c r="F306" s="407">
        <f>6/7</f>
        <v>0.8571428571428571</v>
      </c>
      <c r="G306" s="408">
        <f>IF(E306&lt;8,Factors!H$18,IF(E306&lt;9,Factors!H$19,IF(E306&lt;10,Factors!H$20,IF(E306&lt;11,Factors!H$21,IF(E306&lt;12,Factors!H$22,IF(E306&lt;13,Factors!H$23))))))</f>
        <v>1.024793388429752</v>
      </c>
      <c r="H306" s="409">
        <f>D306*F306*G306</f>
        <v>7.0271546635182993</v>
      </c>
      <c r="I306" s="406"/>
      <c r="J306" s="411"/>
      <c r="K306" s="412"/>
    </row>
    <row r="307" spans="1:11" x14ac:dyDescent="0.25">
      <c r="A307" s="680"/>
      <c r="B307" s="683"/>
      <c r="C307" s="406" t="s">
        <v>166</v>
      </c>
      <c r="D307" s="363">
        <v>4</v>
      </c>
      <c r="E307" s="414">
        <v>8.1</v>
      </c>
      <c r="F307" s="576">
        <f>10/13</f>
        <v>0.76923076923076927</v>
      </c>
      <c r="G307" s="408">
        <f>IF(E307&lt;8,Factors!H$18,IF(E307&lt;9,Factors!H$19,IF(E307&lt;10,Factors!H$20,IF(E307&lt;11,Factors!H$21,IF(E307&lt;12,Factors!H$22,IF(E307&lt;13,Factors!H$23))))))</f>
        <v>1.1104477611940298</v>
      </c>
      <c r="H307" s="409">
        <f>D307*F307*G307</f>
        <v>3.4167623421354762</v>
      </c>
      <c r="I307" s="410"/>
      <c r="J307" s="411"/>
      <c r="K307" s="412"/>
    </row>
    <row r="308" spans="1:11" ht="15.75" thickBot="1" x14ac:dyDescent="0.3">
      <c r="A308" s="680"/>
      <c r="B308" s="683"/>
      <c r="C308" s="415" t="s">
        <v>158</v>
      </c>
      <c r="D308" s="416">
        <v>8</v>
      </c>
      <c r="E308" s="574">
        <v>6.9</v>
      </c>
      <c r="F308" s="618">
        <v>0.77</v>
      </c>
      <c r="G308" s="418">
        <f>IF(E308&lt;8,Factors!H$18,IF(E308&lt;9,Factors!H$19,IF(E308&lt;10,Factors!H$20,IF(E308&lt;11,Factors!H$21,IF(E308&lt;12,Factors!H$22,IF(E308&lt;13,Factors!H$23))))))</f>
        <v>1.3238434163701067</v>
      </c>
      <c r="H308" s="419">
        <f>D308*F308*G308</f>
        <v>8.1548754448398579</v>
      </c>
      <c r="I308" s="420"/>
      <c r="J308" s="421"/>
      <c r="K308" s="421"/>
    </row>
    <row r="309" spans="1:11" ht="15.75" thickTop="1" x14ac:dyDescent="0.25">
      <c r="A309" s="681"/>
      <c r="B309" s="684"/>
      <c r="C309" s="422"/>
      <c r="D309" s="423"/>
      <c r="E309" s="425"/>
      <c r="F309" s="424"/>
      <c r="G309" s="425"/>
      <c r="H309" s="426">
        <f>SUM(H304:H308)</f>
        <v>45.000810767997031</v>
      </c>
      <c r="I309" s="427">
        <v>1.111</v>
      </c>
      <c r="J309" s="428">
        <f>H309*I309*J$13+K309</f>
        <v>64.244732480769429</v>
      </c>
      <c r="K309" s="429">
        <f>K308+K307</f>
        <v>0</v>
      </c>
    </row>
    <row r="310" spans="1:11" x14ac:dyDescent="0.25">
      <c r="B310" s="397"/>
      <c r="E310" s="414"/>
      <c r="J310" s="430"/>
    </row>
    <row r="311" spans="1:11" x14ac:dyDescent="0.25">
      <c r="A311" s="679" t="s">
        <v>95</v>
      </c>
      <c r="B311" s="682">
        <f>B304+1</f>
        <v>45918</v>
      </c>
      <c r="C311" s="398" t="s">
        <v>9</v>
      </c>
      <c r="D311" s="399">
        <v>26</v>
      </c>
      <c r="E311" s="573">
        <v>10.9</v>
      </c>
      <c r="F311" s="400">
        <v>1</v>
      </c>
      <c r="G311" s="401">
        <f>IF(E311&lt;8,Factors!F$18,IF(E311&lt;9,Factors!F$19,IF(E311&lt;10,Factors!F$20,IF(E311&lt;11,Factors!F$21,IF(E311&lt;12,Factors!F$22,IF(E311&lt;13,Factors!F$23))))))</f>
        <v>1.0104575163398692</v>
      </c>
      <c r="H311" s="402">
        <f>D311*F311*G311</f>
        <v>26.2718954248366</v>
      </c>
      <c r="I311" s="403"/>
      <c r="J311" s="404"/>
      <c r="K311" s="405"/>
    </row>
    <row r="312" spans="1:11" x14ac:dyDescent="0.25">
      <c r="A312" s="680"/>
      <c r="B312" s="683"/>
      <c r="C312" s="406" t="s">
        <v>174</v>
      </c>
      <c r="D312" s="363">
        <v>4</v>
      </c>
      <c r="E312" s="414">
        <v>11.4</v>
      </c>
      <c r="F312" s="407">
        <v>1</v>
      </c>
      <c r="G312" s="408">
        <f>IF(E312&lt;8,Factors!H$18,IF(E312&lt;9,Factors!H$19,IF(E312&lt;10,Factors!H$20,IF(E312&lt;11,Factors!H$21,IF(E312&lt;12,Factors!H$22,IF(E312&lt;13,Factors!H$23))))))</f>
        <v>1.0276243093922652</v>
      </c>
      <c r="H312" s="409">
        <f>D312*F312*G312</f>
        <v>4.1104972375690609</v>
      </c>
      <c r="I312" s="410"/>
      <c r="J312" s="411"/>
      <c r="K312" s="412"/>
    </row>
    <row r="313" spans="1:11" x14ac:dyDescent="0.25">
      <c r="A313" s="680" t="s">
        <v>94</v>
      </c>
      <c r="B313" s="683"/>
      <c r="C313" s="406" t="s">
        <v>43</v>
      </c>
      <c r="D313" s="363">
        <v>12</v>
      </c>
      <c r="E313" s="414">
        <v>8.3000000000000007</v>
      </c>
      <c r="F313" s="407">
        <v>1</v>
      </c>
      <c r="G313" s="408">
        <f>IF(E313&lt;8,Factors!H$18,IF(E313&lt;9,Factors!H$19,IF(E313&lt;10,Factors!H$20,IF(E313&lt;11,Factors!H$21,IF(E313&lt;12,Factors!H$22,IF(E313&lt;13,Factors!H$23))))))</f>
        <v>1.1104477611940298</v>
      </c>
      <c r="H313" s="409">
        <f>D313*F313*G313</f>
        <v>13.325373134328357</v>
      </c>
      <c r="I313" s="406"/>
      <c r="J313" s="411"/>
      <c r="K313" s="412"/>
    </row>
    <row r="314" spans="1:11" x14ac:dyDescent="0.25">
      <c r="A314" s="680"/>
      <c r="B314" s="683"/>
      <c r="C314" s="406" t="s">
        <v>166</v>
      </c>
      <c r="D314" s="363">
        <v>19</v>
      </c>
      <c r="E314" s="414">
        <v>8</v>
      </c>
      <c r="F314" s="576">
        <v>0.88</v>
      </c>
      <c r="G314" s="408">
        <f>IF(E314&lt;8,Factors!H$18,IF(E314&lt;9,Factors!H$19,IF(E314&lt;10,Factors!H$20,IF(E314&lt;11,Factors!H$21,IF(E314&lt;12,Factors!H$22,IF(E314&lt;13,Factors!H$23))))))</f>
        <v>1.1104477611940298</v>
      </c>
      <c r="H314" s="409">
        <f>D314*F314*G314</f>
        <v>18.566686567164176</v>
      </c>
      <c r="I314" s="410"/>
      <c r="J314" s="411"/>
      <c r="K314" s="412"/>
    </row>
    <row r="315" spans="1:11" ht="15.75" thickBot="1" x14ac:dyDescent="0.3">
      <c r="A315" s="680"/>
      <c r="B315" s="683"/>
      <c r="C315" s="415" t="s">
        <v>158</v>
      </c>
      <c r="D315" s="416">
        <v>8</v>
      </c>
      <c r="E315" s="574">
        <v>7.1</v>
      </c>
      <c r="F315" s="417">
        <f>14/16</f>
        <v>0.875</v>
      </c>
      <c r="G315" s="418">
        <f>IF(E315&lt;8,Factors!H$18,IF(E315&lt;9,Factors!H$19,IF(E315&lt;10,Factors!H$20,IF(E315&lt;11,Factors!H$21,IF(E315&lt;12,Factors!H$22,IF(E315&lt;13,Factors!H$23))))))</f>
        <v>1.3238434163701067</v>
      </c>
      <c r="H315" s="419">
        <f>D315*F315*G315</f>
        <v>9.2669039145907472</v>
      </c>
      <c r="I315" s="420"/>
      <c r="J315" s="421"/>
      <c r="K315" s="421"/>
    </row>
    <row r="316" spans="1:11" ht="15.75" thickTop="1" x14ac:dyDescent="0.25">
      <c r="A316" s="681"/>
      <c r="B316" s="684"/>
      <c r="C316" s="422"/>
      <c r="D316" s="423"/>
      <c r="E316" s="425"/>
      <c r="F316" s="424"/>
      <c r="G316" s="425"/>
      <c r="H316" s="426">
        <f>SUM(H311:H315)</f>
        <v>71.541356278488934</v>
      </c>
      <c r="I316" s="427">
        <v>1.111</v>
      </c>
      <c r="J316" s="428">
        <f>H316*I316*J$13+K316</f>
        <v>102.13494417064054</v>
      </c>
      <c r="K316" s="429">
        <f>K315+K314</f>
        <v>0</v>
      </c>
    </row>
    <row r="317" spans="1:11" x14ac:dyDescent="0.25">
      <c r="B317" s="397"/>
      <c r="E317" s="414"/>
      <c r="G317" s="414"/>
      <c r="H317" s="414"/>
      <c r="I317" s="430"/>
    </row>
    <row r="318" spans="1:11" x14ac:dyDescent="0.25">
      <c r="A318" s="679" t="s">
        <v>13</v>
      </c>
      <c r="B318" s="682">
        <f>B311+1</f>
        <v>45919</v>
      </c>
      <c r="C318" s="398" t="s">
        <v>9</v>
      </c>
      <c r="D318" s="399">
        <v>40</v>
      </c>
      <c r="E318" s="573">
        <v>9.5</v>
      </c>
      <c r="F318" s="400">
        <v>1</v>
      </c>
      <c r="G318" s="401">
        <f>IF(E318&lt;8,Factors!F$18,IF(E318&lt;9,Factors!F$19,IF(E318&lt;10,Factors!F$20,IF(E318&lt;11,Factors!F$21,IF(E318&lt;12,Factors!F$22,IF(E318&lt;13,Factors!F$23))))))</f>
        <v>1.034805890227577</v>
      </c>
      <c r="H318" s="402">
        <f>D318*F318*G318</f>
        <v>41.392235609103082</v>
      </c>
      <c r="I318" s="403"/>
      <c r="J318" s="404"/>
      <c r="K318" s="405"/>
    </row>
    <row r="319" spans="1:11" x14ac:dyDescent="0.25">
      <c r="A319" s="680"/>
      <c r="B319" s="683"/>
      <c r="C319" s="406" t="s">
        <v>174</v>
      </c>
      <c r="D319" s="363">
        <v>10</v>
      </c>
      <c r="E319" s="414">
        <v>8.8000000000000007</v>
      </c>
      <c r="F319" s="407">
        <f>7/8</f>
        <v>0.875</v>
      </c>
      <c r="G319" s="408">
        <f>IF(E319&lt;8,Factors!H$18,IF(E319&lt;9,Factors!H$19,IF(E319&lt;10,Factors!H$20,IF(E319&lt;11,Factors!H$21,IF(E319&lt;12,Factors!H$22,IF(E319&lt;13,Factors!H$23))))))</f>
        <v>1.1104477611940298</v>
      </c>
      <c r="H319" s="409">
        <f>D319*F319*G319</f>
        <v>9.7164179104477597</v>
      </c>
      <c r="I319" s="410"/>
      <c r="J319" s="411"/>
      <c r="K319" s="412"/>
    </row>
    <row r="320" spans="1:11" x14ac:dyDescent="0.25">
      <c r="A320" s="680" t="s">
        <v>94</v>
      </c>
      <c r="B320" s="683"/>
      <c r="C320" s="406" t="s">
        <v>43</v>
      </c>
      <c r="D320" s="363">
        <v>13</v>
      </c>
      <c r="E320" s="414">
        <v>8.1999999999999993</v>
      </c>
      <c r="F320" s="407">
        <f>7/8</f>
        <v>0.875</v>
      </c>
      <c r="G320" s="408">
        <f>IF(E320&lt;8,Factors!H$18,IF(E320&lt;9,Factors!H$19,IF(E320&lt;10,Factors!H$20,IF(E320&lt;11,Factors!H$21,IF(E320&lt;12,Factors!H$22,IF(E320&lt;13,Factors!H$23))))))</f>
        <v>1.1104477611940298</v>
      </c>
      <c r="H320" s="409">
        <f>D320*F320*G320</f>
        <v>12.631343283582089</v>
      </c>
      <c r="I320" s="406"/>
      <c r="J320" s="411"/>
      <c r="K320" s="412"/>
    </row>
    <row r="321" spans="1:11" x14ac:dyDescent="0.25">
      <c r="A321" s="680"/>
      <c r="B321" s="683"/>
      <c r="C321" s="406" t="s">
        <v>166</v>
      </c>
      <c r="D321" s="363">
        <v>13</v>
      </c>
      <c r="E321" s="414">
        <v>7.3</v>
      </c>
      <c r="F321" s="407">
        <v>0.88</v>
      </c>
      <c r="G321" s="408">
        <f>IF(E321&lt;8,Factors!H$18,IF(E321&lt;9,Factors!H$19,IF(E321&lt;10,Factors!H$20,IF(E321&lt;11,Factors!H$21,IF(E321&lt;12,Factors!H$22,IF(E321&lt;13,Factors!H$23))))))</f>
        <v>1.3238434163701067</v>
      </c>
      <c r="H321" s="409">
        <f>D321*F321*G321</f>
        <v>15.14476868327402</v>
      </c>
      <c r="I321" s="410"/>
      <c r="J321" s="411"/>
      <c r="K321" s="412"/>
    </row>
    <row r="322" spans="1:11" ht="15.75" thickBot="1" x14ac:dyDescent="0.3">
      <c r="A322" s="680"/>
      <c r="B322" s="683"/>
      <c r="C322" s="415" t="s">
        <v>158</v>
      </c>
      <c r="D322" s="416">
        <v>16</v>
      </c>
      <c r="E322" s="574">
        <v>7.3</v>
      </c>
      <c r="F322" s="618">
        <v>0.88</v>
      </c>
      <c r="G322" s="418">
        <f>IF(E322&lt;8,Factors!H$18,IF(E322&lt;9,Factors!H$19,IF(E322&lt;10,Factors!H$20,IF(E322&lt;11,Factors!H$21,IF(E322&lt;12,Factors!H$22,IF(E322&lt;13,Factors!H$23))))))</f>
        <v>1.3238434163701067</v>
      </c>
      <c r="H322" s="419">
        <f>D322*F322*G322</f>
        <v>18.639715302491101</v>
      </c>
      <c r="I322" s="420"/>
      <c r="J322" s="421"/>
      <c r="K322" s="421"/>
    </row>
    <row r="323" spans="1:11" ht="15.75" thickTop="1" x14ac:dyDescent="0.25">
      <c r="A323" s="681"/>
      <c r="B323" s="684"/>
      <c r="C323" s="422"/>
      <c r="D323" s="423"/>
      <c r="E323" s="425"/>
      <c r="F323" s="424"/>
      <c r="G323" s="425"/>
      <c r="H323" s="426">
        <f>SUM(H318:H322)</f>
        <v>97.524480788898046</v>
      </c>
      <c r="I323" s="427">
        <f>AG9</f>
        <v>1.1111111111111112</v>
      </c>
      <c r="J323" s="428">
        <f>H323*I323*J$13+K323</f>
        <v>139.24328645970442</v>
      </c>
      <c r="K323" s="429">
        <f>K322+K321</f>
        <v>0</v>
      </c>
    </row>
    <row r="324" spans="1:11" x14ac:dyDescent="0.25">
      <c r="B324" s="397"/>
      <c r="E324" s="414"/>
    </row>
    <row r="325" spans="1:11" x14ac:dyDescent="0.25">
      <c r="A325" s="680" t="s">
        <v>14</v>
      </c>
      <c r="B325" s="682">
        <f>B318+1</f>
        <v>45920</v>
      </c>
      <c r="C325" s="398" t="s">
        <v>9</v>
      </c>
      <c r="D325" s="399">
        <v>46</v>
      </c>
      <c r="E325" s="573">
        <v>10.9</v>
      </c>
      <c r="F325" s="400">
        <v>1</v>
      </c>
      <c r="G325" s="401">
        <f>IF(E325&lt;8,Factors!F$18,IF(E325&lt;9,Factors!F$19,IF(E325&lt;10,Factors!F$20,IF(E325&lt;11,Factors!F$21,IF(E325&lt;12,Factors!F$22,IF(E325&lt;13,Factors!F$23))))))</f>
        <v>1.0104575163398692</v>
      </c>
      <c r="H325" s="402">
        <f>D325*F325*G325</f>
        <v>46.481045751633985</v>
      </c>
      <c r="I325" s="403"/>
      <c r="J325" s="404"/>
      <c r="K325" s="405"/>
    </row>
    <row r="326" spans="1:11" x14ac:dyDescent="0.25">
      <c r="A326" s="680"/>
      <c r="B326" s="683"/>
      <c r="C326" s="406" t="s">
        <v>174</v>
      </c>
      <c r="D326" s="363">
        <v>14</v>
      </c>
      <c r="E326" s="414">
        <v>11.4</v>
      </c>
      <c r="F326" s="407">
        <v>1</v>
      </c>
      <c r="G326" s="408">
        <f>IF(E326&lt;8,Factors!H$18,IF(E326&lt;9,Factors!H$19,IF(E326&lt;10,Factors!H$20,IF(E326&lt;11,Factors!H$21,IF(E326&lt;12,Factors!H$22,IF(E326&lt;13,Factors!H$23))))))</f>
        <v>1.0276243093922652</v>
      </c>
      <c r="H326" s="409">
        <f>D326*F326*G326</f>
        <v>14.386740331491714</v>
      </c>
      <c r="I326" s="410"/>
      <c r="J326" s="411"/>
      <c r="K326" s="412"/>
    </row>
    <row r="327" spans="1:11" x14ac:dyDescent="0.25">
      <c r="A327" s="680" t="s">
        <v>94</v>
      </c>
      <c r="B327" s="683"/>
      <c r="C327" s="406" t="s">
        <v>43</v>
      </c>
      <c r="D327" s="363">
        <v>26</v>
      </c>
      <c r="E327" s="414">
        <v>7.8</v>
      </c>
      <c r="F327" s="407">
        <v>1</v>
      </c>
      <c r="G327" s="408">
        <f>IF(E327&lt;8,Factors!H$18,IF(E327&lt;9,Factors!H$19,IF(E327&lt;10,Factors!H$20,IF(E327&lt;11,Factors!H$21,IF(E327&lt;12,Factors!H$22,IF(E327&lt;13,Factors!H$23))))))</f>
        <v>1.3238434163701067</v>
      </c>
      <c r="H327" s="409">
        <f>D327*F327*G327</f>
        <v>34.419928825622776</v>
      </c>
      <c r="I327" s="406"/>
      <c r="J327" s="411"/>
      <c r="K327" s="412"/>
    </row>
    <row r="328" spans="1:11" x14ac:dyDescent="0.25">
      <c r="A328" s="680"/>
      <c r="B328" s="683"/>
      <c r="C328" s="406" t="s">
        <v>166</v>
      </c>
      <c r="D328" s="444">
        <v>4</v>
      </c>
      <c r="E328" s="578">
        <v>8</v>
      </c>
      <c r="F328" s="576">
        <v>1</v>
      </c>
      <c r="G328" s="408">
        <f>IF(E328&lt;8,Factors!H$18,IF(E328&lt;9,Factors!H$19,IF(E328&lt;10,Factors!H$20,IF(E328&lt;11,Factors!H$21,IF(E328&lt;12,Factors!H$22,IF(E328&lt;13,Factors!H$23))))))</f>
        <v>1.1104477611940298</v>
      </c>
      <c r="H328" s="409">
        <f>D328*F328*G328</f>
        <v>4.4417910447761191</v>
      </c>
      <c r="I328" s="410"/>
      <c r="J328" s="411"/>
      <c r="K328" s="412"/>
    </row>
    <row r="329" spans="1:11" ht="15.75" thickBot="1" x14ac:dyDescent="0.3">
      <c r="A329" s="680"/>
      <c r="B329" s="683"/>
      <c r="C329" s="415" t="s">
        <v>158</v>
      </c>
      <c r="D329" s="416">
        <v>27</v>
      </c>
      <c r="E329" s="574">
        <v>7.8</v>
      </c>
      <c r="F329" s="417">
        <f>29/30</f>
        <v>0.96666666666666667</v>
      </c>
      <c r="G329" s="418">
        <f>IF(E329&lt;8,Factors!H$18,IF(E329&lt;9,Factors!H$19,IF(E329&lt;10,Factors!H$20,IF(E329&lt;11,Factors!H$21,IF(E329&lt;12,Factors!H$22,IF(E329&lt;13,Factors!H$23))))))</f>
        <v>1.3238434163701067</v>
      </c>
      <c r="H329" s="419">
        <f>D329*F329*G329</f>
        <v>34.55231316725979</v>
      </c>
      <c r="I329" s="420"/>
      <c r="J329" s="421"/>
      <c r="K329" s="421"/>
    </row>
    <row r="330" spans="1:11" ht="15.75" thickTop="1" x14ac:dyDescent="0.25">
      <c r="A330" s="681"/>
      <c r="B330" s="684"/>
      <c r="C330" s="422"/>
      <c r="D330" s="423"/>
      <c r="E330" s="425"/>
      <c r="F330" s="424"/>
      <c r="G330" s="425"/>
      <c r="H330" s="426">
        <f>SUM(H325:H329)</f>
        <v>134.28181912078441</v>
      </c>
      <c r="I330" s="427">
        <f>AG9</f>
        <v>1.1111111111111112</v>
      </c>
      <c r="J330" s="428">
        <f>H330*I330*J$13+K330</f>
        <v>191.72459730023107</v>
      </c>
      <c r="K330" s="429">
        <f>K329+K328</f>
        <v>0</v>
      </c>
    </row>
    <row r="331" spans="1:11" x14ac:dyDescent="0.25">
      <c r="B331" s="397"/>
      <c r="E331" s="414"/>
      <c r="J331" s="430"/>
    </row>
    <row r="332" spans="1:11" x14ac:dyDescent="0.25">
      <c r="A332" s="679" t="s">
        <v>15</v>
      </c>
      <c r="B332" s="682">
        <f>B325+1</f>
        <v>45921</v>
      </c>
      <c r="C332" s="398" t="s">
        <v>9</v>
      </c>
      <c r="D332" s="399">
        <v>48</v>
      </c>
      <c r="E332" s="573">
        <v>9.4</v>
      </c>
      <c r="F332" s="400">
        <v>1</v>
      </c>
      <c r="G332" s="401">
        <f>IF(E332&lt;8,Factors!F$18,IF(E332&lt;9,Factors!F$19,IF(E332&lt;10,Factors!F$20,IF(E332&lt;11,Factors!F$21,IF(E332&lt;12,Factors!F$22,IF(E332&lt;13,Factors!F$23))))))</f>
        <v>1.034805890227577</v>
      </c>
      <c r="H332" s="402">
        <f>D332*F332*G332</f>
        <v>49.670682730923694</v>
      </c>
      <c r="I332" s="403"/>
      <c r="J332" s="404"/>
      <c r="K332" s="405"/>
    </row>
    <row r="333" spans="1:11" x14ac:dyDescent="0.25">
      <c r="A333" s="680"/>
      <c r="B333" s="683"/>
      <c r="C333" s="406" t="s">
        <v>174</v>
      </c>
      <c r="D333" s="363">
        <v>11</v>
      </c>
      <c r="E333" s="414">
        <v>8.9</v>
      </c>
      <c r="F333" s="407">
        <v>1</v>
      </c>
      <c r="G333" s="408">
        <f>IF(E333&lt;8,Factors!H$18,IF(E333&lt;9,Factors!H$19,IF(E333&lt;10,Factors!H$20,IF(E333&lt;11,Factors!H$21,IF(E333&lt;12,Factors!H$22,IF(E333&lt;13,Factors!H$23))))))</f>
        <v>1.1104477611940298</v>
      </c>
      <c r="H333" s="409">
        <f>D333*F333*G333</f>
        <v>12.214925373134328</v>
      </c>
      <c r="I333" s="410"/>
      <c r="J333" s="411"/>
      <c r="K333" s="412"/>
    </row>
    <row r="334" spans="1:11" x14ac:dyDescent="0.25">
      <c r="A334" s="680" t="s">
        <v>94</v>
      </c>
      <c r="B334" s="683"/>
      <c r="C334" s="406" t="s">
        <v>43</v>
      </c>
      <c r="D334" s="363">
        <v>15</v>
      </c>
      <c r="E334" s="414">
        <v>7.9</v>
      </c>
      <c r="F334" s="407">
        <v>1</v>
      </c>
      <c r="G334" s="408">
        <f>IF(E334&lt;8,Factors!H$18,IF(E334&lt;9,Factors!H$19,IF(E334&lt;10,Factors!H$20,IF(E334&lt;11,Factors!H$21,IF(E334&lt;12,Factors!H$22,IF(E334&lt;13,Factors!H$23))))))</f>
        <v>1.3238434163701067</v>
      </c>
      <c r="H334" s="409">
        <f>D334*F334*G334</f>
        <v>19.857651245551601</v>
      </c>
      <c r="I334" s="406"/>
      <c r="J334" s="411"/>
      <c r="K334" s="412"/>
    </row>
    <row r="335" spans="1:11" x14ac:dyDescent="0.25">
      <c r="A335" s="680"/>
      <c r="B335" s="683"/>
      <c r="C335" s="406" t="s">
        <v>166</v>
      </c>
      <c r="D335" s="444">
        <v>4</v>
      </c>
      <c r="E335" s="578">
        <v>8</v>
      </c>
      <c r="F335" s="576">
        <v>1</v>
      </c>
      <c r="G335" s="408">
        <f>IF(E335&lt;8,Factors!H$18,IF(E335&lt;9,Factors!H$19,IF(E335&lt;10,Factors!H$20,IF(E335&lt;11,Factors!H$21,IF(E335&lt;12,Factors!H$22,IF(E335&lt;13,Factors!H$23))))))</f>
        <v>1.1104477611940298</v>
      </c>
      <c r="H335" s="409">
        <f>D335*F335*G335</f>
        <v>4.4417910447761191</v>
      </c>
      <c r="I335" s="410"/>
      <c r="J335" s="411"/>
      <c r="K335" s="412"/>
    </row>
    <row r="336" spans="1:11" ht="15.75" thickBot="1" x14ac:dyDescent="0.3">
      <c r="A336" s="680"/>
      <c r="B336" s="683"/>
      <c r="C336" s="415" t="s">
        <v>158</v>
      </c>
      <c r="D336" s="617">
        <v>0</v>
      </c>
      <c r="E336" s="624">
        <v>0</v>
      </c>
      <c r="F336" s="618">
        <v>0</v>
      </c>
      <c r="G336" s="418">
        <f>IF(E336&lt;8,Factors!H$18,IF(E336&lt;9,Factors!H$19,IF(E336&lt;10,Factors!H$20,IF(E336&lt;11,Factors!H$21,IF(E336&lt;12,Factors!H$22,IF(E336&lt;13,Factors!H$23))))))</f>
        <v>1.3238434163701067</v>
      </c>
      <c r="H336" s="419">
        <f>D336*F336*G336</f>
        <v>0</v>
      </c>
      <c r="I336" s="420"/>
      <c r="J336" s="421"/>
      <c r="K336" s="421"/>
    </row>
    <row r="337" spans="1:11" ht="15.75" thickTop="1" x14ac:dyDescent="0.25">
      <c r="A337" s="681"/>
      <c r="B337" s="684"/>
      <c r="C337" s="422"/>
      <c r="D337" s="423"/>
      <c r="E337" s="425"/>
      <c r="F337" s="424"/>
      <c r="G337" s="425"/>
      <c r="H337" s="426">
        <f>SUM(H332:H336)</f>
        <v>86.18505039438574</v>
      </c>
      <c r="I337" s="427">
        <f>AG9</f>
        <v>1.1111111111111112</v>
      </c>
      <c r="J337" s="428">
        <f>H337*I337*J$13+K337</f>
        <v>123.05309972976187</v>
      </c>
      <c r="K337" s="429">
        <f>K336+K335</f>
        <v>0</v>
      </c>
    </row>
    <row r="338" spans="1:11" x14ac:dyDescent="0.25">
      <c r="B338" s="397"/>
      <c r="E338" s="414"/>
      <c r="J338" s="430"/>
    </row>
    <row r="339" spans="1:11" x14ac:dyDescent="0.25">
      <c r="A339" s="679" t="s">
        <v>7</v>
      </c>
      <c r="B339" s="682">
        <f>B332+1</f>
        <v>45922</v>
      </c>
      <c r="C339" s="398" t="s">
        <v>9</v>
      </c>
      <c r="D339" s="399">
        <v>39</v>
      </c>
      <c r="E339" s="573">
        <v>9.9</v>
      </c>
      <c r="F339" s="400">
        <f>11/12</f>
        <v>0.91666666666666663</v>
      </c>
      <c r="G339" s="401">
        <f>IF(E339&lt;8,Factors!F$18,IF(E339&lt;9,Factors!F$19,IF(E339&lt;10,Factors!F$20,IF(E339&lt;11,Factors!F$21,IF(E339&lt;12,Factors!F$22,IF(E339&lt;13,Factors!F$23))))))</f>
        <v>1.034805890227577</v>
      </c>
      <c r="H339" s="402">
        <f>D339*F339*G339</f>
        <v>36.994310575635879</v>
      </c>
      <c r="I339" s="403"/>
      <c r="J339" s="404"/>
      <c r="K339" s="405"/>
    </row>
    <row r="340" spans="1:11" x14ac:dyDescent="0.25">
      <c r="A340" s="680"/>
      <c r="B340" s="683"/>
      <c r="C340" s="406" t="s">
        <v>174</v>
      </c>
      <c r="D340" s="363">
        <v>9</v>
      </c>
      <c r="E340" s="414">
        <v>8</v>
      </c>
      <c r="F340" s="576">
        <v>0.92</v>
      </c>
      <c r="G340" s="408">
        <f>IF(E340&lt;8,Factors!H$18,IF(E340&lt;9,Factors!H$19,IF(E340&lt;10,Factors!H$20,IF(E340&lt;11,Factors!H$21,IF(E340&lt;12,Factors!H$22,IF(E340&lt;13,Factors!H$23))))))</f>
        <v>1.1104477611940298</v>
      </c>
      <c r="H340" s="409">
        <f>D340*F340*G340</f>
        <v>9.1945074626865679</v>
      </c>
      <c r="I340" s="410"/>
      <c r="J340" s="411"/>
      <c r="K340" s="412"/>
    </row>
    <row r="341" spans="1:11" x14ac:dyDescent="0.25">
      <c r="A341" s="680" t="s">
        <v>94</v>
      </c>
      <c r="B341" s="683"/>
      <c r="C341" s="406" t="s">
        <v>43</v>
      </c>
      <c r="D341" s="363">
        <v>10</v>
      </c>
      <c r="E341" s="414">
        <v>8.3000000000000007</v>
      </c>
      <c r="F341" s="407">
        <f>2/2</f>
        <v>1</v>
      </c>
      <c r="G341" s="408">
        <f>IF(E341&lt;8,Factors!H$18,IF(E341&lt;9,Factors!H$19,IF(E341&lt;10,Factors!H$20,IF(E341&lt;11,Factors!H$21,IF(E341&lt;12,Factors!H$22,IF(E341&lt;13,Factors!H$23))))))</f>
        <v>1.1104477611940298</v>
      </c>
      <c r="H341" s="409">
        <f>D341*F341*G341</f>
        <v>11.104477611940297</v>
      </c>
      <c r="I341" s="406"/>
      <c r="J341" s="411"/>
      <c r="K341" s="412"/>
    </row>
    <row r="342" spans="1:11" x14ac:dyDescent="0.25">
      <c r="A342" s="680"/>
      <c r="B342" s="683"/>
      <c r="C342" s="406" t="s">
        <v>166</v>
      </c>
      <c r="D342" s="363">
        <v>9</v>
      </c>
      <c r="E342" s="414">
        <v>7.8</v>
      </c>
      <c r="F342" s="407">
        <f>1/1</f>
        <v>1</v>
      </c>
      <c r="G342" s="408">
        <f>IF(E342&lt;8,Factors!H$18,IF(E342&lt;9,Factors!H$19,IF(E342&lt;10,Factors!H$20,IF(E342&lt;11,Factors!H$21,IF(E342&lt;12,Factors!H$22,IF(E342&lt;13,Factors!H$23))))))</f>
        <v>1.3238434163701067</v>
      </c>
      <c r="H342" s="409">
        <f>D342*F342*G342</f>
        <v>11.91459074733096</v>
      </c>
      <c r="I342" s="410"/>
      <c r="J342" s="411"/>
      <c r="K342" s="412"/>
    </row>
    <row r="343" spans="1:11" ht="15.75" thickBot="1" x14ac:dyDescent="0.3">
      <c r="A343" s="680"/>
      <c r="B343" s="683"/>
      <c r="C343" s="415" t="s">
        <v>158</v>
      </c>
      <c r="D343" s="617">
        <v>16</v>
      </c>
      <c r="E343" s="574">
        <v>7.8</v>
      </c>
      <c r="F343" s="417">
        <f>8/8</f>
        <v>1</v>
      </c>
      <c r="G343" s="418">
        <f>IF(E343&lt;8,Factors!H$18,IF(E343&lt;9,Factors!H$19,IF(E343&lt;10,Factors!H$20,IF(E343&lt;11,Factors!H$21,IF(E343&lt;12,Factors!H$22,IF(E343&lt;13,Factors!H$23))))))</f>
        <v>1.3238434163701067</v>
      </c>
      <c r="H343" s="419">
        <f>D343*F343*G343</f>
        <v>21.181494661921707</v>
      </c>
      <c r="I343" s="420"/>
      <c r="J343" s="421"/>
      <c r="K343" s="421"/>
    </row>
    <row r="344" spans="1:11" ht="15.75" thickTop="1" x14ac:dyDescent="0.25">
      <c r="A344" s="681"/>
      <c r="B344" s="684"/>
      <c r="C344" s="422"/>
      <c r="D344" s="423"/>
      <c r="E344" s="425"/>
      <c r="F344" s="424"/>
      <c r="G344" s="425"/>
      <c r="H344" s="426">
        <f>SUM(H339:H343)</f>
        <v>90.389381059515401</v>
      </c>
      <c r="I344" s="427">
        <f>AG9</f>
        <v>1.1111111111111112</v>
      </c>
      <c r="J344" s="428">
        <f>H344*I344*J$13+K344</f>
        <v>129.05594962386365</v>
      </c>
      <c r="K344" s="429">
        <f>K343+K342</f>
        <v>0</v>
      </c>
    </row>
    <row r="345" spans="1:11" x14ac:dyDescent="0.25">
      <c r="B345" s="397"/>
      <c r="E345" s="414"/>
    </row>
    <row r="346" spans="1:11" x14ac:dyDescent="0.25">
      <c r="A346" s="679" t="s">
        <v>94</v>
      </c>
      <c r="B346" s="682">
        <f>B339+1</f>
        <v>45923</v>
      </c>
      <c r="C346" s="398" t="s">
        <v>9</v>
      </c>
      <c r="D346" s="399">
        <v>41</v>
      </c>
      <c r="E346" s="573">
        <v>7.4</v>
      </c>
      <c r="F346" s="400">
        <f>18/19</f>
        <v>0.94736842105263153</v>
      </c>
      <c r="G346" s="401">
        <f>IF(E346&lt;8,Factors!F$18,IF(E346&lt;9,Factors!F$19,IF(E346&lt;10,Factors!F$20,IF(E346&lt;11,Factors!F$21,IF(E346&lt;12,Factors!F$22,IF(E346&lt;13,Factors!F$23))))))</f>
        <v>1.2308917197452229</v>
      </c>
      <c r="H346" s="402">
        <f>D346*F346*G346</f>
        <v>47.81042574589339</v>
      </c>
      <c r="I346" s="403"/>
      <c r="J346" s="404"/>
      <c r="K346" s="405"/>
    </row>
    <row r="347" spans="1:11" x14ac:dyDescent="0.25">
      <c r="A347" s="680"/>
      <c r="B347" s="683"/>
      <c r="C347" s="406" t="s">
        <v>174</v>
      </c>
      <c r="D347" s="363">
        <v>6</v>
      </c>
      <c r="E347" s="414">
        <v>8.1999999999999993</v>
      </c>
      <c r="F347" s="407">
        <f>2/2</f>
        <v>1</v>
      </c>
      <c r="G347" s="408">
        <f>IF(E347&lt;8,Factors!H$18,IF(E347&lt;9,Factors!H$19,IF(E347&lt;10,Factors!H$20,IF(E347&lt;11,Factors!H$21,IF(E347&lt;12,Factors!H$22,IF(E347&lt;13,Factors!H$23))))))</f>
        <v>1.1104477611940298</v>
      </c>
      <c r="H347" s="409">
        <f>D347*F347*G347</f>
        <v>6.6626865671641786</v>
      </c>
      <c r="I347" s="410"/>
      <c r="J347" s="411"/>
      <c r="K347" s="412"/>
    </row>
    <row r="348" spans="1:11" x14ac:dyDescent="0.25">
      <c r="A348" s="680" t="s">
        <v>94</v>
      </c>
      <c r="B348" s="683"/>
      <c r="C348" s="406" t="s">
        <v>43</v>
      </c>
      <c r="D348" s="363">
        <v>9</v>
      </c>
      <c r="E348" s="414">
        <v>8.3000000000000007</v>
      </c>
      <c r="F348" s="407">
        <f>6/6</f>
        <v>1</v>
      </c>
      <c r="G348" s="408">
        <f>IF(E348&lt;8,Factors!H$18,IF(E348&lt;9,Factors!H$19,IF(E348&lt;10,Factors!H$20,IF(E348&lt;11,Factors!H$21,IF(E348&lt;12,Factors!H$22,IF(E348&lt;13,Factors!H$23))))))</f>
        <v>1.1104477611940298</v>
      </c>
      <c r="H348" s="409">
        <f>D348*F348*G348</f>
        <v>9.9940298507462675</v>
      </c>
      <c r="I348" s="406"/>
      <c r="J348" s="411"/>
      <c r="K348" s="412"/>
    </row>
    <row r="349" spans="1:11" x14ac:dyDescent="0.25">
      <c r="A349" s="680"/>
      <c r="B349" s="683"/>
      <c r="C349" s="406" t="s">
        <v>166</v>
      </c>
      <c r="D349" s="363">
        <v>13</v>
      </c>
      <c r="E349" s="414">
        <v>8.1</v>
      </c>
      <c r="F349" s="576">
        <v>1</v>
      </c>
      <c r="G349" s="408">
        <f>IF(E349&lt;8,Factors!H$18,IF(E349&lt;9,Factors!H$19,IF(E349&lt;10,Factors!H$20,IF(E349&lt;11,Factors!H$21,IF(E349&lt;12,Factors!H$22,IF(E349&lt;13,Factors!H$23))))))</f>
        <v>1.1104477611940298</v>
      </c>
      <c r="H349" s="409">
        <f>D349*F349*G349</f>
        <v>14.435820895522387</v>
      </c>
      <c r="I349" s="410"/>
      <c r="J349" s="411"/>
      <c r="K349" s="412"/>
    </row>
    <row r="350" spans="1:11" ht="15.75" thickBot="1" x14ac:dyDescent="0.3">
      <c r="A350" s="680"/>
      <c r="B350" s="683"/>
      <c r="C350" s="415" t="s">
        <v>158</v>
      </c>
      <c r="D350" s="416">
        <v>10</v>
      </c>
      <c r="E350" s="574">
        <v>8.3000000000000007</v>
      </c>
      <c r="F350" s="618">
        <v>1</v>
      </c>
      <c r="G350" s="418">
        <f>IF(E350&lt;8,Factors!H$18,IF(E350&lt;9,Factors!H$19,IF(E350&lt;10,Factors!H$20,IF(E350&lt;11,Factors!H$21,IF(E350&lt;12,Factors!H$22,IF(E350&lt;13,Factors!H$23))))))</f>
        <v>1.1104477611940298</v>
      </c>
      <c r="H350" s="419">
        <f>D350*F350*G350</f>
        <v>11.104477611940297</v>
      </c>
      <c r="I350" s="420"/>
      <c r="J350" s="421"/>
      <c r="K350" s="421"/>
    </row>
    <row r="351" spans="1:11" ht="15.75" thickTop="1" x14ac:dyDescent="0.25">
      <c r="A351" s="681"/>
      <c r="B351" s="684"/>
      <c r="C351" s="422"/>
      <c r="D351" s="423"/>
      <c r="E351" s="425"/>
      <c r="F351" s="424"/>
      <c r="G351" s="425"/>
      <c r="H351" s="426">
        <f>SUM(H346:H350)</f>
        <v>90.007440671266522</v>
      </c>
      <c r="I351" s="427">
        <v>1.111</v>
      </c>
      <c r="J351" s="428">
        <f>H351*I351*J$13+K351</f>
        <v>128.49777256272358</v>
      </c>
      <c r="K351" s="429">
        <f>K350+K349</f>
        <v>0</v>
      </c>
    </row>
    <row r="352" spans="1:11" x14ac:dyDescent="0.25">
      <c r="B352" s="397"/>
      <c r="E352" s="414"/>
      <c r="F352" s="407"/>
      <c r="J352" s="430"/>
    </row>
    <row r="353" spans="1:11" x14ac:dyDescent="0.25">
      <c r="A353" s="679" t="s">
        <v>11</v>
      </c>
      <c r="B353" s="682">
        <f>B346+1</f>
        <v>45924</v>
      </c>
      <c r="C353" s="398" t="s">
        <v>9</v>
      </c>
      <c r="D353" s="399">
        <v>43</v>
      </c>
      <c r="E353" s="573">
        <v>7.1</v>
      </c>
      <c r="F353" s="400">
        <f>9/9</f>
        <v>1</v>
      </c>
      <c r="G353" s="401">
        <f>IF(E353&lt;8,Factors!F$18,IF(E353&lt;9,Factors!F$19,IF(E353&lt;10,Factors!F$20,IF(E353&lt;11,Factors!F$21,IF(E353&lt;12,Factors!F$22,IF(E353&lt;13,Factors!F$23))))))</f>
        <v>1.2308917197452229</v>
      </c>
      <c r="H353" s="402">
        <f>D353*F353*G353</f>
        <v>52.928343949044589</v>
      </c>
      <c r="I353" s="403"/>
      <c r="J353" s="404"/>
      <c r="K353" s="405"/>
    </row>
    <row r="354" spans="1:11" x14ac:dyDescent="0.25">
      <c r="A354" s="680"/>
      <c r="B354" s="683"/>
      <c r="C354" s="406" t="s">
        <v>174</v>
      </c>
      <c r="D354" s="363">
        <v>10</v>
      </c>
      <c r="E354" s="414">
        <v>6.8</v>
      </c>
      <c r="F354" s="407">
        <f>2/2</f>
        <v>1</v>
      </c>
      <c r="G354" s="408">
        <f>IF(E354&lt;8,Factors!H$18,IF(E354&lt;9,Factors!H$19,IF(E354&lt;10,Factors!H$20,IF(E354&lt;11,Factors!H$21,IF(E354&lt;12,Factors!H$22,IF(E354&lt;13,Factors!H$23))))))</f>
        <v>1.3238434163701067</v>
      </c>
      <c r="H354" s="409">
        <f>D354*F354*G354</f>
        <v>13.238434163701067</v>
      </c>
      <c r="I354" s="410"/>
      <c r="J354" s="411"/>
      <c r="K354" s="412"/>
    </row>
    <row r="355" spans="1:11" x14ac:dyDescent="0.25">
      <c r="A355" s="680" t="s">
        <v>94</v>
      </c>
      <c r="B355" s="683"/>
      <c r="C355" s="406" t="s">
        <v>43</v>
      </c>
      <c r="D355" s="363">
        <v>17</v>
      </c>
      <c r="E355" s="414">
        <v>8.4</v>
      </c>
      <c r="F355" s="407">
        <f>9/11</f>
        <v>0.81818181818181823</v>
      </c>
      <c r="G355" s="408">
        <f>IF(E355&lt;8,Factors!H$18,IF(E355&lt;9,Factors!H$19,IF(E355&lt;10,Factors!H$20,IF(E355&lt;11,Factors!H$21,IF(E355&lt;12,Factors!H$22,IF(E355&lt;13,Factors!H$23))))))</f>
        <v>1.1104477611940298</v>
      </c>
      <c r="H355" s="409">
        <f>D355*F355*G355</f>
        <v>15.445318860244234</v>
      </c>
      <c r="I355" s="406"/>
      <c r="J355" s="411"/>
      <c r="K355" s="412"/>
    </row>
    <row r="356" spans="1:11" x14ac:dyDescent="0.25">
      <c r="A356" s="680"/>
      <c r="B356" s="683"/>
      <c r="C356" s="406" t="s">
        <v>166</v>
      </c>
      <c r="D356" s="363">
        <v>11</v>
      </c>
      <c r="E356" s="414">
        <v>6.2</v>
      </c>
      <c r="F356" s="407">
        <f>1/1</f>
        <v>1</v>
      </c>
      <c r="G356" s="408">
        <f>IF(E356&lt;8,Factors!H$18,IF(E356&lt;9,Factors!H$19,IF(E356&lt;10,Factors!H$20,IF(E356&lt;11,Factors!H$21,IF(E356&lt;12,Factors!H$22,IF(E356&lt;13,Factors!H$23))))))</f>
        <v>1.3238434163701067</v>
      </c>
      <c r="H356" s="409">
        <f>D356*F356*G356</f>
        <v>14.562277580071173</v>
      </c>
      <c r="I356" s="410"/>
      <c r="J356" s="411"/>
      <c r="K356" s="412"/>
    </row>
    <row r="357" spans="1:11" ht="15.75" thickBot="1" x14ac:dyDescent="0.3">
      <c r="A357" s="680"/>
      <c r="B357" s="683"/>
      <c r="C357" s="415" t="s">
        <v>158</v>
      </c>
      <c r="D357" s="416">
        <v>13</v>
      </c>
      <c r="E357" s="574">
        <v>12</v>
      </c>
      <c r="F357" s="417">
        <f>8/8</f>
        <v>1</v>
      </c>
      <c r="G357" s="418">
        <f>IF(E357&lt;8,Factors!H$18,IF(E357&lt;9,Factors!H$19,IF(E357&lt;10,Factors!H$20,IF(E357&lt;11,Factors!H$21,IF(E357&lt;12,Factors!H$22,IF(E357&lt;13,Factors!H$23))))))</f>
        <v>1.2277227722772277</v>
      </c>
      <c r="H357" s="419">
        <f>D357*F357*G357</f>
        <v>15.96039603960396</v>
      </c>
      <c r="I357" s="420"/>
      <c r="J357" s="421"/>
      <c r="K357" s="421"/>
    </row>
    <row r="358" spans="1:11" ht="15.75" thickTop="1" x14ac:dyDescent="0.25">
      <c r="A358" s="681"/>
      <c r="B358" s="684"/>
      <c r="C358" s="422"/>
      <c r="D358" s="423"/>
      <c r="E358" s="425"/>
      <c r="F358" s="424"/>
      <c r="G358" s="425"/>
      <c r="H358" s="426">
        <f>SUM(H353:H357)</f>
        <v>112.13477059266502</v>
      </c>
      <c r="I358" s="427">
        <v>1.111</v>
      </c>
      <c r="J358" s="428">
        <f>H358*I358*J$13+K358</f>
        <v>160.08752321505932</v>
      </c>
      <c r="K358" s="429">
        <f>K357+K356</f>
        <v>0</v>
      </c>
    </row>
    <row r="359" spans="1:11" x14ac:dyDescent="0.25">
      <c r="B359" s="397"/>
      <c r="E359" s="414"/>
    </row>
    <row r="360" spans="1:11" x14ac:dyDescent="0.25">
      <c r="A360" s="679" t="s">
        <v>95</v>
      </c>
      <c r="B360" s="682">
        <f>B353+1</f>
        <v>45925</v>
      </c>
      <c r="C360" s="398" t="s">
        <v>9</v>
      </c>
      <c r="D360" s="399">
        <v>43</v>
      </c>
      <c r="E360" s="573">
        <v>10.5</v>
      </c>
      <c r="F360" s="400">
        <f>26/26</f>
        <v>1</v>
      </c>
      <c r="G360" s="401">
        <f>IF(E360&lt;8,Factors!F$18,IF(E360&lt;9,Factors!F$19,IF(E360&lt;10,Factors!F$20,IF(E360&lt;11,Factors!F$21,IF(E360&lt;12,Factors!F$22,IF(E360&lt;13,Factors!F$23))))))</f>
        <v>1.0104575163398692</v>
      </c>
      <c r="H360" s="402">
        <f>D360*F360*G360</f>
        <v>43.449673202614377</v>
      </c>
      <c r="I360" s="403"/>
      <c r="J360" s="404"/>
      <c r="K360" s="405"/>
    </row>
    <row r="361" spans="1:11" x14ac:dyDescent="0.25">
      <c r="A361" s="680"/>
      <c r="B361" s="683"/>
      <c r="C361" s="406" t="s">
        <v>174</v>
      </c>
      <c r="D361" s="363">
        <v>7</v>
      </c>
      <c r="E361" s="414">
        <v>9.1999999999999993</v>
      </c>
      <c r="F361" s="407">
        <f>6/7</f>
        <v>0.8571428571428571</v>
      </c>
      <c r="G361" s="408">
        <f>IF(E361&lt;8,Factors!H$18,IF(E361&lt;9,Factors!H$19,IF(E361&lt;10,Factors!H$20,IF(E361&lt;11,Factors!H$21,IF(E361&lt;12,Factors!H$22,IF(E361&lt;13,Factors!H$23))))))</f>
        <v>1.024793388429752</v>
      </c>
      <c r="H361" s="409">
        <f>D361*F361*G361</f>
        <v>6.1487603305785115</v>
      </c>
      <c r="I361" s="410"/>
      <c r="J361" s="411"/>
      <c r="K361" s="412"/>
    </row>
    <row r="362" spans="1:11" x14ac:dyDescent="0.25">
      <c r="A362" s="680" t="s">
        <v>94</v>
      </c>
      <c r="B362" s="683"/>
      <c r="C362" s="406" t="s">
        <v>43</v>
      </c>
      <c r="D362" s="363">
        <v>14</v>
      </c>
      <c r="E362" s="414">
        <v>8.1999999999999993</v>
      </c>
      <c r="F362" s="407">
        <f>6/6</f>
        <v>1</v>
      </c>
      <c r="G362" s="408">
        <f>IF(E362&lt;8,Factors!H$18,IF(E362&lt;9,Factors!H$19,IF(E362&lt;10,Factors!H$20,IF(E362&lt;11,Factors!H$21,IF(E362&lt;12,Factors!H$22,IF(E362&lt;13,Factors!H$23))))))</f>
        <v>1.1104477611940298</v>
      </c>
      <c r="H362" s="409">
        <f>D362*F362*G362</f>
        <v>15.546268656716418</v>
      </c>
      <c r="I362" s="406"/>
      <c r="J362" s="411"/>
      <c r="K362" s="412"/>
    </row>
    <row r="363" spans="1:11" x14ac:dyDescent="0.25">
      <c r="A363" s="680"/>
      <c r="B363" s="683"/>
      <c r="C363" s="406" t="s">
        <v>166</v>
      </c>
      <c r="D363" s="363">
        <v>13</v>
      </c>
      <c r="E363" s="414">
        <v>7.2</v>
      </c>
      <c r="F363" s="407">
        <f>6/6</f>
        <v>1</v>
      </c>
      <c r="G363" s="408">
        <f>IF(E363&lt;8,Factors!H$18,IF(E363&lt;9,Factors!H$19,IF(E363&lt;10,Factors!H$20,IF(E363&lt;11,Factors!H$21,IF(E363&lt;12,Factors!H$22,IF(E363&lt;13,Factors!H$23))))))</f>
        <v>1.3238434163701067</v>
      </c>
      <c r="H363" s="409">
        <f>D363*F363*G363</f>
        <v>17.209964412811388</v>
      </c>
      <c r="I363" s="410"/>
      <c r="J363" s="411"/>
      <c r="K363" s="412"/>
    </row>
    <row r="364" spans="1:11" ht="15.75" thickBot="1" x14ac:dyDescent="0.3">
      <c r="A364" s="680"/>
      <c r="B364" s="683"/>
      <c r="C364" s="415" t="s">
        <v>158</v>
      </c>
      <c r="D364" s="416">
        <v>15</v>
      </c>
      <c r="E364" s="574">
        <v>11.5</v>
      </c>
      <c r="F364" s="417">
        <f>11/11</f>
        <v>1</v>
      </c>
      <c r="G364" s="418">
        <f>IF(E364&lt;8,Factors!H$18,IF(E364&lt;9,Factors!H$19,IF(E364&lt;10,Factors!H$20,IF(E364&lt;11,Factors!H$21,IF(E364&lt;12,Factors!H$22,IF(E364&lt;13,Factors!H$23))))))</f>
        <v>1.0276243093922652</v>
      </c>
      <c r="H364" s="419">
        <f>D364*F364*G364</f>
        <v>15.414364640883978</v>
      </c>
      <c r="I364" s="420"/>
      <c r="J364" s="421"/>
      <c r="K364" s="421"/>
    </row>
    <row r="365" spans="1:11" ht="15.75" thickTop="1" x14ac:dyDescent="0.25">
      <c r="A365" s="681"/>
      <c r="B365" s="684"/>
      <c r="C365" s="422"/>
      <c r="D365" s="423"/>
      <c r="E365" s="425"/>
      <c r="F365" s="424"/>
      <c r="G365" s="425"/>
      <c r="H365" s="426">
        <f>SUM(H360:H364)</f>
        <v>97.769031243604672</v>
      </c>
      <c r="I365" s="427">
        <v>1.111</v>
      </c>
      <c r="J365" s="428">
        <f>H365*I365*J$13+K365</f>
        <v>139.57849091946355</v>
      </c>
      <c r="K365" s="429">
        <f>K364+K363</f>
        <v>0</v>
      </c>
    </row>
    <row r="366" spans="1:11" x14ac:dyDescent="0.25">
      <c r="B366" s="397"/>
      <c r="E366" s="414"/>
    </row>
    <row r="367" spans="1:11" x14ac:dyDescent="0.25">
      <c r="A367" s="679" t="s">
        <v>13</v>
      </c>
      <c r="B367" s="682">
        <f>B360+1</f>
        <v>45926</v>
      </c>
      <c r="C367" s="398" t="s">
        <v>9</v>
      </c>
      <c r="D367" s="399">
        <v>83</v>
      </c>
      <c r="E367" s="573">
        <v>9.1</v>
      </c>
      <c r="F367" s="400">
        <f>23/23</f>
        <v>1</v>
      </c>
      <c r="G367" s="401">
        <f>IF(E367&lt;8,Factors!F$18,IF(E367&lt;9,Factors!F$19,IF(E367&lt;10,Factors!F$20,IF(E367&lt;11,Factors!F$21,IF(E367&lt;12,Factors!F$22,IF(E367&lt;13,Factors!F$23))))))</f>
        <v>1.034805890227577</v>
      </c>
      <c r="H367" s="402">
        <f>D367*F367*G367</f>
        <v>85.888888888888886</v>
      </c>
      <c r="I367" s="403"/>
      <c r="J367" s="404"/>
      <c r="K367" s="405"/>
    </row>
    <row r="368" spans="1:11" x14ac:dyDescent="0.25">
      <c r="A368" s="680"/>
      <c r="B368" s="683"/>
      <c r="C368" s="406" t="s">
        <v>174</v>
      </c>
      <c r="D368" s="363">
        <v>13</v>
      </c>
      <c r="E368" s="414">
        <v>9.5</v>
      </c>
      <c r="F368" s="407">
        <f>9/9</f>
        <v>1</v>
      </c>
      <c r="G368" s="408">
        <f>IF(E368&lt;8,Factors!H$18,IF(E368&lt;9,Factors!H$19,IF(E368&lt;10,Factors!H$20,IF(E368&lt;11,Factors!H$21,IF(E368&lt;12,Factors!H$22,IF(E368&lt;13,Factors!H$23))))))</f>
        <v>1.024793388429752</v>
      </c>
      <c r="H368" s="409">
        <f>D368*F368*G368</f>
        <v>13.322314049586776</v>
      </c>
      <c r="I368" s="410"/>
      <c r="J368" s="411"/>
      <c r="K368" s="412"/>
    </row>
    <row r="369" spans="1:11" x14ac:dyDescent="0.25">
      <c r="A369" s="680" t="s">
        <v>94</v>
      </c>
      <c r="B369" s="683"/>
      <c r="C369" s="406" t="s">
        <v>43</v>
      </c>
      <c r="D369" s="363">
        <v>28</v>
      </c>
      <c r="E369" s="414">
        <v>7.7</v>
      </c>
      <c r="F369" s="407">
        <f>8/8</f>
        <v>1</v>
      </c>
      <c r="G369" s="408">
        <f>IF(E369&lt;8,Factors!H$18,IF(E369&lt;9,Factors!H$19,IF(E369&lt;10,Factors!H$20,IF(E369&lt;11,Factors!H$21,IF(E369&lt;12,Factors!H$22,IF(E369&lt;13,Factors!H$23))))))</f>
        <v>1.3238434163701067</v>
      </c>
      <c r="H369" s="409">
        <f>D369*F369*G369</f>
        <v>37.067615658362989</v>
      </c>
      <c r="I369" s="406"/>
      <c r="J369" s="411"/>
      <c r="K369" s="412"/>
    </row>
    <row r="370" spans="1:11" x14ac:dyDescent="0.25">
      <c r="A370" s="680"/>
      <c r="B370" s="683"/>
      <c r="C370" s="406" t="s">
        <v>166</v>
      </c>
      <c r="D370" s="363">
        <v>26</v>
      </c>
      <c r="E370" s="414">
        <v>8.5</v>
      </c>
      <c r="F370" s="407">
        <f>7/7</f>
        <v>1</v>
      </c>
      <c r="G370" s="408">
        <f>IF(E370&lt;8,Factors!H$18,IF(E370&lt;9,Factors!H$19,IF(E370&lt;10,Factors!H$20,IF(E370&lt;11,Factors!H$21,IF(E370&lt;12,Factors!H$22,IF(E370&lt;13,Factors!H$23))))))</f>
        <v>1.1104477611940298</v>
      </c>
      <c r="H370" s="409">
        <f>D370*F370*G370</f>
        <v>28.871641791044773</v>
      </c>
      <c r="I370" s="410"/>
      <c r="J370" s="411"/>
      <c r="K370" s="412"/>
    </row>
    <row r="371" spans="1:11" ht="15.75" thickBot="1" x14ac:dyDescent="0.3">
      <c r="A371" s="680"/>
      <c r="B371" s="683"/>
      <c r="C371" s="415" t="s">
        <v>158</v>
      </c>
      <c r="D371" s="416">
        <v>18</v>
      </c>
      <c r="E371" s="574">
        <v>8.9</v>
      </c>
      <c r="F371" s="417">
        <f>16/16</f>
        <v>1</v>
      </c>
      <c r="G371" s="418">
        <f>IF(E371&lt;8,Factors!H$18,IF(E371&lt;9,Factors!H$19,IF(E371&lt;10,Factors!H$20,IF(E371&lt;11,Factors!H$21,IF(E371&lt;12,Factors!H$22,IF(E371&lt;13,Factors!H$23))))))</f>
        <v>1.1104477611940298</v>
      </c>
      <c r="H371" s="419">
        <f>D371*F371*G371</f>
        <v>19.988059701492535</v>
      </c>
      <c r="I371" s="420"/>
      <c r="J371" s="421"/>
      <c r="K371" s="421"/>
    </row>
    <row r="372" spans="1:11" ht="15.75" thickTop="1" x14ac:dyDescent="0.25">
      <c r="A372" s="681"/>
      <c r="B372" s="684"/>
      <c r="C372" s="422"/>
      <c r="D372" s="423"/>
      <c r="E372" s="425"/>
      <c r="F372" s="424"/>
      <c r="G372" s="425"/>
      <c r="H372" s="426">
        <f>SUM(H367:H371)</f>
        <v>185.13852008937596</v>
      </c>
      <c r="I372" s="427">
        <v>1.111</v>
      </c>
      <c r="J372" s="428">
        <f>H372*I372*J$13+K372</f>
        <v>264.31023112779621</v>
      </c>
      <c r="K372" s="429">
        <f>K371+K370</f>
        <v>0</v>
      </c>
    </row>
    <row r="373" spans="1:11" x14ac:dyDescent="0.25">
      <c r="B373" s="397"/>
      <c r="E373" s="414"/>
      <c r="G373" s="414"/>
      <c r="H373" s="414"/>
      <c r="I373" s="430"/>
    </row>
    <row r="374" spans="1:11" x14ac:dyDescent="0.25">
      <c r="A374" s="680" t="s">
        <v>14</v>
      </c>
      <c r="B374" s="682">
        <f>B367+1</f>
        <v>45927</v>
      </c>
      <c r="C374" s="398" t="s">
        <v>9</v>
      </c>
      <c r="D374" s="399">
        <v>109</v>
      </c>
      <c r="E374" s="573">
        <v>8.5</v>
      </c>
      <c r="F374" s="400">
        <f>33/33</f>
        <v>1</v>
      </c>
      <c r="G374" s="401">
        <f>IF(E374&lt;8,Factors!F$18,IF(E374&lt;9,Factors!F$19,IF(E374&lt;10,Factors!F$20,IF(E374&lt;11,Factors!F$21,IF(E374&lt;12,Factors!F$22,IF(E374&lt;13,Factors!F$23))))))</f>
        <v>1.0980113636363635</v>
      </c>
      <c r="H374" s="402">
        <f>D374*F374*G374</f>
        <v>119.68323863636363</v>
      </c>
      <c r="I374" s="403"/>
      <c r="J374" s="404"/>
      <c r="K374" s="405"/>
    </row>
    <row r="375" spans="1:11" x14ac:dyDescent="0.25">
      <c r="A375" s="680"/>
      <c r="B375" s="683"/>
      <c r="C375" s="406" t="s">
        <v>174</v>
      </c>
      <c r="D375" s="363">
        <v>18</v>
      </c>
      <c r="E375" s="414">
        <v>11.9</v>
      </c>
      <c r="F375" s="407">
        <f>14/14</f>
        <v>1</v>
      </c>
      <c r="G375" s="408">
        <f>IF(E375&lt;8,Factors!H$18,IF(E375&lt;9,Factors!H$19,IF(E375&lt;10,Factors!H$20,IF(E375&lt;11,Factors!H$21,IF(E375&lt;12,Factors!H$22,IF(E375&lt;13,Factors!H$23))))))</f>
        <v>1.0276243093922652</v>
      </c>
      <c r="H375" s="409">
        <f>D375*F375*G375</f>
        <v>18.497237569060776</v>
      </c>
      <c r="I375" s="410"/>
      <c r="J375" s="411"/>
      <c r="K375" s="412"/>
    </row>
    <row r="376" spans="1:11" x14ac:dyDescent="0.25">
      <c r="A376" s="680" t="s">
        <v>94</v>
      </c>
      <c r="B376" s="683"/>
      <c r="C376" s="406" t="s">
        <v>43</v>
      </c>
      <c r="D376" s="363">
        <v>39</v>
      </c>
      <c r="E376" s="414">
        <v>8.8000000000000007</v>
      </c>
      <c r="F376" s="407">
        <f>22/22</f>
        <v>1</v>
      </c>
      <c r="G376" s="408">
        <f>IF(E376&lt;8,Factors!H$18,IF(E376&lt;9,Factors!H$19,IF(E376&lt;10,Factors!H$20,IF(E376&lt;11,Factors!H$21,IF(E376&lt;12,Factors!H$22,IF(E376&lt;13,Factors!H$23))))))</f>
        <v>1.1104477611940298</v>
      </c>
      <c r="H376" s="409">
        <f>D376*F376*G376</f>
        <v>43.307462686567163</v>
      </c>
      <c r="I376" s="406"/>
      <c r="J376" s="411"/>
      <c r="K376" s="412"/>
    </row>
    <row r="377" spans="1:11" x14ac:dyDescent="0.25">
      <c r="A377" s="680"/>
      <c r="B377" s="683"/>
      <c r="C377" s="406" t="s">
        <v>166</v>
      </c>
      <c r="D377" s="363">
        <v>31</v>
      </c>
      <c r="E377" s="414">
        <v>7.5</v>
      </c>
      <c r="F377" s="576">
        <v>1</v>
      </c>
      <c r="G377" s="408">
        <f>IF(E377&lt;8,Factors!H$18,IF(E377&lt;9,Factors!H$19,IF(E377&lt;10,Factors!H$20,IF(E377&lt;11,Factors!H$21,IF(E377&lt;12,Factors!H$22,IF(E377&lt;13,Factors!H$23))))))</f>
        <v>1.3238434163701067</v>
      </c>
      <c r="H377" s="409">
        <f>D377*F377*G377</f>
        <v>41.039145907473305</v>
      </c>
      <c r="I377" s="410"/>
      <c r="J377" s="411"/>
      <c r="K377" s="412"/>
    </row>
    <row r="378" spans="1:11" ht="15.75" thickBot="1" x14ac:dyDescent="0.3">
      <c r="A378" s="680"/>
      <c r="B378" s="683"/>
      <c r="C378" s="415" t="s">
        <v>158</v>
      </c>
      <c r="D378" s="416">
        <v>21</v>
      </c>
      <c r="E378" s="574">
        <v>8</v>
      </c>
      <c r="F378" s="618">
        <v>1</v>
      </c>
      <c r="G378" s="418">
        <f>IF(E378&lt;8,Factors!H$18,IF(E378&lt;9,Factors!H$19,IF(E378&lt;10,Factors!H$20,IF(E378&lt;11,Factors!H$21,IF(E378&lt;12,Factors!H$22,IF(E378&lt;13,Factors!H$23))))))</f>
        <v>1.1104477611940298</v>
      </c>
      <c r="H378" s="419">
        <f>D378*F378*G378</f>
        <v>23.319402985074625</v>
      </c>
      <c r="I378" s="420"/>
      <c r="J378" s="421"/>
      <c r="K378" s="421"/>
    </row>
    <row r="379" spans="1:11" ht="15.75" thickTop="1" x14ac:dyDescent="0.25">
      <c r="A379" s="681"/>
      <c r="B379" s="684"/>
      <c r="C379" s="422"/>
      <c r="D379" s="423"/>
      <c r="E379" s="425"/>
      <c r="F379" s="424"/>
      <c r="G379" s="425"/>
      <c r="H379" s="426">
        <f>SUM(H374:H378)</f>
        <v>245.84648778453951</v>
      </c>
      <c r="I379" s="427">
        <v>1.111</v>
      </c>
      <c r="J379" s="428">
        <f>H379*I379*J$13+K379</f>
        <v>350.97905058828098</v>
      </c>
      <c r="K379" s="429">
        <f>K378+K377</f>
        <v>0</v>
      </c>
    </row>
    <row r="380" spans="1:11" x14ac:dyDescent="0.25">
      <c r="B380" s="397"/>
      <c r="E380" s="414"/>
    </row>
    <row r="381" spans="1:11" x14ac:dyDescent="0.25">
      <c r="A381" s="679" t="s">
        <v>15</v>
      </c>
      <c r="B381" s="682">
        <f>B374+1</f>
        <v>45928</v>
      </c>
      <c r="C381" s="398" t="s">
        <v>9</v>
      </c>
      <c r="D381" s="399">
        <v>81</v>
      </c>
      <c r="E381" s="573">
        <v>8.1999999999999993</v>
      </c>
      <c r="F381" s="400">
        <f>37/38</f>
        <v>0.97368421052631582</v>
      </c>
      <c r="G381" s="401">
        <f>IF(E381&lt;8,Factors!F$18,IF(E381&lt;9,Factors!F$19,IF(E381&lt;10,Factors!F$20,IF(E381&lt;11,Factors!F$21,IF(E381&lt;12,Factors!F$22,IF(E381&lt;13,Factors!F$23))))))</f>
        <v>1.0980113636363635</v>
      </c>
      <c r="H381" s="402">
        <f>D381*F381*G381</f>
        <v>86.59842254784688</v>
      </c>
      <c r="I381" s="403"/>
      <c r="J381" s="404"/>
      <c r="K381" s="405"/>
    </row>
    <row r="382" spans="1:11" x14ac:dyDescent="0.25">
      <c r="A382" s="680"/>
      <c r="B382" s="683"/>
      <c r="C382" s="406" t="s">
        <v>174</v>
      </c>
      <c r="D382" s="363">
        <v>13</v>
      </c>
      <c r="E382" s="414">
        <v>11</v>
      </c>
      <c r="F382" s="407">
        <f>9/9</f>
        <v>1</v>
      </c>
      <c r="G382" s="408">
        <f>IF(E382&lt;8,Factors!H$18,IF(E382&lt;9,Factors!H$19,IF(E382&lt;10,Factors!H$20,IF(E382&lt;11,Factors!H$21,IF(E382&lt;12,Factors!H$22,IF(E382&lt;13,Factors!H$23))))))</f>
        <v>1.0276243093922652</v>
      </c>
      <c r="H382" s="409">
        <f>D382*F382*G382</f>
        <v>13.359116022099448</v>
      </c>
      <c r="I382" s="410"/>
      <c r="J382" s="411"/>
      <c r="K382" s="412"/>
    </row>
    <row r="383" spans="1:11" x14ac:dyDescent="0.25">
      <c r="A383" s="680" t="s">
        <v>94</v>
      </c>
      <c r="B383" s="683"/>
      <c r="C383" s="406" t="s">
        <v>43</v>
      </c>
      <c r="D383" s="363">
        <v>31</v>
      </c>
      <c r="E383" s="414">
        <v>10</v>
      </c>
      <c r="F383" s="407">
        <f>22/22</f>
        <v>1</v>
      </c>
      <c r="G383" s="408">
        <f>IF(E383&lt;8,Factors!H$18,IF(E383&lt;9,Factors!H$19,IF(E383&lt;10,Factors!H$20,IF(E383&lt;11,Factors!H$21,IF(E383&lt;12,Factors!H$22,IF(E383&lt;13,Factors!H$23))))))</f>
        <v>1</v>
      </c>
      <c r="H383" s="409">
        <f>D383*F383*G383</f>
        <v>31</v>
      </c>
      <c r="I383" s="406"/>
      <c r="J383" s="411"/>
      <c r="K383" s="412"/>
    </row>
    <row r="384" spans="1:11" x14ac:dyDescent="0.25">
      <c r="A384" s="680"/>
      <c r="B384" s="683"/>
      <c r="C384" s="406" t="s">
        <v>166</v>
      </c>
      <c r="D384" s="363">
        <v>25</v>
      </c>
      <c r="E384" s="414">
        <v>9</v>
      </c>
      <c r="F384" s="576">
        <v>1</v>
      </c>
      <c r="G384" s="408">
        <f>IF(E384&lt;8,Factors!H$18,IF(E384&lt;9,Factors!H$19,IF(E384&lt;10,Factors!H$20,IF(E384&lt;11,Factors!H$21,IF(E384&lt;12,Factors!H$22,IF(E384&lt;13,Factors!H$23))))))</f>
        <v>1.024793388429752</v>
      </c>
      <c r="H384" s="409">
        <f>D384*F384*G384</f>
        <v>25.619834710743799</v>
      </c>
      <c r="I384" s="410"/>
      <c r="J384" s="411"/>
      <c r="K384" s="412"/>
    </row>
    <row r="385" spans="1:11" ht="15.75" thickBot="1" x14ac:dyDescent="0.3">
      <c r="A385" s="680"/>
      <c r="B385" s="683"/>
      <c r="C385" s="415" t="s">
        <v>158</v>
      </c>
      <c r="D385" s="416">
        <v>20</v>
      </c>
      <c r="E385" s="574">
        <v>9.1999999999999993</v>
      </c>
      <c r="F385" s="618">
        <v>1</v>
      </c>
      <c r="G385" s="418">
        <f>IF(E385&lt;8,Factors!H$18,IF(E385&lt;9,Factors!H$19,IF(E385&lt;10,Factors!H$20,IF(E385&lt;11,Factors!H$21,IF(E385&lt;12,Factors!H$22,IF(E385&lt;13,Factors!H$23))))))</f>
        <v>1.024793388429752</v>
      </c>
      <c r="H385" s="419">
        <f>D385*F385*G385</f>
        <v>20.495867768595041</v>
      </c>
      <c r="I385" s="420"/>
      <c r="J385" s="421"/>
      <c r="K385" s="421"/>
    </row>
    <row r="386" spans="1:11" ht="15.75" thickTop="1" x14ac:dyDescent="0.25">
      <c r="A386" s="681"/>
      <c r="B386" s="684"/>
      <c r="C386" s="422"/>
      <c r="D386" s="423"/>
      <c r="E386" s="425"/>
      <c r="F386" s="424"/>
      <c r="G386" s="425"/>
      <c r="H386" s="426">
        <f>SUM(H381:H385)</f>
        <v>177.07324104928517</v>
      </c>
      <c r="I386" s="427">
        <v>1.111</v>
      </c>
      <c r="J386" s="428">
        <f>H386*I386*J$13+K386</f>
        <v>252.7959564853962</v>
      </c>
      <c r="K386" s="429">
        <f>K385+K384</f>
        <v>0</v>
      </c>
    </row>
    <row r="387" spans="1:11" x14ac:dyDescent="0.25">
      <c r="B387" s="397"/>
      <c r="E387" s="414"/>
      <c r="J387" s="430"/>
    </row>
    <row r="388" spans="1:11" x14ac:dyDescent="0.25">
      <c r="A388" s="679" t="s">
        <v>7</v>
      </c>
      <c r="B388" s="682">
        <f>B381+1</f>
        <v>45929</v>
      </c>
      <c r="C388" s="398" t="s">
        <v>9</v>
      </c>
      <c r="D388" s="399">
        <v>61</v>
      </c>
      <c r="E388" s="573">
        <v>9</v>
      </c>
      <c r="F388" s="400">
        <f>43/43</f>
        <v>1</v>
      </c>
      <c r="G388" s="401">
        <f>IF(E388&lt;8,Factors!F$18,IF(E388&lt;9,Factors!F$19,IF(E388&lt;10,Factors!F$20,IF(E388&lt;11,Factors!F$21,IF(E388&lt;12,Factors!F$22,IF(E388&lt;13,Factors!F$23))))))</f>
        <v>1.034805890227577</v>
      </c>
      <c r="H388" s="402">
        <f>D388*F388*G388</f>
        <v>63.123159303882197</v>
      </c>
      <c r="I388" s="403"/>
      <c r="J388" s="404"/>
      <c r="K388" s="405"/>
    </row>
    <row r="389" spans="1:11" x14ac:dyDescent="0.25">
      <c r="A389" s="680"/>
      <c r="B389" s="683"/>
      <c r="C389" s="406" t="s">
        <v>174</v>
      </c>
      <c r="D389" s="363">
        <v>7</v>
      </c>
      <c r="E389" s="414">
        <v>9.5</v>
      </c>
      <c r="F389" s="407">
        <f>4/4</f>
        <v>1</v>
      </c>
      <c r="G389" s="408">
        <f>IF(E389&lt;8,Factors!H$18,IF(E389&lt;9,Factors!H$19,IF(E389&lt;10,Factors!H$20,IF(E389&lt;11,Factors!H$21,IF(E389&lt;12,Factors!H$22,IF(E389&lt;13,Factors!H$23))))))</f>
        <v>1.024793388429752</v>
      </c>
      <c r="H389" s="409">
        <f>D389*F390*G389</f>
        <v>6.1487603305785115</v>
      </c>
      <c r="I389" s="410"/>
      <c r="J389" s="411"/>
      <c r="K389" s="412"/>
    </row>
    <row r="390" spans="1:11" x14ac:dyDescent="0.25">
      <c r="A390" s="680" t="s">
        <v>94</v>
      </c>
      <c r="B390" s="683"/>
      <c r="C390" s="406" t="s">
        <v>43</v>
      </c>
      <c r="D390" s="363">
        <v>14</v>
      </c>
      <c r="E390" s="414">
        <v>8.3000000000000007</v>
      </c>
      <c r="F390" s="407">
        <f>6/7</f>
        <v>0.8571428571428571</v>
      </c>
      <c r="G390" s="408">
        <f>IF(E390&lt;8,Factors!H$18,IF(E390&lt;9,Factors!H$19,IF(E390&lt;10,Factors!H$20,IF(E390&lt;11,Factors!H$21,IF(E390&lt;12,Factors!H$22,IF(E390&lt;13,Factors!H$23))))))</f>
        <v>1.1104477611940298</v>
      </c>
      <c r="H390" s="409">
        <f>D390*F391*G390</f>
        <v>15.546268656716418</v>
      </c>
      <c r="I390" s="406"/>
      <c r="J390" s="411"/>
      <c r="K390" s="412"/>
    </row>
    <row r="391" spans="1:11" x14ac:dyDescent="0.25">
      <c r="A391" s="680"/>
      <c r="B391" s="683"/>
      <c r="C391" s="406" t="s">
        <v>166</v>
      </c>
      <c r="D391" s="363">
        <v>8</v>
      </c>
      <c r="E391" s="414">
        <v>7.7</v>
      </c>
      <c r="F391" s="407">
        <f>4/4</f>
        <v>1</v>
      </c>
      <c r="G391" s="408">
        <f>IF(E391&lt;8,Factors!H$18,IF(E391&lt;9,Factors!H$19,IF(E391&lt;10,Factors!H$20,IF(E391&lt;11,Factors!H$21,IF(E391&lt;12,Factors!H$22,IF(E391&lt;13,Factors!H$23))))))</f>
        <v>1.3238434163701067</v>
      </c>
      <c r="H391" s="409">
        <f>D391*F391*G391</f>
        <v>10.590747330960854</v>
      </c>
      <c r="I391" s="410"/>
      <c r="J391" s="411"/>
      <c r="K391" s="412"/>
    </row>
    <row r="392" spans="1:11" ht="15.75" thickBot="1" x14ac:dyDescent="0.3">
      <c r="A392" s="680"/>
      <c r="B392" s="683"/>
      <c r="C392" s="415" t="s">
        <v>158</v>
      </c>
      <c r="D392" s="416">
        <v>12</v>
      </c>
      <c r="E392" s="574">
        <v>7.5</v>
      </c>
      <c r="F392" s="417">
        <f>3/3</f>
        <v>1</v>
      </c>
      <c r="G392" s="418">
        <f>IF(E392&lt;8,Factors!H$18,IF(E392&lt;9,Factors!H$19,IF(E392&lt;10,Factors!H$20,IF(E392&lt;11,Factors!H$21,IF(E392&lt;12,Factors!H$22,IF(E392&lt;13,Factors!H$23))))))</f>
        <v>1.3238434163701067</v>
      </c>
      <c r="H392" s="419">
        <f>D392*F392*G392</f>
        <v>15.886120996441282</v>
      </c>
      <c r="I392" s="420"/>
      <c r="J392" s="421"/>
      <c r="K392" s="421"/>
    </row>
    <row r="393" spans="1:11" ht="15.75" thickTop="1" x14ac:dyDescent="0.25">
      <c r="A393" s="681"/>
      <c r="B393" s="684"/>
      <c r="C393" s="422"/>
      <c r="D393" s="423"/>
      <c r="E393" s="425"/>
      <c r="F393" s="424"/>
      <c r="G393" s="425"/>
      <c r="H393" s="426">
        <f>SUM(H388:H392)</f>
        <v>111.29505661857927</v>
      </c>
      <c r="I393" s="427">
        <f>AG10</f>
        <v>1.1111111111111112</v>
      </c>
      <c r="J393" s="428">
        <f>H393*I393*J$13+K393</f>
        <v>158.90460861652704</v>
      </c>
      <c r="K393" s="429">
        <f>K392+K391</f>
        <v>0</v>
      </c>
    </row>
    <row r="394" spans="1:11" x14ac:dyDescent="0.25">
      <c r="B394" s="397"/>
      <c r="E394" s="414"/>
    </row>
    <row r="395" spans="1:11" x14ac:dyDescent="0.25">
      <c r="A395" s="679" t="s">
        <v>94</v>
      </c>
      <c r="B395" s="682">
        <f>B388+1</f>
        <v>45930</v>
      </c>
      <c r="C395" s="398" t="s">
        <v>9</v>
      </c>
      <c r="D395" s="399">
        <v>57</v>
      </c>
      <c r="E395" s="573">
        <v>8.3000000000000007</v>
      </c>
      <c r="F395" s="400">
        <f>18/18</f>
        <v>1</v>
      </c>
      <c r="G395" s="401">
        <f>IF(E395&lt;8,Factors!F$18,IF(E395&lt;9,Factors!F$19,IF(E395&lt;10,Factors!F$20,IF(E395&lt;11,Factors!F$21,IF(E395&lt;12,Factors!F$22,IF(E395&lt;13,Factors!F$23))))))</f>
        <v>1.0980113636363635</v>
      </c>
      <c r="H395" s="402">
        <f>D395*F395*G395</f>
        <v>62.58664772727272</v>
      </c>
      <c r="I395" s="403"/>
      <c r="J395" s="404"/>
      <c r="K395" s="405"/>
    </row>
    <row r="396" spans="1:11" x14ac:dyDescent="0.25">
      <c r="A396" s="680"/>
      <c r="B396" s="683"/>
      <c r="C396" s="406" t="s">
        <v>174</v>
      </c>
      <c r="D396" s="363">
        <v>7</v>
      </c>
      <c r="E396" s="414">
        <v>8.6</v>
      </c>
      <c r="F396" s="407">
        <f>3/4</f>
        <v>0.75</v>
      </c>
      <c r="G396" s="408">
        <f>IF(E396&lt;8,Factors!H$18,IF(E396&lt;9,Factors!H$19,IF(E396&lt;10,Factors!H$20,IF(E396&lt;11,Factors!H$21,IF(E396&lt;12,Factors!H$22,IF(E396&lt;13,Factors!H$23))))))</f>
        <v>1.1104477611940298</v>
      </c>
      <c r="H396" s="409">
        <f>D396*F396*G396</f>
        <v>5.8298507462686562</v>
      </c>
      <c r="I396" s="410"/>
      <c r="J396" s="411"/>
      <c r="K396" s="412"/>
    </row>
    <row r="397" spans="1:11" x14ac:dyDescent="0.25">
      <c r="A397" s="680" t="s">
        <v>94</v>
      </c>
      <c r="B397" s="683"/>
      <c r="C397" s="406" t="s">
        <v>43</v>
      </c>
      <c r="D397" s="363">
        <v>12</v>
      </c>
      <c r="E397" s="414">
        <v>8</v>
      </c>
      <c r="F397" s="407">
        <f>8/8</f>
        <v>1</v>
      </c>
      <c r="G397" s="408">
        <f>IF(E397&lt;8,Factors!H$18,IF(E397&lt;9,Factors!H$19,IF(E397&lt;10,Factors!H$20,IF(E397&lt;11,Factors!H$21,IF(E397&lt;12,Factors!H$22,IF(E397&lt;13,Factors!H$23))))))</f>
        <v>1.1104477611940298</v>
      </c>
      <c r="H397" s="409">
        <f>D397*F397*G397</f>
        <v>13.325373134328357</v>
      </c>
      <c r="I397" s="406"/>
      <c r="J397" s="411"/>
      <c r="K397" s="412"/>
    </row>
    <row r="398" spans="1:11" x14ac:dyDescent="0.25">
      <c r="A398" s="680"/>
      <c r="B398" s="683"/>
      <c r="C398" s="406" t="s">
        <v>166</v>
      </c>
      <c r="E398" s="414"/>
      <c r="F398" s="407"/>
      <c r="G398" s="408">
        <f>IF(E398&lt;8,Factors!H$18,IF(E398&lt;9,Factors!H$19,IF(E398&lt;10,Factors!H$20,IF(E398&lt;11,Factors!H$21,IF(E398&lt;12,Factors!H$22,IF(E398&lt;13,Factors!H$23))))))</f>
        <v>1.3238434163701067</v>
      </c>
      <c r="H398" s="409">
        <f>D398*F398*G398</f>
        <v>0</v>
      </c>
      <c r="I398" s="410"/>
      <c r="J398" s="411"/>
      <c r="K398" s="412"/>
    </row>
    <row r="399" spans="1:11" ht="15.75" thickBot="1" x14ac:dyDescent="0.3">
      <c r="A399" s="680"/>
      <c r="B399" s="683"/>
      <c r="C399" s="415" t="s">
        <v>158</v>
      </c>
      <c r="D399" s="416"/>
      <c r="E399" s="574"/>
      <c r="F399" s="417"/>
      <c r="G399" s="418">
        <f>IF(E399&lt;8,Factors!H$18,IF(E399&lt;9,Factors!H$19,IF(E399&lt;10,Factors!H$20,IF(E399&lt;11,Factors!H$21,IF(E399&lt;12,Factors!H$22,IF(E399&lt;13,Factors!H$23))))))</f>
        <v>1.3238434163701067</v>
      </c>
      <c r="H399" s="419">
        <f>D399*F399*G399</f>
        <v>0</v>
      </c>
      <c r="I399" s="420"/>
      <c r="J399" s="421"/>
      <c r="K399" s="421"/>
    </row>
    <row r="400" spans="1:11" ht="15.75" thickTop="1" x14ac:dyDescent="0.25">
      <c r="A400" s="681"/>
      <c r="B400" s="684"/>
      <c r="C400" s="422"/>
      <c r="D400" s="423"/>
      <c r="E400" s="425"/>
      <c r="F400" s="424"/>
      <c r="G400" s="425"/>
      <c r="H400" s="426">
        <f>SUM(H395:H399)</f>
        <v>81.74187160786974</v>
      </c>
      <c r="I400" s="427">
        <f>D9</f>
        <v>1.5053217352405766</v>
      </c>
      <c r="J400" s="428">
        <f>H400*I400*J$13+K400</f>
        <v>158.11644357358358</v>
      </c>
      <c r="K400" s="429">
        <f>K399+K398</f>
        <v>0</v>
      </c>
    </row>
    <row r="401" spans="1:11" x14ac:dyDescent="0.25">
      <c r="B401" s="397"/>
      <c r="E401" s="414"/>
      <c r="F401" s="407"/>
      <c r="J401" s="430"/>
    </row>
    <row r="402" spans="1:11" x14ac:dyDescent="0.25">
      <c r="A402" s="679" t="s">
        <v>11</v>
      </c>
      <c r="B402" s="682">
        <f>B395+1</f>
        <v>45931</v>
      </c>
      <c r="C402" s="398" t="s">
        <v>9</v>
      </c>
      <c r="D402" s="399">
        <v>56</v>
      </c>
      <c r="E402" s="573">
        <v>8.6999999999999993</v>
      </c>
      <c r="F402" s="400">
        <f>23/24</f>
        <v>0.95833333333333337</v>
      </c>
      <c r="G402" s="401">
        <f>IF(E402&lt;8,Factors!F$18,IF(E402&lt;9,Factors!F$19,IF(E402&lt;10,Factors!F$20,IF(E402&lt;11,Factors!F$21,IF(E402&lt;12,Factors!F$22,IF(E402&lt;13,Factors!F$23))))))</f>
        <v>1.0980113636363635</v>
      </c>
      <c r="H402" s="402">
        <f>D402*F402*G402</f>
        <v>58.926609848484851</v>
      </c>
      <c r="I402" s="403"/>
      <c r="J402" s="404"/>
      <c r="K402" s="405"/>
    </row>
    <row r="403" spans="1:11" x14ac:dyDescent="0.25">
      <c r="A403" s="680"/>
      <c r="B403" s="683"/>
      <c r="C403" s="406" t="s">
        <v>174</v>
      </c>
      <c r="D403" s="363">
        <v>4</v>
      </c>
      <c r="E403" s="414">
        <v>10.199999999999999</v>
      </c>
      <c r="F403" s="407">
        <f>4/4</f>
        <v>1</v>
      </c>
      <c r="G403" s="408">
        <f>IF(E403&lt;8,Factors!H$18,IF(E403&lt;9,Factors!H$19,IF(E403&lt;10,Factors!H$20,IF(E403&lt;11,Factors!H$21,IF(E403&lt;12,Factors!H$22,IF(E403&lt;13,Factors!H$23))))))</f>
        <v>1</v>
      </c>
      <c r="H403" s="409">
        <f>D403*F403*G403</f>
        <v>4</v>
      </c>
      <c r="I403" s="410"/>
      <c r="J403" s="411"/>
      <c r="K403" s="412"/>
    </row>
    <row r="404" spans="1:11" x14ac:dyDescent="0.25">
      <c r="A404" s="680" t="s">
        <v>94</v>
      </c>
      <c r="B404" s="683"/>
      <c r="C404" s="406" t="s">
        <v>43</v>
      </c>
      <c r="D404" s="363">
        <v>12</v>
      </c>
      <c r="E404" s="414">
        <v>11</v>
      </c>
      <c r="F404" s="407">
        <f>4/4</f>
        <v>1</v>
      </c>
      <c r="G404" s="408">
        <f>IF(E404&lt;8,Factors!H$18,IF(E404&lt;9,Factors!H$19,IF(E404&lt;10,Factors!H$20,IF(E404&lt;11,Factors!H$21,IF(E404&lt;12,Factors!H$22,IF(E404&lt;13,Factors!H$23))))))</f>
        <v>1.0276243093922652</v>
      </c>
      <c r="H404" s="409">
        <f>D404*F404*G404</f>
        <v>12.331491712707184</v>
      </c>
      <c r="I404" s="406"/>
      <c r="J404" s="411"/>
      <c r="K404" s="412"/>
    </row>
    <row r="405" spans="1:11" x14ac:dyDescent="0.25">
      <c r="A405" s="680"/>
      <c r="B405" s="683"/>
      <c r="C405" s="406" t="s">
        <v>166</v>
      </c>
      <c r="D405" s="363">
        <v>6</v>
      </c>
      <c r="E405" s="414">
        <v>7.7</v>
      </c>
      <c r="F405" s="407">
        <f>3/3</f>
        <v>1</v>
      </c>
      <c r="G405" s="408">
        <f>IF(E405&lt;8,Factors!H$18,IF(E405&lt;9,Factors!H$19,IF(E405&lt;10,Factors!H$20,IF(E405&lt;11,Factors!H$21,IF(E405&lt;12,Factors!H$22,IF(E405&lt;13,Factors!H$23))))))</f>
        <v>1.3238434163701067</v>
      </c>
      <c r="H405" s="409">
        <f>D405*F405*G405</f>
        <v>7.9430604982206408</v>
      </c>
      <c r="I405" s="410"/>
      <c r="J405" s="411"/>
      <c r="K405" s="412"/>
    </row>
    <row r="406" spans="1:11" ht="15.75" thickBot="1" x14ac:dyDescent="0.3">
      <c r="A406" s="680"/>
      <c r="B406" s="683"/>
      <c r="C406" s="415" t="s">
        <v>158</v>
      </c>
      <c r="D406" s="416">
        <v>15</v>
      </c>
      <c r="E406" s="574">
        <v>7.4</v>
      </c>
      <c r="F406" s="417">
        <f>11/12</f>
        <v>0.91666666666666663</v>
      </c>
      <c r="G406" s="418">
        <f>IF(E406&lt;8,Factors!H$18,IF(E406&lt;9,Factors!H$19,IF(E406&lt;10,Factors!H$20,IF(E406&lt;11,Factors!H$21,IF(E406&lt;12,Factors!H$22,IF(E406&lt;13,Factors!H$23))))))</f>
        <v>1.3238434163701067</v>
      </c>
      <c r="H406" s="419">
        <f>D406*F406*G406</f>
        <v>18.202846975088967</v>
      </c>
      <c r="I406" s="420"/>
      <c r="J406" s="421"/>
      <c r="K406" s="421"/>
    </row>
    <row r="407" spans="1:11" ht="15.75" thickTop="1" x14ac:dyDescent="0.25">
      <c r="A407" s="681"/>
      <c r="B407" s="684"/>
      <c r="C407" s="422"/>
      <c r="D407" s="423"/>
      <c r="E407" s="425"/>
      <c r="F407" s="424"/>
      <c r="G407" s="425"/>
      <c r="H407" s="426">
        <f>SUM(H402:H406)</f>
        <v>101.40400903450166</v>
      </c>
      <c r="I407" s="427">
        <v>1.111</v>
      </c>
      <c r="J407" s="428">
        <f>H407*I407*J$13+K407</f>
        <v>144.76791243797078</v>
      </c>
      <c r="K407" s="429">
        <f>K406+K405</f>
        <v>0</v>
      </c>
    </row>
    <row r="408" spans="1:11" x14ac:dyDescent="0.25">
      <c r="B408" s="397"/>
      <c r="E408" s="414"/>
    </row>
    <row r="409" spans="1:11" x14ac:dyDescent="0.25">
      <c r="A409" s="679" t="s">
        <v>95</v>
      </c>
      <c r="B409" s="682">
        <f>B402+1</f>
        <v>45932</v>
      </c>
      <c r="C409" s="398" t="s">
        <v>9</v>
      </c>
      <c r="D409" s="399">
        <v>50</v>
      </c>
      <c r="E409" s="573">
        <v>7.7</v>
      </c>
      <c r="F409" s="400">
        <f>16/16</f>
        <v>1</v>
      </c>
      <c r="G409" s="401">
        <f>IF(E409&lt;8,Factors!F$18,IF(E409&lt;9,Factors!F$19,IF(E409&lt;10,Factors!F$20,IF(E409&lt;11,Factors!F$21,IF(E409&lt;12,Factors!F$22,IF(E409&lt;13,Factors!F$23))))))</f>
        <v>1.2308917197452229</v>
      </c>
      <c r="H409" s="402">
        <f>D409*F409*G409</f>
        <v>61.544585987261144</v>
      </c>
      <c r="I409" s="403"/>
      <c r="J409" s="404"/>
      <c r="K409" s="405"/>
    </row>
    <row r="410" spans="1:11" x14ac:dyDescent="0.25">
      <c r="A410" s="680"/>
      <c r="B410" s="683"/>
      <c r="C410" s="406" t="s">
        <v>174</v>
      </c>
      <c r="D410" s="363">
        <v>4</v>
      </c>
      <c r="E410" s="414">
        <v>9.5</v>
      </c>
      <c r="F410" s="407">
        <f>4/4</f>
        <v>1</v>
      </c>
      <c r="G410" s="408">
        <f>IF(E410&lt;8,Factors!H$18,IF(E410&lt;9,Factors!H$19,IF(E410&lt;10,Factors!H$20,IF(E410&lt;11,Factors!H$21,IF(E410&lt;12,Factors!H$22,IF(E410&lt;13,Factors!H$23))))))</f>
        <v>1.024793388429752</v>
      </c>
      <c r="H410" s="409">
        <f>D410*F410*G410</f>
        <v>4.0991735537190079</v>
      </c>
      <c r="I410" s="410"/>
      <c r="J410" s="411"/>
      <c r="K410" s="412"/>
    </row>
    <row r="411" spans="1:11" x14ac:dyDescent="0.25">
      <c r="A411" s="680" t="s">
        <v>94</v>
      </c>
      <c r="B411" s="683"/>
      <c r="C411" s="406" t="s">
        <v>43</v>
      </c>
      <c r="D411" s="363">
        <v>20</v>
      </c>
      <c r="E411" s="414">
        <v>8.9</v>
      </c>
      <c r="F411" s="407">
        <f>17/17</f>
        <v>1</v>
      </c>
      <c r="G411" s="408">
        <f>IF(E411&lt;8,Factors!H$18,IF(E411&lt;9,Factors!H$19,IF(E411&lt;10,Factors!H$20,IF(E411&lt;11,Factors!H$21,IF(E411&lt;12,Factors!H$22,IF(E411&lt;13,Factors!H$23))))))</f>
        <v>1.1104477611940298</v>
      </c>
      <c r="H411" s="409">
        <f>D411*F411*G411</f>
        <v>22.208955223880594</v>
      </c>
      <c r="I411" s="406"/>
      <c r="J411" s="411"/>
      <c r="K411" s="412"/>
    </row>
    <row r="412" spans="1:11" x14ac:dyDescent="0.25">
      <c r="A412" s="680"/>
      <c r="B412" s="683"/>
      <c r="C412" s="406" t="s">
        <v>166</v>
      </c>
      <c r="D412" s="363">
        <v>12</v>
      </c>
      <c r="E412" s="414">
        <v>8.8000000000000007</v>
      </c>
      <c r="F412" s="407">
        <f>1/1</f>
        <v>1</v>
      </c>
      <c r="G412" s="408">
        <f>IF(E412&lt;8,Factors!H$18,IF(E412&lt;9,Factors!H$19,IF(E412&lt;10,Factors!H$20,IF(E412&lt;11,Factors!H$21,IF(E412&lt;12,Factors!H$22,IF(E412&lt;13,Factors!H$23))))))</f>
        <v>1.1104477611940298</v>
      </c>
      <c r="H412" s="409">
        <f>D412*F412*G412</f>
        <v>13.325373134328357</v>
      </c>
      <c r="I412" s="410"/>
      <c r="J412" s="411"/>
      <c r="K412" s="412"/>
    </row>
    <row r="413" spans="1:11" ht="15.75" thickBot="1" x14ac:dyDescent="0.3">
      <c r="A413" s="680"/>
      <c r="B413" s="683"/>
      <c r="C413" s="415" t="s">
        <v>158</v>
      </c>
      <c r="D413" s="416">
        <v>19</v>
      </c>
      <c r="E413" s="574">
        <v>9.4</v>
      </c>
      <c r="F413" s="417">
        <f>19/19</f>
        <v>1</v>
      </c>
      <c r="G413" s="418">
        <f>IF(E413&lt;8,Factors!H$18,IF(E413&lt;9,Factors!H$19,IF(E413&lt;10,Factors!H$20,IF(E413&lt;11,Factors!H$21,IF(E413&lt;12,Factors!H$22,IF(E413&lt;13,Factors!H$23))))))</f>
        <v>1.024793388429752</v>
      </c>
      <c r="H413" s="419">
        <f>D413*F413*G413</f>
        <v>19.471074380165287</v>
      </c>
      <c r="I413" s="420"/>
      <c r="J413" s="421"/>
      <c r="K413" s="421"/>
    </row>
    <row r="414" spans="1:11" ht="15.75" thickTop="1" x14ac:dyDescent="0.25">
      <c r="A414" s="681"/>
      <c r="B414" s="684"/>
      <c r="C414" s="422"/>
      <c r="D414" s="423"/>
      <c r="E414" s="425"/>
      <c r="F414" s="424"/>
      <c r="G414" s="425"/>
      <c r="H414" s="426">
        <f>SUM(H409:H413)</f>
        <v>120.6491622793544</v>
      </c>
      <c r="I414" s="427">
        <v>1.111</v>
      </c>
      <c r="J414" s="428">
        <f>H414*I414*J$13+K414</f>
        <v>172.2429667906861</v>
      </c>
      <c r="K414" s="429">
        <f>K413+K412</f>
        <v>0</v>
      </c>
    </row>
    <row r="415" spans="1:11" x14ac:dyDescent="0.25">
      <c r="B415" s="397"/>
      <c r="E415" s="414"/>
      <c r="J415" s="430"/>
    </row>
    <row r="416" spans="1:11" x14ac:dyDescent="0.25">
      <c r="A416" s="679" t="s">
        <v>13</v>
      </c>
      <c r="B416" s="682">
        <f>B409+1</f>
        <v>45933</v>
      </c>
      <c r="C416" s="398" t="s">
        <v>9</v>
      </c>
      <c r="D416" s="399">
        <v>71</v>
      </c>
      <c r="E416" s="573">
        <v>8.9</v>
      </c>
      <c r="F416" s="400">
        <f>25/25</f>
        <v>1</v>
      </c>
      <c r="G416" s="401">
        <f>IF(E416&lt;8,Factors!F$18,IF(E416&lt;9,Factors!F$19,IF(E416&lt;10,Factors!F$20,IF(E416&lt;11,Factors!F$21,IF(E416&lt;12,Factors!F$22,IF(E416&lt;13,Factors!F$23))))))</f>
        <v>1.0980113636363635</v>
      </c>
      <c r="H416" s="402">
        <f>D416*F416*G416</f>
        <v>77.958806818181813</v>
      </c>
      <c r="I416" s="403"/>
      <c r="J416" s="404"/>
      <c r="K416" s="405"/>
    </row>
    <row r="417" spans="1:12" x14ac:dyDescent="0.25">
      <c r="A417" s="680"/>
      <c r="B417" s="683"/>
      <c r="C417" s="406" t="s">
        <v>174</v>
      </c>
      <c r="D417" s="363">
        <v>14</v>
      </c>
      <c r="E417" s="414">
        <v>8.5</v>
      </c>
      <c r="F417" s="407">
        <f>7/7</f>
        <v>1</v>
      </c>
      <c r="G417" s="408">
        <f>IF(E417&lt;8,Factors!H$18,IF(E417&lt;9,Factors!H$19,IF(E417&lt;10,Factors!H$20,IF(E417&lt;11,Factors!H$21,IF(E417&lt;12,Factors!H$22,IF(E417&lt;13,Factors!H$23))))))</f>
        <v>1.1104477611940298</v>
      </c>
      <c r="H417" s="409">
        <f>D417*F417*G417</f>
        <v>15.546268656716418</v>
      </c>
      <c r="I417" s="410"/>
      <c r="J417" s="411"/>
      <c r="K417" s="412"/>
    </row>
    <row r="418" spans="1:12" x14ac:dyDescent="0.25">
      <c r="A418" s="680" t="s">
        <v>94</v>
      </c>
      <c r="B418" s="683"/>
      <c r="C418" s="406" t="s">
        <v>43</v>
      </c>
      <c r="D418" s="363">
        <v>24</v>
      </c>
      <c r="E418" s="414">
        <v>7.4</v>
      </c>
      <c r="F418" s="407">
        <f>13/13</f>
        <v>1</v>
      </c>
      <c r="G418" s="408">
        <f>IF(E418&lt;8,Factors!H$18,IF(E418&lt;9,Factors!H$19,IF(E418&lt;10,Factors!H$20,IF(E418&lt;11,Factors!H$21,IF(E418&lt;12,Factors!H$22,IF(E418&lt;13,Factors!H$23))))))</f>
        <v>1.3238434163701067</v>
      </c>
      <c r="H418" s="409">
        <f>D418*F418*G418</f>
        <v>31.772241992882563</v>
      </c>
      <c r="I418" s="406"/>
      <c r="J418" s="411"/>
      <c r="K418" s="412"/>
    </row>
    <row r="419" spans="1:12" x14ac:dyDescent="0.25">
      <c r="A419" s="680"/>
      <c r="B419" s="683"/>
      <c r="C419" s="406" t="s">
        <v>166</v>
      </c>
      <c r="D419" s="363">
        <v>10</v>
      </c>
      <c r="E419" s="414">
        <v>7.8</v>
      </c>
      <c r="F419" s="407">
        <f>2/2</f>
        <v>1</v>
      </c>
      <c r="G419" s="408">
        <f>IF(E419&lt;8,Factors!H$18,IF(E419&lt;9,Factors!H$19,IF(E419&lt;10,Factors!H$20,IF(E419&lt;11,Factors!H$21,IF(E419&lt;12,Factors!H$22,IF(E419&lt;13,Factors!H$23))))))</f>
        <v>1.3238434163701067</v>
      </c>
      <c r="H419" s="409">
        <f>D419*F419*G419</f>
        <v>13.238434163701067</v>
      </c>
      <c r="I419" s="410"/>
      <c r="J419" s="411"/>
      <c r="K419" s="412"/>
      <c r="L419" s="444" t="s">
        <v>214</v>
      </c>
    </row>
    <row r="420" spans="1:12" ht="15.75" thickBot="1" x14ac:dyDescent="0.3">
      <c r="A420" s="680"/>
      <c r="B420" s="683"/>
      <c r="C420" s="415" t="s">
        <v>158</v>
      </c>
      <c r="D420" s="416">
        <v>31</v>
      </c>
      <c r="E420" s="574">
        <v>10.8</v>
      </c>
      <c r="F420" s="417">
        <f>22/23</f>
        <v>0.95652173913043481</v>
      </c>
      <c r="G420" s="418">
        <f>IF(E420&lt;8,Factors!H$18,IF(E420&lt;9,Factors!H$19,IF(E420&lt;10,Factors!H$20,IF(E420&lt;11,Factors!H$21,IF(E420&lt;12,Factors!H$22,IF(E420&lt;13,Factors!H$23))))))</f>
        <v>1</v>
      </c>
      <c r="H420" s="419">
        <f>D420*F420*G420</f>
        <v>29.65217391304348</v>
      </c>
      <c r="I420" s="420"/>
      <c r="J420" s="421"/>
      <c r="K420" s="421"/>
    </row>
    <row r="421" spans="1:12" ht="15.75" thickTop="1" x14ac:dyDescent="0.25">
      <c r="A421" s="681"/>
      <c r="B421" s="684"/>
      <c r="C421" s="422"/>
      <c r="D421" s="423"/>
      <c r="E421" s="425"/>
      <c r="F421" s="424"/>
      <c r="G421" s="425"/>
      <c r="H421" s="426">
        <f>SUM(H416:H420)</f>
        <v>168.16792554452533</v>
      </c>
      <c r="I421" s="427">
        <v>1.111</v>
      </c>
      <c r="J421" s="428">
        <f>H421*I421*J$13+K421</f>
        <v>240.0824163847584</v>
      </c>
      <c r="K421" s="429">
        <f>K420+K419</f>
        <v>0</v>
      </c>
    </row>
    <row r="422" spans="1:12" x14ac:dyDescent="0.25">
      <c r="B422" s="397"/>
      <c r="E422" s="414"/>
      <c r="G422" s="414"/>
      <c r="H422" s="414"/>
      <c r="I422" s="430"/>
    </row>
    <row r="423" spans="1:12" x14ac:dyDescent="0.25">
      <c r="A423" s="680" t="s">
        <v>14</v>
      </c>
      <c r="B423" s="682">
        <f>B416+1</f>
        <v>45934</v>
      </c>
      <c r="C423" s="398" t="s">
        <v>9</v>
      </c>
      <c r="D423" s="399">
        <v>98</v>
      </c>
      <c r="E423" s="573">
        <v>8</v>
      </c>
      <c r="F423" s="400">
        <v>1</v>
      </c>
      <c r="G423" s="401">
        <f>IF(E423&lt;8,Factors!F$18,IF(E423&lt;9,Factors!F$19,IF(E423&lt;10,Factors!F$20,IF(E423&lt;11,Factors!F$21,IF(E423&lt;12,Factors!F$22,IF(E423&lt;13,Factors!F$23))))))</f>
        <v>1.0980113636363635</v>
      </c>
      <c r="H423" s="402">
        <f>D423*F423*G423</f>
        <v>107.60511363636363</v>
      </c>
      <c r="I423" s="403"/>
      <c r="J423" s="404"/>
      <c r="K423" s="405"/>
    </row>
    <row r="424" spans="1:12" x14ac:dyDescent="0.25">
      <c r="A424" s="680"/>
      <c r="B424" s="683"/>
      <c r="C424" s="406" t="s">
        <v>174</v>
      </c>
      <c r="D424" s="363">
        <v>25</v>
      </c>
      <c r="E424" s="414">
        <v>9.3000000000000007</v>
      </c>
      <c r="F424" s="407">
        <v>1</v>
      </c>
      <c r="G424" s="408">
        <f>IF(E424&lt;8,Factors!H$18,IF(E424&lt;9,Factors!H$19,IF(E424&lt;10,Factors!H$20,IF(E424&lt;11,Factors!H$21,IF(E424&lt;12,Factors!H$22,IF(E424&lt;13,Factors!H$23))))))</f>
        <v>1.024793388429752</v>
      </c>
      <c r="H424" s="409">
        <f>D424*F424*G424</f>
        <v>25.619834710743799</v>
      </c>
      <c r="I424" s="410"/>
      <c r="J424" s="411"/>
      <c r="K424" s="412"/>
    </row>
    <row r="425" spans="1:12" x14ac:dyDescent="0.25">
      <c r="A425" s="680" t="s">
        <v>94</v>
      </c>
      <c r="B425" s="683"/>
      <c r="C425" s="406" t="s">
        <v>43</v>
      </c>
      <c r="D425" s="363">
        <v>36</v>
      </c>
      <c r="E425" s="414">
        <v>7.7</v>
      </c>
      <c r="F425" s="407">
        <v>1</v>
      </c>
      <c r="G425" s="408">
        <f>IF(E425&lt;8,Factors!H$18,IF(E425&lt;9,Factors!H$19,IF(E425&lt;10,Factors!H$20,IF(E425&lt;11,Factors!H$21,IF(E425&lt;12,Factors!H$22,IF(E425&lt;13,Factors!H$23))))))</f>
        <v>1.3238434163701067</v>
      </c>
      <c r="H425" s="409">
        <f>D425*F425*G425</f>
        <v>47.658362989323841</v>
      </c>
      <c r="I425" s="406"/>
      <c r="J425" s="411"/>
      <c r="K425" s="412"/>
    </row>
    <row r="426" spans="1:12" x14ac:dyDescent="0.25">
      <c r="A426" s="680"/>
      <c r="B426" s="683"/>
      <c r="C426" s="406" t="s">
        <v>166</v>
      </c>
      <c r="E426" s="414"/>
      <c r="F426" s="407"/>
      <c r="G426" s="408">
        <f>IF(E426&lt;8,Factors!H$18,IF(E426&lt;9,Factors!H$19,IF(E426&lt;10,Factors!H$20,IF(E426&lt;11,Factors!H$21,IF(E426&lt;12,Factors!H$22,IF(E426&lt;13,Factors!H$23))))))</f>
        <v>1.3238434163701067</v>
      </c>
      <c r="H426" s="409">
        <f>D426*F426*G426</f>
        <v>0</v>
      </c>
      <c r="I426" s="410"/>
      <c r="J426" s="411"/>
      <c r="K426" s="412"/>
    </row>
    <row r="427" spans="1:12" ht="15.75" thickBot="1" x14ac:dyDescent="0.3">
      <c r="A427" s="680"/>
      <c r="B427" s="683"/>
      <c r="C427" s="415" t="s">
        <v>158</v>
      </c>
      <c r="D427" s="416"/>
      <c r="E427" s="574"/>
      <c r="F427" s="417"/>
      <c r="G427" s="418">
        <f>IF(E427&lt;8,Factors!H$18,IF(E427&lt;9,Factors!H$19,IF(E427&lt;10,Factors!H$20,IF(E427&lt;11,Factors!H$21,IF(E427&lt;12,Factors!H$22,IF(E427&lt;13,Factors!H$23))))))</f>
        <v>1.3238434163701067</v>
      </c>
      <c r="H427" s="419">
        <f>D427*F427*G427</f>
        <v>0</v>
      </c>
      <c r="I427" s="420"/>
      <c r="J427" s="421"/>
      <c r="K427" s="421"/>
    </row>
    <row r="428" spans="1:12" ht="15.75" thickTop="1" x14ac:dyDescent="0.25">
      <c r="A428" s="681"/>
      <c r="B428" s="684"/>
      <c r="C428" s="422"/>
      <c r="D428" s="423"/>
      <c r="E428" s="425"/>
      <c r="F428" s="424"/>
      <c r="G428" s="425"/>
      <c r="H428" s="426">
        <f>SUM(H423:H427)</f>
        <v>180.88331133643126</v>
      </c>
      <c r="I428" s="427">
        <f>D10</f>
        <v>1.4484418256488258</v>
      </c>
      <c r="J428" s="428">
        <f>H428*I428*J$13+K428</f>
        <v>336.66865550648589</v>
      </c>
      <c r="K428" s="429">
        <f>K427+K426</f>
        <v>0</v>
      </c>
    </row>
    <row r="429" spans="1:12" x14ac:dyDescent="0.25">
      <c r="B429" s="397"/>
      <c r="E429" s="414"/>
    </row>
    <row r="430" spans="1:12" x14ac:dyDescent="0.25">
      <c r="A430" s="679" t="s">
        <v>15</v>
      </c>
      <c r="B430" s="682">
        <f>B423+1</f>
        <v>45935</v>
      </c>
      <c r="C430" s="398" t="s">
        <v>9</v>
      </c>
      <c r="D430" s="399">
        <v>86</v>
      </c>
      <c r="E430" s="573">
        <v>8.4</v>
      </c>
      <c r="F430" s="400">
        <v>1</v>
      </c>
      <c r="G430" s="401">
        <f>IF(E430&lt;8,Factors!F$18,IF(E430&lt;9,Factors!F$19,IF(E430&lt;10,Factors!F$20,IF(E430&lt;11,Factors!F$21,IF(E430&lt;12,Factors!F$22,IF(E430&lt;13,Factors!F$23))))))</f>
        <v>1.0980113636363635</v>
      </c>
      <c r="H430" s="402">
        <f>D430*F430*G430</f>
        <v>94.428977272727266</v>
      </c>
      <c r="I430" s="403"/>
      <c r="J430" s="404"/>
      <c r="K430" s="405"/>
    </row>
    <row r="431" spans="1:12" x14ac:dyDescent="0.25">
      <c r="A431" s="680"/>
      <c r="B431" s="683"/>
      <c r="C431" s="406" t="s">
        <v>174</v>
      </c>
      <c r="D431" s="363">
        <v>19</v>
      </c>
      <c r="E431" s="414">
        <v>8.5</v>
      </c>
      <c r="F431" s="407">
        <v>1</v>
      </c>
      <c r="G431" s="408">
        <f>IF(E431&lt;8,Factors!H$18,IF(E431&lt;9,Factors!H$19,IF(E431&lt;10,Factors!H$20,IF(E431&lt;11,Factors!H$21,IF(E431&lt;12,Factors!H$22,IF(E431&lt;13,Factors!H$23))))))</f>
        <v>1.1104477611940298</v>
      </c>
      <c r="H431" s="409">
        <f>D431*F431*G431</f>
        <v>21.098507462686566</v>
      </c>
      <c r="I431" s="410"/>
      <c r="J431" s="411"/>
      <c r="K431" s="412"/>
    </row>
    <row r="432" spans="1:12" x14ac:dyDescent="0.25">
      <c r="A432" s="680" t="s">
        <v>94</v>
      </c>
      <c r="B432" s="683"/>
      <c r="C432" s="406" t="s">
        <v>43</v>
      </c>
      <c r="D432" s="363">
        <v>22</v>
      </c>
      <c r="E432" s="414">
        <v>8.4</v>
      </c>
      <c r="F432" s="407">
        <v>1</v>
      </c>
      <c r="G432" s="408">
        <f>IF(E432&lt;8,Factors!H$18,IF(E432&lt;9,Factors!H$19,IF(E432&lt;10,Factors!H$20,IF(E432&lt;11,Factors!H$21,IF(E432&lt;12,Factors!H$22,IF(E432&lt;13,Factors!H$23))))))</f>
        <v>1.1104477611940298</v>
      </c>
      <c r="H432" s="409">
        <f>D432*F432*G432</f>
        <v>24.429850746268656</v>
      </c>
      <c r="I432" s="406"/>
      <c r="J432" s="411"/>
      <c r="K432" s="412"/>
    </row>
    <row r="433" spans="1:11" x14ac:dyDescent="0.25">
      <c r="A433" s="680"/>
      <c r="B433" s="683"/>
      <c r="C433" s="406" t="s">
        <v>166</v>
      </c>
      <c r="E433" s="414"/>
      <c r="F433" s="407"/>
      <c r="G433" s="408">
        <f>IF(E433&lt;8,Factors!H$18,IF(E433&lt;9,Factors!H$19,IF(E433&lt;10,Factors!H$20,IF(E433&lt;11,Factors!H$21,IF(E433&lt;12,Factors!H$22,IF(E433&lt;13,Factors!H$23))))))</f>
        <v>1.3238434163701067</v>
      </c>
      <c r="H433" s="409">
        <f>D433*F433*G433</f>
        <v>0</v>
      </c>
      <c r="I433" s="410"/>
      <c r="J433" s="411"/>
      <c r="K433" s="412"/>
    </row>
    <row r="434" spans="1:11" ht="15.75" thickBot="1" x14ac:dyDescent="0.3">
      <c r="A434" s="680"/>
      <c r="B434" s="683"/>
      <c r="C434" s="415" t="s">
        <v>158</v>
      </c>
      <c r="D434" s="416"/>
      <c r="E434" s="574"/>
      <c r="F434" s="417"/>
      <c r="G434" s="418">
        <f>IF(E434&lt;8,Factors!H$18,IF(E434&lt;9,Factors!H$19,IF(E434&lt;10,Factors!H$20,IF(E434&lt;11,Factors!H$21,IF(E434&lt;12,Factors!H$22,IF(E434&lt;13,Factors!H$23))))))</f>
        <v>1.3238434163701067</v>
      </c>
      <c r="H434" s="419">
        <f>D434*F434*G434</f>
        <v>0</v>
      </c>
      <c r="I434" s="420"/>
      <c r="J434" s="421"/>
      <c r="K434" s="421"/>
    </row>
    <row r="435" spans="1:11" ht="15.75" thickTop="1" x14ac:dyDescent="0.25">
      <c r="A435" s="681"/>
      <c r="B435" s="684"/>
      <c r="C435" s="422"/>
      <c r="D435" s="423"/>
      <c r="E435" s="425"/>
      <c r="F435" s="424"/>
      <c r="G435" s="425"/>
      <c r="H435" s="426">
        <f>SUM(H430:H434)</f>
        <v>139.95733548168249</v>
      </c>
      <c r="I435" s="427">
        <f>D10</f>
        <v>1.4484418256488258</v>
      </c>
      <c r="J435" s="428">
        <f>H435*I435*J$13+K435</f>
        <v>260.49527519567289</v>
      </c>
      <c r="K435" s="429">
        <f>K434+K433</f>
        <v>0</v>
      </c>
    </row>
    <row r="436" spans="1:11" x14ac:dyDescent="0.25">
      <c r="B436" s="397"/>
      <c r="E436" s="414"/>
    </row>
    <row r="437" spans="1:11" x14ac:dyDescent="0.25">
      <c r="A437" s="679" t="s">
        <v>7</v>
      </c>
      <c r="B437" s="682">
        <f>B430+1</f>
        <v>45936</v>
      </c>
      <c r="C437" s="398" t="s">
        <v>9</v>
      </c>
      <c r="D437" s="399">
        <v>53</v>
      </c>
      <c r="E437" s="573">
        <v>8.5</v>
      </c>
      <c r="F437" s="400">
        <v>1</v>
      </c>
      <c r="G437" s="401">
        <f>IF(E437&lt;8,Factors!F$18,IF(E437&lt;9,Factors!F$19,IF(E437&lt;10,Factors!F$20,IF(E437&lt;11,Factors!F$21,IF(E437&lt;12,Factors!F$22,IF(E437&lt;13,Factors!F$23))))))</f>
        <v>1.0980113636363635</v>
      </c>
      <c r="H437" s="402">
        <f>D437*F437*G437</f>
        <v>58.194602272727266</v>
      </c>
      <c r="I437" s="403"/>
      <c r="J437" s="404"/>
      <c r="K437" s="405"/>
    </row>
    <row r="438" spans="1:11" x14ac:dyDescent="0.25">
      <c r="A438" s="680"/>
      <c r="B438" s="683"/>
      <c r="C438" s="406" t="s">
        <v>174</v>
      </c>
      <c r="D438" s="363">
        <v>13</v>
      </c>
      <c r="E438" s="414">
        <v>9.5</v>
      </c>
      <c r="F438" s="407">
        <v>1</v>
      </c>
      <c r="G438" s="408">
        <f>IF(E438&lt;8,Factors!H$18,IF(E438&lt;9,Factors!H$19,IF(E438&lt;10,Factors!H$20,IF(E438&lt;11,Factors!H$21,IF(E438&lt;12,Factors!H$22,IF(E438&lt;13,Factors!H$23))))))</f>
        <v>1.024793388429752</v>
      </c>
      <c r="H438" s="409">
        <f>D438*F438*G438</f>
        <v>13.322314049586776</v>
      </c>
      <c r="I438" s="410"/>
      <c r="J438" s="411"/>
      <c r="K438" s="412"/>
    </row>
    <row r="439" spans="1:11" x14ac:dyDescent="0.25">
      <c r="A439" s="680" t="s">
        <v>94</v>
      </c>
      <c r="B439" s="683"/>
      <c r="C439" s="406" t="s">
        <v>43</v>
      </c>
      <c r="D439" s="363">
        <v>14</v>
      </c>
      <c r="E439" s="414">
        <v>8.43</v>
      </c>
      <c r="F439" s="407">
        <v>1</v>
      </c>
      <c r="G439" s="408">
        <f>IF(E439&lt;8,Factors!H$18,IF(E439&lt;9,Factors!H$19,IF(E439&lt;10,Factors!H$20,IF(E439&lt;11,Factors!H$21,IF(E439&lt;12,Factors!H$22,IF(E439&lt;13,Factors!H$23))))))</f>
        <v>1.1104477611940298</v>
      </c>
      <c r="H439" s="409">
        <f>D439*F439*G439</f>
        <v>15.546268656716418</v>
      </c>
      <c r="I439" s="406"/>
      <c r="J439" s="411"/>
      <c r="K439" s="412"/>
    </row>
    <row r="440" spans="1:11" x14ac:dyDescent="0.25">
      <c r="A440" s="680"/>
      <c r="B440" s="683"/>
      <c r="C440" s="406" t="s">
        <v>166</v>
      </c>
      <c r="E440" s="414"/>
      <c r="F440" s="407"/>
      <c r="G440" s="408">
        <f>IF(E440&lt;8,Factors!H$18,IF(E440&lt;9,Factors!H$19,IF(E440&lt;10,Factors!H$20,IF(E440&lt;11,Factors!H$21,IF(E440&lt;12,Factors!H$22,IF(E440&lt;13,Factors!H$23))))))</f>
        <v>1.3238434163701067</v>
      </c>
      <c r="H440" s="409">
        <f>D440*F440*G440</f>
        <v>0</v>
      </c>
      <c r="I440" s="410"/>
      <c r="J440" s="411"/>
      <c r="K440" s="412"/>
    </row>
    <row r="441" spans="1:11" ht="15.75" thickBot="1" x14ac:dyDescent="0.3">
      <c r="A441" s="680"/>
      <c r="B441" s="683"/>
      <c r="C441" s="415" t="s">
        <v>158</v>
      </c>
      <c r="D441" s="416"/>
      <c r="E441" s="574"/>
      <c r="F441" s="417"/>
      <c r="G441" s="418">
        <f>IF(E441&lt;8,Factors!H$18,IF(E441&lt;9,Factors!H$19,IF(E441&lt;10,Factors!H$20,IF(E441&lt;11,Factors!H$21,IF(E441&lt;12,Factors!H$22,IF(E441&lt;13,Factors!H$23))))))</f>
        <v>1.3238434163701067</v>
      </c>
      <c r="H441" s="419">
        <f>D441*F441*G441</f>
        <v>0</v>
      </c>
      <c r="I441" s="420"/>
      <c r="J441" s="421"/>
      <c r="K441" s="421"/>
    </row>
    <row r="442" spans="1:11" ht="15.75" thickTop="1" x14ac:dyDescent="0.25">
      <c r="A442" s="681"/>
      <c r="B442" s="684"/>
      <c r="C442" s="422"/>
      <c r="D442" s="423"/>
      <c r="E442" s="425"/>
      <c r="F442" s="424"/>
      <c r="G442" s="425"/>
      <c r="H442" s="426">
        <f>SUM(H437:H441)</f>
        <v>87.063184979030467</v>
      </c>
      <c r="I442" s="427">
        <f>D10</f>
        <v>1.4484418256488258</v>
      </c>
      <c r="J442" s="428">
        <f>H442*I442*J$13+K442</f>
        <v>162.04615679820938</v>
      </c>
      <c r="K442" s="429">
        <f>K441+K440</f>
        <v>0</v>
      </c>
    </row>
    <row r="443" spans="1:11" x14ac:dyDescent="0.25">
      <c r="E443" s="414"/>
      <c r="J443" s="430"/>
    </row>
    <row r="444" spans="1:11" x14ac:dyDescent="0.25">
      <c r="A444" s="679" t="s">
        <v>94</v>
      </c>
      <c r="B444" s="682">
        <f>B437+1</f>
        <v>45937</v>
      </c>
      <c r="C444" s="398" t="s">
        <v>9</v>
      </c>
      <c r="D444" s="399">
        <v>53</v>
      </c>
      <c r="E444" s="573">
        <v>9.1</v>
      </c>
      <c r="F444" s="400">
        <v>1</v>
      </c>
      <c r="G444" s="401">
        <f>IF(E444&lt;8,Factors!F$18,IF(E444&lt;9,Factors!F$19,IF(E444&lt;10,Factors!F$20,IF(E444&lt;11,Factors!F$21,IF(E444&lt;12,Factors!F$22,IF(E444&lt;13,Factors!F$23))))))</f>
        <v>1.034805890227577</v>
      </c>
      <c r="H444" s="402">
        <f>D444*F444*G444</f>
        <v>54.844712182061578</v>
      </c>
      <c r="I444" s="403"/>
      <c r="J444" s="404"/>
      <c r="K444" s="405"/>
    </row>
    <row r="445" spans="1:11" x14ac:dyDescent="0.25">
      <c r="A445" s="680"/>
      <c r="B445" s="683"/>
      <c r="C445" s="406" t="s">
        <v>174</v>
      </c>
      <c r="D445" s="363">
        <v>9</v>
      </c>
      <c r="E445" s="414">
        <v>7.8</v>
      </c>
      <c r="F445" s="407">
        <v>1</v>
      </c>
      <c r="G445" s="408">
        <f>IF(E445&lt;8,Factors!H$18,IF(E445&lt;9,Factors!H$19,IF(E445&lt;10,Factors!H$20,IF(E445&lt;11,Factors!H$21,IF(E445&lt;12,Factors!H$22,IF(E445&lt;13,Factors!H$23))))))</f>
        <v>1.3238434163701067</v>
      </c>
      <c r="H445" s="409">
        <f>D445*F445*G445</f>
        <v>11.91459074733096</v>
      </c>
      <c r="I445" s="410"/>
      <c r="J445" s="411"/>
      <c r="K445" s="412"/>
    </row>
    <row r="446" spans="1:11" x14ac:dyDescent="0.25">
      <c r="A446" s="680" t="s">
        <v>94</v>
      </c>
      <c r="B446" s="683"/>
      <c r="C446" s="406" t="s">
        <v>43</v>
      </c>
      <c r="D446" s="363">
        <v>13</v>
      </c>
      <c r="E446" s="414">
        <v>7.4</v>
      </c>
      <c r="F446" s="407">
        <v>1</v>
      </c>
      <c r="G446" s="408">
        <f>IF(E446&lt;8,Factors!H$18,IF(E446&lt;9,Factors!H$19,IF(E446&lt;10,Factors!H$20,IF(E446&lt;11,Factors!H$21,IF(E446&lt;12,Factors!H$22,IF(E446&lt;13,Factors!H$23))))))</f>
        <v>1.3238434163701067</v>
      </c>
      <c r="H446" s="409">
        <f>D446*F446*G446</f>
        <v>17.209964412811388</v>
      </c>
      <c r="I446" s="406"/>
      <c r="J446" s="411"/>
      <c r="K446" s="412"/>
    </row>
    <row r="447" spans="1:11" x14ac:dyDescent="0.25">
      <c r="A447" s="680"/>
      <c r="B447" s="683"/>
      <c r="C447" s="406" t="s">
        <v>166</v>
      </c>
      <c r="E447" s="414"/>
      <c r="F447" s="407"/>
      <c r="G447" s="408">
        <f>IF(E447&lt;8,Factors!H$18,IF(E447&lt;9,Factors!H$19,IF(E447&lt;10,Factors!H$20,IF(E447&lt;11,Factors!H$21,IF(E447&lt;12,Factors!H$22,IF(E447&lt;13,Factors!H$23))))))</f>
        <v>1.3238434163701067</v>
      </c>
      <c r="H447" s="409">
        <f>D447*F447*G447</f>
        <v>0</v>
      </c>
      <c r="I447" s="410"/>
      <c r="J447" s="411"/>
      <c r="K447" s="412"/>
    </row>
    <row r="448" spans="1:11" ht="15.75" thickBot="1" x14ac:dyDescent="0.3">
      <c r="A448" s="680"/>
      <c r="B448" s="683"/>
      <c r="C448" s="415" t="s">
        <v>158</v>
      </c>
      <c r="D448" s="416"/>
      <c r="E448" s="574"/>
      <c r="F448" s="417"/>
      <c r="G448" s="418">
        <f>IF(E448&lt;8,Factors!H$18,IF(E448&lt;9,Factors!H$19,IF(E448&lt;10,Factors!H$20,IF(E448&lt;11,Factors!H$21,IF(E448&lt;12,Factors!H$22,IF(E448&lt;13,Factors!H$23))))))</f>
        <v>1.3238434163701067</v>
      </c>
      <c r="H448" s="419">
        <f>D448*F448*G448</f>
        <v>0</v>
      </c>
      <c r="I448" s="420"/>
      <c r="J448" s="421"/>
      <c r="K448" s="421"/>
    </row>
    <row r="449" spans="1:11" ht="15.75" thickTop="1" x14ac:dyDescent="0.25">
      <c r="A449" s="681"/>
      <c r="B449" s="684"/>
      <c r="C449" s="422"/>
      <c r="D449" s="423"/>
      <c r="E449" s="425"/>
      <c r="F449" s="424"/>
      <c r="G449" s="425"/>
      <c r="H449" s="426">
        <f>SUM(H444:H448)</f>
        <v>83.969267342203921</v>
      </c>
      <c r="I449" s="427">
        <f>D10</f>
        <v>1.4484418256488258</v>
      </c>
      <c r="J449" s="428">
        <f>H449*I449*J$13+K449</f>
        <v>156.28760957048399</v>
      </c>
      <c r="K449" s="429">
        <f>K448+K447</f>
        <v>0</v>
      </c>
    </row>
    <row r="450" spans="1:11" x14ac:dyDescent="0.25">
      <c r="B450" s="397"/>
      <c r="E450" s="414"/>
      <c r="F450" s="407"/>
    </row>
    <row r="451" spans="1:11" x14ac:dyDescent="0.25">
      <c r="A451" s="679" t="s">
        <v>11</v>
      </c>
      <c r="B451" s="682">
        <f>B444+1</f>
        <v>45938</v>
      </c>
      <c r="C451" s="398" t="s">
        <v>9</v>
      </c>
      <c r="D451" s="399">
        <v>61</v>
      </c>
      <c r="E451" s="573">
        <v>8.4</v>
      </c>
      <c r="F451" s="400">
        <v>1</v>
      </c>
      <c r="G451" s="401">
        <f>IF(E451&lt;8,Factors!F$18,IF(E451&lt;9,Factors!F$19,IF(E451&lt;10,Factors!F$20,IF(E451&lt;11,Factors!F$21,IF(E451&lt;12,Factors!F$22,IF(E451&lt;13,Factors!F$23))))))</f>
        <v>1.0980113636363635</v>
      </c>
      <c r="H451" s="402">
        <f>D451*F451*G451</f>
        <v>66.978693181818173</v>
      </c>
      <c r="I451" s="403"/>
      <c r="J451" s="404"/>
      <c r="K451" s="405"/>
    </row>
    <row r="452" spans="1:11" x14ac:dyDescent="0.25">
      <c r="A452" s="680"/>
      <c r="B452" s="683"/>
      <c r="C452" s="406" t="s">
        <v>174</v>
      </c>
      <c r="E452" s="414"/>
      <c r="F452" s="407"/>
      <c r="G452" s="408">
        <f>IF(E452&lt;8,Factors!H$18,IF(E452&lt;9,Factors!H$19,IF(E452&lt;10,Factors!H$20,IF(E452&lt;11,Factors!H$21,IF(E452&lt;12,Factors!H$22,IF(E452&lt;13,Factors!H$23))))))</f>
        <v>1.3238434163701067</v>
      </c>
      <c r="H452" s="409">
        <f>D452*F452*G452</f>
        <v>0</v>
      </c>
      <c r="I452" s="410"/>
      <c r="J452" s="411"/>
      <c r="K452" s="412"/>
    </row>
    <row r="453" spans="1:11" x14ac:dyDescent="0.25">
      <c r="A453" s="680" t="s">
        <v>94</v>
      </c>
      <c r="B453" s="683"/>
      <c r="C453" s="406" t="s">
        <v>43</v>
      </c>
      <c r="D453" s="363">
        <v>18</v>
      </c>
      <c r="E453" s="414">
        <v>7.9</v>
      </c>
      <c r="F453" s="407">
        <v>1</v>
      </c>
      <c r="G453" s="408">
        <f>IF(E453&lt;8,Factors!H$18,IF(E453&lt;9,Factors!H$19,IF(E453&lt;10,Factors!H$20,IF(E453&lt;11,Factors!H$21,IF(E453&lt;12,Factors!H$22,IF(E453&lt;13,Factors!H$23))))))</f>
        <v>1.3238434163701067</v>
      </c>
      <c r="H453" s="409">
        <f>D453*F453*G453</f>
        <v>23.82918149466192</v>
      </c>
      <c r="I453" s="406"/>
      <c r="J453" s="411"/>
      <c r="K453" s="412"/>
    </row>
    <row r="454" spans="1:11" x14ac:dyDescent="0.25">
      <c r="A454" s="680"/>
      <c r="B454" s="683"/>
      <c r="C454" s="406" t="s">
        <v>166</v>
      </c>
      <c r="E454" s="414"/>
      <c r="F454" s="407"/>
      <c r="G454" s="408">
        <f>IF(E454&lt;8,Factors!H$18,IF(E454&lt;9,Factors!H$19,IF(E454&lt;10,Factors!H$20,IF(E454&lt;11,Factors!H$21,IF(E454&lt;12,Factors!H$22,IF(E454&lt;13,Factors!H$23))))))</f>
        <v>1.3238434163701067</v>
      </c>
      <c r="H454" s="409">
        <f>D454*F454*G454</f>
        <v>0</v>
      </c>
      <c r="I454" s="410"/>
      <c r="J454" s="411"/>
      <c r="K454" s="412"/>
    </row>
    <row r="455" spans="1:11" ht="15.75" thickBot="1" x14ac:dyDescent="0.3">
      <c r="A455" s="680"/>
      <c r="B455" s="683"/>
      <c r="C455" s="415" t="s">
        <v>158</v>
      </c>
      <c r="D455" s="416"/>
      <c r="E455" s="574"/>
      <c r="F455" s="417"/>
      <c r="G455" s="418">
        <f>IF(E455&lt;8,Factors!H$18,IF(E455&lt;9,Factors!H$19,IF(E455&lt;10,Factors!H$20,IF(E455&lt;11,Factors!H$21,IF(E455&lt;12,Factors!H$22,IF(E455&lt;13,Factors!H$23))))))</f>
        <v>1.3238434163701067</v>
      </c>
      <c r="H455" s="419">
        <f>D455*F455*G455</f>
        <v>0</v>
      </c>
      <c r="I455" s="420"/>
      <c r="J455" s="421"/>
      <c r="K455" s="421"/>
    </row>
    <row r="456" spans="1:11" ht="15.75" thickTop="1" x14ac:dyDescent="0.25">
      <c r="A456" s="681"/>
      <c r="B456" s="684"/>
      <c r="C456" s="422"/>
      <c r="D456" s="423"/>
      <c r="E456" s="425"/>
      <c r="F456" s="424"/>
      <c r="G456" s="425"/>
      <c r="H456" s="426">
        <f>SUM(H451:H455)</f>
        <v>90.807874676480097</v>
      </c>
      <c r="I456" s="427">
        <f>J10</f>
        <v>1.70018945221205</v>
      </c>
      <c r="J456" s="428">
        <f>H456*I456*J$13+K456</f>
        <v>198.39190905302755</v>
      </c>
      <c r="K456" s="429">
        <f>K455+K454</f>
        <v>0</v>
      </c>
    </row>
    <row r="457" spans="1:11" x14ac:dyDescent="0.25">
      <c r="B457" s="397"/>
      <c r="E457" s="414"/>
      <c r="J457" s="430"/>
    </row>
    <row r="458" spans="1:11" x14ac:dyDescent="0.25">
      <c r="A458" s="679" t="s">
        <v>95</v>
      </c>
      <c r="B458" s="682">
        <f>B451+1</f>
        <v>45939</v>
      </c>
      <c r="C458" s="398" t="s">
        <v>9</v>
      </c>
      <c r="D458" s="399">
        <v>36</v>
      </c>
      <c r="E458" s="573">
        <v>10.3</v>
      </c>
      <c r="F458" s="400">
        <v>1</v>
      </c>
      <c r="G458" s="401">
        <f>IF(E458&lt;8,Factors!F$18,IF(E458&lt;9,Factors!F$19,IF(E458&lt;10,Factors!F$20,IF(E458&lt;11,Factors!F$21,IF(E458&lt;12,Factors!F$22,IF(E458&lt;13,Factors!F$23))))))</f>
        <v>1.0104575163398692</v>
      </c>
      <c r="H458" s="402">
        <f>D458*F458*G458</f>
        <v>36.376470588235293</v>
      </c>
      <c r="I458" s="403"/>
      <c r="J458" s="404"/>
      <c r="K458" s="405"/>
    </row>
    <row r="459" spans="1:11" x14ac:dyDescent="0.25">
      <c r="A459" s="680"/>
      <c r="B459" s="683"/>
      <c r="C459" s="406" t="s">
        <v>174</v>
      </c>
      <c r="D459" s="363">
        <v>10</v>
      </c>
      <c r="E459" s="414">
        <v>9.8000000000000007</v>
      </c>
      <c r="F459" s="407">
        <v>1</v>
      </c>
      <c r="G459" s="408">
        <f>IF(E459&lt;8,Factors!H$18,IF(E459&lt;9,Factors!H$19,IF(E459&lt;10,Factors!H$20,IF(E459&lt;11,Factors!H$21,IF(E459&lt;12,Factors!H$22,IF(E459&lt;13,Factors!H$23))))))</f>
        <v>1.024793388429752</v>
      </c>
      <c r="H459" s="409">
        <f>D459*F459*G459</f>
        <v>10.24793388429752</v>
      </c>
      <c r="I459" s="410"/>
      <c r="J459" s="411"/>
      <c r="K459" s="412"/>
    </row>
    <row r="460" spans="1:11" x14ac:dyDescent="0.25">
      <c r="A460" s="680" t="s">
        <v>94</v>
      </c>
      <c r="B460" s="683"/>
      <c r="C460" s="406" t="s">
        <v>43</v>
      </c>
      <c r="D460" s="363">
        <v>22</v>
      </c>
      <c r="E460" s="414">
        <v>9</v>
      </c>
      <c r="F460" s="407">
        <v>1</v>
      </c>
      <c r="G460" s="408">
        <f>IF(E460&lt;8,Factors!H$18,IF(E460&lt;9,Factors!H$19,IF(E460&lt;10,Factors!H$20,IF(E460&lt;11,Factors!H$21,IF(E460&lt;12,Factors!H$22,IF(E460&lt;13,Factors!H$23))))))</f>
        <v>1.024793388429752</v>
      </c>
      <c r="H460" s="409">
        <f>D460*F460*G460</f>
        <v>22.545454545454543</v>
      </c>
      <c r="I460" s="406"/>
      <c r="J460" s="411"/>
      <c r="K460" s="412"/>
    </row>
    <row r="461" spans="1:11" x14ac:dyDescent="0.25">
      <c r="A461" s="680"/>
      <c r="B461" s="683"/>
      <c r="C461" s="406" t="s">
        <v>166</v>
      </c>
      <c r="E461" s="414"/>
      <c r="F461" s="407"/>
      <c r="G461" s="408">
        <f>IF(E461&lt;8,Factors!H$18,IF(E461&lt;9,Factors!H$19,IF(E461&lt;10,Factors!H$20,IF(E461&lt;11,Factors!H$21,IF(E461&lt;12,Factors!H$22,IF(E461&lt;13,Factors!H$23))))))</f>
        <v>1.3238434163701067</v>
      </c>
      <c r="H461" s="409">
        <f>D461*F461*G461</f>
        <v>0</v>
      </c>
      <c r="I461" s="410"/>
      <c r="J461" s="411"/>
      <c r="K461" s="412"/>
    </row>
    <row r="462" spans="1:11" ht="15.75" thickBot="1" x14ac:dyDescent="0.3">
      <c r="A462" s="680"/>
      <c r="B462" s="683"/>
      <c r="C462" s="415" t="s">
        <v>158</v>
      </c>
      <c r="D462" s="416"/>
      <c r="E462" s="574"/>
      <c r="F462" s="417"/>
      <c r="G462" s="418">
        <f>IF(E462&lt;8,Factors!H$18,IF(E462&lt;9,Factors!H$19,IF(E462&lt;10,Factors!H$20,IF(E462&lt;11,Factors!H$21,IF(E462&lt;12,Factors!H$22,IF(E462&lt;13,Factors!H$23))))))</f>
        <v>1.3238434163701067</v>
      </c>
      <c r="H462" s="419">
        <f>D462*F462*G462</f>
        <v>0</v>
      </c>
      <c r="I462" s="420"/>
      <c r="J462" s="421"/>
      <c r="K462" s="421"/>
    </row>
    <row r="463" spans="1:11" ht="15.75" thickTop="1" x14ac:dyDescent="0.25">
      <c r="A463" s="681"/>
      <c r="B463" s="684"/>
      <c r="C463" s="422"/>
      <c r="D463" s="423"/>
      <c r="E463" s="425"/>
      <c r="F463" s="424"/>
      <c r="G463" s="425"/>
      <c r="H463" s="426">
        <f>SUM(H458:H462)</f>
        <v>69.169859017987363</v>
      </c>
      <c r="I463" s="427">
        <f>D10</f>
        <v>1.4484418256488258</v>
      </c>
      <c r="J463" s="428">
        <f>H463*I463*J$13+K463</f>
        <v>128.74224418551287</v>
      </c>
      <c r="K463" s="429">
        <f>K462+K461</f>
        <v>0</v>
      </c>
    </row>
    <row r="464" spans="1:11" x14ac:dyDescent="0.25">
      <c r="B464" s="397"/>
      <c r="E464" s="414"/>
    </row>
    <row r="465" spans="1:11" x14ac:dyDescent="0.25">
      <c r="A465" s="679" t="s">
        <v>13</v>
      </c>
      <c r="B465" s="682">
        <f>B458+1</f>
        <v>45940</v>
      </c>
      <c r="C465" s="398" t="s">
        <v>9</v>
      </c>
      <c r="D465" s="399">
        <v>67</v>
      </c>
      <c r="E465" s="573">
        <v>9</v>
      </c>
      <c r="F465" s="400">
        <f>23/23</f>
        <v>1</v>
      </c>
      <c r="G465" s="401">
        <f>IF(E465&lt;8,Factors!F$18,IF(E465&lt;9,Factors!F$19,IF(E465&lt;10,Factors!F$20,IF(E465&lt;11,Factors!F$21,IF(E465&lt;12,Factors!F$22,IF(E465&lt;13,Factors!F$23))))))</f>
        <v>1.034805890227577</v>
      </c>
      <c r="H465" s="402">
        <f>D465*F465*G465</f>
        <v>69.331994645247661</v>
      </c>
      <c r="I465" s="403"/>
      <c r="J465" s="404"/>
      <c r="K465" s="405"/>
    </row>
    <row r="466" spans="1:11" x14ac:dyDescent="0.25">
      <c r="A466" s="680"/>
      <c r="B466" s="683"/>
      <c r="C466" s="406" t="s">
        <v>174</v>
      </c>
      <c r="D466" s="363">
        <v>17</v>
      </c>
      <c r="E466" s="414">
        <v>8.3000000000000007</v>
      </c>
      <c r="F466" s="407">
        <f>9/9</f>
        <v>1</v>
      </c>
      <c r="G466" s="408">
        <f>IF(E466&lt;8,Factors!H$18,IF(E466&lt;9,Factors!H$19,IF(E466&lt;10,Factors!H$20,IF(E466&lt;11,Factors!H$21,IF(E466&lt;12,Factors!H$22,IF(E466&lt;13,Factors!H$23))))))</f>
        <v>1.1104477611940298</v>
      </c>
      <c r="H466" s="409">
        <f>D466*F466*G466</f>
        <v>18.877611940298507</v>
      </c>
      <c r="I466" s="410"/>
      <c r="J466" s="411"/>
      <c r="K466" s="412"/>
    </row>
    <row r="467" spans="1:11" x14ac:dyDescent="0.25">
      <c r="A467" s="680" t="s">
        <v>94</v>
      </c>
      <c r="B467" s="683"/>
      <c r="C467" s="406" t="s">
        <v>43</v>
      </c>
      <c r="D467" s="363">
        <v>18</v>
      </c>
      <c r="E467" s="414">
        <v>9.6999999999999993</v>
      </c>
      <c r="F467" s="407">
        <f>17/19</f>
        <v>0.89473684210526316</v>
      </c>
      <c r="G467" s="408">
        <f>IF(E467&lt;8,Factors!H$18,IF(E467&lt;9,Factors!H$19,IF(E467&lt;10,Factors!H$20,IF(E467&lt;11,Factors!H$21,IF(E467&lt;12,Factors!H$22,IF(E467&lt;13,Factors!H$23))))))</f>
        <v>1.024793388429752</v>
      </c>
      <c r="H467" s="409">
        <f>D467*F467*G467</f>
        <v>16.504567203131796</v>
      </c>
      <c r="I467" s="406"/>
      <c r="J467" s="411"/>
      <c r="K467" s="412"/>
    </row>
    <row r="468" spans="1:11" x14ac:dyDescent="0.25">
      <c r="A468" s="680"/>
      <c r="B468" s="683"/>
      <c r="C468" s="406" t="s">
        <v>166</v>
      </c>
      <c r="E468" s="414"/>
      <c r="F468" s="407"/>
      <c r="G468" s="408">
        <f>IF(E468&lt;8,Factors!H$18,IF(E468&lt;9,Factors!H$19,IF(E468&lt;10,Factors!H$20,IF(E468&lt;11,Factors!H$21,IF(E468&lt;12,Factors!H$22,IF(E468&lt;13,Factors!H$23))))))</f>
        <v>1.3238434163701067</v>
      </c>
      <c r="H468" s="409">
        <f>D468*F468*G468</f>
        <v>0</v>
      </c>
      <c r="I468" s="410"/>
      <c r="J468" s="411"/>
      <c r="K468" s="412"/>
    </row>
    <row r="469" spans="1:11" ht="15.75" thickBot="1" x14ac:dyDescent="0.3">
      <c r="A469" s="680"/>
      <c r="B469" s="683"/>
      <c r="C469" s="415" t="s">
        <v>158</v>
      </c>
      <c r="D469" s="416"/>
      <c r="E469" s="574"/>
      <c r="F469" s="417"/>
      <c r="G469" s="418">
        <f>IF(E469&lt;8,Factors!H$18,IF(E469&lt;9,Factors!H$19,IF(E469&lt;10,Factors!H$20,IF(E469&lt;11,Factors!H$21,IF(E469&lt;12,Factors!H$22,IF(E469&lt;13,Factors!H$23))))))</f>
        <v>1.3238434163701067</v>
      </c>
      <c r="H469" s="419">
        <f>D469*F469*G469</f>
        <v>0</v>
      </c>
      <c r="I469" s="420"/>
      <c r="J469" s="421"/>
      <c r="K469" s="421"/>
    </row>
    <row r="470" spans="1:11" ht="15.75" thickTop="1" x14ac:dyDescent="0.25">
      <c r="A470" s="681"/>
      <c r="B470" s="684"/>
      <c r="C470" s="422"/>
      <c r="D470" s="423"/>
      <c r="E470" s="425"/>
      <c r="F470" s="424"/>
      <c r="G470" s="425"/>
      <c r="H470" s="426">
        <f>SUM(H465:H469)</f>
        <v>104.71417378867797</v>
      </c>
      <c r="I470" s="427">
        <f>D10</f>
        <v>1.4484418256488258</v>
      </c>
      <c r="J470" s="428">
        <f>H470*I470*J$13+K470</f>
        <v>194.89901993410874</v>
      </c>
      <c r="K470" s="429">
        <f>K469+K468</f>
        <v>0</v>
      </c>
    </row>
    <row r="471" spans="1:11" x14ac:dyDescent="0.25">
      <c r="B471" s="397"/>
      <c r="E471" s="414"/>
    </row>
    <row r="472" spans="1:11" x14ac:dyDescent="0.25">
      <c r="A472" s="680" t="s">
        <v>14</v>
      </c>
      <c r="B472" s="682">
        <f>B465+1</f>
        <v>45941</v>
      </c>
      <c r="C472" s="398" t="s">
        <v>9</v>
      </c>
      <c r="D472" s="399">
        <v>57</v>
      </c>
      <c r="E472" s="573">
        <v>8.5</v>
      </c>
      <c r="F472" s="400">
        <v>1</v>
      </c>
      <c r="G472" s="401">
        <f>IF(E472&lt;8,Factors!F$18,IF(E472&lt;9,Factors!F$19,IF(E472&lt;10,Factors!F$20,IF(E472&lt;11,Factors!F$21,IF(E472&lt;12,Factors!F$22,IF(E472&lt;13,Factors!F$23))))))</f>
        <v>1.0980113636363635</v>
      </c>
      <c r="H472" s="402">
        <f>D472*F472*G472</f>
        <v>62.58664772727272</v>
      </c>
      <c r="I472" s="403"/>
      <c r="J472" s="404"/>
      <c r="K472" s="405"/>
    </row>
    <row r="473" spans="1:11" x14ac:dyDescent="0.25">
      <c r="A473" s="680"/>
      <c r="B473" s="683"/>
      <c r="C473" s="406" t="s">
        <v>174</v>
      </c>
      <c r="D473" s="363">
        <v>17</v>
      </c>
      <c r="E473" s="414">
        <v>7.4</v>
      </c>
      <c r="F473" s="407">
        <v>1</v>
      </c>
      <c r="G473" s="408">
        <f>IF(E473&lt;8,Factors!H$18,IF(E473&lt;9,Factors!H$19,IF(E473&lt;10,Factors!H$20,IF(E473&lt;11,Factors!H$21,IF(E473&lt;12,Factors!H$22,IF(E473&lt;13,Factors!H$23))))))</f>
        <v>1.3238434163701067</v>
      </c>
      <c r="H473" s="409">
        <f>D473*F473*G473</f>
        <v>22.505338078291814</v>
      </c>
      <c r="I473" s="410"/>
      <c r="J473" s="411"/>
      <c r="K473" s="412"/>
    </row>
    <row r="474" spans="1:11" x14ac:dyDescent="0.25">
      <c r="A474" s="680" t="s">
        <v>94</v>
      </c>
      <c r="B474" s="683"/>
      <c r="C474" s="406" t="s">
        <v>43</v>
      </c>
      <c r="D474" s="444">
        <v>19</v>
      </c>
      <c r="E474" s="578">
        <v>8</v>
      </c>
      <c r="F474" s="407">
        <v>1</v>
      </c>
      <c r="G474" s="408">
        <f>IF(E474&lt;8,Factors!H$18,IF(E474&lt;9,Factors!H$19,IF(E474&lt;10,Factors!H$20,IF(E474&lt;11,Factors!H$21,IF(E474&lt;12,Factors!H$22,IF(E474&lt;13,Factors!H$23))))))</f>
        <v>1.1104477611940298</v>
      </c>
      <c r="H474" s="409">
        <f>D474*F474*G474</f>
        <v>21.098507462686566</v>
      </c>
      <c r="I474" s="406"/>
      <c r="J474" s="411"/>
      <c r="K474" s="412"/>
    </row>
    <row r="475" spans="1:11" x14ac:dyDescent="0.25">
      <c r="A475" s="680"/>
      <c r="B475" s="683"/>
      <c r="C475" s="406" t="s">
        <v>166</v>
      </c>
      <c r="D475" s="363">
        <v>3</v>
      </c>
      <c r="E475" s="414">
        <v>8.8000000000000007</v>
      </c>
      <c r="F475" s="407">
        <v>1</v>
      </c>
      <c r="G475" s="408">
        <f>IF(E475&lt;8,Factors!H$18,IF(E475&lt;9,Factors!H$19,IF(E475&lt;10,Factors!H$20,IF(E475&lt;11,Factors!H$21,IF(E475&lt;12,Factors!H$22,IF(E475&lt;13,Factors!H$23))))))</f>
        <v>1.1104477611940298</v>
      </c>
      <c r="H475" s="409">
        <f>D475*F475*G475</f>
        <v>3.3313432835820893</v>
      </c>
      <c r="I475" s="410"/>
      <c r="J475" s="411"/>
      <c r="K475" s="412"/>
    </row>
    <row r="476" spans="1:11" ht="15.75" thickBot="1" x14ac:dyDescent="0.3">
      <c r="A476" s="680"/>
      <c r="B476" s="683"/>
      <c r="C476" s="415" t="s">
        <v>158</v>
      </c>
      <c r="D476" s="416">
        <v>10</v>
      </c>
      <c r="E476" s="574">
        <v>9</v>
      </c>
      <c r="F476" s="417">
        <v>1</v>
      </c>
      <c r="G476" s="418">
        <f>IF(E476&lt;8,Factors!H$18,IF(E476&lt;9,Factors!H$19,IF(E476&lt;10,Factors!H$20,IF(E476&lt;11,Factors!H$21,IF(E476&lt;12,Factors!H$22,IF(E476&lt;13,Factors!H$23))))))</f>
        <v>1.024793388429752</v>
      </c>
      <c r="H476" s="419">
        <f>D476*F476*G476</f>
        <v>10.24793388429752</v>
      </c>
      <c r="I476" s="420"/>
      <c r="J476" s="421"/>
      <c r="K476" s="421"/>
    </row>
    <row r="477" spans="1:11" ht="15.75" thickTop="1" x14ac:dyDescent="0.25">
      <c r="A477" s="681"/>
      <c r="B477" s="684"/>
      <c r="C477" s="422"/>
      <c r="D477" s="423"/>
      <c r="E477" s="425"/>
      <c r="F477" s="424"/>
      <c r="G477" s="425"/>
      <c r="H477" s="426">
        <f>SUM(H472:H476)</f>
        <v>119.76977043613071</v>
      </c>
      <c r="I477" s="427">
        <f>D10</f>
        <v>1.4484418256488258</v>
      </c>
      <c r="J477" s="428">
        <f>H477*I477*J$13+K477</f>
        <v>222.92121525824416</v>
      </c>
      <c r="K477" s="429">
        <f>K476+K475</f>
        <v>0</v>
      </c>
    </row>
    <row r="478" spans="1:11" x14ac:dyDescent="0.25">
      <c r="B478" s="397"/>
      <c r="E478" s="414"/>
      <c r="G478" s="414"/>
      <c r="H478" s="414"/>
      <c r="I478" s="430"/>
    </row>
    <row r="479" spans="1:11" x14ac:dyDescent="0.25">
      <c r="A479" s="679" t="s">
        <v>15</v>
      </c>
      <c r="B479" s="682">
        <f>B472+1</f>
        <v>45942</v>
      </c>
      <c r="C479" s="398" t="s">
        <v>9</v>
      </c>
      <c r="D479" s="399">
        <v>48</v>
      </c>
      <c r="E479" s="573">
        <v>8.5</v>
      </c>
      <c r="F479" s="400">
        <v>1</v>
      </c>
      <c r="G479" s="401">
        <f>IF(E479&lt;8,Factors!F$18,IF(E479&lt;9,Factors!F$19,IF(E479&lt;10,Factors!F$20,IF(E479&lt;11,Factors!F$21,IF(E479&lt;12,Factors!F$22,IF(E479&lt;13,Factors!F$23))))))</f>
        <v>1.0980113636363635</v>
      </c>
      <c r="H479" s="402">
        <f>D479*F479*G479</f>
        <v>52.704545454545453</v>
      </c>
      <c r="I479" s="403"/>
      <c r="J479" s="404"/>
      <c r="K479" s="405"/>
    </row>
    <row r="480" spans="1:11" x14ac:dyDescent="0.25">
      <c r="A480" s="680"/>
      <c r="B480" s="683"/>
      <c r="C480" s="406" t="s">
        <v>174</v>
      </c>
      <c r="D480" s="363">
        <v>10</v>
      </c>
      <c r="E480" s="414">
        <v>9.1</v>
      </c>
      <c r="F480" s="407">
        <v>1</v>
      </c>
      <c r="G480" s="408">
        <f>IF(E480&lt;8,Factors!H$18,IF(E480&lt;9,Factors!H$19,IF(E480&lt;10,Factors!H$20,IF(E480&lt;11,Factors!H$21,IF(E480&lt;12,Factors!H$22,IF(E480&lt;13,Factors!H$23))))))</f>
        <v>1.024793388429752</v>
      </c>
      <c r="H480" s="409">
        <f>D480*F480*G480</f>
        <v>10.24793388429752</v>
      </c>
      <c r="I480" s="410"/>
      <c r="J480" s="411"/>
      <c r="K480" s="412"/>
    </row>
    <row r="481" spans="1:15" x14ac:dyDescent="0.25">
      <c r="A481" s="680" t="s">
        <v>94</v>
      </c>
      <c r="B481" s="683"/>
      <c r="C481" s="406" t="s">
        <v>43</v>
      </c>
      <c r="D481" s="363">
        <v>21</v>
      </c>
      <c r="E481" s="414">
        <v>8.5</v>
      </c>
      <c r="F481" s="407">
        <f>17/18</f>
        <v>0.94444444444444442</v>
      </c>
      <c r="G481" s="408">
        <f>IF(E481&lt;8,Factors!H$18,IF(E481&lt;9,Factors!H$19,IF(E481&lt;10,Factors!H$20,IF(E481&lt;11,Factors!H$21,IF(E481&lt;12,Factors!H$22,IF(E481&lt;13,Factors!H$23))))))</f>
        <v>1.1104477611940298</v>
      </c>
      <c r="H481" s="409">
        <f>D481*F481*G481</f>
        <v>22.023880597014923</v>
      </c>
      <c r="I481" s="406"/>
      <c r="J481" s="411"/>
      <c r="K481" s="412"/>
    </row>
    <row r="482" spans="1:15" x14ac:dyDescent="0.25">
      <c r="A482" s="680"/>
      <c r="B482" s="683"/>
      <c r="C482" s="406" t="s">
        <v>166</v>
      </c>
      <c r="E482" s="414"/>
      <c r="F482" s="407"/>
      <c r="G482" s="408">
        <f>IF(E482&lt;8,Factors!H$18,IF(E482&lt;9,Factors!H$19,IF(E482&lt;10,Factors!H$20,IF(E482&lt;11,Factors!H$21,IF(E482&lt;12,Factors!H$22,IF(E482&lt;13,Factors!H$23))))))</f>
        <v>1.3238434163701067</v>
      </c>
      <c r="H482" s="409">
        <f>D482*F482*G482</f>
        <v>0</v>
      </c>
      <c r="I482" s="410"/>
      <c r="J482" s="411"/>
      <c r="K482" s="412"/>
    </row>
    <row r="483" spans="1:15" ht="15.75" thickBot="1" x14ac:dyDescent="0.3">
      <c r="A483" s="680"/>
      <c r="B483" s="683"/>
      <c r="C483" s="415" t="s">
        <v>158</v>
      </c>
      <c r="D483" s="416"/>
      <c r="E483" s="574"/>
      <c r="F483" s="417"/>
      <c r="G483" s="418">
        <f>IF(E483&lt;8,Factors!H$18,IF(E483&lt;9,Factors!H$19,IF(E483&lt;10,Factors!H$20,IF(E483&lt;11,Factors!H$21,IF(E483&lt;12,Factors!H$22,IF(E483&lt;13,Factors!H$23))))))</f>
        <v>1.3238434163701067</v>
      </c>
      <c r="H483" s="419">
        <f>D483*F483*G483</f>
        <v>0</v>
      </c>
      <c r="I483" s="420"/>
      <c r="J483" s="421"/>
      <c r="K483" s="421"/>
    </row>
    <row r="484" spans="1:15" ht="15.75" thickTop="1" x14ac:dyDescent="0.25">
      <c r="A484" s="681"/>
      <c r="B484" s="684"/>
      <c r="C484" s="422"/>
      <c r="D484" s="423"/>
      <c r="E484" s="425"/>
      <c r="F484" s="424"/>
      <c r="G484" s="425"/>
      <c r="H484" s="426">
        <f>SUM(H479:H483)</f>
        <v>84.9763599358579</v>
      </c>
      <c r="I484" s="427">
        <f>D10</f>
        <v>1.4484418256488258</v>
      </c>
      <c r="J484" s="428">
        <f>H484*I484*J$13+K484</f>
        <v>158.16205839039418</v>
      </c>
      <c r="K484" s="429">
        <f>K483+K482</f>
        <v>0</v>
      </c>
    </row>
    <row r="485" spans="1:15" x14ac:dyDescent="0.25">
      <c r="B485" s="397"/>
      <c r="E485" s="414"/>
    </row>
    <row r="486" spans="1:15" x14ac:dyDescent="0.25">
      <c r="A486" s="679" t="s">
        <v>7</v>
      </c>
      <c r="B486" s="682">
        <f>B479+1</f>
        <v>45943</v>
      </c>
      <c r="C486" s="398" t="s">
        <v>9</v>
      </c>
      <c r="D486" s="399">
        <v>13</v>
      </c>
      <c r="E486" s="573">
        <v>10</v>
      </c>
      <c r="F486" s="400">
        <v>1</v>
      </c>
      <c r="G486" s="401">
        <f>IF(E486&lt;8,Factors!F$18,IF(E486&lt;9,Factors!F$19,IF(E486&lt;10,Factors!F$20,IF(E486&lt;11,Factors!F$21,IF(E486&lt;12,Factors!F$22,IF(E486&lt;13,Factors!F$23))))))</f>
        <v>1.0104575163398692</v>
      </c>
      <c r="H486" s="402">
        <f>D486*F486*G486</f>
        <v>13.1359477124183</v>
      </c>
      <c r="I486" s="403"/>
      <c r="J486" s="404"/>
      <c r="K486" s="405"/>
    </row>
    <row r="487" spans="1:15" x14ac:dyDescent="0.25">
      <c r="A487" s="680"/>
      <c r="B487" s="683"/>
      <c r="C487" s="406" t="s">
        <v>174</v>
      </c>
      <c r="D487" s="363">
        <v>6</v>
      </c>
      <c r="E487" s="414">
        <v>9.5</v>
      </c>
      <c r="F487" s="407">
        <v>1</v>
      </c>
      <c r="G487" s="408">
        <f>IF(E487&lt;8,Factors!H$18,IF(E487&lt;9,Factors!H$19,IF(E487&lt;10,Factors!H$20,IF(E487&lt;11,Factors!H$21,IF(E487&lt;12,Factors!H$22,IF(E487&lt;13,Factors!H$23))))))</f>
        <v>1.024793388429752</v>
      </c>
      <c r="H487" s="409">
        <f>D487*F487*G487</f>
        <v>6.1487603305785115</v>
      </c>
      <c r="I487" s="410"/>
      <c r="J487" s="411"/>
      <c r="K487" s="412"/>
    </row>
    <row r="488" spans="1:15" x14ac:dyDescent="0.25">
      <c r="A488" s="680" t="s">
        <v>94</v>
      </c>
      <c r="B488" s="683"/>
      <c r="C488" s="406" t="s">
        <v>43</v>
      </c>
      <c r="D488" s="363">
        <v>11</v>
      </c>
      <c r="E488" s="414">
        <v>8.4</v>
      </c>
      <c r="F488" s="407">
        <v>1</v>
      </c>
      <c r="G488" s="408">
        <f>IF(E488&lt;8,Factors!H$18,IF(E488&lt;9,Factors!H$19,IF(E488&lt;10,Factors!H$20,IF(E488&lt;11,Factors!H$21,IF(E488&lt;12,Factors!H$22,IF(E488&lt;13,Factors!H$23))))))</f>
        <v>1.1104477611940298</v>
      </c>
      <c r="H488" s="409">
        <f>D488*F488*G488</f>
        <v>12.214925373134328</v>
      </c>
      <c r="I488" s="406"/>
      <c r="J488" s="411"/>
      <c r="K488" s="412"/>
      <c r="M488" s="363">
        <f>D488</f>
        <v>11</v>
      </c>
      <c r="N488" s="363">
        <f>M488/M490</f>
        <v>0.84615384615384615</v>
      </c>
      <c r="O488" s="363">
        <f>M489/M490</f>
        <v>0.15384615384615385</v>
      </c>
    </row>
    <row r="489" spans="1:15" x14ac:dyDescent="0.25">
      <c r="A489" s="680"/>
      <c r="B489" s="683"/>
      <c r="C489" s="406" t="s">
        <v>166</v>
      </c>
      <c r="D489" s="363">
        <v>1</v>
      </c>
      <c r="E489" s="414">
        <v>9.3000000000000007</v>
      </c>
      <c r="F489" s="407">
        <v>1</v>
      </c>
      <c r="G489" s="408">
        <f>IF(E489&lt;8,Factors!H$18,IF(E489&lt;9,Factors!H$19,IF(E489&lt;10,Factors!H$20,IF(E489&lt;11,Factors!H$21,IF(E489&lt;12,Factors!H$22,IF(E489&lt;13,Factors!H$23))))))</f>
        <v>1.024793388429752</v>
      </c>
      <c r="H489" s="409">
        <f>D489*F489*G489</f>
        <v>1.024793388429752</v>
      </c>
      <c r="I489" s="410"/>
      <c r="J489" s="411"/>
      <c r="K489" s="412"/>
      <c r="M489" s="363">
        <f>D489+D490</f>
        <v>2</v>
      </c>
    </row>
    <row r="490" spans="1:15" ht="15.75" thickBot="1" x14ac:dyDescent="0.3">
      <c r="A490" s="680"/>
      <c r="B490" s="683"/>
      <c r="C490" s="415" t="s">
        <v>158</v>
      </c>
      <c r="D490" s="416">
        <v>1</v>
      </c>
      <c r="E490" s="574">
        <v>8.9</v>
      </c>
      <c r="F490" s="417">
        <v>1</v>
      </c>
      <c r="G490" s="418">
        <f>IF(E490&lt;8,Factors!H$18,IF(E490&lt;9,Factors!H$19,IF(E490&lt;10,Factors!H$20,IF(E490&lt;11,Factors!H$21,IF(E490&lt;12,Factors!H$22,IF(E490&lt;13,Factors!H$23))))))</f>
        <v>1.1104477611940298</v>
      </c>
      <c r="H490" s="419">
        <f>D490*F490*G490</f>
        <v>1.1104477611940298</v>
      </c>
      <c r="I490" s="420"/>
      <c r="J490" s="421"/>
      <c r="K490" s="421"/>
      <c r="M490" s="363">
        <f>M489+M488</f>
        <v>13</v>
      </c>
    </row>
    <row r="491" spans="1:15" ht="15.75" thickTop="1" x14ac:dyDescent="0.25">
      <c r="A491" s="681"/>
      <c r="B491" s="684"/>
      <c r="C491" s="422"/>
      <c r="D491" s="423"/>
      <c r="E491" s="425"/>
      <c r="F491" s="424"/>
      <c r="G491" s="425"/>
      <c r="H491" s="426">
        <f>SUM(H486:H490)</f>
        <v>33.63487456575492</v>
      </c>
      <c r="I491" s="427">
        <f>Z11</f>
        <v>1.1111111111111112</v>
      </c>
      <c r="J491" s="428">
        <f>H491*I491*J$13+K491</f>
        <v>48.023126463327856</v>
      </c>
      <c r="K491" s="429">
        <f>K490+K489</f>
        <v>0</v>
      </c>
    </row>
    <row r="492" spans="1:15" x14ac:dyDescent="0.25">
      <c r="B492" s="397"/>
      <c r="E492" s="414"/>
      <c r="J492" s="430"/>
    </row>
    <row r="493" spans="1:15" x14ac:dyDescent="0.25">
      <c r="A493" s="679" t="s">
        <v>94</v>
      </c>
      <c r="B493" s="682">
        <f>B486+1</f>
        <v>45944</v>
      </c>
      <c r="C493" s="398" t="s">
        <v>9</v>
      </c>
      <c r="D493" s="399">
        <v>30</v>
      </c>
      <c r="E493" s="573">
        <v>9.4</v>
      </c>
      <c r="F493" s="400">
        <v>1</v>
      </c>
      <c r="G493" s="401">
        <f>IF(E493&lt;8,Factors!F$18,IF(E493&lt;9,Factors!F$19,IF(E493&lt;10,Factors!F$20,IF(E493&lt;11,Factors!F$21,IF(E493&lt;12,Factors!F$22,IF(E493&lt;13,Factors!F$23))))))</f>
        <v>1.034805890227577</v>
      </c>
      <c r="H493" s="402">
        <f>D493*F493*G493</f>
        <v>31.044176706827308</v>
      </c>
      <c r="I493" s="403"/>
      <c r="J493" s="404"/>
      <c r="K493" s="405"/>
    </row>
    <row r="494" spans="1:15" x14ac:dyDescent="0.25">
      <c r="A494" s="680"/>
      <c r="B494" s="683"/>
      <c r="C494" s="406" t="s">
        <v>174</v>
      </c>
      <c r="D494" s="363">
        <v>17</v>
      </c>
      <c r="E494" s="414">
        <v>9.5</v>
      </c>
      <c r="F494" s="407">
        <v>1</v>
      </c>
      <c r="G494" s="408">
        <f>IF(E494&lt;8,Factors!H$18,IF(E494&lt;9,Factors!H$19,IF(E494&lt;10,Factors!H$20,IF(E494&lt;11,Factors!H$21,IF(E494&lt;12,Factors!H$22,IF(E494&lt;13,Factors!H$23))))))</f>
        <v>1.024793388429752</v>
      </c>
      <c r="H494" s="409">
        <f>D494*F494*G494</f>
        <v>17.421487603305785</v>
      </c>
      <c r="I494" s="410"/>
      <c r="J494" s="411"/>
      <c r="K494" s="412"/>
    </row>
    <row r="495" spans="1:15" x14ac:dyDescent="0.25">
      <c r="A495" s="680" t="s">
        <v>94</v>
      </c>
      <c r="B495" s="683"/>
      <c r="C495" s="406" t="s">
        <v>43</v>
      </c>
      <c r="E495" s="414"/>
      <c r="F495" s="407"/>
      <c r="G495" s="408">
        <f>IF(E495&lt;8,Factors!H$18,IF(E495&lt;9,Factors!H$19,IF(E495&lt;10,Factors!H$20,IF(E495&lt;11,Factors!H$21,IF(E495&lt;12,Factors!H$22,IF(E495&lt;13,Factors!H$23))))))</f>
        <v>1.3238434163701067</v>
      </c>
      <c r="H495" s="409">
        <f>D495*F495*G495</f>
        <v>0</v>
      </c>
      <c r="I495" s="406"/>
      <c r="J495" s="411"/>
      <c r="K495" s="412"/>
      <c r="M495" s="363">
        <f>D495</f>
        <v>0</v>
      </c>
      <c r="N495" s="363" t="e">
        <f>M495/M497</f>
        <v>#DIV/0!</v>
      </c>
      <c r="O495" s="363" t="e">
        <f>M496/M497</f>
        <v>#DIV/0!</v>
      </c>
    </row>
    <row r="496" spans="1:15" x14ac:dyDescent="0.25">
      <c r="A496" s="680"/>
      <c r="B496" s="683"/>
      <c r="C496" s="406" t="s">
        <v>166</v>
      </c>
      <c r="E496" s="414"/>
      <c r="F496" s="407"/>
      <c r="G496" s="408">
        <f>IF(E496&lt;8,Factors!H$18,IF(E496&lt;9,Factors!H$19,IF(E496&lt;10,Factors!H$20,IF(E496&lt;11,Factors!H$21,IF(E496&lt;12,Factors!H$22,IF(E496&lt;13,Factors!H$23))))))</f>
        <v>1.3238434163701067</v>
      </c>
      <c r="H496" s="409">
        <f>D496*F496*G496</f>
        <v>0</v>
      </c>
      <c r="I496" s="410"/>
      <c r="J496" s="411"/>
      <c r="K496" s="412"/>
      <c r="M496" s="363">
        <f>D496+D497</f>
        <v>0</v>
      </c>
    </row>
    <row r="497" spans="1:15" ht="15.75" thickBot="1" x14ac:dyDescent="0.3">
      <c r="A497" s="680"/>
      <c r="B497" s="683"/>
      <c r="C497" s="415" t="s">
        <v>158</v>
      </c>
      <c r="D497" s="416"/>
      <c r="E497" s="574"/>
      <c r="F497" s="417"/>
      <c r="G497" s="418">
        <f>IF(E497&lt;8,Factors!H$18,IF(E497&lt;9,Factors!H$19,IF(E497&lt;10,Factors!H$20,IF(E497&lt;11,Factors!H$21,IF(E497&lt;12,Factors!H$22,IF(E497&lt;13,Factors!H$23))))))</f>
        <v>1.3238434163701067</v>
      </c>
      <c r="H497" s="419">
        <f>D497*F497*G497</f>
        <v>0</v>
      </c>
      <c r="I497" s="420"/>
      <c r="J497" s="421"/>
      <c r="K497" s="421"/>
      <c r="M497" s="363">
        <f>M496+M495</f>
        <v>0</v>
      </c>
    </row>
    <row r="498" spans="1:15" ht="15.75" thickTop="1" x14ac:dyDescent="0.25">
      <c r="A498" s="681"/>
      <c r="B498" s="684"/>
      <c r="C498" s="422"/>
      <c r="D498" s="423"/>
      <c r="E498" s="423"/>
      <c r="F498" s="424"/>
      <c r="G498" s="425"/>
      <c r="H498" s="426">
        <f>SUM(H493:H497)</f>
        <v>48.465664310133093</v>
      </c>
      <c r="I498" s="427">
        <f>C10</f>
        <v>1.8989218936658869</v>
      </c>
      <c r="J498" s="428">
        <f>H498*I498*J$13+K498</f>
        <v>118.26177669870147</v>
      </c>
      <c r="K498" s="429">
        <f>K497+K496</f>
        <v>0</v>
      </c>
    </row>
    <row r="499" spans="1:15" x14ac:dyDescent="0.25">
      <c r="B499" s="397"/>
      <c r="F499" s="407"/>
    </row>
    <row r="500" spans="1:15" x14ac:dyDescent="0.25">
      <c r="A500" s="679" t="s">
        <v>11</v>
      </c>
      <c r="B500" s="682">
        <f>B493+1</f>
        <v>45945</v>
      </c>
      <c r="C500" s="398" t="s">
        <v>9</v>
      </c>
      <c r="D500" s="399">
        <v>26</v>
      </c>
      <c r="E500" s="399">
        <v>8.4</v>
      </c>
      <c r="F500" s="400">
        <v>1</v>
      </c>
      <c r="G500" s="401">
        <f>IF(E500&lt;8,Factors!F$18,IF(E500&lt;9,Factors!F$19,IF(E500&lt;10,Factors!F$20,IF(E500&lt;11,Factors!F$21,IF(E500&lt;12,Factors!F$22,IF(E500&lt;13,Factors!F$23))))))</f>
        <v>1.0980113636363635</v>
      </c>
      <c r="H500" s="402">
        <f>D500*F500*G500</f>
        <v>28.548295454545453</v>
      </c>
      <c r="I500" s="403"/>
      <c r="J500" s="404"/>
      <c r="K500" s="405"/>
    </row>
    <row r="501" spans="1:15" x14ac:dyDescent="0.25">
      <c r="A501" s="680"/>
      <c r="B501" s="683"/>
      <c r="C501" s="406" t="s">
        <v>174</v>
      </c>
      <c r="D501" s="363">
        <v>14</v>
      </c>
      <c r="E501" s="363">
        <v>8.5</v>
      </c>
      <c r="F501" s="407">
        <v>1</v>
      </c>
      <c r="G501" s="408">
        <f>IF(E501&lt;8,Factors!H$18,IF(E501&lt;9,Factors!H$19,IF(E501&lt;10,Factors!H$20,IF(E501&lt;11,Factors!H$21,IF(E501&lt;12,Factors!H$22,IF(E501&lt;13,Factors!H$23))))))</f>
        <v>1.1104477611940298</v>
      </c>
      <c r="H501" s="409">
        <f>D501*F501*G501</f>
        <v>15.546268656716418</v>
      </c>
      <c r="I501" s="410"/>
      <c r="J501" s="411"/>
      <c r="K501" s="412"/>
    </row>
    <row r="502" spans="1:15" x14ac:dyDescent="0.25">
      <c r="A502" s="680" t="s">
        <v>94</v>
      </c>
      <c r="B502" s="683"/>
      <c r="C502" s="406" t="s">
        <v>43</v>
      </c>
      <c r="D502" s="363">
        <v>14</v>
      </c>
      <c r="E502" s="363">
        <v>8.8000000000000007</v>
      </c>
      <c r="F502" s="407">
        <v>1</v>
      </c>
      <c r="G502" s="408">
        <f>IF(E502&lt;8,Factors!H$18,IF(E502&lt;9,Factors!H$19,IF(E502&lt;10,Factors!H$20,IF(E502&lt;11,Factors!H$21,IF(E502&lt;12,Factors!H$22,IF(E502&lt;13,Factors!H$23))))))</f>
        <v>1.1104477611940298</v>
      </c>
      <c r="H502" s="409">
        <f>D502*F502*G502</f>
        <v>15.546268656716418</v>
      </c>
      <c r="I502" s="406"/>
      <c r="J502" s="411"/>
      <c r="K502" s="412"/>
      <c r="M502" s="363">
        <f>D502</f>
        <v>14</v>
      </c>
      <c r="N502" s="363">
        <f>M502/M504</f>
        <v>1</v>
      </c>
      <c r="O502" s="363">
        <f>M503/M504</f>
        <v>0</v>
      </c>
    </row>
    <row r="503" spans="1:15" x14ac:dyDescent="0.25">
      <c r="A503" s="680"/>
      <c r="B503" s="683"/>
      <c r="C503" s="406" t="s">
        <v>166</v>
      </c>
      <c r="F503" s="407"/>
      <c r="G503" s="408">
        <f>IF(E503&lt;8,Factors!H$18,IF(E503&lt;9,Factors!H$19,IF(E503&lt;10,Factors!H$20,IF(E503&lt;11,Factors!H$21,IF(E503&lt;12,Factors!H$22,IF(E503&lt;13,Factors!H$23))))))</f>
        <v>1.3238434163701067</v>
      </c>
      <c r="H503" s="409">
        <f>D503*F503*G503</f>
        <v>0</v>
      </c>
      <c r="I503" s="410"/>
      <c r="J503" s="411"/>
      <c r="K503" s="412"/>
      <c r="M503" s="363">
        <f>D503+D504</f>
        <v>0</v>
      </c>
    </row>
    <row r="504" spans="1:15" ht="15.75" thickBot="1" x14ac:dyDescent="0.3">
      <c r="A504" s="680"/>
      <c r="B504" s="683"/>
      <c r="C504" s="415" t="s">
        <v>158</v>
      </c>
      <c r="D504" s="416"/>
      <c r="E504" s="416"/>
      <c r="F504" s="417"/>
      <c r="G504" s="418">
        <f>IF(E504&lt;8,Factors!H$18,IF(E504&lt;9,Factors!H$19,IF(E504&lt;10,Factors!H$20,IF(E504&lt;11,Factors!H$21,IF(E504&lt;12,Factors!H$22,IF(E504&lt;13,Factors!H$23))))))</f>
        <v>1.3238434163701067</v>
      </c>
      <c r="H504" s="419">
        <f>D504*F504*G504</f>
        <v>0</v>
      </c>
      <c r="I504" s="420"/>
      <c r="J504" s="421"/>
      <c r="K504" s="421"/>
      <c r="M504" s="363">
        <f>M503+M502</f>
        <v>14</v>
      </c>
    </row>
    <row r="505" spans="1:15" ht="15.75" thickTop="1" x14ac:dyDescent="0.25">
      <c r="A505" s="681"/>
      <c r="B505" s="684"/>
      <c r="C505" s="422"/>
      <c r="D505" s="423"/>
      <c r="E505" s="423"/>
      <c r="F505" s="424"/>
      <c r="G505" s="425"/>
      <c r="H505" s="426">
        <f>SUM(H500:H504)</f>
        <v>59.640832767978296</v>
      </c>
      <c r="I505" s="427">
        <f>D10</f>
        <v>1.4484418256488258</v>
      </c>
      <c r="J505" s="428">
        <f>H505*I505*J$13+K505</f>
        <v>111.00636555650183</v>
      </c>
      <c r="K505" s="429">
        <f>K504+K503</f>
        <v>0</v>
      </c>
    </row>
    <row r="506" spans="1:15" x14ac:dyDescent="0.25">
      <c r="B506" s="397"/>
      <c r="J506" s="430"/>
    </row>
    <row r="507" spans="1:15" x14ac:dyDescent="0.25">
      <c r="A507" s="679" t="s">
        <v>95</v>
      </c>
      <c r="B507" s="682">
        <f>B500+1</f>
        <v>45946</v>
      </c>
      <c r="C507" s="398" t="s">
        <v>9</v>
      </c>
      <c r="D507" s="399"/>
      <c r="E507" s="399"/>
      <c r="F507" s="400"/>
      <c r="G507" s="401">
        <f>IF(E507&lt;8,Factors!F$18,IF(E507&lt;9,Factors!F$19,IF(E507&lt;10,Factors!F$20,IF(E507&lt;11,Factors!F$21,IF(E507&lt;12,Factors!F$22,IF(E507&lt;13,Factors!F$23))))))</f>
        <v>1.2308917197452229</v>
      </c>
      <c r="H507" s="402">
        <f>D507*F507*G507</f>
        <v>0</v>
      </c>
      <c r="I507" s="403"/>
      <c r="J507" s="404"/>
      <c r="K507" s="405"/>
    </row>
    <row r="508" spans="1:15" x14ac:dyDescent="0.25">
      <c r="A508" s="680"/>
      <c r="B508" s="683"/>
      <c r="C508" s="406" t="s">
        <v>174</v>
      </c>
      <c r="F508" s="407"/>
      <c r="G508" s="408">
        <f>IF(E508&lt;8,Factors!H$18,IF(E508&lt;9,Factors!H$19,IF(E508&lt;10,Factors!H$20,IF(E508&lt;11,Factors!H$21,IF(E508&lt;12,Factors!H$22,IF(E508&lt;13,Factors!H$23))))))</f>
        <v>1.3238434163701067</v>
      </c>
      <c r="H508" s="409">
        <f>D508*F508*G508</f>
        <v>0</v>
      </c>
      <c r="I508" s="410"/>
      <c r="J508" s="411"/>
      <c r="K508" s="412"/>
    </row>
    <row r="509" spans="1:15" x14ac:dyDescent="0.25">
      <c r="A509" s="680" t="s">
        <v>94</v>
      </c>
      <c r="B509" s="683"/>
      <c r="C509" s="406" t="s">
        <v>43</v>
      </c>
      <c r="D509" s="363">
        <v>6</v>
      </c>
      <c r="E509" s="363">
        <v>8.4</v>
      </c>
      <c r="F509" s="407">
        <v>1</v>
      </c>
      <c r="G509" s="408">
        <f>IF(E509&lt;8,Factors!H$18,IF(E509&lt;9,Factors!H$19,IF(E509&lt;10,Factors!H$20,IF(E509&lt;11,Factors!H$21,IF(E509&lt;12,Factors!H$22,IF(E509&lt;13,Factors!H$23))))))</f>
        <v>1.1104477611940298</v>
      </c>
      <c r="H509" s="409">
        <f>D509*F509*G509</f>
        <v>6.6626865671641786</v>
      </c>
      <c r="I509" s="406"/>
      <c r="J509" s="411"/>
      <c r="K509" s="412"/>
      <c r="M509" s="363">
        <f>D509</f>
        <v>6</v>
      </c>
      <c r="N509" s="363">
        <f>M509/M511</f>
        <v>0.42857142857142855</v>
      </c>
      <c r="O509" s="363">
        <f>M510/M511</f>
        <v>0.5714285714285714</v>
      </c>
    </row>
    <row r="510" spans="1:15" x14ac:dyDescent="0.25">
      <c r="A510" s="680"/>
      <c r="B510" s="683"/>
      <c r="C510" s="406" t="s">
        <v>166</v>
      </c>
      <c r="D510" s="363">
        <v>3</v>
      </c>
      <c r="E510" s="363">
        <v>7.7</v>
      </c>
      <c r="F510" s="407">
        <v>1</v>
      </c>
      <c r="G510" s="408">
        <f>IF(E510&lt;8,Factors!H$18,IF(E510&lt;9,Factors!H$19,IF(E510&lt;10,Factors!H$20,IF(E510&lt;11,Factors!H$21,IF(E510&lt;12,Factors!H$22,IF(E510&lt;13,Factors!H$23))))))</f>
        <v>1.3238434163701067</v>
      </c>
      <c r="H510" s="409">
        <f>D510*F510*G510</f>
        <v>3.9715302491103204</v>
      </c>
      <c r="I510" s="410"/>
      <c r="J510" s="411"/>
      <c r="K510" s="412"/>
      <c r="M510" s="363">
        <f>D510+D511</f>
        <v>8</v>
      </c>
    </row>
    <row r="511" spans="1:15" ht="15.75" thickBot="1" x14ac:dyDescent="0.3">
      <c r="A511" s="680"/>
      <c r="B511" s="683"/>
      <c r="C511" s="415" t="s">
        <v>158</v>
      </c>
      <c r="D511" s="416">
        <v>5</v>
      </c>
      <c r="E511" s="416">
        <v>8</v>
      </c>
      <c r="F511" s="417">
        <v>1</v>
      </c>
      <c r="G511" s="418">
        <f>IF(E511&lt;8,Factors!H$18,IF(E511&lt;9,Factors!H$19,IF(E511&lt;10,Factors!H$20,IF(E511&lt;11,Factors!H$21,IF(E511&lt;12,Factors!H$22,IF(E511&lt;13,Factors!H$23))))))</f>
        <v>1.1104477611940298</v>
      </c>
      <c r="H511" s="419">
        <f>D511*F511*G511</f>
        <v>5.5522388059701484</v>
      </c>
      <c r="I511" s="420"/>
      <c r="J511" s="421"/>
      <c r="K511" s="421"/>
      <c r="M511" s="363">
        <f>M510+M509</f>
        <v>14</v>
      </c>
    </row>
    <row r="512" spans="1:15" ht="15.75" thickTop="1" x14ac:dyDescent="0.25">
      <c r="A512" s="681"/>
      <c r="B512" s="684"/>
      <c r="C512" s="422"/>
      <c r="D512" s="423"/>
      <c r="E512" s="423"/>
      <c r="F512" s="424"/>
      <c r="G512" s="425"/>
      <c r="H512" s="426">
        <f>SUM(H507:H511)</f>
        <v>16.186455622244647</v>
      </c>
      <c r="I512" s="427">
        <f>Z11</f>
        <v>1.1111111111111112</v>
      </c>
      <c r="J512" s="428">
        <f>H512*I512*J$13+K512</f>
        <v>23.110661638427079</v>
      </c>
      <c r="K512" s="429">
        <f>K511+K510</f>
        <v>0</v>
      </c>
    </row>
    <row r="513" spans="1:15" x14ac:dyDescent="0.25">
      <c r="B513" s="397"/>
    </row>
    <row r="514" spans="1:15" x14ac:dyDescent="0.25">
      <c r="A514" s="679" t="s">
        <v>13</v>
      </c>
      <c r="B514" s="682">
        <f>B507+1</f>
        <v>45947</v>
      </c>
      <c r="C514" s="398" t="s">
        <v>9</v>
      </c>
      <c r="D514" s="399"/>
      <c r="E514" s="399"/>
      <c r="F514" s="400"/>
      <c r="G514" s="401">
        <f>IF(E514&lt;8,Factors!F$18,IF(E514&lt;9,Factors!F$19,IF(E514&lt;10,Factors!F$20,IF(E514&lt;11,Factors!F$21,IF(E514&lt;12,Factors!F$22,IF(E514&lt;13,Factors!F$23))))))</f>
        <v>1.2308917197452229</v>
      </c>
      <c r="H514" s="402">
        <f>D514*F514*G514</f>
        <v>0</v>
      </c>
      <c r="I514" s="403"/>
      <c r="J514" s="404"/>
      <c r="K514" s="405"/>
    </row>
    <row r="515" spans="1:15" x14ac:dyDescent="0.25">
      <c r="A515" s="680"/>
      <c r="B515" s="683"/>
      <c r="C515" s="406" t="s">
        <v>174</v>
      </c>
      <c r="D515" s="363">
        <v>0</v>
      </c>
      <c r="E515" s="363">
        <v>9.1999999999999993</v>
      </c>
      <c r="F515" s="407">
        <v>1</v>
      </c>
      <c r="G515" s="408">
        <f>IF(E515&lt;8,Factors!H$18,IF(E515&lt;9,Factors!H$19,IF(E515&lt;10,Factors!H$20,IF(E515&lt;11,Factors!H$21,IF(E515&lt;12,Factors!H$22,IF(E515&lt;13,Factors!H$23))))))</f>
        <v>1.024793388429752</v>
      </c>
      <c r="H515" s="409">
        <f>D515*F515*G515</f>
        <v>0</v>
      </c>
      <c r="I515" s="410"/>
      <c r="J515" s="411"/>
      <c r="K515" s="412"/>
    </row>
    <row r="516" spans="1:15" x14ac:dyDescent="0.25">
      <c r="A516" s="680" t="s">
        <v>94</v>
      </c>
      <c r="B516" s="683"/>
      <c r="C516" s="406" t="s">
        <v>43</v>
      </c>
      <c r="D516" s="363">
        <v>17</v>
      </c>
      <c r="E516" s="363">
        <v>8.4</v>
      </c>
      <c r="F516" s="407">
        <v>1</v>
      </c>
      <c r="G516" s="408">
        <f>IF(E516&lt;8,Factors!H$18,IF(E516&lt;9,Factors!H$19,IF(E516&lt;10,Factors!H$20,IF(E516&lt;11,Factors!H$21,IF(E516&lt;12,Factors!H$22,IF(E516&lt;13,Factors!H$23))))))</f>
        <v>1.1104477611940298</v>
      </c>
      <c r="H516" s="409">
        <f>D516*F516*G516</f>
        <v>18.877611940298507</v>
      </c>
      <c r="I516" s="406"/>
      <c r="J516" s="411"/>
      <c r="K516" s="412"/>
    </row>
    <row r="517" spans="1:15" x14ac:dyDescent="0.25">
      <c r="A517" s="680"/>
      <c r="B517" s="683"/>
      <c r="C517" s="406" t="s">
        <v>166</v>
      </c>
      <c r="D517" s="363">
        <v>2</v>
      </c>
      <c r="E517" s="363">
        <v>8.3000000000000007</v>
      </c>
      <c r="F517" s="407">
        <v>1</v>
      </c>
      <c r="G517" s="408">
        <f>IF(E517&lt;8,Factors!H$18,IF(E517&lt;9,Factors!H$19,IF(E517&lt;10,Factors!H$20,IF(E517&lt;11,Factors!H$21,IF(E517&lt;12,Factors!H$22,IF(E517&lt;13,Factors!H$23))))))</f>
        <v>1.1104477611940298</v>
      </c>
      <c r="H517" s="409">
        <f>D517*F517*G517</f>
        <v>2.2208955223880595</v>
      </c>
      <c r="I517" s="410"/>
      <c r="J517" s="411"/>
      <c r="K517" s="412"/>
      <c r="L517" s="363" t="e">
        <f>1/L518</f>
        <v>#DIV/0!</v>
      </c>
    </row>
    <row r="518" spans="1:15" ht="15.75" thickBot="1" x14ac:dyDescent="0.3">
      <c r="A518" s="680"/>
      <c r="B518" s="683"/>
      <c r="C518" s="415" t="s">
        <v>158</v>
      </c>
      <c r="D518" s="416">
        <v>9</v>
      </c>
      <c r="E518" s="416">
        <v>8.9</v>
      </c>
      <c r="F518" s="417">
        <v>1</v>
      </c>
      <c r="G518" s="418">
        <f>IF(E518&lt;8,Factors!H$18,IF(E518&lt;9,Factors!H$19,IF(E518&lt;10,Factors!H$20,IF(E518&lt;11,Factors!H$21,IF(E518&lt;12,Factors!H$22,IF(E518&lt;13,Factors!H$23))))))</f>
        <v>1.1104477611940298</v>
      </c>
      <c r="H518" s="419">
        <f>D518*F518*G518</f>
        <v>9.9940298507462675</v>
      </c>
      <c r="I518" s="420"/>
      <c r="J518" s="421"/>
      <c r="K518" s="421"/>
      <c r="L518" s="363" t="e">
        <f>AVERAGE(N488:N530)</f>
        <v>#DIV/0!</v>
      </c>
      <c r="M518" s="363" t="e">
        <f>AVERAGE(O488:O530)</f>
        <v>#DIV/0!</v>
      </c>
    </row>
    <row r="519" spans="1:15" ht="15.75" thickTop="1" x14ac:dyDescent="0.25">
      <c r="A519" s="681"/>
      <c r="B519" s="684"/>
      <c r="C519" s="422"/>
      <c r="D519" s="423"/>
      <c r="E519" s="423"/>
      <c r="F519" s="424"/>
      <c r="G519" s="425"/>
      <c r="H519" s="426">
        <f>SUM(H514:H518)</f>
        <v>31.092537313432835</v>
      </c>
      <c r="I519" s="427">
        <f>Z11</f>
        <v>1.1111111111111112</v>
      </c>
      <c r="J519" s="428">
        <f>H519*I519*J$13+K519</f>
        <v>44.393233830845773</v>
      </c>
      <c r="K519" s="429">
        <f>K518+K517</f>
        <v>0</v>
      </c>
    </row>
    <row r="520" spans="1:15" x14ac:dyDescent="0.25">
      <c r="B520" s="397"/>
      <c r="J520" s="430"/>
    </row>
    <row r="521" spans="1:15" x14ac:dyDescent="0.25">
      <c r="A521" s="680" t="s">
        <v>14</v>
      </c>
      <c r="B521" s="682">
        <f>B514+1</f>
        <v>45948</v>
      </c>
      <c r="C521" s="398" t="s">
        <v>9</v>
      </c>
      <c r="D521" s="399"/>
      <c r="E521" s="399"/>
      <c r="F521" s="400"/>
      <c r="G521" s="401">
        <f>IF(E521&lt;8,Factors!F$18,IF(E521&lt;9,Factors!F$19,IF(E521&lt;10,Factors!F$20,IF(E521&lt;11,Factors!F$21,IF(E521&lt;12,Factors!F$22,IF(E521&lt;13,Factors!F$23))))))</f>
        <v>1.2308917197452229</v>
      </c>
      <c r="H521" s="402">
        <f>D521*F521*G521</f>
        <v>0</v>
      </c>
      <c r="I521" s="403"/>
      <c r="J521" s="404"/>
      <c r="K521" s="405"/>
    </row>
    <row r="522" spans="1:15" x14ac:dyDescent="0.25">
      <c r="A522" s="680"/>
      <c r="B522" s="683"/>
      <c r="C522" s="406" t="s">
        <v>174</v>
      </c>
      <c r="D522" s="363">
        <v>0</v>
      </c>
      <c r="E522" s="363">
        <v>10.3</v>
      </c>
      <c r="F522" s="407">
        <v>0</v>
      </c>
      <c r="G522" s="408">
        <f>IF(E522&lt;8,Factors!H$18,IF(E522&lt;9,Factors!H$19,IF(E522&lt;10,Factors!H$20,IF(E522&lt;11,Factors!H$21,IF(E522&lt;12,Factors!H$22,IF(E522&lt;13,Factors!H$23))))))</f>
        <v>1</v>
      </c>
      <c r="H522" s="409">
        <f>D522*F522*G522</f>
        <v>0</v>
      </c>
      <c r="I522" s="410"/>
      <c r="J522" s="411"/>
      <c r="K522" s="412"/>
    </row>
    <row r="523" spans="1:15" x14ac:dyDescent="0.25">
      <c r="A523" s="680" t="s">
        <v>94</v>
      </c>
      <c r="B523" s="683"/>
      <c r="C523" s="406" t="s">
        <v>43</v>
      </c>
      <c r="D523" s="363">
        <v>25</v>
      </c>
      <c r="E523" s="363">
        <v>8.9</v>
      </c>
      <c r="F523" s="407">
        <f>25/27</f>
        <v>0.92592592592592593</v>
      </c>
      <c r="G523" s="408">
        <f>IF(E523&lt;8,Factors!H$18,IF(E523&lt;9,Factors!H$19,IF(E523&lt;10,Factors!H$20,IF(E523&lt;11,Factors!H$21,IF(E523&lt;12,Factors!H$22,IF(E523&lt;13,Factors!H$23))))))</f>
        <v>1.1104477611940298</v>
      </c>
      <c r="H523" s="409">
        <f>D523*F523*G523</f>
        <v>25.704809286898836</v>
      </c>
      <c r="I523" s="406"/>
      <c r="J523" s="411"/>
      <c r="K523" s="412"/>
      <c r="M523" s="363">
        <f>D523</f>
        <v>25</v>
      </c>
      <c r="N523" s="363">
        <f>M523/M525</f>
        <v>0.64102564102564108</v>
      </c>
      <c r="O523" s="363">
        <f>M524/M525</f>
        <v>0.35897435897435898</v>
      </c>
    </row>
    <row r="524" spans="1:15" x14ac:dyDescent="0.25">
      <c r="A524" s="680"/>
      <c r="B524" s="683"/>
      <c r="C524" s="406" t="s">
        <v>166</v>
      </c>
      <c r="F524" s="407"/>
      <c r="G524" s="408">
        <f>IF(E524&lt;8,Factors!H$18,IF(E524&lt;9,Factors!H$19,IF(E524&lt;10,Factors!H$20,IF(E524&lt;11,Factors!H$21,IF(E524&lt;12,Factors!H$22,IF(E524&lt;13,Factors!H$23))))))</f>
        <v>1.3238434163701067</v>
      </c>
      <c r="H524" s="409">
        <f>D524*F524*G524</f>
        <v>0</v>
      </c>
      <c r="I524" s="410"/>
      <c r="J524" s="411"/>
      <c r="K524" s="412"/>
      <c r="M524" s="363">
        <f>D524+D525</f>
        <v>14</v>
      </c>
    </row>
    <row r="525" spans="1:15" ht="15.75" thickBot="1" x14ac:dyDescent="0.3">
      <c r="A525" s="680"/>
      <c r="B525" s="683"/>
      <c r="C525" s="415" t="s">
        <v>158</v>
      </c>
      <c r="D525" s="416">
        <v>14</v>
      </c>
      <c r="E525" s="416">
        <v>8.5</v>
      </c>
      <c r="F525" s="417">
        <f>7/9</f>
        <v>0.77777777777777779</v>
      </c>
      <c r="G525" s="418">
        <f>IF(E525&lt;8,Factors!H$18,IF(E525&lt;9,Factors!H$19,IF(E525&lt;10,Factors!H$20,IF(E525&lt;11,Factors!H$21,IF(E525&lt;12,Factors!H$22,IF(E525&lt;13,Factors!H$23))))))</f>
        <v>1.1104477611940298</v>
      </c>
      <c r="H525" s="419">
        <f>D525*F525*G525</f>
        <v>12.091542288557214</v>
      </c>
      <c r="I525" s="420"/>
      <c r="J525" s="421"/>
      <c r="K525" s="421"/>
      <c r="M525" s="363">
        <f>M524+M523</f>
        <v>39</v>
      </c>
    </row>
    <row r="526" spans="1:15" ht="15.75" thickTop="1" x14ac:dyDescent="0.25">
      <c r="A526" s="681"/>
      <c r="B526" s="684"/>
      <c r="C526" s="422"/>
      <c r="D526" s="423"/>
      <c r="E526" s="423"/>
      <c r="F526" s="424"/>
      <c r="G526" s="425"/>
      <c r="H526" s="426">
        <f>SUM(H521:H525)</f>
        <v>37.79635157545605</v>
      </c>
      <c r="I526" s="427">
        <f>AB11</f>
        <v>1.1111111111111112</v>
      </c>
      <c r="J526" s="428">
        <f>H526*I526*J$13+K526</f>
        <v>53.964790860512245</v>
      </c>
      <c r="K526" s="429">
        <f>K525+K524</f>
        <v>0</v>
      </c>
    </row>
    <row r="527" spans="1:15" x14ac:dyDescent="0.25">
      <c r="B527" s="397"/>
      <c r="G527" s="414"/>
      <c r="H527" s="414"/>
      <c r="I527" s="430"/>
    </row>
    <row r="528" spans="1:15" x14ac:dyDescent="0.25">
      <c r="A528" s="679" t="s">
        <v>15</v>
      </c>
      <c r="B528" s="682">
        <f>B521+1</f>
        <v>45949</v>
      </c>
      <c r="C528" s="398" t="s">
        <v>9</v>
      </c>
      <c r="D528" s="399"/>
      <c r="E528" s="399"/>
      <c r="F528" s="400"/>
      <c r="G528" s="401">
        <f>IF(E528&lt;8,Factors!F$18,IF(E528&lt;9,Factors!F$19,IF(E528&lt;10,Factors!F$20,IF(E528&lt;11,Factors!F$21,IF(E528&lt;12,Factors!F$22,IF(E528&lt;13,Factors!F$23))))))</f>
        <v>1.2308917197452229</v>
      </c>
      <c r="H528" s="402">
        <f>D528*F528*G528</f>
        <v>0</v>
      </c>
      <c r="I528" s="403"/>
      <c r="J528" s="404"/>
      <c r="K528" s="405"/>
    </row>
    <row r="529" spans="1:15" x14ac:dyDescent="0.25">
      <c r="A529" s="680"/>
      <c r="B529" s="683"/>
      <c r="C529" s="406" t="s">
        <v>174</v>
      </c>
      <c r="F529" s="407"/>
      <c r="G529" s="408">
        <f>IF(E529&lt;8,Factors!H$18,IF(E529&lt;9,Factors!H$19,IF(E529&lt;10,Factors!H$20,IF(E529&lt;11,Factors!H$21,IF(E529&lt;12,Factors!H$22,IF(E529&lt;13,Factors!H$23))))))</f>
        <v>1.3238434163701067</v>
      </c>
      <c r="H529" s="409">
        <f>D529*F529*G529</f>
        <v>0</v>
      </c>
      <c r="I529" s="410"/>
      <c r="J529" s="411"/>
      <c r="K529" s="412"/>
    </row>
    <row r="530" spans="1:15" x14ac:dyDescent="0.25">
      <c r="A530" s="680" t="s">
        <v>94</v>
      </c>
      <c r="B530" s="683"/>
      <c r="C530" s="406" t="s">
        <v>43</v>
      </c>
      <c r="D530" s="363">
        <v>2</v>
      </c>
      <c r="E530" s="363">
        <v>11.5</v>
      </c>
      <c r="F530" s="407">
        <v>1</v>
      </c>
      <c r="G530" s="408">
        <f>IF(E530&lt;8,Factors!H$18,IF(E530&lt;9,Factors!H$19,IF(E530&lt;10,Factors!H$20,IF(E530&lt;11,Factors!H$21,IF(E530&lt;12,Factors!H$22,IF(E530&lt;13,Factors!H$23))))))</f>
        <v>1.0276243093922652</v>
      </c>
      <c r="H530" s="409">
        <f>D530*F530*G530</f>
        <v>2.0552486187845305</v>
      </c>
      <c r="I530" s="406"/>
      <c r="J530" s="411"/>
      <c r="K530" s="412"/>
      <c r="M530" s="363">
        <f>D530</f>
        <v>2</v>
      </c>
      <c r="N530" s="363">
        <f>M530/M532</f>
        <v>1</v>
      </c>
      <c r="O530" s="363">
        <f>M531/M532</f>
        <v>0</v>
      </c>
    </row>
    <row r="531" spans="1:15" x14ac:dyDescent="0.25">
      <c r="A531" s="680"/>
      <c r="B531" s="683"/>
      <c r="C531" s="406" t="s">
        <v>166</v>
      </c>
      <c r="D531" s="363">
        <v>0</v>
      </c>
      <c r="E531" s="363">
        <v>7.9</v>
      </c>
      <c r="F531" s="407">
        <v>0</v>
      </c>
      <c r="G531" s="408">
        <f>IF(E531&lt;8,Factors!H$18,IF(E531&lt;9,Factors!H$19,IF(E531&lt;10,Factors!H$20,IF(E531&lt;11,Factors!H$21,IF(E531&lt;12,Factors!H$22,IF(E531&lt;13,Factors!H$23))))))</f>
        <v>1.3238434163701067</v>
      </c>
      <c r="H531" s="409">
        <f>D531*F531*G531</f>
        <v>0</v>
      </c>
      <c r="I531" s="410"/>
      <c r="J531" s="411"/>
      <c r="K531" s="412"/>
      <c r="M531" s="363">
        <f>D531+D532</f>
        <v>0</v>
      </c>
    </row>
    <row r="532" spans="1:15" ht="15.75" thickBot="1" x14ac:dyDescent="0.3">
      <c r="A532" s="680"/>
      <c r="B532" s="683"/>
      <c r="C532" s="415" t="s">
        <v>158</v>
      </c>
      <c r="D532" s="416">
        <v>0</v>
      </c>
      <c r="E532" s="416">
        <v>7.9</v>
      </c>
      <c r="F532" s="417">
        <v>0</v>
      </c>
      <c r="G532" s="418">
        <f>IF(E532&lt;8,Factors!H$18,IF(E532&lt;9,Factors!H$19,IF(E532&lt;10,Factors!H$20,IF(E532&lt;11,Factors!H$21,IF(E532&lt;12,Factors!H$22,IF(E532&lt;13,Factors!H$23))))))</f>
        <v>1.3238434163701067</v>
      </c>
      <c r="H532" s="419">
        <f>D532*F532*G532</f>
        <v>0</v>
      </c>
      <c r="I532" s="420"/>
      <c r="J532" s="421"/>
      <c r="K532" s="421"/>
      <c r="M532" s="363">
        <f>M531+M530</f>
        <v>2</v>
      </c>
    </row>
    <row r="533" spans="1:15" ht="15.75" thickTop="1" x14ac:dyDescent="0.25">
      <c r="A533" s="681"/>
      <c r="B533" s="684"/>
      <c r="C533" s="422"/>
      <c r="D533" s="423"/>
      <c r="E533" s="423"/>
      <c r="F533" s="424"/>
      <c r="G533" s="425"/>
      <c r="H533" s="426">
        <f>SUM(H528:H532)</f>
        <v>2.0552486187845305</v>
      </c>
      <c r="I533" s="427">
        <f>Z11</f>
        <v>1.1111111111111112</v>
      </c>
      <c r="J533" s="428">
        <f>H533*I533*J$13+K533</f>
        <v>2.9344383057090244</v>
      </c>
      <c r="K533" s="429">
        <f>K532+K531</f>
        <v>0</v>
      </c>
    </row>
    <row r="534" spans="1:15" x14ac:dyDescent="0.25">
      <c r="B534" s="397"/>
    </row>
    <row r="535" spans="1:15" x14ac:dyDescent="0.25">
      <c r="A535" s="679" t="s">
        <v>7</v>
      </c>
      <c r="B535" s="682">
        <f>B528+1</f>
        <v>45950</v>
      </c>
      <c r="C535" s="398" t="s">
        <v>9</v>
      </c>
      <c r="D535" s="399"/>
      <c r="E535" s="399"/>
      <c r="F535" s="400"/>
      <c r="G535" s="401">
        <f>IF(E535&lt;8,Factors!F$18,IF(E535&lt;9,Factors!F$19,IF(E535&lt;10,Factors!F$20,IF(E535&lt;11,Factors!F$21,IF(E535&lt;12,Factors!F$22,IF(E535&lt;13,Factors!F$23))))))</f>
        <v>1.2308917197452229</v>
      </c>
      <c r="H535" s="402">
        <f>D535*F535*G535</f>
        <v>0</v>
      </c>
      <c r="I535" s="403"/>
      <c r="J535" s="404"/>
      <c r="K535" s="405"/>
    </row>
    <row r="536" spans="1:15" x14ac:dyDescent="0.25">
      <c r="A536" s="680"/>
      <c r="B536" s="683"/>
      <c r="C536" s="406" t="s">
        <v>174</v>
      </c>
      <c r="F536" s="407"/>
      <c r="G536" s="408">
        <f>IF(E536&lt;8,Factors!H$18,IF(E536&lt;9,Factors!H$19,IF(E536&lt;10,Factors!H$20,IF(E536&lt;11,Factors!H$21,IF(E536&lt;12,Factors!H$22,IF(E536&lt;13,Factors!H$23))))))</f>
        <v>1.3238434163701067</v>
      </c>
      <c r="H536" s="409">
        <f>D536*F536*G536</f>
        <v>0</v>
      </c>
      <c r="I536" s="410"/>
      <c r="J536" s="411"/>
      <c r="K536" s="412"/>
    </row>
    <row r="537" spans="1:15" x14ac:dyDescent="0.25">
      <c r="A537" s="680" t="s">
        <v>94</v>
      </c>
      <c r="B537" s="683"/>
      <c r="C537" s="406" t="s">
        <v>43</v>
      </c>
      <c r="D537" s="363">
        <v>3</v>
      </c>
      <c r="E537" s="363">
        <v>10.4</v>
      </c>
      <c r="F537" s="407">
        <v>1</v>
      </c>
      <c r="G537" s="408">
        <f>IF(E537&lt;8,Factors!H$18,IF(E537&lt;9,Factors!H$19,IF(E537&lt;10,Factors!H$20,IF(E537&lt;11,Factors!H$21,IF(E537&lt;12,Factors!H$22,IF(E537&lt;13,Factors!H$23))))))</f>
        <v>1</v>
      </c>
      <c r="H537" s="409">
        <f>D537*F537*G537</f>
        <v>3</v>
      </c>
      <c r="I537" s="406"/>
      <c r="J537" s="411"/>
      <c r="K537" s="412"/>
    </row>
    <row r="538" spans="1:15" x14ac:dyDescent="0.25">
      <c r="A538" s="680"/>
      <c r="B538" s="683"/>
      <c r="C538" s="406" t="s">
        <v>166</v>
      </c>
      <c r="D538" s="363">
        <v>1</v>
      </c>
      <c r="E538" s="363">
        <v>8.9</v>
      </c>
      <c r="F538" s="407">
        <v>1</v>
      </c>
      <c r="G538" s="408">
        <f>IF(E538&lt;8,Factors!H$18,IF(E538&lt;9,Factors!H$19,IF(E538&lt;10,Factors!H$20,IF(E538&lt;11,Factors!H$21,IF(E538&lt;12,Factors!H$22,IF(E538&lt;13,Factors!H$23))))))</f>
        <v>1.1104477611940298</v>
      </c>
      <c r="H538" s="409">
        <f>D538*F538*G538</f>
        <v>1.1104477611940298</v>
      </c>
      <c r="I538" s="410"/>
      <c r="J538" s="411"/>
      <c r="K538" s="412"/>
    </row>
    <row r="539" spans="1:15" ht="15.75" thickBot="1" x14ac:dyDescent="0.3">
      <c r="A539" s="680"/>
      <c r="B539" s="683"/>
      <c r="C539" s="415" t="s">
        <v>158</v>
      </c>
      <c r="D539" s="416">
        <v>1</v>
      </c>
      <c r="E539" s="416">
        <v>8.8000000000000007</v>
      </c>
      <c r="F539" s="417">
        <v>1</v>
      </c>
      <c r="G539" s="418">
        <f>IF(E539&lt;8,Factors!H$18,IF(E539&lt;9,Factors!H$19,IF(E539&lt;10,Factors!H$20,IF(E539&lt;11,Factors!H$21,IF(E539&lt;12,Factors!H$22,IF(E539&lt;13,Factors!H$23))))))</f>
        <v>1.1104477611940298</v>
      </c>
      <c r="H539" s="419">
        <f>D539*F539*G539</f>
        <v>1.1104477611940298</v>
      </c>
      <c r="I539" s="420"/>
      <c r="J539" s="421"/>
      <c r="K539" s="421"/>
    </row>
    <row r="540" spans="1:15" ht="15.75" thickTop="1" x14ac:dyDescent="0.25">
      <c r="A540" s="681"/>
      <c r="B540" s="684"/>
      <c r="C540" s="422"/>
      <c r="D540" s="423"/>
      <c r="E540" s="423"/>
      <c r="F540" s="424"/>
      <c r="G540" s="425"/>
      <c r="H540" s="426">
        <f>SUM(H535:H539)</f>
        <v>5.2208955223880587</v>
      </c>
      <c r="I540" s="427">
        <f>Z11</f>
        <v>1.1111111111111112</v>
      </c>
      <c r="J540" s="428">
        <f>H540*I540*J$13+K540</f>
        <v>7.4542786069651727</v>
      </c>
      <c r="K540" s="429">
        <f>K539+K538</f>
        <v>0</v>
      </c>
    </row>
    <row r="541" spans="1:15" x14ac:dyDescent="0.25">
      <c r="J541" s="430"/>
    </row>
    <row r="542" spans="1:15" x14ac:dyDescent="0.25">
      <c r="A542" s="679" t="s">
        <v>94</v>
      </c>
      <c r="B542" s="682">
        <f>B535+1</f>
        <v>45951</v>
      </c>
      <c r="C542" s="398" t="s">
        <v>9</v>
      </c>
      <c r="D542" s="399"/>
      <c r="E542" s="399"/>
      <c r="F542" s="400"/>
      <c r="G542" s="401">
        <f>IF(E542&lt;8,Factors!F$18,IF(E542&lt;9,Factors!F$19,IF(E542&lt;10,Factors!F$20,IF(E542&lt;11,Factors!F$21,IF(E542&lt;12,Factors!F$22,IF(E542&lt;13,Factors!F$23))))))</f>
        <v>1.2308917197452229</v>
      </c>
      <c r="H542" s="402">
        <f>D542*F542*G542</f>
        <v>0</v>
      </c>
      <c r="I542" s="403"/>
      <c r="J542" s="404"/>
      <c r="K542" s="405"/>
    </row>
    <row r="543" spans="1:15" x14ac:dyDescent="0.25">
      <c r="A543" s="680"/>
      <c r="B543" s="683"/>
      <c r="C543" s="406" t="s">
        <v>174</v>
      </c>
      <c r="F543" s="407"/>
      <c r="G543" s="408">
        <f>IF(E543&lt;8,Factors!H$18,IF(E543&lt;9,Factors!H$19,IF(E543&lt;10,Factors!H$20,IF(E543&lt;11,Factors!H$21,IF(E543&lt;12,Factors!H$22,IF(E543&lt;13,Factors!H$23))))))</f>
        <v>1.3238434163701067</v>
      </c>
      <c r="H543" s="409">
        <f>D543*F543*G543</f>
        <v>0</v>
      </c>
      <c r="I543" s="410"/>
      <c r="J543" s="411"/>
      <c r="K543" s="412"/>
    </row>
    <row r="544" spans="1:15" x14ac:dyDescent="0.25">
      <c r="A544" s="680" t="s">
        <v>94</v>
      </c>
      <c r="B544" s="683"/>
      <c r="C544" s="406" t="s">
        <v>43</v>
      </c>
      <c r="D544" s="363">
        <v>9</v>
      </c>
      <c r="E544" s="363">
        <v>10.5</v>
      </c>
      <c r="F544" s="407">
        <v>1</v>
      </c>
      <c r="G544" s="408">
        <f>IF(E544&lt;8,Factors!H$18,IF(E544&lt;9,Factors!H$19,IF(E544&lt;10,Factors!H$20,IF(E544&lt;11,Factors!H$21,IF(E544&lt;12,Factors!H$22,IF(E544&lt;13,Factors!H$23))))))</f>
        <v>1</v>
      </c>
      <c r="H544" s="409">
        <f>D544*F544*G544</f>
        <v>9</v>
      </c>
      <c r="I544" s="406"/>
      <c r="J544" s="411"/>
      <c r="K544" s="412"/>
    </row>
    <row r="545" spans="1:11" x14ac:dyDescent="0.25">
      <c r="A545" s="680"/>
      <c r="B545" s="683"/>
      <c r="C545" s="406" t="s">
        <v>166</v>
      </c>
      <c r="D545" s="363">
        <v>0</v>
      </c>
      <c r="E545" s="363">
        <v>9</v>
      </c>
      <c r="F545" s="407">
        <v>1</v>
      </c>
      <c r="G545" s="408">
        <f>IF(E545&lt;8,Factors!H$18,IF(E545&lt;9,Factors!H$19,IF(E545&lt;10,Factors!H$20,IF(E545&lt;11,Factors!H$21,IF(E545&lt;12,Factors!H$22,IF(E545&lt;13,Factors!H$23))))))</f>
        <v>1.024793388429752</v>
      </c>
      <c r="H545" s="409">
        <f>D545*F545*G545</f>
        <v>0</v>
      </c>
      <c r="I545" s="410"/>
      <c r="J545" s="411"/>
      <c r="K545" s="412"/>
    </row>
    <row r="546" spans="1:11" ht="15.75" thickBot="1" x14ac:dyDescent="0.3">
      <c r="A546" s="680"/>
      <c r="B546" s="683"/>
      <c r="C546" s="415" t="s">
        <v>158</v>
      </c>
      <c r="D546" s="416">
        <v>2</v>
      </c>
      <c r="E546" s="416">
        <v>9.1</v>
      </c>
      <c r="F546" s="417">
        <v>1</v>
      </c>
      <c r="G546" s="418">
        <f>IF(E546&lt;8,Factors!H$18,IF(E546&lt;9,Factors!H$19,IF(E546&lt;10,Factors!H$20,IF(E546&lt;11,Factors!H$21,IF(E546&lt;12,Factors!H$22,IF(E546&lt;13,Factors!H$23))))))</f>
        <v>1.024793388429752</v>
      </c>
      <c r="H546" s="419">
        <f>D546*F546*G546</f>
        <v>2.049586776859504</v>
      </c>
      <c r="I546" s="420"/>
      <c r="J546" s="421"/>
      <c r="K546" s="421"/>
    </row>
    <row r="547" spans="1:11" ht="15.75" thickTop="1" x14ac:dyDescent="0.25">
      <c r="A547" s="681"/>
      <c r="B547" s="684"/>
      <c r="C547" s="422"/>
      <c r="D547" s="423"/>
      <c r="E547" s="423"/>
      <c r="F547" s="424"/>
      <c r="G547" s="425"/>
      <c r="H547" s="426">
        <f>SUM(H542:H546)</f>
        <v>11.049586776859504</v>
      </c>
      <c r="I547" s="427">
        <f>Z11</f>
        <v>1.1111111111111112</v>
      </c>
      <c r="J547" s="428">
        <f>H547*I547*J$13+K547</f>
        <v>15.776354453627182</v>
      </c>
      <c r="K547" s="429">
        <f>K546+K545</f>
        <v>0</v>
      </c>
    </row>
    <row r="548" spans="1:11" x14ac:dyDescent="0.25">
      <c r="B548" s="397"/>
      <c r="F548" s="407"/>
      <c r="I548" s="430"/>
    </row>
    <row r="549" spans="1:11" x14ac:dyDescent="0.25">
      <c r="A549" s="679" t="s">
        <v>11</v>
      </c>
      <c r="B549" s="682">
        <f>B542+1</f>
        <v>45952</v>
      </c>
      <c r="C549" s="398" t="s">
        <v>9</v>
      </c>
      <c r="D549" s="399"/>
      <c r="E549" s="399"/>
      <c r="F549" s="400"/>
      <c r="G549" s="401">
        <f>IF(E549&lt;8,Factors!F$18,IF(E549&lt;9,Factors!F$19,IF(E549&lt;10,Factors!F$20,IF(E549&lt;11,Factors!F$21,IF(E549&lt;12,Factors!F$22,IF(E549&lt;13,Factors!F$23))))))</f>
        <v>1.2308917197452229</v>
      </c>
      <c r="H549" s="402">
        <f>D549*F549*G549</f>
        <v>0</v>
      </c>
      <c r="I549" s="403"/>
      <c r="J549" s="404"/>
      <c r="K549" s="405"/>
    </row>
    <row r="550" spans="1:11" x14ac:dyDescent="0.25">
      <c r="A550" s="680"/>
      <c r="B550" s="683"/>
      <c r="C550" s="406" t="s">
        <v>174</v>
      </c>
      <c r="F550" s="407"/>
      <c r="G550" s="408">
        <f>IF(E550&lt;8,Factors!H$18,IF(E550&lt;9,Factors!H$19,IF(E550&lt;10,Factors!H$20,IF(E550&lt;11,Factors!H$21,IF(E550&lt;12,Factors!H$22,IF(E550&lt;13,Factors!H$23))))))</f>
        <v>1.3238434163701067</v>
      </c>
      <c r="H550" s="409">
        <f>D550*F550*G550</f>
        <v>0</v>
      </c>
      <c r="I550" s="410"/>
      <c r="J550" s="411"/>
      <c r="K550" s="412"/>
    </row>
    <row r="551" spans="1:11" x14ac:dyDescent="0.25">
      <c r="A551" s="680" t="s">
        <v>94</v>
      </c>
      <c r="B551" s="683"/>
      <c r="C551" s="406" t="s">
        <v>43</v>
      </c>
      <c r="D551" s="363">
        <v>8</v>
      </c>
      <c r="E551" s="363">
        <v>8.4</v>
      </c>
      <c r="F551" s="407">
        <v>1</v>
      </c>
      <c r="G551" s="408">
        <f>IF(E551&lt;8,Factors!H$18,IF(E551&lt;9,Factors!H$19,IF(E551&lt;10,Factors!H$20,IF(E551&lt;11,Factors!H$21,IF(E551&lt;12,Factors!H$22,IF(E551&lt;13,Factors!H$23))))))</f>
        <v>1.1104477611940298</v>
      </c>
      <c r="H551" s="409">
        <f>D551*F551*G551</f>
        <v>8.8835820895522382</v>
      </c>
      <c r="I551" s="406"/>
      <c r="J551" s="411"/>
      <c r="K551" s="412"/>
    </row>
    <row r="552" spans="1:11" x14ac:dyDescent="0.25">
      <c r="A552" s="680"/>
      <c r="B552" s="683"/>
      <c r="C552" s="406" t="s">
        <v>166</v>
      </c>
      <c r="D552" s="363">
        <v>0</v>
      </c>
      <c r="E552" s="363">
        <v>8.3000000000000007</v>
      </c>
      <c r="F552" s="407">
        <v>1</v>
      </c>
      <c r="G552" s="408">
        <f>IF(E552&lt;8,Factors!H$18,IF(E552&lt;9,Factors!H$19,IF(E552&lt;10,Factors!H$20,IF(E552&lt;11,Factors!H$21,IF(E552&lt;12,Factors!H$22,IF(E552&lt;13,Factors!H$23))))))</f>
        <v>1.1104477611940298</v>
      </c>
      <c r="H552" s="409">
        <f>D552*F552*G552</f>
        <v>0</v>
      </c>
      <c r="I552" s="410"/>
      <c r="J552" s="411"/>
      <c r="K552" s="412"/>
    </row>
    <row r="553" spans="1:11" ht="15.75" thickBot="1" x14ac:dyDescent="0.3">
      <c r="A553" s="680"/>
      <c r="B553" s="683"/>
      <c r="C553" s="415" t="s">
        <v>158</v>
      </c>
      <c r="D553" s="416">
        <v>2</v>
      </c>
      <c r="E553" s="416">
        <v>9.4</v>
      </c>
      <c r="F553" s="417">
        <v>1</v>
      </c>
      <c r="G553" s="418">
        <f>IF(E553&lt;8,Factors!H$18,IF(E553&lt;9,Factors!H$19,IF(E553&lt;10,Factors!H$20,IF(E553&lt;11,Factors!H$21,IF(E553&lt;12,Factors!H$22,IF(E553&lt;13,Factors!H$23))))))</f>
        <v>1.024793388429752</v>
      </c>
      <c r="H553" s="419">
        <f>D553*F553*G553</f>
        <v>2.049586776859504</v>
      </c>
      <c r="I553" s="420"/>
      <c r="J553" s="421"/>
      <c r="K553" s="421"/>
    </row>
    <row r="554" spans="1:11" ht="15.75" thickTop="1" x14ac:dyDescent="0.25">
      <c r="A554" s="681"/>
      <c r="B554" s="684"/>
      <c r="C554" s="422"/>
      <c r="D554" s="423"/>
      <c r="E554" s="423"/>
      <c r="F554" s="424"/>
      <c r="G554" s="425"/>
      <c r="H554" s="426">
        <f>SUM(H549:H553)</f>
        <v>10.933168866411743</v>
      </c>
      <c r="I554" s="427">
        <f>AG$11</f>
        <v>1.1111111111111112</v>
      </c>
      <c r="J554" s="428">
        <f>H554*I554*J$13+K554</f>
        <v>15.610135548154544</v>
      </c>
      <c r="K554" s="429">
        <f>K553+K552</f>
        <v>0</v>
      </c>
    </row>
    <row r="555" spans="1:11" x14ac:dyDescent="0.25">
      <c r="B555" s="397"/>
      <c r="J555" s="430"/>
    </row>
    <row r="556" spans="1:11" x14ac:dyDescent="0.25">
      <c r="A556" s="679" t="s">
        <v>95</v>
      </c>
      <c r="B556" s="682">
        <f>B549+1</f>
        <v>45953</v>
      </c>
      <c r="C556" s="398" t="s">
        <v>9</v>
      </c>
      <c r="D556" s="399"/>
      <c r="E556" s="399"/>
      <c r="F556" s="400"/>
      <c r="G556" s="401">
        <f>IF(E556&lt;8,Factors!F$18,IF(E556&lt;9,Factors!F$19,IF(E556&lt;10,Factors!F$20,IF(E556&lt;11,Factors!F$21,IF(E556&lt;12,Factors!F$22,IF(E556&lt;13,Factors!F$23))))))</f>
        <v>1.2308917197452229</v>
      </c>
      <c r="H556" s="402">
        <f>D556*F556*G556</f>
        <v>0</v>
      </c>
      <c r="I556" s="403"/>
      <c r="J556" s="404"/>
      <c r="K556" s="405"/>
    </row>
    <row r="557" spans="1:11" x14ac:dyDescent="0.25">
      <c r="A557" s="680"/>
      <c r="B557" s="683"/>
      <c r="C557" s="406" t="s">
        <v>174</v>
      </c>
      <c r="F557" s="407"/>
      <c r="G557" s="408">
        <f>IF(E557&lt;8,Factors!H$18,IF(E557&lt;9,Factors!H$19,IF(E557&lt;10,Factors!H$20,IF(E557&lt;11,Factors!H$21,IF(E557&lt;12,Factors!H$22,IF(E557&lt;13,Factors!H$23))))))</f>
        <v>1.3238434163701067</v>
      </c>
      <c r="H557" s="409">
        <f>D557*F557*G557</f>
        <v>0</v>
      </c>
      <c r="I557" s="410"/>
      <c r="J557" s="411"/>
      <c r="K557" s="412"/>
    </row>
    <row r="558" spans="1:11" x14ac:dyDescent="0.25">
      <c r="A558" s="680" t="s">
        <v>94</v>
      </c>
      <c r="B558" s="683"/>
      <c r="C558" s="406" t="s">
        <v>43</v>
      </c>
      <c r="D558" s="363">
        <v>15</v>
      </c>
      <c r="E558" s="363">
        <v>10</v>
      </c>
      <c r="F558" s="407">
        <v>1</v>
      </c>
      <c r="G558" s="408">
        <f>IF(E558&lt;8,Factors!H$18,IF(E558&lt;9,Factors!H$19,IF(E558&lt;10,Factors!H$20,IF(E558&lt;11,Factors!H$21,IF(E558&lt;12,Factors!H$22,IF(E558&lt;13,Factors!H$23))))))</f>
        <v>1</v>
      </c>
      <c r="H558" s="409">
        <f>D558*F558*G558</f>
        <v>15</v>
      </c>
      <c r="I558" s="406"/>
      <c r="J558" s="411"/>
      <c r="K558" s="412"/>
    </row>
    <row r="559" spans="1:11" x14ac:dyDescent="0.25">
      <c r="A559" s="680"/>
      <c r="B559" s="683"/>
      <c r="C559" s="406" t="s">
        <v>166</v>
      </c>
      <c r="D559" s="363">
        <v>1</v>
      </c>
      <c r="E559" s="363">
        <v>8.9</v>
      </c>
      <c r="F559" s="407">
        <v>1</v>
      </c>
      <c r="G559" s="408">
        <f>IF(E559&lt;8,Factors!H$18,IF(E559&lt;9,Factors!H$19,IF(E559&lt;10,Factors!H$20,IF(E559&lt;11,Factors!H$21,IF(E559&lt;12,Factors!H$22,IF(E559&lt;13,Factors!H$23))))))</f>
        <v>1.1104477611940298</v>
      </c>
      <c r="H559" s="409">
        <f>D559*F559*G559</f>
        <v>1.1104477611940298</v>
      </c>
      <c r="I559" s="410"/>
      <c r="J559" s="411"/>
      <c r="K559" s="412"/>
    </row>
    <row r="560" spans="1:11" ht="15.75" thickBot="1" x14ac:dyDescent="0.3">
      <c r="A560" s="680"/>
      <c r="B560" s="683"/>
      <c r="C560" s="415" t="s">
        <v>158</v>
      </c>
      <c r="D560" s="416">
        <v>5</v>
      </c>
      <c r="E560" s="416">
        <v>8.5</v>
      </c>
      <c r="F560" s="417">
        <v>1</v>
      </c>
      <c r="G560" s="418">
        <f>IF(E560&lt;8,Factors!H$18,IF(E560&lt;9,Factors!H$19,IF(E560&lt;10,Factors!H$20,IF(E560&lt;11,Factors!H$21,IF(E560&lt;12,Factors!H$22,IF(E560&lt;13,Factors!H$23))))))</f>
        <v>1.1104477611940298</v>
      </c>
      <c r="H560" s="419">
        <f>D560*F560*G560</f>
        <v>5.5522388059701484</v>
      </c>
      <c r="I560" s="420"/>
      <c r="J560" s="421"/>
      <c r="K560" s="421"/>
    </row>
    <row r="561" spans="1:11" ht="15.75" thickTop="1" x14ac:dyDescent="0.25">
      <c r="A561" s="681"/>
      <c r="B561" s="684"/>
      <c r="C561" s="422"/>
      <c r="D561" s="423"/>
      <c r="E561" s="423"/>
      <c r="F561" s="424"/>
      <c r="G561" s="425"/>
      <c r="H561" s="426">
        <f>SUM(H556:H560)</f>
        <v>21.66268656716418</v>
      </c>
      <c r="I561" s="427">
        <f>AG$11</f>
        <v>1.1111111111111112</v>
      </c>
      <c r="J561" s="428">
        <f>H561*I561*J$13+K561</f>
        <v>30.929502487562189</v>
      </c>
      <c r="K561" s="429">
        <f>K560+K559</f>
        <v>0</v>
      </c>
    </row>
    <row r="562" spans="1:11" x14ac:dyDescent="0.25">
      <c r="B562" s="397"/>
      <c r="G562" s="414"/>
      <c r="H562" s="414"/>
      <c r="I562" s="430"/>
    </row>
    <row r="563" spans="1:11" x14ac:dyDescent="0.25">
      <c r="A563" s="679" t="s">
        <v>13</v>
      </c>
      <c r="B563" s="682">
        <f>B556+1</f>
        <v>45954</v>
      </c>
      <c r="C563" s="398" t="s">
        <v>9</v>
      </c>
      <c r="D563" s="399"/>
      <c r="E563" s="399"/>
      <c r="F563" s="400"/>
      <c r="G563" s="401">
        <f>IF(E563&lt;8,Factors!F$18,IF(E563&lt;9,Factors!F$19,IF(E563&lt;10,Factors!F$20,IF(E563&lt;11,Factors!F$21,IF(E563&lt;12,Factors!F$22,IF(E563&lt;13,Factors!F$23))))))</f>
        <v>1.2308917197452229</v>
      </c>
      <c r="H563" s="402">
        <f>D563*F563*G563</f>
        <v>0</v>
      </c>
      <c r="I563" s="403"/>
      <c r="J563" s="404"/>
      <c r="K563" s="405"/>
    </row>
    <row r="564" spans="1:11" x14ac:dyDescent="0.25">
      <c r="A564" s="680"/>
      <c r="B564" s="683"/>
      <c r="C564" s="406" t="s">
        <v>174</v>
      </c>
      <c r="F564" s="407"/>
      <c r="G564" s="408">
        <f>IF(E564&lt;8,Factors!H$18,IF(E564&lt;9,Factors!H$19,IF(E564&lt;10,Factors!H$20,IF(E564&lt;11,Factors!H$21,IF(E564&lt;12,Factors!H$22,IF(E564&lt;13,Factors!H$23))))))</f>
        <v>1.3238434163701067</v>
      </c>
      <c r="H564" s="409">
        <f>D564*F564*G564</f>
        <v>0</v>
      </c>
      <c r="I564" s="410"/>
      <c r="J564" s="411"/>
      <c r="K564" s="412"/>
    </row>
    <row r="565" spans="1:11" x14ac:dyDescent="0.25">
      <c r="A565" s="680" t="s">
        <v>94</v>
      </c>
      <c r="B565" s="683"/>
      <c r="C565" s="406" t="s">
        <v>43</v>
      </c>
      <c r="D565" s="444">
        <v>15</v>
      </c>
      <c r="E565" s="444">
        <v>8</v>
      </c>
      <c r="F565" s="576">
        <v>1</v>
      </c>
      <c r="G565" s="408">
        <f>IF(E565&lt;8,Factors!H$18,IF(E565&lt;9,Factors!H$19,IF(E565&lt;10,Factors!H$20,IF(E565&lt;11,Factors!H$21,IF(E565&lt;12,Factors!H$22,IF(E565&lt;13,Factors!H$23))))))</f>
        <v>1.1104477611940298</v>
      </c>
      <c r="H565" s="409">
        <f>D565*F565*G565</f>
        <v>16.656716417910445</v>
      </c>
      <c r="I565" s="406"/>
      <c r="J565" s="411"/>
      <c r="K565" s="412"/>
    </row>
    <row r="566" spans="1:11" x14ac:dyDescent="0.25">
      <c r="A566" s="680"/>
      <c r="B566" s="683"/>
      <c r="C566" s="406" t="s">
        <v>166</v>
      </c>
      <c r="D566" s="444">
        <v>1</v>
      </c>
      <c r="E566" s="444">
        <v>8</v>
      </c>
      <c r="F566" s="576">
        <v>1</v>
      </c>
      <c r="G566" s="408">
        <f>IF(E566&lt;8,Factors!H$18,IF(E566&lt;9,Factors!H$19,IF(E566&lt;10,Factors!H$20,IF(E566&lt;11,Factors!H$21,IF(E566&lt;12,Factors!H$22,IF(E566&lt;13,Factors!H$23))))))</f>
        <v>1.1104477611940298</v>
      </c>
      <c r="H566" s="409">
        <f>D566*F566*G566</f>
        <v>1.1104477611940298</v>
      </c>
      <c r="I566" s="410"/>
      <c r="J566" s="411"/>
      <c r="K566" s="412"/>
    </row>
    <row r="567" spans="1:11" ht="15.75" thickBot="1" x14ac:dyDescent="0.3">
      <c r="A567" s="680"/>
      <c r="B567" s="683"/>
      <c r="C567" s="415" t="s">
        <v>158</v>
      </c>
      <c r="D567" s="617">
        <v>5</v>
      </c>
      <c r="E567" s="617">
        <v>8</v>
      </c>
      <c r="F567" s="618">
        <v>1</v>
      </c>
      <c r="G567" s="418">
        <f>IF(E567&lt;8,Factors!H$18,IF(E567&lt;9,Factors!H$19,IF(E567&lt;10,Factors!H$20,IF(E567&lt;11,Factors!H$21,IF(E567&lt;12,Factors!H$22,IF(E567&lt;13,Factors!H$23))))))</f>
        <v>1.1104477611940298</v>
      </c>
      <c r="H567" s="419">
        <f>D567*F567*G567</f>
        <v>5.5522388059701484</v>
      </c>
      <c r="I567" s="420"/>
      <c r="J567" s="421"/>
      <c r="K567" s="421"/>
    </row>
    <row r="568" spans="1:11" ht="15.75" thickTop="1" x14ac:dyDescent="0.25">
      <c r="A568" s="681"/>
      <c r="B568" s="684"/>
      <c r="C568" s="422"/>
      <c r="D568" s="423"/>
      <c r="E568" s="423"/>
      <c r="F568" s="424"/>
      <c r="G568" s="425"/>
      <c r="H568" s="426">
        <f>SUM(H563:H567)</f>
        <v>23.319402985074625</v>
      </c>
      <c r="I568" s="427">
        <f>AG$11</f>
        <v>1.1111111111111112</v>
      </c>
      <c r="J568" s="428">
        <f>H568*I568*J$13+K568</f>
        <v>33.294925373134326</v>
      </c>
      <c r="K568" s="429">
        <f>K567+K566</f>
        <v>0</v>
      </c>
    </row>
    <row r="569" spans="1:11" x14ac:dyDescent="0.25">
      <c r="B569" s="397"/>
    </row>
    <row r="570" spans="1:11" x14ac:dyDescent="0.25">
      <c r="A570" s="680" t="s">
        <v>14</v>
      </c>
      <c r="B570" s="682">
        <f>B563+1</f>
        <v>45955</v>
      </c>
      <c r="C570" s="398" t="s">
        <v>9</v>
      </c>
      <c r="D570" s="399"/>
      <c r="E570" s="399"/>
      <c r="F570" s="400"/>
      <c r="G570" s="401">
        <f>IF(E570&lt;8,Factors!F$18,IF(E570&lt;9,Factors!F$19,IF(E570&lt;10,Factors!F$20,IF(E570&lt;11,Factors!F$21,IF(E570&lt;12,Factors!F$22,IF(E570&lt;13,Factors!F$23))))))</f>
        <v>1.2308917197452229</v>
      </c>
      <c r="H570" s="402">
        <f>D570*F570*G570</f>
        <v>0</v>
      </c>
      <c r="I570" s="403"/>
      <c r="J570" s="404"/>
      <c r="K570" s="405"/>
    </row>
    <row r="571" spans="1:11" x14ac:dyDescent="0.25">
      <c r="A571" s="680"/>
      <c r="B571" s="683"/>
      <c r="C571" s="406" t="s">
        <v>174</v>
      </c>
      <c r="F571" s="407"/>
      <c r="G571" s="408">
        <f>IF(E571&lt;8,Factors!H$18,IF(E571&lt;9,Factors!H$19,IF(E571&lt;10,Factors!H$20,IF(E571&lt;11,Factors!H$21,IF(E571&lt;12,Factors!H$22,IF(E571&lt;13,Factors!H$23))))))</f>
        <v>1.3238434163701067</v>
      </c>
      <c r="H571" s="409">
        <f>D571*F571*G571</f>
        <v>0</v>
      </c>
      <c r="I571" s="410"/>
      <c r="J571" s="411"/>
      <c r="K571" s="412"/>
    </row>
    <row r="572" spans="1:11" x14ac:dyDescent="0.25">
      <c r="A572" s="680" t="s">
        <v>94</v>
      </c>
      <c r="B572" s="683"/>
      <c r="C572" s="406" t="s">
        <v>43</v>
      </c>
      <c r="D572" s="444">
        <v>8</v>
      </c>
      <c r="E572" s="444">
        <v>8</v>
      </c>
      <c r="F572" s="576">
        <v>1</v>
      </c>
      <c r="G572" s="408">
        <f>IF(E572&lt;8,Factors!H$18,IF(E572&lt;9,Factors!H$19,IF(E572&lt;10,Factors!H$20,IF(E572&lt;11,Factors!H$21,IF(E572&lt;12,Factors!H$22,IF(E572&lt;13,Factors!H$23))))))</f>
        <v>1.1104477611940298</v>
      </c>
      <c r="H572" s="409">
        <f>D572*F572*G572</f>
        <v>8.8835820895522382</v>
      </c>
      <c r="I572" s="406"/>
      <c r="J572" s="411"/>
      <c r="K572" s="412"/>
    </row>
    <row r="573" spans="1:11" x14ac:dyDescent="0.25">
      <c r="A573" s="680"/>
      <c r="B573" s="683"/>
      <c r="C573" s="406" t="s">
        <v>166</v>
      </c>
      <c r="D573" s="444">
        <v>1</v>
      </c>
      <c r="E573" s="444">
        <v>8</v>
      </c>
      <c r="F573" s="576">
        <v>1</v>
      </c>
      <c r="G573" s="408">
        <f>IF(E573&lt;8,Factors!H$18,IF(E573&lt;9,Factors!H$19,IF(E573&lt;10,Factors!H$20,IF(E573&lt;11,Factors!H$21,IF(E573&lt;12,Factors!H$22,IF(E573&lt;13,Factors!H$23))))))</f>
        <v>1.1104477611940298</v>
      </c>
      <c r="H573" s="409">
        <f>D573*F573*G573</f>
        <v>1.1104477611940298</v>
      </c>
      <c r="I573" s="410"/>
      <c r="J573" s="411"/>
      <c r="K573" s="412"/>
    </row>
    <row r="574" spans="1:11" ht="15.75" thickBot="1" x14ac:dyDescent="0.3">
      <c r="A574" s="680"/>
      <c r="B574" s="683"/>
      <c r="C574" s="415" t="s">
        <v>158</v>
      </c>
      <c r="D574" s="617">
        <v>5</v>
      </c>
      <c r="E574" s="617">
        <v>8</v>
      </c>
      <c r="F574" s="618">
        <v>1</v>
      </c>
      <c r="G574" s="418">
        <f>IF(E574&lt;8,Factors!H$18,IF(E574&lt;9,Factors!H$19,IF(E574&lt;10,Factors!H$20,IF(E574&lt;11,Factors!H$21,IF(E574&lt;12,Factors!H$22,IF(E574&lt;13,Factors!H$23))))))</f>
        <v>1.1104477611940298</v>
      </c>
      <c r="H574" s="419">
        <f>D574*F574*G574</f>
        <v>5.5522388059701484</v>
      </c>
      <c r="I574" s="420"/>
      <c r="J574" s="421"/>
      <c r="K574" s="421"/>
    </row>
    <row r="575" spans="1:11" ht="15.75" thickTop="1" x14ac:dyDescent="0.25">
      <c r="A575" s="681"/>
      <c r="B575" s="684"/>
      <c r="C575" s="422"/>
      <c r="D575" s="423"/>
      <c r="E575" s="423"/>
      <c r="F575" s="424"/>
      <c r="G575" s="425"/>
      <c r="H575" s="426">
        <f>SUM(H570:H574)</f>
        <v>15.546268656716416</v>
      </c>
      <c r="I575" s="427">
        <f>AG$11</f>
        <v>1.1111111111111112</v>
      </c>
      <c r="J575" s="428">
        <f>H575*I575*J$13+K575</f>
        <v>22.196616915422883</v>
      </c>
      <c r="K575" s="429">
        <f>K574+K573</f>
        <v>0</v>
      </c>
    </row>
    <row r="576" spans="1:11" x14ac:dyDescent="0.25">
      <c r="B576" s="397"/>
      <c r="J576" s="430"/>
    </row>
    <row r="577" spans="1:11" x14ac:dyDescent="0.25">
      <c r="A577" s="679" t="s">
        <v>15</v>
      </c>
      <c r="B577" s="682">
        <f>B570+1</f>
        <v>45956</v>
      </c>
      <c r="C577" s="398" t="s">
        <v>9</v>
      </c>
      <c r="D577" s="399"/>
      <c r="E577" s="399"/>
      <c r="F577" s="400"/>
      <c r="G577" s="401">
        <f>IF(E577&lt;8,Factors!F$18,IF(E577&lt;9,Factors!F$19,IF(E577&lt;10,Factors!F$20,IF(E577&lt;11,Factors!F$21,IF(E577&lt;12,Factors!F$22,IF(E577&lt;13,Factors!F$23))))))</f>
        <v>1.2308917197452229</v>
      </c>
      <c r="H577" s="402">
        <f>D577*F577*G577</f>
        <v>0</v>
      </c>
      <c r="I577" s="403"/>
      <c r="J577" s="404"/>
      <c r="K577" s="405"/>
    </row>
    <row r="578" spans="1:11" x14ac:dyDescent="0.25">
      <c r="A578" s="680"/>
      <c r="B578" s="683"/>
      <c r="C578" s="406" t="s">
        <v>174</v>
      </c>
      <c r="F578" s="407"/>
      <c r="G578" s="408">
        <f>IF(E578&lt;8,Factors!H$18,IF(E578&lt;9,Factors!H$19,IF(E578&lt;10,Factors!H$20,IF(E578&lt;11,Factors!H$21,IF(E578&lt;12,Factors!H$22,IF(E578&lt;13,Factors!H$23))))))</f>
        <v>1.3238434163701067</v>
      </c>
      <c r="H578" s="409">
        <f>D578*F578*G578</f>
        <v>0</v>
      </c>
      <c r="I578" s="410"/>
      <c r="J578" s="411"/>
      <c r="K578" s="412"/>
    </row>
    <row r="579" spans="1:11" x14ac:dyDescent="0.25">
      <c r="A579" s="680" t="s">
        <v>94</v>
      </c>
      <c r="B579" s="683"/>
      <c r="C579" s="406" t="s">
        <v>43</v>
      </c>
      <c r="D579" s="363">
        <v>1</v>
      </c>
      <c r="E579" s="363">
        <v>11</v>
      </c>
      <c r="F579" s="407">
        <v>1</v>
      </c>
      <c r="G579" s="408">
        <f>IF(E579&lt;8,Factors!H$18,IF(E579&lt;9,Factors!H$19,IF(E579&lt;10,Factors!H$20,IF(E579&lt;11,Factors!H$21,IF(E579&lt;12,Factors!H$22,IF(E579&lt;13,Factors!H$23))))))</f>
        <v>1.0276243093922652</v>
      </c>
      <c r="H579" s="409">
        <f>D579*F579*G579</f>
        <v>1.0276243093922652</v>
      </c>
      <c r="I579" s="406"/>
      <c r="J579" s="411"/>
      <c r="K579" s="412"/>
    </row>
    <row r="580" spans="1:11" x14ac:dyDescent="0.25">
      <c r="A580" s="680"/>
      <c r="B580" s="683"/>
      <c r="C580" s="406" t="s">
        <v>166</v>
      </c>
      <c r="D580" s="363">
        <v>0</v>
      </c>
      <c r="E580" s="363">
        <v>10</v>
      </c>
      <c r="F580" s="407">
        <v>1</v>
      </c>
      <c r="G580" s="408">
        <f>IF(E580&lt;8,Factors!H$18,IF(E580&lt;9,Factors!H$19,IF(E580&lt;10,Factors!H$20,IF(E580&lt;11,Factors!H$21,IF(E580&lt;12,Factors!H$22,IF(E580&lt;13,Factors!H$23))))))</f>
        <v>1</v>
      </c>
      <c r="H580" s="409">
        <f>D580*F580*G580</f>
        <v>0</v>
      </c>
      <c r="I580" s="410"/>
      <c r="J580" s="411"/>
      <c r="K580" s="412"/>
    </row>
    <row r="581" spans="1:11" ht="15.75" thickBot="1" x14ac:dyDescent="0.3">
      <c r="A581" s="680"/>
      <c r="B581" s="683"/>
      <c r="C581" s="415" t="s">
        <v>158</v>
      </c>
      <c r="D581" s="617">
        <v>3</v>
      </c>
      <c r="E581" s="617">
        <v>10</v>
      </c>
      <c r="F581" s="417">
        <v>1</v>
      </c>
      <c r="G581" s="418">
        <f>IF(E581&lt;8,Factors!H$18,IF(E581&lt;9,Factors!H$19,IF(E581&lt;10,Factors!H$20,IF(E581&lt;11,Factors!H$21,IF(E581&lt;12,Factors!H$22,IF(E581&lt;13,Factors!H$23))))))</f>
        <v>1</v>
      </c>
      <c r="H581" s="419">
        <f>D581*F581*G581</f>
        <v>3</v>
      </c>
      <c r="I581" s="420"/>
      <c r="J581" s="421"/>
      <c r="K581" s="421"/>
    </row>
    <row r="582" spans="1:11" ht="15.75" thickTop="1" x14ac:dyDescent="0.25">
      <c r="A582" s="681"/>
      <c r="B582" s="684"/>
      <c r="C582" s="422"/>
      <c r="D582" s="423"/>
      <c r="E582" s="423"/>
      <c r="F582" s="424"/>
      <c r="G582" s="425"/>
      <c r="H582" s="426">
        <f>SUM(H577:H581)</f>
        <v>4.027624309392265</v>
      </c>
      <c r="I582" s="427">
        <f>AG$11</f>
        <v>1.1111111111111112</v>
      </c>
      <c r="J582" s="428">
        <f>H582*I582*J$13+K582</f>
        <v>5.7505524861878445</v>
      </c>
      <c r="K582" s="429">
        <f>K581+K580</f>
        <v>0</v>
      </c>
    </row>
    <row r="583" spans="1:11" x14ac:dyDescent="0.25">
      <c r="B583" s="397"/>
      <c r="J583" s="430"/>
    </row>
    <row r="584" spans="1:11" x14ac:dyDescent="0.25">
      <c r="A584" s="679" t="s">
        <v>7</v>
      </c>
      <c r="B584" s="682">
        <f>B577+1</f>
        <v>45957</v>
      </c>
      <c r="C584" s="398" t="s">
        <v>9</v>
      </c>
      <c r="D584" s="399"/>
      <c r="E584" s="399"/>
      <c r="F584" s="400"/>
      <c r="G584" s="401">
        <f>IF(E584&lt;8,Factors!F$18,IF(E584&lt;9,Factors!F$19,IF(E584&lt;10,Factors!F$20,IF(E584&lt;11,Factors!F$21,IF(E584&lt;12,Factors!F$22,IF(E584&lt;13,Factors!F$23))))))</f>
        <v>1.2308917197452229</v>
      </c>
      <c r="H584" s="402">
        <f>D584*F584*G584</f>
        <v>0</v>
      </c>
      <c r="I584" s="403"/>
      <c r="J584" s="404"/>
      <c r="K584" s="405"/>
    </row>
    <row r="585" spans="1:11" x14ac:dyDescent="0.25">
      <c r="A585" s="680"/>
      <c r="B585" s="683"/>
      <c r="C585" s="406" t="s">
        <v>174</v>
      </c>
      <c r="F585" s="407"/>
      <c r="G585" s="408">
        <f>IF(E585&lt;8,Factors!H$18,IF(E585&lt;9,Factors!H$19,IF(E585&lt;10,Factors!H$20,IF(E585&lt;11,Factors!H$21,IF(E585&lt;12,Factors!H$22,IF(E585&lt;13,Factors!H$23))))))</f>
        <v>1.3238434163701067</v>
      </c>
      <c r="H585" s="409">
        <f>D585*F585*G585</f>
        <v>0</v>
      </c>
      <c r="I585" s="410"/>
      <c r="J585" s="411"/>
      <c r="K585" s="412"/>
    </row>
    <row r="586" spans="1:11" x14ac:dyDescent="0.25">
      <c r="A586" s="680" t="s">
        <v>94</v>
      </c>
      <c r="B586" s="683"/>
      <c r="C586" s="406" t="s">
        <v>43</v>
      </c>
      <c r="D586" s="363">
        <v>3</v>
      </c>
      <c r="E586" s="363">
        <v>9.1999999999999993</v>
      </c>
      <c r="F586" s="407">
        <v>1</v>
      </c>
      <c r="G586" s="408">
        <f>IF(E586&lt;8,Factors!H$18,IF(E586&lt;9,Factors!H$19,IF(E586&lt;10,Factors!H$20,IF(E586&lt;11,Factors!H$21,IF(E586&lt;12,Factors!H$22,IF(E586&lt;13,Factors!H$23))))))</f>
        <v>1.024793388429752</v>
      </c>
      <c r="H586" s="409">
        <f>D586*F586*G586</f>
        <v>3.0743801652892557</v>
      </c>
      <c r="I586" s="406"/>
      <c r="J586" s="411"/>
      <c r="K586" s="412"/>
    </row>
    <row r="587" spans="1:11" x14ac:dyDescent="0.25">
      <c r="A587" s="680"/>
      <c r="B587" s="683"/>
      <c r="C587" s="406" t="s">
        <v>166</v>
      </c>
      <c r="D587" s="363">
        <v>0</v>
      </c>
      <c r="E587" s="363">
        <v>9.5</v>
      </c>
      <c r="F587" s="407">
        <v>1</v>
      </c>
      <c r="G587" s="408">
        <f>IF(E587&lt;8,Factors!H$18,IF(E587&lt;9,Factors!H$19,IF(E587&lt;10,Factors!H$20,IF(E587&lt;11,Factors!H$21,IF(E587&lt;12,Factors!H$22,IF(E587&lt;13,Factors!H$23))))))</f>
        <v>1.024793388429752</v>
      </c>
      <c r="H587" s="409">
        <f>D587*F587*G587</f>
        <v>0</v>
      </c>
      <c r="I587" s="410"/>
      <c r="J587" s="411"/>
      <c r="K587" s="412"/>
    </row>
    <row r="588" spans="1:11" ht="15.75" thickBot="1" x14ac:dyDescent="0.3">
      <c r="A588" s="680"/>
      <c r="B588" s="683"/>
      <c r="C588" s="415" t="s">
        <v>158</v>
      </c>
      <c r="D588" s="416">
        <v>1</v>
      </c>
      <c r="E588" s="416">
        <v>9.1</v>
      </c>
      <c r="F588" s="417">
        <v>1</v>
      </c>
      <c r="G588" s="418">
        <f>IF(E588&lt;8,Factors!H$18,IF(E588&lt;9,Factors!H$19,IF(E588&lt;10,Factors!H$20,IF(E588&lt;11,Factors!H$21,IF(E588&lt;12,Factors!H$22,IF(E588&lt;13,Factors!H$23))))))</f>
        <v>1.024793388429752</v>
      </c>
      <c r="H588" s="419">
        <f>D588*F588*G588</f>
        <v>1.024793388429752</v>
      </c>
      <c r="I588" s="420"/>
      <c r="J588" s="421"/>
      <c r="K588" s="421"/>
    </row>
    <row r="589" spans="1:11" ht="15.75" thickTop="1" x14ac:dyDescent="0.25">
      <c r="A589" s="681"/>
      <c r="B589" s="684"/>
      <c r="C589" s="422"/>
      <c r="D589" s="423"/>
      <c r="E589" s="423"/>
      <c r="F589" s="424"/>
      <c r="G589" s="425"/>
      <c r="H589" s="426">
        <f>SUM(H584:H588)</f>
        <v>4.0991735537190079</v>
      </c>
      <c r="I589" s="427">
        <v>1.111</v>
      </c>
      <c r="J589" s="428">
        <f>H589*I589*J$13+K589</f>
        <v>5.8521236363636362</v>
      </c>
      <c r="K589" s="429">
        <f>K588+K587</f>
        <v>0</v>
      </c>
    </row>
    <row r="590" spans="1:11" x14ac:dyDescent="0.25">
      <c r="B590" s="397"/>
    </row>
    <row r="591" spans="1:11" x14ac:dyDescent="0.25">
      <c r="A591" s="679" t="s">
        <v>94</v>
      </c>
      <c r="B591" s="682">
        <f>B584+1</f>
        <v>45958</v>
      </c>
      <c r="C591" s="398" t="s">
        <v>9</v>
      </c>
      <c r="D591" s="399"/>
      <c r="E591" s="399"/>
      <c r="F591" s="400"/>
      <c r="G591" s="401">
        <f>IF(E591&lt;8,Factors!F$18,IF(E591&lt;9,Factors!F$19,IF(E591&lt;10,Factors!F$20,IF(E591&lt;11,Factors!F$21,IF(E591&lt;12,Factors!F$22,IF(E591&lt;13,Factors!F$23))))))</f>
        <v>1.2308917197452229</v>
      </c>
      <c r="H591" s="402">
        <f>D591*F591*G591</f>
        <v>0</v>
      </c>
      <c r="I591" s="403"/>
      <c r="J591" s="404"/>
      <c r="K591" s="405"/>
    </row>
    <row r="592" spans="1:11" x14ac:dyDescent="0.25">
      <c r="A592" s="680"/>
      <c r="B592" s="683"/>
      <c r="C592" s="406" t="s">
        <v>174</v>
      </c>
      <c r="F592" s="407"/>
      <c r="G592" s="408">
        <f>IF(E592&lt;8,Factors!H$18,IF(E592&lt;9,Factors!H$19,IF(E592&lt;10,Factors!H$20,IF(E592&lt;11,Factors!H$21,IF(E592&lt;12,Factors!H$22,IF(E592&lt;13,Factors!H$23))))))</f>
        <v>1.3238434163701067</v>
      </c>
      <c r="H592" s="409">
        <f>D592*F592*G592</f>
        <v>0</v>
      </c>
      <c r="I592" s="410"/>
      <c r="J592" s="411"/>
      <c r="K592" s="412"/>
    </row>
    <row r="593" spans="1:11" x14ac:dyDescent="0.25">
      <c r="A593" s="680" t="s">
        <v>94</v>
      </c>
      <c r="B593" s="683"/>
      <c r="C593" s="406" t="s">
        <v>43</v>
      </c>
      <c r="D593" s="363">
        <v>5</v>
      </c>
      <c r="E593" s="363">
        <v>9.4</v>
      </c>
      <c r="F593" s="407">
        <f>4/5</f>
        <v>0.8</v>
      </c>
      <c r="G593" s="408">
        <f>IF(E593&lt;8,Factors!H$18,IF(E593&lt;9,Factors!H$19,IF(E593&lt;10,Factors!H$20,IF(E593&lt;11,Factors!H$21,IF(E593&lt;12,Factors!H$22,IF(E593&lt;13,Factors!H$23))))))</f>
        <v>1.024793388429752</v>
      </c>
      <c r="H593" s="409">
        <f>D593*F593*G593</f>
        <v>4.0991735537190079</v>
      </c>
      <c r="I593" s="406"/>
      <c r="J593" s="411"/>
      <c r="K593" s="412"/>
    </row>
    <row r="594" spans="1:11" x14ac:dyDescent="0.25">
      <c r="A594" s="680"/>
      <c r="B594" s="683"/>
      <c r="C594" s="406" t="s">
        <v>166</v>
      </c>
      <c r="F594" s="407"/>
      <c r="G594" s="408">
        <f>IF(E594&lt;8,Factors!H$18,IF(E594&lt;9,Factors!H$19,IF(E594&lt;10,Factors!H$20,IF(E594&lt;11,Factors!H$21,IF(E594&lt;12,Factors!H$22,IF(E594&lt;13,Factors!H$23))))))</f>
        <v>1.3238434163701067</v>
      </c>
      <c r="H594" s="409">
        <f>D594*F594*G594</f>
        <v>0</v>
      </c>
      <c r="I594" s="410"/>
      <c r="J594" s="411"/>
      <c r="K594" s="412"/>
    </row>
    <row r="595" spans="1:11" ht="15.75" thickBot="1" x14ac:dyDescent="0.3">
      <c r="A595" s="680"/>
      <c r="B595" s="683"/>
      <c r="C595" s="415" t="s">
        <v>158</v>
      </c>
      <c r="D595" s="416"/>
      <c r="E595" s="416"/>
      <c r="F595" s="417"/>
      <c r="G595" s="418">
        <f>IF(E595&lt;8,Factors!H$18,IF(E595&lt;9,Factors!H$19,IF(E595&lt;10,Factors!H$20,IF(E595&lt;11,Factors!H$21,IF(E595&lt;12,Factors!H$22,IF(E595&lt;13,Factors!H$23))))))</f>
        <v>1.3238434163701067</v>
      </c>
      <c r="H595" s="419">
        <f>D595*F595*G595</f>
        <v>0</v>
      </c>
      <c r="I595" s="420"/>
      <c r="J595" s="421"/>
      <c r="K595" s="421"/>
    </row>
    <row r="596" spans="1:11" ht="15.75" thickTop="1" x14ac:dyDescent="0.25">
      <c r="A596" s="681"/>
      <c r="B596" s="684"/>
      <c r="C596" s="422"/>
      <c r="D596" s="423"/>
      <c r="E596" s="423"/>
      <c r="F596" s="424"/>
      <c r="G596" s="425"/>
      <c r="H596" s="426">
        <f>SUM(H591:H595)</f>
        <v>4.0991735537190079</v>
      </c>
      <c r="I596" s="427">
        <f>Y11</f>
        <v>1.6236322529053548</v>
      </c>
      <c r="J596" s="428">
        <f>H596*I596*J$13+K596</f>
        <v>8.5523822538161731</v>
      </c>
      <c r="K596" s="429">
        <f>K595+K594</f>
        <v>0</v>
      </c>
    </row>
    <row r="597" spans="1:11" x14ac:dyDescent="0.25">
      <c r="B597" s="397"/>
      <c r="F597" s="407"/>
      <c r="J597" s="430"/>
    </row>
    <row r="598" spans="1:11" x14ac:dyDescent="0.25">
      <c r="A598" s="679" t="s">
        <v>11</v>
      </c>
      <c r="B598" s="682">
        <f>B591+1</f>
        <v>45959</v>
      </c>
      <c r="C598" s="398" t="s">
        <v>9</v>
      </c>
      <c r="D598" s="399"/>
      <c r="E598" s="399"/>
      <c r="F598" s="400"/>
      <c r="G598" s="401">
        <f>IF(E598&lt;8,Factors!F$18,IF(E598&lt;9,Factors!F$19,IF(E598&lt;10,Factors!F$20,IF(E598&lt;11,Factors!F$21,IF(E598&lt;12,Factors!F$22,IF(E598&lt;13,Factors!F$23))))))</f>
        <v>1.2308917197452229</v>
      </c>
      <c r="H598" s="402">
        <f>D598*F598*G598</f>
        <v>0</v>
      </c>
      <c r="I598" s="403"/>
      <c r="J598" s="404"/>
      <c r="K598" s="405"/>
    </row>
    <row r="599" spans="1:11" x14ac:dyDescent="0.25">
      <c r="A599" s="680"/>
      <c r="B599" s="683"/>
      <c r="C599" s="406" t="s">
        <v>174</v>
      </c>
      <c r="F599" s="407"/>
      <c r="G599" s="408">
        <f>IF(E599&lt;8,Factors!H$18,IF(E599&lt;9,Factors!H$19,IF(E599&lt;10,Factors!H$20,IF(E599&lt;11,Factors!H$21,IF(E599&lt;12,Factors!H$22,IF(E599&lt;13,Factors!H$23))))))</f>
        <v>1.3238434163701067</v>
      </c>
      <c r="H599" s="409">
        <f>D599*F599*G599</f>
        <v>0</v>
      </c>
      <c r="I599" s="410"/>
      <c r="J599" s="411"/>
      <c r="K599" s="412"/>
    </row>
    <row r="600" spans="1:11" x14ac:dyDescent="0.25">
      <c r="A600" s="680" t="s">
        <v>94</v>
      </c>
      <c r="B600" s="683"/>
      <c r="C600" s="406" t="s">
        <v>43</v>
      </c>
      <c r="D600" s="363">
        <v>2</v>
      </c>
      <c r="E600" s="363">
        <v>7.9</v>
      </c>
      <c r="F600" s="407">
        <v>1</v>
      </c>
      <c r="G600" s="408">
        <f>IF(E600&lt;8,Factors!H$18,IF(E600&lt;9,Factors!H$19,IF(E600&lt;10,Factors!H$20,IF(E600&lt;11,Factors!H$21,IF(E600&lt;12,Factors!H$22,IF(E600&lt;13,Factors!H$23))))))</f>
        <v>1.3238434163701067</v>
      </c>
      <c r="H600" s="409">
        <f>D600*F600*G600</f>
        <v>2.6476868327402134</v>
      </c>
      <c r="I600" s="406"/>
      <c r="J600" s="411"/>
      <c r="K600" s="412"/>
    </row>
    <row r="601" spans="1:11" x14ac:dyDescent="0.25">
      <c r="A601" s="680"/>
      <c r="B601" s="683"/>
      <c r="C601" s="406" t="s">
        <v>166</v>
      </c>
      <c r="F601" s="407"/>
      <c r="G601" s="408">
        <f>IF(E601&lt;8,Factors!H$18,IF(E601&lt;9,Factors!H$19,IF(E601&lt;10,Factors!H$20,IF(E601&lt;11,Factors!H$21,IF(E601&lt;12,Factors!H$22,IF(E601&lt;13,Factors!H$23))))))</f>
        <v>1.3238434163701067</v>
      </c>
      <c r="H601" s="409">
        <f>D601*F601*G601</f>
        <v>0</v>
      </c>
      <c r="I601" s="410"/>
      <c r="J601" s="411"/>
      <c r="K601" s="412"/>
    </row>
    <row r="602" spans="1:11" ht="15.75" thickBot="1" x14ac:dyDescent="0.3">
      <c r="A602" s="680"/>
      <c r="B602" s="683"/>
      <c r="C602" s="415" t="s">
        <v>158</v>
      </c>
      <c r="D602" s="416"/>
      <c r="E602" s="416"/>
      <c r="F602" s="417"/>
      <c r="G602" s="418">
        <f>IF(E602&lt;8,Factors!H$18,IF(E602&lt;9,Factors!H$19,IF(E602&lt;10,Factors!H$20,IF(E602&lt;11,Factors!H$21,IF(E602&lt;12,Factors!H$22,IF(E602&lt;13,Factors!H$23))))))</f>
        <v>1.3238434163701067</v>
      </c>
      <c r="H602" s="419">
        <f>D602*F602*G602</f>
        <v>0</v>
      </c>
      <c r="I602" s="420"/>
      <c r="J602" s="421"/>
      <c r="K602" s="421"/>
    </row>
    <row r="603" spans="1:11" ht="15.75" thickTop="1" x14ac:dyDescent="0.25">
      <c r="A603" s="681"/>
      <c r="B603" s="684"/>
      <c r="C603" s="422"/>
      <c r="D603" s="423"/>
      <c r="E603" s="423"/>
      <c r="F603" s="424"/>
      <c r="G603" s="425"/>
      <c r="H603" s="426">
        <f>SUM(H598:H602)</f>
        <v>2.6476868327402134</v>
      </c>
      <c r="I603" s="427">
        <f>AG$10</f>
        <v>1.1111111111111112</v>
      </c>
      <c r="J603" s="428">
        <f>H603*I603*J$13+K603</f>
        <v>3.7803084223013044</v>
      </c>
      <c r="K603" s="429">
        <f>K602+K601</f>
        <v>0</v>
      </c>
    </row>
    <row r="604" spans="1:11" x14ac:dyDescent="0.25">
      <c r="B604" s="397"/>
    </row>
    <row r="605" spans="1:11" x14ac:dyDescent="0.25">
      <c r="A605" s="679" t="s">
        <v>95</v>
      </c>
      <c r="B605" s="682">
        <f>B598+1</f>
        <v>45960</v>
      </c>
      <c r="C605" s="398" t="s">
        <v>9</v>
      </c>
      <c r="D605" s="399"/>
      <c r="E605" s="399"/>
      <c r="F605" s="400"/>
      <c r="G605" s="401">
        <f>IF(E605&lt;8,Factors!F$18,IF(E605&lt;9,Factors!F$19,IF(E605&lt;10,Factors!F$20,IF(E605&lt;11,Factors!F$21,IF(E605&lt;12,Factors!F$22,IF(E605&lt;13,Factors!F$23))))))</f>
        <v>1.2308917197452229</v>
      </c>
      <c r="H605" s="402">
        <f>D605*F605*G605</f>
        <v>0</v>
      </c>
      <c r="I605" s="403"/>
      <c r="J605" s="404"/>
      <c r="K605" s="405"/>
    </row>
    <row r="606" spans="1:11" x14ac:dyDescent="0.25">
      <c r="A606" s="680"/>
      <c r="B606" s="683"/>
      <c r="C606" s="406" t="s">
        <v>174</v>
      </c>
      <c r="F606" s="407"/>
      <c r="G606" s="408">
        <f>IF(E606&lt;8,Factors!H$18,IF(E606&lt;9,Factors!H$19,IF(E606&lt;10,Factors!H$20,IF(E606&lt;11,Factors!H$21,IF(E606&lt;12,Factors!H$22,IF(E606&lt;13,Factors!H$23))))))</f>
        <v>1.3238434163701067</v>
      </c>
      <c r="H606" s="409">
        <f>D606*F606*G606</f>
        <v>0</v>
      </c>
      <c r="I606" s="410"/>
      <c r="J606" s="411"/>
      <c r="K606" s="412"/>
    </row>
    <row r="607" spans="1:11" x14ac:dyDescent="0.25">
      <c r="A607" s="680" t="s">
        <v>94</v>
      </c>
      <c r="B607" s="683"/>
      <c r="C607" s="406" t="s">
        <v>43</v>
      </c>
      <c r="D607" s="363">
        <v>4</v>
      </c>
      <c r="E607" s="363">
        <v>9.5</v>
      </c>
      <c r="F607" s="407">
        <v>1</v>
      </c>
      <c r="G607" s="408">
        <f>IF(E607&lt;8,Factors!H$18,IF(E607&lt;9,Factors!H$19,IF(E607&lt;10,Factors!H$20,IF(E607&lt;11,Factors!H$21,IF(E607&lt;12,Factors!H$22,IF(E607&lt;13,Factors!H$23))))))</f>
        <v>1.024793388429752</v>
      </c>
      <c r="H607" s="409">
        <f>D607*F607*G607</f>
        <v>4.0991735537190079</v>
      </c>
      <c r="I607" s="406"/>
      <c r="J607" s="411"/>
      <c r="K607" s="412"/>
    </row>
    <row r="608" spans="1:11" x14ac:dyDescent="0.25">
      <c r="A608" s="680"/>
      <c r="B608" s="683"/>
      <c r="C608" s="406" t="s">
        <v>166</v>
      </c>
      <c r="D608" s="363">
        <v>0</v>
      </c>
      <c r="E608" s="363">
        <v>9.9</v>
      </c>
      <c r="F608" s="407"/>
      <c r="G608" s="408">
        <f>IF(E608&lt;8,Factors!H$18,IF(E608&lt;9,Factors!H$19,IF(E608&lt;10,Factors!H$20,IF(E608&lt;11,Factors!H$21,IF(E608&lt;12,Factors!H$22,IF(E608&lt;13,Factors!H$23))))))</f>
        <v>1.024793388429752</v>
      </c>
      <c r="H608" s="409">
        <f>D608*F608*G608</f>
        <v>0</v>
      </c>
      <c r="I608" s="410"/>
      <c r="J608" s="411"/>
      <c r="K608" s="412"/>
    </row>
    <row r="609" spans="1:11" ht="15.75" thickBot="1" x14ac:dyDescent="0.3">
      <c r="A609" s="680"/>
      <c r="B609" s="683"/>
      <c r="C609" s="415" t="s">
        <v>158</v>
      </c>
      <c r="D609" s="416">
        <v>2</v>
      </c>
      <c r="E609" s="416">
        <v>9.1999999999999993</v>
      </c>
      <c r="F609" s="417">
        <v>0</v>
      </c>
      <c r="G609" s="418">
        <f>IF(E609&lt;8,Factors!H$18,IF(E609&lt;9,Factors!H$19,IF(E609&lt;10,Factors!H$20,IF(E609&lt;11,Factors!H$21,IF(E609&lt;12,Factors!H$22,IF(E609&lt;13,Factors!H$23))))))</f>
        <v>1.024793388429752</v>
      </c>
      <c r="H609" s="419">
        <f>D609*F609*G609</f>
        <v>0</v>
      </c>
      <c r="I609" s="420"/>
      <c r="J609" s="421"/>
      <c r="K609" s="421"/>
    </row>
    <row r="610" spans="1:11" ht="15.75" thickTop="1" x14ac:dyDescent="0.25">
      <c r="A610" s="681"/>
      <c r="B610" s="684"/>
      <c r="C610" s="422"/>
      <c r="D610" s="423"/>
      <c r="E610" s="423"/>
      <c r="F610" s="424"/>
      <c r="G610" s="425"/>
      <c r="H610" s="426">
        <f>SUM(H605:H609)</f>
        <v>4.0991735537190079</v>
      </c>
      <c r="I610" s="427">
        <v>1.111</v>
      </c>
      <c r="J610" s="428">
        <f>H610*I610*J$13+K610</f>
        <v>5.8521236363636362</v>
      </c>
      <c r="K610" s="429">
        <f>K609+K608</f>
        <v>0</v>
      </c>
    </row>
    <row r="611" spans="1:11" x14ac:dyDescent="0.25">
      <c r="B611" s="397"/>
    </row>
    <row r="612" spans="1:11" x14ac:dyDescent="0.25">
      <c r="A612" s="679" t="s">
        <v>13</v>
      </c>
      <c r="B612" s="682">
        <f>B605+1</f>
        <v>45961</v>
      </c>
      <c r="C612" s="398" t="s">
        <v>9</v>
      </c>
      <c r="D612" s="399"/>
      <c r="E612" s="399"/>
      <c r="F612" s="400"/>
      <c r="G612" s="401">
        <f>IF(E612&lt;8,Factors!F$18,IF(E612&lt;9,Factors!F$19,IF(E612&lt;10,Factors!F$20,IF(E612&lt;11,Factors!F$21,IF(E612&lt;12,Factors!F$22,IF(E612&lt;13,Factors!F$23))))))</f>
        <v>1.2308917197452229</v>
      </c>
      <c r="H612" s="402">
        <f>D612*F612*G612</f>
        <v>0</v>
      </c>
      <c r="I612" s="403"/>
      <c r="J612" s="404"/>
      <c r="K612" s="405"/>
    </row>
    <row r="613" spans="1:11" x14ac:dyDescent="0.25">
      <c r="A613" s="680"/>
      <c r="B613" s="683"/>
      <c r="C613" s="406" t="s">
        <v>174</v>
      </c>
      <c r="F613" s="407"/>
      <c r="G613" s="408">
        <f>IF(E613&lt;8,Factors!H$18,IF(E613&lt;9,Factors!H$19,IF(E613&lt;10,Factors!H$20,IF(E613&lt;11,Factors!H$21,IF(E613&lt;12,Factors!H$22,IF(E613&lt;13,Factors!H$23))))))</f>
        <v>1.3238434163701067</v>
      </c>
      <c r="H613" s="409">
        <f>D613*F613*G613</f>
        <v>0</v>
      </c>
      <c r="I613" s="410"/>
      <c r="J613" s="411"/>
      <c r="K613" s="412"/>
    </row>
    <row r="614" spans="1:11" x14ac:dyDescent="0.25">
      <c r="A614" s="680" t="s">
        <v>94</v>
      </c>
      <c r="B614" s="683"/>
      <c r="C614" s="406" t="s">
        <v>43</v>
      </c>
      <c r="D614" s="363">
        <v>8</v>
      </c>
      <c r="E614" s="363">
        <v>9.4</v>
      </c>
      <c r="F614" s="407">
        <v>1</v>
      </c>
      <c r="G614" s="408">
        <f>IF(E614&lt;8,Factors!H$18,IF(E614&lt;9,Factors!H$19,IF(E614&lt;10,Factors!H$20,IF(E614&lt;11,Factors!H$21,IF(E614&lt;12,Factors!H$22,IF(E614&lt;13,Factors!H$23))))))</f>
        <v>1.024793388429752</v>
      </c>
      <c r="H614" s="409">
        <f>D614*F614*G614</f>
        <v>8.1983471074380159</v>
      </c>
      <c r="I614" s="406"/>
      <c r="J614" s="411"/>
      <c r="K614" s="412"/>
    </row>
    <row r="615" spans="1:11" x14ac:dyDescent="0.25">
      <c r="A615" s="680"/>
      <c r="B615" s="683"/>
      <c r="C615" s="406" t="s">
        <v>166</v>
      </c>
      <c r="D615" s="363">
        <v>2</v>
      </c>
      <c r="E615" s="363">
        <v>8.3000000000000007</v>
      </c>
      <c r="F615" s="407">
        <v>1</v>
      </c>
      <c r="G615" s="408">
        <f>IF(E615&lt;8,Factors!H$18,IF(E615&lt;9,Factors!H$19,IF(E615&lt;10,Factors!H$20,IF(E615&lt;11,Factors!H$21,IF(E615&lt;12,Factors!H$22,IF(E615&lt;13,Factors!H$23))))))</f>
        <v>1.1104477611940298</v>
      </c>
      <c r="H615" s="409">
        <f>D615*F615*G615</f>
        <v>2.2208955223880595</v>
      </c>
      <c r="I615" s="410"/>
      <c r="J615" s="411"/>
      <c r="K615" s="412"/>
    </row>
    <row r="616" spans="1:11" ht="15.75" thickBot="1" x14ac:dyDescent="0.3">
      <c r="A616" s="680"/>
      <c r="B616" s="683"/>
      <c r="C616" s="415" t="s">
        <v>158</v>
      </c>
      <c r="D616" s="416">
        <v>1</v>
      </c>
      <c r="E616" s="416">
        <v>8.5</v>
      </c>
      <c r="F616" s="417">
        <v>1</v>
      </c>
      <c r="G616" s="418">
        <f>IF(E616&lt;8,Factors!H$18,IF(E616&lt;9,Factors!H$19,IF(E616&lt;10,Factors!H$20,IF(E616&lt;11,Factors!H$21,IF(E616&lt;12,Factors!H$22,IF(E616&lt;13,Factors!H$23))))))</f>
        <v>1.1104477611940298</v>
      </c>
      <c r="H616" s="419">
        <f>D616*F616*G616</f>
        <v>1.1104477611940298</v>
      </c>
      <c r="I616" s="420"/>
      <c r="J616" s="421"/>
      <c r="K616" s="421"/>
    </row>
    <row r="617" spans="1:11" ht="15.75" thickTop="1" x14ac:dyDescent="0.25">
      <c r="A617" s="681"/>
      <c r="B617" s="684"/>
      <c r="C617" s="422"/>
      <c r="D617" s="423"/>
      <c r="E617" s="423"/>
      <c r="F617" s="424"/>
      <c r="G617" s="425"/>
      <c r="H617" s="426">
        <f>SUM(H612:H616)</f>
        <v>11.529690391020106</v>
      </c>
      <c r="I617" s="427">
        <v>1.111</v>
      </c>
      <c r="J617" s="428">
        <f>H617*I617*J$13+K617</f>
        <v>16.460189541383986</v>
      </c>
      <c r="K617" s="429">
        <f>K616+K615</f>
        <v>0</v>
      </c>
    </row>
    <row r="618" spans="1:11" x14ac:dyDescent="0.25">
      <c r="B618" s="397"/>
      <c r="G618" s="414"/>
      <c r="H618" s="414"/>
      <c r="I618" s="430"/>
    </row>
    <row r="619" spans="1:11" x14ac:dyDescent="0.25">
      <c r="A619" s="680" t="s">
        <v>14</v>
      </c>
      <c r="B619" s="682">
        <f>B612+1</f>
        <v>45962</v>
      </c>
      <c r="C619" s="398" t="s">
        <v>9</v>
      </c>
      <c r="D619" s="399"/>
      <c r="E619" s="399"/>
      <c r="F619" s="400"/>
      <c r="G619" s="401">
        <f>IF(E619&lt;8,Factors!F$18,IF(E619&lt;9,Factors!F$19,IF(E619&lt;10,Factors!F$20,IF(E619&lt;11,Factors!F$21,IF(E619&lt;12,Factors!F$22,IF(E619&lt;13,Factors!F$23))))))</f>
        <v>1.2308917197452229</v>
      </c>
      <c r="H619" s="402">
        <f>D619*F619*G619</f>
        <v>0</v>
      </c>
      <c r="I619" s="403"/>
      <c r="J619" s="404"/>
      <c r="K619" s="405"/>
    </row>
    <row r="620" spans="1:11" x14ac:dyDescent="0.25">
      <c r="A620" s="680"/>
      <c r="B620" s="683"/>
      <c r="C620" s="406" t="s">
        <v>174</v>
      </c>
      <c r="F620" s="407"/>
      <c r="G620" s="408">
        <f>IF(E620&lt;8,Factors!H$18,IF(E620&lt;9,Factors!H$19,IF(E620&lt;10,Factors!H$20,IF(E620&lt;11,Factors!H$21,IF(E620&lt;12,Factors!H$22,IF(E620&lt;13,Factors!H$23))))))</f>
        <v>1.3238434163701067</v>
      </c>
      <c r="H620" s="409">
        <f>D620*F620*G620</f>
        <v>0</v>
      </c>
      <c r="I620" s="410"/>
      <c r="J620" s="411"/>
      <c r="K620" s="412"/>
    </row>
    <row r="621" spans="1:11" x14ac:dyDescent="0.25">
      <c r="A621" s="680" t="s">
        <v>94</v>
      </c>
      <c r="B621" s="683"/>
      <c r="C621" s="406" t="s">
        <v>43</v>
      </c>
      <c r="F621" s="407"/>
      <c r="G621" s="408">
        <f>IF(E621&lt;8,Factors!H$18,IF(E621&lt;9,Factors!H$19,IF(E621&lt;10,Factors!H$20,IF(E621&lt;11,Factors!H$21,IF(E621&lt;12,Factors!H$22,IF(E621&lt;13,Factors!H$23))))))</f>
        <v>1.3238434163701067</v>
      </c>
      <c r="H621" s="409">
        <f>D621*F621*G621</f>
        <v>0</v>
      </c>
      <c r="I621" s="406"/>
      <c r="J621" s="411"/>
      <c r="K621" s="412"/>
    </row>
    <row r="622" spans="1:11" x14ac:dyDescent="0.25">
      <c r="A622" s="680"/>
      <c r="B622" s="683"/>
      <c r="C622" s="406" t="s">
        <v>166</v>
      </c>
      <c r="F622" s="407"/>
      <c r="G622" s="408">
        <f>IF(E622&lt;8,Factors!H$18,IF(E622&lt;9,Factors!H$19,IF(E622&lt;10,Factors!H$20,IF(E622&lt;11,Factors!H$21,IF(E622&lt;12,Factors!H$22,IF(E622&lt;13,Factors!H$23))))))</f>
        <v>1.3238434163701067</v>
      </c>
      <c r="H622" s="409">
        <f>D622*F622*G622</f>
        <v>0</v>
      </c>
      <c r="I622" s="410"/>
      <c r="J622" s="411"/>
      <c r="K622" s="412"/>
    </row>
    <row r="623" spans="1:11" ht="15.75" thickBot="1" x14ac:dyDescent="0.3">
      <c r="A623" s="680"/>
      <c r="B623" s="683"/>
      <c r="C623" s="415" t="s">
        <v>158</v>
      </c>
      <c r="D623" s="416"/>
      <c r="E623" s="416"/>
      <c r="F623" s="417"/>
      <c r="G623" s="418">
        <f>IF(E623&lt;8,Factors!H$18,IF(E623&lt;9,Factors!H$19,IF(E623&lt;10,Factors!H$20,IF(E623&lt;11,Factors!H$21,IF(E623&lt;12,Factors!H$22,IF(E623&lt;13,Factors!H$23))))))</f>
        <v>1.3238434163701067</v>
      </c>
      <c r="H623" s="419">
        <f>D623*F623*G623</f>
        <v>0</v>
      </c>
      <c r="I623" s="420"/>
      <c r="J623" s="421"/>
      <c r="K623" s="421"/>
    </row>
    <row r="624" spans="1:11" ht="15.75" thickTop="1" x14ac:dyDescent="0.25">
      <c r="A624" s="681"/>
      <c r="B624" s="684"/>
      <c r="C624" s="422"/>
      <c r="D624" s="423"/>
      <c r="E624" s="423"/>
      <c r="F624" s="424"/>
      <c r="G624" s="425"/>
      <c r="H624" s="426">
        <f>SUM(H619:H623)</f>
        <v>0</v>
      </c>
      <c r="I624" s="427">
        <v>1.111</v>
      </c>
      <c r="J624" s="428">
        <f>H624*I624*J$13+K624</f>
        <v>0</v>
      </c>
      <c r="K624" s="429">
        <f>K623+K622</f>
        <v>0</v>
      </c>
    </row>
    <row r="625" spans="1:11" x14ac:dyDescent="0.25">
      <c r="B625" s="397"/>
    </row>
    <row r="626" spans="1:11" x14ac:dyDescent="0.25">
      <c r="A626" s="679" t="s">
        <v>15</v>
      </c>
      <c r="B626" s="682">
        <f>B619+1</f>
        <v>45963</v>
      </c>
      <c r="C626" s="398" t="s">
        <v>9</v>
      </c>
      <c r="D626" s="399"/>
      <c r="E626" s="399"/>
      <c r="F626" s="400"/>
      <c r="G626" s="401">
        <f>IF(E626&lt;8,Factors!F$18,IF(E626&lt;9,Factors!F$19,IF(E626&lt;10,Factors!F$20,IF(E626&lt;11,Factors!F$21,IF(E626&lt;12,Factors!F$22,IF(E626&lt;13,Factors!F$23))))))</f>
        <v>1.2308917197452229</v>
      </c>
      <c r="H626" s="402">
        <f>D626*F626*G626</f>
        <v>0</v>
      </c>
      <c r="I626" s="403"/>
      <c r="J626" s="404"/>
      <c r="K626" s="405"/>
    </row>
    <row r="627" spans="1:11" x14ac:dyDescent="0.25">
      <c r="A627" s="680"/>
      <c r="B627" s="683"/>
      <c r="C627" s="406" t="s">
        <v>174</v>
      </c>
      <c r="F627" s="407"/>
      <c r="G627" s="408">
        <f>IF(E627&lt;8,Factors!H$18,IF(E627&lt;9,Factors!H$19,IF(E627&lt;10,Factors!H$20,IF(E627&lt;11,Factors!H$21,IF(E627&lt;12,Factors!H$22,IF(E627&lt;13,Factors!H$23))))))</f>
        <v>1.3238434163701067</v>
      </c>
      <c r="H627" s="409">
        <f>D627*F627*G627</f>
        <v>0</v>
      </c>
      <c r="I627" s="410"/>
      <c r="J627" s="411"/>
      <c r="K627" s="412"/>
    </row>
    <row r="628" spans="1:11" x14ac:dyDescent="0.25">
      <c r="A628" s="680" t="s">
        <v>94</v>
      </c>
      <c r="B628" s="683"/>
      <c r="C628" s="406" t="s">
        <v>43</v>
      </c>
      <c r="F628" s="407"/>
      <c r="G628" s="408">
        <f>IF(E628&lt;8,Factors!H$18,IF(E628&lt;9,Factors!H$19,IF(E628&lt;10,Factors!H$20,IF(E628&lt;11,Factors!H$21,IF(E628&lt;12,Factors!H$22,IF(E628&lt;13,Factors!H$23))))))</f>
        <v>1.3238434163701067</v>
      </c>
      <c r="H628" s="409">
        <f>D628*F628*G628</f>
        <v>0</v>
      </c>
      <c r="I628" s="406"/>
      <c r="J628" s="411"/>
      <c r="K628" s="412"/>
    </row>
    <row r="629" spans="1:11" x14ac:dyDescent="0.25">
      <c r="A629" s="680"/>
      <c r="B629" s="683"/>
      <c r="C629" s="406" t="s">
        <v>166</v>
      </c>
      <c r="F629" s="407"/>
      <c r="G629" s="408">
        <f>IF(E629&lt;8,Factors!H$18,IF(E629&lt;9,Factors!H$19,IF(E629&lt;10,Factors!H$20,IF(E629&lt;11,Factors!H$21,IF(E629&lt;12,Factors!H$22,IF(E629&lt;13,Factors!H$23))))))</f>
        <v>1.3238434163701067</v>
      </c>
      <c r="H629" s="409">
        <f>D629*F629*G629</f>
        <v>0</v>
      </c>
      <c r="I629" s="410"/>
      <c r="J629" s="411"/>
      <c r="K629" s="412"/>
    </row>
    <row r="630" spans="1:11" ht="15.75" thickBot="1" x14ac:dyDescent="0.3">
      <c r="A630" s="680"/>
      <c r="B630" s="683"/>
      <c r="C630" s="415" t="s">
        <v>158</v>
      </c>
      <c r="D630" s="416"/>
      <c r="E630" s="416"/>
      <c r="F630" s="417"/>
      <c r="G630" s="418">
        <f>IF(E630&lt;8,Factors!H$18,IF(E630&lt;9,Factors!H$19,IF(E630&lt;10,Factors!H$20,IF(E630&lt;11,Factors!H$21,IF(E630&lt;12,Factors!H$22,IF(E630&lt;13,Factors!H$23))))))</f>
        <v>1.3238434163701067</v>
      </c>
      <c r="H630" s="419">
        <f>D630*F630*G630</f>
        <v>0</v>
      </c>
      <c r="I630" s="420"/>
      <c r="J630" s="421"/>
      <c r="K630" s="421"/>
    </row>
    <row r="631" spans="1:11" ht="15.75" thickTop="1" x14ac:dyDescent="0.25">
      <c r="A631" s="681"/>
      <c r="B631" s="684"/>
      <c r="C631" s="422"/>
      <c r="D631" s="423"/>
      <c r="E631" s="423"/>
      <c r="F631" s="424"/>
      <c r="G631" s="425"/>
      <c r="H631" s="426">
        <f>SUM(H626:H630)</f>
        <v>0</v>
      </c>
      <c r="I631" s="427">
        <v>1.111</v>
      </c>
      <c r="J631" s="428">
        <f>H631*I631*J$13+K631</f>
        <v>0</v>
      </c>
      <c r="K631" s="429">
        <f>K630+K629</f>
        <v>0</v>
      </c>
    </row>
    <row r="632" spans="1:11" x14ac:dyDescent="0.25">
      <c r="B632" s="397"/>
      <c r="J632" s="430"/>
    </row>
    <row r="633" spans="1:11" x14ac:dyDescent="0.25">
      <c r="A633" s="679" t="s">
        <v>7</v>
      </c>
      <c r="B633" s="682">
        <f>B626+1</f>
        <v>45964</v>
      </c>
      <c r="C633" s="398" t="s">
        <v>9</v>
      </c>
      <c r="D633" s="399"/>
      <c r="E633" s="399"/>
      <c r="F633" s="400"/>
      <c r="G633" s="401">
        <f>IF(E633&lt;8,Factors!F$18,IF(E633&lt;9,Factors!F$19,IF(E633&lt;10,Factors!F$20,IF(E633&lt;11,Factors!F$21,IF(E633&lt;12,Factors!F$22,IF(E633&lt;13,Factors!F$23))))))</f>
        <v>1.2308917197452229</v>
      </c>
      <c r="H633" s="402">
        <f>D633*F633*G633</f>
        <v>0</v>
      </c>
      <c r="I633" s="403"/>
      <c r="J633" s="404"/>
      <c r="K633" s="405"/>
    </row>
    <row r="634" spans="1:11" x14ac:dyDescent="0.25">
      <c r="A634" s="680"/>
      <c r="B634" s="683"/>
      <c r="C634" s="406" t="s">
        <v>174</v>
      </c>
      <c r="F634" s="407"/>
      <c r="G634" s="408">
        <f>IF(E634&lt;8,Factors!H$18,IF(E634&lt;9,Factors!H$19,IF(E634&lt;10,Factors!H$20,IF(E634&lt;11,Factors!H$21,IF(E634&lt;12,Factors!H$22,IF(E634&lt;13,Factors!H$23))))))</f>
        <v>1.3238434163701067</v>
      </c>
      <c r="H634" s="409">
        <f>D634*F634*G634</f>
        <v>0</v>
      </c>
      <c r="I634" s="410"/>
      <c r="J634" s="411"/>
      <c r="K634" s="412"/>
    </row>
    <row r="635" spans="1:11" x14ac:dyDescent="0.25">
      <c r="A635" s="680" t="s">
        <v>94</v>
      </c>
      <c r="B635" s="683"/>
      <c r="C635" s="406" t="s">
        <v>43</v>
      </c>
      <c r="F635" s="407"/>
      <c r="G635" s="408">
        <f>IF(E635&lt;8,Factors!H$18,IF(E635&lt;9,Factors!H$19,IF(E635&lt;10,Factors!H$20,IF(E635&lt;11,Factors!H$21,IF(E635&lt;12,Factors!H$22,IF(E635&lt;13,Factors!H$23))))))</f>
        <v>1.3238434163701067</v>
      </c>
      <c r="H635" s="409">
        <f>D635*F635*G635</f>
        <v>0</v>
      </c>
      <c r="I635" s="406"/>
      <c r="J635" s="411"/>
      <c r="K635" s="412"/>
    </row>
    <row r="636" spans="1:11" x14ac:dyDescent="0.25">
      <c r="A636" s="680"/>
      <c r="B636" s="683"/>
      <c r="C636" s="406" t="s">
        <v>166</v>
      </c>
      <c r="F636" s="407"/>
      <c r="G636" s="408">
        <f>IF(E636&lt;8,Factors!H$18,IF(E636&lt;9,Factors!H$19,IF(E636&lt;10,Factors!H$20,IF(E636&lt;11,Factors!H$21,IF(E636&lt;12,Factors!H$22,IF(E636&lt;13,Factors!H$23))))))</f>
        <v>1.3238434163701067</v>
      </c>
      <c r="H636" s="409">
        <f>D636*F636*G636</f>
        <v>0</v>
      </c>
      <c r="I636" s="410"/>
      <c r="J636" s="411"/>
      <c r="K636" s="412"/>
    </row>
    <row r="637" spans="1:11" ht="15.75" thickBot="1" x14ac:dyDescent="0.3">
      <c r="A637" s="680"/>
      <c r="B637" s="683"/>
      <c r="C637" s="415" t="s">
        <v>158</v>
      </c>
      <c r="D637" s="416"/>
      <c r="E637" s="416"/>
      <c r="F637" s="417"/>
      <c r="G637" s="418">
        <f>IF(E637&lt;8,Factors!H$18,IF(E637&lt;9,Factors!H$19,IF(E637&lt;10,Factors!H$20,IF(E637&lt;11,Factors!H$21,IF(E637&lt;12,Factors!H$22,IF(E637&lt;13,Factors!H$23))))))</f>
        <v>1.3238434163701067</v>
      </c>
      <c r="H637" s="419">
        <f>D637*F637*G637</f>
        <v>0</v>
      </c>
      <c r="I637" s="420"/>
      <c r="J637" s="421"/>
      <c r="K637" s="421"/>
    </row>
    <row r="638" spans="1:11" ht="15.75" thickTop="1" x14ac:dyDescent="0.25">
      <c r="A638" s="681"/>
      <c r="B638" s="684"/>
      <c r="C638" s="422"/>
      <c r="D638" s="423"/>
      <c r="E638" s="423"/>
      <c r="F638" s="424"/>
      <c r="G638" s="425"/>
      <c r="H638" s="426">
        <f>SUM(H633:H637)</f>
        <v>0</v>
      </c>
      <c r="I638" s="427">
        <v>1.111</v>
      </c>
      <c r="J638" s="428">
        <f>H638*I638*J$13+K638</f>
        <v>0</v>
      </c>
      <c r="K638" s="429">
        <f>K637+K636</f>
        <v>0</v>
      </c>
    </row>
    <row r="639" spans="1:11" x14ac:dyDescent="0.25">
      <c r="B639" s="397"/>
    </row>
    <row r="640" spans="1:11" x14ac:dyDescent="0.25">
      <c r="A640" s="679" t="s">
        <v>94</v>
      </c>
      <c r="B640" s="682">
        <f>B633+1</f>
        <v>45965</v>
      </c>
      <c r="C640" s="398" t="s">
        <v>9</v>
      </c>
      <c r="D640" s="399"/>
      <c r="E640" s="399"/>
      <c r="F640" s="400"/>
      <c r="G640" s="401">
        <f>IF(E640&lt;8,Factors!F$18,IF(E640&lt;9,Factors!F$19,IF(E640&lt;10,Factors!F$20,IF(E640&lt;11,Factors!F$21,IF(E640&lt;12,Factors!F$22,IF(E640&lt;13,Factors!F$23))))))</f>
        <v>1.2308917197452229</v>
      </c>
      <c r="H640" s="402">
        <f>D640*F640*G640</f>
        <v>0</v>
      </c>
      <c r="I640" s="403"/>
      <c r="J640" s="404"/>
      <c r="K640" s="405"/>
    </row>
    <row r="641" spans="1:11" x14ac:dyDescent="0.25">
      <c r="A641" s="680"/>
      <c r="B641" s="683"/>
      <c r="C641" s="406" t="s">
        <v>174</v>
      </c>
      <c r="F641" s="407"/>
      <c r="G641" s="408">
        <f>IF(E641&lt;8,Factors!H$18,IF(E641&lt;9,Factors!H$19,IF(E641&lt;10,Factors!H$20,IF(E641&lt;11,Factors!H$21,IF(E641&lt;12,Factors!H$22,IF(E641&lt;13,Factors!H$23))))))</f>
        <v>1.3238434163701067</v>
      </c>
      <c r="H641" s="409">
        <f>D641*F641*G641</f>
        <v>0</v>
      </c>
      <c r="I641" s="410"/>
      <c r="J641" s="411"/>
      <c r="K641" s="412"/>
    </row>
    <row r="642" spans="1:11" x14ac:dyDescent="0.25">
      <c r="A642" s="680" t="s">
        <v>94</v>
      </c>
      <c r="B642" s="683"/>
      <c r="C642" s="406" t="s">
        <v>43</v>
      </c>
      <c r="F642" s="407"/>
      <c r="G642" s="408">
        <f>IF(E642&lt;8,Factors!H$18,IF(E642&lt;9,Factors!H$19,IF(E642&lt;10,Factors!H$20,IF(E642&lt;11,Factors!H$21,IF(E642&lt;12,Factors!H$22,IF(E642&lt;13,Factors!H$23))))))</f>
        <v>1.3238434163701067</v>
      </c>
      <c r="H642" s="409">
        <f>D642*F642*G642</f>
        <v>0</v>
      </c>
      <c r="I642" s="406"/>
      <c r="J642" s="411"/>
      <c r="K642" s="412"/>
    </row>
    <row r="643" spans="1:11" x14ac:dyDescent="0.25">
      <c r="A643" s="680"/>
      <c r="B643" s="683"/>
      <c r="C643" s="406" t="s">
        <v>166</v>
      </c>
      <c r="F643" s="407"/>
      <c r="G643" s="408">
        <f>IF(E643&lt;8,Factors!H$18,IF(E643&lt;9,Factors!H$19,IF(E643&lt;10,Factors!H$20,IF(E643&lt;11,Factors!H$21,IF(E643&lt;12,Factors!H$22,IF(E643&lt;13,Factors!H$23))))))</f>
        <v>1.3238434163701067</v>
      </c>
      <c r="H643" s="409">
        <f>D643*F643*G643</f>
        <v>0</v>
      </c>
      <c r="I643" s="410"/>
      <c r="J643" s="411"/>
      <c r="K643" s="412"/>
    </row>
    <row r="644" spans="1:11" ht="15.75" thickBot="1" x14ac:dyDescent="0.3">
      <c r="A644" s="680"/>
      <c r="B644" s="683"/>
      <c r="C644" s="415" t="s">
        <v>158</v>
      </c>
      <c r="D644" s="416"/>
      <c r="E644" s="416"/>
      <c r="F644" s="417"/>
      <c r="G644" s="418">
        <f>IF(E644&lt;8,Factors!H$18,IF(E644&lt;9,Factors!H$19,IF(E644&lt;10,Factors!H$20,IF(E644&lt;11,Factors!H$21,IF(E644&lt;12,Factors!H$22,IF(E644&lt;13,Factors!H$23))))))</f>
        <v>1.3238434163701067</v>
      </c>
      <c r="H644" s="419">
        <f>D644*F644*G644</f>
        <v>0</v>
      </c>
      <c r="I644" s="420"/>
      <c r="J644" s="421"/>
      <c r="K644" s="421"/>
    </row>
    <row r="645" spans="1:11" ht="15.75" thickTop="1" x14ac:dyDescent="0.25">
      <c r="A645" s="681"/>
      <c r="B645" s="684"/>
      <c r="C645" s="422"/>
      <c r="D645" s="423"/>
      <c r="E645" s="423"/>
      <c r="F645" s="424"/>
      <c r="G645" s="425"/>
      <c r="H645" s="426">
        <f>SUM(H640:H644)</f>
        <v>0</v>
      </c>
      <c r="I645" s="427">
        <v>1.111</v>
      </c>
      <c r="J645" s="428">
        <f>H645*I645*J$13+K645</f>
        <v>0</v>
      </c>
      <c r="K645" s="429">
        <f>K644+K643</f>
        <v>0</v>
      </c>
    </row>
    <row r="646" spans="1:11" x14ac:dyDescent="0.25">
      <c r="B646" s="397"/>
      <c r="F646" s="407"/>
      <c r="J646" s="430"/>
    </row>
    <row r="647" spans="1:11" x14ac:dyDescent="0.25">
      <c r="A647" s="679" t="s">
        <v>11</v>
      </c>
      <c r="B647" s="682">
        <f>B640+1</f>
        <v>45966</v>
      </c>
      <c r="C647" s="398" t="s">
        <v>9</v>
      </c>
      <c r="D647" s="399"/>
      <c r="E647" s="399"/>
      <c r="F647" s="400"/>
      <c r="G647" s="401">
        <f>IF(E647&lt;8,Factors!F$18,IF(E647&lt;9,Factors!F$19,IF(E647&lt;10,Factors!F$20,IF(E647&lt;11,Factors!F$21,IF(E647&lt;12,Factors!F$22,IF(E647&lt;13,Factors!F$23))))))</f>
        <v>1.2308917197452229</v>
      </c>
      <c r="H647" s="402">
        <f>D647*F647*G647</f>
        <v>0</v>
      </c>
      <c r="I647" s="403"/>
      <c r="J647" s="404"/>
      <c r="K647" s="405"/>
    </row>
    <row r="648" spans="1:11" x14ac:dyDescent="0.25">
      <c r="A648" s="680"/>
      <c r="B648" s="683"/>
      <c r="C648" s="406" t="s">
        <v>174</v>
      </c>
      <c r="F648" s="407"/>
      <c r="G648" s="408">
        <f>IF(E648&lt;8,Factors!H$18,IF(E648&lt;9,Factors!H$19,IF(E648&lt;10,Factors!H$20,IF(E648&lt;11,Factors!H$21,IF(E648&lt;12,Factors!H$22,IF(E648&lt;13,Factors!H$23))))))</f>
        <v>1.3238434163701067</v>
      </c>
      <c r="H648" s="409">
        <f>D648*F648*G648</f>
        <v>0</v>
      </c>
      <c r="I648" s="410"/>
      <c r="J648" s="411"/>
      <c r="K648" s="412"/>
    </row>
    <row r="649" spans="1:11" x14ac:dyDescent="0.25">
      <c r="A649" s="680" t="s">
        <v>94</v>
      </c>
      <c r="B649" s="683"/>
      <c r="C649" s="406" t="s">
        <v>43</v>
      </c>
      <c r="F649" s="407"/>
      <c r="G649" s="408">
        <f>IF(E649&lt;8,Factors!H$18,IF(E649&lt;9,Factors!H$19,IF(E649&lt;10,Factors!H$20,IF(E649&lt;11,Factors!H$21,IF(E649&lt;12,Factors!H$22,IF(E649&lt;13,Factors!H$23))))))</f>
        <v>1.3238434163701067</v>
      </c>
      <c r="H649" s="409">
        <f>D649*F649*G649</f>
        <v>0</v>
      </c>
      <c r="I649" s="406"/>
      <c r="J649" s="411"/>
      <c r="K649" s="412"/>
    </row>
    <row r="650" spans="1:11" x14ac:dyDescent="0.25">
      <c r="A650" s="680"/>
      <c r="B650" s="683"/>
      <c r="C650" s="406" t="s">
        <v>166</v>
      </c>
      <c r="F650" s="407"/>
      <c r="G650" s="408">
        <f>IF(E650&lt;8,Factors!H$18,IF(E650&lt;9,Factors!H$19,IF(E650&lt;10,Factors!H$20,IF(E650&lt;11,Factors!H$21,IF(E650&lt;12,Factors!H$22,IF(E650&lt;13,Factors!H$23))))))</f>
        <v>1.3238434163701067</v>
      </c>
      <c r="H650" s="409">
        <f>D650*F650*G650</f>
        <v>0</v>
      </c>
      <c r="I650" s="410"/>
      <c r="J650" s="411"/>
      <c r="K650" s="412"/>
    </row>
    <row r="651" spans="1:11" ht="15.75" thickBot="1" x14ac:dyDescent="0.3">
      <c r="A651" s="680"/>
      <c r="B651" s="683"/>
      <c r="C651" s="415" t="s">
        <v>158</v>
      </c>
      <c r="D651" s="416"/>
      <c r="E651" s="416"/>
      <c r="F651" s="417"/>
      <c r="G651" s="418">
        <f>IF(E651&lt;8,Factors!H$18,IF(E651&lt;9,Factors!H$19,IF(E651&lt;10,Factors!H$20,IF(E651&lt;11,Factors!H$21,IF(E651&lt;12,Factors!H$22,IF(E651&lt;13,Factors!H$23))))))</f>
        <v>1.3238434163701067</v>
      </c>
      <c r="H651" s="419">
        <f>D651*F651*G651</f>
        <v>0</v>
      </c>
      <c r="I651" s="420"/>
      <c r="J651" s="421"/>
      <c r="K651" s="421"/>
    </row>
    <row r="652" spans="1:11" ht="15.75" thickTop="1" x14ac:dyDescent="0.25">
      <c r="A652" s="681"/>
      <c r="B652" s="684"/>
      <c r="C652" s="422"/>
      <c r="D652" s="423"/>
      <c r="E652" s="423"/>
      <c r="F652" s="424"/>
      <c r="G652" s="425"/>
      <c r="H652" s="426">
        <f>SUM(H647:H651)</f>
        <v>0</v>
      </c>
      <c r="I652" s="427">
        <v>1.111</v>
      </c>
      <c r="J652" s="428">
        <f>H652*I652*J$13+K652</f>
        <v>0</v>
      </c>
      <c r="K652" s="429">
        <f>K651+K650</f>
        <v>0</v>
      </c>
    </row>
    <row r="653" spans="1:11" x14ac:dyDescent="0.25">
      <c r="B653" s="397"/>
    </row>
    <row r="654" spans="1:11" x14ac:dyDescent="0.25">
      <c r="A654" s="679" t="s">
        <v>95</v>
      </c>
      <c r="B654" s="682">
        <f>B647+1</f>
        <v>45967</v>
      </c>
      <c r="C654" s="398" t="s">
        <v>9</v>
      </c>
      <c r="D654" s="399"/>
      <c r="E654" s="399"/>
      <c r="F654" s="400"/>
      <c r="G654" s="401">
        <f>IF(E654&lt;8,Factors!F$18,IF(E654&lt;9,Factors!F$19,IF(E654&lt;10,Factors!F$20,IF(E654&lt;11,Factors!F$21,IF(E654&lt;12,Factors!F$22,IF(E654&lt;13,Factors!F$23))))))</f>
        <v>1.2308917197452229</v>
      </c>
      <c r="H654" s="402">
        <f>D654*F654*G654</f>
        <v>0</v>
      </c>
      <c r="I654" s="403"/>
      <c r="J654" s="404"/>
      <c r="K654" s="405"/>
    </row>
    <row r="655" spans="1:11" x14ac:dyDescent="0.25">
      <c r="A655" s="680"/>
      <c r="B655" s="683"/>
      <c r="C655" s="406" t="s">
        <v>174</v>
      </c>
      <c r="F655" s="407"/>
      <c r="G655" s="408">
        <f>IF(E655&lt;8,Factors!H$18,IF(E655&lt;9,Factors!H$19,IF(E655&lt;10,Factors!H$20,IF(E655&lt;11,Factors!H$21,IF(E655&lt;12,Factors!H$22,IF(E655&lt;13,Factors!H$23))))))</f>
        <v>1.3238434163701067</v>
      </c>
      <c r="H655" s="409">
        <f>D655*F655*G655</f>
        <v>0</v>
      </c>
      <c r="I655" s="410"/>
      <c r="J655" s="411"/>
      <c r="K655" s="412"/>
    </row>
    <row r="656" spans="1:11" x14ac:dyDescent="0.25">
      <c r="A656" s="680" t="s">
        <v>94</v>
      </c>
      <c r="B656" s="683"/>
      <c r="C656" s="406" t="s">
        <v>43</v>
      </c>
      <c r="F656" s="407"/>
      <c r="G656" s="408">
        <f>IF(E656&lt;8,Factors!H$18,IF(E656&lt;9,Factors!H$19,IF(E656&lt;10,Factors!H$20,IF(E656&lt;11,Factors!H$21,IF(E656&lt;12,Factors!H$22,IF(E656&lt;13,Factors!H$23))))))</f>
        <v>1.3238434163701067</v>
      </c>
      <c r="H656" s="409">
        <f>D656*F656*G656</f>
        <v>0</v>
      </c>
      <c r="I656" s="406"/>
      <c r="J656" s="411"/>
      <c r="K656" s="412"/>
    </row>
    <row r="657" spans="1:11" x14ac:dyDescent="0.25">
      <c r="A657" s="680"/>
      <c r="B657" s="683"/>
      <c r="C657" s="406" t="s">
        <v>166</v>
      </c>
      <c r="F657" s="407"/>
      <c r="G657" s="408">
        <f>IF(E657&lt;8,Factors!H$18,IF(E657&lt;9,Factors!H$19,IF(E657&lt;10,Factors!H$20,IF(E657&lt;11,Factors!H$21,IF(E657&lt;12,Factors!H$22,IF(E657&lt;13,Factors!H$23))))))</f>
        <v>1.3238434163701067</v>
      </c>
      <c r="H657" s="409">
        <f>D657*F657*G657</f>
        <v>0</v>
      </c>
      <c r="I657" s="410"/>
      <c r="J657" s="411"/>
      <c r="K657" s="412"/>
    </row>
    <row r="658" spans="1:11" ht="15.75" thickBot="1" x14ac:dyDescent="0.3">
      <c r="A658" s="680"/>
      <c r="B658" s="683"/>
      <c r="C658" s="415" t="s">
        <v>158</v>
      </c>
      <c r="D658" s="416"/>
      <c r="E658" s="416"/>
      <c r="F658" s="417"/>
      <c r="G658" s="418">
        <f>IF(E658&lt;8,Factors!H$18,IF(E658&lt;9,Factors!H$19,IF(E658&lt;10,Factors!H$20,IF(E658&lt;11,Factors!H$21,IF(E658&lt;12,Factors!H$22,IF(E658&lt;13,Factors!H$23))))))</f>
        <v>1.3238434163701067</v>
      </c>
      <c r="H658" s="419">
        <f>D658*F658*G658</f>
        <v>0</v>
      </c>
      <c r="I658" s="420"/>
      <c r="J658" s="421"/>
      <c r="K658" s="421"/>
    </row>
    <row r="659" spans="1:11" ht="15.75" thickTop="1" x14ac:dyDescent="0.25">
      <c r="A659" s="681"/>
      <c r="B659" s="684"/>
      <c r="C659" s="422"/>
      <c r="D659" s="423"/>
      <c r="E659" s="423"/>
      <c r="F659" s="424"/>
      <c r="G659" s="425"/>
      <c r="H659" s="426">
        <f>SUM(H654:H658)</f>
        <v>0</v>
      </c>
      <c r="I659" s="427">
        <v>1.111</v>
      </c>
      <c r="J659" s="428">
        <f>H659*I659*J$13+K659</f>
        <v>0</v>
      </c>
      <c r="K659" s="429">
        <f>K658+K657</f>
        <v>0</v>
      </c>
    </row>
    <row r="660" spans="1:11" x14ac:dyDescent="0.25">
      <c r="B660" s="397"/>
      <c r="J660" s="430"/>
    </row>
    <row r="661" spans="1:11" x14ac:dyDescent="0.25">
      <c r="A661" s="679" t="s">
        <v>13</v>
      </c>
      <c r="B661" s="682">
        <f>B654+1</f>
        <v>45968</v>
      </c>
      <c r="C661" s="398" t="s">
        <v>9</v>
      </c>
      <c r="D661" s="399"/>
      <c r="E661" s="399"/>
      <c r="F661" s="400"/>
      <c r="G661" s="401">
        <f>IF(E661&lt;8,Factors!F$18,IF(E661&lt;9,Factors!F$19,IF(E661&lt;10,Factors!F$20,IF(E661&lt;11,Factors!F$21,IF(E661&lt;12,Factors!F$22,IF(E661&lt;13,Factors!F$23))))))</f>
        <v>1.2308917197452229</v>
      </c>
      <c r="H661" s="402">
        <f>D661*F661*G661</f>
        <v>0</v>
      </c>
      <c r="I661" s="403"/>
      <c r="J661" s="404"/>
      <c r="K661" s="405"/>
    </row>
    <row r="662" spans="1:11" x14ac:dyDescent="0.25">
      <c r="A662" s="680"/>
      <c r="B662" s="683"/>
      <c r="C662" s="406" t="s">
        <v>174</v>
      </c>
      <c r="F662" s="407"/>
      <c r="G662" s="408">
        <f>IF(E662&lt;8,Factors!H$18,IF(E662&lt;9,Factors!H$19,IF(E662&lt;10,Factors!H$20,IF(E662&lt;11,Factors!H$21,IF(E662&lt;12,Factors!H$22,IF(E662&lt;13,Factors!H$23))))))</f>
        <v>1.3238434163701067</v>
      </c>
      <c r="H662" s="409">
        <f>D662*F662*G662</f>
        <v>0</v>
      </c>
      <c r="I662" s="410"/>
      <c r="J662" s="411"/>
      <c r="K662" s="412"/>
    </row>
    <row r="663" spans="1:11" x14ac:dyDescent="0.25">
      <c r="A663" s="680" t="s">
        <v>94</v>
      </c>
      <c r="B663" s="683"/>
      <c r="C663" s="406" t="s">
        <v>43</v>
      </c>
      <c r="F663" s="407"/>
      <c r="G663" s="408">
        <f>IF(E663&lt;8,Factors!H$18,IF(E663&lt;9,Factors!H$19,IF(E663&lt;10,Factors!H$20,IF(E663&lt;11,Factors!H$21,IF(E663&lt;12,Factors!H$22,IF(E663&lt;13,Factors!H$23))))))</f>
        <v>1.3238434163701067</v>
      </c>
      <c r="H663" s="409">
        <f>D663*F663*G663</f>
        <v>0</v>
      </c>
      <c r="I663" s="406"/>
      <c r="J663" s="411"/>
      <c r="K663" s="412"/>
    </row>
    <row r="664" spans="1:11" x14ac:dyDescent="0.25">
      <c r="A664" s="680"/>
      <c r="B664" s="683"/>
      <c r="C664" s="406" t="s">
        <v>166</v>
      </c>
      <c r="F664" s="407"/>
      <c r="G664" s="408">
        <f>IF(E664&lt;8,Factors!H$18,IF(E664&lt;9,Factors!H$19,IF(E664&lt;10,Factors!H$20,IF(E664&lt;11,Factors!H$21,IF(E664&lt;12,Factors!H$22,IF(E664&lt;13,Factors!H$23))))))</f>
        <v>1.3238434163701067</v>
      </c>
      <c r="H664" s="409">
        <f>D664*F664*G664</f>
        <v>0</v>
      </c>
      <c r="I664" s="410"/>
      <c r="J664" s="411"/>
      <c r="K664" s="412"/>
    </row>
    <row r="665" spans="1:11" ht="15.75" thickBot="1" x14ac:dyDescent="0.3">
      <c r="A665" s="680"/>
      <c r="B665" s="683"/>
      <c r="C665" s="415" t="s">
        <v>158</v>
      </c>
      <c r="D665" s="416"/>
      <c r="E665" s="416"/>
      <c r="F665" s="417"/>
      <c r="G665" s="418">
        <f>IF(E665&lt;8,Factors!H$18,IF(E665&lt;9,Factors!H$19,IF(E665&lt;10,Factors!H$20,IF(E665&lt;11,Factors!H$21,IF(E665&lt;12,Factors!H$22,IF(E665&lt;13,Factors!H$23))))))</f>
        <v>1.3238434163701067</v>
      </c>
      <c r="H665" s="419">
        <f>D665*F665*G665</f>
        <v>0</v>
      </c>
      <c r="I665" s="420"/>
      <c r="J665" s="421"/>
      <c r="K665" s="421"/>
    </row>
    <row r="666" spans="1:11" ht="15.75" thickTop="1" x14ac:dyDescent="0.25">
      <c r="A666" s="681"/>
      <c r="B666" s="684"/>
      <c r="C666" s="422"/>
      <c r="D666" s="423"/>
      <c r="E666" s="423"/>
      <c r="F666" s="424"/>
      <c r="G666" s="425"/>
      <c r="H666" s="426">
        <f>SUM(H661:H665)</f>
        <v>0</v>
      </c>
      <c r="I666" s="427">
        <v>1.111</v>
      </c>
      <c r="J666" s="428">
        <f>H666*I666*J$13+K666</f>
        <v>0</v>
      </c>
      <c r="K666" s="429">
        <f>K665+K664</f>
        <v>0</v>
      </c>
    </row>
    <row r="667" spans="1:11" x14ac:dyDescent="0.25">
      <c r="B667" s="397"/>
      <c r="G667" s="414"/>
      <c r="H667" s="414"/>
      <c r="I667" s="430"/>
    </row>
    <row r="668" spans="1:11" x14ac:dyDescent="0.25">
      <c r="A668" s="680" t="s">
        <v>14</v>
      </c>
      <c r="B668" s="682">
        <f>B661+1</f>
        <v>45969</v>
      </c>
      <c r="C668" s="398" t="s">
        <v>9</v>
      </c>
      <c r="D668" s="399"/>
      <c r="E668" s="399"/>
      <c r="F668" s="400"/>
      <c r="G668" s="401">
        <f>IF(E668&lt;8,Factors!F$18,IF(E668&lt;9,Factors!F$19,IF(E668&lt;10,Factors!F$20,IF(E668&lt;11,Factors!F$21,IF(E668&lt;12,Factors!F$22,IF(E668&lt;13,Factors!F$23))))))</f>
        <v>1.2308917197452229</v>
      </c>
      <c r="H668" s="402">
        <f>D668*F668*G668</f>
        <v>0</v>
      </c>
      <c r="I668" s="403"/>
      <c r="J668" s="404"/>
      <c r="K668" s="405"/>
    </row>
    <row r="669" spans="1:11" x14ac:dyDescent="0.25">
      <c r="A669" s="680"/>
      <c r="B669" s="683"/>
      <c r="C669" s="406" t="s">
        <v>174</v>
      </c>
      <c r="F669" s="407"/>
      <c r="G669" s="408">
        <f>IF(E669&lt;8,Factors!H$18,IF(E669&lt;9,Factors!H$19,IF(E669&lt;10,Factors!H$20,IF(E669&lt;11,Factors!H$21,IF(E669&lt;12,Factors!H$22,IF(E669&lt;13,Factors!H$23))))))</f>
        <v>1.3238434163701067</v>
      </c>
      <c r="H669" s="409">
        <f>D669*F669*G669</f>
        <v>0</v>
      </c>
      <c r="I669" s="410"/>
      <c r="J669" s="411"/>
      <c r="K669" s="412"/>
    </row>
    <row r="670" spans="1:11" x14ac:dyDescent="0.25">
      <c r="A670" s="680" t="s">
        <v>94</v>
      </c>
      <c r="B670" s="683"/>
      <c r="C670" s="406" t="s">
        <v>43</v>
      </c>
      <c r="F670" s="407"/>
      <c r="G670" s="408">
        <f>IF(E670&lt;8,Factors!H$18,IF(E670&lt;9,Factors!H$19,IF(E670&lt;10,Factors!H$20,IF(E670&lt;11,Factors!H$21,IF(E670&lt;12,Factors!H$22,IF(E670&lt;13,Factors!H$23))))))</f>
        <v>1.3238434163701067</v>
      </c>
      <c r="H670" s="409">
        <f>D670*F670*G670</f>
        <v>0</v>
      </c>
      <c r="I670" s="406"/>
      <c r="J670" s="411"/>
      <c r="K670" s="412"/>
    </row>
    <row r="671" spans="1:11" x14ac:dyDescent="0.25">
      <c r="A671" s="680"/>
      <c r="B671" s="683"/>
      <c r="C671" s="406" t="s">
        <v>166</v>
      </c>
      <c r="F671" s="407"/>
      <c r="G671" s="408">
        <f>IF(E671&lt;8,Factors!H$18,IF(E671&lt;9,Factors!H$19,IF(E671&lt;10,Factors!H$20,IF(E671&lt;11,Factors!H$21,IF(E671&lt;12,Factors!H$22,IF(E671&lt;13,Factors!H$23))))))</f>
        <v>1.3238434163701067</v>
      </c>
      <c r="H671" s="409">
        <f>D671*F671*G671</f>
        <v>0</v>
      </c>
      <c r="I671" s="410"/>
      <c r="J671" s="411"/>
      <c r="K671" s="412"/>
    </row>
    <row r="672" spans="1:11" ht="15.75" thickBot="1" x14ac:dyDescent="0.3">
      <c r="A672" s="680"/>
      <c r="B672" s="683"/>
      <c r="C672" s="415" t="s">
        <v>158</v>
      </c>
      <c r="D672" s="416"/>
      <c r="E672" s="416"/>
      <c r="F672" s="417"/>
      <c r="G672" s="418">
        <f>IF(E672&lt;8,Factors!H$18,IF(E672&lt;9,Factors!H$19,IF(E672&lt;10,Factors!H$20,IF(E672&lt;11,Factors!H$21,IF(E672&lt;12,Factors!H$22,IF(E672&lt;13,Factors!H$23))))))</f>
        <v>1.3238434163701067</v>
      </c>
      <c r="H672" s="419">
        <f>D672*F672*G672</f>
        <v>0</v>
      </c>
      <c r="I672" s="420"/>
      <c r="J672" s="421"/>
      <c r="K672" s="421"/>
    </row>
    <row r="673" spans="1:11" ht="15.75" thickTop="1" x14ac:dyDescent="0.25">
      <c r="A673" s="681"/>
      <c r="B673" s="684"/>
      <c r="C673" s="422"/>
      <c r="D673" s="423"/>
      <c r="E673" s="423"/>
      <c r="F673" s="424"/>
      <c r="G673" s="425"/>
      <c r="H673" s="426">
        <f>SUM(H668:H672)</f>
        <v>0</v>
      </c>
      <c r="I673" s="427">
        <v>1.111</v>
      </c>
      <c r="J673" s="428">
        <f>H673*I673*J$13+K673</f>
        <v>0</v>
      </c>
      <c r="K673" s="429">
        <f>K672+K671</f>
        <v>0</v>
      </c>
    </row>
    <row r="674" spans="1:11" x14ac:dyDescent="0.25">
      <c r="B674" s="397"/>
    </row>
    <row r="675" spans="1:11" x14ac:dyDescent="0.25">
      <c r="A675" s="679" t="s">
        <v>15</v>
      </c>
      <c r="B675" s="682">
        <f>B668+1</f>
        <v>45970</v>
      </c>
      <c r="C675" s="398" t="s">
        <v>9</v>
      </c>
      <c r="D675" s="399"/>
      <c r="E675" s="399"/>
      <c r="F675" s="400"/>
      <c r="G675" s="401">
        <f>IF(E675&lt;8,Factors!F$18,IF(E675&lt;9,Factors!F$19,IF(E675&lt;10,Factors!F$20,IF(E675&lt;11,Factors!F$21,IF(E675&lt;12,Factors!F$22,IF(E675&lt;13,Factors!F$23))))))</f>
        <v>1.2308917197452229</v>
      </c>
      <c r="H675" s="402">
        <f>D675*F675*G675</f>
        <v>0</v>
      </c>
      <c r="I675" s="403"/>
      <c r="J675" s="404"/>
      <c r="K675" s="405"/>
    </row>
    <row r="676" spans="1:11" x14ac:dyDescent="0.25">
      <c r="A676" s="680"/>
      <c r="B676" s="683"/>
      <c r="C676" s="406" t="s">
        <v>174</v>
      </c>
      <c r="F676" s="407"/>
      <c r="G676" s="408">
        <f>IF(E676&lt;8,Factors!H$18,IF(E676&lt;9,Factors!H$19,IF(E676&lt;10,Factors!H$20,IF(E676&lt;11,Factors!H$21,IF(E676&lt;12,Factors!H$22,IF(E676&lt;13,Factors!H$23))))))</f>
        <v>1.3238434163701067</v>
      </c>
      <c r="H676" s="409">
        <f>D676*F676*G676</f>
        <v>0</v>
      </c>
      <c r="I676" s="410"/>
      <c r="J676" s="411"/>
      <c r="K676" s="412"/>
    </row>
    <row r="677" spans="1:11" x14ac:dyDescent="0.25">
      <c r="A677" s="680" t="s">
        <v>94</v>
      </c>
      <c r="B677" s="683"/>
      <c r="C677" s="406" t="s">
        <v>43</v>
      </c>
      <c r="F677" s="407"/>
      <c r="G677" s="408">
        <f>IF(E677&lt;8,Factors!H$18,IF(E677&lt;9,Factors!H$19,IF(E677&lt;10,Factors!H$20,IF(E677&lt;11,Factors!H$21,IF(E677&lt;12,Factors!H$22,IF(E677&lt;13,Factors!H$23))))))</f>
        <v>1.3238434163701067</v>
      </c>
      <c r="H677" s="409">
        <f>D677*F677*G677</f>
        <v>0</v>
      </c>
      <c r="I677" s="406"/>
      <c r="J677" s="411"/>
      <c r="K677" s="412"/>
    </row>
    <row r="678" spans="1:11" x14ac:dyDescent="0.25">
      <c r="A678" s="680"/>
      <c r="B678" s="683"/>
      <c r="C678" s="406" t="s">
        <v>166</v>
      </c>
      <c r="F678" s="407"/>
      <c r="G678" s="408">
        <f>IF(E678&lt;8,Factors!H$18,IF(E678&lt;9,Factors!H$19,IF(E678&lt;10,Factors!H$20,IF(E678&lt;11,Factors!H$21,IF(E678&lt;12,Factors!H$22,IF(E678&lt;13,Factors!H$23))))))</f>
        <v>1.3238434163701067</v>
      </c>
      <c r="H678" s="409">
        <f>D678*F678*G678</f>
        <v>0</v>
      </c>
      <c r="I678" s="410"/>
      <c r="J678" s="411"/>
      <c r="K678" s="412"/>
    </row>
    <row r="679" spans="1:11" ht="15.75" thickBot="1" x14ac:dyDescent="0.3">
      <c r="A679" s="680"/>
      <c r="B679" s="683"/>
      <c r="C679" s="415" t="s">
        <v>158</v>
      </c>
      <c r="D679" s="416"/>
      <c r="E679" s="416"/>
      <c r="F679" s="417"/>
      <c r="G679" s="418">
        <f>IF(E679&lt;8,Factors!H$18,IF(E679&lt;9,Factors!H$19,IF(E679&lt;10,Factors!H$20,IF(E679&lt;11,Factors!H$21,IF(E679&lt;12,Factors!H$22,IF(E679&lt;13,Factors!H$23))))))</f>
        <v>1.3238434163701067</v>
      </c>
      <c r="H679" s="419">
        <f>D679*F679*G679</f>
        <v>0</v>
      </c>
      <c r="I679" s="420"/>
      <c r="J679" s="421"/>
      <c r="K679" s="421"/>
    </row>
    <row r="680" spans="1:11" ht="15.75" thickTop="1" x14ac:dyDescent="0.25">
      <c r="A680" s="681"/>
      <c r="B680" s="684"/>
      <c r="C680" s="422"/>
      <c r="D680" s="423"/>
      <c r="E680" s="423"/>
      <c r="F680" s="424"/>
      <c r="G680" s="425"/>
      <c r="H680" s="426">
        <f>SUM(H675:H679)</f>
        <v>0</v>
      </c>
      <c r="I680" s="427">
        <v>1.111</v>
      </c>
      <c r="J680" s="428">
        <f>H680*I680*J$13+K680</f>
        <v>0</v>
      </c>
      <c r="K680" s="429">
        <f>K679+K678</f>
        <v>0</v>
      </c>
    </row>
    <row r="681" spans="1:11" x14ac:dyDescent="0.25">
      <c r="B681" s="397"/>
    </row>
    <row r="682" spans="1:11" x14ac:dyDescent="0.25">
      <c r="A682" s="679" t="s">
        <v>7</v>
      </c>
      <c r="B682" s="682">
        <f>B675+1</f>
        <v>45971</v>
      </c>
      <c r="C682" s="398" t="s">
        <v>9</v>
      </c>
      <c r="D682" s="399"/>
      <c r="E682" s="399"/>
      <c r="F682" s="400"/>
      <c r="G682" s="401">
        <f>IF(E682&lt;8,Factors!F$18,IF(E682&lt;9,Factors!F$19,IF(E682&lt;10,Factors!F$20,IF(E682&lt;11,Factors!F$21,IF(E682&lt;12,Factors!F$22,IF(E682&lt;13,Factors!F$23))))))</f>
        <v>1.2308917197452229</v>
      </c>
      <c r="H682" s="402">
        <f>D682*F682*G682</f>
        <v>0</v>
      </c>
      <c r="I682" s="403"/>
      <c r="J682" s="404"/>
      <c r="K682" s="405"/>
    </row>
    <row r="683" spans="1:11" x14ac:dyDescent="0.25">
      <c r="A683" s="680"/>
      <c r="B683" s="683"/>
      <c r="C683" s="406" t="s">
        <v>174</v>
      </c>
      <c r="F683" s="407"/>
      <c r="G683" s="408">
        <f>IF(E683&lt;8,Factors!H$18,IF(E683&lt;9,Factors!H$19,IF(E683&lt;10,Factors!H$20,IF(E683&lt;11,Factors!H$21,IF(E683&lt;12,Factors!H$22,IF(E683&lt;13,Factors!H$23))))))</f>
        <v>1.3238434163701067</v>
      </c>
      <c r="H683" s="409">
        <f>D683*F683*G683</f>
        <v>0</v>
      </c>
      <c r="I683" s="410"/>
      <c r="J683" s="411"/>
      <c r="K683" s="412"/>
    </row>
    <row r="684" spans="1:11" x14ac:dyDescent="0.25">
      <c r="A684" s="680" t="s">
        <v>94</v>
      </c>
      <c r="B684" s="683"/>
      <c r="C684" s="406" t="s">
        <v>43</v>
      </c>
      <c r="F684" s="407"/>
      <c r="G684" s="408">
        <f>IF(E684&lt;8,Factors!H$18,IF(E684&lt;9,Factors!H$19,IF(E684&lt;10,Factors!H$20,IF(E684&lt;11,Factors!H$21,IF(E684&lt;12,Factors!H$22,IF(E684&lt;13,Factors!H$23))))))</f>
        <v>1.3238434163701067</v>
      </c>
      <c r="H684" s="409">
        <f>D684*F684*G684</f>
        <v>0</v>
      </c>
      <c r="I684" s="406"/>
      <c r="J684" s="411"/>
      <c r="K684" s="412"/>
    </row>
    <row r="685" spans="1:11" x14ac:dyDescent="0.25">
      <c r="A685" s="680"/>
      <c r="B685" s="683"/>
      <c r="C685" s="406" t="s">
        <v>166</v>
      </c>
      <c r="F685" s="407"/>
      <c r="G685" s="408">
        <f>IF(E685&lt;8,Factors!H$18,IF(E685&lt;9,Factors!H$19,IF(E685&lt;10,Factors!H$20,IF(E685&lt;11,Factors!H$21,IF(E685&lt;12,Factors!H$22,IF(E685&lt;13,Factors!H$23))))))</f>
        <v>1.3238434163701067</v>
      </c>
      <c r="H685" s="409">
        <f>D685*F685*G685</f>
        <v>0</v>
      </c>
      <c r="I685" s="410"/>
      <c r="J685" s="411"/>
      <c r="K685" s="412"/>
    </row>
    <row r="686" spans="1:11" ht="15.75" thickBot="1" x14ac:dyDescent="0.3">
      <c r="A686" s="680"/>
      <c r="B686" s="683"/>
      <c r="C686" s="415" t="s">
        <v>158</v>
      </c>
      <c r="D686" s="416"/>
      <c r="E686" s="416"/>
      <c r="F686" s="417"/>
      <c r="G686" s="418">
        <f>IF(E686&lt;8,Factors!H$18,IF(E686&lt;9,Factors!H$19,IF(E686&lt;10,Factors!H$20,IF(E686&lt;11,Factors!H$21,IF(E686&lt;12,Factors!H$22,IF(E686&lt;13,Factors!H$23))))))</f>
        <v>1.3238434163701067</v>
      </c>
      <c r="H686" s="419">
        <f>D686*F686*G686</f>
        <v>0</v>
      </c>
      <c r="I686" s="420"/>
      <c r="J686" s="421"/>
      <c r="K686" s="421"/>
    </row>
    <row r="687" spans="1:11" ht="15.75" thickTop="1" x14ac:dyDescent="0.25">
      <c r="A687" s="681"/>
      <c r="B687" s="684"/>
      <c r="C687" s="422"/>
      <c r="D687" s="423"/>
      <c r="E687" s="423"/>
      <c r="F687" s="424"/>
      <c r="G687" s="425"/>
      <c r="H687" s="426">
        <f>SUM(H682:H686)</f>
        <v>0</v>
      </c>
      <c r="I687" s="427">
        <v>1.111</v>
      </c>
      <c r="J687" s="428">
        <f>H687*I687*J$13+K687</f>
        <v>0</v>
      </c>
      <c r="K687" s="429">
        <f>K686+K685</f>
        <v>0</v>
      </c>
    </row>
    <row r="688" spans="1:11" x14ac:dyDescent="0.25">
      <c r="J688" s="430"/>
    </row>
    <row r="689" spans="1:11" x14ac:dyDescent="0.25">
      <c r="A689" s="679" t="s">
        <v>94</v>
      </c>
      <c r="B689" s="682">
        <f>B682+1</f>
        <v>45972</v>
      </c>
      <c r="C689" s="398" t="s">
        <v>9</v>
      </c>
      <c r="D689" s="399"/>
      <c r="E689" s="399"/>
      <c r="F689" s="400"/>
      <c r="G689" s="401">
        <f>IF(E689&lt;8,Factors!F$18,IF(E689&lt;9,Factors!F$19,IF(E689&lt;10,Factors!F$20,IF(E689&lt;11,Factors!F$21,IF(E689&lt;12,Factors!F$22,IF(E689&lt;13,Factors!F$23))))))</f>
        <v>1.2308917197452229</v>
      </c>
      <c r="H689" s="402">
        <f>D689*F689*G689</f>
        <v>0</v>
      </c>
      <c r="I689" s="403"/>
      <c r="J689" s="404"/>
      <c r="K689" s="405"/>
    </row>
    <row r="690" spans="1:11" x14ac:dyDescent="0.25">
      <c r="A690" s="680"/>
      <c r="B690" s="683"/>
      <c r="C690" s="406" t="s">
        <v>174</v>
      </c>
      <c r="F690" s="407"/>
      <c r="G690" s="408">
        <f>IF(E690&lt;8,Factors!H$18,IF(E690&lt;9,Factors!H$19,IF(E690&lt;10,Factors!H$20,IF(E690&lt;11,Factors!H$21,IF(E690&lt;12,Factors!H$22,IF(E690&lt;13,Factors!H$23))))))</f>
        <v>1.3238434163701067</v>
      </c>
      <c r="H690" s="409">
        <f>D690*F690*G690</f>
        <v>0</v>
      </c>
      <c r="I690" s="410"/>
      <c r="J690" s="411"/>
      <c r="K690" s="412"/>
    </row>
    <row r="691" spans="1:11" x14ac:dyDescent="0.25">
      <c r="A691" s="680" t="s">
        <v>94</v>
      </c>
      <c r="B691" s="683"/>
      <c r="C691" s="406" t="s">
        <v>43</v>
      </c>
      <c r="F691" s="407"/>
      <c r="G691" s="408">
        <f>IF(E691&lt;8,Factors!H$18,IF(E691&lt;9,Factors!H$19,IF(E691&lt;10,Factors!H$20,IF(E691&lt;11,Factors!H$21,IF(E691&lt;12,Factors!H$22,IF(E691&lt;13,Factors!H$23))))))</f>
        <v>1.3238434163701067</v>
      </c>
      <c r="H691" s="409">
        <f>D691*F691*G691</f>
        <v>0</v>
      </c>
      <c r="I691" s="406"/>
      <c r="J691" s="411"/>
      <c r="K691" s="412"/>
    </row>
    <row r="692" spans="1:11" x14ac:dyDescent="0.25">
      <c r="A692" s="680"/>
      <c r="B692" s="683"/>
      <c r="C692" s="406" t="s">
        <v>166</v>
      </c>
      <c r="F692" s="407"/>
      <c r="G692" s="408">
        <f>IF(E692&lt;8,Factors!H$18,IF(E692&lt;9,Factors!H$19,IF(E692&lt;10,Factors!H$20,IF(E692&lt;11,Factors!H$21,IF(E692&lt;12,Factors!H$22,IF(E692&lt;13,Factors!H$23))))))</f>
        <v>1.3238434163701067</v>
      </c>
      <c r="H692" s="409">
        <f>D692*F692*G692</f>
        <v>0</v>
      </c>
      <c r="I692" s="410"/>
      <c r="J692" s="411"/>
      <c r="K692" s="412"/>
    </row>
    <row r="693" spans="1:11" ht="15.75" thickBot="1" x14ac:dyDescent="0.3">
      <c r="A693" s="680"/>
      <c r="B693" s="683"/>
      <c r="C693" s="415" t="s">
        <v>158</v>
      </c>
      <c r="D693" s="416"/>
      <c r="E693" s="416"/>
      <c r="F693" s="417"/>
      <c r="G693" s="418">
        <f>IF(E693&lt;8,Factors!H$18,IF(E693&lt;9,Factors!H$19,IF(E693&lt;10,Factors!H$20,IF(E693&lt;11,Factors!H$21,IF(E693&lt;12,Factors!H$22,IF(E693&lt;13,Factors!H$23))))))</f>
        <v>1.3238434163701067</v>
      </c>
      <c r="H693" s="419">
        <f>D693*F693*G693</f>
        <v>0</v>
      </c>
      <c r="I693" s="420"/>
      <c r="J693" s="421"/>
      <c r="K693" s="421"/>
    </row>
    <row r="694" spans="1:11" ht="15.75" thickTop="1" x14ac:dyDescent="0.25">
      <c r="A694" s="681"/>
      <c r="B694" s="684"/>
      <c r="C694" s="422"/>
      <c r="D694" s="423"/>
      <c r="E694" s="423"/>
      <c r="F694" s="424"/>
      <c r="G694" s="425"/>
      <c r="H694" s="426">
        <f>SUM(H689:H693)</f>
        <v>0</v>
      </c>
      <c r="I694" s="427">
        <v>1.111</v>
      </c>
      <c r="J694" s="428">
        <f>H694*I694*J$13+K694</f>
        <v>0</v>
      </c>
      <c r="K694" s="429">
        <f>K693+K692</f>
        <v>0</v>
      </c>
    </row>
    <row r="695" spans="1:11" x14ac:dyDescent="0.25">
      <c r="B695" s="397"/>
      <c r="F695" s="407"/>
    </row>
    <row r="696" spans="1:11" x14ac:dyDescent="0.25">
      <c r="A696" s="679" t="s">
        <v>11</v>
      </c>
      <c r="B696" s="682">
        <f>B689+1</f>
        <v>45973</v>
      </c>
      <c r="C696" s="398" t="s">
        <v>9</v>
      </c>
      <c r="D696" s="399"/>
      <c r="E696" s="399"/>
      <c r="F696" s="400"/>
      <c r="G696" s="401">
        <f>IF(E696&lt;8,Factors!F$18,IF(E696&lt;9,Factors!F$19,IF(E696&lt;10,Factors!F$20,IF(E696&lt;11,Factors!F$21,IF(E696&lt;12,Factors!F$22,IF(E696&lt;13,Factors!F$23))))))</f>
        <v>1.2308917197452229</v>
      </c>
      <c r="H696" s="402">
        <f>D696*F696*G696</f>
        <v>0</v>
      </c>
      <c r="I696" s="403"/>
      <c r="J696" s="404"/>
      <c r="K696" s="405"/>
    </row>
    <row r="697" spans="1:11" x14ac:dyDescent="0.25">
      <c r="A697" s="680"/>
      <c r="B697" s="683"/>
      <c r="C697" s="406" t="s">
        <v>174</v>
      </c>
      <c r="F697" s="407"/>
      <c r="G697" s="408">
        <f>IF(E697&lt;8,Factors!H$18,IF(E697&lt;9,Factors!H$19,IF(E697&lt;10,Factors!H$20,IF(E697&lt;11,Factors!H$21,IF(E697&lt;12,Factors!H$22,IF(E697&lt;13,Factors!H$23))))))</f>
        <v>1.3238434163701067</v>
      </c>
      <c r="H697" s="409">
        <f>D697*F697*G697</f>
        <v>0</v>
      </c>
      <c r="I697" s="410"/>
      <c r="J697" s="411"/>
      <c r="K697" s="412"/>
    </row>
    <row r="698" spans="1:11" x14ac:dyDescent="0.25">
      <c r="A698" s="680" t="s">
        <v>94</v>
      </c>
      <c r="B698" s="683"/>
      <c r="C698" s="406" t="s">
        <v>43</v>
      </c>
      <c r="F698" s="407"/>
      <c r="G698" s="408">
        <f>IF(E698&lt;8,Factors!H$18,IF(E698&lt;9,Factors!H$19,IF(E698&lt;10,Factors!H$20,IF(E698&lt;11,Factors!H$21,IF(E698&lt;12,Factors!H$22,IF(E698&lt;13,Factors!H$23))))))</f>
        <v>1.3238434163701067</v>
      </c>
      <c r="H698" s="409">
        <f>D698*F698*G698</f>
        <v>0</v>
      </c>
      <c r="I698" s="406"/>
      <c r="J698" s="411"/>
      <c r="K698" s="412"/>
    </row>
    <row r="699" spans="1:11" x14ac:dyDescent="0.25">
      <c r="A699" s="680"/>
      <c r="B699" s="683"/>
      <c r="C699" s="406" t="s">
        <v>166</v>
      </c>
      <c r="F699" s="407"/>
      <c r="G699" s="408">
        <f>IF(E699&lt;8,Factors!H$18,IF(E699&lt;9,Factors!H$19,IF(E699&lt;10,Factors!H$20,IF(E699&lt;11,Factors!H$21,IF(E699&lt;12,Factors!H$22,IF(E699&lt;13,Factors!H$23))))))</f>
        <v>1.3238434163701067</v>
      </c>
      <c r="H699" s="409">
        <f>D699*F699*G699</f>
        <v>0</v>
      </c>
      <c r="I699" s="410"/>
      <c r="J699" s="411"/>
      <c r="K699" s="412"/>
    </row>
    <row r="700" spans="1:11" ht="15.75" thickBot="1" x14ac:dyDescent="0.3">
      <c r="A700" s="680"/>
      <c r="B700" s="683"/>
      <c r="C700" s="415" t="s">
        <v>158</v>
      </c>
      <c r="D700" s="416"/>
      <c r="E700" s="416"/>
      <c r="F700" s="417"/>
      <c r="G700" s="418">
        <f>IF(E700&lt;8,Factors!H$18,IF(E700&lt;9,Factors!H$19,IF(E700&lt;10,Factors!H$20,IF(E700&lt;11,Factors!H$21,IF(E700&lt;12,Factors!H$22,IF(E700&lt;13,Factors!H$23))))))</f>
        <v>1.3238434163701067</v>
      </c>
      <c r="H700" s="419">
        <f>D700*F700*G700</f>
        <v>0</v>
      </c>
      <c r="I700" s="420"/>
      <c r="J700" s="421"/>
      <c r="K700" s="421"/>
    </row>
    <row r="701" spans="1:11" ht="15.75" thickTop="1" x14ac:dyDescent="0.25">
      <c r="A701" s="681"/>
      <c r="B701" s="684"/>
      <c r="C701" s="422"/>
      <c r="D701" s="423"/>
      <c r="E701" s="423"/>
      <c r="F701" s="424"/>
      <c r="G701" s="425"/>
      <c r="H701" s="426">
        <f>SUM(H696:H700)</f>
        <v>0</v>
      </c>
      <c r="I701" s="427"/>
      <c r="J701" s="428">
        <f>H701*I701*J$13+K701</f>
        <v>0</v>
      </c>
      <c r="K701" s="429">
        <f>K700+K699</f>
        <v>0</v>
      </c>
    </row>
    <row r="702" spans="1:11" x14ac:dyDescent="0.25">
      <c r="B702" s="397"/>
      <c r="J702" s="430"/>
    </row>
    <row r="703" spans="1:11" x14ac:dyDescent="0.25">
      <c r="A703" s="679" t="s">
        <v>95</v>
      </c>
      <c r="B703" s="682">
        <f>B696+1</f>
        <v>45974</v>
      </c>
      <c r="C703" s="398" t="s">
        <v>9</v>
      </c>
      <c r="D703" s="399"/>
      <c r="E703" s="399"/>
      <c r="F703" s="400"/>
      <c r="G703" s="401">
        <f>IF(E703&lt;8,Factors!F$18,IF(E703&lt;9,Factors!F$19,IF(E703&lt;10,Factors!F$20,IF(E703&lt;11,Factors!F$21,IF(E703&lt;12,Factors!F$22,IF(E703&lt;13,Factors!F$23))))))</f>
        <v>1.2308917197452229</v>
      </c>
      <c r="H703" s="402">
        <f>D703*F703*G703</f>
        <v>0</v>
      </c>
      <c r="I703" s="403"/>
      <c r="J703" s="404"/>
      <c r="K703" s="405"/>
    </row>
    <row r="704" spans="1:11" x14ac:dyDescent="0.25">
      <c r="A704" s="680"/>
      <c r="B704" s="683"/>
      <c r="C704" s="406" t="s">
        <v>174</v>
      </c>
      <c r="F704" s="407"/>
      <c r="G704" s="408">
        <f>IF(E704&lt;8,Factors!H$18,IF(E704&lt;9,Factors!H$19,IF(E704&lt;10,Factors!H$20,IF(E704&lt;11,Factors!H$21,IF(E704&lt;12,Factors!H$22,IF(E704&lt;13,Factors!H$23))))))</f>
        <v>1.3238434163701067</v>
      </c>
      <c r="H704" s="409">
        <f>D704*F704*G704</f>
        <v>0</v>
      </c>
      <c r="I704" s="410"/>
      <c r="J704" s="411"/>
      <c r="K704" s="412"/>
    </row>
    <row r="705" spans="1:11" x14ac:dyDescent="0.25">
      <c r="A705" s="680" t="s">
        <v>94</v>
      </c>
      <c r="B705" s="683"/>
      <c r="C705" s="406" t="s">
        <v>43</v>
      </c>
      <c r="F705" s="407"/>
      <c r="G705" s="408">
        <f>IF(E705&lt;8,Factors!H$18,IF(E705&lt;9,Factors!H$19,IF(E705&lt;10,Factors!H$20,IF(E705&lt;11,Factors!H$21,IF(E705&lt;12,Factors!H$22,IF(E705&lt;13,Factors!H$23))))))</f>
        <v>1.3238434163701067</v>
      </c>
      <c r="H705" s="409">
        <f>D705*F705*G705</f>
        <v>0</v>
      </c>
      <c r="I705" s="406"/>
      <c r="J705" s="411"/>
      <c r="K705" s="412"/>
    </row>
    <row r="706" spans="1:11" x14ac:dyDescent="0.25">
      <c r="A706" s="680"/>
      <c r="B706" s="683"/>
      <c r="C706" s="406" t="s">
        <v>166</v>
      </c>
      <c r="F706" s="407"/>
      <c r="G706" s="408">
        <f>IF(E706&lt;8,Factors!H$18,IF(E706&lt;9,Factors!H$19,IF(E706&lt;10,Factors!H$20,IF(E706&lt;11,Factors!H$21,IF(E706&lt;12,Factors!H$22,IF(E706&lt;13,Factors!H$23))))))</f>
        <v>1.3238434163701067</v>
      </c>
      <c r="H706" s="409">
        <f>D706*F706*G706</f>
        <v>0</v>
      </c>
      <c r="I706" s="410"/>
      <c r="J706" s="411"/>
      <c r="K706" s="412"/>
    </row>
    <row r="707" spans="1:11" ht="15.75" thickBot="1" x14ac:dyDescent="0.3">
      <c r="A707" s="680"/>
      <c r="B707" s="683"/>
      <c r="C707" s="415" t="s">
        <v>158</v>
      </c>
      <c r="D707" s="416"/>
      <c r="E707" s="416"/>
      <c r="F707" s="417"/>
      <c r="G707" s="418">
        <f>IF(E707&lt;8,Factors!H$18,IF(E707&lt;9,Factors!H$19,IF(E707&lt;10,Factors!H$20,IF(E707&lt;11,Factors!H$21,IF(E707&lt;12,Factors!H$22,IF(E707&lt;13,Factors!H$23))))))</f>
        <v>1.3238434163701067</v>
      </c>
      <c r="H707" s="419">
        <f>D707*F707*G707</f>
        <v>0</v>
      </c>
      <c r="I707" s="420"/>
      <c r="J707" s="421"/>
      <c r="K707" s="421"/>
    </row>
    <row r="708" spans="1:11" ht="15.75" thickTop="1" x14ac:dyDescent="0.25">
      <c r="A708" s="681"/>
      <c r="B708" s="684"/>
      <c r="C708" s="422"/>
      <c r="D708" s="423"/>
      <c r="E708" s="423"/>
      <c r="F708" s="424"/>
      <c r="G708" s="425"/>
      <c r="H708" s="426">
        <f>SUM(H703:H707)</f>
        <v>0</v>
      </c>
      <c r="I708" s="427">
        <v>1.111</v>
      </c>
      <c r="J708" s="428">
        <f>H708*I708*J$13+K708</f>
        <v>0</v>
      </c>
      <c r="K708" s="429">
        <f>K707+K706</f>
        <v>0</v>
      </c>
    </row>
    <row r="709" spans="1:11" x14ac:dyDescent="0.25">
      <c r="B709" s="397"/>
    </row>
    <row r="710" spans="1:11" x14ac:dyDescent="0.25">
      <c r="A710" s="679" t="s">
        <v>13</v>
      </c>
      <c r="B710" s="682">
        <f>B703+1</f>
        <v>45975</v>
      </c>
      <c r="C710" s="398" t="s">
        <v>9</v>
      </c>
      <c r="D710" s="399"/>
      <c r="E710" s="399"/>
      <c r="F710" s="400"/>
      <c r="G710" s="401">
        <f>IF(E710&lt;8,Factors!F$18,IF(E710&lt;9,Factors!F$19,IF(E710&lt;10,Factors!F$20,IF(E710&lt;11,Factors!F$21,IF(E710&lt;12,Factors!F$22,IF(E710&lt;13,Factors!F$23))))))</f>
        <v>1.2308917197452229</v>
      </c>
      <c r="H710" s="402">
        <f>D710*F710*G710</f>
        <v>0</v>
      </c>
      <c r="I710" s="403"/>
      <c r="J710" s="404"/>
      <c r="K710" s="405"/>
    </row>
    <row r="711" spans="1:11" x14ac:dyDescent="0.25">
      <c r="A711" s="680"/>
      <c r="B711" s="683"/>
      <c r="C711" s="406" t="s">
        <v>174</v>
      </c>
      <c r="F711" s="407"/>
      <c r="G711" s="408">
        <f>IF(E711&lt;8,Factors!H$18,IF(E711&lt;9,Factors!H$19,IF(E711&lt;10,Factors!H$20,IF(E711&lt;11,Factors!H$21,IF(E711&lt;12,Factors!H$22,IF(E711&lt;13,Factors!H$23))))))</f>
        <v>1.3238434163701067</v>
      </c>
      <c r="H711" s="409">
        <f>D711*F711*G711</f>
        <v>0</v>
      </c>
      <c r="I711" s="410"/>
      <c r="J711" s="411"/>
      <c r="K711" s="412"/>
    </row>
    <row r="712" spans="1:11" x14ac:dyDescent="0.25">
      <c r="A712" s="680" t="s">
        <v>94</v>
      </c>
      <c r="B712" s="683"/>
      <c r="C712" s="406" t="s">
        <v>43</v>
      </c>
      <c r="F712" s="407"/>
      <c r="G712" s="408">
        <f>IF(E712&lt;8,Factors!H$18,IF(E712&lt;9,Factors!H$19,IF(E712&lt;10,Factors!H$20,IF(E712&lt;11,Factors!H$21,IF(E712&lt;12,Factors!H$22,IF(E712&lt;13,Factors!H$23))))))</f>
        <v>1.3238434163701067</v>
      </c>
      <c r="H712" s="409">
        <f>D712*F712*G712</f>
        <v>0</v>
      </c>
      <c r="I712" s="406"/>
      <c r="J712" s="411"/>
      <c r="K712" s="412"/>
    </row>
    <row r="713" spans="1:11" x14ac:dyDescent="0.25">
      <c r="A713" s="680"/>
      <c r="B713" s="683"/>
      <c r="C713" s="406" t="s">
        <v>166</v>
      </c>
      <c r="F713" s="407"/>
      <c r="G713" s="408">
        <f>IF(E713&lt;8,Factors!H$18,IF(E713&lt;9,Factors!H$19,IF(E713&lt;10,Factors!H$20,IF(E713&lt;11,Factors!H$21,IF(E713&lt;12,Factors!H$22,IF(E713&lt;13,Factors!H$23))))))</f>
        <v>1.3238434163701067</v>
      </c>
      <c r="H713" s="409">
        <f>D713*F713*G713</f>
        <v>0</v>
      </c>
      <c r="I713" s="410"/>
      <c r="J713" s="411"/>
      <c r="K713" s="412"/>
    </row>
    <row r="714" spans="1:11" ht="15.75" thickBot="1" x14ac:dyDescent="0.3">
      <c r="A714" s="680"/>
      <c r="B714" s="683"/>
      <c r="C714" s="415" t="s">
        <v>158</v>
      </c>
      <c r="D714" s="416"/>
      <c r="E714" s="416"/>
      <c r="F714" s="417"/>
      <c r="G714" s="418">
        <f>IF(E714&lt;8,Factors!H$18,IF(E714&lt;9,Factors!H$19,IF(E714&lt;10,Factors!H$20,IF(E714&lt;11,Factors!H$21,IF(E714&lt;12,Factors!H$22,IF(E714&lt;13,Factors!H$23))))))</f>
        <v>1.3238434163701067</v>
      </c>
      <c r="H714" s="419">
        <f>D714*F714*G714</f>
        <v>0</v>
      </c>
      <c r="I714" s="420"/>
      <c r="J714" s="421"/>
      <c r="K714" s="421"/>
    </row>
    <row r="715" spans="1:11" ht="15.75" thickTop="1" x14ac:dyDescent="0.25">
      <c r="A715" s="681"/>
      <c r="B715" s="684"/>
      <c r="C715" s="422"/>
      <c r="D715" s="423"/>
      <c r="E715" s="423"/>
      <c r="F715" s="424"/>
      <c r="G715" s="425"/>
      <c r="H715" s="426">
        <f>SUM(H710:H714)</f>
        <v>0</v>
      </c>
      <c r="I715" s="427">
        <v>1.111</v>
      </c>
      <c r="J715" s="428">
        <f>H715*I715*J$13+K715</f>
        <v>0</v>
      </c>
      <c r="K715" s="429">
        <f>K714+K713</f>
        <v>0</v>
      </c>
    </row>
    <row r="716" spans="1:11" x14ac:dyDescent="0.25">
      <c r="B716" s="397"/>
    </row>
    <row r="717" spans="1:11" x14ac:dyDescent="0.25">
      <c r="A717" s="680" t="s">
        <v>14</v>
      </c>
      <c r="B717" s="682">
        <f>B710+1</f>
        <v>45976</v>
      </c>
      <c r="C717" s="398" t="s">
        <v>9</v>
      </c>
      <c r="D717" s="399"/>
      <c r="E717" s="399"/>
      <c r="F717" s="400"/>
      <c r="G717" s="401">
        <f>IF(E717&lt;8,Factors!F$18,IF(E717&lt;9,Factors!F$19,IF(E717&lt;10,Factors!F$20,IF(E717&lt;11,Factors!F$21,IF(E717&lt;12,Factors!F$22,IF(E717&lt;13,Factors!F$23))))))</f>
        <v>1.2308917197452229</v>
      </c>
      <c r="H717" s="402">
        <f>D717*F717*G717</f>
        <v>0</v>
      </c>
      <c r="I717" s="403"/>
      <c r="J717" s="404"/>
      <c r="K717" s="405"/>
    </row>
    <row r="718" spans="1:11" x14ac:dyDescent="0.25">
      <c r="A718" s="680"/>
      <c r="B718" s="683"/>
      <c r="C718" s="406" t="s">
        <v>174</v>
      </c>
      <c r="F718" s="407"/>
      <c r="G718" s="408">
        <f>IF(E718&lt;8,Factors!H$18,IF(E718&lt;9,Factors!H$19,IF(E718&lt;10,Factors!H$20,IF(E718&lt;11,Factors!H$21,IF(E718&lt;12,Factors!H$22,IF(E718&lt;13,Factors!H$23))))))</f>
        <v>1.3238434163701067</v>
      </c>
      <c r="H718" s="409">
        <f>D718*F718*G718</f>
        <v>0</v>
      </c>
      <c r="I718" s="410"/>
      <c r="J718" s="411"/>
      <c r="K718" s="412"/>
    </row>
    <row r="719" spans="1:11" x14ac:dyDescent="0.25">
      <c r="A719" s="680" t="s">
        <v>94</v>
      </c>
      <c r="B719" s="683"/>
      <c r="C719" s="406" t="s">
        <v>43</v>
      </c>
      <c r="F719" s="407"/>
      <c r="G719" s="408">
        <f>IF(E719&lt;8,Factors!H$18,IF(E719&lt;9,Factors!H$19,IF(E719&lt;10,Factors!H$20,IF(E719&lt;11,Factors!H$21,IF(E719&lt;12,Factors!H$22,IF(E719&lt;13,Factors!H$23))))))</f>
        <v>1.3238434163701067</v>
      </c>
      <c r="H719" s="409">
        <f>D719*F719*G719</f>
        <v>0</v>
      </c>
      <c r="I719" s="406"/>
      <c r="J719" s="411"/>
      <c r="K719" s="412"/>
    </row>
    <row r="720" spans="1:11" x14ac:dyDescent="0.25">
      <c r="A720" s="680"/>
      <c r="B720" s="683"/>
      <c r="C720" s="406" t="s">
        <v>166</v>
      </c>
      <c r="F720" s="407"/>
      <c r="G720" s="408">
        <f>IF(E720&lt;8,Factors!H$18,IF(E720&lt;9,Factors!H$19,IF(E720&lt;10,Factors!H$20,IF(E720&lt;11,Factors!H$21,IF(E720&lt;12,Factors!H$22,IF(E720&lt;13,Factors!H$23))))))</f>
        <v>1.3238434163701067</v>
      </c>
      <c r="H720" s="409">
        <f>D720*F720*G720</f>
        <v>0</v>
      </c>
      <c r="I720" s="410"/>
      <c r="J720" s="411"/>
      <c r="K720" s="412"/>
    </row>
    <row r="721" spans="1:11" ht="15.75" thickBot="1" x14ac:dyDescent="0.3">
      <c r="A721" s="680"/>
      <c r="B721" s="683"/>
      <c r="C721" s="415" t="s">
        <v>158</v>
      </c>
      <c r="D721" s="416"/>
      <c r="E721" s="416"/>
      <c r="F721" s="417"/>
      <c r="G721" s="418">
        <f>IF(E721&lt;8,Factors!H$18,IF(E721&lt;9,Factors!H$19,IF(E721&lt;10,Factors!H$20,IF(E721&lt;11,Factors!H$21,IF(E721&lt;12,Factors!H$22,IF(E721&lt;13,Factors!H$23))))))</f>
        <v>1.3238434163701067</v>
      </c>
      <c r="H721" s="419">
        <f>D721*F721*G721</f>
        <v>0</v>
      </c>
      <c r="I721" s="420"/>
      <c r="J721" s="421"/>
      <c r="K721" s="421"/>
    </row>
    <row r="722" spans="1:11" ht="15.75" thickTop="1" x14ac:dyDescent="0.25">
      <c r="A722" s="681"/>
      <c r="B722" s="684"/>
      <c r="C722" s="422"/>
      <c r="D722" s="423"/>
      <c r="E722" s="423"/>
      <c r="F722" s="424"/>
      <c r="G722" s="425"/>
      <c r="H722" s="426">
        <f>SUM(H717:H721)</f>
        <v>0</v>
      </c>
      <c r="I722" s="427">
        <v>1.111</v>
      </c>
      <c r="J722" s="428">
        <f>H722*I722*J$13+K722</f>
        <v>0</v>
      </c>
      <c r="K722" s="429">
        <f>K721+K720</f>
        <v>0</v>
      </c>
    </row>
    <row r="723" spans="1:11" x14ac:dyDescent="0.25">
      <c r="B723" s="397"/>
      <c r="G723" s="414"/>
      <c r="H723" s="414"/>
      <c r="I723" s="430"/>
    </row>
    <row r="724" spans="1:11" x14ac:dyDescent="0.25">
      <c r="A724" s="679" t="s">
        <v>15</v>
      </c>
      <c r="B724" s="682">
        <f>B717+1</f>
        <v>45977</v>
      </c>
      <c r="C724" s="398" t="s">
        <v>9</v>
      </c>
      <c r="D724" s="399"/>
      <c r="E724" s="399"/>
      <c r="F724" s="400"/>
      <c r="G724" s="401">
        <f>IF(E724&lt;8,Factors!F$18,IF(E724&lt;9,Factors!F$19,IF(E724&lt;10,Factors!F$20,IF(E724&lt;11,Factors!F$21,IF(E724&lt;12,Factors!F$22,IF(E724&lt;13,Factors!F$23))))))</f>
        <v>1.2308917197452229</v>
      </c>
      <c r="H724" s="402">
        <f>D724*F724*G724</f>
        <v>0</v>
      </c>
      <c r="I724" s="403"/>
      <c r="J724" s="404"/>
      <c r="K724" s="405"/>
    </row>
    <row r="725" spans="1:11" x14ac:dyDescent="0.25">
      <c r="A725" s="680"/>
      <c r="B725" s="683"/>
      <c r="C725" s="406" t="s">
        <v>174</v>
      </c>
      <c r="F725" s="407"/>
      <c r="G725" s="408">
        <f>IF(E725&lt;8,Factors!H$18,IF(E725&lt;9,Factors!H$19,IF(E725&lt;10,Factors!H$20,IF(E725&lt;11,Factors!H$21,IF(E725&lt;12,Factors!H$22,IF(E725&lt;13,Factors!H$23))))))</f>
        <v>1.3238434163701067</v>
      </c>
      <c r="H725" s="409">
        <f>D725*F725*G725</f>
        <v>0</v>
      </c>
      <c r="I725" s="410"/>
      <c r="J725" s="411"/>
      <c r="K725" s="412"/>
    </row>
    <row r="726" spans="1:11" x14ac:dyDescent="0.25">
      <c r="A726" s="680" t="s">
        <v>94</v>
      </c>
      <c r="B726" s="683"/>
      <c r="C726" s="406" t="s">
        <v>43</v>
      </c>
      <c r="F726" s="407"/>
      <c r="G726" s="408">
        <f>IF(E726&lt;8,Factors!H$18,IF(E726&lt;9,Factors!H$19,IF(E726&lt;10,Factors!H$20,IF(E726&lt;11,Factors!H$21,IF(E726&lt;12,Factors!H$22,IF(E726&lt;13,Factors!H$23))))))</f>
        <v>1.3238434163701067</v>
      </c>
      <c r="H726" s="409">
        <f>D726*F726*G726</f>
        <v>0</v>
      </c>
      <c r="I726" s="406"/>
      <c r="J726" s="411"/>
      <c r="K726" s="412"/>
    </row>
    <row r="727" spans="1:11" x14ac:dyDescent="0.25">
      <c r="A727" s="680"/>
      <c r="B727" s="683"/>
      <c r="C727" s="406" t="s">
        <v>166</v>
      </c>
      <c r="F727" s="407"/>
      <c r="G727" s="408">
        <f>IF(E727&lt;8,Factors!H$18,IF(E727&lt;9,Factors!H$19,IF(E727&lt;10,Factors!H$20,IF(E727&lt;11,Factors!H$21,IF(E727&lt;12,Factors!H$22,IF(E727&lt;13,Factors!H$23))))))</f>
        <v>1.3238434163701067</v>
      </c>
      <c r="H727" s="409">
        <f>D727*F727*G727</f>
        <v>0</v>
      </c>
      <c r="I727" s="410"/>
      <c r="J727" s="411"/>
      <c r="K727" s="412"/>
    </row>
    <row r="728" spans="1:11" ht="15.75" thickBot="1" x14ac:dyDescent="0.3">
      <c r="A728" s="680"/>
      <c r="B728" s="683"/>
      <c r="C728" s="415" t="s">
        <v>158</v>
      </c>
      <c r="D728" s="416"/>
      <c r="E728" s="416"/>
      <c r="F728" s="417"/>
      <c r="G728" s="418">
        <f>IF(E728&lt;8,Factors!H$18,IF(E728&lt;9,Factors!H$19,IF(E728&lt;10,Factors!H$20,IF(E728&lt;11,Factors!H$21,IF(E728&lt;12,Factors!H$22,IF(E728&lt;13,Factors!H$23))))))</f>
        <v>1.3238434163701067</v>
      </c>
      <c r="H728" s="419">
        <f>D728*F728*G728</f>
        <v>0</v>
      </c>
      <c r="I728" s="420"/>
      <c r="J728" s="421"/>
      <c r="K728" s="421"/>
    </row>
    <row r="729" spans="1:11" ht="15.75" thickTop="1" x14ac:dyDescent="0.25">
      <c r="A729" s="681"/>
      <c r="B729" s="684"/>
      <c r="C729" s="422"/>
      <c r="D729" s="423"/>
      <c r="E729" s="423"/>
      <c r="F729" s="424"/>
      <c r="G729" s="425"/>
      <c r="H729" s="426">
        <f>SUM(H724:H728)</f>
        <v>0</v>
      </c>
      <c r="I729" s="427">
        <v>1.111</v>
      </c>
      <c r="J729" s="428">
        <f>H729*I729*J$13+K729</f>
        <v>0</v>
      </c>
      <c r="K729" s="429">
        <f>K728+K727</f>
        <v>0</v>
      </c>
    </row>
    <row r="730" spans="1:11" x14ac:dyDescent="0.25">
      <c r="B730" s="397"/>
    </row>
    <row r="731" spans="1:11" x14ac:dyDescent="0.25">
      <c r="A731" s="679" t="s">
        <v>7</v>
      </c>
      <c r="B731" s="682">
        <f>B724+1</f>
        <v>45978</v>
      </c>
      <c r="C731" s="398" t="s">
        <v>9</v>
      </c>
      <c r="D731" s="399"/>
      <c r="E731" s="399"/>
      <c r="F731" s="400"/>
      <c r="G731" s="401">
        <f>IF(E731&lt;8,Factors!F$18,IF(E731&lt;9,Factors!F$19,IF(E731&lt;10,Factors!F$20,IF(E731&lt;11,Factors!F$21,IF(E731&lt;12,Factors!F$22,IF(E731&lt;13,Factors!F$23))))))</f>
        <v>1.2308917197452229</v>
      </c>
      <c r="H731" s="402">
        <f>D731*F731*G731</f>
        <v>0</v>
      </c>
      <c r="I731" s="403"/>
      <c r="J731" s="404"/>
      <c r="K731" s="405"/>
    </row>
    <row r="732" spans="1:11" x14ac:dyDescent="0.25">
      <c r="A732" s="680"/>
      <c r="B732" s="683"/>
      <c r="C732" s="406" t="s">
        <v>174</v>
      </c>
      <c r="F732" s="407"/>
      <c r="G732" s="408">
        <f>IF(E732&lt;8,Factors!H$18,IF(E732&lt;9,Factors!H$19,IF(E732&lt;10,Factors!H$20,IF(E732&lt;11,Factors!H$21,IF(E732&lt;12,Factors!H$22,IF(E732&lt;13,Factors!H$23))))))</f>
        <v>1.3238434163701067</v>
      </c>
      <c r="H732" s="409">
        <f>D732*F732*G732</f>
        <v>0</v>
      </c>
      <c r="I732" s="410"/>
      <c r="J732" s="411"/>
      <c r="K732" s="412"/>
    </row>
    <row r="733" spans="1:11" x14ac:dyDescent="0.25">
      <c r="A733" s="680" t="s">
        <v>94</v>
      </c>
      <c r="B733" s="683"/>
      <c r="C733" s="406" t="s">
        <v>43</v>
      </c>
      <c r="F733" s="407"/>
      <c r="G733" s="408">
        <f>IF(E733&lt;8,Factors!H$18,IF(E733&lt;9,Factors!H$19,IF(E733&lt;10,Factors!H$20,IF(E733&lt;11,Factors!H$21,IF(E733&lt;12,Factors!H$22,IF(E733&lt;13,Factors!H$23))))))</f>
        <v>1.3238434163701067</v>
      </c>
      <c r="H733" s="409">
        <f>D733*F733*G733</f>
        <v>0</v>
      </c>
      <c r="I733" s="406"/>
      <c r="J733" s="411"/>
      <c r="K733" s="412"/>
    </row>
    <row r="734" spans="1:11" x14ac:dyDescent="0.25">
      <c r="A734" s="680"/>
      <c r="B734" s="683"/>
      <c r="C734" s="406" t="s">
        <v>166</v>
      </c>
      <c r="F734" s="407"/>
      <c r="G734" s="408">
        <f>IF(E734&lt;8,Factors!H$18,IF(E734&lt;9,Factors!H$19,IF(E734&lt;10,Factors!H$20,IF(E734&lt;11,Factors!H$21,IF(E734&lt;12,Factors!H$22,IF(E734&lt;13,Factors!H$23))))))</f>
        <v>1.3238434163701067</v>
      </c>
      <c r="H734" s="409">
        <f>D734*F734*G734</f>
        <v>0</v>
      </c>
      <c r="I734" s="410"/>
      <c r="J734" s="411"/>
      <c r="K734" s="412"/>
    </row>
    <row r="735" spans="1:11" ht="15.75" thickBot="1" x14ac:dyDescent="0.3">
      <c r="A735" s="680"/>
      <c r="B735" s="683"/>
      <c r="C735" s="415" t="s">
        <v>158</v>
      </c>
      <c r="D735" s="416"/>
      <c r="E735" s="416"/>
      <c r="F735" s="417"/>
      <c r="G735" s="418">
        <f>IF(E735&lt;8,Factors!H$18,IF(E735&lt;9,Factors!H$19,IF(E735&lt;10,Factors!H$20,IF(E735&lt;11,Factors!H$21,IF(E735&lt;12,Factors!H$22,IF(E735&lt;13,Factors!H$23))))))</f>
        <v>1.3238434163701067</v>
      </c>
      <c r="H735" s="419">
        <f>D735*F735*G735</f>
        <v>0</v>
      </c>
      <c r="I735" s="420"/>
      <c r="J735" s="421"/>
      <c r="K735" s="421"/>
    </row>
    <row r="736" spans="1:11" ht="15.75" thickTop="1" x14ac:dyDescent="0.25">
      <c r="A736" s="681"/>
      <c r="B736" s="684"/>
      <c r="C736" s="422"/>
      <c r="D736" s="423"/>
      <c r="E736" s="423"/>
      <c r="F736" s="424"/>
      <c r="G736" s="425"/>
      <c r="H736" s="426">
        <f>SUM(H731:H735)</f>
        <v>0</v>
      </c>
      <c r="I736" s="427">
        <v>1.1111</v>
      </c>
      <c r="J736" s="428">
        <f>H736*I736*J$13+K736</f>
        <v>0</v>
      </c>
      <c r="K736" s="429">
        <f>K735+K734</f>
        <v>0</v>
      </c>
    </row>
    <row r="737" spans="1:11" x14ac:dyDescent="0.25">
      <c r="B737" s="397"/>
      <c r="J737" s="430"/>
    </row>
    <row r="738" spans="1:11" x14ac:dyDescent="0.25">
      <c r="A738" s="679" t="s">
        <v>94</v>
      </c>
      <c r="B738" s="682">
        <f>B731+1</f>
        <v>45979</v>
      </c>
      <c r="C738" s="398" t="s">
        <v>9</v>
      </c>
      <c r="D738" s="399"/>
      <c r="E738" s="399"/>
      <c r="F738" s="400"/>
      <c r="G738" s="401">
        <f>IF(E738&lt;8,Factors!F$18,IF(E738&lt;9,Factors!F$19,IF(E738&lt;10,Factors!F$20,IF(E738&lt;11,Factors!F$21,IF(E738&lt;12,Factors!F$22,IF(E738&lt;13,Factors!F$23))))))</f>
        <v>1.2308917197452229</v>
      </c>
      <c r="H738" s="402">
        <f>D738*F738*G738</f>
        <v>0</v>
      </c>
      <c r="I738" s="403"/>
      <c r="J738" s="404"/>
      <c r="K738" s="405"/>
    </row>
    <row r="739" spans="1:11" x14ac:dyDescent="0.25">
      <c r="A739" s="680"/>
      <c r="B739" s="683"/>
      <c r="C739" s="406" t="s">
        <v>174</v>
      </c>
      <c r="F739" s="407"/>
      <c r="G739" s="408">
        <f>IF(E739&lt;8,Factors!H$18,IF(E739&lt;9,Factors!H$19,IF(E739&lt;10,Factors!H$20,IF(E739&lt;11,Factors!H$21,IF(E739&lt;12,Factors!H$22,IF(E739&lt;13,Factors!H$23))))))</f>
        <v>1.3238434163701067</v>
      </c>
      <c r="H739" s="409">
        <f>D739*F739*G739</f>
        <v>0</v>
      </c>
      <c r="I739" s="410"/>
      <c r="J739" s="411"/>
      <c r="K739" s="412"/>
    </row>
    <row r="740" spans="1:11" x14ac:dyDescent="0.25">
      <c r="A740" s="680" t="s">
        <v>94</v>
      </c>
      <c r="B740" s="683"/>
      <c r="C740" s="406" t="s">
        <v>43</v>
      </c>
      <c r="F740" s="407"/>
      <c r="G740" s="408">
        <f>IF(E740&lt;8,Factors!H$18,IF(E740&lt;9,Factors!H$19,IF(E740&lt;10,Factors!H$20,IF(E740&lt;11,Factors!H$21,IF(E740&lt;12,Factors!H$22,IF(E740&lt;13,Factors!H$23))))))</f>
        <v>1.3238434163701067</v>
      </c>
      <c r="H740" s="409">
        <f>D740*F740*G740</f>
        <v>0</v>
      </c>
      <c r="I740" s="406"/>
      <c r="J740" s="411"/>
      <c r="K740" s="412"/>
    </row>
    <row r="741" spans="1:11" x14ac:dyDescent="0.25">
      <c r="A741" s="680"/>
      <c r="B741" s="683"/>
      <c r="C741" s="406" t="s">
        <v>166</v>
      </c>
      <c r="F741" s="407"/>
      <c r="G741" s="408">
        <f>IF(E741&lt;8,Factors!H$18,IF(E741&lt;9,Factors!H$19,IF(E741&lt;10,Factors!H$20,IF(E741&lt;11,Factors!H$21,IF(E741&lt;12,Factors!H$22,IF(E741&lt;13,Factors!H$23))))))</f>
        <v>1.3238434163701067</v>
      </c>
      <c r="H741" s="409">
        <f>D741*F741*G741</f>
        <v>0</v>
      </c>
      <c r="I741" s="410"/>
      <c r="J741" s="411"/>
      <c r="K741" s="412"/>
    </row>
    <row r="742" spans="1:11" ht="15.75" thickBot="1" x14ac:dyDescent="0.3">
      <c r="A742" s="680"/>
      <c r="B742" s="683"/>
      <c r="C742" s="415" t="s">
        <v>158</v>
      </c>
      <c r="D742" s="416"/>
      <c r="E742" s="416"/>
      <c r="F742" s="417"/>
      <c r="G742" s="418">
        <f>IF(E742&lt;8,Factors!H$18,IF(E742&lt;9,Factors!H$19,IF(E742&lt;10,Factors!H$20,IF(E742&lt;11,Factors!H$21,IF(E742&lt;12,Factors!H$22,IF(E742&lt;13,Factors!H$23))))))</f>
        <v>1.3238434163701067</v>
      </c>
      <c r="H742" s="419">
        <f>D742*F742*G742</f>
        <v>0</v>
      </c>
      <c r="I742" s="420"/>
      <c r="J742" s="421"/>
      <c r="K742" s="421"/>
    </row>
    <row r="743" spans="1:11" ht="15.75" thickTop="1" x14ac:dyDescent="0.25">
      <c r="A743" s="681"/>
      <c r="B743" s="684"/>
      <c r="C743" s="422"/>
      <c r="D743" s="423"/>
      <c r="E743" s="423"/>
      <c r="F743" s="424"/>
      <c r="G743" s="425"/>
      <c r="H743" s="426">
        <f>SUM(H738:H742)</f>
        <v>0</v>
      </c>
      <c r="I743" s="427">
        <f>AG$10</f>
        <v>1.1111111111111112</v>
      </c>
      <c r="J743" s="428">
        <f>H743*I743*J$13+K743</f>
        <v>0</v>
      </c>
      <c r="K743" s="429">
        <f>K742+K741</f>
        <v>0</v>
      </c>
    </row>
    <row r="744" spans="1:11" x14ac:dyDescent="0.25">
      <c r="B744" s="397"/>
      <c r="F744" s="407"/>
    </row>
    <row r="745" spans="1:11" x14ac:dyDescent="0.25">
      <c r="A745" s="679" t="s">
        <v>11</v>
      </c>
      <c r="B745" s="682">
        <f>B738+1</f>
        <v>45980</v>
      </c>
      <c r="C745" s="398" t="s">
        <v>9</v>
      </c>
      <c r="D745" s="399"/>
      <c r="E745" s="399"/>
      <c r="F745" s="400"/>
      <c r="G745" s="401">
        <f>IF(E745&lt;8,Factors!F$18,IF(E745&lt;9,Factors!F$19,IF(E745&lt;10,Factors!F$20,IF(E745&lt;11,Factors!F$21,IF(E745&lt;12,Factors!F$22,IF(E745&lt;13,Factors!F$23))))))</f>
        <v>1.2308917197452229</v>
      </c>
      <c r="H745" s="402">
        <f>D745*F745*G745</f>
        <v>0</v>
      </c>
      <c r="I745" s="403"/>
      <c r="J745" s="404"/>
      <c r="K745" s="405"/>
    </row>
    <row r="746" spans="1:11" x14ac:dyDescent="0.25">
      <c r="A746" s="680"/>
      <c r="B746" s="683"/>
      <c r="C746" s="406" t="s">
        <v>174</v>
      </c>
      <c r="F746" s="407"/>
      <c r="G746" s="408">
        <f>IF(E746&lt;8,Factors!H$18,IF(E746&lt;9,Factors!H$19,IF(E746&lt;10,Factors!H$20,IF(E746&lt;11,Factors!H$21,IF(E746&lt;12,Factors!H$22,IF(E746&lt;13,Factors!H$23))))))</f>
        <v>1.3238434163701067</v>
      </c>
      <c r="H746" s="409">
        <f>D746*F746*G746</f>
        <v>0</v>
      </c>
      <c r="I746" s="410"/>
      <c r="J746" s="411"/>
      <c r="K746" s="412"/>
    </row>
    <row r="747" spans="1:11" x14ac:dyDescent="0.25">
      <c r="A747" s="680" t="s">
        <v>94</v>
      </c>
      <c r="B747" s="683"/>
      <c r="C747" s="406" t="s">
        <v>43</v>
      </c>
      <c r="F747" s="407"/>
      <c r="G747" s="408">
        <f>IF(E747&lt;8,Factors!H$18,IF(E747&lt;9,Factors!H$19,IF(E747&lt;10,Factors!H$20,IF(E747&lt;11,Factors!H$21,IF(E747&lt;12,Factors!H$22,IF(E747&lt;13,Factors!H$23))))))</f>
        <v>1.3238434163701067</v>
      </c>
      <c r="H747" s="409">
        <f>D747*F747*G747</f>
        <v>0</v>
      </c>
      <c r="I747" s="406"/>
      <c r="J747" s="411"/>
      <c r="K747" s="412"/>
    </row>
    <row r="748" spans="1:11" x14ac:dyDescent="0.25">
      <c r="A748" s="680"/>
      <c r="B748" s="683"/>
      <c r="C748" s="406" t="s">
        <v>166</v>
      </c>
      <c r="F748" s="407"/>
      <c r="G748" s="408">
        <f>IF(E748&lt;8,Factors!H$18,IF(E748&lt;9,Factors!H$19,IF(E748&lt;10,Factors!H$20,IF(E748&lt;11,Factors!H$21,IF(E748&lt;12,Factors!H$22,IF(E748&lt;13,Factors!H$23))))))</f>
        <v>1.3238434163701067</v>
      </c>
      <c r="H748" s="409">
        <f>D748*F748*G748</f>
        <v>0</v>
      </c>
      <c r="I748" s="410"/>
      <c r="J748" s="411"/>
      <c r="K748" s="412"/>
    </row>
    <row r="749" spans="1:11" ht="15.75" thickBot="1" x14ac:dyDescent="0.3">
      <c r="A749" s="680"/>
      <c r="B749" s="683"/>
      <c r="C749" s="415" t="s">
        <v>158</v>
      </c>
      <c r="D749" s="416"/>
      <c r="E749" s="416"/>
      <c r="F749" s="417"/>
      <c r="G749" s="418">
        <f>IF(E749&lt;8,Factors!H$18,IF(E749&lt;9,Factors!H$19,IF(E749&lt;10,Factors!H$20,IF(E749&lt;11,Factors!H$21,IF(E749&lt;12,Factors!H$22,IF(E749&lt;13,Factors!H$23))))))</f>
        <v>1.3238434163701067</v>
      </c>
      <c r="H749" s="419">
        <f>D749*F749*G749</f>
        <v>0</v>
      </c>
      <c r="I749" s="420"/>
      <c r="J749" s="421"/>
      <c r="K749" s="421"/>
    </row>
    <row r="750" spans="1:11" ht="15.75" thickTop="1" x14ac:dyDescent="0.25">
      <c r="A750" s="681"/>
      <c r="B750" s="684"/>
      <c r="C750" s="422"/>
      <c r="D750" s="423"/>
      <c r="E750" s="423"/>
      <c r="F750" s="424"/>
      <c r="G750" s="425"/>
      <c r="H750" s="426">
        <f>SUM(H745:H749)</f>
        <v>0</v>
      </c>
      <c r="I750" s="427">
        <f>AG$10</f>
        <v>1.1111111111111112</v>
      </c>
      <c r="J750" s="428">
        <f>H750*I750*J$13+K750</f>
        <v>0</v>
      </c>
      <c r="K750" s="429">
        <f>K749+K748</f>
        <v>0</v>
      </c>
    </row>
    <row r="751" spans="1:11" x14ac:dyDescent="0.25">
      <c r="B751" s="397"/>
      <c r="J751" s="430"/>
    </row>
    <row r="752" spans="1:11" x14ac:dyDescent="0.25">
      <c r="A752" s="679" t="s">
        <v>95</v>
      </c>
      <c r="B752" s="682">
        <f>B745+1</f>
        <v>45981</v>
      </c>
      <c r="C752" s="398" t="s">
        <v>9</v>
      </c>
      <c r="D752" s="399"/>
      <c r="E752" s="399"/>
      <c r="F752" s="400"/>
      <c r="G752" s="401">
        <f>IF(E752&lt;8,Factors!F$18,IF(E752&lt;9,Factors!F$19,IF(E752&lt;10,Factors!F$20,IF(E752&lt;11,Factors!F$21,IF(E752&lt;12,Factors!F$22,IF(E752&lt;13,Factors!F$23))))))</f>
        <v>1.2308917197452229</v>
      </c>
      <c r="H752" s="402">
        <f>D752*F752*G752</f>
        <v>0</v>
      </c>
      <c r="I752" s="403"/>
      <c r="J752" s="404"/>
      <c r="K752" s="405"/>
    </row>
    <row r="753" spans="1:11" x14ac:dyDescent="0.25">
      <c r="A753" s="680"/>
      <c r="B753" s="683"/>
      <c r="C753" s="406" t="s">
        <v>174</v>
      </c>
      <c r="F753" s="407"/>
      <c r="G753" s="408">
        <f>IF(E753&lt;8,Factors!H$18,IF(E753&lt;9,Factors!H$19,IF(E753&lt;10,Factors!H$20,IF(E753&lt;11,Factors!H$21,IF(E753&lt;12,Factors!H$22,IF(E753&lt;13,Factors!H$23))))))</f>
        <v>1.3238434163701067</v>
      </c>
      <c r="H753" s="409">
        <f>D753*F753*G753</f>
        <v>0</v>
      </c>
      <c r="I753" s="410"/>
      <c r="J753" s="411"/>
      <c r="K753" s="412"/>
    </row>
    <row r="754" spans="1:11" x14ac:dyDescent="0.25">
      <c r="A754" s="680" t="s">
        <v>94</v>
      </c>
      <c r="B754" s="683"/>
      <c r="C754" s="406" t="s">
        <v>43</v>
      </c>
      <c r="F754" s="407"/>
      <c r="G754" s="408">
        <f>IF(E754&lt;8,Factors!H$18,IF(E754&lt;9,Factors!H$19,IF(E754&lt;10,Factors!H$20,IF(E754&lt;11,Factors!H$21,IF(E754&lt;12,Factors!H$22,IF(E754&lt;13,Factors!H$23))))))</f>
        <v>1.3238434163701067</v>
      </c>
      <c r="H754" s="409">
        <f>D754*F754*G754</f>
        <v>0</v>
      </c>
      <c r="I754" s="406"/>
      <c r="J754" s="411"/>
      <c r="K754" s="412"/>
    </row>
    <row r="755" spans="1:11" x14ac:dyDescent="0.25">
      <c r="A755" s="680"/>
      <c r="B755" s="683"/>
      <c r="C755" s="406" t="s">
        <v>166</v>
      </c>
      <c r="F755" s="407"/>
      <c r="G755" s="408">
        <f>IF(E755&lt;8,Factors!H$18,IF(E755&lt;9,Factors!H$19,IF(E755&lt;10,Factors!H$20,IF(E755&lt;11,Factors!H$21,IF(E755&lt;12,Factors!H$22,IF(E755&lt;13,Factors!H$23))))))</f>
        <v>1.3238434163701067</v>
      </c>
      <c r="H755" s="409">
        <f>D755*F755*G755</f>
        <v>0</v>
      </c>
      <c r="I755" s="410"/>
      <c r="J755" s="411"/>
      <c r="K755" s="412"/>
    </row>
    <row r="756" spans="1:11" ht="15.75" thickBot="1" x14ac:dyDescent="0.3">
      <c r="A756" s="680"/>
      <c r="B756" s="683"/>
      <c r="C756" s="415" t="s">
        <v>158</v>
      </c>
      <c r="D756" s="416"/>
      <c r="E756" s="416"/>
      <c r="F756" s="417"/>
      <c r="G756" s="418">
        <f>IF(E756&lt;8,Factors!H$18,IF(E756&lt;9,Factors!H$19,IF(E756&lt;10,Factors!H$20,IF(E756&lt;11,Factors!H$21,IF(E756&lt;12,Factors!H$22,IF(E756&lt;13,Factors!H$23))))))</f>
        <v>1.3238434163701067</v>
      </c>
      <c r="H756" s="419">
        <f>D756*F756*G756</f>
        <v>0</v>
      </c>
      <c r="I756" s="420"/>
      <c r="J756" s="421"/>
      <c r="K756" s="421"/>
    </row>
    <row r="757" spans="1:11" ht="15.75" thickTop="1" x14ac:dyDescent="0.25">
      <c r="A757" s="681"/>
      <c r="B757" s="684"/>
      <c r="C757" s="422"/>
      <c r="D757" s="423"/>
      <c r="E757" s="423"/>
      <c r="F757" s="424"/>
      <c r="G757" s="425"/>
      <c r="H757" s="426">
        <f>SUM(H752:H756)</f>
        <v>0</v>
      </c>
      <c r="I757" s="427">
        <f>AG$10</f>
        <v>1.1111111111111112</v>
      </c>
      <c r="J757" s="428">
        <f>H757*I757*J$13+K757</f>
        <v>0</v>
      </c>
      <c r="K757" s="429">
        <f>K756+K755</f>
        <v>0</v>
      </c>
    </row>
    <row r="758" spans="1:11" x14ac:dyDescent="0.25">
      <c r="B758" s="397"/>
    </row>
    <row r="759" spans="1:11" x14ac:dyDescent="0.25">
      <c r="A759" s="679" t="s">
        <v>13</v>
      </c>
      <c r="B759" s="682">
        <f>B752+1</f>
        <v>45982</v>
      </c>
      <c r="C759" s="398" t="s">
        <v>9</v>
      </c>
      <c r="D759" s="399"/>
      <c r="E759" s="399"/>
      <c r="F759" s="400"/>
      <c r="G759" s="401">
        <f>IF(E759&lt;8,Factors!F$18,IF(E759&lt;9,Factors!F$19,IF(E759&lt;10,Factors!F$20,IF(E759&lt;11,Factors!F$21,IF(E759&lt;12,Factors!F$22,IF(E759&lt;13,Factors!F$23))))))</f>
        <v>1.2308917197452229</v>
      </c>
      <c r="H759" s="402">
        <f>D759*F759*G759</f>
        <v>0</v>
      </c>
      <c r="I759" s="403"/>
      <c r="J759" s="404"/>
      <c r="K759" s="405"/>
    </row>
    <row r="760" spans="1:11" x14ac:dyDescent="0.25">
      <c r="A760" s="680"/>
      <c r="B760" s="683"/>
      <c r="C760" s="406" t="s">
        <v>174</v>
      </c>
      <c r="F760" s="407"/>
      <c r="G760" s="408">
        <f>IF(E760&lt;8,Factors!H$18,IF(E760&lt;9,Factors!H$19,IF(E760&lt;10,Factors!H$20,IF(E760&lt;11,Factors!H$21,IF(E760&lt;12,Factors!H$22,IF(E760&lt;13,Factors!H$23))))))</f>
        <v>1.3238434163701067</v>
      </c>
      <c r="H760" s="409">
        <f>D760*F760*G760</f>
        <v>0</v>
      </c>
      <c r="I760" s="410"/>
      <c r="J760" s="411"/>
      <c r="K760" s="412"/>
    </row>
    <row r="761" spans="1:11" x14ac:dyDescent="0.25">
      <c r="A761" s="680" t="s">
        <v>94</v>
      </c>
      <c r="B761" s="683"/>
      <c r="C761" s="406" t="s">
        <v>43</v>
      </c>
      <c r="F761" s="407"/>
      <c r="G761" s="408">
        <f>IF(E761&lt;8,Factors!H$18,IF(E761&lt;9,Factors!H$19,IF(E761&lt;10,Factors!H$20,IF(E761&lt;11,Factors!H$21,IF(E761&lt;12,Factors!H$22,IF(E761&lt;13,Factors!H$23))))))</f>
        <v>1.3238434163701067</v>
      </c>
      <c r="H761" s="409">
        <f>D761*F761*G761</f>
        <v>0</v>
      </c>
      <c r="I761" s="406"/>
      <c r="J761" s="411"/>
      <c r="K761" s="412"/>
    </row>
    <row r="762" spans="1:11" x14ac:dyDescent="0.25">
      <c r="A762" s="680"/>
      <c r="B762" s="683"/>
      <c r="C762" s="406" t="s">
        <v>166</v>
      </c>
      <c r="F762" s="407"/>
      <c r="G762" s="408">
        <f>IF(E762&lt;8,Factors!H$18,IF(E762&lt;9,Factors!H$19,IF(E762&lt;10,Factors!H$20,IF(E762&lt;11,Factors!H$21,IF(E762&lt;12,Factors!H$22,IF(E762&lt;13,Factors!H$23))))))</f>
        <v>1.3238434163701067</v>
      </c>
      <c r="H762" s="409">
        <f>D762*F762*G762</f>
        <v>0</v>
      </c>
      <c r="I762" s="410"/>
      <c r="J762" s="411"/>
      <c r="K762" s="412"/>
    </row>
    <row r="763" spans="1:11" ht="15.75" thickBot="1" x14ac:dyDescent="0.3">
      <c r="A763" s="680"/>
      <c r="B763" s="683"/>
      <c r="C763" s="415" t="s">
        <v>158</v>
      </c>
      <c r="D763" s="416"/>
      <c r="E763" s="416"/>
      <c r="F763" s="417"/>
      <c r="G763" s="418">
        <f>IF(E763&lt;8,Factors!H$18,IF(E763&lt;9,Factors!H$19,IF(E763&lt;10,Factors!H$20,IF(E763&lt;11,Factors!H$21,IF(E763&lt;12,Factors!H$22,IF(E763&lt;13,Factors!H$23))))))</f>
        <v>1.3238434163701067</v>
      </c>
      <c r="H763" s="419">
        <f>D763*F763*G763</f>
        <v>0</v>
      </c>
      <c r="I763" s="420"/>
      <c r="J763" s="421"/>
      <c r="K763" s="421"/>
    </row>
    <row r="764" spans="1:11" ht="15.75" thickTop="1" x14ac:dyDescent="0.25">
      <c r="A764" s="681"/>
      <c r="B764" s="684"/>
      <c r="C764" s="422"/>
      <c r="D764" s="423"/>
      <c r="E764" s="423"/>
      <c r="F764" s="424"/>
      <c r="G764" s="425"/>
      <c r="H764" s="426">
        <f>SUM(H759:H763)</f>
        <v>0</v>
      </c>
      <c r="I764" s="427">
        <f>AG$10</f>
        <v>1.1111111111111112</v>
      </c>
      <c r="J764" s="428">
        <f>H764*I764*J$13+K764</f>
        <v>0</v>
      </c>
      <c r="K764" s="429">
        <f>K763+K762</f>
        <v>0</v>
      </c>
    </row>
    <row r="765" spans="1:11" x14ac:dyDescent="0.25">
      <c r="B765" s="397"/>
      <c r="J765" s="430"/>
    </row>
    <row r="766" spans="1:11" x14ac:dyDescent="0.25">
      <c r="A766" s="680" t="s">
        <v>14</v>
      </c>
      <c r="B766" s="682">
        <f>B759+1</f>
        <v>45983</v>
      </c>
      <c r="C766" s="398" t="s">
        <v>9</v>
      </c>
      <c r="D766" s="399"/>
      <c r="E766" s="399"/>
      <c r="F766" s="400"/>
      <c r="G766" s="401">
        <f>IF(E766&lt;8,Factors!F$18,IF(E766&lt;9,Factors!F$19,IF(E766&lt;10,Factors!F$20,IF(E766&lt;11,Factors!F$21,IF(E766&lt;12,Factors!F$22,IF(E766&lt;13,Factors!F$23))))))</f>
        <v>1.2308917197452229</v>
      </c>
      <c r="H766" s="402">
        <f>D766*F766*G766</f>
        <v>0</v>
      </c>
      <c r="I766" s="403"/>
      <c r="J766" s="404"/>
      <c r="K766" s="405"/>
    </row>
    <row r="767" spans="1:11" x14ac:dyDescent="0.25">
      <c r="A767" s="680"/>
      <c r="B767" s="683"/>
      <c r="C767" s="406" t="s">
        <v>174</v>
      </c>
      <c r="F767" s="407"/>
      <c r="G767" s="408">
        <f>IF(E767&lt;8,Factors!H$18,IF(E767&lt;9,Factors!H$19,IF(E767&lt;10,Factors!H$20,IF(E767&lt;11,Factors!H$21,IF(E767&lt;12,Factors!H$22,IF(E767&lt;13,Factors!H$23))))))</f>
        <v>1.3238434163701067</v>
      </c>
      <c r="H767" s="409">
        <f>D767*F767*G767</f>
        <v>0</v>
      </c>
      <c r="I767" s="410"/>
      <c r="J767" s="411"/>
      <c r="K767" s="412"/>
    </row>
    <row r="768" spans="1:11" x14ac:dyDescent="0.25">
      <c r="A768" s="680" t="s">
        <v>94</v>
      </c>
      <c r="B768" s="683"/>
      <c r="C768" s="406" t="s">
        <v>43</v>
      </c>
      <c r="F768" s="407"/>
      <c r="G768" s="408">
        <f>IF(E768&lt;8,Factors!H$18,IF(E768&lt;9,Factors!H$19,IF(E768&lt;10,Factors!H$20,IF(E768&lt;11,Factors!H$21,IF(E768&lt;12,Factors!H$22,IF(E768&lt;13,Factors!H$23))))))</f>
        <v>1.3238434163701067</v>
      </c>
      <c r="H768" s="409">
        <f>D768*F768*G768</f>
        <v>0</v>
      </c>
      <c r="I768" s="406"/>
      <c r="J768" s="411"/>
      <c r="K768" s="412"/>
    </row>
    <row r="769" spans="1:11" x14ac:dyDescent="0.25">
      <c r="A769" s="680"/>
      <c r="B769" s="683"/>
      <c r="C769" s="406" t="s">
        <v>166</v>
      </c>
      <c r="F769" s="407"/>
      <c r="G769" s="408">
        <f>IF(E769&lt;8,Factors!H$18,IF(E769&lt;9,Factors!H$19,IF(E769&lt;10,Factors!H$20,IF(E769&lt;11,Factors!H$21,IF(E769&lt;12,Factors!H$22,IF(E769&lt;13,Factors!H$23))))))</f>
        <v>1.3238434163701067</v>
      </c>
      <c r="H769" s="409">
        <f>D769*F769*G769</f>
        <v>0</v>
      </c>
      <c r="I769" s="410"/>
      <c r="J769" s="411"/>
      <c r="K769" s="412"/>
    </row>
    <row r="770" spans="1:11" ht="15.75" thickBot="1" x14ac:dyDescent="0.3">
      <c r="A770" s="680"/>
      <c r="B770" s="683"/>
      <c r="C770" s="415" t="s">
        <v>158</v>
      </c>
      <c r="D770" s="416"/>
      <c r="E770" s="416"/>
      <c r="F770" s="417"/>
      <c r="G770" s="418">
        <f>IF(E770&lt;8,Factors!H$18,IF(E770&lt;9,Factors!H$19,IF(E770&lt;10,Factors!H$20,IF(E770&lt;11,Factors!H$21,IF(E770&lt;12,Factors!H$22,IF(E770&lt;13,Factors!H$23))))))</f>
        <v>1.3238434163701067</v>
      </c>
      <c r="H770" s="419">
        <f>D770*F770*G770</f>
        <v>0</v>
      </c>
      <c r="I770" s="420"/>
      <c r="J770" s="421"/>
      <c r="K770" s="421"/>
    </row>
    <row r="771" spans="1:11" ht="15.75" thickTop="1" x14ac:dyDescent="0.25">
      <c r="A771" s="681"/>
      <c r="B771" s="684"/>
      <c r="C771" s="422"/>
      <c r="D771" s="423"/>
      <c r="E771" s="423"/>
      <c r="F771" s="424"/>
      <c r="G771" s="425"/>
      <c r="H771" s="426">
        <f>SUM(H766:H770)</f>
        <v>0</v>
      </c>
      <c r="I771" s="427">
        <f>AG$10</f>
        <v>1.1111111111111112</v>
      </c>
      <c r="J771" s="428">
        <f>H771*I771*J$13+K771</f>
        <v>0</v>
      </c>
      <c r="K771" s="429">
        <f>K770+K769</f>
        <v>0</v>
      </c>
    </row>
    <row r="772" spans="1:11" x14ac:dyDescent="0.25">
      <c r="B772" s="397"/>
      <c r="G772" s="414"/>
      <c r="H772" s="414"/>
      <c r="I772" s="430"/>
    </row>
    <row r="773" spans="1:11" x14ac:dyDescent="0.25">
      <c r="A773" s="679" t="s">
        <v>15</v>
      </c>
      <c r="B773" s="682">
        <f>B766+1</f>
        <v>45984</v>
      </c>
      <c r="C773" s="398" t="s">
        <v>9</v>
      </c>
      <c r="D773" s="399"/>
      <c r="E773" s="399"/>
      <c r="F773" s="400"/>
      <c r="G773" s="401">
        <f>IF(E773&lt;8,Factors!F$18,IF(E773&lt;9,Factors!F$19,IF(E773&lt;10,Factors!F$20,IF(E773&lt;11,Factors!F$21,IF(E773&lt;12,Factors!F$22,IF(E773&lt;13,Factors!F$23))))))</f>
        <v>1.2308917197452229</v>
      </c>
      <c r="H773" s="402">
        <f>D773*F773*G773</f>
        <v>0</v>
      </c>
      <c r="I773" s="403"/>
      <c r="J773" s="404"/>
      <c r="K773" s="405"/>
    </row>
    <row r="774" spans="1:11" x14ac:dyDescent="0.25">
      <c r="A774" s="680"/>
      <c r="B774" s="683"/>
      <c r="C774" s="406" t="s">
        <v>174</v>
      </c>
      <c r="F774" s="407"/>
      <c r="G774" s="408">
        <f>IF(E774&lt;8,Factors!H$18,IF(E774&lt;9,Factors!H$19,IF(E774&lt;10,Factors!H$20,IF(E774&lt;11,Factors!H$21,IF(E774&lt;12,Factors!H$22,IF(E774&lt;13,Factors!H$23))))))</f>
        <v>1.3238434163701067</v>
      </c>
      <c r="H774" s="409">
        <f>D774*F774*G774</f>
        <v>0</v>
      </c>
      <c r="I774" s="410"/>
      <c r="J774" s="411"/>
      <c r="K774" s="412"/>
    </row>
    <row r="775" spans="1:11" x14ac:dyDescent="0.25">
      <c r="A775" s="680" t="s">
        <v>94</v>
      </c>
      <c r="B775" s="683"/>
      <c r="C775" s="406" t="s">
        <v>43</v>
      </c>
      <c r="F775" s="407"/>
      <c r="G775" s="408">
        <f>IF(E775&lt;8,Factors!H$18,IF(E775&lt;9,Factors!H$19,IF(E775&lt;10,Factors!H$20,IF(E775&lt;11,Factors!H$21,IF(E775&lt;12,Factors!H$22,IF(E775&lt;13,Factors!H$23))))))</f>
        <v>1.3238434163701067</v>
      </c>
      <c r="H775" s="409">
        <f>D775*F775*G775</f>
        <v>0</v>
      </c>
      <c r="I775" s="406"/>
      <c r="J775" s="411"/>
      <c r="K775" s="412"/>
    </row>
    <row r="776" spans="1:11" x14ac:dyDescent="0.25">
      <c r="A776" s="680"/>
      <c r="B776" s="683"/>
      <c r="C776" s="406" t="s">
        <v>166</v>
      </c>
      <c r="F776" s="407"/>
      <c r="G776" s="408">
        <f>IF(E776&lt;8,Factors!H$18,IF(E776&lt;9,Factors!H$19,IF(E776&lt;10,Factors!H$20,IF(E776&lt;11,Factors!H$21,IF(E776&lt;12,Factors!H$22,IF(E776&lt;13,Factors!H$23))))))</f>
        <v>1.3238434163701067</v>
      </c>
      <c r="H776" s="409">
        <f>D776*F776*G776</f>
        <v>0</v>
      </c>
      <c r="I776" s="410"/>
      <c r="J776" s="411"/>
      <c r="K776" s="412"/>
    </row>
    <row r="777" spans="1:11" ht="15.75" thickBot="1" x14ac:dyDescent="0.3">
      <c r="A777" s="680"/>
      <c r="B777" s="683"/>
      <c r="C777" s="415" t="s">
        <v>158</v>
      </c>
      <c r="D777" s="416"/>
      <c r="E777" s="416"/>
      <c r="F777" s="417"/>
      <c r="G777" s="418">
        <f>IF(E777&lt;8,Factors!H$18,IF(E777&lt;9,Factors!H$19,IF(E777&lt;10,Factors!H$20,IF(E777&lt;11,Factors!H$21,IF(E777&lt;12,Factors!H$22,IF(E777&lt;13,Factors!H$23))))))</f>
        <v>1.3238434163701067</v>
      </c>
      <c r="H777" s="419">
        <f>D777*F777*G777</f>
        <v>0</v>
      </c>
      <c r="I777" s="420"/>
      <c r="J777" s="421"/>
      <c r="K777" s="421"/>
    </row>
    <row r="778" spans="1:11" ht="15.75" thickTop="1" x14ac:dyDescent="0.25">
      <c r="A778" s="681"/>
      <c r="B778" s="684"/>
      <c r="C778" s="422"/>
      <c r="D778" s="423"/>
      <c r="E778" s="423"/>
      <c r="F778" s="424"/>
      <c r="G778" s="425"/>
      <c r="H778" s="426">
        <f>SUM(H773:H777)</f>
        <v>0</v>
      </c>
      <c r="I778" s="427">
        <f>AG$10</f>
        <v>1.1111111111111112</v>
      </c>
      <c r="J778" s="428">
        <f>H778*I778*J$13+K778</f>
        <v>0</v>
      </c>
      <c r="K778" s="429">
        <f>K777+K776</f>
        <v>0</v>
      </c>
    </row>
    <row r="779" spans="1:11" x14ac:dyDescent="0.25">
      <c r="B779" s="397"/>
    </row>
    <row r="780" spans="1:11" x14ac:dyDescent="0.25">
      <c r="A780" s="679" t="s">
        <v>7</v>
      </c>
      <c r="B780" s="682">
        <f>B773+1</f>
        <v>45985</v>
      </c>
      <c r="C780" s="398" t="s">
        <v>9</v>
      </c>
      <c r="D780" s="399"/>
      <c r="E780" s="399"/>
      <c r="F780" s="400"/>
      <c r="G780" s="401">
        <f>IF(E780&lt;8,Factors!F$18,IF(E780&lt;9,Factors!F$19,IF(E780&lt;10,Factors!F$20,IF(E780&lt;11,Factors!F$21,IF(E780&lt;12,Factors!F$22,IF(E780&lt;13,Factors!F$23))))))</f>
        <v>1.2308917197452229</v>
      </c>
      <c r="H780" s="402">
        <f>D780*F780*G780</f>
        <v>0</v>
      </c>
      <c r="I780" s="403"/>
      <c r="J780" s="404"/>
      <c r="K780" s="405"/>
    </row>
    <row r="781" spans="1:11" x14ac:dyDescent="0.25">
      <c r="A781" s="680"/>
      <c r="B781" s="683"/>
      <c r="C781" s="406" t="s">
        <v>174</v>
      </c>
      <c r="F781" s="407"/>
      <c r="G781" s="408">
        <f>IF(E781&lt;8,Factors!H$18,IF(E781&lt;9,Factors!H$19,IF(E781&lt;10,Factors!H$20,IF(E781&lt;11,Factors!H$21,IF(E781&lt;12,Factors!H$22,IF(E781&lt;13,Factors!H$23))))))</f>
        <v>1.3238434163701067</v>
      </c>
      <c r="H781" s="409">
        <f>D781*F781*G781</f>
        <v>0</v>
      </c>
      <c r="I781" s="410"/>
      <c r="J781" s="411"/>
      <c r="K781" s="412"/>
    </row>
    <row r="782" spans="1:11" x14ac:dyDescent="0.25">
      <c r="A782" s="680" t="s">
        <v>94</v>
      </c>
      <c r="B782" s="683"/>
      <c r="C782" s="406" t="s">
        <v>43</v>
      </c>
      <c r="F782" s="407"/>
      <c r="G782" s="408">
        <f>IF(E782&lt;8,Factors!H$18,IF(E782&lt;9,Factors!H$19,IF(E782&lt;10,Factors!H$20,IF(E782&lt;11,Factors!H$21,IF(E782&lt;12,Factors!H$22,IF(E782&lt;13,Factors!H$23))))))</f>
        <v>1.3238434163701067</v>
      </c>
      <c r="H782" s="409">
        <f>D782*F782*G782</f>
        <v>0</v>
      </c>
      <c r="I782" s="406"/>
      <c r="J782" s="411"/>
      <c r="K782" s="412"/>
    </row>
    <row r="783" spans="1:11" x14ac:dyDescent="0.25">
      <c r="A783" s="680"/>
      <c r="B783" s="683"/>
      <c r="C783" s="406" t="s">
        <v>166</v>
      </c>
      <c r="F783" s="407"/>
      <c r="G783" s="408">
        <f>IF(E783&lt;8,Factors!H$18,IF(E783&lt;9,Factors!H$19,IF(E783&lt;10,Factors!H$20,IF(E783&lt;11,Factors!H$21,IF(E783&lt;12,Factors!H$22,IF(E783&lt;13,Factors!H$23))))))</f>
        <v>1.3238434163701067</v>
      </c>
      <c r="H783" s="409">
        <f>D783*F783*G783</f>
        <v>0</v>
      </c>
      <c r="I783" s="410"/>
      <c r="J783" s="411"/>
      <c r="K783" s="412"/>
    </row>
    <row r="784" spans="1:11" ht="15.75" thickBot="1" x14ac:dyDescent="0.3">
      <c r="A784" s="680"/>
      <c r="B784" s="683"/>
      <c r="C784" s="415" t="s">
        <v>158</v>
      </c>
      <c r="D784" s="416"/>
      <c r="E784" s="416"/>
      <c r="F784" s="417"/>
      <c r="G784" s="418">
        <f>IF(E784&lt;8,Factors!H$18,IF(E784&lt;9,Factors!H$19,IF(E784&lt;10,Factors!H$20,IF(E784&lt;11,Factors!H$21,IF(E784&lt;12,Factors!H$22,IF(E784&lt;13,Factors!H$23))))))</f>
        <v>1.3238434163701067</v>
      </c>
      <c r="H784" s="419">
        <f>D784*F784*G784</f>
        <v>0</v>
      </c>
      <c r="I784" s="420"/>
      <c r="J784" s="421"/>
      <c r="K784" s="421"/>
    </row>
    <row r="785" spans="1:11" ht="15.75" thickTop="1" x14ac:dyDescent="0.25">
      <c r="A785" s="681"/>
      <c r="B785" s="684"/>
      <c r="C785" s="422"/>
      <c r="D785" s="423"/>
      <c r="E785" s="423"/>
      <c r="F785" s="424"/>
      <c r="G785" s="425"/>
      <c r="H785" s="426">
        <f>SUM(H780:H784)</f>
        <v>0</v>
      </c>
      <c r="I785" s="427">
        <f>H499</f>
        <v>0</v>
      </c>
      <c r="J785" s="428">
        <f>H785*I785*J$13+K785</f>
        <v>0</v>
      </c>
      <c r="K785" s="429">
        <f>K784+K783</f>
        <v>0</v>
      </c>
    </row>
    <row r="786" spans="1:11" x14ac:dyDescent="0.25">
      <c r="J786" s="430"/>
    </row>
    <row r="787" spans="1:11" x14ac:dyDescent="0.25">
      <c r="A787" s="679" t="s">
        <v>94</v>
      </c>
      <c r="B787" s="682">
        <f>B780+1</f>
        <v>45986</v>
      </c>
      <c r="C787" s="398" t="s">
        <v>9</v>
      </c>
      <c r="D787" s="399"/>
      <c r="E787" s="399"/>
      <c r="F787" s="400"/>
      <c r="G787" s="401">
        <f>IF(E787&lt;8,Factors!F$18,IF(E787&lt;9,Factors!F$19,IF(E787&lt;10,Factors!F$20,IF(E787&lt;11,Factors!F$21,IF(E787&lt;12,Factors!F$22,IF(E787&lt;13,Factors!F$23))))))</f>
        <v>1.2308917197452229</v>
      </c>
      <c r="H787" s="402">
        <f>D787*F787*G787</f>
        <v>0</v>
      </c>
      <c r="I787" s="403"/>
      <c r="J787" s="404"/>
      <c r="K787" s="405"/>
    </row>
    <row r="788" spans="1:11" x14ac:dyDescent="0.25">
      <c r="A788" s="680"/>
      <c r="B788" s="683"/>
      <c r="C788" s="406" t="s">
        <v>174</v>
      </c>
      <c r="F788" s="407"/>
      <c r="G788" s="408">
        <f>IF(E788&lt;8,Factors!H$18,IF(E788&lt;9,Factors!H$19,IF(E788&lt;10,Factors!H$20,IF(E788&lt;11,Factors!H$21,IF(E788&lt;12,Factors!H$22,IF(E788&lt;13,Factors!H$23))))))</f>
        <v>1.3238434163701067</v>
      </c>
      <c r="H788" s="409">
        <f>D788*F788*G788</f>
        <v>0</v>
      </c>
      <c r="I788" s="410"/>
      <c r="J788" s="411"/>
      <c r="K788" s="412"/>
    </row>
    <row r="789" spans="1:11" x14ac:dyDescent="0.25">
      <c r="A789" s="680" t="s">
        <v>94</v>
      </c>
      <c r="B789" s="683"/>
      <c r="C789" s="406" t="s">
        <v>43</v>
      </c>
      <c r="F789" s="407"/>
      <c r="G789" s="408">
        <f>IF(E789&lt;8,Factors!H$18,IF(E789&lt;9,Factors!H$19,IF(E789&lt;10,Factors!H$20,IF(E789&lt;11,Factors!H$21,IF(E789&lt;12,Factors!H$22,IF(E789&lt;13,Factors!H$23))))))</f>
        <v>1.3238434163701067</v>
      </c>
      <c r="H789" s="409">
        <f>D789*F789*G789</f>
        <v>0</v>
      </c>
      <c r="I789" s="406"/>
      <c r="J789" s="411"/>
      <c r="K789" s="412"/>
    </row>
    <row r="790" spans="1:11" x14ac:dyDescent="0.25">
      <c r="A790" s="680"/>
      <c r="B790" s="683"/>
      <c r="C790" s="406" t="s">
        <v>166</v>
      </c>
      <c r="F790" s="407"/>
      <c r="G790" s="408">
        <f>IF(E790&lt;8,Factors!H$18,IF(E790&lt;9,Factors!H$19,IF(E790&lt;10,Factors!H$20,IF(E790&lt;11,Factors!H$21,IF(E790&lt;12,Factors!H$22,IF(E790&lt;13,Factors!H$23))))))</f>
        <v>1.3238434163701067</v>
      </c>
      <c r="H790" s="409">
        <f>D790*F790*G790</f>
        <v>0</v>
      </c>
      <c r="I790" s="410"/>
      <c r="J790" s="411"/>
      <c r="K790" s="412"/>
    </row>
    <row r="791" spans="1:11" ht="15.75" thickBot="1" x14ac:dyDescent="0.3">
      <c r="A791" s="680"/>
      <c r="B791" s="683"/>
      <c r="C791" s="415" t="s">
        <v>158</v>
      </c>
      <c r="D791" s="416"/>
      <c r="E791" s="416"/>
      <c r="F791" s="417"/>
      <c r="G791" s="418">
        <f>IF(E791&lt;8,Factors!H$18,IF(E791&lt;9,Factors!H$19,IF(E791&lt;10,Factors!H$20,IF(E791&lt;11,Factors!H$21,IF(E791&lt;12,Factors!H$22,IF(E791&lt;13,Factors!H$23))))))</f>
        <v>1.3238434163701067</v>
      </c>
      <c r="H791" s="419">
        <f>D791*F791*G791</f>
        <v>0</v>
      </c>
      <c r="I791" s="420"/>
      <c r="J791" s="421"/>
      <c r="K791" s="421"/>
    </row>
    <row r="792" spans="1:11" ht="15.75" thickTop="1" x14ac:dyDescent="0.25">
      <c r="A792" s="681"/>
      <c r="B792" s="684"/>
      <c r="C792" s="422"/>
      <c r="D792" s="423"/>
      <c r="E792" s="423"/>
      <c r="F792" s="424"/>
      <c r="G792" s="425"/>
      <c r="H792" s="426">
        <f>SUM(H787:H791)</f>
        <v>0</v>
      </c>
      <c r="I792" s="427">
        <f>M499</f>
        <v>0</v>
      </c>
      <c r="J792" s="428">
        <v>1</v>
      </c>
      <c r="K792" s="429">
        <f>K791+K790</f>
        <v>0</v>
      </c>
    </row>
    <row r="793" spans="1:11" x14ac:dyDescent="0.25">
      <c r="B793" s="397"/>
      <c r="F793" s="407"/>
      <c r="I793" s="430"/>
    </row>
    <row r="794" spans="1:11" x14ac:dyDescent="0.25">
      <c r="A794" s="679" t="s">
        <v>11</v>
      </c>
      <c r="B794" s="682">
        <f>B787+1</f>
        <v>45987</v>
      </c>
      <c r="C794" s="398" t="s">
        <v>9</v>
      </c>
      <c r="D794" s="399"/>
      <c r="E794" s="399"/>
      <c r="F794" s="400"/>
      <c r="G794" s="401">
        <f>IF(E794&lt;8,Factors!F$18,IF(E794&lt;9,Factors!F$19,IF(E794&lt;10,Factors!F$20,IF(E794&lt;11,Factors!F$21,IF(E794&lt;12,Factors!F$22,IF(E794&lt;13,Factors!F$23))))))</f>
        <v>1.2308917197452229</v>
      </c>
      <c r="H794" s="402">
        <f>D794*F794*G794</f>
        <v>0</v>
      </c>
      <c r="I794" s="403"/>
      <c r="J794" s="404"/>
      <c r="K794" s="405"/>
    </row>
    <row r="795" spans="1:11" x14ac:dyDescent="0.25">
      <c r="A795" s="680"/>
      <c r="B795" s="683"/>
      <c r="C795" s="406" t="s">
        <v>174</v>
      </c>
      <c r="F795" s="407"/>
      <c r="G795" s="408">
        <f>IF(E795&lt;8,Factors!H$18,IF(E795&lt;9,Factors!H$19,IF(E795&lt;10,Factors!H$20,IF(E795&lt;11,Factors!H$21,IF(E795&lt;12,Factors!H$22,IF(E795&lt;13,Factors!H$23))))))</f>
        <v>1.3238434163701067</v>
      </c>
      <c r="H795" s="409">
        <f>D795*F795*G795</f>
        <v>0</v>
      </c>
      <c r="I795" s="410"/>
      <c r="J795" s="411"/>
      <c r="K795" s="412"/>
    </row>
    <row r="796" spans="1:11" x14ac:dyDescent="0.25">
      <c r="A796" s="680" t="s">
        <v>94</v>
      </c>
      <c r="B796" s="683"/>
      <c r="C796" s="406" t="s">
        <v>43</v>
      </c>
      <c r="F796" s="407"/>
      <c r="G796" s="408">
        <f>IF(E796&lt;8,Factors!H$18,IF(E796&lt;9,Factors!H$19,IF(E796&lt;10,Factors!H$20,IF(E796&lt;11,Factors!H$21,IF(E796&lt;12,Factors!H$22,IF(E796&lt;13,Factors!H$23))))))</f>
        <v>1.3238434163701067</v>
      </c>
      <c r="H796" s="409">
        <f>D796*F796*G796</f>
        <v>0</v>
      </c>
      <c r="I796" s="406"/>
      <c r="J796" s="411"/>
      <c r="K796" s="412"/>
    </row>
    <row r="797" spans="1:11" x14ac:dyDescent="0.25">
      <c r="A797" s="680"/>
      <c r="B797" s="683"/>
      <c r="C797" s="406" t="s">
        <v>166</v>
      </c>
      <c r="F797" s="407"/>
      <c r="G797" s="408">
        <f>IF(E797&lt;8,Factors!H$18,IF(E797&lt;9,Factors!H$19,IF(E797&lt;10,Factors!H$20,IF(E797&lt;11,Factors!H$21,IF(E797&lt;12,Factors!H$22,IF(E797&lt;13,Factors!H$23))))))</f>
        <v>1.3238434163701067</v>
      </c>
      <c r="H797" s="409">
        <f>D797*F797*G797</f>
        <v>0</v>
      </c>
      <c r="I797" s="410"/>
      <c r="J797" s="411"/>
      <c r="K797" s="412"/>
    </row>
    <row r="798" spans="1:11" ht="15.75" thickBot="1" x14ac:dyDescent="0.3">
      <c r="A798" s="680"/>
      <c r="B798" s="683"/>
      <c r="C798" s="415" t="s">
        <v>158</v>
      </c>
      <c r="D798" s="416"/>
      <c r="E798" s="416"/>
      <c r="F798" s="417"/>
      <c r="G798" s="418">
        <f>IF(E798&lt;8,Factors!H$18,IF(E798&lt;9,Factors!H$19,IF(E798&lt;10,Factors!H$20,IF(E798&lt;11,Factors!H$21,IF(E798&lt;12,Factors!H$22,IF(E798&lt;13,Factors!H$23))))))</f>
        <v>1.3238434163701067</v>
      </c>
      <c r="H798" s="419">
        <f>D798*F798*G798</f>
        <v>0</v>
      </c>
      <c r="I798" s="420"/>
      <c r="J798" s="421"/>
      <c r="K798" s="421"/>
    </row>
    <row r="799" spans="1:11" ht="15.75" thickTop="1" x14ac:dyDescent="0.25">
      <c r="A799" s="681"/>
      <c r="B799" s="684"/>
      <c r="C799" s="422"/>
      <c r="D799" s="423"/>
      <c r="E799" s="423"/>
      <c r="F799" s="424"/>
      <c r="G799" s="425"/>
      <c r="H799" s="426">
        <f>SUM(H794:H798)</f>
        <v>0</v>
      </c>
      <c r="I799" s="427">
        <v>1.1100000000000001</v>
      </c>
      <c r="J799" s="428">
        <f>H799*I799*J$13+K799</f>
        <v>0</v>
      </c>
      <c r="K799" s="429">
        <f>K798+K797</f>
        <v>0</v>
      </c>
    </row>
    <row r="800" spans="1:11" x14ac:dyDescent="0.25">
      <c r="B800" s="397"/>
      <c r="J800" s="430"/>
    </row>
    <row r="801" spans="1:11" x14ac:dyDescent="0.25">
      <c r="A801" s="679" t="s">
        <v>95</v>
      </c>
      <c r="B801" s="682">
        <f>B794+1</f>
        <v>45988</v>
      </c>
      <c r="C801" s="398" t="s">
        <v>9</v>
      </c>
      <c r="D801" s="399"/>
      <c r="E801" s="399"/>
      <c r="F801" s="400"/>
      <c r="G801" s="401">
        <f>IF(E801&lt;8,Factors!F$18,IF(E801&lt;9,Factors!F$19,IF(E801&lt;10,Factors!F$20,IF(E801&lt;11,Factors!F$21,IF(E801&lt;12,Factors!F$22,IF(E801&lt;13,Factors!F$23))))))</f>
        <v>1.2308917197452229</v>
      </c>
      <c r="H801" s="402">
        <f>D801*F801*G801</f>
        <v>0</v>
      </c>
      <c r="I801" s="403"/>
      <c r="J801" s="404"/>
      <c r="K801" s="405"/>
    </row>
    <row r="802" spans="1:11" x14ac:dyDescent="0.25">
      <c r="A802" s="680"/>
      <c r="B802" s="683"/>
      <c r="C802" s="406" t="s">
        <v>174</v>
      </c>
      <c r="F802" s="407"/>
      <c r="G802" s="408">
        <f>IF(E802&lt;8,Factors!H$18,IF(E802&lt;9,Factors!H$19,IF(E802&lt;10,Factors!H$20,IF(E802&lt;11,Factors!H$21,IF(E802&lt;12,Factors!H$22,IF(E802&lt;13,Factors!H$23))))))</f>
        <v>1.3238434163701067</v>
      </c>
      <c r="H802" s="409">
        <f>D802*F802*G802</f>
        <v>0</v>
      </c>
      <c r="I802" s="410"/>
      <c r="J802" s="411"/>
      <c r="K802" s="412"/>
    </row>
    <row r="803" spans="1:11" x14ac:dyDescent="0.25">
      <c r="A803" s="680" t="s">
        <v>94</v>
      </c>
      <c r="B803" s="683"/>
      <c r="C803" s="406" t="s">
        <v>43</v>
      </c>
      <c r="F803" s="407"/>
      <c r="G803" s="408">
        <f>IF(E803&lt;8,Factors!H$18,IF(E803&lt;9,Factors!H$19,IF(E803&lt;10,Factors!H$20,IF(E803&lt;11,Factors!H$21,IF(E803&lt;12,Factors!H$22,IF(E803&lt;13,Factors!H$23))))))</f>
        <v>1.3238434163701067</v>
      </c>
      <c r="H803" s="409">
        <f>D803*F803*G803</f>
        <v>0</v>
      </c>
      <c r="I803" s="406"/>
      <c r="J803" s="411"/>
      <c r="K803" s="412"/>
    </row>
    <row r="804" spans="1:11" x14ac:dyDescent="0.25">
      <c r="A804" s="680"/>
      <c r="B804" s="683"/>
      <c r="C804" s="406" t="s">
        <v>166</v>
      </c>
      <c r="F804" s="407"/>
      <c r="G804" s="408">
        <f>IF(E804&lt;8,Factors!H$18,IF(E804&lt;9,Factors!H$19,IF(E804&lt;10,Factors!H$20,IF(E804&lt;11,Factors!H$21,IF(E804&lt;12,Factors!H$22,IF(E804&lt;13,Factors!H$23))))))</f>
        <v>1.3238434163701067</v>
      </c>
      <c r="H804" s="409">
        <f>D804*F804*G804</f>
        <v>0</v>
      </c>
      <c r="I804" s="410"/>
      <c r="J804" s="411"/>
      <c r="K804" s="412"/>
    </row>
    <row r="805" spans="1:11" ht="15.75" thickBot="1" x14ac:dyDescent="0.3">
      <c r="A805" s="680"/>
      <c r="B805" s="683"/>
      <c r="C805" s="415" t="s">
        <v>158</v>
      </c>
      <c r="D805" s="416"/>
      <c r="E805" s="416"/>
      <c r="F805" s="417"/>
      <c r="G805" s="418">
        <f>IF(E805&lt;8,Factors!H$18,IF(E805&lt;9,Factors!H$19,IF(E805&lt;10,Factors!H$20,IF(E805&lt;11,Factors!H$21,IF(E805&lt;12,Factors!H$22,IF(E805&lt;13,Factors!H$23))))))</f>
        <v>1.3238434163701067</v>
      </c>
      <c r="H805" s="419">
        <f>D805*F805*G805</f>
        <v>0</v>
      </c>
      <c r="I805" s="420"/>
      <c r="J805" s="421"/>
      <c r="K805" s="421"/>
    </row>
    <row r="806" spans="1:11" ht="15.75" thickTop="1" x14ac:dyDescent="0.25">
      <c r="A806" s="681"/>
      <c r="B806" s="684"/>
      <c r="C806" s="422"/>
      <c r="D806" s="423"/>
      <c r="E806" s="423"/>
      <c r="F806" s="424"/>
      <c r="G806" s="425"/>
      <c r="H806" s="426">
        <f>SUM(H801:H805)</f>
        <v>0</v>
      </c>
      <c r="I806" s="427">
        <v>1.111</v>
      </c>
      <c r="J806" s="428">
        <v>1</v>
      </c>
      <c r="K806" s="429">
        <f>K805+K804</f>
        <v>0</v>
      </c>
    </row>
    <row r="807" spans="1:11" x14ac:dyDescent="0.25">
      <c r="B807" s="397"/>
      <c r="G807" s="414"/>
      <c r="H807" s="414"/>
      <c r="I807" s="430"/>
    </row>
    <row r="808" spans="1:11" x14ac:dyDescent="0.25">
      <c r="A808" s="679" t="s">
        <v>13</v>
      </c>
      <c r="B808" s="682">
        <f>B801+1</f>
        <v>45989</v>
      </c>
      <c r="C808" s="398" t="s">
        <v>9</v>
      </c>
      <c r="D808" s="399"/>
      <c r="E808" s="399"/>
      <c r="F808" s="400"/>
      <c r="G808" s="401">
        <f>IF(E808&lt;8,Factors!F$18,IF(E808&lt;9,Factors!F$19,IF(E808&lt;10,Factors!F$20,IF(E808&lt;11,Factors!F$21,IF(E808&lt;12,Factors!F$22,IF(E808&lt;13,Factors!F$23))))))</f>
        <v>1.2308917197452229</v>
      </c>
      <c r="H808" s="402">
        <f>D808*F808*G808</f>
        <v>0</v>
      </c>
      <c r="I808" s="403"/>
      <c r="J808" s="404"/>
      <c r="K808" s="405"/>
    </row>
    <row r="809" spans="1:11" x14ac:dyDescent="0.25">
      <c r="A809" s="680"/>
      <c r="B809" s="683"/>
      <c r="C809" s="406" t="s">
        <v>174</v>
      </c>
      <c r="F809" s="407"/>
      <c r="G809" s="408">
        <f>IF(E809&lt;8,Factors!H$18,IF(E809&lt;9,Factors!H$19,IF(E809&lt;10,Factors!H$20,IF(E809&lt;11,Factors!H$21,IF(E809&lt;12,Factors!H$22,IF(E809&lt;13,Factors!H$23))))))</f>
        <v>1.3238434163701067</v>
      </c>
      <c r="H809" s="409">
        <f>D809*F809*G809</f>
        <v>0</v>
      </c>
      <c r="I809" s="410"/>
      <c r="J809" s="411"/>
      <c r="K809" s="412"/>
    </row>
    <row r="810" spans="1:11" x14ac:dyDescent="0.25">
      <c r="A810" s="680" t="s">
        <v>94</v>
      </c>
      <c r="B810" s="683"/>
      <c r="C810" s="406" t="s">
        <v>43</v>
      </c>
      <c r="F810" s="407"/>
      <c r="G810" s="408">
        <f>IF(E810&lt;8,Factors!H$18,IF(E810&lt;9,Factors!H$19,IF(E810&lt;10,Factors!H$20,IF(E810&lt;11,Factors!H$21,IF(E810&lt;12,Factors!H$22,IF(E810&lt;13,Factors!H$23))))))</f>
        <v>1.3238434163701067</v>
      </c>
      <c r="H810" s="409">
        <f>D810*F810*G810</f>
        <v>0</v>
      </c>
      <c r="I810" s="406"/>
      <c r="J810" s="411"/>
      <c r="K810" s="412"/>
    </row>
    <row r="811" spans="1:11" x14ac:dyDescent="0.25">
      <c r="A811" s="680"/>
      <c r="B811" s="683"/>
      <c r="C811" s="406" t="s">
        <v>166</v>
      </c>
      <c r="F811" s="407"/>
      <c r="G811" s="408">
        <f>IF(E811&lt;8,Factors!H$18,IF(E811&lt;9,Factors!H$19,IF(E811&lt;10,Factors!H$20,IF(E811&lt;11,Factors!H$21,IF(E811&lt;12,Factors!H$22,IF(E811&lt;13,Factors!H$23))))))</f>
        <v>1.3238434163701067</v>
      </c>
      <c r="H811" s="409">
        <f>D811*F811*G811</f>
        <v>0</v>
      </c>
      <c r="I811" s="410"/>
      <c r="J811" s="411"/>
      <c r="K811" s="412"/>
    </row>
    <row r="812" spans="1:11" ht="15.75" thickBot="1" x14ac:dyDescent="0.3">
      <c r="A812" s="680"/>
      <c r="B812" s="683"/>
      <c r="C812" s="415" t="s">
        <v>158</v>
      </c>
      <c r="D812" s="416"/>
      <c r="E812" s="416"/>
      <c r="F812" s="417"/>
      <c r="G812" s="418">
        <f>IF(E812&lt;8,Factors!H$18,IF(E812&lt;9,Factors!H$19,IF(E812&lt;10,Factors!H$20,IF(E812&lt;11,Factors!H$21,IF(E812&lt;12,Factors!H$22,IF(E812&lt;13,Factors!H$23))))))</f>
        <v>1.3238434163701067</v>
      </c>
      <c r="H812" s="419">
        <f>D812*F812*G812</f>
        <v>0</v>
      </c>
      <c r="I812" s="420"/>
      <c r="J812" s="421"/>
      <c r="K812" s="421"/>
    </row>
    <row r="813" spans="1:11" ht="15.75" thickTop="1" x14ac:dyDescent="0.25">
      <c r="A813" s="681"/>
      <c r="B813" s="684"/>
      <c r="C813" s="422"/>
      <c r="D813" s="423"/>
      <c r="E813" s="423"/>
      <c r="F813" s="424"/>
      <c r="G813" s="425"/>
      <c r="H813" s="426">
        <f>SUM(H808:H812)</f>
        <v>0</v>
      </c>
      <c r="I813" s="427">
        <v>1.111</v>
      </c>
      <c r="J813" s="428">
        <v>2</v>
      </c>
      <c r="K813" s="429">
        <f>K812+K811</f>
        <v>0</v>
      </c>
    </row>
    <row r="814" spans="1:11" x14ac:dyDescent="0.25">
      <c r="B814" s="397"/>
    </row>
    <row r="815" spans="1:11" x14ac:dyDescent="0.25">
      <c r="A815" s="680" t="s">
        <v>14</v>
      </c>
      <c r="B815" s="682">
        <f>B808+1</f>
        <v>45990</v>
      </c>
      <c r="C815" s="398" t="s">
        <v>9</v>
      </c>
      <c r="D815" s="399"/>
      <c r="E815" s="399"/>
      <c r="F815" s="400"/>
      <c r="G815" s="401">
        <f>IF(E815&lt;8,Factors!F$18,IF(E815&lt;9,Factors!F$19,IF(E815&lt;10,Factors!F$20,IF(E815&lt;11,Factors!F$21,IF(E815&lt;12,Factors!F$22,IF(E815&lt;13,Factors!F$23))))))</f>
        <v>1.2308917197452229</v>
      </c>
      <c r="H815" s="402">
        <f>D815*F815*G815</f>
        <v>0</v>
      </c>
      <c r="I815" s="403"/>
      <c r="J815" s="404"/>
      <c r="K815" s="405"/>
    </row>
    <row r="816" spans="1:11" x14ac:dyDescent="0.25">
      <c r="A816" s="680"/>
      <c r="B816" s="683"/>
      <c r="C816" s="406" t="s">
        <v>174</v>
      </c>
      <c r="F816" s="407"/>
      <c r="G816" s="408">
        <f>IF(E816&lt;8,Factors!H$18,IF(E816&lt;9,Factors!H$19,IF(E816&lt;10,Factors!H$20,IF(E816&lt;11,Factors!H$21,IF(E816&lt;12,Factors!H$22,IF(E816&lt;13,Factors!H$23))))))</f>
        <v>1.3238434163701067</v>
      </c>
      <c r="H816" s="409">
        <f>D816*F816*G816</f>
        <v>0</v>
      </c>
      <c r="I816" s="410"/>
      <c r="J816" s="411"/>
      <c r="K816" s="412"/>
    </row>
    <row r="817" spans="1:11" x14ac:dyDescent="0.25">
      <c r="A817" s="680" t="s">
        <v>94</v>
      </c>
      <c r="B817" s="683"/>
      <c r="C817" s="406" t="s">
        <v>43</v>
      </c>
      <c r="F817" s="407"/>
      <c r="G817" s="408">
        <f>IF(E817&lt;8,Factors!H$18,IF(E817&lt;9,Factors!H$19,IF(E817&lt;10,Factors!H$20,IF(E817&lt;11,Factors!H$21,IF(E817&lt;12,Factors!H$22,IF(E817&lt;13,Factors!H$23))))))</f>
        <v>1.3238434163701067</v>
      </c>
      <c r="H817" s="409">
        <f>D817*F817*G817</f>
        <v>0</v>
      </c>
      <c r="I817" s="406"/>
      <c r="J817" s="411"/>
      <c r="K817" s="412"/>
    </row>
    <row r="818" spans="1:11" x14ac:dyDescent="0.25">
      <c r="A818" s="680"/>
      <c r="B818" s="683"/>
      <c r="C818" s="406" t="s">
        <v>166</v>
      </c>
      <c r="F818" s="407"/>
      <c r="G818" s="408">
        <f>IF(E818&lt;8,Factors!H$18,IF(E818&lt;9,Factors!H$19,IF(E818&lt;10,Factors!H$20,IF(E818&lt;11,Factors!H$21,IF(E818&lt;12,Factors!H$22,IF(E818&lt;13,Factors!H$23))))))</f>
        <v>1.3238434163701067</v>
      </c>
      <c r="H818" s="409">
        <f>D818*F818*G818</f>
        <v>0</v>
      </c>
      <c r="I818" s="410"/>
      <c r="J818" s="411"/>
      <c r="K818" s="412"/>
    </row>
    <row r="819" spans="1:11" ht="15.75" thickBot="1" x14ac:dyDescent="0.3">
      <c r="A819" s="680"/>
      <c r="B819" s="683"/>
      <c r="C819" s="415" t="s">
        <v>158</v>
      </c>
      <c r="D819" s="416"/>
      <c r="E819" s="416"/>
      <c r="F819" s="417"/>
      <c r="G819" s="418">
        <f>IF(E819&lt;8,Factors!H$18,IF(E819&lt;9,Factors!H$19,IF(E819&lt;10,Factors!H$20,IF(E819&lt;11,Factors!H$21,IF(E819&lt;12,Factors!H$22,IF(E819&lt;13,Factors!H$23))))))</f>
        <v>1.3238434163701067</v>
      </c>
      <c r="H819" s="419">
        <f>D819*F819*G819</f>
        <v>0</v>
      </c>
      <c r="I819" s="420"/>
      <c r="J819" s="421"/>
      <c r="K819" s="421"/>
    </row>
    <row r="820" spans="1:11" ht="15.75" thickTop="1" x14ac:dyDescent="0.25">
      <c r="A820" s="681"/>
      <c r="B820" s="684"/>
      <c r="C820" s="422"/>
      <c r="D820" s="423"/>
      <c r="E820" s="423"/>
      <c r="F820" s="424"/>
      <c r="G820" s="425"/>
      <c r="H820" s="426">
        <f>SUM(H815:H819)</f>
        <v>0</v>
      </c>
      <c r="I820" s="427">
        <v>1.111</v>
      </c>
      <c r="J820" s="428">
        <v>2</v>
      </c>
      <c r="K820" s="429">
        <f>K819+K818</f>
        <v>0</v>
      </c>
    </row>
    <row r="821" spans="1:11" x14ac:dyDescent="0.25">
      <c r="B821" s="397"/>
      <c r="J821" s="430"/>
    </row>
    <row r="822" spans="1:11" x14ac:dyDescent="0.25">
      <c r="A822" s="679" t="s">
        <v>15</v>
      </c>
      <c r="B822" s="682">
        <f>B815+1</f>
        <v>45991</v>
      </c>
      <c r="C822" s="398" t="s">
        <v>9</v>
      </c>
      <c r="D822" s="399"/>
      <c r="E822" s="399"/>
      <c r="F822" s="400"/>
      <c r="G822" s="401">
        <f>IF(E822&lt;8,Factors!F$18,IF(E822&lt;9,Factors!F$19,IF(E822&lt;10,Factors!F$20,IF(E822&lt;11,Factors!F$21,IF(E822&lt;12,Factors!F$22,IF(E822&lt;13,Factors!F$23))))))</f>
        <v>1.2308917197452229</v>
      </c>
      <c r="H822" s="402">
        <f>D822*F822*G822</f>
        <v>0</v>
      </c>
      <c r="I822" s="403"/>
      <c r="J822" s="404"/>
      <c r="K822" s="405"/>
    </row>
    <row r="823" spans="1:11" x14ac:dyDescent="0.25">
      <c r="A823" s="680"/>
      <c r="B823" s="683"/>
      <c r="C823" s="406" t="s">
        <v>174</v>
      </c>
      <c r="F823" s="407"/>
      <c r="G823" s="408">
        <f>IF(E823&lt;8,Factors!H$18,IF(E823&lt;9,Factors!H$19,IF(E823&lt;10,Factors!H$20,IF(E823&lt;11,Factors!H$21,IF(E823&lt;12,Factors!H$22,IF(E823&lt;13,Factors!H$23))))))</f>
        <v>1.3238434163701067</v>
      </c>
      <c r="H823" s="409">
        <f>D823*F823*G823</f>
        <v>0</v>
      </c>
      <c r="I823" s="410"/>
      <c r="J823" s="411"/>
      <c r="K823" s="412"/>
    </row>
    <row r="824" spans="1:11" x14ac:dyDescent="0.25">
      <c r="A824" s="680" t="s">
        <v>94</v>
      </c>
      <c r="B824" s="683"/>
      <c r="C824" s="406" t="s">
        <v>43</v>
      </c>
      <c r="F824" s="407"/>
      <c r="G824" s="408">
        <f>IF(E824&lt;8,Factors!H$18,IF(E824&lt;9,Factors!H$19,IF(E824&lt;10,Factors!H$20,IF(E824&lt;11,Factors!H$21,IF(E824&lt;12,Factors!H$22,IF(E824&lt;13,Factors!H$23))))))</f>
        <v>1.3238434163701067</v>
      </c>
      <c r="H824" s="409">
        <f>D824*F824*G824</f>
        <v>0</v>
      </c>
      <c r="I824" s="406"/>
      <c r="J824" s="411"/>
      <c r="K824" s="412"/>
    </row>
    <row r="825" spans="1:11" x14ac:dyDescent="0.25">
      <c r="A825" s="680"/>
      <c r="B825" s="683"/>
      <c r="C825" s="406" t="s">
        <v>166</v>
      </c>
      <c r="F825" s="407"/>
      <c r="G825" s="408">
        <f>IF(E825&lt;8,Factors!H$18,IF(E825&lt;9,Factors!H$19,IF(E825&lt;10,Factors!H$20,IF(E825&lt;11,Factors!H$21,IF(E825&lt;12,Factors!H$22,IF(E825&lt;13,Factors!H$23))))))</f>
        <v>1.3238434163701067</v>
      </c>
      <c r="H825" s="409">
        <f>D825*F825*G825</f>
        <v>0</v>
      </c>
      <c r="I825" s="410"/>
      <c r="J825" s="411"/>
      <c r="K825" s="412"/>
    </row>
    <row r="826" spans="1:11" ht="15.75" thickBot="1" x14ac:dyDescent="0.3">
      <c r="A826" s="680"/>
      <c r="B826" s="683"/>
      <c r="C826" s="415" t="s">
        <v>158</v>
      </c>
      <c r="D826" s="416"/>
      <c r="E826" s="416"/>
      <c r="F826" s="417"/>
      <c r="G826" s="418">
        <f>IF(E826&lt;8,Factors!H$18,IF(E826&lt;9,Factors!H$19,IF(E826&lt;10,Factors!H$20,IF(E826&lt;11,Factors!H$21,IF(E826&lt;12,Factors!H$22,IF(E826&lt;13,Factors!H$23))))))</f>
        <v>1.3238434163701067</v>
      </c>
      <c r="H826" s="419">
        <f>D826*F826*G826</f>
        <v>0</v>
      </c>
      <c r="I826" s="420"/>
      <c r="J826" s="421"/>
      <c r="K826" s="421"/>
    </row>
    <row r="827" spans="1:11" ht="15.75" thickTop="1" x14ac:dyDescent="0.25">
      <c r="A827" s="681"/>
      <c r="B827" s="684"/>
      <c r="C827" s="422"/>
      <c r="D827" s="423"/>
      <c r="E827" s="423"/>
      <c r="F827" s="424"/>
      <c r="G827" s="425"/>
      <c r="H827" s="426">
        <f>SUM(H822:H826)</f>
        <v>0</v>
      </c>
      <c r="I827" s="427">
        <v>1.111</v>
      </c>
      <c r="J827" s="428">
        <v>2</v>
      </c>
      <c r="K827" s="429">
        <f>K826+K825</f>
        <v>0</v>
      </c>
    </row>
    <row r="828" spans="1:11" x14ac:dyDescent="0.25">
      <c r="B828" s="397"/>
      <c r="J828" s="430"/>
    </row>
    <row r="829" spans="1:11" x14ac:dyDescent="0.25">
      <c r="A829" s="679" t="s">
        <v>7</v>
      </c>
      <c r="B829" s="682">
        <f>B822+1</f>
        <v>45992</v>
      </c>
      <c r="C829" s="398" t="s">
        <v>9</v>
      </c>
      <c r="D829" s="399"/>
      <c r="E829" s="399"/>
      <c r="F829" s="400"/>
      <c r="G829" s="401">
        <f>IF(E829&lt;8,Factors!F$18,IF(E829&lt;9,Factors!F$19,IF(E829&lt;10,Factors!F$20,IF(E829&lt;11,Factors!F$21,IF(E829&lt;12,Factors!F$22,IF(E829&lt;13,Factors!F$23))))))</f>
        <v>1.2308917197452229</v>
      </c>
      <c r="H829" s="402">
        <f>D829*F829*G829</f>
        <v>0</v>
      </c>
      <c r="I829" s="403"/>
      <c r="J829" s="404"/>
      <c r="K829" s="405"/>
    </row>
    <row r="830" spans="1:11" x14ac:dyDescent="0.25">
      <c r="A830" s="680"/>
      <c r="B830" s="683"/>
      <c r="C830" s="406" t="s">
        <v>174</v>
      </c>
      <c r="F830" s="407"/>
      <c r="G830" s="408">
        <f>IF(E830&lt;8,Factors!H$18,IF(E830&lt;9,Factors!H$19,IF(E830&lt;10,Factors!H$20,IF(E830&lt;11,Factors!H$21,IF(E830&lt;12,Factors!H$22,IF(E830&lt;13,Factors!H$23))))))</f>
        <v>1.3238434163701067</v>
      </c>
      <c r="H830" s="409">
        <f>D830*F830*G830</f>
        <v>0</v>
      </c>
      <c r="I830" s="410"/>
      <c r="J830" s="411"/>
      <c r="K830" s="412"/>
    </row>
    <row r="831" spans="1:11" x14ac:dyDescent="0.25">
      <c r="A831" s="680" t="s">
        <v>94</v>
      </c>
      <c r="B831" s="683"/>
      <c r="C831" s="406" t="s">
        <v>43</v>
      </c>
      <c r="F831" s="407"/>
      <c r="G831" s="408">
        <f>IF(E831&lt;8,Factors!H$18,IF(E831&lt;9,Factors!H$19,IF(E831&lt;10,Factors!H$20,IF(E831&lt;11,Factors!H$21,IF(E831&lt;12,Factors!H$22,IF(E831&lt;13,Factors!H$23))))))</f>
        <v>1.3238434163701067</v>
      </c>
      <c r="H831" s="409">
        <f>D831*F831*G831</f>
        <v>0</v>
      </c>
      <c r="I831" s="406"/>
      <c r="J831" s="411"/>
      <c r="K831" s="412"/>
    </row>
    <row r="832" spans="1:11" x14ac:dyDescent="0.25">
      <c r="A832" s="680"/>
      <c r="B832" s="683"/>
      <c r="C832" s="406" t="s">
        <v>166</v>
      </c>
      <c r="F832" s="407"/>
      <c r="G832" s="408">
        <f>IF(E832&lt;8,Factors!H$18,IF(E832&lt;9,Factors!H$19,IF(E832&lt;10,Factors!H$20,IF(E832&lt;11,Factors!H$21,IF(E832&lt;12,Factors!H$22,IF(E832&lt;13,Factors!H$23))))))</f>
        <v>1.3238434163701067</v>
      </c>
      <c r="H832" s="409">
        <f>D832*F832*G832</f>
        <v>0</v>
      </c>
      <c r="I832" s="410"/>
      <c r="J832" s="411"/>
      <c r="K832" s="412"/>
    </row>
    <row r="833" spans="1:11" ht="15.75" thickBot="1" x14ac:dyDescent="0.3">
      <c r="A833" s="680"/>
      <c r="B833" s="683"/>
      <c r="C833" s="415" t="s">
        <v>158</v>
      </c>
      <c r="D833" s="416"/>
      <c r="E833" s="416"/>
      <c r="F833" s="417"/>
      <c r="G833" s="418">
        <f>IF(E833&lt;8,Factors!H$18,IF(E833&lt;9,Factors!H$19,IF(E833&lt;10,Factors!H$20,IF(E833&lt;11,Factors!H$21,IF(E833&lt;12,Factors!H$22,IF(E833&lt;13,Factors!H$23))))))</f>
        <v>1.3238434163701067</v>
      </c>
      <c r="H833" s="419">
        <f>D833*F833*G833</f>
        <v>0</v>
      </c>
      <c r="I833" s="420"/>
      <c r="J833" s="421"/>
      <c r="K833" s="421"/>
    </row>
    <row r="834" spans="1:11" ht="15.75" thickTop="1" x14ac:dyDescent="0.25">
      <c r="A834" s="681"/>
      <c r="B834" s="684"/>
      <c r="C834" s="422"/>
      <c r="D834" s="423"/>
      <c r="E834" s="423"/>
      <c r="F834" s="424"/>
      <c r="G834" s="425"/>
      <c r="H834" s="426">
        <f>SUM(H829:H833)</f>
        <v>0</v>
      </c>
      <c r="I834" s="427">
        <v>1.111</v>
      </c>
      <c r="J834" s="428">
        <f>H834*I834*J$13+K834</f>
        <v>0</v>
      </c>
      <c r="K834" s="429">
        <f>K833+K832</f>
        <v>0</v>
      </c>
    </row>
    <row r="835" spans="1:11" x14ac:dyDescent="0.25">
      <c r="B835" s="397"/>
    </row>
    <row r="836" spans="1:11" x14ac:dyDescent="0.25">
      <c r="A836" s="679" t="s">
        <v>94</v>
      </c>
      <c r="B836" s="682">
        <f>B829+1</f>
        <v>45993</v>
      </c>
      <c r="C836" s="398" t="s">
        <v>9</v>
      </c>
      <c r="D836" s="399"/>
      <c r="E836" s="399"/>
      <c r="F836" s="400"/>
      <c r="G836" s="401">
        <f>IF(E836&lt;8,Factors!F$18,IF(E836&lt;9,Factors!F$19,IF(E836&lt;10,Factors!F$20,IF(E836&lt;11,Factors!F$21,IF(E836&lt;12,Factors!F$22,IF(E836&lt;13,Factors!F$23))))))</f>
        <v>1.2308917197452229</v>
      </c>
      <c r="H836" s="402">
        <f>D836*F836*G836</f>
        <v>0</v>
      </c>
      <c r="I836" s="403"/>
      <c r="J836" s="404"/>
      <c r="K836" s="405"/>
    </row>
    <row r="837" spans="1:11" x14ac:dyDescent="0.25">
      <c r="A837" s="680"/>
      <c r="B837" s="683"/>
      <c r="C837" s="406" t="s">
        <v>174</v>
      </c>
      <c r="F837" s="407"/>
      <c r="G837" s="408">
        <f>IF(E837&lt;8,Factors!H$18,IF(E837&lt;9,Factors!H$19,IF(E837&lt;10,Factors!H$20,IF(E837&lt;11,Factors!H$21,IF(E837&lt;12,Factors!H$22,IF(E837&lt;13,Factors!H$23))))))</f>
        <v>1.3238434163701067</v>
      </c>
      <c r="H837" s="409">
        <f>D837*F837*G837</f>
        <v>0</v>
      </c>
      <c r="I837" s="410"/>
      <c r="J837" s="411"/>
      <c r="K837" s="412"/>
    </row>
    <row r="838" spans="1:11" x14ac:dyDescent="0.25">
      <c r="A838" s="680" t="s">
        <v>94</v>
      </c>
      <c r="B838" s="683"/>
      <c r="C838" s="406" t="s">
        <v>43</v>
      </c>
      <c r="F838" s="407"/>
      <c r="G838" s="408">
        <f>IF(E838&lt;8,Factors!H$18,IF(E838&lt;9,Factors!H$19,IF(E838&lt;10,Factors!H$20,IF(E838&lt;11,Factors!H$21,IF(E838&lt;12,Factors!H$22,IF(E838&lt;13,Factors!H$23))))))</f>
        <v>1.3238434163701067</v>
      </c>
      <c r="H838" s="409">
        <f>D838*F838*G838</f>
        <v>0</v>
      </c>
      <c r="I838" s="406"/>
      <c r="J838" s="411"/>
      <c r="K838" s="412"/>
    </row>
    <row r="839" spans="1:11" x14ac:dyDescent="0.25">
      <c r="A839" s="680"/>
      <c r="B839" s="683"/>
      <c r="C839" s="406" t="s">
        <v>166</v>
      </c>
      <c r="F839" s="407"/>
      <c r="G839" s="408">
        <f>IF(E839&lt;8,Factors!H$18,IF(E839&lt;9,Factors!H$19,IF(E839&lt;10,Factors!H$20,IF(E839&lt;11,Factors!H$21,IF(E839&lt;12,Factors!H$22,IF(E839&lt;13,Factors!H$23))))))</f>
        <v>1.3238434163701067</v>
      </c>
      <c r="H839" s="409">
        <f>D839*F839*G839</f>
        <v>0</v>
      </c>
      <c r="I839" s="410"/>
      <c r="J839" s="411"/>
      <c r="K839" s="412"/>
    </row>
    <row r="840" spans="1:11" ht="15.75" thickBot="1" x14ac:dyDescent="0.3">
      <c r="A840" s="680"/>
      <c r="B840" s="683"/>
      <c r="C840" s="415" t="s">
        <v>158</v>
      </c>
      <c r="D840" s="416"/>
      <c r="E840" s="416"/>
      <c r="F840" s="417"/>
      <c r="G840" s="418">
        <f>IF(E840&lt;8,Factors!H$18,IF(E840&lt;9,Factors!H$19,IF(E840&lt;10,Factors!H$20,IF(E840&lt;11,Factors!H$21,IF(E840&lt;12,Factors!H$22,IF(E840&lt;13,Factors!H$23))))))</f>
        <v>1.3238434163701067</v>
      </c>
      <c r="H840" s="419">
        <f>D840*F840*G840</f>
        <v>0</v>
      </c>
      <c r="I840" s="420"/>
      <c r="J840" s="421"/>
      <c r="K840" s="421"/>
    </row>
    <row r="841" spans="1:11" ht="15.75" thickTop="1" x14ac:dyDescent="0.25">
      <c r="A841" s="681"/>
      <c r="B841" s="684"/>
      <c r="C841" s="422"/>
      <c r="D841" s="423"/>
      <c r="E841" s="423"/>
      <c r="F841" s="424"/>
      <c r="G841" s="425"/>
      <c r="H841" s="426">
        <f>SUM(H836:H840)</f>
        <v>0</v>
      </c>
      <c r="I841" s="427">
        <v>1.111</v>
      </c>
      <c r="J841" s="428">
        <f>H841*I841*J$13+K841</f>
        <v>0</v>
      </c>
      <c r="K841" s="429">
        <f>K840+K839</f>
        <v>0</v>
      </c>
    </row>
    <row r="842" spans="1:11" x14ac:dyDescent="0.25">
      <c r="B842" s="397"/>
      <c r="F842" s="407"/>
      <c r="J842" s="430"/>
    </row>
    <row r="843" spans="1:11" x14ac:dyDescent="0.25">
      <c r="A843" s="679" t="s">
        <v>11</v>
      </c>
      <c r="B843" s="682">
        <f>B836+1</f>
        <v>45994</v>
      </c>
      <c r="C843" s="398" t="s">
        <v>9</v>
      </c>
      <c r="D843" s="399"/>
      <c r="E843" s="399"/>
      <c r="F843" s="400"/>
      <c r="G843" s="401">
        <f>IF(E843&lt;8,Factors!F$18,IF(E843&lt;9,Factors!F$19,IF(E843&lt;10,Factors!F$20,IF(E843&lt;11,Factors!F$21,IF(E843&lt;12,Factors!F$22,IF(E843&lt;13,Factors!F$23))))))</f>
        <v>1.2308917197452229</v>
      </c>
      <c r="H843" s="402">
        <f>D843*F843*G843</f>
        <v>0</v>
      </c>
      <c r="I843" s="403"/>
      <c r="J843" s="404"/>
      <c r="K843" s="405"/>
    </row>
    <row r="844" spans="1:11" x14ac:dyDescent="0.25">
      <c r="A844" s="680"/>
      <c r="B844" s="683"/>
      <c r="C844" s="406" t="s">
        <v>174</v>
      </c>
      <c r="F844" s="407"/>
      <c r="G844" s="408">
        <f>IF(E844&lt;8,Factors!H$18,IF(E844&lt;9,Factors!H$19,IF(E844&lt;10,Factors!H$20,IF(E844&lt;11,Factors!H$21,IF(E844&lt;12,Factors!H$22,IF(E844&lt;13,Factors!H$23))))))</f>
        <v>1.3238434163701067</v>
      </c>
      <c r="H844" s="409">
        <f>D844*F844*G844</f>
        <v>0</v>
      </c>
      <c r="I844" s="410"/>
      <c r="J844" s="411"/>
      <c r="K844" s="412"/>
    </row>
    <row r="845" spans="1:11" x14ac:dyDescent="0.25">
      <c r="A845" s="680" t="s">
        <v>94</v>
      </c>
      <c r="B845" s="683"/>
      <c r="C845" s="406" t="s">
        <v>43</v>
      </c>
      <c r="F845" s="407"/>
      <c r="G845" s="408">
        <f>IF(E845&lt;8,Factors!H$18,IF(E845&lt;9,Factors!H$19,IF(E845&lt;10,Factors!H$20,IF(E845&lt;11,Factors!H$21,IF(E845&lt;12,Factors!H$22,IF(E845&lt;13,Factors!H$23))))))</f>
        <v>1.3238434163701067</v>
      </c>
      <c r="H845" s="409">
        <f>D845*F845*G845</f>
        <v>0</v>
      </c>
      <c r="I845" s="406"/>
      <c r="J845" s="411"/>
      <c r="K845" s="412"/>
    </row>
    <row r="846" spans="1:11" x14ac:dyDescent="0.25">
      <c r="A846" s="680"/>
      <c r="B846" s="683"/>
      <c r="C846" s="406" t="s">
        <v>166</v>
      </c>
      <c r="F846" s="407"/>
      <c r="G846" s="408">
        <f>IF(E846&lt;8,Factors!H$18,IF(E846&lt;9,Factors!H$19,IF(E846&lt;10,Factors!H$20,IF(E846&lt;11,Factors!H$21,IF(E846&lt;12,Factors!H$22,IF(E846&lt;13,Factors!H$23))))))</f>
        <v>1.3238434163701067</v>
      </c>
      <c r="H846" s="409">
        <f>D846*F846*G846</f>
        <v>0</v>
      </c>
      <c r="I846" s="410"/>
      <c r="J846" s="411"/>
      <c r="K846" s="412"/>
    </row>
    <row r="847" spans="1:11" ht="15.75" thickBot="1" x14ac:dyDescent="0.3">
      <c r="A847" s="680"/>
      <c r="B847" s="683"/>
      <c r="C847" s="415" t="s">
        <v>158</v>
      </c>
      <c r="D847" s="416"/>
      <c r="E847" s="416"/>
      <c r="F847" s="417"/>
      <c r="G847" s="418">
        <f>IF(E847&lt;8,Factors!H$18,IF(E847&lt;9,Factors!H$19,IF(E847&lt;10,Factors!H$20,IF(E847&lt;11,Factors!H$21,IF(E847&lt;12,Factors!H$22,IF(E847&lt;13,Factors!H$23))))))</f>
        <v>1.3238434163701067</v>
      </c>
      <c r="H847" s="419">
        <f>D847*F847*G847</f>
        <v>0</v>
      </c>
      <c r="I847" s="420"/>
      <c r="J847" s="421"/>
      <c r="K847" s="421"/>
    </row>
    <row r="848" spans="1:11" ht="15.75" thickTop="1" x14ac:dyDescent="0.25">
      <c r="A848" s="681"/>
      <c r="B848" s="684"/>
      <c r="C848" s="422"/>
      <c r="D848" s="423"/>
      <c r="E848" s="423"/>
      <c r="F848" s="424"/>
      <c r="G848" s="425"/>
      <c r="H848" s="426">
        <f>SUM(H843:H847)</f>
        <v>0</v>
      </c>
      <c r="I848" s="427">
        <f>AG$10</f>
        <v>1.1111111111111112</v>
      </c>
      <c r="J848" s="428">
        <f>H848*I848*J$13+K848</f>
        <v>0</v>
      </c>
      <c r="K848" s="429">
        <f>K847+K846</f>
        <v>0</v>
      </c>
    </row>
    <row r="849" spans="1:11" x14ac:dyDescent="0.25">
      <c r="B849" s="397"/>
    </row>
    <row r="850" spans="1:11" x14ac:dyDescent="0.25">
      <c r="A850" s="679" t="s">
        <v>95</v>
      </c>
      <c r="B850" s="682">
        <f>B843+1</f>
        <v>45995</v>
      </c>
      <c r="C850" s="398" t="s">
        <v>9</v>
      </c>
      <c r="D850" s="399"/>
      <c r="E850" s="399"/>
      <c r="F850" s="400"/>
      <c r="G850" s="401">
        <f>IF(E850&lt;8,Factors!F$18,IF(E850&lt;9,Factors!F$19,IF(E850&lt;10,Factors!F$20,IF(E850&lt;11,Factors!F$21,IF(E850&lt;12,Factors!F$22,IF(E850&lt;13,Factors!F$23))))))</f>
        <v>1.2308917197452229</v>
      </c>
      <c r="H850" s="402">
        <f>D850*F850*G850</f>
        <v>0</v>
      </c>
      <c r="I850" s="403"/>
      <c r="J850" s="404"/>
      <c r="K850" s="405"/>
    </row>
    <row r="851" spans="1:11" x14ac:dyDescent="0.25">
      <c r="A851" s="680"/>
      <c r="B851" s="683"/>
      <c r="C851" s="406" t="s">
        <v>174</v>
      </c>
      <c r="F851" s="407"/>
      <c r="G851" s="408">
        <f>IF(E851&lt;8,Factors!H$18,IF(E851&lt;9,Factors!H$19,IF(E851&lt;10,Factors!H$20,IF(E851&lt;11,Factors!H$21,IF(E851&lt;12,Factors!H$22,IF(E851&lt;13,Factors!H$23))))))</f>
        <v>1.3238434163701067</v>
      </c>
      <c r="H851" s="409">
        <f>D851*F851*G851</f>
        <v>0</v>
      </c>
      <c r="I851" s="410"/>
      <c r="J851" s="411"/>
      <c r="K851" s="412"/>
    </row>
    <row r="852" spans="1:11" x14ac:dyDescent="0.25">
      <c r="A852" s="680" t="s">
        <v>94</v>
      </c>
      <c r="B852" s="683"/>
      <c r="C852" s="406" t="s">
        <v>43</v>
      </c>
      <c r="F852" s="407"/>
      <c r="G852" s="408">
        <f>IF(E852&lt;8,Factors!H$18,IF(E852&lt;9,Factors!H$19,IF(E852&lt;10,Factors!H$20,IF(E852&lt;11,Factors!H$21,IF(E852&lt;12,Factors!H$22,IF(E852&lt;13,Factors!H$23))))))</f>
        <v>1.3238434163701067</v>
      </c>
      <c r="H852" s="409">
        <f>D852*F852*G852</f>
        <v>0</v>
      </c>
      <c r="I852" s="406"/>
      <c r="J852" s="411"/>
      <c r="K852" s="412"/>
    </row>
    <row r="853" spans="1:11" x14ac:dyDescent="0.25">
      <c r="A853" s="680"/>
      <c r="B853" s="683"/>
      <c r="C853" s="406" t="s">
        <v>166</v>
      </c>
      <c r="F853" s="407"/>
      <c r="G853" s="408">
        <f>IF(E853&lt;8,Factors!H$18,IF(E853&lt;9,Factors!H$19,IF(E853&lt;10,Factors!H$20,IF(E853&lt;11,Factors!H$21,IF(E853&lt;12,Factors!H$22,IF(E853&lt;13,Factors!H$23))))))</f>
        <v>1.3238434163701067</v>
      </c>
      <c r="H853" s="409">
        <f>D853*F853*G853</f>
        <v>0</v>
      </c>
      <c r="I853" s="410"/>
      <c r="J853" s="411"/>
      <c r="K853" s="412"/>
    </row>
    <row r="854" spans="1:11" ht="15.75" thickBot="1" x14ac:dyDescent="0.3">
      <c r="A854" s="680"/>
      <c r="B854" s="683"/>
      <c r="C854" s="415" t="s">
        <v>158</v>
      </c>
      <c r="D854" s="416"/>
      <c r="E854" s="416"/>
      <c r="F854" s="417"/>
      <c r="G854" s="418">
        <f>IF(E854&lt;8,Factors!H$18,IF(E854&lt;9,Factors!H$19,IF(E854&lt;10,Factors!H$20,IF(E854&lt;11,Factors!H$21,IF(E854&lt;12,Factors!H$22,IF(E854&lt;13,Factors!H$23))))))</f>
        <v>1.3238434163701067</v>
      </c>
      <c r="H854" s="419">
        <f>D854*F854*G854</f>
        <v>0</v>
      </c>
      <c r="I854" s="420"/>
      <c r="J854" s="421"/>
      <c r="K854" s="421"/>
    </row>
    <row r="855" spans="1:11" ht="15.75" thickTop="1" x14ac:dyDescent="0.25">
      <c r="A855" s="681"/>
      <c r="B855" s="684"/>
      <c r="C855" s="422"/>
      <c r="D855" s="423"/>
      <c r="E855" s="423"/>
      <c r="F855" s="424"/>
      <c r="G855" s="425"/>
      <c r="H855" s="426">
        <f>SUM(H850:H854)</f>
        <v>0</v>
      </c>
      <c r="I855" s="427">
        <f>D500</f>
        <v>26</v>
      </c>
      <c r="J855" s="428">
        <f>H855*I855*J$13+K855</f>
        <v>0</v>
      </c>
      <c r="K855" s="429">
        <f>K854+K853</f>
        <v>0</v>
      </c>
    </row>
    <row r="856" spans="1:11" x14ac:dyDescent="0.25">
      <c r="B856" s="397"/>
    </row>
    <row r="857" spans="1:11" x14ac:dyDescent="0.25">
      <c r="A857" s="679" t="s">
        <v>13</v>
      </c>
      <c r="B857" s="682">
        <f>B850+1</f>
        <v>45996</v>
      </c>
      <c r="C857" s="398" t="s">
        <v>9</v>
      </c>
      <c r="D857" s="399"/>
      <c r="E857" s="399"/>
      <c r="F857" s="400"/>
      <c r="G857" s="401">
        <f>IF(E857&lt;8,Factors!F$18,IF(E857&lt;9,Factors!F$19,IF(E857&lt;10,Factors!F$20,IF(E857&lt;11,Factors!F$21,IF(E857&lt;12,Factors!F$22,IF(E857&lt;13,Factors!F$23))))))</f>
        <v>1.2308917197452229</v>
      </c>
      <c r="H857" s="402">
        <f>D857*F857*G857</f>
        <v>0</v>
      </c>
      <c r="I857" s="403"/>
      <c r="J857" s="404"/>
      <c r="K857" s="405"/>
    </row>
    <row r="858" spans="1:11" x14ac:dyDescent="0.25">
      <c r="A858" s="680"/>
      <c r="B858" s="683"/>
      <c r="C858" s="406" t="s">
        <v>174</v>
      </c>
      <c r="F858" s="407"/>
      <c r="G858" s="408">
        <f>IF(E858&lt;8,Factors!H$18,IF(E858&lt;9,Factors!H$19,IF(E858&lt;10,Factors!H$20,IF(E858&lt;11,Factors!H$21,IF(E858&lt;12,Factors!H$22,IF(E858&lt;13,Factors!H$23))))))</f>
        <v>1.3238434163701067</v>
      </c>
      <c r="H858" s="409">
        <f>D858*F858*G858</f>
        <v>0</v>
      </c>
      <c r="I858" s="410"/>
      <c r="J858" s="411"/>
      <c r="K858" s="412"/>
    </row>
    <row r="859" spans="1:11" x14ac:dyDescent="0.25">
      <c r="A859" s="680" t="s">
        <v>94</v>
      </c>
      <c r="B859" s="683"/>
      <c r="C859" s="406" t="s">
        <v>43</v>
      </c>
      <c r="F859" s="407"/>
      <c r="G859" s="408">
        <f>IF(E859&lt;8,Factors!H$18,IF(E859&lt;9,Factors!H$19,IF(E859&lt;10,Factors!H$20,IF(E859&lt;11,Factors!H$21,IF(E859&lt;12,Factors!H$22,IF(E859&lt;13,Factors!H$23))))))</f>
        <v>1.3238434163701067</v>
      </c>
      <c r="H859" s="409">
        <f>D859*F859*G859</f>
        <v>0</v>
      </c>
      <c r="I859" s="406"/>
      <c r="J859" s="411"/>
      <c r="K859" s="412"/>
    </row>
    <row r="860" spans="1:11" x14ac:dyDescent="0.25">
      <c r="A860" s="680"/>
      <c r="B860" s="683"/>
      <c r="C860" s="406" t="s">
        <v>166</v>
      </c>
      <c r="F860" s="407"/>
      <c r="G860" s="408">
        <f>IF(E860&lt;8,Factors!H$18,IF(E860&lt;9,Factors!H$19,IF(E860&lt;10,Factors!H$20,IF(E860&lt;11,Factors!H$21,IF(E860&lt;12,Factors!H$22,IF(E860&lt;13,Factors!H$23))))))</f>
        <v>1.3238434163701067</v>
      </c>
      <c r="H860" s="409">
        <f>D860*F860*G860</f>
        <v>0</v>
      </c>
      <c r="I860" s="410"/>
      <c r="J860" s="411"/>
      <c r="K860" s="412"/>
    </row>
    <row r="861" spans="1:11" ht="15.75" thickBot="1" x14ac:dyDescent="0.3">
      <c r="A861" s="680"/>
      <c r="B861" s="683"/>
      <c r="C861" s="415" t="s">
        <v>158</v>
      </c>
      <c r="D861" s="416"/>
      <c r="E861" s="416"/>
      <c r="F861" s="417"/>
      <c r="G861" s="418">
        <f>IF(E861&lt;8,Factors!H$18,IF(E861&lt;9,Factors!H$19,IF(E861&lt;10,Factors!H$20,IF(E861&lt;11,Factors!H$21,IF(E861&lt;12,Factors!H$22,IF(E861&lt;13,Factors!H$23))))))</f>
        <v>1.3238434163701067</v>
      </c>
      <c r="H861" s="419">
        <f>D861*F861*G861</f>
        <v>0</v>
      </c>
      <c r="I861" s="420"/>
      <c r="J861" s="421"/>
      <c r="K861" s="421"/>
    </row>
    <row r="862" spans="1:11" ht="15.75" thickTop="1" x14ac:dyDescent="0.25">
      <c r="A862" s="681"/>
      <c r="B862" s="684"/>
      <c r="C862" s="422"/>
      <c r="D862" s="423"/>
      <c r="E862" s="423"/>
      <c r="F862" s="424"/>
      <c r="G862" s="425"/>
      <c r="H862" s="426">
        <f>SUM(H857:H861)</f>
        <v>0</v>
      </c>
      <c r="I862" s="427">
        <f>M500</f>
        <v>0</v>
      </c>
      <c r="J862" s="428">
        <f>H862*I862*J$13+K862</f>
        <v>0</v>
      </c>
      <c r="K862" s="429">
        <f>K861+K860</f>
        <v>0</v>
      </c>
    </row>
    <row r="863" spans="1:11" x14ac:dyDescent="0.25">
      <c r="B863" s="397"/>
      <c r="G863" s="414"/>
      <c r="H863" s="414"/>
      <c r="I863" s="430"/>
    </row>
    <row r="864" spans="1:11" x14ac:dyDescent="0.25">
      <c r="A864" s="680" t="s">
        <v>14</v>
      </c>
      <c r="B864" s="682">
        <f>B857+1</f>
        <v>45997</v>
      </c>
      <c r="C864" s="398" t="s">
        <v>9</v>
      </c>
      <c r="D864" s="399"/>
      <c r="E864" s="399"/>
      <c r="F864" s="400"/>
      <c r="G864" s="401">
        <f>IF(E864&lt;8,Factors!F$18,IF(E864&lt;9,Factors!F$19,IF(E864&lt;10,Factors!F$20,IF(E864&lt;11,Factors!F$21,IF(E864&lt;12,Factors!F$22,IF(E864&lt;13,Factors!F$23))))))</f>
        <v>1.2308917197452229</v>
      </c>
      <c r="H864" s="402">
        <f>D864*F864*G864</f>
        <v>0</v>
      </c>
      <c r="I864" s="403"/>
      <c r="J864" s="404"/>
      <c r="K864" s="405"/>
    </row>
    <row r="865" spans="1:11" x14ac:dyDescent="0.25">
      <c r="A865" s="680"/>
      <c r="B865" s="683"/>
      <c r="C865" s="406" t="s">
        <v>174</v>
      </c>
      <c r="F865" s="407"/>
      <c r="G865" s="408">
        <f>IF(E865&lt;8,Factors!H$18,IF(E865&lt;9,Factors!H$19,IF(E865&lt;10,Factors!H$20,IF(E865&lt;11,Factors!H$21,IF(E865&lt;12,Factors!H$22,IF(E865&lt;13,Factors!H$23))))))</f>
        <v>1.3238434163701067</v>
      </c>
      <c r="H865" s="409">
        <f>D865*F865*G865</f>
        <v>0</v>
      </c>
      <c r="I865" s="410"/>
      <c r="J865" s="411"/>
      <c r="K865" s="412"/>
    </row>
    <row r="866" spans="1:11" x14ac:dyDescent="0.25">
      <c r="A866" s="680" t="s">
        <v>94</v>
      </c>
      <c r="B866" s="683"/>
      <c r="C866" s="406" t="s">
        <v>43</v>
      </c>
      <c r="F866" s="407"/>
      <c r="G866" s="408">
        <f>IF(E866&lt;8,Factors!H$18,IF(E866&lt;9,Factors!H$19,IF(E866&lt;10,Factors!H$20,IF(E866&lt;11,Factors!H$21,IF(E866&lt;12,Factors!H$22,IF(E866&lt;13,Factors!H$23))))))</f>
        <v>1.3238434163701067</v>
      </c>
      <c r="H866" s="409">
        <f>D866*F866*G866</f>
        <v>0</v>
      </c>
      <c r="I866" s="406"/>
      <c r="J866" s="411"/>
      <c r="K866" s="412"/>
    </row>
    <row r="867" spans="1:11" x14ac:dyDescent="0.25">
      <c r="A867" s="680"/>
      <c r="B867" s="683"/>
      <c r="C867" s="406" t="s">
        <v>166</v>
      </c>
      <c r="F867" s="407"/>
      <c r="G867" s="408">
        <f>IF(E867&lt;8,Factors!H$18,IF(E867&lt;9,Factors!H$19,IF(E867&lt;10,Factors!H$20,IF(E867&lt;11,Factors!H$21,IF(E867&lt;12,Factors!H$22,IF(E867&lt;13,Factors!H$23))))))</f>
        <v>1.3238434163701067</v>
      </c>
      <c r="H867" s="409">
        <f>D867*F867*G867</f>
        <v>0</v>
      </c>
      <c r="I867" s="410"/>
      <c r="J867" s="411"/>
      <c r="K867" s="412"/>
    </row>
    <row r="868" spans="1:11" ht="15.75" thickBot="1" x14ac:dyDescent="0.3">
      <c r="A868" s="680"/>
      <c r="B868" s="683"/>
      <c r="C868" s="415" t="s">
        <v>158</v>
      </c>
      <c r="D868" s="416"/>
      <c r="E868" s="416"/>
      <c r="F868" s="417"/>
      <c r="G868" s="418">
        <f>IF(E868&lt;8,Factors!H$18,IF(E868&lt;9,Factors!H$19,IF(E868&lt;10,Factors!H$20,IF(E868&lt;11,Factors!H$21,IF(E868&lt;12,Factors!H$22,IF(E868&lt;13,Factors!H$23))))))</f>
        <v>1.3238434163701067</v>
      </c>
      <c r="H868" s="419">
        <f>D868*F868*G868</f>
        <v>0</v>
      </c>
      <c r="I868" s="420"/>
      <c r="J868" s="421"/>
      <c r="K868" s="421"/>
    </row>
    <row r="869" spans="1:11" ht="15.75" thickTop="1" x14ac:dyDescent="0.25">
      <c r="A869" s="681"/>
      <c r="B869" s="684"/>
      <c r="C869" s="422"/>
      <c r="D869" s="423"/>
      <c r="E869" s="423"/>
      <c r="F869" s="424"/>
      <c r="G869" s="425"/>
      <c r="H869" s="426">
        <f>SUM(H864:H868)</f>
        <v>0</v>
      </c>
      <c r="I869" s="427">
        <v>1.111</v>
      </c>
      <c r="J869" s="428">
        <f>H869*I869*J$13+K869</f>
        <v>0</v>
      </c>
      <c r="K869" s="429">
        <f>K868+K867</f>
        <v>0</v>
      </c>
    </row>
    <row r="870" spans="1:11" x14ac:dyDescent="0.25">
      <c r="B870" s="397"/>
    </row>
    <row r="871" spans="1:11" x14ac:dyDescent="0.25">
      <c r="A871" s="679" t="s">
        <v>15</v>
      </c>
      <c r="B871" s="682">
        <f>B864+1</f>
        <v>45998</v>
      </c>
      <c r="C871" s="398" t="s">
        <v>9</v>
      </c>
      <c r="D871" s="399"/>
      <c r="E871" s="399"/>
      <c r="F871" s="400"/>
      <c r="G871" s="401">
        <f>IF(E871&lt;8,Factors!F$18,IF(E871&lt;9,Factors!F$19,IF(E871&lt;10,Factors!F$20,IF(E871&lt;11,Factors!F$21,IF(E871&lt;12,Factors!F$22,IF(E871&lt;13,Factors!F$23))))))</f>
        <v>1.2308917197452229</v>
      </c>
      <c r="H871" s="402">
        <f>D871*F871*G871</f>
        <v>0</v>
      </c>
      <c r="I871" s="403"/>
      <c r="J871" s="404"/>
      <c r="K871" s="405"/>
    </row>
    <row r="872" spans="1:11" x14ac:dyDescent="0.25">
      <c r="A872" s="680"/>
      <c r="B872" s="683"/>
      <c r="C872" s="406" t="s">
        <v>174</v>
      </c>
      <c r="F872" s="407"/>
      <c r="G872" s="408">
        <f>IF(E872&lt;8,Factors!H$18,IF(E872&lt;9,Factors!H$19,IF(E872&lt;10,Factors!H$20,IF(E872&lt;11,Factors!H$21,IF(E872&lt;12,Factors!H$22,IF(E872&lt;13,Factors!H$23))))))</f>
        <v>1.3238434163701067</v>
      </c>
      <c r="H872" s="409">
        <f>D872*F872*G872</f>
        <v>0</v>
      </c>
      <c r="I872" s="410"/>
      <c r="J872" s="411"/>
      <c r="K872" s="412"/>
    </row>
    <row r="873" spans="1:11" x14ac:dyDescent="0.25">
      <c r="A873" s="680" t="s">
        <v>94</v>
      </c>
      <c r="B873" s="683"/>
      <c r="C873" s="406" t="s">
        <v>43</v>
      </c>
      <c r="F873" s="407"/>
      <c r="G873" s="408">
        <f>IF(E873&lt;8,Factors!H$18,IF(E873&lt;9,Factors!H$19,IF(E873&lt;10,Factors!H$20,IF(E873&lt;11,Factors!H$21,IF(E873&lt;12,Factors!H$22,IF(E873&lt;13,Factors!H$23))))))</f>
        <v>1.3238434163701067</v>
      </c>
      <c r="H873" s="409">
        <f>D873*F873*G873</f>
        <v>0</v>
      </c>
      <c r="I873" s="406"/>
      <c r="J873" s="411"/>
      <c r="K873" s="412"/>
    </row>
    <row r="874" spans="1:11" x14ac:dyDescent="0.25">
      <c r="A874" s="680"/>
      <c r="B874" s="683"/>
      <c r="C874" s="406" t="s">
        <v>166</v>
      </c>
      <c r="F874" s="407"/>
      <c r="G874" s="408">
        <f>IF(E874&lt;8,Factors!H$18,IF(E874&lt;9,Factors!H$19,IF(E874&lt;10,Factors!H$20,IF(E874&lt;11,Factors!H$21,IF(E874&lt;12,Factors!H$22,IF(E874&lt;13,Factors!H$23))))))</f>
        <v>1.3238434163701067</v>
      </c>
      <c r="H874" s="409">
        <f>D874*F874*G874</f>
        <v>0</v>
      </c>
      <c r="I874" s="410"/>
      <c r="J874" s="411"/>
      <c r="K874" s="412"/>
    </row>
    <row r="875" spans="1:11" ht="15.75" thickBot="1" x14ac:dyDescent="0.3">
      <c r="A875" s="680"/>
      <c r="B875" s="683"/>
      <c r="C875" s="415" t="s">
        <v>158</v>
      </c>
      <c r="D875" s="416"/>
      <c r="E875" s="416"/>
      <c r="F875" s="417"/>
      <c r="G875" s="418">
        <f>IF(E875&lt;8,Factors!H$18,IF(E875&lt;9,Factors!H$19,IF(E875&lt;10,Factors!H$20,IF(E875&lt;11,Factors!H$21,IF(E875&lt;12,Factors!H$22,IF(E875&lt;13,Factors!H$23))))))</f>
        <v>1.3238434163701067</v>
      </c>
      <c r="H875" s="419">
        <f>D875*F875*G875</f>
        <v>0</v>
      </c>
      <c r="I875" s="420"/>
      <c r="J875" s="421"/>
      <c r="K875" s="421"/>
    </row>
    <row r="876" spans="1:11" ht="15.75" thickTop="1" x14ac:dyDescent="0.25">
      <c r="A876" s="681"/>
      <c r="B876" s="684"/>
      <c r="C876" s="422"/>
      <c r="D876" s="423"/>
      <c r="E876" s="423"/>
      <c r="F876" s="424"/>
      <c r="G876" s="425"/>
      <c r="H876" s="426">
        <f>SUM(H871:H875)</f>
        <v>0</v>
      </c>
      <c r="I876" s="427">
        <v>1.111</v>
      </c>
      <c r="J876" s="428">
        <f>H876*I876*J$13+K876</f>
        <v>0</v>
      </c>
      <c r="K876" s="429">
        <f>K875+K874</f>
        <v>0</v>
      </c>
    </row>
    <row r="877" spans="1:11" x14ac:dyDescent="0.25">
      <c r="B877" s="397"/>
      <c r="J877" s="430"/>
    </row>
    <row r="878" spans="1:11" x14ac:dyDescent="0.25">
      <c r="A878" s="679" t="s">
        <v>7</v>
      </c>
      <c r="B878" s="682">
        <f>B871+1</f>
        <v>45999</v>
      </c>
      <c r="C878" s="398" t="s">
        <v>9</v>
      </c>
      <c r="D878" s="399"/>
      <c r="E878" s="399"/>
      <c r="F878" s="400"/>
      <c r="G878" s="401">
        <f>IF(E878&lt;8,Factors!F$18,IF(E878&lt;9,Factors!F$19,IF(E878&lt;10,Factors!F$20,IF(E878&lt;11,Factors!F$21,IF(E878&lt;12,Factors!F$22,IF(E878&lt;13,Factors!F$23))))))</f>
        <v>1.2308917197452229</v>
      </c>
      <c r="H878" s="402">
        <f>D878*F878*G878</f>
        <v>0</v>
      </c>
      <c r="I878" s="403"/>
      <c r="J878" s="404"/>
      <c r="K878" s="405"/>
    </row>
    <row r="879" spans="1:11" x14ac:dyDescent="0.25">
      <c r="A879" s="680"/>
      <c r="B879" s="683"/>
      <c r="C879" s="406" t="s">
        <v>174</v>
      </c>
      <c r="F879" s="407"/>
      <c r="G879" s="408">
        <f>IF(E879&lt;8,Factors!H$18,IF(E879&lt;9,Factors!H$19,IF(E879&lt;10,Factors!H$20,IF(E879&lt;11,Factors!H$21,IF(E879&lt;12,Factors!H$22,IF(E879&lt;13,Factors!H$23))))))</f>
        <v>1.3238434163701067</v>
      </c>
      <c r="H879" s="409">
        <f>D879*F879*G879</f>
        <v>0</v>
      </c>
      <c r="I879" s="410"/>
      <c r="J879" s="411"/>
      <c r="K879" s="412"/>
    </row>
    <row r="880" spans="1:11" x14ac:dyDescent="0.25">
      <c r="A880" s="680" t="s">
        <v>94</v>
      </c>
      <c r="B880" s="683"/>
      <c r="C880" s="406" t="s">
        <v>43</v>
      </c>
      <c r="F880" s="407"/>
      <c r="G880" s="408">
        <f>IF(E880&lt;8,Factors!H$18,IF(E880&lt;9,Factors!H$19,IF(E880&lt;10,Factors!H$20,IF(E880&lt;11,Factors!H$21,IF(E880&lt;12,Factors!H$22,IF(E880&lt;13,Factors!H$23))))))</f>
        <v>1.3238434163701067</v>
      </c>
      <c r="H880" s="409">
        <f>D880*F880*G880</f>
        <v>0</v>
      </c>
      <c r="I880" s="406"/>
      <c r="J880" s="411"/>
      <c r="K880" s="412"/>
    </row>
    <row r="881" spans="1:11" x14ac:dyDescent="0.25">
      <c r="A881" s="680"/>
      <c r="B881" s="683"/>
      <c r="C881" s="406" t="s">
        <v>166</v>
      </c>
      <c r="F881" s="407"/>
      <c r="G881" s="408">
        <f>IF(E881&lt;8,Factors!H$18,IF(E881&lt;9,Factors!H$19,IF(E881&lt;10,Factors!H$20,IF(E881&lt;11,Factors!H$21,IF(E881&lt;12,Factors!H$22,IF(E881&lt;13,Factors!H$23))))))</f>
        <v>1.3238434163701067</v>
      </c>
      <c r="H881" s="409">
        <f>D881*F881*G881</f>
        <v>0</v>
      </c>
      <c r="I881" s="410"/>
      <c r="J881" s="411"/>
      <c r="K881" s="412"/>
    </row>
    <row r="882" spans="1:11" ht="15.75" thickBot="1" x14ac:dyDescent="0.3">
      <c r="A882" s="680"/>
      <c r="B882" s="683"/>
      <c r="C882" s="415" t="s">
        <v>158</v>
      </c>
      <c r="D882" s="416"/>
      <c r="E882" s="416"/>
      <c r="F882" s="417"/>
      <c r="G882" s="418">
        <f>IF(E882&lt;8,Factors!H$18,IF(E882&lt;9,Factors!H$19,IF(E882&lt;10,Factors!H$20,IF(E882&lt;11,Factors!H$21,IF(E882&lt;12,Factors!H$22,IF(E882&lt;13,Factors!H$23))))))</f>
        <v>1.3238434163701067</v>
      </c>
      <c r="H882" s="419">
        <f>D882*F882*G882</f>
        <v>0</v>
      </c>
      <c r="I882" s="420"/>
      <c r="J882" s="421"/>
      <c r="K882" s="421"/>
    </row>
    <row r="883" spans="1:11" ht="15.75" thickTop="1" x14ac:dyDescent="0.25">
      <c r="A883" s="681"/>
      <c r="B883" s="684"/>
      <c r="C883" s="422"/>
      <c r="D883" s="423"/>
      <c r="E883" s="423"/>
      <c r="F883" s="424"/>
      <c r="G883" s="425"/>
      <c r="H883" s="426">
        <f>SUM(H878:H882)</f>
        <v>0</v>
      </c>
      <c r="I883" s="427">
        <f>AG500</f>
        <v>0</v>
      </c>
      <c r="J883" s="428">
        <f>H883*I883*J$13+K883</f>
        <v>0</v>
      </c>
      <c r="K883" s="429">
        <f>K882+K881</f>
        <v>0</v>
      </c>
    </row>
    <row r="884" spans="1:11" x14ac:dyDescent="0.25">
      <c r="B884" s="397"/>
    </row>
    <row r="885" spans="1:11" x14ac:dyDescent="0.25">
      <c r="A885" s="679" t="s">
        <v>94</v>
      </c>
      <c r="B885" s="682">
        <f>B878+1</f>
        <v>46000</v>
      </c>
      <c r="C885" s="398" t="s">
        <v>9</v>
      </c>
      <c r="D885" s="399"/>
      <c r="E885" s="399"/>
      <c r="F885" s="400"/>
      <c r="G885" s="401">
        <f>IF(E885&lt;8,Factors!F$18,IF(E885&lt;9,Factors!F$19,IF(E885&lt;10,Factors!F$20,IF(E885&lt;11,Factors!F$21,IF(E885&lt;12,Factors!F$22,IF(E885&lt;13,Factors!F$23))))))</f>
        <v>1.2308917197452229</v>
      </c>
      <c r="H885" s="402">
        <f>D885*F885*G885</f>
        <v>0</v>
      </c>
      <c r="I885" s="403"/>
      <c r="J885" s="404"/>
      <c r="K885" s="405"/>
    </row>
    <row r="886" spans="1:11" x14ac:dyDescent="0.25">
      <c r="A886" s="680"/>
      <c r="B886" s="683"/>
      <c r="C886" s="406" t="s">
        <v>174</v>
      </c>
      <c r="F886" s="407"/>
      <c r="G886" s="408">
        <f>IF(E886&lt;8,Factors!H$18,IF(E886&lt;9,Factors!H$19,IF(E886&lt;10,Factors!H$20,IF(E886&lt;11,Factors!H$21,IF(E886&lt;12,Factors!H$22,IF(E886&lt;13,Factors!H$23))))))</f>
        <v>1.3238434163701067</v>
      </c>
      <c r="H886" s="409">
        <f>D886*F886*G886</f>
        <v>0</v>
      </c>
      <c r="I886" s="410"/>
      <c r="J886" s="411"/>
      <c r="K886" s="412"/>
    </row>
    <row r="887" spans="1:11" x14ac:dyDescent="0.25">
      <c r="A887" s="680" t="s">
        <v>94</v>
      </c>
      <c r="B887" s="683"/>
      <c r="C887" s="406" t="s">
        <v>43</v>
      </c>
      <c r="F887" s="407"/>
      <c r="G887" s="408">
        <f>IF(E887&lt;8,Factors!H$18,IF(E887&lt;9,Factors!H$19,IF(E887&lt;10,Factors!H$20,IF(E887&lt;11,Factors!H$21,IF(E887&lt;12,Factors!H$22,IF(E887&lt;13,Factors!H$23))))))</f>
        <v>1.3238434163701067</v>
      </c>
      <c r="H887" s="409">
        <f>D887*F887*G887</f>
        <v>0</v>
      </c>
      <c r="I887" s="406"/>
      <c r="J887" s="411"/>
      <c r="K887" s="412"/>
    </row>
    <row r="888" spans="1:11" x14ac:dyDescent="0.25">
      <c r="A888" s="680"/>
      <c r="B888" s="683"/>
      <c r="C888" s="406" t="s">
        <v>166</v>
      </c>
      <c r="F888" s="407"/>
      <c r="G888" s="408">
        <f>IF(E888&lt;8,Factors!H$18,IF(E888&lt;9,Factors!H$19,IF(E888&lt;10,Factors!H$20,IF(E888&lt;11,Factors!H$21,IF(E888&lt;12,Factors!H$22,IF(E888&lt;13,Factors!H$23))))))</f>
        <v>1.3238434163701067</v>
      </c>
      <c r="H888" s="409">
        <f>D888*F888*G888</f>
        <v>0</v>
      </c>
      <c r="I888" s="410"/>
      <c r="J888" s="411"/>
      <c r="K888" s="412"/>
    </row>
    <row r="889" spans="1:11" ht="15.75" thickBot="1" x14ac:dyDescent="0.3">
      <c r="A889" s="680"/>
      <c r="B889" s="683"/>
      <c r="C889" s="415" t="s">
        <v>158</v>
      </c>
      <c r="D889" s="416"/>
      <c r="E889" s="416"/>
      <c r="F889" s="417"/>
      <c r="G889" s="418">
        <f>IF(E889&lt;8,Factors!H$18,IF(E889&lt;9,Factors!H$19,IF(E889&lt;10,Factors!H$20,IF(E889&lt;11,Factors!H$21,IF(E889&lt;12,Factors!H$22,IF(E889&lt;13,Factors!H$23))))))</f>
        <v>1.3238434163701067</v>
      </c>
      <c r="H889" s="419">
        <f>D889*F889*G889</f>
        <v>0</v>
      </c>
      <c r="I889" s="420"/>
      <c r="J889" s="421"/>
      <c r="K889" s="421"/>
    </row>
    <row r="890" spans="1:11" ht="15.75" thickTop="1" x14ac:dyDescent="0.25">
      <c r="A890" s="681"/>
      <c r="B890" s="684"/>
      <c r="C890" s="422"/>
      <c r="D890" s="423"/>
      <c r="E890" s="423"/>
      <c r="F890" s="424"/>
      <c r="G890" s="425"/>
      <c r="H890" s="426">
        <f>SUM(H885:H889)</f>
        <v>0</v>
      </c>
      <c r="I890" s="427">
        <v>1.111</v>
      </c>
      <c r="J890" s="428">
        <f>H890*I890*J$13+K890</f>
        <v>0</v>
      </c>
      <c r="K890" s="429">
        <f>K889+K888</f>
        <v>0</v>
      </c>
    </row>
    <row r="891" spans="1:11" x14ac:dyDescent="0.25">
      <c r="B891" s="397"/>
      <c r="F891" s="407"/>
      <c r="J891" s="430"/>
    </row>
    <row r="892" spans="1:11" x14ac:dyDescent="0.25">
      <c r="A892" s="679" t="s">
        <v>11</v>
      </c>
      <c r="B892" s="682">
        <f>B885+1</f>
        <v>46001</v>
      </c>
      <c r="C892" s="398" t="s">
        <v>9</v>
      </c>
      <c r="D892" s="399"/>
      <c r="E892" s="399"/>
      <c r="F892" s="400"/>
      <c r="G892" s="401">
        <f>IF(E892&lt;8,Factors!F$18,IF(E892&lt;9,Factors!F$19,IF(E892&lt;10,Factors!F$20,IF(E892&lt;11,Factors!F$21,IF(E892&lt;12,Factors!F$22,IF(E892&lt;13,Factors!F$23))))))</f>
        <v>1.2308917197452229</v>
      </c>
      <c r="H892" s="402">
        <f>D892*F892*G892</f>
        <v>0</v>
      </c>
      <c r="I892" s="403"/>
      <c r="J892" s="404"/>
      <c r="K892" s="405"/>
    </row>
    <row r="893" spans="1:11" x14ac:dyDescent="0.25">
      <c r="A893" s="680"/>
      <c r="B893" s="683"/>
      <c r="C893" s="406" t="s">
        <v>174</v>
      </c>
      <c r="F893" s="407"/>
      <c r="G893" s="408">
        <f>IF(E893&lt;8,Factors!H$18,IF(E893&lt;9,Factors!H$19,IF(E893&lt;10,Factors!H$20,IF(E893&lt;11,Factors!H$21,IF(E893&lt;12,Factors!H$22,IF(E893&lt;13,Factors!H$23))))))</f>
        <v>1.3238434163701067</v>
      </c>
      <c r="H893" s="409">
        <f>D893*F893*G893</f>
        <v>0</v>
      </c>
      <c r="I893" s="410"/>
      <c r="J893" s="411"/>
      <c r="K893" s="412"/>
    </row>
    <row r="894" spans="1:11" x14ac:dyDescent="0.25">
      <c r="A894" s="680" t="s">
        <v>94</v>
      </c>
      <c r="B894" s="683"/>
      <c r="C894" s="406" t="s">
        <v>43</v>
      </c>
      <c r="F894" s="407"/>
      <c r="G894" s="408">
        <f>IF(E894&lt;8,Factors!H$18,IF(E894&lt;9,Factors!H$19,IF(E894&lt;10,Factors!H$20,IF(E894&lt;11,Factors!H$21,IF(E894&lt;12,Factors!H$22,IF(E894&lt;13,Factors!H$23))))))</f>
        <v>1.3238434163701067</v>
      </c>
      <c r="H894" s="409">
        <f>D894*F894*G894</f>
        <v>0</v>
      </c>
      <c r="I894" s="406"/>
      <c r="J894" s="411"/>
      <c r="K894" s="412"/>
    </row>
    <row r="895" spans="1:11" x14ac:dyDescent="0.25">
      <c r="A895" s="680"/>
      <c r="B895" s="683"/>
      <c r="C895" s="406" t="s">
        <v>166</v>
      </c>
      <c r="F895" s="407"/>
      <c r="G895" s="408">
        <f>IF(E895&lt;8,Factors!H$18,IF(E895&lt;9,Factors!H$19,IF(E895&lt;10,Factors!H$20,IF(E895&lt;11,Factors!H$21,IF(E895&lt;12,Factors!H$22,IF(E895&lt;13,Factors!H$23))))))</f>
        <v>1.3238434163701067</v>
      </c>
      <c r="H895" s="409">
        <f>D895*F895*G895</f>
        <v>0</v>
      </c>
      <c r="I895" s="410"/>
      <c r="J895" s="411"/>
      <c r="K895" s="412"/>
    </row>
    <row r="896" spans="1:11" ht="15.75" thickBot="1" x14ac:dyDescent="0.3">
      <c r="A896" s="680"/>
      <c r="B896" s="683"/>
      <c r="C896" s="415" t="s">
        <v>158</v>
      </c>
      <c r="D896" s="416"/>
      <c r="E896" s="416"/>
      <c r="F896" s="417"/>
      <c r="G896" s="418">
        <f>IF(E896&lt;8,Factors!H$18,IF(E896&lt;9,Factors!H$19,IF(E896&lt;10,Factors!H$20,IF(E896&lt;11,Factors!H$21,IF(E896&lt;12,Factors!H$22,IF(E896&lt;13,Factors!H$23))))))</f>
        <v>1.3238434163701067</v>
      </c>
      <c r="H896" s="419">
        <f>D896*F896*G896</f>
        <v>0</v>
      </c>
      <c r="I896" s="420"/>
      <c r="J896" s="421"/>
      <c r="K896" s="421"/>
    </row>
    <row r="897" spans="1:11" ht="15.75" thickTop="1" x14ac:dyDescent="0.25">
      <c r="A897" s="681"/>
      <c r="B897" s="684"/>
      <c r="C897" s="422"/>
      <c r="D897" s="423"/>
      <c r="E897" s="423"/>
      <c r="F897" s="424"/>
      <c r="G897" s="425"/>
      <c r="H897" s="426">
        <f>SUM(H892:H896)</f>
        <v>0</v>
      </c>
      <c r="I897" s="427">
        <v>1.111</v>
      </c>
      <c r="J897" s="428">
        <f>H897*I897*J$13+K897</f>
        <v>0</v>
      </c>
      <c r="K897" s="429">
        <f>K896+K895</f>
        <v>0</v>
      </c>
    </row>
    <row r="898" spans="1:11" x14ac:dyDescent="0.25">
      <c r="B898" s="397"/>
    </row>
    <row r="899" spans="1:11" x14ac:dyDescent="0.25">
      <c r="A899" s="679" t="s">
        <v>95</v>
      </c>
      <c r="B899" s="682">
        <f>B892+1</f>
        <v>46002</v>
      </c>
      <c r="C899" s="398" t="s">
        <v>9</v>
      </c>
      <c r="D899" s="399"/>
      <c r="E899" s="399"/>
      <c r="F899" s="400"/>
      <c r="G899" s="401">
        <f>IF(E899&lt;8,Factors!F$18,IF(E899&lt;9,Factors!F$19,IF(E899&lt;10,Factors!F$20,IF(E899&lt;11,Factors!F$21,IF(E899&lt;12,Factors!F$22,IF(E899&lt;13,Factors!F$23))))))</f>
        <v>1.2308917197452229</v>
      </c>
      <c r="H899" s="402">
        <f>D899*F899*G899</f>
        <v>0</v>
      </c>
      <c r="I899" s="403"/>
      <c r="J899" s="404"/>
      <c r="K899" s="405"/>
    </row>
    <row r="900" spans="1:11" x14ac:dyDescent="0.25">
      <c r="A900" s="680"/>
      <c r="B900" s="683"/>
      <c r="C900" s="406" t="s">
        <v>174</v>
      </c>
      <c r="F900" s="407"/>
      <c r="G900" s="408">
        <f>IF(E900&lt;8,Factors!H$18,IF(E900&lt;9,Factors!H$19,IF(E900&lt;10,Factors!H$20,IF(E900&lt;11,Factors!H$21,IF(E900&lt;12,Factors!H$22,IF(E900&lt;13,Factors!H$23))))))</f>
        <v>1.3238434163701067</v>
      </c>
      <c r="H900" s="409">
        <f>D900*F900*G900</f>
        <v>0</v>
      </c>
      <c r="I900" s="410"/>
      <c r="J900" s="411"/>
      <c r="K900" s="412"/>
    </row>
    <row r="901" spans="1:11" x14ac:dyDescent="0.25">
      <c r="A901" s="680" t="s">
        <v>94</v>
      </c>
      <c r="B901" s="683"/>
      <c r="C901" s="406" t="s">
        <v>43</v>
      </c>
      <c r="F901" s="407"/>
      <c r="G901" s="408">
        <f>IF(E901&lt;8,Factors!H$18,IF(E901&lt;9,Factors!H$19,IF(E901&lt;10,Factors!H$20,IF(E901&lt;11,Factors!H$21,IF(E901&lt;12,Factors!H$22,IF(E901&lt;13,Factors!H$23))))))</f>
        <v>1.3238434163701067</v>
      </c>
      <c r="H901" s="409">
        <f>D901*F901*G901</f>
        <v>0</v>
      </c>
      <c r="I901" s="406"/>
      <c r="J901" s="411"/>
      <c r="K901" s="412"/>
    </row>
    <row r="902" spans="1:11" x14ac:dyDescent="0.25">
      <c r="A902" s="680"/>
      <c r="B902" s="683"/>
      <c r="C902" s="406" t="s">
        <v>166</v>
      </c>
      <c r="F902" s="407"/>
      <c r="G902" s="408">
        <f>IF(E902&lt;8,Factors!H$18,IF(E902&lt;9,Factors!H$19,IF(E902&lt;10,Factors!H$20,IF(E902&lt;11,Factors!H$21,IF(E902&lt;12,Factors!H$22,IF(E902&lt;13,Factors!H$23))))))</f>
        <v>1.3238434163701067</v>
      </c>
      <c r="H902" s="409">
        <f>D902*F902*G902</f>
        <v>0</v>
      </c>
      <c r="I902" s="410"/>
      <c r="J902" s="411"/>
      <c r="K902" s="412"/>
    </row>
    <row r="903" spans="1:11" ht="15.75" thickBot="1" x14ac:dyDescent="0.3">
      <c r="A903" s="680"/>
      <c r="B903" s="683"/>
      <c r="C903" s="415" t="s">
        <v>158</v>
      </c>
      <c r="D903" s="416"/>
      <c r="E903" s="416"/>
      <c r="F903" s="417"/>
      <c r="G903" s="418">
        <f>IF(E903&lt;8,Factors!H$18,IF(E903&lt;9,Factors!H$19,IF(E903&lt;10,Factors!H$20,IF(E903&lt;11,Factors!H$21,IF(E903&lt;12,Factors!H$22,IF(E903&lt;13,Factors!H$23))))))</f>
        <v>1.3238434163701067</v>
      </c>
      <c r="H903" s="419">
        <f>D903*F903*G903</f>
        <v>0</v>
      </c>
      <c r="I903" s="420"/>
      <c r="J903" s="421"/>
      <c r="K903" s="421"/>
    </row>
    <row r="904" spans="1:11" ht="15.75" thickTop="1" x14ac:dyDescent="0.25">
      <c r="A904" s="681"/>
      <c r="B904" s="684"/>
      <c r="C904" s="422"/>
      <c r="D904" s="423"/>
      <c r="E904" s="423"/>
      <c r="F904" s="424"/>
      <c r="G904" s="425"/>
      <c r="H904" s="426">
        <f>SUM(H899:H903)</f>
        <v>0</v>
      </c>
      <c r="I904" s="427">
        <v>1.111</v>
      </c>
      <c r="J904" s="428">
        <f>H904*I904*J$13+K904</f>
        <v>0</v>
      </c>
      <c r="K904" s="429">
        <f>K903+K902</f>
        <v>0</v>
      </c>
    </row>
    <row r="905" spans="1:11" x14ac:dyDescent="0.25">
      <c r="B905" s="397"/>
      <c r="J905" s="430"/>
    </row>
    <row r="906" spans="1:11" x14ac:dyDescent="0.25">
      <c r="A906" s="679" t="s">
        <v>13</v>
      </c>
      <c r="B906" s="682">
        <f>B899+1</f>
        <v>46003</v>
      </c>
      <c r="C906" s="398" t="s">
        <v>9</v>
      </c>
      <c r="D906" s="399"/>
      <c r="E906" s="399"/>
      <c r="F906" s="400"/>
      <c r="G906" s="401">
        <f>IF(E906&lt;8,Factors!F$18,IF(E906&lt;9,Factors!F$19,IF(E906&lt;10,Factors!F$20,IF(E906&lt;11,Factors!F$21,IF(E906&lt;12,Factors!F$22,IF(E906&lt;13,Factors!F$23))))))</f>
        <v>1.2308917197452229</v>
      </c>
      <c r="H906" s="402">
        <f>D906*F906*G906</f>
        <v>0</v>
      </c>
      <c r="I906" s="403"/>
      <c r="J906" s="404"/>
      <c r="K906" s="405"/>
    </row>
    <row r="907" spans="1:11" x14ac:dyDescent="0.25">
      <c r="A907" s="680"/>
      <c r="B907" s="683"/>
      <c r="C907" s="406" t="s">
        <v>174</v>
      </c>
      <c r="F907" s="407"/>
      <c r="G907" s="408">
        <f>IF(E907&lt;8,Factors!H$18,IF(E907&lt;9,Factors!H$19,IF(E907&lt;10,Factors!H$20,IF(E907&lt;11,Factors!H$21,IF(E907&lt;12,Factors!H$22,IF(E907&lt;13,Factors!H$23))))))</f>
        <v>1.3238434163701067</v>
      </c>
      <c r="H907" s="409">
        <f>D907*F907*G907</f>
        <v>0</v>
      </c>
      <c r="I907" s="410"/>
      <c r="J907" s="411"/>
      <c r="K907" s="412"/>
    </row>
    <row r="908" spans="1:11" x14ac:dyDescent="0.25">
      <c r="A908" s="680" t="s">
        <v>94</v>
      </c>
      <c r="B908" s="683"/>
      <c r="C908" s="406" t="s">
        <v>43</v>
      </c>
      <c r="F908" s="407"/>
      <c r="G908" s="408">
        <f>IF(E908&lt;8,Factors!H$18,IF(E908&lt;9,Factors!H$19,IF(E908&lt;10,Factors!H$20,IF(E908&lt;11,Factors!H$21,IF(E908&lt;12,Factors!H$22,IF(E908&lt;13,Factors!H$23))))))</f>
        <v>1.3238434163701067</v>
      </c>
      <c r="H908" s="409">
        <f>D908*F908*G908</f>
        <v>0</v>
      </c>
      <c r="I908" s="406"/>
      <c r="J908" s="411"/>
      <c r="K908" s="412"/>
    </row>
    <row r="909" spans="1:11" x14ac:dyDescent="0.25">
      <c r="A909" s="680"/>
      <c r="B909" s="683"/>
      <c r="C909" s="406" t="s">
        <v>166</v>
      </c>
      <c r="F909" s="407"/>
      <c r="G909" s="408">
        <f>IF(E909&lt;8,Factors!H$18,IF(E909&lt;9,Factors!H$19,IF(E909&lt;10,Factors!H$20,IF(E909&lt;11,Factors!H$21,IF(E909&lt;12,Factors!H$22,IF(E909&lt;13,Factors!H$23))))))</f>
        <v>1.3238434163701067</v>
      </c>
      <c r="H909" s="409">
        <f>D909*F909*G909</f>
        <v>0</v>
      </c>
      <c r="I909" s="410"/>
      <c r="J909" s="411"/>
      <c r="K909" s="412"/>
    </row>
    <row r="910" spans="1:11" ht="15.75" thickBot="1" x14ac:dyDescent="0.3">
      <c r="A910" s="680"/>
      <c r="B910" s="683"/>
      <c r="C910" s="415" t="s">
        <v>158</v>
      </c>
      <c r="D910" s="416"/>
      <c r="E910" s="416"/>
      <c r="F910" s="417"/>
      <c r="G910" s="418">
        <f>IF(E910&lt;8,Factors!H$18,IF(E910&lt;9,Factors!H$19,IF(E910&lt;10,Factors!H$20,IF(E910&lt;11,Factors!H$21,IF(E910&lt;12,Factors!H$22,IF(E910&lt;13,Factors!H$23))))))</f>
        <v>1.3238434163701067</v>
      </c>
      <c r="H910" s="419">
        <f>D910*F910*G910</f>
        <v>0</v>
      </c>
      <c r="I910" s="420"/>
      <c r="J910" s="421"/>
      <c r="K910" s="421"/>
    </row>
    <row r="911" spans="1:11" ht="15.75" thickTop="1" x14ac:dyDescent="0.25">
      <c r="A911" s="681"/>
      <c r="B911" s="684"/>
      <c r="C911" s="422"/>
      <c r="D911" s="423"/>
      <c r="E911" s="423"/>
      <c r="F911" s="424"/>
      <c r="G911" s="425"/>
      <c r="H911" s="426">
        <f>SUM(H906:H910)</f>
        <v>0</v>
      </c>
      <c r="I911" s="427">
        <v>1.111</v>
      </c>
      <c r="J911" s="428">
        <f>H911*I911*J$13+K911</f>
        <v>0</v>
      </c>
      <c r="K911" s="429">
        <f>K910+K909</f>
        <v>0</v>
      </c>
    </row>
    <row r="912" spans="1:11" x14ac:dyDescent="0.25">
      <c r="B912" s="397"/>
      <c r="G912" s="414"/>
      <c r="H912" s="414"/>
      <c r="I912" s="430"/>
    </row>
    <row r="913" spans="1:11" x14ac:dyDescent="0.25">
      <c r="A913" s="680" t="s">
        <v>14</v>
      </c>
      <c r="B913" s="682">
        <f>B906+1</f>
        <v>46004</v>
      </c>
      <c r="C913" s="398" t="s">
        <v>9</v>
      </c>
      <c r="D913" s="399"/>
      <c r="E913" s="399"/>
      <c r="F913" s="400"/>
      <c r="G913" s="401">
        <f>IF(E913&lt;8,Factors!F$18,IF(E913&lt;9,Factors!F$19,IF(E913&lt;10,Factors!F$20,IF(E913&lt;11,Factors!F$21,IF(E913&lt;12,Factors!F$22,IF(E913&lt;13,Factors!F$23))))))</f>
        <v>1.2308917197452229</v>
      </c>
      <c r="H913" s="402">
        <f>D913*F913*G913</f>
        <v>0</v>
      </c>
      <c r="I913" s="403"/>
      <c r="J913" s="404"/>
      <c r="K913" s="405"/>
    </row>
    <row r="914" spans="1:11" x14ac:dyDescent="0.25">
      <c r="A914" s="680"/>
      <c r="B914" s="683"/>
      <c r="C914" s="406" t="s">
        <v>174</v>
      </c>
      <c r="F914" s="407"/>
      <c r="G914" s="408">
        <f>IF(E914&lt;8,Factors!H$18,IF(E914&lt;9,Factors!H$19,IF(E914&lt;10,Factors!H$20,IF(E914&lt;11,Factors!H$21,IF(E914&lt;12,Factors!H$22,IF(E914&lt;13,Factors!H$23))))))</f>
        <v>1.3238434163701067</v>
      </c>
      <c r="H914" s="409">
        <f>D914*F914*G914</f>
        <v>0</v>
      </c>
      <c r="I914" s="410"/>
      <c r="J914" s="411"/>
      <c r="K914" s="412"/>
    </row>
    <row r="915" spans="1:11" x14ac:dyDescent="0.25">
      <c r="A915" s="680" t="s">
        <v>94</v>
      </c>
      <c r="B915" s="683"/>
      <c r="C915" s="406" t="s">
        <v>43</v>
      </c>
      <c r="F915" s="407"/>
      <c r="G915" s="408">
        <f>IF(E915&lt;8,Factors!H$18,IF(E915&lt;9,Factors!H$19,IF(E915&lt;10,Factors!H$20,IF(E915&lt;11,Factors!H$21,IF(E915&lt;12,Factors!H$22,IF(E915&lt;13,Factors!H$23))))))</f>
        <v>1.3238434163701067</v>
      </c>
      <c r="H915" s="409">
        <f>D915*F915*G915</f>
        <v>0</v>
      </c>
      <c r="I915" s="406"/>
      <c r="J915" s="411"/>
      <c r="K915" s="412"/>
    </row>
    <row r="916" spans="1:11" x14ac:dyDescent="0.25">
      <c r="A916" s="680"/>
      <c r="B916" s="683"/>
      <c r="C916" s="406" t="s">
        <v>166</v>
      </c>
      <c r="F916" s="407"/>
      <c r="G916" s="408">
        <f>IF(E916&lt;8,Factors!H$18,IF(E916&lt;9,Factors!H$19,IF(E916&lt;10,Factors!H$20,IF(E916&lt;11,Factors!H$21,IF(E916&lt;12,Factors!H$22,IF(E916&lt;13,Factors!H$23))))))</f>
        <v>1.3238434163701067</v>
      </c>
      <c r="H916" s="409">
        <f>D916*F916*G916</f>
        <v>0</v>
      </c>
      <c r="I916" s="410"/>
      <c r="J916" s="411"/>
      <c r="K916" s="412"/>
    </row>
    <row r="917" spans="1:11" ht="15.75" thickBot="1" x14ac:dyDescent="0.3">
      <c r="A917" s="680"/>
      <c r="B917" s="683"/>
      <c r="C917" s="415" t="s">
        <v>158</v>
      </c>
      <c r="D917" s="416"/>
      <c r="E917" s="416"/>
      <c r="F917" s="417"/>
      <c r="G917" s="418">
        <f>IF(E917&lt;8,Factors!H$18,IF(E917&lt;9,Factors!H$19,IF(E917&lt;10,Factors!H$20,IF(E917&lt;11,Factors!H$21,IF(E917&lt;12,Factors!H$22,IF(E917&lt;13,Factors!H$23))))))</f>
        <v>1.3238434163701067</v>
      </c>
      <c r="H917" s="419">
        <f>D917*F917*G917</f>
        <v>0</v>
      </c>
      <c r="I917" s="420"/>
      <c r="J917" s="421"/>
      <c r="K917" s="421"/>
    </row>
    <row r="918" spans="1:11" ht="15.75" thickTop="1" x14ac:dyDescent="0.25">
      <c r="A918" s="681"/>
      <c r="B918" s="684"/>
      <c r="C918" s="422"/>
      <c r="D918" s="423"/>
      <c r="E918" s="423"/>
      <c r="F918" s="424"/>
      <c r="G918" s="425"/>
      <c r="H918" s="426">
        <f>SUM(H913:H917)</f>
        <v>0</v>
      </c>
      <c r="I918" s="427">
        <v>1.111</v>
      </c>
      <c r="J918" s="428">
        <f>H918*I918*J$13+K918</f>
        <v>0</v>
      </c>
      <c r="K918" s="429">
        <f>K917+K916</f>
        <v>0</v>
      </c>
    </row>
    <row r="919" spans="1:11" x14ac:dyDescent="0.25">
      <c r="B919" s="397"/>
    </row>
    <row r="920" spans="1:11" x14ac:dyDescent="0.25">
      <c r="A920" s="679" t="s">
        <v>15</v>
      </c>
      <c r="B920" s="682">
        <f>B913+1</f>
        <v>46005</v>
      </c>
      <c r="C920" s="398" t="s">
        <v>9</v>
      </c>
      <c r="D920" s="399"/>
      <c r="E920" s="399"/>
      <c r="F920" s="400"/>
      <c r="G920" s="401">
        <f>IF(E920&lt;8,Factors!F$18,IF(E920&lt;9,Factors!F$19,IF(E920&lt;10,Factors!F$20,IF(E920&lt;11,Factors!F$21,IF(E920&lt;12,Factors!F$22,IF(E920&lt;13,Factors!F$23))))))</f>
        <v>1.2308917197452229</v>
      </c>
      <c r="H920" s="402">
        <f>D920*F920*G920</f>
        <v>0</v>
      </c>
      <c r="I920" s="403"/>
      <c r="J920" s="404"/>
      <c r="K920" s="405"/>
    </row>
    <row r="921" spans="1:11" x14ac:dyDescent="0.25">
      <c r="A921" s="680"/>
      <c r="B921" s="683"/>
      <c r="C921" s="406" t="s">
        <v>174</v>
      </c>
      <c r="F921" s="407"/>
      <c r="G921" s="408">
        <f>IF(E921&lt;8,Factors!H$18,IF(E921&lt;9,Factors!H$19,IF(E921&lt;10,Factors!H$20,IF(E921&lt;11,Factors!H$21,IF(E921&lt;12,Factors!H$22,IF(E921&lt;13,Factors!H$23))))))</f>
        <v>1.3238434163701067</v>
      </c>
      <c r="H921" s="409">
        <f>D921*F921*G921</f>
        <v>0</v>
      </c>
      <c r="I921" s="410"/>
      <c r="J921" s="411"/>
      <c r="K921" s="412"/>
    </row>
    <row r="922" spans="1:11" x14ac:dyDescent="0.25">
      <c r="A922" s="680" t="s">
        <v>94</v>
      </c>
      <c r="B922" s="683"/>
      <c r="C922" s="406" t="s">
        <v>43</v>
      </c>
      <c r="F922" s="407"/>
      <c r="G922" s="408">
        <f>IF(E922&lt;8,Factors!H$18,IF(E922&lt;9,Factors!H$19,IF(E922&lt;10,Factors!H$20,IF(E922&lt;11,Factors!H$21,IF(E922&lt;12,Factors!H$22,IF(E922&lt;13,Factors!H$23))))))</f>
        <v>1.3238434163701067</v>
      </c>
      <c r="H922" s="409">
        <f>D922*F922*G922</f>
        <v>0</v>
      </c>
      <c r="I922" s="406"/>
      <c r="J922" s="411"/>
      <c r="K922" s="412"/>
    </row>
    <row r="923" spans="1:11" x14ac:dyDescent="0.25">
      <c r="A923" s="680"/>
      <c r="B923" s="683"/>
      <c r="C923" s="406" t="s">
        <v>166</v>
      </c>
      <c r="F923" s="407"/>
      <c r="G923" s="408">
        <f>IF(E923&lt;8,Factors!H$18,IF(E923&lt;9,Factors!H$19,IF(E923&lt;10,Factors!H$20,IF(E923&lt;11,Factors!H$21,IF(E923&lt;12,Factors!H$22,IF(E923&lt;13,Factors!H$23))))))</f>
        <v>1.3238434163701067</v>
      </c>
      <c r="H923" s="409">
        <f>D923*F923*G923</f>
        <v>0</v>
      </c>
      <c r="I923" s="410"/>
      <c r="J923" s="411"/>
      <c r="K923" s="412"/>
    </row>
    <row r="924" spans="1:11" ht="15.75" thickBot="1" x14ac:dyDescent="0.3">
      <c r="A924" s="680"/>
      <c r="B924" s="683"/>
      <c r="C924" s="415" t="s">
        <v>158</v>
      </c>
      <c r="D924" s="416"/>
      <c r="E924" s="416"/>
      <c r="F924" s="417"/>
      <c r="G924" s="418">
        <f>IF(E924&lt;8,Factors!H$18,IF(E924&lt;9,Factors!H$19,IF(E924&lt;10,Factors!H$20,IF(E924&lt;11,Factors!H$21,IF(E924&lt;12,Factors!H$22,IF(E924&lt;13,Factors!H$23))))))</f>
        <v>1.3238434163701067</v>
      </c>
      <c r="H924" s="419">
        <f>D924*F924*G924</f>
        <v>0</v>
      </c>
      <c r="I924" s="420"/>
      <c r="J924" s="421"/>
      <c r="K924" s="421"/>
    </row>
    <row r="925" spans="1:11" ht="15.75" thickTop="1" x14ac:dyDescent="0.25">
      <c r="A925" s="681"/>
      <c r="B925" s="684"/>
      <c r="C925" s="422"/>
      <c r="D925" s="423"/>
      <c r="E925" s="423"/>
      <c r="F925" s="424"/>
      <c r="G925" s="425"/>
      <c r="H925" s="426">
        <f>SUM(H920:H924)</f>
        <v>0</v>
      </c>
      <c r="I925" s="427">
        <v>1.111</v>
      </c>
      <c r="J925" s="428">
        <f>H925*I925*J$13+K925</f>
        <v>0</v>
      </c>
      <c r="K925" s="429">
        <f>K924+K923</f>
        <v>0</v>
      </c>
    </row>
    <row r="926" spans="1:11" x14ac:dyDescent="0.25">
      <c r="B926" s="397"/>
    </row>
    <row r="927" spans="1:11" x14ac:dyDescent="0.25">
      <c r="A927" s="679" t="s">
        <v>7</v>
      </c>
      <c r="B927" s="682">
        <f>B920+1</f>
        <v>46006</v>
      </c>
      <c r="C927" s="398" t="s">
        <v>9</v>
      </c>
      <c r="D927" s="399"/>
      <c r="E927" s="399"/>
      <c r="F927" s="400"/>
      <c r="G927" s="401">
        <f>IF(E927&lt;8,Factors!F$18,IF(E927&lt;9,Factors!F$19,IF(E927&lt;10,Factors!F$20,IF(E927&lt;11,Factors!F$21,IF(E927&lt;12,Factors!F$22,IF(E927&lt;13,Factors!F$23))))))</f>
        <v>1.2308917197452229</v>
      </c>
      <c r="H927" s="402">
        <f>D927*F927*G927</f>
        <v>0</v>
      </c>
      <c r="I927" s="403"/>
      <c r="J927" s="404"/>
      <c r="K927" s="405"/>
    </row>
    <row r="928" spans="1:11" x14ac:dyDescent="0.25">
      <c r="A928" s="680"/>
      <c r="B928" s="683"/>
      <c r="C928" s="406" t="s">
        <v>174</v>
      </c>
      <c r="F928" s="407"/>
      <c r="G928" s="408">
        <f>IF(E928&lt;8,Factors!H$18,IF(E928&lt;9,Factors!H$19,IF(E928&lt;10,Factors!H$20,IF(E928&lt;11,Factors!H$21,IF(E928&lt;12,Factors!H$22,IF(E928&lt;13,Factors!H$23))))))</f>
        <v>1.3238434163701067</v>
      </c>
      <c r="H928" s="409">
        <f>D928*F928*G928</f>
        <v>0</v>
      </c>
      <c r="I928" s="410"/>
      <c r="J928" s="411"/>
      <c r="K928" s="412"/>
    </row>
    <row r="929" spans="1:11" x14ac:dyDescent="0.25">
      <c r="A929" s="680" t="s">
        <v>94</v>
      </c>
      <c r="B929" s="683"/>
      <c r="C929" s="406" t="s">
        <v>43</v>
      </c>
      <c r="F929" s="407"/>
      <c r="G929" s="408">
        <f>IF(E929&lt;8,Factors!H$18,IF(E929&lt;9,Factors!H$19,IF(E929&lt;10,Factors!H$20,IF(E929&lt;11,Factors!H$21,IF(E929&lt;12,Factors!H$22,IF(E929&lt;13,Factors!H$23))))))</f>
        <v>1.3238434163701067</v>
      </c>
      <c r="H929" s="409">
        <f>D929*F929*G929</f>
        <v>0</v>
      </c>
      <c r="I929" s="406"/>
      <c r="J929" s="411"/>
      <c r="K929" s="412"/>
    </row>
    <row r="930" spans="1:11" x14ac:dyDescent="0.25">
      <c r="A930" s="680"/>
      <c r="B930" s="683"/>
      <c r="C930" s="406" t="s">
        <v>166</v>
      </c>
      <c r="F930" s="407"/>
      <c r="G930" s="408">
        <f>IF(E930&lt;8,Factors!H$18,IF(E930&lt;9,Factors!H$19,IF(E930&lt;10,Factors!H$20,IF(E930&lt;11,Factors!H$21,IF(E930&lt;12,Factors!H$22,IF(E930&lt;13,Factors!H$23))))))</f>
        <v>1.3238434163701067</v>
      </c>
      <c r="H930" s="409">
        <f>D930*F930*G930</f>
        <v>0</v>
      </c>
      <c r="I930" s="410"/>
      <c r="J930" s="411"/>
      <c r="K930" s="412"/>
    </row>
    <row r="931" spans="1:11" ht="15.75" thickBot="1" x14ac:dyDescent="0.3">
      <c r="A931" s="680"/>
      <c r="B931" s="683"/>
      <c r="C931" s="415" t="s">
        <v>158</v>
      </c>
      <c r="D931" s="416"/>
      <c r="E931" s="416"/>
      <c r="F931" s="417"/>
      <c r="G931" s="418">
        <f>IF(E931&lt;8,Factors!H$18,IF(E931&lt;9,Factors!H$19,IF(E931&lt;10,Factors!H$20,IF(E931&lt;11,Factors!H$21,IF(E931&lt;12,Factors!H$22,IF(E931&lt;13,Factors!H$23))))))</f>
        <v>1.3238434163701067</v>
      </c>
      <c r="H931" s="419">
        <f>D931*F931*G931</f>
        <v>0</v>
      </c>
      <c r="I931" s="420"/>
      <c r="J931" s="421"/>
      <c r="K931" s="421"/>
    </row>
    <row r="932" spans="1:11" ht="15.75" thickTop="1" x14ac:dyDescent="0.25">
      <c r="A932" s="681"/>
      <c r="B932" s="684"/>
      <c r="C932" s="422"/>
      <c r="D932" s="423"/>
      <c r="E932" s="423"/>
      <c r="F932" s="424"/>
      <c r="G932" s="425"/>
      <c r="H932" s="426">
        <f>SUM(H927:H931)</f>
        <v>0</v>
      </c>
      <c r="I932" s="427">
        <v>1.111</v>
      </c>
      <c r="J932" s="428">
        <f>H932*I932*J$13+K932</f>
        <v>0</v>
      </c>
      <c r="K932" s="429">
        <f>K931+K930</f>
        <v>0</v>
      </c>
    </row>
    <row r="933" spans="1:11" x14ac:dyDescent="0.25">
      <c r="J933" s="430"/>
    </row>
    <row r="934" spans="1:11" x14ac:dyDescent="0.25">
      <c r="A934" s="679" t="s">
        <v>94</v>
      </c>
      <c r="B934" s="682">
        <f>B927+1</f>
        <v>46007</v>
      </c>
      <c r="C934" s="398" t="s">
        <v>9</v>
      </c>
      <c r="D934" s="399"/>
      <c r="E934" s="399"/>
      <c r="F934" s="400"/>
      <c r="G934" s="401">
        <f>IF(E934&lt;8,Factors!F$18,IF(E934&lt;9,Factors!F$19,IF(E934&lt;10,Factors!F$20,IF(E934&lt;11,Factors!F$21,IF(E934&lt;12,Factors!F$22,IF(E934&lt;13,Factors!F$23))))))</f>
        <v>1.2308917197452229</v>
      </c>
      <c r="H934" s="402">
        <f>D934*F934*G934</f>
        <v>0</v>
      </c>
      <c r="I934" s="403"/>
      <c r="J934" s="404"/>
      <c r="K934" s="405"/>
    </row>
    <row r="935" spans="1:11" x14ac:dyDescent="0.25">
      <c r="A935" s="680"/>
      <c r="B935" s="683"/>
      <c r="C935" s="406" t="s">
        <v>174</v>
      </c>
      <c r="F935" s="407"/>
      <c r="G935" s="408">
        <f>IF(E935&lt;8,Factors!H$18,IF(E935&lt;9,Factors!H$19,IF(E935&lt;10,Factors!H$20,IF(E935&lt;11,Factors!H$21,IF(E935&lt;12,Factors!H$22,IF(E935&lt;13,Factors!H$23))))))</f>
        <v>1.3238434163701067</v>
      </c>
      <c r="H935" s="409">
        <f>D935*F935*G935</f>
        <v>0</v>
      </c>
      <c r="I935" s="410"/>
      <c r="J935" s="411"/>
      <c r="K935" s="412"/>
    </row>
    <row r="936" spans="1:11" x14ac:dyDescent="0.25">
      <c r="A936" s="680" t="s">
        <v>94</v>
      </c>
      <c r="B936" s="683"/>
      <c r="C936" s="406" t="s">
        <v>43</v>
      </c>
      <c r="F936" s="407"/>
      <c r="G936" s="408">
        <f>IF(E936&lt;8,Factors!H$18,IF(E936&lt;9,Factors!H$19,IF(E936&lt;10,Factors!H$20,IF(E936&lt;11,Factors!H$21,IF(E936&lt;12,Factors!H$22,IF(E936&lt;13,Factors!H$23))))))</f>
        <v>1.3238434163701067</v>
      </c>
      <c r="H936" s="409">
        <f>D936*F936*G936</f>
        <v>0</v>
      </c>
      <c r="I936" s="406"/>
      <c r="J936" s="411"/>
      <c r="K936" s="412"/>
    </row>
    <row r="937" spans="1:11" x14ac:dyDescent="0.25">
      <c r="A937" s="680"/>
      <c r="B937" s="683"/>
      <c r="C937" s="406" t="s">
        <v>166</v>
      </c>
      <c r="F937" s="407"/>
      <c r="G937" s="408">
        <f>IF(E937&lt;8,Factors!H$18,IF(E937&lt;9,Factors!H$19,IF(E937&lt;10,Factors!H$20,IF(E937&lt;11,Factors!H$21,IF(E937&lt;12,Factors!H$22,IF(E937&lt;13,Factors!H$23))))))</f>
        <v>1.3238434163701067</v>
      </c>
      <c r="H937" s="409">
        <f>D937*F937*G937</f>
        <v>0</v>
      </c>
      <c r="I937" s="410"/>
      <c r="J937" s="411"/>
      <c r="K937" s="412"/>
    </row>
    <row r="938" spans="1:11" ht="15.75" thickBot="1" x14ac:dyDescent="0.3">
      <c r="A938" s="680"/>
      <c r="B938" s="683"/>
      <c r="C938" s="415" t="s">
        <v>158</v>
      </c>
      <c r="D938" s="416"/>
      <c r="E938" s="416"/>
      <c r="F938" s="417"/>
      <c r="G938" s="418">
        <f>IF(E938&lt;8,Factors!H$18,IF(E938&lt;9,Factors!H$19,IF(E938&lt;10,Factors!H$20,IF(E938&lt;11,Factors!H$21,IF(E938&lt;12,Factors!H$22,IF(E938&lt;13,Factors!H$23))))))</f>
        <v>1.3238434163701067</v>
      </c>
      <c r="H938" s="419">
        <f>D938*F938*G938</f>
        <v>0</v>
      </c>
      <c r="I938" s="420"/>
      <c r="J938" s="421"/>
      <c r="K938" s="421"/>
    </row>
    <row r="939" spans="1:11" ht="15.75" thickTop="1" x14ac:dyDescent="0.25">
      <c r="A939" s="681"/>
      <c r="B939" s="684"/>
      <c r="C939" s="422"/>
      <c r="D939" s="423"/>
      <c r="E939" s="423"/>
      <c r="F939" s="424"/>
      <c r="G939" s="425"/>
      <c r="H939" s="426">
        <f>SUM(H934:H938)</f>
        <v>0</v>
      </c>
      <c r="I939" s="427">
        <f>AG500</f>
        <v>0</v>
      </c>
      <c r="J939" s="428">
        <f>H939*I939*J$13+K939</f>
        <v>0</v>
      </c>
      <c r="K939" s="429">
        <f>K938+K937</f>
        <v>0</v>
      </c>
    </row>
    <row r="940" spans="1:11" x14ac:dyDescent="0.25">
      <c r="B940" s="397"/>
      <c r="F940" s="407"/>
    </row>
    <row r="941" spans="1:11" x14ac:dyDescent="0.25">
      <c r="A941" s="679" t="s">
        <v>11</v>
      </c>
      <c r="B941" s="682">
        <f>B934+1</f>
        <v>46008</v>
      </c>
      <c r="C941" s="398" t="s">
        <v>9</v>
      </c>
      <c r="D941" s="399"/>
      <c r="E941" s="399"/>
      <c r="F941" s="400"/>
      <c r="G941" s="401">
        <f>IF(E941&lt;8,Factors!F$18,IF(E941&lt;9,Factors!F$19,IF(E941&lt;10,Factors!F$20,IF(E941&lt;11,Factors!F$21,IF(E941&lt;12,Factors!F$22,IF(E941&lt;13,Factors!F$23))))))</f>
        <v>1.2308917197452229</v>
      </c>
      <c r="H941" s="402">
        <f>D941*F941*G941</f>
        <v>0</v>
      </c>
      <c r="I941" s="403"/>
      <c r="J941" s="404"/>
      <c r="K941" s="405"/>
    </row>
    <row r="942" spans="1:11" x14ac:dyDescent="0.25">
      <c r="A942" s="680"/>
      <c r="B942" s="683"/>
      <c r="C942" s="406" t="s">
        <v>174</v>
      </c>
      <c r="F942" s="407"/>
      <c r="G942" s="408">
        <f>IF(E942&lt;8,Factors!H$18,IF(E942&lt;9,Factors!H$19,IF(E942&lt;10,Factors!H$20,IF(E942&lt;11,Factors!H$21,IF(E942&lt;12,Factors!H$22,IF(E942&lt;13,Factors!H$23))))))</f>
        <v>1.3238434163701067</v>
      </c>
      <c r="H942" s="409">
        <f>D942*F942*G942</f>
        <v>0</v>
      </c>
      <c r="I942" s="410"/>
      <c r="J942" s="411"/>
      <c r="K942" s="412"/>
    </row>
    <row r="943" spans="1:11" x14ac:dyDescent="0.25">
      <c r="A943" s="680" t="s">
        <v>94</v>
      </c>
      <c r="B943" s="683"/>
      <c r="C943" s="406" t="s">
        <v>43</v>
      </c>
      <c r="F943" s="407"/>
      <c r="G943" s="408">
        <f>IF(E943&lt;8,Factors!H$18,IF(E943&lt;9,Factors!H$19,IF(E943&lt;10,Factors!H$20,IF(E943&lt;11,Factors!H$21,IF(E943&lt;12,Factors!H$22,IF(E943&lt;13,Factors!H$23))))))</f>
        <v>1.3238434163701067</v>
      </c>
      <c r="H943" s="409">
        <f>D943*F943*G943</f>
        <v>0</v>
      </c>
      <c r="I943" s="406"/>
      <c r="J943" s="411"/>
      <c r="K943" s="412"/>
    </row>
    <row r="944" spans="1:11" x14ac:dyDescent="0.25">
      <c r="A944" s="680"/>
      <c r="B944" s="683"/>
      <c r="C944" s="406" t="s">
        <v>166</v>
      </c>
      <c r="F944" s="407"/>
      <c r="G944" s="408">
        <f>IF(E944&lt;8,Factors!H$18,IF(E944&lt;9,Factors!H$19,IF(E944&lt;10,Factors!H$20,IF(E944&lt;11,Factors!H$21,IF(E944&lt;12,Factors!H$22,IF(E944&lt;13,Factors!H$23))))))</f>
        <v>1.3238434163701067</v>
      </c>
      <c r="H944" s="409">
        <f>D944*F944*G944</f>
        <v>0</v>
      </c>
      <c r="I944" s="410"/>
      <c r="J944" s="411"/>
      <c r="K944" s="412"/>
    </row>
    <row r="945" spans="1:11" ht="15.75" thickBot="1" x14ac:dyDescent="0.3">
      <c r="A945" s="680"/>
      <c r="B945" s="683"/>
      <c r="C945" s="415" t="s">
        <v>158</v>
      </c>
      <c r="D945" s="416"/>
      <c r="E945" s="416"/>
      <c r="F945" s="417"/>
      <c r="G945" s="418">
        <f>IF(E945&lt;8,Factors!H$18,IF(E945&lt;9,Factors!H$19,IF(E945&lt;10,Factors!H$20,IF(E945&lt;11,Factors!H$21,IF(E945&lt;12,Factors!H$22,IF(E945&lt;13,Factors!H$23))))))</f>
        <v>1.3238434163701067</v>
      </c>
      <c r="H945" s="419">
        <f>D945*F945*G945</f>
        <v>0</v>
      </c>
      <c r="I945" s="420"/>
      <c r="J945" s="421"/>
      <c r="K945" s="421"/>
    </row>
    <row r="946" spans="1:11" ht="15.75" thickTop="1" x14ac:dyDescent="0.25">
      <c r="A946" s="681"/>
      <c r="B946" s="684"/>
      <c r="C946" s="422"/>
      <c r="D946" s="423"/>
      <c r="E946" s="423"/>
      <c r="F946" s="424"/>
      <c r="G946" s="425"/>
      <c r="H946" s="426">
        <f>SUM(H941:H945)</f>
        <v>0</v>
      </c>
      <c r="I946" s="427">
        <v>1.111</v>
      </c>
      <c r="J946" s="428">
        <f>H946*I946*J$13+K946</f>
        <v>0</v>
      </c>
      <c r="K946" s="429">
        <f>K945+K944</f>
        <v>0</v>
      </c>
    </row>
    <row r="947" spans="1:11" x14ac:dyDescent="0.25">
      <c r="B947" s="397"/>
      <c r="J947" s="430"/>
    </row>
    <row r="948" spans="1:11" x14ac:dyDescent="0.25">
      <c r="A948" s="679" t="s">
        <v>95</v>
      </c>
      <c r="B948" s="682">
        <f>B941+1</f>
        <v>46009</v>
      </c>
      <c r="C948" s="398" t="s">
        <v>9</v>
      </c>
      <c r="D948" s="399"/>
      <c r="E948" s="399"/>
      <c r="F948" s="400"/>
      <c r="G948" s="401">
        <f>IF(E948&lt;8,Factors!F$18,IF(E948&lt;9,Factors!F$19,IF(E948&lt;10,Factors!F$20,IF(E948&lt;11,Factors!F$21,IF(E948&lt;12,Factors!F$22,IF(E948&lt;13,Factors!F$23))))))</f>
        <v>1.2308917197452229</v>
      </c>
      <c r="H948" s="402">
        <f>D948*F948*G948</f>
        <v>0</v>
      </c>
      <c r="I948" s="403"/>
      <c r="J948" s="404"/>
      <c r="K948" s="405"/>
    </row>
    <row r="949" spans="1:11" x14ac:dyDescent="0.25">
      <c r="A949" s="680"/>
      <c r="B949" s="683"/>
      <c r="C949" s="406" t="s">
        <v>174</v>
      </c>
      <c r="F949" s="407"/>
      <c r="G949" s="408">
        <f>IF(E949&lt;8,Factors!H$18,IF(E949&lt;9,Factors!H$19,IF(E949&lt;10,Factors!H$20,IF(E949&lt;11,Factors!H$21,IF(E949&lt;12,Factors!H$22,IF(E949&lt;13,Factors!H$23))))))</f>
        <v>1.3238434163701067</v>
      </c>
      <c r="H949" s="409">
        <f>D949*F949*G949</f>
        <v>0</v>
      </c>
      <c r="I949" s="410"/>
      <c r="J949" s="411"/>
      <c r="K949" s="412"/>
    </row>
    <row r="950" spans="1:11" x14ac:dyDescent="0.25">
      <c r="A950" s="680" t="s">
        <v>94</v>
      </c>
      <c r="B950" s="683"/>
      <c r="C950" s="406" t="s">
        <v>43</v>
      </c>
      <c r="F950" s="407"/>
      <c r="G950" s="408">
        <f>IF(E950&lt;8,Factors!H$18,IF(E950&lt;9,Factors!H$19,IF(E950&lt;10,Factors!H$20,IF(E950&lt;11,Factors!H$21,IF(E950&lt;12,Factors!H$22,IF(E950&lt;13,Factors!H$23))))))</f>
        <v>1.3238434163701067</v>
      </c>
      <c r="H950" s="409">
        <f>D950*F950*G950</f>
        <v>0</v>
      </c>
      <c r="I950" s="406"/>
      <c r="J950" s="411"/>
      <c r="K950" s="412"/>
    </row>
    <row r="951" spans="1:11" x14ac:dyDescent="0.25">
      <c r="A951" s="680"/>
      <c r="B951" s="683"/>
      <c r="C951" s="406" t="s">
        <v>166</v>
      </c>
      <c r="F951" s="407"/>
      <c r="G951" s="408">
        <f>IF(E951&lt;8,Factors!H$18,IF(E951&lt;9,Factors!H$19,IF(E951&lt;10,Factors!H$20,IF(E951&lt;11,Factors!H$21,IF(E951&lt;12,Factors!H$22,IF(E951&lt;13,Factors!H$23))))))</f>
        <v>1.3238434163701067</v>
      </c>
      <c r="H951" s="409">
        <f>D951*F951*G951</f>
        <v>0</v>
      </c>
      <c r="I951" s="410"/>
      <c r="J951" s="411"/>
      <c r="K951" s="412"/>
    </row>
    <row r="952" spans="1:11" ht="15.75" thickBot="1" x14ac:dyDescent="0.3">
      <c r="A952" s="680"/>
      <c r="B952" s="683"/>
      <c r="C952" s="415" t="s">
        <v>158</v>
      </c>
      <c r="D952" s="416"/>
      <c r="E952" s="416"/>
      <c r="F952" s="417"/>
      <c r="G952" s="418">
        <f>IF(E952&lt;8,Factors!H$18,IF(E952&lt;9,Factors!H$19,IF(E952&lt;10,Factors!H$20,IF(E952&lt;11,Factors!H$21,IF(E952&lt;12,Factors!H$22,IF(E952&lt;13,Factors!H$23))))))</f>
        <v>1.3238434163701067</v>
      </c>
      <c r="H952" s="419">
        <f>D952*F952*G952</f>
        <v>0</v>
      </c>
      <c r="I952" s="420"/>
      <c r="J952" s="421"/>
      <c r="K952" s="421"/>
    </row>
    <row r="953" spans="1:11" ht="15.75" thickTop="1" x14ac:dyDescent="0.25">
      <c r="A953" s="681"/>
      <c r="B953" s="684"/>
      <c r="C953" s="422"/>
      <c r="D953" s="423"/>
      <c r="E953" s="423"/>
      <c r="F953" s="424"/>
      <c r="G953" s="425"/>
      <c r="H953" s="426">
        <f>SUM(H948:H952)</f>
        <v>0</v>
      </c>
      <c r="I953" s="427">
        <f>M500</f>
        <v>0</v>
      </c>
      <c r="J953" s="428">
        <f>H953*I953*J$13+K953</f>
        <v>0</v>
      </c>
      <c r="K953" s="429">
        <f>K952+K951</f>
        <v>0</v>
      </c>
    </row>
    <row r="954" spans="1:11" x14ac:dyDescent="0.25">
      <c r="B954" s="397"/>
    </row>
    <row r="955" spans="1:11" x14ac:dyDescent="0.25">
      <c r="A955" s="679" t="s">
        <v>13</v>
      </c>
      <c r="B955" s="682">
        <f>B948+1</f>
        <v>46010</v>
      </c>
      <c r="C955" s="398" t="s">
        <v>9</v>
      </c>
      <c r="D955" s="399"/>
      <c r="E955" s="399"/>
      <c r="F955" s="400"/>
      <c r="G955" s="401">
        <f>IF(E955&lt;8,Factors!F$18,IF(E955&lt;9,Factors!F$19,IF(E955&lt;10,Factors!F$20,IF(E955&lt;11,Factors!F$21,IF(E955&lt;12,Factors!F$22,IF(E955&lt;13,Factors!F$23))))))</f>
        <v>1.2308917197452229</v>
      </c>
      <c r="H955" s="402">
        <f>D955*F955*G955</f>
        <v>0</v>
      </c>
      <c r="I955" s="403"/>
      <c r="J955" s="404"/>
      <c r="K955" s="405"/>
    </row>
    <row r="956" spans="1:11" x14ac:dyDescent="0.25">
      <c r="A956" s="680"/>
      <c r="B956" s="683"/>
      <c r="C956" s="406" t="s">
        <v>174</v>
      </c>
      <c r="F956" s="407"/>
      <c r="G956" s="408">
        <f>IF(E956&lt;8,Factors!H$18,IF(E956&lt;9,Factors!H$19,IF(E956&lt;10,Factors!H$20,IF(E956&lt;11,Factors!H$21,IF(E956&lt;12,Factors!H$22,IF(E956&lt;13,Factors!H$23))))))</f>
        <v>1.3238434163701067</v>
      </c>
      <c r="H956" s="409">
        <f>D956*F956*G956</f>
        <v>0</v>
      </c>
      <c r="I956" s="410"/>
      <c r="J956" s="411"/>
      <c r="K956" s="412"/>
    </row>
    <row r="957" spans="1:11" x14ac:dyDescent="0.25">
      <c r="A957" s="680" t="s">
        <v>94</v>
      </c>
      <c r="B957" s="683"/>
      <c r="C957" s="406" t="s">
        <v>43</v>
      </c>
      <c r="F957" s="407"/>
      <c r="G957" s="408">
        <f>IF(E957&lt;8,Factors!H$18,IF(E957&lt;9,Factors!H$19,IF(E957&lt;10,Factors!H$20,IF(E957&lt;11,Factors!H$21,IF(E957&lt;12,Factors!H$22,IF(E957&lt;13,Factors!H$23))))))</f>
        <v>1.3238434163701067</v>
      </c>
      <c r="H957" s="409">
        <f>D957*F957*G957</f>
        <v>0</v>
      </c>
      <c r="I957" s="406"/>
      <c r="J957" s="411"/>
      <c r="K957" s="412"/>
    </row>
    <row r="958" spans="1:11" x14ac:dyDescent="0.25">
      <c r="A958" s="680"/>
      <c r="B958" s="683"/>
      <c r="C958" s="406" t="s">
        <v>166</v>
      </c>
      <c r="F958" s="407"/>
      <c r="G958" s="408">
        <f>IF(E958&lt;8,Factors!H$18,IF(E958&lt;9,Factors!H$19,IF(E958&lt;10,Factors!H$20,IF(E958&lt;11,Factors!H$21,IF(E958&lt;12,Factors!H$22,IF(E958&lt;13,Factors!H$23))))))</f>
        <v>1.3238434163701067</v>
      </c>
      <c r="H958" s="409">
        <f>D958*F958*G958</f>
        <v>0</v>
      </c>
      <c r="I958" s="410"/>
      <c r="J958" s="411"/>
      <c r="K958" s="412"/>
    </row>
    <row r="959" spans="1:11" ht="15.75" thickBot="1" x14ac:dyDescent="0.3">
      <c r="A959" s="680"/>
      <c r="B959" s="683"/>
      <c r="C959" s="415" t="s">
        <v>158</v>
      </c>
      <c r="D959" s="416"/>
      <c r="E959" s="416"/>
      <c r="F959" s="417"/>
      <c r="G959" s="418">
        <f>IF(E959&lt;8,Factors!H$18,IF(E959&lt;9,Factors!H$19,IF(E959&lt;10,Factors!H$20,IF(E959&lt;11,Factors!H$21,IF(E959&lt;12,Factors!H$22,IF(E959&lt;13,Factors!H$23))))))</f>
        <v>1.3238434163701067</v>
      </c>
      <c r="H959" s="419">
        <f>D959*F959*G959</f>
        <v>0</v>
      </c>
      <c r="I959" s="420"/>
      <c r="J959" s="421"/>
      <c r="K959" s="421"/>
    </row>
    <row r="960" spans="1:11" ht="15.75" thickTop="1" x14ac:dyDescent="0.25">
      <c r="A960" s="681"/>
      <c r="B960" s="684"/>
      <c r="C960" s="422"/>
      <c r="D960" s="423"/>
      <c r="E960" s="423"/>
      <c r="F960" s="424"/>
      <c r="G960" s="425"/>
      <c r="H960" s="426">
        <f>SUM(H955:H959)</f>
        <v>0</v>
      </c>
      <c r="I960" s="427">
        <v>1.111</v>
      </c>
      <c r="J960" s="428">
        <f>H960*I960*J$13+K960</f>
        <v>0</v>
      </c>
      <c r="K960" s="429">
        <f>K959+K958</f>
        <v>0</v>
      </c>
    </row>
    <row r="961" spans="1:11" x14ac:dyDescent="0.25">
      <c r="B961" s="397"/>
    </row>
    <row r="962" spans="1:11" x14ac:dyDescent="0.25">
      <c r="A962" s="680" t="s">
        <v>14</v>
      </c>
      <c r="B962" s="682">
        <f>B955+1</f>
        <v>46011</v>
      </c>
      <c r="C962" s="398" t="s">
        <v>9</v>
      </c>
      <c r="D962" s="399"/>
      <c r="E962" s="399"/>
      <c r="F962" s="400"/>
      <c r="G962" s="401">
        <f>IF(E962&lt;8,Factors!F$18,IF(E962&lt;9,Factors!F$19,IF(E962&lt;10,Factors!F$20,IF(E962&lt;11,Factors!F$21,IF(E962&lt;12,Factors!F$22,IF(E962&lt;13,Factors!F$23))))))</f>
        <v>1.2308917197452229</v>
      </c>
      <c r="H962" s="402">
        <f>D962*F962*G962</f>
        <v>0</v>
      </c>
      <c r="I962" s="403"/>
      <c r="J962" s="404"/>
      <c r="K962" s="405"/>
    </row>
    <row r="963" spans="1:11" x14ac:dyDescent="0.25">
      <c r="A963" s="680"/>
      <c r="B963" s="683"/>
      <c r="C963" s="406" t="s">
        <v>174</v>
      </c>
      <c r="F963" s="407"/>
      <c r="G963" s="408">
        <f>IF(E963&lt;8,Factors!H$18,IF(E963&lt;9,Factors!H$19,IF(E963&lt;10,Factors!H$20,IF(E963&lt;11,Factors!H$21,IF(E963&lt;12,Factors!H$22,IF(E963&lt;13,Factors!H$23))))))</f>
        <v>1.3238434163701067</v>
      </c>
      <c r="H963" s="409">
        <f>D963*F963*G963</f>
        <v>0</v>
      </c>
      <c r="I963" s="410"/>
      <c r="J963" s="411"/>
      <c r="K963" s="412"/>
    </row>
    <row r="964" spans="1:11" x14ac:dyDescent="0.25">
      <c r="A964" s="680" t="s">
        <v>94</v>
      </c>
      <c r="B964" s="683"/>
      <c r="C964" s="406" t="s">
        <v>43</v>
      </c>
      <c r="F964" s="407"/>
      <c r="G964" s="408">
        <f>IF(E964&lt;8,Factors!H$18,IF(E964&lt;9,Factors!H$19,IF(E964&lt;10,Factors!H$20,IF(E964&lt;11,Factors!H$21,IF(E964&lt;12,Factors!H$22,IF(E964&lt;13,Factors!H$23))))))</f>
        <v>1.3238434163701067</v>
      </c>
      <c r="H964" s="409">
        <f>D964*F964*G964</f>
        <v>0</v>
      </c>
      <c r="I964" s="406"/>
      <c r="J964" s="411"/>
      <c r="K964" s="412"/>
    </row>
    <row r="965" spans="1:11" x14ac:dyDescent="0.25">
      <c r="A965" s="680"/>
      <c r="B965" s="683"/>
      <c r="C965" s="406" t="s">
        <v>166</v>
      </c>
      <c r="F965" s="407"/>
      <c r="G965" s="408">
        <f>IF(E965&lt;8,Factors!H$18,IF(E965&lt;9,Factors!H$19,IF(E965&lt;10,Factors!H$20,IF(E965&lt;11,Factors!H$21,IF(E965&lt;12,Factors!H$22,IF(E965&lt;13,Factors!H$23))))))</f>
        <v>1.3238434163701067</v>
      </c>
      <c r="H965" s="409">
        <f>D965*F965*G965</f>
        <v>0</v>
      </c>
      <c r="I965" s="410"/>
      <c r="J965" s="411"/>
      <c r="K965" s="412"/>
    </row>
    <row r="966" spans="1:11" ht="15.75" thickBot="1" x14ac:dyDescent="0.3">
      <c r="A966" s="680"/>
      <c r="B966" s="683"/>
      <c r="C966" s="415" t="s">
        <v>158</v>
      </c>
      <c r="D966" s="416"/>
      <c r="E966" s="416"/>
      <c r="F966" s="417"/>
      <c r="G966" s="418">
        <f>IF(E966&lt;8,Factors!H$18,IF(E966&lt;9,Factors!H$19,IF(E966&lt;10,Factors!H$20,IF(E966&lt;11,Factors!H$21,IF(E966&lt;12,Factors!H$22,IF(E966&lt;13,Factors!H$23))))))</f>
        <v>1.3238434163701067</v>
      </c>
      <c r="H966" s="419">
        <f>D966*F966*G966</f>
        <v>0</v>
      </c>
      <c r="I966" s="420"/>
      <c r="J966" s="421"/>
      <c r="K966" s="421"/>
    </row>
    <row r="967" spans="1:11" ht="15.75" thickTop="1" x14ac:dyDescent="0.25">
      <c r="A967" s="681"/>
      <c r="B967" s="684"/>
      <c r="C967" s="422"/>
      <c r="D967" s="423"/>
      <c r="E967" s="423"/>
      <c r="F967" s="424"/>
      <c r="G967" s="425"/>
      <c r="H967" s="426">
        <f>SUM(H962:H966)</f>
        <v>0</v>
      </c>
      <c r="I967" s="427">
        <f>AG500</f>
        <v>0</v>
      </c>
      <c r="J967" s="428">
        <f>H967*I967*J$13+K967</f>
        <v>0</v>
      </c>
      <c r="K967" s="429">
        <f>K966+K965</f>
        <v>0</v>
      </c>
    </row>
    <row r="968" spans="1:11" x14ac:dyDescent="0.25">
      <c r="B968" s="397"/>
      <c r="G968" s="414"/>
      <c r="H968" s="414"/>
      <c r="I968" s="430"/>
    </row>
    <row r="969" spans="1:11" x14ac:dyDescent="0.25">
      <c r="A969" s="679" t="s">
        <v>15</v>
      </c>
      <c r="B969" s="682">
        <f>B962+1</f>
        <v>46012</v>
      </c>
      <c r="C969" s="398" t="s">
        <v>9</v>
      </c>
      <c r="D969" s="399"/>
      <c r="E969" s="399"/>
      <c r="F969" s="400"/>
      <c r="G969" s="401">
        <f>IF(E969&lt;8,Factors!F$18,IF(E969&lt;9,Factors!F$19,IF(E969&lt;10,Factors!F$20,IF(E969&lt;11,Factors!F$21,IF(E969&lt;12,Factors!F$22,IF(E969&lt;13,Factors!F$23))))))</f>
        <v>1.2308917197452229</v>
      </c>
      <c r="H969" s="402">
        <f>D969*F969*G969</f>
        <v>0</v>
      </c>
      <c r="I969" s="403"/>
      <c r="J969" s="404"/>
      <c r="K969" s="405"/>
    </row>
    <row r="970" spans="1:11" x14ac:dyDescent="0.25">
      <c r="A970" s="680"/>
      <c r="B970" s="683"/>
      <c r="C970" s="406" t="s">
        <v>174</v>
      </c>
      <c r="F970" s="407"/>
      <c r="G970" s="408">
        <f>IF(E970&lt;8,Factors!H$18,IF(E970&lt;9,Factors!H$19,IF(E970&lt;10,Factors!H$20,IF(E970&lt;11,Factors!H$21,IF(E970&lt;12,Factors!H$22,IF(E970&lt;13,Factors!H$23))))))</f>
        <v>1.3238434163701067</v>
      </c>
      <c r="H970" s="409">
        <f>D970*F970*G970</f>
        <v>0</v>
      </c>
      <c r="I970" s="410"/>
      <c r="J970" s="411"/>
      <c r="K970" s="412"/>
    </row>
    <row r="971" spans="1:11" x14ac:dyDescent="0.25">
      <c r="A971" s="680" t="s">
        <v>94</v>
      </c>
      <c r="B971" s="683"/>
      <c r="C971" s="406" t="s">
        <v>43</v>
      </c>
      <c r="F971" s="407"/>
      <c r="G971" s="408">
        <f>IF(E971&lt;8,Factors!H$18,IF(E971&lt;9,Factors!H$19,IF(E971&lt;10,Factors!H$20,IF(E971&lt;11,Factors!H$21,IF(E971&lt;12,Factors!H$22,IF(E971&lt;13,Factors!H$23))))))</f>
        <v>1.3238434163701067</v>
      </c>
      <c r="H971" s="409">
        <f>D971*F971*G971</f>
        <v>0</v>
      </c>
      <c r="I971" s="406"/>
      <c r="J971" s="411"/>
      <c r="K971" s="412"/>
    </row>
    <row r="972" spans="1:11" x14ac:dyDescent="0.25">
      <c r="A972" s="680"/>
      <c r="B972" s="683"/>
      <c r="C972" s="406" t="s">
        <v>166</v>
      </c>
      <c r="F972" s="407"/>
      <c r="G972" s="408">
        <f>IF(E972&lt;8,Factors!H$18,IF(E972&lt;9,Factors!H$19,IF(E972&lt;10,Factors!H$20,IF(E972&lt;11,Factors!H$21,IF(E972&lt;12,Factors!H$22,IF(E972&lt;13,Factors!H$23))))))</f>
        <v>1.3238434163701067</v>
      </c>
      <c r="H972" s="409">
        <f>D972*F972*G972</f>
        <v>0</v>
      </c>
      <c r="I972" s="410"/>
      <c r="J972" s="411"/>
      <c r="K972" s="412"/>
    </row>
    <row r="973" spans="1:11" ht="15.75" thickBot="1" x14ac:dyDescent="0.3">
      <c r="A973" s="680"/>
      <c r="B973" s="683"/>
      <c r="C973" s="415" t="s">
        <v>158</v>
      </c>
      <c r="D973" s="416"/>
      <c r="E973" s="416"/>
      <c r="F973" s="417"/>
      <c r="G973" s="418">
        <f>IF(E973&lt;8,Factors!H$18,IF(E973&lt;9,Factors!H$19,IF(E973&lt;10,Factors!H$20,IF(E973&lt;11,Factors!H$21,IF(E973&lt;12,Factors!H$22,IF(E973&lt;13,Factors!H$23))))))</f>
        <v>1.3238434163701067</v>
      </c>
      <c r="H973" s="419">
        <f>D973*F973*G973</f>
        <v>0</v>
      </c>
      <c r="I973" s="420"/>
      <c r="J973" s="421"/>
      <c r="K973" s="421"/>
    </row>
    <row r="974" spans="1:11" ht="15.75" thickTop="1" x14ac:dyDescent="0.25">
      <c r="A974" s="681"/>
      <c r="B974" s="684"/>
      <c r="C974" s="422"/>
      <c r="D974" s="423"/>
      <c r="E974" s="423"/>
      <c r="F974" s="424"/>
      <c r="G974" s="425"/>
      <c r="H974" s="426">
        <f>SUM(H969:H973)</f>
        <v>0</v>
      </c>
      <c r="I974" s="427">
        <f>AG500</f>
        <v>0</v>
      </c>
      <c r="J974" s="428">
        <f>H974*I974*J$13+K974</f>
        <v>0</v>
      </c>
      <c r="K974" s="429">
        <f>K973+K972</f>
        <v>0</v>
      </c>
    </row>
    <row r="975" spans="1:11" x14ac:dyDescent="0.25">
      <c r="B975" s="397"/>
    </row>
    <row r="976" spans="1:11" x14ac:dyDescent="0.25">
      <c r="A976" s="679" t="s">
        <v>7</v>
      </c>
      <c r="B976" s="682">
        <f>B969+1</f>
        <v>46013</v>
      </c>
      <c r="C976" s="398" t="s">
        <v>9</v>
      </c>
      <c r="D976" s="399"/>
      <c r="E976" s="399"/>
      <c r="F976" s="400"/>
      <c r="G976" s="401">
        <f>IF(E976&lt;8,Factors!F$18,IF(E976&lt;9,Factors!F$19,IF(E976&lt;10,Factors!F$20,IF(E976&lt;11,Factors!F$21,IF(E976&lt;12,Factors!F$22,IF(E976&lt;13,Factors!F$23))))))</f>
        <v>1.2308917197452229</v>
      </c>
      <c r="H976" s="402">
        <f>D976*F976*G976</f>
        <v>0</v>
      </c>
      <c r="I976" s="403"/>
      <c r="J976" s="404"/>
      <c r="K976" s="405"/>
    </row>
    <row r="977" spans="1:11" x14ac:dyDescent="0.25">
      <c r="A977" s="680"/>
      <c r="B977" s="683"/>
      <c r="C977" s="406" t="s">
        <v>174</v>
      </c>
      <c r="F977" s="407"/>
      <c r="G977" s="408">
        <f>IF(E977&lt;8,Factors!H$18,IF(E977&lt;9,Factors!H$19,IF(E977&lt;10,Factors!H$20,IF(E977&lt;11,Factors!H$21,IF(E977&lt;12,Factors!H$22,IF(E977&lt;13,Factors!H$23))))))</f>
        <v>1.3238434163701067</v>
      </c>
      <c r="H977" s="409">
        <f>D977*F977*G977</f>
        <v>0</v>
      </c>
      <c r="I977" s="410"/>
      <c r="J977" s="411"/>
      <c r="K977" s="412"/>
    </row>
    <row r="978" spans="1:11" x14ac:dyDescent="0.25">
      <c r="A978" s="680" t="s">
        <v>94</v>
      </c>
      <c r="B978" s="683"/>
      <c r="C978" s="406" t="s">
        <v>43</v>
      </c>
      <c r="F978" s="407"/>
      <c r="G978" s="408">
        <f>IF(E978&lt;8,Factors!H$18,IF(E978&lt;9,Factors!H$19,IF(E978&lt;10,Factors!H$20,IF(E978&lt;11,Factors!H$21,IF(E978&lt;12,Factors!H$22,IF(E978&lt;13,Factors!H$23))))))</f>
        <v>1.3238434163701067</v>
      </c>
      <c r="H978" s="409">
        <f>D978*F978*G978</f>
        <v>0</v>
      </c>
      <c r="I978" s="406"/>
      <c r="J978" s="411"/>
      <c r="K978" s="412"/>
    </row>
    <row r="979" spans="1:11" x14ac:dyDescent="0.25">
      <c r="A979" s="680"/>
      <c r="B979" s="683"/>
      <c r="C979" s="406" t="s">
        <v>166</v>
      </c>
      <c r="F979" s="407"/>
      <c r="G979" s="408">
        <f>IF(E979&lt;8,Factors!H$18,IF(E979&lt;9,Factors!H$19,IF(E979&lt;10,Factors!H$20,IF(E979&lt;11,Factors!H$21,IF(E979&lt;12,Factors!H$22,IF(E979&lt;13,Factors!H$23))))))</f>
        <v>1.3238434163701067</v>
      </c>
      <c r="H979" s="409">
        <f>D979*F979*G979</f>
        <v>0</v>
      </c>
      <c r="I979" s="410"/>
      <c r="J979" s="411"/>
      <c r="K979" s="412"/>
    </row>
    <row r="980" spans="1:11" ht="15.75" thickBot="1" x14ac:dyDescent="0.3">
      <c r="A980" s="680"/>
      <c r="B980" s="683"/>
      <c r="C980" s="415" t="s">
        <v>158</v>
      </c>
      <c r="D980" s="416"/>
      <c r="E980" s="416"/>
      <c r="F980" s="417"/>
      <c r="G980" s="418">
        <f>IF(E980&lt;8,Factors!H$18,IF(E980&lt;9,Factors!H$19,IF(E980&lt;10,Factors!H$20,IF(E980&lt;11,Factors!H$21,IF(E980&lt;12,Factors!H$22,IF(E980&lt;13,Factors!H$23))))))</f>
        <v>1.3238434163701067</v>
      </c>
      <c r="H980" s="419">
        <f>D980*F980*G980</f>
        <v>0</v>
      </c>
      <c r="I980" s="420"/>
      <c r="J980" s="421"/>
      <c r="K980" s="421"/>
    </row>
    <row r="981" spans="1:11" ht="15.75" thickTop="1" x14ac:dyDescent="0.25">
      <c r="A981" s="681"/>
      <c r="B981" s="684"/>
      <c r="C981" s="422"/>
      <c r="D981" s="423"/>
      <c r="E981" s="423"/>
      <c r="F981" s="424"/>
      <c r="G981" s="425"/>
      <c r="H981" s="426">
        <f>SUM(H976:H980)</f>
        <v>0</v>
      </c>
      <c r="I981" s="427">
        <f>AG500</f>
        <v>0</v>
      </c>
      <c r="J981" s="428">
        <f>H981*I981*J$13+K981</f>
        <v>0</v>
      </c>
      <c r="K981" s="429">
        <f>K980+K979</f>
        <v>0</v>
      </c>
    </row>
    <row r="982" spans="1:11" x14ac:dyDescent="0.25">
      <c r="B982" s="397"/>
      <c r="J982" s="430"/>
    </row>
    <row r="983" spans="1:11" x14ac:dyDescent="0.25">
      <c r="A983" s="679" t="s">
        <v>94</v>
      </c>
      <c r="B983" s="682">
        <f>B976+1</f>
        <v>46014</v>
      </c>
      <c r="C983" s="398" t="s">
        <v>9</v>
      </c>
      <c r="D983" s="399"/>
      <c r="E983" s="399"/>
      <c r="F983" s="400"/>
      <c r="G983" s="401">
        <f>IF(E983&lt;8,Factors!F$18,IF(E983&lt;9,Factors!F$19,IF(E983&lt;10,Factors!F$20,IF(E983&lt;11,Factors!F$21,IF(E983&lt;12,Factors!F$22,IF(E983&lt;13,Factors!F$23))))))</f>
        <v>1.2308917197452229</v>
      </c>
      <c r="H983" s="402">
        <f>D983*F983*G983</f>
        <v>0</v>
      </c>
      <c r="I983" s="403"/>
      <c r="J983" s="404"/>
      <c r="K983" s="405"/>
    </row>
    <row r="984" spans="1:11" x14ac:dyDescent="0.25">
      <c r="A984" s="680"/>
      <c r="B984" s="683"/>
      <c r="C984" s="406" t="s">
        <v>174</v>
      </c>
      <c r="F984" s="407"/>
      <c r="G984" s="408">
        <f>IF(E984&lt;8,Factors!H$18,IF(E984&lt;9,Factors!H$19,IF(E984&lt;10,Factors!H$20,IF(E984&lt;11,Factors!H$21,IF(E984&lt;12,Factors!H$22,IF(E984&lt;13,Factors!H$23))))))</f>
        <v>1.3238434163701067</v>
      </c>
      <c r="H984" s="409">
        <f>D984*F984*G984</f>
        <v>0</v>
      </c>
      <c r="I984" s="410"/>
      <c r="J984" s="411"/>
      <c r="K984" s="412"/>
    </row>
    <row r="985" spans="1:11" x14ac:dyDescent="0.25">
      <c r="A985" s="680" t="s">
        <v>94</v>
      </c>
      <c r="B985" s="683"/>
      <c r="C985" s="406" t="s">
        <v>43</v>
      </c>
      <c r="F985" s="407"/>
      <c r="G985" s="408">
        <f>IF(E985&lt;8,Factors!H$18,IF(E985&lt;9,Factors!H$19,IF(E985&lt;10,Factors!H$20,IF(E985&lt;11,Factors!H$21,IF(E985&lt;12,Factors!H$22,IF(E985&lt;13,Factors!H$23))))))</f>
        <v>1.3238434163701067</v>
      </c>
      <c r="H985" s="409">
        <f>D985*F985*G985</f>
        <v>0</v>
      </c>
      <c r="I985" s="406"/>
      <c r="J985" s="411"/>
      <c r="K985" s="412"/>
    </row>
    <row r="986" spans="1:11" x14ac:dyDescent="0.25">
      <c r="A986" s="680"/>
      <c r="B986" s="683"/>
      <c r="C986" s="406" t="s">
        <v>166</v>
      </c>
      <c r="F986" s="407"/>
      <c r="G986" s="408">
        <f>IF(E986&lt;8,Factors!H$18,IF(E986&lt;9,Factors!H$19,IF(E986&lt;10,Factors!H$20,IF(E986&lt;11,Factors!H$21,IF(E986&lt;12,Factors!H$22,IF(E986&lt;13,Factors!H$23))))))</f>
        <v>1.3238434163701067</v>
      </c>
      <c r="H986" s="409">
        <f>D986*F986*G986</f>
        <v>0</v>
      </c>
      <c r="I986" s="410"/>
      <c r="J986" s="411"/>
      <c r="K986" s="412"/>
    </row>
    <row r="987" spans="1:11" ht="15.75" thickBot="1" x14ac:dyDescent="0.3">
      <c r="A987" s="680"/>
      <c r="B987" s="683"/>
      <c r="C987" s="415" t="s">
        <v>158</v>
      </c>
      <c r="D987" s="416"/>
      <c r="E987" s="416"/>
      <c r="F987" s="417"/>
      <c r="G987" s="418">
        <f>IF(E987&lt;8,Factors!H$18,IF(E987&lt;9,Factors!H$19,IF(E987&lt;10,Factors!H$20,IF(E987&lt;11,Factors!H$21,IF(E987&lt;12,Factors!H$22,IF(E987&lt;13,Factors!H$23))))))</f>
        <v>1.3238434163701067</v>
      </c>
      <c r="H987" s="419">
        <f>D987*F987*G987</f>
        <v>0</v>
      </c>
      <c r="I987" s="420"/>
      <c r="J987" s="421"/>
      <c r="K987" s="421"/>
    </row>
    <row r="988" spans="1:11" ht="15.75" thickTop="1" x14ac:dyDescent="0.25">
      <c r="A988" s="681"/>
      <c r="B988" s="684"/>
      <c r="C988" s="422"/>
      <c r="D988" s="423"/>
      <c r="E988" s="423"/>
      <c r="F988" s="424"/>
      <c r="G988" s="425"/>
      <c r="H988" s="426">
        <f>SUM(H983:H987)</f>
        <v>0</v>
      </c>
      <c r="I988" s="427">
        <f>AG$10</f>
        <v>1.1111111111111112</v>
      </c>
      <c r="J988" s="428">
        <f>H988*I988*J$13+K988</f>
        <v>0</v>
      </c>
      <c r="K988" s="429">
        <f>K987+K986</f>
        <v>0</v>
      </c>
    </row>
    <row r="989" spans="1:11" x14ac:dyDescent="0.25">
      <c r="B989" s="397"/>
      <c r="F989" s="407"/>
    </row>
    <row r="990" spans="1:11" x14ac:dyDescent="0.25">
      <c r="A990" s="679" t="s">
        <v>11</v>
      </c>
      <c r="B990" s="682">
        <f>B983+1</f>
        <v>46015</v>
      </c>
      <c r="C990" s="398" t="s">
        <v>9</v>
      </c>
      <c r="D990" s="399"/>
      <c r="E990" s="399"/>
      <c r="F990" s="400"/>
      <c r="G990" s="401">
        <f>IF(E990&lt;8,Factors!F$18,IF(E990&lt;9,Factors!F$19,IF(E990&lt;10,Factors!F$20,IF(E990&lt;11,Factors!F$21,IF(E990&lt;12,Factors!F$22,IF(E990&lt;13,Factors!F$23))))))</f>
        <v>1.2308917197452229</v>
      </c>
      <c r="H990" s="402">
        <f>D990*F990*G990</f>
        <v>0</v>
      </c>
      <c r="I990" s="403"/>
      <c r="J990" s="404"/>
      <c r="K990" s="405"/>
    </row>
    <row r="991" spans="1:11" x14ac:dyDescent="0.25">
      <c r="A991" s="680"/>
      <c r="B991" s="683"/>
      <c r="C991" s="406" t="s">
        <v>174</v>
      </c>
      <c r="F991" s="407"/>
      <c r="G991" s="408">
        <f>IF(E991&lt;8,Factors!H$18,IF(E991&lt;9,Factors!H$19,IF(E991&lt;10,Factors!H$20,IF(E991&lt;11,Factors!H$21,IF(E991&lt;12,Factors!H$22,IF(E991&lt;13,Factors!H$23))))))</f>
        <v>1.3238434163701067</v>
      </c>
      <c r="H991" s="409">
        <f>D991*F991*G991</f>
        <v>0</v>
      </c>
      <c r="I991" s="410"/>
      <c r="J991" s="411"/>
      <c r="K991" s="412"/>
    </row>
    <row r="992" spans="1:11" x14ac:dyDescent="0.25">
      <c r="A992" s="680" t="s">
        <v>94</v>
      </c>
      <c r="B992" s="683"/>
      <c r="C992" s="406" t="s">
        <v>43</v>
      </c>
      <c r="F992" s="407"/>
      <c r="G992" s="408">
        <f>IF(E992&lt;8,Factors!H$18,IF(E992&lt;9,Factors!H$19,IF(E992&lt;10,Factors!H$20,IF(E992&lt;11,Factors!H$21,IF(E992&lt;12,Factors!H$22,IF(E992&lt;13,Factors!H$23))))))</f>
        <v>1.3238434163701067</v>
      </c>
      <c r="H992" s="409">
        <f>D992*F992*G992</f>
        <v>0</v>
      </c>
      <c r="I992" s="406"/>
      <c r="J992" s="411"/>
      <c r="K992" s="412"/>
    </row>
    <row r="993" spans="1:11" x14ac:dyDescent="0.25">
      <c r="A993" s="680"/>
      <c r="B993" s="683"/>
      <c r="C993" s="406" t="s">
        <v>166</v>
      </c>
      <c r="F993" s="407"/>
      <c r="G993" s="408">
        <f>IF(E993&lt;8,Factors!H$18,IF(E993&lt;9,Factors!H$19,IF(E993&lt;10,Factors!H$20,IF(E993&lt;11,Factors!H$21,IF(E993&lt;12,Factors!H$22,IF(E993&lt;13,Factors!H$23))))))</f>
        <v>1.3238434163701067</v>
      </c>
      <c r="H993" s="409">
        <f>D993*F993*G993</f>
        <v>0</v>
      </c>
      <c r="I993" s="410"/>
      <c r="J993" s="411"/>
      <c r="K993" s="412"/>
    </row>
    <row r="994" spans="1:11" ht="15.75" thickBot="1" x14ac:dyDescent="0.3">
      <c r="A994" s="680"/>
      <c r="B994" s="683"/>
      <c r="C994" s="415" t="s">
        <v>158</v>
      </c>
      <c r="D994" s="416"/>
      <c r="E994" s="416"/>
      <c r="F994" s="417"/>
      <c r="G994" s="418">
        <f>IF(E994&lt;8,Factors!H$18,IF(E994&lt;9,Factors!H$19,IF(E994&lt;10,Factors!H$20,IF(E994&lt;11,Factors!H$21,IF(E994&lt;12,Factors!H$22,IF(E994&lt;13,Factors!H$23))))))</f>
        <v>1.3238434163701067</v>
      </c>
      <c r="H994" s="419">
        <f>D994*F994*G994</f>
        <v>0</v>
      </c>
      <c r="I994" s="420"/>
      <c r="J994" s="421"/>
      <c r="K994" s="421"/>
    </row>
    <row r="995" spans="1:11" ht="15.75" thickTop="1" x14ac:dyDescent="0.25">
      <c r="A995" s="681"/>
      <c r="B995" s="684"/>
      <c r="C995" s="422"/>
      <c r="D995" s="423"/>
      <c r="E995" s="423"/>
      <c r="F995" s="424"/>
      <c r="G995" s="425"/>
      <c r="H995" s="426">
        <f>SUM(H990:H994)</f>
        <v>0</v>
      </c>
      <c r="I995" s="427">
        <f>AG$10</f>
        <v>1.1111111111111112</v>
      </c>
      <c r="J995" s="428">
        <f>H995*I995*J$13+K995</f>
        <v>0</v>
      </c>
      <c r="K995" s="429">
        <f>K994+K993</f>
        <v>0</v>
      </c>
    </row>
    <row r="996" spans="1:11" x14ac:dyDescent="0.25">
      <c r="B996" s="397"/>
      <c r="J996" s="430"/>
    </row>
    <row r="997" spans="1:11" x14ac:dyDescent="0.25">
      <c r="A997" s="679" t="s">
        <v>95</v>
      </c>
      <c r="B997" s="682">
        <f>B990+1</f>
        <v>46016</v>
      </c>
      <c r="C997" s="398" t="s">
        <v>9</v>
      </c>
      <c r="D997" s="399"/>
      <c r="E997" s="399"/>
      <c r="F997" s="400"/>
      <c r="G997" s="401">
        <f>IF(E997&lt;8,Factors!F$18,IF(E997&lt;9,Factors!F$19,IF(E997&lt;10,Factors!F$20,IF(E997&lt;11,Factors!F$21,IF(E997&lt;12,Factors!F$22,IF(E997&lt;13,Factors!F$23))))))</f>
        <v>1.2308917197452229</v>
      </c>
      <c r="H997" s="402">
        <f>D997*F997*G997</f>
        <v>0</v>
      </c>
      <c r="I997" s="403"/>
      <c r="J997" s="404"/>
      <c r="K997" s="405"/>
    </row>
    <row r="998" spans="1:11" x14ac:dyDescent="0.25">
      <c r="A998" s="680"/>
      <c r="B998" s="683"/>
      <c r="C998" s="406" t="s">
        <v>174</v>
      </c>
      <c r="F998" s="407"/>
      <c r="G998" s="408">
        <f>IF(E998&lt;8,Factors!H$18,IF(E998&lt;9,Factors!H$19,IF(E998&lt;10,Factors!H$20,IF(E998&lt;11,Factors!H$21,IF(E998&lt;12,Factors!H$22,IF(E998&lt;13,Factors!H$23))))))</f>
        <v>1.3238434163701067</v>
      </c>
      <c r="H998" s="409">
        <f>D998*F998*G998</f>
        <v>0</v>
      </c>
      <c r="I998" s="410"/>
      <c r="J998" s="411"/>
      <c r="K998" s="412"/>
    </row>
    <row r="999" spans="1:11" x14ac:dyDescent="0.25">
      <c r="A999" s="680" t="s">
        <v>94</v>
      </c>
      <c r="B999" s="683"/>
      <c r="C999" s="406" t="s">
        <v>43</v>
      </c>
      <c r="F999" s="407"/>
      <c r="G999" s="408">
        <f>IF(E999&lt;8,Factors!H$18,IF(E999&lt;9,Factors!H$19,IF(E999&lt;10,Factors!H$20,IF(E999&lt;11,Factors!H$21,IF(E999&lt;12,Factors!H$22,IF(E999&lt;13,Factors!H$23))))))</f>
        <v>1.3238434163701067</v>
      </c>
      <c r="H999" s="409">
        <f>D999*F999*G999</f>
        <v>0</v>
      </c>
      <c r="I999" s="406"/>
      <c r="J999" s="411"/>
      <c r="K999" s="412"/>
    </row>
    <row r="1000" spans="1:11" x14ac:dyDescent="0.25">
      <c r="A1000" s="680"/>
      <c r="B1000" s="683"/>
      <c r="C1000" s="406" t="s">
        <v>166</v>
      </c>
      <c r="F1000" s="407"/>
      <c r="G1000" s="408">
        <f>IF(E1000&lt;8,Factors!H$18,IF(E1000&lt;9,Factors!H$19,IF(E1000&lt;10,Factors!H$20,IF(E1000&lt;11,Factors!H$21,IF(E1000&lt;12,Factors!H$22,IF(E1000&lt;13,Factors!H$23))))))</f>
        <v>1.3238434163701067</v>
      </c>
      <c r="H1000" s="409">
        <f>D1000*F1000*G1000</f>
        <v>0</v>
      </c>
      <c r="I1000" s="410"/>
      <c r="J1000" s="411"/>
      <c r="K1000" s="412"/>
    </row>
    <row r="1001" spans="1:11" ht="15.75" thickBot="1" x14ac:dyDescent="0.3">
      <c r="A1001" s="680"/>
      <c r="B1001" s="683"/>
      <c r="C1001" s="415" t="s">
        <v>158</v>
      </c>
      <c r="D1001" s="416"/>
      <c r="E1001" s="416"/>
      <c r="F1001" s="417"/>
      <c r="G1001" s="418">
        <f>IF(E1001&lt;8,Factors!H$18,IF(E1001&lt;9,Factors!H$19,IF(E1001&lt;10,Factors!H$20,IF(E1001&lt;11,Factors!H$21,IF(E1001&lt;12,Factors!H$22,IF(E1001&lt;13,Factors!H$23))))))</f>
        <v>1.3238434163701067</v>
      </c>
      <c r="H1001" s="419">
        <f>D1001*F1001*G1001</f>
        <v>0</v>
      </c>
      <c r="I1001" s="420"/>
      <c r="J1001" s="421"/>
      <c r="K1001" s="421"/>
    </row>
    <row r="1002" spans="1:11" ht="15.75" thickTop="1" x14ac:dyDescent="0.25">
      <c r="A1002" s="681"/>
      <c r="B1002" s="684"/>
      <c r="C1002" s="422"/>
      <c r="D1002" s="423"/>
      <c r="E1002" s="423"/>
      <c r="F1002" s="424"/>
      <c r="G1002" s="425"/>
      <c r="H1002" s="426">
        <f>SUM(H997:H1001)</f>
        <v>0</v>
      </c>
      <c r="I1002" s="427">
        <f>AG$10</f>
        <v>1.1111111111111112</v>
      </c>
      <c r="J1002" s="428">
        <f>H1002*I1002*J$13+K1002</f>
        <v>0</v>
      </c>
      <c r="K1002" s="429">
        <f>K1001+K1000</f>
        <v>0</v>
      </c>
    </row>
    <row r="1003" spans="1:11" x14ac:dyDescent="0.25">
      <c r="B1003" s="397"/>
    </row>
    <row r="1004" spans="1:11" x14ac:dyDescent="0.25">
      <c r="A1004" s="679" t="s">
        <v>13</v>
      </c>
      <c r="B1004" s="682">
        <f>B997+1</f>
        <v>46017</v>
      </c>
      <c r="C1004" s="398" t="s">
        <v>9</v>
      </c>
      <c r="D1004" s="399"/>
      <c r="E1004" s="399"/>
      <c r="F1004" s="400"/>
      <c r="G1004" s="401">
        <f>IF(E1004&lt;8,Factors!F$18,IF(E1004&lt;9,Factors!F$19,IF(E1004&lt;10,Factors!F$20,IF(E1004&lt;11,Factors!F$21,IF(E1004&lt;12,Factors!F$22,IF(E1004&lt;13,Factors!F$23))))))</f>
        <v>1.2308917197452229</v>
      </c>
      <c r="H1004" s="402">
        <f>D1004*F1004*G1004</f>
        <v>0</v>
      </c>
      <c r="I1004" s="403"/>
      <c r="J1004" s="404"/>
      <c r="K1004" s="405"/>
    </row>
    <row r="1005" spans="1:11" x14ac:dyDescent="0.25">
      <c r="A1005" s="680"/>
      <c r="B1005" s="683"/>
      <c r="C1005" s="406" t="s">
        <v>174</v>
      </c>
      <c r="F1005" s="407"/>
      <c r="G1005" s="408">
        <f>IF(E1005&lt;8,Factors!H$18,IF(E1005&lt;9,Factors!H$19,IF(E1005&lt;10,Factors!H$20,IF(E1005&lt;11,Factors!H$21,IF(E1005&lt;12,Factors!H$22,IF(E1005&lt;13,Factors!H$23))))))</f>
        <v>1.3238434163701067</v>
      </c>
      <c r="H1005" s="409">
        <f>D1005*F1005*G1005</f>
        <v>0</v>
      </c>
      <c r="I1005" s="410"/>
      <c r="J1005" s="411"/>
      <c r="K1005" s="412"/>
    </row>
    <row r="1006" spans="1:11" x14ac:dyDescent="0.25">
      <c r="A1006" s="680" t="s">
        <v>94</v>
      </c>
      <c r="B1006" s="683"/>
      <c r="C1006" s="406" t="s">
        <v>43</v>
      </c>
      <c r="F1006" s="407"/>
      <c r="G1006" s="408">
        <f>IF(E1006&lt;8,Factors!H$18,IF(E1006&lt;9,Factors!H$19,IF(E1006&lt;10,Factors!H$20,IF(E1006&lt;11,Factors!H$21,IF(E1006&lt;12,Factors!H$22,IF(E1006&lt;13,Factors!H$23))))))</f>
        <v>1.3238434163701067</v>
      </c>
      <c r="H1006" s="409">
        <f>D1006*F1006*G1006</f>
        <v>0</v>
      </c>
      <c r="I1006" s="406"/>
      <c r="J1006" s="411"/>
      <c r="K1006" s="412"/>
    </row>
    <row r="1007" spans="1:11" x14ac:dyDescent="0.25">
      <c r="A1007" s="680"/>
      <c r="B1007" s="683"/>
      <c r="C1007" s="406" t="s">
        <v>166</v>
      </c>
      <c r="F1007" s="407"/>
      <c r="G1007" s="408">
        <f>IF(E1007&lt;8,Factors!H$18,IF(E1007&lt;9,Factors!H$19,IF(E1007&lt;10,Factors!H$20,IF(E1007&lt;11,Factors!H$21,IF(E1007&lt;12,Factors!H$22,IF(E1007&lt;13,Factors!H$23))))))</f>
        <v>1.3238434163701067</v>
      </c>
      <c r="H1007" s="409">
        <f>D1007*F1007*G1007</f>
        <v>0</v>
      </c>
      <c r="I1007" s="410"/>
      <c r="J1007" s="411"/>
      <c r="K1007" s="412"/>
    </row>
    <row r="1008" spans="1:11" ht="15.75" thickBot="1" x14ac:dyDescent="0.3">
      <c r="A1008" s="680"/>
      <c r="B1008" s="683"/>
      <c r="C1008" s="415" t="s">
        <v>158</v>
      </c>
      <c r="D1008" s="416"/>
      <c r="E1008" s="416"/>
      <c r="F1008" s="417"/>
      <c r="G1008" s="418">
        <f>IF(E1008&lt;8,Factors!H$18,IF(E1008&lt;9,Factors!H$19,IF(E1008&lt;10,Factors!H$20,IF(E1008&lt;11,Factors!H$21,IF(E1008&lt;12,Factors!H$22,IF(E1008&lt;13,Factors!H$23))))))</f>
        <v>1.3238434163701067</v>
      </c>
      <c r="H1008" s="419">
        <f>D1008*F1008*G1008</f>
        <v>0</v>
      </c>
      <c r="I1008" s="420"/>
      <c r="J1008" s="421"/>
      <c r="K1008" s="421"/>
    </row>
    <row r="1009" spans="1:11" ht="15.75" thickTop="1" x14ac:dyDescent="0.25">
      <c r="A1009" s="681"/>
      <c r="B1009" s="684"/>
      <c r="C1009" s="422"/>
      <c r="D1009" s="423"/>
      <c r="E1009" s="423"/>
      <c r="F1009" s="424"/>
      <c r="G1009" s="425"/>
      <c r="H1009" s="426">
        <f>SUM(H1004:H1008)</f>
        <v>0</v>
      </c>
      <c r="I1009" s="427">
        <v>1.111</v>
      </c>
      <c r="J1009" s="428">
        <f>H1009*I1009*J$13+K1009</f>
        <v>0</v>
      </c>
      <c r="K1009" s="429">
        <f>K1008+K1007</f>
        <v>0</v>
      </c>
    </row>
    <row r="1010" spans="1:11" x14ac:dyDescent="0.25">
      <c r="B1010" s="397"/>
      <c r="J1010" s="430"/>
    </row>
    <row r="1011" spans="1:11" x14ac:dyDescent="0.25">
      <c r="A1011" s="680" t="s">
        <v>14</v>
      </c>
      <c r="B1011" s="682">
        <f>B1004+1</f>
        <v>46018</v>
      </c>
      <c r="C1011" s="398" t="s">
        <v>9</v>
      </c>
      <c r="D1011" s="399"/>
      <c r="E1011" s="399"/>
      <c r="F1011" s="400"/>
      <c r="G1011" s="401">
        <f>IF(E1011&lt;8,Factors!F$18,IF(E1011&lt;9,Factors!F$19,IF(E1011&lt;10,Factors!F$20,IF(E1011&lt;11,Factors!F$21,IF(E1011&lt;12,Factors!F$22,IF(E1011&lt;13,Factors!F$23))))))</f>
        <v>1.2308917197452229</v>
      </c>
      <c r="H1011" s="402">
        <f>D1011*F1011*G1011</f>
        <v>0</v>
      </c>
      <c r="I1011" s="403"/>
      <c r="J1011" s="404"/>
      <c r="K1011" s="405"/>
    </row>
    <row r="1012" spans="1:11" x14ac:dyDescent="0.25">
      <c r="A1012" s="680"/>
      <c r="B1012" s="683"/>
      <c r="C1012" s="406" t="s">
        <v>174</v>
      </c>
      <c r="F1012" s="407"/>
      <c r="G1012" s="408">
        <f>IF(E1012&lt;8,Factors!H$18,IF(E1012&lt;9,Factors!H$19,IF(E1012&lt;10,Factors!H$20,IF(E1012&lt;11,Factors!H$21,IF(E1012&lt;12,Factors!H$22,IF(E1012&lt;13,Factors!H$23))))))</f>
        <v>1.3238434163701067</v>
      </c>
      <c r="H1012" s="409">
        <f>D1012*F1012*G1012</f>
        <v>0</v>
      </c>
      <c r="I1012" s="410"/>
      <c r="J1012" s="411"/>
      <c r="K1012" s="412"/>
    </row>
    <row r="1013" spans="1:11" x14ac:dyDescent="0.25">
      <c r="A1013" s="680" t="s">
        <v>94</v>
      </c>
      <c r="B1013" s="683"/>
      <c r="C1013" s="406" t="s">
        <v>43</v>
      </c>
      <c r="F1013" s="407"/>
      <c r="G1013" s="408">
        <f>IF(E1013&lt;8,Factors!H$18,IF(E1013&lt;9,Factors!H$19,IF(E1013&lt;10,Factors!H$20,IF(E1013&lt;11,Factors!H$21,IF(E1013&lt;12,Factors!H$22,IF(E1013&lt;13,Factors!H$23))))))</f>
        <v>1.3238434163701067</v>
      </c>
      <c r="H1013" s="409">
        <f>D1013*F1013*G1013</f>
        <v>0</v>
      </c>
      <c r="I1013" s="406"/>
      <c r="J1013" s="411"/>
      <c r="K1013" s="412"/>
    </row>
    <row r="1014" spans="1:11" x14ac:dyDescent="0.25">
      <c r="A1014" s="680"/>
      <c r="B1014" s="683"/>
      <c r="C1014" s="406" t="s">
        <v>166</v>
      </c>
      <c r="F1014" s="407"/>
      <c r="G1014" s="408">
        <f>IF(E1014&lt;8,Factors!H$18,IF(E1014&lt;9,Factors!H$19,IF(E1014&lt;10,Factors!H$20,IF(E1014&lt;11,Factors!H$21,IF(E1014&lt;12,Factors!H$22,IF(E1014&lt;13,Factors!H$23))))))</f>
        <v>1.3238434163701067</v>
      </c>
      <c r="H1014" s="409">
        <f>D1014*F1014*G1014</f>
        <v>0</v>
      </c>
      <c r="I1014" s="410"/>
      <c r="J1014" s="411"/>
      <c r="K1014" s="412"/>
    </row>
    <row r="1015" spans="1:11" ht="15.75" thickBot="1" x14ac:dyDescent="0.3">
      <c r="A1015" s="680"/>
      <c r="B1015" s="683"/>
      <c r="C1015" s="415" t="s">
        <v>158</v>
      </c>
      <c r="D1015" s="416"/>
      <c r="E1015" s="416"/>
      <c r="F1015" s="417"/>
      <c r="G1015" s="418">
        <f>IF(E1015&lt;8,Factors!H$18,IF(E1015&lt;9,Factors!H$19,IF(E1015&lt;10,Factors!H$20,IF(E1015&lt;11,Factors!H$21,IF(E1015&lt;12,Factors!H$22,IF(E1015&lt;13,Factors!H$23))))))</f>
        <v>1.3238434163701067</v>
      </c>
      <c r="H1015" s="419">
        <f>D1015*F1015*G1015</f>
        <v>0</v>
      </c>
      <c r="I1015" s="420"/>
      <c r="J1015" s="421"/>
      <c r="K1015" s="421"/>
    </row>
    <row r="1016" spans="1:11" ht="15.75" thickTop="1" x14ac:dyDescent="0.25">
      <c r="A1016" s="681"/>
      <c r="B1016" s="684"/>
      <c r="C1016" s="422"/>
      <c r="D1016" s="423"/>
      <c r="E1016" s="423"/>
      <c r="F1016" s="424"/>
      <c r="G1016" s="425"/>
      <c r="H1016" s="426">
        <f>SUM(H1011:H1015)</f>
        <v>0</v>
      </c>
      <c r="I1016" s="427">
        <f>AG$10</f>
        <v>1.1111111111111112</v>
      </c>
      <c r="J1016" s="428">
        <f>H1016*I1016*J$13+K1016</f>
        <v>0</v>
      </c>
      <c r="K1016" s="429">
        <f>K1015+K1014</f>
        <v>0</v>
      </c>
    </row>
    <row r="1017" spans="1:11" x14ac:dyDescent="0.25">
      <c r="B1017" s="397"/>
      <c r="G1017" s="414"/>
      <c r="H1017" s="414"/>
      <c r="I1017" s="430"/>
    </row>
    <row r="1018" spans="1:11" x14ac:dyDescent="0.25">
      <c r="A1018" s="679" t="s">
        <v>15</v>
      </c>
      <c r="B1018" s="682">
        <f>B1011+1</f>
        <v>46019</v>
      </c>
      <c r="C1018" s="398" t="s">
        <v>9</v>
      </c>
      <c r="D1018" s="399"/>
      <c r="E1018" s="399"/>
      <c r="F1018" s="400"/>
      <c r="G1018" s="401">
        <f>IF(E1018&lt;8,Factors!F$18,IF(E1018&lt;9,Factors!F$19,IF(E1018&lt;10,Factors!F$20,IF(E1018&lt;11,Factors!F$21,IF(E1018&lt;12,Factors!F$22,IF(E1018&lt;13,Factors!F$23))))))</f>
        <v>1.2308917197452229</v>
      </c>
      <c r="H1018" s="402">
        <f>D1018*F1018*G1018</f>
        <v>0</v>
      </c>
      <c r="I1018" s="403"/>
      <c r="J1018" s="404"/>
      <c r="K1018" s="405"/>
    </row>
    <row r="1019" spans="1:11" x14ac:dyDescent="0.25">
      <c r="A1019" s="680"/>
      <c r="B1019" s="683"/>
      <c r="C1019" s="406" t="s">
        <v>174</v>
      </c>
      <c r="F1019" s="407"/>
      <c r="G1019" s="408">
        <f>IF(E1019&lt;8,Factors!H$18,IF(E1019&lt;9,Factors!H$19,IF(E1019&lt;10,Factors!H$20,IF(E1019&lt;11,Factors!H$21,IF(E1019&lt;12,Factors!H$22,IF(E1019&lt;13,Factors!H$23))))))</f>
        <v>1.3238434163701067</v>
      </c>
      <c r="H1019" s="409">
        <f>D1019*F1019*G1019</f>
        <v>0</v>
      </c>
      <c r="I1019" s="410"/>
      <c r="J1019" s="411"/>
      <c r="K1019" s="412"/>
    </row>
    <row r="1020" spans="1:11" x14ac:dyDescent="0.25">
      <c r="A1020" s="680" t="s">
        <v>94</v>
      </c>
      <c r="B1020" s="683"/>
      <c r="C1020" s="406" t="s">
        <v>43</v>
      </c>
      <c r="F1020" s="407"/>
      <c r="G1020" s="408">
        <f>IF(E1020&lt;8,Factors!H$18,IF(E1020&lt;9,Factors!H$19,IF(E1020&lt;10,Factors!H$20,IF(E1020&lt;11,Factors!H$21,IF(E1020&lt;12,Factors!H$22,IF(E1020&lt;13,Factors!H$23))))))</f>
        <v>1.3238434163701067</v>
      </c>
      <c r="H1020" s="409">
        <f>D1020*F1020*G1020</f>
        <v>0</v>
      </c>
      <c r="I1020" s="406"/>
      <c r="J1020" s="411"/>
      <c r="K1020" s="412"/>
    </row>
    <row r="1021" spans="1:11" x14ac:dyDescent="0.25">
      <c r="A1021" s="680"/>
      <c r="B1021" s="683"/>
      <c r="C1021" s="406" t="s">
        <v>166</v>
      </c>
      <c r="F1021" s="407"/>
      <c r="G1021" s="408">
        <f>IF(E1021&lt;8,Factors!H$18,IF(E1021&lt;9,Factors!H$19,IF(E1021&lt;10,Factors!H$20,IF(E1021&lt;11,Factors!H$21,IF(E1021&lt;12,Factors!H$22,IF(E1021&lt;13,Factors!H$23))))))</f>
        <v>1.3238434163701067</v>
      </c>
      <c r="H1021" s="409">
        <f>D1021*F1021*G1021</f>
        <v>0</v>
      </c>
      <c r="I1021" s="410"/>
      <c r="J1021" s="411"/>
      <c r="K1021" s="412"/>
    </row>
    <row r="1022" spans="1:11" ht="15.75" thickBot="1" x14ac:dyDescent="0.3">
      <c r="A1022" s="680"/>
      <c r="B1022" s="683"/>
      <c r="C1022" s="415" t="s">
        <v>158</v>
      </c>
      <c r="D1022" s="416"/>
      <c r="E1022" s="416"/>
      <c r="F1022" s="417"/>
      <c r="G1022" s="418">
        <f>IF(E1022&lt;8,Factors!H$18,IF(E1022&lt;9,Factors!H$19,IF(E1022&lt;10,Factors!H$20,IF(E1022&lt;11,Factors!H$21,IF(E1022&lt;12,Factors!H$22,IF(E1022&lt;13,Factors!H$23))))))</f>
        <v>1.3238434163701067</v>
      </c>
      <c r="H1022" s="419">
        <f>D1022*F1022*G1022</f>
        <v>0</v>
      </c>
      <c r="I1022" s="420"/>
      <c r="J1022" s="421"/>
      <c r="K1022" s="421"/>
    </row>
    <row r="1023" spans="1:11" ht="15.75" thickTop="1" x14ac:dyDescent="0.25">
      <c r="A1023" s="681"/>
      <c r="B1023" s="684"/>
      <c r="C1023" s="422"/>
      <c r="D1023" s="423"/>
      <c r="E1023" s="423"/>
      <c r="F1023" s="424"/>
      <c r="G1023" s="425"/>
      <c r="H1023" s="426">
        <f>SUM(H1018:H1022)</f>
        <v>0</v>
      </c>
      <c r="I1023" s="427">
        <f>AG$10</f>
        <v>1.1111111111111112</v>
      </c>
      <c r="J1023" s="428">
        <f>H1023*I1023*J$13+K1023</f>
        <v>0</v>
      </c>
      <c r="K1023" s="429">
        <f>K1022+K1021</f>
        <v>0</v>
      </c>
    </row>
    <row r="1024" spans="1:11" x14ac:dyDescent="0.25">
      <c r="B1024" s="397"/>
    </row>
    <row r="1025" spans="2:2" x14ac:dyDescent="0.25">
      <c r="B1025" s="397"/>
    </row>
    <row r="1026" spans="2:2" x14ac:dyDescent="0.25">
      <c r="B1026" s="397"/>
    </row>
    <row r="1027" spans="2:2" x14ac:dyDescent="0.25">
      <c r="B1027" s="397"/>
    </row>
    <row r="1028" spans="2:2" x14ac:dyDescent="0.25">
      <c r="B1028" s="397"/>
    </row>
    <row r="1029" spans="2:2" x14ac:dyDescent="0.25">
      <c r="B1029" s="397"/>
    </row>
    <row r="1030" spans="2:2" x14ac:dyDescent="0.25">
      <c r="B1030" s="397"/>
    </row>
    <row r="1031" spans="2:2" x14ac:dyDescent="0.25">
      <c r="B1031" s="397"/>
    </row>
    <row r="1032" spans="2:2" x14ac:dyDescent="0.25">
      <c r="B1032" s="397"/>
    </row>
    <row r="1033" spans="2:2" x14ac:dyDescent="0.25">
      <c r="B1033" s="397"/>
    </row>
    <row r="1034" spans="2:2" x14ac:dyDescent="0.25">
      <c r="B1034" s="397"/>
    </row>
    <row r="1035" spans="2:2" x14ac:dyDescent="0.25">
      <c r="B1035" s="397"/>
    </row>
    <row r="1036" spans="2:2" x14ac:dyDescent="0.25">
      <c r="B1036" s="397"/>
    </row>
    <row r="1037" spans="2:2" x14ac:dyDescent="0.25">
      <c r="B1037" s="397"/>
    </row>
    <row r="1038" spans="2:2" x14ac:dyDescent="0.25">
      <c r="B1038" s="397"/>
    </row>
    <row r="1039" spans="2:2" x14ac:dyDescent="0.25">
      <c r="B1039" s="397"/>
    </row>
    <row r="1040" spans="2:2" x14ac:dyDescent="0.25">
      <c r="B1040" s="397"/>
    </row>
    <row r="1041" spans="2:2" x14ac:dyDescent="0.25">
      <c r="B1041" s="397"/>
    </row>
    <row r="1042" spans="2:2" x14ac:dyDescent="0.25">
      <c r="B1042" s="397"/>
    </row>
    <row r="1043" spans="2:2" x14ac:dyDescent="0.25">
      <c r="B1043" s="397"/>
    </row>
    <row r="1044" spans="2:2" x14ac:dyDescent="0.25">
      <c r="B1044" s="397"/>
    </row>
    <row r="1045" spans="2:2" x14ac:dyDescent="0.25">
      <c r="B1045" s="397"/>
    </row>
    <row r="1046" spans="2:2" x14ac:dyDescent="0.25">
      <c r="B1046" s="397"/>
    </row>
    <row r="1047" spans="2:2" x14ac:dyDescent="0.25">
      <c r="B1047" s="397"/>
    </row>
    <row r="1048" spans="2:2" x14ac:dyDescent="0.25">
      <c r="B1048" s="397"/>
    </row>
    <row r="1049" spans="2:2" x14ac:dyDescent="0.25">
      <c r="B1049" s="397"/>
    </row>
    <row r="1050" spans="2:2" x14ac:dyDescent="0.25">
      <c r="B1050" s="397"/>
    </row>
    <row r="1051" spans="2:2" x14ac:dyDescent="0.25">
      <c r="B1051" s="397"/>
    </row>
    <row r="1052" spans="2:2" x14ac:dyDescent="0.25">
      <c r="B1052" s="397"/>
    </row>
    <row r="1053" spans="2:2" x14ac:dyDescent="0.25">
      <c r="B1053" s="397"/>
    </row>
    <row r="1054" spans="2:2" x14ac:dyDescent="0.25">
      <c r="B1054" s="397"/>
    </row>
    <row r="1055" spans="2:2" x14ac:dyDescent="0.25">
      <c r="B1055" s="397"/>
    </row>
    <row r="1056" spans="2:2" x14ac:dyDescent="0.25">
      <c r="B1056" s="397"/>
    </row>
    <row r="1057" spans="2:2" x14ac:dyDescent="0.25">
      <c r="B1057" s="397"/>
    </row>
    <row r="1058" spans="2:2" x14ac:dyDescent="0.25">
      <c r="B1058" s="397"/>
    </row>
    <row r="1059" spans="2:2" x14ac:dyDescent="0.25">
      <c r="B1059" s="397"/>
    </row>
    <row r="1060" spans="2:2" x14ac:dyDescent="0.25">
      <c r="B1060" s="397"/>
    </row>
    <row r="1061" spans="2:2" x14ac:dyDescent="0.25">
      <c r="B1061" s="397"/>
    </row>
    <row r="1062" spans="2:2" x14ac:dyDescent="0.25">
      <c r="B1062" s="397"/>
    </row>
    <row r="1063" spans="2:2" x14ac:dyDescent="0.25">
      <c r="B1063" s="397"/>
    </row>
    <row r="1064" spans="2:2" x14ac:dyDescent="0.25">
      <c r="B1064" s="397"/>
    </row>
    <row r="1065" spans="2:2" x14ac:dyDescent="0.25">
      <c r="B1065" s="397"/>
    </row>
    <row r="1066" spans="2:2" x14ac:dyDescent="0.25">
      <c r="B1066" s="397"/>
    </row>
    <row r="1067" spans="2:2" x14ac:dyDescent="0.25">
      <c r="B1067" s="397"/>
    </row>
    <row r="1068" spans="2:2" x14ac:dyDescent="0.25">
      <c r="B1068" s="397"/>
    </row>
    <row r="1069" spans="2:2" x14ac:dyDescent="0.25">
      <c r="B1069" s="397"/>
    </row>
    <row r="1070" spans="2:2" x14ac:dyDescent="0.25">
      <c r="B1070" s="397"/>
    </row>
    <row r="1071" spans="2:2" x14ac:dyDescent="0.25">
      <c r="B1071" s="397"/>
    </row>
    <row r="1072" spans="2:2" x14ac:dyDescent="0.25">
      <c r="B1072" s="397"/>
    </row>
    <row r="1073" spans="2:2" x14ac:dyDescent="0.25">
      <c r="B1073" s="397"/>
    </row>
    <row r="1074" spans="2:2" x14ac:dyDescent="0.25">
      <c r="B1074" s="397"/>
    </row>
    <row r="1075" spans="2:2" x14ac:dyDescent="0.25">
      <c r="B1075" s="397"/>
    </row>
    <row r="1076" spans="2:2" x14ac:dyDescent="0.25">
      <c r="B1076" s="397"/>
    </row>
    <row r="1077" spans="2:2" x14ac:dyDescent="0.25">
      <c r="B1077" s="397"/>
    </row>
    <row r="1078" spans="2:2" x14ac:dyDescent="0.25">
      <c r="B1078" s="397"/>
    </row>
    <row r="1079" spans="2:2" x14ac:dyDescent="0.25">
      <c r="B1079" s="397"/>
    </row>
    <row r="1080" spans="2:2" x14ac:dyDescent="0.25">
      <c r="B1080" s="397"/>
    </row>
    <row r="1081" spans="2:2" x14ac:dyDescent="0.25">
      <c r="B1081" s="397"/>
    </row>
    <row r="1082" spans="2:2" x14ac:dyDescent="0.25">
      <c r="B1082" s="397"/>
    </row>
    <row r="1083" spans="2:2" x14ac:dyDescent="0.25">
      <c r="B1083" s="397"/>
    </row>
    <row r="1084" spans="2:2" x14ac:dyDescent="0.25">
      <c r="B1084" s="397"/>
    </row>
    <row r="1085" spans="2:2" x14ac:dyDescent="0.25">
      <c r="B1085" s="397"/>
    </row>
    <row r="1086" spans="2:2" x14ac:dyDescent="0.25">
      <c r="B1086" s="397"/>
    </row>
    <row r="1087" spans="2:2" x14ac:dyDescent="0.25">
      <c r="B1087" s="397"/>
    </row>
    <row r="1088" spans="2:2" x14ac:dyDescent="0.25">
      <c r="B1088" s="397"/>
    </row>
    <row r="1089" spans="2:2" x14ac:dyDescent="0.25">
      <c r="B1089" s="397"/>
    </row>
    <row r="1090" spans="2:2" x14ac:dyDescent="0.25">
      <c r="B1090" s="397"/>
    </row>
    <row r="1091" spans="2:2" x14ac:dyDescent="0.25">
      <c r="B1091" s="397"/>
    </row>
    <row r="1092" spans="2:2" x14ac:dyDescent="0.25">
      <c r="B1092" s="397"/>
    </row>
    <row r="1093" spans="2:2" x14ac:dyDescent="0.25">
      <c r="B1093" s="397"/>
    </row>
    <row r="1094" spans="2:2" x14ac:dyDescent="0.25">
      <c r="B1094" s="397"/>
    </row>
    <row r="1095" spans="2:2" x14ac:dyDescent="0.25">
      <c r="B1095" s="397"/>
    </row>
    <row r="1096" spans="2:2" x14ac:dyDescent="0.25">
      <c r="B1096" s="397"/>
    </row>
    <row r="1097" spans="2:2" x14ac:dyDescent="0.25">
      <c r="B1097" s="397"/>
    </row>
    <row r="1098" spans="2:2" x14ac:dyDescent="0.25">
      <c r="B1098" s="397"/>
    </row>
    <row r="1099" spans="2:2" x14ac:dyDescent="0.25">
      <c r="B1099" s="397"/>
    </row>
    <row r="1100" spans="2:2" x14ac:dyDescent="0.25">
      <c r="B1100" s="397"/>
    </row>
    <row r="1101" spans="2:2" x14ac:dyDescent="0.25">
      <c r="B1101" s="397"/>
    </row>
    <row r="1102" spans="2:2" x14ac:dyDescent="0.25">
      <c r="B1102" s="397"/>
    </row>
    <row r="1103" spans="2:2" x14ac:dyDescent="0.25">
      <c r="B1103" s="397"/>
    </row>
    <row r="1104" spans="2:2" x14ac:dyDescent="0.25">
      <c r="B1104" s="397"/>
    </row>
    <row r="1105" spans="2:2" x14ac:dyDescent="0.25">
      <c r="B1105" s="397"/>
    </row>
    <row r="1106" spans="2:2" x14ac:dyDescent="0.25">
      <c r="B1106" s="397"/>
    </row>
    <row r="1107" spans="2:2" x14ac:dyDescent="0.25">
      <c r="B1107" s="397"/>
    </row>
    <row r="1108" spans="2:2" x14ac:dyDescent="0.25">
      <c r="B1108" s="397"/>
    </row>
    <row r="1109" spans="2:2" x14ac:dyDescent="0.25">
      <c r="B1109" s="397"/>
    </row>
    <row r="1110" spans="2:2" x14ac:dyDescent="0.25">
      <c r="B1110" s="397"/>
    </row>
    <row r="1111" spans="2:2" x14ac:dyDescent="0.25">
      <c r="B1111" s="397"/>
    </row>
    <row r="1112" spans="2:2" x14ac:dyDescent="0.25">
      <c r="B1112" s="397"/>
    </row>
    <row r="1113" spans="2:2" x14ac:dyDescent="0.25">
      <c r="B1113" s="397"/>
    </row>
    <row r="1114" spans="2:2" x14ac:dyDescent="0.25">
      <c r="B1114" s="397"/>
    </row>
    <row r="1115" spans="2:2" x14ac:dyDescent="0.25">
      <c r="B1115" s="397"/>
    </row>
    <row r="1116" spans="2:2" x14ac:dyDescent="0.25">
      <c r="B1116" s="397"/>
    </row>
    <row r="1117" spans="2:2" x14ac:dyDescent="0.25">
      <c r="B1117" s="397"/>
    </row>
    <row r="1118" spans="2:2" x14ac:dyDescent="0.25">
      <c r="B1118" s="397"/>
    </row>
    <row r="1119" spans="2:2" x14ac:dyDescent="0.25">
      <c r="B1119" s="397"/>
    </row>
    <row r="1120" spans="2:2" x14ac:dyDescent="0.25">
      <c r="B1120" s="397"/>
    </row>
    <row r="1121" spans="2:2" x14ac:dyDescent="0.25">
      <c r="B1121" s="397"/>
    </row>
    <row r="1122" spans="2:2" x14ac:dyDescent="0.25">
      <c r="B1122" s="397"/>
    </row>
    <row r="1123" spans="2:2" x14ac:dyDescent="0.25">
      <c r="B1123" s="397"/>
    </row>
    <row r="1124" spans="2:2" x14ac:dyDescent="0.25">
      <c r="B1124" s="397"/>
    </row>
    <row r="1125" spans="2:2" x14ac:dyDescent="0.25">
      <c r="B1125" s="397"/>
    </row>
    <row r="1126" spans="2:2" x14ac:dyDescent="0.25">
      <c r="B1126" s="397"/>
    </row>
    <row r="1127" spans="2:2" x14ac:dyDescent="0.25">
      <c r="B1127" s="397"/>
    </row>
    <row r="1128" spans="2:2" x14ac:dyDescent="0.25">
      <c r="B1128" s="397"/>
    </row>
    <row r="1129" spans="2:2" x14ac:dyDescent="0.25">
      <c r="B1129" s="397"/>
    </row>
    <row r="1130" spans="2:2" x14ac:dyDescent="0.25">
      <c r="B1130" s="397"/>
    </row>
    <row r="1131" spans="2:2" x14ac:dyDescent="0.25">
      <c r="B1131" s="397"/>
    </row>
    <row r="1132" spans="2:2" x14ac:dyDescent="0.25">
      <c r="B1132" s="397"/>
    </row>
    <row r="1133" spans="2:2" x14ac:dyDescent="0.25">
      <c r="B1133" s="397"/>
    </row>
    <row r="1134" spans="2:2" x14ac:dyDescent="0.25">
      <c r="B1134" s="397"/>
    </row>
    <row r="1135" spans="2:2" x14ac:dyDescent="0.25">
      <c r="B1135" s="397"/>
    </row>
    <row r="1136" spans="2:2" x14ac:dyDescent="0.25">
      <c r="B1136" s="397"/>
    </row>
    <row r="1137" spans="2:2" x14ac:dyDescent="0.25">
      <c r="B1137" s="397"/>
    </row>
    <row r="1138" spans="2:2" x14ac:dyDescent="0.25">
      <c r="B1138" s="397"/>
    </row>
    <row r="1139" spans="2:2" x14ac:dyDescent="0.25">
      <c r="B1139" s="397"/>
    </row>
    <row r="1140" spans="2:2" x14ac:dyDescent="0.25">
      <c r="B1140" s="397"/>
    </row>
    <row r="1141" spans="2:2" x14ac:dyDescent="0.25">
      <c r="B1141" s="397"/>
    </row>
    <row r="1142" spans="2:2" x14ac:dyDescent="0.25">
      <c r="B1142" s="397"/>
    </row>
    <row r="1143" spans="2:2" x14ac:dyDescent="0.25">
      <c r="B1143" s="397"/>
    </row>
    <row r="1144" spans="2:2" x14ac:dyDescent="0.25">
      <c r="B1144" s="397"/>
    </row>
    <row r="1145" spans="2:2" x14ac:dyDescent="0.25">
      <c r="B1145" s="397"/>
    </row>
    <row r="1146" spans="2:2" x14ac:dyDescent="0.25">
      <c r="B1146" s="397"/>
    </row>
    <row r="1147" spans="2:2" x14ac:dyDescent="0.25">
      <c r="B1147" s="397"/>
    </row>
    <row r="1148" spans="2:2" x14ac:dyDescent="0.25">
      <c r="B1148" s="397"/>
    </row>
    <row r="1149" spans="2:2" x14ac:dyDescent="0.25">
      <c r="B1149" s="397"/>
    </row>
    <row r="1150" spans="2:2" x14ac:dyDescent="0.25">
      <c r="B1150" s="397"/>
    </row>
    <row r="1151" spans="2:2" x14ac:dyDescent="0.25">
      <c r="B1151" s="397"/>
    </row>
    <row r="1152" spans="2:2" x14ac:dyDescent="0.25">
      <c r="B1152" s="397"/>
    </row>
    <row r="1153" spans="2:2" x14ac:dyDescent="0.25">
      <c r="B1153" s="397"/>
    </row>
    <row r="1154" spans="2:2" x14ac:dyDescent="0.25">
      <c r="B1154" s="397"/>
    </row>
    <row r="1155" spans="2:2" x14ac:dyDescent="0.25">
      <c r="B1155" s="397"/>
    </row>
    <row r="1156" spans="2:2" x14ac:dyDescent="0.25">
      <c r="B1156" s="397"/>
    </row>
    <row r="1157" spans="2:2" x14ac:dyDescent="0.25">
      <c r="B1157" s="397"/>
    </row>
    <row r="1158" spans="2:2" x14ac:dyDescent="0.25">
      <c r="B1158" s="397"/>
    </row>
    <row r="1159" spans="2:2" x14ac:dyDescent="0.25">
      <c r="B1159" s="397"/>
    </row>
    <row r="1160" spans="2:2" x14ac:dyDescent="0.25">
      <c r="B1160" s="397"/>
    </row>
    <row r="1161" spans="2:2" x14ac:dyDescent="0.25">
      <c r="B1161" s="397"/>
    </row>
    <row r="1162" spans="2:2" x14ac:dyDescent="0.25">
      <c r="B1162" s="397"/>
    </row>
    <row r="1163" spans="2:2" x14ac:dyDescent="0.25">
      <c r="B1163" s="397"/>
    </row>
    <row r="1164" spans="2:2" x14ac:dyDescent="0.25">
      <c r="B1164" s="397"/>
    </row>
    <row r="1165" spans="2:2" x14ac:dyDescent="0.25">
      <c r="B1165" s="397"/>
    </row>
    <row r="1166" spans="2:2" x14ac:dyDescent="0.25">
      <c r="B1166" s="397"/>
    </row>
    <row r="1167" spans="2:2" x14ac:dyDescent="0.25">
      <c r="B1167" s="397"/>
    </row>
    <row r="1168" spans="2:2" x14ac:dyDescent="0.25">
      <c r="B1168" s="397"/>
    </row>
    <row r="1169" spans="2:2" x14ac:dyDescent="0.25">
      <c r="B1169" s="397"/>
    </row>
    <row r="1170" spans="2:2" x14ac:dyDescent="0.25">
      <c r="B1170" s="397"/>
    </row>
    <row r="1171" spans="2:2" x14ac:dyDescent="0.25">
      <c r="B1171" s="397"/>
    </row>
    <row r="1172" spans="2:2" x14ac:dyDescent="0.25">
      <c r="B1172" s="397"/>
    </row>
    <row r="1173" spans="2:2" x14ac:dyDescent="0.25">
      <c r="B1173" s="397"/>
    </row>
    <row r="1174" spans="2:2" x14ac:dyDescent="0.25">
      <c r="B1174" s="397"/>
    </row>
    <row r="1175" spans="2:2" x14ac:dyDescent="0.25">
      <c r="B1175" s="397"/>
    </row>
    <row r="1176" spans="2:2" x14ac:dyDescent="0.25">
      <c r="B1176" s="397"/>
    </row>
    <row r="1177" spans="2:2" x14ac:dyDescent="0.25">
      <c r="B1177" s="397"/>
    </row>
    <row r="1178" spans="2:2" x14ac:dyDescent="0.25">
      <c r="B1178" s="397"/>
    </row>
    <row r="1179" spans="2:2" x14ac:dyDescent="0.25">
      <c r="B1179" s="397"/>
    </row>
    <row r="1180" spans="2:2" x14ac:dyDescent="0.25">
      <c r="B1180" s="397"/>
    </row>
    <row r="1181" spans="2:2" x14ac:dyDescent="0.25">
      <c r="B1181" s="397"/>
    </row>
    <row r="1182" spans="2:2" x14ac:dyDescent="0.25">
      <c r="B1182" s="397"/>
    </row>
    <row r="1183" spans="2:2" x14ac:dyDescent="0.25">
      <c r="B1183" s="397"/>
    </row>
    <row r="1184" spans="2:2" x14ac:dyDescent="0.25">
      <c r="B1184" s="397"/>
    </row>
    <row r="1185" spans="2:2" x14ac:dyDescent="0.25">
      <c r="B1185" s="397"/>
    </row>
    <row r="1186" spans="2:2" x14ac:dyDescent="0.25">
      <c r="B1186" s="397"/>
    </row>
    <row r="1187" spans="2:2" x14ac:dyDescent="0.25">
      <c r="B1187" s="397"/>
    </row>
    <row r="1188" spans="2:2" x14ac:dyDescent="0.25">
      <c r="B1188" s="397"/>
    </row>
    <row r="1189" spans="2:2" x14ac:dyDescent="0.25">
      <c r="B1189" s="397"/>
    </row>
    <row r="1190" spans="2:2" x14ac:dyDescent="0.25">
      <c r="B1190" s="397"/>
    </row>
    <row r="1191" spans="2:2" x14ac:dyDescent="0.25">
      <c r="B1191" s="397"/>
    </row>
    <row r="1192" spans="2:2" x14ac:dyDescent="0.25">
      <c r="B1192" s="397"/>
    </row>
    <row r="1193" spans="2:2" x14ac:dyDescent="0.25">
      <c r="B1193" s="397"/>
    </row>
    <row r="1194" spans="2:2" x14ac:dyDescent="0.25">
      <c r="B1194" s="397"/>
    </row>
    <row r="1195" spans="2:2" x14ac:dyDescent="0.25">
      <c r="B1195" s="397"/>
    </row>
    <row r="1196" spans="2:2" x14ac:dyDescent="0.25">
      <c r="B1196" s="397"/>
    </row>
    <row r="1197" spans="2:2" x14ac:dyDescent="0.25">
      <c r="B1197" s="397"/>
    </row>
    <row r="1198" spans="2:2" x14ac:dyDescent="0.25">
      <c r="B1198" s="397"/>
    </row>
    <row r="1199" spans="2:2" x14ac:dyDescent="0.25">
      <c r="B1199" s="397"/>
    </row>
    <row r="1200" spans="2:2" x14ac:dyDescent="0.25">
      <c r="B1200" s="397"/>
    </row>
    <row r="1201" spans="2:2" x14ac:dyDescent="0.25">
      <c r="B1201" s="397"/>
    </row>
    <row r="1202" spans="2:2" x14ac:dyDescent="0.25">
      <c r="B1202" s="397"/>
    </row>
    <row r="1203" spans="2:2" x14ac:dyDescent="0.25">
      <c r="B1203" s="397"/>
    </row>
    <row r="1204" spans="2:2" x14ac:dyDescent="0.25">
      <c r="B1204" s="397"/>
    </row>
    <row r="1205" spans="2:2" x14ac:dyDescent="0.25">
      <c r="B1205" s="397"/>
    </row>
    <row r="1206" spans="2:2" x14ac:dyDescent="0.25">
      <c r="B1206" s="397"/>
    </row>
    <row r="1207" spans="2:2" x14ac:dyDescent="0.25">
      <c r="B1207" s="397"/>
    </row>
    <row r="1208" spans="2:2" x14ac:dyDescent="0.25">
      <c r="B1208" s="397"/>
    </row>
    <row r="1209" spans="2:2" x14ac:dyDescent="0.25">
      <c r="B1209" s="397"/>
    </row>
    <row r="1210" spans="2:2" x14ac:dyDescent="0.25">
      <c r="B1210" s="397"/>
    </row>
    <row r="1211" spans="2:2" x14ac:dyDescent="0.25">
      <c r="B1211" s="397"/>
    </row>
    <row r="1212" spans="2:2" x14ac:dyDescent="0.25">
      <c r="B1212" s="397"/>
    </row>
    <row r="1213" spans="2:2" x14ac:dyDescent="0.25">
      <c r="B1213" s="397"/>
    </row>
    <row r="1214" spans="2:2" x14ac:dyDescent="0.25">
      <c r="B1214" s="397"/>
    </row>
    <row r="1215" spans="2:2" x14ac:dyDescent="0.25">
      <c r="B1215" s="397"/>
    </row>
    <row r="1216" spans="2:2" x14ac:dyDescent="0.25">
      <c r="B1216" s="397"/>
    </row>
    <row r="1217" spans="2:2" x14ac:dyDescent="0.25">
      <c r="B1217" s="397"/>
    </row>
    <row r="1218" spans="2:2" x14ac:dyDescent="0.25">
      <c r="B1218" s="397"/>
    </row>
    <row r="1219" spans="2:2" x14ac:dyDescent="0.25">
      <c r="B1219" s="397"/>
    </row>
    <row r="1220" spans="2:2" x14ac:dyDescent="0.25">
      <c r="B1220" s="397"/>
    </row>
    <row r="1221" spans="2:2" x14ac:dyDescent="0.25">
      <c r="B1221" s="397"/>
    </row>
    <row r="1222" spans="2:2" x14ac:dyDescent="0.25">
      <c r="B1222" s="397"/>
    </row>
    <row r="1223" spans="2:2" x14ac:dyDescent="0.25">
      <c r="B1223" s="397"/>
    </row>
    <row r="1224" spans="2:2" x14ac:dyDescent="0.25">
      <c r="B1224" s="397"/>
    </row>
    <row r="1225" spans="2:2" x14ac:dyDescent="0.25">
      <c r="B1225" s="397"/>
    </row>
    <row r="1226" spans="2:2" x14ac:dyDescent="0.25">
      <c r="B1226" s="397"/>
    </row>
    <row r="1227" spans="2:2" x14ac:dyDescent="0.25">
      <c r="B1227" s="397"/>
    </row>
    <row r="1228" spans="2:2" x14ac:dyDescent="0.25">
      <c r="B1228" s="397"/>
    </row>
    <row r="1229" spans="2:2" x14ac:dyDescent="0.25">
      <c r="B1229" s="397"/>
    </row>
    <row r="1230" spans="2:2" x14ac:dyDescent="0.25">
      <c r="B1230" s="397"/>
    </row>
    <row r="1231" spans="2:2" x14ac:dyDescent="0.25">
      <c r="B1231" s="397"/>
    </row>
    <row r="1232" spans="2:2" x14ac:dyDescent="0.25">
      <c r="B1232" s="397"/>
    </row>
    <row r="1233" spans="2:2" x14ac:dyDescent="0.25">
      <c r="B1233" s="397"/>
    </row>
    <row r="1234" spans="2:2" x14ac:dyDescent="0.25">
      <c r="B1234" s="397"/>
    </row>
    <row r="1235" spans="2:2" x14ac:dyDescent="0.25">
      <c r="B1235" s="397"/>
    </row>
    <row r="1236" spans="2:2" x14ac:dyDescent="0.25">
      <c r="B1236" s="397"/>
    </row>
    <row r="1237" spans="2:2" x14ac:dyDescent="0.25">
      <c r="B1237" s="397"/>
    </row>
    <row r="1238" spans="2:2" x14ac:dyDescent="0.25">
      <c r="B1238" s="397"/>
    </row>
    <row r="1239" spans="2:2" x14ac:dyDescent="0.25">
      <c r="B1239" s="397"/>
    </row>
    <row r="1240" spans="2:2" x14ac:dyDescent="0.25">
      <c r="B1240" s="397"/>
    </row>
    <row r="1241" spans="2:2" x14ac:dyDescent="0.25">
      <c r="B1241" s="397"/>
    </row>
    <row r="1242" spans="2:2" x14ac:dyDescent="0.25">
      <c r="B1242" s="397"/>
    </row>
    <row r="1243" spans="2:2" x14ac:dyDescent="0.25">
      <c r="B1243" s="397"/>
    </row>
    <row r="1244" spans="2:2" x14ac:dyDescent="0.25">
      <c r="B1244" s="397"/>
    </row>
    <row r="1245" spans="2:2" x14ac:dyDescent="0.25">
      <c r="B1245" s="397"/>
    </row>
    <row r="1246" spans="2:2" x14ac:dyDescent="0.25">
      <c r="B1246" s="397"/>
    </row>
    <row r="1247" spans="2:2" x14ac:dyDescent="0.25">
      <c r="B1247" s="397"/>
    </row>
    <row r="1248" spans="2:2" x14ac:dyDescent="0.25">
      <c r="B1248" s="397"/>
    </row>
    <row r="1249" spans="2:2" x14ac:dyDescent="0.25">
      <c r="B1249" s="397"/>
    </row>
    <row r="1250" spans="2:2" x14ac:dyDescent="0.25">
      <c r="B1250" s="397"/>
    </row>
    <row r="1251" spans="2:2" x14ac:dyDescent="0.25">
      <c r="B1251" s="397"/>
    </row>
    <row r="1252" spans="2:2" x14ac:dyDescent="0.25">
      <c r="B1252" s="397"/>
    </row>
    <row r="1253" spans="2:2" x14ac:dyDescent="0.25">
      <c r="B1253" s="397"/>
    </row>
    <row r="1254" spans="2:2" x14ac:dyDescent="0.25">
      <c r="B1254" s="397"/>
    </row>
    <row r="1255" spans="2:2" x14ac:dyDescent="0.25">
      <c r="B1255" s="397"/>
    </row>
    <row r="1256" spans="2:2" x14ac:dyDescent="0.25">
      <c r="B1256" s="397"/>
    </row>
    <row r="1257" spans="2:2" x14ac:dyDescent="0.25">
      <c r="B1257" s="397"/>
    </row>
    <row r="1258" spans="2:2" x14ac:dyDescent="0.25">
      <c r="B1258" s="397"/>
    </row>
    <row r="1259" spans="2:2" x14ac:dyDescent="0.25">
      <c r="B1259" s="397"/>
    </row>
    <row r="1260" spans="2:2" x14ac:dyDescent="0.25">
      <c r="B1260" s="397"/>
    </row>
    <row r="1261" spans="2:2" x14ac:dyDescent="0.25">
      <c r="B1261" s="397"/>
    </row>
    <row r="1262" spans="2:2" x14ac:dyDescent="0.25">
      <c r="B1262" s="397"/>
    </row>
    <row r="1263" spans="2:2" x14ac:dyDescent="0.25">
      <c r="B1263" s="397"/>
    </row>
    <row r="1264" spans="2:2" x14ac:dyDescent="0.25">
      <c r="B1264" s="397"/>
    </row>
    <row r="1265" spans="2:2" x14ac:dyDescent="0.25">
      <c r="B1265" s="397"/>
    </row>
    <row r="1266" spans="2:2" x14ac:dyDescent="0.25">
      <c r="B1266" s="397"/>
    </row>
    <row r="1267" spans="2:2" x14ac:dyDescent="0.25">
      <c r="B1267" s="397"/>
    </row>
    <row r="1268" spans="2:2" x14ac:dyDescent="0.25">
      <c r="B1268" s="397"/>
    </row>
    <row r="1269" spans="2:2" x14ac:dyDescent="0.25">
      <c r="B1269" s="397"/>
    </row>
    <row r="1270" spans="2:2" x14ac:dyDescent="0.25">
      <c r="B1270" s="397"/>
    </row>
    <row r="1271" spans="2:2" x14ac:dyDescent="0.25">
      <c r="B1271" s="397"/>
    </row>
    <row r="1272" spans="2:2" x14ac:dyDescent="0.25">
      <c r="B1272" s="397"/>
    </row>
    <row r="1273" spans="2:2" x14ac:dyDescent="0.25">
      <c r="B1273" s="397"/>
    </row>
    <row r="1274" spans="2:2" x14ac:dyDescent="0.25">
      <c r="B1274" s="397"/>
    </row>
    <row r="1275" spans="2:2" x14ac:dyDescent="0.25">
      <c r="B1275" s="397"/>
    </row>
    <row r="1276" spans="2:2" x14ac:dyDescent="0.25">
      <c r="B1276" s="397"/>
    </row>
    <row r="1277" spans="2:2" x14ac:dyDescent="0.25">
      <c r="B1277" s="397"/>
    </row>
    <row r="1278" spans="2:2" x14ac:dyDescent="0.25">
      <c r="B1278" s="397"/>
    </row>
    <row r="1279" spans="2:2" x14ac:dyDescent="0.25">
      <c r="B1279" s="397"/>
    </row>
    <row r="1280" spans="2:2" x14ac:dyDescent="0.25">
      <c r="B1280" s="397"/>
    </row>
    <row r="1281" spans="2:2" x14ac:dyDescent="0.25">
      <c r="B1281" s="397"/>
    </row>
    <row r="1282" spans="2:2" x14ac:dyDescent="0.25">
      <c r="B1282" s="397"/>
    </row>
    <row r="1283" spans="2:2" x14ac:dyDescent="0.25">
      <c r="B1283" s="397"/>
    </row>
    <row r="1284" spans="2:2" x14ac:dyDescent="0.25">
      <c r="B1284" s="397"/>
    </row>
    <row r="1285" spans="2:2" x14ac:dyDescent="0.25">
      <c r="B1285" s="397"/>
    </row>
    <row r="1286" spans="2:2" x14ac:dyDescent="0.25">
      <c r="B1286" s="397"/>
    </row>
    <row r="1287" spans="2:2" x14ac:dyDescent="0.25">
      <c r="B1287" s="397"/>
    </row>
    <row r="1288" spans="2:2" x14ac:dyDescent="0.25">
      <c r="B1288" s="397"/>
    </row>
    <row r="1289" spans="2:2" x14ac:dyDescent="0.25">
      <c r="B1289" s="397"/>
    </row>
    <row r="1290" spans="2:2" x14ac:dyDescent="0.25">
      <c r="B1290" s="397"/>
    </row>
    <row r="1291" spans="2:2" x14ac:dyDescent="0.25">
      <c r="B1291" s="397"/>
    </row>
    <row r="1292" spans="2:2" x14ac:dyDescent="0.25">
      <c r="B1292" s="397"/>
    </row>
    <row r="1293" spans="2:2" x14ac:dyDescent="0.25">
      <c r="B1293" s="397"/>
    </row>
    <row r="1294" spans="2:2" x14ac:dyDescent="0.25">
      <c r="B1294" s="397"/>
    </row>
    <row r="1295" spans="2:2" x14ac:dyDescent="0.25">
      <c r="B1295" s="397"/>
    </row>
    <row r="1296" spans="2:2" x14ac:dyDescent="0.25">
      <c r="B1296" s="397"/>
    </row>
    <row r="1297" spans="2:2" x14ac:dyDescent="0.25">
      <c r="B1297" s="397"/>
    </row>
    <row r="1298" spans="2:2" x14ac:dyDescent="0.25">
      <c r="B1298" s="397"/>
    </row>
    <row r="1299" spans="2:2" x14ac:dyDescent="0.25">
      <c r="B1299" s="397"/>
    </row>
    <row r="1300" spans="2:2" x14ac:dyDescent="0.25">
      <c r="B1300" s="397"/>
    </row>
    <row r="1301" spans="2:2" x14ac:dyDescent="0.25">
      <c r="B1301" s="397"/>
    </row>
    <row r="1302" spans="2:2" x14ac:dyDescent="0.25">
      <c r="B1302" s="397"/>
    </row>
    <row r="1303" spans="2:2" x14ac:dyDescent="0.25">
      <c r="B1303" s="397"/>
    </row>
    <row r="1304" spans="2:2" x14ac:dyDescent="0.25">
      <c r="B1304" s="397"/>
    </row>
    <row r="1305" spans="2:2" x14ac:dyDescent="0.25">
      <c r="B1305" s="397"/>
    </row>
    <row r="1306" spans="2:2" x14ac:dyDescent="0.25">
      <c r="B1306" s="397"/>
    </row>
    <row r="1307" spans="2:2" x14ac:dyDescent="0.25">
      <c r="B1307" s="397"/>
    </row>
    <row r="1308" spans="2:2" x14ac:dyDescent="0.25">
      <c r="B1308" s="397"/>
    </row>
    <row r="1309" spans="2:2" x14ac:dyDescent="0.25">
      <c r="B1309" s="397"/>
    </row>
    <row r="1310" spans="2:2" x14ac:dyDescent="0.25">
      <c r="B1310" s="397"/>
    </row>
    <row r="1311" spans="2:2" x14ac:dyDescent="0.25">
      <c r="B1311" s="397"/>
    </row>
    <row r="1312" spans="2:2" x14ac:dyDescent="0.25">
      <c r="B1312" s="397"/>
    </row>
    <row r="1313" spans="2:2" x14ac:dyDescent="0.25">
      <c r="B1313" s="397"/>
    </row>
    <row r="1314" spans="2:2" x14ac:dyDescent="0.25">
      <c r="B1314" s="397"/>
    </row>
    <row r="1315" spans="2:2" x14ac:dyDescent="0.25">
      <c r="B1315" s="397"/>
    </row>
    <row r="1316" spans="2:2" x14ac:dyDescent="0.25">
      <c r="B1316" s="397"/>
    </row>
    <row r="1317" spans="2:2" x14ac:dyDescent="0.25">
      <c r="B1317" s="397"/>
    </row>
    <row r="1318" spans="2:2" x14ac:dyDescent="0.25">
      <c r="B1318" s="397"/>
    </row>
    <row r="1319" spans="2:2" x14ac:dyDescent="0.25">
      <c r="B1319" s="397"/>
    </row>
    <row r="1320" spans="2:2" x14ac:dyDescent="0.25">
      <c r="B1320" s="397"/>
    </row>
    <row r="1321" spans="2:2" x14ac:dyDescent="0.25">
      <c r="B1321" s="397"/>
    </row>
    <row r="1322" spans="2:2" x14ac:dyDescent="0.25">
      <c r="B1322" s="397"/>
    </row>
    <row r="1323" spans="2:2" x14ac:dyDescent="0.25">
      <c r="B1323" s="397"/>
    </row>
    <row r="1324" spans="2:2" x14ac:dyDescent="0.25">
      <c r="B1324" s="397"/>
    </row>
    <row r="1325" spans="2:2" x14ac:dyDescent="0.25">
      <c r="B1325" s="397"/>
    </row>
    <row r="1326" spans="2:2" x14ac:dyDescent="0.25">
      <c r="B1326" s="397"/>
    </row>
    <row r="1327" spans="2:2" x14ac:dyDescent="0.25">
      <c r="B1327" s="397"/>
    </row>
    <row r="1328" spans="2:2" x14ac:dyDescent="0.25">
      <c r="B1328" s="397"/>
    </row>
    <row r="1329" spans="2:2" x14ac:dyDescent="0.25">
      <c r="B1329" s="397"/>
    </row>
    <row r="1330" spans="2:2" x14ac:dyDescent="0.25">
      <c r="B1330" s="397"/>
    </row>
    <row r="1331" spans="2:2" x14ac:dyDescent="0.25">
      <c r="B1331" s="397"/>
    </row>
    <row r="1332" spans="2:2" x14ac:dyDescent="0.25">
      <c r="B1332" s="397"/>
    </row>
    <row r="1333" spans="2:2" x14ac:dyDescent="0.25">
      <c r="B1333" s="397"/>
    </row>
    <row r="1334" spans="2:2" x14ac:dyDescent="0.25">
      <c r="B1334" s="397"/>
    </row>
    <row r="1335" spans="2:2" x14ac:dyDescent="0.25">
      <c r="B1335" s="397"/>
    </row>
    <row r="1336" spans="2:2" x14ac:dyDescent="0.25">
      <c r="B1336" s="397"/>
    </row>
    <row r="1337" spans="2:2" x14ac:dyDescent="0.25">
      <c r="B1337" s="397"/>
    </row>
    <row r="1338" spans="2:2" x14ac:dyDescent="0.25">
      <c r="B1338" s="397"/>
    </row>
    <row r="1339" spans="2:2" x14ac:dyDescent="0.25">
      <c r="B1339" s="397"/>
    </row>
    <row r="1340" spans="2:2" x14ac:dyDescent="0.25">
      <c r="B1340" s="397"/>
    </row>
    <row r="1341" spans="2:2" x14ac:dyDescent="0.25">
      <c r="B1341" s="397"/>
    </row>
    <row r="1342" spans="2:2" x14ac:dyDescent="0.25">
      <c r="B1342" s="397"/>
    </row>
    <row r="1343" spans="2:2" x14ac:dyDescent="0.25">
      <c r="B1343" s="397"/>
    </row>
    <row r="1344" spans="2:2" x14ac:dyDescent="0.25">
      <c r="B1344" s="397"/>
    </row>
    <row r="1345" spans="2:2" x14ac:dyDescent="0.25">
      <c r="B1345" s="397"/>
    </row>
    <row r="1346" spans="2:2" x14ac:dyDescent="0.25">
      <c r="B1346" s="397"/>
    </row>
    <row r="1347" spans="2:2" x14ac:dyDescent="0.25">
      <c r="B1347" s="397"/>
    </row>
    <row r="1348" spans="2:2" x14ac:dyDescent="0.25">
      <c r="B1348" s="397"/>
    </row>
    <row r="1349" spans="2:2" x14ac:dyDescent="0.25">
      <c r="B1349" s="397"/>
    </row>
    <row r="1350" spans="2:2" x14ac:dyDescent="0.25">
      <c r="B1350" s="397"/>
    </row>
    <row r="1351" spans="2:2" x14ac:dyDescent="0.25">
      <c r="B1351" s="397"/>
    </row>
    <row r="1352" spans="2:2" x14ac:dyDescent="0.25">
      <c r="B1352" s="397"/>
    </row>
    <row r="1353" spans="2:2" x14ac:dyDescent="0.25">
      <c r="B1353" s="397"/>
    </row>
    <row r="1354" spans="2:2" x14ac:dyDescent="0.25">
      <c r="B1354" s="397"/>
    </row>
    <row r="1355" spans="2:2" x14ac:dyDescent="0.25">
      <c r="B1355" s="397"/>
    </row>
    <row r="1356" spans="2:2" x14ac:dyDescent="0.25">
      <c r="B1356" s="397"/>
    </row>
    <row r="1357" spans="2:2" x14ac:dyDescent="0.25">
      <c r="B1357" s="397"/>
    </row>
    <row r="1358" spans="2:2" x14ac:dyDescent="0.25">
      <c r="B1358" s="397"/>
    </row>
    <row r="1359" spans="2:2" x14ac:dyDescent="0.25">
      <c r="B1359" s="397"/>
    </row>
    <row r="1360" spans="2:2" x14ac:dyDescent="0.25">
      <c r="B1360" s="397"/>
    </row>
    <row r="1361" spans="2:2" x14ac:dyDescent="0.25">
      <c r="B1361" s="397"/>
    </row>
    <row r="1362" spans="2:2" x14ac:dyDescent="0.25">
      <c r="B1362" s="397"/>
    </row>
    <row r="1363" spans="2:2" x14ac:dyDescent="0.25">
      <c r="B1363" s="397"/>
    </row>
    <row r="1364" spans="2:2" x14ac:dyDescent="0.25">
      <c r="B1364" s="397"/>
    </row>
    <row r="1365" spans="2:2" x14ac:dyDescent="0.25">
      <c r="B1365" s="397"/>
    </row>
    <row r="1366" spans="2:2" x14ac:dyDescent="0.25">
      <c r="B1366" s="397"/>
    </row>
    <row r="1367" spans="2:2" x14ac:dyDescent="0.25">
      <c r="B1367" s="397"/>
    </row>
    <row r="1368" spans="2:2" x14ac:dyDescent="0.25">
      <c r="B1368" s="397"/>
    </row>
    <row r="1369" spans="2:2" x14ac:dyDescent="0.25">
      <c r="B1369" s="397"/>
    </row>
    <row r="1370" spans="2:2" x14ac:dyDescent="0.25">
      <c r="B1370" s="397"/>
    </row>
    <row r="1371" spans="2:2" x14ac:dyDescent="0.25">
      <c r="B1371" s="397"/>
    </row>
    <row r="1372" spans="2:2" x14ac:dyDescent="0.25">
      <c r="B1372" s="397"/>
    </row>
    <row r="1373" spans="2:2" x14ac:dyDescent="0.25">
      <c r="B1373" s="397"/>
    </row>
    <row r="1374" spans="2:2" x14ac:dyDescent="0.25">
      <c r="B1374" s="397"/>
    </row>
    <row r="1375" spans="2:2" x14ac:dyDescent="0.25">
      <c r="B1375" s="397"/>
    </row>
    <row r="1376" spans="2:2" x14ac:dyDescent="0.25">
      <c r="B1376" s="397"/>
    </row>
    <row r="1377" spans="2:2" x14ac:dyDescent="0.25">
      <c r="B1377" s="397"/>
    </row>
    <row r="1378" spans="2:2" x14ac:dyDescent="0.25">
      <c r="B1378" s="397"/>
    </row>
    <row r="1379" spans="2:2" x14ac:dyDescent="0.25">
      <c r="B1379" s="397"/>
    </row>
    <row r="1380" spans="2:2" x14ac:dyDescent="0.25">
      <c r="B1380" s="397"/>
    </row>
    <row r="1381" spans="2:2" x14ac:dyDescent="0.25">
      <c r="B1381" s="397"/>
    </row>
    <row r="1382" spans="2:2" x14ac:dyDescent="0.25">
      <c r="B1382" s="397"/>
    </row>
    <row r="1383" spans="2:2" x14ac:dyDescent="0.25">
      <c r="B1383" s="397"/>
    </row>
    <row r="1384" spans="2:2" x14ac:dyDescent="0.25">
      <c r="B1384" s="397"/>
    </row>
    <row r="1385" spans="2:2" x14ac:dyDescent="0.25">
      <c r="B1385" s="397"/>
    </row>
    <row r="1386" spans="2:2" x14ac:dyDescent="0.25">
      <c r="B1386" s="397"/>
    </row>
    <row r="1387" spans="2:2" x14ac:dyDescent="0.25">
      <c r="B1387" s="397"/>
    </row>
    <row r="1388" spans="2:2" x14ac:dyDescent="0.25">
      <c r="B1388" s="397"/>
    </row>
    <row r="1389" spans="2:2" x14ac:dyDescent="0.25">
      <c r="B1389" s="397"/>
    </row>
    <row r="1390" spans="2:2" x14ac:dyDescent="0.25">
      <c r="B1390" s="397"/>
    </row>
    <row r="1391" spans="2:2" x14ac:dyDescent="0.25">
      <c r="B1391" s="397"/>
    </row>
    <row r="1392" spans="2:2" x14ac:dyDescent="0.25">
      <c r="B1392" s="397"/>
    </row>
    <row r="1393" spans="2:2" x14ac:dyDescent="0.25">
      <c r="B1393" s="397"/>
    </row>
    <row r="1394" spans="2:2" x14ac:dyDescent="0.25">
      <c r="B1394" s="397"/>
    </row>
    <row r="1395" spans="2:2" x14ac:dyDescent="0.25">
      <c r="B1395" s="397"/>
    </row>
    <row r="1396" spans="2:2" x14ac:dyDescent="0.25">
      <c r="B1396" s="397"/>
    </row>
    <row r="1397" spans="2:2" x14ac:dyDescent="0.25">
      <c r="B1397" s="397"/>
    </row>
    <row r="1398" spans="2:2" x14ac:dyDescent="0.25">
      <c r="B1398" s="397"/>
    </row>
    <row r="1399" spans="2:2" x14ac:dyDescent="0.25">
      <c r="B1399" s="397"/>
    </row>
    <row r="1400" spans="2:2" x14ac:dyDescent="0.25">
      <c r="B1400" s="397"/>
    </row>
    <row r="1401" spans="2:2" x14ac:dyDescent="0.25">
      <c r="B1401" s="397"/>
    </row>
    <row r="1402" spans="2:2" x14ac:dyDescent="0.25">
      <c r="B1402" s="397"/>
    </row>
    <row r="1403" spans="2:2" x14ac:dyDescent="0.25">
      <c r="B1403" s="397"/>
    </row>
    <row r="1404" spans="2:2" x14ac:dyDescent="0.25">
      <c r="B1404" s="397"/>
    </row>
    <row r="1405" spans="2:2" x14ac:dyDescent="0.25">
      <c r="B1405" s="397"/>
    </row>
    <row r="1406" spans="2:2" x14ac:dyDescent="0.25">
      <c r="B1406" s="397"/>
    </row>
    <row r="1407" spans="2:2" x14ac:dyDescent="0.25">
      <c r="B1407" s="397"/>
    </row>
    <row r="1408" spans="2:2" x14ac:dyDescent="0.25">
      <c r="B1408" s="397"/>
    </row>
    <row r="1409" spans="2:2" x14ac:dyDescent="0.25">
      <c r="B1409" s="397"/>
    </row>
    <row r="1410" spans="2:2" x14ac:dyDescent="0.25">
      <c r="B1410" s="397"/>
    </row>
    <row r="1411" spans="2:2" x14ac:dyDescent="0.25">
      <c r="B1411" s="397"/>
    </row>
    <row r="1412" spans="2:2" x14ac:dyDescent="0.25">
      <c r="B1412" s="397"/>
    </row>
    <row r="1413" spans="2:2" x14ac:dyDescent="0.25">
      <c r="B1413" s="397"/>
    </row>
    <row r="1414" spans="2:2" x14ac:dyDescent="0.25">
      <c r="B1414" s="397"/>
    </row>
    <row r="1415" spans="2:2" x14ac:dyDescent="0.25">
      <c r="B1415" s="397"/>
    </row>
    <row r="1416" spans="2:2" x14ac:dyDescent="0.25">
      <c r="B1416" s="397"/>
    </row>
    <row r="1417" spans="2:2" x14ac:dyDescent="0.25">
      <c r="B1417" s="397"/>
    </row>
    <row r="1418" spans="2:2" x14ac:dyDescent="0.25">
      <c r="B1418" s="397"/>
    </row>
    <row r="1419" spans="2:2" x14ac:dyDescent="0.25">
      <c r="B1419" s="397"/>
    </row>
    <row r="1420" spans="2:2" x14ac:dyDescent="0.25">
      <c r="B1420" s="397"/>
    </row>
    <row r="1421" spans="2:2" x14ac:dyDescent="0.25">
      <c r="B1421" s="397"/>
    </row>
    <row r="1422" spans="2:2" x14ac:dyDescent="0.25">
      <c r="B1422" s="397"/>
    </row>
    <row r="1423" spans="2:2" x14ac:dyDescent="0.25">
      <c r="B1423" s="397"/>
    </row>
    <row r="1424" spans="2:2" x14ac:dyDescent="0.25">
      <c r="B1424" s="397"/>
    </row>
    <row r="1425" spans="2:2" x14ac:dyDescent="0.25">
      <c r="B1425" s="397"/>
    </row>
    <row r="1426" spans="2:2" x14ac:dyDescent="0.25">
      <c r="B1426" s="397"/>
    </row>
    <row r="1427" spans="2:2" x14ac:dyDescent="0.25">
      <c r="B1427" s="397"/>
    </row>
    <row r="1428" spans="2:2" x14ac:dyDescent="0.25">
      <c r="B1428" s="397"/>
    </row>
    <row r="1429" spans="2:2" x14ac:dyDescent="0.25">
      <c r="B1429" s="397"/>
    </row>
    <row r="1430" spans="2:2" x14ac:dyDescent="0.25">
      <c r="B1430" s="397"/>
    </row>
    <row r="1431" spans="2:2" x14ac:dyDescent="0.25">
      <c r="B1431" s="397"/>
    </row>
    <row r="1432" spans="2:2" x14ac:dyDescent="0.25">
      <c r="B1432" s="397"/>
    </row>
    <row r="1433" spans="2:2" x14ac:dyDescent="0.25">
      <c r="B1433" s="397"/>
    </row>
    <row r="1434" spans="2:2" x14ac:dyDescent="0.25">
      <c r="B1434" s="397"/>
    </row>
    <row r="1435" spans="2:2" x14ac:dyDescent="0.25">
      <c r="B1435" s="397"/>
    </row>
    <row r="1436" spans="2:2" x14ac:dyDescent="0.25">
      <c r="B1436" s="397"/>
    </row>
    <row r="1437" spans="2:2" x14ac:dyDescent="0.25">
      <c r="B1437" s="397"/>
    </row>
    <row r="1438" spans="2:2" x14ac:dyDescent="0.25">
      <c r="B1438" s="397"/>
    </row>
    <row r="1439" spans="2:2" x14ac:dyDescent="0.25">
      <c r="B1439" s="397"/>
    </row>
    <row r="1440" spans="2:2" x14ac:dyDescent="0.25">
      <c r="B1440" s="397"/>
    </row>
    <row r="1441" spans="2:2" x14ac:dyDescent="0.25">
      <c r="B1441" s="397"/>
    </row>
    <row r="1442" spans="2:2" x14ac:dyDescent="0.25">
      <c r="B1442" s="397"/>
    </row>
    <row r="1443" spans="2:2" x14ac:dyDescent="0.25">
      <c r="B1443" s="397"/>
    </row>
    <row r="1444" spans="2:2" x14ac:dyDescent="0.25">
      <c r="B1444" s="397"/>
    </row>
    <row r="1445" spans="2:2" x14ac:dyDescent="0.25">
      <c r="B1445" s="397"/>
    </row>
    <row r="1446" spans="2:2" x14ac:dyDescent="0.25">
      <c r="B1446" s="397"/>
    </row>
    <row r="1447" spans="2:2" x14ac:dyDescent="0.25">
      <c r="B1447" s="397"/>
    </row>
    <row r="1448" spans="2:2" x14ac:dyDescent="0.25">
      <c r="B1448" s="397"/>
    </row>
    <row r="1449" spans="2:2" x14ac:dyDescent="0.25">
      <c r="B1449" s="397"/>
    </row>
    <row r="1450" spans="2:2" x14ac:dyDescent="0.25">
      <c r="B1450" s="397"/>
    </row>
    <row r="1451" spans="2:2" x14ac:dyDescent="0.25">
      <c r="B1451" s="397"/>
    </row>
    <row r="1452" spans="2:2" x14ac:dyDescent="0.25">
      <c r="B1452" s="397"/>
    </row>
    <row r="1453" spans="2:2" x14ac:dyDescent="0.25">
      <c r="B1453" s="397"/>
    </row>
    <row r="1454" spans="2:2" x14ac:dyDescent="0.25">
      <c r="B1454" s="397"/>
    </row>
    <row r="1455" spans="2:2" x14ac:dyDescent="0.25">
      <c r="B1455" s="397"/>
    </row>
    <row r="1456" spans="2:2" x14ac:dyDescent="0.25">
      <c r="B1456" s="397"/>
    </row>
    <row r="1457" spans="2:2" x14ac:dyDescent="0.25">
      <c r="B1457" s="397"/>
    </row>
    <row r="1458" spans="2:2" x14ac:dyDescent="0.25">
      <c r="B1458" s="397"/>
    </row>
    <row r="1459" spans="2:2" x14ac:dyDescent="0.25">
      <c r="B1459" s="397"/>
    </row>
    <row r="1460" spans="2:2" x14ac:dyDescent="0.25">
      <c r="B1460" s="397"/>
    </row>
    <row r="1461" spans="2:2" x14ac:dyDescent="0.25">
      <c r="B1461" s="397"/>
    </row>
    <row r="1462" spans="2:2" x14ac:dyDescent="0.25">
      <c r="B1462" s="397"/>
    </row>
    <row r="1463" spans="2:2" x14ac:dyDescent="0.25">
      <c r="B1463" s="397"/>
    </row>
    <row r="1464" spans="2:2" x14ac:dyDescent="0.25">
      <c r="B1464" s="397"/>
    </row>
    <row r="1465" spans="2:2" x14ac:dyDescent="0.25">
      <c r="B1465" s="397"/>
    </row>
    <row r="1466" spans="2:2" x14ac:dyDescent="0.25">
      <c r="B1466" s="397"/>
    </row>
    <row r="1467" spans="2:2" x14ac:dyDescent="0.25">
      <c r="B1467" s="397"/>
    </row>
    <row r="1468" spans="2:2" x14ac:dyDescent="0.25">
      <c r="B1468" s="397"/>
    </row>
    <row r="1469" spans="2:2" x14ac:dyDescent="0.25">
      <c r="B1469" s="397"/>
    </row>
    <row r="1470" spans="2:2" x14ac:dyDescent="0.25">
      <c r="B1470" s="397"/>
    </row>
    <row r="1471" spans="2:2" x14ac:dyDescent="0.25">
      <c r="B1471" s="397"/>
    </row>
    <row r="1472" spans="2:2" x14ac:dyDescent="0.25">
      <c r="B1472" s="397"/>
    </row>
    <row r="1473" spans="2:2" x14ac:dyDescent="0.25">
      <c r="B1473" s="397"/>
    </row>
    <row r="1474" spans="2:2" x14ac:dyDescent="0.25">
      <c r="B1474" s="397"/>
    </row>
    <row r="1475" spans="2:2" x14ac:dyDescent="0.25">
      <c r="B1475" s="397"/>
    </row>
    <row r="1476" spans="2:2" x14ac:dyDescent="0.25">
      <c r="B1476" s="397"/>
    </row>
    <row r="1477" spans="2:2" x14ac:dyDescent="0.25">
      <c r="B1477" s="397"/>
    </row>
    <row r="1478" spans="2:2" x14ac:dyDescent="0.25">
      <c r="B1478" s="397"/>
    </row>
    <row r="1479" spans="2:2" x14ac:dyDescent="0.25">
      <c r="B1479" s="397"/>
    </row>
    <row r="1480" spans="2:2" x14ac:dyDescent="0.25">
      <c r="B1480" s="397"/>
    </row>
    <row r="1481" spans="2:2" x14ac:dyDescent="0.25">
      <c r="B1481" s="397"/>
    </row>
    <row r="1482" spans="2:2" x14ac:dyDescent="0.25">
      <c r="B1482" s="397"/>
    </row>
    <row r="1483" spans="2:2" x14ac:dyDescent="0.25">
      <c r="B1483" s="397"/>
    </row>
    <row r="1484" spans="2:2" x14ac:dyDescent="0.25">
      <c r="B1484" s="397"/>
    </row>
    <row r="1485" spans="2:2" x14ac:dyDescent="0.25">
      <c r="B1485" s="397"/>
    </row>
    <row r="1486" spans="2:2" x14ac:dyDescent="0.25">
      <c r="B1486" s="397"/>
    </row>
    <row r="1487" spans="2:2" x14ac:dyDescent="0.25">
      <c r="B1487" s="397"/>
    </row>
    <row r="1488" spans="2:2" x14ac:dyDescent="0.25">
      <c r="B1488" s="397"/>
    </row>
    <row r="1489" spans="2:2" x14ac:dyDescent="0.25">
      <c r="B1489" s="397"/>
    </row>
    <row r="1490" spans="2:2" x14ac:dyDescent="0.25">
      <c r="B1490" s="397"/>
    </row>
    <row r="1491" spans="2:2" x14ac:dyDescent="0.25">
      <c r="B1491" s="397"/>
    </row>
    <row r="1492" spans="2:2" x14ac:dyDescent="0.25">
      <c r="B1492" s="397"/>
    </row>
    <row r="1493" spans="2:2" x14ac:dyDescent="0.25">
      <c r="B1493" s="397"/>
    </row>
    <row r="1494" spans="2:2" x14ac:dyDescent="0.25">
      <c r="B1494" s="397"/>
    </row>
    <row r="1495" spans="2:2" x14ac:dyDescent="0.25">
      <c r="B1495" s="397"/>
    </row>
    <row r="1496" spans="2:2" x14ac:dyDescent="0.25">
      <c r="B1496" s="397"/>
    </row>
    <row r="1497" spans="2:2" x14ac:dyDescent="0.25">
      <c r="B1497" s="397"/>
    </row>
    <row r="1498" spans="2:2" x14ac:dyDescent="0.25">
      <c r="B1498" s="397"/>
    </row>
    <row r="1499" spans="2:2" x14ac:dyDescent="0.25">
      <c r="B1499" s="397"/>
    </row>
    <row r="1500" spans="2:2" x14ac:dyDescent="0.25">
      <c r="B1500" s="397"/>
    </row>
    <row r="1501" spans="2:2" x14ac:dyDescent="0.25">
      <c r="B1501" s="397"/>
    </row>
    <row r="1502" spans="2:2" x14ac:dyDescent="0.25">
      <c r="B1502" s="397"/>
    </row>
    <row r="1503" spans="2:2" x14ac:dyDescent="0.25">
      <c r="B1503" s="397"/>
    </row>
    <row r="1504" spans="2:2" x14ac:dyDescent="0.25">
      <c r="B1504" s="397"/>
    </row>
    <row r="1505" spans="2:2" x14ac:dyDescent="0.25">
      <c r="B1505" s="397"/>
    </row>
    <row r="1506" spans="2:2" x14ac:dyDescent="0.25">
      <c r="B1506" s="397"/>
    </row>
    <row r="1507" spans="2:2" x14ac:dyDescent="0.25">
      <c r="B1507" s="397"/>
    </row>
    <row r="1508" spans="2:2" x14ac:dyDescent="0.25">
      <c r="B1508" s="397"/>
    </row>
    <row r="1509" spans="2:2" x14ac:dyDescent="0.25">
      <c r="B1509" s="397"/>
    </row>
    <row r="1510" spans="2:2" x14ac:dyDescent="0.25">
      <c r="B1510" s="397"/>
    </row>
    <row r="1511" spans="2:2" x14ac:dyDescent="0.25">
      <c r="B1511" s="397"/>
    </row>
    <row r="1512" spans="2:2" x14ac:dyDescent="0.25">
      <c r="B1512" s="397"/>
    </row>
    <row r="1513" spans="2:2" x14ac:dyDescent="0.25">
      <c r="B1513" s="397"/>
    </row>
    <row r="1514" spans="2:2" x14ac:dyDescent="0.25">
      <c r="B1514" s="397"/>
    </row>
    <row r="1515" spans="2:2" x14ac:dyDescent="0.25">
      <c r="B1515" s="397"/>
    </row>
    <row r="1516" spans="2:2" x14ac:dyDescent="0.25">
      <c r="B1516" s="397"/>
    </row>
    <row r="1517" spans="2:2" x14ac:dyDescent="0.25">
      <c r="B1517" s="397"/>
    </row>
    <row r="1518" spans="2:2" x14ac:dyDescent="0.25">
      <c r="B1518" s="397"/>
    </row>
    <row r="1519" spans="2:2" x14ac:dyDescent="0.25">
      <c r="B1519" s="397"/>
    </row>
    <row r="1520" spans="2:2" x14ac:dyDescent="0.25">
      <c r="B1520" s="397"/>
    </row>
    <row r="1521" spans="2:2" x14ac:dyDescent="0.25">
      <c r="B1521" s="397"/>
    </row>
    <row r="1522" spans="2:2" x14ac:dyDescent="0.25">
      <c r="B1522" s="397"/>
    </row>
    <row r="1523" spans="2:2" x14ac:dyDescent="0.25">
      <c r="B1523" s="397"/>
    </row>
    <row r="1524" spans="2:2" x14ac:dyDescent="0.25">
      <c r="B1524" s="397"/>
    </row>
    <row r="1525" spans="2:2" x14ac:dyDescent="0.25">
      <c r="B1525" s="397"/>
    </row>
    <row r="1526" spans="2:2" x14ac:dyDescent="0.25">
      <c r="B1526" s="397"/>
    </row>
    <row r="1527" spans="2:2" x14ac:dyDescent="0.25">
      <c r="B1527" s="397"/>
    </row>
    <row r="1528" spans="2:2" x14ac:dyDescent="0.25">
      <c r="B1528" s="397"/>
    </row>
    <row r="1529" spans="2:2" x14ac:dyDescent="0.25">
      <c r="B1529" s="397"/>
    </row>
    <row r="1530" spans="2:2" x14ac:dyDescent="0.25">
      <c r="B1530" s="397"/>
    </row>
    <row r="1531" spans="2:2" x14ac:dyDescent="0.25">
      <c r="B1531" s="397"/>
    </row>
    <row r="1532" spans="2:2" x14ac:dyDescent="0.25">
      <c r="B1532" s="397"/>
    </row>
    <row r="1533" spans="2:2" x14ac:dyDescent="0.25">
      <c r="B1533" s="397"/>
    </row>
    <row r="1534" spans="2:2" x14ac:dyDescent="0.25">
      <c r="B1534" s="397"/>
    </row>
    <row r="1535" spans="2:2" x14ac:dyDescent="0.25">
      <c r="B1535" s="397"/>
    </row>
    <row r="1536" spans="2:2" x14ac:dyDescent="0.25">
      <c r="B1536" s="397"/>
    </row>
    <row r="1537" spans="2:2" x14ac:dyDescent="0.25">
      <c r="B1537" s="397"/>
    </row>
    <row r="1538" spans="2:2" x14ac:dyDescent="0.25">
      <c r="B1538" s="397"/>
    </row>
    <row r="1539" spans="2:2" x14ac:dyDescent="0.25">
      <c r="B1539" s="397"/>
    </row>
    <row r="1540" spans="2:2" x14ac:dyDescent="0.25">
      <c r="B1540" s="397"/>
    </row>
    <row r="1541" spans="2:2" x14ac:dyDescent="0.25">
      <c r="B1541" s="397"/>
    </row>
    <row r="1542" spans="2:2" x14ac:dyDescent="0.25">
      <c r="B1542" s="397"/>
    </row>
    <row r="1543" spans="2:2" x14ac:dyDescent="0.25">
      <c r="B1543" s="397"/>
    </row>
    <row r="1544" spans="2:2" x14ac:dyDescent="0.25">
      <c r="B1544" s="397"/>
    </row>
    <row r="1545" spans="2:2" x14ac:dyDescent="0.25">
      <c r="B1545" s="397"/>
    </row>
    <row r="1546" spans="2:2" x14ac:dyDescent="0.25">
      <c r="B1546" s="397"/>
    </row>
    <row r="1547" spans="2:2" x14ac:dyDescent="0.25">
      <c r="B1547" s="397"/>
    </row>
    <row r="1548" spans="2:2" x14ac:dyDescent="0.25">
      <c r="B1548" s="397"/>
    </row>
    <row r="1549" spans="2:2" x14ac:dyDescent="0.25">
      <c r="B1549" s="397"/>
    </row>
    <row r="1550" spans="2:2" x14ac:dyDescent="0.25">
      <c r="B1550" s="397"/>
    </row>
    <row r="1551" spans="2:2" x14ac:dyDescent="0.25">
      <c r="B1551" s="397"/>
    </row>
    <row r="1552" spans="2:2" x14ac:dyDescent="0.25">
      <c r="B1552" s="397"/>
    </row>
    <row r="1553" spans="2:2" x14ac:dyDescent="0.25">
      <c r="B1553" s="397"/>
    </row>
    <row r="1554" spans="2:2" x14ac:dyDescent="0.25">
      <c r="B1554" s="397"/>
    </row>
    <row r="1555" spans="2:2" x14ac:dyDescent="0.25">
      <c r="B1555" s="397"/>
    </row>
    <row r="1556" spans="2:2" x14ac:dyDescent="0.25">
      <c r="B1556" s="397"/>
    </row>
    <row r="1557" spans="2:2" x14ac:dyDescent="0.25">
      <c r="B1557" s="397"/>
    </row>
    <row r="1558" spans="2:2" x14ac:dyDescent="0.25">
      <c r="B1558" s="397"/>
    </row>
    <row r="1559" spans="2:2" x14ac:dyDescent="0.25">
      <c r="B1559" s="397"/>
    </row>
    <row r="1560" spans="2:2" x14ac:dyDescent="0.25">
      <c r="B1560" s="397"/>
    </row>
    <row r="1561" spans="2:2" x14ac:dyDescent="0.25">
      <c r="B1561" s="397"/>
    </row>
    <row r="1562" spans="2:2" x14ac:dyDescent="0.25">
      <c r="B1562" s="397"/>
    </row>
    <row r="1563" spans="2:2" x14ac:dyDescent="0.25">
      <c r="B1563" s="397"/>
    </row>
    <row r="1564" spans="2:2" x14ac:dyDescent="0.25">
      <c r="B1564" s="397"/>
    </row>
    <row r="1565" spans="2:2" x14ac:dyDescent="0.25">
      <c r="B1565" s="397"/>
    </row>
    <row r="1566" spans="2:2" x14ac:dyDescent="0.25">
      <c r="B1566" s="397"/>
    </row>
    <row r="1567" spans="2:2" x14ac:dyDescent="0.25">
      <c r="B1567" s="397"/>
    </row>
    <row r="1568" spans="2:2" x14ac:dyDescent="0.25">
      <c r="B1568" s="397"/>
    </row>
    <row r="1569" spans="2:2" x14ac:dyDescent="0.25">
      <c r="B1569" s="397"/>
    </row>
    <row r="1570" spans="2:2" x14ac:dyDescent="0.25">
      <c r="B1570" s="397"/>
    </row>
    <row r="1571" spans="2:2" x14ac:dyDescent="0.25">
      <c r="B1571" s="397"/>
    </row>
    <row r="1572" spans="2:2" x14ac:dyDescent="0.25">
      <c r="B1572" s="397"/>
    </row>
    <row r="1573" spans="2:2" x14ac:dyDescent="0.25">
      <c r="B1573" s="397"/>
    </row>
    <row r="1574" spans="2:2" x14ac:dyDescent="0.25">
      <c r="B1574" s="397"/>
    </row>
    <row r="1575" spans="2:2" x14ac:dyDescent="0.25">
      <c r="B1575" s="397"/>
    </row>
    <row r="1576" spans="2:2" x14ac:dyDescent="0.25">
      <c r="B1576" s="397"/>
    </row>
    <row r="1577" spans="2:2" x14ac:dyDescent="0.25">
      <c r="B1577" s="397"/>
    </row>
    <row r="1578" spans="2:2" x14ac:dyDescent="0.25">
      <c r="B1578" s="397"/>
    </row>
    <row r="1579" spans="2:2" x14ac:dyDescent="0.25">
      <c r="B1579" s="397"/>
    </row>
    <row r="1580" spans="2:2" x14ac:dyDescent="0.25">
      <c r="B1580" s="397"/>
    </row>
    <row r="1581" spans="2:2" x14ac:dyDescent="0.25">
      <c r="B1581" s="397"/>
    </row>
    <row r="1582" spans="2:2" x14ac:dyDescent="0.25">
      <c r="B1582" s="397"/>
    </row>
    <row r="1583" spans="2:2" x14ac:dyDescent="0.25">
      <c r="B1583" s="397"/>
    </row>
    <row r="1584" spans="2:2" x14ac:dyDescent="0.25">
      <c r="B1584" s="397"/>
    </row>
    <row r="1585" spans="2:2" x14ac:dyDescent="0.25">
      <c r="B1585" s="397"/>
    </row>
    <row r="1586" spans="2:2" x14ac:dyDescent="0.25">
      <c r="B1586" s="397"/>
    </row>
    <row r="1587" spans="2:2" x14ac:dyDescent="0.25">
      <c r="B1587" s="397"/>
    </row>
    <row r="1588" spans="2:2" x14ac:dyDescent="0.25">
      <c r="B1588" s="397"/>
    </row>
    <row r="1589" spans="2:2" x14ac:dyDescent="0.25">
      <c r="B1589" s="397"/>
    </row>
    <row r="1590" spans="2:2" x14ac:dyDescent="0.25">
      <c r="B1590" s="397"/>
    </row>
    <row r="1591" spans="2:2" x14ac:dyDescent="0.25">
      <c r="B1591" s="397"/>
    </row>
    <row r="1592" spans="2:2" x14ac:dyDescent="0.25">
      <c r="B1592" s="397"/>
    </row>
    <row r="1593" spans="2:2" x14ac:dyDescent="0.25">
      <c r="B1593" s="397"/>
    </row>
    <row r="1594" spans="2:2" x14ac:dyDescent="0.25">
      <c r="B1594" s="397"/>
    </row>
    <row r="1595" spans="2:2" x14ac:dyDescent="0.25">
      <c r="B1595" s="397"/>
    </row>
    <row r="1596" spans="2:2" x14ac:dyDescent="0.25">
      <c r="B1596" s="397"/>
    </row>
    <row r="1597" spans="2:2" x14ac:dyDescent="0.25">
      <c r="B1597" s="397"/>
    </row>
    <row r="1598" spans="2:2" x14ac:dyDescent="0.25">
      <c r="B1598" s="397"/>
    </row>
    <row r="1599" spans="2:2" x14ac:dyDescent="0.25">
      <c r="B1599" s="397"/>
    </row>
    <row r="1600" spans="2:2" x14ac:dyDescent="0.25">
      <c r="B1600" s="397"/>
    </row>
    <row r="1601" spans="2:2" x14ac:dyDescent="0.25">
      <c r="B1601" s="397"/>
    </row>
    <row r="1602" spans="2:2" x14ac:dyDescent="0.25">
      <c r="B1602" s="397"/>
    </row>
    <row r="1603" spans="2:2" x14ac:dyDescent="0.25">
      <c r="B1603" s="397"/>
    </row>
    <row r="1604" spans="2:2" x14ac:dyDescent="0.25">
      <c r="B1604" s="397"/>
    </row>
    <row r="1605" spans="2:2" x14ac:dyDescent="0.25">
      <c r="B1605" s="397"/>
    </row>
    <row r="1606" spans="2:2" x14ac:dyDescent="0.25">
      <c r="B1606" s="397"/>
    </row>
    <row r="1607" spans="2:2" x14ac:dyDescent="0.25">
      <c r="B1607" s="397"/>
    </row>
    <row r="1608" spans="2:2" x14ac:dyDescent="0.25">
      <c r="B1608" s="397"/>
    </row>
    <row r="1609" spans="2:2" x14ac:dyDescent="0.25">
      <c r="B1609" s="397"/>
    </row>
    <row r="1610" spans="2:2" x14ac:dyDescent="0.25">
      <c r="B1610" s="397"/>
    </row>
    <row r="1611" spans="2:2" x14ac:dyDescent="0.25">
      <c r="B1611" s="397"/>
    </row>
    <row r="1612" spans="2:2" x14ac:dyDescent="0.25">
      <c r="B1612" s="397"/>
    </row>
    <row r="1613" spans="2:2" x14ac:dyDescent="0.25">
      <c r="B1613" s="397"/>
    </row>
    <row r="1614" spans="2:2" x14ac:dyDescent="0.25">
      <c r="B1614" s="397"/>
    </row>
    <row r="1615" spans="2:2" x14ac:dyDescent="0.25">
      <c r="B1615" s="397"/>
    </row>
    <row r="1616" spans="2:2" x14ac:dyDescent="0.25">
      <c r="B1616" s="397"/>
    </row>
    <row r="1617" spans="2:2" x14ac:dyDescent="0.25">
      <c r="B1617" s="397"/>
    </row>
    <row r="1618" spans="2:2" x14ac:dyDescent="0.25">
      <c r="B1618" s="397"/>
    </row>
    <row r="1619" spans="2:2" x14ac:dyDescent="0.25">
      <c r="B1619" s="397"/>
    </row>
    <row r="1620" spans="2:2" x14ac:dyDescent="0.25">
      <c r="B1620" s="397"/>
    </row>
    <row r="1621" spans="2:2" x14ac:dyDescent="0.25">
      <c r="B1621" s="397"/>
    </row>
    <row r="1622" spans="2:2" x14ac:dyDescent="0.25">
      <c r="B1622" s="397"/>
    </row>
    <row r="1623" spans="2:2" x14ac:dyDescent="0.25">
      <c r="B1623" s="397"/>
    </row>
    <row r="1624" spans="2:2" x14ac:dyDescent="0.25">
      <c r="B1624" s="397"/>
    </row>
    <row r="1625" spans="2:2" x14ac:dyDescent="0.25">
      <c r="B1625" s="397"/>
    </row>
    <row r="1626" spans="2:2" x14ac:dyDescent="0.25">
      <c r="B1626" s="397"/>
    </row>
    <row r="1627" spans="2:2" x14ac:dyDescent="0.25">
      <c r="B1627" s="397"/>
    </row>
    <row r="1628" spans="2:2" x14ac:dyDescent="0.25">
      <c r="B1628" s="397"/>
    </row>
    <row r="1629" spans="2:2" x14ac:dyDescent="0.25">
      <c r="B1629" s="397"/>
    </row>
    <row r="1630" spans="2:2" x14ac:dyDescent="0.25">
      <c r="B1630" s="397"/>
    </row>
    <row r="1631" spans="2:2" x14ac:dyDescent="0.25">
      <c r="B1631" s="397"/>
    </row>
    <row r="1632" spans="2:2" x14ac:dyDescent="0.25">
      <c r="B1632" s="397"/>
    </row>
    <row r="1633" spans="2:2" x14ac:dyDescent="0.25">
      <c r="B1633" s="397"/>
    </row>
    <row r="1634" spans="2:2" x14ac:dyDescent="0.25">
      <c r="B1634" s="397"/>
    </row>
    <row r="1635" spans="2:2" x14ac:dyDescent="0.25">
      <c r="B1635" s="397"/>
    </row>
    <row r="1636" spans="2:2" x14ac:dyDescent="0.25">
      <c r="B1636" s="397"/>
    </row>
    <row r="1637" spans="2:2" x14ac:dyDescent="0.25">
      <c r="B1637" s="397"/>
    </row>
    <row r="1638" spans="2:2" x14ac:dyDescent="0.25">
      <c r="B1638" s="397"/>
    </row>
    <row r="1639" spans="2:2" x14ac:dyDescent="0.25">
      <c r="B1639" s="397"/>
    </row>
    <row r="1640" spans="2:2" x14ac:dyDescent="0.25">
      <c r="B1640" s="397"/>
    </row>
    <row r="1641" spans="2:2" x14ac:dyDescent="0.25">
      <c r="B1641" s="397"/>
    </row>
    <row r="1642" spans="2:2" x14ac:dyDescent="0.25">
      <c r="B1642" s="397"/>
    </row>
    <row r="1643" spans="2:2" x14ac:dyDescent="0.25">
      <c r="B1643" s="397"/>
    </row>
    <row r="1644" spans="2:2" x14ac:dyDescent="0.25">
      <c r="B1644" s="397"/>
    </row>
    <row r="1645" spans="2:2" x14ac:dyDescent="0.25">
      <c r="B1645" s="397"/>
    </row>
    <row r="1646" spans="2:2" x14ac:dyDescent="0.25">
      <c r="B1646" s="397"/>
    </row>
    <row r="1647" spans="2:2" x14ac:dyDescent="0.25">
      <c r="B1647" s="397"/>
    </row>
    <row r="1648" spans="2:2" x14ac:dyDescent="0.25">
      <c r="B1648" s="397"/>
    </row>
    <row r="1649" spans="2:2" x14ac:dyDescent="0.25">
      <c r="B1649" s="397"/>
    </row>
    <row r="1650" spans="2:2" x14ac:dyDescent="0.25">
      <c r="B1650" s="397"/>
    </row>
    <row r="1651" spans="2:2" x14ac:dyDescent="0.25">
      <c r="B1651" s="397"/>
    </row>
    <row r="1652" spans="2:2" x14ac:dyDescent="0.25">
      <c r="B1652" s="397"/>
    </row>
    <row r="1653" spans="2:2" x14ac:dyDescent="0.25">
      <c r="B1653" s="397"/>
    </row>
    <row r="1654" spans="2:2" x14ac:dyDescent="0.25">
      <c r="B1654" s="397"/>
    </row>
    <row r="1655" spans="2:2" x14ac:dyDescent="0.25">
      <c r="B1655" s="397"/>
    </row>
    <row r="1656" spans="2:2" x14ac:dyDescent="0.25">
      <c r="B1656" s="397"/>
    </row>
    <row r="1657" spans="2:2" x14ac:dyDescent="0.25">
      <c r="B1657" s="397"/>
    </row>
    <row r="1658" spans="2:2" x14ac:dyDescent="0.25">
      <c r="B1658" s="397"/>
    </row>
    <row r="1659" spans="2:2" x14ac:dyDescent="0.25">
      <c r="B1659" s="397"/>
    </row>
    <row r="1660" spans="2:2" x14ac:dyDescent="0.25">
      <c r="B1660" s="397"/>
    </row>
    <row r="1661" spans="2:2" x14ac:dyDescent="0.25">
      <c r="B1661" s="397"/>
    </row>
    <row r="1662" spans="2:2" x14ac:dyDescent="0.25">
      <c r="B1662" s="397"/>
    </row>
    <row r="1663" spans="2:2" x14ac:dyDescent="0.25">
      <c r="B1663" s="397"/>
    </row>
    <row r="1664" spans="2:2" x14ac:dyDescent="0.25">
      <c r="B1664" s="397"/>
    </row>
    <row r="1665" spans="2:2" x14ac:dyDescent="0.25">
      <c r="B1665" s="397"/>
    </row>
    <row r="1666" spans="2:2" x14ac:dyDescent="0.25">
      <c r="B1666" s="397"/>
    </row>
    <row r="1667" spans="2:2" x14ac:dyDescent="0.25">
      <c r="B1667" s="397"/>
    </row>
    <row r="1668" spans="2:2" x14ac:dyDescent="0.25">
      <c r="B1668" s="397"/>
    </row>
    <row r="1669" spans="2:2" x14ac:dyDescent="0.25">
      <c r="B1669" s="397"/>
    </row>
    <row r="1670" spans="2:2" x14ac:dyDescent="0.25">
      <c r="B1670" s="397"/>
    </row>
    <row r="1671" spans="2:2" x14ac:dyDescent="0.25">
      <c r="B1671" s="397"/>
    </row>
    <row r="1672" spans="2:2" x14ac:dyDescent="0.25">
      <c r="B1672" s="397"/>
    </row>
    <row r="1673" spans="2:2" x14ac:dyDescent="0.25">
      <c r="B1673" s="397"/>
    </row>
    <row r="1674" spans="2:2" x14ac:dyDescent="0.25">
      <c r="B1674" s="397"/>
    </row>
    <row r="1675" spans="2:2" x14ac:dyDescent="0.25">
      <c r="B1675" s="397"/>
    </row>
    <row r="1676" spans="2:2" x14ac:dyDescent="0.25">
      <c r="B1676" s="397"/>
    </row>
    <row r="1677" spans="2:2" x14ac:dyDescent="0.25">
      <c r="B1677" s="397"/>
    </row>
    <row r="1678" spans="2:2" x14ac:dyDescent="0.25">
      <c r="B1678" s="397"/>
    </row>
    <row r="1679" spans="2:2" x14ac:dyDescent="0.25">
      <c r="B1679" s="397"/>
    </row>
    <row r="1680" spans="2:2" x14ac:dyDescent="0.25">
      <c r="B1680" s="397"/>
    </row>
    <row r="1681" spans="2:2" x14ac:dyDescent="0.25">
      <c r="B1681" s="397"/>
    </row>
    <row r="1682" spans="2:2" x14ac:dyDescent="0.25">
      <c r="B1682" s="397"/>
    </row>
    <row r="1683" spans="2:2" x14ac:dyDescent="0.25">
      <c r="B1683" s="397"/>
    </row>
    <row r="1684" spans="2:2" x14ac:dyDescent="0.25">
      <c r="B1684" s="397"/>
    </row>
    <row r="1685" spans="2:2" x14ac:dyDescent="0.25">
      <c r="B1685" s="397"/>
    </row>
    <row r="1686" spans="2:2" x14ac:dyDescent="0.25">
      <c r="B1686" s="397"/>
    </row>
    <row r="1687" spans="2:2" x14ac:dyDescent="0.25">
      <c r="B1687" s="397"/>
    </row>
    <row r="1688" spans="2:2" x14ac:dyDescent="0.25">
      <c r="B1688" s="397"/>
    </row>
    <row r="1689" spans="2:2" x14ac:dyDescent="0.25">
      <c r="B1689" s="397"/>
    </row>
    <row r="1690" spans="2:2" x14ac:dyDescent="0.25">
      <c r="B1690" s="397"/>
    </row>
    <row r="1691" spans="2:2" x14ac:dyDescent="0.25">
      <c r="B1691" s="397"/>
    </row>
    <row r="1692" spans="2:2" x14ac:dyDescent="0.25">
      <c r="B1692" s="397"/>
    </row>
    <row r="1693" spans="2:2" x14ac:dyDescent="0.25">
      <c r="B1693" s="397"/>
    </row>
    <row r="1694" spans="2:2" x14ac:dyDescent="0.25">
      <c r="B1694" s="397"/>
    </row>
    <row r="1695" spans="2:2" x14ac:dyDescent="0.25">
      <c r="B1695" s="397"/>
    </row>
    <row r="1696" spans="2:2" x14ac:dyDescent="0.25">
      <c r="B1696" s="397"/>
    </row>
    <row r="1697" spans="2:2" x14ac:dyDescent="0.25">
      <c r="B1697" s="397"/>
    </row>
    <row r="1698" spans="2:2" x14ac:dyDescent="0.25">
      <c r="B1698" s="397"/>
    </row>
    <row r="1699" spans="2:2" x14ac:dyDescent="0.25">
      <c r="B1699" s="397"/>
    </row>
    <row r="1700" spans="2:2" x14ac:dyDescent="0.25">
      <c r="B1700" s="397"/>
    </row>
    <row r="1701" spans="2:2" x14ac:dyDescent="0.25">
      <c r="B1701" s="397"/>
    </row>
    <row r="1702" spans="2:2" x14ac:dyDescent="0.25">
      <c r="B1702" s="397"/>
    </row>
    <row r="1703" spans="2:2" x14ac:dyDescent="0.25">
      <c r="B1703" s="397"/>
    </row>
    <row r="1704" spans="2:2" x14ac:dyDescent="0.25">
      <c r="B1704" s="397"/>
    </row>
    <row r="1705" spans="2:2" x14ac:dyDescent="0.25">
      <c r="B1705" s="397"/>
    </row>
    <row r="1706" spans="2:2" x14ac:dyDescent="0.25">
      <c r="B1706" s="397"/>
    </row>
    <row r="1707" spans="2:2" x14ac:dyDescent="0.25">
      <c r="B1707" s="397"/>
    </row>
    <row r="1708" spans="2:2" x14ac:dyDescent="0.25">
      <c r="B1708" s="397"/>
    </row>
    <row r="1709" spans="2:2" x14ac:dyDescent="0.25">
      <c r="B1709" s="397"/>
    </row>
    <row r="1710" spans="2:2" x14ac:dyDescent="0.25">
      <c r="B1710" s="397"/>
    </row>
    <row r="1711" spans="2:2" x14ac:dyDescent="0.25">
      <c r="B1711" s="397"/>
    </row>
    <row r="1712" spans="2:2" x14ac:dyDescent="0.25">
      <c r="B1712" s="397"/>
    </row>
    <row r="1713" spans="2:2" x14ac:dyDescent="0.25">
      <c r="B1713" s="397"/>
    </row>
    <row r="1714" spans="2:2" x14ac:dyDescent="0.25">
      <c r="B1714" s="397"/>
    </row>
    <row r="1715" spans="2:2" x14ac:dyDescent="0.25">
      <c r="B1715" s="397"/>
    </row>
    <row r="1716" spans="2:2" x14ac:dyDescent="0.25">
      <c r="B1716" s="397"/>
    </row>
    <row r="1717" spans="2:2" x14ac:dyDescent="0.25">
      <c r="B1717" s="397"/>
    </row>
    <row r="1718" spans="2:2" x14ac:dyDescent="0.25">
      <c r="B1718" s="397"/>
    </row>
    <row r="1719" spans="2:2" x14ac:dyDescent="0.25">
      <c r="B1719" s="397"/>
    </row>
    <row r="1720" spans="2:2" x14ac:dyDescent="0.25">
      <c r="B1720" s="397"/>
    </row>
    <row r="1721" spans="2:2" x14ac:dyDescent="0.25">
      <c r="B1721" s="397"/>
    </row>
    <row r="1722" spans="2:2" x14ac:dyDescent="0.25">
      <c r="B1722" s="397"/>
    </row>
    <row r="1723" spans="2:2" x14ac:dyDescent="0.25">
      <c r="B1723" s="397"/>
    </row>
    <row r="1724" spans="2:2" x14ac:dyDescent="0.25">
      <c r="B1724" s="397"/>
    </row>
    <row r="1725" spans="2:2" x14ac:dyDescent="0.25">
      <c r="B1725" s="397"/>
    </row>
    <row r="1726" spans="2:2" x14ac:dyDescent="0.25">
      <c r="B1726" s="397"/>
    </row>
    <row r="1727" spans="2:2" x14ac:dyDescent="0.25">
      <c r="B1727" s="397"/>
    </row>
    <row r="1728" spans="2:2" x14ac:dyDescent="0.25">
      <c r="B1728" s="397"/>
    </row>
    <row r="1729" spans="2:2" x14ac:dyDescent="0.25">
      <c r="B1729" s="397"/>
    </row>
    <row r="1730" spans="2:2" x14ac:dyDescent="0.25">
      <c r="B1730" s="397"/>
    </row>
    <row r="1731" spans="2:2" x14ac:dyDescent="0.25">
      <c r="B1731" s="397"/>
    </row>
    <row r="1732" spans="2:2" x14ac:dyDescent="0.25">
      <c r="B1732" s="397"/>
    </row>
    <row r="1733" spans="2:2" x14ac:dyDescent="0.25">
      <c r="B1733" s="397"/>
    </row>
    <row r="1734" spans="2:2" x14ac:dyDescent="0.25">
      <c r="B1734" s="397"/>
    </row>
    <row r="1735" spans="2:2" x14ac:dyDescent="0.25">
      <c r="B1735" s="397"/>
    </row>
    <row r="1736" spans="2:2" x14ac:dyDescent="0.25">
      <c r="B1736" s="397"/>
    </row>
    <row r="1737" spans="2:2" x14ac:dyDescent="0.25">
      <c r="B1737" s="397"/>
    </row>
    <row r="1738" spans="2:2" x14ac:dyDescent="0.25">
      <c r="B1738" s="397"/>
    </row>
    <row r="1739" spans="2:2" x14ac:dyDescent="0.25">
      <c r="B1739" s="397"/>
    </row>
    <row r="1740" spans="2:2" x14ac:dyDescent="0.25">
      <c r="B1740" s="397"/>
    </row>
    <row r="1741" spans="2:2" x14ac:dyDescent="0.25">
      <c r="B1741" s="397"/>
    </row>
    <row r="1742" spans="2:2" x14ac:dyDescent="0.25">
      <c r="B1742" s="397"/>
    </row>
    <row r="1743" spans="2:2" x14ac:dyDescent="0.25">
      <c r="B1743" s="397"/>
    </row>
    <row r="1744" spans="2:2" x14ac:dyDescent="0.25">
      <c r="B1744" s="397"/>
    </row>
    <row r="1745" spans="2:2" x14ac:dyDescent="0.25">
      <c r="B1745" s="397"/>
    </row>
    <row r="1746" spans="2:2" x14ac:dyDescent="0.25">
      <c r="B1746" s="397"/>
    </row>
    <row r="1747" spans="2:2" x14ac:dyDescent="0.25">
      <c r="B1747" s="397"/>
    </row>
    <row r="1748" spans="2:2" x14ac:dyDescent="0.25">
      <c r="B1748" s="397"/>
    </row>
    <row r="1749" spans="2:2" x14ac:dyDescent="0.25">
      <c r="B1749" s="397"/>
    </row>
    <row r="1750" spans="2:2" x14ac:dyDescent="0.25">
      <c r="B1750" s="397"/>
    </row>
    <row r="1751" spans="2:2" x14ac:dyDescent="0.25">
      <c r="B1751" s="397"/>
    </row>
    <row r="1752" spans="2:2" x14ac:dyDescent="0.25">
      <c r="B1752" s="397"/>
    </row>
    <row r="1753" spans="2:2" x14ac:dyDescent="0.25">
      <c r="B1753" s="397"/>
    </row>
    <row r="1754" spans="2:2" x14ac:dyDescent="0.25">
      <c r="B1754" s="397"/>
    </row>
    <row r="1755" spans="2:2" x14ac:dyDescent="0.25">
      <c r="B1755" s="397"/>
    </row>
    <row r="1756" spans="2:2" x14ac:dyDescent="0.25">
      <c r="B1756" s="397"/>
    </row>
    <row r="1757" spans="2:2" x14ac:dyDescent="0.25">
      <c r="B1757" s="397"/>
    </row>
    <row r="1758" spans="2:2" x14ac:dyDescent="0.25">
      <c r="B1758" s="397"/>
    </row>
    <row r="1759" spans="2:2" x14ac:dyDescent="0.25">
      <c r="B1759" s="397"/>
    </row>
    <row r="1760" spans="2:2" x14ac:dyDescent="0.25">
      <c r="B1760" s="397"/>
    </row>
    <row r="1761" spans="2:2" x14ac:dyDescent="0.25">
      <c r="B1761" s="397"/>
    </row>
    <row r="1762" spans="2:2" x14ac:dyDescent="0.25">
      <c r="B1762" s="397"/>
    </row>
    <row r="1763" spans="2:2" x14ac:dyDescent="0.25">
      <c r="B1763" s="397"/>
    </row>
    <row r="1764" spans="2:2" x14ac:dyDescent="0.25">
      <c r="B1764" s="397"/>
    </row>
    <row r="1765" spans="2:2" x14ac:dyDescent="0.25">
      <c r="B1765" s="397"/>
    </row>
    <row r="1766" spans="2:2" x14ac:dyDescent="0.25">
      <c r="B1766" s="397"/>
    </row>
    <row r="1767" spans="2:2" x14ac:dyDescent="0.25">
      <c r="B1767" s="397"/>
    </row>
    <row r="1768" spans="2:2" x14ac:dyDescent="0.25">
      <c r="B1768" s="397"/>
    </row>
    <row r="1769" spans="2:2" x14ac:dyDescent="0.25">
      <c r="B1769" s="397"/>
    </row>
    <row r="1770" spans="2:2" x14ac:dyDescent="0.25">
      <c r="B1770" s="397"/>
    </row>
    <row r="1771" spans="2:2" x14ac:dyDescent="0.25">
      <c r="B1771" s="397"/>
    </row>
    <row r="1772" spans="2:2" x14ac:dyDescent="0.25">
      <c r="B1772" s="397"/>
    </row>
    <row r="1773" spans="2:2" x14ac:dyDescent="0.25">
      <c r="B1773" s="397"/>
    </row>
    <row r="1774" spans="2:2" x14ac:dyDescent="0.25">
      <c r="B1774" s="397"/>
    </row>
    <row r="1775" spans="2:2" x14ac:dyDescent="0.25">
      <c r="B1775" s="397"/>
    </row>
    <row r="1776" spans="2:2" x14ac:dyDescent="0.25">
      <c r="B1776" s="397"/>
    </row>
    <row r="1777" spans="2:2" x14ac:dyDescent="0.25">
      <c r="B1777" s="397"/>
    </row>
    <row r="1778" spans="2:2" x14ac:dyDescent="0.25">
      <c r="B1778" s="397"/>
    </row>
    <row r="1779" spans="2:2" x14ac:dyDescent="0.25">
      <c r="B1779" s="397"/>
    </row>
    <row r="1780" spans="2:2" x14ac:dyDescent="0.25">
      <c r="B1780" s="397"/>
    </row>
    <row r="1781" spans="2:2" x14ac:dyDescent="0.25">
      <c r="B1781" s="397"/>
    </row>
    <row r="1782" spans="2:2" x14ac:dyDescent="0.25">
      <c r="B1782" s="397"/>
    </row>
    <row r="1783" spans="2:2" x14ac:dyDescent="0.25">
      <c r="B1783" s="397"/>
    </row>
    <row r="1784" spans="2:2" x14ac:dyDescent="0.25">
      <c r="B1784" s="397"/>
    </row>
    <row r="1785" spans="2:2" x14ac:dyDescent="0.25">
      <c r="B1785" s="397"/>
    </row>
    <row r="1786" spans="2:2" x14ac:dyDescent="0.25">
      <c r="B1786" s="397"/>
    </row>
    <row r="1787" spans="2:2" x14ac:dyDescent="0.25">
      <c r="B1787" s="397"/>
    </row>
    <row r="1788" spans="2:2" x14ac:dyDescent="0.25">
      <c r="B1788" s="397"/>
    </row>
    <row r="1789" spans="2:2" x14ac:dyDescent="0.25">
      <c r="B1789" s="397"/>
    </row>
    <row r="1790" spans="2:2" x14ac:dyDescent="0.25">
      <c r="B1790" s="397"/>
    </row>
    <row r="1791" spans="2:2" x14ac:dyDescent="0.25">
      <c r="B1791" s="397"/>
    </row>
    <row r="1792" spans="2:2" x14ac:dyDescent="0.25">
      <c r="B1792" s="397"/>
    </row>
    <row r="1793" spans="2:2" x14ac:dyDescent="0.25">
      <c r="B1793" s="397"/>
    </row>
    <row r="1794" spans="2:2" x14ac:dyDescent="0.25">
      <c r="B1794" s="397"/>
    </row>
    <row r="1795" spans="2:2" x14ac:dyDescent="0.25">
      <c r="B1795" s="397"/>
    </row>
    <row r="1796" spans="2:2" x14ac:dyDescent="0.25">
      <c r="B1796" s="397"/>
    </row>
    <row r="1797" spans="2:2" x14ac:dyDescent="0.25">
      <c r="B1797" s="397"/>
    </row>
    <row r="1798" spans="2:2" x14ac:dyDescent="0.25">
      <c r="B1798" s="397"/>
    </row>
    <row r="1799" spans="2:2" x14ac:dyDescent="0.25">
      <c r="B1799" s="397"/>
    </row>
    <row r="1800" spans="2:2" x14ac:dyDescent="0.25">
      <c r="B1800" s="397"/>
    </row>
    <row r="1801" spans="2:2" x14ac:dyDescent="0.25">
      <c r="B1801" s="397"/>
    </row>
    <row r="1802" spans="2:2" x14ac:dyDescent="0.25">
      <c r="B1802" s="397"/>
    </row>
    <row r="1803" spans="2:2" x14ac:dyDescent="0.25">
      <c r="B1803" s="397"/>
    </row>
    <row r="1804" spans="2:2" x14ac:dyDescent="0.25">
      <c r="B1804" s="397"/>
    </row>
    <row r="1805" spans="2:2" x14ac:dyDescent="0.25">
      <c r="B1805" s="397"/>
    </row>
    <row r="1806" spans="2:2" x14ac:dyDescent="0.25">
      <c r="B1806" s="397"/>
    </row>
    <row r="1807" spans="2:2" x14ac:dyDescent="0.25">
      <c r="B1807" s="397"/>
    </row>
    <row r="1808" spans="2:2" x14ac:dyDescent="0.25">
      <c r="B1808" s="397"/>
    </row>
    <row r="1809" spans="2:2" x14ac:dyDescent="0.25">
      <c r="B1809" s="397"/>
    </row>
    <row r="1810" spans="2:2" x14ac:dyDescent="0.25">
      <c r="B1810" s="397"/>
    </row>
    <row r="1811" spans="2:2" x14ac:dyDescent="0.25">
      <c r="B1811" s="397"/>
    </row>
    <row r="1812" spans="2:2" x14ac:dyDescent="0.25">
      <c r="B1812" s="397"/>
    </row>
    <row r="1813" spans="2:2" x14ac:dyDescent="0.25">
      <c r="B1813" s="397"/>
    </row>
    <row r="1814" spans="2:2" x14ac:dyDescent="0.25">
      <c r="B1814" s="397"/>
    </row>
    <row r="1815" spans="2:2" x14ac:dyDescent="0.25">
      <c r="B1815" s="397"/>
    </row>
    <row r="1816" spans="2:2" x14ac:dyDescent="0.25">
      <c r="B1816" s="397"/>
    </row>
    <row r="1817" spans="2:2" x14ac:dyDescent="0.25">
      <c r="B1817" s="397"/>
    </row>
    <row r="1818" spans="2:2" x14ac:dyDescent="0.25">
      <c r="B1818" s="397"/>
    </row>
    <row r="1819" spans="2:2" x14ac:dyDescent="0.25">
      <c r="B1819" s="397"/>
    </row>
    <row r="1820" spans="2:2" x14ac:dyDescent="0.25">
      <c r="B1820" s="397"/>
    </row>
    <row r="1821" spans="2:2" x14ac:dyDescent="0.25">
      <c r="B1821" s="397"/>
    </row>
    <row r="1822" spans="2:2" x14ac:dyDescent="0.25">
      <c r="B1822" s="397"/>
    </row>
    <row r="1823" spans="2:2" x14ac:dyDescent="0.25">
      <c r="B1823" s="397"/>
    </row>
    <row r="1824" spans="2:2" x14ac:dyDescent="0.25">
      <c r="B1824" s="397"/>
    </row>
    <row r="1825" spans="2:2" x14ac:dyDescent="0.25">
      <c r="B1825" s="397"/>
    </row>
    <row r="1826" spans="2:2" x14ac:dyDescent="0.25">
      <c r="B1826" s="397"/>
    </row>
    <row r="1827" spans="2:2" x14ac:dyDescent="0.25">
      <c r="B1827" s="397"/>
    </row>
    <row r="1828" spans="2:2" x14ac:dyDescent="0.25">
      <c r="B1828" s="397"/>
    </row>
    <row r="1829" spans="2:2" x14ac:dyDescent="0.25">
      <c r="B1829" s="397"/>
    </row>
    <row r="1830" spans="2:2" x14ac:dyDescent="0.25">
      <c r="B1830" s="397"/>
    </row>
    <row r="1831" spans="2:2" x14ac:dyDescent="0.25">
      <c r="B1831" s="397"/>
    </row>
    <row r="1832" spans="2:2" x14ac:dyDescent="0.25">
      <c r="B1832" s="397"/>
    </row>
    <row r="1833" spans="2:2" x14ac:dyDescent="0.25">
      <c r="B1833" s="397"/>
    </row>
    <row r="1834" spans="2:2" x14ac:dyDescent="0.25">
      <c r="B1834" s="397"/>
    </row>
    <row r="1835" spans="2:2" x14ac:dyDescent="0.25">
      <c r="B1835" s="397"/>
    </row>
    <row r="1836" spans="2:2" x14ac:dyDescent="0.25">
      <c r="B1836" s="397"/>
    </row>
    <row r="1837" spans="2:2" x14ac:dyDescent="0.25">
      <c r="B1837" s="397"/>
    </row>
    <row r="1838" spans="2:2" x14ac:dyDescent="0.25">
      <c r="B1838" s="397"/>
    </row>
    <row r="1839" spans="2:2" x14ac:dyDescent="0.25">
      <c r="B1839" s="397"/>
    </row>
    <row r="1840" spans="2:2" x14ac:dyDescent="0.25">
      <c r="B1840" s="397"/>
    </row>
    <row r="1841" spans="2:2" x14ac:dyDescent="0.25">
      <c r="B1841" s="397"/>
    </row>
    <row r="1842" spans="2:2" x14ac:dyDescent="0.25">
      <c r="B1842" s="397"/>
    </row>
    <row r="1843" spans="2:2" x14ac:dyDescent="0.25">
      <c r="B1843" s="397"/>
    </row>
    <row r="1844" spans="2:2" x14ac:dyDescent="0.25">
      <c r="B1844" s="397"/>
    </row>
    <row r="1845" spans="2:2" x14ac:dyDescent="0.25">
      <c r="B1845" s="397"/>
    </row>
    <row r="1846" spans="2:2" x14ac:dyDescent="0.25">
      <c r="B1846" s="397"/>
    </row>
    <row r="1847" spans="2:2" x14ac:dyDescent="0.25">
      <c r="B1847" s="397"/>
    </row>
    <row r="1848" spans="2:2" x14ac:dyDescent="0.25">
      <c r="B1848" s="397"/>
    </row>
    <row r="1849" spans="2:2" x14ac:dyDescent="0.25">
      <c r="B1849" s="397"/>
    </row>
    <row r="1850" spans="2:2" x14ac:dyDescent="0.25">
      <c r="B1850" s="397"/>
    </row>
    <row r="1851" spans="2:2" x14ac:dyDescent="0.25">
      <c r="B1851" s="397"/>
    </row>
    <row r="1852" spans="2:2" x14ac:dyDescent="0.25">
      <c r="B1852" s="397"/>
    </row>
    <row r="1853" spans="2:2" x14ac:dyDescent="0.25">
      <c r="B1853" s="397"/>
    </row>
    <row r="1854" spans="2:2" x14ac:dyDescent="0.25">
      <c r="B1854" s="397"/>
    </row>
    <row r="1855" spans="2:2" x14ac:dyDescent="0.25">
      <c r="B1855" s="397"/>
    </row>
    <row r="1856" spans="2:2" x14ac:dyDescent="0.25">
      <c r="B1856" s="397"/>
    </row>
    <row r="1857" spans="2:2" x14ac:dyDescent="0.25">
      <c r="B1857" s="397"/>
    </row>
    <row r="1858" spans="2:2" x14ac:dyDescent="0.25">
      <c r="B1858" s="397"/>
    </row>
    <row r="1859" spans="2:2" x14ac:dyDescent="0.25">
      <c r="B1859" s="397"/>
    </row>
    <row r="1860" spans="2:2" x14ac:dyDescent="0.25">
      <c r="B1860" s="397"/>
    </row>
    <row r="1861" spans="2:2" x14ac:dyDescent="0.25">
      <c r="B1861" s="397"/>
    </row>
    <row r="1862" spans="2:2" x14ac:dyDescent="0.25">
      <c r="B1862" s="397"/>
    </row>
    <row r="1863" spans="2:2" x14ac:dyDescent="0.25">
      <c r="B1863" s="397"/>
    </row>
    <row r="1864" spans="2:2" x14ac:dyDescent="0.25">
      <c r="B1864" s="397"/>
    </row>
    <row r="1865" spans="2:2" x14ac:dyDescent="0.25">
      <c r="B1865" s="397"/>
    </row>
    <row r="1866" spans="2:2" x14ac:dyDescent="0.25">
      <c r="B1866" s="397"/>
    </row>
    <row r="1867" spans="2:2" x14ac:dyDescent="0.25">
      <c r="B1867" s="397"/>
    </row>
    <row r="1868" spans="2:2" x14ac:dyDescent="0.25">
      <c r="B1868" s="397"/>
    </row>
    <row r="1869" spans="2:2" x14ac:dyDescent="0.25">
      <c r="B1869" s="397"/>
    </row>
    <row r="1870" spans="2:2" x14ac:dyDescent="0.25">
      <c r="B1870" s="397"/>
    </row>
    <row r="1871" spans="2:2" x14ac:dyDescent="0.25">
      <c r="B1871" s="397"/>
    </row>
    <row r="1872" spans="2:2" x14ac:dyDescent="0.25">
      <c r="B1872" s="397"/>
    </row>
    <row r="1873" spans="2:2" x14ac:dyDescent="0.25">
      <c r="B1873" s="397"/>
    </row>
    <row r="1874" spans="2:2" x14ac:dyDescent="0.25">
      <c r="B1874" s="397"/>
    </row>
    <row r="1875" spans="2:2" x14ac:dyDescent="0.25">
      <c r="B1875" s="397"/>
    </row>
    <row r="1876" spans="2:2" x14ac:dyDescent="0.25">
      <c r="B1876" s="397"/>
    </row>
    <row r="1877" spans="2:2" x14ac:dyDescent="0.25">
      <c r="B1877" s="397"/>
    </row>
    <row r="1878" spans="2:2" x14ac:dyDescent="0.25">
      <c r="B1878" s="397"/>
    </row>
    <row r="1879" spans="2:2" x14ac:dyDescent="0.25">
      <c r="B1879" s="397"/>
    </row>
    <row r="1880" spans="2:2" x14ac:dyDescent="0.25">
      <c r="B1880" s="397"/>
    </row>
    <row r="1881" spans="2:2" x14ac:dyDescent="0.25">
      <c r="B1881" s="397"/>
    </row>
    <row r="1882" spans="2:2" x14ac:dyDescent="0.25">
      <c r="B1882" s="397"/>
    </row>
    <row r="1883" spans="2:2" x14ac:dyDescent="0.25">
      <c r="B1883" s="397"/>
    </row>
    <row r="1884" spans="2:2" x14ac:dyDescent="0.25">
      <c r="B1884" s="397"/>
    </row>
    <row r="1885" spans="2:2" x14ac:dyDescent="0.25">
      <c r="B1885" s="397"/>
    </row>
    <row r="1886" spans="2:2" x14ac:dyDescent="0.25">
      <c r="B1886" s="397"/>
    </row>
    <row r="1887" spans="2:2" x14ac:dyDescent="0.25">
      <c r="B1887" s="397"/>
    </row>
    <row r="1888" spans="2:2" x14ac:dyDescent="0.25">
      <c r="B1888" s="397"/>
    </row>
    <row r="1889" spans="2:2" x14ac:dyDescent="0.25">
      <c r="B1889" s="397"/>
    </row>
    <row r="1890" spans="2:2" x14ac:dyDescent="0.25">
      <c r="B1890" s="397"/>
    </row>
    <row r="1891" spans="2:2" x14ac:dyDescent="0.25">
      <c r="B1891" s="397"/>
    </row>
    <row r="1892" spans="2:2" x14ac:dyDescent="0.25">
      <c r="B1892" s="397"/>
    </row>
    <row r="1893" spans="2:2" x14ac:dyDescent="0.25">
      <c r="B1893" s="397"/>
    </row>
    <row r="1894" spans="2:2" x14ac:dyDescent="0.25">
      <c r="B1894" s="397"/>
    </row>
    <row r="1895" spans="2:2" x14ac:dyDescent="0.25">
      <c r="B1895" s="397"/>
    </row>
    <row r="1896" spans="2:2" x14ac:dyDescent="0.25">
      <c r="B1896" s="397"/>
    </row>
    <row r="1897" spans="2:2" x14ac:dyDescent="0.25">
      <c r="B1897" s="397"/>
    </row>
    <row r="1898" spans="2:2" x14ac:dyDescent="0.25">
      <c r="B1898" s="397"/>
    </row>
    <row r="1899" spans="2:2" x14ac:dyDescent="0.25">
      <c r="B1899" s="397"/>
    </row>
    <row r="1900" spans="2:2" x14ac:dyDescent="0.25">
      <c r="B1900" s="397"/>
    </row>
    <row r="1901" spans="2:2" x14ac:dyDescent="0.25">
      <c r="B1901" s="397"/>
    </row>
    <row r="1902" spans="2:2" x14ac:dyDescent="0.25">
      <c r="B1902" s="397"/>
    </row>
    <row r="1903" spans="2:2" x14ac:dyDescent="0.25">
      <c r="B1903" s="397"/>
    </row>
    <row r="1904" spans="2:2" x14ac:dyDescent="0.25">
      <c r="B1904" s="397"/>
    </row>
    <row r="1905" spans="2:2" x14ac:dyDescent="0.25">
      <c r="B1905" s="397"/>
    </row>
    <row r="1906" spans="2:2" x14ac:dyDescent="0.25">
      <c r="B1906" s="397"/>
    </row>
    <row r="1907" spans="2:2" x14ac:dyDescent="0.25">
      <c r="B1907" s="397"/>
    </row>
    <row r="1908" spans="2:2" x14ac:dyDescent="0.25">
      <c r="B1908" s="397"/>
    </row>
    <row r="1909" spans="2:2" x14ac:dyDescent="0.25">
      <c r="B1909" s="397"/>
    </row>
    <row r="1910" spans="2:2" x14ac:dyDescent="0.25">
      <c r="B1910" s="397"/>
    </row>
    <row r="1911" spans="2:2" x14ac:dyDescent="0.25">
      <c r="B1911" s="397"/>
    </row>
    <row r="1912" spans="2:2" x14ac:dyDescent="0.25">
      <c r="B1912" s="397"/>
    </row>
    <row r="1913" spans="2:2" x14ac:dyDescent="0.25">
      <c r="B1913" s="397"/>
    </row>
    <row r="1914" spans="2:2" x14ac:dyDescent="0.25">
      <c r="B1914" s="397"/>
    </row>
    <row r="1915" spans="2:2" x14ac:dyDescent="0.25">
      <c r="B1915" s="397"/>
    </row>
    <row r="1916" spans="2:2" x14ac:dyDescent="0.25">
      <c r="B1916" s="397"/>
    </row>
    <row r="1917" spans="2:2" x14ac:dyDescent="0.25">
      <c r="B1917" s="397"/>
    </row>
    <row r="1918" spans="2:2" x14ac:dyDescent="0.25">
      <c r="B1918" s="397"/>
    </row>
    <row r="1919" spans="2:2" x14ac:dyDescent="0.25">
      <c r="B1919" s="397"/>
    </row>
    <row r="1920" spans="2:2" x14ac:dyDescent="0.25">
      <c r="B1920" s="397"/>
    </row>
    <row r="1921" spans="2:2" x14ac:dyDescent="0.25">
      <c r="B1921" s="397"/>
    </row>
    <row r="1922" spans="2:2" x14ac:dyDescent="0.25">
      <c r="B1922" s="397"/>
    </row>
    <row r="1923" spans="2:2" x14ac:dyDescent="0.25">
      <c r="B1923" s="397"/>
    </row>
    <row r="1924" spans="2:2" x14ac:dyDescent="0.25">
      <c r="B1924" s="397"/>
    </row>
    <row r="1925" spans="2:2" x14ac:dyDescent="0.25">
      <c r="B1925" s="397"/>
    </row>
    <row r="1926" spans="2:2" x14ac:dyDescent="0.25">
      <c r="B1926" s="397"/>
    </row>
    <row r="1927" spans="2:2" x14ac:dyDescent="0.25">
      <c r="B1927" s="397"/>
    </row>
    <row r="1928" spans="2:2" x14ac:dyDescent="0.25">
      <c r="B1928" s="397"/>
    </row>
    <row r="1929" spans="2:2" x14ac:dyDescent="0.25">
      <c r="B1929" s="397"/>
    </row>
    <row r="1930" spans="2:2" x14ac:dyDescent="0.25">
      <c r="B1930" s="397"/>
    </row>
    <row r="1931" spans="2:2" x14ac:dyDescent="0.25">
      <c r="B1931" s="397"/>
    </row>
    <row r="1932" spans="2:2" x14ac:dyDescent="0.25">
      <c r="B1932" s="397"/>
    </row>
    <row r="1933" spans="2:2" x14ac:dyDescent="0.25">
      <c r="B1933" s="397"/>
    </row>
    <row r="1934" spans="2:2" x14ac:dyDescent="0.25">
      <c r="B1934" s="397"/>
    </row>
    <row r="1935" spans="2:2" x14ac:dyDescent="0.25">
      <c r="B1935" s="397"/>
    </row>
    <row r="1936" spans="2:2" x14ac:dyDescent="0.25">
      <c r="B1936" s="397"/>
    </row>
    <row r="1937" spans="2:2" x14ac:dyDescent="0.25">
      <c r="B1937" s="397"/>
    </row>
    <row r="1938" spans="2:2" x14ac:dyDescent="0.25">
      <c r="B1938" s="397"/>
    </row>
    <row r="1939" spans="2:2" x14ac:dyDescent="0.25">
      <c r="B1939" s="397"/>
    </row>
    <row r="1940" spans="2:2" x14ac:dyDescent="0.25">
      <c r="B1940" s="397"/>
    </row>
    <row r="1941" spans="2:2" x14ac:dyDescent="0.25">
      <c r="B1941" s="397"/>
    </row>
    <row r="1942" spans="2:2" x14ac:dyDescent="0.25">
      <c r="B1942" s="397"/>
    </row>
    <row r="1943" spans="2:2" x14ac:dyDescent="0.25">
      <c r="B1943" s="397"/>
    </row>
    <row r="1944" spans="2:2" x14ac:dyDescent="0.25">
      <c r="B1944" s="397"/>
    </row>
    <row r="1945" spans="2:2" x14ac:dyDescent="0.25">
      <c r="B1945" s="397"/>
    </row>
    <row r="1946" spans="2:2" x14ac:dyDescent="0.25">
      <c r="B1946" s="397"/>
    </row>
    <row r="1947" spans="2:2" x14ac:dyDescent="0.25">
      <c r="B1947" s="397"/>
    </row>
    <row r="1948" spans="2:2" x14ac:dyDescent="0.25">
      <c r="B1948" s="397"/>
    </row>
    <row r="1949" spans="2:2" x14ac:dyDescent="0.25">
      <c r="B1949" s="397"/>
    </row>
    <row r="1950" spans="2:2" x14ac:dyDescent="0.25">
      <c r="B1950" s="397"/>
    </row>
    <row r="1951" spans="2:2" x14ac:dyDescent="0.25">
      <c r="B1951" s="397"/>
    </row>
    <row r="1952" spans="2:2" x14ac:dyDescent="0.25">
      <c r="B1952" s="397"/>
    </row>
    <row r="1953" spans="2:2" x14ac:dyDescent="0.25">
      <c r="B1953" s="397"/>
    </row>
    <row r="1954" spans="2:2" x14ac:dyDescent="0.25">
      <c r="B1954" s="397"/>
    </row>
    <row r="1955" spans="2:2" x14ac:dyDescent="0.25">
      <c r="B1955" s="397"/>
    </row>
    <row r="1956" spans="2:2" x14ac:dyDescent="0.25">
      <c r="B1956" s="397"/>
    </row>
    <row r="1957" spans="2:2" x14ac:dyDescent="0.25">
      <c r="B1957" s="397"/>
    </row>
    <row r="1958" spans="2:2" x14ac:dyDescent="0.25">
      <c r="B1958" s="397"/>
    </row>
    <row r="1959" spans="2:2" x14ac:dyDescent="0.25">
      <c r="B1959" s="397"/>
    </row>
    <row r="1960" spans="2:2" x14ac:dyDescent="0.25">
      <c r="B1960" s="397"/>
    </row>
    <row r="1961" spans="2:2" x14ac:dyDescent="0.25">
      <c r="B1961" s="397"/>
    </row>
    <row r="1962" spans="2:2" x14ac:dyDescent="0.25">
      <c r="B1962" s="397"/>
    </row>
    <row r="1963" spans="2:2" x14ac:dyDescent="0.25">
      <c r="B1963" s="397"/>
    </row>
    <row r="1964" spans="2:2" x14ac:dyDescent="0.25">
      <c r="B1964" s="397"/>
    </row>
    <row r="1965" spans="2:2" x14ac:dyDescent="0.25">
      <c r="B1965" s="397"/>
    </row>
    <row r="1966" spans="2:2" x14ac:dyDescent="0.25">
      <c r="B1966" s="397"/>
    </row>
    <row r="1967" spans="2:2" x14ac:dyDescent="0.25">
      <c r="B1967" s="397"/>
    </row>
    <row r="1968" spans="2:2" x14ac:dyDescent="0.25">
      <c r="B1968" s="397"/>
    </row>
    <row r="1969" spans="2:2" x14ac:dyDescent="0.25">
      <c r="B1969" s="397"/>
    </row>
    <row r="1970" spans="2:2" x14ac:dyDescent="0.25">
      <c r="B1970" s="397"/>
    </row>
    <row r="1971" spans="2:2" x14ac:dyDescent="0.25">
      <c r="B1971" s="397"/>
    </row>
    <row r="1972" spans="2:2" x14ac:dyDescent="0.25">
      <c r="B1972" s="397"/>
    </row>
    <row r="1973" spans="2:2" x14ac:dyDescent="0.25">
      <c r="B1973" s="397"/>
    </row>
    <row r="1974" spans="2:2" x14ac:dyDescent="0.25">
      <c r="B1974" s="397"/>
    </row>
    <row r="1975" spans="2:2" x14ac:dyDescent="0.25">
      <c r="B1975" s="397"/>
    </row>
    <row r="1976" spans="2:2" x14ac:dyDescent="0.25">
      <c r="B1976" s="397"/>
    </row>
    <row r="1977" spans="2:2" x14ac:dyDescent="0.25">
      <c r="B1977" s="397"/>
    </row>
    <row r="1978" spans="2:2" x14ac:dyDescent="0.25">
      <c r="B1978" s="397"/>
    </row>
    <row r="1979" spans="2:2" x14ac:dyDescent="0.25">
      <c r="B1979" s="397"/>
    </row>
    <row r="1980" spans="2:2" x14ac:dyDescent="0.25">
      <c r="B1980" s="397"/>
    </row>
    <row r="1981" spans="2:2" x14ac:dyDescent="0.25">
      <c r="B1981" s="397"/>
    </row>
    <row r="1982" spans="2:2" x14ac:dyDescent="0.25">
      <c r="B1982" s="397"/>
    </row>
    <row r="1983" spans="2:2" x14ac:dyDescent="0.25">
      <c r="B1983" s="397"/>
    </row>
    <row r="1984" spans="2:2" x14ac:dyDescent="0.25">
      <c r="B1984" s="397"/>
    </row>
    <row r="1985" spans="2:2" x14ac:dyDescent="0.25">
      <c r="B1985" s="397"/>
    </row>
    <row r="1986" spans="2:2" x14ac:dyDescent="0.25">
      <c r="B1986" s="397"/>
    </row>
    <row r="1987" spans="2:2" x14ac:dyDescent="0.25">
      <c r="B1987" s="397"/>
    </row>
    <row r="1988" spans="2:2" x14ac:dyDescent="0.25">
      <c r="B1988" s="397"/>
    </row>
    <row r="1989" spans="2:2" x14ac:dyDescent="0.25">
      <c r="B1989" s="397"/>
    </row>
    <row r="1990" spans="2:2" x14ac:dyDescent="0.25">
      <c r="B1990" s="397"/>
    </row>
    <row r="1991" spans="2:2" x14ac:dyDescent="0.25">
      <c r="B1991" s="397"/>
    </row>
    <row r="1992" spans="2:2" x14ac:dyDescent="0.25">
      <c r="B1992" s="397"/>
    </row>
    <row r="1993" spans="2:2" x14ac:dyDescent="0.25">
      <c r="B1993" s="397"/>
    </row>
    <row r="1994" spans="2:2" x14ac:dyDescent="0.25">
      <c r="B1994" s="397"/>
    </row>
    <row r="1995" spans="2:2" x14ac:dyDescent="0.25">
      <c r="B1995" s="397"/>
    </row>
    <row r="1996" spans="2:2" x14ac:dyDescent="0.25">
      <c r="B1996" s="397"/>
    </row>
    <row r="1997" spans="2:2" x14ac:dyDescent="0.25">
      <c r="B1997" s="397"/>
    </row>
    <row r="1998" spans="2:2" x14ac:dyDescent="0.25">
      <c r="B1998" s="397"/>
    </row>
    <row r="1999" spans="2:2" x14ac:dyDescent="0.25">
      <c r="B1999" s="397"/>
    </row>
    <row r="2000" spans="2:2" x14ac:dyDescent="0.25">
      <c r="B2000" s="397"/>
    </row>
    <row r="2001" spans="2:2" x14ac:dyDescent="0.25">
      <c r="B2001" s="397"/>
    </row>
    <row r="2002" spans="2:2" x14ac:dyDescent="0.25">
      <c r="B2002" s="397"/>
    </row>
    <row r="2003" spans="2:2" x14ac:dyDescent="0.25">
      <c r="B2003" s="397"/>
    </row>
    <row r="2004" spans="2:2" x14ac:dyDescent="0.25">
      <c r="B2004" s="397"/>
    </row>
    <row r="2005" spans="2:2" x14ac:dyDescent="0.25">
      <c r="B2005" s="397"/>
    </row>
    <row r="2006" spans="2:2" x14ac:dyDescent="0.25">
      <c r="B2006" s="397"/>
    </row>
    <row r="2007" spans="2:2" x14ac:dyDescent="0.25">
      <c r="B2007" s="397"/>
    </row>
    <row r="2008" spans="2:2" x14ac:dyDescent="0.25">
      <c r="B2008" s="397"/>
    </row>
    <row r="2009" spans="2:2" x14ac:dyDescent="0.25">
      <c r="B2009" s="397"/>
    </row>
    <row r="2010" spans="2:2" x14ac:dyDescent="0.25">
      <c r="B2010" s="397"/>
    </row>
    <row r="2011" spans="2:2" x14ac:dyDescent="0.25">
      <c r="B2011" s="397"/>
    </row>
    <row r="2012" spans="2:2" x14ac:dyDescent="0.25">
      <c r="B2012" s="397"/>
    </row>
    <row r="2013" spans="2:2" x14ac:dyDescent="0.25">
      <c r="B2013" s="397"/>
    </row>
    <row r="2014" spans="2:2" x14ac:dyDescent="0.25">
      <c r="B2014" s="397"/>
    </row>
    <row r="2015" spans="2:2" x14ac:dyDescent="0.25">
      <c r="B2015" s="397"/>
    </row>
    <row r="2016" spans="2:2" x14ac:dyDescent="0.25">
      <c r="B2016" s="397"/>
    </row>
    <row r="2017" spans="2:2" x14ac:dyDescent="0.25">
      <c r="B2017" s="397"/>
    </row>
    <row r="2018" spans="2:2" x14ac:dyDescent="0.25">
      <c r="B2018" s="397"/>
    </row>
    <row r="2019" spans="2:2" x14ac:dyDescent="0.25">
      <c r="B2019" s="397"/>
    </row>
    <row r="2020" spans="2:2" x14ac:dyDescent="0.25">
      <c r="B2020" s="397"/>
    </row>
    <row r="2021" spans="2:2" x14ac:dyDescent="0.25">
      <c r="B2021" s="397"/>
    </row>
    <row r="2022" spans="2:2" x14ac:dyDescent="0.25">
      <c r="B2022" s="397"/>
    </row>
    <row r="2023" spans="2:2" x14ac:dyDescent="0.25">
      <c r="B2023" s="397"/>
    </row>
    <row r="2024" spans="2:2" x14ac:dyDescent="0.25">
      <c r="B2024" s="397"/>
    </row>
    <row r="2025" spans="2:2" x14ac:dyDescent="0.25">
      <c r="B2025" s="397"/>
    </row>
    <row r="2026" spans="2:2" x14ac:dyDescent="0.25">
      <c r="B2026" s="397"/>
    </row>
    <row r="2027" spans="2:2" x14ac:dyDescent="0.25">
      <c r="B2027" s="397"/>
    </row>
    <row r="2028" spans="2:2" x14ac:dyDescent="0.25">
      <c r="B2028" s="397"/>
    </row>
    <row r="2029" spans="2:2" x14ac:dyDescent="0.25">
      <c r="B2029" s="397"/>
    </row>
    <row r="2030" spans="2:2" x14ac:dyDescent="0.25">
      <c r="B2030" s="397"/>
    </row>
    <row r="2031" spans="2:2" x14ac:dyDescent="0.25">
      <c r="B2031" s="397"/>
    </row>
    <row r="2032" spans="2:2" x14ac:dyDescent="0.25">
      <c r="B2032" s="397"/>
    </row>
    <row r="2033" spans="2:2" x14ac:dyDescent="0.25">
      <c r="B2033" s="397"/>
    </row>
    <row r="2034" spans="2:2" x14ac:dyDescent="0.25">
      <c r="B2034" s="397"/>
    </row>
    <row r="2035" spans="2:2" x14ac:dyDescent="0.25">
      <c r="B2035" s="397"/>
    </row>
    <row r="2036" spans="2:2" x14ac:dyDescent="0.25">
      <c r="B2036" s="397"/>
    </row>
    <row r="2037" spans="2:2" x14ac:dyDescent="0.25">
      <c r="B2037" s="397"/>
    </row>
    <row r="2038" spans="2:2" x14ac:dyDescent="0.25">
      <c r="B2038" s="397"/>
    </row>
    <row r="2039" spans="2:2" x14ac:dyDescent="0.25">
      <c r="B2039" s="397"/>
    </row>
    <row r="2040" spans="2:2" x14ac:dyDescent="0.25">
      <c r="B2040" s="397"/>
    </row>
    <row r="2041" spans="2:2" x14ac:dyDescent="0.25">
      <c r="B2041" s="397"/>
    </row>
    <row r="2042" spans="2:2" x14ac:dyDescent="0.25">
      <c r="B2042" s="397"/>
    </row>
    <row r="2043" spans="2:2" x14ac:dyDescent="0.25">
      <c r="B2043" s="397"/>
    </row>
    <row r="2044" spans="2:2" x14ac:dyDescent="0.25">
      <c r="B2044" s="397"/>
    </row>
    <row r="2045" spans="2:2" x14ac:dyDescent="0.25">
      <c r="B2045" s="397"/>
    </row>
    <row r="2046" spans="2:2" x14ac:dyDescent="0.25">
      <c r="B2046" s="397"/>
    </row>
    <row r="2047" spans="2:2" x14ac:dyDescent="0.25">
      <c r="B2047" s="397"/>
    </row>
    <row r="2048" spans="2:2" x14ac:dyDescent="0.25">
      <c r="B2048" s="397"/>
    </row>
    <row r="2049" spans="2:2" x14ac:dyDescent="0.25">
      <c r="B2049" s="397"/>
    </row>
    <row r="2050" spans="2:2" x14ac:dyDescent="0.25">
      <c r="B2050" s="397"/>
    </row>
    <row r="2051" spans="2:2" x14ac:dyDescent="0.25">
      <c r="B2051" s="397"/>
    </row>
    <row r="2052" spans="2:2" x14ac:dyDescent="0.25">
      <c r="B2052" s="397"/>
    </row>
    <row r="2053" spans="2:2" x14ac:dyDescent="0.25">
      <c r="B2053" s="397"/>
    </row>
    <row r="2054" spans="2:2" x14ac:dyDescent="0.25">
      <c r="B2054" s="397"/>
    </row>
    <row r="2055" spans="2:2" x14ac:dyDescent="0.25">
      <c r="B2055" s="397"/>
    </row>
    <row r="2056" spans="2:2" x14ac:dyDescent="0.25">
      <c r="B2056" s="397"/>
    </row>
    <row r="2057" spans="2:2" x14ac:dyDescent="0.25">
      <c r="B2057" s="397"/>
    </row>
    <row r="2058" spans="2:2" x14ac:dyDescent="0.25">
      <c r="B2058" s="397"/>
    </row>
    <row r="2059" spans="2:2" x14ac:dyDescent="0.25">
      <c r="B2059" s="397"/>
    </row>
    <row r="2060" spans="2:2" x14ac:dyDescent="0.25">
      <c r="B2060" s="397"/>
    </row>
  </sheetData>
  <mergeCells count="302">
    <mergeCell ref="A997:A1002"/>
    <mergeCell ref="B997:B1002"/>
    <mergeCell ref="A1004:A1009"/>
    <mergeCell ref="B1004:B1009"/>
    <mergeCell ref="A1011:A1016"/>
    <mergeCell ref="B1011:B1016"/>
    <mergeCell ref="A1018:A1023"/>
    <mergeCell ref="B1018:B1023"/>
    <mergeCell ref="A962:A967"/>
    <mergeCell ref="B962:B967"/>
    <mergeCell ref="A969:A974"/>
    <mergeCell ref="B969:B974"/>
    <mergeCell ref="A976:A981"/>
    <mergeCell ref="B976:B981"/>
    <mergeCell ref="A983:A988"/>
    <mergeCell ref="B983:B988"/>
    <mergeCell ref="A990:A995"/>
    <mergeCell ref="B990:B995"/>
    <mergeCell ref="A927:A932"/>
    <mergeCell ref="B927:B932"/>
    <mergeCell ref="A934:A939"/>
    <mergeCell ref="B934:B939"/>
    <mergeCell ref="A941:A946"/>
    <mergeCell ref="B941:B946"/>
    <mergeCell ref="A948:A953"/>
    <mergeCell ref="B948:B953"/>
    <mergeCell ref="A955:A960"/>
    <mergeCell ref="B955:B960"/>
    <mergeCell ref="A892:A897"/>
    <mergeCell ref="B892:B897"/>
    <mergeCell ref="A899:A904"/>
    <mergeCell ref="B899:B904"/>
    <mergeCell ref="A906:A911"/>
    <mergeCell ref="B906:B911"/>
    <mergeCell ref="A913:A918"/>
    <mergeCell ref="B913:B918"/>
    <mergeCell ref="A920:A925"/>
    <mergeCell ref="B920:B925"/>
    <mergeCell ref="A857:A862"/>
    <mergeCell ref="B857:B862"/>
    <mergeCell ref="A864:A869"/>
    <mergeCell ref="B864:B869"/>
    <mergeCell ref="A871:A876"/>
    <mergeCell ref="B871:B876"/>
    <mergeCell ref="A878:A883"/>
    <mergeCell ref="B878:B883"/>
    <mergeCell ref="A885:A890"/>
    <mergeCell ref="B885:B890"/>
    <mergeCell ref="A822:A827"/>
    <mergeCell ref="B822:B827"/>
    <mergeCell ref="A829:A834"/>
    <mergeCell ref="B829:B834"/>
    <mergeCell ref="A836:A841"/>
    <mergeCell ref="B836:B841"/>
    <mergeCell ref="A843:A848"/>
    <mergeCell ref="B843:B848"/>
    <mergeCell ref="A850:A855"/>
    <mergeCell ref="B850:B855"/>
    <mergeCell ref="A787:A792"/>
    <mergeCell ref="B787:B792"/>
    <mergeCell ref="A794:A799"/>
    <mergeCell ref="B794:B799"/>
    <mergeCell ref="A801:A806"/>
    <mergeCell ref="B801:B806"/>
    <mergeCell ref="A808:A813"/>
    <mergeCell ref="B808:B813"/>
    <mergeCell ref="A815:A820"/>
    <mergeCell ref="B815:B820"/>
    <mergeCell ref="A752:A757"/>
    <mergeCell ref="B752:B757"/>
    <mergeCell ref="A759:A764"/>
    <mergeCell ref="B759:B764"/>
    <mergeCell ref="A766:A771"/>
    <mergeCell ref="B766:B771"/>
    <mergeCell ref="A773:A778"/>
    <mergeCell ref="B773:B778"/>
    <mergeCell ref="A780:A785"/>
    <mergeCell ref="B780:B785"/>
    <mergeCell ref="A717:A722"/>
    <mergeCell ref="B717:B722"/>
    <mergeCell ref="A724:A729"/>
    <mergeCell ref="B724:B729"/>
    <mergeCell ref="A731:A736"/>
    <mergeCell ref="B731:B736"/>
    <mergeCell ref="A738:A743"/>
    <mergeCell ref="B738:B743"/>
    <mergeCell ref="A745:A750"/>
    <mergeCell ref="B745:B750"/>
    <mergeCell ref="A682:A687"/>
    <mergeCell ref="B682:B687"/>
    <mergeCell ref="A689:A694"/>
    <mergeCell ref="B689:B694"/>
    <mergeCell ref="A696:A701"/>
    <mergeCell ref="B696:B701"/>
    <mergeCell ref="A703:A708"/>
    <mergeCell ref="B703:B708"/>
    <mergeCell ref="A710:A715"/>
    <mergeCell ref="B710:B715"/>
    <mergeCell ref="A647:A652"/>
    <mergeCell ref="B647:B652"/>
    <mergeCell ref="A654:A659"/>
    <mergeCell ref="B654:B659"/>
    <mergeCell ref="A661:A666"/>
    <mergeCell ref="B661:B666"/>
    <mergeCell ref="A668:A673"/>
    <mergeCell ref="B668:B673"/>
    <mergeCell ref="A675:A680"/>
    <mergeCell ref="B675:B680"/>
    <mergeCell ref="A612:A617"/>
    <mergeCell ref="B612:B617"/>
    <mergeCell ref="A619:A624"/>
    <mergeCell ref="B619:B624"/>
    <mergeCell ref="A626:A631"/>
    <mergeCell ref="B626:B631"/>
    <mergeCell ref="A633:A638"/>
    <mergeCell ref="B633:B638"/>
    <mergeCell ref="A640:A645"/>
    <mergeCell ref="B640:B645"/>
    <mergeCell ref="A577:A582"/>
    <mergeCell ref="B577:B582"/>
    <mergeCell ref="A584:A589"/>
    <mergeCell ref="B584:B589"/>
    <mergeCell ref="A591:A596"/>
    <mergeCell ref="B591:B596"/>
    <mergeCell ref="A598:A603"/>
    <mergeCell ref="B598:B603"/>
    <mergeCell ref="A605:A610"/>
    <mergeCell ref="B605:B610"/>
    <mergeCell ref="A563:A568"/>
    <mergeCell ref="B563:B568"/>
    <mergeCell ref="A570:A575"/>
    <mergeCell ref="B570:B575"/>
    <mergeCell ref="A556:A561"/>
    <mergeCell ref="B556:B561"/>
    <mergeCell ref="J14:J15"/>
    <mergeCell ref="K14:K15"/>
    <mergeCell ref="M14:M15"/>
    <mergeCell ref="A31:A36"/>
    <mergeCell ref="B31:B36"/>
    <mergeCell ref="A38:A43"/>
    <mergeCell ref="B38:B43"/>
    <mergeCell ref="A45:A50"/>
    <mergeCell ref="B45:B50"/>
    <mergeCell ref="A17:A22"/>
    <mergeCell ref="B17:B22"/>
    <mergeCell ref="A24:A29"/>
    <mergeCell ref="B24:B29"/>
    <mergeCell ref="A73:A78"/>
    <mergeCell ref="B73:B78"/>
    <mergeCell ref="A80:A85"/>
    <mergeCell ref="B80:B85"/>
    <mergeCell ref="A87:A92"/>
    <mergeCell ref="N14:N15"/>
    <mergeCell ref="I14:I15"/>
    <mergeCell ref="B14:B15"/>
    <mergeCell ref="A14:A15"/>
    <mergeCell ref="C14:C15"/>
    <mergeCell ref="D14:D15"/>
    <mergeCell ref="E14:E15"/>
    <mergeCell ref="F14:F15"/>
    <mergeCell ref="G14:G15"/>
    <mergeCell ref="H14:H15"/>
    <mergeCell ref="B87:B92"/>
    <mergeCell ref="A52:A57"/>
    <mergeCell ref="B52:B57"/>
    <mergeCell ref="A59:A64"/>
    <mergeCell ref="B59:B64"/>
    <mergeCell ref="A66:A71"/>
    <mergeCell ref="B66:B71"/>
    <mergeCell ref="A115:A120"/>
    <mergeCell ref="B115:B120"/>
    <mergeCell ref="A122:A127"/>
    <mergeCell ref="B122:B127"/>
    <mergeCell ref="A129:A134"/>
    <mergeCell ref="B129:B134"/>
    <mergeCell ref="A94:A99"/>
    <mergeCell ref="B94:B99"/>
    <mergeCell ref="A101:A106"/>
    <mergeCell ref="B101:B106"/>
    <mergeCell ref="A108:A113"/>
    <mergeCell ref="B108:B113"/>
    <mergeCell ref="A157:A162"/>
    <mergeCell ref="B157:B162"/>
    <mergeCell ref="A164:A169"/>
    <mergeCell ref="B164:B169"/>
    <mergeCell ref="A171:A176"/>
    <mergeCell ref="B171:B176"/>
    <mergeCell ref="A136:A141"/>
    <mergeCell ref="B136:B141"/>
    <mergeCell ref="A143:A148"/>
    <mergeCell ref="B143:B148"/>
    <mergeCell ref="A150:A155"/>
    <mergeCell ref="B150:B155"/>
    <mergeCell ref="A199:A204"/>
    <mergeCell ref="B199:B204"/>
    <mergeCell ref="A206:A211"/>
    <mergeCell ref="B206:B211"/>
    <mergeCell ref="A213:A218"/>
    <mergeCell ref="B213:B218"/>
    <mergeCell ref="A178:A183"/>
    <mergeCell ref="B178:B183"/>
    <mergeCell ref="A185:A190"/>
    <mergeCell ref="B185:B190"/>
    <mergeCell ref="A192:A197"/>
    <mergeCell ref="B192:B197"/>
    <mergeCell ref="A241:A246"/>
    <mergeCell ref="B241:B246"/>
    <mergeCell ref="A248:A253"/>
    <mergeCell ref="B248:B253"/>
    <mergeCell ref="A255:A260"/>
    <mergeCell ref="B255:B260"/>
    <mergeCell ref="A220:A225"/>
    <mergeCell ref="B220:B225"/>
    <mergeCell ref="A227:A232"/>
    <mergeCell ref="B227:B232"/>
    <mergeCell ref="A234:A239"/>
    <mergeCell ref="B234:B239"/>
    <mergeCell ref="A283:A288"/>
    <mergeCell ref="B283:B288"/>
    <mergeCell ref="A290:A295"/>
    <mergeCell ref="B290:B295"/>
    <mergeCell ref="A297:A302"/>
    <mergeCell ref="B297:B302"/>
    <mergeCell ref="A262:A267"/>
    <mergeCell ref="B262:B267"/>
    <mergeCell ref="A269:A274"/>
    <mergeCell ref="B269:B274"/>
    <mergeCell ref="A276:A281"/>
    <mergeCell ref="B276:B281"/>
    <mergeCell ref="A325:A330"/>
    <mergeCell ref="B325:B330"/>
    <mergeCell ref="A332:A337"/>
    <mergeCell ref="B332:B337"/>
    <mergeCell ref="A339:A344"/>
    <mergeCell ref="B339:B344"/>
    <mergeCell ref="A304:A309"/>
    <mergeCell ref="B304:B309"/>
    <mergeCell ref="A311:A316"/>
    <mergeCell ref="B311:B316"/>
    <mergeCell ref="A318:A323"/>
    <mergeCell ref="B318:B323"/>
    <mergeCell ref="A367:A372"/>
    <mergeCell ref="B367:B372"/>
    <mergeCell ref="A374:A379"/>
    <mergeCell ref="B374:B379"/>
    <mergeCell ref="A381:A386"/>
    <mergeCell ref="B381:B386"/>
    <mergeCell ref="A346:A351"/>
    <mergeCell ref="B346:B351"/>
    <mergeCell ref="A353:A358"/>
    <mergeCell ref="B353:B358"/>
    <mergeCell ref="A360:A365"/>
    <mergeCell ref="B360:B365"/>
    <mergeCell ref="A409:A414"/>
    <mergeCell ref="B409:B414"/>
    <mergeCell ref="A416:A421"/>
    <mergeCell ref="B416:B421"/>
    <mergeCell ref="A423:A428"/>
    <mergeCell ref="B423:B428"/>
    <mergeCell ref="A388:A393"/>
    <mergeCell ref="B388:B393"/>
    <mergeCell ref="A395:A400"/>
    <mergeCell ref="B395:B400"/>
    <mergeCell ref="A402:A407"/>
    <mergeCell ref="B402:B407"/>
    <mergeCell ref="B486:B491"/>
    <mergeCell ref="A451:A456"/>
    <mergeCell ref="B451:B456"/>
    <mergeCell ref="A458:A463"/>
    <mergeCell ref="B458:B463"/>
    <mergeCell ref="A465:A470"/>
    <mergeCell ref="B465:B470"/>
    <mergeCell ref="A430:A435"/>
    <mergeCell ref="B430:B435"/>
    <mergeCell ref="A437:A442"/>
    <mergeCell ref="B437:B442"/>
    <mergeCell ref="A444:A449"/>
    <mergeCell ref="B444:B449"/>
    <mergeCell ref="O14:O15"/>
    <mergeCell ref="A549:A554"/>
    <mergeCell ref="B549:B554"/>
    <mergeCell ref="A535:A540"/>
    <mergeCell ref="B535:B540"/>
    <mergeCell ref="A542:A547"/>
    <mergeCell ref="B542:B547"/>
    <mergeCell ref="A514:A519"/>
    <mergeCell ref="B514:B519"/>
    <mergeCell ref="A521:A526"/>
    <mergeCell ref="B521:B526"/>
    <mergeCell ref="A528:A533"/>
    <mergeCell ref="B528:B533"/>
    <mergeCell ref="A493:A498"/>
    <mergeCell ref="B493:B498"/>
    <mergeCell ref="A500:A505"/>
    <mergeCell ref="B500:B505"/>
    <mergeCell ref="A507:A512"/>
    <mergeCell ref="B507:B512"/>
    <mergeCell ref="A472:A477"/>
    <mergeCell ref="B472:B477"/>
    <mergeCell ref="A479:A484"/>
    <mergeCell ref="B479:B484"/>
    <mergeCell ref="A486:A491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I186"/>
  <sheetViews>
    <sheetView zoomScale="87" zoomScaleNormal="87" workbookViewId="0">
      <pane xSplit="7" ySplit="11" topLeftCell="AE96" activePane="bottomRight" state="frozen"/>
      <selection pane="topRight" activeCell="D1" sqref="D1"/>
      <selection pane="bottomLeft" activeCell="A11" sqref="A11"/>
      <selection pane="bottomRight" activeCell="AV118" sqref="AV118"/>
    </sheetView>
  </sheetViews>
  <sheetFormatPr defaultColWidth="9.33203125" defaultRowHeight="15.75" x14ac:dyDescent="0.25"/>
  <cols>
    <col min="1" max="1" width="11.6640625" style="27" customWidth="1"/>
    <col min="2" max="2" width="6.83203125" style="27" customWidth="1"/>
    <col min="3" max="3" width="10.83203125" style="27" customWidth="1"/>
    <col min="4" max="6" width="11" style="27" customWidth="1"/>
    <col min="7" max="7" width="9.83203125" style="27" customWidth="1"/>
    <col min="8" max="8" width="12.1640625" style="27" bestFit="1" customWidth="1"/>
    <col min="9" max="18" width="6.83203125" style="27" customWidth="1"/>
    <col min="19" max="19" width="8.83203125" style="27" bestFit="1" customWidth="1"/>
    <col min="20" max="24" width="6.83203125" style="27" customWidth="1"/>
    <col min="25" max="26" width="8.83203125" style="27" customWidth="1"/>
    <col min="27" max="33" width="8.6640625" style="27" customWidth="1"/>
    <col min="34" max="41" width="9" style="27" customWidth="1"/>
    <col min="42" max="42" width="8.5" style="27" customWidth="1"/>
    <col min="43" max="44" width="7.83203125" style="27" customWidth="1"/>
    <col min="45" max="45" width="13.83203125" style="27" customWidth="1"/>
    <col min="46" max="47" width="11.33203125" style="27" customWidth="1"/>
    <col min="48" max="48" width="10.83203125" style="27" customWidth="1"/>
    <col min="49" max="49" width="15.1640625" style="27" bestFit="1" customWidth="1"/>
    <col min="50" max="50" width="3.1640625" style="27" customWidth="1"/>
    <col min="51" max="51" width="11.83203125" style="27" bestFit="1" customWidth="1"/>
    <col min="52" max="52" width="10.1640625" style="27" customWidth="1"/>
    <col min="53" max="53" width="10.5" style="27" bestFit="1" customWidth="1"/>
    <col min="54" max="54" width="10.5" style="27" customWidth="1"/>
    <col min="55" max="55" width="10.5" style="27" bestFit="1" customWidth="1"/>
    <col min="56" max="56" width="10.83203125" style="27" customWidth="1"/>
    <col min="57" max="57" width="10.5" style="27" bestFit="1" customWidth="1"/>
    <col min="58" max="58" width="10.6640625" style="27" customWidth="1"/>
    <col min="59" max="62" width="10.5" style="27" bestFit="1" customWidth="1"/>
    <col min="63" max="63" width="10.1640625" style="27" bestFit="1" customWidth="1"/>
    <col min="64" max="65" width="10.1640625" style="27" customWidth="1"/>
    <col min="66" max="66" width="9.33203125" style="27"/>
    <col min="67" max="67" width="3.1640625" style="27" customWidth="1"/>
    <col min="68" max="68" width="12.33203125" style="27" customWidth="1"/>
    <col min="69" max="69" width="10.6640625" style="27" customWidth="1"/>
    <col min="70" max="70" width="10.5" style="27" bestFit="1" customWidth="1"/>
    <col min="71" max="71" width="10.83203125" style="27" customWidth="1"/>
    <col min="72" max="72" width="10.5" style="27" bestFit="1" customWidth="1"/>
    <col min="73" max="73" width="10.6640625" style="27" customWidth="1"/>
    <col min="74" max="74" width="10.5" style="27" bestFit="1" customWidth="1"/>
    <col min="75" max="75" width="10.6640625" style="27" customWidth="1"/>
    <col min="76" max="80" width="10.5" style="27" bestFit="1" customWidth="1"/>
    <col min="81" max="81" width="11" style="27" bestFit="1" customWidth="1"/>
    <col min="82" max="83" width="10.5" style="27" bestFit="1" customWidth="1"/>
    <col min="84" max="84" width="9.33203125" style="27"/>
    <col min="85" max="85" width="10.83203125" style="27" bestFit="1" customWidth="1"/>
    <col min="86" max="86" width="11.83203125" style="27" customWidth="1"/>
    <col min="87" max="87" width="10.33203125" style="27" bestFit="1" customWidth="1"/>
    <col min="88" max="88" width="10.1640625" style="27" customWidth="1"/>
    <col min="89" max="89" width="10.33203125" style="27" bestFit="1" customWidth="1"/>
    <col min="90" max="90" width="10.83203125" style="27" customWidth="1"/>
    <col min="91" max="91" width="10.33203125" style="27" bestFit="1" customWidth="1"/>
    <col min="92" max="92" width="10.5" style="27" customWidth="1"/>
    <col min="93" max="98" width="10.33203125" style="27" bestFit="1" customWidth="1"/>
    <col min="99" max="100" width="10.83203125" style="27" bestFit="1" customWidth="1"/>
    <col min="101" max="101" width="3.5" style="27" customWidth="1"/>
    <col min="102" max="102" width="9.5" style="27" bestFit="1" customWidth="1"/>
    <col min="103" max="103" width="3.1640625" style="27" customWidth="1"/>
    <col min="104" max="104" width="10.33203125" style="27" bestFit="1" customWidth="1"/>
    <col min="105" max="105" width="10.83203125" style="27" customWidth="1"/>
    <col min="106" max="106" width="10.33203125" style="27" bestFit="1" customWidth="1"/>
    <col min="107" max="107" width="11.33203125" style="27" customWidth="1"/>
    <col min="108" max="108" width="10.33203125" style="27" bestFit="1" customWidth="1"/>
    <col min="109" max="109" width="11.83203125" style="27" customWidth="1"/>
    <col min="110" max="110" width="11.5" style="27" customWidth="1"/>
    <col min="111" max="111" width="12.1640625" style="27" customWidth="1"/>
    <col min="112" max="119" width="10.33203125" style="27" bestFit="1" customWidth="1"/>
    <col min="120" max="120" width="9.33203125" style="27"/>
    <col min="121" max="139" width="11.83203125" style="27" customWidth="1"/>
    <col min="140" max="16384" width="9.33203125" style="27"/>
  </cols>
  <sheetData>
    <row r="1" spans="1:139" ht="13.9" customHeight="1" x14ac:dyDescent="0.25">
      <c r="D1" s="139"/>
      <c r="E1" s="139"/>
      <c r="F1" s="139"/>
      <c r="G1" s="20"/>
      <c r="H1" s="20"/>
      <c r="I1" s="20"/>
      <c r="J1" s="20"/>
      <c r="K1" s="20"/>
      <c r="L1" s="20"/>
      <c r="M1" s="20"/>
      <c r="N1" s="20"/>
      <c r="O1" s="20"/>
      <c r="P1" s="20"/>
      <c r="CX1" s="129" t="s">
        <v>173</v>
      </c>
      <c r="CY1" s="129"/>
      <c r="CZ1" s="129"/>
      <c r="DA1" s="129"/>
      <c r="DH1" s="140">
        <v>108</v>
      </c>
      <c r="DI1" s="140">
        <v>121</v>
      </c>
    </row>
    <row r="2" spans="1:139" ht="13.9" customHeight="1" x14ac:dyDescent="0.25">
      <c r="A2" s="312"/>
      <c r="D2" s="45"/>
      <c r="E2" s="45"/>
      <c r="F2" s="45"/>
      <c r="G2" s="50"/>
      <c r="H2" s="20"/>
      <c r="I2" s="20"/>
      <c r="J2" s="20"/>
      <c r="K2" s="20"/>
      <c r="L2" s="20"/>
      <c r="M2" s="20"/>
      <c r="N2" s="20"/>
      <c r="O2" s="20"/>
      <c r="P2" s="20"/>
      <c r="DQ2" s="27" t="s">
        <v>177</v>
      </c>
      <c r="DS2" s="99" t="e">
        <f>#REF!+#REF!+#REF!+#REF!</f>
        <v>#REF!</v>
      </c>
      <c r="DT2" s="99" t="e">
        <f>#REF!+#REF!+#REF!+#REF!</f>
        <v>#REF!</v>
      </c>
      <c r="DU2" s="99" t="e">
        <f>#REF!+#REF!+#REF!+#REF!</f>
        <v>#REF!</v>
      </c>
      <c r="DV2" s="99" t="e">
        <f>#REF!+#REF!+#REF!+#REF!</f>
        <v>#REF!</v>
      </c>
      <c r="DW2" s="99" t="e">
        <f>#REF!+#REF!+#REF!+#REF!</f>
        <v>#REF!</v>
      </c>
      <c r="DX2" s="99" t="e">
        <f>#REF!+#REF!+#REF!+#REF!</f>
        <v>#REF!</v>
      </c>
      <c r="DY2" s="99" t="e">
        <f>#REF!+#REF!+#REF!+#REF!</f>
        <v>#REF!</v>
      </c>
      <c r="DZ2" s="99" t="e">
        <f>#REF!+#REF!+#REF!+#REF!</f>
        <v>#REF!</v>
      </c>
      <c r="EA2" s="99" t="e">
        <f>#REF!+#REF!+#REF!+#REF!</f>
        <v>#REF!</v>
      </c>
      <c r="EB2" s="99" t="e">
        <f>#REF!+#REF!+#REF!+#REF!</f>
        <v>#REF!</v>
      </c>
      <c r="EC2" s="99" t="e">
        <f>#REF!+#REF!+#REF!+#REF!</f>
        <v>#REF!</v>
      </c>
      <c r="ED2" s="99" t="e">
        <f>#REF!+#REF!+#REF!+#REF!</f>
        <v>#REF!</v>
      </c>
      <c r="EE2" s="99" t="e">
        <f>#REF!+#REF!+#REF!+#REF!</f>
        <v>#REF!</v>
      </c>
    </row>
    <row r="3" spans="1:139" x14ac:dyDescent="0.25">
      <c r="A3" s="312"/>
      <c r="H3" s="25" t="e">
        <f>#REF!+H36+H45+H54+H63+H72+H81+H90+H99</f>
        <v>#REF!</v>
      </c>
      <c r="I3" s="25" t="e">
        <f>#REF!+I36+I45+I54+I63+I72+I81+I90+I99</f>
        <v>#REF!</v>
      </c>
      <c r="J3" s="25" t="e">
        <f>#REF!+J36+J45+J54+J63+J72+J81+J90+J99</f>
        <v>#REF!</v>
      </c>
      <c r="K3" s="25" t="e">
        <f>#REF!+K36+K45+K54+K63+K72+K81+K90+K99</f>
        <v>#REF!</v>
      </c>
      <c r="L3" s="25" t="e">
        <f>#REF!+L36+L45+L54+L63+L72+L81+L90+L99</f>
        <v>#REF!</v>
      </c>
      <c r="M3" s="25" t="e">
        <f>#REF!+M36+M45+M54+M63+M72+M81+M90+M99</f>
        <v>#REF!</v>
      </c>
      <c r="N3" s="25" t="e">
        <f>#REF!+N36+N45+N54+N63+N72+N81+N90+N99</f>
        <v>#REF!</v>
      </c>
      <c r="O3" s="25" t="e">
        <f>#REF!+O36+O45+O54+O63+O72+O81+O90+O99</f>
        <v>#REF!</v>
      </c>
      <c r="P3" s="25" t="e">
        <f>#REF!+P36+P45+P54+P63+P72+P81+P90+P99</f>
        <v>#REF!</v>
      </c>
      <c r="Q3" s="25" t="e">
        <f>#REF!+Q36+Q45+Q54+Q63+Q72+Q81+Q90+Q99</f>
        <v>#REF!</v>
      </c>
      <c r="R3" s="25" t="e">
        <f>#REF!+R36+R45+R54+R63+R72+R81+R90+R99</f>
        <v>#REF!</v>
      </c>
      <c r="S3" s="25" t="e">
        <f>#REF!+S36+S45+S54+S63+S72+S81+S90+S99</f>
        <v>#REF!</v>
      </c>
      <c r="T3" s="25" t="e">
        <f>#REF!+T36+T45+T54+T63+T72+T81+T90+T99</f>
        <v>#REF!</v>
      </c>
      <c r="U3" s="25" t="e">
        <f>#REF!+U36+U45+U54+U63+U72+U81+U90+U99</f>
        <v>#REF!</v>
      </c>
      <c r="V3" s="25" t="e">
        <f>#REF!+V36+V45+V54+V63+V72+V81+V90+V99</f>
        <v>#REF!</v>
      </c>
      <c r="W3" s="25" t="e">
        <f>#REF!+W36+W45+W54+W63+W72+W81+W90+W99</f>
        <v>#REF!</v>
      </c>
      <c r="X3" s="25" t="e">
        <f>#REF!+X36+X45+X54+X63+X72+X81+X90+X99</f>
        <v>#REF!</v>
      </c>
      <c r="Y3" s="25" t="e">
        <f>#REF!+Y36+Y45+Y54+Y63+Y72+Y81+Y90+Y99</f>
        <v>#REF!</v>
      </c>
      <c r="Z3" s="25" t="e">
        <f>#REF!+Z36+Z45+Z54+Z63+Z72+Z81+Z90+Z99</f>
        <v>#REF!</v>
      </c>
      <c r="AA3" s="25" t="e">
        <f>#REF!+AA36+AA45+AA54+AA63+AA72+AA81+AA90+AA99</f>
        <v>#REF!</v>
      </c>
      <c r="AB3" s="25"/>
      <c r="AC3" s="25"/>
      <c r="AD3" s="25"/>
      <c r="AE3" s="25"/>
      <c r="AF3" s="25"/>
      <c r="AG3" s="25"/>
      <c r="AH3" s="25" t="e">
        <f>#REF!+AH36+AH45+AH54+AH63+AH72+AH81+AH90+AH99</f>
        <v>#REF!</v>
      </c>
      <c r="AI3" s="25"/>
      <c r="AJ3" s="25"/>
      <c r="AK3" s="25"/>
      <c r="AL3" s="25"/>
      <c r="AM3" s="25"/>
      <c r="AN3" s="25"/>
      <c r="AO3" s="25"/>
      <c r="AV3" s="126"/>
      <c r="CG3" s="25"/>
      <c r="CH3" s="25"/>
      <c r="CI3" s="25"/>
      <c r="CJ3" s="25"/>
      <c r="CK3" s="25"/>
      <c r="CL3" s="25"/>
      <c r="CM3" s="25"/>
      <c r="CN3" s="25"/>
      <c r="CO3" s="25"/>
      <c r="CP3" s="25"/>
      <c r="CQ3" s="25"/>
      <c r="CR3" s="25"/>
      <c r="CS3" s="25"/>
      <c r="CT3" s="25"/>
      <c r="CU3" s="25"/>
      <c r="CV3" s="25"/>
      <c r="CZ3" s="249" t="e">
        <f>#REF!+CZ72+CZ81+CZ90+CZ99+#REF!+#REF!+#REF!+#REF!+#REF!</f>
        <v>#REF!</v>
      </c>
      <c r="DA3" s="249" t="e">
        <f>#REF!+DA72+DA81+DA90+DA99+#REF!+#REF!+#REF!+#REF!+#REF!</f>
        <v>#REF!</v>
      </c>
      <c r="DB3" s="249" t="e">
        <f>#REF!+DB72+DB81+DB90+DB99+#REF!+#REF!+#REF!+#REF!+#REF!</f>
        <v>#REF!</v>
      </c>
      <c r="DC3" s="249" t="e">
        <f>#REF!+DC72+DC81+DC90+DC99+#REF!+#REF!+#REF!+#REF!+#REF!</f>
        <v>#REF!</v>
      </c>
      <c r="DD3" s="249" t="e">
        <f>#REF!+DD72+DD81+DD90+DD99+#REF!+#REF!+#REF!+#REF!+#REF!</f>
        <v>#REF!</v>
      </c>
      <c r="DE3" s="249" t="e">
        <f>#REF!+DE72+DE81+DE90+DE99+#REF!+#REF!+#REF!+#REF!+#REF!</f>
        <v>#REF!</v>
      </c>
      <c r="DF3" s="249" t="e">
        <f>#REF!+DF72+DF81+DF90+DF99+#REF!+#REF!+#REF!+#REF!+#REF!</f>
        <v>#REF!</v>
      </c>
      <c r="DG3" s="249" t="e">
        <f>#REF!+DG72+DG81+DG90+DG99+#REF!+#REF!+#REF!+#REF!+#REF!</f>
        <v>#REF!</v>
      </c>
      <c r="DH3" s="249" t="e">
        <f>#REF!+DH72+DH81+DH90+DH99+#REF!+#REF!+#REF!+#REF!+#REF!</f>
        <v>#REF!</v>
      </c>
      <c r="DI3" s="249" t="e">
        <f>#REF!+DI72+DI81+DI90+DI99+#REF!+#REF!+#REF!+#REF!+#REF!</f>
        <v>#REF!</v>
      </c>
      <c r="DJ3" s="249" t="e">
        <f>#REF!+DJ72+DJ81+DJ90+DJ99+#REF!+#REF!+#REF!+#REF!+#REF!</f>
        <v>#REF!</v>
      </c>
      <c r="DK3" s="249" t="e">
        <f>#REF!+DK72+DK81+DK90+DK99+#REF!+#REF!+#REF!+#REF!+#REF!</f>
        <v>#REF!</v>
      </c>
      <c r="DL3" s="249"/>
      <c r="DM3" s="249"/>
      <c r="DN3" s="249"/>
      <c r="DO3" s="249"/>
      <c r="DQ3" s="24" t="s">
        <v>171</v>
      </c>
      <c r="DS3" s="99" t="e">
        <f>#REF!+#REF!+#REF!+#REF!</f>
        <v>#REF!</v>
      </c>
      <c r="DT3" s="99" t="e">
        <f>#REF!+#REF!+#REF!+#REF!</f>
        <v>#REF!</v>
      </c>
      <c r="DU3" s="99" t="e">
        <f>#REF!+#REF!+#REF!+#REF!</f>
        <v>#REF!</v>
      </c>
      <c r="DV3" s="99" t="e">
        <f>#REF!+#REF!+#REF!+#REF!</f>
        <v>#REF!</v>
      </c>
      <c r="DW3" s="99" t="e">
        <f>#REF!+#REF!+#REF!+#REF!</f>
        <v>#REF!</v>
      </c>
      <c r="DX3" s="99" t="e">
        <f>#REF!+#REF!+#REF!+#REF!</f>
        <v>#REF!</v>
      </c>
      <c r="DY3" s="99" t="e">
        <f>#REF!+#REF!+#REF!+#REF!</f>
        <v>#REF!</v>
      </c>
      <c r="DZ3" s="99" t="e">
        <f>#REF!+#REF!+#REF!+#REF!</f>
        <v>#REF!</v>
      </c>
      <c r="EA3" s="99" t="e">
        <f>#REF!+#REF!+#REF!+#REF!</f>
        <v>#REF!</v>
      </c>
      <c r="EB3" s="99" t="e">
        <f>#REF!+#REF!+#REF!+#REF!</f>
        <v>#REF!</v>
      </c>
      <c r="EC3" s="99" t="e">
        <f>#REF!+#REF!+#REF!+#REF!</f>
        <v>#REF!</v>
      </c>
      <c r="ED3" s="99" t="e">
        <f>#REF!+#REF!+#REF!+#REF!</f>
        <v>#REF!</v>
      </c>
      <c r="EE3" s="99" t="e">
        <f>#REF!+#REF!+#REF!+#REF!</f>
        <v>#REF!</v>
      </c>
    </row>
    <row r="4" spans="1:139" ht="16.5" thickBot="1" x14ac:dyDescent="0.3">
      <c r="A4" s="312"/>
      <c r="H4" s="77"/>
      <c r="I4" s="77"/>
      <c r="J4" s="77"/>
      <c r="K4" s="141"/>
      <c r="Q4" s="24"/>
      <c r="R4" s="27" t="s">
        <v>177</v>
      </c>
      <c r="S4" s="99" t="e">
        <f>#REF!+S36</f>
        <v>#REF!</v>
      </c>
      <c r="T4" s="99" t="e">
        <f>#REF!+T36</f>
        <v>#REF!</v>
      </c>
      <c r="U4" s="99" t="e">
        <f>#REF!+U36</f>
        <v>#REF!</v>
      </c>
      <c r="V4" s="99" t="e">
        <f>#REF!+V36</f>
        <v>#REF!</v>
      </c>
      <c r="W4" s="99" t="e">
        <f>#REF!+W36</f>
        <v>#REF!</v>
      </c>
      <c r="X4" s="99" t="e">
        <f>#REF!+X36</f>
        <v>#REF!</v>
      </c>
      <c r="Y4" s="99"/>
      <c r="Z4" s="99"/>
      <c r="AA4" s="99"/>
      <c r="AB4" s="99"/>
      <c r="AC4" s="99"/>
      <c r="AD4" s="99"/>
      <c r="AE4" s="99"/>
      <c r="AF4" s="99"/>
      <c r="AG4" s="99"/>
      <c r="AH4" s="99"/>
      <c r="AI4" s="99"/>
      <c r="AJ4" s="99"/>
      <c r="AK4" s="99"/>
      <c r="AL4" s="99"/>
      <c r="AM4" s="99"/>
      <c r="AN4" s="99"/>
      <c r="AO4" s="99"/>
      <c r="AP4" s="142"/>
      <c r="AQ4" s="142"/>
      <c r="AU4" s="27">
        <f>6500/286170</f>
        <v>2.2713771534402627E-2</v>
      </c>
      <c r="DQ4" s="128" t="s">
        <v>172</v>
      </c>
      <c r="DR4" s="172"/>
      <c r="DS4" s="111" t="e">
        <f>#REF!+#REF!+#REF!+#REF!+#REF!</f>
        <v>#REF!</v>
      </c>
      <c r="DT4" s="111" t="e">
        <f>#REF!+#REF!+#REF!+#REF!+#REF!</f>
        <v>#REF!</v>
      </c>
      <c r="DU4" s="111" t="e">
        <f>#REF!+#REF!+#REF!+#REF!+#REF!</f>
        <v>#REF!</v>
      </c>
      <c r="DV4" s="111" t="e">
        <f>#REF!+#REF!+#REF!+#REF!+#REF!</f>
        <v>#REF!</v>
      </c>
      <c r="DW4" s="111" t="e">
        <f>#REF!+#REF!+#REF!+#REF!+#REF!</f>
        <v>#REF!</v>
      </c>
      <c r="DX4" s="111" t="e">
        <f>#REF!+#REF!+#REF!+#REF!+#REF!</f>
        <v>#REF!</v>
      </c>
      <c r="DY4" s="111" t="e">
        <f>#REF!+#REF!+#REF!+#REF!+#REF!</f>
        <v>#REF!</v>
      </c>
      <c r="DZ4" s="111" t="e">
        <f>#REF!+#REF!+#REF!+#REF!+#REF!</f>
        <v>#REF!</v>
      </c>
      <c r="EA4" s="111" t="e">
        <f>#REF!+#REF!+#REF!+#REF!+#REF!</f>
        <v>#REF!</v>
      </c>
      <c r="EB4" s="111" t="e">
        <f>#REF!+#REF!+#REF!+#REF!+#REF!</f>
        <v>#REF!</v>
      </c>
      <c r="EC4" s="111" t="e">
        <f>#REF!+#REF!+#REF!+#REF!+#REF!</f>
        <v>#REF!</v>
      </c>
      <c r="ED4" s="111" t="e">
        <f>#REF!+#REF!+#REF!+#REF!+#REF!</f>
        <v>#REF!</v>
      </c>
      <c r="EE4" s="111" t="e">
        <f>#REF!+#REF!+#REF!+#REF!+#REF!</f>
        <v>#REF!</v>
      </c>
    </row>
    <row r="5" spans="1:139" ht="16.5" thickTop="1" x14ac:dyDescent="0.25">
      <c r="A5" s="176">
        <f>COUNT(A18:A35)</f>
        <v>15</v>
      </c>
      <c r="R5" s="27" t="s">
        <v>171</v>
      </c>
      <c r="S5" s="27">
        <f>S45+S54+S63+S72</f>
        <v>74</v>
      </c>
      <c r="T5" s="27">
        <f t="shared" ref="T5:X5" si="0">T45+T54+T63+T72</f>
        <v>20</v>
      </c>
      <c r="U5" s="27">
        <f t="shared" si="0"/>
        <v>54</v>
      </c>
      <c r="V5" s="27">
        <f t="shared" si="0"/>
        <v>10</v>
      </c>
      <c r="W5" s="27">
        <f t="shared" si="0"/>
        <v>1</v>
      </c>
      <c r="X5" s="27">
        <f t="shared" si="0"/>
        <v>9</v>
      </c>
      <c r="Y5" s="99"/>
      <c r="Z5" s="99"/>
      <c r="AA5" s="99"/>
      <c r="AB5" s="99"/>
      <c r="AC5" s="99"/>
      <c r="AD5" s="99"/>
      <c r="AE5" s="99"/>
      <c r="AF5" s="99"/>
      <c r="AG5" s="99"/>
      <c r="AH5" s="99"/>
      <c r="AI5" s="99"/>
      <c r="AJ5" s="99"/>
      <c r="AK5" s="99"/>
      <c r="AL5" s="99"/>
      <c r="AM5" s="99"/>
      <c r="AN5" s="99"/>
      <c r="AO5" s="99"/>
      <c r="AP5" s="142"/>
      <c r="AQ5" s="142"/>
      <c r="AU5" s="27">
        <f>3547/286170</f>
        <v>1.2394730405004018E-2</v>
      </c>
      <c r="DS5" s="142" t="e">
        <f t="shared" ref="DS5:EE5" si="1">DS4+DS3</f>
        <v>#REF!</v>
      </c>
      <c r="DT5" s="142" t="e">
        <f t="shared" si="1"/>
        <v>#REF!</v>
      </c>
      <c r="DU5" s="142" t="e">
        <f t="shared" si="1"/>
        <v>#REF!</v>
      </c>
      <c r="DV5" s="142" t="e">
        <f t="shared" si="1"/>
        <v>#REF!</v>
      </c>
      <c r="DW5" s="142" t="e">
        <f t="shared" si="1"/>
        <v>#REF!</v>
      </c>
      <c r="DX5" s="142" t="e">
        <f t="shared" si="1"/>
        <v>#REF!</v>
      </c>
      <c r="DY5" s="142" t="e">
        <f t="shared" si="1"/>
        <v>#REF!</v>
      </c>
      <c r="DZ5" s="142" t="e">
        <f t="shared" si="1"/>
        <v>#REF!</v>
      </c>
      <c r="EA5" s="142" t="e">
        <f t="shared" si="1"/>
        <v>#REF!</v>
      </c>
      <c r="EB5" s="142" t="e">
        <f t="shared" si="1"/>
        <v>#REF!</v>
      </c>
      <c r="EC5" s="142" t="e">
        <f t="shared" si="1"/>
        <v>#REF!</v>
      </c>
      <c r="ED5" s="142" t="e">
        <f t="shared" si="1"/>
        <v>#REF!</v>
      </c>
      <c r="EE5" s="142" t="e">
        <f t="shared" si="1"/>
        <v>#REF!</v>
      </c>
    </row>
    <row r="6" spans="1:139" x14ac:dyDescent="0.25">
      <c r="L6" s="303" t="s">
        <v>193</v>
      </c>
      <c r="R6" s="27" t="s">
        <v>172</v>
      </c>
      <c r="S6" s="99">
        <f t="shared" ref="S6:X6" si="2">S81+S90+S99</f>
        <v>78</v>
      </c>
      <c r="T6" s="99">
        <f t="shared" si="2"/>
        <v>18</v>
      </c>
      <c r="U6" s="99">
        <f t="shared" si="2"/>
        <v>60</v>
      </c>
      <c r="V6" s="99">
        <f t="shared" si="2"/>
        <v>10</v>
      </c>
      <c r="W6" s="99">
        <f t="shared" si="2"/>
        <v>1</v>
      </c>
      <c r="X6" s="99">
        <f t="shared" si="2"/>
        <v>9</v>
      </c>
      <c r="Y6" s="142"/>
      <c r="Z6" s="142"/>
      <c r="AA6" s="142"/>
      <c r="AB6" s="142"/>
      <c r="AC6" s="142"/>
      <c r="AD6" s="142"/>
      <c r="AE6" s="142"/>
      <c r="AF6" s="142"/>
      <c r="AG6" s="142"/>
      <c r="AH6" s="142"/>
      <c r="AI6" s="142"/>
      <c r="AJ6" s="142"/>
      <c r="AK6" s="142"/>
      <c r="AL6" s="142"/>
      <c r="AM6" s="142"/>
      <c r="AN6" s="142"/>
      <c r="AO6" s="142"/>
    </row>
    <row r="7" spans="1:139" x14ac:dyDescent="0.25">
      <c r="A7" s="143" t="s">
        <v>122</v>
      </c>
      <c r="D7" s="314"/>
      <c r="E7" s="314"/>
      <c r="F7" s="314"/>
      <c r="AT7" s="144"/>
      <c r="AU7" s="144"/>
      <c r="AV7" s="126"/>
      <c r="CZ7" s="99"/>
      <c r="DA7" s="99"/>
    </row>
    <row r="8" spans="1:139" ht="16.5" thickBot="1" x14ac:dyDescent="0.3">
      <c r="A8" s="143" t="s">
        <v>29</v>
      </c>
      <c r="S8" s="694" t="s">
        <v>109</v>
      </c>
      <c r="T8" s="709"/>
      <c r="U8" s="709"/>
      <c r="V8" s="709"/>
      <c r="W8" s="709"/>
      <c r="X8" s="709"/>
      <c r="Y8" s="709"/>
      <c r="Z8" s="695"/>
      <c r="AA8" s="694" t="s">
        <v>101</v>
      </c>
      <c r="AB8" s="709"/>
      <c r="AC8" s="709"/>
      <c r="AD8" s="709"/>
      <c r="AE8" s="709"/>
      <c r="AF8" s="709"/>
      <c r="AG8" s="709"/>
      <c r="AH8" s="695"/>
    </row>
    <row r="9" spans="1:139" x14ac:dyDescent="0.25">
      <c r="H9" s="629" t="s">
        <v>103</v>
      </c>
      <c r="I9" s="639"/>
      <c r="J9" s="639"/>
      <c r="K9" s="639"/>
      <c r="L9" s="639"/>
      <c r="M9" s="639"/>
      <c r="N9" s="639"/>
      <c r="O9" s="639"/>
      <c r="P9" s="639"/>
      <c r="Q9" s="639"/>
      <c r="R9" s="630"/>
      <c r="S9" s="698" t="s">
        <v>107</v>
      </c>
      <c r="T9" s="698"/>
      <c r="U9" s="698"/>
      <c r="V9" s="698"/>
      <c r="W9" s="698"/>
      <c r="X9" s="698"/>
      <c r="Y9" s="696" t="s">
        <v>194</v>
      </c>
      <c r="Z9" s="710"/>
      <c r="AA9" s="698" t="s">
        <v>107</v>
      </c>
      <c r="AB9" s="698"/>
      <c r="AC9" s="698"/>
      <c r="AD9" s="698"/>
      <c r="AE9" s="698"/>
      <c r="AF9" s="698"/>
      <c r="AG9" s="696" t="s">
        <v>194</v>
      </c>
      <c r="AH9" s="697"/>
      <c r="AI9" s="25"/>
      <c r="AJ9" s="699" t="s">
        <v>209</v>
      </c>
      <c r="AK9" s="700"/>
      <c r="AL9" s="700"/>
      <c r="AM9" s="700"/>
      <c r="AN9" s="700"/>
      <c r="AO9" s="701"/>
      <c r="AQ9" s="24" t="s">
        <v>139</v>
      </c>
      <c r="AS9" s="125"/>
      <c r="AV9" s="141"/>
      <c r="BG9" s="694" t="s">
        <v>107</v>
      </c>
      <c r="BH9" s="709"/>
      <c r="BI9" s="709"/>
      <c r="BJ9" s="695"/>
      <c r="BK9" s="629" t="s">
        <v>194</v>
      </c>
      <c r="BL9" s="639"/>
      <c r="BM9" s="639"/>
      <c r="BN9" s="630"/>
      <c r="BO9" s="50"/>
      <c r="BX9" s="629" t="s">
        <v>109</v>
      </c>
      <c r="BY9" s="630"/>
      <c r="BZ9" s="629" t="s">
        <v>101</v>
      </c>
      <c r="CA9" s="630"/>
      <c r="CB9" s="629" t="s">
        <v>194</v>
      </c>
      <c r="CC9" s="639"/>
      <c r="CD9" s="639"/>
      <c r="CE9" s="630"/>
      <c r="CG9" s="694" t="s">
        <v>6</v>
      </c>
      <c r="CH9" s="695"/>
      <c r="CI9" s="694" t="s">
        <v>111</v>
      </c>
      <c r="CJ9" s="695"/>
      <c r="CK9" s="694" t="s">
        <v>120</v>
      </c>
      <c r="CL9" s="695"/>
      <c r="CM9" s="694" t="s">
        <v>96</v>
      </c>
      <c r="CN9" s="695"/>
      <c r="CO9" s="629" t="s">
        <v>109</v>
      </c>
      <c r="CP9" s="630"/>
      <c r="CQ9" s="629" t="s">
        <v>101</v>
      </c>
      <c r="CR9" s="630"/>
      <c r="CS9" s="629" t="s">
        <v>194</v>
      </c>
      <c r="CT9" s="639"/>
      <c r="CU9" s="639"/>
      <c r="CV9" s="630"/>
      <c r="DH9" s="629" t="s">
        <v>109</v>
      </c>
      <c r="DI9" s="630"/>
      <c r="DJ9" s="629" t="s">
        <v>101</v>
      </c>
      <c r="DK9" s="630"/>
      <c r="DL9" s="629" t="s">
        <v>194</v>
      </c>
      <c r="DM9" s="639"/>
      <c r="DN9" s="639"/>
      <c r="DO9" s="630"/>
    </row>
    <row r="10" spans="1:139" ht="31.5" x14ac:dyDescent="0.25">
      <c r="A10" s="707" t="s">
        <v>2</v>
      </c>
      <c r="B10" s="711" t="s">
        <v>89</v>
      </c>
      <c r="C10" s="346"/>
      <c r="D10" s="707" t="s">
        <v>117</v>
      </c>
      <c r="E10" s="713"/>
      <c r="F10" s="707" t="s">
        <v>140</v>
      </c>
      <c r="G10" s="713"/>
      <c r="H10" s="694" t="s">
        <v>6</v>
      </c>
      <c r="I10" s="709"/>
      <c r="J10" s="695"/>
      <c r="K10" s="694" t="s">
        <v>111</v>
      </c>
      <c r="L10" s="695"/>
      <c r="M10" s="694" t="s">
        <v>120</v>
      </c>
      <c r="N10" s="695"/>
      <c r="O10" s="694" t="s">
        <v>193</v>
      </c>
      <c r="P10" s="695"/>
      <c r="Q10" s="694" t="s">
        <v>96</v>
      </c>
      <c r="R10" s="695"/>
      <c r="S10" s="696" t="s">
        <v>118</v>
      </c>
      <c r="T10" s="710"/>
      <c r="U10" s="710"/>
      <c r="V10" s="696" t="s">
        <v>90</v>
      </c>
      <c r="W10" s="710"/>
      <c r="X10" s="710"/>
      <c r="Y10" s="696"/>
      <c r="Z10" s="710"/>
      <c r="AA10" s="696" t="s">
        <v>118</v>
      </c>
      <c r="AB10" s="710"/>
      <c r="AC10" s="710"/>
      <c r="AD10" s="696" t="s">
        <v>90</v>
      </c>
      <c r="AE10" s="710"/>
      <c r="AF10" s="710"/>
      <c r="AG10" s="696"/>
      <c r="AH10" s="697"/>
      <c r="AI10" s="77"/>
      <c r="AJ10" s="702" t="s">
        <v>118</v>
      </c>
      <c r="AK10" s="703"/>
      <c r="AL10" s="704" t="s">
        <v>119</v>
      </c>
      <c r="AM10" s="704"/>
      <c r="AN10" s="705" t="s">
        <v>6</v>
      </c>
      <c r="AO10" s="706"/>
      <c r="AQ10" s="182" t="s">
        <v>244</v>
      </c>
      <c r="AR10" s="145" t="s">
        <v>142</v>
      </c>
      <c r="AS10" s="146"/>
      <c r="AT10" s="28"/>
      <c r="AU10" s="42" t="s">
        <v>116</v>
      </c>
      <c r="AV10" s="147" t="s">
        <v>143</v>
      </c>
      <c r="AW10" s="56" t="s">
        <v>245</v>
      </c>
      <c r="AY10" s="694" t="s">
        <v>6</v>
      </c>
      <c r="AZ10" s="695"/>
      <c r="BA10" s="694" t="s">
        <v>111</v>
      </c>
      <c r="BB10" s="695"/>
      <c r="BC10" s="694" t="s">
        <v>120</v>
      </c>
      <c r="BD10" s="695"/>
      <c r="BE10" s="694" t="s">
        <v>96</v>
      </c>
      <c r="BF10" s="695"/>
      <c r="BG10" s="696" t="s">
        <v>109</v>
      </c>
      <c r="BH10" s="697"/>
      <c r="BI10" s="696" t="s">
        <v>101</v>
      </c>
      <c r="BJ10" s="697"/>
      <c r="BK10" s="698" t="s">
        <v>109</v>
      </c>
      <c r="BL10" s="698"/>
      <c r="BM10" s="698" t="s">
        <v>101</v>
      </c>
      <c r="BN10" s="698"/>
      <c r="BO10" s="50"/>
      <c r="BP10" s="694" t="s">
        <v>6</v>
      </c>
      <c r="BQ10" s="695"/>
      <c r="BR10" s="694" t="s">
        <v>111</v>
      </c>
      <c r="BS10" s="695"/>
      <c r="BT10" s="694" t="s">
        <v>120</v>
      </c>
      <c r="BU10" s="695"/>
      <c r="BV10" s="694" t="s">
        <v>96</v>
      </c>
      <c r="BW10" s="695"/>
      <c r="BX10" s="696" t="s">
        <v>138</v>
      </c>
      <c r="BY10" s="697"/>
      <c r="BZ10" s="696" t="s">
        <v>138</v>
      </c>
      <c r="CA10" s="697"/>
      <c r="CB10" s="698" t="s">
        <v>109</v>
      </c>
      <c r="CC10" s="698"/>
      <c r="CD10" s="698" t="s">
        <v>101</v>
      </c>
      <c r="CE10" s="698"/>
      <c r="CG10" s="109"/>
      <c r="CH10" s="110"/>
      <c r="CI10" s="109"/>
      <c r="CJ10" s="110"/>
      <c r="CK10" s="109"/>
      <c r="CL10" s="110"/>
      <c r="CM10" s="109"/>
      <c r="CN10" s="110"/>
      <c r="CO10" s="696" t="s">
        <v>107</v>
      </c>
      <c r="CP10" s="697"/>
      <c r="CQ10" s="696" t="s">
        <v>107</v>
      </c>
      <c r="CR10" s="697"/>
      <c r="CS10" s="698" t="s">
        <v>109</v>
      </c>
      <c r="CT10" s="698"/>
      <c r="CU10" s="698" t="s">
        <v>101</v>
      </c>
      <c r="CV10" s="698"/>
      <c r="CZ10" s="694" t="s">
        <v>6</v>
      </c>
      <c r="DA10" s="695"/>
      <c r="DB10" s="694" t="s">
        <v>111</v>
      </c>
      <c r="DC10" s="695"/>
      <c r="DD10" s="694" t="s">
        <v>120</v>
      </c>
      <c r="DE10" s="695"/>
      <c r="DF10" s="694" t="s">
        <v>144</v>
      </c>
      <c r="DG10" s="695"/>
      <c r="DH10" s="696" t="s">
        <v>107</v>
      </c>
      <c r="DI10" s="697"/>
      <c r="DJ10" s="696" t="s">
        <v>107</v>
      </c>
      <c r="DK10" s="697"/>
      <c r="DL10" s="698" t="s">
        <v>109</v>
      </c>
      <c r="DM10" s="698"/>
      <c r="DN10" s="698" t="s">
        <v>101</v>
      </c>
      <c r="DO10" s="698"/>
      <c r="DQ10" s="694" t="s">
        <v>145</v>
      </c>
      <c r="DR10" s="709"/>
      <c r="DS10" s="694" t="s">
        <v>146</v>
      </c>
      <c r="DT10" s="695"/>
      <c r="DU10" s="709" t="s">
        <v>147</v>
      </c>
      <c r="DV10" s="709"/>
      <c r="DW10" s="694" t="s">
        <v>133</v>
      </c>
      <c r="DX10" s="695"/>
      <c r="DY10" s="709" t="s">
        <v>135</v>
      </c>
      <c r="DZ10" s="709"/>
      <c r="EA10" s="694" t="s">
        <v>148</v>
      </c>
      <c r="EB10" s="695"/>
      <c r="EC10" s="709" t="s">
        <v>129</v>
      </c>
      <c r="ED10" s="709"/>
      <c r="EE10" s="709"/>
      <c r="EF10" s="694" t="s">
        <v>130</v>
      </c>
      <c r="EG10" s="695"/>
      <c r="EH10" s="694" t="s">
        <v>167</v>
      </c>
      <c r="EI10" s="695"/>
    </row>
    <row r="11" spans="1:139" x14ac:dyDescent="0.25">
      <c r="A11" s="708"/>
      <c r="B11" s="712"/>
      <c r="C11" s="347"/>
      <c r="D11" s="347" t="s">
        <v>117</v>
      </c>
      <c r="E11" s="347" t="s">
        <v>221</v>
      </c>
      <c r="F11" s="347" t="s">
        <v>117</v>
      </c>
      <c r="G11" s="347" t="s">
        <v>221</v>
      </c>
      <c r="H11" s="231" t="s">
        <v>6</v>
      </c>
      <c r="I11" s="231" t="s">
        <v>138</v>
      </c>
      <c r="J11" s="231" t="s">
        <v>149</v>
      </c>
      <c r="K11" s="232" t="s">
        <v>138</v>
      </c>
      <c r="L11" s="232" t="s">
        <v>149</v>
      </c>
      <c r="M11" s="232" t="s">
        <v>138</v>
      </c>
      <c r="N11" s="232" t="s">
        <v>149</v>
      </c>
      <c r="O11" s="232" t="s">
        <v>138</v>
      </c>
      <c r="P11" s="232" t="s">
        <v>149</v>
      </c>
      <c r="Q11" s="232" t="s">
        <v>138</v>
      </c>
      <c r="R11" s="232" t="s">
        <v>149</v>
      </c>
      <c r="S11" s="231" t="s">
        <v>164</v>
      </c>
      <c r="T11" s="335" t="s">
        <v>165</v>
      </c>
      <c r="U11" s="232" t="s">
        <v>120</v>
      </c>
      <c r="V11" s="231" t="s">
        <v>164</v>
      </c>
      <c r="W11" s="335" t="s">
        <v>165</v>
      </c>
      <c r="X11" s="232" t="s">
        <v>120</v>
      </c>
      <c r="Y11" s="232" t="s">
        <v>118</v>
      </c>
      <c r="Z11" s="232" t="s">
        <v>119</v>
      </c>
      <c r="AA11" s="231" t="s">
        <v>164</v>
      </c>
      <c r="AB11" s="335" t="s">
        <v>165</v>
      </c>
      <c r="AC11" s="232" t="s">
        <v>120</v>
      </c>
      <c r="AD11" s="231" t="s">
        <v>164</v>
      </c>
      <c r="AE11" s="335" t="s">
        <v>165</v>
      </c>
      <c r="AF11" s="506" t="s">
        <v>120</v>
      </c>
      <c r="AG11" s="302" t="s">
        <v>118</v>
      </c>
      <c r="AH11" s="302" t="s">
        <v>119</v>
      </c>
      <c r="AI11" s="186"/>
      <c r="AJ11" s="329" t="s">
        <v>165</v>
      </c>
      <c r="AK11" s="330" t="s">
        <v>120</v>
      </c>
      <c r="AL11" s="331" t="s">
        <v>165</v>
      </c>
      <c r="AM11" s="331" t="s">
        <v>120</v>
      </c>
      <c r="AN11" s="332" t="s">
        <v>118</v>
      </c>
      <c r="AO11" s="333" t="s">
        <v>119</v>
      </c>
      <c r="AQ11" s="43" t="s">
        <v>150</v>
      </c>
      <c r="AR11" s="75" t="s">
        <v>151</v>
      </c>
      <c r="AS11" s="75" t="s">
        <v>152</v>
      </c>
      <c r="AT11" s="43" t="s">
        <v>153</v>
      </c>
      <c r="AU11" s="33" t="s">
        <v>156</v>
      </c>
      <c r="AV11" s="76" t="s">
        <v>154</v>
      </c>
      <c r="AW11" s="43" t="s">
        <v>141</v>
      </c>
      <c r="AY11" s="197" t="s">
        <v>112</v>
      </c>
      <c r="AZ11" s="198" t="s">
        <v>107</v>
      </c>
      <c r="BA11" s="199" t="s">
        <v>112</v>
      </c>
      <c r="BB11" s="198" t="s">
        <v>107</v>
      </c>
      <c r="BC11" s="197" t="s">
        <v>112</v>
      </c>
      <c r="BD11" s="198" t="s">
        <v>107</v>
      </c>
      <c r="BE11" s="197" t="s">
        <v>112</v>
      </c>
      <c r="BF11" s="198" t="s">
        <v>107</v>
      </c>
      <c r="BG11" s="197" t="s">
        <v>118</v>
      </c>
      <c r="BH11" s="198" t="s">
        <v>119</v>
      </c>
      <c r="BI11" s="197" t="s">
        <v>118</v>
      </c>
      <c r="BJ11" s="198" t="s">
        <v>119</v>
      </c>
      <c r="BK11" s="302" t="s">
        <v>118</v>
      </c>
      <c r="BL11" s="302" t="s">
        <v>119</v>
      </c>
      <c r="BM11" s="302" t="s">
        <v>118</v>
      </c>
      <c r="BN11" s="302" t="s">
        <v>119</v>
      </c>
      <c r="BO11" s="200"/>
      <c r="BP11" s="197" t="s">
        <v>112</v>
      </c>
      <c r="BQ11" s="198" t="s">
        <v>107</v>
      </c>
      <c r="BR11" s="197" t="s">
        <v>112</v>
      </c>
      <c r="BS11" s="198" t="s">
        <v>107</v>
      </c>
      <c r="BT11" s="197" t="s">
        <v>112</v>
      </c>
      <c r="BU11" s="198" t="s">
        <v>107</v>
      </c>
      <c r="BV11" s="197" t="s">
        <v>112</v>
      </c>
      <c r="BW11" s="198" t="s">
        <v>107</v>
      </c>
      <c r="BX11" s="197" t="s">
        <v>118</v>
      </c>
      <c r="BY11" s="198" t="s">
        <v>119</v>
      </c>
      <c r="BZ11" s="197" t="s">
        <v>118</v>
      </c>
      <c r="CA11" s="198" t="s">
        <v>119</v>
      </c>
      <c r="CB11" s="302" t="s">
        <v>118</v>
      </c>
      <c r="CC11" s="302" t="s">
        <v>119</v>
      </c>
      <c r="CD11" s="302" t="s">
        <v>118</v>
      </c>
      <c r="CE11" s="302" t="s">
        <v>119</v>
      </c>
      <c r="CF11" s="186"/>
      <c r="CG11" s="187" t="s">
        <v>112</v>
      </c>
      <c r="CH11" s="201" t="s">
        <v>107</v>
      </c>
      <c r="CI11" s="187" t="s">
        <v>112</v>
      </c>
      <c r="CJ11" s="201" t="s">
        <v>107</v>
      </c>
      <c r="CK11" s="187" t="s">
        <v>112</v>
      </c>
      <c r="CL11" s="201" t="s">
        <v>107</v>
      </c>
      <c r="CM11" s="187" t="s">
        <v>112</v>
      </c>
      <c r="CN11" s="201" t="s">
        <v>107</v>
      </c>
      <c r="CO11" s="187" t="s">
        <v>118</v>
      </c>
      <c r="CP11" s="201" t="s">
        <v>119</v>
      </c>
      <c r="CQ11" s="187" t="s">
        <v>118</v>
      </c>
      <c r="CR11" s="201" t="s">
        <v>119</v>
      </c>
      <c r="CS11" s="302" t="s">
        <v>118</v>
      </c>
      <c r="CT11" s="302" t="s">
        <v>119</v>
      </c>
      <c r="CU11" s="302" t="s">
        <v>118</v>
      </c>
      <c r="CV11" s="302" t="s">
        <v>119</v>
      </c>
      <c r="CW11" s="186"/>
      <c r="CX11" s="186"/>
      <c r="CY11" s="186"/>
      <c r="CZ11" s="187" t="s">
        <v>112</v>
      </c>
      <c r="DA11" s="201" t="s">
        <v>107</v>
      </c>
      <c r="DB11" s="187" t="s">
        <v>112</v>
      </c>
      <c r="DC11" s="201" t="s">
        <v>107</v>
      </c>
      <c r="DD11" s="187" t="s">
        <v>112</v>
      </c>
      <c r="DE11" s="201" t="s">
        <v>107</v>
      </c>
      <c r="DF11" s="187" t="s">
        <v>112</v>
      </c>
      <c r="DG11" s="201" t="s">
        <v>107</v>
      </c>
      <c r="DH11" s="187" t="s">
        <v>118</v>
      </c>
      <c r="DI11" s="201" t="s">
        <v>119</v>
      </c>
      <c r="DJ11" s="187" t="s">
        <v>118</v>
      </c>
      <c r="DK11" s="186" t="s">
        <v>119</v>
      </c>
      <c r="DL11" s="302" t="s">
        <v>118</v>
      </c>
      <c r="DM11" s="302" t="s">
        <v>119</v>
      </c>
      <c r="DN11" s="302" t="s">
        <v>118</v>
      </c>
      <c r="DO11" s="302" t="s">
        <v>119</v>
      </c>
      <c r="DP11" s="186"/>
      <c r="DQ11" s="343" t="s">
        <v>155</v>
      </c>
      <c r="DR11" s="344" t="s">
        <v>107</v>
      </c>
      <c r="DS11" s="343" t="s">
        <v>112</v>
      </c>
      <c r="DT11" s="344" t="s">
        <v>107</v>
      </c>
      <c r="DU11" s="344" t="s">
        <v>112</v>
      </c>
      <c r="DV11" s="344" t="s">
        <v>107</v>
      </c>
      <c r="DW11" s="343" t="s">
        <v>112</v>
      </c>
      <c r="DX11" s="344" t="s">
        <v>107</v>
      </c>
      <c r="DY11" s="344" t="s">
        <v>112</v>
      </c>
      <c r="DZ11" s="344" t="s">
        <v>107</v>
      </c>
      <c r="EA11" s="343" t="s">
        <v>112</v>
      </c>
      <c r="EB11" s="344" t="s">
        <v>107</v>
      </c>
      <c r="EC11" s="344" t="s">
        <v>200</v>
      </c>
      <c r="ED11" s="344" t="s">
        <v>137</v>
      </c>
      <c r="EE11" s="344" t="s">
        <v>136</v>
      </c>
      <c r="EF11" s="343" t="s">
        <v>112</v>
      </c>
      <c r="EG11" s="344" t="s">
        <v>107</v>
      </c>
      <c r="EH11" s="343" t="s">
        <v>112</v>
      </c>
      <c r="EI11" s="345" t="s">
        <v>107</v>
      </c>
    </row>
    <row r="12" spans="1:139" x14ac:dyDescent="0.25">
      <c r="A12" s="206">
        <v>45880</v>
      </c>
      <c r="B12" s="207" t="s">
        <v>7</v>
      </c>
      <c r="C12" s="206"/>
      <c r="D12" s="41"/>
      <c r="E12" s="41"/>
      <c r="F12" s="215"/>
      <c r="G12" s="179"/>
      <c r="H12" s="208">
        <f t="shared" ref="H12:H18" si="3">I12+J12</f>
        <v>0</v>
      </c>
      <c r="I12" s="208">
        <f t="shared" ref="I12:I18" si="4">K12+M12+Q12</f>
        <v>0</v>
      </c>
      <c r="J12" s="208">
        <f t="shared" ref="J12:J18" si="5">L12+N12+R12</f>
        <v>0</v>
      </c>
      <c r="K12" s="41"/>
      <c r="L12" s="42"/>
      <c r="M12" s="41"/>
      <c r="N12" s="42"/>
      <c r="O12" s="165"/>
      <c r="P12" s="165"/>
      <c r="Q12" s="41"/>
      <c r="R12" s="42"/>
      <c r="S12" s="319">
        <f t="shared" ref="S12:S18" si="6">SUM(T12:U12)</f>
        <v>0</v>
      </c>
      <c r="T12" s="165"/>
      <c r="U12" s="165"/>
      <c r="V12" s="319">
        <f t="shared" ref="V12:V18" si="7">SUM(W12:X12)</f>
        <v>0</v>
      </c>
      <c r="W12" s="165"/>
      <c r="X12" s="165"/>
      <c r="Y12" s="41"/>
      <c r="Z12" s="42"/>
      <c r="AA12" s="165"/>
      <c r="AB12" s="165"/>
      <c r="AC12" s="165"/>
      <c r="AD12" s="41"/>
      <c r="AE12" s="165"/>
      <c r="AF12" s="165"/>
      <c r="AG12" s="41"/>
      <c r="AH12" s="42"/>
      <c r="AJ12" s="12"/>
      <c r="AK12" s="5"/>
      <c r="AL12" s="9"/>
      <c r="AM12" s="358"/>
      <c r="AN12" s="5"/>
      <c r="AO12" s="13"/>
      <c r="AQ12" s="28"/>
      <c r="AR12" s="28"/>
      <c r="AS12" s="146"/>
      <c r="AT12" s="359"/>
      <c r="AU12" s="190"/>
      <c r="AV12" s="179"/>
      <c r="AW12" s="28"/>
      <c r="AY12" s="209"/>
      <c r="AZ12" s="210"/>
      <c r="BA12" s="211"/>
      <c r="BB12" s="211"/>
      <c r="BC12" s="209"/>
      <c r="BD12" s="210"/>
      <c r="BE12" s="209"/>
      <c r="BF12" s="210"/>
      <c r="BG12" s="211"/>
      <c r="BH12" s="211"/>
      <c r="BI12" s="211"/>
      <c r="BJ12" s="210"/>
      <c r="BK12" s="210"/>
      <c r="BL12" s="210"/>
      <c r="BM12" s="210"/>
      <c r="BN12" s="210"/>
      <c r="BO12" s="50"/>
      <c r="BP12" s="215"/>
      <c r="BQ12" s="216"/>
      <c r="BR12" s="215"/>
      <c r="BS12" s="216"/>
      <c r="BT12" s="215"/>
      <c r="BU12" s="216"/>
      <c r="BV12" s="215"/>
      <c r="BW12" s="216"/>
      <c r="BX12" s="215"/>
      <c r="BY12" s="216"/>
      <c r="BZ12" s="215"/>
      <c r="CA12" s="216"/>
      <c r="CB12" s="51"/>
      <c r="CC12" s="157"/>
      <c r="CD12" s="51"/>
      <c r="CE12" s="157"/>
      <c r="CG12" s="215">
        <f t="shared" ref="CG12:CV12" si="8">AVERAGE(BP12:BP26)</f>
        <v>0</v>
      </c>
      <c r="CH12" s="175">
        <f t="shared" si="8"/>
        <v>0</v>
      </c>
      <c r="CI12" s="175">
        <f t="shared" si="8"/>
        <v>0</v>
      </c>
      <c r="CJ12" s="175">
        <f t="shared" si="8"/>
        <v>0</v>
      </c>
      <c r="CK12" s="175">
        <f t="shared" si="8"/>
        <v>0</v>
      </c>
      <c r="CL12" s="175">
        <f t="shared" si="8"/>
        <v>0</v>
      </c>
      <c r="CM12" s="175">
        <f t="shared" si="8"/>
        <v>0</v>
      </c>
      <c r="CN12" s="175">
        <f t="shared" si="8"/>
        <v>0</v>
      </c>
      <c r="CO12" s="175">
        <f t="shared" si="8"/>
        <v>0</v>
      </c>
      <c r="CP12" s="175">
        <f t="shared" si="8"/>
        <v>0</v>
      </c>
      <c r="CQ12" s="175">
        <f t="shared" si="8"/>
        <v>0</v>
      </c>
      <c r="CR12" s="216">
        <f t="shared" si="8"/>
        <v>0</v>
      </c>
      <c r="CS12" s="215">
        <f t="shared" si="8"/>
        <v>0</v>
      </c>
      <c r="CT12" s="216">
        <f t="shared" si="8"/>
        <v>0</v>
      </c>
      <c r="CU12" s="175">
        <f t="shared" si="8"/>
        <v>0</v>
      </c>
      <c r="CV12" s="216">
        <f t="shared" si="8"/>
        <v>0</v>
      </c>
      <c r="CX12" s="56">
        <v>5</v>
      </c>
      <c r="CZ12" s="223">
        <f t="shared" ref="CZ12" si="9">CG12*$CX12</f>
        <v>0</v>
      </c>
      <c r="DA12" s="159">
        <f t="shared" ref="DA12" si="10">CH12*$CX12</f>
        <v>0</v>
      </c>
      <c r="DB12" s="159">
        <f t="shared" ref="DB12" si="11">CI12*$CX12</f>
        <v>0</v>
      </c>
      <c r="DC12" s="159">
        <f t="shared" ref="DC12" si="12">CJ12*$CX12</f>
        <v>0</v>
      </c>
      <c r="DD12" s="159">
        <f t="shared" ref="DD12" si="13">CK12*$CX12</f>
        <v>0</v>
      </c>
      <c r="DE12" s="159">
        <f t="shared" ref="DE12" si="14">CL12*$CX12</f>
        <v>0</v>
      </c>
      <c r="DF12" s="159">
        <f t="shared" ref="DF12" si="15">CM12*$CX12</f>
        <v>0</v>
      </c>
      <c r="DG12" s="159">
        <f t="shared" ref="DG12" si="16">CN12*$CX12</f>
        <v>0</v>
      </c>
      <c r="DH12" s="159">
        <f t="shared" ref="DH12" si="17">CO12*$CX12</f>
        <v>0</v>
      </c>
      <c r="DI12" s="159">
        <f t="shared" ref="DI12" si="18">CP12*$CX12</f>
        <v>0</v>
      </c>
      <c r="DJ12" s="159">
        <f t="shared" ref="DJ12" si="19">CQ12*$CX12</f>
        <v>0</v>
      </c>
      <c r="DK12" s="224">
        <f t="shared" ref="DK12" si="20">CR12*$CX12</f>
        <v>0</v>
      </c>
      <c r="DL12" s="159"/>
      <c r="DM12" s="224"/>
      <c r="DN12" s="223"/>
      <c r="DO12" s="224">
        <f>CR12*$CX12</f>
        <v>0</v>
      </c>
      <c r="DQ12" s="130"/>
      <c r="DR12" s="229"/>
      <c r="DS12" s="130"/>
      <c r="DT12" s="230"/>
      <c r="DU12" s="229"/>
      <c r="DV12" s="229"/>
      <c r="DW12" s="130"/>
      <c r="DX12" s="230"/>
      <c r="DY12" s="229"/>
      <c r="DZ12" s="229"/>
      <c r="EA12" s="130"/>
      <c r="EB12" s="230"/>
      <c r="EC12" s="229"/>
      <c r="ED12" s="229"/>
      <c r="EE12" s="229"/>
      <c r="EF12" s="130"/>
      <c r="EG12" s="230"/>
      <c r="EH12" s="229"/>
      <c r="EI12" s="230"/>
    </row>
    <row r="13" spans="1:139" x14ac:dyDescent="0.25">
      <c r="A13" s="195">
        <f>A12+1</f>
        <v>45881</v>
      </c>
      <c r="B13" s="158" t="s">
        <v>94</v>
      </c>
      <c r="C13" s="195"/>
      <c r="D13" s="45"/>
      <c r="E13" s="45"/>
      <c r="F13" s="51"/>
      <c r="G13" s="154"/>
      <c r="H13" s="169">
        <f t="shared" si="3"/>
        <v>0</v>
      </c>
      <c r="I13" s="169">
        <f t="shared" si="4"/>
        <v>0</v>
      </c>
      <c r="J13" s="169">
        <f t="shared" si="5"/>
        <v>0</v>
      </c>
      <c r="K13" s="45"/>
      <c r="L13" s="151"/>
      <c r="M13" s="45"/>
      <c r="N13" s="151"/>
      <c r="Q13" s="45"/>
      <c r="R13" s="151"/>
      <c r="S13" s="320">
        <f t="shared" si="6"/>
        <v>0</v>
      </c>
      <c r="V13" s="320">
        <f t="shared" si="7"/>
        <v>0</v>
      </c>
      <c r="Y13" s="45"/>
      <c r="Z13" s="151"/>
      <c r="AD13" s="45"/>
      <c r="AG13" s="45"/>
      <c r="AH13" s="151"/>
      <c r="AJ13" s="12"/>
      <c r="AK13" s="5"/>
      <c r="AL13" s="9"/>
      <c r="AM13" s="358"/>
      <c r="AN13" s="5"/>
      <c r="AO13" s="13"/>
      <c r="AQ13" s="50"/>
      <c r="AR13" s="50"/>
      <c r="AS13" s="146"/>
      <c r="AT13" s="359"/>
      <c r="AU13" s="190"/>
      <c r="AV13" s="179"/>
      <c r="AW13" s="28"/>
      <c r="AY13" s="209"/>
      <c r="AZ13" s="210"/>
      <c r="BA13" s="211"/>
      <c r="BB13" s="211"/>
      <c r="BC13" s="209"/>
      <c r="BD13" s="210"/>
      <c r="BE13" s="209"/>
      <c r="BF13" s="210"/>
      <c r="BG13" s="211"/>
      <c r="BH13" s="211"/>
      <c r="BI13" s="211"/>
      <c r="BJ13" s="210"/>
      <c r="BK13" s="210"/>
      <c r="BL13" s="210"/>
      <c r="BM13" s="210"/>
      <c r="BN13" s="210"/>
      <c r="BO13" s="50"/>
      <c r="BP13" s="215"/>
      <c r="BQ13" s="216"/>
      <c r="BR13" s="215"/>
      <c r="BS13" s="216"/>
      <c r="BT13" s="215"/>
      <c r="BU13" s="216"/>
      <c r="BV13" s="215"/>
      <c r="BW13" s="216"/>
      <c r="BX13" s="215"/>
      <c r="BY13" s="216"/>
      <c r="BZ13" s="215"/>
      <c r="CA13" s="216"/>
      <c r="CB13" s="51"/>
      <c r="CC13" s="157"/>
      <c r="CD13" s="51"/>
      <c r="CE13" s="157"/>
      <c r="CG13" s="215"/>
      <c r="CH13" s="175"/>
      <c r="CI13" s="175"/>
      <c r="CJ13" s="175"/>
      <c r="CK13" s="175"/>
      <c r="CL13" s="175"/>
      <c r="CM13" s="175"/>
      <c r="CN13" s="175"/>
      <c r="CO13" s="175"/>
      <c r="CP13" s="175"/>
      <c r="CQ13" s="175"/>
      <c r="CR13" s="216"/>
      <c r="CS13" s="215"/>
      <c r="CT13" s="216"/>
      <c r="CU13" s="175"/>
      <c r="CV13" s="216"/>
      <c r="CX13" s="50"/>
      <c r="CZ13" s="45"/>
      <c r="DK13" s="151"/>
      <c r="DM13" s="151"/>
      <c r="DN13" s="45"/>
      <c r="DO13" s="151"/>
      <c r="DQ13" s="117"/>
      <c r="DR13" s="77"/>
      <c r="DS13" s="117"/>
      <c r="DT13" s="149"/>
      <c r="DU13" s="77"/>
      <c r="DV13" s="77"/>
      <c r="DW13" s="117"/>
      <c r="DX13" s="149"/>
      <c r="DY13" s="77"/>
      <c r="DZ13" s="77"/>
      <c r="EA13" s="117"/>
      <c r="EB13" s="149"/>
      <c r="EC13" s="77"/>
      <c r="ED13" s="77"/>
      <c r="EE13" s="77"/>
      <c r="EF13" s="117"/>
      <c r="EG13" s="149"/>
      <c r="EH13" s="77"/>
      <c r="EI13" s="149"/>
    </row>
    <row r="14" spans="1:139" x14ac:dyDescent="0.25">
      <c r="A14" s="195">
        <f>A13+1</f>
        <v>45882</v>
      </c>
      <c r="B14" s="158" t="s">
        <v>11</v>
      </c>
      <c r="C14" s="195"/>
      <c r="D14" s="45"/>
      <c r="E14" s="45"/>
      <c r="F14" s="51"/>
      <c r="G14" s="154"/>
      <c r="H14" s="169">
        <f t="shared" si="3"/>
        <v>0</v>
      </c>
      <c r="I14" s="169">
        <f t="shared" si="4"/>
        <v>0</v>
      </c>
      <c r="J14" s="169">
        <f t="shared" si="5"/>
        <v>0</v>
      </c>
      <c r="K14" s="45"/>
      <c r="L14" s="151"/>
      <c r="M14" s="45"/>
      <c r="N14" s="151"/>
      <c r="Q14" s="45"/>
      <c r="R14" s="151"/>
      <c r="S14" s="320">
        <f t="shared" si="6"/>
        <v>0</v>
      </c>
      <c r="V14" s="320">
        <f t="shared" si="7"/>
        <v>0</v>
      </c>
      <c r="Y14" s="45"/>
      <c r="Z14" s="151"/>
      <c r="AD14" s="45"/>
      <c r="AG14" s="45"/>
      <c r="AH14" s="151"/>
      <c r="AJ14" s="12"/>
      <c r="AK14" s="5"/>
      <c r="AL14" s="9"/>
      <c r="AM14" s="358"/>
      <c r="AN14" s="5"/>
      <c r="AO14" s="13"/>
      <c r="AQ14" s="50"/>
      <c r="AR14" s="50"/>
      <c r="AS14" s="146"/>
      <c r="AT14" s="359"/>
      <c r="AU14" s="190"/>
      <c r="AV14" s="179"/>
      <c r="AW14" s="28"/>
      <c r="AY14" s="209"/>
      <c r="AZ14" s="210"/>
      <c r="BA14" s="211"/>
      <c r="BB14" s="211"/>
      <c r="BC14" s="209"/>
      <c r="BD14" s="210"/>
      <c r="BE14" s="209"/>
      <c r="BF14" s="210"/>
      <c r="BG14" s="211"/>
      <c r="BH14" s="211"/>
      <c r="BI14" s="211"/>
      <c r="BJ14" s="210"/>
      <c r="BK14" s="210"/>
      <c r="BL14" s="210"/>
      <c r="BM14" s="210"/>
      <c r="BN14" s="210"/>
      <c r="BO14" s="50"/>
      <c r="BP14" s="215">
        <f t="shared" ref="BP14:BP26" si="21">AY14*$AV14</f>
        <v>0</v>
      </c>
      <c r="BQ14" s="216">
        <f t="shared" ref="BQ14:BQ26" si="22">AZ14*$AV14</f>
        <v>0</v>
      </c>
      <c r="BR14" s="215">
        <f t="shared" ref="BR14:BR26" si="23">BA14*$AV14</f>
        <v>0</v>
      </c>
      <c r="BS14" s="216">
        <f t="shared" ref="BS14:BS26" si="24">BB14*$AV14</f>
        <v>0</v>
      </c>
      <c r="BT14" s="215">
        <f t="shared" ref="BT14:BT26" si="25">BC14*$AV14</f>
        <v>0</v>
      </c>
      <c r="BU14" s="216">
        <f t="shared" ref="BU14:BU26" si="26">BD14*$AV14</f>
        <v>0</v>
      </c>
      <c r="BV14" s="215">
        <f t="shared" ref="BV14:BV26" si="27">BE14*$AV14</f>
        <v>0</v>
      </c>
      <c r="BW14" s="216">
        <f t="shared" ref="BW14:BW26" si="28">BF14*$AV14</f>
        <v>0</v>
      </c>
      <c r="BX14" s="215">
        <f t="shared" ref="BX14:BX26" si="29">BG14*$AV14</f>
        <v>0</v>
      </c>
      <c r="BY14" s="216">
        <f t="shared" ref="BY14:BY26" si="30">BH14*$AV14</f>
        <v>0</v>
      </c>
      <c r="BZ14" s="215">
        <f t="shared" ref="BZ14:BZ26" si="31">BI14*$AV14</f>
        <v>0</v>
      </c>
      <c r="CA14" s="216">
        <f t="shared" ref="CA14:CA26" si="32">BJ14*$AV14</f>
        <v>0</v>
      </c>
      <c r="CB14" s="51">
        <f t="shared" ref="CB14:CB26" si="33">BK14*$AV14</f>
        <v>0</v>
      </c>
      <c r="CC14" s="157">
        <f t="shared" ref="CC14:CC26" si="34">BL14*$AV14</f>
        <v>0</v>
      </c>
      <c r="CD14" s="51">
        <f t="shared" ref="CD14:CD26" si="35">BM14*$AV14</f>
        <v>0</v>
      </c>
      <c r="CE14" s="157">
        <f t="shared" ref="CE14:CE26" si="36">BN14*$AV14</f>
        <v>0</v>
      </c>
      <c r="CG14" s="215"/>
      <c r="CH14" s="175"/>
      <c r="CI14" s="175"/>
      <c r="CJ14" s="175"/>
      <c r="CK14" s="175"/>
      <c r="CL14" s="175"/>
      <c r="CM14" s="175"/>
      <c r="CN14" s="175"/>
      <c r="CO14" s="175"/>
      <c r="CP14" s="175"/>
      <c r="CQ14" s="175"/>
      <c r="CR14" s="216"/>
      <c r="CS14" s="215"/>
      <c r="CT14" s="216"/>
      <c r="CU14" s="175"/>
      <c r="CV14" s="216"/>
      <c r="CX14" s="50"/>
      <c r="CZ14" s="45"/>
      <c r="DK14" s="151"/>
      <c r="DM14" s="151"/>
      <c r="DN14" s="45"/>
      <c r="DO14" s="151"/>
      <c r="DQ14" s="117"/>
      <c r="DR14" s="77"/>
      <c r="DS14" s="117"/>
      <c r="DT14" s="149"/>
      <c r="DU14" s="77"/>
      <c r="DV14" s="77"/>
      <c r="DW14" s="117"/>
      <c r="DX14" s="149"/>
      <c r="DY14" s="77"/>
      <c r="DZ14" s="77"/>
      <c r="EA14" s="117"/>
      <c r="EB14" s="149"/>
      <c r="EC14" s="77"/>
      <c r="ED14" s="77"/>
      <c r="EE14" s="77"/>
      <c r="EF14" s="117"/>
      <c r="EG14" s="149"/>
      <c r="EH14" s="77"/>
      <c r="EI14" s="149"/>
    </row>
    <row r="15" spans="1:139" x14ac:dyDescent="0.25">
      <c r="A15" s="195">
        <f t="shared" ref="A15:A26" si="37">A14+1</f>
        <v>45883</v>
      </c>
      <c r="B15" s="158" t="s">
        <v>95</v>
      </c>
      <c r="C15" s="195"/>
      <c r="D15" s="45"/>
      <c r="E15" s="45"/>
      <c r="F15" s="51"/>
      <c r="G15" s="154"/>
      <c r="H15" s="169">
        <f t="shared" si="3"/>
        <v>0</v>
      </c>
      <c r="I15" s="169">
        <f t="shared" si="4"/>
        <v>0</v>
      </c>
      <c r="J15" s="169">
        <f t="shared" si="5"/>
        <v>0</v>
      </c>
      <c r="K15" s="45"/>
      <c r="L15" s="151"/>
      <c r="M15" s="45"/>
      <c r="N15" s="151"/>
      <c r="Q15" s="45"/>
      <c r="R15" s="151"/>
      <c r="S15" s="320">
        <f t="shared" si="6"/>
        <v>0</v>
      </c>
      <c r="V15" s="320">
        <f t="shared" si="7"/>
        <v>0</v>
      </c>
      <c r="Y15" s="45"/>
      <c r="Z15" s="151"/>
      <c r="AD15" s="45"/>
      <c r="AG15" s="45"/>
      <c r="AH15" s="151"/>
      <c r="AJ15" s="12"/>
      <c r="AK15" s="5"/>
      <c r="AL15" s="9"/>
      <c r="AM15" s="358"/>
      <c r="AN15" s="5"/>
      <c r="AO15" s="13"/>
      <c r="AQ15" s="50"/>
      <c r="AR15" s="50"/>
      <c r="AS15" s="146"/>
      <c r="AT15" s="359"/>
      <c r="AU15" s="190"/>
      <c r="AV15" s="179"/>
      <c r="AW15" s="28"/>
      <c r="AY15" s="209"/>
      <c r="AZ15" s="210"/>
      <c r="BA15" s="211"/>
      <c r="BB15" s="211"/>
      <c r="BC15" s="209"/>
      <c r="BD15" s="210"/>
      <c r="BE15" s="209"/>
      <c r="BF15" s="210"/>
      <c r="BG15" s="211"/>
      <c r="BH15" s="211"/>
      <c r="BI15" s="211"/>
      <c r="BJ15" s="210"/>
      <c r="BK15" s="210"/>
      <c r="BL15" s="210"/>
      <c r="BM15" s="210"/>
      <c r="BN15" s="210"/>
      <c r="BO15" s="50"/>
      <c r="BP15" s="215">
        <f t="shared" si="21"/>
        <v>0</v>
      </c>
      <c r="BQ15" s="216">
        <f t="shared" si="22"/>
        <v>0</v>
      </c>
      <c r="BR15" s="215">
        <f t="shared" si="23"/>
        <v>0</v>
      </c>
      <c r="BS15" s="216">
        <f t="shared" si="24"/>
        <v>0</v>
      </c>
      <c r="BT15" s="215">
        <f t="shared" si="25"/>
        <v>0</v>
      </c>
      <c r="BU15" s="216">
        <f t="shared" si="26"/>
        <v>0</v>
      </c>
      <c r="BV15" s="215">
        <f t="shared" si="27"/>
        <v>0</v>
      </c>
      <c r="BW15" s="216">
        <f t="shared" si="28"/>
        <v>0</v>
      </c>
      <c r="BX15" s="215">
        <f t="shared" si="29"/>
        <v>0</v>
      </c>
      <c r="BY15" s="216">
        <f t="shared" si="30"/>
        <v>0</v>
      </c>
      <c r="BZ15" s="215">
        <f t="shared" si="31"/>
        <v>0</v>
      </c>
      <c r="CA15" s="216">
        <f t="shared" si="32"/>
        <v>0</v>
      </c>
      <c r="CB15" s="51">
        <f t="shared" si="33"/>
        <v>0</v>
      </c>
      <c r="CC15" s="157">
        <f t="shared" si="34"/>
        <v>0</v>
      </c>
      <c r="CD15" s="51">
        <f t="shared" si="35"/>
        <v>0</v>
      </c>
      <c r="CE15" s="157">
        <f t="shared" si="36"/>
        <v>0</v>
      </c>
      <c r="CG15" s="215"/>
      <c r="CH15" s="175"/>
      <c r="CI15" s="175"/>
      <c r="CJ15" s="175"/>
      <c r="CK15" s="175"/>
      <c r="CL15" s="175"/>
      <c r="CM15" s="175"/>
      <c r="CN15" s="175"/>
      <c r="CO15" s="175"/>
      <c r="CP15" s="175"/>
      <c r="CQ15" s="175"/>
      <c r="CR15" s="216"/>
      <c r="CS15" s="215"/>
      <c r="CT15" s="216"/>
      <c r="CU15" s="175"/>
      <c r="CV15" s="216"/>
      <c r="CX15" s="50"/>
      <c r="CZ15" s="45"/>
      <c r="DK15" s="151"/>
      <c r="DM15" s="151"/>
      <c r="DN15" s="45"/>
      <c r="DO15" s="151"/>
      <c r="DQ15" s="117"/>
      <c r="DR15" s="77"/>
      <c r="DS15" s="117"/>
      <c r="DT15" s="149"/>
      <c r="DU15" s="77"/>
      <c r="DV15" s="77"/>
      <c r="DW15" s="117"/>
      <c r="DX15" s="149"/>
      <c r="DY15" s="77"/>
      <c r="DZ15" s="77"/>
      <c r="EA15" s="117"/>
      <c r="EB15" s="149"/>
      <c r="EC15" s="77"/>
      <c r="ED15" s="77"/>
      <c r="EE15" s="77"/>
      <c r="EF15" s="117"/>
      <c r="EG15" s="149"/>
      <c r="EH15" s="77"/>
      <c r="EI15" s="149"/>
    </row>
    <row r="16" spans="1:139" x14ac:dyDescent="0.25">
      <c r="A16" s="195">
        <f t="shared" si="37"/>
        <v>45884</v>
      </c>
      <c r="B16" s="195" t="s">
        <v>13</v>
      </c>
      <c r="C16" s="195"/>
      <c r="D16" s="45"/>
      <c r="E16" s="45"/>
      <c r="F16" s="51"/>
      <c r="G16" s="154"/>
      <c r="H16" s="169">
        <f t="shared" si="3"/>
        <v>0</v>
      </c>
      <c r="I16" s="169">
        <f t="shared" si="4"/>
        <v>0</v>
      </c>
      <c r="J16" s="169">
        <f t="shared" si="5"/>
        <v>0</v>
      </c>
      <c r="K16" s="45"/>
      <c r="L16" s="151"/>
      <c r="M16" s="45"/>
      <c r="N16" s="151"/>
      <c r="Q16" s="45"/>
      <c r="R16" s="151"/>
      <c r="S16" s="320">
        <f t="shared" si="6"/>
        <v>0</v>
      </c>
      <c r="V16" s="320">
        <f t="shared" si="7"/>
        <v>0</v>
      </c>
      <c r="Y16" s="45"/>
      <c r="Z16" s="151"/>
      <c r="AD16" s="45"/>
      <c r="AG16" s="45"/>
      <c r="AH16" s="151"/>
      <c r="AJ16" s="12"/>
      <c r="AK16" s="5"/>
      <c r="AL16" s="9"/>
      <c r="AM16" s="358"/>
      <c r="AN16" s="5"/>
      <c r="AO16" s="13"/>
      <c r="AQ16" s="50"/>
      <c r="AR16" s="50"/>
      <c r="AS16" s="146"/>
      <c r="AT16" s="359"/>
      <c r="AU16" s="190"/>
      <c r="AV16" s="179"/>
      <c r="AW16" s="28"/>
      <c r="AY16" s="209"/>
      <c r="AZ16" s="210"/>
      <c r="BA16" s="211"/>
      <c r="BB16" s="211"/>
      <c r="BC16" s="209"/>
      <c r="BD16" s="210"/>
      <c r="BE16" s="209"/>
      <c r="BF16" s="210"/>
      <c r="BG16" s="211"/>
      <c r="BH16" s="211"/>
      <c r="BI16" s="211"/>
      <c r="BJ16" s="210"/>
      <c r="BK16" s="210"/>
      <c r="BL16" s="210"/>
      <c r="BM16" s="210"/>
      <c r="BN16" s="210"/>
      <c r="BO16" s="50"/>
      <c r="BP16" s="215">
        <f t="shared" si="21"/>
        <v>0</v>
      </c>
      <c r="BQ16" s="216">
        <f t="shared" si="22"/>
        <v>0</v>
      </c>
      <c r="BR16" s="215">
        <f t="shared" si="23"/>
        <v>0</v>
      </c>
      <c r="BS16" s="216">
        <f t="shared" si="24"/>
        <v>0</v>
      </c>
      <c r="BT16" s="215">
        <f t="shared" si="25"/>
        <v>0</v>
      </c>
      <c r="BU16" s="216">
        <f t="shared" si="26"/>
        <v>0</v>
      </c>
      <c r="BV16" s="215">
        <f t="shared" si="27"/>
        <v>0</v>
      </c>
      <c r="BW16" s="216">
        <f t="shared" si="28"/>
        <v>0</v>
      </c>
      <c r="BX16" s="215">
        <f t="shared" si="29"/>
        <v>0</v>
      </c>
      <c r="BY16" s="216">
        <f t="shared" si="30"/>
        <v>0</v>
      </c>
      <c r="BZ16" s="215">
        <f t="shared" si="31"/>
        <v>0</v>
      </c>
      <c r="CA16" s="216">
        <f t="shared" si="32"/>
        <v>0</v>
      </c>
      <c r="CB16" s="51">
        <f t="shared" si="33"/>
        <v>0</v>
      </c>
      <c r="CC16" s="157">
        <f t="shared" si="34"/>
        <v>0</v>
      </c>
      <c r="CD16" s="51">
        <f t="shared" si="35"/>
        <v>0</v>
      </c>
      <c r="CE16" s="157">
        <f t="shared" si="36"/>
        <v>0</v>
      </c>
      <c r="CG16" s="215"/>
      <c r="CH16" s="175"/>
      <c r="CI16" s="175"/>
      <c r="CJ16" s="175"/>
      <c r="CK16" s="175"/>
      <c r="CL16" s="175"/>
      <c r="CM16" s="175"/>
      <c r="CN16" s="175"/>
      <c r="CO16" s="175"/>
      <c r="CP16" s="175"/>
      <c r="CQ16" s="175"/>
      <c r="CR16" s="216"/>
      <c r="CS16" s="215"/>
      <c r="CT16" s="216"/>
      <c r="CU16" s="175"/>
      <c r="CV16" s="216"/>
      <c r="CX16" s="150"/>
      <c r="CZ16" s="225"/>
      <c r="DA16" s="160"/>
      <c r="DB16" s="160"/>
      <c r="DC16" s="160"/>
      <c r="DD16" s="160"/>
      <c r="DE16" s="160"/>
      <c r="DF16" s="160"/>
      <c r="DG16" s="160"/>
      <c r="DH16" s="160"/>
      <c r="DI16" s="160"/>
      <c r="DJ16" s="160"/>
      <c r="DK16" s="161"/>
      <c r="DM16" s="151"/>
      <c r="DN16" s="45"/>
      <c r="DO16" s="151"/>
      <c r="DQ16" s="117"/>
      <c r="DR16" s="77"/>
      <c r="DS16" s="117"/>
      <c r="DT16" s="149"/>
      <c r="DU16" s="77"/>
      <c r="DV16" s="77"/>
      <c r="DW16" s="117"/>
      <c r="DX16" s="149"/>
      <c r="DY16" s="77"/>
      <c r="DZ16" s="77"/>
      <c r="EA16" s="117"/>
      <c r="EB16" s="149"/>
      <c r="EC16" s="77"/>
      <c r="ED16" s="77"/>
      <c r="EE16" s="77"/>
      <c r="EF16" s="117"/>
      <c r="EG16" s="149"/>
      <c r="EH16" s="77"/>
      <c r="EI16" s="149"/>
    </row>
    <row r="17" spans="1:139" x14ac:dyDescent="0.25">
      <c r="A17" s="195">
        <f t="shared" si="37"/>
        <v>45885</v>
      </c>
      <c r="B17" s="195" t="s">
        <v>14</v>
      </c>
      <c r="C17" s="195"/>
      <c r="D17" s="45">
        <v>8</v>
      </c>
      <c r="E17" s="45">
        <v>8</v>
      </c>
      <c r="F17" s="51">
        <v>33.270000000000003</v>
      </c>
      <c r="G17" s="154">
        <v>33.270000000000003</v>
      </c>
      <c r="H17" s="169">
        <f t="shared" si="3"/>
        <v>0</v>
      </c>
      <c r="I17" s="169">
        <f t="shared" si="4"/>
        <v>0</v>
      </c>
      <c r="J17" s="169">
        <f t="shared" si="5"/>
        <v>0</v>
      </c>
      <c r="K17" s="45"/>
      <c r="L17" s="151"/>
      <c r="M17" s="45"/>
      <c r="N17" s="151"/>
      <c r="Q17" s="45"/>
      <c r="R17" s="151"/>
      <c r="S17" s="320">
        <f t="shared" si="6"/>
        <v>0</v>
      </c>
      <c r="V17" s="320">
        <f t="shared" si="7"/>
        <v>0</v>
      </c>
      <c r="Y17" s="45"/>
      <c r="Z17" s="151"/>
      <c r="AD17" s="45"/>
      <c r="AG17" s="45"/>
      <c r="AH17" s="151"/>
      <c r="AJ17" s="12"/>
      <c r="AK17" s="5"/>
      <c r="AL17" s="9"/>
      <c r="AM17" s="358"/>
      <c r="AN17" s="5"/>
      <c r="AO17" s="13"/>
      <c r="AQ17" s="50">
        <v>5</v>
      </c>
      <c r="AR17" s="50">
        <v>3</v>
      </c>
      <c r="AS17" s="146">
        <f t="shared" ref="AS17" si="38">AQ17/AR17</f>
        <v>1.6666666666666667</v>
      </c>
      <c r="AT17" s="359">
        <v>14.2</v>
      </c>
      <c r="AU17" s="190">
        <v>1</v>
      </c>
      <c r="AV17" s="179">
        <f t="shared" ref="AV17" si="39">AT17*AS17*AU17</f>
        <v>23.666666666666668</v>
      </c>
      <c r="AW17" s="28"/>
      <c r="AY17" s="209">
        <f t="shared" ref="AY17" si="40">H17/G17</f>
        <v>0</v>
      </c>
      <c r="AZ17" s="210">
        <f t="shared" ref="AZ17" si="41">I17/G17</f>
        <v>0</v>
      </c>
      <c r="BA17" s="211">
        <f t="shared" ref="BA17" si="42">(K17+L17)/$G17</f>
        <v>0</v>
      </c>
      <c r="BB17" s="211">
        <f t="shared" ref="BB17" si="43">K17/$G17</f>
        <v>0</v>
      </c>
      <c r="BC17" s="209">
        <f t="shared" ref="BC17" si="44">(M17+N17)/$G17</f>
        <v>0</v>
      </c>
      <c r="BD17" s="210">
        <f t="shared" ref="BD17" si="45">M17/$G17</f>
        <v>0</v>
      </c>
      <c r="BE17" s="209">
        <f t="shared" ref="BE17" si="46">(Q17+R17)/$G17</f>
        <v>0</v>
      </c>
      <c r="BF17" s="210">
        <f t="shared" ref="BF17" si="47">Q17/$G17</f>
        <v>0</v>
      </c>
      <c r="BG17" s="211">
        <f t="shared" ref="BG17" si="48">S17/$G17</f>
        <v>0</v>
      </c>
      <c r="BH17" s="211">
        <f t="shared" ref="BH17" si="49">V17/$G17</f>
        <v>0</v>
      </c>
      <c r="BI17" s="211">
        <f t="shared" ref="BI17" si="50">AA17/$G17</f>
        <v>0</v>
      </c>
      <c r="BJ17" s="210">
        <f t="shared" ref="BJ17" si="51">AH17/$G17</f>
        <v>0</v>
      </c>
      <c r="BK17" s="210"/>
      <c r="BL17" s="210"/>
      <c r="BM17" s="210"/>
      <c r="BN17" s="210"/>
      <c r="BO17" s="50"/>
      <c r="BP17" s="215">
        <f t="shared" ref="BP17" si="52">AY17*$AV17</f>
        <v>0</v>
      </c>
      <c r="BQ17" s="216">
        <f t="shared" ref="BQ17" si="53">AZ17*$AV17</f>
        <v>0</v>
      </c>
      <c r="BR17" s="215">
        <f t="shared" ref="BR17" si="54">BA17*$AV17</f>
        <v>0</v>
      </c>
      <c r="BS17" s="216">
        <f t="shared" ref="BS17" si="55">BB17*$AV17</f>
        <v>0</v>
      </c>
      <c r="BT17" s="215">
        <f t="shared" ref="BT17" si="56">BC17*$AV17</f>
        <v>0</v>
      </c>
      <c r="BU17" s="216">
        <f t="shared" ref="BU17" si="57">BD17*$AV17</f>
        <v>0</v>
      </c>
      <c r="BV17" s="215">
        <f t="shared" ref="BV17" si="58">BE17*$AV17</f>
        <v>0</v>
      </c>
      <c r="BW17" s="216">
        <f t="shared" ref="BW17" si="59">BF17*$AV17</f>
        <v>0</v>
      </c>
      <c r="BX17" s="215">
        <f t="shared" ref="BX17" si="60">BG17*$AV17</f>
        <v>0</v>
      </c>
      <c r="BY17" s="216">
        <f t="shared" ref="BY17" si="61">BH17*$AV17</f>
        <v>0</v>
      </c>
      <c r="BZ17" s="215">
        <f t="shared" ref="BZ17" si="62">BI17*$AV17</f>
        <v>0</v>
      </c>
      <c r="CA17" s="216">
        <f t="shared" ref="CA17" si="63">BJ17*$AV17</f>
        <v>0</v>
      </c>
      <c r="CB17" s="51">
        <f t="shared" ref="CB17" si="64">BK17*$AV17</f>
        <v>0</v>
      </c>
      <c r="CC17" s="157">
        <f t="shared" ref="CC17" si="65">BL17*$AV17</f>
        <v>0</v>
      </c>
      <c r="CD17" s="51">
        <f t="shared" ref="CD17" si="66">BM17*$AV17</f>
        <v>0</v>
      </c>
      <c r="CE17" s="157">
        <f t="shared" ref="CE17" si="67">BN17*$AV17</f>
        <v>0</v>
      </c>
      <c r="CG17" s="215"/>
      <c r="CH17" s="175"/>
      <c r="CI17" s="175"/>
      <c r="CJ17" s="175"/>
      <c r="CK17" s="175"/>
      <c r="CL17" s="175"/>
      <c r="CM17" s="175"/>
      <c r="CN17" s="175"/>
      <c r="CO17" s="175"/>
      <c r="CP17" s="175"/>
      <c r="CQ17" s="175"/>
      <c r="CR17" s="216"/>
      <c r="CS17" s="215"/>
      <c r="CT17" s="216"/>
      <c r="CU17" s="175"/>
      <c r="CV17" s="216"/>
      <c r="CX17" s="150">
        <v>2</v>
      </c>
      <c r="CZ17" s="223">
        <f t="shared" ref="CZ17" si="68">CG17*$CX17</f>
        <v>0</v>
      </c>
      <c r="DA17" s="159">
        <f t="shared" ref="DA17" si="69">CH17*$CX17</f>
        <v>0</v>
      </c>
      <c r="DB17" s="159">
        <f t="shared" ref="DB17" si="70">CI17*$CX17</f>
        <v>0</v>
      </c>
      <c r="DC17" s="159">
        <f t="shared" ref="DC17" si="71">CJ17*$CX17</f>
        <v>0</v>
      </c>
      <c r="DD17" s="159">
        <f t="shared" ref="DD17" si="72">CK17*$CX17</f>
        <v>0</v>
      </c>
      <c r="DE17" s="159">
        <f t="shared" ref="DE17" si="73">CL17*$CX17</f>
        <v>0</v>
      </c>
      <c r="DF17" s="159">
        <f t="shared" ref="DF17" si="74">CM17*$CX17</f>
        <v>0</v>
      </c>
      <c r="DG17" s="159">
        <f t="shared" ref="DG17" si="75">CN17*$CX17</f>
        <v>0</v>
      </c>
      <c r="DH17" s="159">
        <f t="shared" ref="DH17" si="76">CO17*$CX17</f>
        <v>0</v>
      </c>
      <c r="DI17" s="159">
        <f t="shared" ref="DI17" si="77">CP17*$CX17</f>
        <v>0</v>
      </c>
      <c r="DJ17" s="159">
        <f t="shared" ref="DJ17" si="78">CQ17*$CX17</f>
        <v>0</v>
      </c>
      <c r="DK17" s="224">
        <f t="shared" ref="DK17" si="79">CR17*$CX17</f>
        <v>0</v>
      </c>
      <c r="DL17" s="223">
        <f t="shared" ref="DL17" si="80">CS17*$CX17</f>
        <v>0</v>
      </c>
      <c r="DM17" s="224">
        <f t="shared" ref="DM17" si="81">CT17*$CX17</f>
        <v>0</v>
      </c>
      <c r="DN17" s="223">
        <f t="shared" ref="DN17" si="82">CU17*$CX17</f>
        <v>0</v>
      </c>
      <c r="DO17" s="224">
        <f t="shared" ref="DO17" si="83">CV17*$CX17</f>
        <v>0</v>
      </c>
      <c r="DQ17" s="117"/>
      <c r="DR17" s="77"/>
      <c r="DS17" s="117"/>
      <c r="DT17" s="149"/>
      <c r="DU17" s="77"/>
      <c r="DV17" s="77"/>
      <c r="DW17" s="117"/>
      <c r="DX17" s="149"/>
      <c r="DY17" s="77"/>
      <c r="DZ17" s="77"/>
      <c r="EA17" s="117"/>
      <c r="EB17" s="149"/>
      <c r="EC17" s="77"/>
      <c r="ED17" s="77"/>
      <c r="EE17" s="77"/>
      <c r="EF17" s="117"/>
      <c r="EG17" s="149"/>
      <c r="EH17" s="77"/>
      <c r="EI17" s="149"/>
    </row>
    <row r="18" spans="1:139" x14ac:dyDescent="0.25">
      <c r="A18" s="195">
        <f>A17+1</f>
        <v>45886</v>
      </c>
      <c r="B18" s="195" t="s">
        <v>15</v>
      </c>
      <c r="C18" s="195"/>
      <c r="D18" s="45">
        <v>0</v>
      </c>
      <c r="E18" s="45">
        <v>0</v>
      </c>
      <c r="F18" s="51">
        <v>0</v>
      </c>
      <c r="G18" s="154">
        <v>0</v>
      </c>
      <c r="H18" s="169">
        <f t="shared" si="3"/>
        <v>0</v>
      </c>
      <c r="I18" s="169">
        <f t="shared" si="4"/>
        <v>0</v>
      </c>
      <c r="J18" s="169">
        <f t="shared" si="5"/>
        <v>0</v>
      </c>
      <c r="K18" s="45"/>
      <c r="L18" s="151"/>
      <c r="M18" s="45"/>
      <c r="N18" s="151"/>
      <c r="Q18" s="45"/>
      <c r="R18" s="151"/>
      <c r="S18" s="320">
        <f t="shared" si="6"/>
        <v>0</v>
      </c>
      <c r="V18" s="320">
        <f t="shared" si="7"/>
        <v>0</v>
      </c>
      <c r="Y18" s="45"/>
      <c r="Z18" s="151"/>
      <c r="AD18" s="45"/>
      <c r="AG18" s="45"/>
      <c r="AH18" s="151"/>
      <c r="AJ18" s="12"/>
      <c r="AK18" s="5"/>
      <c r="AL18" s="9"/>
      <c r="AM18" s="358"/>
      <c r="AN18" s="5"/>
      <c r="AO18" s="13"/>
      <c r="AQ18" s="131">
        <v>0</v>
      </c>
      <c r="AR18" s="131">
        <v>3</v>
      </c>
      <c r="AS18" s="146">
        <f t="shared" ref="AS18" si="84">AQ18/AR18</f>
        <v>0</v>
      </c>
      <c r="AT18" s="359">
        <v>14.2</v>
      </c>
      <c r="AU18" s="190">
        <v>1</v>
      </c>
      <c r="AV18" s="179">
        <f t="shared" ref="AV18" si="85">AT18*AS18*AU18</f>
        <v>0</v>
      </c>
      <c r="AW18" s="28"/>
      <c r="AY18" s="209"/>
      <c r="AZ18" s="210"/>
      <c r="BA18" s="211"/>
      <c r="BB18" s="211"/>
      <c r="BC18" s="209"/>
      <c r="BD18" s="210"/>
      <c r="BE18" s="209"/>
      <c r="BF18" s="210"/>
      <c r="BG18" s="211"/>
      <c r="BH18" s="211"/>
      <c r="BI18" s="211"/>
      <c r="BJ18" s="210"/>
      <c r="BK18" s="210"/>
      <c r="BL18" s="210"/>
      <c r="BM18" s="210"/>
      <c r="BN18" s="210"/>
      <c r="BO18" s="50"/>
      <c r="BP18" s="215">
        <f t="shared" si="21"/>
        <v>0</v>
      </c>
      <c r="BQ18" s="216">
        <f t="shared" si="22"/>
        <v>0</v>
      </c>
      <c r="BR18" s="215">
        <f t="shared" si="23"/>
        <v>0</v>
      </c>
      <c r="BS18" s="216">
        <f t="shared" si="24"/>
        <v>0</v>
      </c>
      <c r="BT18" s="215">
        <f t="shared" si="25"/>
        <v>0</v>
      </c>
      <c r="BU18" s="216">
        <f t="shared" si="26"/>
        <v>0</v>
      </c>
      <c r="BV18" s="215">
        <f t="shared" si="27"/>
        <v>0</v>
      </c>
      <c r="BW18" s="216">
        <f t="shared" si="28"/>
        <v>0</v>
      </c>
      <c r="BX18" s="215">
        <f t="shared" si="29"/>
        <v>0</v>
      </c>
      <c r="BY18" s="216">
        <f t="shared" si="30"/>
        <v>0</v>
      </c>
      <c r="BZ18" s="215">
        <f t="shared" si="31"/>
        <v>0</v>
      </c>
      <c r="CA18" s="216">
        <f t="shared" si="32"/>
        <v>0</v>
      </c>
      <c r="CB18" s="51">
        <f t="shared" si="33"/>
        <v>0</v>
      </c>
      <c r="CC18" s="157">
        <f t="shared" si="34"/>
        <v>0</v>
      </c>
      <c r="CD18" s="51">
        <f t="shared" si="35"/>
        <v>0</v>
      </c>
      <c r="CE18" s="157">
        <f t="shared" si="36"/>
        <v>0</v>
      </c>
      <c r="CG18" s="215"/>
      <c r="CH18" s="175"/>
      <c r="CI18" s="175"/>
      <c r="CJ18" s="175"/>
      <c r="CK18" s="175"/>
      <c r="CL18" s="175"/>
      <c r="CM18" s="175"/>
      <c r="CN18" s="175"/>
      <c r="CO18" s="175"/>
      <c r="CP18" s="175"/>
      <c r="CQ18" s="175"/>
      <c r="CR18" s="216"/>
      <c r="CS18" s="215"/>
      <c r="CT18" s="216"/>
      <c r="CU18" s="175"/>
      <c r="CV18" s="216"/>
      <c r="CX18" s="50"/>
      <c r="CZ18" s="45"/>
      <c r="DK18" s="151"/>
      <c r="DM18" s="151"/>
      <c r="DN18" s="45"/>
      <c r="DO18" s="151"/>
      <c r="DQ18" s="117"/>
      <c r="DR18" s="77"/>
      <c r="DS18" s="117"/>
      <c r="DT18" s="149"/>
      <c r="DU18" s="77"/>
      <c r="DV18" s="77"/>
      <c r="DW18" s="117"/>
      <c r="DX18" s="149"/>
      <c r="DY18" s="77"/>
      <c r="DZ18" s="77"/>
      <c r="EA18" s="117"/>
      <c r="EB18" s="149"/>
      <c r="EC18" s="77"/>
      <c r="ED18" s="77"/>
      <c r="EE18" s="77"/>
      <c r="EF18" s="117"/>
      <c r="EG18" s="149"/>
      <c r="EH18" s="77"/>
      <c r="EI18" s="149"/>
    </row>
    <row r="19" spans="1:139" x14ac:dyDescent="0.25">
      <c r="A19" s="195"/>
      <c r="B19" s="195"/>
      <c r="C19" s="195"/>
      <c r="D19" s="202">
        <f>SUM(D12:D18)</f>
        <v>8</v>
      </c>
      <c r="E19" s="202">
        <f>SUM(E12:E18)</f>
        <v>8</v>
      </c>
      <c r="F19" s="577">
        <f>SUM(F12:F18)</f>
        <v>33.270000000000003</v>
      </c>
      <c r="G19" s="577">
        <f>SUM(G12:G18)</f>
        <v>33.270000000000003</v>
      </c>
      <c r="H19" s="202">
        <f t="shared" ref="H19:AH19" si="86">SUM(H4:H18)</f>
        <v>0</v>
      </c>
      <c r="I19" s="202">
        <f t="shared" si="86"/>
        <v>0</v>
      </c>
      <c r="J19" s="202">
        <f t="shared" si="86"/>
        <v>0</v>
      </c>
      <c r="K19" s="202">
        <f t="shared" si="86"/>
        <v>0</v>
      </c>
      <c r="L19" s="202">
        <f t="shared" si="86"/>
        <v>0</v>
      </c>
      <c r="M19" s="202">
        <f t="shared" si="86"/>
        <v>0</v>
      </c>
      <c r="N19" s="202">
        <f t="shared" si="86"/>
        <v>0</v>
      </c>
      <c r="O19" s="202">
        <f t="shared" si="86"/>
        <v>0</v>
      </c>
      <c r="P19" s="202">
        <f t="shared" si="86"/>
        <v>0</v>
      </c>
      <c r="Q19" s="202">
        <f t="shared" si="86"/>
        <v>0</v>
      </c>
      <c r="R19" s="202">
        <f t="shared" si="86"/>
        <v>0</v>
      </c>
      <c r="S19" s="202">
        <f>SUM(S12:S18)</f>
        <v>0</v>
      </c>
      <c r="T19" s="202">
        <f>SUM(T12:T18)</f>
        <v>0</v>
      </c>
      <c r="U19" s="202" t="e">
        <f t="shared" si="86"/>
        <v>#REF!</v>
      </c>
      <c r="V19" s="202" t="e">
        <f t="shared" si="86"/>
        <v>#REF!</v>
      </c>
      <c r="W19" s="202" t="e">
        <f t="shared" si="86"/>
        <v>#REF!</v>
      </c>
      <c r="X19" s="202" t="e">
        <f t="shared" si="86"/>
        <v>#REF!</v>
      </c>
      <c r="Y19" s="202">
        <f t="shared" si="86"/>
        <v>0</v>
      </c>
      <c r="Z19" s="202">
        <f t="shared" si="86"/>
        <v>0</v>
      </c>
      <c r="AA19" s="202">
        <f t="shared" si="86"/>
        <v>0</v>
      </c>
      <c r="AB19" s="202">
        <f t="shared" si="86"/>
        <v>0</v>
      </c>
      <c r="AC19" s="202">
        <f t="shared" si="86"/>
        <v>0</v>
      </c>
      <c r="AD19" s="202">
        <f t="shared" si="86"/>
        <v>0</v>
      </c>
      <c r="AE19" s="202">
        <f t="shared" si="86"/>
        <v>0</v>
      </c>
      <c r="AF19" s="202">
        <f t="shared" si="86"/>
        <v>0</v>
      </c>
      <c r="AG19" s="202">
        <f t="shared" si="86"/>
        <v>0</v>
      </c>
      <c r="AH19" s="202">
        <f t="shared" si="86"/>
        <v>0</v>
      </c>
      <c r="AJ19" s="12"/>
      <c r="AK19" s="5"/>
      <c r="AL19" s="9"/>
      <c r="AM19" s="358"/>
      <c r="AN19" s="5"/>
      <c r="AO19" s="13"/>
      <c r="AQ19" s="50"/>
      <c r="AR19" s="50"/>
      <c r="AS19" s="146"/>
      <c r="AT19" s="359"/>
      <c r="AU19" s="190"/>
      <c r="AV19" s="194">
        <f>+AVERAGE(AV17:AV18)*2</f>
        <v>23.666666666666668</v>
      </c>
      <c r="AW19" s="28"/>
      <c r="AY19" s="209"/>
      <c r="AZ19" s="210"/>
      <c r="BA19" s="211"/>
      <c r="BB19" s="211"/>
      <c r="BC19" s="209"/>
      <c r="BD19" s="210"/>
      <c r="BE19" s="209"/>
      <c r="BF19" s="210"/>
      <c r="BG19" s="211"/>
      <c r="BH19" s="211"/>
      <c r="BI19" s="211"/>
      <c r="BJ19" s="210"/>
      <c r="BK19" s="210"/>
      <c r="BL19" s="210"/>
      <c r="BM19" s="210"/>
      <c r="BN19" s="210"/>
      <c r="BO19" s="50"/>
      <c r="BP19" s="215"/>
      <c r="BQ19" s="216"/>
      <c r="BR19" s="215"/>
      <c r="BS19" s="216"/>
      <c r="BT19" s="215"/>
      <c r="BU19" s="216"/>
      <c r="BV19" s="215"/>
      <c r="BW19" s="216"/>
      <c r="BX19" s="215"/>
      <c r="BY19" s="216"/>
      <c r="BZ19" s="215"/>
      <c r="CA19" s="216"/>
      <c r="CB19" s="51"/>
      <c r="CC19" s="157"/>
      <c r="CD19" s="51"/>
      <c r="CE19" s="157"/>
      <c r="CG19" s="215"/>
      <c r="CH19" s="175"/>
      <c r="CI19" s="175"/>
      <c r="CJ19" s="175"/>
      <c r="CK19" s="175"/>
      <c r="CL19" s="175"/>
      <c r="CM19" s="175"/>
      <c r="CN19" s="175"/>
      <c r="CO19" s="175"/>
      <c r="CP19" s="175"/>
      <c r="CQ19" s="175"/>
      <c r="CR19" s="216"/>
      <c r="CS19" s="215"/>
      <c r="CT19" s="216"/>
      <c r="CU19" s="175"/>
      <c r="CV19" s="216"/>
      <c r="CX19" s="50"/>
      <c r="CZ19" s="45"/>
      <c r="DK19" s="151"/>
      <c r="DM19" s="151"/>
      <c r="DN19" s="45"/>
      <c r="DO19" s="151"/>
      <c r="DQ19" s="117"/>
      <c r="DR19" s="77"/>
      <c r="DS19" s="117"/>
      <c r="DT19" s="149"/>
      <c r="DU19" s="77"/>
      <c r="DV19" s="77"/>
      <c r="DW19" s="117"/>
      <c r="DX19" s="149"/>
      <c r="DY19" s="77"/>
      <c r="DZ19" s="77"/>
      <c r="EA19" s="117"/>
      <c r="EB19" s="149"/>
      <c r="EC19" s="77"/>
      <c r="ED19" s="77"/>
      <c r="EE19" s="77"/>
      <c r="EF19" s="117"/>
      <c r="EG19" s="149"/>
      <c r="EH19" s="77"/>
      <c r="EI19" s="149"/>
    </row>
    <row r="20" spans="1:139" x14ac:dyDescent="0.25">
      <c r="A20" s="195">
        <f>A18+1</f>
        <v>45887</v>
      </c>
      <c r="B20" s="158" t="s">
        <v>7</v>
      </c>
      <c r="C20" s="195"/>
      <c r="D20" s="45"/>
      <c r="E20" s="45"/>
      <c r="F20" s="51"/>
      <c r="G20" s="154"/>
      <c r="H20" s="169">
        <f t="shared" ref="H20:H26" si="87">I20+J20</f>
        <v>0</v>
      </c>
      <c r="I20" s="169">
        <f t="shared" ref="I20:I26" si="88">K20+M20+Q20</f>
        <v>0</v>
      </c>
      <c r="J20" s="169">
        <f t="shared" ref="J20:J26" si="89">L20+N20+R20</f>
        <v>0</v>
      </c>
      <c r="K20" s="45"/>
      <c r="L20" s="151"/>
      <c r="M20" s="45"/>
      <c r="N20" s="151"/>
      <c r="Q20" s="45"/>
      <c r="R20" s="151"/>
      <c r="S20" s="320">
        <f t="shared" ref="S20:S26" si="90">SUM(T20:U20)</f>
        <v>0</v>
      </c>
      <c r="V20" s="320">
        <f t="shared" ref="V20:V26" si="91">SUM(W20:X20)</f>
        <v>0</v>
      </c>
      <c r="Y20" s="45"/>
      <c r="Z20" s="151"/>
      <c r="AD20" s="45"/>
      <c r="AG20" s="45"/>
      <c r="AH20" s="151"/>
      <c r="AJ20" s="12"/>
      <c r="AK20" s="5"/>
      <c r="AL20" s="9"/>
      <c r="AM20" s="358"/>
      <c r="AN20" s="5"/>
      <c r="AO20" s="13"/>
      <c r="AQ20" s="28">
        <v>0</v>
      </c>
      <c r="AR20" s="28">
        <v>3</v>
      </c>
      <c r="AS20" s="146">
        <f t="shared" ref="AS20:AS26" si="92">AQ20/AR20</f>
        <v>0</v>
      </c>
      <c r="AT20" s="359">
        <v>14.1</v>
      </c>
      <c r="AU20" s="190">
        <v>1</v>
      </c>
      <c r="AV20" s="179">
        <f t="shared" ref="AV20:AV26" si="93">AT20*AS20*AU20</f>
        <v>0</v>
      </c>
      <c r="AW20" s="28"/>
      <c r="AY20" s="209"/>
      <c r="AZ20" s="210"/>
      <c r="BA20" s="211"/>
      <c r="BB20" s="211"/>
      <c r="BC20" s="209"/>
      <c r="BD20" s="210"/>
      <c r="BE20" s="209"/>
      <c r="BF20" s="210"/>
      <c r="BG20" s="211"/>
      <c r="BH20" s="211"/>
      <c r="BI20" s="211"/>
      <c r="BJ20" s="210"/>
      <c r="BK20" s="210"/>
      <c r="BL20" s="210"/>
      <c r="BM20" s="210"/>
      <c r="BN20" s="210"/>
      <c r="BO20" s="50"/>
      <c r="BP20" s="215"/>
      <c r="BQ20" s="216"/>
      <c r="BR20" s="215"/>
      <c r="BS20" s="216"/>
      <c r="BT20" s="215"/>
      <c r="BU20" s="216"/>
      <c r="BV20" s="215"/>
      <c r="BW20" s="216"/>
      <c r="BX20" s="215"/>
      <c r="BY20" s="216"/>
      <c r="BZ20" s="215"/>
      <c r="CA20" s="216"/>
      <c r="CB20" s="51"/>
      <c r="CC20" s="157"/>
      <c r="CD20" s="51"/>
      <c r="CE20" s="157"/>
      <c r="CG20" s="215"/>
      <c r="CH20" s="175"/>
      <c r="CI20" s="175"/>
      <c r="CJ20" s="175"/>
      <c r="CK20" s="175"/>
      <c r="CL20" s="175"/>
      <c r="CM20" s="175"/>
      <c r="CN20" s="175"/>
      <c r="CO20" s="175"/>
      <c r="CP20" s="175"/>
      <c r="CQ20" s="175"/>
      <c r="CR20" s="216"/>
      <c r="CS20" s="215"/>
      <c r="CT20" s="216"/>
      <c r="CU20" s="175"/>
      <c r="CV20" s="216"/>
      <c r="CX20" s="150">
        <v>5</v>
      </c>
      <c r="CZ20" s="223">
        <f t="shared" ref="CZ20" si="94">CG20*$CX20</f>
        <v>0</v>
      </c>
      <c r="DA20" s="159">
        <f t="shared" ref="DA20" si="95">CH20*$CX20</f>
        <v>0</v>
      </c>
      <c r="DB20" s="159">
        <f t="shared" ref="DB20" si="96">CI20*$CX20</f>
        <v>0</v>
      </c>
      <c r="DC20" s="159">
        <f t="shared" ref="DC20" si="97">CJ20*$CX20</f>
        <v>0</v>
      </c>
      <c r="DD20" s="159">
        <f t="shared" ref="DD20" si="98">CK20*$CX20</f>
        <v>0</v>
      </c>
      <c r="DE20" s="159">
        <f t="shared" ref="DE20" si="99">CL20*$CX20</f>
        <v>0</v>
      </c>
      <c r="DF20" s="159">
        <f t="shared" ref="DF20" si="100">CM20*$CX20</f>
        <v>0</v>
      </c>
      <c r="DG20" s="159">
        <f t="shared" ref="DG20" si="101">CN20*$CX20</f>
        <v>0</v>
      </c>
      <c r="DH20" s="159">
        <f t="shared" ref="DH20" si="102">CO20*$CX20</f>
        <v>0</v>
      </c>
      <c r="DI20" s="159">
        <f t="shared" ref="DI20" si="103">CP20*$CX20</f>
        <v>0</v>
      </c>
      <c r="DJ20" s="159">
        <f t="shared" ref="DJ20" si="104">CQ20*$CX20</f>
        <v>0</v>
      </c>
      <c r="DK20" s="224">
        <f t="shared" ref="DK20" si="105">CR20*$CX20</f>
        <v>0</v>
      </c>
      <c r="DL20" s="223">
        <f t="shared" ref="DL20" si="106">CS20*$CX20</f>
        <v>0</v>
      </c>
      <c r="DM20" s="224">
        <f t="shared" ref="DM20" si="107">CT20*$CX20</f>
        <v>0</v>
      </c>
      <c r="DN20" s="223">
        <f t="shared" ref="DN20" si="108">CU20*$CX20</f>
        <v>0</v>
      </c>
      <c r="DO20" s="224">
        <f t="shared" ref="DO20" si="109">CV20*$CX20</f>
        <v>0</v>
      </c>
      <c r="DQ20" s="117"/>
      <c r="DR20" s="77"/>
      <c r="DS20" s="117"/>
      <c r="DT20" s="149"/>
      <c r="DU20" s="77"/>
      <c r="DV20" s="77"/>
      <c r="DW20" s="117"/>
      <c r="DX20" s="149"/>
      <c r="DY20" s="77"/>
      <c r="DZ20" s="77"/>
      <c r="EA20" s="117"/>
      <c r="EB20" s="149"/>
      <c r="EC20" s="77"/>
      <c r="ED20" s="77"/>
      <c r="EE20" s="77"/>
      <c r="EF20" s="117"/>
      <c r="EG20" s="149"/>
      <c r="EH20" s="77"/>
      <c r="EI20" s="149"/>
    </row>
    <row r="21" spans="1:139" x14ac:dyDescent="0.25">
      <c r="A21" s="195">
        <f t="shared" si="37"/>
        <v>45888</v>
      </c>
      <c r="B21" s="158" t="s">
        <v>94</v>
      </c>
      <c r="C21" s="195"/>
      <c r="D21" s="45">
        <v>0</v>
      </c>
      <c r="E21" s="45">
        <v>0</v>
      </c>
      <c r="F21" s="51">
        <v>0</v>
      </c>
      <c r="G21" s="154">
        <v>0</v>
      </c>
      <c r="H21" s="169">
        <f t="shared" si="87"/>
        <v>0</v>
      </c>
      <c r="I21" s="169">
        <f t="shared" si="88"/>
        <v>0</v>
      </c>
      <c r="J21" s="169">
        <f t="shared" si="89"/>
        <v>0</v>
      </c>
      <c r="K21" s="45"/>
      <c r="L21" s="151"/>
      <c r="M21" s="45"/>
      <c r="N21" s="151"/>
      <c r="Q21" s="45"/>
      <c r="R21" s="151"/>
      <c r="S21" s="320">
        <f t="shared" si="90"/>
        <v>0</v>
      </c>
      <c r="V21" s="320">
        <f t="shared" si="91"/>
        <v>0</v>
      </c>
      <c r="Y21" s="45"/>
      <c r="Z21" s="151"/>
      <c r="AD21" s="45"/>
      <c r="AG21" s="45"/>
      <c r="AH21" s="151"/>
      <c r="AJ21" s="12"/>
      <c r="AK21" s="5"/>
      <c r="AL21" s="9"/>
      <c r="AM21" s="358"/>
      <c r="AN21" s="5"/>
      <c r="AO21" s="13"/>
      <c r="AQ21" s="50">
        <v>0</v>
      </c>
      <c r="AR21" s="50">
        <v>3</v>
      </c>
      <c r="AS21" s="146">
        <f t="shared" si="92"/>
        <v>0</v>
      </c>
      <c r="AT21" s="359">
        <v>14.1</v>
      </c>
      <c r="AU21" s="190">
        <v>1</v>
      </c>
      <c r="AV21" s="179">
        <f t="shared" si="93"/>
        <v>0</v>
      </c>
      <c r="AW21" s="28"/>
      <c r="AY21" s="209"/>
      <c r="AZ21" s="210"/>
      <c r="BA21" s="211"/>
      <c r="BB21" s="211"/>
      <c r="BC21" s="209"/>
      <c r="BD21" s="210"/>
      <c r="BE21" s="209"/>
      <c r="BF21" s="210"/>
      <c r="BG21" s="211"/>
      <c r="BH21" s="211"/>
      <c r="BI21" s="211"/>
      <c r="BJ21" s="210"/>
      <c r="BK21" s="210"/>
      <c r="BL21" s="210"/>
      <c r="BM21" s="210"/>
      <c r="BN21" s="210"/>
      <c r="BO21" s="50"/>
      <c r="BP21" s="215">
        <f t="shared" si="21"/>
        <v>0</v>
      </c>
      <c r="BQ21" s="216">
        <f t="shared" si="22"/>
        <v>0</v>
      </c>
      <c r="BR21" s="215">
        <f t="shared" si="23"/>
        <v>0</v>
      </c>
      <c r="BS21" s="216">
        <f t="shared" si="24"/>
        <v>0</v>
      </c>
      <c r="BT21" s="215">
        <f t="shared" si="25"/>
        <v>0</v>
      </c>
      <c r="BU21" s="216">
        <f t="shared" si="26"/>
        <v>0</v>
      </c>
      <c r="BV21" s="215">
        <f t="shared" si="27"/>
        <v>0</v>
      </c>
      <c r="BW21" s="216">
        <f t="shared" si="28"/>
        <v>0</v>
      </c>
      <c r="BX21" s="215">
        <f t="shared" si="29"/>
        <v>0</v>
      </c>
      <c r="BY21" s="216">
        <f t="shared" si="30"/>
        <v>0</v>
      </c>
      <c r="BZ21" s="215">
        <f t="shared" si="31"/>
        <v>0</v>
      </c>
      <c r="CA21" s="216">
        <f t="shared" si="32"/>
        <v>0</v>
      </c>
      <c r="CB21" s="51">
        <f t="shared" si="33"/>
        <v>0</v>
      </c>
      <c r="CC21" s="157">
        <f t="shared" si="34"/>
        <v>0</v>
      </c>
      <c r="CD21" s="51">
        <f t="shared" si="35"/>
        <v>0</v>
      </c>
      <c r="CE21" s="157">
        <f t="shared" si="36"/>
        <v>0</v>
      </c>
      <c r="CG21" s="215"/>
      <c r="CH21" s="175"/>
      <c r="CI21" s="175"/>
      <c r="CJ21" s="175"/>
      <c r="CK21" s="175"/>
      <c r="CL21" s="175"/>
      <c r="CM21" s="175"/>
      <c r="CN21" s="175"/>
      <c r="CO21" s="175"/>
      <c r="CP21" s="175"/>
      <c r="CQ21" s="175"/>
      <c r="CR21" s="216"/>
      <c r="CS21" s="215"/>
      <c r="CT21" s="216"/>
      <c r="CU21" s="175"/>
      <c r="CV21" s="216"/>
      <c r="CX21" s="50"/>
      <c r="CZ21" s="45"/>
      <c r="DK21" s="151"/>
      <c r="DM21" s="151"/>
      <c r="DN21" s="45"/>
      <c r="DO21" s="151"/>
      <c r="DQ21" s="117"/>
      <c r="DR21" s="77"/>
      <c r="DS21" s="117"/>
      <c r="DT21" s="149"/>
      <c r="DU21" s="77"/>
      <c r="DV21" s="77"/>
      <c r="DW21" s="117"/>
      <c r="DX21" s="149"/>
      <c r="DY21" s="77"/>
      <c r="DZ21" s="77"/>
      <c r="EA21" s="117"/>
      <c r="EB21" s="149"/>
      <c r="EC21" s="77"/>
      <c r="ED21" s="77"/>
      <c r="EE21" s="77"/>
      <c r="EF21" s="117"/>
      <c r="EG21" s="149"/>
      <c r="EH21" s="77"/>
      <c r="EI21" s="149"/>
    </row>
    <row r="22" spans="1:139" x14ac:dyDescent="0.25">
      <c r="A22" s="195">
        <f t="shared" si="37"/>
        <v>45889</v>
      </c>
      <c r="B22" s="158" t="s">
        <v>11</v>
      </c>
      <c r="C22" s="195"/>
      <c r="D22" s="45">
        <v>0</v>
      </c>
      <c r="E22" s="45">
        <v>0</v>
      </c>
      <c r="F22" s="51">
        <v>0</v>
      </c>
      <c r="G22" s="154">
        <v>0</v>
      </c>
      <c r="H22" s="169">
        <f t="shared" si="87"/>
        <v>0</v>
      </c>
      <c r="I22" s="169">
        <f t="shared" si="88"/>
        <v>0</v>
      </c>
      <c r="J22" s="169">
        <f t="shared" si="89"/>
        <v>0</v>
      </c>
      <c r="K22" s="45"/>
      <c r="L22" s="151"/>
      <c r="M22" s="45"/>
      <c r="N22" s="151"/>
      <c r="Q22" s="45"/>
      <c r="R22" s="151"/>
      <c r="S22" s="320">
        <f t="shared" si="90"/>
        <v>0</v>
      </c>
      <c r="V22" s="320">
        <f t="shared" si="91"/>
        <v>0</v>
      </c>
      <c r="Y22" s="45"/>
      <c r="Z22" s="151"/>
      <c r="AD22" s="45"/>
      <c r="AG22" s="45"/>
      <c r="AH22" s="151"/>
      <c r="AJ22" s="12"/>
      <c r="AK22" s="5"/>
      <c r="AL22" s="9"/>
      <c r="AM22" s="358"/>
      <c r="AN22" s="5"/>
      <c r="AO22" s="13"/>
      <c r="AQ22" s="50">
        <v>0</v>
      </c>
      <c r="AR22" s="50">
        <v>3</v>
      </c>
      <c r="AS22" s="146">
        <f t="shared" si="92"/>
        <v>0</v>
      </c>
      <c r="AT22" s="359">
        <v>14</v>
      </c>
      <c r="AU22" s="190">
        <v>1</v>
      </c>
      <c r="AV22" s="179">
        <f t="shared" si="93"/>
        <v>0</v>
      </c>
      <c r="AW22" s="28">
        <v>4</v>
      </c>
      <c r="AY22" s="209"/>
      <c r="AZ22" s="210"/>
      <c r="BA22" s="211"/>
      <c r="BB22" s="211"/>
      <c r="BC22" s="209"/>
      <c r="BD22" s="210"/>
      <c r="BE22" s="209"/>
      <c r="BF22" s="210"/>
      <c r="BG22" s="211"/>
      <c r="BH22" s="211"/>
      <c r="BI22" s="211"/>
      <c r="BJ22" s="210"/>
      <c r="BK22" s="210"/>
      <c r="BL22" s="210"/>
      <c r="BM22" s="210"/>
      <c r="BN22" s="210"/>
      <c r="BO22" s="50"/>
      <c r="BP22" s="215">
        <f t="shared" si="21"/>
        <v>0</v>
      </c>
      <c r="BQ22" s="216">
        <f t="shared" si="22"/>
        <v>0</v>
      </c>
      <c r="BR22" s="215">
        <f t="shared" si="23"/>
        <v>0</v>
      </c>
      <c r="BS22" s="216">
        <f t="shared" si="24"/>
        <v>0</v>
      </c>
      <c r="BT22" s="215">
        <f t="shared" si="25"/>
        <v>0</v>
      </c>
      <c r="BU22" s="216">
        <f t="shared" si="26"/>
        <v>0</v>
      </c>
      <c r="BV22" s="215">
        <f t="shared" si="27"/>
        <v>0</v>
      </c>
      <c r="BW22" s="216">
        <f t="shared" si="28"/>
        <v>0</v>
      </c>
      <c r="BX22" s="215">
        <f t="shared" si="29"/>
        <v>0</v>
      </c>
      <c r="BY22" s="216">
        <f t="shared" si="30"/>
        <v>0</v>
      </c>
      <c r="BZ22" s="215">
        <f t="shared" si="31"/>
        <v>0</v>
      </c>
      <c r="CA22" s="216">
        <f t="shared" si="32"/>
        <v>0</v>
      </c>
      <c r="CB22" s="51">
        <f t="shared" si="33"/>
        <v>0</v>
      </c>
      <c r="CC22" s="157">
        <f t="shared" si="34"/>
        <v>0</v>
      </c>
      <c r="CD22" s="51">
        <f t="shared" si="35"/>
        <v>0</v>
      </c>
      <c r="CE22" s="157">
        <f t="shared" si="36"/>
        <v>0</v>
      </c>
      <c r="CG22" s="215"/>
      <c r="CH22" s="175"/>
      <c r="CI22" s="175"/>
      <c r="CJ22" s="175"/>
      <c r="CK22" s="175"/>
      <c r="CL22" s="175"/>
      <c r="CM22" s="175"/>
      <c r="CN22" s="175"/>
      <c r="CO22" s="175"/>
      <c r="CP22" s="175"/>
      <c r="CQ22" s="175"/>
      <c r="CR22" s="216"/>
      <c r="CS22" s="215"/>
      <c r="CT22" s="216"/>
      <c r="CU22" s="175"/>
      <c r="CV22" s="216"/>
      <c r="CX22" s="150"/>
      <c r="CZ22" s="225"/>
      <c r="DA22" s="160"/>
      <c r="DB22" s="160"/>
      <c r="DC22" s="160"/>
      <c r="DD22" s="160"/>
      <c r="DE22" s="160"/>
      <c r="DF22" s="160"/>
      <c r="DG22" s="160"/>
      <c r="DH22" s="160"/>
      <c r="DI22" s="160"/>
      <c r="DJ22" s="160"/>
      <c r="DK22" s="161"/>
      <c r="DM22" s="151"/>
      <c r="DN22" s="45"/>
      <c r="DO22" s="151"/>
      <c r="DQ22" s="117"/>
      <c r="DR22" s="77"/>
      <c r="DS22" s="117"/>
      <c r="DT22" s="149"/>
      <c r="DU22" s="77"/>
      <c r="DV22" s="77"/>
      <c r="DW22" s="117"/>
      <c r="DX22" s="149"/>
      <c r="DY22" s="77"/>
      <c r="DZ22" s="77"/>
      <c r="EA22" s="117"/>
      <c r="EB22" s="149"/>
      <c r="EC22" s="77"/>
      <c r="ED22" s="77"/>
      <c r="EE22" s="77"/>
      <c r="EF22" s="117"/>
      <c r="EG22" s="149"/>
      <c r="EH22" s="77"/>
      <c r="EI22" s="149"/>
    </row>
    <row r="23" spans="1:139" x14ac:dyDescent="0.25">
      <c r="A23" s="195">
        <f t="shared" si="37"/>
        <v>45890</v>
      </c>
      <c r="B23" s="158" t="s">
        <v>95</v>
      </c>
      <c r="C23" s="195"/>
      <c r="D23" s="45">
        <v>0</v>
      </c>
      <c r="E23" s="45">
        <v>0</v>
      </c>
      <c r="F23" s="51">
        <v>0</v>
      </c>
      <c r="G23" s="154">
        <v>0</v>
      </c>
      <c r="H23" s="169">
        <f t="shared" si="87"/>
        <v>0</v>
      </c>
      <c r="I23" s="169">
        <f t="shared" si="88"/>
        <v>0</v>
      </c>
      <c r="J23" s="169">
        <f t="shared" si="89"/>
        <v>0</v>
      </c>
      <c r="K23" s="45"/>
      <c r="L23" s="151"/>
      <c r="M23" s="45"/>
      <c r="N23" s="151"/>
      <c r="Q23" s="45"/>
      <c r="R23" s="151"/>
      <c r="S23" s="320">
        <f t="shared" si="90"/>
        <v>0</v>
      </c>
      <c r="V23" s="320">
        <f t="shared" si="91"/>
        <v>0</v>
      </c>
      <c r="Y23" s="45"/>
      <c r="Z23" s="151"/>
      <c r="AD23" s="45"/>
      <c r="AG23" s="45"/>
      <c r="AH23" s="151"/>
      <c r="AJ23" s="12"/>
      <c r="AK23" s="5"/>
      <c r="AL23" s="9"/>
      <c r="AM23" s="358"/>
      <c r="AN23" s="5"/>
      <c r="AO23" s="13"/>
      <c r="AQ23" s="50">
        <v>0</v>
      </c>
      <c r="AR23" s="50">
        <v>3</v>
      </c>
      <c r="AS23" s="146">
        <f t="shared" si="92"/>
        <v>0</v>
      </c>
      <c r="AT23" s="359">
        <v>14</v>
      </c>
      <c r="AU23" s="190">
        <v>1</v>
      </c>
      <c r="AV23" s="179">
        <f t="shared" si="93"/>
        <v>0</v>
      </c>
      <c r="AW23" s="28"/>
      <c r="AY23" s="209"/>
      <c r="AZ23" s="210"/>
      <c r="BA23" s="211"/>
      <c r="BB23" s="211"/>
      <c r="BC23" s="209"/>
      <c r="BD23" s="210"/>
      <c r="BE23" s="209"/>
      <c r="BF23" s="210"/>
      <c r="BG23" s="211"/>
      <c r="BH23" s="211"/>
      <c r="BI23" s="211"/>
      <c r="BJ23" s="210"/>
      <c r="BK23" s="210"/>
      <c r="BL23" s="210"/>
      <c r="BM23" s="210"/>
      <c r="BN23" s="210"/>
      <c r="BO23" s="50"/>
      <c r="BP23" s="215"/>
      <c r="BQ23" s="216"/>
      <c r="BR23" s="215"/>
      <c r="BS23" s="216"/>
      <c r="BT23" s="215"/>
      <c r="BU23" s="216"/>
      <c r="BV23" s="215"/>
      <c r="BW23" s="216"/>
      <c r="BX23" s="215"/>
      <c r="BY23" s="216"/>
      <c r="BZ23" s="215"/>
      <c r="CA23" s="216"/>
      <c r="CB23" s="51"/>
      <c r="CC23" s="157"/>
      <c r="CD23" s="51"/>
      <c r="CE23" s="157"/>
      <c r="CG23" s="215"/>
      <c r="CH23" s="175"/>
      <c r="CI23" s="175"/>
      <c r="CJ23" s="175"/>
      <c r="CK23" s="175"/>
      <c r="CL23" s="175"/>
      <c r="CM23" s="175"/>
      <c r="CN23" s="175"/>
      <c r="CO23" s="175"/>
      <c r="CP23" s="175"/>
      <c r="CQ23" s="175"/>
      <c r="CR23" s="216"/>
      <c r="CS23" s="215"/>
      <c r="CT23" s="216"/>
      <c r="CU23" s="175"/>
      <c r="CV23" s="216"/>
      <c r="CX23" s="50"/>
      <c r="CZ23" s="45"/>
      <c r="DK23" s="151"/>
      <c r="DM23" s="151"/>
      <c r="DN23" s="45"/>
      <c r="DO23" s="151"/>
      <c r="DQ23" s="117"/>
      <c r="DR23" s="77"/>
      <c r="DS23" s="117"/>
      <c r="DT23" s="149"/>
      <c r="DU23" s="77"/>
      <c r="DV23" s="77"/>
      <c r="DW23" s="117"/>
      <c r="DX23" s="149"/>
      <c r="DY23" s="77"/>
      <c r="DZ23" s="77"/>
      <c r="EA23" s="117"/>
      <c r="EB23" s="149"/>
      <c r="EC23" s="77"/>
      <c r="ED23" s="77"/>
      <c r="EE23" s="77"/>
      <c r="EF23" s="117"/>
      <c r="EG23" s="149"/>
      <c r="EH23" s="77"/>
      <c r="EI23" s="149"/>
    </row>
    <row r="24" spans="1:139" x14ac:dyDescent="0.25">
      <c r="A24" s="195">
        <f t="shared" si="37"/>
        <v>45891</v>
      </c>
      <c r="B24" s="195" t="s">
        <v>13</v>
      </c>
      <c r="C24" s="195"/>
      <c r="D24" s="45">
        <v>1</v>
      </c>
      <c r="E24" s="45">
        <v>2</v>
      </c>
      <c r="F24" s="51">
        <v>3.52</v>
      </c>
      <c r="G24" s="154">
        <v>7.03</v>
      </c>
      <c r="H24" s="169">
        <f t="shared" si="87"/>
        <v>0</v>
      </c>
      <c r="I24" s="169">
        <f t="shared" si="88"/>
        <v>0</v>
      </c>
      <c r="J24" s="169">
        <f t="shared" si="89"/>
        <v>0</v>
      </c>
      <c r="K24" s="45"/>
      <c r="L24" s="151"/>
      <c r="M24" s="45"/>
      <c r="N24" s="151"/>
      <c r="P24" s="27">
        <v>1</v>
      </c>
      <c r="Q24" s="45"/>
      <c r="R24" s="151"/>
      <c r="S24" s="320">
        <f t="shared" si="90"/>
        <v>0</v>
      </c>
      <c r="V24" s="320">
        <f t="shared" si="91"/>
        <v>0</v>
      </c>
      <c r="Y24" s="45"/>
      <c r="Z24" s="151"/>
      <c r="AD24" s="45"/>
      <c r="AG24" s="45"/>
      <c r="AH24" s="151"/>
      <c r="AJ24" s="12"/>
      <c r="AK24" s="5"/>
      <c r="AL24" s="9"/>
      <c r="AM24" s="358"/>
      <c r="AN24" s="5"/>
      <c r="AO24" s="13"/>
      <c r="AQ24" s="50">
        <v>2</v>
      </c>
      <c r="AR24" s="50">
        <v>3</v>
      </c>
      <c r="AS24" s="146">
        <f t="shared" si="92"/>
        <v>0.66666666666666663</v>
      </c>
      <c r="AT24" s="359">
        <v>13.9</v>
      </c>
      <c r="AU24" s="190">
        <v>1</v>
      </c>
      <c r="AV24" s="179">
        <f t="shared" si="93"/>
        <v>9.2666666666666657</v>
      </c>
      <c r="AW24" s="28"/>
      <c r="AY24" s="209">
        <f t="shared" ref="AY24" si="110">H24/G24</f>
        <v>0</v>
      </c>
      <c r="AZ24" s="210">
        <f t="shared" ref="AZ24" si="111">I24/G24</f>
        <v>0</v>
      </c>
      <c r="BA24" s="211">
        <f t="shared" ref="BA24" si="112">(K24+L24)/$G24</f>
        <v>0</v>
      </c>
      <c r="BB24" s="211">
        <f t="shared" ref="BB24" si="113">K24/$G24</f>
        <v>0</v>
      </c>
      <c r="BC24" s="209">
        <f t="shared" ref="BC24" si="114">(M24+N24)/$G24</f>
        <v>0</v>
      </c>
      <c r="BD24" s="210">
        <f t="shared" ref="BD24" si="115">M24/$G24</f>
        <v>0</v>
      </c>
      <c r="BE24" s="209">
        <f t="shared" ref="BE24" si="116">(Q24+R24)/$G24</f>
        <v>0</v>
      </c>
      <c r="BF24" s="210">
        <f t="shared" ref="BF24" si="117">Q24/$G24</f>
        <v>0</v>
      </c>
      <c r="BG24" s="211">
        <f t="shared" ref="BG24" si="118">S24/$G24</f>
        <v>0</v>
      </c>
      <c r="BH24" s="211">
        <f t="shared" ref="BH24" si="119">V24/$G24</f>
        <v>0</v>
      </c>
      <c r="BI24" s="211">
        <f t="shared" ref="BI24" si="120">AA24/$G24</f>
        <v>0</v>
      </c>
      <c r="BJ24" s="210">
        <f t="shared" ref="BJ24" si="121">AH24/$G24</f>
        <v>0</v>
      </c>
      <c r="BK24" s="210"/>
      <c r="BL24" s="210"/>
      <c r="BM24" s="210"/>
      <c r="BN24" s="210"/>
      <c r="BO24" s="50"/>
      <c r="BP24" s="215">
        <f t="shared" ref="BP24:BP25" si="122">AY24*$AV24</f>
        <v>0</v>
      </c>
      <c r="BQ24" s="216">
        <f t="shared" ref="BQ24:BQ25" si="123">AZ24*$AV24</f>
        <v>0</v>
      </c>
      <c r="BR24" s="215">
        <f t="shared" ref="BR24:BR25" si="124">BA24*$AV24</f>
        <v>0</v>
      </c>
      <c r="BS24" s="216">
        <f t="shared" ref="BS24:BS25" si="125">BB24*$AV24</f>
        <v>0</v>
      </c>
      <c r="BT24" s="215">
        <f t="shared" ref="BT24:BT25" si="126">BC24*$AV24</f>
        <v>0</v>
      </c>
      <c r="BU24" s="216">
        <f t="shared" ref="BU24:BU25" si="127">BD24*$AV24</f>
        <v>0</v>
      </c>
      <c r="BV24" s="215">
        <f t="shared" ref="BV24:BV25" si="128">BE24*$AV24</f>
        <v>0</v>
      </c>
      <c r="BW24" s="216">
        <f t="shared" ref="BW24:BW25" si="129">BF24*$AV24</f>
        <v>0</v>
      </c>
      <c r="BX24" s="215">
        <f t="shared" ref="BX24:BX25" si="130">BG24*$AV24</f>
        <v>0</v>
      </c>
      <c r="BY24" s="216">
        <f t="shared" ref="BY24:BY25" si="131">BH24*$AV24</f>
        <v>0</v>
      </c>
      <c r="BZ24" s="215">
        <f t="shared" ref="BZ24:BZ25" si="132">BI24*$AV24</f>
        <v>0</v>
      </c>
      <c r="CA24" s="216">
        <f t="shared" ref="CA24:CA25" si="133">BJ24*$AV24</f>
        <v>0</v>
      </c>
      <c r="CB24" s="51">
        <f t="shared" ref="CB24:CB25" si="134">BK24*$AV24</f>
        <v>0</v>
      </c>
      <c r="CC24" s="157">
        <f t="shared" ref="CC24:CC25" si="135">BL24*$AV24</f>
        <v>0</v>
      </c>
      <c r="CD24" s="51">
        <f t="shared" ref="CD24:CD25" si="136">BM24*$AV24</f>
        <v>0</v>
      </c>
      <c r="CE24" s="157">
        <f t="shared" ref="CE24:CE25" si="137">BN24*$AV24</f>
        <v>0</v>
      </c>
      <c r="CG24" s="215"/>
      <c r="CH24" s="175"/>
      <c r="CI24" s="175"/>
      <c r="CJ24" s="175"/>
      <c r="CK24" s="175"/>
      <c r="CL24" s="175"/>
      <c r="CM24" s="175"/>
      <c r="CN24" s="175"/>
      <c r="CO24" s="175"/>
      <c r="CP24" s="175"/>
      <c r="CQ24" s="175"/>
      <c r="CR24" s="216"/>
      <c r="CS24" s="215"/>
      <c r="CT24" s="216"/>
      <c r="CU24" s="175"/>
      <c r="CV24" s="216"/>
      <c r="CX24" s="50"/>
      <c r="CZ24" s="45"/>
      <c r="DK24" s="151"/>
      <c r="DM24" s="151"/>
      <c r="DN24" s="45"/>
      <c r="DO24" s="151"/>
      <c r="DQ24" s="117"/>
      <c r="DR24" s="77"/>
      <c r="DS24" s="117"/>
      <c r="DT24" s="149"/>
      <c r="DU24" s="77"/>
      <c r="DV24" s="77"/>
      <c r="DW24" s="117"/>
      <c r="DX24" s="149"/>
      <c r="DY24" s="77"/>
      <c r="DZ24" s="77"/>
      <c r="EA24" s="117"/>
      <c r="EB24" s="149"/>
      <c r="EC24" s="77"/>
      <c r="ED24" s="77"/>
      <c r="EE24" s="77"/>
      <c r="EF24" s="117"/>
      <c r="EG24" s="149"/>
      <c r="EH24" s="77"/>
      <c r="EI24" s="149"/>
    </row>
    <row r="25" spans="1:139" x14ac:dyDescent="0.25">
      <c r="A25" s="195">
        <f t="shared" si="37"/>
        <v>45892</v>
      </c>
      <c r="B25" s="195" t="s">
        <v>14</v>
      </c>
      <c r="C25" s="195"/>
      <c r="D25" s="45">
        <v>9</v>
      </c>
      <c r="E25" s="45">
        <v>9</v>
      </c>
      <c r="F25" s="51">
        <v>17.57</v>
      </c>
      <c r="G25" s="154">
        <v>17.57</v>
      </c>
      <c r="H25" s="169">
        <f t="shared" si="87"/>
        <v>0</v>
      </c>
      <c r="I25" s="169">
        <f t="shared" si="88"/>
        <v>0</v>
      </c>
      <c r="J25" s="169">
        <f t="shared" si="89"/>
        <v>0</v>
      </c>
      <c r="K25" s="45"/>
      <c r="L25" s="151"/>
      <c r="M25" s="45"/>
      <c r="N25" s="151"/>
      <c r="Q25" s="45"/>
      <c r="R25" s="151"/>
      <c r="S25" s="320">
        <f t="shared" si="90"/>
        <v>0</v>
      </c>
      <c r="V25" s="320">
        <f t="shared" si="91"/>
        <v>0</v>
      </c>
      <c r="Y25" s="45"/>
      <c r="Z25" s="151"/>
      <c r="AD25" s="45"/>
      <c r="AG25" s="45"/>
      <c r="AH25" s="151"/>
      <c r="AJ25" s="12"/>
      <c r="AK25" s="5"/>
      <c r="AL25" s="9"/>
      <c r="AM25" s="358"/>
      <c r="AN25" s="5"/>
      <c r="AO25" s="13"/>
      <c r="AQ25" s="50">
        <v>9</v>
      </c>
      <c r="AR25" s="50">
        <v>3</v>
      </c>
      <c r="AS25" s="146">
        <f t="shared" ref="AS25" si="138">AQ25/AR25</f>
        <v>3</v>
      </c>
      <c r="AT25" s="359">
        <v>13.9</v>
      </c>
      <c r="AU25" s="190">
        <v>1</v>
      </c>
      <c r="AV25" s="179">
        <f t="shared" ref="AV25" si="139">AT25*AS25*AU25</f>
        <v>41.7</v>
      </c>
      <c r="AW25" s="28">
        <v>8</v>
      </c>
      <c r="AY25" s="209">
        <f t="shared" ref="AY25" si="140">H25/G25</f>
        <v>0</v>
      </c>
      <c r="AZ25" s="210">
        <f t="shared" ref="AZ25" si="141">I25/G25</f>
        <v>0</v>
      </c>
      <c r="BA25" s="211">
        <f t="shared" ref="BA25" si="142">(K25+L25)/$G25</f>
        <v>0</v>
      </c>
      <c r="BB25" s="211">
        <f t="shared" ref="BB25" si="143">K25/$G25</f>
        <v>0</v>
      </c>
      <c r="BC25" s="209">
        <f t="shared" ref="BC25" si="144">(M25+N25)/$G25</f>
        <v>0</v>
      </c>
      <c r="BD25" s="210">
        <f t="shared" ref="BD25" si="145">M25/$G25</f>
        <v>0</v>
      </c>
      <c r="BE25" s="209">
        <f t="shared" ref="BE25" si="146">(Q25+R25)/$G25</f>
        <v>0</v>
      </c>
      <c r="BF25" s="210">
        <f t="shared" ref="BF25" si="147">Q25/$G25</f>
        <v>0</v>
      </c>
      <c r="BG25" s="211">
        <f t="shared" ref="BG25" si="148">S25/$G25</f>
        <v>0</v>
      </c>
      <c r="BH25" s="211">
        <f t="shared" ref="BH25" si="149">V25/$G25</f>
        <v>0</v>
      </c>
      <c r="BI25" s="211">
        <f t="shared" ref="BI25" si="150">AA25/$G25</f>
        <v>0</v>
      </c>
      <c r="BJ25" s="210">
        <f t="shared" ref="BJ25" si="151">AH25/$G25</f>
        <v>0</v>
      </c>
      <c r="BK25" s="210"/>
      <c r="BL25" s="210"/>
      <c r="BM25" s="210"/>
      <c r="BN25" s="210"/>
      <c r="BO25" s="50"/>
      <c r="BP25" s="215">
        <f t="shared" si="122"/>
        <v>0</v>
      </c>
      <c r="BQ25" s="216">
        <f t="shared" si="123"/>
        <v>0</v>
      </c>
      <c r="BR25" s="215">
        <f t="shared" si="124"/>
        <v>0</v>
      </c>
      <c r="BS25" s="216">
        <f t="shared" si="125"/>
        <v>0</v>
      </c>
      <c r="BT25" s="215">
        <f t="shared" si="126"/>
        <v>0</v>
      </c>
      <c r="BU25" s="216">
        <f t="shared" si="127"/>
        <v>0</v>
      </c>
      <c r="BV25" s="215">
        <f t="shared" si="128"/>
        <v>0</v>
      </c>
      <c r="BW25" s="216">
        <f t="shared" si="129"/>
        <v>0</v>
      </c>
      <c r="BX25" s="215">
        <f t="shared" si="130"/>
        <v>0</v>
      </c>
      <c r="BY25" s="216">
        <f t="shared" si="131"/>
        <v>0</v>
      </c>
      <c r="BZ25" s="215">
        <f t="shared" si="132"/>
        <v>0</v>
      </c>
      <c r="CA25" s="216">
        <f t="shared" si="133"/>
        <v>0</v>
      </c>
      <c r="CB25" s="51">
        <f t="shared" si="134"/>
        <v>0</v>
      </c>
      <c r="CC25" s="157">
        <f t="shared" si="135"/>
        <v>0</v>
      </c>
      <c r="CD25" s="51">
        <f t="shared" si="136"/>
        <v>0</v>
      </c>
      <c r="CE25" s="157">
        <f t="shared" si="137"/>
        <v>0</v>
      </c>
      <c r="CG25" s="215"/>
      <c r="CH25" s="175"/>
      <c r="CI25" s="175"/>
      <c r="CJ25" s="175"/>
      <c r="CK25" s="175"/>
      <c r="CL25" s="175"/>
      <c r="CM25" s="175"/>
      <c r="CN25" s="175"/>
      <c r="CO25" s="175"/>
      <c r="CP25" s="175"/>
      <c r="CQ25" s="175"/>
      <c r="CR25" s="216"/>
      <c r="CS25" s="215"/>
      <c r="CT25" s="216"/>
      <c r="CU25" s="175"/>
      <c r="CV25" s="216"/>
      <c r="CX25" s="150">
        <v>2</v>
      </c>
      <c r="CZ25" s="225"/>
      <c r="DA25" s="160"/>
      <c r="DB25" s="160"/>
      <c r="DC25" s="160"/>
      <c r="DD25" s="160"/>
      <c r="DE25" s="160"/>
      <c r="DF25" s="160"/>
      <c r="DG25" s="160"/>
      <c r="DH25" s="160"/>
      <c r="DI25" s="160"/>
      <c r="DJ25" s="160"/>
      <c r="DK25" s="161"/>
      <c r="DL25" s="160"/>
      <c r="DM25" s="161"/>
      <c r="DN25" s="225"/>
      <c r="DO25" s="161"/>
      <c r="DQ25" s="117"/>
      <c r="DR25" s="77"/>
      <c r="DS25" s="117"/>
      <c r="DT25" s="149"/>
      <c r="DU25" s="77"/>
      <c r="DV25" s="77"/>
      <c r="DW25" s="117"/>
      <c r="DX25" s="149"/>
      <c r="DY25" s="77"/>
      <c r="DZ25" s="77"/>
      <c r="EA25" s="117"/>
      <c r="EB25" s="149"/>
      <c r="EC25" s="77"/>
      <c r="ED25" s="77"/>
      <c r="EE25" s="77"/>
      <c r="EF25" s="117"/>
      <c r="EG25" s="149"/>
      <c r="EH25" s="77"/>
      <c r="EI25" s="149"/>
    </row>
    <row r="26" spans="1:139" x14ac:dyDescent="0.25">
      <c r="A26" s="195">
        <f t="shared" si="37"/>
        <v>45893</v>
      </c>
      <c r="B26" s="334" t="s">
        <v>15</v>
      </c>
      <c r="C26" s="334"/>
      <c r="D26" s="176">
        <v>4</v>
      </c>
      <c r="E26" s="176">
        <v>4</v>
      </c>
      <c r="F26" s="217">
        <v>8.9</v>
      </c>
      <c r="G26" s="305">
        <v>8.9</v>
      </c>
      <c r="H26" s="323">
        <f t="shared" si="87"/>
        <v>0</v>
      </c>
      <c r="I26" s="323">
        <f t="shared" si="88"/>
        <v>0</v>
      </c>
      <c r="J26" s="323">
        <f t="shared" si="89"/>
        <v>0</v>
      </c>
      <c r="K26" s="176"/>
      <c r="L26" s="178"/>
      <c r="M26" s="176"/>
      <c r="N26" s="178"/>
      <c r="O26" s="177"/>
      <c r="P26" s="177"/>
      <c r="Q26" s="176"/>
      <c r="R26" s="178"/>
      <c r="S26" s="336">
        <f t="shared" si="90"/>
        <v>0</v>
      </c>
      <c r="T26" s="177"/>
      <c r="U26" s="177"/>
      <c r="V26" s="336">
        <f t="shared" si="91"/>
        <v>0</v>
      </c>
      <c r="W26" s="177"/>
      <c r="X26" s="177"/>
      <c r="Y26" s="176"/>
      <c r="Z26" s="178"/>
      <c r="AA26" s="177"/>
      <c r="AB26" s="177"/>
      <c r="AC26" s="177"/>
      <c r="AD26" s="176"/>
      <c r="AE26" s="177"/>
      <c r="AF26" s="177"/>
      <c r="AG26" s="176"/>
      <c r="AH26" s="178"/>
      <c r="AJ26" s="17"/>
      <c r="AK26" s="18"/>
      <c r="AL26" s="450"/>
      <c r="AM26" s="451"/>
      <c r="AN26" s="18"/>
      <c r="AO26" s="19"/>
      <c r="AQ26" s="131">
        <v>4</v>
      </c>
      <c r="AR26" s="131">
        <v>3</v>
      </c>
      <c r="AS26" s="614">
        <f t="shared" si="92"/>
        <v>1.3333333333333333</v>
      </c>
      <c r="AT26" s="537">
        <v>13.8</v>
      </c>
      <c r="AU26" s="538">
        <v>1</v>
      </c>
      <c r="AV26" s="615">
        <f t="shared" si="93"/>
        <v>18.399999999999999</v>
      </c>
      <c r="AW26" s="28">
        <v>9</v>
      </c>
      <c r="AY26" s="209">
        <f t="shared" ref="AY26" si="152">H26/G26</f>
        <v>0</v>
      </c>
      <c r="AZ26" s="210">
        <f t="shared" ref="AZ26" si="153">I26/G26</f>
        <v>0</v>
      </c>
      <c r="BA26" s="211">
        <f t="shared" ref="BA26" si="154">(K26+L26)/$G26</f>
        <v>0</v>
      </c>
      <c r="BB26" s="211">
        <f t="shared" ref="BB26" si="155">K26/$G26</f>
        <v>0</v>
      </c>
      <c r="BC26" s="209">
        <f t="shared" ref="BC26" si="156">(M26+N26)/$G26</f>
        <v>0</v>
      </c>
      <c r="BD26" s="210">
        <f t="shared" ref="BD26" si="157">M26/$G26</f>
        <v>0</v>
      </c>
      <c r="BE26" s="209">
        <f t="shared" ref="BE26" si="158">(Q26+R26)/$G26</f>
        <v>0</v>
      </c>
      <c r="BF26" s="210">
        <f t="shared" ref="BF26" si="159">Q26/$G26</f>
        <v>0</v>
      </c>
      <c r="BG26" s="211">
        <f t="shared" ref="BG26" si="160">S26/$G26</f>
        <v>0</v>
      </c>
      <c r="BH26" s="211">
        <f t="shared" ref="BH26" si="161">V26/$G26</f>
        <v>0</v>
      </c>
      <c r="BI26" s="211">
        <f t="shared" ref="BI26" si="162">AA26/$G26</f>
        <v>0</v>
      </c>
      <c r="BJ26" s="210">
        <f t="shared" ref="BJ26" si="163">AH26/$G26</f>
        <v>0</v>
      </c>
      <c r="BK26" s="210"/>
      <c r="BL26" s="210"/>
      <c r="BM26" s="210"/>
      <c r="BN26" s="210"/>
      <c r="BO26" s="50"/>
      <c r="BP26" s="215">
        <f t="shared" si="21"/>
        <v>0</v>
      </c>
      <c r="BQ26" s="216">
        <f t="shared" si="22"/>
        <v>0</v>
      </c>
      <c r="BR26" s="215">
        <f t="shared" si="23"/>
        <v>0</v>
      </c>
      <c r="BS26" s="216">
        <f t="shared" si="24"/>
        <v>0</v>
      </c>
      <c r="BT26" s="215">
        <f t="shared" si="25"/>
        <v>0</v>
      </c>
      <c r="BU26" s="216">
        <f t="shared" si="26"/>
        <v>0</v>
      </c>
      <c r="BV26" s="215">
        <f t="shared" si="27"/>
        <v>0</v>
      </c>
      <c r="BW26" s="216">
        <f t="shared" si="28"/>
        <v>0</v>
      </c>
      <c r="BX26" s="215">
        <f t="shared" si="29"/>
        <v>0</v>
      </c>
      <c r="BY26" s="216">
        <f t="shared" si="30"/>
        <v>0</v>
      </c>
      <c r="BZ26" s="215">
        <f t="shared" si="31"/>
        <v>0</v>
      </c>
      <c r="CA26" s="216">
        <f t="shared" si="32"/>
        <v>0</v>
      </c>
      <c r="CB26" s="51">
        <f t="shared" si="33"/>
        <v>0</v>
      </c>
      <c r="CC26" s="157">
        <f t="shared" si="34"/>
        <v>0</v>
      </c>
      <c r="CD26" s="51">
        <f t="shared" si="35"/>
        <v>0</v>
      </c>
      <c r="CE26" s="157">
        <f t="shared" si="36"/>
        <v>0</v>
      </c>
      <c r="CG26" s="215"/>
      <c r="CH26" s="175"/>
      <c r="CI26" s="175"/>
      <c r="CJ26" s="175"/>
      <c r="CK26" s="175"/>
      <c r="CL26" s="175"/>
      <c r="CM26" s="175"/>
      <c r="CN26" s="175"/>
      <c r="CO26" s="175"/>
      <c r="CP26" s="175"/>
      <c r="CQ26" s="175"/>
      <c r="CR26" s="216"/>
      <c r="CS26" s="215"/>
      <c r="CT26" s="216"/>
      <c r="CU26" s="175"/>
      <c r="CV26" s="216"/>
      <c r="CW26" s="177"/>
      <c r="CX26" s="131"/>
      <c r="CZ26" s="176"/>
      <c r="DA26" s="177"/>
      <c r="DB26" s="177"/>
      <c r="DC26" s="177"/>
      <c r="DD26" s="177"/>
      <c r="DE26" s="177"/>
      <c r="DF26" s="177"/>
      <c r="DG26" s="177"/>
      <c r="DH26" s="177"/>
      <c r="DI26" s="177"/>
      <c r="DJ26" s="177"/>
      <c r="DK26" s="178"/>
      <c r="DL26" s="177"/>
      <c r="DM26" s="178"/>
      <c r="DN26" s="45"/>
      <c r="DO26" s="151"/>
      <c r="DQ26" s="32"/>
      <c r="DR26" s="34"/>
      <c r="DS26" s="32"/>
      <c r="DT26" s="33"/>
      <c r="DU26" s="34"/>
      <c r="DV26" s="34"/>
      <c r="DW26" s="32"/>
      <c r="DX26" s="33"/>
      <c r="DY26" s="34"/>
      <c r="DZ26" s="34"/>
      <c r="EA26" s="32"/>
      <c r="EB26" s="33"/>
      <c r="EC26" s="34"/>
      <c r="ED26" s="34"/>
      <c r="EE26" s="34"/>
      <c r="EF26" s="32"/>
      <c r="EG26" s="33"/>
      <c r="EH26" s="34"/>
      <c r="EI26" s="33"/>
    </row>
    <row r="27" spans="1:139" x14ac:dyDescent="0.25">
      <c r="A27" s="195"/>
      <c r="B27" s="195"/>
      <c r="C27" s="195"/>
      <c r="D27" s="202">
        <f>SUM(D20:D26)</f>
        <v>14</v>
      </c>
      <c r="E27" s="202">
        <f>SUM(E20:E26)</f>
        <v>15</v>
      </c>
      <c r="F27" s="577">
        <f>SUM(F20:F26)</f>
        <v>29.990000000000002</v>
      </c>
      <c r="G27" s="577">
        <f>SUM(G20:G26)</f>
        <v>33.5</v>
      </c>
      <c r="H27" s="202">
        <f t="shared" ref="H27:AH27" si="164">SUM(H12:H26)</f>
        <v>0</v>
      </c>
      <c r="I27" s="202">
        <f t="shared" si="164"/>
        <v>0</v>
      </c>
      <c r="J27" s="202">
        <f t="shared" si="164"/>
        <v>0</v>
      </c>
      <c r="K27" s="202">
        <f t="shared" si="164"/>
        <v>0</v>
      </c>
      <c r="L27" s="202">
        <f t="shared" si="164"/>
        <v>0</v>
      </c>
      <c r="M27" s="202">
        <f t="shared" si="164"/>
        <v>0</v>
      </c>
      <c r="N27" s="202">
        <f t="shared" si="164"/>
        <v>0</v>
      </c>
      <c r="O27" s="202">
        <f t="shared" si="164"/>
        <v>0</v>
      </c>
      <c r="P27" s="202">
        <f t="shared" si="164"/>
        <v>1</v>
      </c>
      <c r="Q27" s="202">
        <f t="shared" si="164"/>
        <v>0</v>
      </c>
      <c r="R27" s="202">
        <f t="shared" si="164"/>
        <v>0</v>
      </c>
      <c r="S27" s="202">
        <f t="shared" si="164"/>
        <v>0</v>
      </c>
      <c r="T27" s="202">
        <f t="shared" si="164"/>
        <v>0</v>
      </c>
      <c r="U27" s="202" t="e">
        <f t="shared" si="164"/>
        <v>#REF!</v>
      </c>
      <c r="V27" s="202" t="e">
        <f t="shared" si="164"/>
        <v>#REF!</v>
      </c>
      <c r="W27" s="202" t="e">
        <f t="shared" si="164"/>
        <v>#REF!</v>
      </c>
      <c r="X27" s="202" t="e">
        <f t="shared" si="164"/>
        <v>#REF!</v>
      </c>
      <c r="Y27" s="202">
        <f t="shared" si="164"/>
        <v>0</v>
      </c>
      <c r="Z27" s="202">
        <f t="shared" si="164"/>
        <v>0</v>
      </c>
      <c r="AA27" s="202">
        <f t="shared" si="164"/>
        <v>0</v>
      </c>
      <c r="AB27" s="202">
        <f t="shared" si="164"/>
        <v>0</v>
      </c>
      <c r="AC27" s="202">
        <f t="shared" si="164"/>
        <v>0</v>
      </c>
      <c r="AD27" s="202">
        <f t="shared" si="164"/>
        <v>0</v>
      </c>
      <c r="AE27" s="202">
        <f t="shared" si="164"/>
        <v>0</v>
      </c>
      <c r="AF27" s="202">
        <f t="shared" si="164"/>
        <v>0</v>
      </c>
      <c r="AG27" s="202">
        <f t="shared" si="164"/>
        <v>0</v>
      </c>
      <c r="AH27" s="202">
        <f t="shared" si="164"/>
        <v>0</v>
      </c>
      <c r="AJ27" s="12"/>
      <c r="AK27" s="5"/>
      <c r="AL27" s="9"/>
      <c r="AM27" s="358"/>
      <c r="AN27" s="5"/>
      <c r="AO27" s="13"/>
      <c r="AQ27" s="50"/>
      <c r="AR27" s="50"/>
      <c r="AS27" s="148"/>
      <c r="AT27" s="152"/>
      <c r="AU27" s="153"/>
      <c r="AV27" s="194">
        <f>AVERAGE(AV20:AV24)*5+AVERAGE(AV25:AV26)*2</f>
        <v>69.366666666666674</v>
      </c>
      <c r="AW27" s="50"/>
      <c r="AY27" s="155"/>
      <c r="AZ27" s="156"/>
      <c r="BA27" s="127"/>
      <c r="BB27" s="127"/>
      <c r="BC27" s="155"/>
      <c r="BD27" s="156"/>
      <c r="BE27" s="155"/>
      <c r="BF27" s="156"/>
      <c r="BG27" s="127"/>
      <c r="BH27" s="127"/>
      <c r="BI27" s="127"/>
      <c r="BJ27" s="156"/>
      <c r="BK27" s="156"/>
      <c r="BL27" s="156"/>
      <c r="BM27" s="156"/>
      <c r="BN27" s="156"/>
      <c r="BO27" s="50"/>
      <c r="BP27" s="51"/>
      <c r="BQ27" s="157"/>
      <c r="BR27" s="51"/>
      <c r="BS27" s="157"/>
      <c r="BT27" s="51"/>
      <c r="BU27" s="157"/>
      <c r="BV27" s="51"/>
      <c r="BW27" s="157"/>
      <c r="BX27" s="51"/>
      <c r="BY27" s="157"/>
      <c r="BZ27" s="51"/>
      <c r="CA27" s="157"/>
      <c r="CB27" s="126"/>
      <c r="CC27" s="157"/>
      <c r="CD27" s="126"/>
      <c r="CE27" s="126"/>
      <c r="CG27" s="45"/>
      <c r="CR27" s="151"/>
      <c r="CT27" s="151"/>
      <c r="CX27" s="50"/>
      <c r="CZ27" s="226">
        <f t="shared" ref="CZ27:DO27" si="165">CZ12</f>
        <v>0</v>
      </c>
      <c r="DA27" s="226">
        <f t="shared" si="165"/>
        <v>0</v>
      </c>
      <c r="DB27" s="226">
        <f t="shared" si="165"/>
        <v>0</v>
      </c>
      <c r="DC27" s="226">
        <f t="shared" si="165"/>
        <v>0</v>
      </c>
      <c r="DD27" s="226">
        <f t="shared" si="165"/>
        <v>0</v>
      </c>
      <c r="DE27" s="226">
        <f t="shared" si="165"/>
        <v>0</v>
      </c>
      <c r="DF27" s="226">
        <f t="shared" si="165"/>
        <v>0</v>
      </c>
      <c r="DG27" s="226">
        <f t="shared" si="165"/>
        <v>0</v>
      </c>
      <c r="DH27" s="226">
        <f t="shared" si="165"/>
        <v>0</v>
      </c>
      <c r="DI27" s="226">
        <f t="shared" si="165"/>
        <v>0</v>
      </c>
      <c r="DJ27" s="226">
        <f t="shared" si="165"/>
        <v>0</v>
      </c>
      <c r="DK27" s="226">
        <f t="shared" si="165"/>
        <v>0</v>
      </c>
      <c r="DL27" s="226">
        <f t="shared" si="165"/>
        <v>0</v>
      </c>
      <c r="DM27" s="227">
        <f t="shared" si="165"/>
        <v>0</v>
      </c>
      <c r="DN27" s="226">
        <f t="shared" si="165"/>
        <v>0</v>
      </c>
      <c r="DO27" s="524">
        <f t="shared" si="165"/>
        <v>0</v>
      </c>
      <c r="DQ27" s="117"/>
      <c r="DR27" s="77"/>
      <c r="DS27" s="117"/>
      <c r="DT27" s="149"/>
      <c r="DU27" s="77"/>
      <c r="DV27" s="77"/>
      <c r="DW27" s="117"/>
      <c r="DX27" s="149"/>
      <c r="DY27" s="77"/>
      <c r="DZ27" s="77"/>
      <c r="EA27" s="117"/>
      <c r="EB27" s="149"/>
      <c r="EC27" s="77"/>
      <c r="ED27" s="77"/>
      <c r="EE27" s="77"/>
      <c r="EF27" s="117"/>
      <c r="EG27" s="149"/>
      <c r="EH27" s="77"/>
      <c r="EI27" s="149"/>
    </row>
    <row r="28" spans="1:139" x14ac:dyDescent="0.25">
      <c r="A28" s="195"/>
      <c r="B28" s="195"/>
      <c r="C28" s="195"/>
      <c r="D28" s="45"/>
      <c r="E28" s="45"/>
      <c r="F28" s="45"/>
      <c r="G28" s="154"/>
      <c r="H28" s="169"/>
      <c r="I28" s="169"/>
      <c r="J28" s="169"/>
      <c r="K28" s="45"/>
      <c r="L28" s="151"/>
      <c r="M28" s="45"/>
      <c r="N28" s="151"/>
      <c r="Q28" s="45"/>
      <c r="R28" s="151"/>
      <c r="S28" s="320"/>
      <c r="V28" s="320"/>
      <c r="Y28" s="45"/>
      <c r="Z28" s="151"/>
      <c r="AH28" s="151"/>
      <c r="AJ28" s="12"/>
      <c r="AK28" s="5"/>
      <c r="AL28" s="9"/>
      <c r="AM28" s="358"/>
      <c r="AN28" s="5"/>
      <c r="AO28" s="13"/>
      <c r="AQ28" s="50"/>
      <c r="AR28" s="50"/>
      <c r="AS28" s="148"/>
      <c r="AT28" s="152"/>
      <c r="AU28" s="153"/>
      <c r="AV28" s="154"/>
      <c r="AW28" s="50"/>
      <c r="AY28" s="155"/>
      <c r="AZ28" s="156"/>
      <c r="BA28" s="127"/>
      <c r="BB28" s="127"/>
      <c r="BC28" s="155"/>
      <c r="BD28" s="156"/>
      <c r="BE28" s="155"/>
      <c r="BF28" s="156"/>
      <c r="BG28" s="127"/>
      <c r="BH28" s="127"/>
      <c r="BI28" s="127"/>
      <c r="BJ28" s="156"/>
      <c r="BK28" s="156"/>
      <c r="BL28" s="156"/>
      <c r="BM28" s="156"/>
      <c r="BN28" s="156"/>
      <c r="BO28" s="50"/>
      <c r="BP28" s="51"/>
      <c r="BQ28" s="157"/>
      <c r="BR28" s="51"/>
      <c r="BS28" s="157"/>
      <c r="BT28" s="51"/>
      <c r="BU28" s="157"/>
      <c r="BV28" s="51"/>
      <c r="BW28" s="157"/>
      <c r="BX28" s="51"/>
      <c r="BY28" s="157"/>
      <c r="BZ28" s="51"/>
      <c r="CA28" s="157"/>
      <c r="CB28" s="126"/>
      <c r="CC28" s="157"/>
      <c r="CD28" s="126"/>
      <c r="CE28" s="126"/>
      <c r="CG28" s="45"/>
      <c r="CR28" s="151"/>
      <c r="CT28" s="151"/>
      <c r="CX28" s="50"/>
      <c r="CZ28" s="45"/>
      <c r="DK28" s="151"/>
      <c r="DM28" s="151"/>
      <c r="DQ28" s="117"/>
      <c r="DR28" s="77"/>
      <c r="DS28" s="117"/>
      <c r="DT28" s="149"/>
      <c r="DU28" s="77"/>
      <c r="DV28" s="77"/>
      <c r="DW28" s="117"/>
      <c r="DX28" s="149"/>
      <c r="DY28" s="77"/>
      <c r="DZ28" s="77"/>
      <c r="EA28" s="117"/>
      <c r="EB28" s="149"/>
      <c r="EC28" s="77"/>
      <c r="ED28" s="77"/>
      <c r="EE28" s="77"/>
      <c r="EF28" s="117"/>
      <c r="EG28" s="149"/>
      <c r="EH28" s="77"/>
      <c r="EI28" s="149"/>
    </row>
    <row r="29" spans="1:139" x14ac:dyDescent="0.25">
      <c r="A29" s="206">
        <v>45894</v>
      </c>
      <c r="B29" s="207" t="s">
        <v>7</v>
      </c>
      <c r="C29" s="206"/>
      <c r="D29" s="610">
        <v>1</v>
      </c>
      <c r="E29" s="610">
        <v>2</v>
      </c>
      <c r="F29" s="619">
        <v>4</v>
      </c>
      <c r="G29" s="620">
        <v>8</v>
      </c>
      <c r="H29" s="208">
        <f t="shared" ref="H29:H35" si="166">I29+J29</f>
        <v>0</v>
      </c>
      <c r="I29" s="208">
        <f t="shared" ref="I29:I35" si="167">K29+M29+Q29</f>
        <v>0</v>
      </c>
      <c r="J29" s="208">
        <f t="shared" ref="J29:J35" si="168">L29+N29+R29</f>
        <v>0</v>
      </c>
      <c r="K29" s="41"/>
      <c r="L29" s="42"/>
      <c r="M29" s="41"/>
      <c r="N29" s="42"/>
      <c r="O29" s="165"/>
      <c r="P29" s="165"/>
      <c r="Q29" s="41"/>
      <c r="R29" s="42"/>
      <c r="S29" s="319">
        <f t="shared" ref="S29:S35" si="169">T29+U29</f>
        <v>0</v>
      </c>
      <c r="T29" s="165"/>
      <c r="U29" s="165"/>
      <c r="V29" s="319">
        <f t="shared" ref="V29:V35" si="170">W29+X29</f>
        <v>0</v>
      </c>
      <c r="W29" s="165"/>
      <c r="X29" s="165"/>
      <c r="Y29" s="41"/>
      <c r="Z29" s="42"/>
      <c r="AA29" s="319">
        <f t="shared" ref="AA29:AA35" si="171">AB29+AC29</f>
        <v>0</v>
      </c>
      <c r="AB29" s="165"/>
      <c r="AC29" s="165"/>
      <c r="AD29" s="319">
        <f t="shared" ref="AD29:AD35" si="172">AE29+AF29</f>
        <v>0</v>
      </c>
      <c r="AE29" s="41"/>
      <c r="AF29" s="165"/>
      <c r="AG29" s="41"/>
      <c r="AH29" s="42"/>
      <c r="AJ29" s="12"/>
      <c r="AK29" s="5"/>
      <c r="AL29" s="9"/>
      <c r="AM29" s="358"/>
      <c r="AN29" s="5"/>
      <c r="AO29" s="13"/>
      <c r="AQ29" s="28">
        <v>0</v>
      </c>
      <c r="AR29" s="28">
        <v>1</v>
      </c>
      <c r="AS29" s="146">
        <f t="shared" ref="AS29:AS35" si="173">AQ29/AR29</f>
        <v>0</v>
      </c>
      <c r="AT29" s="359">
        <v>13.7</v>
      </c>
      <c r="AU29" s="190">
        <v>1</v>
      </c>
      <c r="AV29" s="179">
        <f t="shared" ref="AV29:AV35" si="174">AT29*AS29*AU29</f>
        <v>0</v>
      </c>
      <c r="AW29" s="50">
        <v>2</v>
      </c>
      <c r="AY29" s="209">
        <f t="shared" ref="AY29:AY35" si="175">H29/G29</f>
        <v>0</v>
      </c>
      <c r="AZ29" s="210">
        <f t="shared" ref="AZ29:AZ35" si="176">I29/G29</f>
        <v>0</v>
      </c>
      <c r="BA29" s="211">
        <f t="shared" ref="BA29:BA35" si="177">(K29+L29)/$G29</f>
        <v>0</v>
      </c>
      <c r="BB29" s="211">
        <f t="shared" ref="BB29:BB35" si="178">K29/$G29</f>
        <v>0</v>
      </c>
      <c r="BC29" s="209">
        <f t="shared" ref="BC29:BC35" si="179">(M29+N29)/$G29</f>
        <v>0</v>
      </c>
      <c r="BD29" s="210">
        <f t="shared" ref="BD29:BD35" si="180">M29/$G29</f>
        <v>0</v>
      </c>
      <c r="BE29" s="209">
        <f t="shared" ref="BE29:BE35" si="181">(Q29+R29)/$G29</f>
        <v>0</v>
      </c>
      <c r="BF29" s="210">
        <f t="shared" ref="BF29:BF35" si="182">Q29/$G29</f>
        <v>0</v>
      </c>
      <c r="BG29" s="211">
        <f t="shared" ref="BG29:BG35" si="183">S29/$G29</f>
        <v>0</v>
      </c>
      <c r="BH29" s="211">
        <f t="shared" ref="BH29:BH35" si="184">V29/$G29</f>
        <v>0</v>
      </c>
      <c r="BI29" s="211">
        <f t="shared" ref="BI29:BI35" si="185">AA29/$G29</f>
        <v>0</v>
      </c>
      <c r="BJ29" s="210">
        <f t="shared" ref="BJ29:BJ35" si="186">AH29/$G29</f>
        <v>0</v>
      </c>
      <c r="BK29" s="210"/>
      <c r="BL29" s="210"/>
      <c r="BM29" s="210"/>
      <c r="BN29" s="210"/>
      <c r="BO29" s="50"/>
      <c r="BP29" s="215">
        <f t="shared" ref="BP29:BP35" si="187">AY29*$AV29</f>
        <v>0</v>
      </c>
      <c r="BQ29" s="216">
        <f t="shared" ref="BQ29:BQ35" si="188">AZ29*$AV29</f>
        <v>0</v>
      </c>
      <c r="BR29" s="215">
        <f t="shared" ref="BR29:BR35" si="189">BA29*$AV29</f>
        <v>0</v>
      </c>
      <c r="BS29" s="216">
        <f t="shared" ref="BS29:BS35" si="190">BB29*$AV29</f>
        <v>0</v>
      </c>
      <c r="BT29" s="215">
        <f t="shared" ref="BT29:BT35" si="191">BC29*$AV29</f>
        <v>0</v>
      </c>
      <c r="BU29" s="216">
        <f t="shared" ref="BU29:BU35" si="192">BD29*$AV29</f>
        <v>0</v>
      </c>
      <c r="BV29" s="215">
        <f t="shared" ref="BV29:BV35" si="193">BE29*$AV29</f>
        <v>0</v>
      </c>
      <c r="BW29" s="216">
        <f t="shared" ref="BW29:BW35" si="194">BF29*$AV29</f>
        <v>0</v>
      </c>
      <c r="BX29" s="215">
        <f t="shared" ref="BX29:BX35" si="195">BG29*$AV29</f>
        <v>0</v>
      </c>
      <c r="BY29" s="216">
        <f t="shared" ref="BY29:BY35" si="196">BH29*$AV29</f>
        <v>0</v>
      </c>
      <c r="BZ29" s="215">
        <f t="shared" ref="BZ29:BZ35" si="197">BI29*$AV29</f>
        <v>0</v>
      </c>
      <c r="CA29" s="216">
        <f t="shared" ref="CA29:CA35" si="198">BJ29*$AV29</f>
        <v>0</v>
      </c>
      <c r="CB29" s="51">
        <f t="shared" ref="CB29:CB30" si="199">BK29*$AV29</f>
        <v>0</v>
      </c>
      <c r="CC29" s="157">
        <f t="shared" ref="CC29:CC30" si="200">BL29*$AV29</f>
        <v>0</v>
      </c>
      <c r="CD29" s="51">
        <f t="shared" ref="CD29:CD30" si="201">BM29*$AV29</f>
        <v>0</v>
      </c>
      <c r="CE29" s="157">
        <f t="shared" ref="CE29:CE30" si="202">BN29*$AV29</f>
        <v>0</v>
      </c>
      <c r="CG29" s="215">
        <f t="shared" ref="CG29" si="203">AVERAGE(BP29:BP33)</f>
        <v>0</v>
      </c>
      <c r="CH29" s="175">
        <f t="shared" ref="CH29" si="204">AVERAGE(BQ29:BQ33)</f>
        <v>0</v>
      </c>
      <c r="CI29" s="175">
        <f t="shared" ref="CI29" si="205">AVERAGE(BR29:BR33)</f>
        <v>0</v>
      </c>
      <c r="CJ29" s="175">
        <f t="shared" ref="CJ29" si="206">AVERAGE(BS29:BS33)</f>
        <v>0</v>
      </c>
      <c r="CK29" s="175">
        <f t="shared" ref="CK29" si="207">AVERAGE(BT29:BT33)</f>
        <v>0</v>
      </c>
      <c r="CL29" s="175">
        <f t="shared" ref="CL29" si="208">AVERAGE(BU29:BU33)</f>
        <v>0</v>
      </c>
      <c r="CM29" s="175">
        <f t="shared" ref="CM29" si="209">AVERAGE(BV29:BV33)</f>
        <v>0</v>
      </c>
      <c r="CN29" s="175">
        <f t="shared" ref="CN29" si="210">AVERAGE(BW29:BW33)</f>
        <v>0</v>
      </c>
      <c r="CO29" s="175">
        <f t="shared" ref="CO29" si="211">AVERAGE(BX29:BX33)</f>
        <v>0</v>
      </c>
      <c r="CP29" s="175">
        <f t="shared" ref="CP29" si="212">AVERAGE(BY29:BY33)</f>
        <v>0</v>
      </c>
      <c r="CQ29" s="175">
        <f t="shared" ref="CQ29" si="213">AVERAGE(BZ29:BZ33)</f>
        <v>0</v>
      </c>
      <c r="CR29" s="216">
        <f t="shared" ref="CR29" si="214">AVERAGE(CA29:CA33)</f>
        <v>0</v>
      </c>
      <c r="CS29" s="215">
        <f t="shared" ref="CS29" si="215">AVERAGE(CB29:CB33)</f>
        <v>0</v>
      </c>
      <c r="CT29" s="216">
        <f t="shared" ref="CT29" si="216">AVERAGE(CC29:CC33)</f>
        <v>0</v>
      </c>
      <c r="CU29" s="175">
        <f t="shared" ref="CU29" si="217">AVERAGE(CD29:CD33)</f>
        <v>0</v>
      </c>
      <c r="CV29" s="216">
        <f t="shared" ref="CV29" si="218">AVERAGE(CE29:CE33)</f>
        <v>0</v>
      </c>
      <c r="CX29" s="56">
        <v>5</v>
      </c>
      <c r="CZ29" s="223">
        <f t="shared" ref="CZ29" si="219">CG29*$CX29</f>
        <v>0</v>
      </c>
      <c r="DA29" s="159">
        <f t="shared" ref="DA29" si="220">CH29*$CX29</f>
        <v>0</v>
      </c>
      <c r="DB29" s="159">
        <f t="shared" ref="DB29" si="221">CI29*$CX29</f>
        <v>0</v>
      </c>
      <c r="DC29" s="159">
        <f t="shared" ref="DC29" si="222">CJ29*$CX29</f>
        <v>0</v>
      </c>
      <c r="DD29" s="159">
        <f t="shared" ref="DD29" si="223">CK29*$CX29</f>
        <v>0</v>
      </c>
      <c r="DE29" s="159">
        <f t="shared" ref="DE29" si="224">CL29*$CX29</f>
        <v>0</v>
      </c>
      <c r="DF29" s="159">
        <f t="shared" ref="DF29" si="225">CM29*$CX29</f>
        <v>0</v>
      </c>
      <c r="DG29" s="159">
        <f t="shared" ref="DG29" si="226">CN29*$CX29</f>
        <v>0</v>
      </c>
      <c r="DH29" s="159">
        <f t="shared" ref="DH29" si="227">CO29*$CX29</f>
        <v>0</v>
      </c>
      <c r="DI29" s="159">
        <f t="shared" ref="DI29" si="228">CP29*$CX29</f>
        <v>0</v>
      </c>
      <c r="DJ29" s="159">
        <f t="shared" ref="DJ29" si="229">CQ29*$CX29</f>
        <v>0</v>
      </c>
      <c r="DK29" s="224">
        <f t="shared" ref="DK29" si="230">CR29*$CX29</f>
        <v>0</v>
      </c>
      <c r="DL29" s="223">
        <f t="shared" ref="DL29" si="231">CS29*$CX29</f>
        <v>0</v>
      </c>
      <c r="DM29" s="224">
        <f t="shared" ref="DM29" si="232">CT29*$CX29</f>
        <v>0</v>
      </c>
      <c r="DN29" s="223">
        <f t="shared" ref="DN29" si="233">CU29*$CX29</f>
        <v>0</v>
      </c>
      <c r="DO29" s="224">
        <f t="shared" ref="DO29" si="234">CV29*$CX29</f>
        <v>0</v>
      </c>
      <c r="DQ29" s="130"/>
      <c r="DR29" s="229"/>
      <c r="DS29" s="130"/>
      <c r="DT29" s="230"/>
      <c r="DU29" s="229"/>
      <c r="DV29" s="229"/>
      <c r="DW29" s="130"/>
      <c r="DX29" s="230"/>
      <c r="DY29" s="229"/>
      <c r="DZ29" s="229"/>
      <c r="EA29" s="130"/>
      <c r="EB29" s="230"/>
      <c r="EC29" s="229"/>
      <c r="ED29" s="229"/>
      <c r="EE29" s="229"/>
      <c r="EF29" s="130"/>
      <c r="EG29" s="230"/>
      <c r="EH29" s="229"/>
      <c r="EI29" s="230"/>
    </row>
    <row r="30" spans="1:139" x14ac:dyDescent="0.25">
      <c r="A30" s="195">
        <f t="shared" ref="A30:A35" si="235">A29+1</f>
        <v>45895</v>
      </c>
      <c r="B30" s="158" t="s">
        <v>94</v>
      </c>
      <c r="C30" s="195"/>
      <c r="D30" s="41">
        <v>3</v>
      </c>
      <c r="E30" s="41">
        <v>5</v>
      </c>
      <c r="F30" s="215">
        <v>7.25</v>
      </c>
      <c r="G30" s="179">
        <v>12.92</v>
      </c>
      <c r="H30" s="169">
        <f t="shared" si="166"/>
        <v>0</v>
      </c>
      <c r="I30" s="169">
        <f t="shared" si="167"/>
        <v>0</v>
      </c>
      <c r="J30" s="169">
        <f t="shared" si="168"/>
        <v>0</v>
      </c>
      <c r="K30" s="45"/>
      <c r="L30" s="151"/>
      <c r="M30" s="45"/>
      <c r="N30" s="151"/>
      <c r="Q30" s="45"/>
      <c r="R30" s="151"/>
      <c r="S30" s="320">
        <f t="shared" si="169"/>
        <v>0</v>
      </c>
      <c r="V30" s="320">
        <f t="shared" si="170"/>
        <v>0</v>
      </c>
      <c r="Y30" s="45"/>
      <c r="Z30" s="151"/>
      <c r="AA30" s="320">
        <f t="shared" si="171"/>
        <v>0</v>
      </c>
      <c r="AD30" s="320">
        <f t="shared" si="172"/>
        <v>0</v>
      </c>
      <c r="AE30" s="45"/>
      <c r="AG30" s="45"/>
      <c r="AH30" s="151"/>
      <c r="AJ30" s="12"/>
      <c r="AK30" s="5"/>
      <c r="AL30" s="9"/>
      <c r="AM30" s="358"/>
      <c r="AN30" s="5"/>
      <c r="AO30" s="13"/>
      <c r="AQ30" s="50">
        <v>3</v>
      </c>
      <c r="AR30" s="50">
        <v>3</v>
      </c>
      <c r="AS30" s="148">
        <f t="shared" si="173"/>
        <v>1</v>
      </c>
      <c r="AT30" s="152">
        <v>13.6</v>
      </c>
      <c r="AU30" s="153">
        <v>1</v>
      </c>
      <c r="AV30" s="154">
        <f t="shared" si="174"/>
        <v>13.6</v>
      </c>
      <c r="AW30" s="27">
        <v>2</v>
      </c>
      <c r="AY30" s="155">
        <f t="shared" si="175"/>
        <v>0</v>
      </c>
      <c r="AZ30" s="156">
        <f t="shared" si="176"/>
        <v>0</v>
      </c>
      <c r="BA30" s="127">
        <f t="shared" si="177"/>
        <v>0</v>
      </c>
      <c r="BB30" s="127">
        <f t="shared" si="178"/>
        <v>0</v>
      </c>
      <c r="BC30" s="155">
        <f t="shared" si="179"/>
        <v>0</v>
      </c>
      <c r="BD30" s="156">
        <f t="shared" si="180"/>
        <v>0</v>
      </c>
      <c r="BE30" s="155">
        <f t="shared" si="181"/>
        <v>0</v>
      </c>
      <c r="BF30" s="156">
        <f t="shared" si="182"/>
        <v>0</v>
      </c>
      <c r="BG30" s="127">
        <f t="shared" si="183"/>
        <v>0</v>
      </c>
      <c r="BH30" s="127">
        <f t="shared" si="184"/>
        <v>0</v>
      </c>
      <c r="BI30" s="127">
        <f t="shared" si="185"/>
        <v>0</v>
      </c>
      <c r="BJ30" s="156">
        <f t="shared" si="186"/>
        <v>0</v>
      </c>
      <c r="BK30" s="156"/>
      <c r="BL30" s="156"/>
      <c r="BM30" s="156"/>
      <c r="BN30" s="156"/>
      <c r="BO30" s="50"/>
      <c r="BP30" s="51">
        <f t="shared" si="187"/>
        <v>0</v>
      </c>
      <c r="BQ30" s="157">
        <f t="shared" si="188"/>
        <v>0</v>
      </c>
      <c r="BR30" s="51">
        <f t="shared" si="189"/>
        <v>0</v>
      </c>
      <c r="BS30" s="157">
        <f t="shared" si="190"/>
        <v>0</v>
      </c>
      <c r="BT30" s="51">
        <f t="shared" si="191"/>
        <v>0</v>
      </c>
      <c r="BU30" s="157">
        <f t="shared" si="192"/>
        <v>0</v>
      </c>
      <c r="BV30" s="51">
        <f t="shared" si="193"/>
        <v>0</v>
      </c>
      <c r="BW30" s="157">
        <f t="shared" si="194"/>
        <v>0</v>
      </c>
      <c r="BX30" s="51">
        <f t="shared" si="195"/>
        <v>0</v>
      </c>
      <c r="BY30" s="157">
        <f t="shared" si="196"/>
        <v>0</v>
      </c>
      <c r="BZ30" s="51">
        <f t="shared" si="197"/>
        <v>0</v>
      </c>
      <c r="CA30" s="157">
        <f t="shared" si="198"/>
        <v>0</v>
      </c>
      <c r="CB30" s="51">
        <f t="shared" si="199"/>
        <v>0</v>
      </c>
      <c r="CC30" s="157">
        <f t="shared" si="200"/>
        <v>0</v>
      </c>
      <c r="CD30" s="51">
        <f t="shared" si="201"/>
        <v>0</v>
      </c>
      <c r="CE30" s="157">
        <f t="shared" si="202"/>
        <v>0</v>
      </c>
      <c r="CG30" s="45"/>
      <c r="CR30" s="151"/>
      <c r="CS30" s="45"/>
      <c r="CT30" s="151"/>
      <c r="CV30" s="151"/>
      <c r="CX30" s="50"/>
      <c r="CZ30" s="45"/>
      <c r="DK30" s="151"/>
      <c r="DL30" s="45"/>
      <c r="DM30" s="151"/>
      <c r="DN30" s="45"/>
      <c r="DO30" s="151"/>
      <c r="DQ30" s="117"/>
      <c r="DR30" s="77"/>
      <c r="DS30" s="117"/>
      <c r="DT30" s="149"/>
      <c r="DU30" s="77"/>
      <c r="DV30" s="77"/>
      <c r="DW30" s="117"/>
      <c r="DX30" s="149"/>
      <c r="DY30" s="77"/>
      <c r="DZ30" s="77"/>
      <c r="EA30" s="117"/>
      <c r="EB30" s="149"/>
      <c r="EC30" s="77"/>
      <c r="ED30" s="77"/>
      <c r="EE30" s="77"/>
      <c r="EF30" s="117"/>
      <c r="EG30" s="149"/>
      <c r="EH30" s="77"/>
      <c r="EI30" s="149"/>
    </row>
    <row r="31" spans="1:139" x14ac:dyDescent="0.25">
      <c r="A31" s="195">
        <f t="shared" si="235"/>
        <v>45896</v>
      </c>
      <c r="B31" s="158" t="s">
        <v>11</v>
      </c>
      <c r="C31" s="195"/>
      <c r="D31" s="45">
        <v>3</v>
      </c>
      <c r="E31" s="45">
        <v>5</v>
      </c>
      <c r="F31" s="51">
        <v>5.08</v>
      </c>
      <c r="G31" s="154">
        <v>8.75</v>
      </c>
      <c r="H31" s="169">
        <f t="shared" si="166"/>
        <v>0</v>
      </c>
      <c r="I31" s="169">
        <f t="shared" si="167"/>
        <v>0</v>
      </c>
      <c r="J31" s="169">
        <f t="shared" si="168"/>
        <v>0</v>
      </c>
      <c r="K31" s="45"/>
      <c r="L31" s="151"/>
      <c r="M31" s="45"/>
      <c r="N31" s="151"/>
      <c r="Q31" s="45"/>
      <c r="R31" s="151"/>
      <c r="S31" s="320">
        <f t="shared" si="169"/>
        <v>0</v>
      </c>
      <c r="V31" s="320">
        <f t="shared" si="170"/>
        <v>0</v>
      </c>
      <c r="Y31" s="45"/>
      <c r="Z31" s="151"/>
      <c r="AA31" s="320">
        <f t="shared" si="171"/>
        <v>0</v>
      </c>
      <c r="AD31" s="320">
        <f t="shared" si="172"/>
        <v>0</v>
      </c>
      <c r="AE31" s="45"/>
      <c r="AG31" s="45"/>
      <c r="AH31" s="151"/>
      <c r="AJ31" s="12"/>
      <c r="AK31" s="5"/>
      <c r="AL31" s="9"/>
      <c r="AM31" s="358"/>
      <c r="AN31" s="5"/>
      <c r="AO31" s="13"/>
      <c r="AQ31" s="50">
        <v>3</v>
      </c>
      <c r="AR31" s="50">
        <v>3</v>
      </c>
      <c r="AS31" s="148">
        <f t="shared" si="173"/>
        <v>1</v>
      </c>
      <c r="AT31" s="152">
        <v>13.6</v>
      </c>
      <c r="AU31" s="153">
        <v>1</v>
      </c>
      <c r="AV31" s="154">
        <f t="shared" si="174"/>
        <v>13.6</v>
      </c>
      <c r="AW31" s="50">
        <v>8</v>
      </c>
      <c r="AY31" s="155">
        <f t="shared" ref="AY31" si="236">H31/G31</f>
        <v>0</v>
      </c>
      <c r="AZ31" s="156">
        <f t="shared" ref="AZ31" si="237">I31/G31</f>
        <v>0</v>
      </c>
      <c r="BA31" s="127">
        <f t="shared" ref="BA31" si="238">(K31+L31)/$G31</f>
        <v>0</v>
      </c>
      <c r="BB31" s="127">
        <f t="shared" ref="BB31" si="239">K31/$G31</f>
        <v>0</v>
      </c>
      <c r="BC31" s="155">
        <f t="shared" ref="BC31" si="240">(M31+N31)/$G31</f>
        <v>0</v>
      </c>
      <c r="BD31" s="156">
        <f t="shared" ref="BD31" si="241">M31/$G31</f>
        <v>0</v>
      </c>
      <c r="BE31" s="155">
        <f t="shared" ref="BE31" si="242">(Q31+R31)/$G31</f>
        <v>0</v>
      </c>
      <c r="BF31" s="156">
        <f t="shared" ref="BF31" si="243">Q31/$G31</f>
        <v>0</v>
      </c>
      <c r="BG31" s="127">
        <f t="shared" ref="BG31" si="244">S31/$G31</f>
        <v>0</v>
      </c>
      <c r="BH31" s="127">
        <f t="shared" ref="BH31" si="245">V31/$G31</f>
        <v>0</v>
      </c>
      <c r="BI31" s="127">
        <f t="shared" ref="BI31" si="246">AA31/$G31</f>
        <v>0</v>
      </c>
      <c r="BJ31" s="156">
        <f t="shared" ref="BJ31" si="247">AH31/$G31</f>
        <v>0</v>
      </c>
      <c r="BK31" s="156"/>
      <c r="BL31" s="156"/>
      <c r="BM31" s="156"/>
      <c r="BN31" s="156"/>
      <c r="BO31" s="50"/>
      <c r="BP31" s="51">
        <f t="shared" ref="BP31" si="248">AY31*$AV31</f>
        <v>0</v>
      </c>
      <c r="BQ31" s="157">
        <f t="shared" ref="BQ31" si="249">AZ31*$AV31</f>
        <v>0</v>
      </c>
      <c r="BR31" s="51">
        <f t="shared" ref="BR31" si="250">BA31*$AV31</f>
        <v>0</v>
      </c>
      <c r="BS31" s="157">
        <f t="shared" ref="BS31" si="251">BB31*$AV31</f>
        <v>0</v>
      </c>
      <c r="BT31" s="51">
        <f t="shared" ref="BT31" si="252">BC31*$AV31</f>
        <v>0</v>
      </c>
      <c r="BU31" s="157">
        <f t="shared" ref="BU31" si="253">BD31*$AV31</f>
        <v>0</v>
      </c>
      <c r="BV31" s="51">
        <f t="shared" ref="BV31" si="254">BE31*$AV31</f>
        <v>0</v>
      </c>
      <c r="BW31" s="157">
        <f t="shared" ref="BW31" si="255">BF31*$AV31</f>
        <v>0</v>
      </c>
      <c r="BX31" s="51">
        <f t="shared" ref="BX31" si="256">BG31*$AV31</f>
        <v>0</v>
      </c>
      <c r="BY31" s="157">
        <f t="shared" ref="BY31" si="257">BH31*$AV31</f>
        <v>0</v>
      </c>
      <c r="BZ31" s="51">
        <f t="shared" ref="BZ31" si="258">BI31*$AV31</f>
        <v>0</v>
      </c>
      <c r="CA31" s="157">
        <f t="shared" ref="CA31" si="259">BJ31*$AV31</f>
        <v>0</v>
      </c>
      <c r="CB31" s="51">
        <f t="shared" ref="CB31" si="260">BK31*$AV31</f>
        <v>0</v>
      </c>
      <c r="CC31" s="157">
        <f t="shared" ref="CC31" si="261">BL31*$AV31</f>
        <v>0</v>
      </c>
      <c r="CD31" s="51">
        <f t="shared" ref="CD31" si="262">BM31*$AV31</f>
        <v>0</v>
      </c>
      <c r="CE31" s="157">
        <f t="shared" ref="CE31" si="263">BN31*$AV31</f>
        <v>0</v>
      </c>
      <c r="CG31" s="45"/>
      <c r="CR31" s="151"/>
      <c r="CS31" s="45"/>
      <c r="CT31" s="151"/>
      <c r="CV31" s="151"/>
      <c r="CX31" s="50"/>
      <c r="CZ31" s="45"/>
      <c r="DK31" s="151"/>
      <c r="DL31" s="45"/>
      <c r="DM31" s="151"/>
      <c r="DN31" s="45"/>
      <c r="DO31" s="151"/>
      <c r="DQ31" s="117"/>
      <c r="DR31" s="77"/>
      <c r="DS31" s="117"/>
      <c r="DT31" s="149"/>
      <c r="DU31" s="77"/>
      <c r="DV31" s="77"/>
      <c r="DW31" s="117"/>
      <c r="DX31" s="149"/>
      <c r="DY31" s="77"/>
      <c r="DZ31" s="77"/>
      <c r="EA31" s="117"/>
      <c r="EB31" s="149"/>
      <c r="EC31" s="77"/>
      <c r="ED31" s="77"/>
      <c r="EE31" s="77"/>
      <c r="EF31" s="117"/>
      <c r="EG31" s="149"/>
      <c r="EH31" s="77"/>
      <c r="EI31" s="149"/>
    </row>
    <row r="32" spans="1:139" x14ac:dyDescent="0.25">
      <c r="A32" s="195">
        <f t="shared" si="235"/>
        <v>45897</v>
      </c>
      <c r="B32" s="158" t="s">
        <v>95</v>
      </c>
      <c r="C32" s="195"/>
      <c r="D32" s="45">
        <v>0</v>
      </c>
      <c r="E32" s="45">
        <v>0</v>
      </c>
      <c r="F32" s="51">
        <v>0</v>
      </c>
      <c r="G32" s="154">
        <v>0</v>
      </c>
      <c r="H32" s="169">
        <f t="shared" si="166"/>
        <v>0</v>
      </c>
      <c r="I32" s="169">
        <f t="shared" si="167"/>
        <v>0</v>
      </c>
      <c r="J32" s="169">
        <f t="shared" si="168"/>
        <v>0</v>
      </c>
      <c r="K32" s="45"/>
      <c r="L32" s="151"/>
      <c r="M32" s="45"/>
      <c r="N32" s="151"/>
      <c r="Q32" s="45"/>
      <c r="R32" s="151"/>
      <c r="S32" s="320">
        <f t="shared" si="169"/>
        <v>0</v>
      </c>
      <c r="V32" s="320">
        <f t="shared" si="170"/>
        <v>0</v>
      </c>
      <c r="Y32" s="45"/>
      <c r="Z32" s="151"/>
      <c r="AA32" s="320">
        <f t="shared" si="171"/>
        <v>0</v>
      </c>
      <c r="AD32" s="320">
        <f t="shared" si="172"/>
        <v>0</v>
      </c>
      <c r="AE32" s="45"/>
      <c r="AG32" s="45"/>
      <c r="AH32" s="151"/>
      <c r="AJ32" s="12"/>
      <c r="AK32" s="5"/>
      <c r="AL32" s="9"/>
      <c r="AM32" s="358"/>
      <c r="AN32" s="5"/>
      <c r="AO32" s="13"/>
      <c r="AQ32" s="50">
        <v>0</v>
      </c>
      <c r="AR32" s="50">
        <v>3</v>
      </c>
      <c r="AS32" s="148">
        <f t="shared" si="173"/>
        <v>0</v>
      </c>
      <c r="AT32" s="152">
        <v>13.5</v>
      </c>
      <c r="AU32" s="153">
        <v>1</v>
      </c>
      <c r="AV32" s="154">
        <f t="shared" ref="AV32" si="264">AT32*AS32*AU32</f>
        <v>0</v>
      </c>
      <c r="AW32" s="50"/>
      <c r="AY32" s="155"/>
      <c r="AZ32" s="156"/>
      <c r="BA32" s="127"/>
      <c r="BB32" s="127"/>
      <c r="BC32" s="155"/>
      <c r="BD32" s="156"/>
      <c r="BE32" s="155"/>
      <c r="BF32" s="156"/>
      <c r="BG32" s="127"/>
      <c r="BH32" s="127"/>
      <c r="BI32" s="127"/>
      <c r="BJ32" s="156"/>
      <c r="BK32" s="156"/>
      <c r="BL32" s="156"/>
      <c r="BM32" s="156"/>
      <c r="BN32" s="156"/>
      <c r="BO32" s="50"/>
      <c r="BP32" s="51">
        <f t="shared" ref="BP32" si="265">AY32*$AV32</f>
        <v>0</v>
      </c>
      <c r="BQ32" s="157">
        <f t="shared" ref="BQ32" si="266">AZ32*$AV32</f>
        <v>0</v>
      </c>
      <c r="BR32" s="51">
        <f t="shared" ref="BR32" si="267">BA32*$AV32</f>
        <v>0</v>
      </c>
      <c r="BS32" s="157">
        <f t="shared" ref="BS32" si="268">BB32*$AV32</f>
        <v>0</v>
      </c>
      <c r="BT32" s="51">
        <f t="shared" ref="BT32" si="269">BC32*$AV32</f>
        <v>0</v>
      </c>
      <c r="BU32" s="157">
        <f t="shared" ref="BU32" si="270">BD32*$AV32</f>
        <v>0</v>
      </c>
      <c r="BV32" s="51">
        <f t="shared" ref="BV32" si="271">BE32*$AV32</f>
        <v>0</v>
      </c>
      <c r="BW32" s="157">
        <f t="shared" ref="BW32" si="272">BF32*$AV32</f>
        <v>0</v>
      </c>
      <c r="BX32" s="51">
        <f t="shared" ref="BX32" si="273">BG32*$AV32</f>
        <v>0</v>
      </c>
      <c r="BY32" s="157">
        <f t="shared" ref="BY32" si="274">BH32*$AV32</f>
        <v>0</v>
      </c>
      <c r="BZ32" s="51">
        <f t="shared" ref="BZ32" si="275">BI32*$AV32</f>
        <v>0</v>
      </c>
      <c r="CA32" s="157">
        <f t="shared" ref="CA32" si="276">BJ32*$AV32</f>
        <v>0</v>
      </c>
      <c r="CB32" s="51">
        <f t="shared" ref="CB32" si="277">BK32*$AV32</f>
        <v>0</v>
      </c>
      <c r="CC32" s="157">
        <f t="shared" ref="CC32" si="278">BL32*$AV32</f>
        <v>0</v>
      </c>
      <c r="CD32" s="51">
        <f t="shared" ref="CD32" si="279">BM32*$AV32</f>
        <v>0</v>
      </c>
      <c r="CE32" s="157">
        <f t="shared" ref="CE32" si="280">BN32*$AV32</f>
        <v>0</v>
      </c>
      <c r="CG32" s="45"/>
      <c r="CR32" s="151"/>
      <c r="CS32" s="45"/>
      <c r="CT32" s="151"/>
      <c r="CV32" s="151"/>
      <c r="CX32" s="50"/>
      <c r="CZ32" s="45"/>
      <c r="DK32" s="151"/>
      <c r="DL32" s="45"/>
      <c r="DM32" s="151"/>
      <c r="DN32" s="45"/>
      <c r="DO32" s="151"/>
      <c r="DQ32" s="117"/>
      <c r="DR32" s="77"/>
      <c r="DS32" s="117"/>
      <c r="DT32" s="149"/>
      <c r="DU32" s="77"/>
      <c r="DV32" s="77"/>
      <c r="DW32" s="117"/>
      <c r="DX32" s="149"/>
      <c r="DY32" s="77"/>
      <c r="DZ32" s="77"/>
      <c r="EA32" s="117"/>
      <c r="EB32" s="149"/>
      <c r="EC32" s="77"/>
      <c r="ED32" s="77"/>
      <c r="EE32" s="77"/>
      <c r="EF32" s="117"/>
      <c r="EG32" s="149"/>
      <c r="EH32" s="77"/>
      <c r="EI32" s="149"/>
    </row>
    <row r="33" spans="1:139" x14ac:dyDescent="0.25">
      <c r="A33" s="195">
        <f t="shared" si="235"/>
        <v>45898</v>
      </c>
      <c r="B33" s="195" t="s">
        <v>13</v>
      </c>
      <c r="C33" s="195"/>
      <c r="D33" s="45">
        <v>3</v>
      </c>
      <c r="E33" s="45">
        <v>3</v>
      </c>
      <c r="F33" s="51">
        <v>9.25</v>
      </c>
      <c r="G33" s="154">
        <v>9.25</v>
      </c>
      <c r="H33" s="169">
        <f t="shared" si="166"/>
        <v>0</v>
      </c>
      <c r="I33" s="169">
        <f t="shared" si="167"/>
        <v>0</v>
      </c>
      <c r="J33" s="169">
        <f t="shared" si="168"/>
        <v>0</v>
      </c>
      <c r="K33" s="45"/>
      <c r="L33" s="151"/>
      <c r="M33" s="45"/>
      <c r="N33" s="151"/>
      <c r="Q33" s="45"/>
      <c r="R33" s="151"/>
      <c r="S33" s="320">
        <f t="shared" si="169"/>
        <v>0</v>
      </c>
      <c r="V33" s="320">
        <f t="shared" si="170"/>
        <v>0</v>
      </c>
      <c r="Y33" s="45"/>
      <c r="Z33" s="151"/>
      <c r="AA33" s="320">
        <f t="shared" si="171"/>
        <v>0</v>
      </c>
      <c r="AD33" s="320">
        <f t="shared" si="172"/>
        <v>0</v>
      </c>
      <c r="AE33" s="45"/>
      <c r="AG33" s="45"/>
      <c r="AH33" s="151"/>
      <c r="AJ33" s="12"/>
      <c r="AK33" s="5"/>
      <c r="AL33" s="9"/>
      <c r="AM33" s="358"/>
      <c r="AN33" s="5"/>
      <c r="AO33" s="13"/>
      <c r="AQ33" s="50">
        <v>3</v>
      </c>
      <c r="AR33" s="50">
        <v>3</v>
      </c>
      <c r="AS33" s="148">
        <f t="shared" ref="AS33" si="281">AQ33/AR33</f>
        <v>1</v>
      </c>
      <c r="AT33" s="152">
        <v>13.4</v>
      </c>
      <c r="AU33" s="153">
        <v>1</v>
      </c>
      <c r="AV33" s="154">
        <f t="shared" ref="AV33" si="282">AT33*AS33*AU33</f>
        <v>13.4</v>
      </c>
      <c r="AW33" s="50">
        <v>14</v>
      </c>
      <c r="AY33" s="155">
        <f t="shared" ref="AY33" si="283">H33/G33</f>
        <v>0</v>
      </c>
      <c r="AZ33" s="156">
        <f t="shared" ref="AZ33" si="284">I33/G33</f>
        <v>0</v>
      </c>
      <c r="BA33" s="127">
        <f t="shared" ref="BA33" si="285">(K33+L33)/$G33</f>
        <v>0</v>
      </c>
      <c r="BB33" s="127">
        <f t="shared" ref="BB33" si="286">K33/$G33</f>
        <v>0</v>
      </c>
      <c r="BC33" s="155">
        <f t="shared" ref="BC33" si="287">(M33+N33)/$G33</f>
        <v>0</v>
      </c>
      <c r="BD33" s="156">
        <f t="shared" ref="BD33" si="288">M33/$G33</f>
        <v>0</v>
      </c>
      <c r="BE33" s="155">
        <f t="shared" ref="BE33" si="289">(Q33+R33)/$G33</f>
        <v>0</v>
      </c>
      <c r="BF33" s="156">
        <f t="shared" ref="BF33" si="290">Q33/$G33</f>
        <v>0</v>
      </c>
      <c r="BG33" s="127">
        <f t="shared" ref="BG33" si="291">S33/$G33</f>
        <v>0</v>
      </c>
      <c r="BH33" s="127">
        <f t="shared" ref="BH33" si="292">V33/$G33</f>
        <v>0</v>
      </c>
      <c r="BI33" s="127">
        <f t="shared" ref="BI33" si="293">AA33/$G33</f>
        <v>0</v>
      </c>
      <c r="BJ33" s="156">
        <f t="shared" ref="BJ33" si="294">AH33/$G33</f>
        <v>0</v>
      </c>
      <c r="BK33" s="156"/>
      <c r="BL33" s="156"/>
      <c r="BM33" s="156"/>
      <c r="BN33" s="156"/>
      <c r="BO33" s="50"/>
      <c r="BP33" s="51"/>
      <c r="BQ33" s="157"/>
      <c r="BR33" s="51"/>
      <c r="BS33" s="157"/>
      <c r="BT33" s="51"/>
      <c r="BU33" s="157"/>
      <c r="BV33" s="51"/>
      <c r="BW33" s="157"/>
      <c r="BX33" s="51"/>
      <c r="BY33" s="157"/>
      <c r="BZ33" s="51"/>
      <c r="CA33" s="157"/>
      <c r="CB33" s="51"/>
      <c r="CC33" s="157"/>
      <c r="CD33" s="51"/>
      <c r="CE33" s="157"/>
      <c r="CG33" s="45"/>
      <c r="CR33" s="151"/>
      <c r="CS33" s="45"/>
      <c r="CT33" s="151"/>
      <c r="CV33" s="151"/>
      <c r="CX33" s="50"/>
      <c r="CZ33" s="45"/>
      <c r="DK33" s="151"/>
      <c r="DL33" s="45"/>
      <c r="DM33" s="151"/>
      <c r="DN33" s="45"/>
      <c r="DO33" s="151"/>
      <c r="DQ33" s="117"/>
      <c r="DR33" s="77"/>
      <c r="DS33" s="117"/>
      <c r="DT33" s="149"/>
      <c r="DU33" s="77"/>
      <c r="DV33" s="77"/>
      <c r="DW33" s="117"/>
      <c r="DX33" s="149"/>
      <c r="DY33" s="77"/>
      <c r="DZ33" s="77"/>
      <c r="EA33" s="117"/>
      <c r="EB33" s="149"/>
      <c r="EC33" s="77"/>
      <c r="ED33" s="77"/>
      <c r="EE33" s="77"/>
      <c r="EF33" s="117"/>
      <c r="EG33" s="149"/>
      <c r="EH33" s="77"/>
      <c r="EI33" s="149"/>
    </row>
    <row r="34" spans="1:139" x14ac:dyDescent="0.25">
      <c r="A34" s="195">
        <f t="shared" si="235"/>
        <v>45899</v>
      </c>
      <c r="B34" s="195" t="s">
        <v>14</v>
      </c>
      <c r="C34" s="195"/>
      <c r="D34" s="45">
        <v>5</v>
      </c>
      <c r="E34" s="45">
        <v>5</v>
      </c>
      <c r="F34" s="51">
        <v>4.68</v>
      </c>
      <c r="G34" s="154">
        <v>4.68</v>
      </c>
      <c r="H34" s="169">
        <f t="shared" si="166"/>
        <v>0</v>
      </c>
      <c r="I34" s="169">
        <f t="shared" si="167"/>
        <v>0</v>
      </c>
      <c r="J34" s="169">
        <f t="shared" si="168"/>
        <v>0</v>
      </c>
      <c r="K34" s="45"/>
      <c r="L34" s="151"/>
      <c r="M34" s="45"/>
      <c r="N34" s="151"/>
      <c r="Q34" s="45"/>
      <c r="R34" s="151"/>
      <c r="S34" s="320">
        <f t="shared" si="169"/>
        <v>0</v>
      </c>
      <c r="V34" s="320">
        <f t="shared" si="170"/>
        <v>0</v>
      </c>
      <c r="Y34" s="45"/>
      <c r="Z34" s="151"/>
      <c r="AA34" s="320">
        <f t="shared" si="171"/>
        <v>0</v>
      </c>
      <c r="AD34" s="320">
        <f t="shared" si="172"/>
        <v>0</v>
      </c>
      <c r="AE34" s="45"/>
      <c r="AG34" s="45"/>
      <c r="AH34" s="151"/>
      <c r="AJ34" s="12"/>
      <c r="AK34" s="5"/>
      <c r="AL34" s="9"/>
      <c r="AM34" s="358"/>
      <c r="AN34" s="5"/>
      <c r="AO34" s="13"/>
      <c r="AQ34" s="50">
        <v>5</v>
      </c>
      <c r="AR34" s="50">
        <v>2</v>
      </c>
      <c r="AS34" s="148">
        <f t="shared" si="173"/>
        <v>2.5</v>
      </c>
      <c r="AT34" s="152">
        <v>13.3</v>
      </c>
      <c r="AU34" s="153">
        <v>1</v>
      </c>
      <c r="AV34" s="154">
        <f t="shared" si="174"/>
        <v>33.25</v>
      </c>
      <c r="AW34" s="50">
        <v>11</v>
      </c>
      <c r="AY34" s="155">
        <f t="shared" si="175"/>
        <v>0</v>
      </c>
      <c r="AZ34" s="156">
        <f t="shared" si="176"/>
        <v>0</v>
      </c>
      <c r="BA34" s="127">
        <f t="shared" si="177"/>
        <v>0</v>
      </c>
      <c r="BB34" s="127">
        <f t="shared" si="178"/>
        <v>0</v>
      </c>
      <c r="BC34" s="155">
        <f t="shared" si="179"/>
        <v>0</v>
      </c>
      <c r="BD34" s="156">
        <f t="shared" si="180"/>
        <v>0</v>
      </c>
      <c r="BE34" s="155">
        <f t="shared" si="181"/>
        <v>0</v>
      </c>
      <c r="BF34" s="156">
        <f t="shared" si="182"/>
        <v>0</v>
      </c>
      <c r="BG34" s="127">
        <f t="shared" si="183"/>
        <v>0</v>
      </c>
      <c r="BH34" s="127">
        <f t="shared" si="184"/>
        <v>0</v>
      </c>
      <c r="BI34" s="127">
        <f t="shared" si="185"/>
        <v>0</v>
      </c>
      <c r="BJ34" s="156">
        <f t="shared" si="186"/>
        <v>0</v>
      </c>
      <c r="BK34" s="156"/>
      <c r="BL34" s="156"/>
      <c r="BM34" s="156"/>
      <c r="BN34" s="156"/>
      <c r="BO34" s="50"/>
      <c r="BP34" s="51">
        <f t="shared" si="187"/>
        <v>0</v>
      </c>
      <c r="BQ34" s="157">
        <f t="shared" si="188"/>
        <v>0</v>
      </c>
      <c r="BR34" s="51">
        <f t="shared" si="189"/>
        <v>0</v>
      </c>
      <c r="BS34" s="157">
        <f t="shared" si="190"/>
        <v>0</v>
      </c>
      <c r="BT34" s="51">
        <f t="shared" si="191"/>
        <v>0</v>
      </c>
      <c r="BU34" s="157">
        <f t="shared" si="192"/>
        <v>0</v>
      </c>
      <c r="BV34" s="51">
        <f t="shared" si="193"/>
        <v>0</v>
      </c>
      <c r="BW34" s="157">
        <f t="shared" si="194"/>
        <v>0</v>
      </c>
      <c r="BX34" s="51">
        <f t="shared" si="195"/>
        <v>0</v>
      </c>
      <c r="BY34" s="157">
        <f t="shared" si="196"/>
        <v>0</v>
      </c>
      <c r="BZ34" s="51">
        <f t="shared" si="197"/>
        <v>0</v>
      </c>
      <c r="CA34" s="157">
        <f t="shared" si="198"/>
        <v>0</v>
      </c>
      <c r="CB34" s="51">
        <f t="shared" ref="CB34:CB35" si="295">BK34*$AV34</f>
        <v>0</v>
      </c>
      <c r="CC34" s="157">
        <f t="shared" ref="CC34:CC35" si="296">BL34*$AV34</f>
        <v>0</v>
      </c>
      <c r="CD34" s="51">
        <f t="shared" ref="CD34:CD35" si="297">BM34*$AV34</f>
        <v>0</v>
      </c>
      <c r="CE34" s="157">
        <f t="shared" ref="CE34:CE35" si="298">BN34*$AV34</f>
        <v>0</v>
      </c>
      <c r="CG34" s="51">
        <f t="shared" ref="CG34" si="299">AVERAGE(BP34:BP35)</f>
        <v>0</v>
      </c>
      <c r="CH34" s="126">
        <f t="shared" ref="CH34" si="300">AVERAGE(BQ34:BQ35)</f>
        <v>0</v>
      </c>
      <c r="CI34" s="126">
        <f t="shared" ref="CI34" si="301">AVERAGE(BR34:BR35)</f>
        <v>0</v>
      </c>
      <c r="CJ34" s="126">
        <f t="shared" ref="CJ34" si="302">AVERAGE(BS34:BS35)</f>
        <v>0</v>
      </c>
      <c r="CK34" s="126">
        <f t="shared" ref="CK34" si="303">AVERAGE(BT34:BT35)</f>
        <v>0</v>
      </c>
      <c r="CL34" s="126">
        <f t="shared" ref="CL34" si="304">AVERAGE(BU34:BU35)</f>
        <v>0</v>
      </c>
      <c r="CM34" s="126">
        <f t="shared" ref="CM34" si="305">AVERAGE(BV34:BV35)</f>
        <v>0</v>
      </c>
      <c r="CN34" s="126">
        <f t="shared" ref="CN34" si="306">AVERAGE(BW34:BW35)</f>
        <v>0</v>
      </c>
      <c r="CO34" s="126">
        <f t="shared" ref="CO34" si="307">AVERAGE(BX34:BX35)</f>
        <v>0</v>
      </c>
      <c r="CP34" s="126">
        <f t="shared" ref="CP34" si="308">AVERAGE(BY34:BY35)</f>
        <v>0</v>
      </c>
      <c r="CQ34" s="126">
        <f t="shared" ref="CQ34" si="309">AVERAGE(BZ34:BZ35)</f>
        <v>0</v>
      </c>
      <c r="CR34" s="157">
        <f t="shared" ref="CR34" si="310">AVERAGE(CA34:CA35)</f>
        <v>0</v>
      </c>
      <c r="CS34" s="51">
        <f t="shared" ref="CS34" si="311">AVERAGE(CB34:CB35)</f>
        <v>0</v>
      </c>
      <c r="CT34" s="157">
        <f t="shared" ref="CT34" si="312">AVERAGE(CC34:CC35)</f>
        <v>0</v>
      </c>
      <c r="CU34" s="126">
        <f t="shared" ref="CU34" si="313">AVERAGE(CD34:CD35)</f>
        <v>0</v>
      </c>
      <c r="CV34" s="157">
        <f t="shared" ref="CV34" si="314">AVERAGE(CE34:CE35)</f>
        <v>0</v>
      </c>
      <c r="CX34" s="150">
        <v>2</v>
      </c>
      <c r="CZ34" s="225">
        <f t="shared" ref="CZ34" si="315">CG34*$CX34</f>
        <v>0</v>
      </c>
      <c r="DA34" s="160">
        <f t="shared" ref="DA34" si="316">CH34*$CX34</f>
        <v>0</v>
      </c>
      <c r="DB34" s="160">
        <f t="shared" ref="DB34" si="317">CI34*$CX34</f>
        <v>0</v>
      </c>
      <c r="DC34" s="160">
        <f t="shared" ref="DC34" si="318">CJ34*$CX34</f>
        <v>0</v>
      </c>
      <c r="DD34" s="160">
        <f t="shared" ref="DD34" si="319">CK34*$CX34</f>
        <v>0</v>
      </c>
      <c r="DE34" s="160">
        <f t="shared" ref="DE34" si="320">CL34*$CX34</f>
        <v>0</v>
      </c>
      <c r="DF34" s="160">
        <f t="shared" ref="DF34" si="321">CM34*$CX34</f>
        <v>0</v>
      </c>
      <c r="DG34" s="160">
        <f t="shared" ref="DG34" si="322">CN34*$CX34</f>
        <v>0</v>
      </c>
      <c r="DH34" s="160">
        <f t="shared" ref="DH34" si="323">CO34*$CX34</f>
        <v>0</v>
      </c>
      <c r="DI34" s="160">
        <f t="shared" ref="DI34" si="324">CP34*$CX34</f>
        <v>0</v>
      </c>
      <c r="DJ34" s="160">
        <f t="shared" ref="DJ34" si="325">CQ34*$CX34</f>
        <v>0</v>
      </c>
      <c r="DK34" s="161">
        <f t="shared" ref="DK34" si="326">CR34*$CX34</f>
        <v>0</v>
      </c>
      <c r="DL34" s="225">
        <f t="shared" ref="DL34" si="327">CS34*$CX34</f>
        <v>0</v>
      </c>
      <c r="DM34" s="161">
        <f t="shared" ref="DM34" si="328">CT34*$CX34</f>
        <v>0</v>
      </c>
      <c r="DN34" s="225">
        <f t="shared" ref="DN34" si="329">CU34*$CX34</f>
        <v>0</v>
      </c>
      <c r="DO34" s="161">
        <f t="shared" ref="DO34" si="330">CV34*$CX34</f>
        <v>0</v>
      </c>
      <c r="DQ34" s="117"/>
      <c r="DR34" s="77"/>
      <c r="DS34" s="117"/>
      <c r="DT34" s="149"/>
      <c r="DU34" s="77"/>
      <c r="DV34" s="77"/>
      <c r="DW34" s="117"/>
      <c r="DX34" s="149"/>
      <c r="DY34" s="77"/>
      <c r="DZ34" s="77"/>
      <c r="EA34" s="117"/>
      <c r="EB34" s="149"/>
      <c r="EC34" s="77"/>
      <c r="ED34" s="77"/>
      <c r="EE34" s="77"/>
      <c r="EF34" s="117"/>
      <c r="EG34" s="149"/>
      <c r="EH34" s="77"/>
      <c r="EI34" s="149"/>
    </row>
    <row r="35" spans="1:139" x14ac:dyDescent="0.25">
      <c r="A35" s="334">
        <f t="shared" si="235"/>
        <v>45900</v>
      </c>
      <c r="B35" s="334" t="s">
        <v>15</v>
      </c>
      <c r="C35" s="334"/>
      <c r="D35" s="176">
        <v>2</v>
      </c>
      <c r="E35" s="176">
        <v>2</v>
      </c>
      <c r="F35" s="217">
        <v>2.83</v>
      </c>
      <c r="G35" s="305">
        <v>2.83</v>
      </c>
      <c r="H35" s="323">
        <f t="shared" si="166"/>
        <v>0</v>
      </c>
      <c r="I35" s="323">
        <f t="shared" si="167"/>
        <v>0</v>
      </c>
      <c r="J35" s="323">
        <f t="shared" si="168"/>
        <v>0</v>
      </c>
      <c r="K35" s="176"/>
      <c r="L35" s="178"/>
      <c r="M35" s="176"/>
      <c r="N35" s="178"/>
      <c r="O35" s="177"/>
      <c r="P35" s="177"/>
      <c r="Q35" s="176"/>
      <c r="R35" s="178"/>
      <c r="S35" s="320">
        <f t="shared" si="169"/>
        <v>0</v>
      </c>
      <c r="V35" s="320">
        <f t="shared" si="170"/>
        <v>0</v>
      </c>
      <c r="W35" s="177"/>
      <c r="X35" s="177"/>
      <c r="Y35" s="176"/>
      <c r="Z35" s="178"/>
      <c r="AA35" s="320">
        <f t="shared" si="171"/>
        <v>0</v>
      </c>
      <c r="AD35" s="320">
        <f t="shared" si="172"/>
        <v>0</v>
      </c>
      <c r="AE35" s="176"/>
      <c r="AF35" s="177"/>
      <c r="AG35" s="176"/>
      <c r="AH35" s="178"/>
      <c r="AJ35" s="12"/>
      <c r="AK35" s="5"/>
      <c r="AL35" s="9"/>
      <c r="AM35" s="358"/>
      <c r="AN35" s="5"/>
      <c r="AO35" s="13"/>
      <c r="AQ35" s="131">
        <v>2</v>
      </c>
      <c r="AR35" s="131">
        <v>2</v>
      </c>
      <c r="AS35" s="191">
        <f t="shared" si="173"/>
        <v>1</v>
      </c>
      <c r="AT35" s="192">
        <v>13.3</v>
      </c>
      <c r="AU35" s="193">
        <v>1</v>
      </c>
      <c r="AV35" s="305">
        <f t="shared" si="174"/>
        <v>13.3</v>
      </c>
      <c r="AW35" s="131">
        <v>17</v>
      </c>
      <c r="AY35" s="212">
        <f t="shared" si="175"/>
        <v>0</v>
      </c>
      <c r="AZ35" s="213">
        <f t="shared" si="176"/>
        <v>0</v>
      </c>
      <c r="BA35" s="214">
        <f t="shared" si="177"/>
        <v>0</v>
      </c>
      <c r="BB35" s="214">
        <f t="shared" si="178"/>
        <v>0</v>
      </c>
      <c r="BC35" s="212">
        <f t="shared" si="179"/>
        <v>0</v>
      </c>
      <c r="BD35" s="213">
        <f t="shared" si="180"/>
        <v>0</v>
      </c>
      <c r="BE35" s="212">
        <f t="shared" si="181"/>
        <v>0</v>
      </c>
      <c r="BF35" s="213">
        <f t="shared" si="182"/>
        <v>0</v>
      </c>
      <c r="BG35" s="214">
        <f t="shared" si="183"/>
        <v>0</v>
      </c>
      <c r="BH35" s="214">
        <f t="shared" si="184"/>
        <v>0</v>
      </c>
      <c r="BI35" s="214">
        <f t="shared" si="185"/>
        <v>0</v>
      </c>
      <c r="BJ35" s="213">
        <f t="shared" si="186"/>
        <v>0</v>
      </c>
      <c r="BK35" s="213"/>
      <c r="BL35" s="213"/>
      <c r="BM35" s="213"/>
      <c r="BN35" s="213"/>
      <c r="BO35" s="50"/>
      <c r="BP35" s="217">
        <f t="shared" si="187"/>
        <v>0</v>
      </c>
      <c r="BQ35" s="218">
        <f t="shared" si="188"/>
        <v>0</v>
      </c>
      <c r="BR35" s="217">
        <f t="shared" si="189"/>
        <v>0</v>
      </c>
      <c r="BS35" s="218">
        <f t="shared" si="190"/>
        <v>0</v>
      </c>
      <c r="BT35" s="217">
        <f t="shared" si="191"/>
        <v>0</v>
      </c>
      <c r="BU35" s="218">
        <f t="shared" si="192"/>
        <v>0</v>
      </c>
      <c r="BV35" s="217">
        <f t="shared" si="193"/>
        <v>0</v>
      </c>
      <c r="BW35" s="218">
        <f t="shared" si="194"/>
        <v>0</v>
      </c>
      <c r="BX35" s="217">
        <f t="shared" si="195"/>
        <v>0</v>
      </c>
      <c r="BY35" s="218">
        <f t="shared" si="196"/>
        <v>0</v>
      </c>
      <c r="BZ35" s="217">
        <f t="shared" si="197"/>
        <v>0</v>
      </c>
      <c r="CA35" s="218">
        <f t="shared" si="198"/>
        <v>0</v>
      </c>
      <c r="CB35" s="51">
        <f t="shared" si="295"/>
        <v>0</v>
      </c>
      <c r="CC35" s="157">
        <f t="shared" si="296"/>
        <v>0</v>
      </c>
      <c r="CD35" s="51">
        <f t="shared" si="297"/>
        <v>0</v>
      </c>
      <c r="CE35" s="157">
        <f t="shared" si="298"/>
        <v>0</v>
      </c>
      <c r="CG35" s="176"/>
      <c r="CH35" s="177"/>
      <c r="CI35" s="177"/>
      <c r="CJ35" s="177"/>
      <c r="CK35" s="177"/>
      <c r="CL35" s="177"/>
      <c r="CM35" s="177"/>
      <c r="CN35" s="177"/>
      <c r="CO35" s="177"/>
      <c r="CP35" s="177"/>
      <c r="CQ35" s="177"/>
      <c r="CR35" s="178"/>
      <c r="CS35" s="176"/>
      <c r="CT35" s="178"/>
      <c r="CU35" s="177"/>
      <c r="CV35" s="178"/>
      <c r="CX35" s="131"/>
      <c r="CZ35" s="176"/>
      <c r="DA35" s="177"/>
      <c r="DB35" s="177"/>
      <c r="DC35" s="177"/>
      <c r="DD35" s="177"/>
      <c r="DE35" s="177"/>
      <c r="DF35" s="177"/>
      <c r="DG35" s="177"/>
      <c r="DH35" s="177"/>
      <c r="DI35" s="177"/>
      <c r="DJ35" s="177"/>
      <c r="DK35" s="178"/>
      <c r="DL35" s="176"/>
      <c r="DM35" s="178"/>
      <c r="DN35" s="176"/>
      <c r="DO35" s="178"/>
      <c r="DQ35" s="32"/>
      <c r="DR35" s="34"/>
      <c r="DS35" s="32"/>
      <c r="DT35" s="33"/>
      <c r="DU35" s="34"/>
      <c r="DV35" s="34"/>
      <c r="DW35" s="32"/>
      <c r="DX35" s="33"/>
      <c r="DY35" s="34"/>
      <c r="DZ35" s="34"/>
      <c r="EA35" s="32"/>
      <c r="EB35" s="33"/>
      <c r="EC35" s="34"/>
      <c r="ED35" s="34"/>
      <c r="EE35" s="34"/>
      <c r="EF35" s="32"/>
      <c r="EG35" s="33"/>
      <c r="EH35" s="34"/>
      <c r="EI35" s="33"/>
    </row>
    <row r="36" spans="1:139" x14ac:dyDescent="0.25">
      <c r="A36" s="196"/>
      <c r="B36" s="189"/>
      <c r="C36" s="196"/>
      <c r="D36" s="202">
        <f t="shared" ref="D36:G36" si="331">SUM(D29:D35)</f>
        <v>17</v>
      </c>
      <c r="E36" s="203">
        <f t="shared" si="331"/>
        <v>22</v>
      </c>
      <c r="F36" s="203">
        <f t="shared" si="331"/>
        <v>33.089999999999996</v>
      </c>
      <c r="G36" s="203">
        <f t="shared" si="331"/>
        <v>46.43</v>
      </c>
      <c r="H36" s="202">
        <f t="shared" ref="H36:AH36" si="332">SUM(H29:H35)</f>
        <v>0</v>
      </c>
      <c r="I36" s="202">
        <f t="shared" si="332"/>
        <v>0</v>
      </c>
      <c r="J36" s="202">
        <f t="shared" si="332"/>
        <v>0</v>
      </c>
      <c r="K36" s="202">
        <f t="shared" si="332"/>
        <v>0</v>
      </c>
      <c r="L36" s="204">
        <f t="shared" si="332"/>
        <v>0</v>
      </c>
      <c r="M36" s="202">
        <f t="shared" si="332"/>
        <v>0</v>
      </c>
      <c r="N36" s="204">
        <f t="shared" si="332"/>
        <v>0</v>
      </c>
      <c r="O36" s="202">
        <f t="shared" si="332"/>
        <v>0</v>
      </c>
      <c r="P36" s="204">
        <f t="shared" si="332"/>
        <v>0</v>
      </c>
      <c r="Q36" s="202">
        <f t="shared" si="332"/>
        <v>0</v>
      </c>
      <c r="R36" s="204">
        <f t="shared" si="332"/>
        <v>0</v>
      </c>
      <c r="S36" s="202">
        <f t="shared" si="332"/>
        <v>0</v>
      </c>
      <c r="T36" s="202">
        <f t="shared" si="332"/>
        <v>0</v>
      </c>
      <c r="U36" s="205">
        <f t="shared" si="332"/>
        <v>0</v>
      </c>
      <c r="V36" s="203">
        <f t="shared" si="332"/>
        <v>0</v>
      </c>
      <c r="W36" s="205">
        <f t="shared" si="332"/>
        <v>0</v>
      </c>
      <c r="X36" s="205">
        <f t="shared" si="332"/>
        <v>0</v>
      </c>
      <c r="Y36" s="202">
        <f t="shared" si="332"/>
        <v>0</v>
      </c>
      <c r="Z36" s="204">
        <f t="shared" si="332"/>
        <v>0</v>
      </c>
      <c r="AA36" s="202">
        <f t="shared" si="332"/>
        <v>0</v>
      </c>
      <c r="AB36" s="202">
        <f t="shared" si="332"/>
        <v>0</v>
      </c>
      <c r="AC36" s="205">
        <f t="shared" si="332"/>
        <v>0</v>
      </c>
      <c r="AD36" s="202">
        <f t="shared" si="332"/>
        <v>0</v>
      </c>
      <c r="AE36" s="202">
        <f t="shared" si="332"/>
        <v>0</v>
      </c>
      <c r="AF36" s="205">
        <f t="shared" si="332"/>
        <v>0</v>
      </c>
      <c r="AG36" s="202">
        <f t="shared" si="332"/>
        <v>0</v>
      </c>
      <c r="AH36" s="204">
        <f t="shared" si="332"/>
        <v>0</v>
      </c>
      <c r="AI36" s="357"/>
      <c r="AJ36" s="12"/>
      <c r="AK36" s="5"/>
      <c r="AL36" s="9"/>
      <c r="AM36" s="358"/>
      <c r="AN36" s="5"/>
      <c r="AO36" s="13"/>
      <c r="AQ36" s="131"/>
      <c r="AR36" s="131"/>
      <c r="AS36" s="191"/>
      <c r="AT36" s="192"/>
      <c r="AU36" s="193"/>
      <c r="AV36" s="194">
        <f>AVERAGE(AV29:AV33)*5+AVERAGE(AV34:AV35)*2</f>
        <v>87.15</v>
      </c>
      <c r="AW36" s="131"/>
      <c r="AY36" s="212"/>
      <c r="AZ36" s="213"/>
      <c r="BA36" s="214"/>
      <c r="BB36" s="214"/>
      <c r="BC36" s="212"/>
      <c r="BD36" s="213"/>
      <c r="BE36" s="212"/>
      <c r="BF36" s="213"/>
      <c r="BG36" s="214"/>
      <c r="BH36" s="214"/>
      <c r="BI36" s="214"/>
      <c r="BJ36" s="213"/>
      <c r="BK36" s="156"/>
      <c r="BL36" s="156"/>
      <c r="BM36" s="156"/>
      <c r="BN36" s="156"/>
      <c r="BO36" s="50"/>
      <c r="BP36" s="217"/>
      <c r="BQ36" s="218"/>
      <c r="BR36" s="217"/>
      <c r="BS36" s="218"/>
      <c r="BT36" s="217"/>
      <c r="BU36" s="218"/>
      <c r="BV36" s="217"/>
      <c r="BW36" s="218"/>
      <c r="BX36" s="217"/>
      <c r="BY36" s="218"/>
      <c r="BZ36" s="217"/>
      <c r="CA36" s="218"/>
      <c r="CB36" s="126"/>
      <c r="CC36" s="126"/>
      <c r="CD36" s="126"/>
      <c r="CE36" s="126"/>
      <c r="CG36" s="219"/>
      <c r="CH36" s="220"/>
      <c r="CI36" s="220"/>
      <c r="CJ36" s="220"/>
      <c r="CK36" s="220"/>
      <c r="CL36" s="220"/>
      <c r="CM36" s="220"/>
      <c r="CN36" s="220"/>
      <c r="CO36" s="220"/>
      <c r="CP36" s="220"/>
      <c r="CQ36" s="220"/>
      <c r="CR36" s="221"/>
      <c r="CS36" s="219"/>
      <c r="CT36" s="220"/>
      <c r="CU36" s="220"/>
      <c r="CV36" s="221"/>
      <c r="CX36" s="222"/>
      <c r="CZ36" s="226">
        <f t="shared" ref="CZ36:DO36" si="333">CZ34+CZ29</f>
        <v>0</v>
      </c>
      <c r="DA36" s="227">
        <f t="shared" si="333"/>
        <v>0</v>
      </c>
      <c r="DB36" s="227">
        <f t="shared" si="333"/>
        <v>0</v>
      </c>
      <c r="DC36" s="227">
        <f t="shared" si="333"/>
        <v>0</v>
      </c>
      <c r="DD36" s="227">
        <f t="shared" si="333"/>
        <v>0</v>
      </c>
      <c r="DE36" s="227">
        <f t="shared" si="333"/>
        <v>0</v>
      </c>
      <c r="DF36" s="227">
        <f t="shared" si="333"/>
        <v>0</v>
      </c>
      <c r="DG36" s="227">
        <f t="shared" si="333"/>
        <v>0</v>
      </c>
      <c r="DH36" s="227">
        <f t="shared" si="333"/>
        <v>0</v>
      </c>
      <c r="DI36" s="227">
        <f t="shared" si="333"/>
        <v>0</v>
      </c>
      <c r="DJ36" s="227">
        <f t="shared" si="333"/>
        <v>0</v>
      </c>
      <c r="DK36" s="228">
        <f t="shared" si="333"/>
        <v>0</v>
      </c>
      <c r="DL36" s="226">
        <f t="shared" si="333"/>
        <v>0</v>
      </c>
      <c r="DM36" s="228">
        <f t="shared" si="333"/>
        <v>0</v>
      </c>
      <c r="DN36" s="226">
        <f t="shared" si="333"/>
        <v>0</v>
      </c>
      <c r="DO36" s="228">
        <f t="shared" si="333"/>
        <v>0</v>
      </c>
      <c r="DQ36" s="32"/>
      <c r="DR36" s="34"/>
      <c r="DS36" s="32"/>
      <c r="DT36" s="33"/>
      <c r="DU36" s="34"/>
      <c r="DV36" s="34"/>
      <c r="DW36" s="32"/>
      <c r="DX36" s="33"/>
      <c r="DY36" s="34"/>
      <c r="DZ36" s="34"/>
      <c r="EA36" s="32"/>
      <c r="EB36" s="33"/>
      <c r="EC36" s="34"/>
      <c r="ED36" s="34"/>
      <c r="EE36" s="34"/>
      <c r="EF36" s="32"/>
      <c r="EG36" s="33"/>
      <c r="EH36" s="34"/>
      <c r="EI36" s="33"/>
    </row>
    <row r="37" spans="1:139" x14ac:dyDescent="0.25">
      <c r="AJ37" s="12"/>
      <c r="AK37" s="5"/>
      <c r="AL37" s="9"/>
      <c r="AM37" s="358"/>
      <c r="AN37" s="5"/>
      <c r="AO37" s="13"/>
      <c r="AS37" s="351"/>
      <c r="AT37" s="352"/>
      <c r="AU37" s="353"/>
      <c r="AV37" s="354"/>
      <c r="AW37" s="220"/>
      <c r="AY37" s="355"/>
      <c r="AZ37" s="355"/>
      <c r="BA37" s="355"/>
      <c r="BB37" s="355"/>
      <c r="BC37" s="355"/>
      <c r="BD37" s="355"/>
      <c r="BE37" s="355"/>
      <c r="BF37" s="355"/>
      <c r="BG37" s="355"/>
      <c r="BH37" s="355"/>
      <c r="BI37" s="355"/>
      <c r="BJ37" s="355"/>
      <c r="BK37" s="127"/>
      <c r="BL37" s="127"/>
      <c r="BM37" s="127"/>
      <c r="BN37" s="127"/>
      <c r="BP37" s="220"/>
      <c r="BQ37" s="220"/>
      <c r="BR37" s="220"/>
      <c r="BS37" s="220"/>
      <c r="BT37" s="220"/>
      <c r="BU37" s="220"/>
      <c r="BV37" s="220"/>
      <c r="BW37" s="220"/>
      <c r="BX37" s="220"/>
      <c r="BY37" s="220"/>
      <c r="BZ37" s="220"/>
      <c r="CA37" s="220"/>
    </row>
    <row r="38" spans="1:139" x14ac:dyDescent="0.25">
      <c r="A38" s="206">
        <f>A29+7</f>
        <v>45901</v>
      </c>
      <c r="B38" s="207" t="s">
        <v>7</v>
      </c>
      <c r="C38" s="206"/>
      <c r="D38" s="41"/>
      <c r="E38" s="41"/>
      <c r="F38" s="41"/>
      <c r="G38" s="179"/>
      <c r="H38" s="208">
        <f t="shared" ref="H38:H44" si="334">I38+J38</f>
        <v>0</v>
      </c>
      <c r="I38" s="208">
        <f t="shared" ref="I38:I44" si="335">K38+M38+Q38</f>
        <v>0</v>
      </c>
      <c r="J38" s="208">
        <f t="shared" ref="J38:J44" si="336">L38+N38+R38</f>
        <v>0</v>
      </c>
      <c r="K38" s="41"/>
      <c r="L38" s="42"/>
      <c r="M38" s="41"/>
      <c r="N38" s="42"/>
      <c r="O38" s="165"/>
      <c r="P38" s="165"/>
      <c r="Q38" s="41"/>
      <c r="R38" s="42"/>
      <c r="S38" s="319">
        <f t="shared" ref="S38:S44" si="337">T38+U38</f>
        <v>0</v>
      </c>
      <c r="T38" s="165"/>
      <c r="U38" s="165"/>
      <c r="V38" s="319">
        <f t="shared" ref="V38:V44" si="338">W38+X38</f>
        <v>0</v>
      </c>
      <c r="W38" s="165"/>
      <c r="X38" s="165"/>
      <c r="Y38" s="41"/>
      <c r="Z38" s="42"/>
      <c r="AA38" s="319">
        <f t="shared" ref="AA38:AA44" si="339">AB38+AC38</f>
        <v>0</v>
      </c>
      <c r="AB38" s="165"/>
      <c r="AC38" s="165"/>
      <c r="AD38" s="319">
        <f t="shared" ref="AD38:AD44" si="340">AE38+AF38</f>
        <v>0</v>
      </c>
      <c r="AE38" s="41"/>
      <c r="AF38" s="165"/>
      <c r="AG38" s="41"/>
      <c r="AH38" s="42"/>
      <c r="AJ38" s="12"/>
      <c r="AK38" s="5"/>
      <c r="AL38" s="9"/>
      <c r="AM38" s="358"/>
      <c r="AN38" s="5"/>
      <c r="AO38" s="13"/>
      <c r="AQ38" s="28"/>
      <c r="AR38" s="28"/>
      <c r="AS38" s="148"/>
      <c r="AT38" s="152"/>
      <c r="AU38" s="153"/>
      <c r="AV38" s="154"/>
      <c r="AW38" s="28"/>
      <c r="AY38" s="155"/>
      <c r="AZ38" s="156"/>
      <c r="BA38" s="127"/>
      <c r="BB38" s="127"/>
      <c r="BC38" s="155"/>
      <c r="BD38" s="156"/>
      <c r="BE38" s="155"/>
      <c r="BF38" s="156"/>
      <c r="BG38" s="127"/>
      <c r="BH38" s="127"/>
      <c r="BI38" s="127"/>
      <c r="BJ38" s="156"/>
      <c r="BK38" s="210"/>
      <c r="BL38" s="210"/>
      <c r="BM38" s="210"/>
      <c r="BN38" s="210"/>
      <c r="BO38" s="50"/>
      <c r="BP38" s="51"/>
      <c r="BQ38" s="157"/>
      <c r="BR38" s="51"/>
      <c r="BS38" s="157"/>
      <c r="BT38" s="51"/>
      <c r="BU38" s="157"/>
      <c r="BV38" s="51"/>
      <c r="BW38" s="157"/>
      <c r="BX38" s="51"/>
      <c r="BY38" s="157"/>
      <c r="BZ38" s="51"/>
      <c r="CA38" s="157"/>
      <c r="CB38" s="51"/>
      <c r="CC38" s="157"/>
      <c r="CD38" s="51"/>
      <c r="CE38" s="157"/>
      <c r="CG38" s="215">
        <f t="shared" ref="CG38" si="341">AVERAGE(BP38:BP42)</f>
        <v>0</v>
      </c>
      <c r="CH38" s="175">
        <f t="shared" ref="CH38" si="342">AVERAGE(BQ38:BQ42)</f>
        <v>0</v>
      </c>
      <c r="CI38" s="175">
        <f t="shared" ref="CI38" si="343">AVERAGE(BR38:BR42)</f>
        <v>0</v>
      </c>
      <c r="CJ38" s="175">
        <f t="shared" ref="CJ38" si="344">AVERAGE(BS38:BS42)</f>
        <v>0</v>
      </c>
      <c r="CK38" s="175">
        <f t="shared" ref="CK38" si="345">AVERAGE(BT38:BT42)</f>
        <v>0</v>
      </c>
      <c r="CL38" s="175">
        <f t="shared" ref="CL38" si="346">AVERAGE(BU38:BU42)</f>
        <v>0</v>
      </c>
      <c r="CM38" s="175">
        <f t="shared" ref="CM38" si="347">AVERAGE(BV38:BV42)</f>
        <v>0</v>
      </c>
      <c r="CN38" s="175">
        <f t="shared" ref="CN38" si="348">AVERAGE(BW38:BW42)</f>
        <v>0</v>
      </c>
      <c r="CO38" s="175">
        <f t="shared" ref="CO38" si="349">AVERAGE(BX38:BX42)</f>
        <v>0.37643678160919536</v>
      </c>
      <c r="CP38" s="175">
        <f t="shared" ref="CP38" si="350">AVERAGE(BY38:BY42)</f>
        <v>0.37643678160919536</v>
      </c>
      <c r="CQ38" s="175">
        <f t="shared" ref="CQ38" si="351">AVERAGE(BZ38:BZ42)</f>
        <v>0</v>
      </c>
      <c r="CR38" s="216">
        <f t="shared" ref="CR38" si="352">AVERAGE(CA38:CA42)</f>
        <v>0</v>
      </c>
      <c r="CS38" s="215">
        <f t="shared" ref="CS38" si="353">AVERAGE(CB38:CB42)</f>
        <v>0</v>
      </c>
      <c r="CT38" s="216">
        <f t="shared" ref="CT38" si="354">AVERAGE(CC38:CC42)</f>
        <v>0</v>
      </c>
      <c r="CU38" s="175">
        <f t="shared" ref="CU38" si="355">AVERAGE(CD38:CD42)</f>
        <v>0</v>
      </c>
      <c r="CV38" s="216">
        <f t="shared" ref="CV38" si="356">AVERAGE(CE38:CE42)</f>
        <v>0</v>
      </c>
      <c r="CX38" s="150">
        <v>5</v>
      </c>
      <c r="CZ38" s="225"/>
      <c r="DA38" s="160"/>
      <c r="DB38" s="160"/>
      <c r="DC38" s="160"/>
      <c r="DD38" s="160"/>
      <c r="DE38" s="160"/>
      <c r="DF38" s="160"/>
      <c r="DG38" s="160"/>
      <c r="DH38" s="160"/>
      <c r="DI38" s="160"/>
      <c r="DJ38" s="160"/>
      <c r="DK38" s="161"/>
      <c r="DL38" s="225"/>
      <c r="DM38" s="161"/>
      <c r="DN38" s="225"/>
      <c r="DO38" s="161"/>
      <c r="DQ38" s="130"/>
      <c r="DR38" s="229"/>
      <c r="DS38" s="130"/>
      <c r="DT38" s="230"/>
      <c r="DU38" s="229"/>
      <c r="DV38" s="229"/>
      <c r="DW38" s="130"/>
      <c r="DX38" s="230"/>
      <c r="DY38" s="229"/>
      <c r="DZ38" s="229"/>
      <c r="EA38" s="130"/>
      <c r="EB38" s="230"/>
      <c r="EC38" s="229"/>
      <c r="ED38" s="229"/>
      <c r="EE38" s="229"/>
      <c r="EF38" s="130"/>
      <c r="EG38" s="230"/>
      <c r="EH38" s="229"/>
      <c r="EI38" s="230"/>
    </row>
    <row r="39" spans="1:139" x14ac:dyDescent="0.25">
      <c r="A39" s="195">
        <f t="shared" ref="A39:A44" si="357">A38+1</f>
        <v>45902</v>
      </c>
      <c r="B39" s="158" t="s">
        <v>94</v>
      </c>
      <c r="C39" s="195"/>
      <c r="D39" s="45">
        <v>1</v>
      </c>
      <c r="E39" s="45">
        <v>1</v>
      </c>
      <c r="F39" s="51">
        <v>2.25</v>
      </c>
      <c r="G39" s="154">
        <v>2.25</v>
      </c>
      <c r="H39" s="169">
        <f t="shared" si="334"/>
        <v>0</v>
      </c>
      <c r="I39" s="169">
        <f t="shared" si="335"/>
        <v>0</v>
      </c>
      <c r="J39" s="169">
        <f t="shared" si="336"/>
        <v>0</v>
      </c>
      <c r="K39" s="45"/>
      <c r="L39" s="151"/>
      <c r="M39" s="45"/>
      <c r="N39" s="151"/>
      <c r="Q39" s="45"/>
      <c r="R39" s="151"/>
      <c r="S39" s="320">
        <f t="shared" si="337"/>
        <v>0</v>
      </c>
      <c r="V39" s="320">
        <f t="shared" si="338"/>
        <v>0</v>
      </c>
      <c r="Y39" s="45"/>
      <c r="Z39" s="151"/>
      <c r="AA39" s="320">
        <f t="shared" si="339"/>
        <v>0</v>
      </c>
      <c r="AD39" s="320">
        <f t="shared" si="340"/>
        <v>0</v>
      </c>
      <c r="AE39" s="45"/>
      <c r="AG39" s="45"/>
      <c r="AH39" s="151"/>
      <c r="AJ39" s="12"/>
      <c r="AK39" s="5"/>
      <c r="AL39" s="9"/>
      <c r="AM39" s="358"/>
      <c r="AN39" s="5"/>
      <c r="AO39" s="13"/>
      <c r="AQ39" s="50">
        <v>1</v>
      </c>
      <c r="AR39" s="50">
        <v>3</v>
      </c>
      <c r="AS39" s="148">
        <f t="shared" ref="AS39:AS44" si="358">AQ39/AR39</f>
        <v>0.33333333333333331</v>
      </c>
      <c r="AT39" s="152">
        <v>13.3</v>
      </c>
      <c r="AU39" s="153">
        <v>1</v>
      </c>
      <c r="AV39" s="154">
        <f t="shared" ref="AV39:AV44" si="359">AT39*AS39*AU39</f>
        <v>4.4333333333333336</v>
      </c>
      <c r="AW39" s="50">
        <v>2</v>
      </c>
      <c r="AY39" s="155">
        <f t="shared" ref="AY39:AY44" si="360">H39/G39</f>
        <v>0</v>
      </c>
      <c r="AZ39" s="156">
        <f t="shared" ref="AZ39:AZ44" si="361">I39/G39</f>
        <v>0</v>
      </c>
      <c r="BA39" s="127">
        <f t="shared" ref="BA39:BA44" si="362">(K39+L39)/$G39</f>
        <v>0</v>
      </c>
      <c r="BB39" s="127">
        <f t="shared" ref="BB39:BB44" si="363">K39/$G39</f>
        <v>0</v>
      </c>
      <c r="BC39" s="155">
        <f t="shared" ref="BC39:BC44" si="364">(M39+N39)/$G39</f>
        <v>0</v>
      </c>
      <c r="BD39" s="156">
        <f t="shared" ref="BD39:BD44" si="365">M39/$G39</f>
        <v>0</v>
      </c>
      <c r="BE39" s="155">
        <f t="shared" ref="BE39:BE44" si="366">(Q39+R39)/$G39</f>
        <v>0</v>
      </c>
      <c r="BF39" s="156">
        <f t="shared" ref="BF39:BF44" si="367">Q39/$G39</f>
        <v>0</v>
      </c>
      <c r="BG39" s="127">
        <f t="shared" ref="BG39:BG44" si="368">S39/$G39</f>
        <v>0</v>
      </c>
      <c r="BH39" s="127">
        <f t="shared" ref="BH39:BH44" si="369">V39/$G39</f>
        <v>0</v>
      </c>
      <c r="BI39" s="127">
        <f t="shared" ref="BI39:BI44" si="370">AA39/$G39</f>
        <v>0</v>
      </c>
      <c r="BJ39" s="156">
        <f t="shared" ref="BJ39:BJ44" si="371">AH39/$G39</f>
        <v>0</v>
      </c>
      <c r="BK39" s="156"/>
      <c r="BL39" s="156"/>
      <c r="BM39" s="156"/>
      <c r="BN39" s="156"/>
      <c r="BO39" s="50"/>
      <c r="BP39" s="51">
        <f t="shared" ref="BP39:BP44" si="372">AY39*$AV39</f>
        <v>0</v>
      </c>
      <c r="BQ39" s="157">
        <f t="shared" ref="BQ39:BQ44" si="373">AZ39*$AV39</f>
        <v>0</v>
      </c>
      <c r="BR39" s="51">
        <f t="shared" ref="BR39:BR44" si="374">BA39*$AV39</f>
        <v>0</v>
      </c>
      <c r="BS39" s="157">
        <f t="shared" ref="BS39:BS44" si="375">BB39*$AV39</f>
        <v>0</v>
      </c>
      <c r="BT39" s="51">
        <f t="shared" ref="BT39:BT44" si="376">BC39*$AV39</f>
        <v>0</v>
      </c>
      <c r="BU39" s="157">
        <f t="shared" ref="BU39:BU44" si="377">BD39*$AV39</f>
        <v>0</v>
      </c>
      <c r="BV39" s="51">
        <f t="shared" ref="BV39:BV44" si="378">BE39*$AV39</f>
        <v>0</v>
      </c>
      <c r="BW39" s="157">
        <f t="shared" ref="BW39:BW44" si="379">BF39*$AV39</f>
        <v>0</v>
      </c>
      <c r="BX39" s="51">
        <f t="shared" ref="BX39:BX44" si="380">BG39*$AV39</f>
        <v>0</v>
      </c>
      <c r="BY39" s="157">
        <f t="shared" ref="BY39:BY44" si="381">BH39*$AV39</f>
        <v>0</v>
      </c>
      <c r="BZ39" s="51">
        <f t="shared" ref="BZ39:BZ44" si="382">BI39*$AV39</f>
        <v>0</v>
      </c>
      <c r="CA39" s="157">
        <f t="shared" ref="CA39:CA44" si="383">BJ39*$AV39</f>
        <v>0</v>
      </c>
      <c r="CB39" s="51">
        <f t="shared" ref="CB39:CB44" si="384">BK39*$AV39</f>
        <v>0</v>
      </c>
      <c r="CC39" s="157">
        <f t="shared" ref="CC39:CC44" si="385">BL39*$AV39</f>
        <v>0</v>
      </c>
      <c r="CD39" s="51">
        <f t="shared" ref="CD39:CD44" si="386">BM39*$AV39</f>
        <v>0</v>
      </c>
      <c r="CE39" s="157">
        <f t="shared" ref="CE39:CE44" si="387">BN39*$AV39</f>
        <v>0</v>
      </c>
      <c r="CG39" s="45"/>
      <c r="CR39" s="151"/>
      <c r="CS39" s="45"/>
      <c r="CT39" s="151"/>
      <c r="CV39" s="151"/>
      <c r="CX39" s="150"/>
      <c r="CZ39" s="225">
        <f t="shared" ref="CZ39:CZ42" si="388">CG39*$CX39</f>
        <v>0</v>
      </c>
      <c r="DA39" s="160">
        <f t="shared" ref="DA39:DA42" si="389">CH39*$CX39</f>
        <v>0</v>
      </c>
      <c r="DB39" s="160">
        <f t="shared" ref="DB39:DB42" si="390">CI39*$CX39</f>
        <v>0</v>
      </c>
      <c r="DC39" s="160">
        <f t="shared" ref="DC39:DC42" si="391">CJ39*$CX39</f>
        <v>0</v>
      </c>
      <c r="DD39" s="160">
        <f t="shared" ref="DD39:DD42" si="392">CK39*$CX39</f>
        <v>0</v>
      </c>
      <c r="DE39" s="160">
        <f t="shared" ref="DE39:DE42" si="393">CL39*$CX39</f>
        <v>0</v>
      </c>
      <c r="DF39" s="160">
        <f t="shared" ref="DF39:DF42" si="394">CM39*$CX39</f>
        <v>0</v>
      </c>
      <c r="DG39" s="160">
        <f t="shared" ref="DG39:DG42" si="395">CN39*$CX39</f>
        <v>0</v>
      </c>
      <c r="DH39" s="160">
        <f t="shared" ref="DH39:DH42" si="396">CO39*$CX39</f>
        <v>0</v>
      </c>
      <c r="DI39" s="160">
        <f t="shared" ref="DI39:DI42" si="397">CP39*$CX39</f>
        <v>0</v>
      </c>
      <c r="DJ39" s="160">
        <f t="shared" ref="DJ39:DJ42" si="398">CQ39*$CX39</f>
        <v>0</v>
      </c>
      <c r="DK39" s="161">
        <f t="shared" ref="DK39:DK42" si="399">CR39*$CX39</f>
        <v>0</v>
      </c>
      <c r="DL39" s="225">
        <f t="shared" ref="DL39:DL42" si="400">CS39*$CX39</f>
        <v>0</v>
      </c>
      <c r="DM39" s="161">
        <f t="shared" ref="DM39:DM42" si="401">CT39*$CX39</f>
        <v>0</v>
      </c>
      <c r="DN39" s="225">
        <f t="shared" ref="DN39:DN42" si="402">CU39*$CX39</f>
        <v>0</v>
      </c>
      <c r="DO39" s="161">
        <f t="shared" ref="DO39:DO42" si="403">CV39*$CX39</f>
        <v>0</v>
      </c>
      <c r="DQ39" s="117"/>
      <c r="DR39" s="77"/>
      <c r="DS39" s="117"/>
      <c r="DT39" s="149"/>
      <c r="DU39" s="77"/>
      <c r="DV39" s="77"/>
      <c r="DW39" s="117"/>
      <c r="DX39" s="149"/>
      <c r="DY39" s="77"/>
      <c r="DZ39" s="77"/>
      <c r="EA39" s="117"/>
      <c r="EB39" s="149"/>
      <c r="EC39" s="77"/>
      <c r="ED39" s="77"/>
      <c r="EE39" s="77"/>
      <c r="EF39" s="117"/>
      <c r="EG39" s="149"/>
      <c r="EH39" s="77"/>
      <c r="EI39" s="149"/>
    </row>
    <row r="40" spans="1:139" x14ac:dyDescent="0.25">
      <c r="A40" s="195">
        <f t="shared" si="357"/>
        <v>45903</v>
      </c>
      <c r="B40" s="158" t="s">
        <v>11</v>
      </c>
      <c r="C40" s="195"/>
      <c r="D40" s="45">
        <v>2</v>
      </c>
      <c r="E40" s="45">
        <v>4</v>
      </c>
      <c r="F40" s="51">
        <v>11.05</v>
      </c>
      <c r="G40" s="154">
        <v>16.7</v>
      </c>
      <c r="H40" s="169">
        <f t="shared" si="334"/>
        <v>0</v>
      </c>
      <c r="I40" s="169">
        <f t="shared" si="335"/>
        <v>0</v>
      </c>
      <c r="J40" s="169">
        <f t="shared" si="336"/>
        <v>0</v>
      </c>
      <c r="K40" s="45"/>
      <c r="L40" s="151"/>
      <c r="M40" s="45"/>
      <c r="N40" s="151"/>
      <c r="Q40" s="45"/>
      <c r="R40" s="151"/>
      <c r="S40" s="320">
        <f t="shared" si="337"/>
        <v>0</v>
      </c>
      <c r="V40" s="320">
        <f t="shared" si="338"/>
        <v>0</v>
      </c>
      <c r="Y40" s="45"/>
      <c r="Z40" s="151"/>
      <c r="AA40" s="320">
        <f t="shared" si="339"/>
        <v>0</v>
      </c>
      <c r="AD40" s="320">
        <f t="shared" si="340"/>
        <v>0</v>
      </c>
      <c r="AE40" s="45"/>
      <c r="AG40" s="45"/>
      <c r="AH40" s="151"/>
      <c r="AJ40" s="12"/>
      <c r="AK40" s="5"/>
      <c r="AL40" s="9"/>
      <c r="AM40" s="358"/>
      <c r="AN40" s="5"/>
      <c r="AO40" s="13"/>
      <c r="AQ40" s="50">
        <v>4</v>
      </c>
      <c r="AR40" s="50">
        <v>3</v>
      </c>
      <c r="AS40" s="148">
        <f t="shared" ref="AS40" si="404">AQ40/AR40</f>
        <v>1.3333333333333333</v>
      </c>
      <c r="AT40" s="152">
        <v>13.2</v>
      </c>
      <c r="AU40" s="153">
        <v>1</v>
      </c>
      <c r="AV40" s="154">
        <f t="shared" ref="AV40" si="405">AT40*AS40*AU40</f>
        <v>17.599999999999998</v>
      </c>
      <c r="AW40" s="50">
        <v>4</v>
      </c>
      <c r="AY40" s="155">
        <f t="shared" ref="AY40" si="406">H40/G40</f>
        <v>0</v>
      </c>
      <c r="AZ40" s="156">
        <f t="shared" ref="AZ40" si="407">I40/G40</f>
        <v>0</v>
      </c>
      <c r="BA40" s="127">
        <f t="shared" ref="BA40" si="408">(K40+L40)/$G40</f>
        <v>0</v>
      </c>
      <c r="BB40" s="127">
        <f t="shared" ref="BB40" si="409">K40/$G40</f>
        <v>0</v>
      </c>
      <c r="BC40" s="155">
        <f t="shared" ref="BC40" si="410">(M40+N40)/$G40</f>
        <v>0</v>
      </c>
      <c r="BD40" s="156">
        <f t="shared" ref="BD40" si="411">M40/$G40</f>
        <v>0</v>
      </c>
      <c r="BE40" s="155">
        <f t="shared" ref="BE40" si="412">(Q40+R40)/$G40</f>
        <v>0</v>
      </c>
      <c r="BF40" s="156">
        <f t="shared" ref="BF40" si="413">Q40/$G40</f>
        <v>0</v>
      </c>
      <c r="BG40" s="127">
        <f t="shared" ref="BG40" si="414">S40/$G40</f>
        <v>0</v>
      </c>
      <c r="BH40" s="127">
        <f t="shared" ref="BH40" si="415">V40/$G40</f>
        <v>0</v>
      </c>
      <c r="BI40" s="127">
        <f t="shared" ref="BI40" si="416">AA40/$G40</f>
        <v>0</v>
      </c>
      <c r="BJ40" s="156">
        <f t="shared" ref="BJ40" si="417">AH40/$G40</f>
        <v>0</v>
      </c>
      <c r="BK40" s="156"/>
      <c r="BL40" s="156"/>
      <c r="BM40" s="156"/>
      <c r="BN40" s="156"/>
      <c r="BO40" s="50"/>
      <c r="BP40" s="51">
        <f t="shared" ref="BP40" si="418">AY40*$AV40</f>
        <v>0</v>
      </c>
      <c r="BQ40" s="157">
        <f t="shared" ref="BQ40" si="419">AZ40*$AV40</f>
        <v>0</v>
      </c>
      <c r="BR40" s="51">
        <f t="shared" ref="BR40" si="420">BA40*$AV40</f>
        <v>0</v>
      </c>
      <c r="BS40" s="157">
        <f t="shared" ref="BS40" si="421">BB40*$AV40</f>
        <v>0</v>
      </c>
      <c r="BT40" s="51">
        <f t="shared" ref="BT40" si="422">BC40*$AV40</f>
        <v>0</v>
      </c>
      <c r="BU40" s="157">
        <f t="shared" ref="BU40" si="423">BD40*$AV40</f>
        <v>0</v>
      </c>
      <c r="BV40" s="51">
        <f t="shared" ref="BV40" si="424">BE40*$AV40</f>
        <v>0</v>
      </c>
      <c r="BW40" s="157">
        <f t="shared" ref="BW40" si="425">BF40*$AV40</f>
        <v>0</v>
      </c>
      <c r="BX40" s="51">
        <f t="shared" ref="BX40" si="426">BG40*$AV40</f>
        <v>0</v>
      </c>
      <c r="BY40" s="157">
        <f t="shared" ref="BY40" si="427">BH40*$AV40</f>
        <v>0</v>
      </c>
      <c r="BZ40" s="51">
        <f t="shared" ref="BZ40" si="428">BI40*$AV40</f>
        <v>0</v>
      </c>
      <c r="CA40" s="157">
        <f t="shared" ref="CA40" si="429">BJ40*$AV40</f>
        <v>0</v>
      </c>
      <c r="CB40" s="51">
        <f t="shared" ref="CB40" si="430">BK40*$AV40</f>
        <v>0</v>
      </c>
      <c r="CC40" s="157">
        <f t="shared" ref="CC40" si="431">BL40*$AV40</f>
        <v>0</v>
      </c>
      <c r="CD40" s="51">
        <f t="shared" ref="CD40" si="432">BM40*$AV40</f>
        <v>0</v>
      </c>
      <c r="CE40" s="157">
        <f t="shared" ref="CE40" si="433">BN40*$AV40</f>
        <v>0</v>
      </c>
      <c r="CG40" s="45"/>
      <c r="CR40" s="151"/>
      <c r="CS40" s="45"/>
      <c r="CT40" s="151"/>
      <c r="CV40" s="151"/>
      <c r="CX40" s="150"/>
      <c r="CZ40" s="225"/>
      <c r="DA40" s="160"/>
      <c r="DB40" s="160"/>
      <c r="DC40" s="160"/>
      <c r="DD40" s="160"/>
      <c r="DE40" s="160"/>
      <c r="DF40" s="160"/>
      <c r="DG40" s="160"/>
      <c r="DH40" s="160"/>
      <c r="DI40" s="160"/>
      <c r="DJ40" s="160"/>
      <c r="DK40" s="161"/>
      <c r="DL40" s="225"/>
      <c r="DM40" s="161"/>
      <c r="DN40" s="225"/>
      <c r="DO40" s="161"/>
      <c r="DQ40" s="117"/>
      <c r="DR40" s="77"/>
      <c r="DS40" s="117"/>
      <c r="DT40" s="149"/>
      <c r="DU40" s="77"/>
      <c r="DV40" s="77"/>
      <c r="DW40" s="117"/>
      <c r="DX40" s="149"/>
      <c r="DY40" s="77"/>
      <c r="DZ40" s="77"/>
      <c r="EA40" s="117"/>
      <c r="EB40" s="149"/>
      <c r="EC40" s="77"/>
      <c r="ED40" s="77"/>
      <c r="EE40" s="77"/>
      <c r="EF40" s="117"/>
      <c r="EG40" s="149"/>
      <c r="EH40" s="77"/>
      <c r="EI40" s="149"/>
    </row>
    <row r="41" spans="1:139" x14ac:dyDescent="0.25">
      <c r="A41" s="195">
        <f t="shared" si="357"/>
        <v>45904</v>
      </c>
      <c r="B41" s="158" t="s">
        <v>95</v>
      </c>
      <c r="C41" s="195"/>
      <c r="D41" s="45">
        <v>4</v>
      </c>
      <c r="E41" s="45">
        <v>4</v>
      </c>
      <c r="F41" s="51">
        <v>12</v>
      </c>
      <c r="G41" s="154">
        <v>12</v>
      </c>
      <c r="H41" s="169">
        <f t="shared" si="334"/>
        <v>0</v>
      </c>
      <c r="I41" s="169">
        <f t="shared" si="335"/>
        <v>0</v>
      </c>
      <c r="J41" s="169">
        <f t="shared" si="336"/>
        <v>0</v>
      </c>
      <c r="K41" s="45"/>
      <c r="L41" s="151"/>
      <c r="M41" s="45"/>
      <c r="N41" s="151"/>
      <c r="Q41" s="45"/>
      <c r="R41" s="151"/>
      <c r="S41" s="320">
        <f t="shared" si="337"/>
        <v>0</v>
      </c>
      <c r="V41" s="320">
        <f t="shared" si="338"/>
        <v>0</v>
      </c>
      <c r="Y41" s="45"/>
      <c r="Z41" s="151"/>
      <c r="AA41" s="320">
        <f t="shared" si="339"/>
        <v>0</v>
      </c>
      <c r="AD41" s="320">
        <f t="shared" si="340"/>
        <v>0</v>
      </c>
      <c r="AE41" s="45"/>
      <c r="AG41" s="45"/>
      <c r="AH41" s="151"/>
      <c r="AJ41" s="12"/>
      <c r="AK41" s="5"/>
      <c r="AL41" s="9"/>
      <c r="AM41" s="358"/>
      <c r="AN41" s="5"/>
      <c r="AO41" s="13"/>
      <c r="AQ41" s="50">
        <v>4</v>
      </c>
      <c r="AR41" s="50">
        <v>3</v>
      </c>
      <c r="AS41" s="148">
        <f t="shared" si="358"/>
        <v>1.3333333333333333</v>
      </c>
      <c r="AT41" s="152">
        <v>13.1</v>
      </c>
      <c r="AU41" s="153">
        <v>1</v>
      </c>
      <c r="AV41" s="154">
        <f t="shared" si="359"/>
        <v>17.466666666666665</v>
      </c>
      <c r="AW41" s="50">
        <v>8</v>
      </c>
      <c r="AY41" s="155">
        <f t="shared" si="360"/>
        <v>0</v>
      </c>
      <c r="AZ41" s="156">
        <f t="shared" si="361"/>
        <v>0</v>
      </c>
      <c r="BA41" s="127">
        <f t="shared" si="362"/>
        <v>0</v>
      </c>
      <c r="BB41" s="127">
        <f t="shared" si="363"/>
        <v>0</v>
      </c>
      <c r="BC41" s="155">
        <f t="shared" si="364"/>
        <v>0</v>
      </c>
      <c r="BD41" s="156">
        <f t="shared" si="365"/>
        <v>0</v>
      </c>
      <c r="BE41" s="155">
        <f t="shared" si="366"/>
        <v>0</v>
      </c>
      <c r="BF41" s="156">
        <f t="shared" si="367"/>
        <v>0</v>
      </c>
      <c r="BG41" s="127">
        <f t="shared" si="368"/>
        <v>0</v>
      </c>
      <c r="BH41" s="127">
        <f t="shared" si="369"/>
        <v>0</v>
      </c>
      <c r="BI41" s="127">
        <f t="shared" si="370"/>
        <v>0</v>
      </c>
      <c r="BJ41" s="156">
        <f t="shared" si="371"/>
        <v>0</v>
      </c>
      <c r="BK41" s="156"/>
      <c r="BL41" s="156"/>
      <c r="BM41" s="156"/>
      <c r="BN41" s="156"/>
      <c r="BO41" s="50"/>
      <c r="BP41" s="51">
        <f t="shared" si="372"/>
        <v>0</v>
      </c>
      <c r="BQ41" s="157">
        <f t="shared" si="373"/>
        <v>0</v>
      </c>
      <c r="BR41" s="51">
        <f t="shared" si="374"/>
        <v>0</v>
      </c>
      <c r="BS41" s="157">
        <f t="shared" si="375"/>
        <v>0</v>
      </c>
      <c r="BT41" s="51">
        <f t="shared" si="376"/>
        <v>0</v>
      </c>
      <c r="BU41" s="157">
        <f t="shared" si="377"/>
        <v>0</v>
      </c>
      <c r="BV41" s="51">
        <f t="shared" si="378"/>
        <v>0</v>
      </c>
      <c r="BW41" s="157">
        <f t="shared" si="379"/>
        <v>0</v>
      </c>
      <c r="BX41" s="51">
        <f t="shared" si="380"/>
        <v>0</v>
      </c>
      <c r="BY41" s="157">
        <f t="shared" si="381"/>
        <v>0</v>
      </c>
      <c r="BZ41" s="51">
        <f t="shared" si="382"/>
        <v>0</v>
      </c>
      <c r="CA41" s="157">
        <f t="shared" si="383"/>
        <v>0</v>
      </c>
      <c r="CB41" s="51">
        <f t="shared" si="384"/>
        <v>0</v>
      </c>
      <c r="CC41" s="157">
        <f t="shared" si="385"/>
        <v>0</v>
      </c>
      <c r="CD41" s="51">
        <f t="shared" si="386"/>
        <v>0</v>
      </c>
      <c r="CE41" s="157">
        <f t="shared" si="387"/>
        <v>0</v>
      </c>
      <c r="CG41" s="45"/>
      <c r="CR41" s="151"/>
      <c r="CS41" s="45"/>
      <c r="CT41" s="151"/>
      <c r="CV41" s="151"/>
      <c r="CX41" s="150"/>
      <c r="CZ41" s="225">
        <f t="shared" si="388"/>
        <v>0</v>
      </c>
      <c r="DA41" s="160">
        <f t="shared" si="389"/>
        <v>0</v>
      </c>
      <c r="DB41" s="160">
        <f t="shared" si="390"/>
        <v>0</v>
      </c>
      <c r="DC41" s="160">
        <f t="shared" si="391"/>
        <v>0</v>
      </c>
      <c r="DD41" s="160">
        <f t="shared" si="392"/>
        <v>0</v>
      </c>
      <c r="DE41" s="160">
        <f t="shared" si="393"/>
        <v>0</v>
      </c>
      <c r="DF41" s="160">
        <f t="shared" si="394"/>
        <v>0</v>
      </c>
      <c r="DG41" s="160">
        <f t="shared" si="395"/>
        <v>0</v>
      </c>
      <c r="DH41" s="160">
        <f t="shared" si="396"/>
        <v>0</v>
      </c>
      <c r="DI41" s="160">
        <f t="shared" si="397"/>
        <v>0</v>
      </c>
      <c r="DJ41" s="160">
        <f t="shared" si="398"/>
        <v>0</v>
      </c>
      <c r="DK41" s="161">
        <f t="shared" si="399"/>
        <v>0</v>
      </c>
      <c r="DL41" s="225">
        <f t="shared" si="400"/>
        <v>0</v>
      </c>
      <c r="DM41" s="161">
        <f t="shared" si="401"/>
        <v>0</v>
      </c>
      <c r="DN41" s="225">
        <f t="shared" si="402"/>
        <v>0</v>
      </c>
      <c r="DO41" s="161">
        <f t="shared" si="403"/>
        <v>0</v>
      </c>
      <c r="DQ41" s="117"/>
      <c r="DR41" s="77"/>
      <c r="DS41" s="117"/>
      <c r="DT41" s="149"/>
      <c r="DU41" s="77"/>
      <c r="DV41" s="77"/>
      <c r="DW41" s="117"/>
      <c r="DX41" s="149"/>
      <c r="DY41" s="77"/>
      <c r="DZ41" s="77"/>
      <c r="EA41" s="117"/>
      <c r="EB41" s="149"/>
      <c r="EC41" s="77"/>
      <c r="ED41" s="77"/>
      <c r="EE41" s="77"/>
      <c r="EF41" s="117"/>
      <c r="EG41" s="149"/>
      <c r="EH41" s="77"/>
      <c r="EI41" s="149"/>
    </row>
    <row r="42" spans="1:139" x14ac:dyDescent="0.25">
      <c r="A42" s="195">
        <f t="shared" si="357"/>
        <v>45905</v>
      </c>
      <c r="B42" s="195" t="s">
        <v>13</v>
      </c>
      <c r="C42" s="195"/>
      <c r="D42" s="45">
        <v>7</v>
      </c>
      <c r="E42" s="45">
        <v>9</v>
      </c>
      <c r="F42" s="51">
        <v>16.82</v>
      </c>
      <c r="G42" s="154">
        <v>26.1</v>
      </c>
      <c r="H42" s="169">
        <f t="shared" si="334"/>
        <v>0</v>
      </c>
      <c r="I42" s="169">
        <f t="shared" si="335"/>
        <v>0</v>
      </c>
      <c r="J42" s="169">
        <f t="shared" si="336"/>
        <v>0</v>
      </c>
      <c r="K42" s="45"/>
      <c r="L42" s="151"/>
      <c r="M42" s="45"/>
      <c r="N42" s="151"/>
      <c r="Q42" s="45"/>
      <c r="R42" s="151"/>
      <c r="S42" s="320">
        <f t="shared" si="337"/>
        <v>1</v>
      </c>
      <c r="U42" s="27">
        <v>1</v>
      </c>
      <c r="V42" s="320">
        <f t="shared" si="338"/>
        <v>1</v>
      </c>
      <c r="W42" s="27">
        <v>1</v>
      </c>
      <c r="Y42" s="45"/>
      <c r="Z42" s="151"/>
      <c r="AA42" s="320">
        <f t="shared" si="339"/>
        <v>0</v>
      </c>
      <c r="AD42" s="320">
        <f t="shared" si="340"/>
        <v>0</v>
      </c>
      <c r="AE42" s="45"/>
      <c r="AG42" s="45"/>
      <c r="AH42" s="151"/>
      <c r="AJ42" s="12"/>
      <c r="AK42" s="5"/>
      <c r="AL42" s="9"/>
      <c r="AM42" s="358"/>
      <c r="AN42" s="5"/>
      <c r="AO42" s="13"/>
      <c r="AQ42" s="50">
        <v>9</v>
      </c>
      <c r="AR42" s="50">
        <v>3</v>
      </c>
      <c r="AS42" s="148">
        <f t="shared" si="358"/>
        <v>3</v>
      </c>
      <c r="AT42" s="152">
        <v>13.1</v>
      </c>
      <c r="AU42" s="153">
        <v>1</v>
      </c>
      <c r="AV42" s="154">
        <f t="shared" si="359"/>
        <v>39.299999999999997</v>
      </c>
      <c r="AW42" s="50">
        <v>15</v>
      </c>
      <c r="AY42" s="155">
        <f t="shared" si="360"/>
        <v>0</v>
      </c>
      <c r="AZ42" s="156">
        <f t="shared" si="361"/>
        <v>0</v>
      </c>
      <c r="BA42" s="127">
        <f t="shared" si="362"/>
        <v>0</v>
      </c>
      <c r="BB42" s="127">
        <f t="shared" si="363"/>
        <v>0</v>
      </c>
      <c r="BC42" s="155">
        <f t="shared" si="364"/>
        <v>0</v>
      </c>
      <c r="BD42" s="156">
        <f t="shared" si="365"/>
        <v>0</v>
      </c>
      <c r="BE42" s="155">
        <f t="shared" si="366"/>
        <v>0</v>
      </c>
      <c r="BF42" s="156">
        <f t="shared" si="367"/>
        <v>0</v>
      </c>
      <c r="BG42" s="127">
        <f t="shared" si="368"/>
        <v>3.8314176245210725E-2</v>
      </c>
      <c r="BH42" s="127">
        <f t="shared" si="369"/>
        <v>3.8314176245210725E-2</v>
      </c>
      <c r="BI42" s="127">
        <f t="shared" si="370"/>
        <v>0</v>
      </c>
      <c r="BJ42" s="156">
        <f t="shared" si="371"/>
        <v>0</v>
      </c>
      <c r="BK42" s="156"/>
      <c r="BL42" s="156"/>
      <c r="BM42" s="156"/>
      <c r="BN42" s="156"/>
      <c r="BO42" s="50"/>
      <c r="BP42" s="51">
        <f t="shared" si="372"/>
        <v>0</v>
      </c>
      <c r="BQ42" s="157">
        <f t="shared" si="373"/>
        <v>0</v>
      </c>
      <c r="BR42" s="51">
        <f t="shared" si="374"/>
        <v>0</v>
      </c>
      <c r="BS42" s="157">
        <f t="shared" si="375"/>
        <v>0</v>
      </c>
      <c r="BT42" s="51">
        <f t="shared" si="376"/>
        <v>0</v>
      </c>
      <c r="BU42" s="157">
        <f t="shared" si="377"/>
        <v>0</v>
      </c>
      <c r="BV42" s="51">
        <f t="shared" si="378"/>
        <v>0</v>
      </c>
      <c r="BW42" s="157">
        <f t="shared" si="379"/>
        <v>0</v>
      </c>
      <c r="BX42" s="51">
        <f t="shared" si="380"/>
        <v>1.5057471264367814</v>
      </c>
      <c r="BY42" s="157">
        <f t="shared" si="381"/>
        <v>1.5057471264367814</v>
      </c>
      <c r="BZ42" s="51">
        <f t="shared" si="382"/>
        <v>0</v>
      </c>
      <c r="CA42" s="157">
        <f t="shared" si="383"/>
        <v>0</v>
      </c>
      <c r="CB42" s="51">
        <f t="shared" si="384"/>
        <v>0</v>
      </c>
      <c r="CC42" s="157">
        <f t="shared" si="385"/>
        <v>0</v>
      </c>
      <c r="CD42" s="51">
        <f t="shared" si="386"/>
        <v>0</v>
      </c>
      <c r="CE42" s="157">
        <f t="shared" si="387"/>
        <v>0</v>
      </c>
      <c r="CG42" s="45"/>
      <c r="CR42" s="151"/>
      <c r="CS42" s="45"/>
      <c r="CT42" s="151"/>
      <c r="CV42" s="151"/>
      <c r="CX42" s="150"/>
      <c r="CZ42" s="225">
        <f t="shared" si="388"/>
        <v>0</v>
      </c>
      <c r="DA42" s="160">
        <f t="shared" si="389"/>
        <v>0</v>
      </c>
      <c r="DB42" s="160">
        <f t="shared" si="390"/>
        <v>0</v>
      </c>
      <c r="DC42" s="160">
        <f t="shared" si="391"/>
        <v>0</v>
      </c>
      <c r="DD42" s="160">
        <f t="shared" si="392"/>
        <v>0</v>
      </c>
      <c r="DE42" s="160">
        <f t="shared" si="393"/>
        <v>0</v>
      </c>
      <c r="DF42" s="160">
        <f t="shared" si="394"/>
        <v>0</v>
      </c>
      <c r="DG42" s="160">
        <f t="shared" si="395"/>
        <v>0</v>
      </c>
      <c r="DH42" s="160">
        <f t="shared" si="396"/>
        <v>0</v>
      </c>
      <c r="DI42" s="160">
        <f t="shared" si="397"/>
        <v>0</v>
      </c>
      <c r="DJ42" s="160">
        <f t="shared" si="398"/>
        <v>0</v>
      </c>
      <c r="DK42" s="161">
        <f t="shared" si="399"/>
        <v>0</v>
      </c>
      <c r="DL42" s="225">
        <f t="shared" si="400"/>
        <v>0</v>
      </c>
      <c r="DM42" s="161">
        <f t="shared" si="401"/>
        <v>0</v>
      </c>
      <c r="DN42" s="225">
        <f t="shared" si="402"/>
        <v>0</v>
      </c>
      <c r="DO42" s="161">
        <f t="shared" si="403"/>
        <v>0</v>
      </c>
      <c r="DQ42" s="117"/>
      <c r="DR42" s="77"/>
      <c r="DS42" s="117"/>
      <c r="DT42" s="149"/>
      <c r="DU42" s="77"/>
      <c r="DV42" s="77"/>
      <c r="DW42" s="117"/>
      <c r="DX42" s="149"/>
      <c r="DY42" s="77"/>
      <c r="DZ42" s="77"/>
      <c r="EA42" s="117"/>
      <c r="EB42" s="149"/>
      <c r="EC42" s="77"/>
      <c r="ED42" s="77"/>
      <c r="EE42" s="77"/>
      <c r="EF42" s="117"/>
      <c r="EG42" s="149"/>
      <c r="EH42" s="77"/>
      <c r="EI42" s="149"/>
    </row>
    <row r="43" spans="1:139" x14ac:dyDescent="0.25">
      <c r="A43" s="195">
        <f t="shared" si="357"/>
        <v>45906</v>
      </c>
      <c r="B43" s="195" t="s">
        <v>14</v>
      </c>
      <c r="C43" s="195"/>
      <c r="D43" s="45">
        <v>6</v>
      </c>
      <c r="E43" s="45">
        <v>6</v>
      </c>
      <c r="F43" s="51">
        <v>36.67</v>
      </c>
      <c r="G43" s="154">
        <v>36.700000000000003</v>
      </c>
      <c r="H43" s="169">
        <f t="shared" si="334"/>
        <v>0</v>
      </c>
      <c r="I43" s="169">
        <f t="shared" si="335"/>
        <v>0</v>
      </c>
      <c r="J43" s="169">
        <f t="shared" si="336"/>
        <v>0</v>
      </c>
      <c r="K43" s="45"/>
      <c r="L43" s="151"/>
      <c r="M43" s="45"/>
      <c r="N43" s="151"/>
      <c r="Q43" s="45"/>
      <c r="R43" s="151"/>
      <c r="S43" s="320">
        <f t="shared" si="337"/>
        <v>0</v>
      </c>
      <c r="V43" s="320">
        <f t="shared" si="338"/>
        <v>0</v>
      </c>
      <c r="Y43" s="45"/>
      <c r="Z43" s="151"/>
      <c r="AA43" s="320">
        <f t="shared" si="339"/>
        <v>0</v>
      </c>
      <c r="AD43" s="320">
        <f t="shared" si="340"/>
        <v>0</v>
      </c>
      <c r="AE43" s="45"/>
      <c r="AG43" s="45"/>
      <c r="AH43" s="151"/>
      <c r="AJ43" s="12"/>
      <c r="AK43" s="5"/>
      <c r="AL43" s="9"/>
      <c r="AM43" s="358"/>
      <c r="AN43" s="5"/>
      <c r="AO43" s="13"/>
      <c r="AQ43" s="50">
        <v>6</v>
      </c>
      <c r="AR43" s="50">
        <v>3</v>
      </c>
      <c r="AS43" s="148">
        <f t="shared" si="358"/>
        <v>2</v>
      </c>
      <c r="AT43" s="152">
        <v>13</v>
      </c>
      <c r="AU43" s="153">
        <v>1</v>
      </c>
      <c r="AV43" s="154">
        <f t="shared" si="359"/>
        <v>26</v>
      </c>
      <c r="AW43" s="50">
        <v>45</v>
      </c>
      <c r="AY43" s="155">
        <f t="shared" si="360"/>
        <v>0</v>
      </c>
      <c r="AZ43" s="156">
        <f t="shared" si="361"/>
        <v>0</v>
      </c>
      <c r="BA43" s="127">
        <f t="shared" si="362"/>
        <v>0</v>
      </c>
      <c r="BB43" s="127">
        <f t="shared" si="363"/>
        <v>0</v>
      </c>
      <c r="BC43" s="155">
        <f t="shared" si="364"/>
        <v>0</v>
      </c>
      <c r="BD43" s="156">
        <f t="shared" si="365"/>
        <v>0</v>
      </c>
      <c r="BE43" s="155">
        <f t="shared" si="366"/>
        <v>0</v>
      </c>
      <c r="BF43" s="156">
        <f t="shared" si="367"/>
        <v>0</v>
      </c>
      <c r="BG43" s="127">
        <f t="shared" si="368"/>
        <v>0</v>
      </c>
      <c r="BH43" s="127">
        <f t="shared" si="369"/>
        <v>0</v>
      </c>
      <c r="BI43" s="127">
        <f t="shared" si="370"/>
        <v>0</v>
      </c>
      <c r="BJ43" s="156">
        <f t="shared" si="371"/>
        <v>0</v>
      </c>
      <c r="BK43" s="156"/>
      <c r="BL43" s="156"/>
      <c r="BM43" s="156"/>
      <c r="BN43" s="156"/>
      <c r="BO43" s="50"/>
      <c r="BP43" s="51">
        <f t="shared" si="372"/>
        <v>0</v>
      </c>
      <c r="BQ43" s="157">
        <f t="shared" si="373"/>
        <v>0</v>
      </c>
      <c r="BR43" s="51">
        <f t="shared" si="374"/>
        <v>0</v>
      </c>
      <c r="BS43" s="157">
        <f t="shared" si="375"/>
        <v>0</v>
      </c>
      <c r="BT43" s="51">
        <f t="shared" si="376"/>
        <v>0</v>
      </c>
      <c r="BU43" s="157">
        <f t="shared" si="377"/>
        <v>0</v>
      </c>
      <c r="BV43" s="51">
        <f t="shared" si="378"/>
        <v>0</v>
      </c>
      <c r="BW43" s="157">
        <f t="shared" si="379"/>
        <v>0</v>
      </c>
      <c r="BX43" s="51">
        <f t="shared" si="380"/>
        <v>0</v>
      </c>
      <c r="BY43" s="157">
        <f t="shared" si="381"/>
        <v>0</v>
      </c>
      <c r="BZ43" s="51">
        <f t="shared" si="382"/>
        <v>0</v>
      </c>
      <c r="CA43" s="157">
        <f t="shared" si="383"/>
        <v>0</v>
      </c>
      <c r="CB43" s="51">
        <f t="shared" si="384"/>
        <v>0</v>
      </c>
      <c r="CC43" s="157">
        <f t="shared" si="385"/>
        <v>0</v>
      </c>
      <c r="CD43" s="51">
        <f t="shared" si="386"/>
        <v>0</v>
      </c>
      <c r="CE43" s="157">
        <f t="shared" si="387"/>
        <v>0</v>
      </c>
      <c r="CG43" s="51">
        <f t="shared" ref="CG43" si="434">AVERAGE(BP43:BP44)</f>
        <v>0</v>
      </c>
      <c r="CH43" s="126">
        <f t="shared" ref="CH43" si="435">AVERAGE(BQ43:BQ44)</f>
        <v>0</v>
      </c>
      <c r="CI43" s="126">
        <f t="shared" ref="CI43" si="436">AVERAGE(BR43:BR44)</f>
        <v>0</v>
      </c>
      <c r="CJ43" s="126">
        <f t="shared" ref="CJ43" si="437">AVERAGE(BS43:BS44)</f>
        <v>0</v>
      </c>
      <c r="CK43" s="126">
        <f t="shared" ref="CK43" si="438">AVERAGE(BT43:BT44)</f>
        <v>0</v>
      </c>
      <c r="CL43" s="126">
        <f t="shared" ref="CL43" si="439">AVERAGE(BU43:BU44)</f>
        <v>0</v>
      </c>
      <c r="CM43" s="126">
        <f t="shared" ref="CM43" si="440">AVERAGE(BV43:BV44)</f>
        <v>0</v>
      </c>
      <c r="CN43" s="126">
        <f t="shared" ref="CN43" si="441">AVERAGE(BW43:BW44)</f>
        <v>0</v>
      </c>
      <c r="CO43" s="126">
        <f t="shared" ref="CO43" si="442">AVERAGE(BX43:BX44)</f>
        <v>0</v>
      </c>
      <c r="CP43" s="126">
        <f t="shared" ref="CP43" si="443">AVERAGE(BY43:BY44)</f>
        <v>0</v>
      </c>
      <c r="CQ43" s="126">
        <f t="shared" ref="CQ43" si="444">AVERAGE(BZ43:BZ44)</f>
        <v>0</v>
      </c>
      <c r="CR43" s="157">
        <f t="shared" ref="CR43" si="445">AVERAGE(CA43:CA44)</f>
        <v>0</v>
      </c>
      <c r="CS43" s="51">
        <f t="shared" ref="CS43" si="446">AVERAGE(CB43:CB44)</f>
        <v>0</v>
      </c>
      <c r="CT43" s="157">
        <f t="shared" ref="CT43" si="447">AVERAGE(CC43:CC44)</f>
        <v>0</v>
      </c>
      <c r="CU43" s="126">
        <f t="shared" ref="CU43" si="448">AVERAGE(CD43:CD44)</f>
        <v>0</v>
      </c>
      <c r="CV43" s="157">
        <f t="shared" ref="CV43" si="449">AVERAGE(CE43:CE44)</f>
        <v>0</v>
      </c>
      <c r="CX43" s="150">
        <v>2</v>
      </c>
      <c r="CZ43" s="225">
        <f t="shared" ref="CZ43" si="450">CG43*$CX43</f>
        <v>0</v>
      </c>
      <c r="DA43" s="160">
        <f t="shared" ref="DA43" si="451">CH43*$CX43</f>
        <v>0</v>
      </c>
      <c r="DB43" s="160">
        <f t="shared" ref="DB43" si="452">CI43*$CX43</f>
        <v>0</v>
      </c>
      <c r="DC43" s="160">
        <f t="shared" ref="DC43" si="453">CJ43*$CX43</f>
        <v>0</v>
      </c>
      <c r="DD43" s="160">
        <f t="shared" ref="DD43" si="454">CK43*$CX43</f>
        <v>0</v>
      </c>
      <c r="DE43" s="160">
        <f t="shared" ref="DE43" si="455">CL43*$CX43</f>
        <v>0</v>
      </c>
      <c r="DF43" s="160">
        <f t="shared" ref="DF43" si="456">CM43*$CX43</f>
        <v>0</v>
      </c>
      <c r="DG43" s="160">
        <f t="shared" ref="DG43" si="457">CN43*$CX43</f>
        <v>0</v>
      </c>
      <c r="DH43" s="160">
        <f t="shared" ref="DH43" si="458">CO43*$CX43</f>
        <v>0</v>
      </c>
      <c r="DI43" s="160">
        <f t="shared" ref="DI43" si="459">CP43*$CX43</f>
        <v>0</v>
      </c>
      <c r="DJ43" s="160">
        <f t="shared" ref="DJ43" si="460">CQ43*$CX43</f>
        <v>0</v>
      </c>
      <c r="DK43" s="161">
        <f t="shared" ref="DK43" si="461">CR43*$CX43</f>
        <v>0</v>
      </c>
      <c r="DL43" s="225">
        <f t="shared" ref="DL43" si="462">CS43*$CX43</f>
        <v>0</v>
      </c>
      <c r="DM43" s="161">
        <f t="shared" ref="DM43" si="463">CT43*$CX43</f>
        <v>0</v>
      </c>
      <c r="DN43" s="225">
        <f t="shared" ref="DN43" si="464">CU43*$CX43</f>
        <v>0</v>
      </c>
      <c r="DO43" s="161">
        <f t="shared" ref="DO43" si="465">CV43*$CX43</f>
        <v>0</v>
      </c>
      <c r="DQ43" s="117"/>
      <c r="DR43" s="77"/>
      <c r="DS43" s="117"/>
      <c r="DT43" s="149"/>
      <c r="DU43" s="77"/>
      <c r="DV43" s="77"/>
      <c r="DW43" s="117"/>
      <c r="DX43" s="149"/>
      <c r="DY43" s="77"/>
      <c r="DZ43" s="77"/>
      <c r="EA43" s="117"/>
      <c r="EB43" s="149"/>
      <c r="EC43" s="77"/>
      <c r="ED43" s="77"/>
      <c r="EE43" s="77"/>
      <c r="EF43" s="117"/>
      <c r="EG43" s="149"/>
      <c r="EH43" s="77"/>
      <c r="EI43" s="149"/>
    </row>
    <row r="44" spans="1:139" x14ac:dyDescent="0.25">
      <c r="A44" s="334">
        <f t="shared" si="357"/>
        <v>45907</v>
      </c>
      <c r="B44" s="334" t="s">
        <v>15</v>
      </c>
      <c r="C44" s="334"/>
      <c r="D44" s="176">
        <v>10</v>
      </c>
      <c r="E44" s="176">
        <v>11</v>
      </c>
      <c r="F44" s="217">
        <v>34.950000000000003</v>
      </c>
      <c r="G44" s="305">
        <v>41.4</v>
      </c>
      <c r="H44" s="323">
        <f t="shared" si="334"/>
        <v>0</v>
      </c>
      <c r="I44" s="323">
        <f t="shared" si="335"/>
        <v>0</v>
      </c>
      <c r="J44" s="323">
        <f t="shared" si="336"/>
        <v>0</v>
      </c>
      <c r="K44" s="176"/>
      <c r="L44" s="178"/>
      <c r="M44" s="176"/>
      <c r="N44" s="178"/>
      <c r="O44" s="177"/>
      <c r="P44" s="177"/>
      <c r="Q44" s="176"/>
      <c r="R44" s="178"/>
      <c r="S44" s="320">
        <f t="shared" si="337"/>
        <v>0</v>
      </c>
      <c r="V44" s="320">
        <f t="shared" si="338"/>
        <v>0</v>
      </c>
      <c r="W44" s="177"/>
      <c r="X44" s="177"/>
      <c r="Y44" s="176"/>
      <c r="Z44" s="178"/>
      <c r="AA44" s="320">
        <f t="shared" si="339"/>
        <v>0</v>
      </c>
      <c r="AD44" s="320">
        <f t="shared" si="340"/>
        <v>0</v>
      </c>
      <c r="AE44" s="176"/>
      <c r="AF44" s="177"/>
      <c r="AG44" s="176"/>
      <c r="AH44" s="178"/>
      <c r="AJ44" s="12"/>
      <c r="AK44" s="5"/>
      <c r="AL44" s="9"/>
      <c r="AM44" s="358"/>
      <c r="AN44" s="5"/>
      <c r="AO44" s="13"/>
      <c r="AQ44" s="131">
        <v>11</v>
      </c>
      <c r="AR44" s="131">
        <v>3</v>
      </c>
      <c r="AS44" s="191">
        <f t="shared" si="358"/>
        <v>3.6666666666666665</v>
      </c>
      <c r="AT44" s="192">
        <v>13</v>
      </c>
      <c r="AU44" s="193">
        <v>1</v>
      </c>
      <c r="AV44" s="305">
        <f t="shared" si="359"/>
        <v>47.666666666666664</v>
      </c>
      <c r="AW44" s="131">
        <v>29</v>
      </c>
      <c r="AY44" s="212">
        <f t="shared" si="360"/>
        <v>0</v>
      </c>
      <c r="AZ44" s="213">
        <f t="shared" si="361"/>
        <v>0</v>
      </c>
      <c r="BA44" s="214">
        <f t="shared" si="362"/>
        <v>0</v>
      </c>
      <c r="BB44" s="214">
        <f t="shared" si="363"/>
        <v>0</v>
      </c>
      <c r="BC44" s="212">
        <f t="shared" si="364"/>
        <v>0</v>
      </c>
      <c r="BD44" s="213">
        <f t="shared" si="365"/>
        <v>0</v>
      </c>
      <c r="BE44" s="212">
        <f t="shared" si="366"/>
        <v>0</v>
      </c>
      <c r="BF44" s="213">
        <f t="shared" si="367"/>
        <v>0</v>
      </c>
      <c r="BG44" s="214">
        <f t="shared" si="368"/>
        <v>0</v>
      </c>
      <c r="BH44" s="214">
        <f t="shared" si="369"/>
        <v>0</v>
      </c>
      <c r="BI44" s="214">
        <f t="shared" si="370"/>
        <v>0</v>
      </c>
      <c r="BJ44" s="213">
        <f t="shared" si="371"/>
        <v>0</v>
      </c>
      <c r="BK44" s="213"/>
      <c r="BL44" s="213"/>
      <c r="BM44" s="213"/>
      <c r="BN44" s="213"/>
      <c r="BO44" s="50"/>
      <c r="BP44" s="217">
        <f t="shared" si="372"/>
        <v>0</v>
      </c>
      <c r="BQ44" s="218">
        <f t="shared" si="373"/>
        <v>0</v>
      </c>
      <c r="BR44" s="217">
        <f t="shared" si="374"/>
        <v>0</v>
      </c>
      <c r="BS44" s="218">
        <f t="shared" si="375"/>
        <v>0</v>
      </c>
      <c r="BT44" s="217">
        <f t="shared" si="376"/>
        <v>0</v>
      </c>
      <c r="BU44" s="218">
        <f t="shared" si="377"/>
        <v>0</v>
      </c>
      <c r="BV44" s="217">
        <f t="shared" si="378"/>
        <v>0</v>
      </c>
      <c r="BW44" s="218">
        <f t="shared" si="379"/>
        <v>0</v>
      </c>
      <c r="BX44" s="217">
        <f t="shared" si="380"/>
        <v>0</v>
      </c>
      <c r="BY44" s="218">
        <f t="shared" si="381"/>
        <v>0</v>
      </c>
      <c r="BZ44" s="217">
        <f t="shared" si="382"/>
        <v>0</v>
      </c>
      <c r="CA44" s="218">
        <f t="shared" si="383"/>
        <v>0</v>
      </c>
      <c r="CB44" s="217">
        <f t="shared" si="384"/>
        <v>0</v>
      </c>
      <c r="CC44" s="218">
        <f t="shared" si="385"/>
        <v>0</v>
      </c>
      <c r="CD44" s="217">
        <f t="shared" si="386"/>
        <v>0</v>
      </c>
      <c r="CE44" s="218">
        <f t="shared" si="387"/>
        <v>0</v>
      </c>
      <c r="CG44" s="51"/>
      <c r="CH44" s="126"/>
      <c r="CI44" s="126"/>
      <c r="CJ44" s="126"/>
      <c r="CK44" s="126"/>
      <c r="CL44" s="126"/>
      <c r="CM44" s="126"/>
      <c r="CN44" s="126"/>
      <c r="CO44" s="126"/>
      <c r="CP44" s="126"/>
      <c r="CQ44" s="126"/>
      <c r="CR44" s="157"/>
      <c r="CS44" s="51"/>
      <c r="CT44" s="157"/>
      <c r="CU44" s="126"/>
      <c r="CV44" s="157"/>
      <c r="CX44" s="150"/>
      <c r="CZ44" s="225">
        <f t="shared" ref="CZ44" si="466">CG44*$CX44</f>
        <v>0</v>
      </c>
      <c r="DA44" s="160">
        <f t="shared" ref="DA44" si="467">CH44*$CX44</f>
        <v>0</v>
      </c>
      <c r="DB44" s="160">
        <f t="shared" ref="DB44" si="468">CI44*$CX44</f>
        <v>0</v>
      </c>
      <c r="DC44" s="160">
        <f t="shared" ref="DC44" si="469">CJ44*$CX44</f>
        <v>0</v>
      </c>
      <c r="DD44" s="160">
        <f t="shared" ref="DD44" si="470">CK44*$CX44</f>
        <v>0</v>
      </c>
      <c r="DE44" s="160">
        <f t="shared" ref="DE44" si="471">CL44*$CX44</f>
        <v>0</v>
      </c>
      <c r="DF44" s="160">
        <f t="shared" ref="DF44" si="472">CM44*$CX44</f>
        <v>0</v>
      </c>
      <c r="DG44" s="160">
        <f t="shared" ref="DG44" si="473">CN44*$CX44</f>
        <v>0</v>
      </c>
      <c r="DH44" s="160">
        <f t="shared" ref="DH44" si="474">CO44*$CX44</f>
        <v>0</v>
      </c>
      <c r="DI44" s="160">
        <f t="shared" ref="DI44" si="475">CP44*$CX44</f>
        <v>0</v>
      </c>
      <c r="DJ44" s="160">
        <f t="shared" ref="DJ44" si="476">CQ44*$CX44</f>
        <v>0</v>
      </c>
      <c r="DK44" s="161">
        <f t="shared" ref="DK44" si="477">CR44*$CX44</f>
        <v>0</v>
      </c>
      <c r="DL44" s="225">
        <f t="shared" ref="DL44" si="478">CS44*$CX44</f>
        <v>0</v>
      </c>
      <c r="DM44" s="161">
        <f t="shared" ref="DM44" si="479">CT44*$CX44</f>
        <v>0</v>
      </c>
      <c r="DN44" s="225">
        <f t="shared" ref="DN44" si="480">CU44*$CX44</f>
        <v>0</v>
      </c>
      <c r="DO44" s="161">
        <f t="shared" ref="DO44" si="481">CV44*$CX44</f>
        <v>0</v>
      </c>
      <c r="DQ44" s="32"/>
      <c r="DR44" s="34"/>
      <c r="DS44" s="32"/>
      <c r="DT44" s="33"/>
      <c r="DU44" s="34"/>
      <c r="DV44" s="34"/>
      <c r="DW44" s="32"/>
      <c r="DX44" s="33"/>
      <c r="DY44" s="34"/>
      <c r="DZ44" s="34"/>
      <c r="EA44" s="32"/>
      <c r="EB44" s="33"/>
      <c r="EC44" s="34"/>
      <c r="ED44" s="34"/>
      <c r="EE44" s="34"/>
      <c r="EF44" s="32"/>
      <c r="EG44" s="33"/>
      <c r="EH44" s="34"/>
      <c r="EI44" s="33"/>
    </row>
    <row r="45" spans="1:139" x14ac:dyDescent="0.25">
      <c r="A45" s="196"/>
      <c r="B45" s="189"/>
      <c r="C45" s="196"/>
      <c r="D45" s="202">
        <f t="shared" ref="D45:AH45" si="482">SUM(D38:D44)</f>
        <v>30</v>
      </c>
      <c r="E45" s="203">
        <f t="shared" si="482"/>
        <v>35</v>
      </c>
      <c r="F45" s="203">
        <f t="shared" si="482"/>
        <v>113.74000000000001</v>
      </c>
      <c r="G45" s="203">
        <f t="shared" si="482"/>
        <v>135.15</v>
      </c>
      <c r="H45" s="202">
        <f t="shared" si="482"/>
        <v>0</v>
      </c>
      <c r="I45" s="202">
        <f t="shared" si="482"/>
        <v>0</v>
      </c>
      <c r="J45" s="202">
        <f t="shared" si="482"/>
        <v>0</v>
      </c>
      <c r="K45" s="202">
        <f t="shared" si="482"/>
        <v>0</v>
      </c>
      <c r="L45" s="204">
        <f t="shared" si="482"/>
        <v>0</v>
      </c>
      <c r="M45" s="202">
        <f t="shared" si="482"/>
        <v>0</v>
      </c>
      <c r="N45" s="204">
        <f t="shared" si="482"/>
        <v>0</v>
      </c>
      <c r="O45" s="202">
        <f t="shared" si="482"/>
        <v>0</v>
      </c>
      <c r="P45" s="204">
        <f t="shared" si="482"/>
        <v>0</v>
      </c>
      <c r="Q45" s="202">
        <f t="shared" si="482"/>
        <v>0</v>
      </c>
      <c r="R45" s="204">
        <f t="shared" si="482"/>
        <v>0</v>
      </c>
      <c r="S45" s="202">
        <f t="shared" si="482"/>
        <v>1</v>
      </c>
      <c r="T45" s="205">
        <f t="shared" si="482"/>
        <v>0</v>
      </c>
      <c r="U45" s="205">
        <f t="shared" si="482"/>
        <v>1</v>
      </c>
      <c r="V45" s="203">
        <f t="shared" si="482"/>
        <v>1</v>
      </c>
      <c r="W45" s="205">
        <f t="shared" si="482"/>
        <v>1</v>
      </c>
      <c r="X45" s="205">
        <f t="shared" si="482"/>
        <v>0</v>
      </c>
      <c r="Y45" s="202">
        <f t="shared" si="482"/>
        <v>0</v>
      </c>
      <c r="Z45" s="204">
        <f t="shared" si="482"/>
        <v>0</v>
      </c>
      <c r="AA45" s="202">
        <f t="shared" si="482"/>
        <v>0</v>
      </c>
      <c r="AB45" s="202">
        <f t="shared" si="482"/>
        <v>0</v>
      </c>
      <c r="AC45" s="205">
        <f t="shared" si="482"/>
        <v>0</v>
      </c>
      <c r="AD45" s="202">
        <f t="shared" si="482"/>
        <v>0</v>
      </c>
      <c r="AE45" s="202">
        <f t="shared" si="482"/>
        <v>0</v>
      </c>
      <c r="AF45" s="205">
        <f t="shared" si="482"/>
        <v>0</v>
      </c>
      <c r="AG45" s="202">
        <f t="shared" si="482"/>
        <v>0</v>
      </c>
      <c r="AH45" s="204">
        <f t="shared" si="482"/>
        <v>0</v>
      </c>
      <c r="AI45" s="357"/>
      <c r="AJ45" s="12"/>
      <c r="AK45" s="5"/>
      <c r="AL45" s="9"/>
      <c r="AM45" s="358"/>
      <c r="AN45" s="5"/>
      <c r="AO45" s="13"/>
      <c r="AQ45" s="131"/>
      <c r="AR45" s="131"/>
      <c r="AS45" s="191"/>
      <c r="AT45" s="192"/>
      <c r="AU45" s="193"/>
      <c r="AV45" s="194">
        <f>AVERAGE(AV38:AV42)*5+AVERAGE(AV43:AV44)*2</f>
        <v>172.16666666666666</v>
      </c>
      <c r="AW45" s="131"/>
      <c r="AY45" s="212"/>
      <c r="AZ45" s="213"/>
      <c r="BA45" s="214"/>
      <c r="BB45" s="214"/>
      <c r="BC45" s="212"/>
      <c r="BD45" s="213"/>
      <c r="BE45" s="212"/>
      <c r="BF45" s="213"/>
      <c r="BG45" s="214"/>
      <c r="BH45" s="214"/>
      <c r="BI45" s="214"/>
      <c r="BJ45" s="213"/>
      <c r="BK45" s="156"/>
      <c r="BL45" s="156"/>
      <c r="BM45" s="156"/>
      <c r="BN45" s="156"/>
      <c r="BO45" s="50"/>
      <c r="BP45" s="217"/>
      <c r="BQ45" s="218"/>
      <c r="BR45" s="217"/>
      <c r="BS45" s="218"/>
      <c r="BT45" s="217"/>
      <c r="BU45" s="218"/>
      <c r="BV45" s="217"/>
      <c r="BW45" s="218"/>
      <c r="BX45" s="217"/>
      <c r="BY45" s="218"/>
      <c r="BZ45" s="217"/>
      <c r="CA45" s="218"/>
      <c r="CB45" s="126"/>
      <c r="CC45" s="126"/>
      <c r="CD45" s="126"/>
      <c r="CE45" s="126"/>
      <c r="CG45" s="219"/>
      <c r="CH45" s="220"/>
      <c r="CI45" s="220"/>
      <c r="CJ45" s="220"/>
      <c r="CK45" s="220"/>
      <c r="CL45" s="220"/>
      <c r="CM45" s="220"/>
      <c r="CN45" s="220"/>
      <c r="CO45" s="220"/>
      <c r="CP45" s="220"/>
      <c r="CQ45" s="220"/>
      <c r="CR45" s="221"/>
      <c r="CS45" s="219"/>
      <c r="CT45" s="220"/>
      <c r="CU45" s="220"/>
      <c r="CV45" s="221"/>
      <c r="CX45" s="222"/>
      <c r="CZ45" s="226">
        <f t="shared" ref="CZ45:DO45" si="483">CZ43+CZ38</f>
        <v>0</v>
      </c>
      <c r="DA45" s="227">
        <f t="shared" si="483"/>
        <v>0</v>
      </c>
      <c r="DB45" s="227">
        <f t="shared" si="483"/>
        <v>0</v>
      </c>
      <c r="DC45" s="227">
        <f t="shared" si="483"/>
        <v>0</v>
      </c>
      <c r="DD45" s="227">
        <f t="shared" si="483"/>
        <v>0</v>
      </c>
      <c r="DE45" s="227">
        <f t="shared" si="483"/>
        <v>0</v>
      </c>
      <c r="DF45" s="227">
        <f t="shared" si="483"/>
        <v>0</v>
      </c>
      <c r="DG45" s="227">
        <f t="shared" si="483"/>
        <v>0</v>
      </c>
      <c r="DH45" s="227">
        <f t="shared" si="483"/>
        <v>0</v>
      </c>
      <c r="DI45" s="227">
        <f t="shared" si="483"/>
        <v>0</v>
      </c>
      <c r="DJ45" s="227">
        <f t="shared" si="483"/>
        <v>0</v>
      </c>
      <c r="DK45" s="228">
        <f t="shared" si="483"/>
        <v>0</v>
      </c>
      <c r="DL45" s="226">
        <f t="shared" si="483"/>
        <v>0</v>
      </c>
      <c r="DM45" s="228">
        <f t="shared" si="483"/>
        <v>0</v>
      </c>
      <c r="DN45" s="226">
        <f t="shared" si="483"/>
        <v>0</v>
      </c>
      <c r="DO45" s="228">
        <f t="shared" si="483"/>
        <v>0</v>
      </c>
      <c r="DQ45" s="32"/>
      <c r="DR45" s="34"/>
      <c r="DS45" s="32"/>
      <c r="DT45" s="33"/>
      <c r="DU45" s="34"/>
      <c r="DV45" s="34"/>
      <c r="DW45" s="32"/>
      <c r="DX45" s="33"/>
      <c r="DY45" s="34"/>
      <c r="DZ45" s="34"/>
      <c r="EA45" s="32"/>
      <c r="EB45" s="33"/>
      <c r="EC45" s="34"/>
      <c r="ED45" s="34"/>
      <c r="EE45" s="34"/>
      <c r="EF45" s="32"/>
      <c r="EG45" s="33"/>
      <c r="EH45" s="34"/>
      <c r="EI45" s="33"/>
    </row>
    <row r="46" spans="1:139" x14ac:dyDescent="0.25">
      <c r="AJ46" s="12"/>
      <c r="AK46" s="5"/>
      <c r="AL46" s="9"/>
      <c r="AM46" s="358"/>
      <c r="AN46" s="5"/>
      <c r="AO46" s="13"/>
    </row>
    <row r="47" spans="1:139" x14ac:dyDescent="0.25">
      <c r="A47" s="206">
        <f>A38+7</f>
        <v>45908</v>
      </c>
      <c r="B47" s="207" t="s">
        <v>7</v>
      </c>
      <c r="C47" s="206"/>
      <c r="D47" s="41">
        <v>7</v>
      </c>
      <c r="E47" s="41">
        <v>9</v>
      </c>
      <c r="F47" s="41">
        <v>37.4</v>
      </c>
      <c r="G47" s="179">
        <v>47.4</v>
      </c>
      <c r="H47" s="208">
        <f t="shared" ref="H47:H53" si="484">I47+J47</f>
        <v>0</v>
      </c>
      <c r="I47" s="208">
        <f t="shared" ref="I47:I53" si="485">K47+M47+Q47</f>
        <v>0</v>
      </c>
      <c r="J47" s="208">
        <f t="shared" ref="J47:J53" si="486">L47+N47+R47</f>
        <v>0</v>
      </c>
      <c r="K47" s="41"/>
      <c r="L47" s="42"/>
      <c r="M47" s="41"/>
      <c r="N47" s="42"/>
      <c r="O47" s="165"/>
      <c r="P47" s="165"/>
      <c r="Q47" s="41"/>
      <c r="R47" s="42"/>
      <c r="S47" s="319">
        <f t="shared" ref="S47:S53" si="487">T47+U47</f>
        <v>1</v>
      </c>
      <c r="T47" s="165">
        <v>1</v>
      </c>
      <c r="U47" s="165"/>
      <c r="V47" s="319">
        <f t="shared" ref="V47:V53" si="488">W47+X47</f>
        <v>1</v>
      </c>
      <c r="W47" s="165"/>
      <c r="X47" s="165">
        <v>1</v>
      </c>
      <c r="Y47" s="41"/>
      <c r="Z47" s="42"/>
      <c r="AA47" s="319">
        <f t="shared" ref="AA47:AA53" si="489">AB47+AC47</f>
        <v>0</v>
      </c>
      <c r="AB47" s="165"/>
      <c r="AC47" s="165"/>
      <c r="AD47" s="319">
        <f t="shared" ref="AD47:AD53" si="490">AE47+AF47</f>
        <v>0</v>
      </c>
      <c r="AE47" s="41"/>
      <c r="AF47" s="165"/>
      <c r="AG47" s="41"/>
      <c r="AH47" s="42"/>
      <c r="AJ47" s="12"/>
      <c r="AK47" s="5"/>
      <c r="AL47" s="9"/>
      <c r="AM47" s="358"/>
      <c r="AN47" s="5"/>
      <c r="AO47" s="13"/>
      <c r="AQ47" s="28">
        <v>9</v>
      </c>
      <c r="AR47" s="28">
        <v>3</v>
      </c>
      <c r="AS47" s="148">
        <f t="shared" ref="AS47:AS53" si="491">AQ47/AR47</f>
        <v>3</v>
      </c>
      <c r="AT47" s="359">
        <v>12.9</v>
      </c>
      <c r="AU47" s="153">
        <v>1</v>
      </c>
      <c r="AV47" s="179">
        <f t="shared" ref="AV47:AV53" si="492">AT47*AS47*AU47</f>
        <v>38.700000000000003</v>
      </c>
      <c r="AW47" s="28">
        <v>13</v>
      </c>
      <c r="AY47" s="209">
        <f t="shared" ref="AY47" si="493">H47/G47</f>
        <v>0</v>
      </c>
      <c r="AZ47" s="210">
        <f t="shared" ref="AZ47" si="494">I47/G47</f>
        <v>0</v>
      </c>
      <c r="BA47" s="211">
        <f t="shared" ref="BA47" si="495">(K47+L47)/$G47</f>
        <v>0</v>
      </c>
      <c r="BB47" s="211">
        <f t="shared" ref="BB47" si="496">K47/$G47</f>
        <v>0</v>
      </c>
      <c r="BC47" s="209">
        <f t="shared" ref="BC47" si="497">(M47+N47)/$G47</f>
        <v>0</v>
      </c>
      <c r="BD47" s="210">
        <f t="shared" ref="BD47" si="498">M47/$G47</f>
        <v>0</v>
      </c>
      <c r="BE47" s="209">
        <f t="shared" ref="BE47" si="499">(Q47+R47)/$G47</f>
        <v>0</v>
      </c>
      <c r="BF47" s="210">
        <f t="shared" ref="BF47" si="500">Q47/$G47</f>
        <v>0</v>
      </c>
      <c r="BG47" s="211">
        <f t="shared" ref="BG47" si="501">S47/$G47</f>
        <v>2.1097046413502109E-2</v>
      </c>
      <c r="BH47" s="211">
        <f t="shared" ref="BH47" si="502">V47/$G47</f>
        <v>2.1097046413502109E-2</v>
      </c>
      <c r="BI47" s="211">
        <f t="shared" ref="BI47" si="503">AA47/$G47</f>
        <v>0</v>
      </c>
      <c r="BJ47" s="210">
        <f t="shared" ref="BJ47" si="504">AH47/$G47</f>
        <v>0</v>
      </c>
      <c r="BK47" s="210"/>
      <c r="BL47" s="210"/>
      <c r="BM47" s="210"/>
      <c r="BN47" s="210"/>
      <c r="BO47" s="50"/>
      <c r="BP47" s="215">
        <f t="shared" ref="BP47" si="505">AY47*$AV47</f>
        <v>0</v>
      </c>
      <c r="BQ47" s="216">
        <f t="shared" ref="BQ47" si="506">AZ47*$AV47</f>
        <v>0</v>
      </c>
      <c r="BR47" s="215">
        <f t="shared" ref="BR47" si="507">BA47*$AV47</f>
        <v>0</v>
      </c>
      <c r="BS47" s="216">
        <f t="shared" ref="BS47" si="508">BB47*$AV47</f>
        <v>0</v>
      </c>
      <c r="BT47" s="215">
        <f t="shared" ref="BT47" si="509">BC47*$AV47</f>
        <v>0</v>
      </c>
      <c r="BU47" s="216">
        <f t="shared" ref="BU47" si="510">BD47*$AV47</f>
        <v>0</v>
      </c>
      <c r="BV47" s="215">
        <f t="shared" ref="BV47" si="511">BE47*$AV47</f>
        <v>0</v>
      </c>
      <c r="BW47" s="216">
        <f t="shared" ref="BW47" si="512">BF47*$AV47</f>
        <v>0</v>
      </c>
      <c r="BX47" s="215">
        <f t="shared" ref="BX47" si="513">BG47*$AV47</f>
        <v>0.81645569620253167</v>
      </c>
      <c r="BY47" s="216">
        <f t="shared" ref="BY47" si="514">BH47*$AV47</f>
        <v>0.81645569620253167</v>
      </c>
      <c r="BZ47" s="215">
        <f t="shared" ref="BZ47" si="515">BI47*$AV47</f>
        <v>0</v>
      </c>
      <c r="CA47" s="216">
        <f t="shared" ref="CA47" si="516">BJ47*$AV47</f>
        <v>0</v>
      </c>
      <c r="CB47" s="51">
        <f t="shared" ref="CB47" si="517">BK47*$AV47</f>
        <v>0</v>
      </c>
      <c r="CC47" s="157">
        <f t="shared" ref="CC47" si="518">BL47*$AV47</f>
        <v>0</v>
      </c>
      <c r="CD47" s="51">
        <f t="shared" ref="CD47" si="519">BM47*$AV47</f>
        <v>0</v>
      </c>
      <c r="CE47" s="157">
        <f t="shared" ref="CE47" si="520">BN47*$AV47</f>
        <v>0</v>
      </c>
      <c r="CG47" s="215">
        <f t="shared" ref="CG47" si="521">AVERAGE(BP47:BP51)</f>
        <v>0.22674933569530564</v>
      </c>
      <c r="CH47" s="175">
        <f t="shared" ref="CH47" si="522">AVERAGE(BQ47:BQ51)</f>
        <v>0</v>
      </c>
      <c r="CI47" s="175">
        <f t="shared" ref="CI47" si="523">AVERAGE(BR47:BR51)</f>
        <v>0</v>
      </c>
      <c r="CJ47" s="175">
        <f t="shared" ref="CJ47" si="524">AVERAGE(BS47:BS51)</f>
        <v>0</v>
      </c>
      <c r="CK47" s="175">
        <f t="shared" ref="CK47" si="525">AVERAGE(BT47:BT51)</f>
        <v>0</v>
      </c>
      <c r="CL47" s="175">
        <f t="shared" ref="CL47" si="526">AVERAGE(BU47:BU51)</f>
        <v>0</v>
      </c>
      <c r="CM47" s="175">
        <f t="shared" ref="CM47" si="527">AVERAGE(BV47:BV51)</f>
        <v>0.22674933569530564</v>
      </c>
      <c r="CN47" s="175">
        <f t="shared" ref="CN47" si="528">AVERAGE(BW47:BW51)</f>
        <v>0</v>
      </c>
      <c r="CO47" s="175">
        <f t="shared" ref="CO47" si="529">AVERAGE(BX47:BX51)</f>
        <v>1.1927628103313679</v>
      </c>
      <c r="CP47" s="175">
        <f t="shared" ref="CP47" si="530">AVERAGE(BY47:BY51)</f>
        <v>0.16329113924050634</v>
      </c>
      <c r="CQ47" s="175">
        <f t="shared" ref="CQ47" si="531">AVERAGE(BZ47:BZ51)</f>
        <v>0</v>
      </c>
      <c r="CR47" s="216">
        <f t="shared" ref="CR47" si="532">AVERAGE(CA47:CA51)</f>
        <v>0</v>
      </c>
      <c r="CS47" s="215">
        <f t="shared" ref="CS47" si="533">AVERAGE(CB47:CB51)</f>
        <v>0</v>
      </c>
      <c r="CT47" s="216">
        <f t="shared" ref="CT47" si="534">AVERAGE(CC47:CC51)</f>
        <v>0</v>
      </c>
      <c r="CU47" s="175">
        <f t="shared" ref="CU47" si="535">AVERAGE(CD47:CD51)</f>
        <v>0</v>
      </c>
      <c r="CV47" s="216">
        <f t="shared" ref="CV47" si="536">AVERAGE(CE47:CE51)</f>
        <v>0</v>
      </c>
      <c r="CX47" s="56">
        <v>5</v>
      </c>
      <c r="CZ47" s="223">
        <f t="shared" ref="CZ47" si="537">CG47*$CX47</f>
        <v>1.1337466784765282</v>
      </c>
      <c r="DA47" s="159">
        <f t="shared" ref="DA47" si="538">CH47*$CX47</f>
        <v>0</v>
      </c>
      <c r="DB47" s="159">
        <f t="shared" ref="DB47" si="539">CI47*$CX47</f>
        <v>0</v>
      </c>
      <c r="DC47" s="159">
        <f t="shared" ref="DC47" si="540">CJ47*$CX47</f>
        <v>0</v>
      </c>
      <c r="DD47" s="159">
        <f t="shared" ref="DD47" si="541">CK47*$CX47</f>
        <v>0</v>
      </c>
      <c r="DE47" s="159">
        <f t="shared" ref="DE47" si="542">CL47*$CX47</f>
        <v>0</v>
      </c>
      <c r="DF47" s="159">
        <f t="shared" ref="DF47" si="543">CM47*$CX47</f>
        <v>1.1337466784765282</v>
      </c>
      <c r="DG47" s="159">
        <f t="shared" ref="DG47" si="544">CN47*$CX47</f>
        <v>0</v>
      </c>
      <c r="DH47" s="159">
        <f t="shared" ref="DH47" si="545">CO47*$CX47</f>
        <v>5.9638140516568399</v>
      </c>
      <c r="DI47" s="159">
        <f t="shared" ref="DI47" si="546">CP47*$CX47</f>
        <v>0.81645569620253167</v>
      </c>
      <c r="DJ47" s="159">
        <f t="shared" ref="DJ47" si="547">CQ47*$CX47</f>
        <v>0</v>
      </c>
      <c r="DK47" s="224">
        <f t="shared" ref="DK47" si="548">CR47*$CX47</f>
        <v>0</v>
      </c>
      <c r="DL47" s="223">
        <f t="shared" ref="DL47" si="549">CS47*$CX47</f>
        <v>0</v>
      </c>
      <c r="DM47" s="224">
        <f t="shared" ref="DM47" si="550">CT47*$CX47</f>
        <v>0</v>
      </c>
      <c r="DN47" s="223">
        <f t="shared" ref="DN47" si="551">CU47*$CX47</f>
        <v>0</v>
      </c>
      <c r="DO47" s="224">
        <f t="shared" ref="DO47" si="552">CV47*$CX47</f>
        <v>0</v>
      </c>
      <c r="DQ47" s="130"/>
      <c r="DR47" s="229"/>
      <c r="DS47" s="130"/>
      <c r="DT47" s="230"/>
      <c r="DU47" s="229"/>
      <c r="DV47" s="229"/>
      <c r="DW47" s="130"/>
      <c r="DX47" s="230"/>
      <c r="DY47" s="229"/>
      <c r="DZ47" s="229"/>
      <c r="EA47" s="130"/>
      <c r="EB47" s="230"/>
      <c r="EC47" s="229"/>
      <c r="ED47" s="229"/>
      <c r="EE47" s="229"/>
      <c r="EF47" s="130"/>
      <c r="EG47" s="230"/>
      <c r="EH47" s="229"/>
      <c r="EI47" s="230"/>
    </row>
    <row r="48" spans="1:139" x14ac:dyDescent="0.25">
      <c r="A48" s="195">
        <f t="shared" ref="A48:A53" si="553">A47+1</f>
        <v>45909</v>
      </c>
      <c r="B48" s="158" t="s">
        <v>94</v>
      </c>
      <c r="C48" s="195"/>
      <c r="D48" s="45">
        <v>6</v>
      </c>
      <c r="E48" s="45">
        <v>6</v>
      </c>
      <c r="F48" s="45">
        <v>20.05</v>
      </c>
      <c r="G48" s="154">
        <v>22.33</v>
      </c>
      <c r="H48" s="169">
        <f t="shared" si="484"/>
        <v>0</v>
      </c>
      <c r="I48" s="169">
        <f t="shared" si="485"/>
        <v>0</v>
      </c>
      <c r="J48" s="169">
        <f t="shared" si="486"/>
        <v>0</v>
      </c>
      <c r="K48" s="45"/>
      <c r="L48" s="151"/>
      <c r="M48" s="45"/>
      <c r="N48" s="151"/>
      <c r="Q48" s="45"/>
      <c r="R48" s="151"/>
      <c r="S48" s="320">
        <f t="shared" si="487"/>
        <v>1</v>
      </c>
      <c r="T48" s="27">
        <v>1</v>
      </c>
      <c r="V48" s="320">
        <f t="shared" si="488"/>
        <v>0</v>
      </c>
      <c r="Y48" s="45"/>
      <c r="Z48" s="151"/>
      <c r="AA48" s="320">
        <f t="shared" si="489"/>
        <v>0</v>
      </c>
      <c r="AD48" s="320">
        <f t="shared" si="490"/>
        <v>0</v>
      </c>
      <c r="AE48" s="45"/>
      <c r="AG48" s="45"/>
      <c r="AH48" s="151"/>
      <c r="AJ48" s="12"/>
      <c r="AK48" s="5"/>
      <c r="AL48" s="9"/>
      <c r="AM48" s="358"/>
      <c r="AN48" s="5"/>
      <c r="AO48" s="13"/>
      <c r="AQ48" s="50">
        <v>6</v>
      </c>
      <c r="AR48" s="50">
        <v>3</v>
      </c>
      <c r="AS48" s="148">
        <f t="shared" si="491"/>
        <v>2</v>
      </c>
      <c r="AT48" s="152">
        <v>12.8</v>
      </c>
      <c r="AU48" s="153">
        <v>1</v>
      </c>
      <c r="AV48" s="179">
        <f t="shared" si="492"/>
        <v>25.6</v>
      </c>
      <c r="AW48" s="50">
        <v>17</v>
      </c>
      <c r="AY48" s="209">
        <f t="shared" ref="AY48" si="554">H48/G48</f>
        <v>0</v>
      </c>
      <c r="AZ48" s="210">
        <f t="shared" ref="AZ48" si="555">I48/G48</f>
        <v>0</v>
      </c>
      <c r="BA48" s="211">
        <f t="shared" ref="BA48" si="556">(K48+L48)/$G48</f>
        <v>0</v>
      </c>
      <c r="BB48" s="211">
        <f t="shared" ref="BB48" si="557">K48/$G48</f>
        <v>0</v>
      </c>
      <c r="BC48" s="209">
        <f t="shared" ref="BC48" si="558">(M48+N48)/$G48</f>
        <v>0</v>
      </c>
      <c r="BD48" s="210">
        <f t="shared" ref="BD48" si="559">M48/$G48</f>
        <v>0</v>
      </c>
      <c r="BE48" s="209">
        <f t="shared" ref="BE48" si="560">(Q48+R48)/$G48</f>
        <v>0</v>
      </c>
      <c r="BF48" s="210">
        <f t="shared" ref="BF48" si="561">Q48/$G48</f>
        <v>0</v>
      </c>
      <c r="BG48" s="211">
        <f t="shared" ref="BG48" si="562">S48/$G48</f>
        <v>4.4782803403493061E-2</v>
      </c>
      <c r="BH48" s="211">
        <f t="shared" ref="BH48" si="563">V48/$G48</f>
        <v>0</v>
      </c>
      <c r="BI48" s="211">
        <f t="shared" ref="BI48" si="564">AA48/$G48</f>
        <v>0</v>
      </c>
      <c r="BJ48" s="210">
        <f t="shared" ref="BJ48" si="565">AH48/$G48</f>
        <v>0</v>
      </c>
      <c r="BK48" s="210"/>
      <c r="BL48" s="210"/>
      <c r="BM48" s="210"/>
      <c r="BN48" s="210"/>
      <c r="BO48" s="50"/>
      <c r="BP48" s="215">
        <f t="shared" ref="BP48" si="566">AY48*$AV48</f>
        <v>0</v>
      </c>
      <c r="BQ48" s="216">
        <f t="shared" ref="BQ48" si="567">AZ48*$AV48</f>
        <v>0</v>
      </c>
      <c r="BR48" s="215">
        <f t="shared" ref="BR48" si="568">BA48*$AV48</f>
        <v>0</v>
      </c>
      <c r="BS48" s="216">
        <f t="shared" ref="BS48" si="569">BB48*$AV48</f>
        <v>0</v>
      </c>
      <c r="BT48" s="215">
        <f t="shared" ref="BT48" si="570">BC48*$AV48</f>
        <v>0</v>
      </c>
      <c r="BU48" s="216">
        <f t="shared" ref="BU48" si="571">BD48*$AV48</f>
        <v>0</v>
      </c>
      <c r="BV48" s="215">
        <f t="shared" ref="BV48" si="572">BE48*$AV48</f>
        <v>0</v>
      </c>
      <c r="BW48" s="216">
        <f t="shared" ref="BW48" si="573">BF48*$AV48</f>
        <v>0</v>
      </c>
      <c r="BX48" s="215">
        <f t="shared" ref="BX48" si="574">BG48*$AV48</f>
        <v>1.1464397671294224</v>
      </c>
      <c r="BY48" s="216">
        <f t="shared" ref="BY48" si="575">BH48*$AV48</f>
        <v>0</v>
      </c>
      <c r="BZ48" s="215">
        <f t="shared" ref="BZ48" si="576">BI48*$AV48</f>
        <v>0</v>
      </c>
      <c r="CA48" s="216">
        <f t="shared" ref="CA48" si="577">BJ48*$AV48</f>
        <v>0</v>
      </c>
      <c r="CB48" s="51">
        <f t="shared" ref="CB48" si="578">BK48*$AV48</f>
        <v>0</v>
      </c>
      <c r="CC48" s="157">
        <f t="shared" ref="CC48" si="579">BL48*$AV48</f>
        <v>0</v>
      </c>
      <c r="CD48" s="51">
        <f t="shared" ref="CD48" si="580">BM48*$AV48</f>
        <v>0</v>
      </c>
      <c r="CE48" s="157">
        <f t="shared" ref="CE48" si="581">BN48*$AV48</f>
        <v>0</v>
      </c>
      <c r="CG48" s="45"/>
      <c r="CR48" s="151"/>
      <c r="CS48" s="45"/>
      <c r="CT48" s="151"/>
      <c r="CV48" s="151"/>
      <c r="CX48" s="50"/>
      <c r="CZ48" s="45"/>
      <c r="DK48" s="151"/>
      <c r="DL48" s="45"/>
      <c r="DM48" s="151"/>
      <c r="DN48" s="45"/>
      <c r="DO48" s="151"/>
      <c r="DQ48" s="117"/>
      <c r="DR48" s="77"/>
      <c r="DS48" s="117"/>
      <c r="DT48" s="149"/>
      <c r="DU48" s="77"/>
      <c r="DV48" s="77"/>
      <c r="DW48" s="117"/>
      <c r="DX48" s="149"/>
      <c r="DY48" s="77"/>
      <c r="DZ48" s="77"/>
      <c r="EA48" s="117"/>
      <c r="EB48" s="149"/>
      <c r="EC48" s="77"/>
      <c r="ED48" s="77"/>
      <c r="EE48" s="77"/>
      <c r="EF48" s="117"/>
      <c r="EG48" s="149"/>
      <c r="EH48" s="77"/>
      <c r="EI48" s="149"/>
    </row>
    <row r="49" spans="1:139" x14ac:dyDescent="0.25">
      <c r="A49" s="195">
        <f t="shared" si="553"/>
        <v>45910</v>
      </c>
      <c r="B49" s="158" t="s">
        <v>11</v>
      </c>
      <c r="C49" s="195"/>
      <c r="D49" s="45">
        <v>6</v>
      </c>
      <c r="E49" s="45">
        <v>9</v>
      </c>
      <c r="F49" s="45">
        <v>26.48</v>
      </c>
      <c r="G49" s="154">
        <v>33.869999999999997</v>
      </c>
      <c r="H49" s="169">
        <f t="shared" si="484"/>
        <v>1</v>
      </c>
      <c r="I49" s="169">
        <f t="shared" si="485"/>
        <v>0</v>
      </c>
      <c r="J49" s="169">
        <f t="shared" si="486"/>
        <v>1</v>
      </c>
      <c r="K49" s="45"/>
      <c r="L49" s="151"/>
      <c r="M49" s="45"/>
      <c r="N49" s="151"/>
      <c r="Q49" s="45"/>
      <c r="R49" s="151">
        <v>1</v>
      </c>
      <c r="S49" s="320">
        <f t="shared" si="487"/>
        <v>0</v>
      </c>
      <c r="V49" s="320">
        <f t="shared" si="488"/>
        <v>0</v>
      </c>
      <c r="Y49" s="45"/>
      <c r="Z49" s="151"/>
      <c r="AA49" s="320">
        <f t="shared" si="489"/>
        <v>0</v>
      </c>
      <c r="AD49" s="320">
        <f t="shared" si="490"/>
        <v>0</v>
      </c>
      <c r="AE49" s="45"/>
      <c r="AG49" s="45"/>
      <c r="AH49" s="151"/>
      <c r="AJ49" s="12"/>
      <c r="AK49" s="5"/>
      <c r="AL49" s="9"/>
      <c r="AM49" s="358"/>
      <c r="AN49" s="5"/>
      <c r="AO49" s="13"/>
      <c r="AQ49" s="50">
        <v>9</v>
      </c>
      <c r="AR49" s="50">
        <v>3</v>
      </c>
      <c r="AS49" s="148">
        <f t="shared" si="491"/>
        <v>3</v>
      </c>
      <c r="AT49" s="152">
        <v>12.8</v>
      </c>
      <c r="AU49" s="153">
        <v>1</v>
      </c>
      <c r="AV49" s="154">
        <f t="shared" si="492"/>
        <v>38.400000000000006</v>
      </c>
      <c r="AW49" s="50">
        <v>16</v>
      </c>
      <c r="AY49" s="155">
        <f t="shared" ref="AY49:AY53" si="582">H49/G49</f>
        <v>2.9524653085326251E-2</v>
      </c>
      <c r="AZ49" s="156">
        <f t="shared" ref="AZ49:AZ53" si="583">I49/G49</f>
        <v>0</v>
      </c>
      <c r="BA49" s="127">
        <f t="shared" ref="BA49:BA53" si="584">(K49+L49)/$G49</f>
        <v>0</v>
      </c>
      <c r="BB49" s="127">
        <f t="shared" ref="BB49:BB53" si="585">K49/$G49</f>
        <v>0</v>
      </c>
      <c r="BC49" s="155">
        <f t="shared" ref="BC49:BC53" si="586">(M49+N49)/$G49</f>
        <v>0</v>
      </c>
      <c r="BD49" s="156">
        <f t="shared" ref="BD49:BD53" si="587">M49/$G49</f>
        <v>0</v>
      </c>
      <c r="BE49" s="155">
        <f t="shared" ref="BE49:BE53" si="588">(Q49+R49)/$G49</f>
        <v>2.9524653085326251E-2</v>
      </c>
      <c r="BF49" s="156">
        <f t="shared" ref="BF49:BF53" si="589">Q49/$G49</f>
        <v>0</v>
      </c>
      <c r="BG49" s="127">
        <f t="shared" ref="BG49:BG53" si="590">S49/$G49</f>
        <v>0</v>
      </c>
      <c r="BH49" s="127">
        <f t="shared" ref="BH49:BH53" si="591">V49/$G49</f>
        <v>0</v>
      </c>
      <c r="BI49" s="127">
        <f t="shared" ref="BI49:BI53" si="592">AA49/$G49</f>
        <v>0</v>
      </c>
      <c r="BJ49" s="156">
        <f t="shared" ref="BJ49:BJ53" si="593">AH49/$G49</f>
        <v>0</v>
      </c>
      <c r="BK49" s="156"/>
      <c r="BL49" s="156"/>
      <c r="BM49" s="156"/>
      <c r="BN49" s="156"/>
      <c r="BO49" s="50"/>
      <c r="BP49" s="51">
        <f t="shared" ref="BP49:BP53" si="594">AY49*$AV49</f>
        <v>1.1337466784765282</v>
      </c>
      <c r="BQ49" s="157">
        <f t="shared" ref="BQ49:BQ53" si="595">AZ49*$AV49</f>
        <v>0</v>
      </c>
      <c r="BR49" s="51">
        <f t="shared" ref="BR49:BR53" si="596">BA49*$AV49</f>
        <v>0</v>
      </c>
      <c r="BS49" s="157">
        <f t="shared" ref="BS49:BS53" si="597">BB49*$AV49</f>
        <v>0</v>
      </c>
      <c r="BT49" s="51">
        <f t="shared" ref="BT49:BT53" si="598">BC49*$AV49</f>
        <v>0</v>
      </c>
      <c r="BU49" s="157">
        <f t="shared" ref="BU49:BU53" si="599">BD49*$AV49</f>
        <v>0</v>
      </c>
      <c r="BV49" s="51">
        <f t="shared" ref="BV49:BV53" si="600">BE49*$AV49</f>
        <v>1.1337466784765282</v>
      </c>
      <c r="BW49" s="157">
        <f t="shared" ref="BW49:BW53" si="601">BF49*$AV49</f>
        <v>0</v>
      </c>
      <c r="BX49" s="51">
        <f t="shared" ref="BX49:BX53" si="602">BG49*$AV49</f>
        <v>0</v>
      </c>
      <c r="BY49" s="157">
        <f t="shared" ref="BY49:BY53" si="603">BH49*$AV49</f>
        <v>0</v>
      </c>
      <c r="BZ49" s="51">
        <f t="shared" ref="BZ49:BZ53" si="604">BI49*$AV49</f>
        <v>0</v>
      </c>
      <c r="CA49" s="157">
        <f t="shared" ref="CA49:CA53" si="605">BJ49*$AV49</f>
        <v>0</v>
      </c>
      <c r="CB49" s="51">
        <f t="shared" ref="CB49:CB53" si="606">BK49*$AV49</f>
        <v>0</v>
      </c>
      <c r="CC49" s="157">
        <f t="shared" ref="CC49:CC53" si="607">BL49*$AV49</f>
        <v>0</v>
      </c>
      <c r="CD49" s="51">
        <f t="shared" ref="CD49:CD53" si="608">BM49*$AV49</f>
        <v>0</v>
      </c>
      <c r="CE49" s="157">
        <f t="shared" ref="CE49:CE53" si="609">BN49*$AV49</f>
        <v>0</v>
      </c>
      <c r="CG49" s="45"/>
      <c r="CR49" s="151"/>
      <c r="CS49" s="45"/>
      <c r="CT49" s="151"/>
      <c r="CV49" s="151"/>
      <c r="CX49" s="50"/>
      <c r="CZ49" s="45"/>
      <c r="DK49" s="151"/>
      <c r="DL49" s="45"/>
      <c r="DM49" s="151"/>
      <c r="DN49" s="45"/>
      <c r="DO49" s="151"/>
      <c r="DQ49" s="117"/>
      <c r="DR49" s="77"/>
      <c r="DS49" s="117"/>
      <c r="DT49" s="149"/>
      <c r="DU49" s="77"/>
      <c r="DV49" s="77"/>
      <c r="DW49" s="117"/>
      <c r="DX49" s="149"/>
      <c r="DY49" s="77"/>
      <c r="DZ49" s="77"/>
      <c r="EA49" s="117"/>
      <c r="EB49" s="149"/>
      <c r="EC49" s="77"/>
      <c r="ED49" s="77"/>
      <c r="EE49" s="77"/>
      <c r="EF49" s="117"/>
      <c r="EG49" s="149"/>
      <c r="EH49" s="77"/>
      <c r="EI49" s="149"/>
    </row>
    <row r="50" spans="1:139" x14ac:dyDescent="0.25">
      <c r="A50" s="195">
        <f t="shared" si="553"/>
        <v>45911</v>
      </c>
      <c r="B50" s="158" t="s">
        <v>95</v>
      </c>
      <c r="C50" s="195"/>
      <c r="D50" s="45">
        <v>5</v>
      </c>
      <c r="E50" s="45">
        <v>6</v>
      </c>
      <c r="F50" s="45">
        <v>16.420000000000002</v>
      </c>
      <c r="G50" s="154">
        <v>18</v>
      </c>
      <c r="H50" s="169">
        <f t="shared" si="484"/>
        <v>0</v>
      </c>
      <c r="I50" s="169">
        <f t="shared" si="485"/>
        <v>0</v>
      </c>
      <c r="J50" s="169">
        <f t="shared" si="486"/>
        <v>0</v>
      </c>
      <c r="K50" s="45"/>
      <c r="L50" s="151"/>
      <c r="M50" s="45"/>
      <c r="N50" s="151"/>
      <c r="Q50" s="45"/>
      <c r="R50" s="151"/>
      <c r="S50" s="320">
        <f t="shared" si="487"/>
        <v>2</v>
      </c>
      <c r="T50" s="27">
        <v>1</v>
      </c>
      <c r="U50" s="27">
        <v>1</v>
      </c>
      <c r="V50" s="320">
        <f t="shared" si="488"/>
        <v>0</v>
      </c>
      <c r="Y50" s="45"/>
      <c r="Z50" s="151"/>
      <c r="AA50" s="320">
        <f t="shared" si="489"/>
        <v>0</v>
      </c>
      <c r="AD50" s="320">
        <f t="shared" si="490"/>
        <v>0</v>
      </c>
      <c r="AE50" s="45"/>
      <c r="AG50" s="45"/>
      <c r="AH50" s="151"/>
      <c r="AJ50" s="12"/>
      <c r="AK50" s="5"/>
      <c r="AL50" s="9"/>
      <c r="AM50" s="358"/>
      <c r="AN50" s="5"/>
      <c r="AO50" s="13"/>
      <c r="AQ50" s="50">
        <v>6</v>
      </c>
      <c r="AR50" s="50">
        <v>3</v>
      </c>
      <c r="AS50" s="148">
        <f t="shared" si="491"/>
        <v>2</v>
      </c>
      <c r="AT50" s="152">
        <v>12.7</v>
      </c>
      <c r="AU50" s="153">
        <v>1</v>
      </c>
      <c r="AV50" s="154">
        <f t="shared" si="492"/>
        <v>25.4</v>
      </c>
      <c r="AW50" s="50">
        <v>13</v>
      </c>
      <c r="AY50" s="155">
        <f t="shared" si="582"/>
        <v>0</v>
      </c>
      <c r="AZ50" s="156">
        <f t="shared" si="583"/>
        <v>0</v>
      </c>
      <c r="BA50" s="127">
        <f t="shared" si="584"/>
        <v>0</v>
      </c>
      <c r="BB50" s="127">
        <f t="shared" si="585"/>
        <v>0</v>
      </c>
      <c r="BC50" s="155">
        <f t="shared" si="586"/>
        <v>0</v>
      </c>
      <c r="BD50" s="156">
        <f t="shared" si="587"/>
        <v>0</v>
      </c>
      <c r="BE50" s="155">
        <f t="shared" si="588"/>
        <v>0</v>
      </c>
      <c r="BF50" s="156">
        <f t="shared" si="589"/>
        <v>0</v>
      </c>
      <c r="BG50" s="127">
        <f t="shared" si="590"/>
        <v>0.1111111111111111</v>
      </c>
      <c r="BH50" s="127">
        <f t="shared" si="591"/>
        <v>0</v>
      </c>
      <c r="BI50" s="127">
        <f t="shared" si="592"/>
        <v>0</v>
      </c>
      <c r="BJ50" s="156">
        <f t="shared" si="593"/>
        <v>0</v>
      </c>
      <c r="BK50" s="156"/>
      <c r="BL50" s="156"/>
      <c r="BM50" s="156"/>
      <c r="BN50" s="156"/>
      <c r="BO50" s="50"/>
      <c r="BP50" s="51">
        <f t="shared" si="594"/>
        <v>0</v>
      </c>
      <c r="BQ50" s="157">
        <f t="shared" si="595"/>
        <v>0</v>
      </c>
      <c r="BR50" s="51">
        <f t="shared" si="596"/>
        <v>0</v>
      </c>
      <c r="BS50" s="157">
        <f t="shared" si="597"/>
        <v>0</v>
      </c>
      <c r="BT50" s="51">
        <f t="shared" si="598"/>
        <v>0</v>
      </c>
      <c r="BU50" s="157">
        <f t="shared" si="599"/>
        <v>0</v>
      </c>
      <c r="BV50" s="51">
        <f t="shared" si="600"/>
        <v>0</v>
      </c>
      <c r="BW50" s="157">
        <f t="shared" si="601"/>
        <v>0</v>
      </c>
      <c r="BX50" s="51">
        <f t="shared" si="602"/>
        <v>2.822222222222222</v>
      </c>
      <c r="BY50" s="157">
        <f t="shared" si="603"/>
        <v>0</v>
      </c>
      <c r="BZ50" s="51">
        <f t="shared" si="604"/>
        <v>0</v>
      </c>
      <c r="CA50" s="157">
        <f t="shared" si="605"/>
        <v>0</v>
      </c>
      <c r="CB50" s="51">
        <f t="shared" si="606"/>
        <v>0</v>
      </c>
      <c r="CC50" s="157">
        <f t="shared" si="607"/>
        <v>0</v>
      </c>
      <c r="CD50" s="51">
        <f t="shared" si="608"/>
        <v>0</v>
      </c>
      <c r="CE50" s="157">
        <f t="shared" si="609"/>
        <v>0</v>
      </c>
      <c r="CG50" s="45"/>
      <c r="CR50" s="151"/>
      <c r="CS50" s="45"/>
      <c r="CT50" s="151"/>
      <c r="CV50" s="151"/>
      <c r="CX50" s="50"/>
      <c r="CZ50" s="45"/>
      <c r="DK50" s="151"/>
      <c r="DL50" s="45"/>
      <c r="DM50" s="151"/>
      <c r="DN50" s="45"/>
      <c r="DO50" s="151"/>
      <c r="DQ50" s="117"/>
      <c r="DR50" s="77"/>
      <c r="DS50" s="117"/>
      <c r="DT50" s="149"/>
      <c r="DU50" s="77"/>
      <c r="DV50" s="77"/>
      <c r="DW50" s="117"/>
      <c r="DX50" s="149"/>
      <c r="DY50" s="77"/>
      <c r="DZ50" s="77"/>
      <c r="EA50" s="117"/>
      <c r="EB50" s="149"/>
      <c r="EC50" s="77"/>
      <c r="ED50" s="77"/>
      <c r="EE50" s="77"/>
      <c r="EF50" s="117"/>
      <c r="EG50" s="149"/>
      <c r="EH50" s="77"/>
      <c r="EI50" s="149"/>
    </row>
    <row r="51" spans="1:139" x14ac:dyDescent="0.25">
      <c r="A51" s="195">
        <f t="shared" si="553"/>
        <v>45912</v>
      </c>
      <c r="B51" s="195" t="s">
        <v>13</v>
      </c>
      <c r="C51" s="195"/>
      <c r="D51" s="45">
        <v>11</v>
      </c>
      <c r="E51" s="45">
        <v>9</v>
      </c>
      <c r="F51" s="45">
        <v>38.35</v>
      </c>
      <c r="G51" s="154">
        <v>46.69</v>
      </c>
      <c r="H51" s="169">
        <f t="shared" si="484"/>
        <v>0</v>
      </c>
      <c r="I51" s="169">
        <f t="shared" si="485"/>
        <v>0</v>
      </c>
      <c r="J51" s="169">
        <f t="shared" si="486"/>
        <v>0</v>
      </c>
      <c r="K51" s="45"/>
      <c r="L51" s="151"/>
      <c r="M51" s="45"/>
      <c r="N51" s="151"/>
      <c r="Q51" s="45"/>
      <c r="R51" s="151"/>
      <c r="S51" s="320">
        <f t="shared" si="487"/>
        <v>1</v>
      </c>
      <c r="T51" s="27">
        <v>1</v>
      </c>
      <c r="V51" s="320">
        <f t="shared" si="488"/>
        <v>0</v>
      </c>
      <c r="Y51" s="45"/>
      <c r="Z51" s="151"/>
      <c r="AA51" s="320">
        <f t="shared" si="489"/>
        <v>0</v>
      </c>
      <c r="AD51" s="320">
        <f t="shared" si="490"/>
        <v>0</v>
      </c>
      <c r="AE51" s="45"/>
      <c r="AG51" s="45"/>
      <c r="AH51" s="151"/>
      <c r="AJ51" s="12"/>
      <c r="AK51" s="5"/>
      <c r="AL51" s="9"/>
      <c r="AM51" s="358"/>
      <c r="AN51" s="5"/>
      <c r="AO51" s="13"/>
      <c r="AQ51" s="50">
        <v>13</v>
      </c>
      <c r="AR51" s="50">
        <v>3</v>
      </c>
      <c r="AS51" s="148">
        <f t="shared" si="491"/>
        <v>4.333333333333333</v>
      </c>
      <c r="AT51" s="152">
        <v>12.7</v>
      </c>
      <c r="AU51" s="153">
        <v>1</v>
      </c>
      <c r="AV51" s="154">
        <f t="shared" si="492"/>
        <v>55.033333333333324</v>
      </c>
      <c r="AW51" s="50">
        <v>31</v>
      </c>
      <c r="AY51" s="155">
        <f t="shared" si="582"/>
        <v>0</v>
      </c>
      <c r="AZ51" s="156">
        <f t="shared" si="583"/>
        <v>0</v>
      </c>
      <c r="BA51" s="127">
        <f t="shared" si="584"/>
        <v>0</v>
      </c>
      <c r="BB51" s="127">
        <f t="shared" si="585"/>
        <v>0</v>
      </c>
      <c r="BC51" s="155">
        <f t="shared" si="586"/>
        <v>0</v>
      </c>
      <c r="BD51" s="156">
        <f t="shared" si="587"/>
        <v>0</v>
      </c>
      <c r="BE51" s="155">
        <f t="shared" si="588"/>
        <v>0</v>
      </c>
      <c r="BF51" s="156">
        <f t="shared" si="589"/>
        <v>0</v>
      </c>
      <c r="BG51" s="127">
        <f t="shared" si="590"/>
        <v>2.1417862497322769E-2</v>
      </c>
      <c r="BH51" s="127">
        <f t="shared" si="591"/>
        <v>0</v>
      </c>
      <c r="BI51" s="127">
        <f t="shared" si="592"/>
        <v>0</v>
      </c>
      <c r="BJ51" s="156">
        <f t="shared" si="593"/>
        <v>0</v>
      </c>
      <c r="BK51" s="156"/>
      <c r="BL51" s="156"/>
      <c r="BM51" s="156"/>
      <c r="BN51" s="156"/>
      <c r="BO51" s="50"/>
      <c r="BP51" s="51">
        <f t="shared" si="594"/>
        <v>0</v>
      </c>
      <c r="BQ51" s="157">
        <f t="shared" si="595"/>
        <v>0</v>
      </c>
      <c r="BR51" s="51">
        <f t="shared" si="596"/>
        <v>0</v>
      </c>
      <c r="BS51" s="157">
        <f t="shared" si="597"/>
        <v>0</v>
      </c>
      <c r="BT51" s="51">
        <f t="shared" si="598"/>
        <v>0</v>
      </c>
      <c r="BU51" s="157">
        <f t="shared" si="599"/>
        <v>0</v>
      </c>
      <c r="BV51" s="51">
        <f t="shared" si="600"/>
        <v>0</v>
      </c>
      <c r="BW51" s="157">
        <f t="shared" si="601"/>
        <v>0</v>
      </c>
      <c r="BX51" s="51">
        <f t="shared" si="602"/>
        <v>1.1786963661026628</v>
      </c>
      <c r="BY51" s="157">
        <f t="shared" si="603"/>
        <v>0</v>
      </c>
      <c r="BZ51" s="51">
        <f t="shared" si="604"/>
        <v>0</v>
      </c>
      <c r="CA51" s="157">
        <f t="shared" si="605"/>
        <v>0</v>
      </c>
      <c r="CB51" s="51">
        <f t="shared" si="606"/>
        <v>0</v>
      </c>
      <c r="CC51" s="157">
        <f t="shared" si="607"/>
        <v>0</v>
      </c>
      <c r="CD51" s="51">
        <f t="shared" si="608"/>
        <v>0</v>
      </c>
      <c r="CE51" s="157">
        <f t="shared" si="609"/>
        <v>0</v>
      </c>
      <c r="CG51" s="45"/>
      <c r="CR51" s="151"/>
      <c r="CS51" s="45"/>
      <c r="CT51" s="151"/>
      <c r="CV51" s="151"/>
      <c r="CX51" s="50"/>
      <c r="CZ51" s="45"/>
      <c r="DK51" s="151"/>
      <c r="DL51" s="45"/>
      <c r="DM51" s="151"/>
      <c r="DN51" s="45"/>
      <c r="DO51" s="151"/>
      <c r="DQ51" s="117"/>
      <c r="DR51" s="77"/>
      <c r="DS51" s="117"/>
      <c r="DT51" s="149"/>
      <c r="DU51" s="77"/>
      <c r="DV51" s="77"/>
      <c r="DW51" s="117"/>
      <c r="DX51" s="149"/>
      <c r="DY51" s="77"/>
      <c r="DZ51" s="77"/>
      <c r="EA51" s="117"/>
      <c r="EB51" s="149"/>
      <c r="EC51" s="77"/>
      <c r="ED51" s="77"/>
      <c r="EE51" s="77"/>
      <c r="EF51" s="117"/>
      <c r="EG51" s="149"/>
      <c r="EH51" s="77"/>
      <c r="EI51" s="149"/>
    </row>
    <row r="52" spans="1:139" x14ac:dyDescent="0.25">
      <c r="A52" s="195">
        <f t="shared" si="553"/>
        <v>45913</v>
      </c>
      <c r="B52" s="195" t="s">
        <v>14</v>
      </c>
      <c r="C52" s="195"/>
      <c r="D52" s="45">
        <v>18</v>
      </c>
      <c r="E52" s="45">
        <v>23</v>
      </c>
      <c r="F52" s="45">
        <v>45.13</v>
      </c>
      <c r="G52" s="154">
        <v>58.67</v>
      </c>
      <c r="H52" s="169">
        <f t="shared" si="484"/>
        <v>0</v>
      </c>
      <c r="I52" s="169">
        <f t="shared" si="485"/>
        <v>0</v>
      </c>
      <c r="J52" s="169">
        <f t="shared" si="486"/>
        <v>0</v>
      </c>
      <c r="K52" s="45"/>
      <c r="L52" s="151"/>
      <c r="M52" s="45"/>
      <c r="N52" s="151"/>
      <c r="Q52" s="45"/>
      <c r="R52" s="151"/>
      <c r="S52" s="320">
        <f t="shared" si="487"/>
        <v>2</v>
      </c>
      <c r="T52" s="27">
        <v>2</v>
      </c>
      <c r="V52" s="320">
        <f t="shared" si="488"/>
        <v>0</v>
      </c>
      <c r="Y52" s="45"/>
      <c r="Z52" s="151"/>
      <c r="AA52" s="320">
        <f t="shared" si="489"/>
        <v>0</v>
      </c>
      <c r="AD52" s="320">
        <f t="shared" si="490"/>
        <v>0</v>
      </c>
      <c r="AE52" s="45"/>
      <c r="AG52" s="45"/>
      <c r="AH52" s="151"/>
      <c r="AJ52" s="12"/>
      <c r="AK52" s="5"/>
      <c r="AL52" s="9"/>
      <c r="AM52" s="358"/>
      <c r="AN52" s="5"/>
      <c r="AO52" s="13"/>
      <c r="AQ52" s="50">
        <v>23</v>
      </c>
      <c r="AR52" s="50">
        <v>3</v>
      </c>
      <c r="AS52" s="148">
        <f t="shared" si="491"/>
        <v>7.666666666666667</v>
      </c>
      <c r="AT52" s="152">
        <v>12.6</v>
      </c>
      <c r="AU52" s="153">
        <v>1</v>
      </c>
      <c r="AV52" s="154">
        <f t="shared" si="492"/>
        <v>96.6</v>
      </c>
      <c r="AW52" s="50">
        <v>42</v>
      </c>
      <c r="AY52" s="155">
        <f t="shared" si="582"/>
        <v>0</v>
      </c>
      <c r="AZ52" s="156">
        <f t="shared" si="583"/>
        <v>0</v>
      </c>
      <c r="BA52" s="127">
        <f t="shared" si="584"/>
        <v>0</v>
      </c>
      <c r="BB52" s="127">
        <f t="shared" si="585"/>
        <v>0</v>
      </c>
      <c r="BC52" s="155">
        <f t="shared" si="586"/>
        <v>0</v>
      </c>
      <c r="BD52" s="156">
        <f t="shared" si="587"/>
        <v>0</v>
      </c>
      <c r="BE52" s="155">
        <f t="shared" si="588"/>
        <v>0</v>
      </c>
      <c r="BF52" s="156">
        <f t="shared" si="589"/>
        <v>0</v>
      </c>
      <c r="BG52" s="127">
        <f t="shared" si="590"/>
        <v>3.4088972217487641E-2</v>
      </c>
      <c r="BH52" s="127">
        <f t="shared" si="591"/>
        <v>0</v>
      </c>
      <c r="BI52" s="127">
        <f t="shared" si="592"/>
        <v>0</v>
      </c>
      <c r="BJ52" s="156">
        <f t="shared" si="593"/>
        <v>0</v>
      </c>
      <c r="BK52" s="156"/>
      <c r="BL52" s="156"/>
      <c r="BM52" s="156"/>
      <c r="BN52" s="156"/>
      <c r="BO52" s="50"/>
      <c r="BP52" s="51">
        <f t="shared" si="594"/>
        <v>0</v>
      </c>
      <c r="BQ52" s="157">
        <f t="shared" si="595"/>
        <v>0</v>
      </c>
      <c r="BR52" s="51">
        <f t="shared" si="596"/>
        <v>0</v>
      </c>
      <c r="BS52" s="157">
        <f t="shared" si="597"/>
        <v>0</v>
      </c>
      <c r="BT52" s="51">
        <f t="shared" si="598"/>
        <v>0</v>
      </c>
      <c r="BU52" s="157">
        <f t="shared" si="599"/>
        <v>0</v>
      </c>
      <c r="BV52" s="51">
        <f t="shared" si="600"/>
        <v>0</v>
      </c>
      <c r="BW52" s="157">
        <f t="shared" si="601"/>
        <v>0</v>
      </c>
      <c r="BX52" s="51">
        <f t="shared" si="602"/>
        <v>3.2929947162093058</v>
      </c>
      <c r="BY52" s="157">
        <f t="shared" si="603"/>
        <v>0</v>
      </c>
      <c r="BZ52" s="51">
        <f t="shared" si="604"/>
        <v>0</v>
      </c>
      <c r="CA52" s="157">
        <f t="shared" si="605"/>
        <v>0</v>
      </c>
      <c r="CB52" s="51">
        <f t="shared" si="606"/>
        <v>0</v>
      </c>
      <c r="CC52" s="157">
        <f t="shared" si="607"/>
        <v>0</v>
      </c>
      <c r="CD52" s="51">
        <f t="shared" si="608"/>
        <v>0</v>
      </c>
      <c r="CE52" s="157">
        <f t="shared" si="609"/>
        <v>0</v>
      </c>
      <c r="CG52" s="51">
        <f t="shared" ref="CG52" si="610">AVERAGE(BP52:BP53)</f>
        <v>0</v>
      </c>
      <c r="CH52" s="126">
        <f t="shared" ref="CH52" si="611">AVERAGE(BQ52:BQ53)</f>
        <v>0</v>
      </c>
      <c r="CI52" s="126">
        <f t="shared" ref="CI52" si="612">AVERAGE(BR52:BR53)</f>
        <v>0</v>
      </c>
      <c r="CJ52" s="126">
        <f t="shared" ref="CJ52" si="613">AVERAGE(BS52:BS53)</f>
        <v>0</v>
      </c>
      <c r="CK52" s="126">
        <f t="shared" ref="CK52" si="614">AVERAGE(BT52:BT53)</f>
        <v>0</v>
      </c>
      <c r="CL52" s="126">
        <f t="shared" ref="CL52" si="615">AVERAGE(BU52:BU53)</f>
        <v>0</v>
      </c>
      <c r="CM52" s="126">
        <f t="shared" ref="CM52" si="616">AVERAGE(BV52:BV53)</f>
        <v>0</v>
      </c>
      <c r="CN52" s="126">
        <f t="shared" ref="CN52" si="617">AVERAGE(BW52:BW53)</f>
        <v>0</v>
      </c>
      <c r="CO52" s="126">
        <f t="shared" ref="CO52" si="618">AVERAGE(BX52:BX53)</f>
        <v>1.6464973581046529</v>
      </c>
      <c r="CP52" s="126">
        <f t="shared" ref="CP52" si="619">AVERAGE(BY52:BY53)</f>
        <v>0</v>
      </c>
      <c r="CQ52" s="126">
        <f t="shared" ref="CQ52" si="620">AVERAGE(BZ52:BZ53)</f>
        <v>0</v>
      </c>
      <c r="CR52" s="157">
        <f t="shared" ref="CR52" si="621">AVERAGE(CA52:CA53)</f>
        <v>0</v>
      </c>
      <c r="CS52" s="51">
        <f t="shared" ref="CS52" si="622">AVERAGE(CB52:CB53)</f>
        <v>0</v>
      </c>
      <c r="CT52" s="157">
        <f t="shared" ref="CT52" si="623">AVERAGE(CC52:CC53)</f>
        <v>0</v>
      </c>
      <c r="CU52" s="126">
        <f t="shared" ref="CU52" si="624">AVERAGE(CD52:CD53)</f>
        <v>0</v>
      </c>
      <c r="CV52" s="157">
        <f t="shared" ref="CV52" si="625">AVERAGE(CE52:CE53)</f>
        <v>0</v>
      </c>
      <c r="CX52" s="150">
        <v>2</v>
      </c>
      <c r="CZ52" s="225">
        <f t="shared" ref="CZ52" si="626">CG52*$CX52</f>
        <v>0</v>
      </c>
      <c r="DA52" s="160">
        <f t="shared" ref="DA52" si="627">CH52*$CX52</f>
        <v>0</v>
      </c>
      <c r="DB52" s="160">
        <f t="shared" ref="DB52" si="628">CI52*$CX52</f>
        <v>0</v>
      </c>
      <c r="DC52" s="160">
        <f t="shared" ref="DC52" si="629">CJ52*$CX52</f>
        <v>0</v>
      </c>
      <c r="DD52" s="160">
        <f t="shared" ref="DD52" si="630">CK52*$CX52</f>
        <v>0</v>
      </c>
      <c r="DE52" s="160">
        <f t="shared" ref="DE52" si="631">CL52*$CX52</f>
        <v>0</v>
      </c>
      <c r="DF52" s="160">
        <f t="shared" ref="DF52" si="632">CM52*$CX52</f>
        <v>0</v>
      </c>
      <c r="DG52" s="160">
        <f t="shared" ref="DG52" si="633">CN52*$CX52</f>
        <v>0</v>
      </c>
      <c r="DH52" s="160">
        <f t="shared" ref="DH52" si="634">CO52*$CX52</f>
        <v>3.2929947162093058</v>
      </c>
      <c r="DI52" s="160">
        <f t="shared" ref="DI52" si="635">CP52*$CX52</f>
        <v>0</v>
      </c>
      <c r="DJ52" s="160">
        <f t="shared" ref="DJ52" si="636">CQ52*$CX52</f>
        <v>0</v>
      </c>
      <c r="DK52" s="161">
        <f t="shared" ref="DK52" si="637">CR52*$CX52</f>
        <v>0</v>
      </c>
      <c r="DL52" s="225">
        <f t="shared" ref="DL52" si="638">CS52*$CX52</f>
        <v>0</v>
      </c>
      <c r="DM52" s="161">
        <f t="shared" ref="DM52" si="639">CT52*$CX52</f>
        <v>0</v>
      </c>
      <c r="DN52" s="225">
        <f t="shared" ref="DN52" si="640">CU52*$CX52</f>
        <v>0</v>
      </c>
      <c r="DO52" s="161">
        <f t="shared" ref="DO52" si="641">CV52*$CX52</f>
        <v>0</v>
      </c>
      <c r="DQ52" s="117"/>
      <c r="DR52" s="77"/>
      <c r="DS52" s="117"/>
      <c r="DT52" s="149"/>
      <c r="DU52" s="77"/>
      <c r="DV52" s="77"/>
      <c r="DW52" s="117"/>
      <c r="DX52" s="149"/>
      <c r="DY52" s="77"/>
      <c r="DZ52" s="77"/>
      <c r="EA52" s="117"/>
      <c r="EB52" s="149"/>
      <c r="EC52" s="77"/>
      <c r="ED52" s="77"/>
      <c r="EE52" s="77"/>
      <c r="EF52" s="117"/>
      <c r="EG52" s="149"/>
      <c r="EH52" s="77"/>
      <c r="EI52" s="149"/>
    </row>
    <row r="53" spans="1:139" x14ac:dyDescent="0.25">
      <c r="A53" s="334">
        <f t="shared" si="553"/>
        <v>45914</v>
      </c>
      <c r="B53" s="334" t="s">
        <v>15</v>
      </c>
      <c r="C53" s="334"/>
      <c r="D53" s="609">
        <v>9</v>
      </c>
      <c r="E53" s="609">
        <v>12</v>
      </c>
      <c r="F53" s="176">
        <v>1</v>
      </c>
      <c r="G53" s="305">
        <v>1</v>
      </c>
      <c r="H53" s="323">
        <f t="shared" si="484"/>
        <v>0</v>
      </c>
      <c r="I53" s="323">
        <f t="shared" si="485"/>
        <v>0</v>
      </c>
      <c r="J53" s="323">
        <f t="shared" si="486"/>
        <v>0</v>
      </c>
      <c r="K53" s="176"/>
      <c r="L53" s="178"/>
      <c r="M53" s="176"/>
      <c r="N53" s="178"/>
      <c r="O53" s="177"/>
      <c r="P53" s="177"/>
      <c r="Q53" s="176"/>
      <c r="R53" s="178"/>
      <c r="S53" s="320">
        <f t="shared" si="487"/>
        <v>0</v>
      </c>
      <c r="V53" s="320">
        <f t="shared" si="488"/>
        <v>0</v>
      </c>
      <c r="W53" s="177"/>
      <c r="X53" s="177"/>
      <c r="Y53" s="176"/>
      <c r="Z53" s="178"/>
      <c r="AA53" s="320">
        <f t="shared" si="489"/>
        <v>0</v>
      </c>
      <c r="AD53" s="320">
        <f t="shared" si="490"/>
        <v>0</v>
      </c>
      <c r="AE53" s="176"/>
      <c r="AF53" s="177"/>
      <c r="AG53" s="176"/>
      <c r="AH53" s="178"/>
      <c r="AJ53" s="12"/>
      <c r="AK53" s="5"/>
      <c r="AL53" s="9"/>
      <c r="AM53" s="358"/>
      <c r="AN53" s="5"/>
      <c r="AO53" s="13"/>
      <c r="AQ53" s="131">
        <v>12</v>
      </c>
      <c r="AR53" s="131">
        <v>3</v>
      </c>
      <c r="AS53" s="191">
        <f t="shared" si="491"/>
        <v>4</v>
      </c>
      <c r="AT53" s="192">
        <v>12.6</v>
      </c>
      <c r="AU53" s="193">
        <v>1</v>
      </c>
      <c r="AV53" s="154">
        <f t="shared" si="492"/>
        <v>50.4</v>
      </c>
      <c r="AW53" s="131">
        <v>32</v>
      </c>
      <c r="AY53" s="212">
        <f t="shared" si="582"/>
        <v>0</v>
      </c>
      <c r="AZ53" s="213">
        <f t="shared" si="583"/>
        <v>0</v>
      </c>
      <c r="BA53" s="214">
        <f t="shared" si="584"/>
        <v>0</v>
      </c>
      <c r="BB53" s="214">
        <f t="shared" si="585"/>
        <v>0</v>
      </c>
      <c r="BC53" s="212">
        <f t="shared" si="586"/>
        <v>0</v>
      </c>
      <c r="BD53" s="213">
        <f t="shared" si="587"/>
        <v>0</v>
      </c>
      <c r="BE53" s="212">
        <f t="shared" si="588"/>
        <v>0</v>
      </c>
      <c r="BF53" s="213">
        <f t="shared" si="589"/>
        <v>0</v>
      </c>
      <c r="BG53" s="214">
        <f t="shared" si="590"/>
        <v>0</v>
      </c>
      <c r="BH53" s="214">
        <f t="shared" si="591"/>
        <v>0</v>
      </c>
      <c r="BI53" s="214">
        <f t="shared" si="592"/>
        <v>0</v>
      </c>
      <c r="BJ53" s="213">
        <f t="shared" si="593"/>
        <v>0</v>
      </c>
      <c r="BK53" s="213"/>
      <c r="BL53" s="213"/>
      <c r="BM53" s="213"/>
      <c r="BN53" s="213"/>
      <c r="BO53" s="50"/>
      <c r="BP53" s="217">
        <f t="shared" si="594"/>
        <v>0</v>
      </c>
      <c r="BQ53" s="218">
        <f t="shared" si="595"/>
        <v>0</v>
      </c>
      <c r="BR53" s="217">
        <f t="shared" si="596"/>
        <v>0</v>
      </c>
      <c r="BS53" s="218">
        <f t="shared" si="597"/>
        <v>0</v>
      </c>
      <c r="BT53" s="217">
        <f t="shared" si="598"/>
        <v>0</v>
      </c>
      <c r="BU53" s="218">
        <f t="shared" si="599"/>
        <v>0</v>
      </c>
      <c r="BV53" s="217">
        <f t="shared" si="600"/>
        <v>0</v>
      </c>
      <c r="BW53" s="218">
        <f t="shared" si="601"/>
        <v>0</v>
      </c>
      <c r="BX53" s="217">
        <f t="shared" si="602"/>
        <v>0</v>
      </c>
      <c r="BY53" s="218">
        <f t="shared" si="603"/>
        <v>0</v>
      </c>
      <c r="BZ53" s="217">
        <f t="shared" si="604"/>
        <v>0</v>
      </c>
      <c r="CA53" s="218">
        <f t="shared" si="605"/>
        <v>0</v>
      </c>
      <c r="CB53" s="51">
        <f t="shared" si="606"/>
        <v>0</v>
      </c>
      <c r="CC53" s="157">
        <f t="shared" si="607"/>
        <v>0</v>
      </c>
      <c r="CD53" s="51">
        <f t="shared" si="608"/>
        <v>0</v>
      </c>
      <c r="CE53" s="157">
        <f t="shared" si="609"/>
        <v>0</v>
      </c>
      <c r="CG53" s="176"/>
      <c r="CH53" s="177"/>
      <c r="CI53" s="177"/>
      <c r="CJ53" s="177"/>
      <c r="CK53" s="177"/>
      <c r="CL53" s="177"/>
      <c r="CM53" s="177"/>
      <c r="CN53" s="177"/>
      <c r="CO53" s="177"/>
      <c r="CP53" s="177"/>
      <c r="CQ53" s="177"/>
      <c r="CR53" s="178"/>
      <c r="CS53" s="176"/>
      <c r="CT53" s="178"/>
      <c r="CU53" s="177"/>
      <c r="CV53" s="178"/>
      <c r="CX53" s="131"/>
      <c r="CZ53" s="176"/>
      <c r="DA53" s="177"/>
      <c r="DB53" s="177"/>
      <c r="DC53" s="177"/>
      <c r="DD53" s="177"/>
      <c r="DE53" s="177"/>
      <c r="DF53" s="177"/>
      <c r="DG53" s="177"/>
      <c r="DH53" s="177"/>
      <c r="DI53" s="177"/>
      <c r="DJ53" s="177"/>
      <c r="DK53" s="178"/>
      <c r="DL53" s="176"/>
      <c r="DM53" s="178"/>
      <c r="DN53" s="176"/>
      <c r="DO53" s="178"/>
      <c r="DQ53" s="32"/>
      <c r="DR53" s="34"/>
      <c r="DS53" s="32"/>
      <c r="DT53" s="33"/>
      <c r="DU53" s="34"/>
      <c r="DV53" s="34"/>
      <c r="DW53" s="32"/>
      <c r="DX53" s="33"/>
      <c r="DY53" s="34"/>
      <c r="DZ53" s="34"/>
      <c r="EA53" s="32"/>
      <c r="EB53" s="33"/>
      <c r="EC53" s="34"/>
      <c r="ED53" s="34"/>
      <c r="EE53" s="34"/>
      <c r="EF53" s="32"/>
      <c r="EG53" s="33"/>
      <c r="EH53" s="34"/>
      <c r="EI53" s="33"/>
    </row>
    <row r="54" spans="1:139" x14ac:dyDescent="0.25">
      <c r="A54" s="196"/>
      <c r="B54" s="189"/>
      <c r="C54" s="196"/>
      <c r="D54" s="202">
        <f t="shared" ref="D54:AH54" si="642">SUM(D47:D53)</f>
        <v>62</v>
      </c>
      <c r="E54" s="202">
        <f t="shared" si="642"/>
        <v>74</v>
      </c>
      <c r="F54" s="203">
        <f t="shared" si="642"/>
        <v>184.83</v>
      </c>
      <c r="G54" s="203">
        <f t="shared" si="642"/>
        <v>227.95999999999998</v>
      </c>
      <c r="H54" s="202">
        <f t="shared" si="642"/>
        <v>1</v>
      </c>
      <c r="I54" s="202">
        <f t="shared" si="642"/>
        <v>0</v>
      </c>
      <c r="J54" s="202">
        <f t="shared" si="642"/>
        <v>1</v>
      </c>
      <c r="K54" s="202">
        <f t="shared" si="642"/>
        <v>0</v>
      </c>
      <c r="L54" s="204">
        <f t="shared" si="642"/>
        <v>0</v>
      </c>
      <c r="M54" s="202">
        <f t="shared" si="642"/>
        <v>0</v>
      </c>
      <c r="N54" s="204">
        <f t="shared" si="642"/>
        <v>0</v>
      </c>
      <c r="O54" s="202">
        <f t="shared" si="642"/>
        <v>0</v>
      </c>
      <c r="P54" s="204">
        <f t="shared" si="642"/>
        <v>0</v>
      </c>
      <c r="Q54" s="202">
        <f t="shared" si="642"/>
        <v>0</v>
      </c>
      <c r="R54" s="204">
        <f t="shared" si="642"/>
        <v>1</v>
      </c>
      <c r="S54" s="202">
        <f t="shared" si="642"/>
        <v>7</v>
      </c>
      <c r="T54" s="205">
        <f t="shared" si="642"/>
        <v>6</v>
      </c>
      <c r="U54" s="205">
        <f t="shared" si="642"/>
        <v>1</v>
      </c>
      <c r="V54" s="203">
        <f t="shared" si="642"/>
        <v>1</v>
      </c>
      <c r="W54" s="205">
        <f t="shared" si="642"/>
        <v>0</v>
      </c>
      <c r="X54" s="205">
        <f t="shared" si="642"/>
        <v>1</v>
      </c>
      <c r="Y54" s="202">
        <f t="shared" si="642"/>
        <v>0</v>
      </c>
      <c r="Z54" s="204">
        <f t="shared" si="642"/>
        <v>0</v>
      </c>
      <c r="AA54" s="202">
        <f t="shared" si="642"/>
        <v>0</v>
      </c>
      <c r="AB54" s="202">
        <f t="shared" si="642"/>
        <v>0</v>
      </c>
      <c r="AC54" s="205">
        <f t="shared" si="642"/>
        <v>0</v>
      </c>
      <c r="AD54" s="202">
        <f t="shared" si="642"/>
        <v>0</v>
      </c>
      <c r="AE54" s="202">
        <f t="shared" si="642"/>
        <v>0</v>
      </c>
      <c r="AF54" s="205">
        <f t="shared" si="642"/>
        <v>0</v>
      </c>
      <c r="AG54" s="202">
        <f t="shared" si="642"/>
        <v>0</v>
      </c>
      <c r="AH54" s="204">
        <f t="shared" si="642"/>
        <v>0</v>
      </c>
      <c r="AI54" s="357"/>
      <c r="AJ54" s="12"/>
      <c r="AK54" s="5"/>
      <c r="AL54" s="9"/>
      <c r="AM54" s="358"/>
      <c r="AN54" s="5"/>
      <c r="AO54" s="13"/>
      <c r="AQ54" s="131"/>
      <c r="AR54" s="131"/>
      <c r="AS54" s="191"/>
      <c r="AT54" s="192"/>
      <c r="AU54" s="193"/>
      <c r="AV54" s="194">
        <f>AVERAGE(AV47:AV51)*5+AVERAGE(AV52:AV53)*2</f>
        <v>330.13333333333333</v>
      </c>
      <c r="AW54" s="131"/>
      <c r="AY54" s="212"/>
      <c r="AZ54" s="213"/>
      <c r="BA54" s="214"/>
      <c r="BB54" s="214"/>
      <c r="BC54" s="212"/>
      <c r="BD54" s="213"/>
      <c r="BE54" s="212"/>
      <c r="BF54" s="213"/>
      <c r="BG54" s="214"/>
      <c r="BH54" s="214"/>
      <c r="BI54" s="214"/>
      <c r="BJ54" s="213"/>
      <c r="BK54" s="156"/>
      <c r="BL54" s="156"/>
      <c r="BM54" s="156"/>
      <c r="BN54" s="156"/>
      <c r="BO54" s="50"/>
      <c r="BP54" s="217"/>
      <c r="BQ54" s="218"/>
      <c r="BR54" s="217"/>
      <c r="BS54" s="218"/>
      <c r="BT54" s="217"/>
      <c r="BU54" s="218"/>
      <c r="BV54" s="217"/>
      <c r="BW54" s="218"/>
      <c r="BX54" s="217"/>
      <c r="BY54" s="218"/>
      <c r="BZ54" s="217"/>
      <c r="CA54" s="218"/>
      <c r="CB54" s="126"/>
      <c r="CC54" s="126"/>
      <c r="CD54" s="126"/>
      <c r="CE54" s="126"/>
      <c r="CG54" s="219"/>
      <c r="CH54" s="220"/>
      <c r="CI54" s="220"/>
      <c r="CJ54" s="220"/>
      <c r="CK54" s="220"/>
      <c r="CL54" s="220"/>
      <c r="CM54" s="220"/>
      <c r="CN54" s="220"/>
      <c r="CO54" s="220"/>
      <c r="CP54" s="220"/>
      <c r="CQ54" s="220"/>
      <c r="CR54" s="221"/>
      <c r="CS54" s="219"/>
      <c r="CT54" s="220"/>
      <c r="CU54" s="220"/>
      <c r="CV54" s="221"/>
      <c r="CX54" s="222"/>
      <c r="CZ54" s="226">
        <f t="shared" ref="CZ54:DO54" si="643">CZ52+CZ47</f>
        <v>1.1337466784765282</v>
      </c>
      <c r="DA54" s="227">
        <f t="shared" si="643"/>
        <v>0</v>
      </c>
      <c r="DB54" s="227">
        <f t="shared" si="643"/>
        <v>0</v>
      </c>
      <c r="DC54" s="227">
        <f t="shared" si="643"/>
        <v>0</v>
      </c>
      <c r="DD54" s="227">
        <f t="shared" si="643"/>
        <v>0</v>
      </c>
      <c r="DE54" s="227">
        <f t="shared" si="643"/>
        <v>0</v>
      </c>
      <c r="DF54" s="227">
        <f t="shared" si="643"/>
        <v>1.1337466784765282</v>
      </c>
      <c r="DG54" s="227">
        <f t="shared" si="643"/>
        <v>0</v>
      </c>
      <c r="DH54" s="227">
        <f t="shared" si="643"/>
        <v>9.2568087678661453</v>
      </c>
      <c r="DI54" s="227">
        <f t="shared" si="643"/>
        <v>0.81645569620253167</v>
      </c>
      <c r="DJ54" s="227">
        <f t="shared" si="643"/>
        <v>0</v>
      </c>
      <c r="DK54" s="228">
        <f t="shared" si="643"/>
        <v>0</v>
      </c>
      <c r="DL54" s="226">
        <f t="shared" si="643"/>
        <v>0</v>
      </c>
      <c r="DM54" s="228">
        <f t="shared" si="643"/>
        <v>0</v>
      </c>
      <c r="DN54" s="226">
        <f t="shared" si="643"/>
        <v>0</v>
      </c>
      <c r="DO54" s="228">
        <f t="shared" si="643"/>
        <v>0</v>
      </c>
      <c r="DQ54" s="32"/>
      <c r="DR54" s="34"/>
      <c r="DS54" s="32"/>
      <c r="DT54" s="33"/>
      <c r="DU54" s="34"/>
      <c r="DV54" s="34"/>
      <c r="DW54" s="32"/>
      <c r="DX54" s="33"/>
      <c r="DY54" s="34"/>
      <c r="DZ54" s="34"/>
      <c r="EA54" s="32"/>
      <c r="EB54" s="33"/>
      <c r="EC54" s="34"/>
      <c r="ED54" s="34"/>
      <c r="EE54" s="34"/>
      <c r="EF54" s="32"/>
      <c r="EG54" s="33"/>
      <c r="EH54" s="34"/>
      <c r="EI54" s="33"/>
    </row>
    <row r="55" spans="1:139" x14ac:dyDescent="0.25">
      <c r="AJ55" s="12"/>
      <c r="AK55" s="5"/>
      <c r="AL55" s="9"/>
      <c r="AM55" s="358"/>
      <c r="AN55" s="5"/>
      <c r="AO55" s="13"/>
    </row>
    <row r="56" spans="1:139" x14ac:dyDescent="0.25">
      <c r="A56" s="206">
        <f>A47+7</f>
        <v>45915</v>
      </c>
      <c r="B56" s="207" t="s">
        <v>7</v>
      </c>
      <c r="C56" s="206"/>
      <c r="D56" s="41">
        <v>6</v>
      </c>
      <c r="E56" s="41">
        <v>7</v>
      </c>
      <c r="F56" s="41">
        <v>20.83</v>
      </c>
      <c r="G56" s="179">
        <v>28.92</v>
      </c>
      <c r="H56" s="208">
        <f t="shared" ref="H56:H62" si="644">I56+J56</f>
        <v>0</v>
      </c>
      <c r="I56" s="208">
        <f t="shared" ref="I56:I62" si="645">K56+M56+Q56</f>
        <v>0</v>
      </c>
      <c r="J56" s="208">
        <f t="shared" ref="J56:J62" si="646">L56+N56+R56</f>
        <v>0</v>
      </c>
      <c r="K56" s="41"/>
      <c r="L56" s="42"/>
      <c r="M56" s="41"/>
      <c r="N56" s="42"/>
      <c r="O56" s="165"/>
      <c r="P56" s="165"/>
      <c r="Q56" s="41"/>
      <c r="R56" s="42"/>
      <c r="S56" s="319">
        <f t="shared" ref="S56:S62" si="647">T56+U56</f>
        <v>0</v>
      </c>
      <c r="T56" s="165"/>
      <c r="U56" s="165"/>
      <c r="V56" s="319">
        <f t="shared" ref="V56:V62" si="648">W56+X56</f>
        <v>0</v>
      </c>
      <c r="W56" s="165"/>
      <c r="X56" s="165"/>
      <c r="Y56" s="41"/>
      <c r="Z56" s="42"/>
      <c r="AA56" s="319">
        <f t="shared" ref="AA56:AA62" si="649">AB56+AC56</f>
        <v>0</v>
      </c>
      <c r="AB56" s="165"/>
      <c r="AC56" s="165"/>
      <c r="AD56" s="319">
        <f t="shared" ref="AD56:AD62" si="650">AE56+AF56</f>
        <v>0</v>
      </c>
      <c r="AE56" s="41"/>
      <c r="AF56" s="165"/>
      <c r="AG56" s="41"/>
      <c r="AH56" s="42"/>
      <c r="AJ56" s="12"/>
      <c r="AK56" s="5"/>
      <c r="AL56" s="9"/>
      <c r="AM56" s="358"/>
      <c r="AN56" s="5"/>
      <c r="AO56" s="13"/>
      <c r="AQ56" s="28">
        <v>7</v>
      </c>
      <c r="AR56" s="28">
        <v>3</v>
      </c>
      <c r="AS56" s="148">
        <f t="shared" ref="AS56" si="651">AQ56/AR56</f>
        <v>2.3333333333333335</v>
      </c>
      <c r="AT56" s="152">
        <v>12.5</v>
      </c>
      <c r="AU56" s="153">
        <v>1</v>
      </c>
      <c r="AV56" s="154">
        <f t="shared" ref="AV56" si="652">AT56*AS56*AU56</f>
        <v>29.166666666666668</v>
      </c>
      <c r="AW56" s="28"/>
      <c r="AY56" s="155">
        <f t="shared" ref="AY56" si="653">H56/G56</f>
        <v>0</v>
      </c>
      <c r="AZ56" s="156">
        <f t="shared" ref="AZ56" si="654">I56/G56</f>
        <v>0</v>
      </c>
      <c r="BA56" s="127">
        <f t="shared" ref="BA56" si="655">(K56+L56)/$G56</f>
        <v>0</v>
      </c>
      <c r="BB56" s="127">
        <f t="shared" ref="BB56" si="656">K56/$G56</f>
        <v>0</v>
      </c>
      <c r="BC56" s="155">
        <f t="shared" ref="BC56" si="657">(M56+N56)/$G56</f>
        <v>0</v>
      </c>
      <c r="BD56" s="156">
        <f t="shared" ref="BD56" si="658">M56/$G56</f>
        <v>0</v>
      </c>
      <c r="BE56" s="155">
        <f t="shared" ref="BE56" si="659">(Q56+R56)/$G56</f>
        <v>0</v>
      </c>
      <c r="BF56" s="156">
        <f t="shared" ref="BF56" si="660">Q56/$G56</f>
        <v>0</v>
      </c>
      <c r="BG56" s="127">
        <f t="shared" ref="BG56" si="661">S56/$G56</f>
        <v>0</v>
      </c>
      <c r="BH56" s="127">
        <f t="shared" ref="BH56" si="662">V56/$G56</f>
        <v>0</v>
      </c>
      <c r="BI56" s="127">
        <f t="shared" ref="BI56" si="663">AA56/$G56</f>
        <v>0</v>
      </c>
      <c r="BJ56" s="156">
        <f t="shared" ref="BJ56" si="664">AH56/$G56</f>
        <v>0</v>
      </c>
      <c r="BK56" s="210"/>
      <c r="BL56" s="210"/>
      <c r="BM56" s="210"/>
      <c r="BN56" s="210"/>
      <c r="BO56" s="50"/>
      <c r="BP56" s="51">
        <f t="shared" ref="BP56" si="665">AY56*$AV56</f>
        <v>0</v>
      </c>
      <c r="BQ56" s="157">
        <f t="shared" ref="BQ56" si="666">AZ56*$AV56</f>
        <v>0</v>
      </c>
      <c r="BR56" s="51">
        <f t="shared" ref="BR56" si="667">BA56*$AV56</f>
        <v>0</v>
      </c>
      <c r="BS56" s="157">
        <f t="shared" ref="BS56" si="668">BB56*$AV56</f>
        <v>0</v>
      </c>
      <c r="BT56" s="51">
        <f t="shared" ref="BT56" si="669">BC56*$AV56</f>
        <v>0</v>
      </c>
      <c r="BU56" s="157">
        <f t="shared" ref="BU56" si="670">BD56*$AV56</f>
        <v>0</v>
      </c>
      <c r="BV56" s="51">
        <f t="shared" ref="BV56" si="671">BE56*$AV56</f>
        <v>0</v>
      </c>
      <c r="BW56" s="157">
        <f t="shared" ref="BW56" si="672">BF56*$AV56</f>
        <v>0</v>
      </c>
      <c r="BX56" s="51">
        <f t="shared" ref="BX56" si="673">BG56*$AV56</f>
        <v>0</v>
      </c>
      <c r="BY56" s="157">
        <f t="shared" ref="BY56" si="674">BH56*$AV56</f>
        <v>0</v>
      </c>
      <c r="BZ56" s="51">
        <f t="shared" ref="BZ56" si="675">BI56*$AV56</f>
        <v>0</v>
      </c>
      <c r="CA56" s="157">
        <f t="shared" ref="CA56" si="676">BJ56*$AV56</f>
        <v>0</v>
      </c>
      <c r="CB56" s="51">
        <f t="shared" ref="CB56" si="677">BK56*$AV56</f>
        <v>0</v>
      </c>
      <c r="CC56" s="157">
        <f t="shared" ref="CC56" si="678">BL56*$AV56</f>
        <v>0</v>
      </c>
      <c r="CD56" s="51">
        <f t="shared" ref="CD56" si="679">BM56*$AV56</f>
        <v>0</v>
      </c>
      <c r="CE56" s="157">
        <f t="shared" ref="CE56" si="680">BN56*$AV56</f>
        <v>0</v>
      </c>
      <c r="CG56" s="215">
        <f t="shared" ref="CG56" si="681">AVERAGE(BP56:BP60)</f>
        <v>0</v>
      </c>
      <c r="CH56" s="175">
        <f t="shared" ref="CH56" si="682">AVERAGE(BQ56:BQ60)</f>
        <v>0</v>
      </c>
      <c r="CI56" s="175">
        <f t="shared" ref="CI56" si="683">AVERAGE(BR56:BR60)</f>
        <v>0</v>
      </c>
      <c r="CJ56" s="175">
        <f t="shared" ref="CJ56" si="684">AVERAGE(BS56:BS60)</f>
        <v>0</v>
      </c>
      <c r="CK56" s="175">
        <f t="shared" ref="CK56" si="685">AVERAGE(BT56:BT60)</f>
        <v>0</v>
      </c>
      <c r="CL56" s="175">
        <f t="shared" ref="CL56" si="686">AVERAGE(BU56:BU60)</f>
        <v>0</v>
      </c>
      <c r="CM56" s="175">
        <f t="shared" ref="CM56" si="687">AVERAGE(BV56:BV60)</f>
        <v>0</v>
      </c>
      <c r="CN56" s="175">
        <f t="shared" ref="CN56" si="688">AVERAGE(BW56:BW60)</f>
        <v>0</v>
      </c>
      <c r="CO56" s="175">
        <f t="shared" ref="CO56" si="689">AVERAGE(BX56:BX60)</f>
        <v>2.5497287230956411</v>
      </c>
      <c r="CP56" s="175">
        <f t="shared" ref="CP56" si="690">AVERAGE(BY56:BY60)</f>
        <v>0.12249705535924618</v>
      </c>
      <c r="CQ56" s="175">
        <f t="shared" ref="CQ56" si="691">AVERAGE(BZ56:BZ60)</f>
        <v>0</v>
      </c>
      <c r="CR56" s="216">
        <f t="shared" ref="CR56" si="692">AVERAGE(CA56:CA60)</f>
        <v>0</v>
      </c>
      <c r="CS56" s="215">
        <f t="shared" ref="CS56" si="693">AVERAGE(CB56:CB60)</f>
        <v>0</v>
      </c>
      <c r="CT56" s="216">
        <f t="shared" ref="CT56" si="694">AVERAGE(CC56:CC60)</f>
        <v>0</v>
      </c>
      <c r="CU56" s="175">
        <f t="shared" ref="CU56" si="695">AVERAGE(CD56:CD60)</f>
        <v>0</v>
      </c>
      <c r="CV56" s="216">
        <f t="shared" ref="CV56" si="696">AVERAGE(CE56:CE60)</f>
        <v>0</v>
      </c>
      <c r="CX56" s="56">
        <v>5</v>
      </c>
      <c r="CZ56" s="223">
        <f t="shared" ref="CZ56" si="697">CG56*$CX56</f>
        <v>0</v>
      </c>
      <c r="DA56" s="159">
        <f t="shared" ref="DA56" si="698">CH56*$CX56</f>
        <v>0</v>
      </c>
      <c r="DB56" s="159">
        <f t="shared" ref="DB56" si="699">CI56*$CX56</f>
        <v>0</v>
      </c>
      <c r="DC56" s="159">
        <f t="shared" ref="DC56" si="700">CJ56*$CX56</f>
        <v>0</v>
      </c>
      <c r="DD56" s="159">
        <f t="shared" ref="DD56" si="701">CK56*$CX56</f>
        <v>0</v>
      </c>
      <c r="DE56" s="159">
        <f t="shared" ref="DE56" si="702">CL56*$CX56</f>
        <v>0</v>
      </c>
      <c r="DF56" s="159">
        <f t="shared" ref="DF56" si="703">CM56*$CX56</f>
        <v>0</v>
      </c>
      <c r="DG56" s="159">
        <f t="shared" ref="DG56" si="704">CN56*$CX56</f>
        <v>0</v>
      </c>
      <c r="DH56" s="159">
        <f t="shared" ref="DH56" si="705">CO56*$CX56</f>
        <v>12.748643615478205</v>
      </c>
      <c r="DI56" s="159">
        <f t="shared" ref="DI56" si="706">CP56*$CX56</f>
        <v>0.61248527679623088</v>
      </c>
      <c r="DJ56" s="159">
        <f t="shared" ref="DJ56" si="707">CQ56*$CX56</f>
        <v>0</v>
      </c>
      <c r="DK56" s="224">
        <f t="shared" ref="DK56" si="708">CR56*$CX56</f>
        <v>0</v>
      </c>
      <c r="DL56" s="223">
        <f t="shared" ref="DL56" si="709">CS56*$CX56</f>
        <v>0</v>
      </c>
      <c r="DM56" s="224">
        <f t="shared" ref="DM56" si="710">CT56*$CX56</f>
        <v>0</v>
      </c>
      <c r="DN56" s="223">
        <f t="shared" ref="DN56" si="711">CU56*$CX56</f>
        <v>0</v>
      </c>
      <c r="DO56" s="224">
        <f t="shared" ref="DO56" si="712">CV56*$CX56</f>
        <v>0</v>
      </c>
      <c r="DQ56" s="130"/>
      <c r="DR56" s="229"/>
      <c r="DS56" s="130"/>
      <c r="DT56" s="230"/>
      <c r="DU56" s="229"/>
      <c r="DV56" s="229"/>
      <c r="DW56" s="130"/>
      <c r="DX56" s="230"/>
      <c r="DY56" s="229"/>
      <c r="DZ56" s="229"/>
      <c r="EA56" s="130"/>
      <c r="EB56" s="230"/>
      <c r="EC56" s="229"/>
      <c r="ED56" s="229"/>
      <c r="EE56" s="229"/>
      <c r="EF56" s="130"/>
      <c r="EG56" s="230"/>
      <c r="EH56" s="229"/>
      <c r="EI56" s="230"/>
    </row>
    <row r="57" spans="1:139" x14ac:dyDescent="0.25">
      <c r="A57" s="195">
        <f t="shared" ref="A57:A62" si="713">A56+1</f>
        <v>45916</v>
      </c>
      <c r="B57" s="158" t="s">
        <v>94</v>
      </c>
      <c r="C57" s="195"/>
      <c r="D57" s="534">
        <v>3</v>
      </c>
      <c r="E57" s="483">
        <v>5</v>
      </c>
      <c r="F57" s="45">
        <v>22.27</v>
      </c>
      <c r="G57" s="154">
        <v>41.4</v>
      </c>
      <c r="H57" s="169">
        <f t="shared" si="644"/>
        <v>0</v>
      </c>
      <c r="I57" s="169">
        <f t="shared" si="645"/>
        <v>0</v>
      </c>
      <c r="J57" s="169">
        <f t="shared" si="646"/>
        <v>0</v>
      </c>
      <c r="K57" s="45"/>
      <c r="L57" s="151"/>
      <c r="M57" s="45"/>
      <c r="N57" s="151"/>
      <c r="Q57" s="45"/>
      <c r="R57" s="151"/>
      <c r="S57" s="320">
        <f t="shared" si="647"/>
        <v>0</v>
      </c>
      <c r="T57" s="5"/>
      <c r="U57" s="5"/>
      <c r="V57" s="320">
        <f t="shared" si="648"/>
        <v>0</v>
      </c>
      <c r="Y57" s="45"/>
      <c r="Z57" s="151"/>
      <c r="AA57" s="320">
        <f t="shared" si="649"/>
        <v>0</v>
      </c>
      <c r="AD57" s="320">
        <f t="shared" si="650"/>
        <v>0</v>
      </c>
      <c r="AE57" s="45"/>
      <c r="AG57" s="45"/>
      <c r="AH57" s="151"/>
      <c r="AJ57" s="12"/>
      <c r="AK57" s="5"/>
      <c r="AL57" s="9"/>
      <c r="AM57" s="358"/>
      <c r="AN57" s="5"/>
      <c r="AO57" s="13"/>
      <c r="AQ57" s="50">
        <v>5</v>
      </c>
      <c r="AR57" s="50">
        <v>3</v>
      </c>
      <c r="AS57" s="148">
        <f t="shared" ref="AS57:AS62" si="714">AQ57/AR57</f>
        <v>1.6666666666666667</v>
      </c>
      <c r="AT57" s="152">
        <v>12.5</v>
      </c>
      <c r="AU57" s="153">
        <v>1</v>
      </c>
      <c r="AV57" s="154">
        <f t="shared" ref="AV57:AV62" si="715">AT57*AS57*AU57</f>
        <v>20.833333333333336</v>
      </c>
      <c r="AW57" s="50"/>
      <c r="AY57" s="155">
        <f t="shared" ref="AY57:AY62" si="716">H57/G57</f>
        <v>0</v>
      </c>
      <c r="AZ57" s="156">
        <f t="shared" ref="AZ57:AZ62" si="717">I57/G57</f>
        <v>0</v>
      </c>
      <c r="BA57" s="127">
        <f t="shared" ref="BA57:BA62" si="718">(K57+L57)/$G57</f>
        <v>0</v>
      </c>
      <c r="BB57" s="127">
        <f t="shared" ref="BB57:BB62" si="719">K57/$G57</f>
        <v>0</v>
      </c>
      <c r="BC57" s="155">
        <f t="shared" ref="BC57:BC62" si="720">(M57+N57)/$G57</f>
        <v>0</v>
      </c>
      <c r="BD57" s="156">
        <f t="shared" ref="BD57:BD62" si="721">M57/$G57</f>
        <v>0</v>
      </c>
      <c r="BE57" s="155">
        <f t="shared" ref="BE57:BE62" si="722">(Q57+R57)/$G57</f>
        <v>0</v>
      </c>
      <c r="BF57" s="156">
        <f t="shared" ref="BF57:BF62" si="723">Q57/$G57</f>
        <v>0</v>
      </c>
      <c r="BG57" s="127">
        <f t="shared" ref="BG57:BG62" si="724">S57/$G57</f>
        <v>0</v>
      </c>
      <c r="BH57" s="127">
        <f t="shared" ref="BH57:BH62" si="725">V57/$G57</f>
        <v>0</v>
      </c>
      <c r="BI57" s="127">
        <f t="shared" ref="BI57:BI62" si="726">AA57/$G57</f>
        <v>0</v>
      </c>
      <c r="BJ57" s="156">
        <f t="shared" ref="BJ57:BJ62" si="727">AH57/$G57</f>
        <v>0</v>
      </c>
      <c r="BK57" s="156"/>
      <c r="BL57" s="156"/>
      <c r="BM57" s="156"/>
      <c r="BN57" s="156"/>
      <c r="BO57" s="50"/>
      <c r="BP57" s="51">
        <f t="shared" ref="BP57:BP62" si="728">AY57*$AV57</f>
        <v>0</v>
      </c>
      <c r="BQ57" s="157">
        <f t="shared" ref="BQ57:BQ62" si="729">AZ57*$AV57</f>
        <v>0</v>
      </c>
      <c r="BR57" s="51">
        <f t="shared" ref="BR57:BR62" si="730">BA57*$AV57</f>
        <v>0</v>
      </c>
      <c r="BS57" s="157">
        <f t="shared" ref="BS57:BS62" si="731">BB57*$AV57</f>
        <v>0</v>
      </c>
      <c r="BT57" s="51">
        <f t="shared" ref="BT57:BT62" si="732">BC57*$AV57</f>
        <v>0</v>
      </c>
      <c r="BU57" s="157">
        <f t="shared" ref="BU57:BU62" si="733">BD57*$AV57</f>
        <v>0</v>
      </c>
      <c r="BV57" s="51">
        <f t="shared" ref="BV57:BV62" si="734">BE57*$AV57</f>
        <v>0</v>
      </c>
      <c r="BW57" s="157">
        <f t="shared" ref="BW57:BW62" si="735">BF57*$AV57</f>
        <v>0</v>
      </c>
      <c r="BX57" s="51">
        <f t="shared" ref="BX57:BX62" si="736">BG57*$AV57</f>
        <v>0</v>
      </c>
      <c r="BY57" s="157">
        <f t="shared" ref="BY57:BY62" si="737">BH57*$AV57</f>
        <v>0</v>
      </c>
      <c r="BZ57" s="51">
        <f t="shared" ref="BZ57:BZ62" si="738">BI57*$AV57</f>
        <v>0</v>
      </c>
      <c r="CA57" s="157">
        <f t="shared" ref="CA57:CA62" si="739">BJ57*$AV57</f>
        <v>0</v>
      </c>
      <c r="CB57" s="51">
        <f t="shared" ref="CB57:CB62" si="740">BK57*$AV57</f>
        <v>0</v>
      </c>
      <c r="CC57" s="157">
        <f t="shared" ref="CC57:CC62" si="741">BL57*$AV57</f>
        <v>0</v>
      </c>
      <c r="CD57" s="51">
        <f t="shared" ref="CD57:CD62" si="742">BM57*$AV57</f>
        <v>0</v>
      </c>
      <c r="CE57" s="157">
        <f t="shared" ref="CE57:CE62" si="743">BN57*$AV57</f>
        <v>0</v>
      </c>
      <c r="CG57" s="45"/>
      <c r="CR57" s="151"/>
      <c r="CS57" s="45"/>
      <c r="CT57" s="151"/>
      <c r="CV57" s="151"/>
      <c r="CX57" s="50"/>
      <c r="CZ57" s="45"/>
      <c r="DK57" s="151"/>
      <c r="DL57" s="45"/>
      <c r="DM57" s="151"/>
      <c r="DN57" s="45"/>
      <c r="DO57" s="151"/>
      <c r="DQ57" s="117"/>
      <c r="DR57" s="77"/>
      <c r="DS57" s="117"/>
      <c r="DT57" s="149"/>
      <c r="DU57" s="77"/>
      <c r="DV57" s="77"/>
      <c r="DW57" s="117"/>
      <c r="DX57" s="149"/>
      <c r="DY57" s="77"/>
      <c r="DZ57" s="77"/>
      <c r="EA57" s="117"/>
      <c r="EB57" s="149"/>
      <c r="EC57" s="77"/>
      <c r="ED57" s="77"/>
      <c r="EE57" s="77"/>
      <c r="EF57" s="117"/>
      <c r="EG57" s="149"/>
      <c r="EH57" s="77"/>
      <c r="EI57" s="149"/>
    </row>
    <row r="58" spans="1:139" x14ac:dyDescent="0.25">
      <c r="A58" s="195">
        <f t="shared" si="713"/>
        <v>45917</v>
      </c>
      <c r="B58" s="158" t="s">
        <v>11</v>
      </c>
      <c r="C58" s="195"/>
      <c r="D58" s="45">
        <v>10</v>
      </c>
      <c r="E58" s="45">
        <v>13</v>
      </c>
      <c r="F58" s="45">
        <v>63.78</v>
      </c>
      <c r="G58" s="154">
        <v>87.73</v>
      </c>
      <c r="H58" s="169">
        <f t="shared" si="644"/>
        <v>0</v>
      </c>
      <c r="I58" s="169">
        <f t="shared" si="645"/>
        <v>0</v>
      </c>
      <c r="J58" s="169">
        <f t="shared" si="646"/>
        <v>0</v>
      </c>
      <c r="K58" s="45"/>
      <c r="L58" s="151"/>
      <c r="M58" s="45"/>
      <c r="N58" s="151"/>
      <c r="Q58" s="45"/>
      <c r="R58" s="151"/>
      <c r="S58" s="320">
        <f t="shared" si="647"/>
        <v>5</v>
      </c>
      <c r="T58" s="5"/>
      <c r="U58" s="5">
        <v>5</v>
      </c>
      <c r="V58" s="320">
        <f t="shared" si="648"/>
        <v>1</v>
      </c>
      <c r="X58" s="27">
        <v>1</v>
      </c>
      <c r="Y58" s="45">
        <v>1</v>
      </c>
      <c r="Z58" s="151"/>
      <c r="AA58" s="320">
        <f t="shared" si="649"/>
        <v>0</v>
      </c>
      <c r="AD58" s="320">
        <f t="shared" si="650"/>
        <v>0</v>
      </c>
      <c r="AE58" s="45"/>
      <c r="AG58" s="45"/>
      <c r="AH58" s="151"/>
      <c r="AJ58" s="12"/>
      <c r="AK58" s="5"/>
      <c r="AL58" s="9"/>
      <c r="AM58" s="358"/>
      <c r="AN58" s="5"/>
      <c r="AO58" s="13"/>
      <c r="AQ58" s="50">
        <v>13</v>
      </c>
      <c r="AR58" s="50">
        <v>3</v>
      </c>
      <c r="AS58" s="148">
        <f t="shared" si="714"/>
        <v>4.333333333333333</v>
      </c>
      <c r="AT58" s="152">
        <v>12.4</v>
      </c>
      <c r="AU58" s="153">
        <v>1</v>
      </c>
      <c r="AV58" s="154">
        <f t="shared" si="715"/>
        <v>53.733333333333334</v>
      </c>
      <c r="AW58" s="50"/>
      <c r="AY58" s="155">
        <f t="shared" si="716"/>
        <v>0</v>
      </c>
      <c r="AZ58" s="156">
        <f t="shared" si="717"/>
        <v>0</v>
      </c>
      <c r="BA58" s="127">
        <f t="shared" si="718"/>
        <v>0</v>
      </c>
      <c r="BB58" s="127">
        <f t="shared" si="719"/>
        <v>0</v>
      </c>
      <c r="BC58" s="155">
        <f t="shared" si="720"/>
        <v>0</v>
      </c>
      <c r="BD58" s="156">
        <f t="shared" si="721"/>
        <v>0</v>
      </c>
      <c r="BE58" s="155">
        <f t="shared" si="722"/>
        <v>0</v>
      </c>
      <c r="BF58" s="156">
        <f t="shared" si="723"/>
        <v>0</v>
      </c>
      <c r="BG58" s="127">
        <f t="shared" si="724"/>
        <v>5.6993046848284504E-2</v>
      </c>
      <c r="BH58" s="127">
        <f t="shared" si="725"/>
        <v>1.1398609369656901E-2</v>
      </c>
      <c r="BI58" s="127">
        <f t="shared" si="726"/>
        <v>0</v>
      </c>
      <c r="BJ58" s="156">
        <f t="shared" si="727"/>
        <v>0</v>
      </c>
      <c r="BK58" s="156"/>
      <c r="BL58" s="156"/>
      <c r="BM58" s="156"/>
      <c r="BN58" s="156"/>
      <c r="BO58" s="50"/>
      <c r="BP58" s="51">
        <f t="shared" si="728"/>
        <v>0</v>
      </c>
      <c r="BQ58" s="157">
        <f t="shared" si="729"/>
        <v>0</v>
      </c>
      <c r="BR58" s="51">
        <f t="shared" si="730"/>
        <v>0</v>
      </c>
      <c r="BS58" s="157">
        <f t="shared" si="731"/>
        <v>0</v>
      </c>
      <c r="BT58" s="51">
        <f t="shared" si="732"/>
        <v>0</v>
      </c>
      <c r="BU58" s="157">
        <f t="shared" si="733"/>
        <v>0</v>
      </c>
      <c r="BV58" s="51">
        <f t="shared" si="734"/>
        <v>0</v>
      </c>
      <c r="BW58" s="157">
        <f t="shared" si="735"/>
        <v>0</v>
      </c>
      <c r="BX58" s="51">
        <f t="shared" si="736"/>
        <v>3.0624263839811539</v>
      </c>
      <c r="BY58" s="157">
        <f t="shared" si="737"/>
        <v>0.61248527679623088</v>
      </c>
      <c r="BZ58" s="51">
        <f t="shared" si="738"/>
        <v>0</v>
      </c>
      <c r="CA58" s="157">
        <f t="shared" si="739"/>
        <v>0</v>
      </c>
      <c r="CB58" s="51">
        <f t="shared" si="740"/>
        <v>0</v>
      </c>
      <c r="CC58" s="157">
        <f t="shared" si="741"/>
        <v>0</v>
      </c>
      <c r="CD58" s="51">
        <f t="shared" si="742"/>
        <v>0</v>
      </c>
      <c r="CE58" s="157">
        <f t="shared" si="743"/>
        <v>0</v>
      </c>
      <c r="CG58" s="45"/>
      <c r="CR58" s="151"/>
      <c r="CS58" s="45"/>
      <c r="CT58" s="151"/>
      <c r="CV58" s="151"/>
      <c r="CX58" s="50"/>
      <c r="CZ58" s="45"/>
      <c r="DK58" s="151"/>
      <c r="DL58" s="45"/>
      <c r="DM58" s="151"/>
      <c r="DN58" s="45"/>
      <c r="DO58" s="151"/>
      <c r="DQ58" s="117"/>
      <c r="DR58" s="77"/>
      <c r="DS58" s="117"/>
      <c r="DT58" s="149"/>
      <c r="DU58" s="77"/>
      <c r="DV58" s="77"/>
      <c r="DW58" s="117"/>
      <c r="DX58" s="149"/>
      <c r="DY58" s="77"/>
      <c r="DZ58" s="77"/>
      <c r="EA58" s="117"/>
      <c r="EB58" s="149"/>
      <c r="EC58" s="77"/>
      <c r="ED58" s="77"/>
      <c r="EE58" s="77"/>
      <c r="EF58" s="117"/>
      <c r="EG58" s="149"/>
      <c r="EH58" s="77"/>
      <c r="EI58" s="149"/>
    </row>
    <row r="59" spans="1:139" x14ac:dyDescent="0.25">
      <c r="A59" s="195">
        <f t="shared" si="713"/>
        <v>45918</v>
      </c>
      <c r="B59" s="158" t="s">
        <v>95</v>
      </c>
      <c r="C59" s="195"/>
      <c r="D59" s="45">
        <v>7</v>
      </c>
      <c r="E59" s="45">
        <v>10</v>
      </c>
      <c r="F59" s="45">
        <v>53.43</v>
      </c>
      <c r="G59" s="154">
        <v>67.819999999999993</v>
      </c>
      <c r="H59" s="169">
        <f t="shared" si="644"/>
        <v>0</v>
      </c>
      <c r="I59" s="169">
        <f t="shared" si="645"/>
        <v>0</v>
      </c>
      <c r="J59" s="169">
        <f t="shared" si="646"/>
        <v>0</v>
      </c>
      <c r="K59" s="45"/>
      <c r="L59" s="151"/>
      <c r="M59" s="45"/>
      <c r="N59" s="151"/>
      <c r="Q59" s="45"/>
      <c r="R59" s="151"/>
      <c r="S59" s="320">
        <f t="shared" si="647"/>
        <v>1</v>
      </c>
      <c r="T59" s="5"/>
      <c r="U59" s="5">
        <v>1</v>
      </c>
      <c r="V59" s="320">
        <f t="shared" si="648"/>
        <v>0</v>
      </c>
      <c r="Y59" s="45"/>
      <c r="Z59" s="151">
        <v>2</v>
      </c>
      <c r="AA59" s="320">
        <f t="shared" si="649"/>
        <v>0</v>
      </c>
      <c r="AD59" s="320">
        <f t="shared" si="650"/>
        <v>0</v>
      </c>
      <c r="AE59" s="45"/>
      <c r="AG59" s="45"/>
      <c r="AH59" s="151"/>
      <c r="AJ59" s="12"/>
      <c r="AK59" s="5"/>
      <c r="AL59" s="9"/>
      <c r="AM59" s="358"/>
      <c r="AN59" s="5"/>
      <c r="AO59" s="13"/>
      <c r="AQ59" s="50">
        <v>28</v>
      </c>
      <c r="AR59" s="50">
        <v>3</v>
      </c>
      <c r="AS59" s="148">
        <f t="shared" si="714"/>
        <v>9.3333333333333339</v>
      </c>
      <c r="AT59" s="152">
        <v>12.3</v>
      </c>
      <c r="AU59" s="153">
        <v>1</v>
      </c>
      <c r="AV59" s="154">
        <f t="shared" si="715"/>
        <v>114.80000000000001</v>
      </c>
      <c r="AW59" s="50"/>
      <c r="AY59" s="155">
        <f t="shared" si="716"/>
        <v>0</v>
      </c>
      <c r="AZ59" s="156">
        <f t="shared" si="717"/>
        <v>0</v>
      </c>
      <c r="BA59" s="127">
        <f t="shared" si="718"/>
        <v>0</v>
      </c>
      <c r="BB59" s="127">
        <f t="shared" si="719"/>
        <v>0</v>
      </c>
      <c r="BC59" s="155">
        <f t="shared" si="720"/>
        <v>0</v>
      </c>
      <c r="BD59" s="156">
        <f t="shared" si="721"/>
        <v>0</v>
      </c>
      <c r="BE59" s="155">
        <f t="shared" si="722"/>
        <v>0</v>
      </c>
      <c r="BF59" s="156">
        <f t="shared" si="723"/>
        <v>0</v>
      </c>
      <c r="BG59" s="127">
        <f t="shared" si="724"/>
        <v>1.4744913005013271E-2</v>
      </c>
      <c r="BH59" s="127">
        <f t="shared" si="725"/>
        <v>0</v>
      </c>
      <c r="BI59" s="127">
        <f t="shared" si="726"/>
        <v>0</v>
      </c>
      <c r="BJ59" s="156">
        <f t="shared" si="727"/>
        <v>0</v>
      </c>
      <c r="BK59" s="156"/>
      <c r="BL59" s="156"/>
      <c r="BM59" s="156"/>
      <c r="BN59" s="156"/>
      <c r="BO59" s="50"/>
      <c r="BP59" s="51">
        <f t="shared" si="728"/>
        <v>0</v>
      </c>
      <c r="BQ59" s="157">
        <f t="shared" si="729"/>
        <v>0</v>
      </c>
      <c r="BR59" s="51">
        <f t="shared" si="730"/>
        <v>0</v>
      </c>
      <c r="BS59" s="157">
        <f t="shared" si="731"/>
        <v>0</v>
      </c>
      <c r="BT59" s="51">
        <f t="shared" si="732"/>
        <v>0</v>
      </c>
      <c r="BU59" s="157">
        <f t="shared" si="733"/>
        <v>0</v>
      </c>
      <c r="BV59" s="51">
        <f t="shared" si="734"/>
        <v>0</v>
      </c>
      <c r="BW59" s="157">
        <f t="shared" si="735"/>
        <v>0</v>
      </c>
      <c r="BX59" s="51">
        <f t="shared" si="736"/>
        <v>1.6927160129755237</v>
      </c>
      <c r="BY59" s="157">
        <f t="shared" si="737"/>
        <v>0</v>
      </c>
      <c r="BZ59" s="51">
        <f t="shared" si="738"/>
        <v>0</v>
      </c>
      <c r="CA59" s="157">
        <f t="shared" si="739"/>
        <v>0</v>
      </c>
      <c r="CB59" s="51">
        <f t="shared" si="740"/>
        <v>0</v>
      </c>
      <c r="CC59" s="157">
        <f t="shared" si="741"/>
        <v>0</v>
      </c>
      <c r="CD59" s="51">
        <f t="shared" si="742"/>
        <v>0</v>
      </c>
      <c r="CE59" s="157">
        <f t="shared" si="743"/>
        <v>0</v>
      </c>
      <c r="CG59" s="45"/>
      <c r="CR59" s="151"/>
      <c r="CS59" s="45"/>
      <c r="CT59" s="151"/>
      <c r="CV59" s="151"/>
      <c r="CX59" s="50"/>
      <c r="CZ59" s="45"/>
      <c r="DK59" s="151"/>
      <c r="DL59" s="45"/>
      <c r="DM59" s="151"/>
      <c r="DN59" s="45"/>
      <c r="DO59" s="151"/>
      <c r="DQ59" s="117"/>
      <c r="DR59" s="77"/>
      <c r="DS59" s="117"/>
      <c r="DT59" s="149"/>
      <c r="DU59" s="77">
        <v>1</v>
      </c>
      <c r="DV59" s="77"/>
      <c r="DW59" s="117"/>
      <c r="DX59" s="149"/>
      <c r="DY59" s="77"/>
      <c r="DZ59" s="77"/>
      <c r="EA59" s="117"/>
      <c r="EB59" s="149"/>
      <c r="EC59" s="77"/>
      <c r="ED59" s="77"/>
      <c r="EE59" s="77"/>
      <c r="EF59" s="117"/>
      <c r="EG59" s="149"/>
      <c r="EH59" s="77"/>
      <c r="EI59" s="149"/>
    </row>
    <row r="60" spans="1:139" x14ac:dyDescent="0.25">
      <c r="A60" s="195">
        <f t="shared" si="713"/>
        <v>45919</v>
      </c>
      <c r="B60" s="195" t="s">
        <v>13</v>
      </c>
      <c r="C60" s="195"/>
      <c r="D60" s="45">
        <v>20</v>
      </c>
      <c r="E60" s="45">
        <v>28</v>
      </c>
      <c r="F60" s="45">
        <v>58.5</v>
      </c>
      <c r="G60" s="154">
        <v>86.17</v>
      </c>
      <c r="H60" s="169">
        <f t="shared" si="644"/>
        <v>0</v>
      </c>
      <c r="I60" s="169">
        <f t="shared" si="645"/>
        <v>0</v>
      </c>
      <c r="J60" s="169">
        <f t="shared" si="646"/>
        <v>0</v>
      </c>
      <c r="K60" s="45"/>
      <c r="L60" s="151"/>
      <c r="M60" s="45"/>
      <c r="N60" s="151"/>
      <c r="Q60" s="45"/>
      <c r="R60" s="151"/>
      <c r="S60" s="320">
        <f t="shared" si="647"/>
        <v>6</v>
      </c>
      <c r="T60" s="5">
        <v>1</v>
      </c>
      <c r="U60" s="5">
        <v>5</v>
      </c>
      <c r="V60" s="320">
        <f t="shared" si="648"/>
        <v>0</v>
      </c>
      <c r="Y60" s="45">
        <v>1</v>
      </c>
      <c r="Z60" s="151"/>
      <c r="AA60" s="320">
        <f t="shared" si="649"/>
        <v>0</v>
      </c>
      <c r="AD60" s="320">
        <f t="shared" si="650"/>
        <v>0</v>
      </c>
      <c r="AE60" s="45"/>
      <c r="AG60" s="45"/>
      <c r="AH60" s="151"/>
      <c r="AJ60" s="12"/>
      <c r="AK60" s="5"/>
      <c r="AL60" s="9"/>
      <c r="AM60" s="358"/>
      <c r="AN60" s="5"/>
      <c r="AO60" s="13"/>
      <c r="AQ60" s="50">
        <v>28</v>
      </c>
      <c r="AR60" s="50">
        <v>3</v>
      </c>
      <c r="AS60" s="148">
        <f t="shared" si="714"/>
        <v>9.3333333333333339</v>
      </c>
      <c r="AT60" s="152">
        <v>12.3</v>
      </c>
      <c r="AU60" s="153">
        <v>1</v>
      </c>
      <c r="AV60" s="154">
        <f t="shared" si="715"/>
        <v>114.80000000000001</v>
      </c>
      <c r="AW60" s="50"/>
      <c r="AY60" s="155">
        <f t="shared" si="716"/>
        <v>0</v>
      </c>
      <c r="AZ60" s="156">
        <f t="shared" si="717"/>
        <v>0</v>
      </c>
      <c r="BA60" s="127">
        <f t="shared" si="718"/>
        <v>0</v>
      </c>
      <c r="BB60" s="127">
        <f t="shared" si="719"/>
        <v>0</v>
      </c>
      <c r="BC60" s="155">
        <f t="shared" si="720"/>
        <v>0</v>
      </c>
      <c r="BD60" s="156">
        <f t="shared" si="721"/>
        <v>0</v>
      </c>
      <c r="BE60" s="155">
        <f t="shared" si="722"/>
        <v>0</v>
      </c>
      <c r="BF60" s="156">
        <f t="shared" si="723"/>
        <v>0</v>
      </c>
      <c r="BG60" s="127">
        <f t="shared" si="724"/>
        <v>6.9629801555065568E-2</v>
      </c>
      <c r="BH60" s="127">
        <f t="shared" si="725"/>
        <v>0</v>
      </c>
      <c r="BI60" s="127">
        <f t="shared" si="726"/>
        <v>0</v>
      </c>
      <c r="BJ60" s="156">
        <f t="shared" si="727"/>
        <v>0</v>
      </c>
      <c r="BK60" s="156"/>
      <c r="BL60" s="156"/>
      <c r="BM60" s="156"/>
      <c r="BN60" s="156"/>
      <c r="BO60" s="50"/>
      <c r="BP60" s="51">
        <f t="shared" si="728"/>
        <v>0</v>
      </c>
      <c r="BQ60" s="157">
        <f t="shared" si="729"/>
        <v>0</v>
      </c>
      <c r="BR60" s="51">
        <f t="shared" si="730"/>
        <v>0</v>
      </c>
      <c r="BS60" s="157">
        <f t="shared" si="731"/>
        <v>0</v>
      </c>
      <c r="BT60" s="51">
        <f t="shared" si="732"/>
        <v>0</v>
      </c>
      <c r="BU60" s="157">
        <f t="shared" si="733"/>
        <v>0</v>
      </c>
      <c r="BV60" s="51">
        <f t="shared" si="734"/>
        <v>0</v>
      </c>
      <c r="BW60" s="157">
        <f t="shared" si="735"/>
        <v>0</v>
      </c>
      <c r="BX60" s="51">
        <f t="shared" si="736"/>
        <v>7.9935012185215282</v>
      </c>
      <c r="BY60" s="157">
        <f t="shared" si="737"/>
        <v>0</v>
      </c>
      <c r="BZ60" s="51">
        <f t="shared" si="738"/>
        <v>0</v>
      </c>
      <c r="CA60" s="157">
        <f t="shared" si="739"/>
        <v>0</v>
      </c>
      <c r="CB60" s="51">
        <f t="shared" si="740"/>
        <v>0</v>
      </c>
      <c r="CC60" s="157">
        <f t="shared" si="741"/>
        <v>0</v>
      </c>
      <c r="CD60" s="51">
        <f t="shared" si="742"/>
        <v>0</v>
      </c>
      <c r="CE60" s="157">
        <f t="shared" si="743"/>
        <v>0</v>
      </c>
      <c r="CG60" s="45"/>
      <c r="CR60" s="151"/>
      <c r="CS60" s="45"/>
      <c r="CT60" s="151"/>
      <c r="CV60" s="151"/>
      <c r="CX60" s="50"/>
      <c r="CZ60" s="45"/>
      <c r="DK60" s="151"/>
      <c r="DL60" s="45"/>
      <c r="DM60" s="151"/>
      <c r="DN60" s="45"/>
      <c r="DO60" s="151"/>
      <c r="DQ60" s="117"/>
      <c r="DR60" s="77"/>
      <c r="DS60" s="117"/>
      <c r="DT60" s="149"/>
      <c r="DU60" s="77"/>
      <c r="DV60" s="77"/>
      <c r="DW60" s="117"/>
      <c r="DX60" s="149"/>
      <c r="DY60" s="77"/>
      <c r="DZ60" s="77"/>
      <c r="EA60" s="117"/>
      <c r="EB60" s="149"/>
      <c r="EC60" s="77"/>
      <c r="ED60" s="77"/>
      <c r="EE60" s="77"/>
      <c r="EF60" s="117"/>
      <c r="EG60" s="149"/>
      <c r="EH60" s="77"/>
      <c r="EI60" s="149"/>
    </row>
    <row r="61" spans="1:139" x14ac:dyDescent="0.25">
      <c r="A61" s="195">
        <f t="shared" si="713"/>
        <v>45920</v>
      </c>
      <c r="B61" s="195" t="s">
        <v>14</v>
      </c>
      <c r="C61" s="195"/>
      <c r="D61" s="45">
        <v>30</v>
      </c>
      <c r="E61" s="45">
        <v>39</v>
      </c>
      <c r="F61" s="45">
        <v>127.95</v>
      </c>
      <c r="G61" s="154">
        <v>159</v>
      </c>
      <c r="H61" s="169">
        <f t="shared" si="644"/>
        <v>0</v>
      </c>
      <c r="I61" s="169">
        <f t="shared" si="645"/>
        <v>0</v>
      </c>
      <c r="J61" s="169">
        <f t="shared" si="646"/>
        <v>0</v>
      </c>
      <c r="K61" s="45"/>
      <c r="L61" s="151"/>
      <c r="M61" s="45"/>
      <c r="N61" s="151"/>
      <c r="Q61" s="45"/>
      <c r="R61" s="151"/>
      <c r="S61" s="320">
        <f t="shared" si="647"/>
        <v>8</v>
      </c>
      <c r="T61" s="5">
        <v>1</v>
      </c>
      <c r="U61" s="5">
        <v>7</v>
      </c>
      <c r="V61" s="320">
        <f t="shared" si="648"/>
        <v>0</v>
      </c>
      <c r="Y61" s="45"/>
      <c r="Z61" s="151"/>
      <c r="AA61" s="320">
        <f t="shared" si="649"/>
        <v>0</v>
      </c>
      <c r="AD61" s="320">
        <f t="shared" si="650"/>
        <v>0</v>
      </c>
      <c r="AE61" s="45"/>
      <c r="AG61" s="45"/>
      <c r="AH61" s="151"/>
      <c r="AJ61" s="12"/>
      <c r="AK61" s="5"/>
      <c r="AL61" s="9"/>
      <c r="AM61" s="358"/>
      <c r="AN61" s="5"/>
      <c r="AO61" s="13"/>
      <c r="AQ61" s="50">
        <v>39</v>
      </c>
      <c r="AR61" s="50">
        <v>3</v>
      </c>
      <c r="AS61" s="148">
        <f t="shared" si="714"/>
        <v>13</v>
      </c>
      <c r="AT61" s="152">
        <v>12.2</v>
      </c>
      <c r="AU61" s="153">
        <v>1</v>
      </c>
      <c r="AV61" s="154">
        <f t="shared" si="715"/>
        <v>158.6</v>
      </c>
      <c r="AW61" s="50"/>
      <c r="AY61" s="155">
        <f t="shared" si="716"/>
        <v>0</v>
      </c>
      <c r="AZ61" s="156">
        <f t="shared" si="717"/>
        <v>0</v>
      </c>
      <c r="BA61" s="127">
        <f t="shared" si="718"/>
        <v>0</v>
      </c>
      <c r="BB61" s="127">
        <f t="shared" si="719"/>
        <v>0</v>
      </c>
      <c r="BC61" s="155">
        <f t="shared" si="720"/>
        <v>0</v>
      </c>
      <c r="BD61" s="156">
        <f t="shared" si="721"/>
        <v>0</v>
      </c>
      <c r="BE61" s="155">
        <f t="shared" si="722"/>
        <v>0</v>
      </c>
      <c r="BF61" s="156">
        <f t="shared" si="723"/>
        <v>0</v>
      </c>
      <c r="BG61" s="127">
        <f t="shared" si="724"/>
        <v>5.0314465408805034E-2</v>
      </c>
      <c r="BH61" s="127">
        <f t="shared" si="725"/>
        <v>0</v>
      </c>
      <c r="BI61" s="127">
        <f t="shared" si="726"/>
        <v>0</v>
      </c>
      <c r="BJ61" s="156">
        <f t="shared" si="727"/>
        <v>0</v>
      </c>
      <c r="BK61" s="156"/>
      <c r="BL61" s="156"/>
      <c r="BM61" s="156"/>
      <c r="BN61" s="156"/>
      <c r="BO61" s="50"/>
      <c r="BP61" s="51">
        <f t="shared" si="728"/>
        <v>0</v>
      </c>
      <c r="BQ61" s="157">
        <f t="shared" si="729"/>
        <v>0</v>
      </c>
      <c r="BR61" s="51">
        <f t="shared" si="730"/>
        <v>0</v>
      </c>
      <c r="BS61" s="157">
        <f t="shared" si="731"/>
        <v>0</v>
      </c>
      <c r="BT61" s="51">
        <f t="shared" si="732"/>
        <v>0</v>
      </c>
      <c r="BU61" s="157">
        <f t="shared" si="733"/>
        <v>0</v>
      </c>
      <c r="BV61" s="51">
        <f t="shared" si="734"/>
        <v>0</v>
      </c>
      <c r="BW61" s="157">
        <f t="shared" si="735"/>
        <v>0</v>
      </c>
      <c r="BX61" s="51">
        <f t="shared" si="736"/>
        <v>7.979874213836478</v>
      </c>
      <c r="BY61" s="157">
        <f t="shared" si="737"/>
        <v>0</v>
      </c>
      <c r="BZ61" s="51">
        <f t="shared" si="738"/>
        <v>0</v>
      </c>
      <c r="CA61" s="157">
        <f t="shared" si="739"/>
        <v>0</v>
      </c>
      <c r="CB61" s="51">
        <f t="shared" si="740"/>
        <v>0</v>
      </c>
      <c r="CC61" s="157">
        <f t="shared" si="741"/>
        <v>0</v>
      </c>
      <c r="CD61" s="51">
        <f t="shared" si="742"/>
        <v>0</v>
      </c>
      <c r="CE61" s="157">
        <f t="shared" si="743"/>
        <v>0</v>
      </c>
      <c r="CG61" s="51">
        <f t="shared" ref="CG61" si="744">AVERAGE(BP61:BP62)</f>
        <v>0</v>
      </c>
      <c r="CH61" s="126">
        <f t="shared" ref="CH61" si="745">AVERAGE(BQ61:BQ62)</f>
        <v>0</v>
      </c>
      <c r="CI61" s="126">
        <f t="shared" ref="CI61" si="746">AVERAGE(BR61:BR62)</f>
        <v>0</v>
      </c>
      <c r="CJ61" s="126">
        <f t="shared" ref="CJ61" si="747">AVERAGE(BS61:BS62)</f>
        <v>0</v>
      </c>
      <c r="CK61" s="126">
        <f t="shared" ref="CK61" si="748">AVERAGE(BT61:BT62)</f>
        <v>0</v>
      </c>
      <c r="CL61" s="126">
        <f t="shared" ref="CL61" si="749">AVERAGE(BU61:BU62)</f>
        <v>0</v>
      </c>
      <c r="CM61" s="126">
        <f t="shared" ref="CM61" si="750">AVERAGE(BV61:BV62)</f>
        <v>0</v>
      </c>
      <c r="CN61" s="126">
        <f t="shared" ref="CN61" si="751">AVERAGE(BW61:BW62)</f>
        <v>0</v>
      </c>
      <c r="CO61" s="126">
        <f t="shared" ref="CO61" si="752">AVERAGE(BX61:BX62)</f>
        <v>8.2797901477350422</v>
      </c>
      <c r="CP61" s="126">
        <f t="shared" ref="CP61" si="753">AVERAGE(BY61:BY62)</f>
        <v>0</v>
      </c>
      <c r="CQ61" s="126">
        <f t="shared" ref="CQ61" si="754">AVERAGE(BZ61:BZ62)</f>
        <v>0</v>
      </c>
      <c r="CR61" s="157">
        <f t="shared" ref="CR61" si="755">AVERAGE(CA61:CA62)</f>
        <v>0</v>
      </c>
      <c r="CS61" s="51">
        <f t="shared" ref="CS61" si="756">AVERAGE(CB61:CB62)</f>
        <v>0</v>
      </c>
      <c r="CT61" s="157">
        <f t="shared" ref="CT61" si="757">AVERAGE(CC61:CC62)</f>
        <v>0</v>
      </c>
      <c r="CU61" s="126">
        <f t="shared" ref="CU61" si="758">AVERAGE(CD61:CD62)</f>
        <v>0</v>
      </c>
      <c r="CV61" s="157">
        <f t="shared" ref="CV61" si="759">AVERAGE(CE61:CE62)</f>
        <v>0</v>
      </c>
      <c r="CX61" s="150">
        <v>2</v>
      </c>
      <c r="CZ61" s="225">
        <f t="shared" ref="CZ61" si="760">CG61*$CX61</f>
        <v>0</v>
      </c>
      <c r="DA61" s="160">
        <f t="shared" ref="DA61" si="761">CH61*$CX61</f>
        <v>0</v>
      </c>
      <c r="DB61" s="160">
        <f t="shared" ref="DB61" si="762">CI61*$CX61</f>
        <v>0</v>
      </c>
      <c r="DC61" s="160">
        <f t="shared" ref="DC61" si="763">CJ61*$CX61</f>
        <v>0</v>
      </c>
      <c r="DD61" s="160">
        <f t="shared" ref="DD61" si="764">CK61*$CX61</f>
        <v>0</v>
      </c>
      <c r="DE61" s="160">
        <f t="shared" ref="DE61" si="765">CL61*$CX61</f>
        <v>0</v>
      </c>
      <c r="DF61" s="160">
        <f t="shared" ref="DF61" si="766">CM61*$CX61</f>
        <v>0</v>
      </c>
      <c r="DG61" s="160">
        <f t="shared" ref="DG61" si="767">CN61*$CX61</f>
        <v>0</v>
      </c>
      <c r="DH61" s="160">
        <f t="shared" ref="DH61" si="768">CO61*$CX61</f>
        <v>16.559580295470084</v>
      </c>
      <c r="DI61" s="160">
        <f t="shared" ref="DI61" si="769">CP61*$CX61</f>
        <v>0</v>
      </c>
      <c r="DJ61" s="160">
        <f t="shared" ref="DJ61" si="770">CQ61*$CX61</f>
        <v>0</v>
      </c>
      <c r="DK61" s="161">
        <f t="shared" ref="DK61" si="771">CR61*$CX61</f>
        <v>0</v>
      </c>
      <c r="DL61" s="225">
        <f t="shared" ref="DL61" si="772">CS61*$CX61</f>
        <v>0</v>
      </c>
      <c r="DM61" s="161">
        <f t="shared" ref="DM61" si="773">CT61*$CX61</f>
        <v>0</v>
      </c>
      <c r="DN61" s="225">
        <f t="shared" ref="DN61" si="774">CU61*$CX61</f>
        <v>0</v>
      </c>
      <c r="DO61" s="161">
        <f t="shared" ref="DO61" si="775">CV61*$CX61</f>
        <v>0</v>
      </c>
      <c r="DQ61" s="117"/>
      <c r="DR61" s="77"/>
      <c r="DS61" s="117"/>
      <c r="DT61" s="149"/>
      <c r="DU61" s="77"/>
      <c r="DV61" s="77"/>
      <c r="DW61" s="117">
        <v>2</v>
      </c>
      <c r="DX61" s="149"/>
      <c r="DY61" s="77"/>
      <c r="DZ61" s="77"/>
      <c r="EA61" s="117"/>
      <c r="EB61" s="149"/>
      <c r="EC61" s="77"/>
      <c r="ED61" s="77"/>
      <c r="EE61" s="77"/>
      <c r="EF61" s="117"/>
      <c r="EG61" s="149"/>
      <c r="EH61" s="77"/>
      <c r="EI61" s="149"/>
    </row>
    <row r="62" spans="1:139" x14ac:dyDescent="0.25">
      <c r="A62" s="334">
        <f t="shared" si="713"/>
        <v>45921</v>
      </c>
      <c r="B62" s="334" t="s">
        <v>15</v>
      </c>
      <c r="C62" s="334"/>
      <c r="D62" s="176">
        <v>33</v>
      </c>
      <c r="E62" s="176">
        <v>43</v>
      </c>
      <c r="F62" s="176">
        <v>107.02</v>
      </c>
      <c r="G62" s="305">
        <v>142.66999999999999</v>
      </c>
      <c r="H62" s="323">
        <f t="shared" si="644"/>
        <v>0</v>
      </c>
      <c r="I62" s="323">
        <f t="shared" si="645"/>
        <v>0</v>
      </c>
      <c r="J62" s="323">
        <f t="shared" si="646"/>
        <v>0</v>
      </c>
      <c r="K62" s="176"/>
      <c r="L62" s="178"/>
      <c r="M62" s="176"/>
      <c r="N62" s="178"/>
      <c r="O62" s="177"/>
      <c r="P62" s="177"/>
      <c r="Q62" s="176"/>
      <c r="R62" s="178"/>
      <c r="S62" s="320">
        <f t="shared" si="647"/>
        <v>7</v>
      </c>
      <c r="T62" s="5"/>
      <c r="U62" s="5">
        <v>7</v>
      </c>
      <c r="V62" s="320">
        <f t="shared" si="648"/>
        <v>0</v>
      </c>
      <c r="W62" s="177"/>
      <c r="X62" s="177"/>
      <c r="Y62" s="176"/>
      <c r="Z62" s="178"/>
      <c r="AA62" s="320">
        <f t="shared" si="649"/>
        <v>0</v>
      </c>
      <c r="AD62" s="320">
        <f t="shared" si="650"/>
        <v>0</v>
      </c>
      <c r="AE62" s="176"/>
      <c r="AF62" s="177"/>
      <c r="AG62" s="176"/>
      <c r="AH62" s="178"/>
      <c r="AJ62" s="12"/>
      <c r="AK62" s="5"/>
      <c r="AL62" s="9"/>
      <c r="AM62" s="358"/>
      <c r="AN62" s="5"/>
      <c r="AO62" s="13"/>
      <c r="AQ62" s="131">
        <v>43</v>
      </c>
      <c r="AR62" s="131">
        <v>3</v>
      </c>
      <c r="AS62" s="191">
        <f t="shared" si="714"/>
        <v>14.333333333333334</v>
      </c>
      <c r="AT62" s="192">
        <v>12.2</v>
      </c>
      <c r="AU62" s="193">
        <v>1</v>
      </c>
      <c r="AV62" s="305">
        <f t="shared" si="715"/>
        <v>174.86666666666667</v>
      </c>
      <c r="AW62" s="131"/>
      <c r="AY62" s="212">
        <f t="shared" si="716"/>
        <v>0</v>
      </c>
      <c r="AZ62" s="213">
        <f t="shared" si="717"/>
        <v>0</v>
      </c>
      <c r="BA62" s="214">
        <f t="shared" si="718"/>
        <v>0</v>
      </c>
      <c r="BB62" s="214">
        <f t="shared" si="719"/>
        <v>0</v>
      </c>
      <c r="BC62" s="212">
        <f t="shared" si="720"/>
        <v>0</v>
      </c>
      <c r="BD62" s="213">
        <f t="shared" si="721"/>
        <v>0</v>
      </c>
      <c r="BE62" s="212">
        <f t="shared" si="722"/>
        <v>0</v>
      </c>
      <c r="BF62" s="213">
        <f t="shared" si="723"/>
        <v>0</v>
      </c>
      <c r="BG62" s="214">
        <f t="shared" si="724"/>
        <v>4.9064274199200959E-2</v>
      </c>
      <c r="BH62" s="214">
        <f t="shared" si="725"/>
        <v>0</v>
      </c>
      <c r="BI62" s="214">
        <f t="shared" si="726"/>
        <v>0</v>
      </c>
      <c r="BJ62" s="213">
        <f t="shared" si="727"/>
        <v>0</v>
      </c>
      <c r="BK62" s="213"/>
      <c r="BL62" s="213"/>
      <c r="BM62" s="213"/>
      <c r="BN62" s="213"/>
      <c r="BO62" s="50"/>
      <c r="BP62" s="217">
        <f t="shared" si="728"/>
        <v>0</v>
      </c>
      <c r="BQ62" s="218">
        <f t="shared" si="729"/>
        <v>0</v>
      </c>
      <c r="BR62" s="217">
        <f t="shared" si="730"/>
        <v>0</v>
      </c>
      <c r="BS62" s="218">
        <f t="shared" si="731"/>
        <v>0</v>
      </c>
      <c r="BT62" s="217">
        <f t="shared" si="732"/>
        <v>0</v>
      </c>
      <c r="BU62" s="218">
        <f t="shared" si="733"/>
        <v>0</v>
      </c>
      <c r="BV62" s="217">
        <f t="shared" si="734"/>
        <v>0</v>
      </c>
      <c r="BW62" s="218">
        <f t="shared" si="735"/>
        <v>0</v>
      </c>
      <c r="BX62" s="217">
        <f t="shared" si="736"/>
        <v>8.5797060816336082</v>
      </c>
      <c r="BY62" s="218">
        <f t="shared" si="737"/>
        <v>0</v>
      </c>
      <c r="BZ62" s="217">
        <f t="shared" si="738"/>
        <v>0</v>
      </c>
      <c r="CA62" s="218">
        <f t="shared" si="739"/>
        <v>0</v>
      </c>
      <c r="CB62" s="217">
        <f t="shared" si="740"/>
        <v>0</v>
      </c>
      <c r="CC62" s="218">
        <f t="shared" si="741"/>
        <v>0</v>
      </c>
      <c r="CD62" s="217">
        <f t="shared" si="742"/>
        <v>0</v>
      </c>
      <c r="CE62" s="218">
        <f t="shared" si="743"/>
        <v>0</v>
      </c>
      <c r="CG62" s="176"/>
      <c r="CH62" s="177"/>
      <c r="CI62" s="177"/>
      <c r="CJ62" s="177"/>
      <c r="CK62" s="177"/>
      <c r="CL62" s="177"/>
      <c r="CM62" s="177"/>
      <c r="CN62" s="177"/>
      <c r="CO62" s="177"/>
      <c r="CP62" s="177"/>
      <c r="CQ62" s="177"/>
      <c r="CR62" s="178"/>
      <c r="CS62" s="176"/>
      <c r="CT62" s="178"/>
      <c r="CU62" s="177"/>
      <c r="CV62" s="178"/>
      <c r="CX62" s="131"/>
      <c r="CZ62" s="176"/>
      <c r="DA62" s="177"/>
      <c r="DB62" s="177"/>
      <c r="DC62" s="177"/>
      <c r="DD62" s="177"/>
      <c r="DE62" s="177"/>
      <c r="DF62" s="177"/>
      <c r="DG62" s="177"/>
      <c r="DH62" s="177"/>
      <c r="DI62" s="177"/>
      <c r="DJ62" s="177"/>
      <c r="DK62" s="178"/>
      <c r="DL62" s="176"/>
      <c r="DM62" s="178"/>
      <c r="DN62" s="176"/>
      <c r="DO62" s="178"/>
      <c r="DQ62" s="32"/>
      <c r="DR62" s="34"/>
      <c r="DS62" s="32"/>
      <c r="DT62" s="33"/>
      <c r="DU62" s="34"/>
      <c r="DV62" s="34"/>
      <c r="DW62" s="32"/>
      <c r="DX62" s="33"/>
      <c r="DY62" s="34"/>
      <c r="DZ62" s="34"/>
      <c r="EA62" s="32"/>
      <c r="EB62" s="33"/>
      <c r="EC62" s="34"/>
      <c r="ED62" s="34"/>
      <c r="EE62" s="34"/>
      <c r="EF62" s="32"/>
      <c r="EG62" s="33"/>
      <c r="EH62" s="34"/>
      <c r="EI62" s="33"/>
    </row>
    <row r="63" spans="1:139" x14ac:dyDescent="0.25">
      <c r="A63" s="196"/>
      <c r="B63" s="189"/>
      <c r="C63" s="196"/>
      <c r="D63" s="202">
        <f t="shared" ref="D63:AH63" si="776">SUM(D56:D62)</f>
        <v>109</v>
      </c>
      <c r="E63" s="202"/>
      <c r="F63" s="202"/>
      <c r="G63" s="203">
        <f t="shared" si="776"/>
        <v>613.71</v>
      </c>
      <c r="H63" s="202">
        <f t="shared" si="776"/>
        <v>0</v>
      </c>
      <c r="I63" s="202">
        <f t="shared" si="776"/>
        <v>0</v>
      </c>
      <c r="J63" s="202">
        <f t="shared" si="776"/>
        <v>0</v>
      </c>
      <c r="K63" s="202">
        <f t="shared" si="776"/>
        <v>0</v>
      </c>
      <c r="L63" s="204">
        <f t="shared" si="776"/>
        <v>0</v>
      </c>
      <c r="M63" s="202">
        <f t="shared" si="776"/>
        <v>0</v>
      </c>
      <c r="N63" s="204">
        <f t="shared" si="776"/>
        <v>0</v>
      </c>
      <c r="O63" s="202">
        <f t="shared" si="776"/>
        <v>0</v>
      </c>
      <c r="P63" s="204">
        <f t="shared" si="776"/>
        <v>0</v>
      </c>
      <c r="Q63" s="202">
        <f t="shared" si="776"/>
        <v>0</v>
      </c>
      <c r="R63" s="204">
        <f t="shared" si="776"/>
        <v>0</v>
      </c>
      <c r="S63" s="202">
        <f t="shared" si="776"/>
        <v>27</v>
      </c>
      <c r="T63" s="205">
        <f t="shared" si="776"/>
        <v>2</v>
      </c>
      <c r="U63" s="205">
        <f t="shared" si="776"/>
        <v>25</v>
      </c>
      <c r="V63" s="203">
        <f t="shared" si="776"/>
        <v>1</v>
      </c>
      <c r="W63" s="205">
        <f t="shared" si="776"/>
        <v>0</v>
      </c>
      <c r="X63" s="205">
        <f t="shared" si="776"/>
        <v>1</v>
      </c>
      <c r="Y63" s="202">
        <f t="shared" si="776"/>
        <v>2</v>
      </c>
      <c r="Z63" s="204">
        <f t="shared" si="776"/>
        <v>2</v>
      </c>
      <c r="AA63" s="202">
        <f t="shared" si="776"/>
        <v>0</v>
      </c>
      <c r="AB63" s="202">
        <f t="shared" si="776"/>
        <v>0</v>
      </c>
      <c r="AC63" s="205">
        <f t="shared" si="776"/>
        <v>0</v>
      </c>
      <c r="AD63" s="202">
        <f t="shared" si="776"/>
        <v>0</v>
      </c>
      <c r="AE63" s="202">
        <f t="shared" si="776"/>
        <v>0</v>
      </c>
      <c r="AF63" s="205">
        <f t="shared" si="776"/>
        <v>0</v>
      </c>
      <c r="AG63" s="202">
        <f t="shared" si="776"/>
        <v>0</v>
      </c>
      <c r="AH63" s="204">
        <f t="shared" si="776"/>
        <v>0</v>
      </c>
      <c r="AI63" s="357"/>
      <c r="AJ63" s="12"/>
      <c r="AK63" s="5"/>
      <c r="AL63" s="9"/>
      <c r="AM63" s="358"/>
      <c r="AN63" s="5"/>
      <c r="AO63" s="13"/>
      <c r="AQ63" s="131"/>
      <c r="AR63" s="131"/>
      <c r="AS63" s="191"/>
      <c r="AT63" s="192"/>
      <c r="AU63" s="193"/>
      <c r="AV63" s="194">
        <f>AVERAGE(AV56:AV60)*5+AVERAGE(AV61:AV62)*2</f>
        <v>666.80000000000007</v>
      </c>
      <c r="AW63" s="131"/>
      <c r="AY63" s="212"/>
      <c r="AZ63" s="213"/>
      <c r="BA63" s="214"/>
      <c r="BB63" s="214"/>
      <c r="BC63" s="212"/>
      <c r="BD63" s="213"/>
      <c r="BE63" s="212"/>
      <c r="BF63" s="213"/>
      <c r="BG63" s="214"/>
      <c r="BH63" s="214"/>
      <c r="BI63" s="214"/>
      <c r="BJ63" s="213"/>
      <c r="BK63" s="156"/>
      <c r="BL63" s="156"/>
      <c r="BM63" s="156"/>
      <c r="BN63" s="156"/>
      <c r="BO63" s="50"/>
      <c r="BP63" s="217"/>
      <c r="BQ63" s="218"/>
      <c r="BR63" s="217"/>
      <c r="BS63" s="218"/>
      <c r="BT63" s="217"/>
      <c r="BU63" s="218"/>
      <c r="BV63" s="217"/>
      <c r="BW63" s="218"/>
      <c r="BX63" s="217"/>
      <c r="BY63" s="218"/>
      <c r="BZ63" s="217"/>
      <c r="CA63" s="218"/>
      <c r="CB63" s="510"/>
      <c r="CC63" s="354"/>
      <c r="CD63" s="354"/>
      <c r="CE63" s="511"/>
      <c r="CG63" s="219"/>
      <c r="CH63" s="220"/>
      <c r="CI63" s="220"/>
      <c r="CJ63" s="220"/>
      <c r="CK63" s="220"/>
      <c r="CL63" s="220"/>
      <c r="CM63" s="220"/>
      <c r="CN63" s="220"/>
      <c r="CO63" s="220"/>
      <c r="CP63" s="220"/>
      <c r="CQ63" s="220"/>
      <c r="CR63" s="221"/>
      <c r="CS63" s="219"/>
      <c r="CT63" s="220"/>
      <c r="CU63" s="220"/>
      <c r="CV63" s="221"/>
      <c r="CX63" s="222"/>
      <c r="CZ63" s="226">
        <f t="shared" ref="CZ63:DO63" si="777">CZ61+CZ56</f>
        <v>0</v>
      </c>
      <c r="DA63" s="227">
        <f t="shared" si="777"/>
        <v>0</v>
      </c>
      <c r="DB63" s="227">
        <f t="shared" si="777"/>
        <v>0</v>
      </c>
      <c r="DC63" s="227">
        <f t="shared" si="777"/>
        <v>0</v>
      </c>
      <c r="DD63" s="227">
        <f t="shared" si="777"/>
        <v>0</v>
      </c>
      <c r="DE63" s="227">
        <f t="shared" si="777"/>
        <v>0</v>
      </c>
      <c r="DF63" s="227">
        <f t="shared" si="777"/>
        <v>0</v>
      </c>
      <c r="DG63" s="227">
        <f t="shared" si="777"/>
        <v>0</v>
      </c>
      <c r="DH63" s="227">
        <f t="shared" si="777"/>
        <v>29.308223910948289</v>
      </c>
      <c r="DI63" s="227">
        <f t="shared" si="777"/>
        <v>0.61248527679623088</v>
      </c>
      <c r="DJ63" s="227">
        <f t="shared" si="777"/>
        <v>0</v>
      </c>
      <c r="DK63" s="228">
        <f t="shared" si="777"/>
        <v>0</v>
      </c>
      <c r="DL63" s="226">
        <f t="shared" si="777"/>
        <v>0</v>
      </c>
      <c r="DM63" s="228">
        <f t="shared" si="777"/>
        <v>0</v>
      </c>
      <c r="DN63" s="226">
        <f t="shared" si="777"/>
        <v>0</v>
      </c>
      <c r="DO63" s="228">
        <f t="shared" si="777"/>
        <v>0</v>
      </c>
      <c r="DQ63" s="32"/>
      <c r="DR63" s="34"/>
      <c r="DS63" s="32"/>
      <c r="DT63" s="33"/>
      <c r="DU63" s="34"/>
      <c r="DV63" s="34"/>
      <c r="DW63" s="32"/>
      <c r="DX63" s="33"/>
      <c r="DY63" s="34"/>
      <c r="DZ63" s="34"/>
      <c r="EA63" s="32"/>
      <c r="EB63" s="33"/>
      <c r="EC63" s="34"/>
      <c r="ED63" s="34"/>
      <c r="EE63" s="34"/>
      <c r="EF63" s="32"/>
      <c r="EG63" s="33"/>
      <c r="EH63" s="34"/>
      <c r="EI63" s="33"/>
    </row>
    <row r="64" spans="1:139" x14ac:dyDescent="0.25">
      <c r="AJ64" s="12"/>
      <c r="AK64" s="5"/>
      <c r="AL64" s="9"/>
      <c r="AM64" s="358"/>
      <c r="AN64" s="5"/>
      <c r="AO64" s="13"/>
    </row>
    <row r="65" spans="1:139" x14ac:dyDescent="0.25">
      <c r="A65" s="206">
        <f>A56+7</f>
        <v>45922</v>
      </c>
      <c r="B65" s="207" t="s">
        <v>7</v>
      </c>
      <c r="C65" s="585"/>
      <c r="D65" s="593">
        <v>14</v>
      </c>
      <c r="E65" s="520">
        <v>17</v>
      </c>
      <c r="F65" s="41">
        <v>51.43</v>
      </c>
      <c r="G65" s="215">
        <v>84.28</v>
      </c>
      <c r="H65" s="586">
        <f t="shared" ref="H65:H71" si="778">I65+J65</f>
        <v>0</v>
      </c>
      <c r="I65" s="208">
        <f t="shared" ref="I65:I71" si="779">K65+M65+Q65</f>
        <v>0</v>
      </c>
      <c r="J65" s="208">
        <f t="shared" ref="J65:J71" si="780">L65+N65+R65</f>
        <v>0</v>
      </c>
      <c r="K65" s="41"/>
      <c r="L65" s="42"/>
      <c r="M65" s="41"/>
      <c r="N65" s="42"/>
      <c r="O65" s="165"/>
      <c r="P65" s="165"/>
      <c r="Q65" s="41"/>
      <c r="R65" s="42"/>
      <c r="S65" s="319">
        <f t="shared" ref="S65:S71" si="781">T65+U65</f>
        <v>4</v>
      </c>
      <c r="T65" s="41">
        <v>2</v>
      </c>
      <c r="U65" s="165">
        <v>2</v>
      </c>
      <c r="V65" s="319">
        <f t="shared" ref="V65:V71" si="782">W65+X65</f>
        <v>0</v>
      </c>
      <c r="W65" s="165"/>
      <c r="X65" s="42"/>
      <c r="Y65" s="41">
        <v>7</v>
      </c>
      <c r="Z65" s="42"/>
      <c r="AA65" s="319">
        <f t="shared" ref="AA65:AA71" si="783">AB65+AC65</f>
        <v>0</v>
      </c>
      <c r="AB65" s="165"/>
      <c r="AC65" s="165"/>
      <c r="AD65" s="319">
        <f t="shared" ref="AD65:AD71" si="784">AE65+AF65</f>
        <v>0</v>
      </c>
      <c r="AE65" s="41"/>
      <c r="AF65" s="165"/>
      <c r="AG65" s="41"/>
      <c r="AH65" s="42"/>
      <c r="AJ65" s="12"/>
      <c r="AK65" s="5"/>
      <c r="AL65" s="9"/>
      <c r="AM65" s="358"/>
      <c r="AN65" s="5"/>
      <c r="AO65" s="13"/>
      <c r="AQ65" s="28">
        <v>17</v>
      </c>
      <c r="AR65" s="28">
        <v>3</v>
      </c>
      <c r="AS65" s="570">
        <f t="shared" ref="AS65:AS71" si="785">AQ65/AR65</f>
        <v>5.666666666666667</v>
      </c>
      <c r="AT65" s="179">
        <v>12.2</v>
      </c>
      <c r="AU65" s="590">
        <v>1</v>
      </c>
      <c r="AV65" s="154">
        <f t="shared" ref="AV65:AV71" si="786">AT65*AS65*AU65</f>
        <v>69.13333333333334</v>
      </c>
      <c r="AW65" s="28"/>
      <c r="AY65" s="155">
        <f t="shared" ref="AY65" si="787">H65/G65</f>
        <v>0</v>
      </c>
      <c r="AZ65" s="156">
        <f t="shared" ref="AZ65" si="788">I65/G65</f>
        <v>0</v>
      </c>
      <c r="BA65" s="127">
        <f t="shared" ref="BA65" si="789">(K65+L65)/$G65</f>
        <v>0</v>
      </c>
      <c r="BB65" s="127">
        <f t="shared" ref="BB65" si="790">K65/$G65</f>
        <v>0</v>
      </c>
      <c r="BC65" s="155">
        <f t="shared" ref="BC65" si="791">(M65+N65)/$G65</f>
        <v>0</v>
      </c>
      <c r="BD65" s="156">
        <f t="shared" ref="BD65" si="792">M65/$G65</f>
        <v>0</v>
      </c>
      <c r="BE65" s="155">
        <f t="shared" ref="BE65" si="793">(Q65+R65)/$G65</f>
        <v>0</v>
      </c>
      <c r="BF65" s="156">
        <f t="shared" ref="BF65" si="794">Q65/$G65</f>
        <v>0</v>
      </c>
      <c r="BG65" s="127">
        <f t="shared" ref="BG65" si="795">S65/$G65</f>
        <v>4.7460844803037493E-2</v>
      </c>
      <c r="BH65" s="127">
        <f t="shared" ref="BH65" si="796">V65/$G65</f>
        <v>0</v>
      </c>
      <c r="BI65" s="127">
        <f t="shared" ref="BI65" si="797">AA65/$G65</f>
        <v>0</v>
      </c>
      <c r="BJ65" s="156">
        <f t="shared" ref="BJ65" si="798">AH65/$G65</f>
        <v>0</v>
      </c>
      <c r="BK65" s="210"/>
      <c r="BL65" s="210"/>
      <c r="BM65" s="210"/>
      <c r="BN65" s="210"/>
      <c r="BO65" s="50"/>
      <c r="BP65" s="51">
        <f t="shared" ref="BP65" si="799">AY65*$AV65</f>
        <v>0</v>
      </c>
      <c r="BQ65" s="157">
        <f t="shared" ref="BQ65" si="800">AZ65*$AV65</f>
        <v>0</v>
      </c>
      <c r="BR65" s="51">
        <f t="shared" ref="BR65" si="801">BA65*$AV65</f>
        <v>0</v>
      </c>
      <c r="BS65" s="157">
        <f t="shared" ref="BS65" si="802">BB65*$AV65</f>
        <v>0</v>
      </c>
      <c r="BT65" s="51">
        <f t="shared" ref="BT65" si="803">BC65*$AV65</f>
        <v>0</v>
      </c>
      <c r="BU65" s="157">
        <f t="shared" ref="BU65" si="804">BD65*$AV65</f>
        <v>0</v>
      </c>
      <c r="BV65" s="51">
        <f t="shared" ref="BV65" si="805">BE65*$AV65</f>
        <v>0</v>
      </c>
      <c r="BW65" s="157">
        <f t="shared" ref="BW65" si="806">BF65*$AV65</f>
        <v>0</v>
      </c>
      <c r="BX65" s="51">
        <f t="shared" ref="BX65" si="807">BG65*$AV65</f>
        <v>3.2811264040499921</v>
      </c>
      <c r="BY65" s="157">
        <f t="shared" ref="BY65" si="808">BH65*$AV65</f>
        <v>0</v>
      </c>
      <c r="BZ65" s="51">
        <f t="shared" ref="BZ65" si="809">BI65*$AV65</f>
        <v>0</v>
      </c>
      <c r="CA65" s="157">
        <f t="shared" ref="CA65" si="810">BJ65*$AV65</f>
        <v>0</v>
      </c>
      <c r="CB65" s="51">
        <f t="shared" ref="CB65" si="811">BK65*$AV65</f>
        <v>0</v>
      </c>
      <c r="CC65" s="157">
        <f t="shared" ref="CC65" si="812">BL65*$AV65</f>
        <v>0</v>
      </c>
      <c r="CD65" s="51">
        <f t="shared" ref="CD65" si="813">BM65*$AV65</f>
        <v>0</v>
      </c>
      <c r="CE65" s="157">
        <f t="shared" ref="CE65" si="814">BN65*$AV65</f>
        <v>0</v>
      </c>
      <c r="CG65" s="215">
        <f t="shared" ref="CG65" si="815">AVERAGE(BP65:BP69)</f>
        <v>0.17230944497846132</v>
      </c>
      <c r="CH65" s="175">
        <f t="shared" ref="CH65" si="816">AVERAGE(BQ65:BQ69)</f>
        <v>0</v>
      </c>
      <c r="CI65" s="175">
        <f t="shared" ref="CI65" si="817">AVERAGE(BR65:BR69)</f>
        <v>0</v>
      </c>
      <c r="CJ65" s="175">
        <f t="shared" ref="CJ65" si="818">AVERAGE(BS65:BS69)</f>
        <v>0</v>
      </c>
      <c r="CK65" s="175">
        <f t="shared" ref="CK65" si="819">AVERAGE(BT65:BT69)</f>
        <v>0</v>
      </c>
      <c r="CL65" s="175">
        <f t="shared" ref="CL65" si="820">AVERAGE(BU65:BU69)</f>
        <v>0</v>
      </c>
      <c r="CM65" s="175">
        <f t="shared" ref="CM65" si="821">AVERAGE(BV65:BV69)</f>
        <v>0.17230944497846132</v>
      </c>
      <c r="CN65" s="175">
        <f t="shared" ref="CN65" si="822">AVERAGE(BW65:BW69)</f>
        <v>0</v>
      </c>
      <c r="CO65" s="175">
        <f t="shared" ref="CO65" si="823">AVERAGE(BX65:BX69)</f>
        <v>4.1435909572015603</v>
      </c>
      <c r="CP65" s="175">
        <f t="shared" ref="CP65" si="824">AVERAGE(BY65:BY69)</f>
        <v>0.7399991963041177</v>
      </c>
      <c r="CQ65" s="175">
        <f t="shared" ref="CQ65" si="825">AVERAGE(BZ65:BZ69)</f>
        <v>0</v>
      </c>
      <c r="CR65" s="216">
        <f t="shared" ref="CR65" si="826">AVERAGE(CA65:CA69)</f>
        <v>0</v>
      </c>
      <c r="CS65" s="215">
        <f t="shared" ref="CS65" si="827">AVERAGE(CB65:CB69)</f>
        <v>0</v>
      </c>
      <c r="CT65" s="216">
        <f t="shared" ref="CT65" si="828">AVERAGE(CC65:CC69)</f>
        <v>0</v>
      </c>
      <c r="CU65" s="175">
        <f t="shared" ref="CU65" si="829">AVERAGE(CD65:CD69)</f>
        <v>0</v>
      </c>
      <c r="CV65" s="216">
        <f t="shared" ref="CV65" si="830">AVERAGE(CE65:CE69)</f>
        <v>0</v>
      </c>
      <c r="CX65" s="56">
        <v>5</v>
      </c>
      <c r="CZ65" s="223">
        <f t="shared" ref="CZ65" si="831">CG65*$CX65</f>
        <v>0.86154722489230662</v>
      </c>
      <c r="DA65" s="159">
        <f t="shared" ref="DA65" si="832">CH65*$CX65</f>
        <v>0</v>
      </c>
      <c r="DB65" s="159">
        <f t="shared" ref="DB65" si="833">CI65*$CX65</f>
        <v>0</v>
      </c>
      <c r="DC65" s="159">
        <f t="shared" ref="DC65" si="834">CJ65*$CX65</f>
        <v>0</v>
      </c>
      <c r="DD65" s="159">
        <f t="shared" ref="DD65" si="835">CK65*$CX65</f>
        <v>0</v>
      </c>
      <c r="DE65" s="159">
        <f t="shared" ref="DE65" si="836">CL65*$CX65</f>
        <v>0</v>
      </c>
      <c r="DF65" s="159">
        <f t="shared" ref="DF65" si="837">CM65*$CX65</f>
        <v>0.86154722489230662</v>
      </c>
      <c r="DG65" s="159">
        <f t="shared" ref="DG65" si="838">CN65*$CX65</f>
        <v>0</v>
      </c>
      <c r="DH65" s="159">
        <f t="shared" ref="DH65" si="839">CO65*$CX65</f>
        <v>20.717954786007802</v>
      </c>
      <c r="DI65" s="159">
        <f t="shared" ref="DI65" si="840">CP65*$CX65</f>
        <v>3.6999959815205887</v>
      </c>
      <c r="DJ65" s="159">
        <f t="shared" ref="DJ65" si="841">CQ65*$CX65</f>
        <v>0</v>
      </c>
      <c r="DK65" s="224">
        <f t="shared" ref="DK65" si="842">CR65*$CX65</f>
        <v>0</v>
      </c>
      <c r="DL65" s="223">
        <f t="shared" ref="DL65" si="843">CS65*$CX65</f>
        <v>0</v>
      </c>
      <c r="DM65" s="224">
        <f t="shared" ref="DM65" si="844">CT65*$CX65</f>
        <v>0</v>
      </c>
      <c r="DN65" s="223">
        <f t="shared" ref="DN65" si="845">CU65*$CX65</f>
        <v>0</v>
      </c>
      <c r="DO65" s="224">
        <f t="shared" ref="DO65" si="846">CV65*$CX65</f>
        <v>0</v>
      </c>
      <c r="DQ65" s="130"/>
      <c r="DR65" s="229"/>
      <c r="DS65" s="130"/>
      <c r="DT65" s="230"/>
      <c r="DU65" s="229"/>
      <c r="DV65" s="229"/>
      <c r="DW65" s="130"/>
      <c r="DX65" s="230"/>
      <c r="DY65" s="229"/>
      <c r="DZ65" s="229"/>
      <c r="EA65" s="130"/>
      <c r="EB65" s="230"/>
      <c r="EC65" s="229"/>
      <c r="ED65" s="229"/>
      <c r="EE65" s="229"/>
      <c r="EF65" s="130"/>
      <c r="EG65" s="230"/>
      <c r="EH65" s="229"/>
      <c r="EI65" s="230"/>
    </row>
    <row r="66" spans="1:139" ht="15" customHeight="1" x14ac:dyDescent="0.25">
      <c r="A66" s="195">
        <f t="shared" ref="A66:A71" si="847">A65+1</f>
        <v>45923</v>
      </c>
      <c r="B66" s="589" t="s">
        <v>94</v>
      </c>
      <c r="C66" s="588"/>
      <c r="D66" s="594">
        <v>12</v>
      </c>
      <c r="E66" s="260">
        <v>17</v>
      </c>
      <c r="F66" s="45">
        <v>43.45</v>
      </c>
      <c r="G66" s="51">
        <v>67.22</v>
      </c>
      <c r="H66" s="568">
        <f t="shared" si="778"/>
        <v>0</v>
      </c>
      <c r="I66" s="169">
        <f t="shared" si="779"/>
        <v>0</v>
      </c>
      <c r="J66" s="169">
        <f t="shared" si="780"/>
        <v>0</v>
      </c>
      <c r="K66" s="45"/>
      <c r="L66" s="151"/>
      <c r="M66" s="45"/>
      <c r="N66" s="151"/>
      <c r="Q66" s="45"/>
      <c r="R66" s="151"/>
      <c r="S66" s="320">
        <f t="shared" si="781"/>
        <v>4</v>
      </c>
      <c r="T66" s="27">
        <v>2</v>
      </c>
      <c r="U66" s="27">
        <v>2</v>
      </c>
      <c r="V66" s="320">
        <f t="shared" si="782"/>
        <v>0</v>
      </c>
      <c r="Y66" s="45"/>
      <c r="Z66" s="151"/>
      <c r="AA66" s="320">
        <f t="shared" si="783"/>
        <v>0</v>
      </c>
      <c r="AD66" s="320">
        <f t="shared" si="784"/>
        <v>0</v>
      </c>
      <c r="AE66" s="45"/>
      <c r="AG66" s="45"/>
      <c r="AH66" s="151"/>
      <c r="AJ66" s="132"/>
      <c r="AL66" s="45"/>
      <c r="AM66" s="151"/>
      <c r="AO66" s="582"/>
      <c r="AQ66" s="50">
        <v>17</v>
      </c>
      <c r="AR66" s="50">
        <v>3</v>
      </c>
      <c r="AS66" s="571">
        <f t="shared" si="785"/>
        <v>5.666666666666667</v>
      </c>
      <c r="AT66" s="154">
        <v>12.1</v>
      </c>
      <c r="AU66" s="591">
        <v>1</v>
      </c>
      <c r="AV66" s="154">
        <f t="shared" si="786"/>
        <v>68.566666666666663</v>
      </c>
      <c r="AW66" s="50"/>
      <c r="AY66" s="155">
        <f t="shared" ref="AY66:AY71" si="848">H66/G66</f>
        <v>0</v>
      </c>
      <c r="AZ66" s="156">
        <f t="shared" ref="AZ66:AZ71" si="849">I66/G66</f>
        <v>0</v>
      </c>
      <c r="BA66" s="127">
        <f t="shared" ref="BA66:BA71" si="850">(K66+L66)/$G66</f>
        <v>0</v>
      </c>
      <c r="BB66" s="127">
        <f t="shared" ref="BB66:BB71" si="851">K66/$G66</f>
        <v>0</v>
      </c>
      <c r="BC66" s="155">
        <f t="shared" ref="BC66:BC71" si="852">(M66+N66)/$G66</f>
        <v>0</v>
      </c>
      <c r="BD66" s="156">
        <f t="shared" ref="BD66:BD71" si="853">M66/$G66</f>
        <v>0</v>
      </c>
      <c r="BE66" s="155">
        <f t="shared" ref="BE66:BE71" si="854">(Q66+R66)/$G66</f>
        <v>0</v>
      </c>
      <c r="BF66" s="156">
        <f t="shared" ref="BF66:BF71" si="855">Q66/$G66</f>
        <v>0</v>
      </c>
      <c r="BG66" s="127">
        <f t="shared" ref="BG66:BG71" si="856">S66/$G66</f>
        <v>5.9506099375185958E-2</v>
      </c>
      <c r="BH66" s="127">
        <f t="shared" ref="BH66:BH71" si="857">V66/$G66</f>
        <v>0</v>
      </c>
      <c r="BI66" s="127">
        <f t="shared" ref="BI66:BI71" si="858">AA66/$G66</f>
        <v>0</v>
      </c>
      <c r="BJ66" s="156">
        <f t="shared" ref="BJ66:BJ71" si="859">AH66/$G66</f>
        <v>0</v>
      </c>
      <c r="BK66" s="156"/>
      <c r="BL66" s="156"/>
      <c r="BM66" s="156"/>
      <c r="BN66" s="156"/>
      <c r="BO66" s="50"/>
      <c r="BP66" s="51">
        <f t="shared" ref="BP66:BP71" si="860">AY66*$AV66</f>
        <v>0</v>
      </c>
      <c r="BQ66" s="157">
        <f t="shared" ref="BQ66:BQ71" si="861">AZ66*$AV66</f>
        <v>0</v>
      </c>
      <c r="BR66" s="51">
        <f t="shared" ref="BR66:BR71" si="862">BA66*$AV66</f>
        <v>0</v>
      </c>
      <c r="BS66" s="157">
        <f t="shared" ref="BS66:BS71" si="863">BB66*$AV66</f>
        <v>0</v>
      </c>
      <c r="BT66" s="51">
        <f t="shared" ref="BT66:BT71" si="864">BC66*$AV66</f>
        <v>0</v>
      </c>
      <c r="BU66" s="157">
        <f t="shared" ref="BU66:BU71" si="865">BD66*$AV66</f>
        <v>0</v>
      </c>
      <c r="BV66" s="51">
        <f t="shared" ref="BV66:BV71" si="866">BE66*$AV66</f>
        <v>0</v>
      </c>
      <c r="BW66" s="157">
        <f t="shared" ref="BW66:BW71" si="867">BF66*$AV66</f>
        <v>0</v>
      </c>
      <c r="BX66" s="51">
        <f t="shared" ref="BX66:BX71" si="868">BG66*$AV66</f>
        <v>4.0801348804919169</v>
      </c>
      <c r="BY66" s="157">
        <f t="shared" ref="BY66:BY71" si="869">BH66*$AV66</f>
        <v>0</v>
      </c>
      <c r="BZ66" s="51">
        <f t="shared" ref="BZ66:BZ71" si="870">BI66*$AV66</f>
        <v>0</v>
      </c>
      <c r="CA66" s="157">
        <f t="shared" ref="CA66:CA71" si="871">BJ66*$AV66</f>
        <v>0</v>
      </c>
      <c r="CB66" s="51">
        <f t="shared" ref="CB66:CB71" si="872">BK66*$AV66</f>
        <v>0</v>
      </c>
      <c r="CC66" s="157">
        <f t="shared" ref="CC66:CC71" si="873">BL66*$AV66</f>
        <v>0</v>
      </c>
      <c r="CD66" s="51">
        <f t="shared" ref="CD66:CD71" si="874">BM66*$AV66</f>
        <v>0</v>
      </c>
      <c r="CE66" s="157">
        <f t="shared" ref="CE66:CE71" si="875">BN66*$AV66</f>
        <v>0</v>
      </c>
      <c r="CG66" s="45"/>
      <c r="CR66" s="151"/>
      <c r="CS66" s="45"/>
      <c r="CT66" s="151"/>
      <c r="CV66" s="151"/>
      <c r="CX66" s="50"/>
      <c r="CZ66" s="45"/>
      <c r="DK66" s="151"/>
      <c r="DL66" s="45"/>
      <c r="DM66" s="151"/>
      <c r="DN66" s="45"/>
      <c r="DO66" s="151"/>
      <c r="DQ66" s="45"/>
      <c r="DS66" s="45"/>
      <c r="DT66" s="151"/>
      <c r="DW66" s="45"/>
      <c r="DX66" s="151"/>
      <c r="EA66" s="45"/>
      <c r="EB66" s="151"/>
      <c r="EF66" s="45"/>
      <c r="EG66" s="151"/>
      <c r="EI66" s="151"/>
    </row>
    <row r="67" spans="1:139" x14ac:dyDescent="0.25">
      <c r="A67" s="195">
        <f t="shared" si="847"/>
        <v>45924</v>
      </c>
      <c r="B67" s="158" t="s">
        <v>11</v>
      </c>
      <c r="C67" s="195"/>
      <c r="D67" s="594">
        <v>13</v>
      </c>
      <c r="E67" s="260">
        <v>20</v>
      </c>
      <c r="F67" s="260">
        <v>66.19</v>
      </c>
      <c r="G67" s="579">
        <v>93.63</v>
      </c>
      <c r="H67" s="568">
        <f t="shared" si="778"/>
        <v>1</v>
      </c>
      <c r="I67" s="169">
        <f t="shared" si="779"/>
        <v>0</v>
      </c>
      <c r="J67" s="169">
        <f t="shared" si="780"/>
        <v>1</v>
      </c>
      <c r="K67" s="45"/>
      <c r="L67" s="151"/>
      <c r="M67" s="45"/>
      <c r="N67" s="151"/>
      <c r="Q67" s="45"/>
      <c r="R67" s="151">
        <v>1</v>
      </c>
      <c r="S67" s="320">
        <f t="shared" si="781"/>
        <v>7</v>
      </c>
      <c r="T67" s="27">
        <v>3</v>
      </c>
      <c r="U67" s="168">
        <v>4</v>
      </c>
      <c r="V67" s="320">
        <f t="shared" si="782"/>
        <v>3</v>
      </c>
      <c r="W67" s="77"/>
      <c r="X67" s="168">
        <v>3</v>
      </c>
      <c r="Y67" s="45"/>
      <c r="Z67" s="151"/>
      <c r="AA67" s="320">
        <f t="shared" si="783"/>
        <v>0</v>
      </c>
      <c r="AD67" s="320">
        <f t="shared" si="784"/>
        <v>0</v>
      </c>
      <c r="AE67" s="45"/>
      <c r="AG67" s="45"/>
      <c r="AH67" s="151"/>
      <c r="AJ67" s="580"/>
      <c r="AK67" s="77"/>
      <c r="AL67" s="117"/>
      <c r="AM67" s="149"/>
      <c r="AN67" s="77"/>
      <c r="AO67" s="581"/>
      <c r="AQ67" s="50">
        <v>20</v>
      </c>
      <c r="AR67" s="50">
        <v>3</v>
      </c>
      <c r="AS67" s="571">
        <f t="shared" si="785"/>
        <v>6.666666666666667</v>
      </c>
      <c r="AT67" s="154">
        <v>12.1</v>
      </c>
      <c r="AU67" s="591">
        <v>1</v>
      </c>
      <c r="AV67" s="154">
        <f t="shared" si="786"/>
        <v>80.666666666666671</v>
      </c>
      <c r="AW67" s="50"/>
      <c r="AY67" s="155">
        <f t="shared" ref="AY67" si="876">H67/G67</f>
        <v>1.0680337498664958E-2</v>
      </c>
      <c r="AZ67" s="156">
        <f t="shared" ref="AZ67" si="877">I67/G67</f>
        <v>0</v>
      </c>
      <c r="BA67" s="127">
        <f t="shared" ref="BA67" si="878">(K67+L67)/$G67</f>
        <v>0</v>
      </c>
      <c r="BB67" s="127">
        <f t="shared" ref="BB67" si="879">K67/$G67</f>
        <v>0</v>
      </c>
      <c r="BC67" s="155">
        <f t="shared" ref="BC67" si="880">(M67+N67)/$G67</f>
        <v>0</v>
      </c>
      <c r="BD67" s="156">
        <f t="shared" ref="BD67" si="881">M67/$G67</f>
        <v>0</v>
      </c>
      <c r="BE67" s="155">
        <f t="shared" ref="BE67" si="882">(Q67+R67)/$G67</f>
        <v>1.0680337498664958E-2</v>
      </c>
      <c r="BF67" s="156">
        <f t="shared" ref="BF67" si="883">Q67/$G67</f>
        <v>0</v>
      </c>
      <c r="BG67" s="127">
        <f t="shared" ref="BG67" si="884">S67/$G67</f>
        <v>7.476236249065471E-2</v>
      </c>
      <c r="BH67" s="127">
        <f t="shared" ref="BH67" si="885">V67/$G67</f>
        <v>3.2041012495994878E-2</v>
      </c>
      <c r="BI67" s="127">
        <f t="shared" ref="BI67" si="886">AA67/$G67</f>
        <v>0</v>
      </c>
      <c r="BJ67" s="156">
        <f t="shared" ref="BJ67" si="887">AH67/$G67</f>
        <v>0</v>
      </c>
      <c r="BK67" s="156"/>
      <c r="BL67" s="156"/>
      <c r="BM67" s="156"/>
      <c r="BN67" s="156"/>
      <c r="BO67" s="50"/>
      <c r="BP67" s="51">
        <f t="shared" si="860"/>
        <v>0.86154722489230662</v>
      </c>
      <c r="BQ67" s="157">
        <f t="shared" si="861"/>
        <v>0</v>
      </c>
      <c r="BR67" s="51">
        <f t="shared" si="862"/>
        <v>0</v>
      </c>
      <c r="BS67" s="157">
        <f t="shared" si="863"/>
        <v>0</v>
      </c>
      <c r="BT67" s="51">
        <f t="shared" si="864"/>
        <v>0</v>
      </c>
      <c r="BU67" s="157">
        <f t="shared" si="865"/>
        <v>0</v>
      </c>
      <c r="BV67" s="51">
        <f t="shared" si="866"/>
        <v>0.86154722489230662</v>
      </c>
      <c r="BW67" s="157">
        <f t="shared" si="867"/>
        <v>0</v>
      </c>
      <c r="BX67" s="51">
        <f t="shared" si="868"/>
        <v>6.0308305742461465</v>
      </c>
      <c r="BY67" s="157">
        <f t="shared" si="869"/>
        <v>2.5846416746769201</v>
      </c>
      <c r="BZ67" s="51">
        <f t="shared" si="870"/>
        <v>0</v>
      </c>
      <c r="CA67" s="157">
        <f t="shared" si="871"/>
        <v>0</v>
      </c>
      <c r="CB67" s="51">
        <f t="shared" si="872"/>
        <v>0</v>
      </c>
      <c r="CC67" s="157">
        <f t="shared" si="873"/>
        <v>0</v>
      </c>
      <c r="CD67" s="51">
        <f t="shared" si="874"/>
        <v>0</v>
      </c>
      <c r="CE67" s="157">
        <f t="shared" si="875"/>
        <v>0</v>
      </c>
      <c r="CG67" s="45"/>
      <c r="CR67" s="151"/>
      <c r="CS67" s="45"/>
      <c r="CT67" s="151"/>
      <c r="CV67" s="151"/>
      <c r="CX67" s="50"/>
      <c r="CZ67" s="45"/>
      <c r="DK67" s="151"/>
      <c r="DL67" s="45"/>
      <c r="DM67" s="151"/>
      <c r="DN67" s="45"/>
      <c r="DO67" s="151"/>
      <c r="DQ67" s="117"/>
      <c r="DR67" s="77"/>
      <c r="DS67" s="117"/>
      <c r="DT67" s="149"/>
      <c r="DU67" s="77"/>
      <c r="DV67" s="77"/>
      <c r="DW67" s="117"/>
      <c r="DX67" s="149"/>
      <c r="DY67" s="77"/>
      <c r="DZ67" s="77"/>
      <c r="EA67" s="117"/>
      <c r="EB67" s="149"/>
      <c r="EC67" s="77"/>
      <c r="ED67" s="77"/>
      <c r="EE67" s="77"/>
      <c r="EF67" s="117"/>
      <c r="EG67" s="149"/>
      <c r="EH67" s="77"/>
      <c r="EI67" s="149"/>
    </row>
    <row r="68" spans="1:139" x14ac:dyDescent="0.25">
      <c r="A68" s="195">
        <f t="shared" si="847"/>
        <v>45925</v>
      </c>
      <c r="B68" s="158" t="s">
        <v>95</v>
      </c>
      <c r="C68" s="195"/>
      <c r="D68" s="45">
        <v>15</v>
      </c>
      <c r="E68" s="45">
        <v>23</v>
      </c>
      <c r="F68" s="45">
        <v>116.63</v>
      </c>
      <c r="G68" s="51">
        <v>164.97</v>
      </c>
      <c r="H68" s="568">
        <f t="shared" si="778"/>
        <v>0</v>
      </c>
      <c r="I68" s="169">
        <f t="shared" si="779"/>
        <v>0</v>
      </c>
      <c r="J68" s="169">
        <f t="shared" si="780"/>
        <v>0</v>
      </c>
      <c r="K68" s="45"/>
      <c r="L68" s="151"/>
      <c r="M68" s="45"/>
      <c r="N68" s="151"/>
      <c r="Q68" s="45"/>
      <c r="R68" s="151"/>
      <c r="S68" s="320">
        <f t="shared" si="781"/>
        <v>6</v>
      </c>
      <c r="T68" s="27">
        <v>3</v>
      </c>
      <c r="U68" s="27">
        <v>3</v>
      </c>
      <c r="V68" s="320">
        <f t="shared" si="782"/>
        <v>2</v>
      </c>
      <c r="X68" s="27">
        <v>2</v>
      </c>
      <c r="Y68" s="45">
        <v>1</v>
      </c>
      <c r="Z68" s="151"/>
      <c r="AA68" s="320">
        <f t="shared" si="783"/>
        <v>0</v>
      </c>
      <c r="AD68" s="320">
        <f t="shared" si="784"/>
        <v>0</v>
      </c>
      <c r="AE68" s="45"/>
      <c r="AG68" s="45"/>
      <c r="AH68" s="151"/>
      <c r="AJ68" s="12"/>
      <c r="AK68" s="5"/>
      <c r="AL68" s="9"/>
      <c r="AM68" s="358"/>
      <c r="AN68" s="5"/>
      <c r="AO68" s="13"/>
      <c r="AQ68" s="50">
        <v>23</v>
      </c>
      <c r="AR68" s="50">
        <v>3</v>
      </c>
      <c r="AS68" s="571">
        <f t="shared" si="785"/>
        <v>7.666666666666667</v>
      </c>
      <c r="AT68" s="154">
        <v>12</v>
      </c>
      <c r="AU68" s="591">
        <v>1</v>
      </c>
      <c r="AV68" s="154">
        <f t="shared" si="786"/>
        <v>92</v>
      </c>
      <c r="AW68" s="50"/>
      <c r="AY68" s="155">
        <f t="shared" ref="AY68:AY69" si="888">H68/G68</f>
        <v>0</v>
      </c>
      <c r="AZ68" s="156">
        <f t="shared" ref="AZ68:AZ69" si="889">I68/G68</f>
        <v>0</v>
      </c>
      <c r="BA68" s="127">
        <f t="shared" ref="BA68:BA69" si="890">(K68+L68)/$G68</f>
        <v>0</v>
      </c>
      <c r="BB68" s="127">
        <f t="shared" ref="BB68:BB69" si="891">K68/$G68</f>
        <v>0</v>
      </c>
      <c r="BC68" s="155">
        <f t="shared" ref="BC68:BC69" si="892">(M68+N68)/$G68</f>
        <v>0</v>
      </c>
      <c r="BD68" s="156">
        <f t="shared" ref="BD68:BD69" si="893">M68/$G68</f>
        <v>0</v>
      </c>
      <c r="BE68" s="155">
        <f t="shared" ref="BE68:BE69" si="894">(Q68+R68)/$G68</f>
        <v>0</v>
      </c>
      <c r="BF68" s="156">
        <f t="shared" ref="BF68:BF69" si="895">Q68/$G68</f>
        <v>0</v>
      </c>
      <c r="BG68" s="127">
        <f t="shared" ref="BG68:BG69" si="896">S68/$G68</f>
        <v>3.6370249136206581E-2</v>
      </c>
      <c r="BH68" s="127">
        <f t="shared" ref="BH68:BH69" si="897">V68/$G68</f>
        <v>1.2123416378735527E-2</v>
      </c>
      <c r="BI68" s="127">
        <f t="shared" ref="BI68:BI69" si="898">AA68/$G68</f>
        <v>0</v>
      </c>
      <c r="BJ68" s="156">
        <f t="shared" ref="BJ68:BJ69" si="899">AH68/$G68</f>
        <v>0</v>
      </c>
      <c r="BK68" s="156"/>
      <c r="BL68" s="156"/>
      <c r="BM68" s="156"/>
      <c r="BN68" s="156"/>
      <c r="BO68" s="50"/>
      <c r="BP68" s="51">
        <f t="shared" ref="BP68:BP69" si="900">AY68*$AV68</f>
        <v>0</v>
      </c>
      <c r="BQ68" s="157">
        <f t="shared" ref="BQ68:BQ69" si="901">AZ68*$AV68</f>
        <v>0</v>
      </c>
      <c r="BR68" s="51">
        <f t="shared" ref="BR68:BR69" si="902">BA68*$AV68</f>
        <v>0</v>
      </c>
      <c r="BS68" s="157">
        <f t="shared" ref="BS68:BS69" si="903">BB68*$AV68</f>
        <v>0</v>
      </c>
      <c r="BT68" s="51">
        <f t="shared" ref="BT68:BT69" si="904">BC68*$AV68</f>
        <v>0</v>
      </c>
      <c r="BU68" s="157">
        <f t="shared" ref="BU68:BU69" si="905">BD68*$AV68</f>
        <v>0</v>
      </c>
      <c r="BV68" s="51">
        <f t="shared" ref="BV68:BV69" si="906">BE68*$AV68</f>
        <v>0</v>
      </c>
      <c r="BW68" s="157">
        <f t="shared" ref="BW68:BW69" si="907">BF68*$AV68</f>
        <v>0</v>
      </c>
      <c r="BX68" s="51">
        <f t="shared" ref="BX68:BX69" si="908">BG68*$AV68</f>
        <v>3.3460629205310055</v>
      </c>
      <c r="BY68" s="157">
        <f t="shared" ref="BY68:BY69" si="909">BH68*$AV68</f>
        <v>1.1153543068436684</v>
      </c>
      <c r="BZ68" s="51">
        <f t="shared" ref="BZ68:BZ69" si="910">BI68*$AV68</f>
        <v>0</v>
      </c>
      <c r="CA68" s="157">
        <f t="shared" ref="CA68:CA69" si="911">BJ68*$AV68</f>
        <v>0</v>
      </c>
      <c r="CB68" s="51">
        <f t="shared" ref="CB68:CB69" si="912">BK68*$AV68</f>
        <v>0</v>
      </c>
      <c r="CC68" s="157">
        <f t="shared" ref="CC68:CC69" si="913">BL68*$AV68</f>
        <v>0</v>
      </c>
      <c r="CD68" s="51">
        <f t="shared" ref="CD68:CD69" si="914">BM68*$AV68</f>
        <v>0</v>
      </c>
      <c r="CE68" s="157">
        <f t="shared" ref="CE68:CE69" si="915">BN68*$AV68</f>
        <v>0</v>
      </c>
      <c r="CG68" s="45"/>
      <c r="CR68" s="151"/>
      <c r="CS68" s="45"/>
      <c r="CT68" s="151"/>
      <c r="CV68" s="151"/>
      <c r="CX68" s="50"/>
      <c r="CZ68" s="45"/>
      <c r="DK68" s="151"/>
      <c r="DL68" s="45"/>
      <c r="DM68" s="151"/>
      <c r="DN68" s="45"/>
      <c r="DO68" s="151"/>
      <c r="DQ68" s="117"/>
      <c r="DR68" s="77"/>
      <c r="DS68" s="117"/>
      <c r="DT68" s="149"/>
      <c r="DU68" s="77"/>
      <c r="DV68" s="77"/>
      <c r="DW68" s="117"/>
      <c r="DX68" s="149"/>
      <c r="DY68" s="77"/>
      <c r="DZ68" s="77"/>
      <c r="EA68" s="117"/>
      <c r="EB68" s="149"/>
      <c r="EC68" s="77"/>
      <c r="ED68" s="77"/>
      <c r="EE68" s="77"/>
      <c r="EF68" s="117"/>
      <c r="EG68" s="149"/>
      <c r="EH68" s="77"/>
      <c r="EI68" s="149"/>
    </row>
    <row r="69" spans="1:139" x14ac:dyDescent="0.25">
      <c r="A69" s="195">
        <f t="shared" si="847"/>
        <v>45926</v>
      </c>
      <c r="B69" s="195" t="s">
        <v>13</v>
      </c>
      <c r="C69" s="195"/>
      <c r="D69" s="45">
        <v>18</v>
      </c>
      <c r="E69" s="45">
        <v>25</v>
      </c>
      <c r="F69" s="45">
        <v>70.040000000000006</v>
      </c>
      <c r="G69" s="51">
        <v>99.67</v>
      </c>
      <c r="H69" s="568">
        <f t="shared" si="778"/>
        <v>0</v>
      </c>
      <c r="I69" s="169">
        <f t="shared" si="779"/>
        <v>0</v>
      </c>
      <c r="J69" s="169">
        <f t="shared" si="780"/>
        <v>0</v>
      </c>
      <c r="K69" s="45"/>
      <c r="L69" s="151"/>
      <c r="M69" s="45"/>
      <c r="N69" s="151"/>
      <c r="Q69" s="45"/>
      <c r="R69" s="151"/>
      <c r="S69" s="320">
        <f t="shared" si="781"/>
        <v>4</v>
      </c>
      <c r="T69" s="27">
        <v>2</v>
      </c>
      <c r="U69" s="27">
        <v>2</v>
      </c>
      <c r="V69" s="320">
        <f t="shared" si="782"/>
        <v>0</v>
      </c>
      <c r="Y69" s="45"/>
      <c r="Z69" s="151"/>
      <c r="AA69" s="320">
        <f t="shared" si="783"/>
        <v>0</v>
      </c>
      <c r="AD69" s="320">
        <f t="shared" si="784"/>
        <v>0</v>
      </c>
      <c r="AE69" s="45"/>
      <c r="AG69" s="45"/>
      <c r="AH69" s="151"/>
      <c r="AJ69" s="12"/>
      <c r="AK69" s="5"/>
      <c r="AL69" s="9"/>
      <c r="AM69" s="358"/>
      <c r="AN69" s="5"/>
      <c r="AO69" s="13"/>
      <c r="AQ69" s="50">
        <v>25</v>
      </c>
      <c r="AR69" s="50">
        <v>3</v>
      </c>
      <c r="AS69" s="571">
        <f t="shared" si="785"/>
        <v>8.3333333333333339</v>
      </c>
      <c r="AT69" s="154">
        <v>11.9</v>
      </c>
      <c r="AU69" s="591">
        <v>1</v>
      </c>
      <c r="AV69" s="154">
        <f t="shared" si="786"/>
        <v>99.166666666666671</v>
      </c>
      <c r="AW69" s="50"/>
      <c r="AY69" s="155">
        <f t="shared" si="888"/>
        <v>0</v>
      </c>
      <c r="AZ69" s="156">
        <f t="shared" si="889"/>
        <v>0</v>
      </c>
      <c r="BA69" s="127">
        <f t="shared" si="890"/>
        <v>0</v>
      </c>
      <c r="BB69" s="127">
        <f t="shared" si="891"/>
        <v>0</v>
      </c>
      <c r="BC69" s="155">
        <f t="shared" si="892"/>
        <v>0</v>
      </c>
      <c r="BD69" s="156">
        <f t="shared" si="893"/>
        <v>0</v>
      </c>
      <c r="BE69" s="155">
        <f t="shared" si="894"/>
        <v>0</v>
      </c>
      <c r="BF69" s="156">
        <f t="shared" si="895"/>
        <v>0</v>
      </c>
      <c r="BG69" s="127">
        <f t="shared" si="896"/>
        <v>4.0132437042239393E-2</v>
      </c>
      <c r="BH69" s="127">
        <f t="shared" si="897"/>
        <v>0</v>
      </c>
      <c r="BI69" s="127">
        <f t="shared" si="898"/>
        <v>0</v>
      </c>
      <c r="BJ69" s="156">
        <f t="shared" si="899"/>
        <v>0</v>
      </c>
      <c r="BK69" s="156"/>
      <c r="BL69" s="156"/>
      <c r="BM69" s="156"/>
      <c r="BN69" s="156"/>
      <c r="BO69" s="50"/>
      <c r="BP69" s="51">
        <f t="shared" si="900"/>
        <v>0</v>
      </c>
      <c r="BQ69" s="157">
        <f t="shared" si="901"/>
        <v>0</v>
      </c>
      <c r="BR69" s="51">
        <f t="shared" si="902"/>
        <v>0</v>
      </c>
      <c r="BS69" s="157">
        <f t="shared" si="903"/>
        <v>0</v>
      </c>
      <c r="BT69" s="51">
        <f t="shared" si="904"/>
        <v>0</v>
      </c>
      <c r="BU69" s="157">
        <f t="shared" si="905"/>
        <v>0</v>
      </c>
      <c r="BV69" s="51">
        <f t="shared" si="906"/>
        <v>0</v>
      </c>
      <c r="BW69" s="157">
        <f t="shared" si="907"/>
        <v>0</v>
      </c>
      <c r="BX69" s="51">
        <f t="shared" si="908"/>
        <v>3.9798000066887398</v>
      </c>
      <c r="BY69" s="157">
        <f t="shared" si="909"/>
        <v>0</v>
      </c>
      <c r="BZ69" s="51">
        <f t="shared" si="910"/>
        <v>0</v>
      </c>
      <c r="CA69" s="157">
        <f t="shared" si="911"/>
        <v>0</v>
      </c>
      <c r="CB69" s="51">
        <f t="shared" si="912"/>
        <v>0</v>
      </c>
      <c r="CC69" s="157">
        <f t="shared" si="913"/>
        <v>0</v>
      </c>
      <c r="CD69" s="51">
        <f t="shared" si="914"/>
        <v>0</v>
      </c>
      <c r="CE69" s="157">
        <f t="shared" si="915"/>
        <v>0</v>
      </c>
      <c r="CG69" s="45"/>
      <c r="CR69" s="151"/>
      <c r="CS69" s="45"/>
      <c r="CT69" s="151"/>
      <c r="CV69" s="151"/>
      <c r="CX69" s="50"/>
      <c r="CZ69" s="45"/>
      <c r="DK69" s="151"/>
      <c r="DL69" s="45"/>
      <c r="DM69" s="151"/>
      <c r="DN69" s="45"/>
      <c r="DO69" s="151"/>
      <c r="DQ69" s="117"/>
      <c r="DR69" s="77"/>
      <c r="DS69" s="117"/>
      <c r="DT69" s="149"/>
      <c r="DU69" s="77"/>
      <c r="DV69" s="77"/>
      <c r="DW69" s="117"/>
      <c r="DX69" s="149"/>
      <c r="DY69" s="77"/>
      <c r="DZ69" s="77"/>
      <c r="EA69" s="117"/>
      <c r="EB69" s="149"/>
      <c r="EC69" s="77"/>
      <c r="ED69" s="77"/>
      <c r="EE69" s="77"/>
      <c r="EF69" s="117"/>
      <c r="EG69" s="149"/>
      <c r="EH69" s="77"/>
      <c r="EI69" s="149"/>
    </row>
    <row r="70" spans="1:139" x14ac:dyDescent="0.25">
      <c r="A70" s="195">
        <f t="shared" si="847"/>
        <v>45927</v>
      </c>
      <c r="B70" s="195" t="s">
        <v>14</v>
      </c>
      <c r="C70" s="195"/>
      <c r="D70" s="594">
        <v>42</v>
      </c>
      <c r="E70" s="260">
        <v>52</v>
      </c>
      <c r="F70" s="260">
        <v>191.28</v>
      </c>
      <c r="G70" s="579">
        <v>238.03</v>
      </c>
      <c r="H70" s="568">
        <f t="shared" si="778"/>
        <v>0</v>
      </c>
      <c r="I70" s="169">
        <f t="shared" si="779"/>
        <v>0</v>
      </c>
      <c r="J70" s="169">
        <f t="shared" si="780"/>
        <v>0</v>
      </c>
      <c r="K70" s="45"/>
      <c r="L70" s="151"/>
      <c r="M70" s="45"/>
      <c r="N70" s="151"/>
      <c r="Q70" s="45"/>
      <c r="R70" s="151"/>
      <c r="S70" s="320">
        <f t="shared" si="781"/>
        <v>12</v>
      </c>
      <c r="T70" s="168"/>
      <c r="U70" s="168">
        <v>12</v>
      </c>
      <c r="V70" s="320">
        <f t="shared" si="782"/>
        <v>2</v>
      </c>
      <c r="W70" s="77"/>
      <c r="X70" s="77">
        <v>2</v>
      </c>
      <c r="Y70" s="45"/>
      <c r="Z70" s="151"/>
      <c r="AA70" s="320">
        <f t="shared" si="783"/>
        <v>0</v>
      </c>
      <c r="AD70" s="320">
        <f t="shared" si="784"/>
        <v>0</v>
      </c>
      <c r="AE70" s="45"/>
      <c r="AG70" s="45"/>
      <c r="AH70" s="151"/>
      <c r="AJ70" s="580"/>
      <c r="AK70" s="77"/>
      <c r="AL70" s="117"/>
      <c r="AM70" s="149"/>
      <c r="AN70" s="77"/>
      <c r="AO70" s="581"/>
      <c r="AQ70" s="50">
        <v>52</v>
      </c>
      <c r="AR70" s="50">
        <v>2</v>
      </c>
      <c r="AS70" s="571">
        <f t="shared" si="785"/>
        <v>26</v>
      </c>
      <c r="AT70" s="154">
        <v>11.9</v>
      </c>
      <c r="AU70" s="591">
        <v>1</v>
      </c>
      <c r="AV70" s="154">
        <f t="shared" si="786"/>
        <v>309.40000000000003</v>
      </c>
      <c r="AW70" s="50"/>
      <c r="AY70" s="155">
        <f t="shared" si="848"/>
        <v>0</v>
      </c>
      <c r="AZ70" s="156">
        <f t="shared" si="849"/>
        <v>0</v>
      </c>
      <c r="BA70" s="127">
        <f t="shared" si="850"/>
        <v>0</v>
      </c>
      <c r="BB70" s="127">
        <f t="shared" si="851"/>
        <v>0</v>
      </c>
      <c r="BC70" s="155">
        <f t="shared" si="852"/>
        <v>0</v>
      </c>
      <c r="BD70" s="156">
        <f t="shared" si="853"/>
        <v>0</v>
      </c>
      <c r="BE70" s="155">
        <f t="shared" si="854"/>
        <v>0</v>
      </c>
      <c r="BF70" s="156">
        <f t="shared" si="855"/>
        <v>0</v>
      </c>
      <c r="BG70" s="127">
        <f t="shared" si="856"/>
        <v>5.0413813384867452E-2</v>
      </c>
      <c r="BH70" s="127">
        <f t="shared" si="857"/>
        <v>8.402302230811242E-3</v>
      </c>
      <c r="BI70" s="127">
        <f t="shared" si="858"/>
        <v>0</v>
      </c>
      <c r="BJ70" s="156">
        <f t="shared" si="859"/>
        <v>0</v>
      </c>
      <c r="BK70" s="156"/>
      <c r="BL70" s="156"/>
      <c r="BM70" s="156"/>
      <c r="BN70" s="156"/>
      <c r="BO70" s="50"/>
      <c r="BP70" s="51">
        <f t="shared" si="860"/>
        <v>0</v>
      </c>
      <c r="BQ70" s="157">
        <f t="shared" si="861"/>
        <v>0</v>
      </c>
      <c r="BR70" s="51">
        <f t="shared" si="862"/>
        <v>0</v>
      </c>
      <c r="BS70" s="157">
        <f t="shared" si="863"/>
        <v>0</v>
      </c>
      <c r="BT70" s="51">
        <f t="shared" si="864"/>
        <v>0</v>
      </c>
      <c r="BU70" s="157">
        <f t="shared" si="865"/>
        <v>0</v>
      </c>
      <c r="BV70" s="51">
        <f t="shared" si="866"/>
        <v>0</v>
      </c>
      <c r="BW70" s="157">
        <f t="shared" si="867"/>
        <v>0</v>
      </c>
      <c r="BX70" s="51">
        <f t="shared" si="868"/>
        <v>15.598033861277992</v>
      </c>
      <c r="BY70" s="157">
        <f t="shared" si="869"/>
        <v>2.5996723102129984</v>
      </c>
      <c r="BZ70" s="51">
        <f t="shared" si="870"/>
        <v>0</v>
      </c>
      <c r="CA70" s="157">
        <f t="shared" si="871"/>
        <v>0</v>
      </c>
      <c r="CB70" s="51">
        <f t="shared" si="872"/>
        <v>0</v>
      </c>
      <c r="CC70" s="157">
        <f t="shared" si="873"/>
        <v>0</v>
      </c>
      <c r="CD70" s="51">
        <f t="shared" si="874"/>
        <v>0</v>
      </c>
      <c r="CE70" s="157">
        <f t="shared" si="875"/>
        <v>0</v>
      </c>
      <c r="CG70" s="51">
        <f t="shared" ref="CG70" si="916">AVERAGE(BP70:BP71)</f>
        <v>0</v>
      </c>
      <c r="CH70" s="126">
        <f t="shared" ref="CH70" si="917">AVERAGE(BQ70:BQ71)</f>
        <v>0</v>
      </c>
      <c r="CI70" s="126">
        <f t="shared" ref="CI70" si="918">AVERAGE(BR70:BR71)</f>
        <v>0</v>
      </c>
      <c r="CJ70" s="126">
        <f t="shared" ref="CJ70" si="919">AVERAGE(BS70:BS71)</f>
        <v>0</v>
      </c>
      <c r="CK70" s="126">
        <f t="shared" ref="CK70" si="920">AVERAGE(BT70:BT71)</f>
        <v>0</v>
      </c>
      <c r="CL70" s="126">
        <f t="shared" ref="CL70" si="921">AVERAGE(BU70:BU71)</f>
        <v>0</v>
      </c>
      <c r="CM70" s="126">
        <f t="shared" ref="CM70" si="922">AVERAGE(BV70:BV71)</f>
        <v>0</v>
      </c>
      <c r="CN70" s="126">
        <f t="shared" ref="CN70" si="923">AVERAGE(BW70:BW71)</f>
        <v>0</v>
      </c>
      <c r="CO70" s="126">
        <f t="shared" ref="CO70" si="924">AVERAGE(BX70:BX71)</f>
        <v>8.8919843405875376</v>
      </c>
      <c r="CP70" s="126">
        <f t="shared" ref="CP70" si="925">AVERAGE(BY70:BY71)</f>
        <v>1.2998361551064992</v>
      </c>
      <c r="CQ70" s="126">
        <f t="shared" ref="CQ70" si="926">AVERAGE(BZ70:BZ71)</f>
        <v>0</v>
      </c>
      <c r="CR70" s="157">
        <f t="shared" ref="CR70" si="927">AVERAGE(CA70:CA71)</f>
        <v>0</v>
      </c>
      <c r="CS70" s="51">
        <f t="shared" ref="CS70" si="928">AVERAGE(CB70:CB71)</f>
        <v>0</v>
      </c>
      <c r="CT70" s="157">
        <f t="shared" ref="CT70" si="929">AVERAGE(CC70:CC71)</f>
        <v>0</v>
      </c>
      <c r="CU70" s="126">
        <f t="shared" ref="CU70" si="930">AVERAGE(CD70:CD71)</f>
        <v>0</v>
      </c>
      <c r="CV70" s="157">
        <f t="shared" ref="CV70" si="931">AVERAGE(CE70:CE71)</f>
        <v>0</v>
      </c>
      <c r="CX70" s="150">
        <v>2</v>
      </c>
      <c r="CZ70" s="225">
        <f t="shared" ref="CZ70" si="932">CG70*$CX70</f>
        <v>0</v>
      </c>
      <c r="DA70" s="160">
        <f t="shared" ref="DA70" si="933">CH70*$CX70</f>
        <v>0</v>
      </c>
      <c r="DB70" s="160">
        <f t="shared" ref="DB70" si="934">CI70*$CX70</f>
        <v>0</v>
      </c>
      <c r="DC70" s="160">
        <f t="shared" ref="DC70" si="935">CJ70*$CX70</f>
        <v>0</v>
      </c>
      <c r="DD70" s="160">
        <f t="shared" ref="DD70" si="936">CK70*$CX70</f>
        <v>0</v>
      </c>
      <c r="DE70" s="160">
        <f t="shared" ref="DE70" si="937">CL70*$CX70</f>
        <v>0</v>
      </c>
      <c r="DF70" s="160">
        <f t="shared" ref="DF70" si="938">CM70*$CX70</f>
        <v>0</v>
      </c>
      <c r="DG70" s="160">
        <f t="shared" ref="DG70" si="939">CN70*$CX70</f>
        <v>0</v>
      </c>
      <c r="DH70" s="160">
        <f t="shared" ref="DH70" si="940">CO70*$CX70</f>
        <v>17.783968681175075</v>
      </c>
      <c r="DI70" s="160">
        <f t="shared" ref="DI70" si="941">CP70*$CX70</f>
        <v>2.5996723102129984</v>
      </c>
      <c r="DJ70" s="160">
        <f t="shared" ref="DJ70" si="942">CQ70*$CX70</f>
        <v>0</v>
      </c>
      <c r="DK70" s="161">
        <f t="shared" ref="DK70" si="943">CR70*$CX70</f>
        <v>0</v>
      </c>
      <c r="DL70" s="225">
        <f t="shared" ref="DL70" si="944">CS70*$CX70</f>
        <v>0</v>
      </c>
      <c r="DM70" s="161">
        <f t="shared" ref="DM70" si="945">CT70*$CX70</f>
        <v>0</v>
      </c>
      <c r="DN70" s="225">
        <f t="shared" ref="DN70" si="946">CU70*$CX70</f>
        <v>0</v>
      </c>
      <c r="DO70" s="161">
        <f t="shared" ref="DO70" si="947">CV70*$CX70</f>
        <v>0</v>
      </c>
      <c r="DQ70" s="117"/>
      <c r="DR70" s="77"/>
      <c r="DS70" s="117"/>
      <c r="DT70" s="149"/>
      <c r="DU70" s="77"/>
      <c r="DV70" s="77">
        <v>1</v>
      </c>
      <c r="DW70" s="117">
        <v>1</v>
      </c>
      <c r="DX70" s="149"/>
      <c r="DY70" s="77"/>
      <c r="DZ70" s="77"/>
      <c r="EA70" s="117"/>
      <c r="EB70" s="149"/>
      <c r="EC70" s="77"/>
      <c r="ED70" s="77"/>
      <c r="EE70" s="77"/>
      <c r="EF70" s="117"/>
      <c r="EG70" s="149"/>
      <c r="EH70" s="77"/>
      <c r="EI70" s="149"/>
    </row>
    <row r="71" spans="1:139" x14ac:dyDescent="0.25">
      <c r="A71" s="334">
        <f t="shared" si="847"/>
        <v>45928</v>
      </c>
      <c r="B71" s="334" t="s">
        <v>15</v>
      </c>
      <c r="C71" s="334"/>
      <c r="D71" s="594">
        <v>25</v>
      </c>
      <c r="E71" s="260">
        <v>27</v>
      </c>
      <c r="F71" s="260">
        <v>118.26</v>
      </c>
      <c r="G71" s="600">
        <v>145.75</v>
      </c>
      <c r="H71" s="569">
        <f t="shared" si="778"/>
        <v>0</v>
      </c>
      <c r="I71" s="323">
        <f t="shared" si="779"/>
        <v>0</v>
      </c>
      <c r="J71" s="323">
        <f t="shared" si="780"/>
        <v>0</v>
      </c>
      <c r="K71" s="176"/>
      <c r="L71" s="178"/>
      <c r="M71" s="176"/>
      <c r="N71" s="178"/>
      <c r="O71" s="177"/>
      <c r="P71" s="177"/>
      <c r="Q71" s="176"/>
      <c r="R71" s="178"/>
      <c r="S71" s="320">
        <f t="shared" si="781"/>
        <v>2</v>
      </c>
      <c r="T71" s="168"/>
      <c r="U71" s="168">
        <v>2</v>
      </c>
      <c r="V71" s="320">
        <f t="shared" si="782"/>
        <v>0</v>
      </c>
      <c r="W71" s="77"/>
      <c r="X71" s="77"/>
      <c r="Y71" s="176"/>
      <c r="Z71" s="178"/>
      <c r="AA71" s="320">
        <f t="shared" si="783"/>
        <v>0</v>
      </c>
      <c r="AD71" s="320">
        <f t="shared" si="784"/>
        <v>0</v>
      </c>
      <c r="AE71" s="176"/>
      <c r="AF71" s="177"/>
      <c r="AG71" s="176"/>
      <c r="AH71" s="178"/>
      <c r="AJ71" s="580"/>
      <c r="AK71" s="77"/>
      <c r="AL71" s="117"/>
      <c r="AM71" s="149"/>
      <c r="AN71" s="77"/>
      <c r="AO71" s="581"/>
      <c r="AQ71" s="50">
        <v>27</v>
      </c>
      <c r="AR71" s="50">
        <v>2</v>
      </c>
      <c r="AS71" s="572">
        <f t="shared" si="785"/>
        <v>13.5</v>
      </c>
      <c r="AT71" s="305">
        <v>11.8</v>
      </c>
      <c r="AU71" s="592">
        <v>1</v>
      </c>
      <c r="AV71" s="305">
        <f t="shared" si="786"/>
        <v>159.30000000000001</v>
      </c>
      <c r="AW71" s="131"/>
      <c r="AY71" s="212">
        <f t="shared" si="848"/>
        <v>0</v>
      </c>
      <c r="AZ71" s="213">
        <f t="shared" si="849"/>
        <v>0</v>
      </c>
      <c r="BA71" s="214">
        <f t="shared" si="850"/>
        <v>0</v>
      </c>
      <c r="BB71" s="214">
        <f t="shared" si="851"/>
        <v>0</v>
      </c>
      <c r="BC71" s="212">
        <f t="shared" si="852"/>
        <v>0</v>
      </c>
      <c r="BD71" s="213">
        <f t="shared" si="853"/>
        <v>0</v>
      </c>
      <c r="BE71" s="212">
        <f t="shared" si="854"/>
        <v>0</v>
      </c>
      <c r="BF71" s="213">
        <f t="shared" si="855"/>
        <v>0</v>
      </c>
      <c r="BG71" s="214">
        <f t="shared" si="856"/>
        <v>1.3722126929674099E-2</v>
      </c>
      <c r="BH71" s="214">
        <f t="shared" si="857"/>
        <v>0</v>
      </c>
      <c r="BI71" s="214">
        <f t="shared" si="858"/>
        <v>0</v>
      </c>
      <c r="BJ71" s="213">
        <f t="shared" si="859"/>
        <v>0</v>
      </c>
      <c r="BK71" s="213"/>
      <c r="BL71" s="213"/>
      <c r="BM71" s="213"/>
      <c r="BN71" s="213"/>
      <c r="BO71" s="50"/>
      <c r="BP71" s="217">
        <f t="shared" si="860"/>
        <v>0</v>
      </c>
      <c r="BQ71" s="218">
        <f t="shared" si="861"/>
        <v>0</v>
      </c>
      <c r="BR71" s="217">
        <f t="shared" si="862"/>
        <v>0</v>
      </c>
      <c r="BS71" s="218">
        <f t="shared" si="863"/>
        <v>0</v>
      </c>
      <c r="BT71" s="217">
        <f t="shared" si="864"/>
        <v>0</v>
      </c>
      <c r="BU71" s="218">
        <f t="shared" si="865"/>
        <v>0</v>
      </c>
      <c r="BV71" s="217">
        <f t="shared" si="866"/>
        <v>0</v>
      </c>
      <c r="BW71" s="218">
        <f t="shared" si="867"/>
        <v>0</v>
      </c>
      <c r="BX71" s="217">
        <f t="shared" si="868"/>
        <v>2.185934819897084</v>
      </c>
      <c r="BY71" s="218">
        <f t="shared" si="869"/>
        <v>0</v>
      </c>
      <c r="BZ71" s="217">
        <f t="shared" si="870"/>
        <v>0</v>
      </c>
      <c r="CA71" s="218">
        <f t="shared" si="871"/>
        <v>0</v>
      </c>
      <c r="CB71" s="217">
        <f t="shared" si="872"/>
        <v>0</v>
      </c>
      <c r="CC71" s="218">
        <f t="shared" si="873"/>
        <v>0</v>
      </c>
      <c r="CD71" s="217">
        <f t="shared" si="874"/>
        <v>0</v>
      </c>
      <c r="CE71" s="218">
        <f t="shared" si="875"/>
        <v>0</v>
      </c>
      <c r="CG71" s="176"/>
      <c r="CH71" s="177"/>
      <c r="CI71" s="177"/>
      <c r="CJ71" s="177"/>
      <c r="CK71" s="177"/>
      <c r="CL71" s="177"/>
      <c r="CM71" s="177"/>
      <c r="CN71" s="177"/>
      <c r="CO71" s="177"/>
      <c r="CP71" s="177"/>
      <c r="CQ71" s="177"/>
      <c r="CR71" s="178"/>
      <c r="CS71" s="176"/>
      <c r="CT71" s="178"/>
      <c r="CU71" s="177"/>
      <c r="CV71" s="178"/>
      <c r="CX71" s="131"/>
      <c r="CZ71" s="176"/>
      <c r="DA71" s="177"/>
      <c r="DB71" s="177"/>
      <c r="DC71" s="177"/>
      <c r="DD71" s="177"/>
      <c r="DE71" s="177"/>
      <c r="DF71" s="177"/>
      <c r="DG71" s="177"/>
      <c r="DH71" s="177"/>
      <c r="DI71" s="177"/>
      <c r="DJ71" s="177"/>
      <c r="DK71" s="178"/>
      <c r="DL71" s="176"/>
      <c r="DM71" s="178"/>
      <c r="DN71" s="176"/>
      <c r="DO71" s="178"/>
      <c r="DQ71" s="32"/>
      <c r="DR71" s="34"/>
      <c r="DS71" s="32"/>
      <c r="DT71" s="33"/>
      <c r="DU71" s="34"/>
      <c r="DV71" s="34"/>
      <c r="DW71" s="32">
        <v>1</v>
      </c>
      <c r="DX71" s="33"/>
      <c r="DY71" s="34"/>
      <c r="DZ71" s="34"/>
      <c r="EA71" s="32"/>
      <c r="EB71" s="33"/>
      <c r="EC71" s="34"/>
      <c r="ED71" s="34"/>
      <c r="EE71" s="34"/>
      <c r="EF71" s="32"/>
      <c r="EG71" s="33"/>
      <c r="EH71" s="34"/>
      <c r="EI71" s="33"/>
    </row>
    <row r="72" spans="1:139" x14ac:dyDescent="0.25">
      <c r="A72" s="196"/>
      <c r="B72" s="189"/>
      <c r="C72" s="196"/>
      <c r="D72" s="202">
        <f t="shared" ref="D72:AH72" si="948">SUM(D65:D71)</f>
        <v>139</v>
      </c>
      <c r="E72" s="202"/>
      <c r="F72" s="202"/>
      <c r="G72" s="203">
        <f t="shared" si="948"/>
        <v>893.55000000000007</v>
      </c>
      <c r="H72" s="202">
        <f t="shared" si="948"/>
        <v>1</v>
      </c>
      <c r="I72" s="202">
        <f t="shared" si="948"/>
        <v>0</v>
      </c>
      <c r="J72" s="202">
        <f t="shared" si="948"/>
        <v>1</v>
      </c>
      <c r="K72" s="202">
        <f t="shared" si="948"/>
        <v>0</v>
      </c>
      <c r="L72" s="204">
        <f t="shared" si="948"/>
        <v>0</v>
      </c>
      <c r="M72" s="202">
        <f t="shared" si="948"/>
        <v>0</v>
      </c>
      <c r="N72" s="204">
        <f t="shared" si="948"/>
        <v>0</v>
      </c>
      <c r="O72" s="202">
        <f t="shared" si="948"/>
        <v>0</v>
      </c>
      <c r="P72" s="204">
        <f t="shared" si="948"/>
        <v>0</v>
      </c>
      <c r="Q72" s="202">
        <f t="shared" si="948"/>
        <v>0</v>
      </c>
      <c r="R72" s="204">
        <f t="shared" si="948"/>
        <v>1</v>
      </c>
      <c r="S72" s="202">
        <f t="shared" si="948"/>
        <v>39</v>
      </c>
      <c r="T72" s="205">
        <f t="shared" si="948"/>
        <v>12</v>
      </c>
      <c r="U72" s="205">
        <f t="shared" si="948"/>
        <v>27</v>
      </c>
      <c r="V72" s="203">
        <f t="shared" si="948"/>
        <v>7</v>
      </c>
      <c r="W72" s="205">
        <f t="shared" si="948"/>
        <v>0</v>
      </c>
      <c r="X72" s="205">
        <f t="shared" si="948"/>
        <v>7</v>
      </c>
      <c r="Y72" s="202">
        <f t="shared" si="948"/>
        <v>8</v>
      </c>
      <c r="Z72" s="204">
        <f t="shared" si="948"/>
        <v>0</v>
      </c>
      <c r="AA72" s="202">
        <f t="shared" si="948"/>
        <v>0</v>
      </c>
      <c r="AB72" s="202">
        <f t="shared" si="948"/>
        <v>0</v>
      </c>
      <c r="AC72" s="205">
        <f t="shared" si="948"/>
        <v>0</v>
      </c>
      <c r="AD72" s="202">
        <f t="shared" si="948"/>
        <v>0</v>
      </c>
      <c r="AE72" s="202">
        <f t="shared" si="948"/>
        <v>0</v>
      </c>
      <c r="AF72" s="205">
        <f t="shared" si="948"/>
        <v>0</v>
      </c>
      <c r="AG72" s="202">
        <f t="shared" si="948"/>
        <v>0</v>
      </c>
      <c r="AH72" s="204">
        <f t="shared" si="948"/>
        <v>0</v>
      </c>
      <c r="AI72" s="357"/>
      <c r="AJ72" s="12"/>
      <c r="AK72" s="5"/>
      <c r="AL72" s="9"/>
      <c r="AM72" s="358"/>
      <c r="AN72" s="5"/>
      <c r="AO72" s="13"/>
      <c r="AQ72" s="222"/>
      <c r="AR72" s="222"/>
      <c r="AS72" s="572"/>
      <c r="AT72" s="192"/>
      <c r="AU72" s="193"/>
      <c r="AV72" s="194">
        <f>AVERAGE(AV65:AV69)*5+AVERAGE(AV70:AV71)*2</f>
        <v>878.23333333333335</v>
      </c>
      <c r="AW72" s="131"/>
      <c r="AY72" s="212"/>
      <c r="AZ72" s="213"/>
      <c r="BA72" s="214"/>
      <c r="BB72" s="214"/>
      <c r="BC72" s="212"/>
      <c r="BD72" s="213"/>
      <c r="BE72" s="212"/>
      <c r="BF72" s="213"/>
      <c r="BG72" s="214"/>
      <c r="BH72" s="214"/>
      <c r="BI72" s="214"/>
      <c r="BJ72" s="213"/>
      <c r="BK72" s="156"/>
      <c r="BL72" s="156"/>
      <c r="BM72" s="156"/>
      <c r="BN72" s="156"/>
      <c r="BO72" s="50"/>
      <c r="BP72" s="217"/>
      <c r="BQ72" s="218"/>
      <c r="BR72" s="217"/>
      <c r="BS72" s="218"/>
      <c r="BT72" s="217"/>
      <c r="BU72" s="218"/>
      <c r="BV72" s="217"/>
      <c r="BW72" s="218"/>
      <c r="BX72" s="217"/>
      <c r="BY72" s="218"/>
      <c r="BZ72" s="217"/>
      <c r="CA72" s="218"/>
      <c r="CB72" s="510"/>
      <c r="CC72" s="354"/>
      <c r="CD72" s="354"/>
      <c r="CE72" s="511"/>
      <c r="CG72" s="219"/>
      <c r="CH72" s="220"/>
      <c r="CI72" s="220"/>
      <c r="CJ72" s="220"/>
      <c r="CK72" s="220"/>
      <c r="CL72" s="220"/>
      <c r="CM72" s="220"/>
      <c r="CN72" s="220"/>
      <c r="CO72" s="220"/>
      <c r="CP72" s="220"/>
      <c r="CQ72" s="220"/>
      <c r="CR72" s="221"/>
      <c r="CS72" s="219"/>
      <c r="CT72" s="220"/>
      <c r="CU72" s="220"/>
      <c r="CV72" s="221"/>
      <c r="CX72" s="222"/>
      <c r="CZ72" s="226">
        <f t="shared" ref="CZ72:DO72" si="949">CZ70+CZ65</f>
        <v>0.86154722489230662</v>
      </c>
      <c r="DA72" s="227">
        <f t="shared" si="949"/>
        <v>0</v>
      </c>
      <c r="DB72" s="227">
        <f t="shared" si="949"/>
        <v>0</v>
      </c>
      <c r="DC72" s="227">
        <f t="shared" si="949"/>
        <v>0</v>
      </c>
      <c r="DD72" s="227">
        <f t="shared" si="949"/>
        <v>0</v>
      </c>
      <c r="DE72" s="227">
        <f t="shared" si="949"/>
        <v>0</v>
      </c>
      <c r="DF72" s="227">
        <f t="shared" si="949"/>
        <v>0.86154722489230662</v>
      </c>
      <c r="DG72" s="227">
        <f t="shared" si="949"/>
        <v>0</v>
      </c>
      <c r="DH72" s="227">
        <f t="shared" si="949"/>
        <v>38.501923467182877</v>
      </c>
      <c r="DI72" s="227">
        <f t="shared" si="949"/>
        <v>6.2996682917335871</v>
      </c>
      <c r="DJ72" s="227">
        <f t="shared" si="949"/>
        <v>0</v>
      </c>
      <c r="DK72" s="228">
        <f t="shared" si="949"/>
        <v>0</v>
      </c>
      <c r="DL72" s="226">
        <f t="shared" si="949"/>
        <v>0</v>
      </c>
      <c r="DM72" s="228">
        <f t="shared" si="949"/>
        <v>0</v>
      </c>
      <c r="DN72" s="226">
        <f t="shared" si="949"/>
        <v>0</v>
      </c>
      <c r="DO72" s="228">
        <f t="shared" si="949"/>
        <v>0</v>
      </c>
      <c r="DQ72" s="32"/>
      <c r="DR72" s="34"/>
      <c r="DS72" s="32"/>
      <c r="DT72" s="33"/>
      <c r="DU72" s="34"/>
      <c r="DV72" s="34"/>
      <c r="DW72" s="32"/>
      <c r="DX72" s="33"/>
      <c r="DY72" s="34"/>
      <c r="DZ72" s="34"/>
      <c r="EA72" s="32"/>
      <c r="EB72" s="33"/>
      <c r="EC72" s="34"/>
      <c r="ED72" s="34"/>
      <c r="EE72" s="34"/>
      <c r="EF72" s="32"/>
      <c r="EG72" s="33"/>
      <c r="EH72" s="34"/>
      <c r="EI72" s="33"/>
    </row>
    <row r="73" spans="1:139" x14ac:dyDescent="0.25">
      <c r="AJ73" s="12"/>
      <c r="AK73" s="5"/>
      <c r="AL73" s="9"/>
      <c r="AM73" s="358"/>
      <c r="AN73" s="5"/>
      <c r="AO73" s="13"/>
    </row>
    <row r="74" spans="1:139" x14ac:dyDescent="0.25">
      <c r="A74" s="206">
        <f>A65+7</f>
        <v>45929</v>
      </c>
      <c r="B74" s="207" t="s">
        <v>7</v>
      </c>
      <c r="C74" s="206"/>
      <c r="D74" s="41">
        <v>11</v>
      </c>
      <c r="E74" s="41">
        <v>17</v>
      </c>
      <c r="F74" s="41">
        <v>49.71</v>
      </c>
      <c r="G74" s="179">
        <v>66.8</v>
      </c>
      <c r="H74" s="208">
        <f t="shared" ref="H74:H80" si="950">I74+J74</f>
        <v>0</v>
      </c>
      <c r="I74" s="208">
        <f t="shared" ref="I74:I80" si="951">K74+M74+Q74</f>
        <v>0</v>
      </c>
      <c r="J74" s="208">
        <f t="shared" ref="J74:J80" si="952">L74+N74+R74</f>
        <v>0</v>
      </c>
      <c r="K74" s="41"/>
      <c r="L74" s="42"/>
      <c r="M74" s="41"/>
      <c r="N74" s="42"/>
      <c r="O74" s="165"/>
      <c r="P74" s="165"/>
      <c r="Q74" s="41"/>
      <c r="R74" s="42"/>
      <c r="S74" s="319">
        <f t="shared" ref="S74:S80" si="953">T74+U74</f>
        <v>3</v>
      </c>
      <c r="T74" s="565"/>
      <c r="U74" s="566">
        <v>3</v>
      </c>
      <c r="V74" s="319">
        <f t="shared" ref="V74:V80" si="954">W74+X74</f>
        <v>0</v>
      </c>
      <c r="W74" s="566"/>
      <c r="X74" s="567"/>
      <c r="Y74" s="41">
        <v>1</v>
      </c>
      <c r="Z74" s="42"/>
      <c r="AA74" s="319">
        <f t="shared" ref="AA74:AA80" si="955">AB74+AC74</f>
        <v>0</v>
      </c>
      <c r="AB74" s="165"/>
      <c r="AC74" s="165"/>
      <c r="AD74" s="319">
        <f t="shared" ref="AD74:AD80" si="956">AE74+AF74</f>
        <v>0</v>
      </c>
      <c r="AE74" s="41"/>
      <c r="AF74" s="165"/>
      <c r="AG74" s="41"/>
      <c r="AH74" s="42"/>
      <c r="AJ74" s="12"/>
      <c r="AK74" s="5"/>
      <c r="AL74" s="9"/>
      <c r="AM74" s="358"/>
      <c r="AN74" s="5"/>
      <c r="AO74" s="13"/>
      <c r="AQ74" s="28">
        <v>17</v>
      </c>
      <c r="AR74" s="28">
        <v>3</v>
      </c>
      <c r="AS74" s="146">
        <f t="shared" ref="AS74:AS80" si="957">AQ74/AR74</f>
        <v>5.666666666666667</v>
      </c>
      <c r="AT74" s="359">
        <v>11.7</v>
      </c>
      <c r="AU74" s="190">
        <v>1</v>
      </c>
      <c r="AV74" s="179">
        <f t="shared" ref="AV74:AV80" si="958">AT74*AS74*AU74</f>
        <v>66.3</v>
      </c>
      <c r="AW74" s="28">
        <v>9</v>
      </c>
      <c r="AY74" s="209">
        <f t="shared" ref="AY74:AY80" si="959">H74/G74</f>
        <v>0</v>
      </c>
      <c r="AZ74" s="210">
        <f t="shared" ref="AZ74:AZ80" si="960">I74/G74</f>
        <v>0</v>
      </c>
      <c r="BA74" s="211">
        <f t="shared" ref="BA74:BA80" si="961">(K74+L74)/$G74</f>
        <v>0</v>
      </c>
      <c r="BB74" s="211">
        <f t="shared" ref="BB74:BB80" si="962">K74/$G74</f>
        <v>0</v>
      </c>
      <c r="BC74" s="209">
        <f t="shared" ref="BC74:BC80" si="963">(M74+N74)/$G74</f>
        <v>0</v>
      </c>
      <c r="BD74" s="210">
        <f t="shared" ref="BD74:BD80" si="964">M74/$G74</f>
        <v>0</v>
      </c>
      <c r="BE74" s="209">
        <f t="shared" ref="BE74:BE80" si="965">(Q74+R74)/$G74</f>
        <v>0</v>
      </c>
      <c r="BF74" s="210">
        <f t="shared" ref="BF74:BF80" si="966">Q74/$G74</f>
        <v>0</v>
      </c>
      <c r="BG74" s="211">
        <f t="shared" ref="BG74:BG80" si="967">S74/$G74</f>
        <v>4.4910179640718563E-2</v>
      </c>
      <c r="BH74" s="211">
        <f t="shared" ref="BH74:BH80" si="968">V74/$G74</f>
        <v>0</v>
      </c>
      <c r="BI74" s="211">
        <f t="shared" ref="BI74:BI80" si="969">AA74/$G74</f>
        <v>0</v>
      </c>
      <c r="BJ74" s="210">
        <f t="shared" ref="BJ74:BJ80" si="970">AH74/$G74</f>
        <v>0</v>
      </c>
      <c r="BK74" s="210"/>
      <c r="BL74" s="210"/>
      <c r="BM74" s="210"/>
      <c r="BN74" s="210"/>
      <c r="BO74" s="50"/>
      <c r="BP74" s="215">
        <f t="shared" ref="BP74:BP80" si="971">AY74*$AV74</f>
        <v>0</v>
      </c>
      <c r="BQ74" s="216">
        <f t="shared" ref="BQ74:BQ80" si="972">AZ74*$AV74</f>
        <v>0</v>
      </c>
      <c r="BR74" s="215">
        <f t="shared" ref="BR74:BR80" si="973">BA74*$AV74</f>
        <v>0</v>
      </c>
      <c r="BS74" s="216">
        <f t="shared" ref="BS74:BS80" si="974">BB74*$AV74</f>
        <v>0</v>
      </c>
      <c r="BT74" s="215">
        <f t="shared" ref="BT74:BT80" si="975">BC74*$AV74</f>
        <v>0</v>
      </c>
      <c r="BU74" s="216">
        <f t="shared" ref="BU74:BU80" si="976">BD74*$AV74</f>
        <v>0</v>
      </c>
      <c r="BV74" s="215">
        <f t="shared" ref="BV74:BV80" si="977">BE74*$AV74</f>
        <v>0</v>
      </c>
      <c r="BW74" s="216">
        <f t="shared" ref="BW74:BW80" si="978">BF74*$AV74</f>
        <v>0</v>
      </c>
      <c r="BX74" s="215">
        <f t="shared" ref="BX74:BX80" si="979">BG74*$AV74</f>
        <v>2.9775449101796405</v>
      </c>
      <c r="BY74" s="216">
        <f t="shared" ref="BY74:BY80" si="980">BH74*$AV74</f>
        <v>0</v>
      </c>
      <c r="BZ74" s="215">
        <f t="shared" ref="BZ74:BZ80" si="981">BI74*$AV74</f>
        <v>0</v>
      </c>
      <c r="CA74" s="216">
        <f t="shared" ref="CA74:CA80" si="982">BJ74*$AV74</f>
        <v>0</v>
      </c>
      <c r="CB74" s="215">
        <f t="shared" ref="CB74:CB80" si="983">BK74*$AV74</f>
        <v>0</v>
      </c>
      <c r="CC74" s="216">
        <f t="shared" ref="CC74:CC80" si="984">BL74*$AV74</f>
        <v>0</v>
      </c>
      <c r="CD74" s="215">
        <f t="shared" ref="CD74:CD80" si="985">BM74*$AV74</f>
        <v>0</v>
      </c>
      <c r="CE74" s="216">
        <f t="shared" ref="CE74:CE80" si="986">BN74*$AV74</f>
        <v>0</v>
      </c>
      <c r="CG74" s="215">
        <f t="shared" ref="CG74" si="987">AVERAGE(BP74:BP78)</f>
        <v>0.18566601458296281</v>
      </c>
      <c r="CH74" s="175">
        <f t="shared" ref="CH74" si="988">AVERAGE(BQ74:BQ78)</f>
        <v>0</v>
      </c>
      <c r="CI74" s="175">
        <f t="shared" ref="CI74" si="989">AVERAGE(BR74:BR78)</f>
        <v>0</v>
      </c>
      <c r="CJ74" s="175">
        <f t="shared" ref="CJ74" si="990">AVERAGE(BS74:BS78)</f>
        <v>0</v>
      </c>
      <c r="CK74" s="175">
        <f t="shared" ref="CK74" si="991">AVERAGE(BT74:BT78)</f>
        <v>0</v>
      </c>
      <c r="CL74" s="175">
        <f t="shared" ref="CL74" si="992">AVERAGE(BU74:BU78)</f>
        <v>0</v>
      </c>
      <c r="CM74" s="175">
        <f t="shared" ref="CM74" si="993">AVERAGE(BV74:BV78)</f>
        <v>0.18566601458296281</v>
      </c>
      <c r="CN74" s="175">
        <f t="shared" ref="CN74" si="994">AVERAGE(BW74:BW78)</f>
        <v>0</v>
      </c>
      <c r="CO74" s="175">
        <f t="shared" ref="CO74" si="995">AVERAGE(BX74:BX78)</f>
        <v>5.0665533327918881</v>
      </c>
      <c r="CP74" s="175">
        <f t="shared" ref="CP74" si="996">AVERAGE(BY74:BY78)</f>
        <v>1.095504115285626</v>
      </c>
      <c r="CQ74" s="175">
        <f t="shared" ref="CQ74" si="997">AVERAGE(BZ74:BZ78)</f>
        <v>0</v>
      </c>
      <c r="CR74" s="216">
        <f t="shared" ref="CR74" si="998">AVERAGE(CA74:CA78)</f>
        <v>0</v>
      </c>
      <c r="CS74" s="215">
        <f t="shared" ref="CS74" si="999">AVERAGE(CB74:CB78)</f>
        <v>0</v>
      </c>
      <c r="CT74" s="216">
        <f t="shared" ref="CT74" si="1000">AVERAGE(CC74:CC78)</f>
        <v>0</v>
      </c>
      <c r="CU74" s="175">
        <f t="shared" ref="CU74" si="1001">AVERAGE(CD74:CD78)</f>
        <v>0</v>
      </c>
      <c r="CV74" s="216">
        <f t="shared" ref="CV74" si="1002">AVERAGE(CE74:CE78)</f>
        <v>0</v>
      </c>
      <c r="CX74" s="56">
        <v>5</v>
      </c>
      <c r="CZ74" s="223">
        <f t="shared" ref="CZ74" si="1003">CG74*$CX74</f>
        <v>0.92833007291481406</v>
      </c>
      <c r="DA74" s="159">
        <f t="shared" ref="DA74" si="1004">CH74*$CX74</f>
        <v>0</v>
      </c>
      <c r="DB74" s="159">
        <f t="shared" ref="DB74" si="1005">CI74*$CX74</f>
        <v>0</v>
      </c>
      <c r="DC74" s="159">
        <f t="shared" ref="DC74" si="1006">CJ74*$CX74</f>
        <v>0</v>
      </c>
      <c r="DD74" s="159">
        <f t="shared" ref="DD74" si="1007">CK74*$CX74</f>
        <v>0</v>
      </c>
      <c r="DE74" s="159">
        <f t="shared" ref="DE74" si="1008">CL74*$CX74</f>
        <v>0</v>
      </c>
      <c r="DF74" s="159">
        <f t="shared" ref="DF74" si="1009">CM74*$CX74</f>
        <v>0.92833007291481406</v>
      </c>
      <c r="DG74" s="159">
        <f t="shared" ref="DG74" si="1010">CN74*$CX74</f>
        <v>0</v>
      </c>
      <c r="DH74" s="159">
        <f t="shared" ref="DH74" si="1011">CO74*$CX74</f>
        <v>25.33276666395944</v>
      </c>
      <c r="DI74" s="159">
        <f t="shared" ref="DI74" si="1012">CP74*$CX74</f>
        <v>5.4775205764281303</v>
      </c>
      <c r="DJ74" s="159">
        <f t="shared" ref="DJ74" si="1013">CQ74*$CX74</f>
        <v>0</v>
      </c>
      <c r="DK74" s="224">
        <f t="shared" ref="DK74" si="1014">CR74*$CX74</f>
        <v>0</v>
      </c>
      <c r="DL74" s="223">
        <f t="shared" ref="DL74" si="1015">CS74*$CX74</f>
        <v>0</v>
      </c>
      <c r="DM74" s="224">
        <f t="shared" ref="DM74" si="1016">CT74*$CX74</f>
        <v>0</v>
      </c>
      <c r="DN74" s="223">
        <f t="shared" ref="DN74" si="1017">CU74*$CX74</f>
        <v>0</v>
      </c>
      <c r="DO74" s="224">
        <f t="shared" ref="DO74" si="1018">CV74*$CX74</f>
        <v>0</v>
      </c>
      <c r="DQ74" s="130"/>
      <c r="DR74" s="229"/>
      <c r="DS74" s="130"/>
      <c r="DT74" s="230"/>
      <c r="DU74" s="229"/>
      <c r="DV74" s="229"/>
      <c r="DW74" s="130"/>
      <c r="DX74" s="230"/>
      <c r="DY74" s="229"/>
      <c r="DZ74" s="229"/>
      <c r="EA74" s="130"/>
      <c r="EB74" s="230"/>
      <c r="EC74" s="229"/>
      <c r="ED74" s="229"/>
      <c r="EE74" s="229"/>
      <c r="EF74" s="130"/>
      <c r="EG74" s="230"/>
      <c r="EH74" s="229"/>
      <c r="EI74" s="230"/>
    </row>
    <row r="75" spans="1:139" x14ac:dyDescent="0.25">
      <c r="A75" s="195">
        <f t="shared" ref="A75:A80" si="1019">A74+1</f>
        <v>45930</v>
      </c>
      <c r="B75" s="158" t="s">
        <v>94</v>
      </c>
      <c r="C75" s="195"/>
      <c r="D75" s="45">
        <v>12</v>
      </c>
      <c r="E75" s="45">
        <v>20</v>
      </c>
      <c r="F75" s="45">
        <v>35.020000000000003</v>
      </c>
      <c r="G75" s="154">
        <v>63.1</v>
      </c>
      <c r="H75" s="169">
        <f t="shared" si="950"/>
        <v>0</v>
      </c>
      <c r="I75" s="169">
        <f t="shared" si="951"/>
        <v>0</v>
      </c>
      <c r="J75" s="169">
        <f t="shared" si="952"/>
        <v>0</v>
      </c>
      <c r="K75" s="45"/>
      <c r="L75" s="151"/>
      <c r="M75" s="45"/>
      <c r="N75" s="151"/>
      <c r="Q75" s="45"/>
      <c r="R75" s="151"/>
      <c r="S75" s="320">
        <f t="shared" si="953"/>
        <v>6</v>
      </c>
      <c r="T75" s="5"/>
      <c r="U75" s="5">
        <v>6</v>
      </c>
      <c r="V75" s="320">
        <f t="shared" si="954"/>
        <v>3</v>
      </c>
      <c r="W75" s="5">
        <v>1</v>
      </c>
      <c r="X75" s="5">
        <v>2</v>
      </c>
      <c r="Y75" s="45">
        <v>1</v>
      </c>
      <c r="Z75" s="151">
        <v>2</v>
      </c>
      <c r="AA75" s="320">
        <f t="shared" si="955"/>
        <v>0</v>
      </c>
      <c r="AD75" s="320">
        <f t="shared" si="956"/>
        <v>0</v>
      </c>
      <c r="AE75" s="45"/>
      <c r="AG75" s="45"/>
      <c r="AH75" s="151"/>
      <c r="AJ75" s="12"/>
      <c r="AK75" s="5"/>
      <c r="AL75" s="9"/>
      <c r="AM75" s="358"/>
      <c r="AN75" s="5"/>
      <c r="AO75" s="13"/>
      <c r="AQ75" s="50">
        <v>20</v>
      </c>
      <c r="AR75" s="50">
        <v>3</v>
      </c>
      <c r="AS75" s="148">
        <f t="shared" si="957"/>
        <v>6.666666666666667</v>
      </c>
      <c r="AT75" s="152">
        <v>11.6</v>
      </c>
      <c r="AU75" s="153">
        <v>1</v>
      </c>
      <c r="AV75" s="154">
        <f t="shared" si="958"/>
        <v>77.333333333333329</v>
      </c>
      <c r="AW75" s="50">
        <v>17</v>
      </c>
      <c r="AY75" s="155">
        <f t="shared" si="959"/>
        <v>0</v>
      </c>
      <c r="AZ75" s="156">
        <f t="shared" si="960"/>
        <v>0</v>
      </c>
      <c r="BA75" s="127">
        <f t="shared" si="961"/>
        <v>0</v>
      </c>
      <c r="BB75" s="127">
        <f t="shared" si="962"/>
        <v>0</v>
      </c>
      <c r="BC75" s="155">
        <f t="shared" si="963"/>
        <v>0</v>
      </c>
      <c r="BD75" s="156">
        <f t="shared" si="964"/>
        <v>0</v>
      </c>
      <c r="BE75" s="155">
        <f t="shared" si="965"/>
        <v>0</v>
      </c>
      <c r="BF75" s="156">
        <f t="shared" si="966"/>
        <v>0</v>
      </c>
      <c r="BG75" s="127">
        <f t="shared" si="967"/>
        <v>9.5087163232963554E-2</v>
      </c>
      <c r="BH75" s="127">
        <f t="shared" si="968"/>
        <v>4.7543581616481777E-2</v>
      </c>
      <c r="BI75" s="127">
        <f t="shared" si="969"/>
        <v>0</v>
      </c>
      <c r="BJ75" s="156">
        <f t="shared" si="970"/>
        <v>0</v>
      </c>
      <c r="BK75" s="156"/>
      <c r="BL75" s="156"/>
      <c r="BM75" s="156"/>
      <c r="BN75" s="156"/>
      <c r="BO75" s="50"/>
      <c r="BP75" s="51">
        <f t="shared" si="971"/>
        <v>0</v>
      </c>
      <c r="BQ75" s="157">
        <f t="shared" si="972"/>
        <v>0</v>
      </c>
      <c r="BR75" s="51">
        <f t="shared" si="973"/>
        <v>0</v>
      </c>
      <c r="BS75" s="157">
        <f t="shared" si="974"/>
        <v>0</v>
      </c>
      <c r="BT75" s="51">
        <f t="shared" si="975"/>
        <v>0</v>
      </c>
      <c r="BU75" s="157">
        <f t="shared" si="976"/>
        <v>0</v>
      </c>
      <c r="BV75" s="51">
        <f t="shared" si="977"/>
        <v>0</v>
      </c>
      <c r="BW75" s="157">
        <f t="shared" si="978"/>
        <v>0</v>
      </c>
      <c r="BX75" s="51">
        <f t="shared" si="979"/>
        <v>7.3534072900158476</v>
      </c>
      <c r="BY75" s="157">
        <f t="shared" si="980"/>
        <v>3.6767036450079238</v>
      </c>
      <c r="BZ75" s="51">
        <f t="shared" si="981"/>
        <v>0</v>
      </c>
      <c r="CA75" s="157">
        <f t="shared" si="982"/>
        <v>0</v>
      </c>
      <c r="CB75" s="51">
        <f t="shared" si="983"/>
        <v>0</v>
      </c>
      <c r="CC75" s="157">
        <f t="shared" si="984"/>
        <v>0</v>
      </c>
      <c r="CD75" s="51">
        <f t="shared" si="985"/>
        <v>0</v>
      </c>
      <c r="CE75" s="157">
        <f t="shared" si="986"/>
        <v>0</v>
      </c>
      <c r="CG75" s="45"/>
      <c r="CR75" s="151"/>
      <c r="CS75" s="45"/>
      <c r="CT75" s="151"/>
      <c r="CV75" s="151"/>
      <c r="CX75" s="50"/>
      <c r="CZ75" s="45"/>
      <c r="DK75" s="151"/>
      <c r="DL75" s="45"/>
      <c r="DM75" s="151"/>
      <c r="DN75" s="45"/>
      <c r="DO75" s="151"/>
      <c r="DQ75" s="117"/>
      <c r="DR75" s="77"/>
      <c r="DS75" s="117"/>
      <c r="DT75" s="149"/>
      <c r="DU75" s="77"/>
      <c r="DV75" s="77"/>
      <c r="DW75" s="117"/>
      <c r="DX75" s="149"/>
      <c r="DY75" s="77"/>
      <c r="DZ75" s="77"/>
      <c r="EA75" s="117"/>
      <c r="EB75" s="149"/>
      <c r="EC75" s="77"/>
      <c r="ED75" s="77"/>
      <c r="EE75" s="77"/>
      <c r="EF75" s="117"/>
      <c r="EG75" s="149"/>
      <c r="EH75" s="77"/>
      <c r="EI75" s="149"/>
    </row>
    <row r="76" spans="1:139" x14ac:dyDescent="0.25">
      <c r="A76" s="195">
        <f t="shared" si="1019"/>
        <v>45931</v>
      </c>
      <c r="B76" s="158" t="s">
        <v>11</v>
      </c>
      <c r="C76" s="195"/>
      <c r="D76" s="45">
        <v>7</v>
      </c>
      <c r="E76" s="45">
        <v>9</v>
      </c>
      <c r="F76" s="45">
        <v>39.15</v>
      </c>
      <c r="G76" s="154">
        <v>56.23</v>
      </c>
      <c r="H76" s="169">
        <f t="shared" si="950"/>
        <v>1</v>
      </c>
      <c r="I76" s="169">
        <f t="shared" si="951"/>
        <v>0</v>
      </c>
      <c r="J76" s="169">
        <f t="shared" si="952"/>
        <v>1</v>
      </c>
      <c r="K76" s="45"/>
      <c r="L76" s="151"/>
      <c r="M76" s="45"/>
      <c r="N76" s="151"/>
      <c r="Q76" s="45"/>
      <c r="R76" s="151">
        <v>1</v>
      </c>
      <c r="S76" s="320">
        <f t="shared" si="953"/>
        <v>3</v>
      </c>
      <c r="T76" s="5">
        <v>2</v>
      </c>
      <c r="U76" s="5">
        <v>1</v>
      </c>
      <c r="V76" s="320">
        <f t="shared" si="954"/>
        <v>1</v>
      </c>
      <c r="W76" s="5"/>
      <c r="X76" s="5">
        <v>1</v>
      </c>
      <c r="Y76" s="45">
        <v>4</v>
      </c>
      <c r="Z76" s="151"/>
      <c r="AA76" s="320">
        <f t="shared" si="955"/>
        <v>0</v>
      </c>
      <c r="AD76" s="320">
        <f t="shared" si="956"/>
        <v>0</v>
      </c>
      <c r="AE76" s="45"/>
      <c r="AG76" s="45"/>
      <c r="AH76" s="151"/>
      <c r="AJ76" s="12"/>
      <c r="AK76" s="5"/>
      <c r="AL76" s="9"/>
      <c r="AM76" s="358"/>
      <c r="AN76" s="5"/>
      <c r="AO76" s="13"/>
      <c r="AQ76" s="50">
        <v>9</v>
      </c>
      <c r="AR76" s="50">
        <v>2</v>
      </c>
      <c r="AS76" s="148">
        <f t="shared" si="957"/>
        <v>4.5</v>
      </c>
      <c r="AT76" s="152">
        <v>11.6</v>
      </c>
      <c r="AU76" s="153">
        <v>1</v>
      </c>
      <c r="AV76" s="154">
        <f t="shared" si="958"/>
        <v>52.199999999999996</v>
      </c>
      <c r="AW76" s="50">
        <v>15</v>
      </c>
      <c r="AY76" s="155">
        <f t="shared" si="959"/>
        <v>1.7784101013693758E-2</v>
      </c>
      <c r="AZ76" s="156">
        <f t="shared" si="960"/>
        <v>0</v>
      </c>
      <c r="BA76" s="127">
        <f t="shared" si="961"/>
        <v>0</v>
      </c>
      <c r="BB76" s="127">
        <f t="shared" si="962"/>
        <v>0</v>
      </c>
      <c r="BC76" s="155">
        <f t="shared" si="963"/>
        <v>0</v>
      </c>
      <c r="BD76" s="156">
        <f t="shared" si="964"/>
        <v>0</v>
      </c>
      <c r="BE76" s="155">
        <f t="shared" si="965"/>
        <v>1.7784101013693758E-2</v>
      </c>
      <c r="BF76" s="156">
        <f t="shared" si="966"/>
        <v>0</v>
      </c>
      <c r="BG76" s="127">
        <f t="shared" si="967"/>
        <v>5.3352303041081274E-2</v>
      </c>
      <c r="BH76" s="127">
        <f t="shared" si="968"/>
        <v>1.7784101013693758E-2</v>
      </c>
      <c r="BI76" s="127">
        <f t="shared" si="969"/>
        <v>0</v>
      </c>
      <c r="BJ76" s="156">
        <f t="shared" si="970"/>
        <v>0</v>
      </c>
      <c r="BK76" s="156"/>
      <c r="BL76" s="156"/>
      <c r="BM76" s="156"/>
      <c r="BN76" s="156"/>
      <c r="BO76" s="50"/>
      <c r="BP76" s="51">
        <f t="shared" si="971"/>
        <v>0.92833007291481406</v>
      </c>
      <c r="BQ76" s="157">
        <f t="shared" si="972"/>
        <v>0</v>
      </c>
      <c r="BR76" s="51">
        <f t="shared" si="973"/>
        <v>0</v>
      </c>
      <c r="BS76" s="157">
        <f t="shared" si="974"/>
        <v>0</v>
      </c>
      <c r="BT76" s="51">
        <f t="shared" si="975"/>
        <v>0</v>
      </c>
      <c r="BU76" s="157">
        <f t="shared" si="976"/>
        <v>0</v>
      </c>
      <c r="BV76" s="51">
        <f t="shared" si="977"/>
        <v>0.92833007291481406</v>
      </c>
      <c r="BW76" s="157">
        <f t="shared" si="978"/>
        <v>0</v>
      </c>
      <c r="BX76" s="51">
        <f t="shared" si="979"/>
        <v>2.7849902187444422</v>
      </c>
      <c r="BY76" s="157">
        <f t="shared" si="980"/>
        <v>0.92833007291481406</v>
      </c>
      <c r="BZ76" s="51">
        <f t="shared" si="981"/>
        <v>0</v>
      </c>
      <c r="CA76" s="157">
        <f t="shared" si="982"/>
        <v>0</v>
      </c>
      <c r="CB76" s="51">
        <f t="shared" si="983"/>
        <v>0</v>
      </c>
      <c r="CC76" s="157">
        <f t="shared" si="984"/>
        <v>0</v>
      </c>
      <c r="CD76" s="51">
        <f t="shared" si="985"/>
        <v>0</v>
      </c>
      <c r="CE76" s="157">
        <f t="shared" si="986"/>
        <v>0</v>
      </c>
      <c r="CG76" s="45"/>
      <c r="CR76" s="151"/>
      <c r="CS76" s="45"/>
      <c r="CT76" s="151"/>
      <c r="CV76" s="151"/>
      <c r="CX76" s="50"/>
      <c r="CZ76" s="45"/>
      <c r="DK76" s="151"/>
      <c r="DL76" s="45"/>
      <c r="DM76" s="151"/>
      <c r="DN76" s="45"/>
      <c r="DO76" s="151"/>
      <c r="DQ76" s="117"/>
      <c r="DR76" s="77"/>
      <c r="DS76" s="117"/>
      <c r="DT76" s="149"/>
      <c r="DU76" s="77"/>
      <c r="DV76" s="77"/>
      <c r="DW76" s="117">
        <v>1</v>
      </c>
      <c r="DX76" s="149"/>
      <c r="DY76" s="77"/>
      <c r="DZ76" s="77"/>
      <c r="EA76" s="117"/>
      <c r="EB76" s="149"/>
      <c r="EC76" s="77"/>
      <c r="ED76" s="77"/>
      <c r="EE76" s="77"/>
      <c r="EF76" s="117"/>
      <c r="EG76" s="149"/>
      <c r="EH76" s="77"/>
      <c r="EI76" s="149"/>
    </row>
    <row r="77" spans="1:139" x14ac:dyDescent="0.25">
      <c r="A77" s="195">
        <f t="shared" si="1019"/>
        <v>45932</v>
      </c>
      <c r="B77" s="158" t="s">
        <v>95</v>
      </c>
      <c r="C77" s="195"/>
      <c r="D77" s="45">
        <v>21</v>
      </c>
      <c r="E77" s="45">
        <v>26</v>
      </c>
      <c r="F77" s="45">
        <v>122.23</v>
      </c>
      <c r="G77" s="154">
        <v>142.75</v>
      </c>
      <c r="H77" s="169">
        <f t="shared" si="950"/>
        <v>0</v>
      </c>
      <c r="I77" s="169">
        <f t="shared" si="951"/>
        <v>0</v>
      </c>
      <c r="J77" s="169">
        <f t="shared" si="952"/>
        <v>0</v>
      </c>
      <c r="K77" s="45"/>
      <c r="L77" s="151"/>
      <c r="M77" s="45"/>
      <c r="N77" s="151"/>
      <c r="Q77" s="45"/>
      <c r="R77" s="151"/>
      <c r="S77" s="320">
        <f t="shared" si="953"/>
        <v>10</v>
      </c>
      <c r="T77" s="5">
        <v>3</v>
      </c>
      <c r="U77" s="5">
        <v>7</v>
      </c>
      <c r="V77" s="320">
        <f t="shared" si="954"/>
        <v>0</v>
      </c>
      <c r="W77" s="5"/>
      <c r="X77" s="5"/>
      <c r="Y77" s="45"/>
      <c r="Z77" s="151"/>
      <c r="AA77" s="320">
        <f t="shared" si="955"/>
        <v>0</v>
      </c>
      <c r="AD77" s="320">
        <f t="shared" si="956"/>
        <v>0</v>
      </c>
      <c r="AE77" s="45"/>
      <c r="AG77" s="45"/>
      <c r="AH77" s="151"/>
      <c r="AJ77" s="12"/>
      <c r="AK77" s="5"/>
      <c r="AL77" s="9"/>
      <c r="AM77" s="358"/>
      <c r="AN77" s="5"/>
      <c r="AO77" s="13"/>
      <c r="AQ77" s="50">
        <v>26</v>
      </c>
      <c r="AR77" s="50">
        <v>3</v>
      </c>
      <c r="AS77" s="148">
        <f t="shared" si="957"/>
        <v>8.6666666666666661</v>
      </c>
      <c r="AT77" s="152">
        <v>11.5</v>
      </c>
      <c r="AU77" s="153">
        <v>1</v>
      </c>
      <c r="AV77" s="154">
        <f t="shared" si="958"/>
        <v>99.666666666666657</v>
      </c>
      <c r="AW77" s="50">
        <v>19</v>
      </c>
      <c r="AY77" s="155">
        <f t="shared" ref="AY77" si="1020">H77/G77</f>
        <v>0</v>
      </c>
      <c r="AZ77" s="156">
        <f t="shared" ref="AZ77" si="1021">I77/G77</f>
        <v>0</v>
      </c>
      <c r="BA77" s="127">
        <f t="shared" ref="BA77" si="1022">(K77+L77)/$G77</f>
        <v>0</v>
      </c>
      <c r="BB77" s="127">
        <f t="shared" ref="BB77" si="1023">K77/$G77</f>
        <v>0</v>
      </c>
      <c r="BC77" s="155">
        <f t="shared" ref="BC77" si="1024">(M77+N77)/$G77</f>
        <v>0</v>
      </c>
      <c r="BD77" s="156">
        <f t="shared" ref="BD77" si="1025">M77/$G77</f>
        <v>0</v>
      </c>
      <c r="BE77" s="155">
        <f t="shared" ref="BE77" si="1026">(Q77+R77)/$G77</f>
        <v>0</v>
      </c>
      <c r="BF77" s="156">
        <f t="shared" ref="BF77" si="1027">Q77/$G77</f>
        <v>0</v>
      </c>
      <c r="BG77" s="127">
        <f t="shared" ref="BG77" si="1028">S77/$G77</f>
        <v>7.0052539404553416E-2</v>
      </c>
      <c r="BH77" s="127">
        <f t="shared" ref="BH77" si="1029">V77/$G77</f>
        <v>0</v>
      </c>
      <c r="BI77" s="127">
        <f t="shared" ref="BI77" si="1030">AA77/$G77</f>
        <v>0</v>
      </c>
      <c r="BJ77" s="156">
        <f t="shared" ref="BJ77" si="1031">AH77/$G77</f>
        <v>0</v>
      </c>
      <c r="BK77" s="156"/>
      <c r="BL77" s="156"/>
      <c r="BM77" s="156"/>
      <c r="BN77" s="156"/>
      <c r="BO77" s="50"/>
      <c r="BP77" s="51">
        <f t="shared" ref="BP77" si="1032">AY77*$AV77</f>
        <v>0</v>
      </c>
      <c r="BQ77" s="157">
        <f t="shared" ref="BQ77" si="1033">AZ77*$AV77</f>
        <v>0</v>
      </c>
      <c r="BR77" s="51">
        <f t="shared" ref="BR77" si="1034">BA77*$AV77</f>
        <v>0</v>
      </c>
      <c r="BS77" s="157">
        <f t="shared" ref="BS77" si="1035">BB77*$AV77</f>
        <v>0</v>
      </c>
      <c r="BT77" s="51">
        <f t="shared" ref="BT77" si="1036">BC77*$AV77</f>
        <v>0</v>
      </c>
      <c r="BU77" s="157">
        <f t="shared" ref="BU77" si="1037">BD77*$AV77</f>
        <v>0</v>
      </c>
      <c r="BV77" s="51">
        <f t="shared" ref="BV77" si="1038">BE77*$AV77</f>
        <v>0</v>
      </c>
      <c r="BW77" s="157">
        <f t="shared" ref="BW77" si="1039">BF77*$AV77</f>
        <v>0</v>
      </c>
      <c r="BX77" s="51">
        <f t="shared" ref="BX77" si="1040">BG77*$AV77</f>
        <v>6.9819030939871567</v>
      </c>
      <c r="BY77" s="157">
        <f t="shared" ref="BY77" si="1041">BH77*$AV77</f>
        <v>0</v>
      </c>
      <c r="BZ77" s="51">
        <f t="shared" ref="BZ77" si="1042">BI77*$AV77</f>
        <v>0</v>
      </c>
      <c r="CA77" s="157">
        <f t="shared" ref="CA77" si="1043">BJ77*$AV77</f>
        <v>0</v>
      </c>
      <c r="CB77" s="51">
        <f t="shared" ref="CB77" si="1044">BK77*$AV77</f>
        <v>0</v>
      </c>
      <c r="CC77" s="157">
        <f t="shared" ref="CC77" si="1045">BL77*$AV77</f>
        <v>0</v>
      </c>
      <c r="CD77" s="51">
        <f t="shared" ref="CD77" si="1046">BM77*$AV77</f>
        <v>0</v>
      </c>
      <c r="CE77" s="157">
        <f t="shared" ref="CE77" si="1047">BN77*$AV77</f>
        <v>0</v>
      </c>
      <c r="CG77" s="45"/>
      <c r="CR77" s="151"/>
      <c r="CS77" s="45"/>
      <c r="CT77" s="151"/>
      <c r="CV77" s="151"/>
      <c r="CX77" s="50"/>
      <c r="CZ77" s="45"/>
      <c r="DK77" s="151"/>
      <c r="DL77" s="45"/>
      <c r="DM77" s="151"/>
      <c r="DN77" s="45"/>
      <c r="DO77" s="151"/>
      <c r="DQ77" s="117"/>
      <c r="DR77" s="77"/>
      <c r="DS77" s="117"/>
      <c r="DT77" s="149"/>
      <c r="DU77" s="77"/>
      <c r="DV77" s="77"/>
      <c r="DW77" s="117"/>
      <c r="DX77" s="149"/>
      <c r="DY77" s="77"/>
      <c r="DZ77" s="77"/>
      <c r="EA77" s="117"/>
      <c r="EB77" s="149"/>
      <c r="EC77" s="77"/>
      <c r="ED77" s="77"/>
      <c r="EE77" s="77"/>
      <c r="EF77" s="117"/>
      <c r="EG77" s="149"/>
      <c r="EH77" s="77"/>
      <c r="EI77" s="149"/>
    </row>
    <row r="78" spans="1:139" x14ac:dyDescent="0.25">
      <c r="A78" s="195">
        <f t="shared" si="1019"/>
        <v>45933</v>
      </c>
      <c r="B78" s="195" t="s">
        <v>13</v>
      </c>
      <c r="C78" s="195"/>
      <c r="D78" s="45">
        <v>28</v>
      </c>
      <c r="E78" s="45">
        <v>35</v>
      </c>
      <c r="F78" s="45">
        <v>88.18</v>
      </c>
      <c r="G78" s="154">
        <v>123.02</v>
      </c>
      <c r="H78" s="169">
        <f t="shared" si="950"/>
        <v>0</v>
      </c>
      <c r="I78" s="169">
        <f t="shared" si="951"/>
        <v>0</v>
      </c>
      <c r="J78" s="169">
        <f t="shared" si="952"/>
        <v>0</v>
      </c>
      <c r="K78" s="45"/>
      <c r="L78" s="151"/>
      <c r="M78" s="45"/>
      <c r="N78" s="151"/>
      <c r="Q78" s="45"/>
      <c r="R78" s="151"/>
      <c r="S78" s="320">
        <f t="shared" si="953"/>
        <v>6</v>
      </c>
      <c r="T78" s="5">
        <v>1</v>
      </c>
      <c r="U78" s="5">
        <v>5</v>
      </c>
      <c r="V78" s="320">
        <f t="shared" si="954"/>
        <v>1</v>
      </c>
      <c r="W78" s="5"/>
      <c r="X78" s="5">
        <v>1</v>
      </c>
      <c r="Y78" s="45"/>
      <c r="Z78" s="151"/>
      <c r="AA78" s="320">
        <f t="shared" si="955"/>
        <v>0</v>
      </c>
      <c r="AD78" s="320">
        <f t="shared" si="956"/>
        <v>0</v>
      </c>
      <c r="AE78" s="45"/>
      <c r="AG78" s="45"/>
      <c r="AH78" s="151"/>
      <c r="AJ78" s="12"/>
      <c r="AK78" s="5"/>
      <c r="AL78" s="9"/>
      <c r="AM78" s="358"/>
      <c r="AN78" s="5"/>
      <c r="AO78" s="13"/>
      <c r="AQ78" s="50">
        <v>28</v>
      </c>
      <c r="AR78" s="50">
        <v>3</v>
      </c>
      <c r="AS78" s="148">
        <f t="shared" si="957"/>
        <v>9.3333333333333339</v>
      </c>
      <c r="AT78" s="152">
        <v>11.5</v>
      </c>
      <c r="AU78" s="153">
        <v>1</v>
      </c>
      <c r="AV78" s="154">
        <f t="shared" si="958"/>
        <v>107.33333333333334</v>
      </c>
      <c r="AW78" s="50">
        <v>17</v>
      </c>
      <c r="AY78" s="155">
        <f t="shared" si="959"/>
        <v>0</v>
      </c>
      <c r="AZ78" s="156">
        <f t="shared" si="960"/>
        <v>0</v>
      </c>
      <c r="BA78" s="127">
        <f t="shared" si="961"/>
        <v>0</v>
      </c>
      <c r="BB78" s="127">
        <f t="shared" si="962"/>
        <v>0</v>
      </c>
      <c r="BC78" s="155">
        <f t="shared" si="963"/>
        <v>0</v>
      </c>
      <c r="BD78" s="156">
        <f t="shared" si="964"/>
        <v>0</v>
      </c>
      <c r="BE78" s="155">
        <f t="shared" si="965"/>
        <v>0</v>
      </c>
      <c r="BF78" s="156">
        <f t="shared" si="966"/>
        <v>0</v>
      </c>
      <c r="BG78" s="127">
        <f t="shared" si="967"/>
        <v>4.8772557307754837E-2</v>
      </c>
      <c r="BH78" s="127">
        <f t="shared" si="968"/>
        <v>8.1287595512924728E-3</v>
      </c>
      <c r="BI78" s="127">
        <f t="shared" si="969"/>
        <v>0</v>
      </c>
      <c r="BJ78" s="156">
        <f t="shared" si="970"/>
        <v>0</v>
      </c>
      <c r="BK78" s="156"/>
      <c r="BL78" s="156"/>
      <c r="BM78" s="156"/>
      <c r="BN78" s="156"/>
      <c r="BO78" s="50"/>
      <c r="BP78" s="51">
        <f t="shared" si="971"/>
        <v>0</v>
      </c>
      <c r="BQ78" s="157">
        <f t="shared" si="972"/>
        <v>0</v>
      </c>
      <c r="BR78" s="51">
        <f t="shared" si="973"/>
        <v>0</v>
      </c>
      <c r="BS78" s="157">
        <f t="shared" si="974"/>
        <v>0</v>
      </c>
      <c r="BT78" s="51">
        <f t="shared" si="975"/>
        <v>0</v>
      </c>
      <c r="BU78" s="157">
        <f t="shared" si="976"/>
        <v>0</v>
      </c>
      <c r="BV78" s="51">
        <f t="shared" si="977"/>
        <v>0</v>
      </c>
      <c r="BW78" s="157">
        <f t="shared" si="978"/>
        <v>0</v>
      </c>
      <c r="BX78" s="51">
        <f t="shared" si="979"/>
        <v>5.2349211510323528</v>
      </c>
      <c r="BY78" s="157">
        <f t="shared" si="980"/>
        <v>0.8724868585053922</v>
      </c>
      <c r="BZ78" s="51">
        <f t="shared" si="981"/>
        <v>0</v>
      </c>
      <c r="CA78" s="157">
        <f t="shared" si="982"/>
        <v>0</v>
      </c>
      <c r="CB78" s="51">
        <f t="shared" si="983"/>
        <v>0</v>
      </c>
      <c r="CC78" s="157">
        <f t="shared" si="984"/>
        <v>0</v>
      </c>
      <c r="CD78" s="51">
        <f t="shared" si="985"/>
        <v>0</v>
      </c>
      <c r="CE78" s="157">
        <f t="shared" si="986"/>
        <v>0</v>
      </c>
      <c r="CG78" s="45"/>
      <c r="CR78" s="151"/>
      <c r="CS78" s="45"/>
      <c r="CT78" s="151"/>
      <c r="CV78" s="151"/>
      <c r="CX78" s="50"/>
      <c r="CZ78" s="45"/>
      <c r="DK78" s="151"/>
      <c r="DL78" s="45"/>
      <c r="DM78" s="151"/>
      <c r="DN78" s="45"/>
      <c r="DO78" s="151"/>
      <c r="DQ78" s="117"/>
      <c r="DR78" s="77"/>
      <c r="DS78" s="117"/>
      <c r="DT78" s="149"/>
      <c r="DU78" s="77"/>
      <c r="DV78" s="77"/>
      <c r="DW78" s="117"/>
      <c r="DX78" s="149"/>
      <c r="DY78" s="77"/>
      <c r="DZ78" s="77"/>
      <c r="EA78" s="117"/>
      <c r="EB78" s="149"/>
      <c r="EC78" s="77"/>
      <c r="ED78" s="77"/>
      <c r="EE78" s="77"/>
      <c r="EF78" s="117"/>
      <c r="EG78" s="149"/>
      <c r="EH78" s="77"/>
      <c r="EI78" s="149"/>
    </row>
    <row r="79" spans="1:139" x14ac:dyDescent="0.25">
      <c r="A79" s="195">
        <f t="shared" si="1019"/>
        <v>45934</v>
      </c>
      <c r="B79" s="195" t="s">
        <v>14</v>
      </c>
      <c r="C79" s="195"/>
      <c r="D79" s="45">
        <v>40</v>
      </c>
      <c r="E79" s="45">
        <v>46</v>
      </c>
      <c r="F79" s="45">
        <v>135.65</v>
      </c>
      <c r="G79" s="154">
        <v>159.12</v>
      </c>
      <c r="H79" s="169">
        <f t="shared" si="950"/>
        <v>0</v>
      </c>
      <c r="I79" s="169">
        <f t="shared" si="951"/>
        <v>0</v>
      </c>
      <c r="J79" s="169">
        <f t="shared" si="952"/>
        <v>0</v>
      </c>
      <c r="K79" s="45"/>
      <c r="L79" s="151"/>
      <c r="M79" s="45"/>
      <c r="N79" s="151"/>
      <c r="Q79" s="45"/>
      <c r="R79" s="151"/>
      <c r="S79" s="320">
        <f t="shared" si="953"/>
        <v>11</v>
      </c>
      <c r="T79" s="5">
        <v>3</v>
      </c>
      <c r="U79" s="5">
        <v>8</v>
      </c>
      <c r="V79" s="320">
        <f t="shared" si="954"/>
        <v>0</v>
      </c>
      <c r="W79" s="5"/>
      <c r="X79" s="5"/>
      <c r="Y79" s="45"/>
      <c r="Z79" s="151"/>
      <c r="AA79" s="320">
        <f t="shared" si="955"/>
        <v>0</v>
      </c>
      <c r="AD79" s="320">
        <f t="shared" si="956"/>
        <v>0</v>
      </c>
      <c r="AE79" s="45"/>
      <c r="AG79" s="45"/>
      <c r="AH79" s="151"/>
      <c r="AJ79" s="12"/>
      <c r="AK79" s="5"/>
      <c r="AL79" s="9"/>
      <c r="AM79" s="358"/>
      <c r="AN79" s="5"/>
      <c r="AO79" s="13"/>
      <c r="AQ79" s="50">
        <v>46</v>
      </c>
      <c r="AR79" s="50">
        <v>2</v>
      </c>
      <c r="AS79" s="148">
        <f t="shared" si="957"/>
        <v>23</v>
      </c>
      <c r="AT79" s="152">
        <v>11.4</v>
      </c>
      <c r="AU79" s="153">
        <v>1</v>
      </c>
      <c r="AV79" s="154">
        <f t="shared" si="958"/>
        <v>262.2</v>
      </c>
      <c r="AW79" s="50">
        <v>30</v>
      </c>
      <c r="AY79" s="155">
        <f t="shared" si="959"/>
        <v>0</v>
      </c>
      <c r="AZ79" s="156">
        <f t="shared" si="960"/>
        <v>0</v>
      </c>
      <c r="BA79" s="127">
        <f t="shared" si="961"/>
        <v>0</v>
      </c>
      <c r="BB79" s="127">
        <f t="shared" si="962"/>
        <v>0</v>
      </c>
      <c r="BC79" s="155">
        <f t="shared" si="963"/>
        <v>0</v>
      </c>
      <c r="BD79" s="156">
        <f t="shared" si="964"/>
        <v>0</v>
      </c>
      <c r="BE79" s="155">
        <f t="shared" si="965"/>
        <v>0</v>
      </c>
      <c r="BF79" s="156">
        <f t="shared" si="966"/>
        <v>0</v>
      </c>
      <c r="BG79" s="127">
        <f t="shared" si="967"/>
        <v>6.9130216189039723E-2</v>
      </c>
      <c r="BH79" s="127">
        <f t="shared" si="968"/>
        <v>0</v>
      </c>
      <c r="BI79" s="127">
        <f t="shared" si="969"/>
        <v>0</v>
      </c>
      <c r="BJ79" s="156">
        <f t="shared" si="970"/>
        <v>0</v>
      </c>
      <c r="BK79" s="156"/>
      <c r="BL79" s="156"/>
      <c r="BM79" s="156"/>
      <c r="BN79" s="156"/>
      <c r="BO79" s="50"/>
      <c r="BP79" s="51">
        <f t="shared" si="971"/>
        <v>0</v>
      </c>
      <c r="BQ79" s="157">
        <f t="shared" si="972"/>
        <v>0</v>
      </c>
      <c r="BR79" s="51">
        <f t="shared" si="973"/>
        <v>0</v>
      </c>
      <c r="BS79" s="157">
        <f t="shared" si="974"/>
        <v>0</v>
      </c>
      <c r="BT79" s="51">
        <f t="shared" si="975"/>
        <v>0</v>
      </c>
      <c r="BU79" s="157">
        <f t="shared" si="976"/>
        <v>0</v>
      </c>
      <c r="BV79" s="51">
        <f t="shared" si="977"/>
        <v>0</v>
      </c>
      <c r="BW79" s="157">
        <f t="shared" si="978"/>
        <v>0</v>
      </c>
      <c r="BX79" s="51">
        <f t="shared" si="979"/>
        <v>18.125942684766216</v>
      </c>
      <c r="BY79" s="157">
        <f t="shared" si="980"/>
        <v>0</v>
      </c>
      <c r="BZ79" s="51">
        <f t="shared" si="981"/>
        <v>0</v>
      </c>
      <c r="CA79" s="157">
        <f t="shared" si="982"/>
        <v>0</v>
      </c>
      <c r="CB79" s="51">
        <f t="shared" si="983"/>
        <v>0</v>
      </c>
      <c r="CC79" s="157">
        <f t="shared" si="984"/>
        <v>0</v>
      </c>
      <c r="CD79" s="51">
        <f t="shared" si="985"/>
        <v>0</v>
      </c>
      <c r="CE79" s="157">
        <f t="shared" si="986"/>
        <v>0</v>
      </c>
      <c r="CG79" s="51">
        <f t="shared" ref="CG79" si="1048">AVERAGE(BP79:BP80)</f>
        <v>0</v>
      </c>
      <c r="CH79" s="126">
        <f t="shared" ref="CH79" si="1049">AVERAGE(BQ79:BQ80)</f>
        <v>0</v>
      </c>
      <c r="CI79" s="126">
        <f t="shared" ref="CI79" si="1050">AVERAGE(BR79:BR80)</f>
        <v>0</v>
      </c>
      <c r="CJ79" s="126">
        <f t="shared" ref="CJ79" si="1051">AVERAGE(BS79:BS80)</f>
        <v>0</v>
      </c>
      <c r="CK79" s="126">
        <f t="shared" ref="CK79" si="1052">AVERAGE(BT79:BT80)</f>
        <v>0</v>
      </c>
      <c r="CL79" s="126">
        <f t="shared" ref="CL79" si="1053">AVERAGE(BU79:BU80)</f>
        <v>0</v>
      </c>
      <c r="CM79" s="126">
        <f t="shared" ref="CM79" si="1054">AVERAGE(BV79:BV80)</f>
        <v>0</v>
      </c>
      <c r="CN79" s="126">
        <f t="shared" ref="CN79" si="1055">AVERAGE(BW79:BW80)</f>
        <v>0</v>
      </c>
      <c r="CO79" s="126">
        <f t="shared" ref="CO79" si="1056">AVERAGE(BX79:BX80)</f>
        <v>12.5488584391573</v>
      </c>
      <c r="CP79" s="126">
        <f t="shared" ref="CP79" si="1057">AVERAGE(BY79:BY80)</f>
        <v>0</v>
      </c>
      <c r="CQ79" s="126">
        <f t="shared" ref="CQ79" si="1058">AVERAGE(BZ79:BZ80)</f>
        <v>0</v>
      </c>
      <c r="CR79" s="157">
        <f t="shared" ref="CR79" si="1059">AVERAGE(CA79:CA80)</f>
        <v>0</v>
      </c>
      <c r="CS79" s="51">
        <f t="shared" ref="CS79" si="1060">AVERAGE(CB79:CB80)</f>
        <v>0</v>
      </c>
      <c r="CT79" s="157">
        <f t="shared" ref="CT79" si="1061">AVERAGE(CC79:CC80)</f>
        <v>0</v>
      </c>
      <c r="CU79" s="126">
        <f t="shared" ref="CU79" si="1062">AVERAGE(CD79:CD80)</f>
        <v>0</v>
      </c>
      <c r="CV79" s="157">
        <f t="shared" ref="CV79" si="1063">AVERAGE(CE79:CE80)</f>
        <v>0</v>
      </c>
      <c r="CX79" s="150">
        <v>2</v>
      </c>
      <c r="CZ79" s="225">
        <f t="shared" ref="CZ79" si="1064">CG79*$CX79</f>
        <v>0</v>
      </c>
      <c r="DA79" s="160">
        <f t="shared" ref="DA79" si="1065">CH79*$CX79</f>
        <v>0</v>
      </c>
      <c r="DB79" s="160">
        <f t="shared" ref="DB79" si="1066">CI79*$CX79</f>
        <v>0</v>
      </c>
      <c r="DC79" s="160">
        <f t="shared" ref="DC79" si="1067">CJ79*$CX79</f>
        <v>0</v>
      </c>
      <c r="DD79" s="160">
        <f t="shared" ref="DD79" si="1068">CK79*$CX79</f>
        <v>0</v>
      </c>
      <c r="DE79" s="160">
        <f t="shared" ref="DE79" si="1069">CL79*$CX79</f>
        <v>0</v>
      </c>
      <c r="DF79" s="160">
        <f t="shared" ref="DF79" si="1070">CM79*$CX79</f>
        <v>0</v>
      </c>
      <c r="DG79" s="160">
        <f t="shared" ref="DG79" si="1071">CN79*$CX79</f>
        <v>0</v>
      </c>
      <c r="DH79" s="160">
        <f t="shared" ref="DH79" si="1072">CO79*$CX79</f>
        <v>25.0977168783146</v>
      </c>
      <c r="DI79" s="160">
        <f t="shared" ref="DI79" si="1073">CP79*$CX79</f>
        <v>0</v>
      </c>
      <c r="DJ79" s="160">
        <f t="shared" ref="DJ79" si="1074">CQ79*$CX79</f>
        <v>0</v>
      </c>
      <c r="DK79" s="161">
        <f t="shared" ref="DK79" si="1075">CR79*$CX79</f>
        <v>0</v>
      </c>
      <c r="DL79" s="225">
        <f t="shared" ref="DL79" si="1076">CS79*$CX79</f>
        <v>0</v>
      </c>
      <c r="DM79" s="161">
        <f t="shared" ref="DM79" si="1077">CT79*$CX79</f>
        <v>0</v>
      </c>
      <c r="DN79" s="225">
        <f t="shared" ref="DN79" si="1078">CU79*$CX79</f>
        <v>0</v>
      </c>
      <c r="DO79" s="161">
        <f t="shared" ref="DO79" si="1079">CV79*$CX79</f>
        <v>0</v>
      </c>
      <c r="DQ79" s="117"/>
      <c r="DR79" s="77"/>
      <c r="DS79" s="117"/>
      <c r="DT79" s="149"/>
      <c r="DU79" s="77"/>
      <c r="DV79" s="77"/>
      <c r="DW79" s="117"/>
      <c r="DX79" s="149"/>
      <c r="DY79" s="77"/>
      <c r="DZ79" s="77"/>
      <c r="EA79" s="117"/>
      <c r="EB79" s="149"/>
      <c r="EC79" s="77"/>
      <c r="ED79" s="77"/>
      <c r="EE79" s="77"/>
      <c r="EF79" s="117"/>
      <c r="EG79" s="149"/>
      <c r="EH79" s="77"/>
      <c r="EI79" s="149"/>
    </row>
    <row r="80" spans="1:139" x14ac:dyDescent="0.25">
      <c r="A80" s="334">
        <f t="shared" si="1019"/>
        <v>45935</v>
      </c>
      <c r="B80" s="334" t="s">
        <v>15</v>
      </c>
      <c r="C80" s="334"/>
      <c r="D80" s="176">
        <v>40</v>
      </c>
      <c r="E80" s="176">
        <v>52</v>
      </c>
      <c r="F80" s="176">
        <v>151.31</v>
      </c>
      <c r="G80" s="305">
        <v>198.4</v>
      </c>
      <c r="H80" s="323">
        <f t="shared" si="950"/>
        <v>0</v>
      </c>
      <c r="I80" s="323">
        <f t="shared" si="951"/>
        <v>0</v>
      </c>
      <c r="J80" s="323">
        <f t="shared" si="952"/>
        <v>0</v>
      </c>
      <c r="K80" s="176"/>
      <c r="L80" s="178"/>
      <c r="M80" s="176"/>
      <c r="N80" s="178"/>
      <c r="O80" s="177"/>
      <c r="P80" s="177"/>
      <c r="Q80" s="176"/>
      <c r="R80" s="178"/>
      <c r="S80" s="320">
        <f t="shared" si="953"/>
        <v>7</v>
      </c>
      <c r="T80" s="5">
        <v>1</v>
      </c>
      <c r="U80" s="5">
        <v>6</v>
      </c>
      <c r="V80" s="320">
        <f t="shared" si="954"/>
        <v>0</v>
      </c>
      <c r="W80" s="5"/>
      <c r="X80" s="5"/>
      <c r="Y80" s="176"/>
      <c r="Z80" s="178"/>
      <c r="AA80" s="320">
        <f t="shared" si="955"/>
        <v>0</v>
      </c>
      <c r="AD80" s="320">
        <f t="shared" si="956"/>
        <v>0</v>
      </c>
      <c r="AE80" s="176"/>
      <c r="AF80" s="177"/>
      <c r="AG80" s="176"/>
      <c r="AH80" s="178"/>
      <c r="AJ80" s="12"/>
      <c r="AK80" s="5"/>
      <c r="AL80" s="9"/>
      <c r="AM80" s="358"/>
      <c r="AN80" s="5"/>
      <c r="AO80" s="13"/>
      <c r="AQ80" s="131">
        <v>52</v>
      </c>
      <c r="AR80" s="131">
        <v>3</v>
      </c>
      <c r="AS80" s="191">
        <f t="shared" si="957"/>
        <v>17.333333333333332</v>
      </c>
      <c r="AT80" s="192">
        <v>11.4</v>
      </c>
      <c r="AU80" s="193">
        <v>1</v>
      </c>
      <c r="AV80" s="305">
        <f t="shared" si="958"/>
        <v>197.6</v>
      </c>
      <c r="AW80" s="131">
        <v>15</v>
      </c>
      <c r="AY80" s="212">
        <f t="shared" si="959"/>
        <v>0</v>
      </c>
      <c r="AZ80" s="213">
        <f t="shared" si="960"/>
        <v>0</v>
      </c>
      <c r="BA80" s="214">
        <f t="shared" si="961"/>
        <v>0</v>
      </c>
      <c r="BB80" s="214">
        <f t="shared" si="962"/>
        <v>0</v>
      </c>
      <c r="BC80" s="212">
        <f t="shared" si="963"/>
        <v>0</v>
      </c>
      <c r="BD80" s="213">
        <f t="shared" si="964"/>
        <v>0</v>
      </c>
      <c r="BE80" s="212">
        <f t="shared" si="965"/>
        <v>0</v>
      </c>
      <c r="BF80" s="213">
        <f t="shared" si="966"/>
        <v>0</v>
      </c>
      <c r="BG80" s="214">
        <f t="shared" si="967"/>
        <v>3.5282258064516125E-2</v>
      </c>
      <c r="BH80" s="214">
        <f t="shared" si="968"/>
        <v>0</v>
      </c>
      <c r="BI80" s="214">
        <f t="shared" si="969"/>
        <v>0</v>
      </c>
      <c r="BJ80" s="213">
        <f t="shared" si="970"/>
        <v>0</v>
      </c>
      <c r="BK80" s="213"/>
      <c r="BL80" s="213"/>
      <c r="BM80" s="213"/>
      <c r="BN80" s="213"/>
      <c r="BO80" s="50"/>
      <c r="BP80" s="217">
        <f t="shared" si="971"/>
        <v>0</v>
      </c>
      <c r="BQ80" s="218">
        <f t="shared" si="972"/>
        <v>0</v>
      </c>
      <c r="BR80" s="217">
        <f t="shared" si="973"/>
        <v>0</v>
      </c>
      <c r="BS80" s="218">
        <f t="shared" si="974"/>
        <v>0</v>
      </c>
      <c r="BT80" s="217">
        <f t="shared" si="975"/>
        <v>0</v>
      </c>
      <c r="BU80" s="218">
        <f t="shared" si="976"/>
        <v>0</v>
      </c>
      <c r="BV80" s="217">
        <f t="shared" si="977"/>
        <v>0</v>
      </c>
      <c r="BW80" s="218">
        <f t="shared" si="978"/>
        <v>0</v>
      </c>
      <c r="BX80" s="217">
        <f t="shared" si="979"/>
        <v>6.9717741935483861</v>
      </c>
      <c r="BY80" s="218">
        <f t="shared" si="980"/>
        <v>0</v>
      </c>
      <c r="BZ80" s="217">
        <f t="shared" si="981"/>
        <v>0</v>
      </c>
      <c r="CA80" s="218">
        <f t="shared" si="982"/>
        <v>0</v>
      </c>
      <c r="CB80" s="217">
        <f t="shared" si="983"/>
        <v>0</v>
      </c>
      <c r="CC80" s="218">
        <f t="shared" si="984"/>
        <v>0</v>
      </c>
      <c r="CD80" s="217">
        <f t="shared" si="985"/>
        <v>0</v>
      </c>
      <c r="CE80" s="218">
        <f t="shared" si="986"/>
        <v>0</v>
      </c>
      <c r="CG80" s="176"/>
      <c r="CH80" s="177"/>
      <c r="CI80" s="177"/>
      <c r="CJ80" s="177"/>
      <c r="CK80" s="177"/>
      <c r="CL80" s="177"/>
      <c r="CM80" s="177"/>
      <c r="CN80" s="177"/>
      <c r="CO80" s="177"/>
      <c r="CP80" s="177"/>
      <c r="CQ80" s="177"/>
      <c r="CR80" s="178"/>
      <c r="CS80" s="176"/>
      <c r="CT80" s="178"/>
      <c r="CU80" s="177"/>
      <c r="CV80" s="178"/>
      <c r="CX80" s="131"/>
      <c r="CZ80" s="176"/>
      <c r="DA80" s="177"/>
      <c r="DB80" s="177"/>
      <c r="DC80" s="177"/>
      <c r="DD80" s="177"/>
      <c r="DE80" s="177"/>
      <c r="DF80" s="177"/>
      <c r="DG80" s="177"/>
      <c r="DH80" s="177"/>
      <c r="DI80" s="177"/>
      <c r="DJ80" s="177"/>
      <c r="DK80" s="178"/>
      <c r="DL80" s="176"/>
      <c r="DM80" s="178"/>
      <c r="DN80" s="176"/>
      <c r="DO80" s="178"/>
      <c r="DQ80" s="32"/>
      <c r="DR80" s="34"/>
      <c r="DS80" s="32"/>
      <c r="DT80" s="33"/>
      <c r="DU80" s="34"/>
      <c r="DV80" s="34"/>
      <c r="DW80" s="32"/>
      <c r="DX80" s="33"/>
      <c r="DY80" s="34"/>
      <c r="DZ80" s="34"/>
      <c r="EA80" s="32"/>
      <c r="EB80" s="33"/>
      <c r="EC80" s="34"/>
      <c r="ED80" s="34"/>
      <c r="EE80" s="34"/>
      <c r="EF80" s="32"/>
      <c r="EG80" s="33"/>
      <c r="EH80" s="34"/>
      <c r="EI80" s="33"/>
    </row>
    <row r="81" spans="1:139" x14ac:dyDescent="0.25">
      <c r="A81" s="196"/>
      <c r="B81" s="189"/>
      <c r="C81" s="196"/>
      <c r="D81" s="202">
        <f t="shared" ref="D81:AH81" si="1080">SUM(D74:D80)</f>
        <v>159</v>
      </c>
      <c r="E81" s="202"/>
      <c r="F81" s="202"/>
      <c r="G81" s="203">
        <f t="shared" si="1080"/>
        <v>809.42</v>
      </c>
      <c r="H81" s="202">
        <f t="shared" si="1080"/>
        <v>1</v>
      </c>
      <c r="I81" s="202">
        <f t="shared" si="1080"/>
        <v>0</v>
      </c>
      <c r="J81" s="202">
        <f t="shared" si="1080"/>
        <v>1</v>
      </c>
      <c r="K81" s="202">
        <f t="shared" si="1080"/>
        <v>0</v>
      </c>
      <c r="L81" s="204">
        <f t="shared" si="1080"/>
        <v>0</v>
      </c>
      <c r="M81" s="202">
        <f t="shared" si="1080"/>
        <v>0</v>
      </c>
      <c r="N81" s="204">
        <f t="shared" si="1080"/>
        <v>0</v>
      </c>
      <c r="O81" s="202">
        <f t="shared" si="1080"/>
        <v>0</v>
      </c>
      <c r="P81" s="204">
        <f t="shared" si="1080"/>
        <v>0</v>
      </c>
      <c r="Q81" s="202">
        <f t="shared" si="1080"/>
        <v>0</v>
      </c>
      <c r="R81" s="204">
        <f t="shared" si="1080"/>
        <v>1</v>
      </c>
      <c r="S81" s="202">
        <f t="shared" si="1080"/>
        <v>46</v>
      </c>
      <c r="T81" s="205">
        <f t="shared" si="1080"/>
        <v>10</v>
      </c>
      <c r="U81" s="205">
        <f t="shared" si="1080"/>
        <v>36</v>
      </c>
      <c r="V81" s="203">
        <f t="shared" si="1080"/>
        <v>5</v>
      </c>
      <c r="W81" s="205">
        <f t="shared" si="1080"/>
        <v>1</v>
      </c>
      <c r="X81" s="205">
        <f t="shared" si="1080"/>
        <v>4</v>
      </c>
      <c r="Y81" s="202">
        <f t="shared" si="1080"/>
        <v>6</v>
      </c>
      <c r="Z81" s="204">
        <f t="shared" si="1080"/>
        <v>2</v>
      </c>
      <c r="AA81" s="202">
        <f t="shared" si="1080"/>
        <v>0</v>
      </c>
      <c r="AB81" s="202">
        <f t="shared" si="1080"/>
        <v>0</v>
      </c>
      <c r="AC81" s="205">
        <f t="shared" si="1080"/>
        <v>0</v>
      </c>
      <c r="AD81" s="202">
        <f t="shared" si="1080"/>
        <v>0</v>
      </c>
      <c r="AE81" s="202">
        <f t="shared" si="1080"/>
        <v>0</v>
      </c>
      <c r="AF81" s="205">
        <f t="shared" si="1080"/>
        <v>0</v>
      </c>
      <c r="AG81" s="202">
        <f t="shared" si="1080"/>
        <v>0</v>
      </c>
      <c r="AH81" s="204">
        <f t="shared" si="1080"/>
        <v>0</v>
      </c>
      <c r="AI81" s="357"/>
      <c r="AJ81" s="12"/>
      <c r="AK81" s="5"/>
      <c r="AL81" s="9"/>
      <c r="AM81" s="358"/>
      <c r="AN81" s="5"/>
      <c r="AO81" s="13"/>
      <c r="AQ81" s="131"/>
      <c r="AR81" s="131"/>
      <c r="AS81" s="191"/>
      <c r="AT81" s="192"/>
      <c r="AU81" s="193"/>
      <c r="AV81" s="194">
        <f>AVERAGE(AV74:AV78)*5+AVERAGE(AV79:AV80)*2</f>
        <v>862.63333333333333</v>
      </c>
      <c r="AW81" s="131"/>
      <c r="AY81" s="212"/>
      <c r="AZ81" s="213"/>
      <c r="BA81" s="214"/>
      <c r="BB81" s="214"/>
      <c r="BC81" s="212"/>
      <c r="BD81" s="213"/>
      <c r="BE81" s="212"/>
      <c r="BF81" s="213"/>
      <c r="BG81" s="214"/>
      <c r="BH81" s="214"/>
      <c r="BI81" s="214"/>
      <c r="BJ81" s="213"/>
      <c r="BK81" s="156"/>
      <c r="BL81" s="156"/>
      <c r="BM81" s="156"/>
      <c r="BN81" s="156"/>
      <c r="BO81" s="50"/>
      <c r="BP81" s="217"/>
      <c r="BQ81" s="218"/>
      <c r="BR81" s="217"/>
      <c r="BS81" s="218"/>
      <c r="BT81" s="217"/>
      <c r="BU81" s="218"/>
      <c r="BV81" s="217"/>
      <c r="BW81" s="218"/>
      <c r="BX81" s="217"/>
      <c r="BY81" s="218"/>
      <c r="BZ81" s="217"/>
      <c r="CA81" s="218"/>
      <c r="CB81" s="510"/>
      <c r="CC81" s="354"/>
      <c r="CD81" s="354"/>
      <c r="CE81" s="511"/>
      <c r="CG81" s="219"/>
      <c r="CH81" s="220"/>
      <c r="CI81" s="220"/>
      <c r="CJ81" s="220"/>
      <c r="CK81" s="220"/>
      <c r="CL81" s="220"/>
      <c r="CM81" s="220"/>
      <c r="CN81" s="220"/>
      <c r="CO81" s="220"/>
      <c r="CP81" s="220"/>
      <c r="CQ81" s="220"/>
      <c r="CR81" s="221"/>
      <c r="CS81" s="219"/>
      <c r="CT81" s="220"/>
      <c r="CU81" s="220"/>
      <c r="CV81" s="221"/>
      <c r="CX81" s="222"/>
      <c r="CZ81" s="226">
        <f t="shared" ref="CZ81:DO81" si="1081">CZ79+CZ74</f>
        <v>0.92833007291481406</v>
      </c>
      <c r="DA81" s="227">
        <f t="shared" si="1081"/>
        <v>0</v>
      </c>
      <c r="DB81" s="227">
        <f t="shared" si="1081"/>
        <v>0</v>
      </c>
      <c r="DC81" s="227">
        <f t="shared" si="1081"/>
        <v>0</v>
      </c>
      <c r="DD81" s="227">
        <f t="shared" si="1081"/>
        <v>0</v>
      </c>
      <c r="DE81" s="227">
        <f t="shared" si="1081"/>
        <v>0</v>
      </c>
      <c r="DF81" s="227">
        <f t="shared" si="1081"/>
        <v>0.92833007291481406</v>
      </c>
      <c r="DG81" s="227">
        <f t="shared" si="1081"/>
        <v>0</v>
      </c>
      <c r="DH81" s="227">
        <f t="shared" si="1081"/>
        <v>50.43048354227404</v>
      </c>
      <c r="DI81" s="227">
        <f t="shared" si="1081"/>
        <v>5.4775205764281303</v>
      </c>
      <c r="DJ81" s="227">
        <f t="shared" si="1081"/>
        <v>0</v>
      </c>
      <c r="DK81" s="228">
        <f t="shared" si="1081"/>
        <v>0</v>
      </c>
      <c r="DL81" s="226">
        <f t="shared" si="1081"/>
        <v>0</v>
      </c>
      <c r="DM81" s="228">
        <f t="shared" si="1081"/>
        <v>0</v>
      </c>
      <c r="DN81" s="226">
        <f t="shared" si="1081"/>
        <v>0</v>
      </c>
      <c r="DO81" s="228">
        <f t="shared" si="1081"/>
        <v>0</v>
      </c>
      <c r="DQ81" s="32"/>
      <c r="DR81" s="34"/>
      <c r="DS81" s="32"/>
      <c r="DT81" s="33"/>
      <c r="DU81" s="34"/>
      <c r="DV81" s="34"/>
      <c r="DW81" s="32"/>
      <c r="DX81" s="33"/>
      <c r="DY81" s="34"/>
      <c r="DZ81" s="34"/>
      <c r="EA81" s="32"/>
      <c r="EB81" s="33"/>
      <c r="EC81" s="34"/>
      <c r="ED81" s="34"/>
      <c r="EE81" s="34"/>
      <c r="EF81" s="32"/>
      <c r="EG81" s="33"/>
      <c r="EH81" s="34"/>
      <c r="EI81" s="33"/>
    </row>
    <row r="82" spans="1:139" x14ac:dyDescent="0.25">
      <c r="AJ82" s="12"/>
      <c r="AK82" s="5"/>
      <c r="AL82" s="9"/>
      <c r="AM82" s="358"/>
      <c r="AN82" s="5"/>
      <c r="AO82" s="13"/>
    </row>
    <row r="83" spans="1:139" x14ac:dyDescent="0.25">
      <c r="A83" s="206">
        <f>A74+7</f>
        <v>45936</v>
      </c>
      <c r="B83" s="207" t="s">
        <v>7</v>
      </c>
      <c r="C83" s="206"/>
      <c r="D83" s="56">
        <v>15</v>
      </c>
      <c r="E83" s="130">
        <v>16</v>
      </c>
      <c r="F83" s="130">
        <v>25.59</v>
      </c>
      <c r="G83" s="603">
        <v>26.76</v>
      </c>
      <c r="H83" s="208">
        <f t="shared" ref="H83:H89" si="1082">I83+J83</f>
        <v>0</v>
      </c>
      <c r="I83" s="208">
        <f t="shared" ref="I83:I89" si="1083">K83+M83+Q83</f>
        <v>0</v>
      </c>
      <c r="J83" s="208">
        <f t="shared" ref="J83:J89" si="1084">L83+N83+R83</f>
        <v>0</v>
      </c>
      <c r="K83" s="604"/>
      <c r="L83" s="42"/>
      <c r="M83" s="41"/>
      <c r="N83" s="42"/>
      <c r="O83" s="165"/>
      <c r="P83" s="165"/>
      <c r="Q83" s="41"/>
      <c r="R83" s="42"/>
      <c r="S83" s="319">
        <f t="shared" ref="S83:S89" si="1085">T83+U83</f>
        <v>3</v>
      </c>
      <c r="T83" s="229"/>
      <c r="U83" s="229">
        <v>3</v>
      </c>
      <c r="V83" s="319">
        <f t="shared" ref="V83:V89" si="1086">W83+X83</f>
        <v>1</v>
      </c>
      <c r="W83" s="229"/>
      <c r="X83" s="229">
        <v>1</v>
      </c>
      <c r="Y83" s="130"/>
      <c r="Z83" s="605"/>
      <c r="AA83" s="319">
        <f t="shared" ref="AA83:AA89" si="1087">AB83+AC83</f>
        <v>0</v>
      </c>
      <c r="AB83" s="165"/>
      <c r="AC83" s="165"/>
      <c r="AD83" s="319">
        <f t="shared" ref="AD83:AD89" si="1088">AE83+AF83</f>
        <v>0</v>
      </c>
      <c r="AE83" s="130"/>
      <c r="AF83" s="229"/>
      <c r="AG83" s="41"/>
      <c r="AH83" s="42"/>
      <c r="AJ83" s="580"/>
      <c r="AK83" s="77"/>
      <c r="AL83" s="117"/>
      <c r="AM83" s="149"/>
      <c r="AN83" s="77"/>
      <c r="AO83" s="581"/>
      <c r="AQ83" s="41">
        <v>16</v>
      </c>
      <c r="AR83" s="42">
        <v>3</v>
      </c>
      <c r="AS83" s="570">
        <f t="shared" ref="AS83:AS89" si="1089">AQ83/AR83</f>
        <v>5.333333333333333</v>
      </c>
      <c r="AT83" s="359">
        <v>11.3</v>
      </c>
      <c r="AU83" s="190">
        <v>1</v>
      </c>
      <c r="AV83" s="179">
        <f t="shared" ref="AV83:AV89" si="1090">AT83*AS83*AU83</f>
        <v>60.266666666666666</v>
      </c>
      <c r="AW83" s="28">
        <v>16</v>
      </c>
      <c r="AY83" s="209">
        <f t="shared" ref="AY83:AY89" si="1091">H83/G83</f>
        <v>0</v>
      </c>
      <c r="AZ83" s="210">
        <f t="shared" ref="AZ83:AZ89" si="1092">I83/G83</f>
        <v>0</v>
      </c>
      <c r="BA83" s="211">
        <f t="shared" ref="BA83:BA89" si="1093">(K83+L83)/$G83</f>
        <v>0</v>
      </c>
      <c r="BB83" s="211">
        <f t="shared" ref="BB83:BB89" si="1094">K83/$G83</f>
        <v>0</v>
      </c>
      <c r="BC83" s="209">
        <f t="shared" ref="BC83:BC89" si="1095">(M83+N83)/$G83</f>
        <v>0</v>
      </c>
      <c r="BD83" s="210">
        <f t="shared" ref="BD83:BD89" si="1096">M83/$G83</f>
        <v>0</v>
      </c>
      <c r="BE83" s="209">
        <f t="shared" ref="BE83:BE89" si="1097">(Q83+R83)/$G83</f>
        <v>0</v>
      </c>
      <c r="BF83" s="210">
        <f t="shared" ref="BF83:BF89" si="1098">Q83/$G83</f>
        <v>0</v>
      </c>
      <c r="BG83" s="211">
        <f t="shared" ref="BG83:BG89" si="1099">S83/$G83</f>
        <v>0.11210762331838564</v>
      </c>
      <c r="BH83" s="211">
        <f t="shared" ref="BH83:BH89" si="1100">V83/$G83</f>
        <v>3.7369207772795211E-2</v>
      </c>
      <c r="BI83" s="211">
        <f t="shared" ref="BI83:BI89" si="1101">AA83/$G83</f>
        <v>0</v>
      </c>
      <c r="BJ83" s="210">
        <f t="shared" ref="BJ83:BJ89" si="1102">AH83/$G83</f>
        <v>0</v>
      </c>
      <c r="BK83" s="210"/>
      <c r="BL83" s="210"/>
      <c r="BM83" s="210"/>
      <c r="BN83" s="210"/>
      <c r="BO83" s="50"/>
      <c r="BP83" s="215">
        <f t="shared" ref="BP83:BP89" si="1103">AY83*$AV83</f>
        <v>0</v>
      </c>
      <c r="BQ83" s="216">
        <f t="shared" ref="BQ83:BQ89" si="1104">AZ83*$AV83</f>
        <v>0</v>
      </c>
      <c r="BR83" s="215">
        <f t="shared" ref="BR83:BR89" si="1105">BA83*$AV83</f>
        <v>0</v>
      </c>
      <c r="BS83" s="216">
        <f t="shared" ref="BS83:BS89" si="1106">BB83*$AV83</f>
        <v>0</v>
      </c>
      <c r="BT83" s="215">
        <f t="shared" ref="BT83:BT89" si="1107">BC83*$AV83</f>
        <v>0</v>
      </c>
      <c r="BU83" s="216">
        <f t="shared" ref="BU83:BU89" si="1108">BD83*$AV83</f>
        <v>0</v>
      </c>
      <c r="BV83" s="215">
        <f t="shared" ref="BV83:BV89" si="1109">BE83*$AV83</f>
        <v>0</v>
      </c>
      <c r="BW83" s="216">
        <f t="shared" ref="BW83:BW89" si="1110">BF83*$AV83</f>
        <v>0</v>
      </c>
      <c r="BX83" s="215">
        <f t="shared" ref="BX83:BX89" si="1111">BG83*$AV83</f>
        <v>6.7563527653213749</v>
      </c>
      <c r="BY83" s="216">
        <f t="shared" ref="BY83:BY89" si="1112">BH83*$AV83</f>
        <v>2.2521175884404578</v>
      </c>
      <c r="BZ83" s="215">
        <f t="shared" ref="BZ83:BZ89" si="1113">BI83*$AV83</f>
        <v>0</v>
      </c>
      <c r="CA83" s="216">
        <f t="shared" ref="CA83:CA89" si="1114">BJ83*$AV83</f>
        <v>0</v>
      </c>
      <c r="CB83" s="215">
        <f t="shared" ref="CB83:CB89" si="1115">BK83*$AV83</f>
        <v>0</v>
      </c>
      <c r="CC83" s="216">
        <f t="shared" ref="CC83:CC89" si="1116">BL83*$AV83</f>
        <v>0</v>
      </c>
      <c r="CD83" s="215">
        <f t="shared" ref="CD83:CD89" si="1117">BM83*$AV83</f>
        <v>0</v>
      </c>
      <c r="CE83" s="216">
        <f t="shared" ref="CE83:CE89" si="1118">BN83*$AV83</f>
        <v>0</v>
      </c>
      <c r="CG83" s="215">
        <f t="shared" ref="CG83" si="1119">AVERAGE(BP83:BP87)</f>
        <v>0.204348487152197</v>
      </c>
      <c r="CH83" s="175">
        <f t="shared" ref="CH83" si="1120">AVERAGE(BQ83:BQ87)</f>
        <v>0</v>
      </c>
      <c r="CI83" s="175">
        <f t="shared" ref="CI83" si="1121">AVERAGE(BR83:BR87)</f>
        <v>0</v>
      </c>
      <c r="CJ83" s="175">
        <f t="shared" ref="CJ83" si="1122">AVERAGE(BS83:BS87)</f>
        <v>0</v>
      </c>
      <c r="CK83" s="175">
        <f t="shared" ref="CK83" si="1123">AVERAGE(BT83:BT87)</f>
        <v>0.204348487152197</v>
      </c>
      <c r="CL83" s="175">
        <f t="shared" ref="CL83" si="1124">AVERAGE(BU83:BU87)</f>
        <v>0</v>
      </c>
      <c r="CM83" s="175">
        <f t="shared" ref="CM83" si="1125">AVERAGE(BV83:BV87)</f>
        <v>0</v>
      </c>
      <c r="CN83" s="175">
        <f t="shared" ref="CN83" si="1126">AVERAGE(BW83:BW87)</f>
        <v>0</v>
      </c>
      <c r="CO83" s="175">
        <f t="shared" ref="CO83" si="1127">AVERAGE(BX83:BX87)</f>
        <v>3.1151055793390205</v>
      </c>
      <c r="CP83" s="175">
        <f t="shared" ref="CP83" si="1128">AVERAGE(BY83:BY87)</f>
        <v>0.88745752082836837</v>
      </c>
      <c r="CQ83" s="175">
        <f t="shared" ref="CQ83" si="1129">AVERAGE(BZ83:BZ87)</f>
        <v>0.15208951815482988</v>
      </c>
      <c r="CR83" s="216">
        <f t="shared" ref="CR83" si="1130">AVERAGE(CA83:CA87)</f>
        <v>0</v>
      </c>
      <c r="CS83" s="215">
        <f t="shared" ref="CS83" si="1131">AVERAGE(CB83:CB87)</f>
        <v>0</v>
      </c>
      <c r="CT83" s="216">
        <f t="shared" ref="CT83" si="1132">AVERAGE(CC83:CC87)</f>
        <v>0</v>
      </c>
      <c r="CU83" s="175">
        <f t="shared" ref="CU83" si="1133">AVERAGE(CD83:CD87)</f>
        <v>0</v>
      </c>
      <c r="CV83" s="216">
        <f t="shared" ref="CV83" si="1134">AVERAGE(CE83:CE87)</f>
        <v>0</v>
      </c>
      <c r="CX83" s="56">
        <v>5</v>
      </c>
      <c r="CZ83" s="223">
        <f t="shared" ref="CZ83" si="1135">CG83*$CX83</f>
        <v>1.021742435760985</v>
      </c>
      <c r="DA83" s="159">
        <f t="shared" ref="DA83" si="1136">CH83*$CX83</f>
        <v>0</v>
      </c>
      <c r="DB83" s="159">
        <f t="shared" ref="DB83" si="1137">CI83*$CX83</f>
        <v>0</v>
      </c>
      <c r="DC83" s="159">
        <f t="shared" ref="DC83" si="1138">CJ83*$CX83</f>
        <v>0</v>
      </c>
      <c r="DD83" s="159">
        <f t="shared" ref="DD83" si="1139">CK83*$CX83</f>
        <v>1.021742435760985</v>
      </c>
      <c r="DE83" s="159">
        <f t="shared" ref="DE83" si="1140">CL83*$CX83</f>
        <v>0</v>
      </c>
      <c r="DF83" s="159">
        <f t="shared" ref="DF83" si="1141">CM83*$CX83</f>
        <v>0</v>
      </c>
      <c r="DG83" s="159">
        <f t="shared" ref="DG83" si="1142">CN83*$CX83</f>
        <v>0</v>
      </c>
      <c r="DH83" s="159">
        <f t="shared" ref="DH83" si="1143">CO83*$CX83</f>
        <v>15.575527896695103</v>
      </c>
      <c r="DI83" s="159">
        <f t="shared" ref="DI83" si="1144">CP83*$CX83</f>
        <v>4.4372876041418419</v>
      </c>
      <c r="DJ83" s="159">
        <f t="shared" ref="DJ83" si="1145">CQ83*$CX83</f>
        <v>0.76044759077414936</v>
      </c>
      <c r="DK83" s="224">
        <f t="shared" ref="DK83" si="1146">CR83*$CX83</f>
        <v>0</v>
      </c>
      <c r="DL83" s="223">
        <f t="shared" ref="DL83" si="1147">CS83*$CX83</f>
        <v>0</v>
      </c>
      <c r="DM83" s="224">
        <f t="shared" ref="DM83" si="1148">CT83*$CX83</f>
        <v>0</v>
      </c>
      <c r="DN83" s="223">
        <f t="shared" ref="DN83" si="1149">CU83*$CX83</f>
        <v>0</v>
      </c>
      <c r="DO83" s="224">
        <f t="shared" ref="DO83" si="1150">CV83*$CX83</f>
        <v>0</v>
      </c>
      <c r="DQ83" s="130"/>
      <c r="DR83" s="229"/>
      <c r="DS83" s="130"/>
      <c r="DT83" s="230"/>
      <c r="DU83" s="229"/>
      <c r="DV83" s="229"/>
      <c r="DW83" s="130"/>
      <c r="DX83" s="230"/>
      <c r="DY83" s="229"/>
      <c r="DZ83" s="229"/>
      <c r="EA83" s="130"/>
      <c r="EB83" s="230"/>
      <c r="EC83" s="229"/>
      <c r="ED83" s="229"/>
      <c r="EE83" s="229"/>
      <c r="EF83" s="130"/>
      <c r="EG83" s="230"/>
      <c r="EH83" s="229"/>
      <c r="EI83" s="230"/>
    </row>
    <row r="84" spans="1:139" x14ac:dyDescent="0.25">
      <c r="A84" s="195">
        <f t="shared" ref="A84:A89" si="1151">A83+1</f>
        <v>45937</v>
      </c>
      <c r="B84" s="158" t="s">
        <v>94</v>
      </c>
      <c r="C84" s="195"/>
      <c r="D84" s="150">
        <v>14</v>
      </c>
      <c r="E84" s="117">
        <v>17</v>
      </c>
      <c r="F84" s="117">
        <v>57.05</v>
      </c>
      <c r="G84" s="606">
        <v>68.760000000000005</v>
      </c>
      <c r="H84" s="169">
        <f t="shared" si="1082"/>
        <v>0</v>
      </c>
      <c r="I84" s="169">
        <f t="shared" si="1083"/>
        <v>0</v>
      </c>
      <c r="J84" s="169">
        <f t="shared" si="1084"/>
        <v>0</v>
      </c>
      <c r="K84" s="132"/>
      <c r="L84" s="151"/>
      <c r="M84" s="45"/>
      <c r="N84" s="151"/>
      <c r="Q84" s="45"/>
      <c r="R84" s="151"/>
      <c r="S84" s="320">
        <f t="shared" si="1085"/>
        <v>1</v>
      </c>
      <c r="T84" s="77"/>
      <c r="U84" s="77">
        <v>1</v>
      </c>
      <c r="V84" s="320">
        <f t="shared" si="1086"/>
        <v>1</v>
      </c>
      <c r="W84" s="77"/>
      <c r="X84" s="77">
        <v>1</v>
      </c>
      <c r="Y84" s="117"/>
      <c r="Z84" s="581"/>
      <c r="AA84" s="320">
        <f t="shared" si="1087"/>
        <v>0</v>
      </c>
      <c r="AD84" s="320">
        <f t="shared" si="1088"/>
        <v>0</v>
      </c>
      <c r="AE84" s="117"/>
      <c r="AF84" s="77"/>
      <c r="AG84" s="45"/>
      <c r="AH84" s="151"/>
      <c r="AJ84" s="580"/>
      <c r="AK84" s="77"/>
      <c r="AL84" s="117"/>
      <c r="AM84" s="149"/>
      <c r="AN84" s="77"/>
      <c r="AO84" s="581"/>
      <c r="AQ84" s="45">
        <v>17</v>
      </c>
      <c r="AR84" s="151">
        <v>2</v>
      </c>
      <c r="AS84" s="571">
        <f t="shared" si="1089"/>
        <v>8.5</v>
      </c>
      <c r="AT84" s="152">
        <v>11.3</v>
      </c>
      <c r="AU84" s="153">
        <v>1</v>
      </c>
      <c r="AV84" s="154">
        <f t="shared" si="1090"/>
        <v>96.050000000000011</v>
      </c>
      <c r="AW84" s="50">
        <v>10</v>
      </c>
      <c r="AY84" s="155">
        <f t="shared" si="1091"/>
        <v>0</v>
      </c>
      <c r="AZ84" s="156">
        <f t="shared" si="1092"/>
        <v>0</v>
      </c>
      <c r="BA84" s="127">
        <f t="shared" si="1093"/>
        <v>0</v>
      </c>
      <c r="BB84" s="127">
        <f t="shared" si="1094"/>
        <v>0</v>
      </c>
      <c r="BC84" s="155">
        <f t="shared" si="1095"/>
        <v>0</v>
      </c>
      <c r="BD84" s="156">
        <f t="shared" si="1096"/>
        <v>0</v>
      </c>
      <c r="BE84" s="155">
        <f t="shared" si="1097"/>
        <v>0</v>
      </c>
      <c r="BF84" s="156">
        <f t="shared" si="1098"/>
        <v>0</v>
      </c>
      <c r="BG84" s="127">
        <f t="shared" si="1099"/>
        <v>1.4543339150668992E-2</v>
      </c>
      <c r="BH84" s="127">
        <f t="shared" si="1100"/>
        <v>1.4543339150668992E-2</v>
      </c>
      <c r="BI84" s="127">
        <f t="shared" si="1101"/>
        <v>0</v>
      </c>
      <c r="BJ84" s="156">
        <f t="shared" si="1102"/>
        <v>0</v>
      </c>
      <c r="BK84" s="156"/>
      <c r="BL84" s="156"/>
      <c r="BM84" s="156"/>
      <c r="BN84" s="156"/>
      <c r="BO84" s="50"/>
      <c r="BP84" s="51">
        <f t="shared" si="1103"/>
        <v>0</v>
      </c>
      <c r="BQ84" s="157">
        <f t="shared" si="1104"/>
        <v>0</v>
      </c>
      <c r="BR84" s="51">
        <f t="shared" si="1105"/>
        <v>0</v>
      </c>
      <c r="BS84" s="157">
        <f t="shared" si="1106"/>
        <v>0</v>
      </c>
      <c r="BT84" s="51">
        <f t="shared" si="1107"/>
        <v>0</v>
      </c>
      <c r="BU84" s="157">
        <f t="shared" si="1108"/>
        <v>0</v>
      </c>
      <c r="BV84" s="51">
        <f t="shared" si="1109"/>
        <v>0</v>
      </c>
      <c r="BW84" s="157">
        <f t="shared" si="1110"/>
        <v>0</v>
      </c>
      <c r="BX84" s="51">
        <f t="shared" si="1111"/>
        <v>1.3968877254217569</v>
      </c>
      <c r="BY84" s="157">
        <f t="shared" si="1112"/>
        <v>1.3968877254217569</v>
      </c>
      <c r="BZ84" s="51">
        <f t="shared" si="1113"/>
        <v>0</v>
      </c>
      <c r="CA84" s="157">
        <f t="shared" si="1114"/>
        <v>0</v>
      </c>
      <c r="CB84" s="51">
        <f t="shared" si="1115"/>
        <v>0</v>
      </c>
      <c r="CC84" s="157">
        <f t="shared" si="1116"/>
        <v>0</v>
      </c>
      <c r="CD84" s="51">
        <f t="shared" si="1117"/>
        <v>0</v>
      </c>
      <c r="CE84" s="157">
        <f t="shared" si="1118"/>
        <v>0</v>
      </c>
      <c r="CG84" s="45"/>
      <c r="CR84" s="151"/>
      <c r="CS84" s="45"/>
      <c r="CT84" s="151"/>
      <c r="CV84" s="151"/>
      <c r="CX84" s="50"/>
      <c r="CZ84" s="45"/>
      <c r="DK84" s="151"/>
      <c r="DL84" s="45"/>
      <c r="DM84" s="151"/>
      <c r="DN84" s="45"/>
      <c r="DO84" s="151"/>
      <c r="DQ84" s="117"/>
      <c r="DR84" s="77"/>
      <c r="DS84" s="117"/>
      <c r="DT84" s="149"/>
      <c r="DU84" s="77"/>
      <c r="DV84" s="77"/>
      <c r="DW84" s="117"/>
      <c r="DX84" s="149"/>
      <c r="DY84" s="77"/>
      <c r="DZ84" s="77"/>
      <c r="EA84" s="117"/>
      <c r="EB84" s="149"/>
      <c r="EC84" s="77"/>
      <c r="ED84" s="77"/>
      <c r="EE84" s="77"/>
      <c r="EF84" s="117"/>
      <c r="EG84" s="149"/>
      <c r="EH84" s="77"/>
      <c r="EI84" s="149"/>
    </row>
    <row r="85" spans="1:139" x14ac:dyDescent="0.25">
      <c r="A85" s="195">
        <f t="shared" si="1151"/>
        <v>45938</v>
      </c>
      <c r="B85" s="158" t="s">
        <v>11</v>
      </c>
      <c r="C85" s="195"/>
      <c r="D85" s="150">
        <v>15</v>
      </c>
      <c r="E85" s="117">
        <v>18</v>
      </c>
      <c r="F85" s="117">
        <v>48.09</v>
      </c>
      <c r="G85" s="606">
        <v>65.77</v>
      </c>
      <c r="H85" s="169">
        <f t="shared" si="1082"/>
        <v>1</v>
      </c>
      <c r="I85" s="169">
        <f t="shared" si="1083"/>
        <v>0</v>
      </c>
      <c r="J85" s="169">
        <f t="shared" si="1084"/>
        <v>1</v>
      </c>
      <c r="K85" s="132"/>
      <c r="L85" s="151"/>
      <c r="M85" s="45"/>
      <c r="N85" s="151">
        <v>1</v>
      </c>
      <c r="Q85" s="45"/>
      <c r="R85" s="151"/>
      <c r="S85" s="320">
        <f t="shared" si="1085"/>
        <v>2</v>
      </c>
      <c r="T85" s="77"/>
      <c r="U85" s="77">
        <v>2</v>
      </c>
      <c r="V85" s="320">
        <f t="shared" si="1086"/>
        <v>0</v>
      </c>
      <c r="W85" s="77"/>
      <c r="X85" s="77"/>
      <c r="Y85" s="117"/>
      <c r="Z85" s="581"/>
      <c r="AA85" s="320">
        <f t="shared" si="1087"/>
        <v>0</v>
      </c>
      <c r="AD85" s="320">
        <f t="shared" si="1088"/>
        <v>0</v>
      </c>
      <c r="AE85" s="117"/>
      <c r="AF85" s="77"/>
      <c r="AG85" s="45"/>
      <c r="AH85" s="151"/>
      <c r="AJ85" s="580"/>
      <c r="AK85" s="77"/>
      <c r="AL85" s="117"/>
      <c r="AM85" s="149"/>
      <c r="AN85" s="77"/>
      <c r="AO85" s="581"/>
      <c r="AQ85" s="45">
        <v>18</v>
      </c>
      <c r="AR85" s="151">
        <v>3</v>
      </c>
      <c r="AS85" s="571">
        <f t="shared" si="1089"/>
        <v>6</v>
      </c>
      <c r="AT85" s="152">
        <v>11.2</v>
      </c>
      <c r="AU85" s="153">
        <v>1</v>
      </c>
      <c r="AV85" s="154">
        <f t="shared" si="1090"/>
        <v>67.199999999999989</v>
      </c>
      <c r="AW85" s="50">
        <v>10</v>
      </c>
      <c r="AY85" s="155">
        <f t="shared" ref="AY85" si="1152">H85/G85</f>
        <v>1.5204500532157519E-2</v>
      </c>
      <c r="AZ85" s="156">
        <f t="shared" ref="AZ85" si="1153">I85/G85</f>
        <v>0</v>
      </c>
      <c r="BA85" s="127">
        <f t="shared" ref="BA85" si="1154">(K85+L85)/$G85</f>
        <v>0</v>
      </c>
      <c r="BB85" s="127">
        <f t="shared" ref="BB85" si="1155">K85/$G85</f>
        <v>0</v>
      </c>
      <c r="BC85" s="155">
        <f t="shared" ref="BC85" si="1156">(M85+N85)/$G85</f>
        <v>1.5204500532157519E-2</v>
      </c>
      <c r="BD85" s="156">
        <f t="shared" ref="BD85" si="1157">M85/$G85</f>
        <v>0</v>
      </c>
      <c r="BE85" s="155">
        <f t="shared" ref="BE85" si="1158">(Q85+R85)/$G85</f>
        <v>0</v>
      </c>
      <c r="BF85" s="156">
        <f t="shared" ref="BF85" si="1159">Q85/$G85</f>
        <v>0</v>
      </c>
      <c r="BG85" s="127">
        <f t="shared" ref="BG85" si="1160">S85/$G85</f>
        <v>3.0409001064315037E-2</v>
      </c>
      <c r="BH85" s="127">
        <f t="shared" ref="BH85" si="1161">V85/$G85</f>
        <v>0</v>
      </c>
      <c r="BI85" s="127">
        <f t="shared" ref="BI85" si="1162">AA85/$G85</f>
        <v>0</v>
      </c>
      <c r="BJ85" s="156">
        <f t="shared" ref="BJ85" si="1163">AH85/$G85</f>
        <v>0</v>
      </c>
      <c r="BK85" s="156"/>
      <c r="BL85" s="156"/>
      <c r="BM85" s="156"/>
      <c r="BN85" s="156"/>
      <c r="BO85" s="50"/>
      <c r="BP85" s="51">
        <f t="shared" ref="BP85" si="1164">AY85*$AV85</f>
        <v>1.021742435760985</v>
      </c>
      <c r="BQ85" s="157">
        <f t="shared" ref="BQ85" si="1165">AZ85*$AV85</f>
        <v>0</v>
      </c>
      <c r="BR85" s="51">
        <f t="shared" ref="BR85" si="1166">BA85*$AV85</f>
        <v>0</v>
      </c>
      <c r="BS85" s="157">
        <f t="shared" ref="BS85" si="1167">BB85*$AV85</f>
        <v>0</v>
      </c>
      <c r="BT85" s="51">
        <f t="shared" ref="BT85" si="1168">BC85*$AV85</f>
        <v>1.021742435760985</v>
      </c>
      <c r="BU85" s="157">
        <f t="shared" ref="BU85" si="1169">BD85*$AV85</f>
        <v>0</v>
      </c>
      <c r="BV85" s="51">
        <f t="shared" ref="BV85" si="1170">BE85*$AV85</f>
        <v>0</v>
      </c>
      <c r="BW85" s="157">
        <f t="shared" ref="BW85" si="1171">BF85*$AV85</f>
        <v>0</v>
      </c>
      <c r="BX85" s="51">
        <f t="shared" ref="BX85" si="1172">BG85*$AV85</f>
        <v>2.04348487152197</v>
      </c>
      <c r="BY85" s="157">
        <f t="shared" ref="BY85" si="1173">BH85*$AV85</f>
        <v>0</v>
      </c>
      <c r="BZ85" s="51">
        <f t="shared" ref="BZ85" si="1174">BI85*$AV85</f>
        <v>0</v>
      </c>
      <c r="CA85" s="157">
        <f t="shared" ref="CA85" si="1175">BJ85*$AV85</f>
        <v>0</v>
      </c>
      <c r="CB85" s="51">
        <f t="shared" ref="CB85" si="1176">BK85*$AV85</f>
        <v>0</v>
      </c>
      <c r="CC85" s="157">
        <f t="shared" ref="CC85" si="1177">BL85*$AV85</f>
        <v>0</v>
      </c>
      <c r="CD85" s="51">
        <f t="shared" ref="CD85" si="1178">BM85*$AV85</f>
        <v>0</v>
      </c>
      <c r="CE85" s="157">
        <f t="shared" ref="CE85" si="1179">BN85*$AV85</f>
        <v>0</v>
      </c>
      <c r="CG85" s="45"/>
      <c r="CR85" s="151"/>
      <c r="CS85" s="45"/>
      <c r="CT85" s="151"/>
      <c r="CV85" s="151"/>
      <c r="CX85" s="50"/>
      <c r="CZ85" s="45"/>
      <c r="DK85" s="151"/>
      <c r="DL85" s="45"/>
      <c r="DM85" s="151"/>
      <c r="DN85" s="45"/>
      <c r="DO85" s="151"/>
      <c r="DQ85" s="117"/>
      <c r="DR85" s="77"/>
      <c r="DS85" s="117"/>
      <c r="DT85" s="149"/>
      <c r="DU85" s="77">
        <v>4</v>
      </c>
      <c r="DV85" s="77"/>
      <c r="DW85" s="117"/>
      <c r="DX85" s="149"/>
      <c r="DY85" s="77"/>
      <c r="DZ85" s="77"/>
      <c r="EA85" s="117"/>
      <c r="EB85" s="149"/>
      <c r="EC85" s="77"/>
      <c r="ED85" s="77"/>
      <c r="EE85" s="77"/>
      <c r="EF85" s="117"/>
      <c r="EG85" s="149"/>
      <c r="EH85" s="77"/>
      <c r="EI85" s="149"/>
    </row>
    <row r="86" spans="1:139" x14ac:dyDescent="0.25">
      <c r="A86" s="195">
        <f t="shared" si="1151"/>
        <v>45939</v>
      </c>
      <c r="B86" s="158" t="s">
        <v>95</v>
      </c>
      <c r="C86" s="195"/>
      <c r="D86" s="150">
        <v>9</v>
      </c>
      <c r="E86" s="117">
        <v>9</v>
      </c>
      <c r="F86" s="117">
        <v>43.79</v>
      </c>
      <c r="G86" s="606">
        <v>43.79</v>
      </c>
      <c r="H86" s="169">
        <f t="shared" si="1082"/>
        <v>0</v>
      </c>
      <c r="I86" s="169">
        <f t="shared" si="1083"/>
        <v>0</v>
      </c>
      <c r="J86" s="169">
        <f t="shared" si="1084"/>
        <v>0</v>
      </c>
      <c r="K86" s="132"/>
      <c r="L86" s="151"/>
      <c r="M86" s="45"/>
      <c r="N86" s="151"/>
      <c r="Q86" s="45"/>
      <c r="R86" s="151"/>
      <c r="S86" s="320">
        <f t="shared" si="1085"/>
        <v>5</v>
      </c>
      <c r="T86" s="77">
        <v>2</v>
      </c>
      <c r="U86" s="77">
        <v>3</v>
      </c>
      <c r="V86" s="320">
        <f t="shared" si="1086"/>
        <v>0</v>
      </c>
      <c r="W86" s="77"/>
      <c r="X86" s="77"/>
      <c r="Y86" s="117"/>
      <c r="Z86" s="581"/>
      <c r="AA86" s="320">
        <f t="shared" si="1087"/>
        <v>1</v>
      </c>
      <c r="AB86" s="27">
        <v>1</v>
      </c>
      <c r="AD86" s="320">
        <f t="shared" si="1088"/>
        <v>0</v>
      </c>
      <c r="AE86" s="117"/>
      <c r="AF86" s="77"/>
      <c r="AG86" s="45"/>
      <c r="AH86" s="151"/>
      <c r="AJ86" s="580"/>
      <c r="AK86" s="77"/>
      <c r="AL86" s="117"/>
      <c r="AM86" s="149"/>
      <c r="AN86" s="77"/>
      <c r="AO86" s="581"/>
      <c r="AQ86" s="45">
        <v>9</v>
      </c>
      <c r="AR86" s="151">
        <v>3</v>
      </c>
      <c r="AS86" s="571">
        <f t="shared" si="1089"/>
        <v>3</v>
      </c>
      <c r="AT86" s="152">
        <v>11.1</v>
      </c>
      <c r="AU86" s="153">
        <v>1</v>
      </c>
      <c r="AV86" s="154">
        <f t="shared" si="1090"/>
        <v>33.299999999999997</v>
      </c>
      <c r="AW86" s="50">
        <v>8</v>
      </c>
      <c r="AY86" s="155">
        <f t="shared" si="1091"/>
        <v>0</v>
      </c>
      <c r="AZ86" s="156">
        <f t="shared" si="1092"/>
        <v>0</v>
      </c>
      <c r="BA86" s="127">
        <f t="shared" si="1093"/>
        <v>0</v>
      </c>
      <c r="BB86" s="127">
        <f t="shared" si="1094"/>
        <v>0</v>
      </c>
      <c r="BC86" s="155">
        <f t="shared" si="1095"/>
        <v>0</v>
      </c>
      <c r="BD86" s="156">
        <f t="shared" si="1096"/>
        <v>0</v>
      </c>
      <c r="BE86" s="155">
        <f t="shared" si="1097"/>
        <v>0</v>
      </c>
      <c r="BF86" s="156">
        <f t="shared" si="1098"/>
        <v>0</v>
      </c>
      <c r="BG86" s="127">
        <f t="shared" si="1099"/>
        <v>0.11418131993605846</v>
      </c>
      <c r="BH86" s="127">
        <f t="shared" si="1100"/>
        <v>0</v>
      </c>
      <c r="BI86" s="127">
        <f t="shared" si="1101"/>
        <v>2.2836263987211693E-2</v>
      </c>
      <c r="BJ86" s="156">
        <f t="shared" si="1102"/>
        <v>0</v>
      </c>
      <c r="BK86" s="156"/>
      <c r="BL86" s="156"/>
      <c r="BM86" s="156"/>
      <c r="BN86" s="156"/>
      <c r="BO86" s="50"/>
      <c r="BP86" s="51">
        <f t="shared" si="1103"/>
        <v>0</v>
      </c>
      <c r="BQ86" s="157">
        <f t="shared" si="1104"/>
        <v>0</v>
      </c>
      <c r="BR86" s="51">
        <f t="shared" si="1105"/>
        <v>0</v>
      </c>
      <c r="BS86" s="157">
        <f t="shared" si="1106"/>
        <v>0</v>
      </c>
      <c r="BT86" s="51">
        <f t="shared" si="1107"/>
        <v>0</v>
      </c>
      <c r="BU86" s="157">
        <f t="shared" si="1108"/>
        <v>0</v>
      </c>
      <c r="BV86" s="51">
        <f t="shared" si="1109"/>
        <v>0</v>
      </c>
      <c r="BW86" s="157">
        <f t="shared" si="1110"/>
        <v>0</v>
      </c>
      <c r="BX86" s="51">
        <f t="shared" si="1111"/>
        <v>3.8022379538707463</v>
      </c>
      <c r="BY86" s="157">
        <f t="shared" si="1112"/>
        <v>0</v>
      </c>
      <c r="BZ86" s="51">
        <f t="shared" si="1113"/>
        <v>0.76044759077414936</v>
      </c>
      <c r="CA86" s="157">
        <f t="shared" si="1114"/>
        <v>0</v>
      </c>
      <c r="CB86" s="51">
        <f t="shared" si="1115"/>
        <v>0</v>
      </c>
      <c r="CC86" s="157">
        <f t="shared" si="1116"/>
        <v>0</v>
      </c>
      <c r="CD86" s="51">
        <f t="shared" si="1117"/>
        <v>0</v>
      </c>
      <c r="CE86" s="157">
        <f t="shared" si="1118"/>
        <v>0</v>
      </c>
      <c r="CG86" s="45"/>
      <c r="CR86" s="151"/>
      <c r="CS86" s="45"/>
      <c r="CT86" s="151"/>
      <c r="CV86" s="151"/>
      <c r="CX86" s="50"/>
      <c r="CZ86" s="45"/>
      <c r="DK86" s="151"/>
      <c r="DL86" s="45"/>
      <c r="DM86" s="151"/>
      <c r="DN86" s="45"/>
      <c r="DO86" s="151"/>
      <c r="DQ86" s="117"/>
      <c r="DR86" s="77"/>
      <c r="DS86" s="117"/>
      <c r="DT86" s="149"/>
      <c r="DU86" s="77"/>
      <c r="DV86" s="77"/>
      <c r="DW86" s="117"/>
      <c r="DX86" s="149"/>
      <c r="DY86" s="77"/>
      <c r="DZ86" s="77"/>
      <c r="EA86" s="117"/>
      <c r="EB86" s="149"/>
      <c r="EC86" s="77"/>
      <c r="ED86" s="77"/>
      <c r="EE86" s="77"/>
      <c r="EF86" s="117"/>
      <c r="EG86" s="149"/>
      <c r="EH86" s="77"/>
      <c r="EI86" s="149"/>
    </row>
    <row r="87" spans="1:139" x14ac:dyDescent="0.25">
      <c r="A87" s="195">
        <f t="shared" si="1151"/>
        <v>45940</v>
      </c>
      <c r="B87" s="195" t="s">
        <v>13</v>
      </c>
      <c r="C87" s="195"/>
      <c r="D87" s="150">
        <v>6</v>
      </c>
      <c r="E87" s="117">
        <v>8</v>
      </c>
      <c r="F87" s="117">
        <v>29.68</v>
      </c>
      <c r="G87" s="606">
        <v>37.549999999999997</v>
      </c>
      <c r="H87" s="169">
        <f t="shared" si="1082"/>
        <v>0</v>
      </c>
      <c r="I87" s="169">
        <f t="shared" si="1083"/>
        <v>0</v>
      </c>
      <c r="J87" s="169">
        <f t="shared" si="1084"/>
        <v>0</v>
      </c>
      <c r="K87" s="132"/>
      <c r="L87" s="151"/>
      <c r="M87" s="45"/>
      <c r="N87" s="151"/>
      <c r="Q87" s="45"/>
      <c r="R87" s="151"/>
      <c r="S87" s="320">
        <f t="shared" si="1085"/>
        <v>2</v>
      </c>
      <c r="T87" s="77">
        <v>1</v>
      </c>
      <c r="U87" s="77">
        <v>1</v>
      </c>
      <c r="V87" s="320">
        <f t="shared" si="1086"/>
        <v>1</v>
      </c>
      <c r="W87" s="77"/>
      <c r="X87" s="77">
        <v>1</v>
      </c>
      <c r="Y87" s="117"/>
      <c r="Z87" s="581"/>
      <c r="AA87" s="320">
        <f t="shared" si="1087"/>
        <v>0</v>
      </c>
      <c r="AD87" s="320">
        <f t="shared" si="1088"/>
        <v>0</v>
      </c>
      <c r="AE87" s="117"/>
      <c r="AF87" s="77"/>
      <c r="AG87" s="45"/>
      <c r="AH87" s="151"/>
      <c r="AJ87" s="580"/>
      <c r="AK87" s="77"/>
      <c r="AL87" s="117"/>
      <c r="AM87" s="149"/>
      <c r="AN87" s="77"/>
      <c r="AO87" s="581"/>
      <c r="AQ87" s="45">
        <v>8</v>
      </c>
      <c r="AR87" s="151">
        <v>3</v>
      </c>
      <c r="AS87" s="571">
        <f t="shared" si="1089"/>
        <v>2.6666666666666665</v>
      </c>
      <c r="AT87" s="152">
        <v>11.1</v>
      </c>
      <c r="AU87" s="153">
        <v>1</v>
      </c>
      <c r="AV87" s="154">
        <f t="shared" si="1090"/>
        <v>29.599999999999998</v>
      </c>
      <c r="AW87" s="50">
        <v>11</v>
      </c>
      <c r="AY87" s="155">
        <f t="shared" si="1091"/>
        <v>0</v>
      </c>
      <c r="AZ87" s="156">
        <f t="shared" si="1092"/>
        <v>0</v>
      </c>
      <c r="BA87" s="127">
        <f t="shared" si="1093"/>
        <v>0</v>
      </c>
      <c r="BB87" s="127">
        <f t="shared" si="1094"/>
        <v>0</v>
      </c>
      <c r="BC87" s="155">
        <f t="shared" si="1095"/>
        <v>0</v>
      </c>
      <c r="BD87" s="156">
        <f t="shared" si="1096"/>
        <v>0</v>
      </c>
      <c r="BE87" s="155">
        <f t="shared" si="1097"/>
        <v>0</v>
      </c>
      <c r="BF87" s="156">
        <f t="shared" si="1098"/>
        <v>0</v>
      </c>
      <c r="BG87" s="127">
        <f t="shared" si="1099"/>
        <v>5.3262316910785625E-2</v>
      </c>
      <c r="BH87" s="127">
        <f t="shared" si="1100"/>
        <v>2.6631158455392812E-2</v>
      </c>
      <c r="BI87" s="127">
        <f t="shared" si="1101"/>
        <v>0</v>
      </c>
      <c r="BJ87" s="156">
        <f t="shared" si="1102"/>
        <v>0</v>
      </c>
      <c r="BK87" s="156"/>
      <c r="BL87" s="156"/>
      <c r="BM87" s="156"/>
      <c r="BN87" s="156"/>
      <c r="BO87" s="50"/>
      <c r="BP87" s="51">
        <f t="shared" si="1103"/>
        <v>0</v>
      </c>
      <c r="BQ87" s="157">
        <f t="shared" si="1104"/>
        <v>0</v>
      </c>
      <c r="BR87" s="51">
        <f t="shared" si="1105"/>
        <v>0</v>
      </c>
      <c r="BS87" s="157">
        <f t="shared" si="1106"/>
        <v>0</v>
      </c>
      <c r="BT87" s="51">
        <f t="shared" si="1107"/>
        <v>0</v>
      </c>
      <c r="BU87" s="157">
        <f t="shared" si="1108"/>
        <v>0</v>
      </c>
      <c r="BV87" s="51">
        <f t="shared" si="1109"/>
        <v>0</v>
      </c>
      <c r="BW87" s="157">
        <f t="shared" si="1110"/>
        <v>0</v>
      </c>
      <c r="BX87" s="51">
        <f t="shared" si="1111"/>
        <v>1.5765645805592543</v>
      </c>
      <c r="BY87" s="157">
        <f t="shared" si="1112"/>
        <v>0.78828229027962715</v>
      </c>
      <c r="BZ87" s="51">
        <f t="shared" si="1113"/>
        <v>0</v>
      </c>
      <c r="CA87" s="157">
        <f t="shared" si="1114"/>
        <v>0</v>
      </c>
      <c r="CB87" s="51">
        <f t="shared" si="1115"/>
        <v>0</v>
      </c>
      <c r="CC87" s="157">
        <f t="shared" si="1116"/>
        <v>0</v>
      </c>
      <c r="CD87" s="51">
        <f t="shared" si="1117"/>
        <v>0</v>
      </c>
      <c r="CE87" s="157">
        <f t="shared" si="1118"/>
        <v>0</v>
      </c>
      <c r="CG87" s="45"/>
      <c r="CR87" s="151"/>
      <c r="CS87" s="45"/>
      <c r="CT87" s="151"/>
      <c r="CV87" s="151"/>
      <c r="CX87" s="50"/>
      <c r="CZ87" s="45"/>
      <c r="DK87" s="151"/>
      <c r="DL87" s="45"/>
      <c r="DM87" s="151"/>
      <c r="DN87" s="45"/>
      <c r="DO87" s="151"/>
      <c r="DQ87" s="117"/>
      <c r="DR87" s="77"/>
      <c r="DS87" s="117"/>
      <c r="DT87" s="149"/>
      <c r="DU87" s="77"/>
      <c r="DV87" s="77"/>
      <c r="DW87" s="117"/>
      <c r="DX87" s="149"/>
      <c r="DY87" s="77"/>
      <c r="DZ87" s="77"/>
      <c r="EA87" s="117"/>
      <c r="EB87" s="149"/>
      <c r="EC87" s="77"/>
      <c r="ED87" s="77"/>
      <c r="EE87" s="77"/>
      <c r="EF87" s="117"/>
      <c r="EG87" s="149"/>
      <c r="EH87" s="77"/>
      <c r="EI87" s="149"/>
    </row>
    <row r="88" spans="1:139" x14ac:dyDescent="0.25">
      <c r="A88" s="195">
        <f t="shared" si="1151"/>
        <v>45941</v>
      </c>
      <c r="B88" s="195" t="s">
        <v>14</v>
      </c>
      <c r="C88" s="195"/>
      <c r="D88" s="625">
        <v>30</v>
      </c>
      <c r="E88" s="626">
        <v>34</v>
      </c>
      <c r="F88" s="117"/>
      <c r="G88" s="606"/>
      <c r="H88" s="169">
        <f t="shared" si="1082"/>
        <v>0</v>
      </c>
      <c r="I88" s="169">
        <f t="shared" si="1083"/>
        <v>0</v>
      </c>
      <c r="J88" s="169">
        <f t="shared" si="1084"/>
        <v>0</v>
      </c>
      <c r="K88" s="132"/>
      <c r="L88" s="151"/>
      <c r="M88" s="45"/>
      <c r="N88" s="151"/>
      <c r="Q88" s="45"/>
      <c r="R88" s="151"/>
      <c r="S88" s="320">
        <f t="shared" si="1085"/>
        <v>0</v>
      </c>
      <c r="T88" s="77"/>
      <c r="U88" s="77"/>
      <c r="V88" s="320">
        <f t="shared" si="1086"/>
        <v>0</v>
      </c>
      <c r="W88" s="77"/>
      <c r="X88" s="77"/>
      <c r="Y88" s="117"/>
      <c r="Z88" s="581"/>
      <c r="AA88" s="320">
        <f t="shared" si="1087"/>
        <v>0</v>
      </c>
      <c r="AD88" s="320">
        <f t="shared" si="1088"/>
        <v>0</v>
      </c>
      <c r="AE88" s="117"/>
      <c r="AF88" s="77"/>
      <c r="AG88" s="45"/>
      <c r="AH88" s="151"/>
      <c r="AJ88" s="580"/>
      <c r="AK88" s="77"/>
      <c r="AL88" s="117"/>
      <c r="AM88" s="149"/>
      <c r="AN88" s="77"/>
      <c r="AO88" s="581"/>
      <c r="AQ88" s="45">
        <v>34</v>
      </c>
      <c r="AR88" s="151">
        <v>3</v>
      </c>
      <c r="AS88" s="571">
        <f t="shared" si="1089"/>
        <v>11.333333333333334</v>
      </c>
      <c r="AT88" s="152">
        <v>11</v>
      </c>
      <c r="AU88" s="153">
        <v>1</v>
      </c>
      <c r="AV88" s="154">
        <f t="shared" si="1090"/>
        <v>124.66666666666667</v>
      </c>
      <c r="AW88" s="50">
        <v>12</v>
      </c>
      <c r="AY88" s="155"/>
      <c r="AZ88" s="156"/>
      <c r="BA88" s="127"/>
      <c r="BB88" s="127"/>
      <c r="BC88" s="155"/>
      <c r="BD88" s="156"/>
      <c r="BE88" s="155"/>
      <c r="BF88" s="156"/>
      <c r="BG88" s="127"/>
      <c r="BH88" s="127"/>
      <c r="BI88" s="127"/>
      <c r="BJ88" s="156"/>
      <c r="BK88" s="156"/>
      <c r="BL88" s="156"/>
      <c r="BM88" s="156"/>
      <c r="BN88" s="156"/>
      <c r="BO88" s="50"/>
      <c r="BP88" s="51">
        <f t="shared" si="1103"/>
        <v>0</v>
      </c>
      <c r="BQ88" s="157">
        <f t="shared" si="1104"/>
        <v>0</v>
      </c>
      <c r="BR88" s="51">
        <f t="shared" si="1105"/>
        <v>0</v>
      </c>
      <c r="BS88" s="157">
        <f t="shared" si="1106"/>
        <v>0</v>
      </c>
      <c r="BT88" s="51">
        <f t="shared" si="1107"/>
        <v>0</v>
      </c>
      <c r="BU88" s="157">
        <f t="shared" si="1108"/>
        <v>0</v>
      </c>
      <c r="BV88" s="51">
        <f t="shared" si="1109"/>
        <v>0</v>
      </c>
      <c r="BW88" s="157">
        <f t="shared" si="1110"/>
        <v>0</v>
      </c>
      <c r="BX88" s="51">
        <f t="shared" si="1111"/>
        <v>0</v>
      </c>
      <c r="BY88" s="157">
        <f t="shared" si="1112"/>
        <v>0</v>
      </c>
      <c r="BZ88" s="51">
        <f t="shared" si="1113"/>
        <v>0</v>
      </c>
      <c r="CA88" s="157">
        <f t="shared" si="1114"/>
        <v>0</v>
      </c>
      <c r="CB88" s="51">
        <f t="shared" si="1115"/>
        <v>0</v>
      </c>
      <c r="CC88" s="157">
        <f t="shared" si="1116"/>
        <v>0</v>
      </c>
      <c r="CD88" s="51">
        <f t="shared" si="1117"/>
        <v>0</v>
      </c>
      <c r="CE88" s="157">
        <f t="shared" si="1118"/>
        <v>0</v>
      </c>
      <c r="CG88" s="51">
        <f t="shared" ref="CG88" si="1180">AVERAGE(BP88:BP89)</f>
        <v>0.9768569771732829</v>
      </c>
      <c r="CH88" s="126">
        <f t="shared" ref="CH88" si="1181">AVERAGE(BQ88:BQ89)</f>
        <v>0.48842848858664145</v>
      </c>
      <c r="CI88" s="126">
        <f t="shared" ref="CI88" si="1182">AVERAGE(BR88:BR89)</f>
        <v>0.48842848858664145</v>
      </c>
      <c r="CJ88" s="126">
        <f t="shared" ref="CJ88" si="1183">AVERAGE(BS88:BS89)</f>
        <v>0.48842848858664145</v>
      </c>
      <c r="CK88" s="126">
        <f t="shared" ref="CK88" si="1184">AVERAGE(BT88:BT89)</f>
        <v>0</v>
      </c>
      <c r="CL88" s="126">
        <f t="shared" ref="CL88" si="1185">AVERAGE(BU88:BU89)</f>
        <v>0</v>
      </c>
      <c r="CM88" s="126">
        <f t="shared" ref="CM88" si="1186">AVERAGE(BV88:BV89)</f>
        <v>0.48842848858664145</v>
      </c>
      <c r="CN88" s="126">
        <f t="shared" ref="CN88" si="1187">AVERAGE(BW88:BW89)</f>
        <v>0</v>
      </c>
      <c r="CO88" s="126">
        <f t="shared" ref="CO88" si="1188">AVERAGE(BX88:BX89)</f>
        <v>1.4652854657599244</v>
      </c>
      <c r="CP88" s="126">
        <f t="shared" ref="CP88" si="1189">AVERAGE(BY88:BY89)</f>
        <v>0</v>
      </c>
      <c r="CQ88" s="126">
        <f t="shared" ref="CQ88" si="1190">AVERAGE(BZ88:BZ89)</f>
        <v>0</v>
      </c>
      <c r="CR88" s="157">
        <f t="shared" ref="CR88" si="1191">AVERAGE(CA88:CA89)</f>
        <v>0</v>
      </c>
      <c r="CS88" s="51">
        <f t="shared" ref="CS88" si="1192">AVERAGE(CB88:CB89)</f>
        <v>0</v>
      </c>
      <c r="CT88" s="157">
        <f t="shared" ref="CT88" si="1193">AVERAGE(CC88:CC89)</f>
        <v>0</v>
      </c>
      <c r="CU88" s="126">
        <f t="shared" ref="CU88" si="1194">AVERAGE(CD88:CD89)</f>
        <v>0</v>
      </c>
      <c r="CV88" s="157">
        <f t="shared" ref="CV88" si="1195">AVERAGE(CE88:CE89)</f>
        <v>0</v>
      </c>
      <c r="CX88" s="150">
        <v>2</v>
      </c>
      <c r="CZ88" s="225">
        <f t="shared" ref="CZ88" si="1196">CG88*$CX88</f>
        <v>1.9537139543465658</v>
      </c>
      <c r="DA88" s="160">
        <f t="shared" ref="DA88" si="1197">CH88*$CX88</f>
        <v>0.9768569771732829</v>
      </c>
      <c r="DB88" s="160">
        <f t="shared" ref="DB88" si="1198">CI88*$CX88</f>
        <v>0.9768569771732829</v>
      </c>
      <c r="DC88" s="160">
        <f t="shared" ref="DC88" si="1199">CJ88*$CX88</f>
        <v>0.9768569771732829</v>
      </c>
      <c r="DD88" s="160">
        <f t="shared" ref="DD88" si="1200">CK88*$CX88</f>
        <v>0</v>
      </c>
      <c r="DE88" s="160">
        <f t="shared" ref="DE88" si="1201">CL88*$CX88</f>
        <v>0</v>
      </c>
      <c r="DF88" s="160">
        <f t="shared" ref="DF88" si="1202">CM88*$CX88</f>
        <v>0.9768569771732829</v>
      </c>
      <c r="DG88" s="160">
        <f t="shared" ref="DG88" si="1203">CN88*$CX88</f>
        <v>0</v>
      </c>
      <c r="DH88" s="160">
        <f t="shared" ref="DH88" si="1204">CO88*$CX88</f>
        <v>2.9305709315198487</v>
      </c>
      <c r="DI88" s="160">
        <f t="shared" ref="DI88" si="1205">CP88*$CX88</f>
        <v>0</v>
      </c>
      <c r="DJ88" s="160">
        <f t="shared" ref="DJ88" si="1206">CQ88*$CX88</f>
        <v>0</v>
      </c>
      <c r="DK88" s="161">
        <f t="shared" ref="DK88" si="1207">CR88*$CX88</f>
        <v>0</v>
      </c>
      <c r="DL88" s="225">
        <f t="shared" ref="DL88" si="1208">CS88*$CX88</f>
        <v>0</v>
      </c>
      <c r="DM88" s="161">
        <f t="shared" ref="DM88" si="1209">CT88*$CX88</f>
        <v>0</v>
      </c>
      <c r="DN88" s="225">
        <f t="shared" ref="DN88" si="1210">CU88*$CX88</f>
        <v>0</v>
      </c>
      <c r="DO88" s="161">
        <f t="shared" ref="DO88" si="1211">CV88*$CX88</f>
        <v>0</v>
      </c>
      <c r="DQ88" s="117"/>
      <c r="DR88" s="77"/>
      <c r="DS88" s="117"/>
      <c r="DT88" s="149"/>
      <c r="DU88" s="77"/>
      <c r="DV88" s="77"/>
      <c r="DW88" s="117"/>
      <c r="DX88" s="149"/>
      <c r="DY88" s="77"/>
      <c r="DZ88" s="77"/>
      <c r="EA88" s="117"/>
      <c r="EB88" s="149"/>
      <c r="EC88" s="77"/>
      <c r="ED88" s="77"/>
      <c r="EE88" s="77"/>
      <c r="EF88" s="117"/>
      <c r="EG88" s="149"/>
      <c r="EH88" s="77"/>
      <c r="EI88" s="149"/>
    </row>
    <row r="89" spans="1:139" x14ac:dyDescent="0.25">
      <c r="A89" s="334">
        <f t="shared" si="1151"/>
        <v>45942</v>
      </c>
      <c r="B89" s="334" t="s">
        <v>15</v>
      </c>
      <c r="C89" s="334"/>
      <c r="D89" s="150">
        <v>30</v>
      </c>
      <c r="E89" s="117">
        <v>34</v>
      </c>
      <c r="F89" s="117">
        <v>110.78</v>
      </c>
      <c r="G89" s="606">
        <v>126.46</v>
      </c>
      <c r="H89" s="323">
        <f t="shared" si="1082"/>
        <v>2</v>
      </c>
      <c r="I89" s="323">
        <f t="shared" si="1083"/>
        <v>1</v>
      </c>
      <c r="J89" s="323">
        <f t="shared" si="1084"/>
        <v>1</v>
      </c>
      <c r="K89" s="132">
        <v>1</v>
      </c>
      <c r="L89" s="178"/>
      <c r="M89" s="176"/>
      <c r="N89" s="178"/>
      <c r="O89" s="177"/>
      <c r="P89" s="177"/>
      <c r="Q89" s="176"/>
      <c r="R89" s="178">
        <v>1</v>
      </c>
      <c r="S89" s="320">
        <f t="shared" si="1085"/>
        <v>3</v>
      </c>
      <c r="T89" s="77">
        <v>1</v>
      </c>
      <c r="U89" s="77">
        <v>2</v>
      </c>
      <c r="V89" s="320">
        <f t="shared" si="1086"/>
        <v>0</v>
      </c>
      <c r="W89" s="77"/>
      <c r="X89" s="77"/>
      <c r="Y89" s="117"/>
      <c r="Z89" s="581"/>
      <c r="AA89" s="320">
        <f t="shared" si="1087"/>
        <v>0</v>
      </c>
      <c r="AD89" s="320">
        <f t="shared" si="1088"/>
        <v>0</v>
      </c>
      <c r="AE89" s="117"/>
      <c r="AF89" s="77"/>
      <c r="AG89" s="176"/>
      <c r="AH89" s="178"/>
      <c r="AJ89" s="580"/>
      <c r="AK89" s="77"/>
      <c r="AL89" s="117"/>
      <c r="AM89" s="149"/>
      <c r="AN89" s="77"/>
      <c r="AO89" s="581"/>
      <c r="AQ89" s="45">
        <v>34</v>
      </c>
      <c r="AR89" s="151">
        <v>3</v>
      </c>
      <c r="AS89" s="572">
        <f t="shared" si="1089"/>
        <v>11.333333333333334</v>
      </c>
      <c r="AT89" s="192">
        <v>10.9</v>
      </c>
      <c r="AU89" s="193">
        <v>1</v>
      </c>
      <c r="AV89" s="305">
        <f t="shared" si="1090"/>
        <v>123.53333333333335</v>
      </c>
      <c r="AW89" s="131">
        <v>11</v>
      </c>
      <c r="AY89" s="212">
        <f t="shared" si="1091"/>
        <v>1.5815277558121146E-2</v>
      </c>
      <c r="AZ89" s="213">
        <f t="shared" si="1092"/>
        <v>7.9076387790605728E-3</v>
      </c>
      <c r="BA89" s="214">
        <f t="shared" si="1093"/>
        <v>7.9076387790605728E-3</v>
      </c>
      <c r="BB89" s="214">
        <f t="shared" si="1094"/>
        <v>7.9076387790605728E-3</v>
      </c>
      <c r="BC89" s="212">
        <f t="shared" si="1095"/>
        <v>0</v>
      </c>
      <c r="BD89" s="213">
        <f t="shared" si="1096"/>
        <v>0</v>
      </c>
      <c r="BE89" s="212">
        <f t="shared" si="1097"/>
        <v>7.9076387790605728E-3</v>
      </c>
      <c r="BF89" s="213">
        <f t="shared" si="1098"/>
        <v>0</v>
      </c>
      <c r="BG89" s="214">
        <f t="shared" si="1099"/>
        <v>2.372291633718172E-2</v>
      </c>
      <c r="BH89" s="214">
        <f t="shared" si="1100"/>
        <v>0</v>
      </c>
      <c r="BI89" s="214">
        <f t="shared" si="1101"/>
        <v>0</v>
      </c>
      <c r="BJ89" s="213">
        <f t="shared" si="1102"/>
        <v>0</v>
      </c>
      <c r="BK89" s="213"/>
      <c r="BL89" s="213"/>
      <c r="BM89" s="213"/>
      <c r="BN89" s="213"/>
      <c r="BO89" s="50"/>
      <c r="BP89" s="217">
        <f t="shared" si="1103"/>
        <v>1.9537139543465658</v>
      </c>
      <c r="BQ89" s="218">
        <f t="shared" si="1104"/>
        <v>0.9768569771732829</v>
      </c>
      <c r="BR89" s="217">
        <f t="shared" si="1105"/>
        <v>0.9768569771732829</v>
      </c>
      <c r="BS89" s="218">
        <f t="shared" si="1106"/>
        <v>0.9768569771732829</v>
      </c>
      <c r="BT89" s="217">
        <f t="shared" si="1107"/>
        <v>0</v>
      </c>
      <c r="BU89" s="218">
        <f t="shared" si="1108"/>
        <v>0</v>
      </c>
      <c r="BV89" s="217">
        <f t="shared" si="1109"/>
        <v>0.9768569771732829</v>
      </c>
      <c r="BW89" s="218">
        <f t="shared" si="1110"/>
        <v>0</v>
      </c>
      <c r="BX89" s="217">
        <f t="shared" si="1111"/>
        <v>2.9305709315198487</v>
      </c>
      <c r="BY89" s="218">
        <f t="shared" si="1112"/>
        <v>0</v>
      </c>
      <c r="BZ89" s="217">
        <f t="shared" si="1113"/>
        <v>0</v>
      </c>
      <c r="CA89" s="218">
        <f t="shared" si="1114"/>
        <v>0</v>
      </c>
      <c r="CB89" s="217">
        <f t="shared" si="1115"/>
        <v>0</v>
      </c>
      <c r="CC89" s="218">
        <f t="shared" si="1116"/>
        <v>0</v>
      </c>
      <c r="CD89" s="217">
        <f t="shared" si="1117"/>
        <v>0</v>
      </c>
      <c r="CE89" s="218">
        <f t="shared" si="1118"/>
        <v>0</v>
      </c>
      <c r="CG89" s="176"/>
      <c r="CH89" s="177"/>
      <c r="CI89" s="177"/>
      <c r="CJ89" s="177"/>
      <c r="CK89" s="177"/>
      <c r="CL89" s="177"/>
      <c r="CM89" s="177"/>
      <c r="CN89" s="177"/>
      <c r="CO89" s="177"/>
      <c r="CP89" s="177"/>
      <c r="CQ89" s="177"/>
      <c r="CR89" s="178"/>
      <c r="CS89" s="176"/>
      <c r="CT89" s="178"/>
      <c r="CU89" s="177"/>
      <c r="CV89" s="178"/>
      <c r="CX89" s="131"/>
      <c r="CZ89" s="176"/>
      <c r="DA89" s="177"/>
      <c r="DB89" s="177"/>
      <c r="DC89" s="177"/>
      <c r="DD89" s="177"/>
      <c r="DE89" s="177"/>
      <c r="DF89" s="177"/>
      <c r="DG89" s="177"/>
      <c r="DH89" s="177"/>
      <c r="DI89" s="177"/>
      <c r="DJ89" s="177"/>
      <c r="DK89" s="178"/>
      <c r="DL89" s="176"/>
      <c r="DM89" s="178"/>
      <c r="DN89" s="176"/>
      <c r="DO89" s="178"/>
      <c r="DQ89" s="32"/>
      <c r="DR89" s="34"/>
      <c r="DS89" s="32"/>
      <c r="DT89" s="33"/>
      <c r="DU89" s="34"/>
      <c r="DV89" s="34"/>
      <c r="DW89" s="32"/>
      <c r="DX89" s="33"/>
      <c r="DY89" s="34"/>
      <c r="DZ89" s="34"/>
      <c r="EA89" s="32"/>
      <c r="EB89" s="33"/>
      <c r="EC89" s="34"/>
      <c r="ED89" s="34"/>
      <c r="EE89" s="34"/>
      <c r="EF89" s="32"/>
      <c r="EG89" s="33"/>
      <c r="EH89" s="34"/>
      <c r="EI89" s="33"/>
    </row>
    <row r="90" spans="1:139" x14ac:dyDescent="0.25">
      <c r="A90" s="196"/>
      <c r="B90" s="189"/>
      <c r="C90" s="196"/>
      <c r="D90" s="202">
        <f t="shared" ref="D90:AH90" si="1212">SUM(D83:D89)</f>
        <v>119</v>
      </c>
      <c r="E90" s="202"/>
      <c r="F90" s="202"/>
      <c r="G90" s="203">
        <f t="shared" si="1212"/>
        <v>369.09</v>
      </c>
      <c r="H90" s="202">
        <f t="shared" si="1212"/>
        <v>3</v>
      </c>
      <c r="I90" s="202">
        <f t="shared" si="1212"/>
        <v>1</v>
      </c>
      <c r="J90" s="202">
        <f t="shared" si="1212"/>
        <v>2</v>
      </c>
      <c r="K90" s="202">
        <f t="shared" si="1212"/>
        <v>1</v>
      </c>
      <c r="L90" s="204">
        <f t="shared" si="1212"/>
        <v>0</v>
      </c>
      <c r="M90" s="202">
        <f t="shared" si="1212"/>
        <v>0</v>
      </c>
      <c r="N90" s="204">
        <f t="shared" si="1212"/>
        <v>1</v>
      </c>
      <c r="O90" s="202">
        <f t="shared" si="1212"/>
        <v>0</v>
      </c>
      <c r="P90" s="204">
        <f t="shared" si="1212"/>
        <v>0</v>
      </c>
      <c r="Q90" s="202">
        <f t="shared" si="1212"/>
        <v>0</v>
      </c>
      <c r="R90" s="204">
        <f t="shared" si="1212"/>
        <v>1</v>
      </c>
      <c r="S90" s="202">
        <f t="shared" si="1212"/>
        <v>16</v>
      </c>
      <c r="T90" s="205">
        <f t="shared" si="1212"/>
        <v>4</v>
      </c>
      <c r="U90" s="205">
        <f t="shared" si="1212"/>
        <v>12</v>
      </c>
      <c r="V90" s="203">
        <f t="shared" si="1212"/>
        <v>3</v>
      </c>
      <c r="W90" s="205">
        <f t="shared" si="1212"/>
        <v>0</v>
      </c>
      <c r="X90" s="205">
        <f t="shared" si="1212"/>
        <v>3</v>
      </c>
      <c r="Y90" s="202">
        <f t="shared" si="1212"/>
        <v>0</v>
      </c>
      <c r="Z90" s="204">
        <f t="shared" si="1212"/>
        <v>0</v>
      </c>
      <c r="AA90" s="202">
        <f t="shared" si="1212"/>
        <v>1</v>
      </c>
      <c r="AB90" s="202">
        <f t="shared" si="1212"/>
        <v>1</v>
      </c>
      <c r="AC90" s="205">
        <f t="shared" si="1212"/>
        <v>0</v>
      </c>
      <c r="AD90" s="202">
        <f t="shared" si="1212"/>
        <v>0</v>
      </c>
      <c r="AE90" s="202">
        <f t="shared" si="1212"/>
        <v>0</v>
      </c>
      <c r="AF90" s="205">
        <f t="shared" si="1212"/>
        <v>0</v>
      </c>
      <c r="AG90" s="202">
        <f t="shared" si="1212"/>
        <v>0</v>
      </c>
      <c r="AH90" s="204">
        <f t="shared" si="1212"/>
        <v>0</v>
      </c>
      <c r="AI90" s="357"/>
      <c r="AJ90" s="12"/>
      <c r="AK90" s="5"/>
      <c r="AL90" s="9"/>
      <c r="AM90" s="358"/>
      <c r="AN90" s="5"/>
      <c r="AO90" s="13"/>
      <c r="AQ90" s="219"/>
      <c r="AR90" s="221"/>
      <c r="AS90" s="572"/>
      <c r="AT90" s="192"/>
      <c r="AU90" s="193"/>
      <c r="AV90" s="194">
        <f>AVERAGE(AV83:AV87)*5+AVERAGE(AV88:AV89)*2</f>
        <v>534.61666666666667</v>
      </c>
      <c r="AW90" s="131"/>
      <c r="AY90" s="212"/>
      <c r="AZ90" s="213"/>
      <c r="BA90" s="214"/>
      <c r="BB90" s="214"/>
      <c r="BC90" s="212"/>
      <c r="BD90" s="213"/>
      <c r="BE90" s="212"/>
      <c r="BF90" s="213"/>
      <c r="BG90" s="214"/>
      <c r="BH90" s="214"/>
      <c r="BI90" s="214"/>
      <c r="BJ90" s="213"/>
      <c r="BK90" s="507"/>
      <c r="BL90" s="508"/>
      <c r="BM90" s="508"/>
      <c r="BN90" s="508"/>
      <c r="BO90" s="50"/>
      <c r="BP90" s="217"/>
      <c r="BQ90" s="218"/>
      <c r="BR90" s="217"/>
      <c r="BS90" s="218"/>
      <c r="BT90" s="217"/>
      <c r="BU90" s="218"/>
      <c r="BV90" s="217"/>
      <c r="BW90" s="218"/>
      <c r="BX90" s="217"/>
      <c r="BY90" s="218"/>
      <c r="BZ90" s="217"/>
      <c r="CA90" s="218"/>
      <c r="CB90" s="217"/>
      <c r="CC90" s="218"/>
      <c r="CD90" s="217"/>
      <c r="CE90" s="218"/>
      <c r="CG90" s="219"/>
      <c r="CH90" s="220"/>
      <c r="CI90" s="220"/>
      <c r="CJ90" s="220"/>
      <c r="CK90" s="220"/>
      <c r="CL90" s="220"/>
      <c r="CM90" s="220"/>
      <c r="CN90" s="220"/>
      <c r="CO90" s="220"/>
      <c r="CP90" s="220"/>
      <c r="CQ90" s="220"/>
      <c r="CR90" s="221"/>
      <c r="CS90" s="219"/>
      <c r="CT90" s="220"/>
      <c r="CU90" s="220"/>
      <c r="CV90" s="221"/>
      <c r="CX90" s="222"/>
      <c r="CZ90" s="226">
        <f t="shared" ref="CZ90:DO90" si="1213">CZ88+CZ83</f>
        <v>2.975456390107551</v>
      </c>
      <c r="DA90" s="227">
        <f t="shared" si="1213"/>
        <v>0.9768569771732829</v>
      </c>
      <c r="DB90" s="227">
        <f t="shared" si="1213"/>
        <v>0.9768569771732829</v>
      </c>
      <c r="DC90" s="227">
        <f t="shared" si="1213"/>
        <v>0.9768569771732829</v>
      </c>
      <c r="DD90" s="227">
        <f t="shared" si="1213"/>
        <v>1.021742435760985</v>
      </c>
      <c r="DE90" s="227">
        <f t="shared" si="1213"/>
        <v>0</v>
      </c>
      <c r="DF90" s="227">
        <f t="shared" si="1213"/>
        <v>0.9768569771732829</v>
      </c>
      <c r="DG90" s="227">
        <f t="shared" si="1213"/>
        <v>0</v>
      </c>
      <c r="DH90" s="227">
        <f t="shared" si="1213"/>
        <v>18.506098828214952</v>
      </c>
      <c r="DI90" s="227">
        <f t="shared" si="1213"/>
        <v>4.4372876041418419</v>
      </c>
      <c r="DJ90" s="227">
        <f t="shared" si="1213"/>
        <v>0.76044759077414936</v>
      </c>
      <c r="DK90" s="228">
        <f t="shared" si="1213"/>
        <v>0</v>
      </c>
      <c r="DL90" s="226">
        <f t="shared" si="1213"/>
        <v>0</v>
      </c>
      <c r="DM90" s="228">
        <f t="shared" si="1213"/>
        <v>0</v>
      </c>
      <c r="DN90" s="226">
        <f t="shared" si="1213"/>
        <v>0</v>
      </c>
      <c r="DO90" s="228">
        <f t="shared" si="1213"/>
        <v>0</v>
      </c>
      <c r="DQ90" s="32"/>
      <c r="DR90" s="34"/>
      <c r="DS90" s="32"/>
      <c r="DT90" s="33"/>
      <c r="DU90" s="34"/>
      <c r="DV90" s="34"/>
      <c r="DW90" s="32"/>
      <c r="DX90" s="33"/>
      <c r="DY90" s="34"/>
      <c r="DZ90" s="34"/>
      <c r="EA90" s="32"/>
      <c r="EB90" s="33"/>
      <c r="EC90" s="34"/>
      <c r="ED90" s="34"/>
      <c r="EE90" s="34"/>
      <c r="EF90" s="32"/>
      <c r="EG90" s="33"/>
      <c r="EH90" s="34"/>
      <c r="EI90" s="33"/>
    </row>
    <row r="91" spans="1:139" x14ac:dyDescent="0.25">
      <c r="AJ91" s="12"/>
      <c r="AK91" s="5"/>
      <c r="AL91" s="9"/>
      <c r="AM91" s="358"/>
      <c r="AN91" s="5"/>
      <c r="AO91" s="13"/>
    </row>
    <row r="92" spans="1:139" x14ac:dyDescent="0.25">
      <c r="A92" s="206">
        <f>A83+7</f>
        <v>45943</v>
      </c>
      <c r="B92" s="207" t="s">
        <v>7</v>
      </c>
      <c r="C92" s="206"/>
      <c r="D92" s="56">
        <v>10</v>
      </c>
      <c r="E92" s="130">
        <v>10</v>
      </c>
      <c r="F92" s="41">
        <v>36.369999999999997</v>
      </c>
      <c r="G92" s="179">
        <v>38.58</v>
      </c>
      <c r="H92" s="208">
        <f t="shared" ref="H92:H98" si="1214">I92+J92</f>
        <v>0</v>
      </c>
      <c r="I92" s="208">
        <f t="shared" ref="I92:I98" si="1215">K92+M92+Q92</f>
        <v>0</v>
      </c>
      <c r="J92" s="208">
        <f t="shared" ref="J92:J98" si="1216">L92+N92+R92</f>
        <v>0</v>
      </c>
      <c r="K92" s="604"/>
      <c r="L92" s="165"/>
      <c r="M92" s="165"/>
      <c r="N92" s="42"/>
      <c r="O92" s="165"/>
      <c r="P92" s="165"/>
      <c r="Q92" s="41"/>
      <c r="R92" s="42"/>
      <c r="S92" s="319">
        <f t="shared" ref="S92:S98" si="1217">T92+U92</f>
        <v>7</v>
      </c>
      <c r="T92" s="229">
        <v>2</v>
      </c>
      <c r="U92" s="229">
        <v>5</v>
      </c>
      <c r="V92" s="319">
        <f t="shared" ref="V92:V98" si="1218">W92+X92</f>
        <v>0</v>
      </c>
      <c r="W92" s="165"/>
      <c r="X92" s="165"/>
      <c r="Y92" s="130"/>
      <c r="Z92" s="605"/>
      <c r="AA92" s="319">
        <f t="shared" ref="AA92:AA98" si="1219">AB92+AC92</f>
        <v>0</v>
      </c>
      <c r="AB92" s="165"/>
      <c r="AC92" s="165"/>
      <c r="AD92" s="319">
        <f t="shared" ref="AD92:AD98" si="1220">AE92+AF92</f>
        <v>0</v>
      </c>
      <c r="AE92" s="130"/>
      <c r="AF92" s="229"/>
      <c r="AG92" s="41"/>
      <c r="AH92" s="42"/>
      <c r="AJ92" s="580"/>
      <c r="AK92" s="77"/>
      <c r="AL92" s="117"/>
      <c r="AM92" s="149"/>
      <c r="AN92" s="77"/>
      <c r="AO92" s="581"/>
      <c r="AQ92" s="41">
        <v>10</v>
      </c>
      <c r="AR92" s="42">
        <v>3</v>
      </c>
      <c r="AS92" s="570">
        <f t="shared" ref="AS92:AS98" si="1221">AQ92/AR92</f>
        <v>3.3333333333333335</v>
      </c>
      <c r="AT92" s="359">
        <v>10.9</v>
      </c>
      <c r="AU92" s="190">
        <v>1</v>
      </c>
      <c r="AV92" s="179">
        <f t="shared" ref="AV92:AV98" si="1222">AT92*AS92*AU92</f>
        <v>36.333333333333336</v>
      </c>
      <c r="AW92" s="28">
        <v>4</v>
      </c>
      <c r="AY92" s="155">
        <f t="shared" ref="AY92" si="1223">H92/G92</f>
        <v>0</v>
      </c>
      <c r="AZ92" s="156">
        <f t="shared" ref="AZ92" si="1224">I92/G92</f>
        <v>0</v>
      </c>
      <c r="BA92" s="127">
        <f t="shared" ref="BA92" si="1225">(K92+L92)/$G92</f>
        <v>0</v>
      </c>
      <c r="BB92" s="127">
        <f t="shared" ref="BB92" si="1226">K92/$G92</f>
        <v>0</v>
      </c>
      <c r="BC92" s="155">
        <f t="shared" ref="BC92" si="1227">(M92+N92)/$G92</f>
        <v>0</v>
      </c>
      <c r="BD92" s="156">
        <f t="shared" ref="BD92" si="1228">M92/$G92</f>
        <v>0</v>
      </c>
      <c r="BE92" s="155">
        <f t="shared" ref="BE92" si="1229">(Q92+R92)/$G92</f>
        <v>0</v>
      </c>
      <c r="BF92" s="156">
        <f t="shared" ref="BF92" si="1230">Q92/$G92</f>
        <v>0</v>
      </c>
      <c r="BG92" s="127">
        <f t="shared" ref="BG92" si="1231">S92/$G92</f>
        <v>0.18144116122343185</v>
      </c>
      <c r="BH92" s="127">
        <f t="shared" ref="BH92" si="1232">V92/$G92</f>
        <v>0</v>
      </c>
      <c r="BI92" s="127">
        <f t="shared" ref="BI92" si="1233">AA92/$G92</f>
        <v>0</v>
      </c>
      <c r="BJ92" s="156">
        <f t="shared" ref="BJ92" si="1234">AH92/$G92</f>
        <v>0</v>
      </c>
      <c r="BK92" s="209"/>
      <c r="BL92" s="210"/>
      <c r="BM92" s="209"/>
      <c r="BN92" s="210"/>
      <c r="BO92" s="50"/>
      <c r="BP92" s="51">
        <f t="shared" ref="BP92" si="1235">AY92*$AV92</f>
        <v>0</v>
      </c>
      <c r="BQ92" s="157">
        <f t="shared" ref="BQ92" si="1236">AZ92*$AV92</f>
        <v>0</v>
      </c>
      <c r="BR92" s="51">
        <f t="shared" ref="BR92" si="1237">BA92*$AV92</f>
        <v>0</v>
      </c>
      <c r="BS92" s="157">
        <f t="shared" ref="BS92" si="1238">BB92*$AV92</f>
        <v>0</v>
      </c>
      <c r="BT92" s="51">
        <f t="shared" ref="BT92" si="1239">BC92*$AV92</f>
        <v>0</v>
      </c>
      <c r="BU92" s="157">
        <f t="shared" ref="BU92" si="1240">BD92*$AV92</f>
        <v>0</v>
      </c>
      <c r="BV92" s="51">
        <f t="shared" ref="BV92" si="1241">BE92*$AV92</f>
        <v>0</v>
      </c>
      <c r="BW92" s="157">
        <f t="shared" ref="BW92" si="1242">BF92*$AV92</f>
        <v>0</v>
      </c>
      <c r="BX92" s="51">
        <f t="shared" ref="BX92" si="1243">BG92*$AV92</f>
        <v>6.5923621911180241</v>
      </c>
      <c r="BY92" s="157">
        <f t="shared" ref="BY92" si="1244">BH92*$AV92</f>
        <v>0</v>
      </c>
      <c r="BZ92" s="51">
        <f t="shared" ref="BZ92" si="1245">BI92*$AV92</f>
        <v>0</v>
      </c>
      <c r="CA92" s="157">
        <f t="shared" ref="CA92" si="1246">BJ92*$AV92</f>
        <v>0</v>
      </c>
      <c r="CB92" s="51">
        <f t="shared" ref="CB92" si="1247">BK92*$AV92</f>
        <v>0</v>
      </c>
      <c r="CC92" s="157">
        <f t="shared" ref="CC92" si="1248">BL92*$AV92</f>
        <v>0</v>
      </c>
      <c r="CD92" s="51">
        <f t="shared" ref="CD92" si="1249">BM92*$AV92</f>
        <v>0</v>
      </c>
      <c r="CE92" s="157">
        <f t="shared" ref="CE92" si="1250">BN92*$AV92</f>
        <v>0</v>
      </c>
      <c r="CG92" s="215">
        <f t="shared" ref="CG92" si="1251">AVERAGE(BP92:BP96)</f>
        <v>0.30238508969793737</v>
      </c>
      <c r="CH92" s="175">
        <f t="shared" ref="CH92" si="1252">AVERAGE(BQ92:BQ96)</f>
        <v>0</v>
      </c>
      <c r="CI92" s="175">
        <f t="shared" ref="CI92" si="1253">AVERAGE(BR92:BR96)</f>
        <v>0</v>
      </c>
      <c r="CJ92" s="175">
        <f t="shared" ref="CJ92" si="1254">AVERAGE(BS92:BS96)</f>
        <v>0</v>
      </c>
      <c r="CK92" s="175">
        <f t="shared" ref="CK92" si="1255">AVERAGE(BT92:BT96)</f>
        <v>0.16497070613629355</v>
      </c>
      <c r="CL92" s="175">
        <f t="shared" ref="CL92" si="1256">AVERAGE(BU92:BU96)</f>
        <v>0</v>
      </c>
      <c r="CM92" s="175">
        <f t="shared" ref="CM92" si="1257">AVERAGE(BV92:BV96)</f>
        <v>0.13741438356164379</v>
      </c>
      <c r="CN92" s="175">
        <f t="shared" ref="CN92" si="1258">AVERAGE(BW92:BW96)</f>
        <v>0</v>
      </c>
      <c r="CO92" s="175">
        <f t="shared" ref="CO92" si="1259">AVERAGE(BX92:BX96)</f>
        <v>2.0606570011811236</v>
      </c>
      <c r="CP92" s="175">
        <f t="shared" ref="CP92" si="1260">AVERAGE(BY92:BY96)</f>
        <v>0.16497070613629355</v>
      </c>
      <c r="CQ92" s="175">
        <f t="shared" ref="CQ92" si="1261">AVERAGE(BZ92:BZ96)</f>
        <v>0</v>
      </c>
      <c r="CR92" s="216">
        <f t="shared" ref="CR92" si="1262">AVERAGE(CA92:CA96)</f>
        <v>0</v>
      </c>
      <c r="CS92" s="215">
        <f t="shared" ref="CS92" si="1263">AVERAGE(CB92:CB96)</f>
        <v>0</v>
      </c>
      <c r="CT92" s="216">
        <f t="shared" ref="CT92" si="1264">AVERAGE(CC92:CC96)</f>
        <v>0</v>
      </c>
      <c r="CU92" s="175">
        <f t="shared" ref="CU92" si="1265">AVERAGE(CD92:CD96)</f>
        <v>0</v>
      </c>
      <c r="CV92" s="216">
        <f t="shared" ref="CV92" si="1266">AVERAGE(CE92:CE96)</f>
        <v>0</v>
      </c>
      <c r="CX92" s="56">
        <v>5</v>
      </c>
      <c r="CZ92" s="223">
        <f t="shared" ref="CZ92" si="1267">CG92*$CX92</f>
        <v>1.5119254484896869</v>
      </c>
      <c r="DA92" s="159">
        <f t="shared" ref="DA92" si="1268">CH92*$CX92</f>
        <v>0</v>
      </c>
      <c r="DB92" s="159">
        <f t="shared" ref="DB92" si="1269">CI92*$CX92</f>
        <v>0</v>
      </c>
      <c r="DC92" s="159">
        <f t="shared" ref="DC92" si="1270">CJ92*$CX92</f>
        <v>0</v>
      </c>
      <c r="DD92" s="159">
        <f t="shared" ref="DD92" si="1271">CK92*$CX92</f>
        <v>0.82485353068146772</v>
      </c>
      <c r="DE92" s="159">
        <f t="shared" ref="DE92" si="1272">CL92*$CX92</f>
        <v>0</v>
      </c>
      <c r="DF92" s="159">
        <f t="shared" ref="DF92" si="1273">CM92*$CX92</f>
        <v>0.68707191780821897</v>
      </c>
      <c r="DG92" s="159">
        <f t="shared" ref="DG92" si="1274">CN92*$CX92</f>
        <v>0</v>
      </c>
      <c r="DH92" s="159">
        <f t="shared" ref="DH92" si="1275">CO92*$CX92</f>
        <v>10.303285005905618</v>
      </c>
      <c r="DI92" s="159">
        <f t="shared" ref="DI92" si="1276">CP92*$CX92</f>
        <v>0.82485353068146772</v>
      </c>
      <c r="DJ92" s="159">
        <f t="shared" ref="DJ92" si="1277">CQ92*$CX92</f>
        <v>0</v>
      </c>
      <c r="DK92" s="224">
        <f t="shared" ref="DK92" si="1278">CR92*$CX92</f>
        <v>0</v>
      </c>
      <c r="DL92" s="223">
        <f t="shared" ref="DL92" si="1279">CS92*$CX92</f>
        <v>0</v>
      </c>
      <c r="DM92" s="224">
        <f t="shared" ref="DM92" si="1280">CT92*$CX92</f>
        <v>0</v>
      </c>
      <c r="DN92" s="223">
        <f t="shared" ref="DN92" si="1281">CU92*$CX92</f>
        <v>0</v>
      </c>
      <c r="DO92" s="224">
        <f t="shared" ref="DO92" si="1282">CV92*$CX92</f>
        <v>0</v>
      </c>
      <c r="DQ92" s="130"/>
      <c r="DR92" s="229"/>
      <c r="DS92" s="130"/>
      <c r="DT92" s="230"/>
      <c r="DU92" s="229"/>
      <c r="DV92" s="229"/>
      <c r="DW92" s="130"/>
      <c r="DX92" s="230"/>
      <c r="DY92" s="229"/>
      <c r="DZ92" s="229"/>
      <c r="EA92" s="130"/>
      <c r="EB92" s="230"/>
      <c r="EC92" s="229"/>
      <c r="ED92" s="229"/>
      <c r="EE92" s="229"/>
      <c r="EF92" s="130"/>
      <c r="EG92" s="230"/>
      <c r="EH92" s="229"/>
      <c r="EI92" s="230"/>
    </row>
    <row r="93" spans="1:139" x14ac:dyDescent="0.25">
      <c r="A93" s="195">
        <f t="shared" ref="A93:A98" si="1283">A92+1</f>
        <v>45944</v>
      </c>
      <c r="B93" s="158" t="s">
        <v>94</v>
      </c>
      <c r="C93" s="195"/>
      <c r="D93" s="625">
        <v>8</v>
      </c>
      <c r="E93" s="626">
        <v>9</v>
      </c>
      <c r="F93" s="45"/>
      <c r="G93" s="154"/>
      <c r="H93" s="169">
        <f t="shared" si="1214"/>
        <v>0</v>
      </c>
      <c r="I93" s="169">
        <f t="shared" si="1215"/>
        <v>0</v>
      </c>
      <c r="J93" s="169">
        <f t="shared" si="1216"/>
        <v>0</v>
      </c>
      <c r="K93" s="132"/>
      <c r="N93" s="151"/>
      <c r="Q93" s="45"/>
      <c r="R93" s="151"/>
      <c r="S93" s="320">
        <f t="shared" si="1217"/>
        <v>0</v>
      </c>
      <c r="T93" s="77"/>
      <c r="U93" s="77"/>
      <c r="V93" s="320">
        <f t="shared" si="1218"/>
        <v>0</v>
      </c>
      <c r="Y93" s="117"/>
      <c r="Z93" s="581"/>
      <c r="AA93" s="320">
        <f t="shared" si="1219"/>
        <v>0</v>
      </c>
      <c r="AD93" s="320">
        <f t="shared" si="1220"/>
        <v>0</v>
      </c>
      <c r="AE93" s="117"/>
      <c r="AF93" s="77"/>
      <c r="AG93" s="45"/>
      <c r="AH93" s="151"/>
      <c r="AJ93" s="580"/>
      <c r="AK93" s="77"/>
      <c r="AL93" s="117"/>
      <c r="AM93" s="149"/>
      <c r="AN93" s="77"/>
      <c r="AO93" s="581"/>
      <c r="AQ93" s="45">
        <v>9</v>
      </c>
      <c r="AR93" s="151">
        <v>3</v>
      </c>
      <c r="AS93" s="571">
        <f t="shared" si="1221"/>
        <v>3</v>
      </c>
      <c r="AT93" s="152">
        <v>10.8</v>
      </c>
      <c r="AU93" s="153">
        <v>1</v>
      </c>
      <c r="AV93" s="154">
        <f t="shared" si="1222"/>
        <v>32.400000000000006</v>
      </c>
      <c r="AW93" s="50">
        <v>4</v>
      </c>
      <c r="AY93" s="155"/>
      <c r="AZ93" s="156"/>
      <c r="BA93" s="127"/>
      <c r="BB93" s="127"/>
      <c r="BC93" s="155"/>
      <c r="BD93" s="156"/>
      <c r="BE93" s="155"/>
      <c r="BF93" s="156"/>
      <c r="BG93" s="127"/>
      <c r="BH93" s="127"/>
      <c r="BI93" s="127"/>
      <c r="BJ93" s="156"/>
      <c r="BK93" s="155"/>
      <c r="BL93" s="156"/>
      <c r="BM93" s="155"/>
      <c r="BN93" s="156"/>
      <c r="BO93" s="50"/>
      <c r="BP93" s="51">
        <f t="shared" ref="BP93:BP98" si="1284">AY93*$AV93</f>
        <v>0</v>
      </c>
      <c r="BQ93" s="157">
        <f t="shared" ref="BQ93:BQ98" si="1285">AZ93*$AV93</f>
        <v>0</v>
      </c>
      <c r="BR93" s="51">
        <f t="shared" ref="BR93:BR98" si="1286">BA93*$AV93</f>
        <v>0</v>
      </c>
      <c r="BS93" s="157">
        <f t="shared" ref="BS93:BS98" si="1287">BB93*$AV93</f>
        <v>0</v>
      </c>
      <c r="BT93" s="51">
        <f t="shared" ref="BT93:BT98" si="1288">BC93*$AV93</f>
        <v>0</v>
      </c>
      <c r="BU93" s="157">
        <f t="shared" ref="BU93:BU98" si="1289">BD93*$AV93</f>
        <v>0</v>
      </c>
      <c r="BV93" s="51">
        <f t="shared" ref="BV93:BV98" si="1290">BE93*$AV93</f>
        <v>0</v>
      </c>
      <c r="BW93" s="157">
        <f t="shared" ref="BW93:BW98" si="1291">BF93*$AV93</f>
        <v>0</v>
      </c>
      <c r="BX93" s="51">
        <f t="shared" ref="BX93:BX98" si="1292">BG93*$AV93</f>
        <v>0</v>
      </c>
      <c r="BY93" s="157">
        <f t="shared" ref="BY93:BY98" si="1293">BH93*$AV93</f>
        <v>0</v>
      </c>
      <c r="BZ93" s="51">
        <f t="shared" ref="BZ93:BZ98" si="1294">BI93*$AV93</f>
        <v>0</v>
      </c>
      <c r="CA93" s="157">
        <f t="shared" ref="CA93:CA98" si="1295">BJ93*$AV93</f>
        <v>0</v>
      </c>
      <c r="CB93" s="51">
        <f t="shared" ref="CB93:CB98" si="1296">BK93*$AV93</f>
        <v>0</v>
      </c>
      <c r="CC93" s="157">
        <f t="shared" ref="CC93:CC98" si="1297">BL93*$AV93</f>
        <v>0</v>
      </c>
      <c r="CD93" s="51">
        <f t="shared" ref="CD93:CD98" si="1298">BM93*$AV93</f>
        <v>0</v>
      </c>
      <c r="CE93" s="157">
        <f t="shared" ref="CE93:CE98" si="1299">BN93*$AV93</f>
        <v>0</v>
      </c>
      <c r="CG93" s="45"/>
      <c r="CR93" s="151"/>
      <c r="CS93" s="45"/>
      <c r="CT93" s="151"/>
      <c r="CV93" s="151"/>
      <c r="CX93" s="50"/>
      <c r="CZ93" s="45"/>
      <c r="DK93" s="151"/>
      <c r="DL93" s="45"/>
      <c r="DM93" s="151"/>
      <c r="DN93" s="45"/>
      <c r="DO93" s="151"/>
      <c r="DQ93" s="117"/>
      <c r="DR93" s="77"/>
      <c r="DS93" s="117"/>
      <c r="DT93" s="149"/>
      <c r="DU93" s="77"/>
      <c r="DV93" s="77"/>
      <c r="DW93" s="117"/>
      <c r="DX93" s="149"/>
      <c r="DY93" s="77"/>
      <c r="DZ93" s="77"/>
      <c r="EA93" s="117"/>
      <c r="EB93" s="149"/>
      <c r="EC93" s="77"/>
      <c r="ED93" s="77"/>
      <c r="EE93" s="77"/>
      <c r="EF93" s="117"/>
      <c r="EG93" s="149"/>
      <c r="EH93" s="77"/>
      <c r="EI93" s="149"/>
    </row>
    <row r="94" spans="1:139" x14ac:dyDescent="0.25">
      <c r="A94" s="195">
        <f t="shared" si="1283"/>
        <v>45945</v>
      </c>
      <c r="B94" s="158" t="s">
        <v>11</v>
      </c>
      <c r="C94" s="195"/>
      <c r="D94" s="150">
        <v>6</v>
      </c>
      <c r="E94" s="117">
        <v>9</v>
      </c>
      <c r="F94" s="45">
        <v>22.48</v>
      </c>
      <c r="G94" s="154">
        <v>28.75</v>
      </c>
      <c r="H94" s="169">
        <f t="shared" si="1214"/>
        <v>0</v>
      </c>
      <c r="I94" s="169">
        <f t="shared" si="1215"/>
        <v>0</v>
      </c>
      <c r="J94" s="169">
        <f t="shared" si="1216"/>
        <v>0</v>
      </c>
      <c r="K94" s="132"/>
      <c r="N94" s="151"/>
      <c r="Q94" s="45"/>
      <c r="R94" s="151"/>
      <c r="S94" s="320">
        <f t="shared" si="1217"/>
        <v>0</v>
      </c>
      <c r="T94" s="77"/>
      <c r="U94" s="77"/>
      <c r="V94" s="320">
        <f t="shared" si="1218"/>
        <v>0</v>
      </c>
      <c r="Y94" s="117"/>
      <c r="Z94" s="581"/>
      <c r="AA94" s="320">
        <f t="shared" si="1219"/>
        <v>0</v>
      </c>
      <c r="AD94" s="320">
        <f t="shared" si="1220"/>
        <v>0</v>
      </c>
      <c r="AE94" s="117"/>
      <c r="AF94" s="77"/>
      <c r="AG94" s="45"/>
      <c r="AH94" s="151"/>
      <c r="AJ94" s="580"/>
      <c r="AK94" s="77"/>
      <c r="AL94" s="117"/>
      <c r="AM94" s="149"/>
      <c r="AN94" s="77"/>
      <c r="AO94" s="581"/>
      <c r="AQ94" s="45">
        <v>9</v>
      </c>
      <c r="AR94" s="151">
        <v>3</v>
      </c>
      <c r="AS94" s="571">
        <f t="shared" si="1221"/>
        <v>3</v>
      </c>
      <c r="AT94" s="152">
        <v>10.8</v>
      </c>
      <c r="AU94" s="153">
        <v>1</v>
      </c>
      <c r="AV94" s="154">
        <f t="shared" si="1222"/>
        <v>32.400000000000006</v>
      </c>
      <c r="AW94" s="50">
        <v>9</v>
      </c>
      <c r="AY94" s="155">
        <f t="shared" ref="AY94:AY98" si="1300">H94/G94</f>
        <v>0</v>
      </c>
      <c r="AZ94" s="156">
        <f t="shared" ref="AZ94:AZ98" si="1301">I94/G94</f>
        <v>0</v>
      </c>
      <c r="BA94" s="127">
        <f t="shared" ref="BA94:BA98" si="1302">(K94+L94)/$G94</f>
        <v>0</v>
      </c>
      <c r="BB94" s="127">
        <f t="shared" ref="BB94:BB98" si="1303">K94/$G94</f>
        <v>0</v>
      </c>
      <c r="BC94" s="155">
        <f t="shared" ref="BC94:BC98" si="1304">(M94+N94)/$G94</f>
        <v>0</v>
      </c>
      <c r="BD94" s="156">
        <f t="shared" ref="BD94:BD98" si="1305">M94/$G94</f>
        <v>0</v>
      </c>
      <c r="BE94" s="155">
        <f t="shared" ref="BE94:BE98" si="1306">(Q94+R94)/$G94</f>
        <v>0</v>
      </c>
      <c r="BF94" s="156">
        <f t="shared" ref="BF94:BF98" si="1307">Q94/$G94</f>
        <v>0</v>
      </c>
      <c r="BG94" s="127">
        <f t="shared" ref="BG94:BG98" si="1308">S94/$G94</f>
        <v>0</v>
      </c>
      <c r="BH94" s="127">
        <f t="shared" ref="BH94:BH98" si="1309">V94/$G94</f>
        <v>0</v>
      </c>
      <c r="BI94" s="127">
        <f t="shared" ref="BI94:BI98" si="1310">AA94/$G94</f>
        <v>0</v>
      </c>
      <c r="BJ94" s="156">
        <f t="shared" ref="BJ94:BJ98" si="1311">AH94/$G94</f>
        <v>0</v>
      </c>
      <c r="BK94" s="155"/>
      <c r="BL94" s="156"/>
      <c r="BM94" s="155"/>
      <c r="BN94" s="156"/>
      <c r="BO94" s="50"/>
      <c r="BP94" s="51">
        <f t="shared" si="1284"/>
        <v>0</v>
      </c>
      <c r="BQ94" s="157">
        <f t="shared" si="1285"/>
        <v>0</v>
      </c>
      <c r="BR94" s="51">
        <f t="shared" si="1286"/>
        <v>0</v>
      </c>
      <c r="BS94" s="157">
        <f t="shared" si="1287"/>
        <v>0</v>
      </c>
      <c r="BT94" s="51">
        <f t="shared" si="1288"/>
        <v>0</v>
      </c>
      <c r="BU94" s="157">
        <f t="shared" si="1289"/>
        <v>0</v>
      </c>
      <c r="BV94" s="51">
        <f t="shared" si="1290"/>
        <v>0</v>
      </c>
      <c r="BW94" s="157">
        <f t="shared" si="1291"/>
        <v>0</v>
      </c>
      <c r="BX94" s="51">
        <f t="shared" si="1292"/>
        <v>0</v>
      </c>
      <c r="BY94" s="157">
        <f t="shared" si="1293"/>
        <v>0</v>
      </c>
      <c r="BZ94" s="51">
        <f t="shared" si="1294"/>
        <v>0</v>
      </c>
      <c r="CA94" s="157">
        <f t="shared" si="1295"/>
        <v>0</v>
      </c>
      <c r="CB94" s="51">
        <f t="shared" si="1296"/>
        <v>0</v>
      </c>
      <c r="CC94" s="157">
        <f t="shared" si="1297"/>
        <v>0</v>
      </c>
      <c r="CD94" s="51">
        <f t="shared" si="1298"/>
        <v>0</v>
      </c>
      <c r="CE94" s="157">
        <f t="shared" si="1299"/>
        <v>0</v>
      </c>
      <c r="CG94" s="45"/>
      <c r="CR94" s="151"/>
      <c r="CS94" s="45"/>
      <c r="CT94" s="151"/>
      <c r="CV94" s="151"/>
      <c r="CX94" s="50"/>
      <c r="CZ94" s="45"/>
      <c r="DK94" s="151"/>
      <c r="DL94" s="45"/>
      <c r="DM94" s="151"/>
      <c r="DN94" s="45"/>
      <c r="DO94" s="151"/>
      <c r="DQ94" s="117"/>
      <c r="DR94" s="77"/>
      <c r="DS94" s="117">
        <v>1</v>
      </c>
      <c r="DT94" s="149"/>
      <c r="DU94" s="77"/>
      <c r="DV94" s="77"/>
      <c r="DW94" s="117"/>
      <c r="DX94" s="149"/>
      <c r="DY94" s="77"/>
      <c r="DZ94" s="77"/>
      <c r="EA94" s="117"/>
      <c r="EB94" s="149"/>
      <c r="EC94" s="77"/>
      <c r="ED94" s="77"/>
      <c r="EE94" s="77"/>
      <c r="EF94" s="117"/>
      <c r="EG94" s="149"/>
      <c r="EH94" s="77"/>
      <c r="EI94" s="149"/>
    </row>
    <row r="95" spans="1:139" x14ac:dyDescent="0.25">
      <c r="A95" s="195">
        <f t="shared" si="1283"/>
        <v>45946</v>
      </c>
      <c r="B95" s="158" t="s">
        <v>95</v>
      </c>
      <c r="C95" s="195"/>
      <c r="D95" s="150">
        <v>9</v>
      </c>
      <c r="E95" s="117">
        <v>9</v>
      </c>
      <c r="F95" s="45">
        <v>36.54</v>
      </c>
      <c r="G95" s="154">
        <v>46.72</v>
      </c>
      <c r="H95" s="169">
        <f t="shared" si="1214"/>
        <v>1</v>
      </c>
      <c r="I95" s="169">
        <f t="shared" si="1215"/>
        <v>0</v>
      </c>
      <c r="J95" s="169">
        <f t="shared" si="1216"/>
        <v>1</v>
      </c>
      <c r="K95" s="132"/>
      <c r="N95" s="151"/>
      <c r="Q95" s="45"/>
      <c r="R95" s="151">
        <v>1</v>
      </c>
      <c r="S95" s="320">
        <f t="shared" si="1217"/>
        <v>3</v>
      </c>
      <c r="T95" s="77">
        <v>1</v>
      </c>
      <c r="U95" s="77">
        <v>2</v>
      </c>
      <c r="V95" s="320">
        <f t="shared" si="1218"/>
        <v>0</v>
      </c>
      <c r="Y95" s="117">
        <v>1</v>
      </c>
      <c r="Z95" s="581"/>
      <c r="AA95" s="320">
        <f t="shared" si="1219"/>
        <v>0</v>
      </c>
      <c r="AD95" s="320">
        <f t="shared" si="1220"/>
        <v>0</v>
      </c>
      <c r="AE95" s="117"/>
      <c r="AF95" s="77"/>
      <c r="AG95" s="45"/>
      <c r="AH95" s="151"/>
      <c r="AJ95" s="580"/>
      <c r="AK95" s="77"/>
      <c r="AL95" s="117"/>
      <c r="AM95" s="149"/>
      <c r="AN95" s="77"/>
      <c r="AO95" s="581"/>
      <c r="AQ95" s="45">
        <v>9</v>
      </c>
      <c r="AR95" s="151">
        <v>3</v>
      </c>
      <c r="AS95" s="571">
        <f t="shared" si="1221"/>
        <v>3</v>
      </c>
      <c r="AT95" s="152">
        <v>10.7</v>
      </c>
      <c r="AU95" s="153">
        <v>1</v>
      </c>
      <c r="AV95" s="154">
        <f t="shared" si="1222"/>
        <v>32.099999999999994</v>
      </c>
      <c r="AW95" s="50">
        <v>12</v>
      </c>
      <c r="AY95" s="155">
        <f t="shared" si="1300"/>
        <v>2.1404109589041095E-2</v>
      </c>
      <c r="AZ95" s="156">
        <f t="shared" si="1301"/>
        <v>0</v>
      </c>
      <c r="BA95" s="127">
        <f t="shared" si="1302"/>
        <v>0</v>
      </c>
      <c r="BB95" s="127">
        <f t="shared" si="1303"/>
        <v>0</v>
      </c>
      <c r="BC95" s="155">
        <f t="shared" si="1304"/>
        <v>0</v>
      </c>
      <c r="BD95" s="156">
        <f t="shared" si="1305"/>
        <v>0</v>
      </c>
      <c r="BE95" s="155">
        <f t="shared" si="1306"/>
        <v>2.1404109589041095E-2</v>
      </c>
      <c r="BF95" s="156">
        <f t="shared" si="1307"/>
        <v>0</v>
      </c>
      <c r="BG95" s="127">
        <f t="shared" si="1308"/>
        <v>6.4212328767123295E-2</v>
      </c>
      <c r="BH95" s="127">
        <f t="shared" si="1309"/>
        <v>0</v>
      </c>
      <c r="BI95" s="127">
        <f t="shared" si="1310"/>
        <v>0</v>
      </c>
      <c r="BJ95" s="156">
        <f t="shared" si="1311"/>
        <v>0</v>
      </c>
      <c r="BK95" s="155"/>
      <c r="BL95" s="156"/>
      <c r="BM95" s="155"/>
      <c r="BN95" s="156"/>
      <c r="BO95" s="50"/>
      <c r="BP95" s="51">
        <f t="shared" si="1284"/>
        <v>0.68707191780821897</v>
      </c>
      <c r="BQ95" s="157">
        <f t="shared" si="1285"/>
        <v>0</v>
      </c>
      <c r="BR95" s="51">
        <f t="shared" si="1286"/>
        <v>0</v>
      </c>
      <c r="BS95" s="157">
        <f t="shared" si="1287"/>
        <v>0</v>
      </c>
      <c r="BT95" s="51">
        <f t="shared" si="1288"/>
        <v>0</v>
      </c>
      <c r="BU95" s="157">
        <f t="shared" si="1289"/>
        <v>0</v>
      </c>
      <c r="BV95" s="51">
        <f t="shared" si="1290"/>
        <v>0.68707191780821897</v>
      </c>
      <c r="BW95" s="157">
        <f t="shared" si="1291"/>
        <v>0</v>
      </c>
      <c r="BX95" s="51">
        <f t="shared" si="1292"/>
        <v>2.0612157534246576</v>
      </c>
      <c r="BY95" s="157">
        <f t="shared" si="1293"/>
        <v>0</v>
      </c>
      <c r="BZ95" s="51">
        <f t="shared" si="1294"/>
        <v>0</v>
      </c>
      <c r="CA95" s="157">
        <f t="shared" si="1295"/>
        <v>0</v>
      </c>
      <c r="CB95" s="51">
        <f t="shared" si="1296"/>
        <v>0</v>
      </c>
      <c r="CC95" s="157">
        <f t="shared" si="1297"/>
        <v>0</v>
      </c>
      <c r="CD95" s="51">
        <f t="shared" si="1298"/>
        <v>0</v>
      </c>
      <c r="CE95" s="157">
        <f t="shared" si="1299"/>
        <v>0</v>
      </c>
      <c r="CG95" s="45"/>
      <c r="CR95" s="151"/>
      <c r="CS95" s="45"/>
      <c r="CT95" s="151"/>
      <c r="CV95" s="151"/>
      <c r="CX95" s="50"/>
      <c r="CZ95" s="45"/>
      <c r="DK95" s="151"/>
      <c r="DL95" s="45"/>
      <c r="DM95" s="151"/>
      <c r="DN95" s="45"/>
      <c r="DO95" s="151"/>
      <c r="DQ95" s="117"/>
      <c r="DR95" s="77"/>
      <c r="DS95" s="117"/>
      <c r="DT95" s="149"/>
      <c r="DU95" s="77"/>
      <c r="DV95" s="77"/>
      <c r="DW95" s="117"/>
      <c r="DX95" s="149"/>
      <c r="DY95" s="77"/>
      <c r="DZ95" s="77"/>
      <c r="EA95" s="117"/>
      <c r="EB95" s="149"/>
      <c r="EC95" s="77"/>
      <c r="ED95" s="77"/>
      <c r="EE95" s="77"/>
      <c r="EF95" s="117"/>
      <c r="EG95" s="149"/>
      <c r="EH95" s="77"/>
      <c r="EI95" s="149"/>
    </row>
    <row r="96" spans="1:139" x14ac:dyDescent="0.25">
      <c r="A96" s="195">
        <f t="shared" si="1283"/>
        <v>45947</v>
      </c>
      <c r="B96" s="195" t="s">
        <v>13</v>
      </c>
      <c r="C96" s="195"/>
      <c r="D96" s="150">
        <v>11</v>
      </c>
      <c r="E96" s="117">
        <v>15</v>
      </c>
      <c r="F96" s="45">
        <v>50.07</v>
      </c>
      <c r="G96" s="154">
        <v>64.86</v>
      </c>
      <c r="H96" s="169">
        <f t="shared" si="1214"/>
        <v>1</v>
      </c>
      <c r="I96" s="169">
        <f t="shared" si="1215"/>
        <v>0</v>
      </c>
      <c r="J96" s="169">
        <f t="shared" si="1216"/>
        <v>1</v>
      </c>
      <c r="K96" s="132"/>
      <c r="N96" s="151">
        <v>1</v>
      </c>
      <c r="Q96" s="45"/>
      <c r="R96" s="151"/>
      <c r="S96" s="320">
        <f t="shared" si="1217"/>
        <v>2</v>
      </c>
      <c r="T96" s="77"/>
      <c r="U96" s="77">
        <v>2</v>
      </c>
      <c r="V96" s="320">
        <f t="shared" si="1218"/>
        <v>1</v>
      </c>
      <c r="X96" s="27">
        <v>1</v>
      </c>
      <c r="Y96" s="117"/>
      <c r="Z96" s="581"/>
      <c r="AA96" s="320">
        <f t="shared" si="1219"/>
        <v>0</v>
      </c>
      <c r="AD96" s="320">
        <f t="shared" si="1220"/>
        <v>0</v>
      </c>
      <c r="AE96" s="117"/>
      <c r="AF96" s="77"/>
      <c r="AG96" s="45"/>
      <c r="AH96" s="151"/>
      <c r="AJ96" s="580"/>
      <c r="AK96" s="77"/>
      <c r="AL96" s="117"/>
      <c r="AM96" s="149"/>
      <c r="AN96" s="77"/>
      <c r="AO96" s="581"/>
      <c r="AQ96" s="45">
        <v>15</v>
      </c>
      <c r="AR96" s="151">
        <v>3</v>
      </c>
      <c r="AS96" s="571">
        <f t="shared" si="1221"/>
        <v>5</v>
      </c>
      <c r="AT96" s="152">
        <v>10.7</v>
      </c>
      <c r="AU96" s="153">
        <v>1</v>
      </c>
      <c r="AV96" s="154">
        <f t="shared" si="1222"/>
        <v>53.5</v>
      </c>
      <c r="AW96" s="50">
        <v>5</v>
      </c>
      <c r="AY96" s="155">
        <f t="shared" ref="AY96" si="1312">H96/G96</f>
        <v>1.5417823003391921E-2</v>
      </c>
      <c r="AZ96" s="156">
        <f t="shared" ref="AZ96" si="1313">I96/G96</f>
        <v>0</v>
      </c>
      <c r="BA96" s="127">
        <f t="shared" ref="BA96" si="1314">(K96+L96)/$G96</f>
        <v>0</v>
      </c>
      <c r="BB96" s="127">
        <f t="shared" ref="BB96" si="1315">K96/$G96</f>
        <v>0</v>
      </c>
      <c r="BC96" s="155">
        <f t="shared" ref="BC96" si="1316">(M96+N96)/$G96</f>
        <v>1.5417823003391921E-2</v>
      </c>
      <c r="BD96" s="156">
        <f t="shared" ref="BD96" si="1317">M96/$G96</f>
        <v>0</v>
      </c>
      <c r="BE96" s="155">
        <f t="shared" ref="BE96" si="1318">(Q96+R96)/$G96</f>
        <v>0</v>
      </c>
      <c r="BF96" s="156">
        <f t="shared" ref="BF96" si="1319">Q96/$G96</f>
        <v>0</v>
      </c>
      <c r="BG96" s="127">
        <f t="shared" ref="BG96" si="1320">S96/$G96</f>
        <v>3.0835646006783842E-2</v>
      </c>
      <c r="BH96" s="127">
        <f t="shared" ref="BH96" si="1321">V96/$G96</f>
        <v>1.5417823003391921E-2</v>
      </c>
      <c r="BI96" s="127">
        <f t="shared" ref="BI96" si="1322">AA96/$G96</f>
        <v>0</v>
      </c>
      <c r="BJ96" s="156">
        <f t="shared" ref="BJ96" si="1323">AH96/$G96</f>
        <v>0</v>
      </c>
      <c r="BK96" s="155"/>
      <c r="BL96" s="156"/>
      <c r="BM96" s="155"/>
      <c r="BN96" s="156"/>
      <c r="BO96" s="50"/>
      <c r="BP96" s="51">
        <f t="shared" ref="BP96" si="1324">AY96*$AV96</f>
        <v>0.82485353068146783</v>
      </c>
      <c r="BQ96" s="157">
        <f t="shared" ref="BQ96" si="1325">AZ96*$AV96</f>
        <v>0</v>
      </c>
      <c r="BR96" s="51">
        <f t="shared" ref="BR96" si="1326">BA96*$AV96</f>
        <v>0</v>
      </c>
      <c r="BS96" s="157">
        <f t="shared" ref="BS96" si="1327">BB96*$AV96</f>
        <v>0</v>
      </c>
      <c r="BT96" s="51">
        <f t="shared" ref="BT96" si="1328">BC96*$AV96</f>
        <v>0.82485353068146783</v>
      </c>
      <c r="BU96" s="157">
        <f t="shared" ref="BU96" si="1329">BD96*$AV96</f>
        <v>0</v>
      </c>
      <c r="BV96" s="51">
        <f t="shared" ref="BV96" si="1330">BE96*$AV96</f>
        <v>0</v>
      </c>
      <c r="BW96" s="157">
        <f t="shared" ref="BW96" si="1331">BF96*$AV96</f>
        <v>0</v>
      </c>
      <c r="BX96" s="51">
        <f t="shared" ref="BX96" si="1332">BG96*$AV96</f>
        <v>1.6497070613629357</v>
      </c>
      <c r="BY96" s="157">
        <f t="shared" ref="BY96" si="1333">BH96*$AV96</f>
        <v>0.82485353068146783</v>
      </c>
      <c r="BZ96" s="51">
        <f t="shared" ref="BZ96" si="1334">BI96*$AV96</f>
        <v>0</v>
      </c>
      <c r="CA96" s="157">
        <f t="shared" ref="CA96" si="1335">BJ96*$AV96</f>
        <v>0</v>
      </c>
      <c r="CB96" s="51">
        <f t="shared" ref="CB96" si="1336">BK96*$AV96</f>
        <v>0</v>
      </c>
      <c r="CC96" s="157">
        <f t="shared" ref="CC96" si="1337">BL96*$AV96</f>
        <v>0</v>
      </c>
      <c r="CD96" s="51">
        <f t="shared" ref="CD96" si="1338">BM96*$AV96</f>
        <v>0</v>
      </c>
      <c r="CE96" s="157">
        <f t="shared" ref="CE96" si="1339">BN96*$AV96</f>
        <v>0</v>
      </c>
      <c r="CG96" s="45"/>
      <c r="CR96" s="151"/>
      <c r="CS96" s="45"/>
      <c r="CT96" s="151"/>
      <c r="CV96" s="151"/>
      <c r="CX96" s="50"/>
      <c r="CZ96" s="45"/>
      <c r="DK96" s="151"/>
      <c r="DL96" s="45"/>
      <c r="DM96" s="151"/>
      <c r="DN96" s="45"/>
      <c r="DO96" s="151"/>
      <c r="DQ96" s="117"/>
      <c r="DR96" s="77"/>
      <c r="DS96" s="117"/>
      <c r="DT96" s="149"/>
      <c r="DU96" s="77"/>
      <c r="DV96" s="77"/>
      <c r="DW96" s="117"/>
      <c r="DX96" s="149"/>
      <c r="DY96" s="77"/>
      <c r="DZ96" s="77">
        <v>1</v>
      </c>
      <c r="EA96" s="117"/>
      <c r="EB96" s="149"/>
      <c r="EC96" s="77"/>
      <c r="ED96" s="77"/>
      <c r="EE96" s="77"/>
      <c r="EF96" s="117"/>
      <c r="EG96" s="149"/>
      <c r="EH96" s="77"/>
      <c r="EI96" s="149"/>
    </row>
    <row r="97" spans="1:139" x14ac:dyDescent="0.25">
      <c r="A97" s="195">
        <f t="shared" si="1283"/>
        <v>45948</v>
      </c>
      <c r="B97" s="195" t="s">
        <v>14</v>
      </c>
      <c r="C97" s="195"/>
      <c r="D97" s="150">
        <v>35</v>
      </c>
      <c r="E97" s="117">
        <v>40</v>
      </c>
      <c r="F97" s="45">
        <v>80.8</v>
      </c>
      <c r="G97" s="154">
        <v>95.5</v>
      </c>
      <c r="H97" s="169">
        <f t="shared" si="1214"/>
        <v>0</v>
      </c>
      <c r="I97" s="169">
        <f t="shared" si="1215"/>
        <v>0</v>
      </c>
      <c r="J97" s="169">
        <f t="shared" si="1216"/>
        <v>0</v>
      </c>
      <c r="K97" s="132"/>
      <c r="N97" s="151"/>
      <c r="Q97" s="45"/>
      <c r="R97" s="151"/>
      <c r="S97" s="320">
        <f t="shared" si="1217"/>
        <v>3</v>
      </c>
      <c r="T97" s="77">
        <v>1</v>
      </c>
      <c r="U97" s="77">
        <v>2</v>
      </c>
      <c r="V97" s="320">
        <f t="shared" si="1218"/>
        <v>1</v>
      </c>
      <c r="X97" s="27">
        <v>1</v>
      </c>
      <c r="Y97" s="117"/>
      <c r="Z97" s="581"/>
      <c r="AA97" s="320">
        <f t="shared" si="1219"/>
        <v>0</v>
      </c>
      <c r="AD97" s="320">
        <f t="shared" si="1220"/>
        <v>0</v>
      </c>
      <c r="AE97" s="117"/>
      <c r="AF97" s="77"/>
      <c r="AG97" s="45"/>
      <c r="AH97" s="151"/>
      <c r="AJ97" s="580"/>
      <c r="AK97" s="77"/>
      <c r="AL97" s="117"/>
      <c r="AM97" s="149"/>
      <c r="AN97" s="77"/>
      <c r="AO97" s="581"/>
      <c r="AQ97" s="45">
        <v>40</v>
      </c>
      <c r="AR97" s="151">
        <v>3</v>
      </c>
      <c r="AS97" s="571">
        <f t="shared" si="1221"/>
        <v>13.333333333333334</v>
      </c>
      <c r="AT97" s="152">
        <v>10.6</v>
      </c>
      <c r="AU97" s="153">
        <v>1</v>
      </c>
      <c r="AV97" s="154">
        <f t="shared" si="1222"/>
        <v>141.33333333333334</v>
      </c>
      <c r="AW97" s="50">
        <v>14</v>
      </c>
      <c r="AY97" s="155">
        <f t="shared" si="1300"/>
        <v>0</v>
      </c>
      <c r="AZ97" s="156">
        <f t="shared" si="1301"/>
        <v>0</v>
      </c>
      <c r="BA97" s="127">
        <f t="shared" si="1302"/>
        <v>0</v>
      </c>
      <c r="BB97" s="127">
        <f t="shared" si="1303"/>
        <v>0</v>
      </c>
      <c r="BC97" s="155">
        <f t="shared" si="1304"/>
        <v>0</v>
      </c>
      <c r="BD97" s="156">
        <f t="shared" si="1305"/>
        <v>0</v>
      </c>
      <c r="BE97" s="155">
        <f t="shared" si="1306"/>
        <v>0</v>
      </c>
      <c r="BF97" s="156">
        <f t="shared" si="1307"/>
        <v>0</v>
      </c>
      <c r="BG97" s="127">
        <f t="shared" si="1308"/>
        <v>3.1413612565445025E-2</v>
      </c>
      <c r="BH97" s="127">
        <f t="shared" si="1309"/>
        <v>1.0471204188481676E-2</v>
      </c>
      <c r="BI97" s="127">
        <f t="shared" si="1310"/>
        <v>0</v>
      </c>
      <c r="BJ97" s="156">
        <f t="shared" si="1311"/>
        <v>0</v>
      </c>
      <c r="BK97" s="155"/>
      <c r="BL97" s="156"/>
      <c r="BM97" s="155"/>
      <c r="BN97" s="156"/>
      <c r="BO97" s="50"/>
      <c r="BP97" s="51">
        <f t="shared" si="1284"/>
        <v>0</v>
      </c>
      <c r="BQ97" s="157">
        <f t="shared" si="1285"/>
        <v>0</v>
      </c>
      <c r="BR97" s="51">
        <f t="shared" si="1286"/>
        <v>0</v>
      </c>
      <c r="BS97" s="157">
        <f t="shared" si="1287"/>
        <v>0</v>
      </c>
      <c r="BT97" s="51">
        <f t="shared" si="1288"/>
        <v>0</v>
      </c>
      <c r="BU97" s="157">
        <f t="shared" si="1289"/>
        <v>0</v>
      </c>
      <c r="BV97" s="51">
        <f t="shared" si="1290"/>
        <v>0</v>
      </c>
      <c r="BW97" s="157">
        <f t="shared" si="1291"/>
        <v>0</v>
      </c>
      <c r="BX97" s="51">
        <f t="shared" si="1292"/>
        <v>4.4397905759162306</v>
      </c>
      <c r="BY97" s="157">
        <f t="shared" si="1293"/>
        <v>1.4799301919720769</v>
      </c>
      <c r="BZ97" s="51">
        <f t="shared" si="1294"/>
        <v>0</v>
      </c>
      <c r="CA97" s="157">
        <f t="shared" si="1295"/>
        <v>0</v>
      </c>
      <c r="CB97" s="51">
        <f t="shared" si="1296"/>
        <v>0</v>
      </c>
      <c r="CC97" s="157">
        <f t="shared" si="1297"/>
        <v>0</v>
      </c>
      <c r="CD97" s="51">
        <f t="shared" si="1298"/>
        <v>0</v>
      </c>
      <c r="CE97" s="157">
        <f t="shared" si="1299"/>
        <v>0</v>
      </c>
      <c r="CG97" s="51">
        <f t="shared" ref="CG97" si="1340">AVERAGE(BP97:BP98)</f>
        <v>0</v>
      </c>
      <c r="CH97" s="126">
        <f t="shared" ref="CH97" si="1341">AVERAGE(BQ97:BQ98)</f>
        <v>0</v>
      </c>
      <c r="CI97" s="126">
        <f t="shared" ref="CI97" si="1342">AVERAGE(BR97:BR98)</f>
        <v>0</v>
      </c>
      <c r="CJ97" s="126">
        <f t="shared" ref="CJ97" si="1343">AVERAGE(BS97:BS98)</f>
        <v>0</v>
      </c>
      <c r="CK97" s="126">
        <f t="shared" ref="CK97" si="1344">AVERAGE(BT97:BT98)</f>
        <v>0</v>
      </c>
      <c r="CL97" s="126">
        <f t="shared" ref="CL97" si="1345">AVERAGE(BU97:BU98)</f>
        <v>0</v>
      </c>
      <c r="CM97" s="126">
        <f t="shared" ref="CM97" si="1346">AVERAGE(BV97:BV98)</f>
        <v>0</v>
      </c>
      <c r="CN97" s="126">
        <f t="shared" ref="CN97" si="1347">AVERAGE(BW97:BW98)</f>
        <v>0</v>
      </c>
      <c r="CO97" s="126">
        <f t="shared" ref="CO97" si="1348">AVERAGE(BX97:BX98)</f>
        <v>2.9706035032555658</v>
      </c>
      <c r="CP97" s="126">
        <f t="shared" ref="CP97" si="1349">AVERAGE(BY97:BY98)</f>
        <v>0.73996509598603843</v>
      </c>
      <c r="CQ97" s="126">
        <f t="shared" ref="CQ97" si="1350">AVERAGE(BZ97:BZ98)</f>
        <v>0</v>
      </c>
      <c r="CR97" s="157">
        <f t="shared" ref="CR97" si="1351">AVERAGE(CA97:CA98)</f>
        <v>0</v>
      </c>
      <c r="CS97" s="51">
        <f t="shared" ref="CS97" si="1352">AVERAGE(CB97:CB98)</f>
        <v>0</v>
      </c>
      <c r="CT97" s="157">
        <f t="shared" ref="CT97" si="1353">AVERAGE(CC97:CC98)</f>
        <v>0</v>
      </c>
      <c r="CU97" s="126">
        <f t="shared" ref="CU97" si="1354">AVERAGE(CD97:CD98)</f>
        <v>0</v>
      </c>
      <c r="CV97" s="157">
        <f t="shared" ref="CV97" si="1355">AVERAGE(CE97:CE98)</f>
        <v>0</v>
      </c>
      <c r="CX97" s="150">
        <v>2</v>
      </c>
      <c r="CZ97" s="225">
        <f t="shared" ref="CZ97" si="1356">CG97*$CX97</f>
        <v>0</v>
      </c>
      <c r="DA97" s="160">
        <f t="shared" ref="DA97" si="1357">CH97*$CX97</f>
        <v>0</v>
      </c>
      <c r="DB97" s="160">
        <f t="shared" ref="DB97" si="1358">CI97*$CX97</f>
        <v>0</v>
      </c>
      <c r="DC97" s="160">
        <f t="shared" ref="DC97" si="1359">CJ97*$CX97</f>
        <v>0</v>
      </c>
      <c r="DD97" s="160">
        <f t="shared" ref="DD97" si="1360">CK97*$CX97</f>
        <v>0</v>
      </c>
      <c r="DE97" s="160">
        <f t="shared" ref="DE97" si="1361">CL97*$CX97</f>
        <v>0</v>
      </c>
      <c r="DF97" s="160">
        <f t="shared" ref="DF97" si="1362">CM97*$CX97</f>
        <v>0</v>
      </c>
      <c r="DG97" s="160">
        <f t="shared" ref="DG97" si="1363">CN97*$CX97</f>
        <v>0</v>
      </c>
      <c r="DH97" s="160">
        <f t="shared" ref="DH97" si="1364">CO97*$CX97</f>
        <v>5.9412070065111315</v>
      </c>
      <c r="DI97" s="160">
        <f t="shared" ref="DI97" si="1365">CP97*$CX97</f>
        <v>1.4799301919720769</v>
      </c>
      <c r="DJ97" s="160">
        <f t="shared" ref="DJ97" si="1366">CQ97*$CX97</f>
        <v>0</v>
      </c>
      <c r="DK97" s="161">
        <f t="shared" ref="DK97" si="1367">CR97*$CX97</f>
        <v>0</v>
      </c>
      <c r="DL97" s="225">
        <f t="shared" ref="DL97" si="1368">CS97*$CX97</f>
        <v>0</v>
      </c>
      <c r="DM97" s="161">
        <f t="shared" ref="DM97" si="1369">CT97*$CX97</f>
        <v>0</v>
      </c>
      <c r="DN97" s="225">
        <f t="shared" ref="DN97" si="1370">CU97*$CX97</f>
        <v>0</v>
      </c>
      <c r="DO97" s="161">
        <f t="shared" ref="DO97" si="1371">CV97*$CX97</f>
        <v>0</v>
      </c>
      <c r="DQ97" s="117"/>
      <c r="DR97" s="77"/>
      <c r="DS97" s="117"/>
      <c r="DT97" s="149"/>
      <c r="DU97" s="77"/>
      <c r="DV97" s="77"/>
      <c r="DW97" s="117"/>
      <c r="DX97" s="149"/>
      <c r="DY97" s="77"/>
      <c r="DZ97" s="77"/>
      <c r="EA97" s="117"/>
      <c r="EB97" s="149"/>
      <c r="EC97" s="77"/>
      <c r="ED97" s="77"/>
      <c r="EE97" s="77"/>
      <c r="EF97" s="117"/>
      <c r="EG97" s="149"/>
      <c r="EH97" s="77"/>
      <c r="EI97" s="149"/>
    </row>
    <row r="98" spans="1:139" x14ac:dyDescent="0.25">
      <c r="A98" s="334">
        <f t="shared" si="1283"/>
        <v>45949</v>
      </c>
      <c r="B98" s="334" t="s">
        <v>15</v>
      </c>
      <c r="C98" s="334"/>
      <c r="D98" s="150">
        <v>4</v>
      </c>
      <c r="E98" s="117">
        <v>6</v>
      </c>
      <c r="F98" s="176">
        <v>14.76</v>
      </c>
      <c r="G98" s="305">
        <v>21.18</v>
      </c>
      <c r="H98" s="323">
        <f t="shared" si="1214"/>
        <v>0</v>
      </c>
      <c r="I98" s="323">
        <f t="shared" si="1215"/>
        <v>0</v>
      </c>
      <c r="J98" s="323">
        <f t="shared" si="1216"/>
        <v>0</v>
      </c>
      <c r="K98" s="132"/>
      <c r="N98" s="178"/>
      <c r="O98" s="177"/>
      <c r="P98" s="177"/>
      <c r="Q98" s="176"/>
      <c r="R98" s="178"/>
      <c r="S98" s="320">
        <f t="shared" si="1217"/>
        <v>1</v>
      </c>
      <c r="T98" s="77"/>
      <c r="U98" s="77">
        <v>1</v>
      </c>
      <c r="V98" s="320">
        <f t="shared" si="1218"/>
        <v>0</v>
      </c>
      <c r="W98" s="177"/>
      <c r="X98" s="177"/>
      <c r="Y98" s="117"/>
      <c r="Z98" s="581"/>
      <c r="AA98" s="320">
        <f t="shared" si="1219"/>
        <v>0</v>
      </c>
      <c r="AD98" s="320">
        <f t="shared" si="1220"/>
        <v>0</v>
      </c>
      <c r="AE98" s="117"/>
      <c r="AF98" s="77"/>
      <c r="AG98" s="176"/>
      <c r="AH98" s="178"/>
      <c r="AJ98" s="580"/>
      <c r="AK98" s="77"/>
      <c r="AL98" s="117"/>
      <c r="AM98" s="149"/>
      <c r="AN98" s="77"/>
      <c r="AO98" s="581"/>
      <c r="AQ98" s="45">
        <v>6</v>
      </c>
      <c r="AR98" s="151">
        <v>2</v>
      </c>
      <c r="AS98" s="572">
        <f t="shared" si="1221"/>
        <v>3</v>
      </c>
      <c r="AT98" s="192">
        <v>10.6</v>
      </c>
      <c r="AU98" s="193">
        <v>1</v>
      </c>
      <c r="AV98" s="305">
        <f t="shared" si="1222"/>
        <v>31.799999999999997</v>
      </c>
      <c r="AW98" s="131">
        <v>9</v>
      </c>
      <c r="AX98" s="177"/>
      <c r="AY98" s="212">
        <f t="shared" si="1300"/>
        <v>0</v>
      </c>
      <c r="AZ98" s="213">
        <f t="shared" si="1301"/>
        <v>0</v>
      </c>
      <c r="BA98" s="214">
        <f t="shared" si="1302"/>
        <v>0</v>
      </c>
      <c r="BB98" s="214">
        <f t="shared" si="1303"/>
        <v>0</v>
      </c>
      <c r="BC98" s="212">
        <f t="shared" si="1304"/>
        <v>0</v>
      </c>
      <c r="BD98" s="213">
        <f t="shared" si="1305"/>
        <v>0</v>
      </c>
      <c r="BE98" s="212">
        <f t="shared" si="1306"/>
        <v>0</v>
      </c>
      <c r="BF98" s="213">
        <f t="shared" si="1307"/>
        <v>0</v>
      </c>
      <c r="BG98" s="214">
        <f t="shared" si="1308"/>
        <v>4.7214353163361665E-2</v>
      </c>
      <c r="BH98" s="214">
        <f t="shared" si="1309"/>
        <v>0</v>
      </c>
      <c r="BI98" s="214">
        <f t="shared" si="1310"/>
        <v>0</v>
      </c>
      <c r="BJ98" s="213">
        <f t="shared" si="1311"/>
        <v>0</v>
      </c>
      <c r="BK98" s="212"/>
      <c r="BL98" s="156"/>
      <c r="BM98" s="212"/>
      <c r="BN98" s="213"/>
      <c r="BO98" s="50"/>
      <c r="BP98" s="217">
        <f t="shared" si="1284"/>
        <v>0</v>
      </c>
      <c r="BQ98" s="218">
        <f t="shared" si="1285"/>
        <v>0</v>
      </c>
      <c r="BR98" s="217">
        <f t="shared" si="1286"/>
        <v>0</v>
      </c>
      <c r="BS98" s="218">
        <f t="shared" si="1287"/>
        <v>0</v>
      </c>
      <c r="BT98" s="217">
        <f t="shared" si="1288"/>
        <v>0</v>
      </c>
      <c r="BU98" s="218">
        <f t="shared" si="1289"/>
        <v>0</v>
      </c>
      <c r="BV98" s="217">
        <f t="shared" si="1290"/>
        <v>0</v>
      </c>
      <c r="BW98" s="218">
        <f t="shared" si="1291"/>
        <v>0</v>
      </c>
      <c r="BX98" s="217">
        <f t="shared" si="1292"/>
        <v>1.5014164305949007</v>
      </c>
      <c r="BY98" s="218">
        <f t="shared" si="1293"/>
        <v>0</v>
      </c>
      <c r="BZ98" s="217">
        <f t="shared" si="1294"/>
        <v>0</v>
      </c>
      <c r="CA98" s="218">
        <f t="shared" si="1295"/>
        <v>0</v>
      </c>
      <c r="CB98" s="217">
        <f t="shared" si="1296"/>
        <v>0</v>
      </c>
      <c r="CC98" s="218">
        <f t="shared" si="1297"/>
        <v>0</v>
      </c>
      <c r="CD98" s="217">
        <f t="shared" si="1298"/>
        <v>0</v>
      </c>
      <c r="CE98" s="218">
        <f t="shared" si="1299"/>
        <v>0</v>
      </c>
      <c r="CG98" s="176"/>
      <c r="CH98" s="177"/>
      <c r="CI98" s="177"/>
      <c r="CJ98" s="177"/>
      <c r="CK98" s="177"/>
      <c r="CL98" s="177"/>
      <c r="CM98" s="177"/>
      <c r="CN98" s="177"/>
      <c r="CO98" s="177"/>
      <c r="CP98" s="177"/>
      <c r="CQ98" s="177"/>
      <c r="CR98" s="178"/>
      <c r="CS98" s="176"/>
      <c r="CT98" s="178"/>
      <c r="CU98" s="177"/>
      <c r="CV98" s="178"/>
      <c r="CX98" s="131"/>
      <c r="CZ98" s="176"/>
      <c r="DA98" s="177"/>
      <c r="DB98" s="177"/>
      <c r="DC98" s="177"/>
      <c r="DD98" s="177"/>
      <c r="DE98" s="177"/>
      <c r="DF98" s="177"/>
      <c r="DG98" s="177"/>
      <c r="DH98" s="177"/>
      <c r="DI98" s="177"/>
      <c r="DJ98" s="177"/>
      <c r="DK98" s="178"/>
      <c r="DL98" s="176"/>
      <c r="DM98" s="178"/>
      <c r="DN98" s="176"/>
      <c r="DO98" s="178"/>
      <c r="DQ98" s="32"/>
      <c r="DR98" s="34"/>
      <c r="DS98" s="32"/>
      <c r="DT98" s="33"/>
      <c r="DU98" s="34"/>
      <c r="DV98" s="34"/>
      <c r="DW98" s="32"/>
      <c r="DX98" s="33"/>
      <c r="DY98" s="34"/>
      <c r="DZ98" s="34"/>
      <c r="EA98" s="32"/>
      <c r="EB98" s="33"/>
      <c r="EC98" s="34"/>
      <c r="ED98" s="34"/>
      <c r="EE98" s="34"/>
      <c r="EF98" s="32"/>
      <c r="EG98" s="33"/>
      <c r="EH98" s="34"/>
      <c r="EI98" s="33"/>
    </row>
    <row r="99" spans="1:139" x14ac:dyDescent="0.25">
      <c r="A99" s="196"/>
      <c r="B99" s="189"/>
      <c r="C99" s="196"/>
      <c r="D99" s="202">
        <f t="shared" ref="D99:G99" si="1372">SUM(D92:D98)</f>
        <v>83</v>
      </c>
      <c r="E99" s="202">
        <f t="shared" si="1372"/>
        <v>98</v>
      </c>
      <c r="F99" s="202">
        <f t="shared" si="1372"/>
        <v>241.01999999999998</v>
      </c>
      <c r="G99" s="203">
        <f t="shared" si="1372"/>
        <v>295.58999999999997</v>
      </c>
      <c r="H99" s="202">
        <f t="shared" ref="H99:AH99" si="1373">SUM(H92:H98)</f>
        <v>2</v>
      </c>
      <c r="I99" s="202">
        <f t="shared" si="1373"/>
        <v>0</v>
      </c>
      <c r="J99" s="202">
        <f t="shared" si="1373"/>
        <v>2</v>
      </c>
      <c r="K99" s="202">
        <f t="shared" si="1373"/>
        <v>0</v>
      </c>
      <c r="L99" s="204">
        <f t="shared" si="1373"/>
        <v>0</v>
      </c>
      <c r="M99" s="202">
        <f t="shared" si="1373"/>
        <v>0</v>
      </c>
      <c r="N99" s="204">
        <f t="shared" si="1373"/>
        <v>1</v>
      </c>
      <c r="O99" s="202">
        <f t="shared" si="1373"/>
        <v>0</v>
      </c>
      <c r="P99" s="204">
        <f t="shared" si="1373"/>
        <v>0</v>
      </c>
      <c r="Q99" s="202">
        <f t="shared" si="1373"/>
        <v>0</v>
      </c>
      <c r="R99" s="204">
        <f t="shared" si="1373"/>
        <v>1</v>
      </c>
      <c r="S99" s="202">
        <f t="shared" si="1373"/>
        <v>16</v>
      </c>
      <c r="T99" s="205">
        <f t="shared" si="1373"/>
        <v>4</v>
      </c>
      <c r="U99" s="205">
        <f t="shared" si="1373"/>
        <v>12</v>
      </c>
      <c r="V99" s="203">
        <f t="shared" si="1373"/>
        <v>2</v>
      </c>
      <c r="W99" s="205">
        <f t="shared" si="1373"/>
        <v>0</v>
      </c>
      <c r="X99" s="205">
        <f t="shared" si="1373"/>
        <v>2</v>
      </c>
      <c r="Y99" s="202">
        <f t="shared" si="1373"/>
        <v>1</v>
      </c>
      <c r="Z99" s="204">
        <f t="shared" si="1373"/>
        <v>0</v>
      </c>
      <c r="AA99" s="202">
        <f t="shared" si="1373"/>
        <v>0</v>
      </c>
      <c r="AB99" s="202">
        <f t="shared" si="1373"/>
        <v>0</v>
      </c>
      <c r="AC99" s="205">
        <f t="shared" si="1373"/>
        <v>0</v>
      </c>
      <c r="AD99" s="202">
        <f t="shared" si="1373"/>
        <v>0</v>
      </c>
      <c r="AE99" s="202">
        <f t="shared" si="1373"/>
        <v>0</v>
      </c>
      <c r="AF99" s="205">
        <f t="shared" si="1373"/>
        <v>0</v>
      </c>
      <c r="AG99" s="202">
        <f t="shared" si="1373"/>
        <v>0</v>
      </c>
      <c r="AH99" s="204">
        <f t="shared" si="1373"/>
        <v>0</v>
      </c>
      <c r="AI99" s="357"/>
      <c r="AJ99" s="12"/>
      <c r="AK99" s="5"/>
      <c r="AL99" s="9"/>
      <c r="AM99" s="358"/>
      <c r="AN99" s="5"/>
      <c r="AO99" s="13"/>
      <c r="AQ99" s="222"/>
      <c r="AR99" s="222"/>
      <c r="AS99" s="191"/>
      <c r="AT99" s="192"/>
      <c r="AU99" s="193"/>
      <c r="AV99" s="194">
        <f>AVERAGE(AV92:AV96)*5+AVERAGE(AV97:AV98)*2</f>
        <v>359.86666666666667</v>
      </c>
      <c r="AW99" s="131"/>
      <c r="AY99" s="212"/>
      <c r="AZ99" s="213"/>
      <c r="BA99" s="214"/>
      <c r="BB99" s="214"/>
      <c r="BC99" s="212"/>
      <c r="BD99" s="213"/>
      <c r="BE99" s="212"/>
      <c r="BF99" s="213"/>
      <c r="BG99" s="214"/>
      <c r="BH99" s="214"/>
      <c r="BI99" s="214"/>
      <c r="BJ99" s="213"/>
      <c r="BK99" s="509"/>
      <c r="BL99" s="508"/>
      <c r="BM99" s="509"/>
      <c r="BN99" s="508"/>
      <c r="BO99" s="50"/>
      <c r="BP99" s="217"/>
      <c r="BQ99" s="218"/>
      <c r="BR99" s="217"/>
      <c r="BS99" s="218"/>
      <c r="BT99" s="217"/>
      <c r="BU99" s="218"/>
      <c r="BV99" s="217"/>
      <c r="BW99" s="218"/>
      <c r="BX99" s="217"/>
      <c r="BY99" s="218"/>
      <c r="BZ99" s="217"/>
      <c r="CA99" s="218"/>
      <c r="CB99" s="217"/>
      <c r="CC99" s="218"/>
      <c r="CD99" s="217"/>
      <c r="CE99" s="218"/>
      <c r="CG99" s="219"/>
      <c r="CH99" s="220"/>
      <c r="CI99" s="220"/>
      <c r="CJ99" s="220"/>
      <c r="CK99" s="220"/>
      <c r="CL99" s="220"/>
      <c r="CM99" s="220"/>
      <c r="CN99" s="220"/>
      <c r="CO99" s="220"/>
      <c r="CP99" s="220"/>
      <c r="CQ99" s="220"/>
      <c r="CR99" s="221"/>
      <c r="CS99" s="219"/>
      <c r="CT99" s="220"/>
      <c r="CU99" s="220"/>
      <c r="CV99" s="221"/>
      <c r="CX99" s="222"/>
      <c r="CZ99" s="226">
        <f t="shared" ref="CZ99:DO99" si="1374">CZ97+CZ92</f>
        <v>1.5119254484896869</v>
      </c>
      <c r="DA99" s="227">
        <f t="shared" si="1374"/>
        <v>0</v>
      </c>
      <c r="DB99" s="227">
        <f t="shared" si="1374"/>
        <v>0</v>
      </c>
      <c r="DC99" s="227">
        <f t="shared" si="1374"/>
        <v>0</v>
      </c>
      <c r="DD99" s="227">
        <f t="shared" si="1374"/>
        <v>0.82485353068146772</v>
      </c>
      <c r="DE99" s="227">
        <f t="shared" si="1374"/>
        <v>0</v>
      </c>
      <c r="DF99" s="227">
        <f t="shared" si="1374"/>
        <v>0.68707191780821897</v>
      </c>
      <c r="DG99" s="227">
        <f t="shared" si="1374"/>
        <v>0</v>
      </c>
      <c r="DH99" s="227">
        <f t="shared" si="1374"/>
        <v>16.24449201241675</v>
      </c>
      <c r="DI99" s="227">
        <f t="shared" si="1374"/>
        <v>2.3047837226535446</v>
      </c>
      <c r="DJ99" s="227">
        <f t="shared" si="1374"/>
        <v>0</v>
      </c>
      <c r="DK99" s="228">
        <f t="shared" si="1374"/>
        <v>0</v>
      </c>
      <c r="DL99" s="226">
        <f t="shared" si="1374"/>
        <v>0</v>
      </c>
      <c r="DM99" s="228">
        <f t="shared" si="1374"/>
        <v>0</v>
      </c>
      <c r="DN99" s="226">
        <f t="shared" si="1374"/>
        <v>0</v>
      </c>
      <c r="DO99" s="228">
        <f t="shared" si="1374"/>
        <v>0</v>
      </c>
      <c r="DQ99" s="32"/>
      <c r="DR99" s="34"/>
      <c r="DS99" s="32"/>
      <c r="DT99" s="33"/>
      <c r="DU99" s="34"/>
      <c r="DV99" s="34"/>
      <c r="DW99" s="32"/>
      <c r="DX99" s="33"/>
      <c r="DY99" s="34"/>
      <c r="DZ99" s="34"/>
      <c r="EA99" s="32"/>
      <c r="EB99" s="33"/>
      <c r="EC99" s="34"/>
      <c r="ED99" s="34"/>
      <c r="EE99" s="34"/>
      <c r="EF99" s="32"/>
      <c r="EG99" s="33"/>
      <c r="EH99" s="34"/>
      <c r="EI99" s="33"/>
    </row>
    <row r="100" spans="1:139" x14ac:dyDescent="0.25">
      <c r="AJ100" s="12"/>
      <c r="AK100" s="5"/>
      <c r="AL100" s="9"/>
      <c r="AM100" s="358"/>
      <c r="AN100" s="5"/>
      <c r="AO100" s="13"/>
    </row>
    <row r="101" spans="1:139" x14ac:dyDescent="0.25">
      <c r="A101" s="206">
        <f>A92+7</f>
        <v>45950</v>
      </c>
      <c r="B101" s="207" t="s">
        <v>7</v>
      </c>
      <c r="C101" s="206"/>
      <c r="D101" s="41">
        <v>8</v>
      </c>
      <c r="E101" s="41">
        <v>8</v>
      </c>
      <c r="F101" s="41">
        <v>28.07</v>
      </c>
      <c r="G101" s="179">
        <v>28.07</v>
      </c>
      <c r="H101" s="208">
        <f t="shared" ref="H101:H107" si="1375">I101+J101</f>
        <v>0</v>
      </c>
      <c r="I101" s="208">
        <f t="shared" ref="I101:I107" si="1376">K101+M101+Q101</f>
        <v>0</v>
      </c>
      <c r="J101" s="208">
        <f t="shared" ref="J101:J107" si="1377">L101+N101+R101</f>
        <v>0</v>
      </c>
      <c r="K101" s="41"/>
      <c r="L101" s="42"/>
      <c r="M101" s="41"/>
      <c r="N101" s="42"/>
      <c r="O101" s="165"/>
      <c r="P101" s="165"/>
      <c r="Q101" s="41"/>
      <c r="R101" s="42"/>
      <c r="S101" s="319">
        <f t="shared" ref="S101:S107" si="1378">T101+U101</f>
        <v>2</v>
      </c>
      <c r="T101" s="165"/>
      <c r="U101" s="165">
        <v>2</v>
      </c>
      <c r="V101" s="319">
        <f t="shared" ref="V101:V107" si="1379">W101+X101</f>
        <v>0</v>
      </c>
      <c r="W101" s="165"/>
      <c r="X101" s="165"/>
      <c r="Y101" s="41"/>
      <c r="Z101" s="42"/>
      <c r="AA101" s="319">
        <f t="shared" ref="AA101:AA107" si="1380">AB101+AC101</f>
        <v>1</v>
      </c>
      <c r="AB101" s="165"/>
      <c r="AC101" s="165">
        <v>1</v>
      </c>
      <c r="AD101" s="319">
        <f t="shared" ref="AD101:AD107" si="1381">AE101+AF101</f>
        <v>0</v>
      </c>
      <c r="AE101" s="41"/>
      <c r="AF101" s="165"/>
      <c r="AG101" s="41"/>
      <c r="AH101" s="42"/>
      <c r="AJ101" s="12"/>
      <c r="AK101" s="5"/>
      <c r="AL101" s="9"/>
      <c r="AM101" s="358"/>
      <c r="AN101" s="5"/>
      <c r="AO101" s="13"/>
      <c r="AQ101" s="28">
        <v>8</v>
      </c>
      <c r="AR101" s="28">
        <v>2</v>
      </c>
      <c r="AS101" s="146">
        <f t="shared" ref="AS101:AS107" si="1382">AQ101/AR101</f>
        <v>4</v>
      </c>
      <c r="AT101" s="359">
        <v>10.6</v>
      </c>
      <c r="AU101" s="190">
        <v>1</v>
      </c>
      <c r="AV101" s="179">
        <f t="shared" ref="AV101:AV107" si="1383">AT101*AS101*AU101</f>
        <v>42.4</v>
      </c>
      <c r="AW101" s="28">
        <v>5</v>
      </c>
      <c r="AY101" s="209">
        <f>H101/G101</f>
        <v>0</v>
      </c>
      <c r="AZ101" s="210">
        <f>I101/G101</f>
        <v>0</v>
      </c>
      <c r="BA101" s="211">
        <f>(K101+L101)/$G101</f>
        <v>0</v>
      </c>
      <c r="BB101" s="211">
        <f>K101/$G101</f>
        <v>0</v>
      </c>
      <c r="BC101" s="209">
        <f>(M101+N101)/$G101</f>
        <v>0</v>
      </c>
      <c r="BD101" s="210">
        <f>M101/$G101</f>
        <v>0</v>
      </c>
      <c r="BE101" s="209">
        <f>(Q101+R101)/$G101</f>
        <v>0</v>
      </c>
      <c r="BF101" s="210">
        <f>Q101/$G101</f>
        <v>0</v>
      </c>
      <c r="BG101" s="211">
        <f>S101/$G101</f>
        <v>7.1250445315283226E-2</v>
      </c>
      <c r="BH101" s="211">
        <f>V101/$G101</f>
        <v>0</v>
      </c>
      <c r="BI101" s="211">
        <f>AA101/$G101</f>
        <v>3.5625222657641613E-2</v>
      </c>
      <c r="BJ101" s="210">
        <f>AH101/$G101</f>
        <v>0</v>
      </c>
      <c r="BK101" s="209"/>
      <c r="BL101" s="210"/>
      <c r="BM101" s="209"/>
      <c r="BN101" s="210"/>
      <c r="BO101" s="50"/>
      <c r="BP101" s="215">
        <f t="shared" ref="BP101:CE102" si="1384">AY101*$AV101</f>
        <v>0</v>
      </c>
      <c r="BQ101" s="216">
        <f t="shared" si="1384"/>
        <v>0</v>
      </c>
      <c r="BR101" s="215">
        <f t="shared" si="1384"/>
        <v>0</v>
      </c>
      <c r="BS101" s="216">
        <f t="shared" si="1384"/>
        <v>0</v>
      </c>
      <c r="BT101" s="215">
        <f t="shared" si="1384"/>
        <v>0</v>
      </c>
      <c r="BU101" s="216">
        <f t="shared" si="1384"/>
        <v>0</v>
      </c>
      <c r="BV101" s="215">
        <f t="shared" si="1384"/>
        <v>0</v>
      </c>
      <c r="BW101" s="216">
        <f t="shared" si="1384"/>
        <v>0</v>
      </c>
      <c r="BX101" s="215">
        <f t="shared" si="1384"/>
        <v>3.0210188813680086</v>
      </c>
      <c r="BY101" s="216">
        <f t="shared" si="1384"/>
        <v>0</v>
      </c>
      <c r="BZ101" s="215">
        <f t="shared" si="1384"/>
        <v>1.5105094406840043</v>
      </c>
      <c r="CA101" s="216">
        <f t="shared" si="1384"/>
        <v>0</v>
      </c>
      <c r="CB101" s="215">
        <f t="shared" si="1384"/>
        <v>0</v>
      </c>
      <c r="CC101" s="216">
        <f t="shared" si="1384"/>
        <v>0</v>
      </c>
      <c r="CD101" s="215">
        <f t="shared" si="1384"/>
        <v>0</v>
      </c>
      <c r="CE101" s="216">
        <f t="shared" si="1384"/>
        <v>0</v>
      </c>
      <c r="CG101" s="215">
        <f t="shared" ref="CG101" si="1385">AVERAGE(BP101:BP105)</f>
        <v>0.90807524805830941</v>
      </c>
      <c r="CH101" s="175">
        <f t="shared" ref="CH101" si="1386">AVERAGE(BQ101:BQ105)</f>
        <v>0.55754110078627594</v>
      </c>
      <c r="CI101" s="175">
        <f t="shared" ref="CI101" si="1387">AVERAGE(BR101:BR105)</f>
        <v>0.55754110078627594</v>
      </c>
      <c r="CJ101" s="175">
        <f t="shared" ref="CJ101" si="1388">AVERAGE(BS101:BS105)</f>
        <v>0.55754110078627594</v>
      </c>
      <c r="CK101" s="175">
        <f t="shared" ref="CK101" si="1389">AVERAGE(BT101:BT105)</f>
        <v>0</v>
      </c>
      <c r="CL101" s="175">
        <f t="shared" ref="CL101" si="1390">AVERAGE(BU101:BU105)</f>
        <v>0</v>
      </c>
      <c r="CM101" s="175">
        <f t="shared" ref="CM101" si="1391">AVERAGE(BV101:BV105)</f>
        <v>0.35053414727203352</v>
      </c>
      <c r="CN101" s="175">
        <f t="shared" ref="CN101" si="1392">AVERAGE(BW101:BW105)</f>
        <v>0</v>
      </c>
      <c r="CO101" s="175">
        <f t="shared" ref="CO101" si="1393">AVERAGE(BX101:BX105)</f>
        <v>1.1057888676140357</v>
      </c>
      <c r="CP101" s="175">
        <f t="shared" ref="CP101" si="1394">AVERAGE(BY101:BY105)</f>
        <v>0</v>
      </c>
      <c r="CQ101" s="175">
        <f t="shared" ref="CQ101" si="1395">AVERAGE(BZ101:BZ105)</f>
        <v>2.2113953034434162</v>
      </c>
      <c r="CR101" s="216">
        <f t="shared" ref="CR101" si="1396">AVERAGE(CA101:CA105)</f>
        <v>0</v>
      </c>
      <c r="CS101" s="215">
        <f t="shared" ref="CS101" si="1397">AVERAGE(CB101:CB105)</f>
        <v>0</v>
      </c>
      <c r="CT101" s="216">
        <f t="shared" ref="CT101" si="1398">AVERAGE(CC101:CC105)</f>
        <v>0</v>
      </c>
      <c r="CU101" s="175">
        <f t="shared" ref="CU101" si="1399">AVERAGE(CD101:CD105)</f>
        <v>0</v>
      </c>
      <c r="CV101" s="216">
        <f t="shared" ref="CV101" si="1400">AVERAGE(CE101:CE105)</f>
        <v>0</v>
      </c>
      <c r="CX101" s="56">
        <v>5</v>
      </c>
      <c r="CZ101" s="223">
        <f t="shared" ref="CZ101" si="1401">CG101*$CX101</f>
        <v>4.5403762402915468</v>
      </c>
      <c r="DA101" s="159">
        <f t="shared" ref="DA101" si="1402">CH101*$CX101</f>
        <v>2.7877055039313796</v>
      </c>
      <c r="DB101" s="159">
        <f t="shared" ref="DB101" si="1403">CI101*$CX101</f>
        <v>2.7877055039313796</v>
      </c>
      <c r="DC101" s="159">
        <f t="shared" ref="DC101" si="1404">CJ101*$CX101</f>
        <v>2.7877055039313796</v>
      </c>
      <c r="DD101" s="159">
        <f t="shared" ref="DD101" si="1405">CK101*$CX101</f>
        <v>0</v>
      </c>
      <c r="DE101" s="159">
        <f t="shared" ref="DE101" si="1406">CL101*$CX101</f>
        <v>0</v>
      </c>
      <c r="DF101" s="159">
        <f t="shared" ref="DF101" si="1407">CM101*$CX101</f>
        <v>1.7526707363601677</v>
      </c>
      <c r="DG101" s="159">
        <f t="shared" ref="DG101" si="1408">CN101*$CX101</f>
        <v>0</v>
      </c>
      <c r="DH101" s="159">
        <f t="shared" ref="DH101" si="1409">CO101*$CX101</f>
        <v>5.528944338070179</v>
      </c>
      <c r="DI101" s="159">
        <f t="shared" ref="DI101" si="1410">CP101*$CX101</f>
        <v>0</v>
      </c>
      <c r="DJ101" s="159">
        <f t="shared" ref="DJ101" si="1411">CQ101*$CX101</f>
        <v>11.05697651721708</v>
      </c>
      <c r="DK101" s="224">
        <f t="shared" ref="DK101" si="1412">CR101*$CX101</f>
        <v>0</v>
      </c>
      <c r="DL101" s="223">
        <f t="shared" ref="DL101" si="1413">CS101*$CX101</f>
        <v>0</v>
      </c>
      <c r="DM101" s="224">
        <f t="shared" ref="DM101" si="1414">CT101*$CX101</f>
        <v>0</v>
      </c>
      <c r="DN101" s="223">
        <f t="shared" ref="DN101" si="1415">CU101*$CX101</f>
        <v>0</v>
      </c>
      <c r="DO101" s="224">
        <f t="shared" ref="DO101" si="1416">CV101*$CX101</f>
        <v>0</v>
      </c>
      <c r="DQ101" s="130"/>
      <c r="DR101" s="229"/>
      <c r="DS101" s="130"/>
      <c r="DT101" s="230"/>
      <c r="DU101" s="229"/>
      <c r="DV101" s="229"/>
      <c r="DW101" s="130"/>
      <c r="DX101" s="230"/>
      <c r="DY101" s="229"/>
      <c r="DZ101" s="229"/>
      <c r="EA101" s="130"/>
      <c r="EB101" s="230"/>
      <c r="EC101" s="229"/>
      <c r="ED101" s="229"/>
      <c r="EE101" s="229"/>
      <c r="EF101" s="130"/>
      <c r="EG101" s="230"/>
      <c r="EH101" s="229"/>
      <c r="EI101" s="230"/>
    </row>
    <row r="102" spans="1:139" x14ac:dyDescent="0.25">
      <c r="A102" s="195">
        <f t="shared" ref="A102:A107" si="1417">A101+1</f>
        <v>45951</v>
      </c>
      <c r="B102" s="158" t="s">
        <v>94</v>
      </c>
      <c r="C102" s="195"/>
      <c r="D102" s="45">
        <v>10</v>
      </c>
      <c r="E102" s="45">
        <v>14</v>
      </c>
      <c r="F102" s="45">
        <v>18.47</v>
      </c>
      <c r="G102" s="154">
        <v>19.850000000000001</v>
      </c>
      <c r="H102" s="169">
        <f t="shared" si="1375"/>
        <v>0</v>
      </c>
      <c r="I102" s="169">
        <f t="shared" si="1376"/>
        <v>0</v>
      </c>
      <c r="J102" s="169">
        <f t="shared" si="1377"/>
        <v>0</v>
      </c>
      <c r="K102" s="45"/>
      <c r="L102" s="151"/>
      <c r="M102" s="45"/>
      <c r="N102" s="151"/>
      <c r="Q102" s="45"/>
      <c r="R102" s="151"/>
      <c r="S102" s="320">
        <f t="shared" si="1378"/>
        <v>0</v>
      </c>
      <c r="V102" s="320">
        <f t="shared" si="1379"/>
        <v>0</v>
      </c>
      <c r="Y102" s="45"/>
      <c r="Z102" s="151"/>
      <c r="AA102" s="320">
        <f t="shared" si="1380"/>
        <v>1</v>
      </c>
      <c r="AC102" s="27">
        <v>1</v>
      </c>
      <c r="AD102" s="320">
        <f t="shared" si="1381"/>
        <v>0</v>
      </c>
      <c r="AE102" s="45"/>
      <c r="AG102" s="45"/>
      <c r="AH102" s="151"/>
      <c r="AJ102" s="12"/>
      <c r="AK102" s="5"/>
      <c r="AL102" s="9"/>
      <c r="AM102" s="358"/>
      <c r="AN102" s="5"/>
      <c r="AO102" s="13"/>
      <c r="AQ102" s="50">
        <v>14</v>
      </c>
      <c r="AR102" s="50">
        <v>2</v>
      </c>
      <c r="AS102" s="148">
        <f t="shared" si="1382"/>
        <v>7</v>
      </c>
      <c r="AT102" s="152">
        <v>10.5</v>
      </c>
      <c r="AU102" s="153">
        <v>1</v>
      </c>
      <c r="AV102" s="154">
        <f t="shared" si="1383"/>
        <v>73.5</v>
      </c>
      <c r="AW102" s="50">
        <v>14</v>
      </c>
      <c r="AY102" s="155">
        <f>H102/G102</f>
        <v>0</v>
      </c>
      <c r="AZ102" s="156">
        <f>I102/G102</f>
        <v>0</v>
      </c>
      <c r="BA102" s="127">
        <f>(K102+L102)/$G102</f>
        <v>0</v>
      </c>
      <c r="BB102" s="127">
        <f>K102/$G102</f>
        <v>0</v>
      </c>
      <c r="BC102" s="155">
        <f>(M102+N102)/$G102</f>
        <v>0</v>
      </c>
      <c r="BD102" s="156">
        <f>M102/$G102</f>
        <v>0</v>
      </c>
      <c r="BE102" s="155">
        <f>(Q102+R102)/$G102</f>
        <v>0</v>
      </c>
      <c r="BF102" s="156">
        <f>Q102/$G102</f>
        <v>0</v>
      </c>
      <c r="BG102" s="127">
        <f>S102/$G102</f>
        <v>0</v>
      </c>
      <c r="BH102" s="127">
        <f>V102/$G102</f>
        <v>0</v>
      </c>
      <c r="BI102" s="127">
        <f>AA102/$G102</f>
        <v>5.037783375314861E-2</v>
      </c>
      <c r="BJ102" s="156">
        <f>AH102/$G102</f>
        <v>0</v>
      </c>
      <c r="BK102" s="209"/>
      <c r="BL102" s="210"/>
      <c r="BM102" s="209"/>
      <c r="BN102" s="210"/>
      <c r="BO102" s="50"/>
      <c r="BP102" s="51">
        <f t="shared" si="1384"/>
        <v>0</v>
      </c>
      <c r="BQ102" s="157">
        <f t="shared" si="1384"/>
        <v>0</v>
      </c>
      <c r="BR102" s="51">
        <f t="shared" si="1384"/>
        <v>0</v>
      </c>
      <c r="BS102" s="157">
        <f t="shared" si="1384"/>
        <v>0</v>
      </c>
      <c r="BT102" s="51">
        <f t="shared" si="1384"/>
        <v>0</v>
      </c>
      <c r="BU102" s="157">
        <f t="shared" si="1384"/>
        <v>0</v>
      </c>
      <c r="BV102" s="51">
        <f t="shared" si="1384"/>
        <v>0</v>
      </c>
      <c r="BW102" s="157">
        <f t="shared" si="1384"/>
        <v>0</v>
      </c>
      <c r="BX102" s="51">
        <f t="shared" si="1384"/>
        <v>0</v>
      </c>
      <c r="BY102" s="157">
        <f t="shared" si="1384"/>
        <v>0</v>
      </c>
      <c r="BZ102" s="51">
        <f t="shared" si="1384"/>
        <v>3.7027707808564227</v>
      </c>
      <c r="CA102" s="157">
        <f t="shared" si="1384"/>
        <v>0</v>
      </c>
      <c r="CB102" s="51">
        <f t="shared" si="1384"/>
        <v>0</v>
      </c>
      <c r="CC102" s="157">
        <f t="shared" si="1384"/>
        <v>0</v>
      </c>
      <c r="CD102" s="51">
        <f t="shared" si="1384"/>
        <v>0</v>
      </c>
      <c r="CE102" s="157">
        <f t="shared" si="1384"/>
        <v>0</v>
      </c>
      <c r="CG102" s="45"/>
      <c r="CR102" s="151"/>
      <c r="CS102" s="45"/>
      <c r="CT102" s="151"/>
      <c r="CV102" s="151"/>
      <c r="CX102" s="50"/>
      <c r="CZ102" s="45"/>
      <c r="DK102" s="151"/>
      <c r="DL102" s="45"/>
      <c r="DM102" s="151"/>
      <c r="DN102" s="45"/>
      <c r="DO102" s="151"/>
      <c r="DQ102" s="117"/>
      <c r="DR102" s="77"/>
      <c r="DS102" s="117"/>
      <c r="DT102" s="149"/>
      <c r="DU102" s="77"/>
      <c r="DV102" s="77"/>
      <c r="DW102" s="117"/>
      <c r="DX102" s="149"/>
      <c r="DY102" s="77"/>
      <c r="DZ102" s="77"/>
      <c r="EA102" s="117"/>
      <c r="EB102" s="149"/>
      <c r="EC102" s="77"/>
      <c r="ED102" s="77"/>
      <c r="EE102" s="77"/>
      <c r="EF102" s="117"/>
      <c r="EG102" s="149"/>
      <c r="EH102" s="77"/>
      <c r="EI102" s="149"/>
    </row>
    <row r="103" spans="1:139" x14ac:dyDescent="0.25">
      <c r="A103" s="195">
        <f t="shared" si="1417"/>
        <v>45952</v>
      </c>
      <c r="B103" s="158" t="s">
        <v>11</v>
      </c>
      <c r="C103" s="195"/>
      <c r="D103" s="45">
        <v>7</v>
      </c>
      <c r="E103" s="45">
        <v>7</v>
      </c>
      <c r="F103" s="45">
        <v>26.21</v>
      </c>
      <c r="G103" s="154">
        <v>26.21</v>
      </c>
      <c r="H103" s="169">
        <f t="shared" si="1375"/>
        <v>1</v>
      </c>
      <c r="I103" s="169">
        <f t="shared" si="1376"/>
        <v>0</v>
      </c>
      <c r="J103" s="169">
        <f t="shared" si="1377"/>
        <v>1</v>
      </c>
      <c r="K103" s="45"/>
      <c r="L103" s="151"/>
      <c r="M103" s="45"/>
      <c r="N103" s="151"/>
      <c r="Q103" s="45"/>
      <c r="R103" s="151">
        <v>1</v>
      </c>
      <c r="S103" s="320">
        <f t="shared" si="1378"/>
        <v>1</v>
      </c>
      <c r="U103" s="27">
        <v>1</v>
      </c>
      <c r="V103" s="320">
        <f t="shared" si="1379"/>
        <v>0</v>
      </c>
      <c r="Y103" s="45">
        <v>2</v>
      </c>
      <c r="Z103" s="151"/>
      <c r="AA103" s="320">
        <f t="shared" si="1380"/>
        <v>1</v>
      </c>
      <c r="AC103" s="27">
        <v>1</v>
      </c>
      <c r="AD103" s="320">
        <f t="shared" si="1381"/>
        <v>0</v>
      </c>
      <c r="AE103" s="45"/>
      <c r="AG103" s="45"/>
      <c r="AH103" s="151"/>
      <c r="AJ103" s="12"/>
      <c r="AK103" s="5"/>
      <c r="AL103" s="9"/>
      <c r="AM103" s="358"/>
      <c r="AN103" s="5"/>
      <c r="AO103" s="13"/>
      <c r="AQ103" s="50">
        <v>7</v>
      </c>
      <c r="AR103" s="50">
        <v>2</v>
      </c>
      <c r="AS103" s="148">
        <f t="shared" si="1382"/>
        <v>3.5</v>
      </c>
      <c r="AT103" s="152">
        <v>10.5</v>
      </c>
      <c r="AU103" s="153">
        <v>1</v>
      </c>
      <c r="AV103" s="154">
        <f t="shared" si="1383"/>
        <v>36.75</v>
      </c>
      <c r="AW103" s="50">
        <v>2</v>
      </c>
      <c r="AY103" s="155">
        <f t="shared" ref="AY103:AY107" si="1418">H103/G103</f>
        <v>3.815337657382678E-2</v>
      </c>
      <c r="AZ103" s="156">
        <f t="shared" ref="AZ103:AZ107" si="1419">I103/G103</f>
        <v>0</v>
      </c>
      <c r="BA103" s="127">
        <f t="shared" ref="BA103:BA107" si="1420">(K103+L103)/$G103</f>
        <v>0</v>
      </c>
      <c r="BB103" s="127">
        <f t="shared" ref="BB103:BB107" si="1421">K103/$G103</f>
        <v>0</v>
      </c>
      <c r="BC103" s="155">
        <f t="shared" ref="BC103:BC107" si="1422">(M103+N103)/$G103</f>
        <v>0</v>
      </c>
      <c r="BD103" s="156">
        <f t="shared" ref="BD103:BD107" si="1423">M103/$G103</f>
        <v>0</v>
      </c>
      <c r="BE103" s="155">
        <f t="shared" ref="BE103:BE107" si="1424">(Q103+R103)/$G103</f>
        <v>3.815337657382678E-2</v>
      </c>
      <c r="BF103" s="156">
        <f t="shared" ref="BF103:BF107" si="1425">Q103/$G103</f>
        <v>0</v>
      </c>
      <c r="BG103" s="127">
        <f t="shared" ref="BG103:BG107" si="1426">S103/$G103</f>
        <v>3.815337657382678E-2</v>
      </c>
      <c r="BH103" s="127">
        <f t="shared" ref="BH103:BH107" si="1427">V103/$G103</f>
        <v>0</v>
      </c>
      <c r="BI103" s="127">
        <f t="shared" ref="BI103:BI107" si="1428">AA103/$G103</f>
        <v>3.815337657382678E-2</v>
      </c>
      <c r="BJ103" s="156">
        <f t="shared" ref="BJ103:BJ107" si="1429">AH103/$G103</f>
        <v>0</v>
      </c>
      <c r="BK103" s="155"/>
      <c r="BL103" s="156"/>
      <c r="BM103" s="155"/>
      <c r="BN103" s="156"/>
      <c r="BO103" s="50"/>
      <c r="BP103" s="51">
        <f t="shared" ref="BP103" si="1430">AY103*$AV103</f>
        <v>1.4021365890881341</v>
      </c>
      <c r="BQ103" s="157">
        <f t="shared" ref="BQ103" si="1431">AZ103*$AV103</f>
        <v>0</v>
      </c>
      <c r="BR103" s="51">
        <f t="shared" ref="BR103" si="1432">BA103*$AV103</f>
        <v>0</v>
      </c>
      <c r="BS103" s="157">
        <f t="shared" ref="BS103" si="1433">BB103*$AV103</f>
        <v>0</v>
      </c>
      <c r="BT103" s="51">
        <f t="shared" ref="BT103" si="1434">BC103*$AV103</f>
        <v>0</v>
      </c>
      <c r="BU103" s="157">
        <f t="shared" ref="BU103" si="1435">BD103*$AV103</f>
        <v>0</v>
      </c>
      <c r="BV103" s="51">
        <f t="shared" ref="BV103" si="1436">BE103*$AV103</f>
        <v>1.4021365890881341</v>
      </c>
      <c r="BW103" s="157">
        <f t="shared" ref="BW103" si="1437">BF103*$AV103</f>
        <v>0</v>
      </c>
      <c r="BX103" s="51">
        <f t="shared" ref="BX103" si="1438">BG103*$AV103</f>
        <v>1.4021365890881341</v>
      </c>
      <c r="BY103" s="157">
        <f t="shared" ref="BY103" si="1439">BH103*$AV103</f>
        <v>0</v>
      </c>
      <c r="BZ103" s="51">
        <f t="shared" ref="BZ103" si="1440">BI103*$AV103</f>
        <v>1.4021365890881341</v>
      </c>
      <c r="CA103" s="157">
        <f t="shared" ref="CA103" si="1441">BJ103*$AV103</f>
        <v>0</v>
      </c>
      <c r="CB103" s="51">
        <f t="shared" ref="CB103" si="1442">BK103*$AV103</f>
        <v>0</v>
      </c>
      <c r="CC103" s="157">
        <f t="shared" ref="CC103" si="1443">BL103*$AV103</f>
        <v>0</v>
      </c>
      <c r="CD103" s="51">
        <f t="shared" ref="CD103" si="1444">BM103*$AV103</f>
        <v>0</v>
      </c>
      <c r="CE103" s="157">
        <f t="shared" ref="CE103" si="1445">BN103*$AV103</f>
        <v>0</v>
      </c>
      <c r="CG103" s="45"/>
      <c r="CR103" s="151"/>
      <c r="CS103" s="45"/>
      <c r="CT103" s="151"/>
      <c r="CV103" s="151"/>
      <c r="CX103" s="50"/>
      <c r="CZ103" s="45"/>
      <c r="DK103" s="151"/>
      <c r="DL103" s="45"/>
      <c r="DM103" s="151"/>
      <c r="DN103" s="45"/>
      <c r="DO103" s="151"/>
      <c r="DQ103" s="117"/>
      <c r="DR103" s="77"/>
      <c r="DS103" s="117"/>
      <c r="DT103" s="149"/>
      <c r="DU103" s="77"/>
      <c r="DV103" s="77"/>
      <c r="DW103" s="117"/>
      <c r="DX103" s="149"/>
      <c r="DY103" s="77"/>
      <c r="DZ103" s="77"/>
      <c r="EA103" s="117"/>
      <c r="EB103" s="149"/>
      <c r="EC103" s="77"/>
      <c r="ED103" s="77"/>
      <c r="EE103" s="77"/>
      <c r="EF103" s="117"/>
      <c r="EG103" s="149"/>
      <c r="EH103" s="77"/>
      <c r="EI103" s="149"/>
    </row>
    <row r="104" spans="1:139" x14ac:dyDescent="0.25">
      <c r="A104" s="195">
        <f t="shared" si="1417"/>
        <v>45953</v>
      </c>
      <c r="B104" s="158" t="s">
        <v>95</v>
      </c>
      <c r="C104" s="195"/>
      <c r="D104" s="45">
        <v>6</v>
      </c>
      <c r="E104" s="45">
        <v>6</v>
      </c>
      <c r="F104" s="45">
        <v>13.99</v>
      </c>
      <c r="G104" s="154">
        <v>13.99</v>
      </c>
      <c r="H104" s="169">
        <f t="shared" si="1375"/>
        <v>1</v>
      </c>
      <c r="I104" s="169">
        <f t="shared" si="1376"/>
        <v>1</v>
      </c>
      <c r="J104" s="169">
        <f t="shared" si="1377"/>
        <v>0</v>
      </c>
      <c r="K104" s="45">
        <v>1</v>
      </c>
      <c r="L104" s="151"/>
      <c r="M104" s="45"/>
      <c r="N104" s="151"/>
      <c r="Q104" s="45"/>
      <c r="R104" s="151"/>
      <c r="S104" s="320">
        <f t="shared" si="1378"/>
        <v>0</v>
      </c>
      <c r="V104" s="320">
        <f t="shared" si="1379"/>
        <v>0</v>
      </c>
      <c r="Y104" s="45"/>
      <c r="Z104" s="151"/>
      <c r="AA104" s="320">
        <f t="shared" si="1380"/>
        <v>1</v>
      </c>
      <c r="AC104" s="27">
        <v>1</v>
      </c>
      <c r="AD104" s="320">
        <f t="shared" si="1381"/>
        <v>0</v>
      </c>
      <c r="AE104" s="45"/>
      <c r="AG104" s="45">
        <v>2</v>
      </c>
      <c r="AH104" s="151"/>
      <c r="AJ104" s="12"/>
      <c r="AK104" s="5"/>
      <c r="AL104" s="9"/>
      <c r="AM104" s="358"/>
      <c r="AN104" s="5"/>
      <c r="AO104" s="13"/>
      <c r="AQ104" s="50">
        <v>6</v>
      </c>
      <c r="AR104" s="50">
        <v>2</v>
      </c>
      <c r="AS104" s="148">
        <f t="shared" si="1382"/>
        <v>3</v>
      </c>
      <c r="AT104" s="152">
        <v>10.4</v>
      </c>
      <c r="AU104" s="153">
        <v>1</v>
      </c>
      <c r="AV104" s="154">
        <f t="shared" si="1383"/>
        <v>31.200000000000003</v>
      </c>
      <c r="AW104" s="50">
        <v>3</v>
      </c>
      <c r="AY104" s="155">
        <f t="shared" si="1418"/>
        <v>7.147962830593281E-2</v>
      </c>
      <c r="AZ104" s="156">
        <f t="shared" si="1419"/>
        <v>7.147962830593281E-2</v>
      </c>
      <c r="BA104" s="127">
        <f t="shared" si="1420"/>
        <v>7.147962830593281E-2</v>
      </c>
      <c r="BB104" s="127">
        <f t="shared" si="1421"/>
        <v>7.147962830593281E-2</v>
      </c>
      <c r="BC104" s="155">
        <f t="shared" si="1422"/>
        <v>0</v>
      </c>
      <c r="BD104" s="156">
        <f t="shared" si="1423"/>
        <v>0</v>
      </c>
      <c r="BE104" s="155">
        <f t="shared" si="1424"/>
        <v>0</v>
      </c>
      <c r="BF104" s="156">
        <f t="shared" si="1425"/>
        <v>0</v>
      </c>
      <c r="BG104" s="127">
        <f t="shared" si="1426"/>
        <v>0</v>
      </c>
      <c r="BH104" s="127">
        <f t="shared" si="1427"/>
        <v>0</v>
      </c>
      <c r="BI104" s="127">
        <f t="shared" si="1428"/>
        <v>7.147962830593281E-2</v>
      </c>
      <c r="BJ104" s="156">
        <f t="shared" si="1429"/>
        <v>0</v>
      </c>
      <c r="BK104" s="155"/>
      <c r="BL104" s="156"/>
      <c r="BM104" s="155"/>
      <c r="BN104" s="156"/>
      <c r="BO104" s="50"/>
      <c r="BP104" s="51">
        <f t="shared" ref="BP104" si="1446">AY104*$AV104</f>
        <v>2.2301644031451038</v>
      </c>
      <c r="BQ104" s="157">
        <f t="shared" ref="BQ104" si="1447">AZ104*$AV104</f>
        <v>2.2301644031451038</v>
      </c>
      <c r="BR104" s="51">
        <f t="shared" ref="BR104" si="1448">BA104*$AV104</f>
        <v>2.2301644031451038</v>
      </c>
      <c r="BS104" s="157">
        <f t="shared" ref="BS104" si="1449">BB104*$AV104</f>
        <v>2.2301644031451038</v>
      </c>
      <c r="BT104" s="51">
        <f t="shared" ref="BT104" si="1450">BC104*$AV104</f>
        <v>0</v>
      </c>
      <c r="BU104" s="157">
        <f t="shared" ref="BU104" si="1451">BD104*$AV104</f>
        <v>0</v>
      </c>
      <c r="BV104" s="51">
        <f t="shared" ref="BV104" si="1452">BE104*$AV104</f>
        <v>0</v>
      </c>
      <c r="BW104" s="157">
        <f t="shared" ref="BW104" si="1453">BF104*$AV104</f>
        <v>0</v>
      </c>
      <c r="BX104" s="51">
        <f t="shared" ref="BX104" si="1454">BG104*$AV104</f>
        <v>0</v>
      </c>
      <c r="BY104" s="157">
        <f t="shared" ref="BY104" si="1455">BH104*$AV104</f>
        <v>0</v>
      </c>
      <c r="BZ104" s="51">
        <f t="shared" ref="BZ104" si="1456">BI104*$AV104</f>
        <v>2.2301644031451038</v>
      </c>
      <c r="CA104" s="157">
        <f t="shared" ref="CA104" si="1457">BJ104*$AV104</f>
        <v>0</v>
      </c>
      <c r="CB104" s="51">
        <f t="shared" ref="CB104" si="1458">BK104*$AV104</f>
        <v>0</v>
      </c>
      <c r="CC104" s="157">
        <f t="shared" ref="CC104" si="1459">BL104*$AV104</f>
        <v>0</v>
      </c>
      <c r="CD104" s="51">
        <f t="shared" ref="CD104" si="1460">BM104*$AV104</f>
        <v>0</v>
      </c>
      <c r="CE104" s="157">
        <f t="shared" ref="CE104" si="1461">BN104*$AV104</f>
        <v>0</v>
      </c>
      <c r="CG104" s="45"/>
      <c r="CR104" s="151"/>
      <c r="CS104" s="45"/>
      <c r="CT104" s="151"/>
      <c r="CV104" s="151"/>
      <c r="CX104" s="50"/>
      <c r="CZ104" s="45"/>
      <c r="DK104" s="151"/>
      <c r="DL104" s="45"/>
      <c r="DM104" s="151"/>
      <c r="DN104" s="45"/>
      <c r="DO104" s="151"/>
      <c r="DQ104" s="117"/>
      <c r="DR104" s="77"/>
      <c r="DS104" s="117"/>
      <c r="DT104" s="149"/>
      <c r="DU104" s="77"/>
      <c r="DV104" s="77"/>
      <c r="DW104" s="117"/>
      <c r="DX104" s="149"/>
      <c r="DY104" s="77"/>
      <c r="DZ104" s="77"/>
      <c r="EA104" s="117"/>
      <c r="EB104" s="149"/>
      <c r="EC104" s="77"/>
      <c r="ED104" s="77"/>
      <c r="EE104" s="77"/>
      <c r="EF104" s="117"/>
      <c r="EG104" s="149"/>
      <c r="EH104" s="77"/>
      <c r="EI104" s="149"/>
    </row>
    <row r="105" spans="1:139" x14ac:dyDescent="0.25">
      <c r="A105" s="195">
        <f t="shared" si="1417"/>
        <v>45954</v>
      </c>
      <c r="B105" s="195" t="s">
        <v>13</v>
      </c>
      <c r="C105" s="195"/>
      <c r="D105" s="608">
        <v>17</v>
      </c>
      <c r="E105" s="608">
        <v>17</v>
      </c>
      <c r="F105" s="45"/>
      <c r="G105" s="154"/>
      <c r="H105" s="169">
        <f t="shared" si="1375"/>
        <v>0</v>
      </c>
      <c r="I105" s="169">
        <f t="shared" si="1376"/>
        <v>0</v>
      </c>
      <c r="J105" s="169">
        <f t="shared" si="1377"/>
        <v>0</v>
      </c>
      <c r="K105" s="45"/>
      <c r="L105" s="151"/>
      <c r="M105" s="45"/>
      <c r="N105" s="151"/>
      <c r="Q105" s="45"/>
      <c r="R105" s="151"/>
      <c r="S105" s="320">
        <f t="shared" si="1378"/>
        <v>0</v>
      </c>
      <c r="V105" s="320">
        <f t="shared" si="1379"/>
        <v>0</v>
      </c>
      <c r="Y105" s="45"/>
      <c r="Z105" s="151"/>
      <c r="AA105" s="320">
        <f t="shared" si="1380"/>
        <v>0</v>
      </c>
      <c r="AD105" s="320">
        <f t="shared" si="1381"/>
        <v>0</v>
      </c>
      <c r="AE105" s="45"/>
      <c r="AG105" s="45"/>
      <c r="AH105" s="151"/>
      <c r="AJ105" s="12"/>
      <c r="AK105" s="5"/>
      <c r="AL105" s="9"/>
      <c r="AM105" s="358"/>
      <c r="AN105" s="5"/>
      <c r="AO105" s="13"/>
      <c r="AQ105" s="50">
        <v>17</v>
      </c>
      <c r="AR105" s="50">
        <v>3</v>
      </c>
      <c r="AS105" s="148">
        <f t="shared" si="1382"/>
        <v>5.666666666666667</v>
      </c>
      <c r="AT105" s="152">
        <v>10.4</v>
      </c>
      <c r="AU105" s="153">
        <v>1</v>
      </c>
      <c r="AV105" s="154">
        <f t="shared" si="1383"/>
        <v>58.933333333333337</v>
      </c>
      <c r="AW105" s="50">
        <v>7</v>
      </c>
      <c r="AY105" s="155"/>
      <c r="AZ105" s="156"/>
      <c r="BA105" s="127"/>
      <c r="BB105" s="127"/>
      <c r="BC105" s="155"/>
      <c r="BD105" s="156"/>
      <c r="BE105" s="155"/>
      <c r="BF105" s="156"/>
      <c r="BG105" s="127"/>
      <c r="BH105" s="127"/>
      <c r="BI105" s="127"/>
      <c r="BJ105" s="156"/>
      <c r="BK105" s="155"/>
      <c r="BL105" s="156"/>
      <c r="BM105" s="155"/>
      <c r="BN105" s="156"/>
      <c r="BO105" s="50"/>
      <c r="BP105" s="51"/>
      <c r="BQ105" s="157"/>
      <c r="BR105" s="51"/>
      <c r="BS105" s="157"/>
      <c r="BT105" s="51"/>
      <c r="BU105" s="157"/>
      <c r="BV105" s="51"/>
      <c r="BW105" s="157"/>
      <c r="BX105" s="51"/>
      <c r="BY105" s="157"/>
      <c r="BZ105" s="51"/>
      <c r="CA105" s="157"/>
      <c r="CB105" s="51"/>
      <c r="CC105" s="157"/>
      <c r="CD105" s="51"/>
      <c r="CE105" s="157"/>
      <c r="CG105" s="45"/>
      <c r="CR105" s="151"/>
      <c r="CS105" s="45"/>
      <c r="CT105" s="151"/>
      <c r="CV105" s="151"/>
      <c r="CX105" s="50"/>
      <c r="CZ105" s="45"/>
      <c r="DK105" s="151"/>
      <c r="DL105" s="45"/>
      <c r="DM105" s="151"/>
      <c r="DN105" s="45"/>
      <c r="DO105" s="151"/>
      <c r="DQ105" s="117"/>
      <c r="DR105" s="77"/>
      <c r="DS105" s="117"/>
      <c r="DT105" s="149"/>
      <c r="DU105" s="77"/>
      <c r="DV105" s="77"/>
      <c r="DW105" s="117"/>
      <c r="DX105" s="149"/>
      <c r="DY105" s="77"/>
      <c r="DZ105" s="77"/>
      <c r="EA105" s="117"/>
      <c r="EB105" s="149"/>
      <c r="EC105" s="77"/>
      <c r="ED105" s="77"/>
      <c r="EE105" s="77"/>
      <c r="EF105" s="117"/>
      <c r="EG105" s="149"/>
      <c r="EH105" s="77"/>
      <c r="EI105" s="149"/>
    </row>
    <row r="106" spans="1:139" x14ac:dyDescent="0.25">
      <c r="A106" s="195">
        <f t="shared" si="1417"/>
        <v>45955</v>
      </c>
      <c r="B106" s="195" t="s">
        <v>14</v>
      </c>
      <c r="C106" s="195"/>
      <c r="D106" s="608">
        <v>17</v>
      </c>
      <c r="E106" s="608">
        <v>17</v>
      </c>
      <c r="F106" s="45"/>
      <c r="G106" s="154"/>
      <c r="H106" s="169">
        <f t="shared" si="1375"/>
        <v>0</v>
      </c>
      <c r="I106" s="169">
        <f t="shared" si="1376"/>
        <v>0</v>
      </c>
      <c r="J106" s="169">
        <f t="shared" si="1377"/>
        <v>0</v>
      </c>
      <c r="K106" s="45"/>
      <c r="L106" s="151"/>
      <c r="M106" s="45"/>
      <c r="N106" s="151"/>
      <c r="Q106" s="45"/>
      <c r="R106" s="151"/>
      <c r="S106" s="320">
        <f t="shared" si="1378"/>
        <v>0</v>
      </c>
      <c r="V106" s="320">
        <f t="shared" si="1379"/>
        <v>0</v>
      </c>
      <c r="Y106" s="45"/>
      <c r="Z106" s="151"/>
      <c r="AA106" s="320">
        <f t="shared" si="1380"/>
        <v>0</v>
      </c>
      <c r="AD106" s="320">
        <f t="shared" si="1381"/>
        <v>0</v>
      </c>
      <c r="AE106" s="45"/>
      <c r="AG106" s="45"/>
      <c r="AH106" s="151"/>
      <c r="AJ106" s="12"/>
      <c r="AK106" s="5"/>
      <c r="AL106" s="9"/>
      <c r="AM106" s="358"/>
      <c r="AN106" s="5"/>
      <c r="AO106" s="13"/>
      <c r="AQ106" s="50">
        <v>17</v>
      </c>
      <c r="AR106" s="50">
        <v>3</v>
      </c>
      <c r="AS106" s="148">
        <f t="shared" si="1382"/>
        <v>5.666666666666667</v>
      </c>
      <c r="AT106" s="152">
        <v>10.3</v>
      </c>
      <c r="AU106" s="153">
        <v>1</v>
      </c>
      <c r="AV106" s="154">
        <f t="shared" si="1383"/>
        <v>58.366666666666674</v>
      </c>
      <c r="AW106" s="50">
        <v>12</v>
      </c>
      <c r="AY106" s="155"/>
      <c r="AZ106" s="156"/>
      <c r="BA106" s="127"/>
      <c r="BB106" s="127"/>
      <c r="BC106" s="155"/>
      <c r="BD106" s="156"/>
      <c r="BE106" s="155"/>
      <c r="BF106" s="156"/>
      <c r="BG106" s="127"/>
      <c r="BH106" s="127"/>
      <c r="BI106" s="127"/>
      <c r="BJ106" s="156"/>
      <c r="BK106" s="155"/>
      <c r="BL106" s="156"/>
      <c r="BM106" s="155"/>
      <c r="BN106" s="156"/>
      <c r="BO106" s="50"/>
      <c r="BP106" s="51"/>
      <c r="BQ106" s="157"/>
      <c r="BR106" s="51"/>
      <c r="BS106" s="157"/>
      <c r="BT106" s="51"/>
      <c r="BU106" s="157"/>
      <c r="BV106" s="51"/>
      <c r="BW106" s="157"/>
      <c r="BX106" s="51"/>
      <c r="BY106" s="157"/>
      <c r="BZ106" s="51"/>
      <c r="CA106" s="157"/>
      <c r="CB106" s="51"/>
      <c r="CC106" s="157"/>
      <c r="CD106" s="51"/>
      <c r="CE106" s="157"/>
      <c r="CG106" s="51"/>
      <c r="CH106" s="126"/>
      <c r="CI106" s="126"/>
      <c r="CJ106" s="126"/>
      <c r="CK106" s="126"/>
      <c r="CL106" s="126"/>
      <c r="CM106" s="126"/>
      <c r="CN106" s="126"/>
      <c r="CO106" s="126"/>
      <c r="CP106" s="126"/>
      <c r="CQ106" s="126"/>
      <c r="CR106" s="157"/>
      <c r="CS106" s="51"/>
      <c r="CT106" s="157"/>
      <c r="CU106" s="126"/>
      <c r="CV106" s="157"/>
      <c r="CX106" s="150">
        <v>2</v>
      </c>
      <c r="CZ106" s="225">
        <f t="shared" ref="CZ106" si="1462">CG106*$CX106</f>
        <v>0</v>
      </c>
      <c r="DA106" s="160">
        <f t="shared" ref="DA106" si="1463">CH106*$CX106</f>
        <v>0</v>
      </c>
      <c r="DB106" s="160">
        <f t="shared" ref="DB106" si="1464">CI106*$CX106</f>
        <v>0</v>
      </c>
      <c r="DC106" s="160">
        <f t="shared" ref="DC106" si="1465">CJ106*$CX106</f>
        <v>0</v>
      </c>
      <c r="DD106" s="160">
        <f t="shared" ref="DD106" si="1466">CK106*$CX106</f>
        <v>0</v>
      </c>
      <c r="DE106" s="160">
        <f t="shared" ref="DE106" si="1467">CL106*$CX106</f>
        <v>0</v>
      </c>
      <c r="DF106" s="160">
        <f t="shared" ref="DF106" si="1468">CM106*$CX106</f>
        <v>0</v>
      </c>
      <c r="DG106" s="160">
        <f t="shared" ref="DG106" si="1469">CN106*$CX106</f>
        <v>0</v>
      </c>
      <c r="DH106" s="160">
        <f t="shared" ref="DH106" si="1470">CO106*$CX106</f>
        <v>0</v>
      </c>
      <c r="DI106" s="160">
        <f t="shared" ref="DI106" si="1471">CP106*$CX106</f>
        <v>0</v>
      </c>
      <c r="DJ106" s="160">
        <f t="shared" ref="DJ106" si="1472">CQ106*$CX106</f>
        <v>0</v>
      </c>
      <c r="DK106" s="161">
        <f t="shared" ref="DK106" si="1473">CR106*$CX106</f>
        <v>0</v>
      </c>
      <c r="DL106" s="225">
        <f t="shared" ref="DL106" si="1474">CS106*$CX106</f>
        <v>0</v>
      </c>
      <c r="DM106" s="161">
        <f t="shared" ref="DM106" si="1475">CT106*$CX106</f>
        <v>0</v>
      </c>
      <c r="DN106" s="225">
        <f t="shared" ref="DN106" si="1476">CU106*$CX106</f>
        <v>0</v>
      </c>
      <c r="DO106" s="161">
        <f t="shared" ref="DO106" si="1477">CV106*$CX106</f>
        <v>0</v>
      </c>
      <c r="DQ106" s="117"/>
      <c r="DR106" s="77"/>
      <c r="DS106" s="117"/>
      <c r="DT106" s="149"/>
      <c r="DU106" s="77"/>
      <c r="DV106" s="77"/>
      <c r="DW106" s="117"/>
      <c r="DX106" s="149"/>
      <c r="DY106" s="77"/>
      <c r="DZ106" s="77"/>
      <c r="EA106" s="117"/>
      <c r="EB106" s="149"/>
      <c r="EC106" s="77"/>
      <c r="ED106" s="77"/>
      <c r="EE106" s="77"/>
      <c r="EF106" s="117"/>
      <c r="EG106" s="149"/>
      <c r="EH106" s="77"/>
      <c r="EI106" s="149"/>
    </row>
    <row r="107" spans="1:139" x14ac:dyDescent="0.25">
      <c r="A107" s="334">
        <f t="shared" si="1417"/>
        <v>45956</v>
      </c>
      <c r="B107" s="334" t="s">
        <v>15</v>
      </c>
      <c r="C107" s="334"/>
      <c r="D107" s="176">
        <v>17</v>
      </c>
      <c r="E107" s="176">
        <v>17</v>
      </c>
      <c r="F107" s="176">
        <v>53.01</v>
      </c>
      <c r="G107" s="305">
        <v>53.01</v>
      </c>
      <c r="H107" s="323">
        <f t="shared" si="1375"/>
        <v>1</v>
      </c>
      <c r="I107" s="323">
        <f t="shared" si="1376"/>
        <v>0</v>
      </c>
      <c r="J107" s="323">
        <f t="shared" si="1377"/>
        <v>1</v>
      </c>
      <c r="K107" s="176"/>
      <c r="L107" s="178"/>
      <c r="M107" s="176"/>
      <c r="N107" s="178"/>
      <c r="O107" s="177"/>
      <c r="P107" s="177"/>
      <c r="Q107" s="176"/>
      <c r="R107" s="178">
        <v>1</v>
      </c>
      <c r="S107" s="320">
        <f t="shared" si="1378"/>
        <v>5</v>
      </c>
      <c r="T107" s="27">
        <v>2</v>
      </c>
      <c r="U107" s="27">
        <v>3</v>
      </c>
      <c r="V107" s="320">
        <f t="shared" si="1379"/>
        <v>0</v>
      </c>
      <c r="W107" s="177"/>
      <c r="X107" s="177"/>
      <c r="Y107" s="176">
        <v>1</v>
      </c>
      <c r="Z107" s="178"/>
      <c r="AA107" s="320">
        <f t="shared" si="1380"/>
        <v>1</v>
      </c>
      <c r="AB107" s="27">
        <v>1</v>
      </c>
      <c r="AD107" s="320">
        <f t="shared" si="1381"/>
        <v>0</v>
      </c>
      <c r="AE107" s="176"/>
      <c r="AF107" s="177"/>
      <c r="AG107" s="176">
        <v>1</v>
      </c>
      <c r="AH107" s="178"/>
      <c r="AJ107" s="12"/>
      <c r="AK107" s="5"/>
      <c r="AL107" s="9"/>
      <c r="AM107" s="358"/>
      <c r="AN107" s="5"/>
      <c r="AO107" s="13"/>
      <c r="AQ107" s="131">
        <v>17</v>
      </c>
      <c r="AR107" s="131">
        <v>3</v>
      </c>
      <c r="AS107" s="191">
        <f t="shared" si="1382"/>
        <v>5.666666666666667</v>
      </c>
      <c r="AT107" s="192">
        <v>10.199999999999999</v>
      </c>
      <c r="AU107" s="193">
        <v>1</v>
      </c>
      <c r="AV107" s="305">
        <f t="shared" si="1383"/>
        <v>57.8</v>
      </c>
      <c r="AW107" s="131">
        <v>3</v>
      </c>
      <c r="AY107" s="212">
        <f t="shared" si="1418"/>
        <v>1.8864365214110546E-2</v>
      </c>
      <c r="AZ107" s="213">
        <f t="shared" si="1419"/>
        <v>0</v>
      </c>
      <c r="BA107" s="214">
        <f t="shared" si="1420"/>
        <v>0</v>
      </c>
      <c r="BB107" s="214">
        <f t="shared" si="1421"/>
        <v>0</v>
      </c>
      <c r="BC107" s="212">
        <f t="shared" si="1422"/>
        <v>0</v>
      </c>
      <c r="BD107" s="213">
        <f t="shared" si="1423"/>
        <v>0</v>
      </c>
      <c r="BE107" s="212">
        <f t="shared" si="1424"/>
        <v>1.8864365214110546E-2</v>
      </c>
      <c r="BF107" s="213">
        <f t="shared" si="1425"/>
        <v>0</v>
      </c>
      <c r="BG107" s="214">
        <f t="shared" si="1426"/>
        <v>9.4321826070552728E-2</v>
      </c>
      <c r="BH107" s="214">
        <f t="shared" si="1427"/>
        <v>0</v>
      </c>
      <c r="BI107" s="214">
        <f t="shared" si="1428"/>
        <v>1.8864365214110546E-2</v>
      </c>
      <c r="BJ107" s="213">
        <f t="shared" si="1429"/>
        <v>0</v>
      </c>
      <c r="BK107" s="212"/>
      <c r="BL107" s="213"/>
      <c r="BM107" s="212"/>
      <c r="BN107" s="213"/>
      <c r="BO107" s="50"/>
      <c r="BP107" s="217">
        <f t="shared" ref="BP107" si="1478">AY107*$AV107</f>
        <v>1.0903603093755896</v>
      </c>
      <c r="BQ107" s="218">
        <f t="shared" ref="BQ107" si="1479">AZ107*$AV107</f>
        <v>0</v>
      </c>
      <c r="BR107" s="217">
        <f t="shared" ref="BR107" si="1480">BA107*$AV107</f>
        <v>0</v>
      </c>
      <c r="BS107" s="218">
        <f t="shared" ref="BS107" si="1481">BB107*$AV107</f>
        <v>0</v>
      </c>
      <c r="BT107" s="217">
        <f t="shared" ref="BT107" si="1482">BC107*$AV107</f>
        <v>0</v>
      </c>
      <c r="BU107" s="218">
        <f t="shared" ref="BU107" si="1483">BD107*$AV107</f>
        <v>0</v>
      </c>
      <c r="BV107" s="217">
        <f t="shared" ref="BV107" si="1484">BE107*$AV107</f>
        <v>1.0903603093755896</v>
      </c>
      <c r="BW107" s="218">
        <f t="shared" ref="BW107" si="1485">BF107*$AV107</f>
        <v>0</v>
      </c>
      <c r="BX107" s="217">
        <f t="shared" ref="BX107" si="1486">BG107*$AV107</f>
        <v>5.451801546877947</v>
      </c>
      <c r="BY107" s="218">
        <f t="shared" ref="BY107" si="1487">BH107*$AV107</f>
        <v>0</v>
      </c>
      <c r="BZ107" s="217">
        <f t="shared" ref="BZ107" si="1488">BI107*$AV107</f>
        <v>1.0903603093755896</v>
      </c>
      <c r="CA107" s="218">
        <f t="shared" ref="CA107" si="1489">BJ107*$AV107</f>
        <v>0</v>
      </c>
      <c r="CB107" s="217">
        <f t="shared" ref="CB107" si="1490">BK107*$AV107</f>
        <v>0</v>
      </c>
      <c r="CC107" s="218">
        <f t="shared" ref="CC107" si="1491">BL107*$AV107</f>
        <v>0</v>
      </c>
      <c r="CD107" s="217">
        <f t="shared" ref="CD107" si="1492">BM107*$AV107</f>
        <v>0</v>
      </c>
      <c r="CE107" s="218">
        <f t="shared" ref="CE107" si="1493">BN107*$AV107</f>
        <v>0</v>
      </c>
      <c r="CG107" s="176"/>
      <c r="CH107" s="177"/>
      <c r="CI107" s="177"/>
      <c r="CJ107" s="177"/>
      <c r="CK107" s="177"/>
      <c r="CL107" s="177"/>
      <c r="CM107" s="177"/>
      <c r="CN107" s="177"/>
      <c r="CO107" s="177"/>
      <c r="CP107" s="177"/>
      <c r="CQ107" s="177"/>
      <c r="CR107" s="178"/>
      <c r="CS107" s="176"/>
      <c r="CT107" s="178"/>
      <c r="CU107" s="177"/>
      <c r="CV107" s="178"/>
      <c r="CX107" s="131"/>
      <c r="CZ107" s="176"/>
      <c r="DA107" s="177"/>
      <c r="DB107" s="177"/>
      <c r="DC107" s="177"/>
      <c r="DD107" s="177"/>
      <c r="DE107" s="177"/>
      <c r="DF107" s="177"/>
      <c r="DG107" s="177"/>
      <c r="DH107" s="177"/>
      <c r="DI107" s="177"/>
      <c r="DJ107" s="177"/>
      <c r="DK107" s="178"/>
      <c r="DL107" s="176"/>
      <c r="DM107" s="178"/>
      <c r="DN107" s="176"/>
      <c r="DO107" s="178"/>
      <c r="DQ107" s="32"/>
      <c r="DR107" s="34"/>
      <c r="DS107" s="32"/>
      <c r="DT107" s="33"/>
      <c r="DU107" s="34"/>
      <c r="DV107" s="34"/>
      <c r="DW107" s="32"/>
      <c r="DX107" s="33"/>
      <c r="DY107" s="34"/>
      <c r="DZ107" s="34"/>
      <c r="EA107" s="32"/>
      <c r="EB107" s="33"/>
      <c r="EC107" s="34"/>
      <c r="ED107" s="34"/>
      <c r="EE107" s="34"/>
      <c r="EF107" s="32"/>
      <c r="EG107" s="33"/>
      <c r="EH107" s="34"/>
      <c r="EI107" s="33"/>
    </row>
    <row r="108" spans="1:139" x14ac:dyDescent="0.25">
      <c r="A108" s="196"/>
      <c r="B108" s="189"/>
      <c r="C108" s="196"/>
      <c r="D108" s="202">
        <f t="shared" ref="D108:G108" si="1494">SUM(D101:D107)</f>
        <v>82</v>
      </c>
      <c r="E108" s="202">
        <f t="shared" si="1494"/>
        <v>86</v>
      </c>
      <c r="F108" s="202">
        <f t="shared" si="1494"/>
        <v>139.75</v>
      </c>
      <c r="G108" s="203">
        <f t="shared" si="1494"/>
        <v>141.13</v>
      </c>
      <c r="H108" s="202">
        <f t="shared" ref="H108:AH108" si="1495">SUM(H101:H107)</f>
        <v>3</v>
      </c>
      <c r="I108" s="202">
        <f t="shared" si="1495"/>
        <v>1</v>
      </c>
      <c r="J108" s="202">
        <f t="shared" si="1495"/>
        <v>2</v>
      </c>
      <c r="K108" s="202">
        <f t="shared" si="1495"/>
        <v>1</v>
      </c>
      <c r="L108" s="204">
        <f t="shared" si="1495"/>
        <v>0</v>
      </c>
      <c r="M108" s="202">
        <f t="shared" si="1495"/>
        <v>0</v>
      </c>
      <c r="N108" s="204">
        <f t="shared" si="1495"/>
        <v>0</v>
      </c>
      <c r="O108" s="202">
        <f t="shared" si="1495"/>
        <v>0</v>
      </c>
      <c r="P108" s="204">
        <f t="shared" si="1495"/>
        <v>0</v>
      </c>
      <c r="Q108" s="202">
        <f t="shared" si="1495"/>
        <v>0</v>
      </c>
      <c r="R108" s="204">
        <f t="shared" si="1495"/>
        <v>2</v>
      </c>
      <c r="S108" s="202">
        <f t="shared" si="1495"/>
        <v>8</v>
      </c>
      <c r="T108" s="205">
        <f t="shared" si="1495"/>
        <v>2</v>
      </c>
      <c r="U108" s="205">
        <f t="shared" si="1495"/>
        <v>6</v>
      </c>
      <c r="V108" s="203">
        <f t="shared" si="1495"/>
        <v>0</v>
      </c>
      <c r="W108" s="205">
        <f t="shared" si="1495"/>
        <v>0</v>
      </c>
      <c r="X108" s="205">
        <f t="shared" si="1495"/>
        <v>0</v>
      </c>
      <c r="Y108" s="202">
        <f t="shared" si="1495"/>
        <v>3</v>
      </c>
      <c r="Z108" s="204">
        <f t="shared" si="1495"/>
        <v>0</v>
      </c>
      <c r="AA108" s="202">
        <f t="shared" si="1495"/>
        <v>5</v>
      </c>
      <c r="AB108" s="202">
        <f t="shared" si="1495"/>
        <v>1</v>
      </c>
      <c r="AC108" s="205">
        <f t="shared" si="1495"/>
        <v>4</v>
      </c>
      <c r="AD108" s="202">
        <f t="shared" si="1495"/>
        <v>0</v>
      </c>
      <c r="AE108" s="202">
        <f t="shared" si="1495"/>
        <v>0</v>
      </c>
      <c r="AF108" s="205">
        <f t="shared" si="1495"/>
        <v>0</v>
      </c>
      <c r="AG108" s="202">
        <f t="shared" si="1495"/>
        <v>3</v>
      </c>
      <c r="AH108" s="204">
        <f t="shared" si="1495"/>
        <v>0</v>
      </c>
      <c r="AI108" s="357"/>
      <c r="AJ108" s="12"/>
      <c r="AK108" s="5"/>
      <c r="AL108" s="9"/>
      <c r="AM108" s="358"/>
      <c r="AN108" s="5"/>
      <c r="AO108" s="13"/>
      <c r="AQ108" s="131"/>
      <c r="AR108" s="131"/>
      <c r="AS108" s="191"/>
      <c r="AT108" s="192"/>
      <c r="AU108" s="193"/>
      <c r="AV108" s="194">
        <f>AVERAGE(AV101:AV105)*5+AVERAGE(AV106:AV107)*2</f>
        <v>358.95000000000005</v>
      </c>
      <c r="AW108" s="131"/>
      <c r="AY108" s="212"/>
      <c r="AZ108" s="213"/>
      <c r="BA108" s="214"/>
      <c r="BB108" s="214"/>
      <c r="BC108" s="212"/>
      <c r="BD108" s="213"/>
      <c r="BE108" s="212"/>
      <c r="BF108" s="213"/>
      <c r="BG108" s="214"/>
      <c r="BH108" s="214"/>
      <c r="BI108" s="214"/>
      <c r="BJ108" s="213"/>
      <c r="BK108" s="507"/>
      <c r="BL108" s="508"/>
      <c r="BM108" s="508"/>
      <c r="BN108" s="508"/>
      <c r="BO108" s="50"/>
      <c r="BP108" s="217"/>
      <c r="BQ108" s="218"/>
      <c r="BR108" s="217"/>
      <c r="BS108" s="218"/>
      <c r="BT108" s="217"/>
      <c r="BU108" s="218"/>
      <c r="BV108" s="217"/>
      <c r="BW108" s="218"/>
      <c r="BX108" s="217"/>
      <c r="BY108" s="218"/>
      <c r="BZ108" s="217"/>
      <c r="CA108" s="218"/>
      <c r="CB108" s="217"/>
      <c r="CC108" s="218"/>
      <c r="CD108" s="217"/>
      <c r="CE108" s="218"/>
      <c r="CG108" s="219"/>
      <c r="CH108" s="220"/>
      <c r="CI108" s="220"/>
      <c r="CJ108" s="220"/>
      <c r="CK108" s="220"/>
      <c r="CL108" s="220"/>
      <c r="CM108" s="220"/>
      <c r="CN108" s="220"/>
      <c r="CO108" s="220"/>
      <c r="CP108" s="220"/>
      <c r="CQ108" s="220"/>
      <c r="CR108" s="221"/>
      <c r="CS108" s="219"/>
      <c r="CT108" s="220"/>
      <c r="CU108" s="220"/>
      <c r="CV108" s="221"/>
      <c r="CX108" s="222"/>
      <c r="CZ108" s="226">
        <f t="shared" ref="CZ108:DO108" si="1496">CZ106+CZ101</f>
        <v>4.5403762402915468</v>
      </c>
      <c r="DA108" s="227">
        <f t="shared" si="1496"/>
        <v>2.7877055039313796</v>
      </c>
      <c r="DB108" s="227">
        <f t="shared" si="1496"/>
        <v>2.7877055039313796</v>
      </c>
      <c r="DC108" s="227">
        <f t="shared" si="1496"/>
        <v>2.7877055039313796</v>
      </c>
      <c r="DD108" s="227">
        <f t="shared" si="1496"/>
        <v>0</v>
      </c>
      <c r="DE108" s="227">
        <f t="shared" si="1496"/>
        <v>0</v>
      </c>
      <c r="DF108" s="227">
        <f t="shared" si="1496"/>
        <v>1.7526707363601677</v>
      </c>
      <c r="DG108" s="227">
        <f t="shared" si="1496"/>
        <v>0</v>
      </c>
      <c r="DH108" s="227">
        <f t="shared" si="1496"/>
        <v>5.528944338070179</v>
      </c>
      <c r="DI108" s="227">
        <f t="shared" si="1496"/>
        <v>0</v>
      </c>
      <c r="DJ108" s="227">
        <f t="shared" si="1496"/>
        <v>11.05697651721708</v>
      </c>
      <c r="DK108" s="228">
        <f t="shared" si="1496"/>
        <v>0</v>
      </c>
      <c r="DL108" s="226">
        <f t="shared" si="1496"/>
        <v>0</v>
      </c>
      <c r="DM108" s="228">
        <f t="shared" si="1496"/>
        <v>0</v>
      </c>
      <c r="DN108" s="226">
        <f t="shared" si="1496"/>
        <v>0</v>
      </c>
      <c r="DO108" s="228">
        <f t="shared" si="1496"/>
        <v>0</v>
      </c>
      <c r="DQ108" s="32"/>
      <c r="DR108" s="34"/>
      <c r="DS108" s="32"/>
      <c r="DT108" s="33"/>
      <c r="DU108" s="34"/>
      <c r="DV108" s="34"/>
      <c r="DW108" s="32"/>
      <c r="DX108" s="33"/>
      <c r="DY108" s="34"/>
      <c r="DZ108" s="34"/>
      <c r="EA108" s="32"/>
      <c r="EB108" s="33"/>
      <c r="EC108" s="34"/>
      <c r="ED108" s="34"/>
      <c r="EE108" s="34"/>
      <c r="EF108" s="32"/>
      <c r="EG108" s="33"/>
      <c r="EH108" s="34"/>
      <c r="EI108" s="33"/>
    </row>
    <row r="109" spans="1:139" x14ac:dyDescent="0.25">
      <c r="AJ109" s="12"/>
      <c r="AK109" s="5"/>
      <c r="AL109" s="9"/>
      <c r="AM109" s="358"/>
      <c r="AN109" s="5"/>
      <c r="AO109" s="13"/>
    </row>
    <row r="110" spans="1:139" x14ac:dyDescent="0.25">
      <c r="A110" s="206">
        <f>A101+7</f>
        <v>45957</v>
      </c>
      <c r="B110" s="207" t="s">
        <v>7</v>
      </c>
      <c r="C110" s="206"/>
      <c r="D110" s="41">
        <v>4</v>
      </c>
      <c r="E110" s="41">
        <v>5</v>
      </c>
      <c r="F110" s="41">
        <v>13.52</v>
      </c>
      <c r="G110" s="179">
        <v>17.73</v>
      </c>
      <c r="H110" s="208">
        <f t="shared" ref="H110:H116" si="1497">I110+J110</f>
        <v>3</v>
      </c>
      <c r="I110" s="208">
        <f t="shared" ref="I110:I116" si="1498">K110+M110+Q110</f>
        <v>2</v>
      </c>
      <c r="J110" s="208">
        <f t="shared" ref="J110:J116" si="1499">L110+N110+R110</f>
        <v>1</v>
      </c>
      <c r="K110" s="41">
        <v>2</v>
      </c>
      <c r="L110" s="42"/>
      <c r="M110" s="41"/>
      <c r="N110" s="42"/>
      <c r="O110" s="165"/>
      <c r="P110" s="165"/>
      <c r="Q110" s="41"/>
      <c r="R110" s="42">
        <v>1</v>
      </c>
      <c r="S110" s="319">
        <f t="shared" ref="S110:S116" si="1500">T110+U110</f>
        <v>0</v>
      </c>
      <c r="T110" s="165"/>
      <c r="U110" s="165"/>
      <c r="V110" s="319">
        <f t="shared" ref="V110:V116" si="1501">W110+X110</f>
        <v>0</v>
      </c>
      <c r="W110" s="165"/>
      <c r="X110" s="165"/>
      <c r="Y110" s="41"/>
      <c r="Z110" s="42"/>
      <c r="AA110" s="319">
        <f t="shared" ref="AA110:AA116" si="1502">AB110+AC110</f>
        <v>2</v>
      </c>
      <c r="AB110" s="165"/>
      <c r="AC110" s="165">
        <v>2</v>
      </c>
      <c r="AD110" s="319">
        <f t="shared" ref="AD110:AD116" si="1503">AE110+AF110</f>
        <v>1</v>
      </c>
      <c r="AE110" s="41"/>
      <c r="AF110" s="165">
        <v>1</v>
      </c>
      <c r="AG110" s="41"/>
      <c r="AH110" s="42"/>
      <c r="AJ110" s="12"/>
      <c r="AK110" s="5"/>
      <c r="AL110" s="9"/>
      <c r="AM110" s="358"/>
      <c r="AN110" s="5"/>
      <c r="AO110" s="13"/>
      <c r="AQ110" s="28">
        <v>5</v>
      </c>
      <c r="AR110" s="28">
        <v>3</v>
      </c>
      <c r="AS110" s="148">
        <f t="shared" ref="AS110:AS114" si="1504">AQ110/AR110</f>
        <v>1.6666666666666667</v>
      </c>
      <c r="AT110" s="359">
        <v>10.199999999999999</v>
      </c>
      <c r="AU110" s="190">
        <v>1</v>
      </c>
      <c r="AV110" s="154">
        <f t="shared" ref="AV110:AV114" si="1505">AT110*AS110*AU110</f>
        <v>17</v>
      </c>
      <c r="AW110" s="28"/>
      <c r="AY110" s="155">
        <f t="shared" ref="AY110:AY111" si="1506">H110/G110</f>
        <v>0.16920473773265651</v>
      </c>
      <c r="AZ110" s="156">
        <f t="shared" ref="AZ110:AZ111" si="1507">I110/G110</f>
        <v>0.11280315848843768</v>
      </c>
      <c r="BA110" s="127">
        <f t="shared" ref="BA110:BA111" si="1508">(K110+L110)/$G110</f>
        <v>0.11280315848843768</v>
      </c>
      <c r="BB110" s="127">
        <f t="shared" ref="BB110:BB111" si="1509">K110/$G110</f>
        <v>0.11280315848843768</v>
      </c>
      <c r="BC110" s="155">
        <f t="shared" ref="BC110:BC111" si="1510">(M110+N110)/$G110</f>
        <v>0</v>
      </c>
      <c r="BD110" s="156">
        <f t="shared" ref="BD110:BD111" si="1511">M110/$G110</f>
        <v>0</v>
      </c>
      <c r="BE110" s="155">
        <f t="shared" ref="BE110:BE111" si="1512">(Q110+R110)/$G110</f>
        <v>5.640157924421884E-2</v>
      </c>
      <c r="BF110" s="156">
        <f t="shared" ref="BF110:BF111" si="1513">Q110/$G110</f>
        <v>0</v>
      </c>
      <c r="BG110" s="127">
        <f t="shared" ref="BG110:BG111" si="1514">S110/$G110</f>
        <v>0</v>
      </c>
      <c r="BH110" s="127">
        <f t="shared" ref="BH110:BH111" si="1515">V110/$G110</f>
        <v>0</v>
      </c>
      <c r="BI110" s="127">
        <f t="shared" ref="BI110:BI111" si="1516">AA110/$G110</f>
        <v>0.11280315848843768</v>
      </c>
      <c r="BJ110" s="156">
        <f t="shared" ref="BJ110:BJ111" si="1517">AD110/$G110</f>
        <v>5.640157924421884E-2</v>
      </c>
      <c r="BK110" s="155"/>
      <c r="BL110" s="156"/>
      <c r="BM110" s="155"/>
      <c r="BN110" s="156"/>
      <c r="BO110" s="50"/>
      <c r="BP110" s="51">
        <f t="shared" ref="BP110:BP111" si="1518">AY110*$AV110</f>
        <v>2.8764805414551606</v>
      </c>
      <c r="BQ110" s="157">
        <f t="shared" ref="BQ110:BQ111" si="1519">AZ110*$AV110</f>
        <v>1.9176536943034406</v>
      </c>
      <c r="BR110" s="51">
        <f t="shared" ref="BR110:BR111" si="1520">BA110*$AV110</f>
        <v>1.9176536943034406</v>
      </c>
      <c r="BS110" s="157">
        <f t="shared" ref="BS110:BS111" si="1521">BB110*$AV110</f>
        <v>1.9176536943034406</v>
      </c>
      <c r="BT110" s="51">
        <f t="shared" ref="BT110:BT111" si="1522">BC110*$AV110</f>
        <v>0</v>
      </c>
      <c r="BU110" s="157">
        <f t="shared" ref="BU110:BU111" si="1523">BD110*$AV110</f>
        <v>0</v>
      </c>
      <c r="BV110" s="51">
        <f t="shared" ref="BV110:BV111" si="1524">BE110*$AV110</f>
        <v>0.95882684715172029</v>
      </c>
      <c r="BW110" s="157">
        <f t="shared" ref="BW110:BW111" si="1525">BF110*$AV110</f>
        <v>0</v>
      </c>
      <c r="BX110" s="51">
        <f t="shared" ref="BX110:BX111" si="1526">BG110*$AV110</f>
        <v>0</v>
      </c>
      <c r="BY110" s="157">
        <f t="shared" ref="BY110:BY111" si="1527">BH110*$AV110</f>
        <v>0</v>
      </c>
      <c r="BZ110" s="51">
        <f t="shared" ref="BZ110:BZ111" si="1528">BI110*$AV110</f>
        <v>1.9176536943034406</v>
      </c>
      <c r="CA110" s="157">
        <f t="shared" ref="CA110:CA111" si="1529">BJ110*$AV110</f>
        <v>0.95882684715172029</v>
      </c>
      <c r="CB110" s="51">
        <f t="shared" ref="CB110:CB111" si="1530">BK110*$AV110</f>
        <v>0</v>
      </c>
      <c r="CC110" s="157">
        <f t="shared" ref="CC110:CC111" si="1531">BL110*$AV110</f>
        <v>0</v>
      </c>
      <c r="CD110" s="51">
        <f t="shared" ref="CD110:CD111" si="1532">BM110*$AV110</f>
        <v>0</v>
      </c>
      <c r="CE110" s="157">
        <f t="shared" ref="CE110:CE111" si="1533">BN110*$AV110</f>
        <v>0</v>
      </c>
      <c r="CG110" s="215">
        <f t="shared" ref="CG110" si="1534">AVERAGE(BP110:BP114)</f>
        <v>1.0700535431658165</v>
      </c>
      <c r="CH110" s="175">
        <f t="shared" ref="CH110" si="1535">AVERAGE(BQ110:BQ114)</f>
        <v>0.38353073886068811</v>
      </c>
      <c r="CI110" s="175">
        <f t="shared" ref="CI110" si="1536">AVERAGE(BR110:BR114)</f>
        <v>0.8004579850562269</v>
      </c>
      <c r="CJ110" s="175">
        <f t="shared" ref="CJ110" si="1537">AVERAGE(BS110:BS114)</f>
        <v>0.38353073886068811</v>
      </c>
      <c r="CK110" s="175">
        <f t="shared" ref="CK110" si="1538">AVERAGE(BT110:BT114)</f>
        <v>7.7830188679245266E-2</v>
      </c>
      <c r="CL110" s="175">
        <f t="shared" ref="CL110" si="1539">AVERAGE(BU110:BU114)</f>
        <v>0</v>
      </c>
      <c r="CM110" s="175">
        <f t="shared" ref="CM110" si="1540">AVERAGE(BV110:BV114)</f>
        <v>0.19176536943034406</v>
      </c>
      <c r="CN110" s="175">
        <f t="shared" ref="CN110" si="1541">AVERAGE(BW110:BW114)</f>
        <v>0</v>
      </c>
      <c r="CO110" s="175">
        <f t="shared" ref="CO110" si="1542">AVERAGE(BX110:BX114)</f>
        <v>1.921145707126398</v>
      </c>
      <c r="CP110" s="175">
        <f t="shared" ref="CP110" si="1543">AVERAGE(BY110:BY114)</f>
        <v>7.7830188679245266E-2</v>
      </c>
      <c r="CQ110" s="175">
        <f t="shared" ref="CQ110" si="1544">AVERAGE(BZ110:BZ114)</f>
        <v>1.3315901209539036</v>
      </c>
      <c r="CR110" s="216">
        <f t="shared" ref="CR110" si="1545">AVERAGE(CA110:CA114)</f>
        <v>0.19176536943034406</v>
      </c>
      <c r="CS110" s="215">
        <f t="shared" ref="CS110" si="1546">AVERAGE(CB110:CB114)</f>
        <v>0</v>
      </c>
      <c r="CT110" s="216">
        <f t="shared" ref="CT110" si="1547">AVERAGE(CC110:CC114)</f>
        <v>0</v>
      </c>
      <c r="CU110" s="175">
        <f t="shared" ref="CU110" si="1548">AVERAGE(CD110:CD114)</f>
        <v>0</v>
      </c>
      <c r="CV110" s="216">
        <f t="shared" ref="CV110" si="1549">AVERAGE(CE110:CE114)</f>
        <v>0</v>
      </c>
      <c r="CX110" s="56">
        <v>5</v>
      </c>
      <c r="CZ110" s="223">
        <f t="shared" ref="CZ110" si="1550">CG110*$CX110</f>
        <v>5.3502677158290819</v>
      </c>
      <c r="DA110" s="159">
        <f t="shared" ref="DA110" si="1551">CH110*$CX110</f>
        <v>1.9176536943034406</v>
      </c>
      <c r="DB110" s="159">
        <f t="shared" ref="DB110" si="1552">CI110*$CX110</f>
        <v>4.0022899252811346</v>
      </c>
      <c r="DC110" s="159">
        <f t="shared" ref="DC110" si="1553">CJ110*$CX110</f>
        <v>1.9176536943034406</v>
      </c>
      <c r="DD110" s="159">
        <f t="shared" ref="DD110" si="1554">CK110*$CX110</f>
        <v>0.38915094339622636</v>
      </c>
      <c r="DE110" s="159">
        <f t="shared" ref="DE110" si="1555">CL110*$CX110</f>
        <v>0</v>
      </c>
      <c r="DF110" s="159">
        <f t="shared" ref="DF110" si="1556">CM110*$CX110</f>
        <v>0.95882684715172029</v>
      </c>
      <c r="DG110" s="159">
        <f t="shared" ref="DG110" si="1557">CN110*$CX110</f>
        <v>0</v>
      </c>
      <c r="DH110" s="159">
        <f t="shared" ref="DH110" si="1558">CO110*$CX110</f>
        <v>9.6057285356319895</v>
      </c>
      <c r="DI110" s="159">
        <f t="shared" ref="DI110" si="1559">CP110*$CX110</f>
        <v>0.38915094339622636</v>
      </c>
      <c r="DJ110" s="159">
        <f t="shared" ref="DJ110" si="1560">CQ110*$CX110</f>
        <v>6.6579506047695176</v>
      </c>
      <c r="DK110" s="224">
        <f t="shared" ref="DK110" si="1561">CR110*$CX110</f>
        <v>0.95882684715172029</v>
      </c>
      <c r="DL110" s="223">
        <f t="shared" ref="DL110" si="1562">CS110*$CX110</f>
        <v>0</v>
      </c>
      <c r="DM110" s="224">
        <f t="shared" ref="DM110" si="1563">CT110*$CX110</f>
        <v>0</v>
      </c>
      <c r="DN110" s="223">
        <f t="shared" ref="DN110" si="1564">CU110*$CX110</f>
        <v>0</v>
      </c>
      <c r="DO110" s="224">
        <f t="shared" ref="DO110" si="1565">CV110*$CX110</f>
        <v>0</v>
      </c>
      <c r="DQ110" s="130"/>
      <c r="DR110" s="229"/>
      <c r="DS110" s="130"/>
      <c r="DT110" s="230"/>
      <c r="DU110" s="229"/>
      <c r="DV110" s="229"/>
      <c r="DW110" s="130"/>
      <c r="DX110" s="230"/>
      <c r="DY110" s="229"/>
      <c r="DZ110" s="229"/>
      <c r="EA110" s="130"/>
      <c r="EB110" s="230"/>
      <c r="EC110" s="229"/>
      <c r="ED110" s="229"/>
      <c r="EE110" s="229"/>
      <c r="EF110" s="130"/>
      <c r="EG110" s="230"/>
      <c r="EH110" s="229"/>
      <c r="EI110" s="230"/>
    </row>
    <row r="111" spans="1:139" x14ac:dyDescent="0.25">
      <c r="A111" s="195">
        <f t="shared" ref="A111:A116" si="1566">A110+1</f>
        <v>45958</v>
      </c>
      <c r="B111" s="158" t="s">
        <v>94</v>
      </c>
      <c r="C111" s="195"/>
      <c r="D111" s="45">
        <v>8</v>
      </c>
      <c r="E111" s="45">
        <v>8</v>
      </c>
      <c r="F111" s="45">
        <v>61.67</v>
      </c>
      <c r="G111" s="154">
        <v>61.67</v>
      </c>
      <c r="H111" s="169">
        <f t="shared" si="1497"/>
        <v>0</v>
      </c>
      <c r="I111" s="169">
        <f t="shared" si="1498"/>
        <v>0</v>
      </c>
      <c r="J111" s="169">
        <f t="shared" si="1499"/>
        <v>0</v>
      </c>
      <c r="K111" s="45"/>
      <c r="L111" s="151"/>
      <c r="M111" s="45"/>
      <c r="N111" s="151"/>
      <c r="Q111" s="45"/>
      <c r="R111" s="151"/>
      <c r="S111" s="320">
        <f t="shared" si="1500"/>
        <v>2</v>
      </c>
      <c r="U111" s="27">
        <v>2</v>
      </c>
      <c r="V111" s="320">
        <f t="shared" si="1501"/>
        <v>0</v>
      </c>
      <c r="Y111" s="45">
        <v>1</v>
      </c>
      <c r="Z111" s="151"/>
      <c r="AA111" s="320">
        <f t="shared" si="1502"/>
        <v>1</v>
      </c>
      <c r="AC111" s="27">
        <v>1</v>
      </c>
      <c r="AD111" s="320">
        <f t="shared" si="1503"/>
        <v>0</v>
      </c>
      <c r="AE111" s="45"/>
      <c r="AG111" s="45"/>
      <c r="AH111" s="151"/>
      <c r="AJ111" s="12"/>
      <c r="AK111" s="5"/>
      <c r="AL111" s="9"/>
      <c r="AM111" s="358"/>
      <c r="AN111" s="5"/>
      <c r="AO111" s="13"/>
      <c r="AQ111" s="50">
        <v>8</v>
      </c>
      <c r="AR111" s="50">
        <v>3</v>
      </c>
      <c r="AS111" s="148">
        <f t="shared" si="1504"/>
        <v>2.6666666666666665</v>
      </c>
      <c r="AT111" s="152">
        <v>10.1</v>
      </c>
      <c r="AU111" s="153">
        <v>1</v>
      </c>
      <c r="AV111" s="154">
        <f t="shared" si="1505"/>
        <v>26.93333333333333</v>
      </c>
      <c r="AW111" s="50"/>
      <c r="AY111" s="155">
        <f t="shared" si="1506"/>
        <v>0</v>
      </c>
      <c r="AZ111" s="156">
        <f t="shared" si="1507"/>
        <v>0</v>
      </c>
      <c r="BA111" s="127">
        <f t="shared" si="1508"/>
        <v>0</v>
      </c>
      <c r="BB111" s="127">
        <f t="shared" si="1509"/>
        <v>0</v>
      </c>
      <c r="BC111" s="155">
        <f t="shared" si="1510"/>
        <v>0</v>
      </c>
      <c r="BD111" s="156">
        <f t="shared" si="1511"/>
        <v>0</v>
      </c>
      <c r="BE111" s="155">
        <f t="shared" si="1512"/>
        <v>0</v>
      </c>
      <c r="BF111" s="156">
        <f t="shared" si="1513"/>
        <v>0</v>
      </c>
      <c r="BG111" s="127">
        <f t="shared" si="1514"/>
        <v>3.2430679422733907E-2</v>
      </c>
      <c r="BH111" s="127">
        <f t="shared" si="1515"/>
        <v>0</v>
      </c>
      <c r="BI111" s="127">
        <f t="shared" si="1516"/>
        <v>1.6215339711366954E-2</v>
      </c>
      <c r="BJ111" s="156">
        <f t="shared" si="1517"/>
        <v>0</v>
      </c>
      <c r="BK111" s="155"/>
      <c r="BL111" s="156"/>
      <c r="BM111" s="155"/>
      <c r="BN111" s="156"/>
      <c r="BO111" s="50"/>
      <c r="BP111" s="51">
        <f t="shared" si="1518"/>
        <v>0</v>
      </c>
      <c r="BQ111" s="157">
        <f t="shared" si="1519"/>
        <v>0</v>
      </c>
      <c r="BR111" s="51">
        <f t="shared" si="1520"/>
        <v>0</v>
      </c>
      <c r="BS111" s="157">
        <f t="shared" si="1521"/>
        <v>0</v>
      </c>
      <c r="BT111" s="51">
        <f t="shared" si="1522"/>
        <v>0</v>
      </c>
      <c r="BU111" s="157">
        <f t="shared" si="1523"/>
        <v>0</v>
      </c>
      <c r="BV111" s="51">
        <f t="shared" si="1524"/>
        <v>0</v>
      </c>
      <c r="BW111" s="157">
        <f t="shared" si="1525"/>
        <v>0</v>
      </c>
      <c r="BX111" s="51">
        <f t="shared" si="1526"/>
        <v>0.87346629911896645</v>
      </c>
      <c r="BY111" s="157">
        <f t="shared" si="1527"/>
        <v>0</v>
      </c>
      <c r="BZ111" s="51">
        <f t="shared" si="1528"/>
        <v>0.43673314955948322</v>
      </c>
      <c r="CA111" s="157">
        <f t="shared" si="1529"/>
        <v>0</v>
      </c>
      <c r="CB111" s="51">
        <f t="shared" si="1530"/>
        <v>0</v>
      </c>
      <c r="CC111" s="157">
        <f t="shared" si="1531"/>
        <v>0</v>
      </c>
      <c r="CD111" s="51">
        <f t="shared" si="1532"/>
        <v>0</v>
      </c>
      <c r="CE111" s="157">
        <f t="shared" si="1533"/>
        <v>0</v>
      </c>
      <c r="CG111" s="45"/>
      <c r="CR111" s="151"/>
      <c r="CS111" s="45"/>
      <c r="CT111" s="151"/>
      <c r="CV111" s="151"/>
      <c r="CX111" s="50"/>
      <c r="CZ111" s="45"/>
      <c r="DK111" s="151"/>
      <c r="DL111" s="45"/>
      <c r="DM111" s="151"/>
      <c r="DN111" s="45"/>
      <c r="DO111" s="151"/>
      <c r="DQ111" s="117"/>
      <c r="DR111" s="77"/>
      <c r="DS111" s="117"/>
      <c r="DT111" s="149"/>
      <c r="DU111" s="77"/>
      <c r="DV111" s="77"/>
      <c r="DW111" s="117"/>
      <c r="DX111" s="149"/>
      <c r="DY111" s="77"/>
      <c r="DZ111" s="77"/>
      <c r="EA111" s="117"/>
      <c r="EB111" s="149"/>
      <c r="EC111" s="77"/>
      <c r="ED111" s="77"/>
      <c r="EE111" s="77"/>
      <c r="EF111" s="117"/>
      <c r="EG111" s="149"/>
      <c r="EH111" s="77"/>
      <c r="EI111" s="149"/>
    </row>
    <row r="112" spans="1:139" x14ac:dyDescent="0.25">
      <c r="A112" s="195">
        <f t="shared" si="1566"/>
        <v>45959</v>
      </c>
      <c r="B112" s="158" t="s">
        <v>11</v>
      </c>
      <c r="C112" s="195"/>
      <c r="D112" s="45">
        <v>15</v>
      </c>
      <c r="E112" s="45">
        <v>21</v>
      </c>
      <c r="F112" s="45">
        <v>32.74</v>
      </c>
      <c r="G112" s="154">
        <v>48.59</v>
      </c>
      <c r="H112" s="169">
        <f t="shared" si="1497"/>
        <v>0</v>
      </c>
      <c r="I112" s="169">
        <f t="shared" si="1498"/>
        <v>0</v>
      </c>
      <c r="J112" s="169">
        <f t="shared" si="1499"/>
        <v>0</v>
      </c>
      <c r="K112" s="45"/>
      <c r="L112" s="151"/>
      <c r="M112" s="45"/>
      <c r="N112" s="151"/>
      <c r="Q112" s="45"/>
      <c r="R112" s="151"/>
      <c r="S112" s="320">
        <f t="shared" si="1500"/>
        <v>2</v>
      </c>
      <c r="U112" s="27">
        <v>2</v>
      </c>
      <c r="V112" s="320">
        <f t="shared" si="1501"/>
        <v>0</v>
      </c>
      <c r="Y112" s="45">
        <v>2</v>
      </c>
      <c r="Z112" s="151"/>
      <c r="AA112" s="320">
        <f t="shared" si="1502"/>
        <v>1</v>
      </c>
      <c r="AC112" s="27">
        <v>1</v>
      </c>
      <c r="AD112" s="320">
        <f t="shared" si="1503"/>
        <v>0</v>
      </c>
      <c r="AE112" s="45"/>
      <c r="AG112" s="45"/>
      <c r="AH112" s="151"/>
      <c r="AJ112" s="12"/>
      <c r="AK112" s="5"/>
      <c r="AL112" s="9"/>
      <c r="AM112" s="358"/>
      <c r="AN112" s="5"/>
      <c r="AO112" s="13"/>
      <c r="AQ112" s="50">
        <v>21</v>
      </c>
      <c r="AR112" s="50">
        <v>3</v>
      </c>
      <c r="AS112" s="148">
        <f t="shared" si="1504"/>
        <v>7</v>
      </c>
      <c r="AT112" s="152">
        <v>10</v>
      </c>
      <c r="AU112" s="153">
        <v>1</v>
      </c>
      <c r="AV112" s="154">
        <f t="shared" si="1505"/>
        <v>70</v>
      </c>
      <c r="AW112" s="50"/>
      <c r="AY112" s="155">
        <f t="shared" ref="AY112" si="1567">H112/G112</f>
        <v>0</v>
      </c>
      <c r="AZ112" s="156">
        <f t="shared" ref="AZ112" si="1568">I112/G112</f>
        <v>0</v>
      </c>
      <c r="BA112" s="127">
        <f t="shared" ref="BA112" si="1569">(K112+L112)/$G112</f>
        <v>0</v>
      </c>
      <c r="BB112" s="127">
        <f t="shared" ref="BB112" si="1570">K112/$G112</f>
        <v>0</v>
      </c>
      <c r="BC112" s="155">
        <f t="shared" ref="BC112" si="1571">(M112+N112)/$G112</f>
        <v>0</v>
      </c>
      <c r="BD112" s="156">
        <f t="shared" ref="BD112" si="1572">M112/$G112</f>
        <v>0</v>
      </c>
      <c r="BE112" s="155">
        <f t="shared" ref="BE112" si="1573">(Q112+R112)/$G112</f>
        <v>0</v>
      </c>
      <c r="BF112" s="156">
        <f t="shared" ref="BF112" si="1574">Q112/$G112</f>
        <v>0</v>
      </c>
      <c r="BG112" s="127">
        <f t="shared" ref="BG112" si="1575">S112/$G112</f>
        <v>4.1160732661041366E-2</v>
      </c>
      <c r="BH112" s="127">
        <f t="shared" ref="BH112" si="1576">V112/$G112</f>
        <v>0</v>
      </c>
      <c r="BI112" s="127">
        <f t="shared" ref="BI112" si="1577">AA112/$G112</f>
        <v>2.0580366330520683E-2</v>
      </c>
      <c r="BJ112" s="156">
        <f t="shared" ref="BJ112" si="1578">AD112/$G112</f>
        <v>0</v>
      </c>
      <c r="BK112" s="155"/>
      <c r="BL112" s="156"/>
      <c r="BM112" s="155"/>
      <c r="BN112" s="156"/>
      <c r="BO112" s="50"/>
      <c r="BP112" s="51">
        <f t="shared" ref="BP112:BP114" si="1579">AY112*$AV112</f>
        <v>0</v>
      </c>
      <c r="BQ112" s="157">
        <f t="shared" ref="BQ112:BQ114" si="1580">AZ112*$AV112</f>
        <v>0</v>
      </c>
      <c r="BR112" s="51">
        <f t="shared" ref="BR112:BR114" si="1581">BA112*$AV112</f>
        <v>0</v>
      </c>
      <c r="BS112" s="157">
        <f t="shared" ref="BS112:BS114" si="1582">BB112*$AV112</f>
        <v>0</v>
      </c>
      <c r="BT112" s="51">
        <f t="shared" ref="BT112:BT114" si="1583">BC112*$AV112</f>
        <v>0</v>
      </c>
      <c r="BU112" s="157">
        <f t="shared" ref="BU112:BU114" si="1584">BD112*$AV112</f>
        <v>0</v>
      </c>
      <c r="BV112" s="51">
        <f t="shared" ref="BV112:BV114" si="1585">BE112*$AV112</f>
        <v>0</v>
      </c>
      <c r="BW112" s="157">
        <f t="shared" ref="BW112:BW114" si="1586">BF112*$AV112</f>
        <v>0</v>
      </c>
      <c r="BX112" s="51">
        <f t="shared" ref="BX112:BX114" si="1587">BG112*$AV112</f>
        <v>2.8812512862728958</v>
      </c>
      <c r="BY112" s="157">
        <f t="shared" ref="BY112:BY114" si="1588">BH112*$AV112</f>
        <v>0</v>
      </c>
      <c r="BZ112" s="51">
        <f t="shared" ref="BZ112:BZ114" si="1589">BI112*$AV112</f>
        <v>1.4406256431364479</v>
      </c>
      <c r="CA112" s="157">
        <f t="shared" ref="CA112:CA114" si="1590">BJ112*$AV112</f>
        <v>0</v>
      </c>
      <c r="CB112" s="51">
        <f t="shared" ref="CB112:CB114" si="1591">BK112*$AV112</f>
        <v>0</v>
      </c>
      <c r="CC112" s="157">
        <f t="shared" ref="CC112:CC114" si="1592">BL112*$AV112</f>
        <v>0</v>
      </c>
      <c r="CD112" s="51">
        <f t="shared" ref="CD112:CD114" si="1593">BM112*$AV112</f>
        <v>0</v>
      </c>
      <c r="CE112" s="157">
        <f t="shared" ref="CE112:CE114" si="1594">BN112*$AV112</f>
        <v>0</v>
      </c>
      <c r="CG112" s="45"/>
      <c r="CR112" s="151"/>
      <c r="CS112" s="45"/>
      <c r="CT112" s="151"/>
      <c r="CV112" s="151"/>
      <c r="CX112" s="50"/>
      <c r="CZ112" s="45"/>
      <c r="DK112" s="151"/>
      <c r="DL112" s="45"/>
      <c r="DM112" s="151"/>
      <c r="DN112" s="45"/>
      <c r="DO112" s="151"/>
      <c r="DQ112" s="117"/>
      <c r="DR112" s="77"/>
      <c r="DS112" s="117"/>
      <c r="DT112" s="149"/>
      <c r="DU112" s="77"/>
      <c r="DV112" s="77"/>
      <c r="DW112" s="117"/>
      <c r="DX112" s="149"/>
      <c r="DY112" s="77"/>
      <c r="DZ112" s="77"/>
      <c r="EA112" s="117"/>
      <c r="EB112" s="149"/>
      <c r="EC112" s="77"/>
      <c r="ED112" s="77"/>
      <c r="EE112" s="77"/>
      <c r="EF112" s="117"/>
      <c r="EG112" s="149"/>
      <c r="EH112" s="77"/>
      <c r="EI112" s="149"/>
    </row>
    <row r="113" spans="1:139" x14ac:dyDescent="0.25">
      <c r="A113" s="195">
        <f t="shared" si="1566"/>
        <v>45960</v>
      </c>
      <c r="B113" s="158" t="s">
        <v>95</v>
      </c>
      <c r="C113" s="195"/>
      <c r="D113" s="45">
        <v>10</v>
      </c>
      <c r="E113" s="45">
        <v>10</v>
      </c>
      <c r="F113" s="45">
        <v>31.98</v>
      </c>
      <c r="G113" s="154">
        <v>31.98</v>
      </c>
      <c r="H113" s="169">
        <f t="shared" si="1497"/>
        <v>2</v>
      </c>
      <c r="I113" s="169">
        <f t="shared" si="1498"/>
        <v>0</v>
      </c>
      <c r="J113" s="169">
        <f t="shared" si="1499"/>
        <v>2</v>
      </c>
      <c r="K113" s="45"/>
      <c r="L113" s="151">
        <v>2</v>
      </c>
      <c r="M113" s="45"/>
      <c r="N113" s="151"/>
      <c r="Q113" s="45"/>
      <c r="R113" s="151"/>
      <c r="S113" s="320">
        <f t="shared" si="1500"/>
        <v>3</v>
      </c>
      <c r="T113" s="27">
        <v>1</v>
      </c>
      <c r="U113" s="27">
        <v>2</v>
      </c>
      <c r="V113" s="320">
        <f t="shared" si="1501"/>
        <v>0</v>
      </c>
      <c r="Y113" s="45">
        <v>1</v>
      </c>
      <c r="Z113" s="151"/>
      <c r="AA113" s="320">
        <f t="shared" si="1502"/>
        <v>2</v>
      </c>
      <c r="AC113" s="27">
        <v>2</v>
      </c>
      <c r="AD113" s="320">
        <f t="shared" si="1503"/>
        <v>0</v>
      </c>
      <c r="AE113" s="45"/>
      <c r="AG113" s="45"/>
      <c r="AH113" s="151"/>
      <c r="AJ113" s="12"/>
      <c r="AK113" s="5"/>
      <c r="AL113" s="9"/>
      <c r="AM113" s="358"/>
      <c r="AN113" s="5"/>
      <c r="AO113" s="13"/>
      <c r="AQ113" s="50">
        <v>10</v>
      </c>
      <c r="AR113" s="50">
        <v>3</v>
      </c>
      <c r="AS113" s="148">
        <f t="shared" si="1504"/>
        <v>3.3333333333333335</v>
      </c>
      <c r="AT113" s="152">
        <v>10</v>
      </c>
      <c r="AU113" s="153">
        <v>1</v>
      </c>
      <c r="AV113" s="154">
        <f t="shared" si="1505"/>
        <v>33.333333333333336</v>
      </c>
      <c r="AW113" s="50">
        <v>8</v>
      </c>
      <c r="AY113" s="155">
        <f>H113/G113</f>
        <v>6.2539086929330828E-2</v>
      </c>
      <c r="AZ113" s="156">
        <f>I113/G113</f>
        <v>0</v>
      </c>
      <c r="BA113" s="127">
        <f>(K113+L113)/$G113</f>
        <v>6.2539086929330828E-2</v>
      </c>
      <c r="BB113" s="127">
        <f>K113/$G113</f>
        <v>0</v>
      </c>
      <c r="BC113" s="155">
        <f>(M113+N113)/$G113</f>
        <v>0</v>
      </c>
      <c r="BD113" s="156">
        <f>M113/$G113</f>
        <v>0</v>
      </c>
      <c r="BE113" s="155">
        <f>(Q113+R113)/$G113</f>
        <v>0</v>
      </c>
      <c r="BF113" s="156">
        <f>Q113/$G113</f>
        <v>0</v>
      </c>
      <c r="BG113" s="127">
        <f>S113/$G113</f>
        <v>9.3808630393996242E-2</v>
      </c>
      <c r="BH113" s="127">
        <f>V113/$G113</f>
        <v>0</v>
      </c>
      <c r="BI113" s="127">
        <f>AA113/$G113</f>
        <v>6.2539086929330828E-2</v>
      </c>
      <c r="BJ113" s="156">
        <f>AD113/$G113</f>
        <v>0</v>
      </c>
      <c r="BK113" s="155"/>
      <c r="BL113" s="156"/>
      <c r="BM113" s="155"/>
      <c r="BN113" s="156"/>
      <c r="BO113" s="50"/>
      <c r="BP113" s="51">
        <f t="shared" si="1579"/>
        <v>2.0846362309776945</v>
      </c>
      <c r="BQ113" s="157">
        <f t="shared" si="1580"/>
        <v>0</v>
      </c>
      <c r="BR113" s="51">
        <f t="shared" si="1581"/>
        <v>2.0846362309776945</v>
      </c>
      <c r="BS113" s="157">
        <f t="shared" si="1582"/>
        <v>0</v>
      </c>
      <c r="BT113" s="51">
        <f t="shared" si="1583"/>
        <v>0</v>
      </c>
      <c r="BU113" s="157">
        <f t="shared" si="1584"/>
        <v>0</v>
      </c>
      <c r="BV113" s="51">
        <f t="shared" si="1585"/>
        <v>0</v>
      </c>
      <c r="BW113" s="157">
        <f t="shared" si="1586"/>
        <v>0</v>
      </c>
      <c r="BX113" s="51">
        <f t="shared" si="1587"/>
        <v>3.1269543464665417</v>
      </c>
      <c r="BY113" s="157">
        <f t="shared" si="1588"/>
        <v>0</v>
      </c>
      <c r="BZ113" s="51">
        <f t="shared" si="1589"/>
        <v>2.0846362309776945</v>
      </c>
      <c r="CA113" s="157">
        <f t="shared" si="1590"/>
        <v>0</v>
      </c>
      <c r="CB113" s="51">
        <f t="shared" si="1591"/>
        <v>0</v>
      </c>
      <c r="CC113" s="157">
        <f t="shared" si="1592"/>
        <v>0</v>
      </c>
      <c r="CD113" s="51">
        <f t="shared" si="1593"/>
        <v>0</v>
      </c>
      <c r="CE113" s="157">
        <f t="shared" si="1594"/>
        <v>0</v>
      </c>
      <c r="CG113" s="45"/>
      <c r="CR113" s="151"/>
      <c r="CS113" s="45"/>
      <c r="CT113" s="151"/>
      <c r="CV113" s="151"/>
      <c r="CX113" s="50"/>
      <c r="CZ113" s="45"/>
      <c r="DK113" s="151"/>
      <c r="DL113" s="45"/>
      <c r="DM113" s="151"/>
      <c r="DN113" s="45"/>
      <c r="DO113" s="151"/>
      <c r="DQ113" s="117"/>
      <c r="DR113" s="77"/>
      <c r="DS113" s="117"/>
      <c r="DT113" s="149"/>
      <c r="DU113" s="77"/>
      <c r="DV113" s="77"/>
      <c r="DW113" s="117"/>
      <c r="DX113" s="149"/>
      <c r="DY113" s="77"/>
      <c r="DZ113" s="77">
        <v>2</v>
      </c>
      <c r="EA113" s="117"/>
      <c r="EB113" s="149"/>
      <c r="EC113" s="77"/>
      <c r="ED113" s="77"/>
      <c r="EE113" s="77"/>
      <c r="EF113" s="117"/>
      <c r="EG113" s="149"/>
      <c r="EH113" s="77"/>
      <c r="EI113" s="149"/>
    </row>
    <row r="114" spans="1:139" x14ac:dyDescent="0.25">
      <c r="A114" s="195">
        <f t="shared" si="1566"/>
        <v>45961</v>
      </c>
      <c r="B114" s="195" t="s">
        <v>13</v>
      </c>
      <c r="C114" s="195"/>
      <c r="D114" s="45">
        <v>9</v>
      </c>
      <c r="E114" s="45">
        <v>11</v>
      </c>
      <c r="F114" s="45">
        <v>70</v>
      </c>
      <c r="G114" s="154">
        <v>93.28</v>
      </c>
      <c r="H114" s="169">
        <f t="shared" si="1497"/>
        <v>1</v>
      </c>
      <c r="I114" s="169">
        <f t="shared" si="1498"/>
        <v>0</v>
      </c>
      <c r="J114" s="169">
        <f t="shared" si="1499"/>
        <v>1</v>
      </c>
      <c r="K114" s="45"/>
      <c r="L114" s="151"/>
      <c r="M114" s="45"/>
      <c r="N114" s="151">
        <v>1</v>
      </c>
      <c r="Q114" s="45"/>
      <c r="R114" s="151"/>
      <c r="S114" s="320">
        <f t="shared" si="1500"/>
        <v>7</v>
      </c>
      <c r="U114" s="27">
        <v>7</v>
      </c>
      <c r="V114" s="320">
        <f t="shared" si="1501"/>
        <v>1</v>
      </c>
      <c r="X114" s="27">
        <v>1</v>
      </c>
      <c r="Y114" s="45">
        <v>9</v>
      </c>
      <c r="Z114" s="151"/>
      <c r="AA114" s="320">
        <f t="shared" si="1502"/>
        <v>2</v>
      </c>
      <c r="AC114" s="27">
        <v>2</v>
      </c>
      <c r="AD114" s="320">
        <f t="shared" si="1503"/>
        <v>0</v>
      </c>
      <c r="AE114" s="45"/>
      <c r="AG114" s="45"/>
      <c r="AH114" s="151"/>
      <c r="AJ114" s="12"/>
      <c r="AK114" s="5"/>
      <c r="AL114" s="9"/>
      <c r="AM114" s="358"/>
      <c r="AN114" s="5"/>
      <c r="AO114" s="13"/>
      <c r="AQ114" s="50">
        <v>11</v>
      </c>
      <c r="AR114" s="50">
        <v>3</v>
      </c>
      <c r="AS114" s="148">
        <f t="shared" si="1504"/>
        <v>3.6666666666666665</v>
      </c>
      <c r="AT114" s="152">
        <v>9.9</v>
      </c>
      <c r="AU114" s="153">
        <v>1</v>
      </c>
      <c r="AV114" s="154">
        <f t="shared" si="1505"/>
        <v>36.299999999999997</v>
      </c>
      <c r="AW114" s="50"/>
      <c r="AY114" s="155">
        <f>H114/G114</f>
        <v>1.072041166380789E-2</v>
      </c>
      <c r="AZ114" s="156">
        <f>I114/G114</f>
        <v>0</v>
      </c>
      <c r="BA114" s="127">
        <f>(K114+L114)/$G114</f>
        <v>0</v>
      </c>
      <c r="BB114" s="127">
        <f>K114/$G114</f>
        <v>0</v>
      </c>
      <c r="BC114" s="155">
        <f>(M114+N114)/$G114</f>
        <v>1.072041166380789E-2</v>
      </c>
      <c r="BD114" s="156">
        <f>M114/$G114</f>
        <v>0</v>
      </c>
      <c r="BE114" s="155">
        <f>(Q114+R114)/$G114</f>
        <v>0</v>
      </c>
      <c r="BF114" s="156">
        <f>Q114/$G114</f>
        <v>0</v>
      </c>
      <c r="BG114" s="127">
        <f>S114/$G114</f>
        <v>7.5042881646655235E-2</v>
      </c>
      <c r="BH114" s="127">
        <f>V114/$G114</f>
        <v>1.072041166380789E-2</v>
      </c>
      <c r="BI114" s="127">
        <f>AA114/$G114</f>
        <v>2.1440823327615779E-2</v>
      </c>
      <c r="BJ114" s="156">
        <f>AD114/$G114</f>
        <v>0</v>
      </c>
      <c r="BK114" s="155"/>
      <c r="BL114" s="156"/>
      <c r="BM114" s="155"/>
      <c r="BN114" s="156"/>
      <c r="BO114" s="50"/>
      <c r="BP114" s="51">
        <f t="shared" si="1579"/>
        <v>0.38915094339622636</v>
      </c>
      <c r="BQ114" s="157">
        <f t="shared" si="1580"/>
        <v>0</v>
      </c>
      <c r="BR114" s="51">
        <f t="shared" si="1581"/>
        <v>0</v>
      </c>
      <c r="BS114" s="157">
        <f t="shared" si="1582"/>
        <v>0</v>
      </c>
      <c r="BT114" s="51">
        <f t="shared" si="1583"/>
        <v>0.38915094339622636</v>
      </c>
      <c r="BU114" s="157">
        <f t="shared" si="1584"/>
        <v>0</v>
      </c>
      <c r="BV114" s="51">
        <f t="shared" si="1585"/>
        <v>0</v>
      </c>
      <c r="BW114" s="157">
        <f t="shared" si="1586"/>
        <v>0</v>
      </c>
      <c r="BX114" s="51">
        <f t="shared" si="1587"/>
        <v>2.7240566037735849</v>
      </c>
      <c r="BY114" s="157">
        <f t="shared" si="1588"/>
        <v>0.38915094339622636</v>
      </c>
      <c r="BZ114" s="51">
        <f t="shared" si="1589"/>
        <v>0.77830188679245271</v>
      </c>
      <c r="CA114" s="157">
        <f t="shared" si="1590"/>
        <v>0</v>
      </c>
      <c r="CB114" s="51">
        <f t="shared" si="1591"/>
        <v>0</v>
      </c>
      <c r="CC114" s="157">
        <f t="shared" si="1592"/>
        <v>0</v>
      </c>
      <c r="CD114" s="51">
        <f t="shared" si="1593"/>
        <v>0</v>
      </c>
      <c r="CE114" s="157">
        <f t="shared" si="1594"/>
        <v>0</v>
      </c>
      <c r="CG114" s="45"/>
      <c r="CR114" s="151"/>
      <c r="CS114" s="45"/>
      <c r="CT114" s="151"/>
      <c r="CV114" s="151"/>
      <c r="CX114" s="50"/>
      <c r="CZ114" s="45"/>
      <c r="DK114" s="151"/>
      <c r="DL114" s="45"/>
      <c r="DM114" s="151"/>
      <c r="DN114" s="45"/>
      <c r="DO114" s="151"/>
      <c r="DQ114" s="117"/>
      <c r="DR114" s="77"/>
      <c r="DS114" s="117"/>
      <c r="DT114" s="149"/>
      <c r="DU114" s="77"/>
      <c r="DV114" s="77"/>
      <c r="DW114" s="117"/>
      <c r="DX114" s="149"/>
      <c r="DY114" s="77"/>
      <c r="DZ114" s="77">
        <v>1</v>
      </c>
      <c r="EA114" s="117"/>
      <c r="EB114" s="149"/>
      <c r="EC114" s="77"/>
      <c r="ED114" s="77"/>
      <c r="EE114" s="77"/>
      <c r="EF114" s="117"/>
      <c r="EG114" s="149"/>
      <c r="EH114" s="77"/>
      <c r="EI114" s="149"/>
    </row>
    <row r="115" spans="1:139" x14ac:dyDescent="0.25">
      <c r="A115" s="195">
        <f t="shared" si="1566"/>
        <v>45962</v>
      </c>
      <c r="B115" s="195" t="s">
        <v>14</v>
      </c>
      <c r="C115" s="195"/>
      <c r="D115" s="45"/>
      <c r="E115" s="45"/>
      <c r="F115" s="45"/>
      <c r="G115" s="154"/>
      <c r="H115" s="169">
        <f t="shared" si="1497"/>
        <v>0</v>
      </c>
      <c r="I115" s="169">
        <f t="shared" si="1498"/>
        <v>0</v>
      </c>
      <c r="J115" s="169">
        <f t="shared" si="1499"/>
        <v>0</v>
      </c>
      <c r="K115" s="45"/>
      <c r="L115" s="151"/>
      <c r="M115" s="45"/>
      <c r="N115" s="151"/>
      <c r="Q115" s="45"/>
      <c r="R115" s="151"/>
      <c r="S115" s="320">
        <f t="shared" si="1500"/>
        <v>0</v>
      </c>
      <c r="V115" s="320">
        <f t="shared" si="1501"/>
        <v>0</v>
      </c>
      <c r="Y115" s="45"/>
      <c r="Z115" s="151"/>
      <c r="AA115" s="320">
        <f t="shared" si="1502"/>
        <v>0</v>
      </c>
      <c r="AD115" s="320">
        <f t="shared" si="1503"/>
        <v>0</v>
      </c>
      <c r="AE115" s="45"/>
      <c r="AG115" s="45"/>
      <c r="AH115" s="151"/>
      <c r="AJ115" s="12"/>
      <c r="AK115" s="5"/>
      <c r="AL115" s="9"/>
      <c r="AM115" s="358"/>
      <c r="AN115" s="5"/>
      <c r="AO115" s="13"/>
      <c r="AQ115" s="50"/>
      <c r="AR115" s="50"/>
      <c r="AS115" s="148"/>
      <c r="AT115" s="152"/>
      <c r="AU115" s="153"/>
      <c r="AV115" s="154"/>
      <c r="AW115" s="50"/>
      <c r="AY115" s="155"/>
      <c r="AZ115" s="156"/>
      <c r="BA115" s="127"/>
      <c r="BB115" s="127"/>
      <c r="BC115" s="155"/>
      <c r="BD115" s="156"/>
      <c r="BE115" s="155"/>
      <c r="BF115" s="156"/>
      <c r="BG115" s="127"/>
      <c r="BH115" s="127"/>
      <c r="BI115" s="127"/>
      <c r="BJ115" s="156"/>
      <c r="BK115" s="155"/>
      <c r="BL115" s="156"/>
      <c r="BM115" s="155"/>
      <c r="BN115" s="156"/>
      <c r="BO115" s="50"/>
      <c r="BP115" s="51">
        <f t="shared" ref="BP115:CA115" si="1595">AY115*$AV115</f>
        <v>0</v>
      </c>
      <c r="BQ115" s="157">
        <f t="shared" si="1595"/>
        <v>0</v>
      </c>
      <c r="BR115" s="51">
        <f t="shared" si="1595"/>
        <v>0</v>
      </c>
      <c r="BS115" s="157">
        <f t="shared" si="1595"/>
        <v>0</v>
      </c>
      <c r="BT115" s="51">
        <f t="shared" si="1595"/>
        <v>0</v>
      </c>
      <c r="BU115" s="157">
        <f t="shared" si="1595"/>
        <v>0</v>
      </c>
      <c r="BV115" s="51">
        <f t="shared" si="1595"/>
        <v>0</v>
      </c>
      <c r="BW115" s="157">
        <f t="shared" si="1595"/>
        <v>0</v>
      </c>
      <c r="BX115" s="51">
        <f t="shared" si="1595"/>
        <v>0</v>
      </c>
      <c r="BY115" s="157">
        <f t="shared" si="1595"/>
        <v>0</v>
      </c>
      <c r="BZ115" s="51">
        <f t="shared" si="1595"/>
        <v>0</v>
      </c>
      <c r="CA115" s="157">
        <f t="shared" si="1595"/>
        <v>0</v>
      </c>
      <c r="CB115" s="51">
        <f t="shared" ref="CB115" si="1596">BK115*$AV115</f>
        <v>0</v>
      </c>
      <c r="CC115" s="157">
        <f t="shared" ref="CC115" si="1597">BL115*$AV115</f>
        <v>0</v>
      </c>
      <c r="CD115" s="51">
        <f t="shared" ref="CD115" si="1598">BM115*$AV115</f>
        <v>0</v>
      </c>
      <c r="CE115" s="157">
        <f t="shared" ref="CE115" si="1599">BN115*$AV115</f>
        <v>0</v>
      </c>
      <c r="CG115" s="51">
        <f t="shared" ref="CG115" si="1600">AVERAGE(BP115:BP116)</f>
        <v>0</v>
      </c>
      <c r="CH115" s="126">
        <f t="shared" ref="CH115" si="1601">AVERAGE(BQ115:BQ116)</f>
        <v>0</v>
      </c>
      <c r="CI115" s="126">
        <f t="shared" ref="CI115" si="1602">AVERAGE(BR115:BR116)</f>
        <v>0</v>
      </c>
      <c r="CJ115" s="126">
        <f t="shared" ref="CJ115" si="1603">AVERAGE(BS115:BS116)</f>
        <v>0</v>
      </c>
      <c r="CK115" s="126">
        <f t="shared" ref="CK115" si="1604">AVERAGE(BT115:BT116)</f>
        <v>0</v>
      </c>
      <c r="CL115" s="126">
        <f t="shared" ref="CL115" si="1605">AVERAGE(BU115:BU116)</f>
        <v>0</v>
      </c>
      <c r="CM115" s="126">
        <f t="shared" ref="CM115" si="1606">AVERAGE(BV115:BV116)</f>
        <v>0</v>
      </c>
      <c r="CN115" s="126">
        <f t="shared" ref="CN115" si="1607">AVERAGE(BW115:BW116)</f>
        <v>0</v>
      </c>
      <c r="CO115" s="126">
        <f t="shared" ref="CO115" si="1608">AVERAGE(BX115:BX116)</f>
        <v>0</v>
      </c>
      <c r="CP115" s="126">
        <f t="shared" ref="CP115" si="1609">AVERAGE(BY115:BY116)</f>
        <v>0</v>
      </c>
      <c r="CQ115" s="126">
        <f t="shared" ref="CQ115" si="1610">AVERAGE(BZ115:BZ116)</f>
        <v>0</v>
      </c>
      <c r="CR115" s="157">
        <f t="shared" ref="CR115" si="1611">AVERAGE(CA115:CA116)</f>
        <v>0</v>
      </c>
      <c r="CS115" s="51">
        <f t="shared" ref="CS115" si="1612">AVERAGE(CB115:CB116)</f>
        <v>0</v>
      </c>
      <c r="CT115" s="157">
        <f t="shared" ref="CT115" si="1613">AVERAGE(CC115:CC116)</f>
        <v>0</v>
      </c>
      <c r="CU115" s="126">
        <f t="shared" ref="CU115" si="1614">AVERAGE(CD115:CD116)</f>
        <v>0</v>
      </c>
      <c r="CV115" s="157">
        <f t="shared" ref="CV115" si="1615">AVERAGE(CE115:CE116)</f>
        <v>0</v>
      </c>
      <c r="CX115" s="150">
        <v>2</v>
      </c>
      <c r="CZ115" s="225">
        <f t="shared" ref="CZ115" si="1616">CG115*$CX115</f>
        <v>0</v>
      </c>
      <c r="DA115" s="160">
        <f t="shared" ref="DA115" si="1617">CH115*$CX115</f>
        <v>0</v>
      </c>
      <c r="DB115" s="160">
        <f t="shared" ref="DB115" si="1618">CI115*$CX115</f>
        <v>0</v>
      </c>
      <c r="DC115" s="160">
        <f t="shared" ref="DC115" si="1619">CJ115*$CX115</f>
        <v>0</v>
      </c>
      <c r="DD115" s="160">
        <f t="shared" ref="DD115" si="1620">CK115*$CX115</f>
        <v>0</v>
      </c>
      <c r="DE115" s="160">
        <f t="shared" ref="DE115" si="1621">CL115*$CX115</f>
        <v>0</v>
      </c>
      <c r="DF115" s="160">
        <f t="shared" ref="DF115" si="1622">CM115*$CX115</f>
        <v>0</v>
      </c>
      <c r="DG115" s="160">
        <f t="shared" ref="DG115" si="1623">CN115*$CX115</f>
        <v>0</v>
      </c>
      <c r="DH115" s="160">
        <f t="shared" ref="DH115" si="1624">CO115*$CX115</f>
        <v>0</v>
      </c>
      <c r="DI115" s="160">
        <f t="shared" ref="DI115" si="1625">CP115*$CX115</f>
        <v>0</v>
      </c>
      <c r="DJ115" s="160">
        <f t="shared" ref="DJ115" si="1626">CQ115*$CX115</f>
        <v>0</v>
      </c>
      <c r="DK115" s="161">
        <f t="shared" ref="DK115" si="1627">CR115*$CX115</f>
        <v>0</v>
      </c>
      <c r="DL115" s="225">
        <f t="shared" ref="DL115" si="1628">CS115*$CX115</f>
        <v>0</v>
      </c>
      <c r="DM115" s="161">
        <f t="shared" ref="DM115" si="1629">CT115*$CX115</f>
        <v>0</v>
      </c>
      <c r="DN115" s="225">
        <f t="shared" ref="DN115" si="1630">CU115*$CX115</f>
        <v>0</v>
      </c>
      <c r="DO115" s="161">
        <f t="shared" ref="DO115" si="1631">CV115*$CX115</f>
        <v>0</v>
      </c>
      <c r="DQ115" s="117"/>
      <c r="DR115" s="77"/>
      <c r="DS115" s="117"/>
      <c r="DT115" s="149"/>
      <c r="DU115" s="77"/>
      <c r="DV115" s="77"/>
      <c r="DW115" s="117"/>
      <c r="DX115" s="149"/>
      <c r="DY115" s="77"/>
      <c r="DZ115" s="77"/>
      <c r="EA115" s="117"/>
      <c r="EB115" s="149"/>
      <c r="EC115" s="77"/>
      <c r="ED115" s="77"/>
      <c r="EE115" s="77"/>
      <c r="EF115" s="117"/>
      <c r="EG115" s="149"/>
      <c r="EH115" s="77"/>
      <c r="EI115" s="149"/>
    </row>
    <row r="116" spans="1:139" x14ac:dyDescent="0.25">
      <c r="A116" s="334">
        <f t="shared" si="1566"/>
        <v>45963</v>
      </c>
      <c r="B116" s="334" t="s">
        <v>15</v>
      </c>
      <c r="C116" s="334"/>
      <c r="D116" s="176"/>
      <c r="E116" s="176"/>
      <c r="F116" s="176"/>
      <c r="G116" s="305"/>
      <c r="H116" s="323">
        <f t="shared" si="1497"/>
        <v>0</v>
      </c>
      <c r="I116" s="323">
        <f t="shared" si="1498"/>
        <v>0</v>
      </c>
      <c r="J116" s="323">
        <f t="shared" si="1499"/>
        <v>0</v>
      </c>
      <c r="K116" s="176"/>
      <c r="L116" s="178"/>
      <c r="M116" s="176"/>
      <c r="N116" s="178"/>
      <c r="O116" s="177"/>
      <c r="P116" s="177"/>
      <c r="Q116" s="176"/>
      <c r="R116" s="178"/>
      <c r="S116" s="320">
        <f t="shared" si="1500"/>
        <v>0</v>
      </c>
      <c r="V116" s="320">
        <f t="shared" si="1501"/>
        <v>0</v>
      </c>
      <c r="W116" s="177"/>
      <c r="X116" s="177"/>
      <c r="Y116" s="176"/>
      <c r="Z116" s="178"/>
      <c r="AA116" s="320">
        <f t="shared" si="1502"/>
        <v>0</v>
      </c>
      <c r="AD116" s="320">
        <f t="shared" si="1503"/>
        <v>0</v>
      </c>
      <c r="AE116" s="176"/>
      <c r="AF116" s="177"/>
      <c r="AG116" s="176"/>
      <c r="AH116" s="178"/>
      <c r="AJ116" s="12"/>
      <c r="AK116" s="5"/>
      <c r="AL116" s="9"/>
      <c r="AM116" s="358"/>
      <c r="AN116" s="5"/>
      <c r="AO116" s="13"/>
      <c r="AQ116" s="131"/>
      <c r="AR116" s="131"/>
      <c r="AS116" s="191"/>
      <c r="AT116" s="192"/>
      <c r="AU116" s="193"/>
      <c r="AV116" s="305"/>
      <c r="AW116" s="131"/>
      <c r="AY116" s="212"/>
      <c r="AZ116" s="213"/>
      <c r="BA116" s="214"/>
      <c r="BB116" s="214"/>
      <c r="BC116" s="212"/>
      <c r="BD116" s="213"/>
      <c r="BE116" s="212"/>
      <c r="BF116" s="213"/>
      <c r="BG116" s="214"/>
      <c r="BH116" s="214"/>
      <c r="BI116" s="214"/>
      <c r="BJ116" s="213"/>
      <c r="BK116" s="212"/>
      <c r="BL116" s="213"/>
      <c r="BM116" s="212"/>
      <c r="BN116" s="213"/>
      <c r="BO116" s="50"/>
      <c r="BP116" s="217"/>
      <c r="BQ116" s="218"/>
      <c r="BR116" s="217"/>
      <c r="BS116" s="218"/>
      <c r="BT116" s="217"/>
      <c r="BU116" s="218"/>
      <c r="BV116" s="217"/>
      <c r="BW116" s="218"/>
      <c r="BX116" s="217"/>
      <c r="BY116" s="218"/>
      <c r="BZ116" s="217"/>
      <c r="CA116" s="218"/>
      <c r="CB116" s="217"/>
      <c r="CC116" s="218"/>
      <c r="CD116" s="217"/>
      <c r="CE116" s="218"/>
      <c r="CG116" s="176"/>
      <c r="CH116" s="177"/>
      <c r="CI116" s="177"/>
      <c r="CJ116" s="177"/>
      <c r="CK116" s="177"/>
      <c r="CL116" s="177"/>
      <c r="CM116" s="177"/>
      <c r="CN116" s="177"/>
      <c r="CO116" s="177"/>
      <c r="CP116" s="177"/>
      <c r="CQ116" s="177"/>
      <c r="CR116" s="178"/>
      <c r="CS116" s="176"/>
      <c r="CT116" s="178"/>
      <c r="CU116" s="177"/>
      <c r="CV116" s="178"/>
      <c r="CX116" s="131"/>
      <c r="CZ116" s="176"/>
      <c r="DA116" s="177"/>
      <c r="DB116" s="177"/>
      <c r="DC116" s="177"/>
      <c r="DD116" s="177"/>
      <c r="DE116" s="177"/>
      <c r="DF116" s="177"/>
      <c r="DG116" s="177"/>
      <c r="DH116" s="177"/>
      <c r="DI116" s="177"/>
      <c r="DJ116" s="177"/>
      <c r="DK116" s="178"/>
      <c r="DL116" s="176"/>
      <c r="DM116" s="178"/>
      <c r="DN116" s="176"/>
      <c r="DO116" s="178"/>
      <c r="DQ116" s="32"/>
      <c r="DR116" s="34"/>
      <c r="DS116" s="32"/>
      <c r="DT116" s="33"/>
      <c r="DU116" s="34"/>
      <c r="DV116" s="34"/>
      <c r="DW116" s="32"/>
      <c r="DX116" s="33"/>
      <c r="DY116" s="34"/>
      <c r="DZ116" s="34"/>
      <c r="EA116" s="32"/>
      <c r="EB116" s="33"/>
      <c r="EC116" s="34"/>
      <c r="ED116" s="34"/>
      <c r="EE116" s="34"/>
      <c r="EF116" s="32"/>
      <c r="EG116" s="33"/>
      <c r="EH116" s="34"/>
      <c r="EI116" s="33"/>
    </row>
    <row r="117" spans="1:139" x14ac:dyDescent="0.25">
      <c r="A117" s="196"/>
      <c r="B117" s="189"/>
      <c r="C117" s="196"/>
      <c r="D117" s="202">
        <f t="shared" ref="D117:AH117" si="1632">SUM(D110:D116)</f>
        <v>46</v>
      </c>
      <c r="E117" s="202">
        <f t="shared" si="1632"/>
        <v>55</v>
      </c>
      <c r="F117" s="202">
        <f t="shared" si="1632"/>
        <v>209.91</v>
      </c>
      <c r="G117" s="203">
        <f t="shared" si="1632"/>
        <v>253.25</v>
      </c>
      <c r="H117" s="202">
        <f t="shared" si="1632"/>
        <v>6</v>
      </c>
      <c r="I117" s="202">
        <f t="shared" si="1632"/>
        <v>2</v>
      </c>
      <c r="J117" s="202">
        <f t="shared" si="1632"/>
        <v>4</v>
      </c>
      <c r="K117" s="202">
        <f t="shared" si="1632"/>
        <v>2</v>
      </c>
      <c r="L117" s="204">
        <f t="shared" si="1632"/>
        <v>2</v>
      </c>
      <c r="M117" s="202">
        <f t="shared" si="1632"/>
        <v>0</v>
      </c>
      <c r="N117" s="204">
        <f t="shared" si="1632"/>
        <v>1</v>
      </c>
      <c r="O117" s="202">
        <f t="shared" si="1632"/>
        <v>0</v>
      </c>
      <c r="P117" s="204">
        <f t="shared" si="1632"/>
        <v>0</v>
      </c>
      <c r="Q117" s="202">
        <f t="shared" si="1632"/>
        <v>0</v>
      </c>
      <c r="R117" s="204">
        <f t="shared" si="1632"/>
        <v>1</v>
      </c>
      <c r="S117" s="202">
        <f t="shared" si="1632"/>
        <v>14</v>
      </c>
      <c r="T117" s="205">
        <f t="shared" si="1632"/>
        <v>1</v>
      </c>
      <c r="U117" s="205">
        <f t="shared" si="1632"/>
        <v>13</v>
      </c>
      <c r="V117" s="203">
        <f t="shared" si="1632"/>
        <v>1</v>
      </c>
      <c r="W117" s="205">
        <f t="shared" si="1632"/>
        <v>0</v>
      </c>
      <c r="X117" s="205">
        <f t="shared" si="1632"/>
        <v>1</v>
      </c>
      <c r="Y117" s="202">
        <f t="shared" si="1632"/>
        <v>13</v>
      </c>
      <c r="Z117" s="204">
        <f t="shared" si="1632"/>
        <v>0</v>
      </c>
      <c r="AA117" s="202">
        <f t="shared" si="1632"/>
        <v>8</v>
      </c>
      <c r="AB117" s="205">
        <f t="shared" si="1632"/>
        <v>0</v>
      </c>
      <c r="AC117" s="205">
        <f t="shared" si="1632"/>
        <v>8</v>
      </c>
      <c r="AD117" s="203">
        <f t="shared" si="1632"/>
        <v>1</v>
      </c>
      <c r="AE117" s="205">
        <f t="shared" si="1632"/>
        <v>0</v>
      </c>
      <c r="AF117" s="205">
        <f t="shared" si="1632"/>
        <v>1</v>
      </c>
      <c r="AG117" s="202">
        <f t="shared" si="1632"/>
        <v>0</v>
      </c>
      <c r="AH117" s="204">
        <f t="shared" si="1632"/>
        <v>0</v>
      </c>
      <c r="AI117" s="357"/>
      <c r="AJ117" s="12"/>
      <c r="AK117" s="5"/>
      <c r="AL117" s="9"/>
      <c r="AM117" s="358"/>
      <c r="AN117" s="5"/>
      <c r="AO117" s="13"/>
      <c r="AQ117" s="131"/>
      <c r="AR117" s="131"/>
      <c r="AS117" s="191"/>
      <c r="AT117" s="192"/>
      <c r="AU117" s="193"/>
      <c r="AV117" s="194">
        <f>AVERAGE(AV110:AV114)*3</f>
        <v>110.13999999999999</v>
      </c>
      <c r="AW117" s="131"/>
      <c r="AY117" s="212"/>
      <c r="AZ117" s="213"/>
      <c r="BA117" s="214"/>
      <c r="BB117" s="214"/>
      <c r="BC117" s="212"/>
      <c r="BD117" s="213"/>
      <c r="BE117" s="212"/>
      <c r="BF117" s="213"/>
      <c r="BG117" s="214"/>
      <c r="BH117" s="214"/>
      <c r="BI117" s="214"/>
      <c r="BJ117" s="213"/>
      <c r="BK117" s="507"/>
      <c r="BL117" s="508"/>
      <c r="BM117" s="508"/>
      <c r="BN117" s="508"/>
      <c r="BO117" s="50"/>
      <c r="BP117" s="217"/>
      <c r="BQ117" s="218"/>
      <c r="BR117" s="217"/>
      <c r="BS117" s="218"/>
      <c r="BT117" s="217"/>
      <c r="BU117" s="218"/>
      <c r="BV117" s="217"/>
      <c r="BW117" s="218"/>
      <c r="BX117" s="217"/>
      <c r="BY117" s="218"/>
      <c r="BZ117" s="217"/>
      <c r="CA117" s="218"/>
      <c r="CB117" s="217"/>
      <c r="CC117" s="218"/>
      <c r="CD117" s="217"/>
      <c r="CE117" s="218"/>
      <c r="CG117" s="219"/>
      <c r="CH117" s="220"/>
      <c r="CI117" s="220"/>
      <c r="CJ117" s="220"/>
      <c r="CK117" s="220"/>
      <c r="CL117" s="220"/>
      <c r="CM117" s="220"/>
      <c r="CN117" s="220"/>
      <c r="CO117" s="220"/>
      <c r="CP117" s="220"/>
      <c r="CQ117" s="220"/>
      <c r="CR117" s="221"/>
      <c r="CS117" s="219"/>
      <c r="CT117" s="220"/>
      <c r="CU117" s="220"/>
      <c r="CV117" s="221"/>
      <c r="CX117" s="222"/>
      <c r="CZ117" s="226">
        <f t="shared" ref="CZ117:DO117" si="1633">CZ115+CZ110</f>
        <v>5.3502677158290819</v>
      </c>
      <c r="DA117" s="227">
        <f t="shared" si="1633"/>
        <v>1.9176536943034406</v>
      </c>
      <c r="DB117" s="227">
        <f t="shared" si="1633"/>
        <v>4.0022899252811346</v>
      </c>
      <c r="DC117" s="227">
        <f t="shared" si="1633"/>
        <v>1.9176536943034406</v>
      </c>
      <c r="DD117" s="227">
        <f t="shared" si="1633"/>
        <v>0.38915094339622636</v>
      </c>
      <c r="DE117" s="227">
        <f t="shared" si="1633"/>
        <v>0</v>
      </c>
      <c r="DF117" s="227">
        <f t="shared" si="1633"/>
        <v>0.95882684715172029</v>
      </c>
      <c r="DG117" s="227">
        <f t="shared" si="1633"/>
        <v>0</v>
      </c>
      <c r="DH117" s="227">
        <f t="shared" si="1633"/>
        <v>9.6057285356319895</v>
      </c>
      <c r="DI117" s="227">
        <f t="shared" si="1633"/>
        <v>0.38915094339622636</v>
      </c>
      <c r="DJ117" s="227">
        <f t="shared" si="1633"/>
        <v>6.6579506047695176</v>
      </c>
      <c r="DK117" s="228">
        <f t="shared" si="1633"/>
        <v>0.95882684715172029</v>
      </c>
      <c r="DL117" s="226">
        <f t="shared" si="1633"/>
        <v>0</v>
      </c>
      <c r="DM117" s="228">
        <f t="shared" si="1633"/>
        <v>0</v>
      </c>
      <c r="DN117" s="226">
        <f t="shared" si="1633"/>
        <v>0</v>
      </c>
      <c r="DO117" s="228">
        <f t="shared" si="1633"/>
        <v>0</v>
      </c>
      <c r="DQ117" s="32"/>
      <c r="DR117" s="34"/>
      <c r="DS117" s="32"/>
      <c r="DT117" s="33"/>
      <c r="DU117" s="34"/>
      <c r="DV117" s="34"/>
      <c r="DW117" s="32"/>
      <c r="DX117" s="33"/>
      <c r="DY117" s="34"/>
      <c r="DZ117" s="34"/>
      <c r="EA117" s="32"/>
      <c r="EB117" s="33"/>
      <c r="EC117" s="34"/>
      <c r="ED117" s="34"/>
      <c r="EE117" s="34"/>
      <c r="EF117" s="32"/>
      <c r="EG117" s="33"/>
      <c r="EH117" s="34"/>
      <c r="EI117" s="33"/>
    </row>
    <row r="119" spans="1:139" x14ac:dyDescent="0.25">
      <c r="A119" s="206">
        <f>A110+7</f>
        <v>45964</v>
      </c>
      <c r="B119" s="207" t="s">
        <v>7</v>
      </c>
      <c r="C119" s="206"/>
      <c r="D119" s="610"/>
      <c r="E119" s="610"/>
      <c r="F119" s="215"/>
      <c r="G119" s="179"/>
      <c r="H119" s="208">
        <f t="shared" ref="H119:H125" si="1634">I119+J119</f>
        <v>0</v>
      </c>
      <c r="I119" s="208">
        <f t="shared" ref="I119:I125" si="1635">K119+M119+Q119</f>
        <v>0</v>
      </c>
      <c r="J119" s="208">
        <f t="shared" ref="J119:J125" si="1636">L119+N119+R119</f>
        <v>0</v>
      </c>
      <c r="K119" s="41"/>
      <c r="L119" s="42"/>
      <c r="M119" s="41"/>
      <c r="N119" s="42"/>
      <c r="O119" s="165"/>
      <c r="P119" s="165"/>
      <c r="Q119" s="41"/>
      <c r="R119" s="42"/>
      <c r="S119" s="319">
        <f t="shared" ref="S119:S125" si="1637">T119+U119</f>
        <v>0</v>
      </c>
      <c r="T119" s="165"/>
      <c r="U119" s="165"/>
      <c r="V119" s="319">
        <f t="shared" ref="V119:V125" si="1638">W119+X119</f>
        <v>0</v>
      </c>
      <c r="W119" s="165"/>
      <c r="X119" s="165"/>
      <c r="Y119" s="41"/>
      <c r="Z119" s="42"/>
      <c r="AA119" s="319">
        <f t="shared" ref="AA119:AA125" si="1639">AB119+AC119</f>
        <v>0</v>
      </c>
      <c r="AB119" s="165"/>
      <c r="AC119" s="165"/>
      <c r="AD119" s="319">
        <f t="shared" ref="AD119:AD125" si="1640">AE119+AF119</f>
        <v>0</v>
      </c>
      <c r="AE119" s="41"/>
      <c r="AF119" s="165"/>
      <c r="AG119" s="41"/>
      <c r="AH119" s="42"/>
      <c r="AJ119" s="12"/>
      <c r="AK119" s="5"/>
      <c r="AL119" s="9"/>
      <c r="AM119" s="358"/>
      <c r="AN119" s="5"/>
      <c r="AO119" s="13"/>
      <c r="AQ119" s="28"/>
      <c r="AR119" s="28"/>
      <c r="AS119" s="146"/>
      <c r="AT119" s="359"/>
      <c r="AU119" s="190"/>
      <c r="AV119" s="179"/>
      <c r="AW119" s="28">
        <v>4</v>
      </c>
      <c r="AY119" s="209"/>
      <c r="AZ119" s="210"/>
      <c r="BA119" s="211"/>
      <c r="BB119" s="211"/>
      <c r="BC119" s="209"/>
      <c r="BD119" s="210"/>
      <c r="BE119" s="209"/>
      <c r="BF119" s="210"/>
      <c r="BG119" s="211"/>
      <c r="BH119" s="211"/>
      <c r="BI119" s="211"/>
      <c r="BJ119" s="210"/>
      <c r="BK119" s="209"/>
      <c r="BL119" s="210"/>
      <c r="BM119" s="209"/>
      <c r="BN119" s="210"/>
      <c r="BO119" s="50"/>
      <c r="BP119" s="215"/>
      <c r="BQ119" s="216"/>
      <c r="BR119" s="215"/>
      <c r="BS119" s="216"/>
      <c r="BT119" s="215"/>
      <c r="BU119" s="216"/>
      <c r="BV119" s="215"/>
      <c r="BW119" s="216"/>
      <c r="BX119" s="215"/>
      <c r="BY119" s="216"/>
      <c r="BZ119" s="215"/>
      <c r="CA119" s="216"/>
      <c r="CB119" s="215"/>
      <c r="CC119" s="216"/>
      <c r="CD119" s="215"/>
      <c r="CE119" s="216"/>
      <c r="CG119" s="215" t="e">
        <f t="shared" ref="CG119" si="1641">AVERAGE(BP119:BP123)</f>
        <v>#DIV/0!</v>
      </c>
      <c r="CH119" s="175" t="e">
        <f t="shared" ref="CH119" si="1642">AVERAGE(BQ119:BQ123)</f>
        <v>#DIV/0!</v>
      </c>
      <c r="CI119" s="175" t="e">
        <f t="shared" ref="CI119" si="1643">AVERAGE(BR119:BR123)</f>
        <v>#DIV/0!</v>
      </c>
      <c r="CJ119" s="175" t="e">
        <f t="shared" ref="CJ119" si="1644">AVERAGE(BS119:BS123)</f>
        <v>#DIV/0!</v>
      </c>
      <c r="CK119" s="175" t="e">
        <f t="shared" ref="CK119" si="1645">AVERAGE(BT119:BT123)</f>
        <v>#DIV/0!</v>
      </c>
      <c r="CL119" s="175" t="e">
        <f t="shared" ref="CL119" si="1646">AVERAGE(BU119:BU123)</f>
        <v>#DIV/0!</v>
      </c>
      <c r="CM119" s="175" t="e">
        <f t="shared" ref="CM119" si="1647">AVERAGE(BV119:BV123)</f>
        <v>#DIV/0!</v>
      </c>
      <c r="CN119" s="175" t="e">
        <f t="shared" ref="CN119" si="1648">AVERAGE(BW119:BW123)</f>
        <v>#DIV/0!</v>
      </c>
      <c r="CO119" s="175" t="e">
        <f t="shared" ref="CO119" si="1649">AVERAGE(BX119:BX123)</f>
        <v>#DIV/0!</v>
      </c>
      <c r="CP119" s="175" t="e">
        <f t="shared" ref="CP119" si="1650">AVERAGE(BY119:BY123)</f>
        <v>#DIV/0!</v>
      </c>
      <c r="CQ119" s="175" t="e">
        <f t="shared" ref="CQ119" si="1651">AVERAGE(BZ119:BZ123)</f>
        <v>#DIV/0!</v>
      </c>
      <c r="CR119" s="216" t="e">
        <f t="shared" ref="CR119" si="1652">AVERAGE(CA119:CA123)</f>
        <v>#DIV/0!</v>
      </c>
      <c r="CS119" s="215" t="e">
        <f t="shared" ref="CS119" si="1653">AVERAGE(CB119:CB123)</f>
        <v>#DIV/0!</v>
      </c>
      <c r="CT119" s="216" t="e">
        <f t="shared" ref="CT119" si="1654">AVERAGE(CC119:CC123)</f>
        <v>#DIV/0!</v>
      </c>
      <c r="CU119" s="175" t="e">
        <f t="shared" ref="CU119" si="1655">AVERAGE(CD119:CD123)</f>
        <v>#DIV/0!</v>
      </c>
      <c r="CV119" s="216" t="e">
        <f t="shared" ref="CV119" si="1656">AVERAGE(CE119:CE123)</f>
        <v>#DIV/0!</v>
      </c>
      <c r="CX119" s="56">
        <v>5</v>
      </c>
      <c r="CZ119" s="223" t="e">
        <f t="shared" ref="CZ119" si="1657">CG119*$CX119</f>
        <v>#DIV/0!</v>
      </c>
      <c r="DA119" s="159" t="e">
        <f t="shared" ref="DA119" si="1658">CH119*$CX119</f>
        <v>#DIV/0!</v>
      </c>
      <c r="DB119" s="159" t="e">
        <f t="shared" ref="DB119" si="1659">CI119*$CX119</f>
        <v>#DIV/0!</v>
      </c>
      <c r="DC119" s="159" t="e">
        <f t="shared" ref="DC119" si="1660">CJ119*$CX119</f>
        <v>#DIV/0!</v>
      </c>
      <c r="DD119" s="159" t="e">
        <f t="shared" ref="DD119" si="1661">CK119*$CX119</f>
        <v>#DIV/0!</v>
      </c>
      <c r="DE119" s="159" t="e">
        <f t="shared" ref="DE119" si="1662">CL119*$CX119</f>
        <v>#DIV/0!</v>
      </c>
      <c r="DF119" s="159" t="e">
        <f t="shared" ref="DF119" si="1663">CM119*$CX119</f>
        <v>#DIV/0!</v>
      </c>
      <c r="DG119" s="159" t="e">
        <f t="shared" ref="DG119" si="1664">CN119*$CX119</f>
        <v>#DIV/0!</v>
      </c>
      <c r="DH119" s="159" t="e">
        <f t="shared" ref="DH119" si="1665">CO119*$CX119</f>
        <v>#DIV/0!</v>
      </c>
      <c r="DI119" s="159" t="e">
        <f t="shared" ref="DI119" si="1666">CP119*$CX119</f>
        <v>#DIV/0!</v>
      </c>
      <c r="DJ119" s="159" t="e">
        <f t="shared" ref="DJ119" si="1667">CQ119*$CX119</f>
        <v>#DIV/0!</v>
      </c>
      <c r="DK119" s="224" t="e">
        <f t="shared" ref="DK119:DO119" si="1668">CR119*$CX119</f>
        <v>#DIV/0!</v>
      </c>
      <c r="DL119" s="223" t="e">
        <f t="shared" si="1668"/>
        <v>#DIV/0!</v>
      </c>
      <c r="DM119" s="224" t="e">
        <f t="shared" si="1668"/>
        <v>#DIV/0!</v>
      </c>
      <c r="DN119" s="223" t="e">
        <f t="shared" si="1668"/>
        <v>#DIV/0!</v>
      </c>
      <c r="DO119" s="224" t="e">
        <f t="shared" si="1668"/>
        <v>#DIV/0!</v>
      </c>
      <c r="DQ119" s="130"/>
      <c r="DR119" s="229"/>
      <c r="DS119" s="130"/>
      <c r="DT119" s="230"/>
      <c r="DU119" s="229"/>
      <c r="DV119" s="229"/>
      <c r="DW119" s="130"/>
      <c r="DX119" s="230"/>
      <c r="DY119" s="229"/>
      <c r="DZ119" s="229"/>
      <c r="EA119" s="130"/>
      <c r="EB119" s="230"/>
      <c r="EC119" s="229"/>
      <c r="ED119" s="229"/>
      <c r="EE119" s="229"/>
      <c r="EF119" s="130"/>
      <c r="EG119" s="230"/>
      <c r="EH119" s="229"/>
      <c r="EI119" s="230"/>
    </row>
    <row r="120" spans="1:139" x14ac:dyDescent="0.25">
      <c r="A120" s="195">
        <f t="shared" ref="A120:A125" si="1669">A119+1</f>
        <v>45965</v>
      </c>
      <c r="B120" s="158" t="s">
        <v>94</v>
      </c>
      <c r="C120" s="195"/>
      <c r="D120" s="45"/>
      <c r="E120" s="45"/>
      <c r="F120" s="51"/>
      <c r="G120" s="154"/>
      <c r="H120" s="169">
        <f t="shared" si="1634"/>
        <v>0</v>
      </c>
      <c r="I120" s="169">
        <f t="shared" si="1635"/>
        <v>0</v>
      </c>
      <c r="J120" s="169">
        <f t="shared" si="1636"/>
        <v>0</v>
      </c>
      <c r="K120" s="45"/>
      <c r="L120" s="151"/>
      <c r="M120" s="45"/>
      <c r="N120" s="151"/>
      <c r="Q120" s="45"/>
      <c r="R120" s="151"/>
      <c r="S120" s="320">
        <f t="shared" si="1637"/>
        <v>0</v>
      </c>
      <c r="V120" s="320">
        <f t="shared" si="1638"/>
        <v>0</v>
      </c>
      <c r="Y120" s="45"/>
      <c r="Z120" s="151"/>
      <c r="AA120" s="320">
        <f t="shared" si="1639"/>
        <v>0</v>
      </c>
      <c r="AD120" s="320">
        <f t="shared" si="1640"/>
        <v>0</v>
      </c>
      <c r="AE120" s="45"/>
      <c r="AG120" s="45"/>
      <c r="AH120" s="151"/>
      <c r="AJ120" s="12"/>
      <c r="AK120" s="5"/>
      <c r="AL120" s="9"/>
      <c r="AM120" s="358"/>
      <c r="AN120" s="5"/>
      <c r="AO120" s="13"/>
      <c r="AQ120" s="50"/>
      <c r="AR120" s="50"/>
      <c r="AS120" s="148" t="e">
        <f t="shared" ref="AS120:AS124" si="1670">AQ120/AR120</f>
        <v>#DIV/0!</v>
      </c>
      <c r="AT120" s="152">
        <v>9.9</v>
      </c>
      <c r="AU120" s="153">
        <v>1</v>
      </c>
      <c r="AV120" s="179" t="e">
        <f t="shared" ref="AV120:AV124" si="1671">AT120*AS120*AU120</f>
        <v>#DIV/0!</v>
      </c>
      <c r="AW120" s="50"/>
      <c r="AY120" s="155" t="e">
        <f t="shared" ref="AY120" si="1672">H120/G120</f>
        <v>#DIV/0!</v>
      </c>
      <c r="AZ120" s="156" t="e">
        <f t="shared" ref="AZ120" si="1673">I120/G120</f>
        <v>#DIV/0!</v>
      </c>
      <c r="BA120" s="127" t="e">
        <f t="shared" ref="BA120" si="1674">(K120+L120)/$G120</f>
        <v>#DIV/0!</v>
      </c>
      <c r="BB120" s="127" t="e">
        <f t="shared" ref="BB120" si="1675">K120/$G120</f>
        <v>#DIV/0!</v>
      </c>
      <c r="BC120" s="155" t="e">
        <f t="shared" ref="BC120" si="1676">(M120+N120)/$G120</f>
        <v>#DIV/0!</v>
      </c>
      <c r="BD120" s="156" t="e">
        <f t="shared" ref="BD120" si="1677">M120/$G120</f>
        <v>#DIV/0!</v>
      </c>
      <c r="BE120" s="155" t="e">
        <f t="shared" ref="BE120" si="1678">(Q120+R120)/$G120</f>
        <v>#DIV/0!</v>
      </c>
      <c r="BF120" s="156" t="e">
        <f t="shared" ref="BF120" si="1679">Q120/$G120</f>
        <v>#DIV/0!</v>
      </c>
      <c r="BG120" s="127" t="e">
        <f t="shared" ref="BG120" si="1680">S120/$G120</f>
        <v>#DIV/0!</v>
      </c>
      <c r="BH120" s="127" t="e">
        <f t="shared" ref="BH120" si="1681">V120/$G120</f>
        <v>#DIV/0!</v>
      </c>
      <c r="BI120" s="127" t="e">
        <f t="shared" ref="BI120" si="1682">AA120/$G120</f>
        <v>#DIV/0!</v>
      </c>
      <c r="BJ120" s="156" t="e">
        <f t="shared" ref="BJ120" si="1683">AD120/$G120</f>
        <v>#DIV/0!</v>
      </c>
      <c r="BK120" s="155"/>
      <c r="BL120" s="156"/>
      <c r="BM120" s="155"/>
      <c r="BN120" s="156"/>
      <c r="BO120" s="50"/>
      <c r="BP120" s="51" t="e">
        <f t="shared" ref="BP120" si="1684">AY120*$AV120</f>
        <v>#DIV/0!</v>
      </c>
      <c r="BQ120" s="157" t="e">
        <f t="shared" ref="BQ120" si="1685">AZ120*$AV120</f>
        <v>#DIV/0!</v>
      </c>
      <c r="BR120" s="51" t="e">
        <f t="shared" ref="BR120" si="1686">BA120*$AV120</f>
        <v>#DIV/0!</v>
      </c>
      <c r="BS120" s="157" t="e">
        <f t="shared" ref="BS120" si="1687">BB120*$AV120</f>
        <v>#DIV/0!</v>
      </c>
      <c r="BT120" s="51" t="e">
        <f t="shared" ref="BT120" si="1688">BC120*$AV120</f>
        <v>#DIV/0!</v>
      </c>
      <c r="BU120" s="157" t="e">
        <f t="shared" ref="BU120" si="1689">BD120*$AV120</f>
        <v>#DIV/0!</v>
      </c>
      <c r="BV120" s="51" t="e">
        <f t="shared" ref="BV120" si="1690">BE120*$AV120</f>
        <v>#DIV/0!</v>
      </c>
      <c r="BW120" s="157" t="e">
        <f t="shared" ref="BW120" si="1691">BF120*$AV120</f>
        <v>#DIV/0!</v>
      </c>
      <c r="BX120" s="51" t="e">
        <f t="shared" ref="BX120" si="1692">BG120*$AV120</f>
        <v>#DIV/0!</v>
      </c>
      <c r="BY120" s="157" t="e">
        <f t="shared" ref="BY120" si="1693">BH120*$AV120</f>
        <v>#DIV/0!</v>
      </c>
      <c r="BZ120" s="51" t="e">
        <f t="shared" ref="BZ120" si="1694">BI120*$AV120</f>
        <v>#DIV/0!</v>
      </c>
      <c r="CA120" s="157" t="e">
        <f t="shared" ref="CA120" si="1695">BJ120*$AV120</f>
        <v>#DIV/0!</v>
      </c>
      <c r="CB120" s="51" t="e">
        <f t="shared" ref="CB120" si="1696">BK120*$AV120</f>
        <v>#DIV/0!</v>
      </c>
      <c r="CC120" s="157" t="e">
        <f t="shared" ref="CC120" si="1697">BL120*$AV120</f>
        <v>#DIV/0!</v>
      </c>
      <c r="CD120" s="51" t="e">
        <f t="shared" ref="CD120" si="1698">BM120*$AV120</f>
        <v>#DIV/0!</v>
      </c>
      <c r="CE120" s="157" t="e">
        <f t="shared" ref="CE120" si="1699">BN120*$AV120</f>
        <v>#DIV/0!</v>
      </c>
      <c r="CG120" s="45"/>
      <c r="CR120" s="151"/>
      <c r="CS120" s="45"/>
      <c r="CT120" s="151"/>
      <c r="CV120" s="151"/>
      <c r="CX120" s="50"/>
      <c r="CZ120" s="45"/>
      <c r="DK120" s="151"/>
      <c r="DL120" s="45"/>
      <c r="DM120" s="151"/>
      <c r="DN120" s="45"/>
      <c r="DO120" s="151"/>
      <c r="DQ120" s="117"/>
      <c r="DR120" s="77"/>
      <c r="DS120" s="117"/>
      <c r="DT120" s="149"/>
      <c r="DU120" s="77"/>
      <c r="DV120" s="77"/>
      <c r="DW120" s="117"/>
      <c r="DX120" s="149"/>
      <c r="DY120" s="77"/>
      <c r="DZ120" s="77"/>
      <c r="EA120" s="117"/>
      <c r="EB120" s="149"/>
      <c r="EC120" s="77"/>
      <c r="ED120" s="77"/>
      <c r="EE120" s="77"/>
      <c r="EF120" s="117"/>
      <c r="EG120" s="149"/>
      <c r="EH120" s="77"/>
      <c r="EI120" s="149"/>
    </row>
    <row r="121" spans="1:139" x14ac:dyDescent="0.25">
      <c r="A121" s="195">
        <f t="shared" si="1669"/>
        <v>45966</v>
      </c>
      <c r="B121" s="158" t="s">
        <v>11</v>
      </c>
      <c r="C121" s="195"/>
      <c r="D121" s="45"/>
      <c r="E121" s="45"/>
      <c r="F121" s="51"/>
      <c r="G121" s="154"/>
      <c r="H121" s="169">
        <f t="shared" si="1634"/>
        <v>0</v>
      </c>
      <c r="I121" s="169">
        <f t="shared" si="1635"/>
        <v>0</v>
      </c>
      <c r="J121" s="169">
        <f t="shared" si="1636"/>
        <v>0</v>
      </c>
      <c r="K121" s="45"/>
      <c r="L121" s="151"/>
      <c r="M121" s="45"/>
      <c r="N121" s="151"/>
      <c r="Q121" s="45"/>
      <c r="R121" s="151"/>
      <c r="S121" s="320">
        <f t="shared" si="1637"/>
        <v>0</v>
      </c>
      <c r="V121" s="320">
        <f t="shared" si="1638"/>
        <v>0</v>
      </c>
      <c r="Y121" s="45"/>
      <c r="Z121" s="151"/>
      <c r="AA121" s="320">
        <f t="shared" si="1639"/>
        <v>0</v>
      </c>
      <c r="AD121" s="320">
        <f t="shared" si="1640"/>
        <v>0</v>
      </c>
      <c r="AE121" s="45"/>
      <c r="AG121" s="45"/>
      <c r="AH121" s="151"/>
      <c r="AJ121" s="12"/>
      <c r="AK121" s="5"/>
      <c r="AL121" s="9"/>
      <c r="AM121" s="358"/>
      <c r="AN121" s="5"/>
      <c r="AO121" s="13"/>
      <c r="AQ121" s="50"/>
      <c r="AR121" s="50"/>
      <c r="AS121" s="148" t="e">
        <f t="shared" si="1670"/>
        <v>#DIV/0!</v>
      </c>
      <c r="AT121" s="152">
        <v>9.6999999999999993</v>
      </c>
      <c r="AU121" s="153">
        <v>1</v>
      </c>
      <c r="AV121" s="179" t="e">
        <f t="shared" si="1671"/>
        <v>#DIV/0!</v>
      </c>
      <c r="AW121" s="50">
        <v>7</v>
      </c>
      <c r="AY121" s="155" t="e">
        <f t="shared" ref="AY121:AY124" si="1700">H121/G121</f>
        <v>#DIV/0!</v>
      </c>
      <c r="AZ121" s="156" t="e">
        <f t="shared" ref="AZ121:AZ124" si="1701">I121/G121</f>
        <v>#DIV/0!</v>
      </c>
      <c r="BA121" s="127" t="e">
        <f t="shared" ref="BA121:BA124" si="1702">(K121+L121)/$G121</f>
        <v>#DIV/0!</v>
      </c>
      <c r="BB121" s="127" t="e">
        <f t="shared" ref="BB121:BB124" si="1703">K121/$G121</f>
        <v>#DIV/0!</v>
      </c>
      <c r="BC121" s="155" t="e">
        <f t="shared" ref="BC121:BC124" si="1704">(M121+N121)/$G121</f>
        <v>#DIV/0!</v>
      </c>
      <c r="BD121" s="156" t="e">
        <f t="shared" ref="BD121:BD124" si="1705">M121/$G121</f>
        <v>#DIV/0!</v>
      </c>
      <c r="BE121" s="155" t="e">
        <f t="shared" ref="BE121:BE124" si="1706">(Q121+R121)/$G121</f>
        <v>#DIV/0!</v>
      </c>
      <c r="BF121" s="156" t="e">
        <f t="shared" ref="BF121:BF124" si="1707">Q121/$G121</f>
        <v>#DIV/0!</v>
      </c>
      <c r="BG121" s="127" t="e">
        <f t="shared" ref="BG121:BG124" si="1708">S121/$G121</f>
        <v>#DIV/0!</v>
      </c>
      <c r="BH121" s="127" t="e">
        <f t="shared" ref="BH121:BH124" si="1709">V121/$G121</f>
        <v>#DIV/0!</v>
      </c>
      <c r="BI121" s="127" t="e">
        <f t="shared" ref="BI121:BI124" si="1710">AA121/$G121</f>
        <v>#DIV/0!</v>
      </c>
      <c r="BJ121" s="156" t="e">
        <f t="shared" ref="BJ121:BJ124" si="1711">AD121/$G121</f>
        <v>#DIV/0!</v>
      </c>
      <c r="BK121" s="155"/>
      <c r="BL121" s="156"/>
      <c r="BM121" s="155"/>
      <c r="BN121" s="156"/>
      <c r="BO121" s="50"/>
      <c r="BP121" s="51" t="e">
        <f t="shared" ref="BP121:BP124" si="1712">AY121*$AV121</f>
        <v>#DIV/0!</v>
      </c>
      <c r="BQ121" s="157" t="e">
        <f t="shared" ref="BQ121:BQ124" si="1713">AZ121*$AV121</f>
        <v>#DIV/0!</v>
      </c>
      <c r="BR121" s="51" t="e">
        <f t="shared" ref="BR121:BR124" si="1714">BA121*$AV121</f>
        <v>#DIV/0!</v>
      </c>
      <c r="BS121" s="157" t="e">
        <f t="shared" ref="BS121:BS124" si="1715">BB121*$AV121</f>
        <v>#DIV/0!</v>
      </c>
      <c r="BT121" s="51" t="e">
        <f t="shared" ref="BT121:BT124" si="1716">BC121*$AV121</f>
        <v>#DIV/0!</v>
      </c>
      <c r="BU121" s="157" t="e">
        <f t="shared" ref="BU121:BU124" si="1717">BD121*$AV121</f>
        <v>#DIV/0!</v>
      </c>
      <c r="BV121" s="51" t="e">
        <f t="shared" ref="BV121:BV124" si="1718">BE121*$AV121</f>
        <v>#DIV/0!</v>
      </c>
      <c r="BW121" s="157" t="e">
        <f t="shared" ref="BW121:BW124" si="1719">BF121*$AV121</f>
        <v>#DIV/0!</v>
      </c>
      <c r="BX121" s="51" t="e">
        <f t="shared" ref="BX121:BX124" si="1720">BG121*$AV121</f>
        <v>#DIV/0!</v>
      </c>
      <c r="BY121" s="157" t="e">
        <f t="shared" ref="BY121:BY124" si="1721">BH121*$AV121</f>
        <v>#DIV/0!</v>
      </c>
      <c r="BZ121" s="51" t="e">
        <f t="shared" ref="BZ121:BZ124" si="1722">BI121*$AV121</f>
        <v>#DIV/0!</v>
      </c>
      <c r="CA121" s="157" t="e">
        <f t="shared" ref="CA121:CA124" si="1723">BJ121*$AV121</f>
        <v>#DIV/0!</v>
      </c>
      <c r="CB121" s="51" t="e">
        <f t="shared" ref="CB121:CB124" si="1724">BK121*$AV121</f>
        <v>#DIV/0!</v>
      </c>
      <c r="CC121" s="157" t="e">
        <f t="shared" ref="CC121:CC124" si="1725">BL121*$AV121</f>
        <v>#DIV/0!</v>
      </c>
      <c r="CD121" s="51" t="e">
        <f t="shared" ref="CD121:CD124" si="1726">BM121*$AV121</f>
        <v>#DIV/0!</v>
      </c>
      <c r="CE121" s="157" t="e">
        <f t="shared" ref="CE121:CE124" si="1727">BN121*$AV121</f>
        <v>#DIV/0!</v>
      </c>
      <c r="CG121" s="45"/>
      <c r="CR121" s="151"/>
      <c r="CS121" s="45"/>
      <c r="CT121" s="151"/>
      <c r="CV121" s="151"/>
      <c r="CX121" s="50"/>
      <c r="CZ121" s="45"/>
      <c r="DK121" s="151"/>
      <c r="DL121" s="45"/>
      <c r="DM121" s="151"/>
      <c r="DN121" s="45"/>
      <c r="DO121" s="151"/>
      <c r="DQ121" s="117"/>
      <c r="DR121" s="77"/>
      <c r="DS121" s="117"/>
      <c r="DT121" s="149"/>
      <c r="DU121" s="77"/>
      <c r="DV121" s="77"/>
      <c r="DW121" s="117"/>
      <c r="DX121" s="149"/>
      <c r="DY121" s="77"/>
      <c r="DZ121" s="77"/>
      <c r="EA121" s="117"/>
      <c r="EB121" s="149"/>
      <c r="EC121" s="77"/>
      <c r="ED121" s="77"/>
      <c r="EE121" s="77"/>
      <c r="EF121" s="117"/>
      <c r="EG121" s="149"/>
      <c r="EH121" s="77"/>
      <c r="EI121" s="149"/>
    </row>
    <row r="122" spans="1:139" x14ac:dyDescent="0.25">
      <c r="A122" s="195">
        <f t="shared" si="1669"/>
        <v>45967</v>
      </c>
      <c r="B122" s="158" t="s">
        <v>95</v>
      </c>
      <c r="C122" s="195"/>
      <c r="D122" s="45"/>
      <c r="E122" s="45"/>
      <c r="F122" s="51"/>
      <c r="G122" s="154"/>
      <c r="H122" s="169">
        <f t="shared" si="1634"/>
        <v>0</v>
      </c>
      <c r="I122" s="169">
        <f t="shared" si="1635"/>
        <v>0</v>
      </c>
      <c r="J122" s="169">
        <f t="shared" si="1636"/>
        <v>0</v>
      </c>
      <c r="K122" s="45"/>
      <c r="L122" s="151"/>
      <c r="M122" s="45"/>
      <c r="N122" s="151"/>
      <c r="Q122" s="45"/>
      <c r="R122" s="151"/>
      <c r="S122" s="320">
        <f t="shared" si="1637"/>
        <v>0</v>
      </c>
      <c r="V122" s="320">
        <f t="shared" si="1638"/>
        <v>0</v>
      </c>
      <c r="Y122" s="45"/>
      <c r="Z122" s="151"/>
      <c r="AA122" s="320">
        <f t="shared" si="1639"/>
        <v>0</v>
      </c>
      <c r="AD122" s="320">
        <f t="shared" si="1640"/>
        <v>0</v>
      </c>
      <c r="AE122" s="45"/>
      <c r="AG122" s="45"/>
      <c r="AH122" s="151"/>
      <c r="AJ122" s="12"/>
      <c r="AK122" s="5"/>
      <c r="AL122" s="9"/>
      <c r="AM122" s="358"/>
      <c r="AN122" s="5"/>
      <c r="AO122" s="13"/>
      <c r="AQ122" s="50"/>
      <c r="AR122" s="50"/>
      <c r="AS122" s="148" t="e">
        <f t="shared" si="1670"/>
        <v>#DIV/0!</v>
      </c>
      <c r="AT122" s="152">
        <v>9.6</v>
      </c>
      <c r="AU122" s="153">
        <v>1</v>
      </c>
      <c r="AV122" s="179" t="e">
        <f t="shared" si="1671"/>
        <v>#DIV/0!</v>
      </c>
      <c r="AW122" s="50">
        <v>6</v>
      </c>
      <c r="AY122" s="155" t="e">
        <f t="shared" si="1700"/>
        <v>#DIV/0!</v>
      </c>
      <c r="AZ122" s="156" t="e">
        <f t="shared" si="1701"/>
        <v>#DIV/0!</v>
      </c>
      <c r="BA122" s="127" t="e">
        <f t="shared" si="1702"/>
        <v>#DIV/0!</v>
      </c>
      <c r="BB122" s="127" t="e">
        <f t="shared" si="1703"/>
        <v>#DIV/0!</v>
      </c>
      <c r="BC122" s="155" t="e">
        <f t="shared" si="1704"/>
        <v>#DIV/0!</v>
      </c>
      <c r="BD122" s="156" t="e">
        <f t="shared" si="1705"/>
        <v>#DIV/0!</v>
      </c>
      <c r="BE122" s="155" t="e">
        <f t="shared" si="1706"/>
        <v>#DIV/0!</v>
      </c>
      <c r="BF122" s="156" t="e">
        <f t="shared" si="1707"/>
        <v>#DIV/0!</v>
      </c>
      <c r="BG122" s="127" t="e">
        <f t="shared" si="1708"/>
        <v>#DIV/0!</v>
      </c>
      <c r="BH122" s="127" t="e">
        <f t="shared" si="1709"/>
        <v>#DIV/0!</v>
      </c>
      <c r="BI122" s="127" t="e">
        <f t="shared" si="1710"/>
        <v>#DIV/0!</v>
      </c>
      <c r="BJ122" s="156" t="e">
        <f t="shared" si="1711"/>
        <v>#DIV/0!</v>
      </c>
      <c r="BK122" s="155"/>
      <c r="BL122" s="156"/>
      <c r="BM122" s="155"/>
      <c r="BN122" s="156"/>
      <c r="BO122" s="50"/>
      <c r="BP122" s="51" t="e">
        <f t="shared" si="1712"/>
        <v>#DIV/0!</v>
      </c>
      <c r="BQ122" s="157" t="e">
        <f t="shared" si="1713"/>
        <v>#DIV/0!</v>
      </c>
      <c r="BR122" s="51" t="e">
        <f t="shared" si="1714"/>
        <v>#DIV/0!</v>
      </c>
      <c r="BS122" s="157" t="e">
        <f t="shared" si="1715"/>
        <v>#DIV/0!</v>
      </c>
      <c r="BT122" s="51" t="e">
        <f t="shared" si="1716"/>
        <v>#DIV/0!</v>
      </c>
      <c r="BU122" s="157" t="e">
        <f t="shared" si="1717"/>
        <v>#DIV/0!</v>
      </c>
      <c r="BV122" s="51" t="e">
        <f t="shared" si="1718"/>
        <v>#DIV/0!</v>
      </c>
      <c r="BW122" s="157" t="e">
        <f t="shared" si="1719"/>
        <v>#DIV/0!</v>
      </c>
      <c r="BX122" s="51" t="e">
        <f t="shared" si="1720"/>
        <v>#DIV/0!</v>
      </c>
      <c r="BY122" s="157" t="e">
        <f t="shared" si="1721"/>
        <v>#DIV/0!</v>
      </c>
      <c r="BZ122" s="51" t="e">
        <f t="shared" si="1722"/>
        <v>#DIV/0!</v>
      </c>
      <c r="CA122" s="157" t="e">
        <f t="shared" si="1723"/>
        <v>#DIV/0!</v>
      </c>
      <c r="CB122" s="51" t="e">
        <f t="shared" si="1724"/>
        <v>#DIV/0!</v>
      </c>
      <c r="CC122" s="157" t="e">
        <f t="shared" si="1725"/>
        <v>#DIV/0!</v>
      </c>
      <c r="CD122" s="51" t="e">
        <f t="shared" si="1726"/>
        <v>#DIV/0!</v>
      </c>
      <c r="CE122" s="157" t="e">
        <f t="shared" si="1727"/>
        <v>#DIV/0!</v>
      </c>
      <c r="CG122" s="45"/>
      <c r="CR122" s="151"/>
      <c r="CS122" s="45"/>
      <c r="CT122" s="151"/>
      <c r="CV122" s="151"/>
      <c r="CX122" s="50"/>
      <c r="CZ122" s="45"/>
      <c r="DK122" s="151"/>
      <c r="DL122" s="45"/>
      <c r="DM122" s="151"/>
      <c r="DN122" s="45"/>
      <c r="DO122" s="151"/>
      <c r="DQ122" s="117"/>
      <c r="DR122" s="77"/>
      <c r="DS122" s="117"/>
      <c r="DT122" s="149"/>
      <c r="DU122" s="77"/>
      <c r="DV122" s="77"/>
      <c r="DW122" s="117"/>
      <c r="DX122" s="149"/>
      <c r="DY122" s="77"/>
      <c r="DZ122" s="77"/>
      <c r="EA122" s="117"/>
      <c r="EB122" s="149"/>
      <c r="EC122" s="77"/>
      <c r="ED122" s="77"/>
      <c r="EE122" s="77"/>
      <c r="EF122" s="117"/>
      <c r="EG122" s="149"/>
      <c r="EH122" s="77"/>
      <c r="EI122" s="149"/>
    </row>
    <row r="123" spans="1:139" x14ac:dyDescent="0.25">
      <c r="A123" s="195">
        <f t="shared" si="1669"/>
        <v>45968</v>
      </c>
      <c r="B123" s="195" t="s">
        <v>13</v>
      </c>
      <c r="C123" s="195"/>
      <c r="D123" s="45"/>
      <c r="E123" s="45"/>
      <c r="F123" s="51"/>
      <c r="G123" s="154"/>
      <c r="H123" s="169">
        <f t="shared" si="1634"/>
        <v>0</v>
      </c>
      <c r="I123" s="169">
        <f t="shared" si="1635"/>
        <v>0</v>
      </c>
      <c r="J123" s="169">
        <f t="shared" si="1636"/>
        <v>0</v>
      </c>
      <c r="K123" s="45"/>
      <c r="L123" s="151"/>
      <c r="M123" s="45"/>
      <c r="N123" s="151"/>
      <c r="Q123" s="45"/>
      <c r="R123" s="151"/>
      <c r="S123" s="320">
        <f t="shared" si="1637"/>
        <v>0</v>
      </c>
      <c r="V123" s="320">
        <f t="shared" si="1638"/>
        <v>0</v>
      </c>
      <c r="Y123" s="45"/>
      <c r="Z123" s="151"/>
      <c r="AA123" s="320">
        <f t="shared" si="1639"/>
        <v>0</v>
      </c>
      <c r="AD123" s="320">
        <f t="shared" si="1640"/>
        <v>0</v>
      </c>
      <c r="AE123" s="45"/>
      <c r="AG123" s="45"/>
      <c r="AH123" s="151"/>
      <c r="AJ123" s="12"/>
      <c r="AK123" s="5"/>
      <c r="AL123" s="9"/>
      <c r="AM123" s="358"/>
      <c r="AN123" s="5"/>
      <c r="AO123" s="13"/>
      <c r="AQ123" s="50"/>
      <c r="AR123" s="50"/>
      <c r="AS123" s="148" t="e">
        <f t="shared" si="1670"/>
        <v>#DIV/0!</v>
      </c>
      <c r="AT123" s="152">
        <v>9.6</v>
      </c>
      <c r="AU123" s="153">
        <v>1</v>
      </c>
      <c r="AV123" s="179" t="e">
        <f t="shared" si="1671"/>
        <v>#DIV/0!</v>
      </c>
      <c r="AW123" s="50"/>
      <c r="AY123" s="155" t="e">
        <f t="shared" si="1700"/>
        <v>#DIV/0!</v>
      </c>
      <c r="AZ123" s="156" t="e">
        <f t="shared" si="1701"/>
        <v>#DIV/0!</v>
      </c>
      <c r="BA123" s="127" t="e">
        <f t="shared" si="1702"/>
        <v>#DIV/0!</v>
      </c>
      <c r="BB123" s="127" t="e">
        <f t="shared" si="1703"/>
        <v>#DIV/0!</v>
      </c>
      <c r="BC123" s="155" t="e">
        <f t="shared" si="1704"/>
        <v>#DIV/0!</v>
      </c>
      <c r="BD123" s="156" t="e">
        <f t="shared" si="1705"/>
        <v>#DIV/0!</v>
      </c>
      <c r="BE123" s="155" t="e">
        <f t="shared" si="1706"/>
        <v>#DIV/0!</v>
      </c>
      <c r="BF123" s="156" t="e">
        <f t="shared" si="1707"/>
        <v>#DIV/0!</v>
      </c>
      <c r="BG123" s="127" t="e">
        <f t="shared" si="1708"/>
        <v>#DIV/0!</v>
      </c>
      <c r="BH123" s="127" t="e">
        <f t="shared" si="1709"/>
        <v>#DIV/0!</v>
      </c>
      <c r="BI123" s="127" t="e">
        <f t="shared" si="1710"/>
        <v>#DIV/0!</v>
      </c>
      <c r="BJ123" s="156" t="e">
        <f t="shared" si="1711"/>
        <v>#DIV/0!</v>
      </c>
      <c r="BK123" s="155"/>
      <c r="BL123" s="156"/>
      <c r="BM123" s="155"/>
      <c r="BN123" s="156"/>
      <c r="BO123" s="50"/>
      <c r="BP123" s="51" t="e">
        <f t="shared" si="1712"/>
        <v>#DIV/0!</v>
      </c>
      <c r="BQ123" s="157" t="e">
        <f t="shared" si="1713"/>
        <v>#DIV/0!</v>
      </c>
      <c r="BR123" s="51" t="e">
        <f t="shared" si="1714"/>
        <v>#DIV/0!</v>
      </c>
      <c r="BS123" s="157" t="e">
        <f t="shared" si="1715"/>
        <v>#DIV/0!</v>
      </c>
      <c r="BT123" s="51" t="e">
        <f t="shared" si="1716"/>
        <v>#DIV/0!</v>
      </c>
      <c r="BU123" s="157" t="e">
        <f t="shared" si="1717"/>
        <v>#DIV/0!</v>
      </c>
      <c r="BV123" s="51" t="e">
        <f t="shared" si="1718"/>
        <v>#DIV/0!</v>
      </c>
      <c r="BW123" s="157" t="e">
        <f t="shared" si="1719"/>
        <v>#DIV/0!</v>
      </c>
      <c r="BX123" s="51" t="e">
        <f t="shared" si="1720"/>
        <v>#DIV/0!</v>
      </c>
      <c r="BY123" s="157" t="e">
        <f t="shared" si="1721"/>
        <v>#DIV/0!</v>
      </c>
      <c r="BZ123" s="51" t="e">
        <f t="shared" si="1722"/>
        <v>#DIV/0!</v>
      </c>
      <c r="CA123" s="157" t="e">
        <f t="shared" si="1723"/>
        <v>#DIV/0!</v>
      </c>
      <c r="CB123" s="51" t="e">
        <f t="shared" si="1724"/>
        <v>#DIV/0!</v>
      </c>
      <c r="CC123" s="157" t="e">
        <f t="shared" si="1725"/>
        <v>#DIV/0!</v>
      </c>
      <c r="CD123" s="51" t="e">
        <f t="shared" si="1726"/>
        <v>#DIV/0!</v>
      </c>
      <c r="CE123" s="157" t="e">
        <f t="shared" si="1727"/>
        <v>#DIV/0!</v>
      </c>
      <c r="CG123" s="45"/>
      <c r="CR123" s="151"/>
      <c r="CS123" s="45"/>
      <c r="CT123" s="151"/>
      <c r="CV123" s="151"/>
      <c r="CX123" s="50"/>
      <c r="CZ123" s="45"/>
      <c r="DK123" s="151"/>
      <c r="DL123" s="45"/>
      <c r="DM123" s="151"/>
      <c r="DN123" s="45"/>
      <c r="DO123" s="151"/>
      <c r="DQ123" s="117"/>
      <c r="DR123" s="77"/>
      <c r="DS123" s="117"/>
      <c r="DT123" s="149"/>
      <c r="DU123" s="77"/>
      <c r="DV123" s="77"/>
      <c r="DW123" s="117"/>
      <c r="DX123" s="149"/>
      <c r="DY123" s="77"/>
      <c r="DZ123" s="77"/>
      <c r="EA123" s="117"/>
      <c r="EB123" s="149"/>
      <c r="EC123" s="77"/>
      <c r="ED123" s="77"/>
      <c r="EE123" s="77"/>
      <c r="EF123" s="117"/>
      <c r="EG123" s="149"/>
      <c r="EH123" s="77"/>
      <c r="EI123" s="149"/>
    </row>
    <row r="124" spans="1:139" x14ac:dyDescent="0.25">
      <c r="A124" s="195">
        <f t="shared" si="1669"/>
        <v>45969</v>
      </c>
      <c r="B124" s="195" t="s">
        <v>14</v>
      </c>
      <c r="C124" s="195"/>
      <c r="D124" s="45"/>
      <c r="E124" s="45"/>
      <c r="F124" s="51"/>
      <c r="G124" s="154"/>
      <c r="H124" s="169">
        <f t="shared" si="1634"/>
        <v>0</v>
      </c>
      <c r="I124" s="169">
        <f t="shared" si="1635"/>
        <v>0</v>
      </c>
      <c r="J124" s="169">
        <f t="shared" si="1636"/>
        <v>0</v>
      </c>
      <c r="K124" s="45"/>
      <c r="L124" s="151"/>
      <c r="M124" s="45"/>
      <c r="N124" s="151"/>
      <c r="Q124" s="45"/>
      <c r="R124" s="151"/>
      <c r="S124" s="320">
        <f t="shared" si="1637"/>
        <v>0</v>
      </c>
      <c r="V124" s="320">
        <f t="shared" si="1638"/>
        <v>0</v>
      </c>
      <c r="Y124" s="45"/>
      <c r="Z124" s="151"/>
      <c r="AA124" s="320">
        <f t="shared" si="1639"/>
        <v>0</v>
      </c>
      <c r="AD124" s="320">
        <f t="shared" si="1640"/>
        <v>0</v>
      </c>
      <c r="AE124" s="45"/>
      <c r="AG124" s="45"/>
      <c r="AH124" s="151"/>
      <c r="AJ124" s="12"/>
      <c r="AK124" s="5"/>
      <c r="AL124" s="9"/>
      <c r="AM124" s="358"/>
      <c r="AN124" s="5"/>
      <c r="AO124" s="13"/>
      <c r="AQ124" s="50"/>
      <c r="AR124" s="50"/>
      <c r="AS124" s="148" t="e">
        <f t="shared" si="1670"/>
        <v>#DIV/0!</v>
      </c>
      <c r="AT124" s="152">
        <v>9.5</v>
      </c>
      <c r="AU124" s="153">
        <v>1</v>
      </c>
      <c r="AV124" s="179" t="e">
        <f t="shared" si="1671"/>
        <v>#DIV/0!</v>
      </c>
      <c r="AW124" s="50">
        <v>17</v>
      </c>
      <c r="AY124" s="155" t="e">
        <f t="shared" si="1700"/>
        <v>#DIV/0!</v>
      </c>
      <c r="AZ124" s="156" t="e">
        <f t="shared" si="1701"/>
        <v>#DIV/0!</v>
      </c>
      <c r="BA124" s="127" t="e">
        <f t="shared" si="1702"/>
        <v>#DIV/0!</v>
      </c>
      <c r="BB124" s="127" t="e">
        <f t="shared" si="1703"/>
        <v>#DIV/0!</v>
      </c>
      <c r="BC124" s="155" t="e">
        <f t="shared" si="1704"/>
        <v>#DIV/0!</v>
      </c>
      <c r="BD124" s="156" t="e">
        <f t="shared" si="1705"/>
        <v>#DIV/0!</v>
      </c>
      <c r="BE124" s="155" t="e">
        <f t="shared" si="1706"/>
        <v>#DIV/0!</v>
      </c>
      <c r="BF124" s="156" t="e">
        <f t="shared" si="1707"/>
        <v>#DIV/0!</v>
      </c>
      <c r="BG124" s="127" t="e">
        <f t="shared" si="1708"/>
        <v>#DIV/0!</v>
      </c>
      <c r="BH124" s="127" t="e">
        <f t="shared" si="1709"/>
        <v>#DIV/0!</v>
      </c>
      <c r="BI124" s="127" t="e">
        <f t="shared" si="1710"/>
        <v>#DIV/0!</v>
      </c>
      <c r="BJ124" s="156" t="e">
        <f t="shared" si="1711"/>
        <v>#DIV/0!</v>
      </c>
      <c r="BK124" s="155"/>
      <c r="BL124" s="156"/>
      <c r="BM124" s="155"/>
      <c r="BN124" s="156"/>
      <c r="BO124" s="50"/>
      <c r="BP124" s="51" t="e">
        <f t="shared" si="1712"/>
        <v>#DIV/0!</v>
      </c>
      <c r="BQ124" s="157" t="e">
        <f t="shared" si="1713"/>
        <v>#DIV/0!</v>
      </c>
      <c r="BR124" s="51" t="e">
        <f t="shared" si="1714"/>
        <v>#DIV/0!</v>
      </c>
      <c r="BS124" s="157" t="e">
        <f t="shared" si="1715"/>
        <v>#DIV/0!</v>
      </c>
      <c r="BT124" s="51" t="e">
        <f t="shared" si="1716"/>
        <v>#DIV/0!</v>
      </c>
      <c r="BU124" s="157" t="e">
        <f t="shared" si="1717"/>
        <v>#DIV/0!</v>
      </c>
      <c r="BV124" s="51" t="e">
        <f t="shared" si="1718"/>
        <v>#DIV/0!</v>
      </c>
      <c r="BW124" s="157" t="e">
        <f t="shared" si="1719"/>
        <v>#DIV/0!</v>
      </c>
      <c r="BX124" s="51" t="e">
        <f t="shared" si="1720"/>
        <v>#DIV/0!</v>
      </c>
      <c r="BY124" s="157" t="e">
        <f t="shared" si="1721"/>
        <v>#DIV/0!</v>
      </c>
      <c r="BZ124" s="51" t="e">
        <f t="shared" si="1722"/>
        <v>#DIV/0!</v>
      </c>
      <c r="CA124" s="157" t="e">
        <f t="shared" si="1723"/>
        <v>#DIV/0!</v>
      </c>
      <c r="CB124" s="51" t="e">
        <f t="shared" si="1724"/>
        <v>#DIV/0!</v>
      </c>
      <c r="CC124" s="157" t="e">
        <f t="shared" si="1725"/>
        <v>#DIV/0!</v>
      </c>
      <c r="CD124" s="51" t="e">
        <f t="shared" si="1726"/>
        <v>#DIV/0!</v>
      </c>
      <c r="CE124" s="157" t="e">
        <f t="shared" si="1727"/>
        <v>#DIV/0!</v>
      </c>
      <c r="CG124" s="51" t="e">
        <f t="shared" ref="CG124" si="1728">AVERAGE(BP124:BP125)</f>
        <v>#DIV/0!</v>
      </c>
      <c r="CH124" s="126" t="e">
        <f t="shared" ref="CH124" si="1729">AVERAGE(BQ124:BQ125)</f>
        <v>#DIV/0!</v>
      </c>
      <c r="CI124" s="126" t="e">
        <f t="shared" ref="CI124" si="1730">AVERAGE(BR124:BR125)</f>
        <v>#DIV/0!</v>
      </c>
      <c r="CJ124" s="126" t="e">
        <f t="shared" ref="CJ124" si="1731">AVERAGE(BS124:BS125)</f>
        <v>#DIV/0!</v>
      </c>
      <c r="CK124" s="126" t="e">
        <f t="shared" ref="CK124" si="1732">AVERAGE(BT124:BT125)</f>
        <v>#DIV/0!</v>
      </c>
      <c r="CL124" s="126" t="e">
        <f t="shared" ref="CL124" si="1733">AVERAGE(BU124:BU125)</f>
        <v>#DIV/0!</v>
      </c>
      <c r="CM124" s="126" t="e">
        <f t="shared" ref="CM124" si="1734">AVERAGE(BV124:BV125)</f>
        <v>#DIV/0!</v>
      </c>
      <c r="CN124" s="126" t="e">
        <f t="shared" ref="CN124" si="1735">AVERAGE(BW124:BW125)</f>
        <v>#DIV/0!</v>
      </c>
      <c r="CO124" s="126" t="e">
        <f t="shared" ref="CO124" si="1736">AVERAGE(BX124:BX125)</f>
        <v>#DIV/0!</v>
      </c>
      <c r="CP124" s="126" t="e">
        <f t="shared" ref="CP124" si="1737">AVERAGE(BY124:BY125)</f>
        <v>#DIV/0!</v>
      </c>
      <c r="CQ124" s="126" t="e">
        <f t="shared" ref="CQ124" si="1738">AVERAGE(BZ124:BZ125)</f>
        <v>#DIV/0!</v>
      </c>
      <c r="CR124" s="157" t="e">
        <f t="shared" ref="CR124" si="1739">AVERAGE(CA124:CA125)</f>
        <v>#DIV/0!</v>
      </c>
      <c r="CS124" s="51" t="e">
        <f t="shared" ref="CS124" si="1740">AVERAGE(CB124:CB125)</f>
        <v>#DIV/0!</v>
      </c>
      <c r="CT124" s="157" t="e">
        <f t="shared" ref="CT124" si="1741">AVERAGE(CC124:CC125)</f>
        <v>#DIV/0!</v>
      </c>
      <c r="CU124" s="126" t="e">
        <f t="shared" ref="CU124" si="1742">AVERAGE(CD124:CD125)</f>
        <v>#DIV/0!</v>
      </c>
      <c r="CV124" s="157" t="e">
        <f t="shared" ref="CV124" si="1743">AVERAGE(CE124:CE125)</f>
        <v>#DIV/0!</v>
      </c>
      <c r="CX124" s="150">
        <v>2</v>
      </c>
      <c r="CZ124" s="225" t="e">
        <f t="shared" ref="CZ124" si="1744">CG124*$CX124</f>
        <v>#DIV/0!</v>
      </c>
      <c r="DA124" s="160" t="e">
        <f t="shared" ref="DA124" si="1745">CH124*$CX124</f>
        <v>#DIV/0!</v>
      </c>
      <c r="DB124" s="160" t="e">
        <f t="shared" ref="DB124" si="1746">CI124*$CX124</f>
        <v>#DIV/0!</v>
      </c>
      <c r="DC124" s="160" t="e">
        <f t="shared" ref="DC124" si="1747">CJ124*$CX124</f>
        <v>#DIV/0!</v>
      </c>
      <c r="DD124" s="160" t="e">
        <f t="shared" ref="DD124" si="1748">CK124*$CX124</f>
        <v>#DIV/0!</v>
      </c>
      <c r="DE124" s="160" t="e">
        <f t="shared" ref="DE124" si="1749">CL124*$CX124</f>
        <v>#DIV/0!</v>
      </c>
      <c r="DF124" s="160" t="e">
        <f t="shared" ref="DF124" si="1750">CM124*$CX124</f>
        <v>#DIV/0!</v>
      </c>
      <c r="DG124" s="160" t="e">
        <f t="shared" ref="DG124" si="1751">CN124*$CX124</f>
        <v>#DIV/0!</v>
      </c>
      <c r="DH124" s="160" t="e">
        <f t="shared" ref="DH124" si="1752">CO124*$CX124</f>
        <v>#DIV/0!</v>
      </c>
      <c r="DI124" s="160" t="e">
        <f t="shared" ref="DI124" si="1753">CP124*$CX124</f>
        <v>#DIV/0!</v>
      </c>
      <c r="DJ124" s="160" t="e">
        <f t="shared" ref="DJ124" si="1754">CQ124*$CX124</f>
        <v>#DIV/0!</v>
      </c>
      <c r="DK124" s="161" t="e">
        <f t="shared" ref="DK124:DL124" si="1755">CR124*$CX124</f>
        <v>#DIV/0!</v>
      </c>
      <c r="DL124" s="225" t="e">
        <f t="shared" si="1755"/>
        <v>#DIV/0!</v>
      </c>
      <c r="DM124" s="161" t="e">
        <f t="shared" ref="DM124:DO124" si="1756">CT124*$CX124</f>
        <v>#DIV/0!</v>
      </c>
      <c r="DN124" s="225" t="e">
        <f t="shared" si="1756"/>
        <v>#DIV/0!</v>
      </c>
      <c r="DO124" s="161" t="e">
        <f t="shared" si="1756"/>
        <v>#DIV/0!</v>
      </c>
      <c r="DQ124" s="117"/>
      <c r="DR124" s="77"/>
      <c r="DS124" s="117"/>
      <c r="DT124" s="149"/>
      <c r="DU124" s="77"/>
      <c r="DV124" s="77"/>
      <c r="DW124" s="117"/>
      <c r="DX124" s="149"/>
      <c r="DY124" s="77"/>
      <c r="DZ124" s="77"/>
      <c r="EA124" s="117"/>
      <c r="EB124" s="149"/>
      <c r="EC124" s="77"/>
      <c r="ED124" s="77"/>
      <c r="EE124" s="77"/>
      <c r="EF124" s="117"/>
      <c r="EG124" s="149"/>
      <c r="EH124" s="77"/>
      <c r="EI124" s="149"/>
    </row>
    <row r="125" spans="1:139" x14ac:dyDescent="0.25">
      <c r="A125" s="334">
        <f t="shared" si="1669"/>
        <v>45970</v>
      </c>
      <c r="B125" s="334" t="s">
        <v>15</v>
      </c>
      <c r="C125" s="334"/>
      <c r="D125" s="609"/>
      <c r="E125" s="609"/>
      <c r="F125" s="217"/>
      <c r="G125" s="305"/>
      <c r="H125" s="323">
        <f t="shared" si="1634"/>
        <v>0</v>
      </c>
      <c r="I125" s="323">
        <f t="shared" si="1635"/>
        <v>0</v>
      </c>
      <c r="J125" s="323">
        <f t="shared" si="1636"/>
        <v>0</v>
      </c>
      <c r="K125" s="176"/>
      <c r="L125" s="178"/>
      <c r="M125" s="176"/>
      <c r="N125" s="178"/>
      <c r="O125" s="177"/>
      <c r="P125" s="177"/>
      <c r="Q125" s="176"/>
      <c r="R125" s="178"/>
      <c r="S125" s="320">
        <f t="shared" si="1637"/>
        <v>0</v>
      </c>
      <c r="V125" s="320">
        <f t="shared" si="1638"/>
        <v>0</v>
      </c>
      <c r="W125" s="177"/>
      <c r="X125" s="177"/>
      <c r="Y125" s="176"/>
      <c r="Z125" s="178"/>
      <c r="AA125" s="320">
        <f t="shared" si="1639"/>
        <v>0</v>
      </c>
      <c r="AD125" s="320">
        <f t="shared" si="1640"/>
        <v>0</v>
      </c>
      <c r="AE125" s="176"/>
      <c r="AF125" s="177"/>
      <c r="AG125" s="176"/>
      <c r="AH125" s="178"/>
      <c r="AJ125" s="12"/>
      <c r="AK125" s="5"/>
      <c r="AL125" s="9"/>
      <c r="AM125" s="358"/>
      <c r="AN125" s="5"/>
      <c r="AO125" s="13"/>
      <c r="AQ125" s="131"/>
      <c r="AR125" s="131"/>
      <c r="AS125" s="191"/>
      <c r="AT125" s="192"/>
      <c r="AU125" s="193"/>
      <c r="AV125" s="305"/>
      <c r="AW125" s="131">
        <v>12</v>
      </c>
      <c r="AY125" s="212"/>
      <c r="AZ125" s="213"/>
      <c r="BA125" s="214"/>
      <c r="BB125" s="214"/>
      <c r="BC125" s="212"/>
      <c r="BD125" s="213"/>
      <c r="BE125" s="212"/>
      <c r="BF125" s="213"/>
      <c r="BG125" s="214"/>
      <c r="BH125" s="214"/>
      <c r="BI125" s="214"/>
      <c r="BJ125" s="213"/>
      <c r="BK125" s="212"/>
      <c r="BL125" s="213"/>
      <c r="BM125" s="212"/>
      <c r="BN125" s="213"/>
      <c r="BO125" s="50"/>
      <c r="BP125" s="217"/>
      <c r="BQ125" s="218"/>
      <c r="BR125" s="217"/>
      <c r="BS125" s="218"/>
      <c r="BT125" s="217"/>
      <c r="BU125" s="218"/>
      <c r="BV125" s="217"/>
      <c r="BW125" s="218"/>
      <c r="BX125" s="217"/>
      <c r="BY125" s="218"/>
      <c r="BZ125" s="217"/>
      <c r="CA125" s="218"/>
      <c r="CB125" s="217"/>
      <c r="CC125" s="218"/>
      <c r="CD125" s="217"/>
      <c r="CE125" s="218"/>
      <c r="CG125" s="176"/>
      <c r="CH125" s="177"/>
      <c r="CI125" s="177"/>
      <c r="CJ125" s="177"/>
      <c r="CK125" s="177"/>
      <c r="CL125" s="177"/>
      <c r="CM125" s="177"/>
      <c r="CN125" s="177"/>
      <c r="CO125" s="177"/>
      <c r="CP125" s="177"/>
      <c r="CQ125" s="177"/>
      <c r="CR125" s="178"/>
      <c r="CS125" s="176"/>
      <c r="CT125" s="178"/>
      <c r="CU125" s="177"/>
      <c r="CV125" s="178"/>
      <c r="CX125" s="131"/>
      <c r="CZ125" s="176"/>
      <c r="DA125" s="177"/>
      <c r="DB125" s="177"/>
      <c r="DC125" s="177"/>
      <c r="DD125" s="177"/>
      <c r="DE125" s="177"/>
      <c r="DF125" s="177"/>
      <c r="DG125" s="177"/>
      <c r="DH125" s="177"/>
      <c r="DI125" s="177"/>
      <c r="DJ125" s="177"/>
      <c r="DK125" s="178"/>
      <c r="DL125" s="176"/>
      <c r="DM125" s="178"/>
      <c r="DN125" s="176"/>
      <c r="DO125" s="178"/>
      <c r="DQ125" s="32"/>
      <c r="DR125" s="34"/>
      <c r="DS125" s="32"/>
      <c r="DT125" s="33"/>
      <c r="DU125" s="34"/>
      <c r="DV125" s="34"/>
      <c r="DW125" s="32"/>
      <c r="DX125" s="33"/>
      <c r="DY125" s="34"/>
      <c r="DZ125" s="34"/>
      <c r="EA125" s="32"/>
      <c r="EB125" s="33"/>
      <c r="EC125" s="34"/>
      <c r="ED125" s="34"/>
      <c r="EE125" s="34"/>
      <c r="EF125" s="32"/>
      <c r="EG125" s="33"/>
      <c r="EH125" s="34"/>
      <c r="EI125" s="33"/>
    </row>
    <row r="126" spans="1:139" x14ac:dyDescent="0.25">
      <c r="A126" s="196"/>
      <c r="B126" s="189"/>
      <c r="C126" s="196"/>
      <c r="D126" s="202">
        <f t="shared" ref="D126:G126" si="1757">SUM(D119:D125)</f>
        <v>0</v>
      </c>
      <c r="E126" s="202">
        <f t="shared" si="1757"/>
        <v>0</v>
      </c>
      <c r="F126" s="202">
        <f t="shared" si="1757"/>
        <v>0</v>
      </c>
      <c r="G126" s="203">
        <f t="shared" si="1757"/>
        <v>0</v>
      </c>
      <c r="H126" s="202">
        <f t="shared" ref="H126:AH126" si="1758">SUM(H119:H125)</f>
        <v>0</v>
      </c>
      <c r="I126" s="202">
        <f t="shared" si="1758"/>
        <v>0</v>
      </c>
      <c r="J126" s="202">
        <f t="shared" si="1758"/>
        <v>0</v>
      </c>
      <c r="K126" s="202">
        <f t="shared" si="1758"/>
        <v>0</v>
      </c>
      <c r="L126" s="204">
        <f t="shared" si="1758"/>
        <v>0</v>
      </c>
      <c r="M126" s="202">
        <f t="shared" si="1758"/>
        <v>0</v>
      </c>
      <c r="N126" s="204">
        <f t="shared" si="1758"/>
        <v>0</v>
      </c>
      <c r="O126" s="202">
        <f t="shared" si="1758"/>
        <v>0</v>
      </c>
      <c r="P126" s="204">
        <f t="shared" si="1758"/>
        <v>0</v>
      </c>
      <c r="Q126" s="202">
        <f t="shared" si="1758"/>
        <v>0</v>
      </c>
      <c r="R126" s="204">
        <f t="shared" si="1758"/>
        <v>0</v>
      </c>
      <c r="S126" s="202">
        <f t="shared" si="1758"/>
        <v>0</v>
      </c>
      <c r="T126" s="205">
        <f t="shared" si="1758"/>
        <v>0</v>
      </c>
      <c r="U126" s="205">
        <f t="shared" si="1758"/>
        <v>0</v>
      </c>
      <c r="V126" s="203">
        <f t="shared" si="1758"/>
        <v>0</v>
      </c>
      <c r="W126" s="205">
        <f t="shared" si="1758"/>
        <v>0</v>
      </c>
      <c r="X126" s="205">
        <f t="shared" si="1758"/>
        <v>0</v>
      </c>
      <c r="Y126" s="202">
        <f t="shared" si="1758"/>
        <v>0</v>
      </c>
      <c r="Z126" s="204">
        <f t="shared" si="1758"/>
        <v>0</v>
      </c>
      <c r="AA126" s="202">
        <f t="shared" si="1758"/>
        <v>0</v>
      </c>
      <c r="AB126" s="205">
        <f t="shared" si="1758"/>
        <v>0</v>
      </c>
      <c r="AC126" s="205">
        <f t="shared" si="1758"/>
        <v>0</v>
      </c>
      <c r="AD126" s="203">
        <f t="shared" si="1758"/>
        <v>0</v>
      </c>
      <c r="AE126" s="205">
        <f t="shared" si="1758"/>
        <v>0</v>
      </c>
      <c r="AF126" s="205">
        <f t="shared" si="1758"/>
        <v>0</v>
      </c>
      <c r="AG126" s="202">
        <f t="shared" si="1758"/>
        <v>0</v>
      </c>
      <c r="AH126" s="204">
        <f t="shared" si="1758"/>
        <v>0</v>
      </c>
      <c r="AI126" s="357"/>
      <c r="AJ126" s="12"/>
      <c r="AK126" s="5"/>
      <c r="AL126" s="9"/>
      <c r="AM126" s="358"/>
      <c r="AN126" s="5"/>
      <c r="AO126" s="13"/>
      <c r="AQ126" s="131"/>
      <c r="AR126" s="131"/>
      <c r="AS126" s="191"/>
      <c r="AT126" s="192"/>
      <c r="AU126" s="193"/>
      <c r="AV126" s="194" t="e">
        <f>AVERAGE(AV119:AV123)*2+AVERAGE(AV124:AV125)*2</f>
        <v>#DIV/0!</v>
      </c>
      <c r="AW126" s="131"/>
      <c r="AY126" s="212"/>
      <c r="AZ126" s="213"/>
      <c r="BA126" s="214"/>
      <c r="BB126" s="214"/>
      <c r="BC126" s="212"/>
      <c r="BD126" s="213"/>
      <c r="BE126" s="212"/>
      <c r="BF126" s="213"/>
      <c r="BG126" s="214"/>
      <c r="BH126" s="214"/>
      <c r="BI126" s="214"/>
      <c r="BJ126" s="213"/>
      <c r="BK126" s="507"/>
      <c r="BL126" s="508"/>
      <c r="BM126" s="508"/>
      <c r="BN126" s="508"/>
      <c r="BO126" s="50"/>
      <c r="BP126" s="217"/>
      <c r="BQ126" s="218"/>
      <c r="BR126" s="217"/>
      <c r="BS126" s="218"/>
      <c r="BT126" s="217"/>
      <c r="BU126" s="218"/>
      <c r="BV126" s="217"/>
      <c r="BW126" s="218"/>
      <c r="BX126" s="217"/>
      <c r="BY126" s="218"/>
      <c r="BZ126" s="217"/>
      <c r="CA126" s="218"/>
      <c r="CB126" s="510"/>
      <c r="CC126" s="354"/>
      <c r="CD126" s="354"/>
      <c r="CE126" s="511"/>
      <c r="CG126" s="219"/>
      <c r="CH126" s="220"/>
      <c r="CI126" s="220"/>
      <c r="CJ126" s="220"/>
      <c r="CK126" s="220"/>
      <c r="CL126" s="220"/>
      <c r="CM126" s="220"/>
      <c r="CN126" s="220"/>
      <c r="CO126" s="220"/>
      <c r="CP126" s="220"/>
      <c r="CQ126" s="220"/>
      <c r="CR126" s="221"/>
      <c r="CS126" s="219"/>
      <c r="CT126" s="220"/>
      <c r="CU126" s="220"/>
      <c r="CV126" s="221"/>
      <c r="CX126" s="222"/>
      <c r="CZ126" s="226" t="e">
        <f t="shared" ref="CZ126:DO126" si="1759">CZ124+CZ119</f>
        <v>#DIV/0!</v>
      </c>
      <c r="DA126" s="227" t="e">
        <f t="shared" si="1759"/>
        <v>#DIV/0!</v>
      </c>
      <c r="DB126" s="227" t="e">
        <f t="shared" si="1759"/>
        <v>#DIV/0!</v>
      </c>
      <c r="DC126" s="227" t="e">
        <f t="shared" si="1759"/>
        <v>#DIV/0!</v>
      </c>
      <c r="DD126" s="227" t="e">
        <f t="shared" si="1759"/>
        <v>#DIV/0!</v>
      </c>
      <c r="DE126" s="227" t="e">
        <f t="shared" si="1759"/>
        <v>#DIV/0!</v>
      </c>
      <c r="DF126" s="227" t="e">
        <f t="shared" si="1759"/>
        <v>#DIV/0!</v>
      </c>
      <c r="DG126" s="227" t="e">
        <f t="shared" si="1759"/>
        <v>#DIV/0!</v>
      </c>
      <c r="DH126" s="227" t="e">
        <f t="shared" si="1759"/>
        <v>#DIV/0!</v>
      </c>
      <c r="DI126" s="227" t="e">
        <f t="shared" si="1759"/>
        <v>#DIV/0!</v>
      </c>
      <c r="DJ126" s="227" t="e">
        <f t="shared" si="1759"/>
        <v>#DIV/0!</v>
      </c>
      <c r="DK126" s="228" t="e">
        <f t="shared" si="1759"/>
        <v>#DIV/0!</v>
      </c>
      <c r="DL126" s="226" t="e">
        <f t="shared" si="1759"/>
        <v>#DIV/0!</v>
      </c>
      <c r="DM126" s="228" t="e">
        <f t="shared" si="1759"/>
        <v>#DIV/0!</v>
      </c>
      <c r="DN126" s="226" t="e">
        <f t="shared" si="1759"/>
        <v>#DIV/0!</v>
      </c>
      <c r="DO126" s="228" t="e">
        <f t="shared" si="1759"/>
        <v>#DIV/0!</v>
      </c>
      <c r="DQ126" s="32"/>
      <c r="DR126" s="34"/>
      <c r="DS126" s="32"/>
      <c r="DT126" s="33"/>
      <c r="DU126" s="34"/>
      <c r="DV126" s="34"/>
      <c r="DW126" s="32"/>
      <c r="DX126" s="33"/>
      <c r="DY126" s="34"/>
      <c r="DZ126" s="34"/>
      <c r="EA126" s="32"/>
      <c r="EB126" s="33"/>
      <c r="EC126" s="34"/>
      <c r="ED126" s="34"/>
      <c r="EE126" s="34"/>
      <c r="EF126" s="32"/>
      <c r="EG126" s="33"/>
      <c r="EH126" s="34"/>
      <c r="EI126" s="33"/>
    </row>
    <row r="127" spans="1:139" x14ac:dyDescent="0.25">
      <c r="AJ127" s="12"/>
      <c r="AK127" s="5"/>
      <c r="AL127" s="9"/>
      <c r="AM127" s="358"/>
      <c r="AN127" s="5"/>
      <c r="AO127" s="13"/>
    </row>
    <row r="128" spans="1:139" x14ac:dyDescent="0.25">
      <c r="A128" s="206">
        <f>A119+7</f>
        <v>45971</v>
      </c>
      <c r="B128" s="207" t="s">
        <v>7</v>
      </c>
      <c r="C128" s="206"/>
      <c r="D128" s="41"/>
      <c r="E128" s="41"/>
      <c r="F128" s="215"/>
      <c r="G128" s="179"/>
      <c r="H128" s="208">
        <f t="shared" ref="H128:H134" si="1760">I128+J128</f>
        <v>0</v>
      </c>
      <c r="I128" s="208">
        <f t="shared" ref="I128:I134" si="1761">K128+M128+Q128</f>
        <v>0</v>
      </c>
      <c r="J128" s="208">
        <f t="shared" ref="J128:J134" si="1762">L128+N128+R128</f>
        <v>0</v>
      </c>
      <c r="K128" s="41"/>
      <c r="L128" s="42"/>
      <c r="M128" s="41"/>
      <c r="N128" s="42"/>
      <c r="O128" s="165"/>
      <c r="P128" s="165"/>
      <c r="Q128" s="41"/>
      <c r="R128" s="42"/>
      <c r="S128" s="319">
        <f t="shared" ref="S128:S134" si="1763">T128+U128</f>
        <v>0</v>
      </c>
      <c r="T128" s="165"/>
      <c r="U128" s="165"/>
      <c r="V128" s="319">
        <f t="shared" ref="V128:V134" si="1764">W128+X128</f>
        <v>0</v>
      </c>
      <c r="W128" s="165"/>
      <c r="X128" s="165"/>
      <c r="Y128" s="41"/>
      <c r="Z128" s="42"/>
      <c r="AA128" s="319">
        <f t="shared" ref="AA128:AA134" si="1765">AB128+AC128</f>
        <v>0</v>
      </c>
      <c r="AB128" s="165"/>
      <c r="AC128" s="165"/>
      <c r="AD128" s="319">
        <f t="shared" ref="AD128:AD134" si="1766">AE128+AF128</f>
        <v>0</v>
      </c>
      <c r="AE128" s="41"/>
      <c r="AF128" s="165"/>
      <c r="AG128" s="41"/>
      <c r="AH128" s="42"/>
      <c r="AJ128" s="12"/>
      <c r="AK128" s="5"/>
      <c r="AL128" s="9"/>
      <c r="AM128" s="358"/>
      <c r="AN128" s="5"/>
      <c r="AO128" s="13"/>
      <c r="AQ128" s="28"/>
      <c r="AR128" s="28"/>
      <c r="AS128" s="146"/>
      <c r="AT128" s="359"/>
      <c r="AU128" s="190"/>
      <c r="AV128" s="179"/>
      <c r="AW128" s="28">
        <v>4</v>
      </c>
      <c r="AY128" s="209"/>
      <c r="AZ128" s="210"/>
      <c r="BA128" s="211"/>
      <c r="BB128" s="211"/>
      <c r="BC128" s="209"/>
      <c r="BD128" s="210"/>
      <c r="BE128" s="209"/>
      <c r="BF128" s="210"/>
      <c r="BG128" s="211"/>
      <c r="BH128" s="211"/>
      <c r="BI128" s="211"/>
      <c r="BJ128" s="210"/>
      <c r="BK128" s="209"/>
      <c r="BL128" s="210"/>
      <c r="BM128" s="209"/>
      <c r="BN128" s="210"/>
      <c r="BO128" s="50"/>
      <c r="BP128" s="215"/>
      <c r="BQ128" s="175"/>
      <c r="BR128" s="175"/>
      <c r="BS128" s="175"/>
      <c r="BT128" s="175"/>
      <c r="BU128" s="175"/>
      <c r="BV128" s="175"/>
      <c r="BW128" s="175"/>
      <c r="BX128" s="175"/>
      <c r="BY128" s="175"/>
      <c r="BZ128" s="175"/>
      <c r="CA128" s="175"/>
      <c r="CB128" s="175"/>
      <c r="CC128" s="175"/>
      <c r="CD128" s="175"/>
      <c r="CE128" s="216"/>
      <c r="CG128" s="215" t="e">
        <f t="shared" ref="CG128" si="1767">AVERAGE(BP128:BP132)</f>
        <v>#DIV/0!</v>
      </c>
      <c r="CH128" s="175" t="e">
        <f t="shared" ref="CH128" si="1768">AVERAGE(BQ128:BQ132)</f>
        <v>#DIV/0!</v>
      </c>
      <c r="CI128" s="175" t="e">
        <f t="shared" ref="CI128" si="1769">AVERAGE(BR128:BR132)</f>
        <v>#DIV/0!</v>
      </c>
      <c r="CJ128" s="175" t="e">
        <f t="shared" ref="CJ128" si="1770">AVERAGE(BS128:BS132)</f>
        <v>#DIV/0!</v>
      </c>
      <c r="CK128" s="175" t="e">
        <f t="shared" ref="CK128" si="1771">AVERAGE(BT128:BT132)</f>
        <v>#DIV/0!</v>
      </c>
      <c r="CL128" s="175" t="e">
        <f t="shared" ref="CL128" si="1772">AVERAGE(BU128:BU132)</f>
        <v>#DIV/0!</v>
      </c>
      <c r="CM128" s="175" t="e">
        <f t="shared" ref="CM128" si="1773">AVERAGE(BV128:BV132)</f>
        <v>#DIV/0!</v>
      </c>
      <c r="CN128" s="175" t="e">
        <f t="shared" ref="CN128" si="1774">AVERAGE(BW128:BW132)</f>
        <v>#DIV/0!</v>
      </c>
      <c r="CO128" s="175" t="e">
        <f t="shared" ref="CO128" si="1775">AVERAGE(BX128:BX132)</f>
        <v>#DIV/0!</v>
      </c>
      <c r="CP128" s="175" t="e">
        <f t="shared" ref="CP128" si="1776">AVERAGE(BY128:BY132)</f>
        <v>#DIV/0!</v>
      </c>
      <c r="CQ128" s="175" t="e">
        <f t="shared" ref="CQ128" si="1777">AVERAGE(BZ128:BZ132)</f>
        <v>#DIV/0!</v>
      </c>
      <c r="CR128" s="216" t="e">
        <f t="shared" ref="CR128" si="1778">AVERAGE(CA128:CA132)</f>
        <v>#DIV/0!</v>
      </c>
      <c r="CS128" s="215" t="e">
        <f t="shared" ref="CS128" si="1779">AVERAGE(CB128:CB132)</f>
        <v>#DIV/0!</v>
      </c>
      <c r="CT128" s="216" t="e">
        <f t="shared" ref="CT128" si="1780">AVERAGE(CC128:CC132)</f>
        <v>#DIV/0!</v>
      </c>
      <c r="CU128" s="175" t="e">
        <f t="shared" ref="CU128" si="1781">AVERAGE(CD128:CD132)</f>
        <v>#DIV/0!</v>
      </c>
      <c r="CV128" s="216" t="e">
        <f t="shared" ref="CV128" si="1782">AVERAGE(CE128:CE132)</f>
        <v>#DIV/0!</v>
      </c>
      <c r="CX128" s="56">
        <v>5</v>
      </c>
      <c r="CZ128" s="223" t="e">
        <f t="shared" ref="CZ128" si="1783">CG128*$CX128</f>
        <v>#DIV/0!</v>
      </c>
      <c r="DA128" s="159" t="e">
        <f t="shared" ref="DA128" si="1784">CH128*$CX128</f>
        <v>#DIV/0!</v>
      </c>
      <c r="DB128" s="159" t="e">
        <f t="shared" ref="DB128" si="1785">CI128*$CX128</f>
        <v>#DIV/0!</v>
      </c>
      <c r="DC128" s="159" t="e">
        <f t="shared" ref="DC128" si="1786">CJ128*$CX128</f>
        <v>#DIV/0!</v>
      </c>
      <c r="DD128" s="159" t="e">
        <f t="shared" ref="DD128" si="1787">CK128*$CX128</f>
        <v>#DIV/0!</v>
      </c>
      <c r="DE128" s="159" t="e">
        <f t="shared" ref="DE128" si="1788">CL128*$CX128</f>
        <v>#DIV/0!</v>
      </c>
      <c r="DF128" s="159" t="e">
        <f t="shared" ref="DF128" si="1789">CM128*$CX128</f>
        <v>#DIV/0!</v>
      </c>
      <c r="DG128" s="159" t="e">
        <f t="shared" ref="DG128" si="1790">CN128*$CX128</f>
        <v>#DIV/0!</v>
      </c>
      <c r="DH128" s="159" t="e">
        <f t="shared" ref="DH128" si="1791">CO128*$CX128</f>
        <v>#DIV/0!</v>
      </c>
      <c r="DI128" s="159" t="e">
        <f t="shared" ref="DI128" si="1792">CP128*$CX128</f>
        <v>#DIV/0!</v>
      </c>
      <c r="DJ128" s="159" t="e">
        <f t="shared" ref="DJ128" si="1793">CQ128*$CX128</f>
        <v>#DIV/0!</v>
      </c>
      <c r="DK128" s="224" t="e">
        <f t="shared" ref="DK128" si="1794">CR128*$CX128</f>
        <v>#DIV/0!</v>
      </c>
      <c r="DL128" s="223" t="e">
        <f t="shared" ref="DL128" si="1795">CS128*$CX128</f>
        <v>#DIV/0!</v>
      </c>
      <c r="DM128" s="224" t="e">
        <f t="shared" ref="DM128" si="1796">CT128*$CX128</f>
        <v>#DIV/0!</v>
      </c>
      <c r="DN128" s="223" t="e">
        <f t="shared" ref="DN128" si="1797">CU128*$CX128</f>
        <v>#DIV/0!</v>
      </c>
      <c r="DO128" s="224" t="e">
        <f t="shared" ref="DO128" si="1798">CV128*$CX128</f>
        <v>#DIV/0!</v>
      </c>
      <c r="DQ128" s="130"/>
      <c r="DR128" s="229"/>
      <c r="DS128" s="130"/>
      <c r="DT128" s="230"/>
      <c r="DU128" s="229"/>
      <c r="DV128" s="229"/>
      <c r="DW128" s="130"/>
      <c r="DX128" s="230"/>
      <c r="DY128" s="229"/>
      <c r="DZ128" s="229"/>
      <c r="EA128" s="130"/>
      <c r="EB128" s="230"/>
      <c r="EC128" s="229"/>
      <c r="ED128" s="229"/>
      <c r="EE128" s="229"/>
      <c r="EF128" s="130"/>
      <c r="EG128" s="230"/>
      <c r="EH128" s="229"/>
      <c r="EI128" s="230"/>
    </row>
    <row r="129" spans="1:139" x14ac:dyDescent="0.25">
      <c r="A129" s="195">
        <f t="shared" ref="A129:A134" si="1799">A128+1</f>
        <v>45972</v>
      </c>
      <c r="B129" s="158" t="s">
        <v>94</v>
      </c>
      <c r="C129" s="195"/>
      <c r="D129" s="45"/>
      <c r="E129" s="45"/>
      <c r="F129" s="51"/>
      <c r="G129" s="154"/>
      <c r="H129" s="169">
        <f t="shared" si="1760"/>
        <v>0</v>
      </c>
      <c r="I129" s="169">
        <f t="shared" si="1761"/>
        <v>0</v>
      </c>
      <c r="J129" s="169">
        <f t="shared" si="1762"/>
        <v>0</v>
      </c>
      <c r="K129" s="45"/>
      <c r="L129" s="151"/>
      <c r="M129" s="45"/>
      <c r="N129" s="151"/>
      <c r="Q129" s="45"/>
      <c r="R129" s="151"/>
      <c r="S129" s="320">
        <f t="shared" si="1763"/>
        <v>0</v>
      </c>
      <c r="V129" s="320">
        <f t="shared" si="1764"/>
        <v>0</v>
      </c>
      <c r="Y129" s="45"/>
      <c r="Z129" s="151"/>
      <c r="AA129" s="320">
        <f t="shared" si="1765"/>
        <v>0</v>
      </c>
      <c r="AD129" s="320">
        <f t="shared" si="1766"/>
        <v>0</v>
      </c>
      <c r="AE129" s="45"/>
      <c r="AG129" s="45"/>
      <c r="AH129" s="151"/>
      <c r="AJ129" s="12"/>
      <c r="AK129" s="5"/>
      <c r="AL129" s="9"/>
      <c r="AM129" s="358"/>
      <c r="AN129" s="5"/>
      <c r="AO129" s="13"/>
      <c r="AQ129" s="50"/>
      <c r="AR129" s="50"/>
      <c r="AS129" s="148" t="e">
        <f t="shared" ref="AS129:AS132" si="1800">AQ129/AR129</f>
        <v>#DIV/0!</v>
      </c>
      <c r="AT129" s="152">
        <v>9.4</v>
      </c>
      <c r="AU129" s="153">
        <v>1</v>
      </c>
      <c r="AV129" s="154" t="e">
        <f t="shared" ref="AV129:AV134" si="1801">AT129*AS129*AU129</f>
        <v>#DIV/0!</v>
      </c>
      <c r="AW129" s="50"/>
      <c r="AY129" s="155" t="e">
        <f t="shared" ref="AY129" si="1802">H129/G129</f>
        <v>#DIV/0!</v>
      </c>
      <c r="AZ129" s="156" t="e">
        <f t="shared" ref="AZ129" si="1803">I129/G129</f>
        <v>#DIV/0!</v>
      </c>
      <c r="BA129" s="127" t="e">
        <f t="shared" ref="BA129" si="1804">(K129+L129)/$G129</f>
        <v>#DIV/0!</v>
      </c>
      <c r="BB129" s="127" t="e">
        <f t="shared" ref="BB129" si="1805">K129/$G129</f>
        <v>#DIV/0!</v>
      </c>
      <c r="BC129" s="155" t="e">
        <f t="shared" ref="BC129" si="1806">(M129+N129)/$G129</f>
        <v>#DIV/0!</v>
      </c>
      <c r="BD129" s="156" t="e">
        <f t="shared" ref="BD129" si="1807">M129/$G129</f>
        <v>#DIV/0!</v>
      </c>
      <c r="BE129" s="155" t="e">
        <f t="shared" ref="BE129" si="1808">(Q129+R129)/$G129</f>
        <v>#DIV/0!</v>
      </c>
      <c r="BF129" s="156" t="e">
        <f t="shared" ref="BF129" si="1809">Q129/$G129</f>
        <v>#DIV/0!</v>
      </c>
      <c r="BG129" s="127" t="e">
        <f t="shared" ref="BG129" si="1810">S129/$G129</f>
        <v>#DIV/0!</v>
      </c>
      <c r="BH129" s="127" t="e">
        <f t="shared" ref="BH129" si="1811">V129/$G129</f>
        <v>#DIV/0!</v>
      </c>
      <c r="BI129" s="127" t="e">
        <f t="shared" ref="BI129" si="1812">AA129/$G129</f>
        <v>#DIV/0!</v>
      </c>
      <c r="BJ129" s="156" t="e">
        <f t="shared" ref="BJ129" si="1813">AD129/$G129</f>
        <v>#DIV/0!</v>
      </c>
      <c r="BK129" s="155" t="e">
        <f t="shared" ref="BK129" si="1814">Y129/$G129</f>
        <v>#DIV/0!</v>
      </c>
      <c r="BL129" s="156" t="e">
        <f t="shared" ref="BL129" si="1815">Z129/$G129</f>
        <v>#DIV/0!</v>
      </c>
      <c r="BM129" s="155" t="e">
        <f t="shared" ref="BM129" si="1816">AG129/$G129</f>
        <v>#DIV/0!</v>
      </c>
      <c r="BN129" s="156" t="e">
        <f t="shared" ref="BN129" si="1817">AH129/$G129</f>
        <v>#DIV/0!</v>
      </c>
      <c r="BO129" s="50"/>
      <c r="BP129" s="51" t="e">
        <f t="shared" ref="BP129" si="1818">AY129*$AV129</f>
        <v>#DIV/0!</v>
      </c>
      <c r="BQ129" s="126" t="e">
        <f t="shared" ref="BQ129" si="1819">AZ129*$AV129</f>
        <v>#DIV/0!</v>
      </c>
      <c r="BR129" s="126" t="e">
        <f t="shared" ref="BR129" si="1820">BA129*$AV129</f>
        <v>#DIV/0!</v>
      </c>
      <c r="BS129" s="126" t="e">
        <f t="shared" ref="BS129" si="1821">BB129*$AV129</f>
        <v>#DIV/0!</v>
      </c>
      <c r="BT129" s="126" t="e">
        <f t="shared" ref="BT129" si="1822">BC129*$AV129</f>
        <v>#DIV/0!</v>
      </c>
      <c r="BU129" s="126" t="e">
        <f t="shared" ref="BU129" si="1823">BD129*$AV129</f>
        <v>#DIV/0!</v>
      </c>
      <c r="BV129" s="126" t="e">
        <f t="shared" ref="BV129" si="1824">BE129*$AV129</f>
        <v>#DIV/0!</v>
      </c>
      <c r="BW129" s="126" t="e">
        <f t="shared" ref="BW129" si="1825">BF129*$AV129</f>
        <v>#DIV/0!</v>
      </c>
      <c r="BX129" s="126" t="e">
        <f t="shared" ref="BX129" si="1826">BG129*$AV129</f>
        <v>#DIV/0!</v>
      </c>
      <c r="BY129" s="126" t="e">
        <f t="shared" ref="BY129" si="1827">BH129*$AV129</f>
        <v>#DIV/0!</v>
      </c>
      <c r="BZ129" s="126" t="e">
        <f t="shared" ref="BZ129" si="1828">BI129*$AV129</f>
        <v>#DIV/0!</v>
      </c>
      <c r="CA129" s="126" t="e">
        <f t="shared" ref="CA129" si="1829">BJ129*$AV129</f>
        <v>#DIV/0!</v>
      </c>
      <c r="CB129" s="126" t="e">
        <f t="shared" ref="CB129" si="1830">BK129*$AV129</f>
        <v>#DIV/0!</v>
      </c>
      <c r="CC129" s="126" t="e">
        <f t="shared" ref="CC129" si="1831">BL129*$AV129</f>
        <v>#DIV/0!</v>
      </c>
      <c r="CD129" s="126" t="e">
        <f t="shared" ref="CD129" si="1832">BM129*$AV129</f>
        <v>#DIV/0!</v>
      </c>
      <c r="CE129" s="157" t="e">
        <f t="shared" ref="CE129" si="1833">BN129*$AV129</f>
        <v>#DIV/0!</v>
      </c>
      <c r="CG129" s="45"/>
      <c r="CR129" s="151"/>
      <c r="CS129" s="45"/>
      <c r="CT129" s="151"/>
      <c r="CV129" s="151"/>
      <c r="CX129" s="50"/>
      <c r="CZ129" s="45"/>
      <c r="DK129" s="151"/>
      <c r="DL129" s="45"/>
      <c r="DM129" s="151"/>
      <c r="DN129" s="45"/>
      <c r="DO129" s="151"/>
      <c r="DQ129" s="117"/>
      <c r="DR129" s="77"/>
      <c r="DS129" s="117"/>
      <c r="DT129" s="149"/>
      <c r="DU129" s="77"/>
      <c r="DV129" s="77"/>
      <c r="DW129" s="117"/>
      <c r="DX129" s="149"/>
      <c r="DY129" s="77"/>
      <c r="DZ129" s="77"/>
      <c r="EA129" s="117"/>
      <c r="EB129" s="149"/>
      <c r="EC129" s="77"/>
      <c r="ED129" s="77"/>
      <c r="EE129" s="77"/>
      <c r="EF129" s="117"/>
      <c r="EG129" s="149"/>
      <c r="EH129" s="77"/>
      <c r="EI129" s="149"/>
    </row>
    <row r="130" spans="1:139" x14ac:dyDescent="0.25">
      <c r="A130" s="195">
        <f t="shared" si="1799"/>
        <v>45973</v>
      </c>
      <c r="B130" s="158" t="s">
        <v>11</v>
      </c>
      <c r="C130" s="195"/>
      <c r="D130" s="45"/>
      <c r="E130" s="45"/>
      <c r="F130" s="51"/>
      <c r="G130" s="154"/>
      <c r="H130" s="169">
        <f t="shared" si="1760"/>
        <v>0</v>
      </c>
      <c r="I130" s="169">
        <f t="shared" si="1761"/>
        <v>0</v>
      </c>
      <c r="J130" s="169">
        <f t="shared" si="1762"/>
        <v>0</v>
      </c>
      <c r="K130" s="45"/>
      <c r="L130" s="151"/>
      <c r="M130" s="45"/>
      <c r="N130" s="151"/>
      <c r="Q130" s="45"/>
      <c r="R130" s="151"/>
      <c r="S130" s="320">
        <f t="shared" si="1763"/>
        <v>0</v>
      </c>
      <c r="V130" s="320">
        <f t="shared" si="1764"/>
        <v>0</v>
      </c>
      <c r="Y130" s="45"/>
      <c r="Z130" s="151"/>
      <c r="AA130" s="320">
        <f t="shared" si="1765"/>
        <v>0</v>
      </c>
      <c r="AD130" s="320">
        <f t="shared" si="1766"/>
        <v>0</v>
      </c>
      <c r="AE130" s="45"/>
      <c r="AG130" s="45"/>
      <c r="AH130" s="151"/>
      <c r="AJ130" s="12"/>
      <c r="AK130" s="5"/>
      <c r="AL130" s="9"/>
      <c r="AM130" s="358"/>
      <c r="AN130" s="5"/>
      <c r="AO130" s="13"/>
      <c r="AQ130" s="50"/>
      <c r="AR130" s="50"/>
      <c r="AS130" s="148" t="e">
        <f t="shared" si="1800"/>
        <v>#DIV/0!</v>
      </c>
      <c r="AT130" s="152">
        <v>9.3000000000000007</v>
      </c>
      <c r="AU130" s="153">
        <v>1</v>
      </c>
      <c r="AV130" s="154" t="e">
        <f t="shared" si="1801"/>
        <v>#DIV/0!</v>
      </c>
      <c r="AW130" s="50"/>
      <c r="AY130" s="155" t="e">
        <f t="shared" ref="AY130" si="1834">H130/G130</f>
        <v>#DIV/0!</v>
      </c>
      <c r="AZ130" s="156" t="e">
        <f t="shared" ref="AZ130" si="1835">I130/G130</f>
        <v>#DIV/0!</v>
      </c>
      <c r="BA130" s="127" t="e">
        <f t="shared" ref="BA130" si="1836">(K130+L130)/$G130</f>
        <v>#DIV/0!</v>
      </c>
      <c r="BB130" s="127" t="e">
        <f t="shared" ref="BB130" si="1837">K130/$G130</f>
        <v>#DIV/0!</v>
      </c>
      <c r="BC130" s="155" t="e">
        <f t="shared" ref="BC130" si="1838">(M130+N130)/$G130</f>
        <v>#DIV/0!</v>
      </c>
      <c r="BD130" s="156" t="e">
        <f t="shared" ref="BD130" si="1839">M130/$G130</f>
        <v>#DIV/0!</v>
      </c>
      <c r="BE130" s="155" t="e">
        <f t="shared" ref="BE130" si="1840">(Q130+R130)/$G130</f>
        <v>#DIV/0!</v>
      </c>
      <c r="BF130" s="156" t="e">
        <f t="shared" ref="BF130" si="1841">Q130/$G130</f>
        <v>#DIV/0!</v>
      </c>
      <c r="BG130" s="127" t="e">
        <f t="shared" ref="BG130" si="1842">S130/$G130</f>
        <v>#DIV/0!</v>
      </c>
      <c r="BH130" s="127" t="e">
        <f t="shared" ref="BH130" si="1843">V130/$G130</f>
        <v>#DIV/0!</v>
      </c>
      <c r="BI130" s="127" t="e">
        <f t="shared" ref="BI130" si="1844">AA130/$G130</f>
        <v>#DIV/0!</v>
      </c>
      <c r="BJ130" s="156" t="e">
        <f t="shared" ref="BJ130" si="1845">AD130/$G130</f>
        <v>#DIV/0!</v>
      </c>
      <c r="BK130" s="155" t="e">
        <f t="shared" ref="BK130" si="1846">Y130/$G130</f>
        <v>#DIV/0!</v>
      </c>
      <c r="BL130" s="156" t="e">
        <f t="shared" ref="BL130" si="1847">Z130/$G130</f>
        <v>#DIV/0!</v>
      </c>
      <c r="BM130" s="155" t="e">
        <f t="shared" ref="BM130" si="1848">AG130/$G130</f>
        <v>#DIV/0!</v>
      </c>
      <c r="BN130" s="156" t="e">
        <f t="shared" ref="BN130" si="1849">AH130/$G130</f>
        <v>#DIV/0!</v>
      </c>
      <c r="BO130" s="50"/>
      <c r="BP130" s="51" t="e">
        <f t="shared" ref="BP130" si="1850">AY130*$AV130</f>
        <v>#DIV/0!</v>
      </c>
      <c r="BQ130" s="126" t="e">
        <f t="shared" ref="BQ130" si="1851">AZ130*$AV130</f>
        <v>#DIV/0!</v>
      </c>
      <c r="BR130" s="126" t="e">
        <f t="shared" ref="BR130" si="1852">BA130*$AV130</f>
        <v>#DIV/0!</v>
      </c>
      <c r="BS130" s="126" t="e">
        <f t="shared" ref="BS130" si="1853">BB130*$AV130</f>
        <v>#DIV/0!</v>
      </c>
      <c r="BT130" s="126" t="e">
        <f t="shared" ref="BT130" si="1854">BC130*$AV130</f>
        <v>#DIV/0!</v>
      </c>
      <c r="BU130" s="126" t="e">
        <f t="shared" ref="BU130" si="1855">BD130*$AV130</f>
        <v>#DIV/0!</v>
      </c>
      <c r="BV130" s="126" t="e">
        <f t="shared" ref="BV130" si="1856">BE130*$AV130</f>
        <v>#DIV/0!</v>
      </c>
      <c r="BW130" s="126" t="e">
        <f t="shared" ref="BW130" si="1857">BF130*$AV130</f>
        <v>#DIV/0!</v>
      </c>
      <c r="BX130" s="126" t="e">
        <f t="shared" ref="BX130" si="1858">BG130*$AV130</f>
        <v>#DIV/0!</v>
      </c>
      <c r="BY130" s="126" t="e">
        <f t="shared" ref="BY130" si="1859">BH130*$AV130</f>
        <v>#DIV/0!</v>
      </c>
      <c r="BZ130" s="126" t="e">
        <f t="shared" ref="BZ130" si="1860">BI130*$AV130</f>
        <v>#DIV/0!</v>
      </c>
      <c r="CA130" s="126" t="e">
        <f t="shared" ref="CA130" si="1861">BJ130*$AV130</f>
        <v>#DIV/0!</v>
      </c>
      <c r="CB130" s="126" t="e">
        <f t="shared" ref="CB130" si="1862">BK130*$AV130</f>
        <v>#DIV/0!</v>
      </c>
      <c r="CC130" s="126" t="e">
        <f t="shared" ref="CC130" si="1863">BL130*$AV130</f>
        <v>#DIV/0!</v>
      </c>
      <c r="CD130" s="126" t="e">
        <f t="shared" ref="CD130" si="1864">BM130*$AV130</f>
        <v>#DIV/0!</v>
      </c>
      <c r="CE130" s="157" t="e">
        <f t="shared" ref="CE130" si="1865">BN130*$AV130</f>
        <v>#DIV/0!</v>
      </c>
      <c r="CG130" s="45"/>
      <c r="CR130" s="151"/>
      <c r="CS130" s="45"/>
      <c r="CT130" s="151"/>
      <c r="CV130" s="151"/>
      <c r="CX130" s="50"/>
      <c r="CZ130" s="45"/>
      <c r="DK130" s="151"/>
      <c r="DL130" s="45"/>
      <c r="DM130" s="151"/>
      <c r="DN130" s="45"/>
      <c r="DO130" s="151"/>
      <c r="DQ130" s="117"/>
      <c r="DR130" s="77"/>
      <c r="DS130" s="117"/>
      <c r="DT130" s="149"/>
      <c r="DU130" s="77"/>
      <c r="DV130" s="77"/>
      <c r="DW130" s="117"/>
      <c r="DX130" s="149"/>
      <c r="DY130" s="77"/>
      <c r="DZ130" s="77"/>
      <c r="EA130" s="117"/>
      <c r="EB130" s="149"/>
      <c r="EC130" s="77"/>
      <c r="ED130" s="77"/>
      <c r="EE130" s="77"/>
      <c r="EF130" s="117"/>
      <c r="EG130" s="149"/>
      <c r="EH130" s="77"/>
      <c r="EI130" s="149"/>
    </row>
    <row r="131" spans="1:139" x14ac:dyDescent="0.25">
      <c r="A131" s="195">
        <f t="shared" si="1799"/>
        <v>45974</v>
      </c>
      <c r="B131" s="158" t="s">
        <v>95</v>
      </c>
      <c r="C131" s="195"/>
      <c r="D131" s="45"/>
      <c r="E131" s="45"/>
      <c r="F131" s="51"/>
      <c r="G131" s="154"/>
      <c r="H131" s="169">
        <f t="shared" si="1760"/>
        <v>0</v>
      </c>
      <c r="I131" s="169">
        <f t="shared" si="1761"/>
        <v>0</v>
      </c>
      <c r="J131" s="169">
        <f t="shared" si="1762"/>
        <v>0</v>
      </c>
      <c r="K131" s="45"/>
      <c r="L131" s="151"/>
      <c r="M131" s="45"/>
      <c r="N131" s="151"/>
      <c r="Q131" s="45"/>
      <c r="R131" s="151"/>
      <c r="S131" s="320">
        <f t="shared" si="1763"/>
        <v>0</v>
      </c>
      <c r="V131" s="320">
        <f t="shared" si="1764"/>
        <v>0</v>
      </c>
      <c r="Y131" s="45"/>
      <c r="Z131" s="151"/>
      <c r="AA131" s="320">
        <f t="shared" si="1765"/>
        <v>0</v>
      </c>
      <c r="AD131" s="320">
        <f t="shared" si="1766"/>
        <v>0</v>
      </c>
      <c r="AE131" s="45"/>
      <c r="AG131" s="45"/>
      <c r="AH131" s="151"/>
      <c r="AJ131" s="12"/>
      <c r="AK131" s="5"/>
      <c r="AL131" s="9"/>
      <c r="AM131" s="358"/>
      <c r="AN131" s="5"/>
      <c r="AO131" s="13"/>
      <c r="AQ131" s="50"/>
      <c r="AR131" s="50"/>
      <c r="AS131" s="148" t="e">
        <f t="shared" si="1800"/>
        <v>#DIV/0!</v>
      </c>
      <c r="AT131" s="152">
        <v>9.3000000000000007</v>
      </c>
      <c r="AU131" s="153">
        <v>1</v>
      </c>
      <c r="AV131" s="154" t="e">
        <f t="shared" si="1801"/>
        <v>#DIV/0!</v>
      </c>
      <c r="AW131" s="50">
        <v>3</v>
      </c>
      <c r="AY131" s="155" t="e">
        <f t="shared" ref="AY131" si="1866">H131/G131</f>
        <v>#DIV/0!</v>
      </c>
      <c r="AZ131" s="156" t="e">
        <f t="shared" ref="AZ131" si="1867">I131/G131</f>
        <v>#DIV/0!</v>
      </c>
      <c r="BA131" s="127" t="e">
        <f t="shared" ref="BA131" si="1868">(K131+L131)/$G131</f>
        <v>#DIV/0!</v>
      </c>
      <c r="BB131" s="127" t="e">
        <f t="shared" ref="BB131" si="1869">K131/$G131</f>
        <v>#DIV/0!</v>
      </c>
      <c r="BC131" s="155" t="e">
        <f t="shared" ref="BC131" si="1870">(M131+N131)/$G131</f>
        <v>#DIV/0!</v>
      </c>
      <c r="BD131" s="156" t="e">
        <f t="shared" ref="BD131" si="1871">M131/$G131</f>
        <v>#DIV/0!</v>
      </c>
      <c r="BE131" s="155" t="e">
        <f t="shared" ref="BE131" si="1872">(Q131+R131)/$G131</f>
        <v>#DIV/0!</v>
      </c>
      <c r="BF131" s="156" t="e">
        <f t="shared" ref="BF131" si="1873">Q131/$G131</f>
        <v>#DIV/0!</v>
      </c>
      <c r="BG131" s="127" t="e">
        <f t="shared" ref="BG131" si="1874">S131/$G131</f>
        <v>#DIV/0!</v>
      </c>
      <c r="BH131" s="127" t="e">
        <f t="shared" ref="BH131" si="1875">V131/$G131</f>
        <v>#DIV/0!</v>
      </c>
      <c r="BI131" s="127" t="e">
        <f t="shared" ref="BI131" si="1876">AA131/$G131</f>
        <v>#DIV/0!</v>
      </c>
      <c r="BJ131" s="156" t="e">
        <f t="shared" ref="BJ131" si="1877">AD131/$G131</f>
        <v>#DIV/0!</v>
      </c>
      <c r="BK131" s="155" t="e">
        <f t="shared" ref="BK131" si="1878">Y131/$G131</f>
        <v>#DIV/0!</v>
      </c>
      <c r="BL131" s="156" t="e">
        <f t="shared" ref="BL131" si="1879">Z131/$G131</f>
        <v>#DIV/0!</v>
      </c>
      <c r="BM131" s="155" t="e">
        <f t="shared" ref="BM131:BN131" si="1880">AG131/$G131</f>
        <v>#DIV/0!</v>
      </c>
      <c r="BN131" s="156" t="e">
        <f t="shared" si="1880"/>
        <v>#DIV/0!</v>
      </c>
      <c r="BO131" s="50"/>
      <c r="BP131" s="51" t="e">
        <f t="shared" ref="BP131:BP133" si="1881">AY131*$AV131</f>
        <v>#DIV/0!</v>
      </c>
      <c r="BQ131" s="157" t="e">
        <f t="shared" ref="BQ131:BQ133" si="1882">AZ131*$AV131</f>
        <v>#DIV/0!</v>
      </c>
      <c r="BR131" s="51" t="e">
        <f t="shared" ref="BR131:BR133" si="1883">BA131*$AV131</f>
        <v>#DIV/0!</v>
      </c>
      <c r="BS131" s="157" t="e">
        <f t="shared" ref="BS131:BS133" si="1884">BB131*$AV131</f>
        <v>#DIV/0!</v>
      </c>
      <c r="BT131" s="51" t="e">
        <f t="shared" ref="BT131:BT133" si="1885">BC131*$AV131</f>
        <v>#DIV/0!</v>
      </c>
      <c r="BU131" s="157" t="e">
        <f t="shared" ref="BU131:BU133" si="1886">BD131*$AV131</f>
        <v>#DIV/0!</v>
      </c>
      <c r="BV131" s="51" t="e">
        <f t="shared" ref="BV131:BV133" si="1887">BE131*$AV131</f>
        <v>#DIV/0!</v>
      </c>
      <c r="BW131" s="157" t="e">
        <f t="shared" ref="BW131:BW133" si="1888">BF131*$AV131</f>
        <v>#DIV/0!</v>
      </c>
      <c r="BX131" s="51" t="e">
        <f t="shared" ref="BX131:BX133" si="1889">BG131*$AV131</f>
        <v>#DIV/0!</v>
      </c>
      <c r="BY131" s="157" t="e">
        <f t="shared" ref="BY131:BY133" si="1890">BH131*$AV131</f>
        <v>#DIV/0!</v>
      </c>
      <c r="BZ131" s="51" t="e">
        <f t="shared" ref="BZ131:BZ133" si="1891">BI131*$AV131</f>
        <v>#DIV/0!</v>
      </c>
      <c r="CA131" s="157" t="e">
        <f t="shared" ref="CA131:CA133" si="1892">BJ131*$AV131</f>
        <v>#DIV/0!</v>
      </c>
      <c r="CB131" s="51" t="e">
        <f t="shared" ref="CB131:CB133" si="1893">BK131*$AV131</f>
        <v>#DIV/0!</v>
      </c>
      <c r="CC131" s="157" t="e">
        <f t="shared" ref="CC131:CC133" si="1894">BL131*$AV131</f>
        <v>#DIV/0!</v>
      </c>
      <c r="CD131" s="51" t="e">
        <f t="shared" ref="CD131:CD133" si="1895">BM131*$AV131</f>
        <v>#DIV/0!</v>
      </c>
      <c r="CE131" s="157" t="e">
        <f t="shared" ref="CE131:CE133" si="1896">BN131*$AV131</f>
        <v>#DIV/0!</v>
      </c>
      <c r="CG131" s="45"/>
      <c r="CR131" s="151"/>
      <c r="CS131" s="45"/>
      <c r="CT131" s="151"/>
      <c r="CV131" s="151"/>
      <c r="CX131" s="50"/>
      <c r="CZ131" s="45"/>
      <c r="DK131" s="151"/>
      <c r="DL131" s="45"/>
      <c r="DM131" s="151"/>
      <c r="DN131" s="45"/>
      <c r="DO131" s="151"/>
      <c r="DQ131" s="117"/>
      <c r="DR131" s="77"/>
      <c r="DS131" s="117"/>
      <c r="DT131" s="149"/>
      <c r="DU131" s="77"/>
      <c r="DV131" s="77"/>
      <c r="DW131" s="117"/>
      <c r="DX131" s="149"/>
      <c r="DY131" s="77"/>
      <c r="DZ131" s="77"/>
      <c r="EA131" s="117"/>
      <c r="EB131" s="149"/>
      <c r="EC131" s="77"/>
      <c r="ED131" s="77"/>
      <c r="EE131" s="77"/>
      <c r="EF131" s="117"/>
      <c r="EG131" s="149"/>
      <c r="EH131" s="77"/>
      <c r="EI131" s="149"/>
    </row>
    <row r="132" spans="1:139" x14ac:dyDescent="0.25">
      <c r="A132" s="195">
        <f t="shared" si="1799"/>
        <v>45975</v>
      </c>
      <c r="B132" s="195" t="s">
        <v>13</v>
      </c>
      <c r="C132" s="195"/>
      <c r="D132" s="45"/>
      <c r="E132" s="45"/>
      <c r="F132" s="51"/>
      <c r="G132" s="154"/>
      <c r="H132" s="169">
        <f t="shared" si="1760"/>
        <v>0</v>
      </c>
      <c r="I132" s="169">
        <f t="shared" si="1761"/>
        <v>0</v>
      </c>
      <c r="J132" s="169">
        <f t="shared" si="1762"/>
        <v>0</v>
      </c>
      <c r="K132" s="45"/>
      <c r="L132" s="151"/>
      <c r="M132" s="45"/>
      <c r="N132" s="151"/>
      <c r="Q132" s="45"/>
      <c r="R132" s="151"/>
      <c r="S132" s="320">
        <f t="shared" si="1763"/>
        <v>0</v>
      </c>
      <c r="V132" s="320">
        <f t="shared" si="1764"/>
        <v>0</v>
      </c>
      <c r="Y132" s="45"/>
      <c r="Z132" s="151"/>
      <c r="AA132" s="320">
        <f t="shared" si="1765"/>
        <v>0</v>
      </c>
      <c r="AD132" s="320">
        <f t="shared" si="1766"/>
        <v>0</v>
      </c>
      <c r="AE132" s="45"/>
      <c r="AG132" s="45"/>
      <c r="AH132" s="151"/>
      <c r="AJ132" s="12"/>
      <c r="AK132" s="5"/>
      <c r="AL132" s="9"/>
      <c r="AM132" s="358"/>
      <c r="AN132" s="5"/>
      <c r="AO132" s="13"/>
      <c r="AQ132" s="50"/>
      <c r="AR132" s="50"/>
      <c r="AS132" s="148" t="e">
        <f t="shared" si="1800"/>
        <v>#DIV/0!</v>
      </c>
      <c r="AT132" s="152">
        <v>9.1999999999999993</v>
      </c>
      <c r="AU132" s="153">
        <v>1</v>
      </c>
      <c r="AV132" s="154" t="e">
        <f t="shared" si="1801"/>
        <v>#DIV/0!</v>
      </c>
      <c r="AW132" s="50"/>
      <c r="AY132" s="155" t="e">
        <f t="shared" ref="AY132" si="1897">H132/G132</f>
        <v>#DIV/0!</v>
      </c>
      <c r="AZ132" s="156" t="e">
        <f t="shared" ref="AZ132" si="1898">I132/G132</f>
        <v>#DIV/0!</v>
      </c>
      <c r="BA132" s="127" t="e">
        <f t="shared" ref="BA132" si="1899">(K132+L132)/$G132</f>
        <v>#DIV/0!</v>
      </c>
      <c r="BB132" s="127" t="e">
        <f t="shared" ref="BB132" si="1900">K132/$G132</f>
        <v>#DIV/0!</v>
      </c>
      <c r="BC132" s="155" t="e">
        <f t="shared" ref="BC132" si="1901">(M132+N132)/$G132</f>
        <v>#DIV/0!</v>
      </c>
      <c r="BD132" s="156" t="e">
        <f t="shared" ref="BD132" si="1902">M132/$G132</f>
        <v>#DIV/0!</v>
      </c>
      <c r="BE132" s="155" t="e">
        <f t="shared" ref="BE132" si="1903">(Q132+R132)/$G132</f>
        <v>#DIV/0!</v>
      </c>
      <c r="BF132" s="156" t="e">
        <f t="shared" ref="BF132" si="1904">Q132/$G132</f>
        <v>#DIV/0!</v>
      </c>
      <c r="BG132" s="127" t="e">
        <f t="shared" ref="BG132" si="1905">S132/$G132</f>
        <v>#DIV/0!</v>
      </c>
      <c r="BH132" s="127" t="e">
        <f t="shared" ref="BH132" si="1906">V132/$G132</f>
        <v>#DIV/0!</v>
      </c>
      <c r="BI132" s="127" t="e">
        <f t="shared" ref="BI132" si="1907">AA132/$G132</f>
        <v>#DIV/0!</v>
      </c>
      <c r="BJ132" s="156" t="e">
        <f t="shared" ref="BJ132" si="1908">AD132/$G132</f>
        <v>#DIV/0!</v>
      </c>
      <c r="BK132" s="155" t="e">
        <f t="shared" ref="BK132" si="1909">Y132/$G132</f>
        <v>#DIV/0!</v>
      </c>
      <c r="BL132" s="156" t="e">
        <f t="shared" ref="BL132" si="1910">Z132/$G132</f>
        <v>#DIV/0!</v>
      </c>
      <c r="BM132" s="155" t="e">
        <f t="shared" ref="BM132" si="1911">AG132/$G132</f>
        <v>#DIV/0!</v>
      </c>
      <c r="BN132" s="156" t="e">
        <f t="shared" ref="BN132" si="1912">AH132/$G132</f>
        <v>#DIV/0!</v>
      </c>
      <c r="BO132" s="50"/>
      <c r="BP132" s="51" t="e">
        <f t="shared" ref="BP132" si="1913">AY132*$AV132</f>
        <v>#DIV/0!</v>
      </c>
      <c r="BQ132" s="157" t="e">
        <f t="shared" ref="BQ132" si="1914">AZ132*$AV132</f>
        <v>#DIV/0!</v>
      </c>
      <c r="BR132" s="51" t="e">
        <f t="shared" ref="BR132" si="1915">BA132*$AV132</f>
        <v>#DIV/0!</v>
      </c>
      <c r="BS132" s="157" t="e">
        <f t="shared" ref="BS132" si="1916">BB132*$AV132</f>
        <v>#DIV/0!</v>
      </c>
      <c r="BT132" s="51" t="e">
        <f t="shared" ref="BT132" si="1917">BC132*$AV132</f>
        <v>#DIV/0!</v>
      </c>
      <c r="BU132" s="157" t="e">
        <f t="shared" ref="BU132" si="1918">BD132*$AV132</f>
        <v>#DIV/0!</v>
      </c>
      <c r="BV132" s="51" t="e">
        <f t="shared" ref="BV132" si="1919">BE132*$AV132</f>
        <v>#DIV/0!</v>
      </c>
      <c r="BW132" s="157" t="e">
        <f t="shared" ref="BW132" si="1920">BF132*$AV132</f>
        <v>#DIV/0!</v>
      </c>
      <c r="BX132" s="51" t="e">
        <f t="shared" ref="BX132" si="1921">BG132*$AV132</f>
        <v>#DIV/0!</v>
      </c>
      <c r="BY132" s="157" t="e">
        <f t="shared" ref="BY132" si="1922">BH132*$AV132</f>
        <v>#DIV/0!</v>
      </c>
      <c r="BZ132" s="51" t="e">
        <f t="shared" ref="BZ132" si="1923">BI132*$AV132</f>
        <v>#DIV/0!</v>
      </c>
      <c r="CA132" s="157" t="e">
        <f t="shared" ref="CA132" si="1924">BJ132*$AV132</f>
        <v>#DIV/0!</v>
      </c>
      <c r="CB132" s="51" t="e">
        <f t="shared" ref="CB132" si="1925">BK132*$AV132</f>
        <v>#DIV/0!</v>
      </c>
      <c r="CC132" s="157" t="e">
        <f t="shared" ref="CC132" si="1926">BL132*$AV132</f>
        <v>#DIV/0!</v>
      </c>
      <c r="CD132" s="51" t="e">
        <f t="shared" ref="CD132" si="1927">BM132*$AV132</f>
        <v>#DIV/0!</v>
      </c>
      <c r="CE132" s="157" t="e">
        <f t="shared" ref="CE132" si="1928">BN132*$AV132</f>
        <v>#DIV/0!</v>
      </c>
      <c r="CG132" s="45"/>
      <c r="CR132" s="151"/>
      <c r="CS132" s="45"/>
      <c r="CT132" s="151"/>
      <c r="CV132" s="151"/>
      <c r="CX132" s="50"/>
      <c r="CZ132" s="45"/>
      <c r="DK132" s="151"/>
      <c r="DL132" s="45"/>
      <c r="DM132" s="151"/>
      <c r="DN132" s="45"/>
      <c r="DO132" s="151"/>
      <c r="DQ132" s="117"/>
      <c r="DR132" s="77"/>
      <c r="DS132" s="117"/>
      <c r="DT132" s="149"/>
      <c r="DU132" s="77"/>
      <c r="DV132" s="77"/>
      <c r="DW132" s="117"/>
      <c r="DX132" s="149"/>
      <c r="DY132" s="77"/>
      <c r="DZ132" s="77"/>
      <c r="EA132" s="117"/>
      <c r="EB132" s="149"/>
      <c r="EC132" s="77"/>
      <c r="ED132" s="77"/>
      <c r="EE132" s="77"/>
      <c r="EF132" s="117"/>
      <c r="EG132" s="149"/>
      <c r="EH132" s="77"/>
      <c r="EI132" s="149"/>
    </row>
    <row r="133" spans="1:139" x14ac:dyDescent="0.25">
      <c r="A133" s="195">
        <f t="shared" si="1799"/>
        <v>45976</v>
      </c>
      <c r="B133" s="195" t="s">
        <v>14</v>
      </c>
      <c r="C133" s="195"/>
      <c r="D133" s="45"/>
      <c r="E133" s="45"/>
      <c r="F133" s="51"/>
      <c r="G133" s="154"/>
      <c r="H133" s="169">
        <f t="shared" si="1760"/>
        <v>0</v>
      </c>
      <c r="I133" s="169">
        <f t="shared" si="1761"/>
        <v>0</v>
      </c>
      <c r="J133" s="169">
        <f t="shared" si="1762"/>
        <v>0</v>
      </c>
      <c r="K133" s="45"/>
      <c r="L133" s="151"/>
      <c r="M133" s="45"/>
      <c r="N133" s="151"/>
      <c r="Q133" s="45"/>
      <c r="R133" s="151"/>
      <c r="S133" s="320">
        <f t="shared" si="1763"/>
        <v>0</v>
      </c>
      <c r="V133" s="320">
        <f t="shared" si="1764"/>
        <v>0</v>
      </c>
      <c r="Y133" s="45"/>
      <c r="Z133" s="151"/>
      <c r="AA133" s="320">
        <f t="shared" si="1765"/>
        <v>0</v>
      </c>
      <c r="AD133" s="320">
        <f t="shared" si="1766"/>
        <v>0</v>
      </c>
      <c r="AE133" s="45"/>
      <c r="AG133" s="45"/>
      <c r="AH133" s="151"/>
      <c r="AJ133" s="12"/>
      <c r="AK133" s="5"/>
      <c r="AL133" s="9"/>
      <c r="AM133" s="358"/>
      <c r="AN133" s="5"/>
      <c r="AO133" s="13"/>
      <c r="AQ133" s="50"/>
      <c r="AR133" s="50"/>
      <c r="AS133" s="148"/>
      <c r="AT133" s="152">
        <v>9.1999999999999993</v>
      </c>
      <c r="AU133" s="153">
        <v>1</v>
      </c>
      <c r="AV133" s="154">
        <f t="shared" si="1801"/>
        <v>0</v>
      </c>
      <c r="AW133" s="50">
        <v>3</v>
      </c>
      <c r="AY133" s="155"/>
      <c r="AZ133" s="156"/>
      <c r="BA133" s="127"/>
      <c r="BB133" s="127"/>
      <c r="BC133" s="155"/>
      <c r="BD133" s="156"/>
      <c r="BE133" s="155"/>
      <c r="BF133" s="156"/>
      <c r="BG133" s="127"/>
      <c r="BH133" s="127"/>
      <c r="BI133" s="127"/>
      <c r="BJ133" s="156"/>
      <c r="BK133" s="155"/>
      <c r="BL133" s="156"/>
      <c r="BM133" s="155"/>
      <c r="BN133" s="156"/>
      <c r="BO133" s="50"/>
      <c r="BP133" s="51">
        <f t="shared" si="1881"/>
        <v>0</v>
      </c>
      <c r="BQ133" s="157">
        <f t="shared" si="1882"/>
        <v>0</v>
      </c>
      <c r="BR133" s="51">
        <f t="shared" si="1883"/>
        <v>0</v>
      </c>
      <c r="BS133" s="157">
        <f t="shared" si="1884"/>
        <v>0</v>
      </c>
      <c r="BT133" s="51">
        <f t="shared" si="1885"/>
        <v>0</v>
      </c>
      <c r="BU133" s="157">
        <f t="shared" si="1886"/>
        <v>0</v>
      </c>
      <c r="BV133" s="51">
        <f t="shared" si="1887"/>
        <v>0</v>
      </c>
      <c r="BW133" s="157">
        <f t="shared" si="1888"/>
        <v>0</v>
      </c>
      <c r="BX133" s="51">
        <f t="shared" si="1889"/>
        <v>0</v>
      </c>
      <c r="BY133" s="157">
        <f t="shared" si="1890"/>
        <v>0</v>
      </c>
      <c r="BZ133" s="51">
        <f t="shared" si="1891"/>
        <v>0</v>
      </c>
      <c r="CA133" s="157">
        <f t="shared" si="1892"/>
        <v>0</v>
      </c>
      <c r="CB133" s="51">
        <f t="shared" si="1893"/>
        <v>0</v>
      </c>
      <c r="CC133" s="157">
        <f t="shared" si="1894"/>
        <v>0</v>
      </c>
      <c r="CD133" s="51">
        <f t="shared" si="1895"/>
        <v>0</v>
      </c>
      <c r="CE133" s="157">
        <f t="shared" si="1896"/>
        <v>0</v>
      </c>
      <c r="CG133" s="51">
        <f t="shared" ref="CG133" si="1929">AVERAGE(BP133:BP134)</f>
        <v>0</v>
      </c>
      <c r="CH133" s="126">
        <f t="shared" ref="CH133" si="1930">AVERAGE(BQ133:BQ134)</f>
        <v>0</v>
      </c>
      <c r="CI133" s="126">
        <f t="shared" ref="CI133" si="1931">AVERAGE(BR133:BR134)</f>
        <v>0</v>
      </c>
      <c r="CJ133" s="126">
        <f t="shared" ref="CJ133" si="1932">AVERAGE(BS133:BS134)</f>
        <v>0</v>
      </c>
      <c r="CK133" s="126">
        <f t="shared" ref="CK133" si="1933">AVERAGE(BT133:BT134)</f>
        <v>0</v>
      </c>
      <c r="CL133" s="126">
        <f t="shared" ref="CL133" si="1934">AVERAGE(BU133:BU134)</f>
        <v>0</v>
      </c>
      <c r="CM133" s="126">
        <f t="shared" ref="CM133" si="1935">AVERAGE(BV133:BV134)</f>
        <v>0</v>
      </c>
      <c r="CN133" s="126">
        <f t="shared" ref="CN133" si="1936">AVERAGE(BW133:BW134)</f>
        <v>0</v>
      </c>
      <c r="CO133" s="126">
        <f t="shared" ref="CO133" si="1937">AVERAGE(BX133:BX134)</f>
        <v>0</v>
      </c>
      <c r="CP133" s="126">
        <f t="shared" ref="CP133" si="1938">AVERAGE(BY133:BY134)</f>
        <v>0</v>
      </c>
      <c r="CQ133" s="126">
        <f t="shared" ref="CQ133" si="1939">AVERAGE(BZ133:BZ134)</f>
        <v>0</v>
      </c>
      <c r="CR133" s="157">
        <f t="shared" ref="CR133" si="1940">AVERAGE(CA133:CA134)</f>
        <v>0</v>
      </c>
      <c r="CS133" s="51">
        <f t="shared" ref="CS133" si="1941">AVERAGE(CB133:CB134)</f>
        <v>0</v>
      </c>
      <c r="CT133" s="157">
        <f t="shared" ref="CT133" si="1942">AVERAGE(CC133:CC134)</f>
        <v>0</v>
      </c>
      <c r="CU133" s="126">
        <f t="shared" ref="CU133" si="1943">AVERAGE(CD133:CD134)</f>
        <v>0</v>
      </c>
      <c r="CV133" s="157">
        <f t="shared" ref="CV133" si="1944">AVERAGE(CE133:CE134)</f>
        <v>0</v>
      </c>
      <c r="CX133" s="150">
        <v>2</v>
      </c>
      <c r="CZ133" s="225">
        <f t="shared" ref="CZ133" si="1945">CG133*$CX133</f>
        <v>0</v>
      </c>
      <c r="DA133" s="160">
        <f t="shared" ref="DA133" si="1946">CH133*$CX133</f>
        <v>0</v>
      </c>
      <c r="DB133" s="160">
        <f t="shared" ref="DB133" si="1947">CI133*$CX133</f>
        <v>0</v>
      </c>
      <c r="DC133" s="160">
        <f t="shared" ref="DC133" si="1948">CJ133*$CX133</f>
        <v>0</v>
      </c>
      <c r="DD133" s="160">
        <f t="shared" ref="DD133" si="1949">CK133*$CX133</f>
        <v>0</v>
      </c>
      <c r="DE133" s="160">
        <f t="shared" ref="DE133" si="1950">CL133*$CX133</f>
        <v>0</v>
      </c>
      <c r="DF133" s="160">
        <f t="shared" ref="DF133" si="1951">CM133*$CX133</f>
        <v>0</v>
      </c>
      <c r="DG133" s="160">
        <f t="shared" ref="DG133" si="1952">CN133*$CX133</f>
        <v>0</v>
      </c>
      <c r="DH133" s="160">
        <f t="shared" ref="DH133" si="1953">CO133*$CX133</f>
        <v>0</v>
      </c>
      <c r="DI133" s="160">
        <f t="shared" ref="DI133" si="1954">CP133*$CX133</f>
        <v>0</v>
      </c>
      <c r="DJ133" s="160">
        <f t="shared" ref="DJ133" si="1955">CQ133*$CX133</f>
        <v>0</v>
      </c>
      <c r="DK133" s="161">
        <f t="shared" ref="DK133" si="1956">CR133*$CX133</f>
        <v>0</v>
      </c>
      <c r="DL133" s="225">
        <f t="shared" ref="DL133" si="1957">CS133*$CX133</f>
        <v>0</v>
      </c>
      <c r="DM133" s="161">
        <f t="shared" ref="DM133" si="1958">CT133*$CX133</f>
        <v>0</v>
      </c>
      <c r="DN133" s="225">
        <f t="shared" ref="DN133" si="1959">CU133*$CX133</f>
        <v>0</v>
      </c>
      <c r="DO133" s="161">
        <f t="shared" ref="DO133" si="1960">CV133*$CX133</f>
        <v>0</v>
      </c>
      <c r="DQ133" s="117"/>
      <c r="DR133" s="77"/>
      <c r="DS133" s="117"/>
      <c r="DT133" s="149"/>
      <c r="DU133" s="77"/>
      <c r="DV133" s="77"/>
      <c r="DW133" s="117"/>
      <c r="DX133" s="149"/>
      <c r="DY133" s="77"/>
      <c r="DZ133" s="77"/>
      <c r="EA133" s="117"/>
      <c r="EB133" s="149"/>
      <c r="EC133" s="77"/>
      <c r="ED133" s="77"/>
      <c r="EE133" s="77"/>
      <c r="EF133" s="117"/>
      <c r="EG133" s="149"/>
      <c r="EH133" s="77"/>
      <c r="EI133" s="149"/>
    </row>
    <row r="134" spans="1:139" x14ac:dyDescent="0.25">
      <c r="A134" s="334">
        <f t="shared" si="1799"/>
        <v>45977</v>
      </c>
      <c r="B134" s="334" t="s">
        <v>15</v>
      </c>
      <c r="C134" s="334"/>
      <c r="D134" s="176"/>
      <c r="E134" s="176"/>
      <c r="F134" s="217"/>
      <c r="G134" s="305"/>
      <c r="H134" s="323">
        <f t="shared" si="1760"/>
        <v>0</v>
      </c>
      <c r="I134" s="323">
        <f t="shared" si="1761"/>
        <v>0</v>
      </c>
      <c r="J134" s="323">
        <f t="shared" si="1762"/>
        <v>0</v>
      </c>
      <c r="K134" s="176"/>
      <c r="L134" s="178"/>
      <c r="M134" s="176"/>
      <c r="N134" s="178"/>
      <c r="O134" s="177"/>
      <c r="P134" s="177"/>
      <c r="Q134" s="176"/>
      <c r="R134" s="178"/>
      <c r="S134" s="320">
        <f t="shared" si="1763"/>
        <v>0</v>
      </c>
      <c r="V134" s="320">
        <f t="shared" si="1764"/>
        <v>0</v>
      </c>
      <c r="W134" s="177"/>
      <c r="X134" s="177"/>
      <c r="Y134" s="176"/>
      <c r="Z134" s="178"/>
      <c r="AA134" s="320">
        <f t="shared" si="1765"/>
        <v>0</v>
      </c>
      <c r="AD134" s="320">
        <f t="shared" si="1766"/>
        <v>0</v>
      </c>
      <c r="AE134" s="176"/>
      <c r="AF134" s="177"/>
      <c r="AG134" s="176"/>
      <c r="AH134" s="178"/>
      <c r="AJ134" s="12"/>
      <c r="AK134" s="5"/>
      <c r="AL134" s="9"/>
      <c r="AM134" s="358"/>
      <c r="AN134" s="5"/>
      <c r="AO134" s="13"/>
      <c r="AQ134" s="131"/>
      <c r="AR134" s="131"/>
      <c r="AS134" s="191"/>
      <c r="AT134" s="192">
        <v>9.1999999999999993</v>
      </c>
      <c r="AU134" s="193">
        <v>1</v>
      </c>
      <c r="AV134" s="154">
        <f t="shared" si="1801"/>
        <v>0</v>
      </c>
      <c r="AW134" s="131"/>
      <c r="AY134" s="155"/>
      <c r="AZ134" s="156"/>
      <c r="BA134" s="127"/>
      <c r="BB134" s="127"/>
      <c r="BC134" s="155"/>
      <c r="BD134" s="156"/>
      <c r="BE134" s="155"/>
      <c r="BF134" s="156"/>
      <c r="BG134" s="127"/>
      <c r="BH134" s="127"/>
      <c r="BI134" s="127"/>
      <c r="BJ134" s="156"/>
      <c r="BK134" s="155"/>
      <c r="BL134" s="156"/>
      <c r="BM134" s="155"/>
      <c r="BN134" s="156"/>
      <c r="BO134" s="50"/>
      <c r="BP134" s="51">
        <f t="shared" ref="BP134" si="1961">AY134*$AV134</f>
        <v>0</v>
      </c>
      <c r="BQ134" s="157">
        <f t="shared" ref="BQ134" si="1962">AZ134*$AV134</f>
        <v>0</v>
      </c>
      <c r="BR134" s="51">
        <f t="shared" ref="BR134" si="1963">BA134*$AV134</f>
        <v>0</v>
      </c>
      <c r="BS134" s="157">
        <f t="shared" ref="BS134" si="1964">BB134*$AV134</f>
        <v>0</v>
      </c>
      <c r="BT134" s="51">
        <f t="shared" ref="BT134" si="1965">BC134*$AV134</f>
        <v>0</v>
      </c>
      <c r="BU134" s="157">
        <f t="shared" ref="BU134" si="1966">BD134*$AV134</f>
        <v>0</v>
      </c>
      <c r="BV134" s="51">
        <f t="shared" ref="BV134" si="1967">BE134*$AV134</f>
        <v>0</v>
      </c>
      <c r="BW134" s="157">
        <f t="shared" ref="BW134" si="1968">BF134*$AV134</f>
        <v>0</v>
      </c>
      <c r="BX134" s="51">
        <f t="shared" ref="BX134" si="1969">BG134*$AV134</f>
        <v>0</v>
      </c>
      <c r="BY134" s="157">
        <f t="shared" ref="BY134" si="1970">BH134*$AV134</f>
        <v>0</v>
      </c>
      <c r="BZ134" s="51">
        <f t="shared" ref="BZ134" si="1971">BI134*$AV134</f>
        <v>0</v>
      </c>
      <c r="CA134" s="157">
        <f t="shared" ref="CA134" si="1972">BJ134*$AV134</f>
        <v>0</v>
      </c>
      <c r="CB134" s="51">
        <f t="shared" ref="CB134" si="1973">BK134*$AV134</f>
        <v>0</v>
      </c>
      <c r="CC134" s="157">
        <f t="shared" ref="CC134" si="1974">BL134*$AV134</f>
        <v>0</v>
      </c>
      <c r="CD134" s="51">
        <f t="shared" ref="CD134" si="1975">BM134*$AV134</f>
        <v>0</v>
      </c>
      <c r="CE134" s="157">
        <f t="shared" ref="CE134" si="1976">BN134*$AV134</f>
        <v>0</v>
      </c>
      <c r="CG134" s="176"/>
      <c r="CH134" s="177"/>
      <c r="CI134" s="177"/>
      <c r="CJ134" s="177"/>
      <c r="CK134" s="177"/>
      <c r="CL134" s="177"/>
      <c r="CM134" s="177"/>
      <c r="CN134" s="177"/>
      <c r="CO134" s="177"/>
      <c r="CP134" s="177"/>
      <c r="CQ134" s="177"/>
      <c r="CR134" s="178"/>
      <c r="CS134" s="176"/>
      <c r="CT134" s="178"/>
      <c r="CU134" s="177"/>
      <c r="CV134" s="178"/>
      <c r="CX134" s="131"/>
      <c r="CZ134" s="176"/>
      <c r="DA134" s="177"/>
      <c r="DB134" s="177"/>
      <c r="DC134" s="177"/>
      <c r="DD134" s="177"/>
      <c r="DE134" s="177"/>
      <c r="DF134" s="177"/>
      <c r="DG134" s="177"/>
      <c r="DH134" s="177"/>
      <c r="DI134" s="177"/>
      <c r="DJ134" s="177"/>
      <c r="DK134" s="178"/>
      <c r="DL134" s="176"/>
      <c r="DM134" s="178"/>
      <c r="DN134" s="176"/>
      <c r="DO134" s="178"/>
      <c r="DQ134" s="32"/>
      <c r="DR134" s="34"/>
      <c r="DS134" s="32"/>
      <c r="DT134" s="33"/>
      <c r="DU134" s="34"/>
      <c r="DV134" s="34"/>
      <c r="DW134" s="32"/>
      <c r="DX134" s="33"/>
      <c r="DY134" s="34"/>
      <c r="DZ134" s="34"/>
      <c r="EA134" s="32"/>
      <c r="EB134" s="33"/>
      <c r="EC134" s="34"/>
      <c r="ED134" s="34"/>
      <c r="EE134" s="34"/>
      <c r="EF134" s="32"/>
      <c r="EG134" s="33"/>
      <c r="EH134" s="34"/>
      <c r="EI134" s="33"/>
    </row>
    <row r="135" spans="1:139" x14ac:dyDescent="0.25">
      <c r="A135" s="196"/>
      <c r="B135" s="189"/>
      <c r="C135" s="196"/>
      <c r="D135" s="202">
        <f t="shared" ref="D135:G135" si="1977">SUM(D128:D134)</f>
        <v>0</v>
      </c>
      <c r="E135" s="202">
        <f t="shared" si="1977"/>
        <v>0</v>
      </c>
      <c r="F135" s="202">
        <f t="shared" si="1977"/>
        <v>0</v>
      </c>
      <c r="G135" s="203">
        <f t="shared" si="1977"/>
        <v>0</v>
      </c>
      <c r="H135" s="202">
        <f t="shared" ref="H135:AH135" si="1978">SUM(H128:H134)</f>
        <v>0</v>
      </c>
      <c r="I135" s="202">
        <f t="shared" si="1978"/>
        <v>0</v>
      </c>
      <c r="J135" s="202">
        <f t="shared" si="1978"/>
        <v>0</v>
      </c>
      <c r="K135" s="202">
        <f t="shared" si="1978"/>
        <v>0</v>
      </c>
      <c r="L135" s="204">
        <f t="shared" si="1978"/>
        <v>0</v>
      </c>
      <c r="M135" s="202">
        <f t="shared" si="1978"/>
        <v>0</v>
      </c>
      <c r="N135" s="204">
        <f t="shared" si="1978"/>
        <v>0</v>
      </c>
      <c r="O135" s="202">
        <f t="shared" si="1978"/>
        <v>0</v>
      </c>
      <c r="P135" s="204">
        <f t="shared" si="1978"/>
        <v>0</v>
      </c>
      <c r="Q135" s="202">
        <f t="shared" si="1978"/>
        <v>0</v>
      </c>
      <c r="R135" s="204">
        <f t="shared" si="1978"/>
        <v>0</v>
      </c>
      <c r="S135" s="202">
        <f t="shared" si="1978"/>
        <v>0</v>
      </c>
      <c r="T135" s="205">
        <f t="shared" si="1978"/>
        <v>0</v>
      </c>
      <c r="U135" s="205">
        <f t="shared" si="1978"/>
        <v>0</v>
      </c>
      <c r="V135" s="203">
        <f t="shared" si="1978"/>
        <v>0</v>
      </c>
      <c r="W135" s="205">
        <f t="shared" si="1978"/>
        <v>0</v>
      </c>
      <c r="X135" s="205">
        <f t="shared" si="1978"/>
        <v>0</v>
      </c>
      <c r="Y135" s="202">
        <f t="shared" si="1978"/>
        <v>0</v>
      </c>
      <c r="Z135" s="204">
        <f t="shared" si="1978"/>
        <v>0</v>
      </c>
      <c r="AA135" s="202">
        <f t="shared" si="1978"/>
        <v>0</v>
      </c>
      <c r="AB135" s="205">
        <f t="shared" si="1978"/>
        <v>0</v>
      </c>
      <c r="AC135" s="205">
        <f t="shared" si="1978"/>
        <v>0</v>
      </c>
      <c r="AD135" s="203">
        <f t="shared" si="1978"/>
        <v>0</v>
      </c>
      <c r="AE135" s="205">
        <f t="shared" si="1978"/>
        <v>0</v>
      </c>
      <c r="AF135" s="205">
        <f t="shared" si="1978"/>
        <v>0</v>
      </c>
      <c r="AG135" s="202">
        <f t="shared" si="1978"/>
        <v>0</v>
      </c>
      <c r="AH135" s="204">
        <f t="shared" si="1978"/>
        <v>0</v>
      </c>
      <c r="AI135" s="357"/>
      <c r="AJ135" s="12"/>
      <c r="AK135" s="5"/>
      <c r="AL135" s="9"/>
      <c r="AM135" s="358"/>
      <c r="AN135" s="5"/>
      <c r="AO135" s="13"/>
      <c r="AQ135" s="131"/>
      <c r="AR135" s="131"/>
      <c r="AS135" s="191"/>
      <c r="AT135" s="192"/>
      <c r="AU135" s="193"/>
      <c r="AV135" s="194" t="e">
        <f>AVERAGE(AV128:AV132)*3+AVERAGE(AV133:AV134)*2</f>
        <v>#DIV/0!</v>
      </c>
      <c r="AW135" s="131"/>
      <c r="AY135" s="509"/>
      <c r="AZ135" s="508"/>
      <c r="BA135" s="355"/>
      <c r="BB135" s="355"/>
      <c r="BC135" s="509"/>
      <c r="BD135" s="508"/>
      <c r="BE135" s="509"/>
      <c r="BF135" s="508"/>
      <c r="BG135" s="355"/>
      <c r="BH135" s="355"/>
      <c r="BI135" s="355"/>
      <c r="BJ135" s="508"/>
      <c r="BK135" s="210"/>
      <c r="BL135" s="210"/>
      <c r="BM135" s="210"/>
      <c r="BN135" s="210"/>
      <c r="BO135" s="50"/>
      <c r="BP135" s="217"/>
      <c r="BQ135" s="218"/>
      <c r="BR135" s="217"/>
      <c r="BS135" s="218"/>
      <c r="BT135" s="217"/>
      <c r="BU135" s="218"/>
      <c r="BV135" s="217"/>
      <c r="BW135" s="218"/>
      <c r="BX135" s="217"/>
      <c r="BY135" s="218"/>
      <c r="BZ135" s="217"/>
      <c r="CA135" s="218"/>
      <c r="CB135" s="510"/>
      <c r="CC135" s="354"/>
      <c r="CD135" s="354"/>
      <c r="CE135" s="511"/>
      <c r="CG135" s="219"/>
      <c r="CH135" s="220"/>
      <c r="CI135" s="220"/>
      <c r="CJ135" s="220"/>
      <c r="CK135" s="220"/>
      <c r="CL135" s="220"/>
      <c r="CM135" s="220"/>
      <c r="CN135" s="220"/>
      <c r="CO135" s="220"/>
      <c r="CP135" s="220"/>
      <c r="CQ135" s="220"/>
      <c r="CR135" s="221"/>
      <c r="CS135" s="219"/>
      <c r="CT135" s="220"/>
      <c r="CU135" s="220"/>
      <c r="CV135" s="221"/>
      <c r="CX135" s="222"/>
      <c r="CZ135" s="226" t="e">
        <f t="shared" ref="CZ135:DO135" si="1979">CZ133+CZ128</f>
        <v>#DIV/0!</v>
      </c>
      <c r="DA135" s="227" t="e">
        <f t="shared" si="1979"/>
        <v>#DIV/0!</v>
      </c>
      <c r="DB135" s="227" t="e">
        <f t="shared" si="1979"/>
        <v>#DIV/0!</v>
      </c>
      <c r="DC135" s="227" t="e">
        <f t="shared" si="1979"/>
        <v>#DIV/0!</v>
      </c>
      <c r="DD135" s="227" t="e">
        <f t="shared" si="1979"/>
        <v>#DIV/0!</v>
      </c>
      <c r="DE135" s="227" t="e">
        <f t="shared" si="1979"/>
        <v>#DIV/0!</v>
      </c>
      <c r="DF135" s="227" t="e">
        <f t="shared" si="1979"/>
        <v>#DIV/0!</v>
      </c>
      <c r="DG135" s="227" t="e">
        <f t="shared" si="1979"/>
        <v>#DIV/0!</v>
      </c>
      <c r="DH135" s="227" t="e">
        <f t="shared" si="1979"/>
        <v>#DIV/0!</v>
      </c>
      <c r="DI135" s="227" t="e">
        <f t="shared" si="1979"/>
        <v>#DIV/0!</v>
      </c>
      <c r="DJ135" s="227" t="e">
        <f t="shared" si="1979"/>
        <v>#DIV/0!</v>
      </c>
      <c r="DK135" s="228" t="e">
        <f t="shared" si="1979"/>
        <v>#DIV/0!</v>
      </c>
      <c r="DL135" s="226" t="e">
        <f t="shared" si="1979"/>
        <v>#DIV/0!</v>
      </c>
      <c r="DM135" s="228" t="e">
        <f t="shared" si="1979"/>
        <v>#DIV/0!</v>
      </c>
      <c r="DN135" s="226" t="e">
        <f t="shared" si="1979"/>
        <v>#DIV/0!</v>
      </c>
      <c r="DO135" s="228" t="e">
        <f t="shared" si="1979"/>
        <v>#DIV/0!</v>
      </c>
      <c r="DQ135" s="32"/>
      <c r="DR135" s="34"/>
      <c r="DS135" s="32"/>
      <c r="DT135" s="33"/>
      <c r="DU135" s="34"/>
      <c r="DV135" s="34"/>
      <c r="DW135" s="32"/>
      <c r="DX135" s="33"/>
      <c r="DY135" s="34"/>
      <c r="DZ135" s="34"/>
      <c r="EA135" s="32"/>
      <c r="EB135" s="33"/>
      <c r="EC135" s="34"/>
      <c r="ED135" s="34"/>
      <c r="EE135" s="34"/>
      <c r="EF135" s="32"/>
      <c r="EG135" s="33"/>
      <c r="EH135" s="34"/>
      <c r="EI135" s="33"/>
    </row>
    <row r="136" spans="1:139" x14ac:dyDescent="0.25">
      <c r="AJ136" s="12"/>
      <c r="AK136" s="5"/>
      <c r="AL136" s="9"/>
      <c r="AM136" s="358"/>
      <c r="AN136" s="5"/>
      <c r="AO136" s="13"/>
    </row>
    <row r="137" spans="1:139" x14ac:dyDescent="0.25">
      <c r="A137" s="206">
        <f>A128+7</f>
        <v>45978</v>
      </c>
      <c r="B137" s="207" t="s">
        <v>7</v>
      </c>
      <c r="C137" s="206"/>
      <c r="D137" s="41"/>
      <c r="E137" s="41"/>
      <c r="F137" s="41"/>
      <c r="G137" s="179"/>
      <c r="H137" s="208">
        <f t="shared" ref="H137:H143" si="1980">I137+J137</f>
        <v>0</v>
      </c>
      <c r="I137" s="208">
        <f t="shared" ref="I137:I143" si="1981">K137+M137+Q137</f>
        <v>0</v>
      </c>
      <c r="J137" s="208">
        <f t="shared" ref="J137:J143" si="1982">L137+N137+R137</f>
        <v>0</v>
      </c>
      <c r="K137" s="41"/>
      <c r="L137" s="42"/>
      <c r="M137" s="41"/>
      <c r="N137" s="42"/>
      <c r="O137" s="165"/>
      <c r="P137" s="165"/>
      <c r="Q137" s="41"/>
      <c r="R137" s="42"/>
      <c r="S137" s="319">
        <f t="shared" ref="S137:S143" si="1983">T137+U137</f>
        <v>0</v>
      </c>
      <c r="T137" s="165"/>
      <c r="U137" s="165"/>
      <c r="V137" s="319">
        <f t="shared" ref="V137:V143" si="1984">W137+X137</f>
        <v>0</v>
      </c>
      <c r="W137" s="165"/>
      <c r="X137" s="165"/>
      <c r="Y137" s="41"/>
      <c r="Z137" s="42"/>
      <c r="AA137" s="319">
        <f t="shared" ref="AA137:AA143" si="1985">AB137+AC137</f>
        <v>0</v>
      </c>
      <c r="AB137" s="165"/>
      <c r="AC137" s="165"/>
      <c r="AD137" s="319">
        <f t="shared" ref="AD137:AD143" si="1986">AE137+AF137</f>
        <v>0</v>
      </c>
      <c r="AE137" s="41"/>
      <c r="AF137" s="165"/>
      <c r="AG137" s="41"/>
      <c r="AH137" s="42"/>
      <c r="AJ137" s="12"/>
      <c r="AK137" s="5"/>
      <c r="AL137" s="9"/>
      <c r="AM137" s="358"/>
      <c r="AN137" s="5"/>
      <c r="AO137" s="13"/>
      <c r="AQ137" s="28"/>
      <c r="AR137" s="28"/>
      <c r="AS137" s="148" t="e">
        <f t="shared" ref="AS137:AS138" si="1987">AQ137/AR137</f>
        <v>#DIV/0!</v>
      </c>
      <c r="AT137" s="152">
        <v>7</v>
      </c>
      <c r="AU137" s="153">
        <v>1</v>
      </c>
      <c r="AV137" s="154" t="e">
        <f t="shared" ref="AV137:AV138" si="1988">AT137*AS137*AU137</f>
        <v>#DIV/0!</v>
      </c>
      <c r="AW137" s="50"/>
      <c r="AY137" s="155" t="e">
        <f t="shared" ref="AY137" si="1989">H137/G137</f>
        <v>#DIV/0!</v>
      </c>
      <c r="AZ137" s="156" t="e">
        <f t="shared" ref="AZ137" si="1990">I137/G137</f>
        <v>#DIV/0!</v>
      </c>
      <c r="BA137" s="127" t="e">
        <f t="shared" ref="BA137" si="1991">(K137+L137)/$G137</f>
        <v>#DIV/0!</v>
      </c>
      <c r="BB137" s="127" t="e">
        <f t="shared" ref="BB137" si="1992">K137/$G137</f>
        <v>#DIV/0!</v>
      </c>
      <c r="BC137" s="155" t="e">
        <f t="shared" ref="BC137" si="1993">(M137+N137)/$G137</f>
        <v>#DIV/0!</v>
      </c>
      <c r="BD137" s="156" t="e">
        <f t="shared" ref="BD137" si="1994">M137/$G137</f>
        <v>#DIV/0!</v>
      </c>
      <c r="BE137" s="155" t="e">
        <f t="shared" ref="BE137" si="1995">(Q137+R137)/$G137</f>
        <v>#DIV/0!</v>
      </c>
      <c r="BF137" s="156" t="e">
        <f t="shared" ref="BF137" si="1996">Q137/$G137</f>
        <v>#DIV/0!</v>
      </c>
      <c r="BG137" s="127" t="e">
        <f t="shared" ref="BG137" si="1997">S137/$G137</f>
        <v>#DIV/0!</v>
      </c>
      <c r="BH137" s="127" t="e">
        <f t="shared" ref="BH137" si="1998">V137/$G137</f>
        <v>#DIV/0!</v>
      </c>
      <c r="BI137" s="127" t="e">
        <f t="shared" ref="BI137" si="1999">AA137/$G137</f>
        <v>#DIV/0!</v>
      </c>
      <c r="BJ137" s="156" t="e">
        <f t="shared" ref="BJ137" si="2000">AD137/$G137</f>
        <v>#DIV/0!</v>
      </c>
      <c r="BK137" s="155" t="e">
        <f t="shared" ref="BK137" si="2001">Y137/$G137</f>
        <v>#DIV/0!</v>
      </c>
      <c r="BL137" s="156" t="e">
        <f t="shared" ref="BL137" si="2002">Z137/$G137</f>
        <v>#DIV/0!</v>
      </c>
      <c r="BM137" s="155" t="e">
        <f t="shared" ref="BM137" si="2003">AG137/$G137</f>
        <v>#DIV/0!</v>
      </c>
      <c r="BN137" s="156" t="e">
        <f t="shared" ref="BN137" si="2004">AH137/$G137</f>
        <v>#DIV/0!</v>
      </c>
      <c r="BO137" s="50"/>
      <c r="BP137" s="51" t="e">
        <f t="shared" ref="BP137:BP138" si="2005">AY137*$AV137</f>
        <v>#DIV/0!</v>
      </c>
      <c r="BQ137" s="157" t="e">
        <f t="shared" ref="BQ137:BQ138" si="2006">AZ137*$AV137</f>
        <v>#DIV/0!</v>
      </c>
      <c r="BR137" s="51" t="e">
        <f t="shared" ref="BR137:BR138" si="2007">BA137*$AV137</f>
        <v>#DIV/0!</v>
      </c>
      <c r="BS137" s="157" t="e">
        <f t="shared" ref="BS137:BS138" si="2008">BB137*$AV137</f>
        <v>#DIV/0!</v>
      </c>
      <c r="BT137" s="51" t="e">
        <f t="shared" ref="BT137:BT138" si="2009">BC137*$AV137</f>
        <v>#DIV/0!</v>
      </c>
      <c r="BU137" s="157" t="e">
        <f t="shared" ref="BU137:BU138" si="2010">BD137*$AV137</f>
        <v>#DIV/0!</v>
      </c>
      <c r="BV137" s="51" t="e">
        <f t="shared" ref="BV137:BV138" si="2011">BE137*$AV137</f>
        <v>#DIV/0!</v>
      </c>
      <c r="BW137" s="157" t="e">
        <f t="shared" ref="BW137:BW138" si="2012">BF137*$AV137</f>
        <v>#DIV/0!</v>
      </c>
      <c r="BX137" s="51" t="e">
        <f t="shared" ref="BX137:BX138" si="2013">BG137*$AV137</f>
        <v>#DIV/0!</v>
      </c>
      <c r="BY137" s="157" t="e">
        <f t="shared" ref="BY137:BY138" si="2014">BH137*$AV137</f>
        <v>#DIV/0!</v>
      </c>
      <c r="BZ137" s="51" t="e">
        <f t="shared" ref="BZ137:BZ138" si="2015">BI137*$AV137</f>
        <v>#DIV/0!</v>
      </c>
      <c r="CA137" s="157" t="e">
        <f t="shared" ref="CA137:CA138" si="2016">BJ137*$AV137</f>
        <v>#DIV/0!</v>
      </c>
      <c r="CB137" s="51" t="e">
        <f t="shared" ref="CB137:CB138" si="2017">BK137*$AV137</f>
        <v>#DIV/0!</v>
      </c>
      <c r="CC137" s="157" t="e">
        <f t="shared" ref="CC137:CC138" si="2018">BL137*$AV137</f>
        <v>#DIV/0!</v>
      </c>
      <c r="CD137" s="51" t="e">
        <f t="shared" ref="CD137:CD138" si="2019">BM137*$AV137</f>
        <v>#DIV/0!</v>
      </c>
      <c r="CE137" s="157" t="e">
        <f t="shared" ref="CE137:CE138" si="2020">BN137*$AV137</f>
        <v>#DIV/0!</v>
      </c>
      <c r="CG137" s="215" t="e">
        <f t="shared" ref="CG137" si="2021">AVERAGE(BP137:BP141)</f>
        <v>#DIV/0!</v>
      </c>
      <c r="CH137" s="175" t="e">
        <f t="shared" ref="CH137" si="2022">AVERAGE(BQ137:BQ141)</f>
        <v>#DIV/0!</v>
      </c>
      <c r="CI137" s="175" t="e">
        <f t="shared" ref="CI137" si="2023">AVERAGE(BR137:BR141)</f>
        <v>#DIV/0!</v>
      </c>
      <c r="CJ137" s="175" t="e">
        <f t="shared" ref="CJ137" si="2024">AVERAGE(BS137:BS141)</f>
        <v>#DIV/0!</v>
      </c>
      <c r="CK137" s="175" t="e">
        <f t="shared" ref="CK137" si="2025">AVERAGE(BT137:BT141)</f>
        <v>#DIV/0!</v>
      </c>
      <c r="CL137" s="175" t="e">
        <f t="shared" ref="CL137" si="2026">AVERAGE(BU137:BU141)</f>
        <v>#DIV/0!</v>
      </c>
      <c r="CM137" s="175" t="e">
        <f t="shared" ref="CM137" si="2027">AVERAGE(BV137:BV141)</f>
        <v>#DIV/0!</v>
      </c>
      <c r="CN137" s="175" t="e">
        <f t="shared" ref="CN137" si="2028">AVERAGE(BW137:BW141)</f>
        <v>#DIV/0!</v>
      </c>
      <c r="CO137" s="175" t="e">
        <f t="shared" ref="CO137" si="2029">AVERAGE(BX137:BX141)</f>
        <v>#DIV/0!</v>
      </c>
      <c r="CP137" s="175" t="e">
        <f t="shared" ref="CP137" si="2030">AVERAGE(BY137:BY141)</f>
        <v>#DIV/0!</v>
      </c>
      <c r="CQ137" s="175" t="e">
        <f t="shared" ref="CQ137" si="2031">AVERAGE(BZ137:BZ141)</f>
        <v>#DIV/0!</v>
      </c>
      <c r="CR137" s="216" t="e">
        <f t="shared" ref="CR137" si="2032">AVERAGE(CA137:CA141)</f>
        <v>#DIV/0!</v>
      </c>
      <c r="CS137" s="215" t="e">
        <f t="shared" ref="CS137" si="2033">AVERAGE(CB137:CB141)</f>
        <v>#DIV/0!</v>
      </c>
      <c r="CT137" s="216" t="e">
        <f t="shared" ref="CT137" si="2034">AVERAGE(CC137:CC141)</f>
        <v>#DIV/0!</v>
      </c>
      <c r="CU137" s="175" t="e">
        <f t="shared" ref="CU137" si="2035">AVERAGE(CD137:CD141)</f>
        <v>#DIV/0!</v>
      </c>
      <c r="CV137" s="216" t="e">
        <f t="shared" ref="CV137" si="2036">AVERAGE(CE137:CE141)</f>
        <v>#DIV/0!</v>
      </c>
      <c r="CX137" s="56">
        <v>5</v>
      </c>
      <c r="CZ137" s="223" t="e">
        <f t="shared" ref="CZ137" si="2037">CG137*$CX137</f>
        <v>#DIV/0!</v>
      </c>
      <c r="DA137" s="159" t="e">
        <f t="shared" ref="DA137" si="2038">CH137*$CX137</f>
        <v>#DIV/0!</v>
      </c>
      <c r="DB137" s="159" t="e">
        <f t="shared" ref="DB137" si="2039">CI137*$CX137</f>
        <v>#DIV/0!</v>
      </c>
      <c r="DC137" s="159" t="e">
        <f t="shared" ref="DC137" si="2040">CJ137*$CX137</f>
        <v>#DIV/0!</v>
      </c>
      <c r="DD137" s="159" t="e">
        <f t="shared" ref="DD137" si="2041">CK137*$CX137</f>
        <v>#DIV/0!</v>
      </c>
      <c r="DE137" s="159" t="e">
        <f t="shared" ref="DE137" si="2042">CL137*$CX137</f>
        <v>#DIV/0!</v>
      </c>
      <c r="DF137" s="159" t="e">
        <f t="shared" ref="DF137" si="2043">CM137*$CX137</f>
        <v>#DIV/0!</v>
      </c>
      <c r="DG137" s="159" t="e">
        <f t="shared" ref="DG137" si="2044">CN137*$CX137</f>
        <v>#DIV/0!</v>
      </c>
      <c r="DH137" s="159" t="e">
        <f t="shared" ref="DH137" si="2045">CO137*$CX137</f>
        <v>#DIV/0!</v>
      </c>
      <c r="DI137" s="159" t="e">
        <f t="shared" ref="DI137" si="2046">CP137*$CX137</f>
        <v>#DIV/0!</v>
      </c>
      <c r="DJ137" s="159" t="e">
        <f t="shared" ref="DJ137" si="2047">CQ137*$CX137</f>
        <v>#DIV/0!</v>
      </c>
      <c r="DK137" s="224" t="e">
        <f t="shared" ref="DK137" si="2048">CR137*$CX137</f>
        <v>#DIV/0!</v>
      </c>
      <c r="DL137" s="223" t="e">
        <f t="shared" ref="DL137" si="2049">CS137*$CX137</f>
        <v>#DIV/0!</v>
      </c>
      <c r="DM137" s="224" t="e">
        <f t="shared" ref="DM137" si="2050">CT137*$CX137</f>
        <v>#DIV/0!</v>
      </c>
      <c r="DN137" s="223" t="e">
        <f t="shared" ref="DN137" si="2051">CU137*$CX137</f>
        <v>#DIV/0!</v>
      </c>
      <c r="DO137" s="224" t="e">
        <f t="shared" ref="DO137" si="2052">CV137*$CX137</f>
        <v>#DIV/0!</v>
      </c>
      <c r="DQ137" s="130"/>
      <c r="DR137" s="229"/>
      <c r="DS137" s="130"/>
      <c r="DT137" s="230"/>
      <c r="DU137" s="229"/>
      <c r="DV137" s="229"/>
      <c r="DW137" s="130"/>
      <c r="DX137" s="230"/>
      <c r="DY137" s="229"/>
      <c r="DZ137" s="229"/>
      <c r="EA137" s="130"/>
      <c r="EB137" s="230"/>
      <c r="EC137" s="229"/>
      <c r="ED137" s="229"/>
      <c r="EE137" s="229"/>
      <c r="EF137" s="130"/>
      <c r="EG137" s="230"/>
      <c r="EH137" s="229"/>
      <c r="EI137" s="230"/>
    </row>
    <row r="138" spans="1:139" x14ac:dyDescent="0.25">
      <c r="A138" s="195">
        <f t="shared" ref="A138:A143" si="2053">A137+1</f>
        <v>45979</v>
      </c>
      <c r="B138" s="158" t="s">
        <v>94</v>
      </c>
      <c r="C138" s="195"/>
      <c r="D138" s="45"/>
      <c r="E138" s="45"/>
      <c r="F138" s="45"/>
      <c r="G138" s="154"/>
      <c r="H138" s="169">
        <f t="shared" si="1980"/>
        <v>0</v>
      </c>
      <c r="I138" s="169">
        <f t="shared" si="1981"/>
        <v>0</v>
      </c>
      <c r="J138" s="169">
        <f t="shared" si="1982"/>
        <v>0</v>
      </c>
      <c r="K138" s="45"/>
      <c r="L138" s="151"/>
      <c r="M138" s="45"/>
      <c r="N138" s="151"/>
      <c r="Q138" s="45"/>
      <c r="R138" s="151"/>
      <c r="S138" s="320">
        <f t="shared" si="1983"/>
        <v>0</v>
      </c>
      <c r="V138" s="320">
        <f t="shared" si="1984"/>
        <v>0</v>
      </c>
      <c r="Y138" s="45"/>
      <c r="Z138" s="151"/>
      <c r="AA138" s="320">
        <f t="shared" si="1985"/>
        <v>0</v>
      </c>
      <c r="AD138" s="320">
        <f t="shared" si="1986"/>
        <v>0</v>
      </c>
      <c r="AE138" s="45"/>
      <c r="AG138" s="45"/>
      <c r="AH138" s="151"/>
      <c r="AJ138" s="12"/>
      <c r="AK138" s="5"/>
      <c r="AL138" s="9"/>
      <c r="AM138" s="358"/>
      <c r="AN138" s="5"/>
      <c r="AO138" s="13"/>
      <c r="AQ138" s="50"/>
      <c r="AR138" s="50"/>
      <c r="AS138" s="148" t="e">
        <f t="shared" si="1987"/>
        <v>#DIV/0!</v>
      </c>
      <c r="AT138" s="152">
        <v>8</v>
      </c>
      <c r="AU138" s="153">
        <v>1</v>
      </c>
      <c r="AV138" s="154" t="e">
        <f t="shared" si="1988"/>
        <v>#DIV/0!</v>
      </c>
      <c r="AW138" s="50"/>
      <c r="AY138" s="155" t="e">
        <f t="shared" ref="AY138" si="2054">H138/G138</f>
        <v>#DIV/0!</v>
      </c>
      <c r="AZ138" s="156" t="e">
        <f t="shared" ref="AZ138" si="2055">I138/G138</f>
        <v>#DIV/0!</v>
      </c>
      <c r="BA138" s="127" t="e">
        <f t="shared" ref="BA138" si="2056">(K138+L138)/$G138</f>
        <v>#DIV/0!</v>
      </c>
      <c r="BB138" s="127" t="e">
        <f t="shared" ref="BB138" si="2057">K138/$G138</f>
        <v>#DIV/0!</v>
      </c>
      <c r="BC138" s="155" t="e">
        <f t="shared" ref="BC138" si="2058">(M138+N138)/$G138</f>
        <v>#DIV/0!</v>
      </c>
      <c r="BD138" s="156" t="e">
        <f t="shared" ref="BD138" si="2059">M138/$G138</f>
        <v>#DIV/0!</v>
      </c>
      <c r="BE138" s="155" t="e">
        <f t="shared" ref="BE138" si="2060">(Q138+R138)/$G138</f>
        <v>#DIV/0!</v>
      </c>
      <c r="BF138" s="156" t="e">
        <f t="shared" ref="BF138" si="2061">Q138/$G138</f>
        <v>#DIV/0!</v>
      </c>
      <c r="BG138" s="127" t="e">
        <f t="shared" ref="BG138" si="2062">S138/$G138</f>
        <v>#DIV/0!</v>
      </c>
      <c r="BH138" s="127" t="e">
        <f t="shared" ref="BH138" si="2063">V138/$G138</f>
        <v>#DIV/0!</v>
      </c>
      <c r="BI138" s="127" t="e">
        <f t="shared" ref="BI138" si="2064">AA138/$G138</f>
        <v>#DIV/0!</v>
      </c>
      <c r="BJ138" s="156" t="e">
        <f t="shared" ref="BJ138" si="2065">AD138/$G138</f>
        <v>#DIV/0!</v>
      </c>
      <c r="BK138" s="155" t="e">
        <f t="shared" ref="BK138" si="2066">Y138/$G138</f>
        <v>#DIV/0!</v>
      </c>
      <c r="BL138" s="156" t="e">
        <f t="shared" ref="BL138" si="2067">Z138/$G138</f>
        <v>#DIV/0!</v>
      </c>
      <c r="BM138" s="155" t="e">
        <f t="shared" ref="BM138" si="2068">AG138/$G138</f>
        <v>#DIV/0!</v>
      </c>
      <c r="BN138" s="156" t="e">
        <f t="shared" ref="BN138" si="2069">AH138/$G138</f>
        <v>#DIV/0!</v>
      </c>
      <c r="BO138" s="50"/>
      <c r="BP138" s="51" t="e">
        <f t="shared" si="2005"/>
        <v>#DIV/0!</v>
      </c>
      <c r="BQ138" s="157" t="e">
        <f t="shared" si="2006"/>
        <v>#DIV/0!</v>
      </c>
      <c r="BR138" s="51" t="e">
        <f t="shared" si="2007"/>
        <v>#DIV/0!</v>
      </c>
      <c r="BS138" s="157" t="e">
        <f t="shared" si="2008"/>
        <v>#DIV/0!</v>
      </c>
      <c r="BT138" s="51" t="e">
        <f t="shared" si="2009"/>
        <v>#DIV/0!</v>
      </c>
      <c r="BU138" s="157" t="e">
        <f t="shared" si="2010"/>
        <v>#DIV/0!</v>
      </c>
      <c r="BV138" s="51" t="e">
        <f t="shared" si="2011"/>
        <v>#DIV/0!</v>
      </c>
      <c r="BW138" s="157" t="e">
        <f t="shared" si="2012"/>
        <v>#DIV/0!</v>
      </c>
      <c r="BX138" s="51" t="e">
        <f t="shared" si="2013"/>
        <v>#DIV/0!</v>
      </c>
      <c r="BY138" s="157" t="e">
        <f t="shared" si="2014"/>
        <v>#DIV/0!</v>
      </c>
      <c r="BZ138" s="51" t="e">
        <f t="shared" si="2015"/>
        <v>#DIV/0!</v>
      </c>
      <c r="CA138" s="157" t="e">
        <f t="shared" si="2016"/>
        <v>#DIV/0!</v>
      </c>
      <c r="CB138" s="51" t="e">
        <f t="shared" si="2017"/>
        <v>#DIV/0!</v>
      </c>
      <c r="CC138" s="157" t="e">
        <f t="shared" si="2018"/>
        <v>#DIV/0!</v>
      </c>
      <c r="CD138" s="51" t="e">
        <f t="shared" si="2019"/>
        <v>#DIV/0!</v>
      </c>
      <c r="CE138" s="157" t="e">
        <f t="shared" si="2020"/>
        <v>#DIV/0!</v>
      </c>
      <c r="CG138" s="45"/>
      <c r="CR138" s="151"/>
      <c r="CS138" s="45"/>
      <c r="CT138" s="151"/>
      <c r="CV138" s="151"/>
      <c r="CX138" s="50"/>
      <c r="CZ138" s="45"/>
      <c r="DK138" s="151"/>
      <c r="DL138" s="45"/>
      <c r="DM138" s="151"/>
      <c r="DN138" s="45"/>
      <c r="DO138" s="151"/>
      <c r="DQ138" s="117"/>
      <c r="DR138" s="77"/>
      <c r="DS138" s="117"/>
      <c r="DT138" s="149"/>
      <c r="DU138" s="77"/>
      <c r="DV138" s="77"/>
      <c r="DW138" s="117"/>
      <c r="DX138" s="149"/>
      <c r="DY138" s="77"/>
      <c r="DZ138" s="77"/>
      <c r="EA138" s="117"/>
      <c r="EB138" s="149"/>
      <c r="EC138" s="77"/>
      <c r="ED138" s="77"/>
      <c r="EE138" s="77"/>
      <c r="EF138" s="117"/>
      <c r="EG138" s="149"/>
      <c r="EH138" s="77"/>
      <c r="EI138" s="149"/>
    </row>
    <row r="139" spans="1:139" x14ac:dyDescent="0.25">
      <c r="A139" s="195">
        <f t="shared" si="2053"/>
        <v>45980</v>
      </c>
      <c r="B139" s="158" t="s">
        <v>11</v>
      </c>
      <c r="C139" s="195"/>
      <c r="D139" s="45"/>
      <c r="E139" s="45"/>
      <c r="F139" s="45"/>
      <c r="G139" s="154"/>
      <c r="H139" s="169">
        <f t="shared" si="1980"/>
        <v>0</v>
      </c>
      <c r="I139" s="169">
        <f t="shared" si="1981"/>
        <v>0</v>
      </c>
      <c r="J139" s="169">
        <f t="shared" si="1982"/>
        <v>0</v>
      </c>
      <c r="K139" s="45"/>
      <c r="L139" s="151"/>
      <c r="M139" s="45"/>
      <c r="N139" s="151"/>
      <c r="Q139" s="45"/>
      <c r="R139" s="151"/>
      <c r="S139" s="320">
        <f t="shared" si="1983"/>
        <v>0</v>
      </c>
      <c r="V139" s="320">
        <f t="shared" si="1984"/>
        <v>0</v>
      </c>
      <c r="Y139" s="45"/>
      <c r="Z139" s="151"/>
      <c r="AA139" s="320">
        <f t="shared" si="1985"/>
        <v>0</v>
      </c>
      <c r="AD139" s="320">
        <f t="shared" si="1986"/>
        <v>0</v>
      </c>
      <c r="AE139" s="45"/>
      <c r="AG139" s="45"/>
      <c r="AH139" s="151"/>
      <c r="AJ139" s="12"/>
      <c r="AK139" s="5"/>
      <c r="AL139" s="9"/>
      <c r="AM139" s="358"/>
      <c r="AN139" s="5"/>
      <c r="AO139" s="13"/>
      <c r="AQ139" s="50"/>
      <c r="AR139" s="50"/>
      <c r="AS139" s="148" t="e">
        <f t="shared" ref="AS139:AS142" si="2070">AQ139/AR139</f>
        <v>#DIV/0!</v>
      </c>
      <c r="AT139" s="152">
        <v>9</v>
      </c>
      <c r="AU139" s="153">
        <v>1</v>
      </c>
      <c r="AV139" s="154" t="e">
        <f t="shared" ref="AV139:AV142" si="2071">AT139*AS139*AU139</f>
        <v>#DIV/0!</v>
      </c>
      <c r="AW139" s="50"/>
      <c r="AY139" s="155" t="e">
        <f t="shared" ref="AY139:AY142" si="2072">H139/G139</f>
        <v>#DIV/0!</v>
      </c>
      <c r="AZ139" s="156" t="e">
        <f t="shared" ref="AZ139:AZ142" si="2073">I139/G139</f>
        <v>#DIV/0!</v>
      </c>
      <c r="BA139" s="127" t="e">
        <f t="shared" ref="BA139:BA142" si="2074">(K139+L139)/$G139</f>
        <v>#DIV/0!</v>
      </c>
      <c r="BB139" s="127" t="e">
        <f t="shared" ref="BB139:BB142" si="2075">K139/$G139</f>
        <v>#DIV/0!</v>
      </c>
      <c r="BC139" s="155" t="e">
        <f t="shared" ref="BC139:BC142" si="2076">(M139+N139)/$G139</f>
        <v>#DIV/0!</v>
      </c>
      <c r="BD139" s="156" t="e">
        <f t="shared" ref="BD139:BD142" si="2077">M139/$G139</f>
        <v>#DIV/0!</v>
      </c>
      <c r="BE139" s="155" t="e">
        <f t="shared" ref="BE139:BE142" si="2078">(Q139+R139)/$G139</f>
        <v>#DIV/0!</v>
      </c>
      <c r="BF139" s="156" t="e">
        <f t="shared" ref="BF139:BF142" si="2079">Q139/$G139</f>
        <v>#DIV/0!</v>
      </c>
      <c r="BG139" s="127" t="e">
        <f t="shared" ref="BG139:BG142" si="2080">S139/$G139</f>
        <v>#DIV/0!</v>
      </c>
      <c r="BH139" s="127" t="e">
        <f t="shared" ref="BH139:BH142" si="2081">V139/$G139</f>
        <v>#DIV/0!</v>
      </c>
      <c r="BI139" s="127" t="e">
        <f t="shared" ref="BI139:BI142" si="2082">AA139/$G139</f>
        <v>#DIV/0!</v>
      </c>
      <c r="BJ139" s="156" t="e">
        <f t="shared" ref="BJ139:BJ142" si="2083">AD139/$G139</f>
        <v>#DIV/0!</v>
      </c>
      <c r="BK139" s="155" t="e">
        <f t="shared" ref="BK139:BK142" si="2084">Y139/$G139</f>
        <v>#DIV/0!</v>
      </c>
      <c r="BL139" s="156" t="e">
        <f t="shared" ref="BL139:BL142" si="2085">Z139/$G139</f>
        <v>#DIV/0!</v>
      </c>
      <c r="BM139" s="155" t="e">
        <f t="shared" ref="BM139:BN142" si="2086">AG139/$G139</f>
        <v>#DIV/0!</v>
      </c>
      <c r="BN139" s="156" t="e">
        <f t="shared" si="2086"/>
        <v>#DIV/0!</v>
      </c>
      <c r="BO139" s="50"/>
      <c r="BP139" s="51" t="e">
        <f t="shared" ref="BP139:BP142" si="2087">AY139*$AV139</f>
        <v>#DIV/0!</v>
      </c>
      <c r="BQ139" s="157" t="e">
        <f t="shared" ref="BQ139:BQ142" si="2088">AZ139*$AV139</f>
        <v>#DIV/0!</v>
      </c>
      <c r="BR139" s="51" t="e">
        <f t="shared" ref="BR139:BR142" si="2089">BA139*$AV139</f>
        <v>#DIV/0!</v>
      </c>
      <c r="BS139" s="157" t="e">
        <f t="shared" ref="BS139:BS142" si="2090">BB139*$AV139</f>
        <v>#DIV/0!</v>
      </c>
      <c r="BT139" s="51" t="e">
        <f t="shared" ref="BT139:BT142" si="2091">BC139*$AV139</f>
        <v>#DIV/0!</v>
      </c>
      <c r="BU139" s="157" t="e">
        <f t="shared" ref="BU139:BU142" si="2092">BD139*$AV139</f>
        <v>#DIV/0!</v>
      </c>
      <c r="BV139" s="51" t="e">
        <f t="shared" ref="BV139:BV142" si="2093">BE139*$AV139</f>
        <v>#DIV/0!</v>
      </c>
      <c r="BW139" s="157" t="e">
        <f t="shared" ref="BW139:BW142" si="2094">BF139*$AV139</f>
        <v>#DIV/0!</v>
      </c>
      <c r="BX139" s="51" t="e">
        <f t="shared" ref="BX139:BX142" si="2095">BG139*$AV139</f>
        <v>#DIV/0!</v>
      </c>
      <c r="BY139" s="157" t="e">
        <f t="shared" ref="BY139:BY142" si="2096">BH139*$AV139</f>
        <v>#DIV/0!</v>
      </c>
      <c r="BZ139" s="51" t="e">
        <f t="shared" ref="BZ139:BZ142" si="2097">BI139*$AV139</f>
        <v>#DIV/0!</v>
      </c>
      <c r="CA139" s="157" t="e">
        <f t="shared" ref="CA139:CA142" si="2098">BJ139*$AV139</f>
        <v>#DIV/0!</v>
      </c>
      <c r="CB139" s="51" t="e">
        <f t="shared" ref="CB139:CB142" si="2099">BK139*$AV139</f>
        <v>#DIV/0!</v>
      </c>
      <c r="CC139" s="157" t="e">
        <f t="shared" ref="CC139:CC142" si="2100">BL139*$AV139</f>
        <v>#DIV/0!</v>
      </c>
      <c r="CD139" s="51" t="e">
        <f t="shared" ref="CD139:CD142" si="2101">BM139*$AV139</f>
        <v>#DIV/0!</v>
      </c>
      <c r="CE139" s="157" t="e">
        <f t="shared" ref="CE139:CE142" si="2102">BN139*$AV139</f>
        <v>#DIV/0!</v>
      </c>
      <c r="CG139" s="45"/>
      <c r="CR139" s="151"/>
      <c r="CS139" s="45"/>
      <c r="CT139" s="151"/>
      <c r="CV139" s="151"/>
      <c r="CX139" s="50"/>
      <c r="CZ139" s="45"/>
      <c r="DK139" s="151"/>
      <c r="DL139" s="45"/>
      <c r="DM139" s="151"/>
      <c r="DN139" s="45"/>
      <c r="DO139" s="151"/>
      <c r="DQ139" s="117"/>
      <c r="DR139" s="77"/>
      <c r="DS139" s="117"/>
      <c r="DT139" s="149"/>
      <c r="DU139" s="77"/>
      <c r="DV139" s="77"/>
      <c r="DW139" s="117"/>
      <c r="DX139" s="149"/>
      <c r="DY139" s="77"/>
      <c r="DZ139" s="77"/>
      <c r="EA139" s="117"/>
      <c r="EB139" s="149"/>
      <c r="EC139" s="77"/>
      <c r="ED139" s="77"/>
      <c r="EE139" s="77"/>
      <c r="EF139" s="117"/>
      <c r="EG139" s="149"/>
      <c r="EH139" s="77"/>
      <c r="EI139" s="149"/>
    </row>
    <row r="140" spans="1:139" x14ac:dyDescent="0.25">
      <c r="A140" s="195">
        <f t="shared" si="2053"/>
        <v>45981</v>
      </c>
      <c r="B140" s="158" t="s">
        <v>95</v>
      </c>
      <c r="C140" s="195"/>
      <c r="D140" s="608"/>
      <c r="E140" s="608"/>
      <c r="F140" s="45"/>
      <c r="G140" s="154"/>
      <c r="H140" s="169">
        <f t="shared" si="1980"/>
        <v>0</v>
      </c>
      <c r="I140" s="169">
        <f t="shared" si="1981"/>
        <v>0</v>
      </c>
      <c r="J140" s="169">
        <f t="shared" si="1982"/>
        <v>0</v>
      </c>
      <c r="K140" s="45"/>
      <c r="L140" s="151"/>
      <c r="M140" s="45"/>
      <c r="N140" s="151"/>
      <c r="Q140" s="45"/>
      <c r="R140" s="151"/>
      <c r="S140" s="320">
        <f t="shared" si="1983"/>
        <v>0</v>
      </c>
      <c r="V140" s="320">
        <f t="shared" si="1984"/>
        <v>0</v>
      </c>
      <c r="Y140" s="45"/>
      <c r="Z140" s="151"/>
      <c r="AA140" s="320">
        <f t="shared" si="1985"/>
        <v>0</v>
      </c>
      <c r="AD140" s="320">
        <f t="shared" si="1986"/>
        <v>0</v>
      </c>
      <c r="AE140" s="45"/>
      <c r="AG140" s="45"/>
      <c r="AH140" s="151"/>
      <c r="AJ140" s="12"/>
      <c r="AK140" s="5"/>
      <c r="AL140" s="9"/>
      <c r="AM140" s="358"/>
      <c r="AN140" s="5"/>
      <c r="AO140" s="13"/>
      <c r="AQ140" s="50"/>
      <c r="AR140" s="50"/>
      <c r="AS140" s="148"/>
      <c r="AT140" s="152"/>
      <c r="AU140" s="153"/>
      <c r="AV140" s="154"/>
      <c r="AW140" s="50"/>
      <c r="AY140" s="155"/>
      <c r="AZ140" s="156"/>
      <c r="BA140" s="127"/>
      <c r="BB140" s="127"/>
      <c r="BC140" s="155"/>
      <c r="BD140" s="156"/>
      <c r="BE140" s="155"/>
      <c r="BF140" s="156"/>
      <c r="BG140" s="127"/>
      <c r="BH140" s="127"/>
      <c r="BI140" s="127"/>
      <c r="BJ140" s="156"/>
      <c r="BK140" s="155"/>
      <c r="BL140" s="156"/>
      <c r="BM140" s="155"/>
      <c r="BN140" s="156"/>
      <c r="BO140" s="50"/>
      <c r="BP140" s="51"/>
      <c r="BQ140" s="157"/>
      <c r="BR140" s="51"/>
      <c r="BS140" s="157"/>
      <c r="BT140" s="51"/>
      <c r="BU140" s="157"/>
      <c r="BV140" s="51"/>
      <c r="BW140" s="157"/>
      <c r="BX140" s="51"/>
      <c r="BY140" s="157"/>
      <c r="BZ140" s="51"/>
      <c r="CA140" s="157"/>
      <c r="CB140" s="51"/>
      <c r="CC140" s="157"/>
      <c r="CD140" s="51"/>
      <c r="CE140" s="157"/>
      <c r="CG140" s="45"/>
      <c r="CR140" s="151"/>
      <c r="CS140" s="45"/>
      <c r="CT140" s="151"/>
      <c r="CV140" s="151"/>
      <c r="CX140" s="50"/>
      <c r="CZ140" s="45"/>
      <c r="DK140" s="151"/>
      <c r="DL140" s="45"/>
      <c r="DM140" s="151"/>
      <c r="DN140" s="45"/>
      <c r="DO140" s="151"/>
      <c r="DQ140" s="117"/>
      <c r="DR140" s="77"/>
      <c r="DS140" s="117"/>
      <c r="DT140" s="149"/>
      <c r="DU140" s="77"/>
      <c r="DV140" s="77"/>
      <c r="DW140" s="117"/>
      <c r="DX140" s="149"/>
      <c r="DY140" s="77"/>
      <c r="DZ140" s="77"/>
      <c r="EA140" s="117"/>
      <c r="EB140" s="149"/>
      <c r="EC140" s="77"/>
      <c r="ED140" s="77"/>
      <c r="EE140" s="77"/>
      <c r="EF140" s="117"/>
      <c r="EG140" s="149"/>
      <c r="EH140" s="77"/>
      <c r="EI140" s="149"/>
    </row>
    <row r="141" spans="1:139" x14ac:dyDescent="0.25">
      <c r="A141" s="195">
        <f t="shared" si="2053"/>
        <v>45982</v>
      </c>
      <c r="B141" s="195" t="s">
        <v>13</v>
      </c>
      <c r="C141" s="195"/>
      <c r="D141" s="45"/>
      <c r="E141" s="45"/>
      <c r="F141" s="45"/>
      <c r="G141" s="154"/>
      <c r="H141" s="169">
        <f t="shared" si="1980"/>
        <v>0</v>
      </c>
      <c r="I141" s="169">
        <f t="shared" si="1981"/>
        <v>0</v>
      </c>
      <c r="J141" s="169">
        <f t="shared" si="1982"/>
        <v>0</v>
      </c>
      <c r="K141" s="45"/>
      <c r="L141" s="151"/>
      <c r="M141" s="45"/>
      <c r="N141" s="151"/>
      <c r="Q141" s="45"/>
      <c r="R141" s="151"/>
      <c r="S141" s="320">
        <f t="shared" si="1983"/>
        <v>0</v>
      </c>
      <c r="V141" s="320">
        <f t="shared" si="1984"/>
        <v>0</v>
      </c>
      <c r="Y141" s="45"/>
      <c r="Z141" s="151"/>
      <c r="AA141" s="320">
        <f t="shared" si="1985"/>
        <v>0</v>
      </c>
      <c r="AD141" s="320">
        <f t="shared" si="1986"/>
        <v>0</v>
      </c>
      <c r="AE141" s="45"/>
      <c r="AG141" s="45"/>
      <c r="AH141" s="151"/>
      <c r="AJ141" s="12"/>
      <c r="AK141" s="5"/>
      <c r="AL141" s="9"/>
      <c r="AM141" s="358"/>
      <c r="AN141" s="5"/>
      <c r="AO141" s="13"/>
      <c r="AQ141" s="50"/>
      <c r="AR141" s="50"/>
      <c r="AS141" s="148" t="e">
        <f t="shared" si="2070"/>
        <v>#DIV/0!</v>
      </c>
      <c r="AT141" s="152">
        <v>8.9</v>
      </c>
      <c r="AU141" s="153">
        <v>1</v>
      </c>
      <c r="AV141" s="154" t="e">
        <f t="shared" si="2071"/>
        <v>#DIV/0!</v>
      </c>
      <c r="AW141" s="50"/>
      <c r="AY141" s="155" t="e">
        <f t="shared" ref="AY141" si="2103">H141/G141</f>
        <v>#DIV/0!</v>
      </c>
      <c r="AZ141" s="156" t="e">
        <f t="shared" ref="AZ141" si="2104">I141/G141</f>
        <v>#DIV/0!</v>
      </c>
      <c r="BA141" s="127" t="e">
        <f t="shared" ref="BA141" si="2105">(K141+L141)/$G141</f>
        <v>#DIV/0!</v>
      </c>
      <c r="BB141" s="127" t="e">
        <f t="shared" ref="BB141" si="2106">K141/$G141</f>
        <v>#DIV/0!</v>
      </c>
      <c r="BC141" s="155" t="e">
        <f t="shared" ref="BC141" si="2107">(M141+N141)/$G141</f>
        <v>#DIV/0!</v>
      </c>
      <c r="BD141" s="156" t="e">
        <f t="shared" ref="BD141" si="2108">M141/$G141</f>
        <v>#DIV/0!</v>
      </c>
      <c r="BE141" s="155" t="e">
        <f t="shared" ref="BE141" si="2109">(Q141+R141)/$G141</f>
        <v>#DIV/0!</v>
      </c>
      <c r="BF141" s="156" t="e">
        <f t="shared" ref="BF141" si="2110">Q141/$G141</f>
        <v>#DIV/0!</v>
      </c>
      <c r="BG141" s="127" t="e">
        <f t="shared" ref="BG141" si="2111">S141/$G141</f>
        <v>#DIV/0!</v>
      </c>
      <c r="BH141" s="127" t="e">
        <f t="shared" ref="BH141" si="2112">V141/$G141</f>
        <v>#DIV/0!</v>
      </c>
      <c r="BI141" s="127" t="e">
        <f t="shared" ref="BI141" si="2113">AA141/$G141</f>
        <v>#DIV/0!</v>
      </c>
      <c r="BJ141" s="156" t="e">
        <f t="shared" ref="BJ141" si="2114">AD141/$G141</f>
        <v>#DIV/0!</v>
      </c>
      <c r="BK141" s="155" t="e">
        <f t="shared" ref="BK141" si="2115">Y141/$G141</f>
        <v>#DIV/0!</v>
      </c>
      <c r="BL141" s="156" t="e">
        <f t="shared" ref="BL141" si="2116">Z141/$G141</f>
        <v>#DIV/0!</v>
      </c>
      <c r="BM141" s="155" t="e">
        <f t="shared" ref="BM141" si="2117">AG141/$G141</f>
        <v>#DIV/0!</v>
      </c>
      <c r="BN141" s="156" t="e">
        <f t="shared" ref="BN141" si="2118">AH141/$G141</f>
        <v>#DIV/0!</v>
      </c>
      <c r="BO141" s="50"/>
      <c r="BP141" s="51"/>
      <c r="BQ141" s="157"/>
      <c r="BR141" s="51"/>
      <c r="BS141" s="157"/>
      <c r="BT141" s="51"/>
      <c r="BU141" s="157"/>
      <c r="BV141" s="51"/>
      <c r="BW141" s="157"/>
      <c r="BX141" s="51"/>
      <c r="BY141" s="157"/>
      <c r="BZ141" s="51"/>
      <c r="CA141" s="157"/>
      <c r="CB141" s="51"/>
      <c r="CC141" s="157"/>
      <c r="CD141" s="51"/>
      <c r="CE141" s="157"/>
      <c r="CG141" s="45"/>
      <c r="CR141" s="151"/>
      <c r="CS141" s="45"/>
      <c r="CT141" s="151"/>
      <c r="CV141" s="151"/>
      <c r="CX141" s="50"/>
      <c r="CZ141" s="45"/>
      <c r="DK141" s="151"/>
      <c r="DL141" s="45"/>
      <c r="DM141" s="151"/>
      <c r="DN141" s="45"/>
      <c r="DO141" s="151"/>
      <c r="DQ141" s="117"/>
      <c r="DR141" s="77"/>
      <c r="DS141" s="117"/>
      <c r="DT141" s="149"/>
      <c r="DU141" s="77"/>
      <c r="DV141" s="77"/>
      <c r="DW141" s="117"/>
      <c r="DX141" s="149"/>
      <c r="DY141" s="77"/>
      <c r="DZ141" s="77"/>
      <c r="EA141" s="117"/>
      <c r="EB141" s="149"/>
      <c r="EC141" s="77"/>
      <c r="ED141" s="77"/>
      <c r="EE141" s="77"/>
      <c r="EF141" s="117"/>
      <c r="EG141" s="149"/>
      <c r="EH141" s="77"/>
      <c r="EI141" s="149"/>
    </row>
    <row r="142" spans="1:139" x14ac:dyDescent="0.25">
      <c r="A142" s="195">
        <f t="shared" si="2053"/>
        <v>45983</v>
      </c>
      <c r="B142" s="195" t="s">
        <v>14</v>
      </c>
      <c r="C142" s="195"/>
      <c r="D142" s="45"/>
      <c r="E142" s="45"/>
      <c r="F142" s="45"/>
      <c r="G142" s="154"/>
      <c r="H142" s="169">
        <f t="shared" si="1980"/>
        <v>0</v>
      </c>
      <c r="I142" s="169">
        <f t="shared" si="1981"/>
        <v>0</v>
      </c>
      <c r="J142" s="169">
        <f t="shared" si="1982"/>
        <v>0</v>
      </c>
      <c r="K142" s="45"/>
      <c r="L142" s="151"/>
      <c r="M142" s="45"/>
      <c r="N142" s="151"/>
      <c r="Q142" s="45"/>
      <c r="R142" s="151"/>
      <c r="S142" s="320">
        <f t="shared" si="1983"/>
        <v>0</v>
      </c>
      <c r="V142" s="320">
        <f t="shared" si="1984"/>
        <v>0</v>
      </c>
      <c r="Y142" s="45"/>
      <c r="Z142" s="151"/>
      <c r="AA142" s="320">
        <f t="shared" si="1985"/>
        <v>0</v>
      </c>
      <c r="AD142" s="320">
        <f t="shared" si="1986"/>
        <v>0</v>
      </c>
      <c r="AE142" s="45"/>
      <c r="AG142" s="45"/>
      <c r="AH142" s="151"/>
      <c r="AJ142" s="12"/>
      <c r="AK142" s="5"/>
      <c r="AL142" s="9"/>
      <c r="AM142" s="358"/>
      <c r="AN142" s="5"/>
      <c r="AO142" s="13"/>
      <c r="AQ142" s="50"/>
      <c r="AR142" s="50"/>
      <c r="AS142" s="148" t="e">
        <f t="shared" si="2070"/>
        <v>#DIV/0!</v>
      </c>
      <c r="AT142" s="152">
        <v>8.9</v>
      </c>
      <c r="AU142" s="153">
        <v>1</v>
      </c>
      <c r="AV142" s="154" t="e">
        <f t="shared" si="2071"/>
        <v>#DIV/0!</v>
      </c>
      <c r="AW142" s="50">
        <v>3</v>
      </c>
      <c r="AY142" s="155" t="e">
        <f t="shared" si="2072"/>
        <v>#DIV/0!</v>
      </c>
      <c r="AZ142" s="156" t="e">
        <f t="shared" si="2073"/>
        <v>#DIV/0!</v>
      </c>
      <c r="BA142" s="127" t="e">
        <f t="shared" si="2074"/>
        <v>#DIV/0!</v>
      </c>
      <c r="BB142" s="127" t="e">
        <f t="shared" si="2075"/>
        <v>#DIV/0!</v>
      </c>
      <c r="BC142" s="155" t="e">
        <f t="shared" si="2076"/>
        <v>#DIV/0!</v>
      </c>
      <c r="BD142" s="156" t="e">
        <f t="shared" si="2077"/>
        <v>#DIV/0!</v>
      </c>
      <c r="BE142" s="155" t="e">
        <f t="shared" si="2078"/>
        <v>#DIV/0!</v>
      </c>
      <c r="BF142" s="156" t="e">
        <f t="shared" si="2079"/>
        <v>#DIV/0!</v>
      </c>
      <c r="BG142" s="127" t="e">
        <f t="shared" si="2080"/>
        <v>#DIV/0!</v>
      </c>
      <c r="BH142" s="127" t="e">
        <f t="shared" si="2081"/>
        <v>#DIV/0!</v>
      </c>
      <c r="BI142" s="127" t="e">
        <f t="shared" si="2082"/>
        <v>#DIV/0!</v>
      </c>
      <c r="BJ142" s="156" t="e">
        <f t="shared" si="2083"/>
        <v>#DIV/0!</v>
      </c>
      <c r="BK142" s="155" t="e">
        <f t="shared" si="2084"/>
        <v>#DIV/0!</v>
      </c>
      <c r="BL142" s="156" t="e">
        <f t="shared" si="2085"/>
        <v>#DIV/0!</v>
      </c>
      <c r="BM142" s="155" t="e">
        <f t="shared" si="2086"/>
        <v>#DIV/0!</v>
      </c>
      <c r="BN142" s="156" t="e">
        <f t="shared" si="2086"/>
        <v>#DIV/0!</v>
      </c>
      <c r="BO142" s="50"/>
      <c r="BP142" s="51" t="e">
        <f t="shared" si="2087"/>
        <v>#DIV/0!</v>
      </c>
      <c r="BQ142" s="157" t="e">
        <f t="shared" si="2088"/>
        <v>#DIV/0!</v>
      </c>
      <c r="BR142" s="51" t="e">
        <f t="shared" si="2089"/>
        <v>#DIV/0!</v>
      </c>
      <c r="BS142" s="157" t="e">
        <f t="shared" si="2090"/>
        <v>#DIV/0!</v>
      </c>
      <c r="BT142" s="51" t="e">
        <f t="shared" si="2091"/>
        <v>#DIV/0!</v>
      </c>
      <c r="BU142" s="157" t="e">
        <f t="shared" si="2092"/>
        <v>#DIV/0!</v>
      </c>
      <c r="BV142" s="51" t="e">
        <f t="shared" si="2093"/>
        <v>#DIV/0!</v>
      </c>
      <c r="BW142" s="157" t="e">
        <f t="shared" si="2094"/>
        <v>#DIV/0!</v>
      </c>
      <c r="BX142" s="51" t="e">
        <f t="shared" si="2095"/>
        <v>#DIV/0!</v>
      </c>
      <c r="BY142" s="157" t="e">
        <f t="shared" si="2096"/>
        <v>#DIV/0!</v>
      </c>
      <c r="BZ142" s="51" t="e">
        <f t="shared" si="2097"/>
        <v>#DIV/0!</v>
      </c>
      <c r="CA142" s="157" t="e">
        <f t="shared" si="2098"/>
        <v>#DIV/0!</v>
      </c>
      <c r="CB142" s="51" t="e">
        <f t="shared" si="2099"/>
        <v>#DIV/0!</v>
      </c>
      <c r="CC142" s="157" t="e">
        <f t="shared" si="2100"/>
        <v>#DIV/0!</v>
      </c>
      <c r="CD142" s="51" t="e">
        <f t="shared" si="2101"/>
        <v>#DIV/0!</v>
      </c>
      <c r="CE142" s="157" t="e">
        <f t="shared" si="2102"/>
        <v>#DIV/0!</v>
      </c>
      <c r="CG142" s="51" t="e">
        <f t="shared" ref="CG142" si="2119">AVERAGE(BP142:BP143)</f>
        <v>#DIV/0!</v>
      </c>
      <c r="CH142" s="126" t="e">
        <f t="shared" ref="CH142" si="2120">AVERAGE(BQ142:BQ143)</f>
        <v>#DIV/0!</v>
      </c>
      <c r="CI142" s="126" t="e">
        <f t="shared" ref="CI142" si="2121">AVERAGE(BR142:BR143)</f>
        <v>#DIV/0!</v>
      </c>
      <c r="CJ142" s="126" t="e">
        <f t="shared" ref="CJ142" si="2122">AVERAGE(BS142:BS143)</f>
        <v>#DIV/0!</v>
      </c>
      <c r="CK142" s="126" t="e">
        <f t="shared" ref="CK142" si="2123">AVERAGE(BT142:BT143)</f>
        <v>#DIV/0!</v>
      </c>
      <c r="CL142" s="126" t="e">
        <f t="shared" ref="CL142" si="2124">AVERAGE(BU142:BU143)</f>
        <v>#DIV/0!</v>
      </c>
      <c r="CM142" s="126" t="e">
        <f t="shared" ref="CM142" si="2125">AVERAGE(BV142:BV143)</f>
        <v>#DIV/0!</v>
      </c>
      <c r="CN142" s="126" t="e">
        <f t="shared" ref="CN142" si="2126">AVERAGE(BW142:BW143)</f>
        <v>#DIV/0!</v>
      </c>
      <c r="CO142" s="126" t="e">
        <f t="shared" ref="CO142" si="2127">AVERAGE(BX142:BX143)</f>
        <v>#DIV/0!</v>
      </c>
      <c r="CP142" s="126" t="e">
        <f t="shared" ref="CP142" si="2128">AVERAGE(BY142:BY143)</f>
        <v>#DIV/0!</v>
      </c>
      <c r="CQ142" s="126" t="e">
        <f t="shared" ref="CQ142" si="2129">AVERAGE(BZ142:BZ143)</f>
        <v>#DIV/0!</v>
      </c>
      <c r="CR142" s="157" t="e">
        <f t="shared" ref="CR142" si="2130">AVERAGE(CA142:CA143)</f>
        <v>#DIV/0!</v>
      </c>
      <c r="CS142" s="51" t="e">
        <f t="shared" ref="CS142" si="2131">AVERAGE(CB142:CB143)</f>
        <v>#DIV/0!</v>
      </c>
      <c r="CT142" s="157" t="e">
        <f t="shared" ref="CT142" si="2132">AVERAGE(CC142:CC143)</f>
        <v>#DIV/0!</v>
      </c>
      <c r="CU142" s="126" t="e">
        <f t="shared" ref="CU142" si="2133">AVERAGE(CD142:CD143)</f>
        <v>#DIV/0!</v>
      </c>
      <c r="CV142" s="157" t="e">
        <f t="shared" ref="CV142" si="2134">AVERAGE(CE142:CE143)</f>
        <v>#DIV/0!</v>
      </c>
      <c r="CX142" s="150">
        <v>2</v>
      </c>
      <c r="CZ142" s="225" t="e">
        <f t="shared" ref="CZ142" si="2135">CG142*$CX142</f>
        <v>#DIV/0!</v>
      </c>
      <c r="DA142" s="160" t="e">
        <f t="shared" ref="DA142" si="2136">CH142*$CX142</f>
        <v>#DIV/0!</v>
      </c>
      <c r="DB142" s="160" t="e">
        <f t="shared" ref="DB142" si="2137">CI142*$CX142</f>
        <v>#DIV/0!</v>
      </c>
      <c r="DC142" s="160" t="e">
        <f t="shared" ref="DC142" si="2138">CJ142*$CX142</f>
        <v>#DIV/0!</v>
      </c>
      <c r="DD142" s="160" t="e">
        <f t="shared" ref="DD142" si="2139">CK142*$CX142</f>
        <v>#DIV/0!</v>
      </c>
      <c r="DE142" s="160" t="e">
        <f t="shared" ref="DE142" si="2140">CL142*$CX142</f>
        <v>#DIV/0!</v>
      </c>
      <c r="DF142" s="160" t="e">
        <f t="shared" ref="DF142" si="2141">CM142*$CX142</f>
        <v>#DIV/0!</v>
      </c>
      <c r="DG142" s="160" t="e">
        <f t="shared" ref="DG142" si="2142">CN142*$CX142</f>
        <v>#DIV/0!</v>
      </c>
      <c r="DH142" s="160" t="e">
        <f t="shared" ref="DH142" si="2143">CO142*$CX142</f>
        <v>#DIV/0!</v>
      </c>
      <c r="DI142" s="160" t="e">
        <f t="shared" ref="DI142" si="2144">CP142*$CX142</f>
        <v>#DIV/0!</v>
      </c>
      <c r="DJ142" s="160" t="e">
        <f t="shared" ref="DJ142" si="2145">CQ142*$CX142</f>
        <v>#DIV/0!</v>
      </c>
      <c r="DK142" s="161" t="e">
        <f t="shared" ref="DK142" si="2146">CR142*$CX142</f>
        <v>#DIV/0!</v>
      </c>
      <c r="DL142" s="225" t="e">
        <f t="shared" ref="DL142" si="2147">CS142*$CX142</f>
        <v>#DIV/0!</v>
      </c>
      <c r="DM142" s="161" t="e">
        <f t="shared" ref="DM142" si="2148">CT142*$CX142</f>
        <v>#DIV/0!</v>
      </c>
      <c r="DN142" s="225" t="e">
        <f t="shared" ref="DN142" si="2149">CU142*$CX142</f>
        <v>#DIV/0!</v>
      </c>
      <c r="DO142" s="161" t="e">
        <f t="shared" ref="DO142" si="2150">CV142*$CX142</f>
        <v>#DIV/0!</v>
      </c>
      <c r="DQ142" s="117"/>
      <c r="DR142" s="77"/>
      <c r="DS142" s="117"/>
      <c r="DT142" s="149"/>
      <c r="DU142" s="77"/>
      <c r="DV142" s="77"/>
      <c r="DW142" s="117"/>
      <c r="DX142" s="149"/>
      <c r="DY142" s="77"/>
      <c r="DZ142" s="77"/>
      <c r="EA142" s="117"/>
      <c r="EB142" s="149"/>
      <c r="EC142" s="77"/>
      <c r="ED142" s="77"/>
      <c r="EE142" s="77"/>
      <c r="EF142" s="117"/>
      <c r="EG142" s="149"/>
      <c r="EH142" s="77"/>
      <c r="EI142" s="149"/>
    </row>
    <row r="143" spans="1:139" x14ac:dyDescent="0.25">
      <c r="A143" s="334">
        <f t="shared" si="2053"/>
        <v>45984</v>
      </c>
      <c r="B143" s="334" t="s">
        <v>15</v>
      </c>
      <c r="C143" s="334"/>
      <c r="D143" s="609"/>
      <c r="E143" s="609"/>
      <c r="F143" s="176"/>
      <c r="G143" s="305"/>
      <c r="H143" s="323">
        <f t="shared" si="1980"/>
        <v>0</v>
      </c>
      <c r="I143" s="323">
        <f t="shared" si="1981"/>
        <v>0</v>
      </c>
      <c r="J143" s="323">
        <f t="shared" si="1982"/>
        <v>0</v>
      </c>
      <c r="K143" s="176"/>
      <c r="L143" s="178"/>
      <c r="M143" s="176"/>
      <c r="N143" s="178"/>
      <c r="O143" s="177"/>
      <c r="P143" s="177"/>
      <c r="Q143" s="176"/>
      <c r="R143" s="178"/>
      <c r="S143" s="320">
        <f t="shared" si="1983"/>
        <v>0</v>
      </c>
      <c r="V143" s="320">
        <f t="shared" si="1984"/>
        <v>0</v>
      </c>
      <c r="W143" s="177"/>
      <c r="X143" s="177"/>
      <c r="Y143" s="176"/>
      <c r="Z143" s="178"/>
      <c r="AA143" s="320">
        <f t="shared" si="1985"/>
        <v>0</v>
      </c>
      <c r="AD143" s="320">
        <f t="shared" si="1986"/>
        <v>0</v>
      </c>
      <c r="AE143" s="176"/>
      <c r="AF143" s="177"/>
      <c r="AG143" s="176"/>
      <c r="AH143" s="178"/>
      <c r="AJ143" s="12"/>
      <c r="AK143" s="5"/>
      <c r="AL143" s="9"/>
      <c r="AM143" s="358"/>
      <c r="AN143" s="5"/>
      <c r="AO143" s="13"/>
      <c r="AQ143" s="131"/>
      <c r="AR143" s="131"/>
      <c r="AS143" s="191"/>
      <c r="AT143" s="192"/>
      <c r="AU143" s="193"/>
      <c r="AV143" s="154"/>
      <c r="AW143" s="131"/>
      <c r="AY143" s="212"/>
      <c r="AZ143" s="213"/>
      <c r="BA143" s="214"/>
      <c r="BB143" s="214"/>
      <c r="BC143" s="212"/>
      <c r="BD143" s="213"/>
      <c r="BE143" s="212"/>
      <c r="BF143" s="213"/>
      <c r="BG143" s="214"/>
      <c r="BH143" s="214"/>
      <c r="BI143" s="214"/>
      <c r="BJ143" s="213"/>
      <c r="BK143" s="212"/>
      <c r="BL143" s="213"/>
      <c r="BM143" s="212"/>
      <c r="BN143" s="213"/>
      <c r="BO143" s="50"/>
      <c r="BP143" s="217"/>
      <c r="BQ143" s="218"/>
      <c r="BR143" s="217"/>
      <c r="BS143" s="218"/>
      <c r="BT143" s="217"/>
      <c r="BU143" s="218"/>
      <c r="BV143" s="217"/>
      <c r="BW143" s="218"/>
      <c r="BX143" s="217"/>
      <c r="BY143" s="218"/>
      <c r="BZ143" s="217"/>
      <c r="CA143" s="218"/>
      <c r="CB143" s="217"/>
      <c r="CC143" s="218"/>
      <c r="CD143" s="217"/>
      <c r="CE143" s="218"/>
      <c r="CG143" s="176"/>
      <c r="CH143" s="177"/>
      <c r="CI143" s="177"/>
      <c r="CJ143" s="177"/>
      <c r="CK143" s="177"/>
      <c r="CL143" s="177"/>
      <c r="CM143" s="177"/>
      <c r="CN143" s="177"/>
      <c r="CO143" s="177"/>
      <c r="CP143" s="177"/>
      <c r="CQ143" s="177"/>
      <c r="CR143" s="178"/>
      <c r="CS143" s="176"/>
      <c r="CT143" s="178"/>
      <c r="CU143" s="177"/>
      <c r="CV143" s="178"/>
      <c r="CX143" s="131"/>
      <c r="CZ143" s="176"/>
      <c r="DA143" s="177"/>
      <c r="DB143" s="177"/>
      <c r="DC143" s="177"/>
      <c r="DD143" s="177"/>
      <c r="DE143" s="177"/>
      <c r="DF143" s="177"/>
      <c r="DG143" s="177"/>
      <c r="DH143" s="177"/>
      <c r="DI143" s="177"/>
      <c r="DJ143" s="177"/>
      <c r="DK143" s="178"/>
      <c r="DL143" s="176"/>
      <c r="DM143" s="178"/>
      <c r="DN143" s="176"/>
      <c r="DO143" s="178"/>
      <c r="DQ143" s="32"/>
      <c r="DR143" s="34"/>
      <c r="DS143" s="32"/>
      <c r="DT143" s="33"/>
      <c r="DU143" s="34"/>
      <c r="DV143" s="34"/>
      <c r="DW143" s="32"/>
      <c r="DX143" s="33"/>
      <c r="DY143" s="34"/>
      <c r="DZ143" s="34"/>
      <c r="EA143" s="32"/>
      <c r="EB143" s="33"/>
      <c r="EC143" s="34"/>
      <c r="ED143" s="34"/>
      <c r="EE143" s="34"/>
      <c r="EF143" s="32"/>
      <c r="EG143" s="33"/>
      <c r="EH143" s="34"/>
      <c r="EI143" s="33"/>
    </row>
    <row r="144" spans="1:139" x14ac:dyDescent="0.25">
      <c r="A144" s="196"/>
      <c r="B144" s="189"/>
      <c r="C144" s="196"/>
      <c r="D144" s="202">
        <f t="shared" ref="D144:G144" si="2151">SUM(D137:D143)</f>
        <v>0</v>
      </c>
      <c r="E144" s="202">
        <f t="shared" si="2151"/>
        <v>0</v>
      </c>
      <c r="F144" s="202">
        <f t="shared" si="2151"/>
        <v>0</v>
      </c>
      <c r="G144" s="203">
        <f t="shared" si="2151"/>
        <v>0</v>
      </c>
      <c r="H144" s="202">
        <f t="shared" ref="H144:AH144" si="2152">SUM(H137:H143)</f>
        <v>0</v>
      </c>
      <c r="I144" s="202">
        <f t="shared" si="2152"/>
        <v>0</v>
      </c>
      <c r="J144" s="202">
        <f t="shared" si="2152"/>
        <v>0</v>
      </c>
      <c r="K144" s="202">
        <f t="shared" si="2152"/>
        <v>0</v>
      </c>
      <c r="L144" s="204">
        <f t="shared" si="2152"/>
        <v>0</v>
      </c>
      <c r="M144" s="202">
        <f t="shared" si="2152"/>
        <v>0</v>
      </c>
      <c r="N144" s="204">
        <f t="shared" si="2152"/>
        <v>0</v>
      </c>
      <c r="O144" s="202">
        <f t="shared" si="2152"/>
        <v>0</v>
      </c>
      <c r="P144" s="204">
        <f t="shared" si="2152"/>
        <v>0</v>
      </c>
      <c r="Q144" s="202">
        <f t="shared" si="2152"/>
        <v>0</v>
      </c>
      <c r="R144" s="204">
        <f t="shared" si="2152"/>
        <v>0</v>
      </c>
      <c r="S144" s="202">
        <f t="shared" si="2152"/>
        <v>0</v>
      </c>
      <c r="T144" s="205">
        <f t="shared" si="2152"/>
        <v>0</v>
      </c>
      <c r="U144" s="205">
        <f t="shared" si="2152"/>
        <v>0</v>
      </c>
      <c r="V144" s="203">
        <f t="shared" si="2152"/>
        <v>0</v>
      </c>
      <c r="W144" s="205">
        <f t="shared" si="2152"/>
        <v>0</v>
      </c>
      <c r="X144" s="205">
        <f t="shared" si="2152"/>
        <v>0</v>
      </c>
      <c r="Y144" s="202">
        <f t="shared" si="2152"/>
        <v>0</v>
      </c>
      <c r="Z144" s="204">
        <f t="shared" si="2152"/>
        <v>0</v>
      </c>
      <c r="AA144" s="202">
        <f t="shared" si="2152"/>
        <v>0</v>
      </c>
      <c r="AB144" s="205">
        <f t="shared" si="2152"/>
        <v>0</v>
      </c>
      <c r="AC144" s="205">
        <f t="shared" si="2152"/>
        <v>0</v>
      </c>
      <c r="AD144" s="203">
        <f t="shared" si="2152"/>
        <v>0</v>
      </c>
      <c r="AE144" s="205">
        <f t="shared" si="2152"/>
        <v>0</v>
      </c>
      <c r="AF144" s="205">
        <f t="shared" si="2152"/>
        <v>0</v>
      </c>
      <c r="AG144" s="202">
        <f t="shared" si="2152"/>
        <v>0</v>
      </c>
      <c r="AH144" s="204">
        <f t="shared" si="2152"/>
        <v>0</v>
      </c>
      <c r="AI144" s="357"/>
      <c r="AJ144" s="12"/>
      <c r="AK144" s="5"/>
      <c r="AL144" s="9"/>
      <c r="AM144" s="358"/>
      <c r="AN144" s="5"/>
      <c r="AO144" s="13"/>
      <c r="AQ144" s="131"/>
      <c r="AR144" s="131"/>
      <c r="AS144" s="191"/>
      <c r="AT144" s="192"/>
      <c r="AU144" s="193"/>
      <c r="AV144" s="194" t="e">
        <f>AVERAGE(AV137:AV141)*2+AVERAGE(AV142:AV143)*2</f>
        <v>#DIV/0!</v>
      </c>
      <c r="AW144" s="131"/>
      <c r="AY144" s="212"/>
      <c r="AZ144" s="213"/>
      <c r="BA144" s="214"/>
      <c r="BB144" s="214"/>
      <c r="BC144" s="212"/>
      <c r="BD144" s="213"/>
      <c r="BE144" s="212"/>
      <c r="BF144" s="213"/>
      <c r="BG144" s="214"/>
      <c r="BH144" s="214"/>
      <c r="BI144" s="214"/>
      <c r="BJ144" s="213"/>
      <c r="BK144" s="156"/>
      <c r="BL144" s="156"/>
      <c r="BM144" s="156"/>
      <c r="BN144" s="156"/>
      <c r="BO144" s="50"/>
      <c r="BP144" s="217"/>
      <c r="BQ144" s="218"/>
      <c r="BR144" s="217"/>
      <c r="BS144" s="218"/>
      <c r="BT144" s="217"/>
      <c r="BU144" s="218"/>
      <c r="BV144" s="217"/>
      <c r="BW144" s="218"/>
      <c r="BX144" s="217"/>
      <c r="BY144" s="218"/>
      <c r="BZ144" s="217"/>
      <c r="CA144" s="218"/>
      <c r="CB144" s="217"/>
      <c r="CC144" s="218"/>
      <c r="CD144" s="217"/>
      <c r="CE144" s="218"/>
      <c r="CG144" s="219"/>
      <c r="CH144" s="220"/>
      <c r="CI144" s="220"/>
      <c r="CJ144" s="220"/>
      <c r="CK144" s="220"/>
      <c r="CL144" s="220"/>
      <c r="CM144" s="220"/>
      <c r="CN144" s="220"/>
      <c r="CO144" s="220"/>
      <c r="CP144" s="220"/>
      <c r="CQ144" s="220"/>
      <c r="CR144" s="221"/>
      <c r="CS144" s="219"/>
      <c r="CT144" s="220"/>
      <c r="CU144" s="220"/>
      <c r="CV144" s="221"/>
      <c r="CX144" s="222"/>
      <c r="CZ144" s="226" t="e">
        <f t="shared" ref="CZ144:DO144" si="2153">CZ142+CZ137</f>
        <v>#DIV/0!</v>
      </c>
      <c r="DA144" s="227" t="e">
        <f t="shared" si="2153"/>
        <v>#DIV/0!</v>
      </c>
      <c r="DB144" s="227" t="e">
        <f t="shared" si="2153"/>
        <v>#DIV/0!</v>
      </c>
      <c r="DC144" s="227" t="e">
        <f t="shared" si="2153"/>
        <v>#DIV/0!</v>
      </c>
      <c r="DD144" s="227" t="e">
        <f t="shared" si="2153"/>
        <v>#DIV/0!</v>
      </c>
      <c r="DE144" s="227" t="e">
        <f t="shared" si="2153"/>
        <v>#DIV/0!</v>
      </c>
      <c r="DF144" s="227" t="e">
        <f t="shared" si="2153"/>
        <v>#DIV/0!</v>
      </c>
      <c r="DG144" s="227" t="e">
        <f t="shared" si="2153"/>
        <v>#DIV/0!</v>
      </c>
      <c r="DH144" s="227" t="e">
        <f t="shared" si="2153"/>
        <v>#DIV/0!</v>
      </c>
      <c r="DI144" s="227" t="e">
        <f t="shared" si="2153"/>
        <v>#DIV/0!</v>
      </c>
      <c r="DJ144" s="227" t="e">
        <f t="shared" si="2153"/>
        <v>#DIV/0!</v>
      </c>
      <c r="DK144" s="228" t="e">
        <f t="shared" si="2153"/>
        <v>#DIV/0!</v>
      </c>
      <c r="DL144" s="226" t="e">
        <f t="shared" si="2153"/>
        <v>#DIV/0!</v>
      </c>
      <c r="DM144" s="228" t="e">
        <f t="shared" si="2153"/>
        <v>#DIV/0!</v>
      </c>
      <c r="DN144" s="226" t="e">
        <f t="shared" si="2153"/>
        <v>#DIV/0!</v>
      </c>
      <c r="DO144" s="228" t="e">
        <f t="shared" si="2153"/>
        <v>#DIV/0!</v>
      </c>
      <c r="DQ144" s="32"/>
      <c r="DR144" s="34"/>
      <c r="DS144" s="32"/>
      <c r="DT144" s="33"/>
      <c r="DU144" s="34"/>
      <c r="DV144" s="34"/>
      <c r="DW144" s="32"/>
      <c r="DX144" s="33"/>
      <c r="DY144" s="34"/>
      <c r="DZ144" s="34"/>
      <c r="EA144" s="32"/>
      <c r="EB144" s="33"/>
      <c r="EC144" s="34"/>
      <c r="ED144" s="34"/>
      <c r="EE144" s="34"/>
      <c r="EF144" s="32"/>
      <c r="EG144" s="33"/>
      <c r="EH144" s="34"/>
      <c r="EI144" s="33"/>
    </row>
    <row r="145" spans="1:139" x14ac:dyDescent="0.25">
      <c r="AJ145" s="12"/>
      <c r="AK145" s="5"/>
      <c r="AL145" s="9"/>
      <c r="AM145" s="358"/>
      <c r="AN145" s="5"/>
      <c r="AO145" s="13"/>
    </row>
    <row r="146" spans="1:139" x14ac:dyDescent="0.25">
      <c r="A146" s="206">
        <f>A137+7</f>
        <v>45985</v>
      </c>
      <c r="B146" s="207" t="s">
        <v>7</v>
      </c>
      <c r="C146" s="206"/>
      <c r="D146" s="41"/>
      <c r="E146" s="41"/>
      <c r="F146" s="41"/>
      <c r="G146" s="179"/>
      <c r="H146" s="208">
        <f t="shared" ref="H146:H184" si="2154">I146+J146</f>
        <v>0</v>
      </c>
      <c r="I146" s="208">
        <f t="shared" ref="I146:I184" si="2155">K146+M146+Q146</f>
        <v>0</v>
      </c>
      <c r="J146" s="208">
        <f t="shared" ref="J146:J184" si="2156">L146+N146+R146</f>
        <v>0</v>
      </c>
      <c r="K146" s="41"/>
      <c r="L146" s="42"/>
      <c r="M146" s="41"/>
      <c r="N146" s="42"/>
      <c r="O146" s="165"/>
      <c r="P146" s="165"/>
      <c r="Q146" s="41"/>
      <c r="R146" s="42"/>
      <c r="S146" s="319">
        <f t="shared" ref="S146:S184" si="2157">T146+U146</f>
        <v>0</v>
      </c>
      <c r="T146" s="165"/>
      <c r="U146" s="165"/>
      <c r="V146" s="319">
        <f t="shared" ref="V146:V184" si="2158">W146+X146</f>
        <v>0</v>
      </c>
      <c r="W146" s="165"/>
      <c r="X146" s="165"/>
      <c r="Y146" s="41"/>
      <c r="Z146" s="42"/>
      <c r="AA146" s="319">
        <f t="shared" ref="AA146:AA184" si="2159">AB146+AC146</f>
        <v>0</v>
      </c>
      <c r="AB146" s="165"/>
      <c r="AC146" s="165"/>
      <c r="AD146" s="319">
        <f t="shared" ref="AD146:AD184" si="2160">AE146+AF146</f>
        <v>0</v>
      </c>
      <c r="AE146" s="41"/>
      <c r="AF146" s="165"/>
      <c r="AG146" s="41"/>
      <c r="AH146" s="42"/>
      <c r="AJ146" s="12"/>
      <c r="AK146" s="5"/>
      <c r="AL146" s="9"/>
      <c r="AM146" s="358"/>
      <c r="AN146" s="5"/>
      <c r="AO146" s="13"/>
      <c r="AQ146" s="28"/>
      <c r="AR146" s="28"/>
      <c r="AS146" s="146" t="e">
        <f t="shared" ref="AS146:AS184" si="2161">AQ146/AR146</f>
        <v>#DIV/0!</v>
      </c>
      <c r="AT146" s="359">
        <v>8.9</v>
      </c>
      <c r="AU146" s="190">
        <v>1</v>
      </c>
      <c r="AV146" s="179" t="e">
        <f t="shared" ref="AV146:AV148" si="2162">AT146*AS146*AU146</f>
        <v>#DIV/0!</v>
      </c>
      <c r="AW146" s="28"/>
      <c r="AY146" s="155" t="e">
        <f t="shared" ref="AY146" si="2163">H146/G146</f>
        <v>#DIV/0!</v>
      </c>
      <c r="AZ146" s="156" t="e">
        <f t="shared" ref="AZ146" si="2164">I146/G146</f>
        <v>#DIV/0!</v>
      </c>
      <c r="BA146" s="127" t="e">
        <f t="shared" ref="BA146" si="2165">(K146+L146)/$G146</f>
        <v>#DIV/0!</v>
      </c>
      <c r="BB146" s="127" t="e">
        <f t="shared" ref="BB146" si="2166">K146/$G146</f>
        <v>#DIV/0!</v>
      </c>
      <c r="BC146" s="155" t="e">
        <f t="shared" ref="BC146" si="2167">(M146+N146)/$G146</f>
        <v>#DIV/0!</v>
      </c>
      <c r="BD146" s="156" t="e">
        <f t="shared" ref="BD146" si="2168">M146/$G146</f>
        <v>#DIV/0!</v>
      </c>
      <c r="BE146" s="155" t="e">
        <f t="shared" ref="BE146" si="2169">(Q146+R146)/$G146</f>
        <v>#DIV/0!</v>
      </c>
      <c r="BF146" s="156" t="e">
        <f t="shared" ref="BF146" si="2170">Q146/$G146</f>
        <v>#DIV/0!</v>
      </c>
      <c r="BG146" s="127" t="e">
        <f t="shared" ref="BG146" si="2171">S146/$G146</f>
        <v>#DIV/0!</v>
      </c>
      <c r="BH146" s="127" t="e">
        <f t="shared" ref="BH146" si="2172">V146/$G146</f>
        <v>#DIV/0!</v>
      </c>
      <c r="BI146" s="127" t="e">
        <f t="shared" ref="BI146" si="2173">AA146/$G146</f>
        <v>#DIV/0!</v>
      </c>
      <c r="BJ146" s="156" t="e">
        <f t="shared" ref="BJ146" si="2174">AD146/$G146</f>
        <v>#DIV/0!</v>
      </c>
      <c r="BK146" s="155" t="e">
        <f t="shared" ref="BK146" si="2175">Y146/$G146</f>
        <v>#DIV/0!</v>
      </c>
      <c r="BL146" s="156" t="e">
        <f t="shared" ref="BL146" si="2176">Z146/$G146</f>
        <v>#DIV/0!</v>
      </c>
      <c r="BM146" s="155" t="e">
        <f t="shared" ref="BM146" si="2177">AG146/$G146</f>
        <v>#DIV/0!</v>
      </c>
      <c r="BN146" s="156" t="e">
        <f t="shared" ref="BN146" si="2178">AH146/$G146</f>
        <v>#DIV/0!</v>
      </c>
      <c r="BO146" s="50"/>
      <c r="BP146" s="51" t="e">
        <f t="shared" ref="BP146" si="2179">AY146*$AV146</f>
        <v>#DIV/0!</v>
      </c>
      <c r="BQ146" s="157" t="e">
        <f t="shared" ref="BQ146" si="2180">AZ146*$AV146</f>
        <v>#DIV/0!</v>
      </c>
      <c r="BR146" s="51" t="e">
        <f t="shared" ref="BR146" si="2181">BA146*$AV146</f>
        <v>#DIV/0!</v>
      </c>
      <c r="BS146" s="157" t="e">
        <f t="shared" ref="BS146" si="2182">BB146*$AV146</f>
        <v>#DIV/0!</v>
      </c>
      <c r="BT146" s="51" t="e">
        <f t="shared" ref="BT146" si="2183">BC146*$AV146</f>
        <v>#DIV/0!</v>
      </c>
      <c r="BU146" s="157" t="e">
        <f t="shared" ref="BU146" si="2184">BD146*$AV146</f>
        <v>#DIV/0!</v>
      </c>
      <c r="BV146" s="51" t="e">
        <f t="shared" ref="BV146" si="2185">BE146*$AV146</f>
        <v>#DIV/0!</v>
      </c>
      <c r="BW146" s="157" t="e">
        <f t="shared" ref="BW146" si="2186">BF146*$AV146</f>
        <v>#DIV/0!</v>
      </c>
      <c r="BX146" s="51" t="e">
        <f t="shared" ref="BX146" si="2187">BG146*$AV146</f>
        <v>#DIV/0!</v>
      </c>
      <c r="BY146" s="157" t="e">
        <f t="shared" ref="BY146" si="2188">BH146*$AV146</f>
        <v>#DIV/0!</v>
      </c>
      <c r="BZ146" s="51" t="e">
        <f t="shared" ref="BZ146" si="2189">BI146*$AV146</f>
        <v>#DIV/0!</v>
      </c>
      <c r="CA146" s="157" t="e">
        <f t="shared" ref="CA146" si="2190">BJ146*$AV146</f>
        <v>#DIV/0!</v>
      </c>
      <c r="CB146" s="51" t="e">
        <f t="shared" ref="CB146" si="2191">BK146*$AV146</f>
        <v>#DIV/0!</v>
      </c>
      <c r="CC146" s="157" t="e">
        <f t="shared" ref="CC146" si="2192">BL146*$AV146</f>
        <v>#DIV/0!</v>
      </c>
      <c r="CD146" s="51" t="e">
        <f t="shared" ref="CD146" si="2193">BM146*$AV146</f>
        <v>#DIV/0!</v>
      </c>
      <c r="CE146" s="157" t="e">
        <f t="shared" ref="CE146" si="2194">BN146*$AV146</f>
        <v>#DIV/0!</v>
      </c>
      <c r="CG146" s="215" t="e">
        <f t="shared" ref="CG146:CV146" si="2195">AVERAGE(BP146:BP150)</f>
        <v>#DIV/0!</v>
      </c>
      <c r="CH146" s="175" t="e">
        <f t="shared" si="2195"/>
        <v>#DIV/0!</v>
      </c>
      <c r="CI146" s="175" t="e">
        <f t="shared" si="2195"/>
        <v>#DIV/0!</v>
      </c>
      <c r="CJ146" s="175" t="e">
        <f t="shared" si="2195"/>
        <v>#DIV/0!</v>
      </c>
      <c r="CK146" s="175" t="e">
        <f t="shared" si="2195"/>
        <v>#DIV/0!</v>
      </c>
      <c r="CL146" s="175" t="e">
        <f t="shared" si="2195"/>
        <v>#DIV/0!</v>
      </c>
      <c r="CM146" s="175" t="e">
        <f t="shared" si="2195"/>
        <v>#DIV/0!</v>
      </c>
      <c r="CN146" s="175" t="e">
        <f t="shared" si="2195"/>
        <v>#DIV/0!</v>
      </c>
      <c r="CO146" s="175" t="e">
        <f t="shared" si="2195"/>
        <v>#DIV/0!</v>
      </c>
      <c r="CP146" s="175" t="e">
        <f t="shared" si="2195"/>
        <v>#DIV/0!</v>
      </c>
      <c r="CQ146" s="175" t="e">
        <f t="shared" si="2195"/>
        <v>#DIV/0!</v>
      </c>
      <c r="CR146" s="216" t="e">
        <f t="shared" si="2195"/>
        <v>#DIV/0!</v>
      </c>
      <c r="CS146" s="215" t="e">
        <f t="shared" si="2195"/>
        <v>#DIV/0!</v>
      </c>
      <c r="CT146" s="216" t="e">
        <f t="shared" si="2195"/>
        <v>#DIV/0!</v>
      </c>
      <c r="CU146" s="175" t="e">
        <f t="shared" si="2195"/>
        <v>#DIV/0!</v>
      </c>
      <c r="CV146" s="216" t="e">
        <f t="shared" si="2195"/>
        <v>#DIV/0!</v>
      </c>
      <c r="CX146" s="56">
        <v>5</v>
      </c>
      <c r="CZ146" s="223" t="e">
        <f t="shared" ref="CZ146" si="2196">CG146*$CX146</f>
        <v>#DIV/0!</v>
      </c>
      <c r="DA146" s="159" t="e">
        <f t="shared" ref="DA146" si="2197">CH146*$CX146</f>
        <v>#DIV/0!</v>
      </c>
      <c r="DB146" s="159" t="e">
        <f t="shared" ref="DB146" si="2198">CI146*$CX146</f>
        <v>#DIV/0!</v>
      </c>
      <c r="DC146" s="159" t="e">
        <f t="shared" ref="DC146" si="2199">CJ146*$CX146</f>
        <v>#DIV/0!</v>
      </c>
      <c r="DD146" s="159" t="e">
        <f t="shared" ref="DD146" si="2200">CK146*$CX146</f>
        <v>#DIV/0!</v>
      </c>
      <c r="DE146" s="159" t="e">
        <f t="shared" ref="DE146" si="2201">CL146*$CX146</f>
        <v>#DIV/0!</v>
      </c>
      <c r="DF146" s="159" t="e">
        <f t="shared" ref="DF146" si="2202">CM146*$CX146</f>
        <v>#DIV/0!</v>
      </c>
      <c r="DG146" s="159" t="e">
        <f t="shared" ref="DG146" si="2203">CN146*$CX146</f>
        <v>#DIV/0!</v>
      </c>
      <c r="DH146" s="159" t="e">
        <f t="shared" ref="DH146" si="2204">CO146*$CX146</f>
        <v>#DIV/0!</v>
      </c>
      <c r="DI146" s="159" t="e">
        <f t="shared" ref="DI146" si="2205">CP146*$CX146</f>
        <v>#DIV/0!</v>
      </c>
      <c r="DJ146" s="159" t="e">
        <f t="shared" ref="DJ146" si="2206">CQ146*$CX146</f>
        <v>#DIV/0!</v>
      </c>
      <c r="DK146" s="224" t="e">
        <f t="shared" ref="DK146" si="2207">CR146*$CX146</f>
        <v>#DIV/0!</v>
      </c>
      <c r="DL146" s="223" t="e">
        <f t="shared" ref="DL146" si="2208">CS146*$CX146</f>
        <v>#DIV/0!</v>
      </c>
      <c r="DM146" s="224" t="e">
        <f t="shared" ref="DM146" si="2209">CT146*$CX146</f>
        <v>#DIV/0!</v>
      </c>
      <c r="DN146" s="223" t="e">
        <f t="shared" ref="DN146" si="2210">CU146*$CX146</f>
        <v>#DIV/0!</v>
      </c>
      <c r="DO146" s="224" t="e">
        <f t="shared" ref="DO146" si="2211">CV146*$CX146</f>
        <v>#DIV/0!</v>
      </c>
      <c r="DQ146" s="130"/>
      <c r="DR146" s="229"/>
      <c r="DS146" s="130"/>
      <c r="DT146" s="230"/>
      <c r="DU146" s="229"/>
      <c r="DV146" s="229"/>
      <c r="DW146" s="130"/>
      <c r="DX146" s="230"/>
      <c r="DY146" s="229"/>
      <c r="DZ146" s="229"/>
      <c r="EA146" s="130"/>
      <c r="EB146" s="230"/>
      <c r="EC146" s="229"/>
      <c r="ED146" s="229"/>
      <c r="EE146" s="229"/>
      <c r="EF146" s="130"/>
      <c r="EG146" s="230"/>
      <c r="EH146" s="229"/>
      <c r="EI146" s="230"/>
    </row>
    <row r="147" spans="1:139" x14ac:dyDescent="0.25">
      <c r="A147" s="195">
        <f t="shared" ref="A147:A152" si="2212">A146+1</f>
        <v>45986</v>
      </c>
      <c r="B147" s="158" t="s">
        <v>94</v>
      </c>
      <c r="C147" s="195"/>
      <c r="D147" s="608"/>
      <c r="E147" s="608"/>
      <c r="F147" s="45"/>
      <c r="G147" s="154"/>
      <c r="H147" s="169">
        <f t="shared" si="2154"/>
        <v>0</v>
      </c>
      <c r="I147" s="169">
        <f t="shared" si="2155"/>
        <v>0</v>
      </c>
      <c r="J147" s="169">
        <f t="shared" si="2156"/>
        <v>0</v>
      </c>
      <c r="K147" s="45"/>
      <c r="L147" s="151"/>
      <c r="M147" s="45"/>
      <c r="N147" s="151"/>
      <c r="Q147" s="45"/>
      <c r="R147" s="151"/>
      <c r="S147" s="320">
        <f t="shared" si="2157"/>
        <v>0</v>
      </c>
      <c r="V147" s="320">
        <f t="shared" si="2158"/>
        <v>0</v>
      </c>
      <c r="Y147" s="45"/>
      <c r="Z147" s="151"/>
      <c r="AA147" s="320">
        <f t="shared" si="2159"/>
        <v>0</v>
      </c>
      <c r="AD147" s="320">
        <f t="shared" si="2160"/>
        <v>0</v>
      </c>
      <c r="AE147" s="45"/>
      <c r="AG147" s="45"/>
      <c r="AH147" s="151"/>
      <c r="AJ147" s="12"/>
      <c r="AK147" s="5"/>
      <c r="AL147" s="9"/>
      <c r="AM147" s="358"/>
      <c r="AN147" s="5"/>
      <c r="AO147" s="13"/>
      <c r="AQ147" s="50"/>
      <c r="AR147" s="50"/>
      <c r="AS147" s="148"/>
      <c r="AT147" s="152"/>
      <c r="AU147" s="153"/>
      <c r="AV147" s="154"/>
      <c r="AW147" s="50"/>
      <c r="AY147" s="155"/>
      <c r="AZ147" s="156"/>
      <c r="BA147" s="127"/>
      <c r="BB147" s="127"/>
      <c r="BC147" s="155"/>
      <c r="BD147" s="156"/>
      <c r="BE147" s="155"/>
      <c r="BF147" s="156"/>
      <c r="BG147" s="127"/>
      <c r="BH147" s="127"/>
      <c r="BI147" s="127"/>
      <c r="BJ147" s="156"/>
      <c r="BK147" s="155"/>
      <c r="BL147" s="156"/>
      <c r="BM147" s="155"/>
      <c r="BN147" s="156"/>
      <c r="BO147" s="50"/>
      <c r="BP147" s="51"/>
      <c r="BQ147" s="157"/>
      <c r="BR147" s="51"/>
      <c r="BS147" s="157"/>
      <c r="BT147" s="51"/>
      <c r="BU147" s="157"/>
      <c r="BV147" s="51"/>
      <c r="BW147" s="157"/>
      <c r="BX147" s="51"/>
      <c r="BY147" s="157"/>
      <c r="BZ147" s="51"/>
      <c r="CA147" s="157"/>
      <c r="CB147" s="51"/>
      <c r="CC147" s="157"/>
      <c r="CD147" s="51"/>
      <c r="CE147" s="157"/>
      <c r="CG147" s="45"/>
      <c r="CR147" s="151"/>
      <c r="CS147" s="45"/>
      <c r="CT147" s="151"/>
      <c r="CV147" s="151"/>
      <c r="CX147" s="50"/>
      <c r="CZ147" s="45"/>
      <c r="DK147" s="151"/>
      <c r="DL147" s="45"/>
      <c r="DM147" s="151"/>
      <c r="DN147" s="45"/>
      <c r="DO147" s="151"/>
      <c r="DQ147" s="117"/>
      <c r="DR147" s="77"/>
      <c r="DS147" s="117"/>
      <c r="DT147" s="149"/>
      <c r="DU147" s="77"/>
      <c r="DV147" s="77"/>
      <c r="DW147" s="117"/>
      <c r="DX147" s="149"/>
      <c r="DY147" s="77"/>
      <c r="DZ147" s="77"/>
      <c r="EA147" s="117"/>
      <c r="EB147" s="149"/>
      <c r="EC147" s="77"/>
      <c r="ED147" s="77"/>
      <c r="EE147" s="77"/>
      <c r="EF147" s="117"/>
      <c r="EG147" s="149"/>
      <c r="EH147" s="77"/>
      <c r="EI147" s="149"/>
    </row>
    <row r="148" spans="1:139" x14ac:dyDescent="0.25">
      <c r="A148" s="195">
        <f t="shared" si="2212"/>
        <v>45987</v>
      </c>
      <c r="B148" s="158" t="s">
        <v>11</v>
      </c>
      <c r="C148" s="195"/>
      <c r="D148" s="45"/>
      <c r="E148" s="45"/>
      <c r="F148" s="45"/>
      <c r="G148" s="154"/>
      <c r="H148" s="169">
        <f t="shared" si="2154"/>
        <v>0</v>
      </c>
      <c r="I148" s="169">
        <f t="shared" si="2155"/>
        <v>0</v>
      </c>
      <c r="J148" s="169">
        <f t="shared" si="2156"/>
        <v>0</v>
      </c>
      <c r="K148" s="45"/>
      <c r="L148" s="151"/>
      <c r="M148" s="45"/>
      <c r="N148" s="151"/>
      <c r="Q148" s="45"/>
      <c r="R148" s="151"/>
      <c r="S148" s="320">
        <f t="shared" si="2157"/>
        <v>0</v>
      </c>
      <c r="V148" s="320">
        <f t="shared" si="2158"/>
        <v>0</v>
      </c>
      <c r="Y148" s="45"/>
      <c r="Z148" s="151"/>
      <c r="AA148" s="320">
        <f t="shared" si="2159"/>
        <v>0</v>
      </c>
      <c r="AD148" s="320">
        <f t="shared" si="2160"/>
        <v>0</v>
      </c>
      <c r="AE148" s="45"/>
      <c r="AG148" s="45"/>
      <c r="AH148" s="151"/>
      <c r="AJ148" s="12"/>
      <c r="AK148" s="5"/>
      <c r="AL148" s="9"/>
      <c r="AM148" s="358"/>
      <c r="AN148" s="5"/>
      <c r="AO148" s="13"/>
      <c r="AQ148" s="50"/>
      <c r="AR148" s="50"/>
      <c r="AS148" s="148" t="e">
        <f t="shared" si="2161"/>
        <v>#DIV/0!</v>
      </c>
      <c r="AT148" s="152">
        <v>8.8000000000000007</v>
      </c>
      <c r="AU148" s="153">
        <v>1</v>
      </c>
      <c r="AV148" s="154" t="e">
        <f t="shared" si="2162"/>
        <v>#DIV/0!</v>
      </c>
      <c r="AW148" s="50"/>
      <c r="AY148" s="155" t="e">
        <f t="shared" ref="AY148" si="2213">H148/G148</f>
        <v>#DIV/0!</v>
      </c>
      <c r="AZ148" s="156" t="e">
        <f t="shared" ref="AZ148" si="2214">I148/G148</f>
        <v>#DIV/0!</v>
      </c>
      <c r="BA148" s="127" t="e">
        <f t="shared" ref="BA148" si="2215">(K148+L148)/$G148</f>
        <v>#DIV/0!</v>
      </c>
      <c r="BB148" s="127" t="e">
        <f t="shared" ref="BB148" si="2216">K148/$G148</f>
        <v>#DIV/0!</v>
      </c>
      <c r="BC148" s="155" t="e">
        <f t="shared" ref="BC148" si="2217">(M148+N148)/$G148</f>
        <v>#DIV/0!</v>
      </c>
      <c r="BD148" s="156" t="e">
        <f t="shared" ref="BD148" si="2218">M148/$G148</f>
        <v>#DIV/0!</v>
      </c>
      <c r="BE148" s="155" t="e">
        <f t="shared" ref="BE148" si="2219">(Q148+R148)/$G148</f>
        <v>#DIV/0!</v>
      </c>
      <c r="BF148" s="156" t="e">
        <f t="shared" ref="BF148" si="2220">Q148/$G148</f>
        <v>#DIV/0!</v>
      </c>
      <c r="BG148" s="127" t="e">
        <f t="shared" ref="BG148" si="2221">S148/$G148</f>
        <v>#DIV/0!</v>
      </c>
      <c r="BH148" s="127" t="e">
        <f t="shared" ref="BH148" si="2222">V148/$G148</f>
        <v>#DIV/0!</v>
      </c>
      <c r="BI148" s="127" t="e">
        <f t="shared" ref="BI148" si="2223">AA148/$G148</f>
        <v>#DIV/0!</v>
      </c>
      <c r="BJ148" s="156" t="e">
        <f t="shared" ref="BJ148" si="2224">AD148/$G148</f>
        <v>#DIV/0!</v>
      </c>
      <c r="BK148" s="155" t="e">
        <f t="shared" ref="BK148" si="2225">Y148/$G148</f>
        <v>#DIV/0!</v>
      </c>
      <c r="BL148" s="156" t="e">
        <f t="shared" ref="BL148" si="2226">Z148/$G148</f>
        <v>#DIV/0!</v>
      </c>
      <c r="BM148" s="155" t="e">
        <f t="shared" ref="BM148" si="2227">AG148/$G148</f>
        <v>#DIV/0!</v>
      </c>
      <c r="BN148" s="156" t="e">
        <f t="shared" ref="BN148" si="2228">AH148/$G148</f>
        <v>#DIV/0!</v>
      </c>
      <c r="BO148" s="50"/>
      <c r="BP148" s="51" t="e">
        <f t="shared" ref="BP148" si="2229">AY148*$AV148</f>
        <v>#DIV/0!</v>
      </c>
      <c r="BQ148" s="157" t="e">
        <f t="shared" ref="BQ148" si="2230">AZ148*$AV148</f>
        <v>#DIV/0!</v>
      </c>
      <c r="BR148" s="51" t="e">
        <f t="shared" ref="BR148" si="2231">BA148*$AV148</f>
        <v>#DIV/0!</v>
      </c>
      <c r="BS148" s="157" t="e">
        <f t="shared" ref="BS148" si="2232">BB148*$AV148</f>
        <v>#DIV/0!</v>
      </c>
      <c r="BT148" s="51" t="e">
        <f t="shared" ref="BT148" si="2233">BC148*$AV148</f>
        <v>#DIV/0!</v>
      </c>
      <c r="BU148" s="157" t="e">
        <f t="shared" ref="BU148" si="2234">BD148*$AV148</f>
        <v>#DIV/0!</v>
      </c>
      <c r="BV148" s="51" t="e">
        <f t="shared" ref="BV148" si="2235">BE148*$AV148</f>
        <v>#DIV/0!</v>
      </c>
      <c r="BW148" s="157" t="e">
        <f t="shared" ref="BW148" si="2236">BF148*$AV148</f>
        <v>#DIV/0!</v>
      </c>
      <c r="BX148" s="51" t="e">
        <f t="shared" ref="BX148" si="2237">BG148*$AV148</f>
        <v>#DIV/0!</v>
      </c>
      <c r="BY148" s="157" t="e">
        <f t="shared" ref="BY148" si="2238">BH148*$AV148</f>
        <v>#DIV/0!</v>
      </c>
      <c r="BZ148" s="51" t="e">
        <f t="shared" ref="BZ148" si="2239">BI148*$AV148</f>
        <v>#DIV/0!</v>
      </c>
      <c r="CA148" s="157" t="e">
        <f t="shared" ref="CA148" si="2240">BJ148*$AV148</f>
        <v>#DIV/0!</v>
      </c>
      <c r="CB148" s="51" t="e">
        <f t="shared" ref="CB148" si="2241">BK148*$AV148</f>
        <v>#DIV/0!</v>
      </c>
      <c r="CC148" s="157" t="e">
        <f t="shared" ref="CC148" si="2242">BL148*$AV148</f>
        <v>#DIV/0!</v>
      </c>
      <c r="CD148" s="51" t="e">
        <f t="shared" ref="CD148" si="2243">BM148*$AV148</f>
        <v>#DIV/0!</v>
      </c>
      <c r="CE148" s="157" t="e">
        <f t="shared" ref="CE148" si="2244">BN148*$AV148</f>
        <v>#DIV/0!</v>
      </c>
      <c r="CG148" s="45"/>
      <c r="CR148" s="151"/>
      <c r="CS148" s="45"/>
      <c r="CT148" s="151"/>
      <c r="CV148" s="151"/>
      <c r="CX148" s="50"/>
      <c r="CZ148" s="45"/>
      <c r="DK148" s="151"/>
      <c r="DL148" s="45"/>
      <c r="DM148" s="151"/>
      <c r="DN148" s="45"/>
      <c r="DO148" s="151"/>
      <c r="DQ148" s="117"/>
      <c r="DR148" s="77"/>
      <c r="DS148" s="117"/>
      <c r="DT148" s="149"/>
      <c r="DU148" s="77"/>
      <c r="DV148" s="77"/>
      <c r="DW148" s="117"/>
      <c r="DX148" s="149"/>
      <c r="DY148" s="77"/>
      <c r="DZ148" s="77"/>
      <c r="EA148" s="117"/>
      <c r="EB148" s="149"/>
      <c r="EC148" s="77"/>
      <c r="ED148" s="77"/>
      <c r="EE148" s="77"/>
      <c r="EF148" s="117"/>
      <c r="EG148" s="149"/>
      <c r="EH148" s="77"/>
      <c r="EI148" s="149"/>
    </row>
    <row r="149" spans="1:139" x14ac:dyDescent="0.25">
      <c r="A149" s="195">
        <f t="shared" si="2212"/>
        <v>45988</v>
      </c>
      <c r="B149" s="158" t="s">
        <v>95</v>
      </c>
      <c r="C149" s="195"/>
      <c r="D149" s="608"/>
      <c r="E149" s="608"/>
      <c r="F149" s="45"/>
      <c r="G149" s="154"/>
      <c r="H149" s="169">
        <f t="shared" si="2154"/>
        <v>0</v>
      </c>
      <c r="I149" s="169">
        <f t="shared" si="2155"/>
        <v>0</v>
      </c>
      <c r="J149" s="169">
        <f t="shared" si="2156"/>
        <v>0</v>
      </c>
      <c r="K149" s="45"/>
      <c r="L149" s="151"/>
      <c r="M149" s="45"/>
      <c r="N149" s="151"/>
      <c r="Q149" s="45"/>
      <c r="R149" s="151"/>
      <c r="S149" s="320">
        <f t="shared" si="2157"/>
        <v>0</v>
      </c>
      <c r="V149" s="320">
        <f t="shared" si="2158"/>
        <v>0</v>
      </c>
      <c r="Y149" s="45"/>
      <c r="Z149" s="151"/>
      <c r="AA149" s="320">
        <f t="shared" si="2159"/>
        <v>0</v>
      </c>
      <c r="AD149" s="320">
        <f t="shared" si="2160"/>
        <v>0</v>
      </c>
      <c r="AE149" s="45"/>
      <c r="AG149" s="45"/>
      <c r="AH149" s="151"/>
      <c r="AJ149" s="12"/>
      <c r="AK149" s="5"/>
      <c r="AL149" s="9"/>
      <c r="AM149" s="358"/>
      <c r="AN149" s="5"/>
      <c r="AO149" s="13"/>
      <c r="AQ149" s="50"/>
      <c r="AR149" s="50"/>
      <c r="AS149" s="148">
        <v>0</v>
      </c>
      <c r="AT149" s="152"/>
      <c r="AU149" s="153">
        <v>1</v>
      </c>
      <c r="AV149" s="154">
        <f t="shared" ref="AV149:AV152" si="2245">AT149*AS149*AU149</f>
        <v>0</v>
      </c>
      <c r="AW149" s="50">
        <v>2</v>
      </c>
      <c r="AY149" s="155"/>
      <c r="AZ149" s="156"/>
      <c r="BA149" s="127"/>
      <c r="BB149" s="127"/>
      <c r="BC149" s="155"/>
      <c r="BD149" s="156"/>
      <c r="BE149" s="155"/>
      <c r="BF149" s="156"/>
      <c r="BG149" s="127"/>
      <c r="BH149" s="127"/>
      <c r="BI149" s="127"/>
      <c r="BJ149" s="156"/>
      <c r="BK149" s="155"/>
      <c r="BL149" s="156"/>
      <c r="BM149" s="155"/>
      <c r="BN149" s="156"/>
      <c r="BO149" s="50"/>
      <c r="BP149" s="51"/>
      <c r="BQ149" s="157"/>
      <c r="BR149" s="51"/>
      <c r="BS149" s="157"/>
      <c r="BT149" s="51"/>
      <c r="BU149" s="157"/>
      <c r="BV149" s="51"/>
      <c r="BW149" s="157"/>
      <c r="BX149" s="51"/>
      <c r="BY149" s="157"/>
      <c r="BZ149" s="51"/>
      <c r="CA149" s="157"/>
      <c r="CB149" s="51"/>
      <c r="CC149" s="157"/>
      <c r="CD149" s="51"/>
      <c r="CE149" s="157"/>
      <c r="CG149" s="45"/>
      <c r="CR149" s="151"/>
      <c r="CS149" s="45"/>
      <c r="CT149" s="151"/>
      <c r="CV149" s="151"/>
      <c r="CX149" s="50"/>
      <c r="CZ149" s="45"/>
      <c r="DK149" s="151"/>
      <c r="DL149" s="45"/>
      <c r="DM149" s="151"/>
      <c r="DN149" s="45"/>
      <c r="DO149" s="151"/>
      <c r="DQ149" s="117"/>
      <c r="DR149" s="77"/>
      <c r="DS149" s="117"/>
      <c r="DT149" s="149"/>
      <c r="DU149" s="77"/>
      <c r="DV149" s="77"/>
      <c r="DW149" s="117"/>
      <c r="DX149" s="149"/>
      <c r="DY149" s="77"/>
      <c r="DZ149" s="77"/>
      <c r="EA149" s="117"/>
      <c r="EB149" s="149"/>
      <c r="EC149" s="77"/>
      <c r="ED149" s="77"/>
      <c r="EE149" s="77"/>
      <c r="EF149" s="117"/>
      <c r="EG149" s="149"/>
      <c r="EH149" s="77"/>
      <c r="EI149" s="149"/>
    </row>
    <row r="150" spans="1:139" x14ac:dyDescent="0.25">
      <c r="A150" s="195">
        <f t="shared" si="2212"/>
        <v>45989</v>
      </c>
      <c r="B150" s="195" t="s">
        <v>13</v>
      </c>
      <c r="C150" s="195"/>
      <c r="D150" s="608"/>
      <c r="E150" s="608"/>
      <c r="F150" s="45"/>
      <c r="G150" s="154"/>
      <c r="H150" s="169">
        <f t="shared" si="2154"/>
        <v>0</v>
      </c>
      <c r="I150" s="169">
        <f t="shared" si="2155"/>
        <v>0</v>
      </c>
      <c r="J150" s="169">
        <f t="shared" si="2156"/>
        <v>0</v>
      </c>
      <c r="K150" s="45"/>
      <c r="L150" s="151"/>
      <c r="M150" s="45"/>
      <c r="N150" s="151"/>
      <c r="Q150" s="45"/>
      <c r="R150" s="151"/>
      <c r="S150" s="320">
        <f t="shared" si="2157"/>
        <v>0</v>
      </c>
      <c r="V150" s="320">
        <f t="shared" si="2158"/>
        <v>0</v>
      </c>
      <c r="Y150" s="45"/>
      <c r="Z150" s="151"/>
      <c r="AA150" s="320">
        <f t="shared" si="2159"/>
        <v>0</v>
      </c>
      <c r="AD150" s="320">
        <f t="shared" si="2160"/>
        <v>0</v>
      </c>
      <c r="AE150" s="45"/>
      <c r="AG150" s="45"/>
      <c r="AH150" s="151"/>
      <c r="AJ150" s="12"/>
      <c r="AK150" s="5"/>
      <c r="AL150" s="9"/>
      <c r="AM150" s="358"/>
      <c r="AN150" s="5"/>
      <c r="AO150" s="13"/>
      <c r="AQ150" s="50"/>
      <c r="AR150" s="50"/>
      <c r="AS150" s="148"/>
      <c r="AT150" s="152"/>
      <c r="AU150" s="153"/>
      <c r="AV150" s="154"/>
      <c r="AW150" s="50"/>
      <c r="AY150" s="155"/>
      <c r="AZ150" s="156"/>
      <c r="BA150" s="127"/>
      <c r="BB150" s="127"/>
      <c r="BC150" s="155"/>
      <c r="BD150" s="156"/>
      <c r="BE150" s="155"/>
      <c r="BF150" s="156"/>
      <c r="BG150" s="127"/>
      <c r="BH150" s="127"/>
      <c r="BI150" s="127"/>
      <c r="BJ150" s="156"/>
      <c r="BK150" s="155"/>
      <c r="BL150" s="156"/>
      <c r="BM150" s="155"/>
      <c r="BN150" s="156"/>
      <c r="BO150" s="50"/>
      <c r="BP150" s="51"/>
      <c r="BQ150" s="157"/>
      <c r="BR150" s="51"/>
      <c r="BS150" s="157"/>
      <c r="BT150" s="51"/>
      <c r="BU150" s="157"/>
      <c r="BV150" s="51"/>
      <c r="BW150" s="157"/>
      <c r="BX150" s="51"/>
      <c r="BY150" s="157"/>
      <c r="BZ150" s="51"/>
      <c r="CA150" s="157"/>
      <c r="CB150" s="51"/>
      <c r="CC150" s="157"/>
      <c r="CD150" s="51"/>
      <c r="CE150" s="157"/>
      <c r="CG150" s="45"/>
      <c r="CR150" s="151"/>
      <c r="CS150" s="45"/>
      <c r="CT150" s="151"/>
      <c r="CV150" s="151"/>
      <c r="CX150" s="50"/>
      <c r="CZ150" s="45"/>
      <c r="DK150" s="151"/>
      <c r="DL150" s="45"/>
      <c r="DM150" s="151"/>
      <c r="DN150" s="45"/>
      <c r="DO150" s="151"/>
      <c r="DQ150" s="117"/>
      <c r="DR150" s="77"/>
      <c r="DS150" s="117"/>
      <c r="DT150" s="149"/>
      <c r="DU150" s="77"/>
      <c r="DV150" s="77"/>
      <c r="DW150" s="117"/>
      <c r="DX150" s="149"/>
      <c r="DY150" s="77"/>
      <c r="DZ150" s="77"/>
      <c r="EA150" s="117"/>
      <c r="EB150" s="149"/>
      <c r="EC150" s="77"/>
      <c r="ED150" s="77"/>
      <c r="EE150" s="77"/>
      <c r="EF150" s="117"/>
      <c r="EG150" s="149"/>
      <c r="EH150" s="77"/>
      <c r="EI150" s="149"/>
    </row>
    <row r="151" spans="1:139" x14ac:dyDescent="0.25">
      <c r="A151" s="195">
        <f t="shared" si="2212"/>
        <v>45990</v>
      </c>
      <c r="B151" s="195" t="s">
        <v>14</v>
      </c>
      <c r="C151" s="195"/>
      <c r="D151" s="608"/>
      <c r="E151" s="608"/>
      <c r="F151" s="45"/>
      <c r="G151" s="154"/>
      <c r="H151" s="169">
        <f t="shared" si="2154"/>
        <v>0</v>
      </c>
      <c r="I151" s="169">
        <f t="shared" si="2155"/>
        <v>0</v>
      </c>
      <c r="J151" s="169">
        <f t="shared" si="2156"/>
        <v>0</v>
      </c>
      <c r="K151" s="45"/>
      <c r="L151" s="151"/>
      <c r="M151" s="45"/>
      <c r="N151" s="151"/>
      <c r="Q151" s="45"/>
      <c r="R151" s="151"/>
      <c r="S151" s="320">
        <f t="shared" si="2157"/>
        <v>0</v>
      </c>
      <c r="V151" s="320">
        <f t="shared" si="2158"/>
        <v>0</v>
      </c>
      <c r="Y151" s="45"/>
      <c r="Z151" s="151"/>
      <c r="AA151" s="320">
        <f t="shared" si="2159"/>
        <v>0</v>
      </c>
      <c r="AD151" s="320">
        <f t="shared" si="2160"/>
        <v>0</v>
      </c>
      <c r="AE151" s="45"/>
      <c r="AG151" s="45"/>
      <c r="AH151" s="151"/>
      <c r="AJ151" s="12"/>
      <c r="AK151" s="5"/>
      <c r="AL151" s="9"/>
      <c r="AM151" s="358"/>
      <c r="AN151" s="5"/>
      <c r="AO151" s="13"/>
      <c r="AQ151" s="50"/>
      <c r="AR151" s="50"/>
      <c r="AS151" s="148">
        <v>0</v>
      </c>
      <c r="AT151" s="152"/>
      <c r="AU151" s="153">
        <v>1</v>
      </c>
      <c r="AV151" s="154">
        <f t="shared" si="2245"/>
        <v>0</v>
      </c>
      <c r="AW151" s="50">
        <v>2</v>
      </c>
      <c r="AY151" s="155"/>
      <c r="AZ151" s="156"/>
      <c r="BA151" s="127"/>
      <c r="BB151" s="127"/>
      <c r="BC151" s="155"/>
      <c r="BD151" s="156"/>
      <c r="BE151" s="155"/>
      <c r="BF151" s="156"/>
      <c r="BG151" s="127"/>
      <c r="BH151" s="127"/>
      <c r="BI151" s="127"/>
      <c r="BJ151" s="156"/>
      <c r="BK151" s="155"/>
      <c r="BL151" s="156"/>
      <c r="BM151" s="155"/>
      <c r="BN151" s="156"/>
      <c r="BO151" s="50"/>
      <c r="BP151" s="51">
        <f t="shared" ref="BP151" si="2246">AY151*$AV151</f>
        <v>0</v>
      </c>
      <c r="BQ151" s="157">
        <f t="shared" ref="BQ151" si="2247">AZ151*$AV151</f>
        <v>0</v>
      </c>
      <c r="BR151" s="51">
        <f t="shared" ref="BR151" si="2248">BA151*$AV151</f>
        <v>0</v>
      </c>
      <c r="BS151" s="157">
        <f t="shared" ref="BS151" si="2249">BB151*$AV151</f>
        <v>0</v>
      </c>
      <c r="BT151" s="51">
        <f t="shared" ref="BT151" si="2250">BC151*$AV151</f>
        <v>0</v>
      </c>
      <c r="BU151" s="157">
        <f t="shared" ref="BU151" si="2251">BD151*$AV151</f>
        <v>0</v>
      </c>
      <c r="BV151" s="51">
        <f t="shared" ref="BV151" si="2252">BE151*$AV151</f>
        <v>0</v>
      </c>
      <c r="BW151" s="157">
        <f t="shared" ref="BW151" si="2253">BF151*$AV151</f>
        <v>0</v>
      </c>
      <c r="BX151" s="51">
        <f t="shared" ref="BX151" si="2254">BG151*$AV151</f>
        <v>0</v>
      </c>
      <c r="BY151" s="157">
        <f t="shared" ref="BY151" si="2255">BH151*$AV151</f>
        <v>0</v>
      </c>
      <c r="BZ151" s="51">
        <f t="shared" ref="BZ151" si="2256">BI151*$AV151</f>
        <v>0</v>
      </c>
      <c r="CA151" s="157">
        <f t="shared" ref="CA151" si="2257">BJ151*$AV151</f>
        <v>0</v>
      </c>
      <c r="CB151" s="51">
        <f t="shared" ref="CB151" si="2258">BK151*$AV151</f>
        <v>0</v>
      </c>
      <c r="CC151" s="157">
        <f t="shared" ref="CC151" si="2259">BL151*$AV151</f>
        <v>0</v>
      </c>
      <c r="CD151" s="51">
        <f t="shared" ref="CD151" si="2260">BM151*$AV151</f>
        <v>0</v>
      </c>
      <c r="CE151" s="157">
        <f t="shared" ref="CE151" si="2261">BN151*$AV151</f>
        <v>0</v>
      </c>
      <c r="CG151" s="51">
        <f t="shared" ref="CG151" si="2262">AVERAGE(BP151:BP152)</f>
        <v>0</v>
      </c>
      <c r="CH151" s="126">
        <f t="shared" ref="CH151" si="2263">AVERAGE(BQ151:BQ152)</f>
        <v>0</v>
      </c>
      <c r="CI151" s="126">
        <f t="shared" ref="CI151" si="2264">AVERAGE(BR151:BR152)</f>
        <v>0</v>
      </c>
      <c r="CJ151" s="126">
        <f t="shared" ref="CJ151" si="2265">AVERAGE(BS151:BS152)</f>
        <v>0</v>
      </c>
      <c r="CK151" s="126">
        <f t="shared" ref="CK151" si="2266">AVERAGE(BT151:BT152)</f>
        <v>0</v>
      </c>
      <c r="CL151" s="126">
        <f t="shared" ref="CL151" si="2267">AVERAGE(BU151:BU152)</f>
        <v>0</v>
      </c>
      <c r="CM151" s="126">
        <f t="shared" ref="CM151" si="2268">AVERAGE(BV151:BV152)</f>
        <v>0</v>
      </c>
      <c r="CN151" s="126">
        <f t="shared" ref="CN151" si="2269">AVERAGE(BW151:BW152)</f>
        <v>0</v>
      </c>
      <c r="CO151" s="126">
        <f t="shared" ref="CO151" si="2270">AVERAGE(BX151:BX152)</f>
        <v>0</v>
      </c>
      <c r="CP151" s="126">
        <f t="shared" ref="CP151" si="2271">AVERAGE(BY151:BY152)</f>
        <v>0</v>
      </c>
      <c r="CQ151" s="126">
        <f t="shared" ref="CQ151" si="2272">AVERAGE(BZ151:BZ152)</f>
        <v>0</v>
      </c>
      <c r="CR151" s="157">
        <f t="shared" ref="CR151" si="2273">AVERAGE(CA151:CA152)</f>
        <v>0</v>
      </c>
      <c r="CS151" s="51">
        <f t="shared" ref="CS151" si="2274">AVERAGE(CB151:CB152)</f>
        <v>0</v>
      </c>
      <c r="CT151" s="157">
        <f t="shared" ref="CT151" si="2275">AVERAGE(CC151:CC152)</f>
        <v>0</v>
      </c>
      <c r="CU151" s="126">
        <f t="shared" ref="CU151" si="2276">AVERAGE(CD151:CD152)</f>
        <v>0</v>
      </c>
      <c r="CV151" s="157">
        <f t="shared" ref="CV151" si="2277">AVERAGE(CE151:CE152)</f>
        <v>0</v>
      </c>
      <c r="CX151" s="150">
        <v>2</v>
      </c>
      <c r="CZ151" s="225">
        <f t="shared" ref="CZ151" si="2278">CG151*$CX151</f>
        <v>0</v>
      </c>
      <c r="DA151" s="160">
        <f t="shared" ref="DA151" si="2279">CH151*$CX151</f>
        <v>0</v>
      </c>
      <c r="DB151" s="160">
        <f t="shared" ref="DB151" si="2280">CI151*$CX151</f>
        <v>0</v>
      </c>
      <c r="DC151" s="160">
        <f t="shared" ref="DC151" si="2281">CJ151*$CX151</f>
        <v>0</v>
      </c>
      <c r="DD151" s="160">
        <f t="shared" ref="DD151" si="2282">CK151*$CX151</f>
        <v>0</v>
      </c>
      <c r="DE151" s="160">
        <f t="shared" ref="DE151" si="2283">CL151*$CX151</f>
        <v>0</v>
      </c>
      <c r="DF151" s="160">
        <f t="shared" ref="DF151" si="2284">CM151*$CX151</f>
        <v>0</v>
      </c>
      <c r="DG151" s="160">
        <f t="shared" ref="DG151" si="2285">CN151*$CX151</f>
        <v>0</v>
      </c>
      <c r="DH151" s="160">
        <f t="shared" ref="DH151" si="2286">CO151*$CX151</f>
        <v>0</v>
      </c>
      <c r="DI151" s="160">
        <f t="shared" ref="DI151" si="2287">CP151*$CX151</f>
        <v>0</v>
      </c>
      <c r="DJ151" s="160">
        <f t="shared" ref="DJ151" si="2288">CQ151*$CX151</f>
        <v>0</v>
      </c>
      <c r="DK151" s="161">
        <f t="shared" ref="DK151" si="2289">CR151*$CX151</f>
        <v>0</v>
      </c>
      <c r="DL151" s="225">
        <f t="shared" ref="DL151" si="2290">CS151*$CX151</f>
        <v>0</v>
      </c>
      <c r="DM151" s="161">
        <f t="shared" ref="DM151" si="2291">CT151*$CX151</f>
        <v>0</v>
      </c>
      <c r="DN151" s="225">
        <f t="shared" ref="DN151" si="2292">CU151*$CX151</f>
        <v>0</v>
      </c>
      <c r="DO151" s="161">
        <f t="shared" ref="DO151" si="2293">CV151*$CX151</f>
        <v>0</v>
      </c>
      <c r="DQ151" s="117"/>
      <c r="DR151" s="77"/>
      <c r="DS151" s="117"/>
      <c r="DT151" s="149"/>
      <c r="DU151" s="77"/>
      <c r="DV151" s="77"/>
      <c r="DW151" s="117"/>
      <c r="DX151" s="149"/>
      <c r="DY151" s="77"/>
      <c r="DZ151" s="77"/>
      <c r="EA151" s="117"/>
      <c r="EB151" s="149"/>
      <c r="EC151" s="77"/>
      <c r="ED151" s="77"/>
      <c r="EE151" s="77"/>
      <c r="EF151" s="117"/>
      <c r="EG151" s="149"/>
      <c r="EH151" s="77"/>
      <c r="EI151" s="149"/>
    </row>
    <row r="152" spans="1:139" ht="16.5" thickBot="1" x14ac:dyDescent="0.3">
      <c r="A152" s="334">
        <f t="shared" si="2212"/>
        <v>45991</v>
      </c>
      <c r="B152" s="334" t="s">
        <v>15</v>
      </c>
      <c r="C152" s="334"/>
      <c r="D152" s="609"/>
      <c r="E152" s="609"/>
      <c r="F152" s="176"/>
      <c r="G152" s="305"/>
      <c r="H152" s="323">
        <f t="shared" si="2154"/>
        <v>0</v>
      </c>
      <c r="I152" s="323">
        <f t="shared" si="2155"/>
        <v>0</v>
      </c>
      <c r="J152" s="323">
        <f t="shared" si="2156"/>
        <v>0</v>
      </c>
      <c r="K152" s="176"/>
      <c r="L152" s="178"/>
      <c r="M152" s="176"/>
      <c r="N152" s="178"/>
      <c r="O152" s="177"/>
      <c r="P152" s="177"/>
      <c r="Q152" s="176"/>
      <c r="R152" s="178"/>
      <c r="S152" s="320">
        <f t="shared" si="2157"/>
        <v>0</v>
      </c>
      <c r="V152" s="320">
        <f t="shared" si="2158"/>
        <v>0</v>
      </c>
      <c r="W152" s="177"/>
      <c r="X152" s="177"/>
      <c r="Y152" s="176"/>
      <c r="Z152" s="178"/>
      <c r="AA152" s="320">
        <f t="shared" si="2159"/>
        <v>0</v>
      </c>
      <c r="AD152" s="320">
        <f t="shared" si="2160"/>
        <v>0</v>
      </c>
      <c r="AE152" s="176"/>
      <c r="AF152" s="177"/>
      <c r="AG152" s="176"/>
      <c r="AH152" s="178"/>
      <c r="AJ152" s="12"/>
      <c r="AK152" s="5"/>
      <c r="AL152" s="9"/>
      <c r="AM152" s="358"/>
      <c r="AN152" s="5"/>
      <c r="AO152" s="13"/>
      <c r="AQ152" s="131"/>
      <c r="AR152" s="131"/>
      <c r="AS152" s="191">
        <v>0</v>
      </c>
      <c r="AT152" s="152"/>
      <c r="AU152" s="153">
        <v>1</v>
      </c>
      <c r="AV152" s="539">
        <f t="shared" si="2245"/>
        <v>0</v>
      </c>
      <c r="AW152" s="50"/>
      <c r="AY152" s="155"/>
      <c r="AZ152" s="156"/>
      <c r="BA152" s="127"/>
      <c r="BB152" s="127"/>
      <c r="BC152" s="155"/>
      <c r="BD152" s="156"/>
      <c r="BE152" s="155"/>
      <c r="BF152" s="156"/>
      <c r="BG152" s="127"/>
      <c r="BH152" s="127"/>
      <c r="BI152" s="127"/>
      <c r="BJ152" s="156"/>
      <c r="BK152" s="155"/>
      <c r="BL152" s="156"/>
      <c r="BM152" s="155"/>
      <c r="BN152" s="156"/>
      <c r="BO152" s="50"/>
      <c r="BP152" s="51">
        <f t="shared" ref="BP152" si="2294">AY152*$AV152</f>
        <v>0</v>
      </c>
      <c r="BQ152" s="157">
        <f t="shared" ref="BQ152" si="2295">AZ152*$AV152</f>
        <v>0</v>
      </c>
      <c r="BR152" s="51">
        <f t="shared" ref="BR152" si="2296">BA152*$AV152</f>
        <v>0</v>
      </c>
      <c r="BS152" s="157">
        <f t="shared" ref="BS152" si="2297">BB152*$AV152</f>
        <v>0</v>
      </c>
      <c r="BT152" s="51">
        <f t="shared" ref="BT152" si="2298">BC152*$AV152</f>
        <v>0</v>
      </c>
      <c r="BU152" s="157">
        <f t="shared" ref="BU152" si="2299">BD152*$AV152</f>
        <v>0</v>
      </c>
      <c r="BV152" s="51">
        <f t="shared" ref="BV152" si="2300">BE152*$AV152</f>
        <v>0</v>
      </c>
      <c r="BW152" s="157">
        <f t="shared" ref="BW152" si="2301">BF152*$AV152</f>
        <v>0</v>
      </c>
      <c r="BX152" s="51">
        <f t="shared" ref="BX152" si="2302">BG152*$AV152</f>
        <v>0</v>
      </c>
      <c r="BY152" s="157">
        <f t="shared" ref="BY152" si="2303">BH152*$AV152</f>
        <v>0</v>
      </c>
      <c r="BZ152" s="51">
        <f t="shared" ref="BZ152" si="2304">BI152*$AV152</f>
        <v>0</v>
      </c>
      <c r="CA152" s="157">
        <f t="shared" ref="CA152" si="2305">BJ152*$AV152</f>
        <v>0</v>
      </c>
      <c r="CB152" s="51">
        <f t="shared" ref="CB152" si="2306">BK152*$AV152</f>
        <v>0</v>
      </c>
      <c r="CC152" s="157">
        <f t="shared" ref="CC152" si="2307">BL152*$AV152</f>
        <v>0</v>
      </c>
      <c r="CD152" s="51">
        <f t="shared" ref="CD152" si="2308">BM152*$AV152</f>
        <v>0</v>
      </c>
      <c r="CE152" s="157">
        <f t="shared" ref="CE152" si="2309">BN152*$AV152</f>
        <v>0</v>
      </c>
      <c r="CG152" s="176"/>
      <c r="CH152" s="177"/>
      <c r="CI152" s="177"/>
      <c r="CJ152" s="177"/>
      <c r="CK152" s="177"/>
      <c r="CL152" s="177"/>
      <c r="CM152" s="177"/>
      <c r="CN152" s="177"/>
      <c r="CO152" s="177"/>
      <c r="CP152" s="177"/>
      <c r="CQ152" s="177"/>
      <c r="CR152" s="178"/>
      <c r="CS152" s="176"/>
      <c r="CT152" s="178"/>
      <c r="CU152" s="177"/>
      <c r="CV152" s="178"/>
      <c r="CX152" s="131"/>
      <c r="CZ152" s="176"/>
      <c r="DA152" s="177"/>
      <c r="DB152" s="177"/>
      <c r="DC152" s="177"/>
      <c r="DD152" s="177"/>
      <c r="DE152" s="177"/>
      <c r="DF152" s="177"/>
      <c r="DG152" s="177"/>
      <c r="DH152" s="177"/>
      <c r="DI152" s="177"/>
      <c r="DJ152" s="177"/>
      <c r="DK152" s="178"/>
      <c r="DL152" s="176"/>
      <c r="DM152" s="178"/>
      <c r="DN152" s="176"/>
      <c r="DO152" s="178"/>
      <c r="DQ152" s="32"/>
      <c r="DR152" s="34"/>
      <c r="DS152" s="32"/>
      <c r="DT152" s="33"/>
      <c r="DU152" s="34"/>
      <c r="DV152" s="34"/>
      <c r="DW152" s="32"/>
      <c r="DX152" s="33"/>
      <c r="DY152" s="34"/>
      <c r="DZ152" s="34"/>
      <c r="EA152" s="32"/>
      <c r="EB152" s="33"/>
      <c r="EC152" s="34"/>
      <c r="ED152" s="34"/>
      <c r="EE152" s="34"/>
      <c r="EF152" s="32"/>
      <c r="EG152" s="33"/>
      <c r="EH152" s="34"/>
      <c r="EI152" s="33"/>
    </row>
    <row r="153" spans="1:139" ht="16.5" thickTop="1" x14ac:dyDescent="0.25">
      <c r="A153" s="195"/>
      <c r="B153" s="195"/>
      <c r="C153" s="195"/>
      <c r="D153" s="536">
        <f>SUM(D146:D152)</f>
        <v>0</v>
      </c>
      <c r="E153" s="536">
        <f t="shared" ref="E153:G153" si="2310">SUM(E146:E152)</f>
        <v>0</v>
      </c>
      <c r="F153" s="536">
        <f t="shared" si="2310"/>
        <v>0</v>
      </c>
      <c r="G153" s="536">
        <f t="shared" si="2310"/>
        <v>0</v>
      </c>
      <c r="H153" s="202">
        <f t="shared" ref="H153:AH153" si="2311">SUM(H146:H152)</f>
        <v>0</v>
      </c>
      <c r="I153" s="204">
        <f t="shared" si="2311"/>
        <v>0</v>
      </c>
      <c r="J153" s="202">
        <f t="shared" si="2311"/>
        <v>0</v>
      </c>
      <c r="K153" s="204">
        <f t="shared" si="2311"/>
        <v>0</v>
      </c>
      <c r="L153" s="202">
        <f t="shared" si="2311"/>
        <v>0</v>
      </c>
      <c r="M153" s="204">
        <f t="shared" si="2311"/>
        <v>0</v>
      </c>
      <c r="N153" s="202">
        <f t="shared" si="2311"/>
        <v>0</v>
      </c>
      <c r="O153" s="204">
        <f t="shared" si="2311"/>
        <v>0</v>
      </c>
      <c r="P153" s="202">
        <f t="shared" si="2311"/>
        <v>0</v>
      </c>
      <c r="Q153" s="205">
        <f t="shared" si="2311"/>
        <v>0</v>
      </c>
      <c r="R153" s="205">
        <f t="shared" si="2311"/>
        <v>0</v>
      </c>
      <c r="S153" s="203">
        <f t="shared" si="2311"/>
        <v>0</v>
      </c>
      <c r="T153" s="205">
        <f t="shared" si="2311"/>
        <v>0</v>
      </c>
      <c r="U153" s="205">
        <f t="shared" si="2311"/>
        <v>0</v>
      </c>
      <c r="V153" s="202">
        <f t="shared" si="2311"/>
        <v>0</v>
      </c>
      <c r="W153" s="204">
        <f t="shared" si="2311"/>
        <v>0</v>
      </c>
      <c r="X153" s="202">
        <f t="shared" si="2311"/>
        <v>0</v>
      </c>
      <c r="Y153" s="205">
        <f t="shared" si="2311"/>
        <v>0</v>
      </c>
      <c r="Z153" s="205">
        <f t="shared" si="2311"/>
        <v>0</v>
      </c>
      <c r="AA153" s="203">
        <f t="shared" si="2311"/>
        <v>0</v>
      </c>
      <c r="AB153" s="205">
        <f t="shared" si="2311"/>
        <v>0</v>
      </c>
      <c r="AC153" s="205">
        <f t="shared" si="2311"/>
        <v>0</v>
      </c>
      <c r="AD153" s="202">
        <f t="shared" si="2311"/>
        <v>0</v>
      </c>
      <c r="AE153" s="204">
        <f t="shared" si="2311"/>
        <v>0</v>
      </c>
      <c r="AF153" s="205">
        <f t="shared" si="2311"/>
        <v>0</v>
      </c>
      <c r="AG153" s="202">
        <f t="shared" si="2311"/>
        <v>0</v>
      </c>
      <c r="AH153" s="204">
        <f t="shared" si="2311"/>
        <v>0</v>
      </c>
      <c r="AJ153" s="12"/>
      <c r="AK153" s="5"/>
      <c r="AL153" s="9"/>
      <c r="AM153" s="358"/>
      <c r="AN153" s="5"/>
      <c r="AO153" s="13"/>
      <c r="AQ153" s="50"/>
      <c r="AR153" s="50"/>
      <c r="AS153" s="148"/>
      <c r="AT153" s="537"/>
      <c r="AU153" s="538"/>
      <c r="AV153" s="194" t="e">
        <f>AVERAGE(AV146:AV150)*3+AVERAGE(AV151:AV152)*2</f>
        <v>#DIV/0!</v>
      </c>
      <c r="AW153" s="222"/>
      <c r="AY153" s="509"/>
      <c r="AZ153" s="508"/>
      <c r="BA153" s="355"/>
      <c r="BB153" s="355"/>
      <c r="BC153" s="509"/>
      <c r="BD153" s="508"/>
      <c r="BE153" s="509"/>
      <c r="BF153" s="508"/>
      <c r="BG153" s="355"/>
      <c r="BH153" s="355"/>
      <c r="BI153" s="355"/>
      <c r="BJ153" s="508"/>
      <c r="BK153" s="509"/>
      <c r="BL153" s="508"/>
      <c r="BM153" s="509"/>
      <c r="BN153" s="508"/>
      <c r="BO153" s="50"/>
      <c r="BP153" s="51"/>
      <c r="BQ153" s="157"/>
      <c r="BR153" s="51"/>
      <c r="BS153" s="157"/>
      <c r="BT153" s="51"/>
      <c r="BU153" s="157"/>
      <c r="BV153" s="51"/>
      <c r="BW153" s="157"/>
      <c r="BX153" s="51"/>
      <c r="BY153" s="157"/>
      <c r="BZ153" s="51"/>
      <c r="CA153" s="157"/>
      <c r="CB153" s="51"/>
      <c r="CC153" s="157"/>
      <c r="CD153" s="51"/>
      <c r="CE153" s="157"/>
      <c r="CG153" s="45"/>
      <c r="CR153" s="151"/>
      <c r="CS153" s="45"/>
      <c r="CT153" s="151"/>
      <c r="CV153" s="151"/>
      <c r="CX153" s="50"/>
      <c r="CZ153" s="226" t="e">
        <f t="shared" ref="CZ153:DO153" si="2312">CZ151+CZ146</f>
        <v>#DIV/0!</v>
      </c>
      <c r="DA153" s="227" t="e">
        <f t="shared" si="2312"/>
        <v>#DIV/0!</v>
      </c>
      <c r="DB153" s="227" t="e">
        <f t="shared" si="2312"/>
        <v>#DIV/0!</v>
      </c>
      <c r="DC153" s="227" t="e">
        <f t="shared" si="2312"/>
        <v>#DIV/0!</v>
      </c>
      <c r="DD153" s="227" t="e">
        <f t="shared" si="2312"/>
        <v>#DIV/0!</v>
      </c>
      <c r="DE153" s="227" t="e">
        <f t="shared" si="2312"/>
        <v>#DIV/0!</v>
      </c>
      <c r="DF153" s="227" t="e">
        <f t="shared" si="2312"/>
        <v>#DIV/0!</v>
      </c>
      <c r="DG153" s="227" t="e">
        <f t="shared" si="2312"/>
        <v>#DIV/0!</v>
      </c>
      <c r="DH153" s="227" t="e">
        <f t="shared" si="2312"/>
        <v>#DIV/0!</v>
      </c>
      <c r="DI153" s="227" t="e">
        <f t="shared" si="2312"/>
        <v>#DIV/0!</v>
      </c>
      <c r="DJ153" s="227" t="e">
        <f t="shared" si="2312"/>
        <v>#DIV/0!</v>
      </c>
      <c r="DK153" s="228" t="e">
        <f t="shared" si="2312"/>
        <v>#DIV/0!</v>
      </c>
      <c r="DL153" s="226" t="e">
        <f t="shared" si="2312"/>
        <v>#DIV/0!</v>
      </c>
      <c r="DM153" s="228" t="e">
        <f t="shared" si="2312"/>
        <v>#DIV/0!</v>
      </c>
      <c r="DN153" s="226" t="e">
        <f t="shared" si="2312"/>
        <v>#DIV/0!</v>
      </c>
      <c r="DO153" s="228" t="e">
        <f t="shared" si="2312"/>
        <v>#DIV/0!</v>
      </c>
      <c r="DQ153" s="117"/>
      <c r="DR153" s="77"/>
      <c r="DS153" s="117"/>
      <c r="DT153" s="149"/>
      <c r="DU153" s="77"/>
      <c r="DV153" s="77"/>
      <c r="DW153" s="117"/>
      <c r="DX153" s="149"/>
      <c r="DY153" s="77"/>
      <c r="DZ153" s="77"/>
      <c r="EA153" s="117"/>
      <c r="EB153" s="149"/>
      <c r="EC153" s="77"/>
      <c r="ED153" s="77"/>
      <c r="EE153" s="77"/>
      <c r="EF153" s="117"/>
      <c r="EG153" s="149"/>
      <c r="EH153" s="77"/>
      <c r="EI153" s="149"/>
    </row>
    <row r="154" spans="1:139" x14ac:dyDescent="0.25">
      <c r="A154" s="206">
        <f>A146+7</f>
        <v>45992</v>
      </c>
      <c r="B154" s="207" t="s">
        <v>7</v>
      </c>
      <c r="C154" s="206"/>
      <c r="D154" s="41"/>
      <c r="E154" s="41"/>
      <c r="F154" s="41"/>
      <c r="G154" s="179"/>
      <c r="H154" s="208">
        <f t="shared" si="2154"/>
        <v>0</v>
      </c>
      <c r="I154" s="208">
        <f t="shared" si="2155"/>
        <v>0</v>
      </c>
      <c r="J154" s="208">
        <f t="shared" si="2156"/>
        <v>0</v>
      </c>
      <c r="K154" s="41"/>
      <c r="L154" s="42"/>
      <c r="M154" s="41"/>
      <c r="N154" s="42"/>
      <c r="O154" s="165"/>
      <c r="P154" s="165"/>
      <c r="Q154" s="41"/>
      <c r="R154" s="42"/>
      <c r="S154" s="319">
        <f t="shared" si="2157"/>
        <v>0</v>
      </c>
      <c r="T154" s="165"/>
      <c r="U154" s="165"/>
      <c r="V154" s="319">
        <f t="shared" si="2158"/>
        <v>0</v>
      </c>
      <c r="W154" s="165"/>
      <c r="X154" s="165"/>
      <c r="Y154" s="41"/>
      <c r="Z154" s="42"/>
      <c r="AA154" s="319">
        <f t="shared" si="2159"/>
        <v>0</v>
      </c>
      <c r="AB154" s="165"/>
      <c r="AC154" s="165"/>
      <c r="AD154" s="319">
        <f t="shared" si="2160"/>
        <v>0</v>
      </c>
      <c r="AE154" s="41"/>
      <c r="AF154" s="165"/>
      <c r="AG154" s="41"/>
      <c r="AH154" s="42"/>
      <c r="AJ154" s="12"/>
      <c r="AK154" s="5"/>
      <c r="AL154" s="9"/>
      <c r="AM154" s="358"/>
      <c r="AN154" s="5"/>
      <c r="AO154" s="13"/>
      <c r="AQ154" s="28"/>
      <c r="AR154" s="28"/>
      <c r="AS154" s="148" t="e">
        <f t="shared" ref="AS154:AS155" si="2313">AQ154/AR154</f>
        <v>#DIV/0!</v>
      </c>
      <c r="AT154" s="152">
        <v>8.6</v>
      </c>
      <c r="AU154" s="153">
        <v>1</v>
      </c>
      <c r="AV154" s="154" t="e">
        <f t="shared" ref="AV154:AV155" si="2314">AT154*AS154*AU154</f>
        <v>#DIV/0!</v>
      </c>
      <c r="AW154" s="50">
        <v>2</v>
      </c>
      <c r="AY154" s="155" t="e">
        <f t="shared" ref="AY154:AY155" si="2315">H154/G154</f>
        <v>#DIV/0!</v>
      </c>
      <c r="AZ154" s="156" t="e">
        <f t="shared" ref="AZ154:AZ155" si="2316">I154/G154</f>
        <v>#DIV/0!</v>
      </c>
      <c r="BA154" s="127" t="e">
        <f t="shared" ref="BA154:BA155" si="2317">(K154+L154)/$G154</f>
        <v>#DIV/0!</v>
      </c>
      <c r="BB154" s="127" t="e">
        <f t="shared" ref="BB154:BB155" si="2318">K154/$G154</f>
        <v>#DIV/0!</v>
      </c>
      <c r="BC154" s="155" t="e">
        <f t="shared" ref="BC154:BC155" si="2319">(M154+N154)/$G154</f>
        <v>#DIV/0!</v>
      </c>
      <c r="BD154" s="156" t="e">
        <f t="shared" ref="BD154:BD155" si="2320">M154/$G154</f>
        <v>#DIV/0!</v>
      </c>
      <c r="BE154" s="155" t="e">
        <f t="shared" ref="BE154:BE155" si="2321">(Q154+R154)/$G154</f>
        <v>#DIV/0!</v>
      </c>
      <c r="BF154" s="156" t="e">
        <f t="shared" ref="BF154:BF155" si="2322">Q154/$G154</f>
        <v>#DIV/0!</v>
      </c>
      <c r="BG154" s="127" t="e">
        <f t="shared" ref="BG154:BG155" si="2323">S154/$G154</f>
        <v>#DIV/0!</v>
      </c>
      <c r="BH154" s="127" t="e">
        <f t="shared" ref="BH154:BH155" si="2324">V154/$G154</f>
        <v>#DIV/0!</v>
      </c>
      <c r="BI154" s="127" t="e">
        <f t="shared" ref="BI154:BI155" si="2325">AA154/$G154</f>
        <v>#DIV/0!</v>
      </c>
      <c r="BJ154" s="156" t="e">
        <f t="shared" ref="BJ154:BJ155" si="2326">AD154/$G154</f>
        <v>#DIV/0!</v>
      </c>
      <c r="BK154" s="155" t="e">
        <f t="shared" ref="BK154:BK155" si="2327">Y154/$G154</f>
        <v>#DIV/0!</v>
      </c>
      <c r="BL154" s="156" t="e">
        <f t="shared" ref="BL154:BL155" si="2328">Z154/$G154</f>
        <v>#DIV/0!</v>
      </c>
      <c r="BM154" s="155" t="e">
        <f t="shared" ref="BM154:BM155" si="2329">AG154/$G154</f>
        <v>#DIV/0!</v>
      </c>
      <c r="BN154" s="156" t="e">
        <f t="shared" ref="BN154:BN155" si="2330">AH154/$G154</f>
        <v>#DIV/0!</v>
      </c>
      <c r="BO154" s="50"/>
      <c r="BP154" s="51" t="e">
        <f t="shared" ref="BP154:BP155" si="2331">AY154*$AV154</f>
        <v>#DIV/0!</v>
      </c>
      <c r="BQ154" s="157" t="e">
        <f t="shared" ref="BQ154:BQ155" si="2332">AZ154*$AV154</f>
        <v>#DIV/0!</v>
      </c>
      <c r="BR154" s="51" t="e">
        <f t="shared" ref="BR154:BR155" si="2333">BA154*$AV154</f>
        <v>#DIV/0!</v>
      </c>
      <c r="BS154" s="157" t="e">
        <f t="shared" ref="BS154:BS155" si="2334">BB154*$AV154</f>
        <v>#DIV/0!</v>
      </c>
      <c r="BT154" s="51" t="e">
        <f t="shared" ref="BT154:BT155" si="2335">BC154*$AV154</f>
        <v>#DIV/0!</v>
      </c>
      <c r="BU154" s="157" t="e">
        <f t="shared" ref="BU154:BU155" si="2336">BD154*$AV154</f>
        <v>#DIV/0!</v>
      </c>
      <c r="BV154" s="51" t="e">
        <f t="shared" ref="BV154:BV155" si="2337">BE154*$AV154</f>
        <v>#DIV/0!</v>
      </c>
      <c r="BW154" s="157" t="e">
        <f t="shared" ref="BW154:BW155" si="2338">BF154*$AV154</f>
        <v>#DIV/0!</v>
      </c>
      <c r="BX154" s="51" t="e">
        <f t="shared" ref="BX154:BX155" si="2339">BG154*$AV154</f>
        <v>#DIV/0!</v>
      </c>
      <c r="BY154" s="157" t="e">
        <f t="shared" ref="BY154:BY155" si="2340">BH154*$AV154</f>
        <v>#DIV/0!</v>
      </c>
      <c r="BZ154" s="51" t="e">
        <f t="shared" ref="BZ154:BZ155" si="2341">BI154*$AV154</f>
        <v>#DIV/0!</v>
      </c>
      <c r="CA154" s="157" t="e">
        <f t="shared" ref="CA154:CA155" si="2342">BJ154*$AV154</f>
        <v>#DIV/0!</v>
      </c>
      <c r="CB154" s="51" t="e">
        <f t="shared" ref="CB154:CB155" si="2343">BK154*$AV154</f>
        <v>#DIV/0!</v>
      </c>
      <c r="CC154" s="157" t="e">
        <f t="shared" ref="CC154:CC155" si="2344">BL154*$AV154</f>
        <v>#DIV/0!</v>
      </c>
      <c r="CD154" s="51" t="e">
        <f t="shared" ref="CD154:CD155" si="2345">BM154*$AV154</f>
        <v>#DIV/0!</v>
      </c>
      <c r="CE154" s="157" t="e">
        <f t="shared" ref="CE154:CE155" si="2346">BN154*$AV154</f>
        <v>#DIV/0!</v>
      </c>
      <c r="CG154" s="215" t="e">
        <f t="shared" ref="CG154:CV154" si="2347">AVERAGE(BP154:BP158)</f>
        <v>#DIV/0!</v>
      </c>
      <c r="CH154" s="175" t="e">
        <f t="shared" si="2347"/>
        <v>#DIV/0!</v>
      </c>
      <c r="CI154" s="175" t="e">
        <f t="shared" si="2347"/>
        <v>#DIV/0!</v>
      </c>
      <c r="CJ154" s="175" t="e">
        <f t="shared" si="2347"/>
        <v>#DIV/0!</v>
      </c>
      <c r="CK154" s="175" t="e">
        <f t="shared" si="2347"/>
        <v>#DIV/0!</v>
      </c>
      <c r="CL154" s="175" t="e">
        <f t="shared" si="2347"/>
        <v>#DIV/0!</v>
      </c>
      <c r="CM154" s="175" t="e">
        <f t="shared" si="2347"/>
        <v>#DIV/0!</v>
      </c>
      <c r="CN154" s="175" t="e">
        <f t="shared" si="2347"/>
        <v>#DIV/0!</v>
      </c>
      <c r="CO154" s="175" t="e">
        <f t="shared" si="2347"/>
        <v>#DIV/0!</v>
      </c>
      <c r="CP154" s="175" t="e">
        <f t="shared" si="2347"/>
        <v>#DIV/0!</v>
      </c>
      <c r="CQ154" s="175" t="e">
        <f t="shared" si="2347"/>
        <v>#DIV/0!</v>
      </c>
      <c r="CR154" s="216" t="e">
        <f t="shared" si="2347"/>
        <v>#DIV/0!</v>
      </c>
      <c r="CS154" s="215" t="e">
        <f t="shared" si="2347"/>
        <v>#DIV/0!</v>
      </c>
      <c r="CT154" s="216" t="e">
        <f t="shared" si="2347"/>
        <v>#DIV/0!</v>
      </c>
      <c r="CU154" s="175" t="e">
        <f t="shared" si="2347"/>
        <v>#DIV/0!</v>
      </c>
      <c r="CV154" s="216" t="e">
        <f t="shared" si="2347"/>
        <v>#DIV/0!</v>
      </c>
      <c r="CX154" s="56">
        <v>5</v>
      </c>
      <c r="CZ154" s="223" t="e">
        <f t="shared" ref="CZ154" si="2348">CG154*$CX154</f>
        <v>#DIV/0!</v>
      </c>
      <c r="DA154" s="159" t="e">
        <f t="shared" ref="DA154" si="2349">CH154*$CX154</f>
        <v>#DIV/0!</v>
      </c>
      <c r="DB154" s="159" t="e">
        <f t="shared" ref="DB154" si="2350">CI154*$CX154</f>
        <v>#DIV/0!</v>
      </c>
      <c r="DC154" s="159" t="e">
        <f t="shared" ref="DC154" si="2351">CJ154*$CX154</f>
        <v>#DIV/0!</v>
      </c>
      <c r="DD154" s="159" t="e">
        <f t="shared" ref="DD154" si="2352">CK154*$CX154</f>
        <v>#DIV/0!</v>
      </c>
      <c r="DE154" s="159" t="e">
        <f t="shared" ref="DE154" si="2353">CL154*$CX154</f>
        <v>#DIV/0!</v>
      </c>
      <c r="DF154" s="159" t="e">
        <f t="shared" ref="DF154" si="2354">CM154*$CX154</f>
        <v>#DIV/0!</v>
      </c>
      <c r="DG154" s="159" t="e">
        <f t="shared" ref="DG154" si="2355">CN154*$CX154</f>
        <v>#DIV/0!</v>
      </c>
      <c r="DH154" s="159" t="e">
        <f t="shared" ref="DH154" si="2356">CO154*$CX154</f>
        <v>#DIV/0!</v>
      </c>
      <c r="DI154" s="159" t="e">
        <f t="shared" ref="DI154" si="2357">CP154*$CX154</f>
        <v>#DIV/0!</v>
      </c>
      <c r="DJ154" s="159" t="e">
        <f t="shared" ref="DJ154" si="2358">CQ154*$CX154</f>
        <v>#DIV/0!</v>
      </c>
      <c r="DK154" s="224" t="e">
        <f t="shared" ref="DK154" si="2359">CR154*$CX154</f>
        <v>#DIV/0!</v>
      </c>
      <c r="DL154" s="223" t="e">
        <f t="shared" ref="DL154" si="2360">CS154*$CX154</f>
        <v>#DIV/0!</v>
      </c>
      <c r="DM154" s="224" t="e">
        <f t="shared" ref="DM154" si="2361">CT154*$CX154</f>
        <v>#DIV/0!</v>
      </c>
      <c r="DN154" s="223" t="e">
        <f t="shared" ref="DN154" si="2362">CU154*$CX154</f>
        <v>#DIV/0!</v>
      </c>
      <c r="DO154" s="224" t="e">
        <f t="shared" ref="DO154" si="2363">CV154*$CX154</f>
        <v>#DIV/0!</v>
      </c>
      <c r="DQ154" s="130"/>
      <c r="DR154" s="229"/>
      <c r="DS154" s="130"/>
      <c r="DT154" s="230"/>
      <c r="DU154" s="229"/>
      <c r="DV154" s="229"/>
      <c r="DW154" s="130"/>
      <c r="DX154" s="230"/>
      <c r="DY154" s="229"/>
      <c r="DZ154" s="229"/>
      <c r="EA154" s="130"/>
      <c r="EB154" s="230"/>
      <c r="EC154" s="229"/>
      <c r="ED154" s="229"/>
      <c r="EE154" s="229"/>
      <c r="EF154" s="130"/>
      <c r="EG154" s="230"/>
      <c r="EH154" s="229"/>
      <c r="EI154" s="230"/>
    </row>
    <row r="155" spans="1:139" x14ac:dyDescent="0.25">
      <c r="A155" s="195">
        <f t="shared" ref="A155:A160" si="2364">A154+1</f>
        <v>45993</v>
      </c>
      <c r="B155" s="158" t="s">
        <v>94</v>
      </c>
      <c r="C155" s="195"/>
      <c r="D155" s="45"/>
      <c r="E155" s="45"/>
      <c r="F155" s="45"/>
      <c r="G155" s="154"/>
      <c r="H155" s="169">
        <f t="shared" si="2154"/>
        <v>0</v>
      </c>
      <c r="I155" s="169">
        <f t="shared" si="2155"/>
        <v>0</v>
      </c>
      <c r="J155" s="169">
        <f t="shared" si="2156"/>
        <v>0</v>
      </c>
      <c r="K155" s="45"/>
      <c r="L155" s="151"/>
      <c r="M155" s="45"/>
      <c r="N155" s="151"/>
      <c r="Q155" s="45"/>
      <c r="R155" s="151"/>
      <c r="S155" s="320">
        <f t="shared" si="2157"/>
        <v>0</v>
      </c>
      <c r="V155" s="320">
        <f t="shared" si="2158"/>
        <v>0</v>
      </c>
      <c r="Y155" s="45"/>
      <c r="Z155" s="151"/>
      <c r="AA155" s="320">
        <f t="shared" si="2159"/>
        <v>0</v>
      </c>
      <c r="AD155" s="320">
        <f t="shared" si="2160"/>
        <v>0</v>
      </c>
      <c r="AE155" s="45"/>
      <c r="AG155" s="45"/>
      <c r="AH155" s="151"/>
      <c r="AJ155" s="12"/>
      <c r="AK155" s="5"/>
      <c r="AL155" s="9"/>
      <c r="AM155" s="358"/>
      <c r="AN155" s="5"/>
      <c r="AO155" s="13"/>
      <c r="AQ155" s="50"/>
      <c r="AR155" s="50"/>
      <c r="AS155" s="148" t="e">
        <f t="shared" si="2313"/>
        <v>#DIV/0!</v>
      </c>
      <c r="AT155" s="152">
        <v>8.6</v>
      </c>
      <c r="AU155" s="153">
        <v>1</v>
      </c>
      <c r="AV155" s="154" t="e">
        <f t="shared" si="2314"/>
        <v>#DIV/0!</v>
      </c>
      <c r="AW155" s="50">
        <v>3</v>
      </c>
      <c r="AY155" s="155" t="e">
        <f t="shared" si="2315"/>
        <v>#DIV/0!</v>
      </c>
      <c r="AZ155" s="156" t="e">
        <f t="shared" si="2316"/>
        <v>#DIV/0!</v>
      </c>
      <c r="BA155" s="127" t="e">
        <f t="shared" si="2317"/>
        <v>#DIV/0!</v>
      </c>
      <c r="BB155" s="127" t="e">
        <f t="shared" si="2318"/>
        <v>#DIV/0!</v>
      </c>
      <c r="BC155" s="155" t="e">
        <f t="shared" si="2319"/>
        <v>#DIV/0!</v>
      </c>
      <c r="BD155" s="156" t="e">
        <f t="shared" si="2320"/>
        <v>#DIV/0!</v>
      </c>
      <c r="BE155" s="155" t="e">
        <f t="shared" si="2321"/>
        <v>#DIV/0!</v>
      </c>
      <c r="BF155" s="156" t="e">
        <f t="shared" si="2322"/>
        <v>#DIV/0!</v>
      </c>
      <c r="BG155" s="127" t="e">
        <f t="shared" si="2323"/>
        <v>#DIV/0!</v>
      </c>
      <c r="BH155" s="127" t="e">
        <f t="shared" si="2324"/>
        <v>#DIV/0!</v>
      </c>
      <c r="BI155" s="127" t="e">
        <f t="shared" si="2325"/>
        <v>#DIV/0!</v>
      </c>
      <c r="BJ155" s="156" t="e">
        <f t="shared" si="2326"/>
        <v>#DIV/0!</v>
      </c>
      <c r="BK155" s="155" t="e">
        <f t="shared" si="2327"/>
        <v>#DIV/0!</v>
      </c>
      <c r="BL155" s="156" t="e">
        <f t="shared" si="2328"/>
        <v>#DIV/0!</v>
      </c>
      <c r="BM155" s="155" t="e">
        <f t="shared" si="2329"/>
        <v>#DIV/0!</v>
      </c>
      <c r="BN155" s="156" t="e">
        <f t="shared" si="2330"/>
        <v>#DIV/0!</v>
      </c>
      <c r="BO155" s="50"/>
      <c r="BP155" s="51" t="e">
        <f t="shared" si="2331"/>
        <v>#DIV/0!</v>
      </c>
      <c r="BQ155" s="157" t="e">
        <f t="shared" si="2332"/>
        <v>#DIV/0!</v>
      </c>
      <c r="BR155" s="51" t="e">
        <f t="shared" si="2333"/>
        <v>#DIV/0!</v>
      </c>
      <c r="BS155" s="157" t="e">
        <f t="shared" si="2334"/>
        <v>#DIV/0!</v>
      </c>
      <c r="BT155" s="51" t="e">
        <f t="shared" si="2335"/>
        <v>#DIV/0!</v>
      </c>
      <c r="BU155" s="157" t="e">
        <f t="shared" si="2336"/>
        <v>#DIV/0!</v>
      </c>
      <c r="BV155" s="51" t="e">
        <f t="shared" si="2337"/>
        <v>#DIV/0!</v>
      </c>
      <c r="BW155" s="157" t="e">
        <f t="shared" si="2338"/>
        <v>#DIV/0!</v>
      </c>
      <c r="BX155" s="51" t="e">
        <f t="shared" si="2339"/>
        <v>#DIV/0!</v>
      </c>
      <c r="BY155" s="157" t="e">
        <f t="shared" si="2340"/>
        <v>#DIV/0!</v>
      </c>
      <c r="BZ155" s="51" t="e">
        <f t="shared" si="2341"/>
        <v>#DIV/0!</v>
      </c>
      <c r="CA155" s="157" t="e">
        <f t="shared" si="2342"/>
        <v>#DIV/0!</v>
      </c>
      <c r="CB155" s="51" t="e">
        <f t="shared" si="2343"/>
        <v>#DIV/0!</v>
      </c>
      <c r="CC155" s="157" t="e">
        <f t="shared" si="2344"/>
        <v>#DIV/0!</v>
      </c>
      <c r="CD155" s="51" t="e">
        <f t="shared" si="2345"/>
        <v>#DIV/0!</v>
      </c>
      <c r="CE155" s="157" t="e">
        <f t="shared" si="2346"/>
        <v>#DIV/0!</v>
      </c>
      <c r="CG155" s="45"/>
      <c r="CR155" s="151"/>
      <c r="CS155" s="45"/>
      <c r="CT155" s="151"/>
      <c r="CV155" s="151"/>
      <c r="CX155" s="50"/>
      <c r="CZ155" s="45"/>
      <c r="DK155" s="151"/>
      <c r="DL155" s="45"/>
      <c r="DM155" s="151"/>
      <c r="DN155" s="45"/>
      <c r="DO155" s="151"/>
      <c r="DQ155" s="117"/>
      <c r="DR155" s="77"/>
      <c r="DS155" s="117"/>
      <c r="DT155" s="149"/>
      <c r="DU155" s="77"/>
      <c r="DV155" s="77"/>
      <c r="DW155" s="117"/>
      <c r="DX155" s="149"/>
      <c r="DY155" s="77"/>
      <c r="DZ155" s="77"/>
      <c r="EA155" s="117"/>
      <c r="EB155" s="149"/>
      <c r="EC155" s="77"/>
      <c r="ED155" s="77"/>
      <c r="EE155" s="77"/>
      <c r="EF155" s="117"/>
      <c r="EG155" s="149"/>
      <c r="EH155" s="77"/>
      <c r="EI155" s="149"/>
    </row>
    <row r="156" spans="1:139" x14ac:dyDescent="0.25">
      <c r="A156" s="195">
        <f t="shared" si="2364"/>
        <v>45994</v>
      </c>
      <c r="B156" s="158" t="s">
        <v>11</v>
      </c>
      <c r="C156" s="195"/>
      <c r="D156" s="608"/>
      <c r="E156" s="608"/>
      <c r="F156" s="45"/>
      <c r="G156" s="154"/>
      <c r="H156" s="169">
        <f t="shared" si="2154"/>
        <v>0</v>
      </c>
      <c r="I156" s="169">
        <f t="shared" si="2155"/>
        <v>0</v>
      </c>
      <c r="J156" s="169">
        <f t="shared" si="2156"/>
        <v>0</v>
      </c>
      <c r="K156" s="45"/>
      <c r="L156" s="151"/>
      <c r="M156" s="45"/>
      <c r="N156" s="151"/>
      <c r="Q156" s="45"/>
      <c r="R156" s="151"/>
      <c r="S156" s="320">
        <f t="shared" si="2157"/>
        <v>0</v>
      </c>
      <c r="V156" s="320">
        <f t="shared" si="2158"/>
        <v>0</v>
      </c>
      <c r="Y156" s="45"/>
      <c r="Z156" s="151"/>
      <c r="AA156" s="320">
        <f t="shared" si="2159"/>
        <v>0</v>
      </c>
      <c r="AD156" s="320">
        <f t="shared" si="2160"/>
        <v>0</v>
      </c>
      <c r="AE156" s="45"/>
      <c r="AG156" s="45"/>
      <c r="AH156" s="151"/>
      <c r="AJ156" s="12"/>
      <c r="AK156" s="5"/>
      <c r="AL156" s="9"/>
      <c r="AM156" s="358"/>
      <c r="AN156" s="5"/>
      <c r="AO156" s="13"/>
      <c r="AQ156" s="50"/>
      <c r="AR156" s="50"/>
      <c r="AS156" s="148" t="e">
        <f t="shared" si="2161"/>
        <v>#DIV/0!</v>
      </c>
      <c r="AT156" s="152">
        <v>8.6</v>
      </c>
      <c r="AU156" s="153">
        <v>1</v>
      </c>
      <c r="AV156" s="154" t="e">
        <f t="shared" ref="AV156:AV160" si="2365">AT156*AS156*AU156</f>
        <v>#DIV/0!</v>
      </c>
      <c r="AW156" s="50">
        <v>4</v>
      </c>
      <c r="AY156" s="155"/>
      <c r="AZ156" s="156"/>
      <c r="BA156" s="127"/>
      <c r="BB156" s="127"/>
      <c r="BC156" s="155"/>
      <c r="BD156" s="156"/>
      <c r="BE156" s="155"/>
      <c r="BF156" s="156"/>
      <c r="BG156" s="127"/>
      <c r="BH156" s="127"/>
      <c r="BI156" s="127"/>
      <c r="BJ156" s="156"/>
      <c r="BK156" s="155"/>
      <c r="BL156" s="156"/>
      <c r="BM156" s="155"/>
      <c r="BN156" s="156"/>
      <c r="BO156" s="50"/>
      <c r="BP156" s="51"/>
      <c r="BQ156" s="157"/>
      <c r="BR156" s="51"/>
      <c r="BS156" s="157"/>
      <c r="BT156" s="51"/>
      <c r="BU156" s="157"/>
      <c r="BV156" s="51"/>
      <c r="BW156" s="157"/>
      <c r="BX156" s="51"/>
      <c r="BY156" s="157"/>
      <c r="BZ156" s="51"/>
      <c r="CA156" s="157"/>
      <c r="CB156" s="51"/>
      <c r="CC156" s="157"/>
      <c r="CD156" s="51"/>
      <c r="CE156" s="157"/>
      <c r="CG156" s="45"/>
      <c r="CR156" s="151"/>
      <c r="CS156" s="45"/>
      <c r="CT156" s="151"/>
      <c r="CV156" s="151"/>
      <c r="CX156" s="50"/>
      <c r="CZ156" s="45"/>
      <c r="DK156" s="151"/>
      <c r="DL156" s="45"/>
      <c r="DM156" s="151"/>
      <c r="DN156" s="45"/>
      <c r="DO156" s="151"/>
      <c r="DQ156" s="117"/>
      <c r="DR156" s="77"/>
      <c r="DS156" s="117"/>
      <c r="DT156" s="149"/>
      <c r="DU156" s="77"/>
      <c r="DV156" s="77"/>
      <c r="DW156" s="117"/>
      <c r="DX156" s="149"/>
      <c r="DY156" s="77"/>
      <c r="DZ156" s="77"/>
      <c r="EA156" s="117"/>
      <c r="EB156" s="149"/>
      <c r="EC156" s="77"/>
      <c r="ED156" s="77"/>
      <c r="EE156" s="77"/>
      <c r="EF156" s="117"/>
      <c r="EG156" s="149"/>
      <c r="EH156" s="77"/>
      <c r="EI156" s="149"/>
    </row>
    <row r="157" spans="1:139" x14ac:dyDescent="0.25">
      <c r="A157" s="195">
        <f t="shared" si="2364"/>
        <v>45995</v>
      </c>
      <c r="B157" s="158" t="s">
        <v>95</v>
      </c>
      <c r="C157" s="195"/>
      <c r="D157" s="608"/>
      <c r="E157" s="608"/>
      <c r="F157" s="45"/>
      <c r="G157" s="154"/>
      <c r="H157" s="169">
        <f t="shared" si="2154"/>
        <v>0</v>
      </c>
      <c r="I157" s="169">
        <f t="shared" si="2155"/>
        <v>0</v>
      </c>
      <c r="J157" s="169">
        <f t="shared" si="2156"/>
        <v>0</v>
      </c>
      <c r="K157" s="45"/>
      <c r="L157" s="151"/>
      <c r="M157" s="45"/>
      <c r="N157" s="151"/>
      <c r="Q157" s="45"/>
      <c r="R157" s="151"/>
      <c r="S157" s="320">
        <f t="shared" si="2157"/>
        <v>0</v>
      </c>
      <c r="V157" s="320">
        <f t="shared" si="2158"/>
        <v>0</v>
      </c>
      <c r="Y157" s="45"/>
      <c r="Z157" s="151"/>
      <c r="AA157" s="320">
        <f t="shared" si="2159"/>
        <v>0</v>
      </c>
      <c r="AD157" s="320">
        <f t="shared" si="2160"/>
        <v>0</v>
      </c>
      <c r="AE157" s="45"/>
      <c r="AG157" s="45"/>
      <c r="AH157" s="151"/>
      <c r="AJ157" s="12"/>
      <c r="AK157" s="5"/>
      <c r="AL157" s="9"/>
      <c r="AM157" s="358"/>
      <c r="AN157" s="5"/>
      <c r="AO157" s="13"/>
      <c r="AQ157" s="50"/>
      <c r="AR157" s="50"/>
      <c r="AS157" s="148" t="e">
        <f t="shared" si="2161"/>
        <v>#DIV/0!</v>
      </c>
      <c r="AT157" s="152">
        <v>8.6</v>
      </c>
      <c r="AU157" s="153">
        <v>1</v>
      </c>
      <c r="AV157" s="154" t="e">
        <f t="shared" si="2365"/>
        <v>#DIV/0!</v>
      </c>
      <c r="AW157" s="50"/>
      <c r="AY157" s="155"/>
      <c r="AZ157" s="156"/>
      <c r="BA157" s="127"/>
      <c r="BB157" s="127"/>
      <c r="BC157" s="155"/>
      <c r="BD157" s="156"/>
      <c r="BE157" s="155"/>
      <c r="BF157" s="156"/>
      <c r="BG157" s="127"/>
      <c r="BH157" s="127"/>
      <c r="BI157" s="127"/>
      <c r="BJ157" s="156"/>
      <c r="BK157" s="155"/>
      <c r="BL157" s="156"/>
      <c r="BM157" s="155"/>
      <c r="BN157" s="156"/>
      <c r="BO157" s="50"/>
      <c r="BP157" s="51"/>
      <c r="BQ157" s="157"/>
      <c r="BR157" s="51"/>
      <c r="BS157" s="157"/>
      <c r="BT157" s="51"/>
      <c r="BU157" s="157"/>
      <c r="BV157" s="51"/>
      <c r="BW157" s="157"/>
      <c r="BX157" s="51"/>
      <c r="BY157" s="157"/>
      <c r="BZ157" s="51"/>
      <c r="CA157" s="157"/>
      <c r="CB157" s="51"/>
      <c r="CC157" s="157"/>
      <c r="CD157" s="51"/>
      <c r="CE157" s="157"/>
      <c r="CG157" s="45"/>
      <c r="CR157" s="151"/>
      <c r="CS157" s="45"/>
      <c r="CT157" s="151"/>
      <c r="CV157" s="151"/>
      <c r="CX157" s="50"/>
      <c r="CZ157" s="45"/>
      <c r="DK157" s="151"/>
      <c r="DL157" s="45"/>
      <c r="DM157" s="151"/>
      <c r="DN157" s="45"/>
      <c r="DO157" s="151"/>
      <c r="DQ157" s="117"/>
      <c r="DR157" s="77"/>
      <c r="DS157" s="117"/>
      <c r="DT157" s="149"/>
      <c r="DU157" s="77"/>
      <c r="DV157" s="77"/>
      <c r="DW157" s="117"/>
      <c r="DX157" s="149"/>
      <c r="DY157" s="77"/>
      <c r="DZ157" s="77"/>
      <c r="EA157" s="117"/>
      <c r="EB157" s="149"/>
      <c r="EC157" s="77"/>
      <c r="ED157" s="77"/>
      <c r="EE157" s="77"/>
      <c r="EF157" s="117"/>
      <c r="EG157" s="149"/>
      <c r="EH157" s="77"/>
      <c r="EI157" s="149"/>
    </row>
    <row r="158" spans="1:139" x14ac:dyDescent="0.25">
      <c r="A158" s="195">
        <f t="shared" si="2364"/>
        <v>45996</v>
      </c>
      <c r="B158" s="195" t="s">
        <v>13</v>
      </c>
      <c r="C158" s="195"/>
      <c r="D158" s="45"/>
      <c r="E158" s="45"/>
      <c r="F158" s="45"/>
      <c r="G158" s="154"/>
      <c r="H158" s="169">
        <f t="shared" si="2154"/>
        <v>0</v>
      </c>
      <c r="I158" s="169">
        <f t="shared" si="2155"/>
        <v>0</v>
      </c>
      <c r="J158" s="169">
        <f t="shared" si="2156"/>
        <v>0</v>
      </c>
      <c r="K158" s="45"/>
      <c r="L158" s="151"/>
      <c r="M158" s="45"/>
      <c r="N158" s="151"/>
      <c r="Q158" s="45"/>
      <c r="R158" s="151"/>
      <c r="S158" s="320">
        <f t="shared" si="2157"/>
        <v>0</v>
      </c>
      <c r="V158" s="320">
        <f t="shared" si="2158"/>
        <v>0</v>
      </c>
      <c r="Y158" s="45"/>
      <c r="Z158" s="151"/>
      <c r="AA158" s="320">
        <f t="shared" si="2159"/>
        <v>0</v>
      </c>
      <c r="AD158" s="320">
        <f t="shared" si="2160"/>
        <v>0</v>
      </c>
      <c r="AE158" s="45"/>
      <c r="AG158" s="45"/>
      <c r="AH158" s="151"/>
      <c r="AJ158" s="12"/>
      <c r="AK158" s="5"/>
      <c r="AL158" s="9"/>
      <c r="AM158" s="358"/>
      <c r="AN158" s="5"/>
      <c r="AO158" s="13"/>
      <c r="AQ158" s="50"/>
      <c r="AR158" s="50"/>
      <c r="AS158" s="148" t="e">
        <f t="shared" si="2161"/>
        <v>#DIV/0!</v>
      </c>
      <c r="AT158" s="152">
        <v>8.6</v>
      </c>
      <c r="AU158" s="153">
        <v>1</v>
      </c>
      <c r="AV158" s="154" t="e">
        <f t="shared" si="2365"/>
        <v>#DIV/0!</v>
      </c>
      <c r="AW158" s="50"/>
      <c r="AY158" s="155" t="e">
        <f t="shared" ref="AY158:AY159" si="2366">H158/G158</f>
        <v>#DIV/0!</v>
      </c>
      <c r="AZ158" s="156" t="e">
        <f t="shared" ref="AZ158:AZ159" si="2367">I158/G158</f>
        <v>#DIV/0!</v>
      </c>
      <c r="BA158" s="127" t="e">
        <f t="shared" ref="BA158:BA159" si="2368">(K158+L158)/$G158</f>
        <v>#DIV/0!</v>
      </c>
      <c r="BB158" s="127" t="e">
        <f t="shared" ref="BB158:BB159" si="2369">K158/$G158</f>
        <v>#DIV/0!</v>
      </c>
      <c r="BC158" s="155" t="e">
        <f t="shared" ref="BC158:BC159" si="2370">(M158+N158)/$G158</f>
        <v>#DIV/0!</v>
      </c>
      <c r="BD158" s="156" t="e">
        <f t="shared" ref="BD158:BD159" si="2371">M158/$G158</f>
        <v>#DIV/0!</v>
      </c>
      <c r="BE158" s="155" t="e">
        <f t="shared" ref="BE158:BE159" si="2372">(Q158+R158)/$G158</f>
        <v>#DIV/0!</v>
      </c>
      <c r="BF158" s="156" t="e">
        <f t="shared" ref="BF158:BF159" si="2373">Q158/$G158</f>
        <v>#DIV/0!</v>
      </c>
      <c r="BG158" s="127" t="e">
        <f t="shared" ref="BG158:BG159" si="2374">S158/$G158</f>
        <v>#DIV/0!</v>
      </c>
      <c r="BH158" s="127" t="e">
        <f t="shared" ref="BH158:BH159" si="2375">V158/$G158</f>
        <v>#DIV/0!</v>
      </c>
      <c r="BI158" s="127" t="e">
        <f t="shared" ref="BI158:BI159" si="2376">AA158/$G158</f>
        <v>#DIV/0!</v>
      </c>
      <c r="BJ158" s="156" t="e">
        <f t="shared" ref="BJ158:BJ159" si="2377">AD158/$G158</f>
        <v>#DIV/0!</v>
      </c>
      <c r="BK158" s="155" t="e">
        <f t="shared" ref="BK158:BK159" si="2378">Y158/$G158</f>
        <v>#DIV/0!</v>
      </c>
      <c r="BL158" s="156" t="e">
        <f t="shared" ref="BL158:BL159" si="2379">Z158/$G158</f>
        <v>#DIV/0!</v>
      </c>
      <c r="BM158" s="155" t="e">
        <f t="shared" ref="BM158:BM159" si="2380">AG158/$G158</f>
        <v>#DIV/0!</v>
      </c>
      <c r="BN158" s="156" t="e">
        <f t="shared" ref="BN158:BN159" si="2381">AH158/$G158</f>
        <v>#DIV/0!</v>
      </c>
      <c r="BO158" s="50"/>
      <c r="BP158" s="51" t="e">
        <f t="shared" ref="BP158:BP159" si="2382">AY158*$AV158</f>
        <v>#DIV/0!</v>
      </c>
      <c r="BQ158" s="157" t="e">
        <f t="shared" ref="BQ158:BQ159" si="2383">AZ158*$AV158</f>
        <v>#DIV/0!</v>
      </c>
      <c r="BR158" s="51" t="e">
        <f t="shared" ref="BR158:BR159" si="2384">BA158*$AV158</f>
        <v>#DIV/0!</v>
      </c>
      <c r="BS158" s="157" t="e">
        <f t="shared" ref="BS158:BS159" si="2385">BB158*$AV158</f>
        <v>#DIV/0!</v>
      </c>
      <c r="BT158" s="51" t="e">
        <f t="shared" ref="BT158:BT159" si="2386">BC158*$AV158</f>
        <v>#DIV/0!</v>
      </c>
      <c r="BU158" s="157" t="e">
        <f t="shared" ref="BU158:BU159" si="2387">BD158*$AV158</f>
        <v>#DIV/0!</v>
      </c>
      <c r="BV158" s="51" t="e">
        <f t="shared" ref="BV158:BV159" si="2388">BE158*$AV158</f>
        <v>#DIV/0!</v>
      </c>
      <c r="BW158" s="157" t="e">
        <f t="shared" ref="BW158:BW159" si="2389">BF158*$AV158</f>
        <v>#DIV/0!</v>
      </c>
      <c r="BX158" s="51" t="e">
        <f t="shared" ref="BX158:BX159" si="2390">BG158*$AV158</f>
        <v>#DIV/0!</v>
      </c>
      <c r="BY158" s="157" t="e">
        <f t="shared" ref="BY158:BY159" si="2391">BH158*$AV158</f>
        <v>#DIV/0!</v>
      </c>
      <c r="BZ158" s="51" t="e">
        <f t="shared" ref="BZ158:BZ159" si="2392">BI158*$AV158</f>
        <v>#DIV/0!</v>
      </c>
      <c r="CA158" s="157" t="e">
        <f t="shared" ref="CA158:CA159" si="2393">BJ158*$AV158</f>
        <v>#DIV/0!</v>
      </c>
      <c r="CB158" s="51" t="e">
        <f t="shared" ref="CB158:CB159" si="2394">BK158*$AV158</f>
        <v>#DIV/0!</v>
      </c>
      <c r="CC158" s="157" t="e">
        <f t="shared" ref="CC158:CC159" si="2395">BL158*$AV158</f>
        <v>#DIV/0!</v>
      </c>
      <c r="CD158" s="51" t="e">
        <f t="shared" ref="CD158:CD159" si="2396">BM158*$AV158</f>
        <v>#DIV/0!</v>
      </c>
      <c r="CE158" s="157" t="e">
        <f t="shared" ref="CE158:CE159" si="2397">BN158*$AV158</f>
        <v>#DIV/0!</v>
      </c>
      <c r="CG158" s="45"/>
      <c r="CR158" s="151"/>
      <c r="CS158" s="45"/>
      <c r="CT158" s="151"/>
      <c r="CV158" s="151"/>
      <c r="CX158" s="50"/>
      <c r="CZ158" s="45"/>
      <c r="DK158" s="151"/>
      <c r="DL158" s="45"/>
      <c r="DM158" s="151"/>
      <c r="DN158" s="45"/>
      <c r="DO158" s="151"/>
      <c r="DQ158" s="117"/>
      <c r="DR158" s="77"/>
      <c r="DS158" s="117"/>
      <c r="DT158" s="149"/>
      <c r="DU158" s="77"/>
      <c r="DV158" s="77"/>
      <c r="DW158" s="117"/>
      <c r="DX158" s="149"/>
      <c r="DY158" s="77"/>
      <c r="DZ158" s="77"/>
      <c r="EA158" s="117"/>
      <c r="EB158" s="149"/>
      <c r="EC158" s="77"/>
      <c r="ED158" s="77"/>
      <c r="EE158" s="77"/>
      <c r="EF158" s="117"/>
      <c r="EG158" s="149"/>
      <c r="EH158" s="77"/>
      <c r="EI158" s="149"/>
    </row>
    <row r="159" spans="1:139" x14ac:dyDescent="0.25">
      <c r="A159" s="195">
        <f t="shared" si="2364"/>
        <v>45997</v>
      </c>
      <c r="B159" s="195" t="s">
        <v>14</v>
      </c>
      <c r="C159" s="195"/>
      <c r="D159" s="45"/>
      <c r="E159" s="45"/>
      <c r="F159" s="45"/>
      <c r="G159" s="154"/>
      <c r="H159" s="169">
        <f t="shared" si="2154"/>
        <v>0</v>
      </c>
      <c r="I159" s="169">
        <f t="shared" si="2155"/>
        <v>0</v>
      </c>
      <c r="J159" s="169">
        <f t="shared" si="2156"/>
        <v>0</v>
      </c>
      <c r="K159" s="45"/>
      <c r="L159" s="151"/>
      <c r="M159" s="45"/>
      <c r="N159" s="151"/>
      <c r="Q159" s="45"/>
      <c r="R159" s="151"/>
      <c r="S159" s="320">
        <f t="shared" si="2157"/>
        <v>0</v>
      </c>
      <c r="V159" s="320">
        <f t="shared" si="2158"/>
        <v>0</v>
      </c>
      <c r="Y159" s="45"/>
      <c r="Z159" s="151"/>
      <c r="AA159" s="320">
        <f t="shared" si="2159"/>
        <v>0</v>
      </c>
      <c r="AD159" s="320">
        <f t="shared" si="2160"/>
        <v>0</v>
      </c>
      <c r="AE159" s="45"/>
      <c r="AG159" s="45"/>
      <c r="AH159" s="151"/>
      <c r="AJ159" s="12"/>
      <c r="AK159" s="5"/>
      <c r="AL159" s="9"/>
      <c r="AM159" s="358"/>
      <c r="AN159" s="5"/>
      <c r="AO159" s="13"/>
      <c r="AQ159" s="50"/>
      <c r="AR159" s="50"/>
      <c r="AS159" s="148" t="e">
        <f t="shared" si="2161"/>
        <v>#DIV/0!</v>
      </c>
      <c r="AT159" s="152">
        <v>8.5</v>
      </c>
      <c r="AU159" s="153">
        <v>1</v>
      </c>
      <c r="AV159" s="154" t="e">
        <f t="shared" si="2365"/>
        <v>#DIV/0!</v>
      </c>
      <c r="AW159" s="50"/>
      <c r="AY159" s="155" t="e">
        <f t="shared" si="2366"/>
        <v>#DIV/0!</v>
      </c>
      <c r="AZ159" s="156" t="e">
        <f t="shared" si="2367"/>
        <v>#DIV/0!</v>
      </c>
      <c r="BA159" s="127" t="e">
        <f t="shared" si="2368"/>
        <v>#DIV/0!</v>
      </c>
      <c r="BB159" s="127" t="e">
        <f t="shared" si="2369"/>
        <v>#DIV/0!</v>
      </c>
      <c r="BC159" s="155" t="e">
        <f t="shared" si="2370"/>
        <v>#DIV/0!</v>
      </c>
      <c r="BD159" s="156" t="e">
        <f t="shared" si="2371"/>
        <v>#DIV/0!</v>
      </c>
      <c r="BE159" s="155" t="e">
        <f t="shared" si="2372"/>
        <v>#DIV/0!</v>
      </c>
      <c r="BF159" s="156" t="e">
        <f t="shared" si="2373"/>
        <v>#DIV/0!</v>
      </c>
      <c r="BG159" s="127" t="e">
        <f t="shared" si="2374"/>
        <v>#DIV/0!</v>
      </c>
      <c r="BH159" s="127" t="e">
        <f t="shared" si="2375"/>
        <v>#DIV/0!</v>
      </c>
      <c r="BI159" s="127" t="e">
        <f t="shared" si="2376"/>
        <v>#DIV/0!</v>
      </c>
      <c r="BJ159" s="156" t="e">
        <f t="shared" si="2377"/>
        <v>#DIV/0!</v>
      </c>
      <c r="BK159" s="155" t="e">
        <f t="shared" si="2378"/>
        <v>#DIV/0!</v>
      </c>
      <c r="BL159" s="156" t="e">
        <f t="shared" si="2379"/>
        <v>#DIV/0!</v>
      </c>
      <c r="BM159" s="155" t="e">
        <f t="shared" si="2380"/>
        <v>#DIV/0!</v>
      </c>
      <c r="BN159" s="156" t="e">
        <f t="shared" si="2381"/>
        <v>#DIV/0!</v>
      </c>
      <c r="BO159" s="50"/>
      <c r="BP159" s="51" t="e">
        <f t="shared" si="2382"/>
        <v>#DIV/0!</v>
      </c>
      <c r="BQ159" s="157" t="e">
        <f t="shared" si="2383"/>
        <v>#DIV/0!</v>
      </c>
      <c r="BR159" s="51" t="e">
        <f t="shared" si="2384"/>
        <v>#DIV/0!</v>
      </c>
      <c r="BS159" s="157" t="e">
        <f t="shared" si="2385"/>
        <v>#DIV/0!</v>
      </c>
      <c r="BT159" s="51" t="e">
        <f t="shared" si="2386"/>
        <v>#DIV/0!</v>
      </c>
      <c r="BU159" s="157" t="e">
        <f t="shared" si="2387"/>
        <v>#DIV/0!</v>
      </c>
      <c r="BV159" s="51" t="e">
        <f t="shared" si="2388"/>
        <v>#DIV/0!</v>
      </c>
      <c r="BW159" s="157" t="e">
        <f t="shared" si="2389"/>
        <v>#DIV/0!</v>
      </c>
      <c r="BX159" s="51" t="e">
        <f t="shared" si="2390"/>
        <v>#DIV/0!</v>
      </c>
      <c r="BY159" s="157" t="e">
        <f t="shared" si="2391"/>
        <v>#DIV/0!</v>
      </c>
      <c r="BZ159" s="51" t="e">
        <f t="shared" si="2392"/>
        <v>#DIV/0!</v>
      </c>
      <c r="CA159" s="157" t="e">
        <f t="shared" si="2393"/>
        <v>#DIV/0!</v>
      </c>
      <c r="CB159" s="51" t="e">
        <f t="shared" si="2394"/>
        <v>#DIV/0!</v>
      </c>
      <c r="CC159" s="157" t="e">
        <f t="shared" si="2395"/>
        <v>#DIV/0!</v>
      </c>
      <c r="CD159" s="51" t="e">
        <f t="shared" si="2396"/>
        <v>#DIV/0!</v>
      </c>
      <c r="CE159" s="157" t="e">
        <f t="shared" si="2397"/>
        <v>#DIV/0!</v>
      </c>
      <c r="CG159" s="51" t="e">
        <f t="shared" ref="CG159" si="2398">AVERAGE(BP159:BP160)</f>
        <v>#DIV/0!</v>
      </c>
      <c r="CH159" s="126" t="e">
        <f t="shared" ref="CH159" si="2399">AVERAGE(BQ159:BQ160)</f>
        <v>#DIV/0!</v>
      </c>
      <c r="CI159" s="126" t="e">
        <f t="shared" ref="CI159" si="2400">AVERAGE(BR159:BR160)</f>
        <v>#DIV/0!</v>
      </c>
      <c r="CJ159" s="126" t="e">
        <f t="shared" ref="CJ159" si="2401">AVERAGE(BS159:BS160)</f>
        <v>#DIV/0!</v>
      </c>
      <c r="CK159" s="126" t="e">
        <f t="shared" ref="CK159" si="2402">AVERAGE(BT159:BT160)</f>
        <v>#DIV/0!</v>
      </c>
      <c r="CL159" s="126" t="e">
        <f t="shared" ref="CL159" si="2403">AVERAGE(BU159:BU160)</f>
        <v>#DIV/0!</v>
      </c>
      <c r="CM159" s="126" t="e">
        <f t="shared" ref="CM159" si="2404">AVERAGE(BV159:BV160)</f>
        <v>#DIV/0!</v>
      </c>
      <c r="CN159" s="126" t="e">
        <f t="shared" ref="CN159" si="2405">AVERAGE(BW159:BW160)</f>
        <v>#DIV/0!</v>
      </c>
      <c r="CO159" s="126" t="e">
        <f t="shared" ref="CO159" si="2406">AVERAGE(BX159:BX160)</f>
        <v>#DIV/0!</v>
      </c>
      <c r="CP159" s="126" t="e">
        <f t="shared" ref="CP159" si="2407">AVERAGE(BY159:BY160)</f>
        <v>#DIV/0!</v>
      </c>
      <c r="CQ159" s="126" t="e">
        <f t="shared" ref="CQ159" si="2408">AVERAGE(BZ159:BZ160)</f>
        <v>#DIV/0!</v>
      </c>
      <c r="CR159" s="157" t="e">
        <f t="shared" ref="CR159" si="2409">AVERAGE(CA159:CA160)</f>
        <v>#DIV/0!</v>
      </c>
      <c r="CS159" s="51" t="e">
        <f t="shared" ref="CS159" si="2410">AVERAGE(CB159:CB160)</f>
        <v>#DIV/0!</v>
      </c>
      <c r="CT159" s="157" t="e">
        <f t="shared" ref="CT159" si="2411">AVERAGE(CC159:CC160)</f>
        <v>#DIV/0!</v>
      </c>
      <c r="CU159" s="126" t="e">
        <f t="shared" ref="CU159" si="2412">AVERAGE(CD159:CD160)</f>
        <v>#DIV/0!</v>
      </c>
      <c r="CV159" s="157" t="e">
        <f t="shared" ref="CV159" si="2413">AVERAGE(CE159:CE160)</f>
        <v>#DIV/0!</v>
      </c>
      <c r="CX159" s="150">
        <v>2</v>
      </c>
      <c r="CZ159" s="225" t="e">
        <f t="shared" ref="CZ159" si="2414">CG159*$CX159</f>
        <v>#DIV/0!</v>
      </c>
      <c r="DA159" s="160" t="e">
        <f t="shared" ref="DA159" si="2415">CH159*$CX159</f>
        <v>#DIV/0!</v>
      </c>
      <c r="DB159" s="160" t="e">
        <f t="shared" ref="DB159" si="2416">CI159*$CX159</f>
        <v>#DIV/0!</v>
      </c>
      <c r="DC159" s="160" t="e">
        <f t="shared" ref="DC159" si="2417">CJ159*$CX159</f>
        <v>#DIV/0!</v>
      </c>
      <c r="DD159" s="160" t="e">
        <f t="shared" ref="DD159" si="2418">CK159*$CX159</f>
        <v>#DIV/0!</v>
      </c>
      <c r="DE159" s="160" t="e">
        <f t="shared" ref="DE159" si="2419">CL159*$CX159</f>
        <v>#DIV/0!</v>
      </c>
      <c r="DF159" s="160" t="e">
        <f t="shared" ref="DF159" si="2420">CM159*$CX159</f>
        <v>#DIV/0!</v>
      </c>
      <c r="DG159" s="160" t="e">
        <f t="shared" ref="DG159" si="2421">CN159*$CX159</f>
        <v>#DIV/0!</v>
      </c>
      <c r="DH159" s="160" t="e">
        <f t="shared" ref="DH159" si="2422">CO159*$CX159</f>
        <v>#DIV/0!</v>
      </c>
      <c r="DI159" s="160" t="e">
        <f t="shared" ref="DI159" si="2423">CP159*$CX159</f>
        <v>#DIV/0!</v>
      </c>
      <c r="DJ159" s="160" t="e">
        <f t="shared" ref="DJ159" si="2424">CQ159*$CX159</f>
        <v>#DIV/0!</v>
      </c>
      <c r="DK159" s="161" t="e">
        <f t="shared" ref="DK159" si="2425">CR159*$CX159</f>
        <v>#DIV/0!</v>
      </c>
      <c r="DL159" s="225" t="e">
        <f t="shared" ref="DL159" si="2426">CS159*$CX159</f>
        <v>#DIV/0!</v>
      </c>
      <c r="DM159" s="161" t="e">
        <f t="shared" ref="DM159" si="2427">CT159*$CX159</f>
        <v>#DIV/0!</v>
      </c>
      <c r="DN159" s="225" t="e">
        <f t="shared" ref="DN159" si="2428">CU159*$CX159</f>
        <v>#DIV/0!</v>
      </c>
      <c r="DO159" s="161" t="e">
        <f t="shared" ref="DO159" si="2429">CV159*$CX159</f>
        <v>#DIV/0!</v>
      </c>
      <c r="DQ159" s="117"/>
      <c r="DR159" s="77"/>
      <c r="DS159" s="117"/>
      <c r="DT159" s="149"/>
      <c r="DU159" s="77"/>
      <c r="DV159" s="77"/>
      <c r="DW159" s="117"/>
      <c r="DX159" s="149"/>
      <c r="DY159" s="77"/>
      <c r="DZ159" s="77"/>
      <c r="EA159" s="117"/>
      <c r="EB159" s="149"/>
      <c r="EC159" s="77"/>
      <c r="ED159" s="77"/>
      <c r="EE159" s="77"/>
      <c r="EF159" s="117"/>
      <c r="EG159" s="149"/>
      <c r="EH159" s="77"/>
      <c r="EI159" s="149"/>
    </row>
    <row r="160" spans="1:139" x14ac:dyDescent="0.25">
      <c r="A160" s="334">
        <f t="shared" si="2364"/>
        <v>45998</v>
      </c>
      <c r="B160" s="334" t="s">
        <v>15</v>
      </c>
      <c r="C160" s="334"/>
      <c r="D160" s="609"/>
      <c r="E160" s="609"/>
      <c r="F160" s="176"/>
      <c r="G160" s="305"/>
      <c r="H160" s="323">
        <f t="shared" si="2154"/>
        <v>0</v>
      </c>
      <c r="I160" s="323">
        <f t="shared" si="2155"/>
        <v>0</v>
      </c>
      <c r="J160" s="323">
        <f t="shared" si="2156"/>
        <v>0</v>
      </c>
      <c r="K160" s="176"/>
      <c r="L160" s="178"/>
      <c r="M160" s="176"/>
      <c r="N160" s="178"/>
      <c r="O160" s="177"/>
      <c r="P160" s="177"/>
      <c r="Q160" s="176"/>
      <c r="R160" s="178"/>
      <c r="S160" s="320">
        <f t="shared" si="2157"/>
        <v>0</v>
      </c>
      <c r="V160" s="320">
        <f t="shared" si="2158"/>
        <v>0</v>
      </c>
      <c r="W160" s="177"/>
      <c r="X160" s="177"/>
      <c r="Y160" s="176"/>
      <c r="Z160" s="178"/>
      <c r="AA160" s="320">
        <f t="shared" si="2159"/>
        <v>0</v>
      </c>
      <c r="AD160" s="320">
        <f t="shared" si="2160"/>
        <v>0</v>
      </c>
      <c r="AE160" s="176"/>
      <c r="AF160" s="177"/>
      <c r="AG160" s="176"/>
      <c r="AH160" s="178"/>
      <c r="AJ160" s="12"/>
      <c r="AK160" s="5"/>
      <c r="AL160" s="9"/>
      <c r="AM160" s="358"/>
      <c r="AN160" s="5"/>
      <c r="AO160" s="13"/>
      <c r="AQ160" s="131"/>
      <c r="AR160" s="131"/>
      <c r="AS160" s="191" t="e">
        <f t="shared" si="2161"/>
        <v>#DIV/0!</v>
      </c>
      <c r="AT160" s="152">
        <v>8.5</v>
      </c>
      <c r="AU160" s="153">
        <v>1</v>
      </c>
      <c r="AV160" s="154" t="e">
        <f t="shared" si="2365"/>
        <v>#DIV/0!</v>
      </c>
      <c r="AW160" s="50"/>
      <c r="AY160" s="155"/>
      <c r="AZ160" s="156"/>
      <c r="BA160" s="127"/>
      <c r="BB160" s="127"/>
      <c r="BC160" s="155"/>
      <c r="BD160" s="156"/>
      <c r="BE160" s="155"/>
      <c r="BF160" s="156"/>
      <c r="BG160" s="127"/>
      <c r="BH160" s="127"/>
      <c r="BI160" s="127"/>
      <c r="BJ160" s="156"/>
      <c r="BK160" s="155"/>
      <c r="BL160" s="156"/>
      <c r="BM160" s="155"/>
      <c r="BN160" s="156"/>
      <c r="BO160" s="50"/>
      <c r="BP160" s="51"/>
      <c r="BQ160" s="157"/>
      <c r="BR160" s="51"/>
      <c r="BS160" s="157"/>
      <c r="BT160" s="51"/>
      <c r="BU160" s="157"/>
      <c r="BV160" s="51"/>
      <c r="BW160" s="157"/>
      <c r="BX160" s="51"/>
      <c r="BY160" s="157"/>
      <c r="BZ160" s="51"/>
      <c r="CA160" s="157"/>
      <c r="CB160" s="51"/>
      <c r="CC160" s="157"/>
      <c r="CD160" s="51"/>
      <c r="CE160" s="157"/>
      <c r="CG160" s="176"/>
      <c r="CH160" s="177"/>
      <c r="CI160" s="177"/>
      <c r="CJ160" s="177"/>
      <c r="CK160" s="177"/>
      <c r="CL160" s="177"/>
      <c r="CM160" s="177"/>
      <c r="CN160" s="177"/>
      <c r="CO160" s="177"/>
      <c r="CP160" s="177"/>
      <c r="CQ160" s="177"/>
      <c r="CR160" s="178"/>
      <c r="CS160" s="176"/>
      <c r="CT160" s="178"/>
      <c r="CU160" s="177"/>
      <c r="CV160" s="178"/>
      <c r="CX160" s="131"/>
      <c r="CZ160" s="176"/>
      <c r="DA160" s="177"/>
      <c r="DB160" s="177"/>
      <c r="DC160" s="177"/>
      <c r="DD160" s="177"/>
      <c r="DE160" s="177"/>
      <c r="DF160" s="177"/>
      <c r="DG160" s="177"/>
      <c r="DH160" s="177"/>
      <c r="DI160" s="177"/>
      <c r="DJ160" s="177"/>
      <c r="DK160" s="178"/>
      <c r="DL160" s="176"/>
      <c r="DM160" s="178"/>
      <c r="DN160" s="176"/>
      <c r="DO160" s="178"/>
      <c r="DQ160" s="32"/>
      <c r="DR160" s="34"/>
      <c r="DS160" s="32"/>
      <c r="DT160" s="33"/>
      <c r="DU160" s="34"/>
      <c r="DV160" s="34"/>
      <c r="DW160" s="32"/>
      <c r="DX160" s="33"/>
      <c r="DY160" s="34"/>
      <c r="DZ160" s="34"/>
      <c r="EA160" s="32"/>
      <c r="EB160" s="33"/>
      <c r="EC160" s="34"/>
      <c r="ED160" s="34"/>
      <c r="EE160" s="34"/>
      <c r="EF160" s="32"/>
      <c r="EG160" s="33"/>
      <c r="EH160" s="34"/>
      <c r="EI160" s="33"/>
    </row>
    <row r="161" spans="1:139" x14ac:dyDescent="0.25">
      <c r="A161" s="195"/>
      <c r="B161" s="195"/>
      <c r="C161" s="195"/>
      <c r="D161" s="536">
        <f>SUM(D154:D160)</f>
        <v>0</v>
      </c>
      <c r="E161" s="536">
        <f t="shared" ref="E161" si="2430">SUM(E154:E160)</f>
        <v>0</v>
      </c>
      <c r="F161" s="536">
        <f t="shared" ref="F161" si="2431">SUM(F154:F160)</f>
        <v>0</v>
      </c>
      <c r="G161" s="536">
        <f t="shared" ref="G161" si="2432">SUM(G154:G160)</f>
        <v>0</v>
      </c>
      <c r="H161" s="202">
        <f t="shared" ref="H161:AH161" si="2433">SUM(H154:H160)</f>
        <v>0</v>
      </c>
      <c r="I161" s="204">
        <f t="shared" si="2433"/>
        <v>0</v>
      </c>
      <c r="J161" s="202">
        <f t="shared" si="2433"/>
        <v>0</v>
      </c>
      <c r="K161" s="204">
        <f t="shared" si="2433"/>
        <v>0</v>
      </c>
      <c r="L161" s="202">
        <f t="shared" si="2433"/>
        <v>0</v>
      </c>
      <c r="M161" s="204">
        <f t="shared" si="2433"/>
        <v>0</v>
      </c>
      <c r="N161" s="202">
        <f t="shared" si="2433"/>
        <v>0</v>
      </c>
      <c r="O161" s="204">
        <f t="shared" si="2433"/>
        <v>0</v>
      </c>
      <c r="P161" s="202">
        <f t="shared" si="2433"/>
        <v>0</v>
      </c>
      <c r="Q161" s="205">
        <f t="shared" si="2433"/>
        <v>0</v>
      </c>
      <c r="R161" s="205">
        <f t="shared" si="2433"/>
        <v>0</v>
      </c>
      <c r="S161" s="203">
        <f t="shared" si="2433"/>
        <v>0</v>
      </c>
      <c r="T161" s="205">
        <f t="shared" si="2433"/>
        <v>0</v>
      </c>
      <c r="U161" s="205">
        <f t="shared" si="2433"/>
        <v>0</v>
      </c>
      <c r="V161" s="202">
        <f t="shared" si="2433"/>
        <v>0</v>
      </c>
      <c r="W161" s="204">
        <f t="shared" si="2433"/>
        <v>0</v>
      </c>
      <c r="X161" s="202">
        <f t="shared" si="2433"/>
        <v>0</v>
      </c>
      <c r="Y161" s="205">
        <f t="shared" si="2433"/>
        <v>0</v>
      </c>
      <c r="Z161" s="205">
        <f t="shared" si="2433"/>
        <v>0</v>
      </c>
      <c r="AA161" s="203">
        <f t="shared" si="2433"/>
        <v>0</v>
      </c>
      <c r="AB161" s="205">
        <f t="shared" si="2433"/>
        <v>0</v>
      </c>
      <c r="AC161" s="205">
        <f t="shared" si="2433"/>
        <v>0</v>
      </c>
      <c r="AD161" s="202">
        <f t="shared" si="2433"/>
        <v>0</v>
      </c>
      <c r="AE161" s="204">
        <f t="shared" si="2433"/>
        <v>0</v>
      </c>
      <c r="AF161" s="205">
        <f t="shared" si="2433"/>
        <v>0</v>
      </c>
      <c r="AG161" s="202">
        <f t="shared" si="2433"/>
        <v>0</v>
      </c>
      <c r="AH161" s="204">
        <f t="shared" si="2433"/>
        <v>0</v>
      </c>
      <c r="AJ161" s="12"/>
      <c r="AK161" s="5"/>
      <c r="AL161" s="9"/>
      <c r="AM161" s="358"/>
      <c r="AN161" s="5"/>
      <c r="AO161" s="13"/>
      <c r="AQ161" s="50"/>
      <c r="AR161" s="50"/>
      <c r="AS161" s="148"/>
      <c r="AT161" s="537"/>
      <c r="AU161" s="538"/>
      <c r="AV161" s="194" t="e">
        <f>AVERAGE(AV154:AV158)*2+AVERAGE(AV159:AV160)*2</f>
        <v>#DIV/0!</v>
      </c>
      <c r="AW161" s="222"/>
      <c r="AY161" s="509"/>
      <c r="AZ161" s="508"/>
      <c r="BA161" s="355"/>
      <c r="BB161" s="355"/>
      <c r="BC161" s="509"/>
      <c r="BD161" s="508"/>
      <c r="BE161" s="509"/>
      <c r="BF161" s="508"/>
      <c r="BG161" s="355"/>
      <c r="BH161" s="355"/>
      <c r="BI161" s="355"/>
      <c r="BJ161" s="508"/>
      <c r="BK161" s="509"/>
      <c r="BL161" s="508"/>
      <c r="BM161" s="509"/>
      <c r="BN161" s="508"/>
      <c r="BO161" s="50"/>
      <c r="BP161" s="51"/>
      <c r="BQ161" s="157"/>
      <c r="BR161" s="51"/>
      <c r="BS161" s="157"/>
      <c r="BT161" s="51"/>
      <c r="BU161" s="157"/>
      <c r="BV161" s="51"/>
      <c r="BW161" s="157"/>
      <c r="BX161" s="51"/>
      <c r="BY161" s="157"/>
      <c r="BZ161" s="51"/>
      <c r="CA161" s="157"/>
      <c r="CB161" s="51"/>
      <c r="CC161" s="157"/>
      <c r="CD161" s="51"/>
      <c r="CE161" s="157"/>
      <c r="CG161" s="45"/>
      <c r="CR161" s="151"/>
      <c r="CS161" s="45"/>
      <c r="CT161" s="151"/>
      <c r="CV161" s="151"/>
      <c r="CX161" s="50"/>
      <c r="CZ161" s="226" t="e">
        <f t="shared" ref="CZ161:DO161" si="2434">CZ159+CZ154</f>
        <v>#DIV/0!</v>
      </c>
      <c r="DA161" s="227" t="e">
        <f t="shared" si="2434"/>
        <v>#DIV/0!</v>
      </c>
      <c r="DB161" s="227" t="e">
        <f t="shared" si="2434"/>
        <v>#DIV/0!</v>
      </c>
      <c r="DC161" s="227" t="e">
        <f t="shared" si="2434"/>
        <v>#DIV/0!</v>
      </c>
      <c r="DD161" s="227" t="e">
        <f t="shared" si="2434"/>
        <v>#DIV/0!</v>
      </c>
      <c r="DE161" s="227" t="e">
        <f t="shared" si="2434"/>
        <v>#DIV/0!</v>
      </c>
      <c r="DF161" s="227" t="e">
        <f t="shared" si="2434"/>
        <v>#DIV/0!</v>
      </c>
      <c r="DG161" s="227" t="e">
        <f t="shared" si="2434"/>
        <v>#DIV/0!</v>
      </c>
      <c r="DH161" s="227" t="e">
        <f t="shared" si="2434"/>
        <v>#DIV/0!</v>
      </c>
      <c r="DI161" s="227" t="e">
        <f t="shared" si="2434"/>
        <v>#DIV/0!</v>
      </c>
      <c r="DJ161" s="227" t="e">
        <f t="shared" si="2434"/>
        <v>#DIV/0!</v>
      </c>
      <c r="DK161" s="228" t="e">
        <f t="shared" si="2434"/>
        <v>#DIV/0!</v>
      </c>
      <c r="DL161" s="226" t="e">
        <f t="shared" si="2434"/>
        <v>#DIV/0!</v>
      </c>
      <c r="DM161" s="228" t="e">
        <f t="shared" si="2434"/>
        <v>#DIV/0!</v>
      </c>
      <c r="DN161" s="226" t="e">
        <f t="shared" si="2434"/>
        <v>#DIV/0!</v>
      </c>
      <c r="DO161" s="228" t="e">
        <f t="shared" si="2434"/>
        <v>#DIV/0!</v>
      </c>
      <c r="DQ161" s="117"/>
      <c r="DR161" s="77"/>
      <c r="DS161" s="117"/>
      <c r="DT161" s="149"/>
      <c r="DU161" s="77"/>
      <c r="DV161" s="77"/>
      <c r="DW161" s="117"/>
      <c r="DX161" s="149"/>
      <c r="DY161" s="77"/>
      <c r="DZ161" s="77"/>
      <c r="EA161" s="117"/>
      <c r="EB161" s="149"/>
      <c r="EC161" s="77"/>
      <c r="ED161" s="77"/>
      <c r="EE161" s="77"/>
      <c r="EF161" s="117"/>
      <c r="EG161" s="149"/>
      <c r="EH161" s="77"/>
      <c r="EI161" s="149"/>
    </row>
    <row r="162" spans="1:139" x14ac:dyDescent="0.25">
      <c r="A162" s="206">
        <f>A154+7</f>
        <v>45999</v>
      </c>
      <c r="B162" s="207" t="s">
        <v>7</v>
      </c>
      <c r="C162" s="206"/>
      <c r="D162" s="610"/>
      <c r="E162" s="610"/>
      <c r="F162" s="41"/>
      <c r="G162" s="179"/>
      <c r="H162" s="208">
        <f t="shared" si="2154"/>
        <v>0</v>
      </c>
      <c r="I162" s="208">
        <f t="shared" si="2155"/>
        <v>0</v>
      </c>
      <c r="J162" s="208">
        <f t="shared" si="2156"/>
        <v>0</v>
      </c>
      <c r="K162" s="41"/>
      <c r="L162" s="42"/>
      <c r="M162" s="41"/>
      <c r="N162" s="42"/>
      <c r="O162" s="165"/>
      <c r="P162" s="165"/>
      <c r="Q162" s="41"/>
      <c r="R162" s="42"/>
      <c r="S162" s="319">
        <f t="shared" si="2157"/>
        <v>0</v>
      </c>
      <c r="T162" s="165"/>
      <c r="U162" s="165"/>
      <c r="V162" s="319">
        <f t="shared" si="2158"/>
        <v>0</v>
      </c>
      <c r="W162" s="165"/>
      <c r="X162" s="165"/>
      <c r="Y162" s="41"/>
      <c r="Z162" s="42"/>
      <c r="AA162" s="319">
        <f t="shared" si="2159"/>
        <v>0</v>
      </c>
      <c r="AB162" s="165"/>
      <c r="AC162" s="165"/>
      <c r="AD162" s="319">
        <f t="shared" si="2160"/>
        <v>0</v>
      </c>
      <c r="AE162" s="41"/>
      <c r="AF162" s="165"/>
      <c r="AG162" s="41"/>
      <c r="AH162" s="42"/>
      <c r="AJ162" s="12"/>
      <c r="AK162" s="5"/>
      <c r="AL162" s="9"/>
      <c r="AM162" s="358"/>
      <c r="AN162" s="5"/>
      <c r="AO162" s="13"/>
      <c r="AQ162" s="28"/>
      <c r="AR162" s="28"/>
      <c r="AS162" s="146" t="e">
        <f t="shared" si="2161"/>
        <v>#DIV/0!</v>
      </c>
      <c r="AT162" s="152">
        <v>8.5</v>
      </c>
      <c r="AU162" s="153">
        <v>1</v>
      </c>
      <c r="AV162" s="154" t="e">
        <f t="shared" ref="AV162:AV164" si="2435">AT162*AS162*AU162</f>
        <v>#DIV/0!</v>
      </c>
      <c r="AW162" s="50"/>
      <c r="AY162" s="155"/>
      <c r="AZ162" s="156"/>
      <c r="BA162" s="127"/>
      <c r="BB162" s="127"/>
      <c r="BC162" s="155"/>
      <c r="BD162" s="156"/>
      <c r="BE162" s="155"/>
      <c r="BF162" s="156"/>
      <c r="BG162" s="127"/>
      <c r="BH162" s="127"/>
      <c r="BI162" s="127"/>
      <c r="BJ162" s="156"/>
      <c r="BK162" s="155"/>
      <c r="BL162" s="156"/>
      <c r="BM162" s="155"/>
      <c r="BN162" s="156"/>
      <c r="BO162" s="50"/>
      <c r="BP162" s="51"/>
      <c r="BQ162" s="157"/>
      <c r="BR162" s="51"/>
      <c r="BS162" s="157"/>
      <c r="BT162" s="51"/>
      <c r="BU162" s="157"/>
      <c r="BV162" s="51"/>
      <c r="BW162" s="157"/>
      <c r="BX162" s="51"/>
      <c r="BY162" s="157"/>
      <c r="BZ162" s="51"/>
      <c r="CA162" s="157"/>
      <c r="CB162" s="51"/>
      <c r="CC162" s="157"/>
      <c r="CD162" s="51"/>
      <c r="CE162" s="157"/>
      <c r="CG162" s="215" t="e">
        <f t="shared" ref="CG162" si="2436">AVERAGE(BP162:BP166)</f>
        <v>#DIV/0!</v>
      </c>
      <c r="CH162" s="175" t="e">
        <f t="shared" ref="CH162" si="2437">AVERAGE(BQ162:BQ166)</f>
        <v>#DIV/0!</v>
      </c>
      <c r="CI162" s="175" t="e">
        <f t="shared" ref="CI162" si="2438">AVERAGE(BR162:BR166)</f>
        <v>#DIV/0!</v>
      </c>
      <c r="CJ162" s="175" t="e">
        <f t="shared" ref="CJ162" si="2439">AVERAGE(BS162:BS166)</f>
        <v>#DIV/0!</v>
      </c>
      <c r="CK162" s="175" t="e">
        <f t="shared" ref="CK162" si="2440">AVERAGE(BT162:BT166)</f>
        <v>#DIV/0!</v>
      </c>
      <c r="CL162" s="175" t="e">
        <f t="shared" ref="CL162" si="2441">AVERAGE(BU162:BU166)</f>
        <v>#DIV/0!</v>
      </c>
      <c r="CM162" s="175" t="e">
        <f t="shared" ref="CM162" si="2442">AVERAGE(BV162:BV166)</f>
        <v>#DIV/0!</v>
      </c>
      <c r="CN162" s="175" t="e">
        <f t="shared" ref="CN162" si="2443">AVERAGE(BW162:BW166)</f>
        <v>#DIV/0!</v>
      </c>
      <c r="CO162" s="175" t="e">
        <f t="shared" ref="CO162" si="2444">AVERAGE(BX162:BX166)</f>
        <v>#DIV/0!</v>
      </c>
      <c r="CP162" s="175" t="e">
        <f t="shared" ref="CP162" si="2445">AVERAGE(BY162:BY166)</f>
        <v>#DIV/0!</v>
      </c>
      <c r="CQ162" s="175" t="e">
        <f t="shared" ref="CQ162" si="2446">AVERAGE(BZ162:BZ166)</f>
        <v>#DIV/0!</v>
      </c>
      <c r="CR162" s="216" t="e">
        <f t="shared" ref="CR162" si="2447">AVERAGE(CA162:CA166)</f>
        <v>#DIV/0!</v>
      </c>
      <c r="CS162" s="215" t="e">
        <f t="shared" ref="CS162" si="2448">AVERAGE(CB162:CB166)</f>
        <v>#DIV/0!</v>
      </c>
      <c r="CT162" s="216" t="e">
        <f t="shared" ref="CT162" si="2449">AVERAGE(CC162:CC166)</f>
        <v>#DIV/0!</v>
      </c>
      <c r="CU162" s="175" t="e">
        <f t="shared" ref="CU162" si="2450">AVERAGE(CD162:CD166)</f>
        <v>#DIV/0!</v>
      </c>
      <c r="CV162" s="216" t="e">
        <f t="shared" ref="CV162" si="2451">AVERAGE(CE162:CE166)</f>
        <v>#DIV/0!</v>
      </c>
      <c r="CX162" s="56">
        <v>5</v>
      </c>
      <c r="CZ162" s="223" t="e">
        <f t="shared" ref="CZ162" si="2452">CG162*$CX162</f>
        <v>#DIV/0!</v>
      </c>
      <c r="DA162" s="159" t="e">
        <f t="shared" ref="DA162" si="2453">CH162*$CX162</f>
        <v>#DIV/0!</v>
      </c>
      <c r="DB162" s="159" t="e">
        <f t="shared" ref="DB162" si="2454">CI162*$CX162</f>
        <v>#DIV/0!</v>
      </c>
      <c r="DC162" s="159" t="e">
        <f t="shared" ref="DC162" si="2455">CJ162*$CX162</f>
        <v>#DIV/0!</v>
      </c>
      <c r="DD162" s="159" t="e">
        <f t="shared" ref="DD162" si="2456">CK162*$CX162</f>
        <v>#DIV/0!</v>
      </c>
      <c r="DE162" s="159" t="e">
        <f t="shared" ref="DE162" si="2457">CL162*$CX162</f>
        <v>#DIV/0!</v>
      </c>
      <c r="DF162" s="159" t="e">
        <f t="shared" ref="DF162" si="2458">CM162*$CX162</f>
        <v>#DIV/0!</v>
      </c>
      <c r="DG162" s="159" t="e">
        <f t="shared" ref="DG162" si="2459">CN162*$CX162</f>
        <v>#DIV/0!</v>
      </c>
      <c r="DH162" s="159" t="e">
        <f t="shared" ref="DH162" si="2460">CO162*$CX162</f>
        <v>#DIV/0!</v>
      </c>
      <c r="DI162" s="159" t="e">
        <f t="shared" ref="DI162" si="2461">CP162*$CX162</f>
        <v>#DIV/0!</v>
      </c>
      <c r="DJ162" s="159" t="e">
        <f t="shared" ref="DJ162" si="2462">CQ162*$CX162</f>
        <v>#DIV/0!</v>
      </c>
      <c r="DK162" s="224" t="e">
        <f t="shared" ref="DK162" si="2463">CR162*$CX162</f>
        <v>#DIV/0!</v>
      </c>
      <c r="DL162" s="223" t="e">
        <f t="shared" ref="DL162" si="2464">CS162*$CX162</f>
        <v>#DIV/0!</v>
      </c>
      <c r="DM162" s="224" t="e">
        <f t="shared" ref="DM162" si="2465">CT162*$CX162</f>
        <v>#DIV/0!</v>
      </c>
      <c r="DN162" s="223" t="e">
        <f t="shared" ref="DN162" si="2466">CU162*$CX162</f>
        <v>#DIV/0!</v>
      </c>
      <c r="DO162" s="224" t="e">
        <f t="shared" ref="DO162" si="2467">CV162*$CX162</f>
        <v>#DIV/0!</v>
      </c>
      <c r="DQ162" s="130"/>
      <c r="DR162" s="229"/>
      <c r="DS162" s="130"/>
      <c r="DT162" s="230"/>
      <c r="DU162" s="229"/>
      <c r="DV162" s="229"/>
      <c r="DW162" s="130"/>
      <c r="DX162" s="230"/>
      <c r="DY162" s="229"/>
      <c r="DZ162" s="229"/>
      <c r="EA162" s="130"/>
      <c r="EB162" s="230"/>
      <c r="EC162" s="229"/>
      <c r="ED162" s="229"/>
      <c r="EE162" s="229"/>
      <c r="EF162" s="130"/>
      <c r="EG162" s="230"/>
      <c r="EH162" s="229"/>
      <c r="EI162" s="230"/>
    </row>
    <row r="163" spans="1:139" x14ac:dyDescent="0.25">
      <c r="A163" s="195">
        <f t="shared" ref="A163:A168" si="2468">A162+1</f>
        <v>46000</v>
      </c>
      <c r="B163" s="158" t="s">
        <v>94</v>
      </c>
      <c r="C163" s="195"/>
      <c r="D163" s="608"/>
      <c r="E163" s="608"/>
      <c r="F163" s="45"/>
      <c r="G163" s="154"/>
      <c r="H163" s="169">
        <f t="shared" si="2154"/>
        <v>0</v>
      </c>
      <c r="I163" s="169">
        <f t="shared" si="2155"/>
        <v>0</v>
      </c>
      <c r="J163" s="169">
        <f t="shared" si="2156"/>
        <v>0</v>
      </c>
      <c r="K163" s="45"/>
      <c r="L163" s="151"/>
      <c r="M163" s="45"/>
      <c r="N163" s="151"/>
      <c r="Q163" s="45"/>
      <c r="R163" s="151"/>
      <c r="S163" s="320">
        <f t="shared" si="2157"/>
        <v>0</v>
      </c>
      <c r="V163" s="320">
        <f t="shared" si="2158"/>
        <v>0</v>
      </c>
      <c r="Y163" s="45"/>
      <c r="Z163" s="151"/>
      <c r="AA163" s="320">
        <f t="shared" si="2159"/>
        <v>0</v>
      </c>
      <c r="AD163" s="320">
        <f t="shared" si="2160"/>
        <v>0</v>
      </c>
      <c r="AE163" s="45"/>
      <c r="AG163" s="45"/>
      <c r="AH163" s="151"/>
      <c r="AJ163" s="12"/>
      <c r="AK163" s="5"/>
      <c r="AL163" s="9"/>
      <c r="AM163" s="358"/>
      <c r="AN163" s="5"/>
      <c r="AO163" s="13"/>
      <c r="AQ163" s="50"/>
      <c r="AR163" s="50"/>
      <c r="AS163" s="148" t="e">
        <f t="shared" si="2161"/>
        <v>#DIV/0!</v>
      </c>
      <c r="AT163" s="152">
        <v>8.5</v>
      </c>
      <c r="AU163" s="153">
        <v>1</v>
      </c>
      <c r="AV163" s="154" t="e">
        <f t="shared" si="2435"/>
        <v>#DIV/0!</v>
      </c>
      <c r="AW163" s="50">
        <v>1</v>
      </c>
      <c r="AY163" s="155"/>
      <c r="AZ163" s="156"/>
      <c r="BA163" s="127"/>
      <c r="BB163" s="127"/>
      <c r="BC163" s="155"/>
      <c r="BD163" s="156"/>
      <c r="BE163" s="155"/>
      <c r="BF163" s="156"/>
      <c r="BG163" s="127"/>
      <c r="BH163" s="127"/>
      <c r="BI163" s="127"/>
      <c r="BJ163" s="156"/>
      <c r="BK163" s="155"/>
      <c r="BL163" s="156"/>
      <c r="BM163" s="155"/>
      <c r="BN163" s="156"/>
      <c r="BO163" s="50"/>
      <c r="BP163" s="51"/>
      <c r="BQ163" s="157"/>
      <c r="BR163" s="51"/>
      <c r="BS163" s="157"/>
      <c r="BT163" s="51"/>
      <c r="BU163" s="157"/>
      <c r="BV163" s="51"/>
      <c r="BW163" s="157"/>
      <c r="BX163" s="51"/>
      <c r="BY163" s="157"/>
      <c r="BZ163" s="51"/>
      <c r="CA163" s="157"/>
      <c r="CB163" s="51"/>
      <c r="CC163" s="157"/>
      <c r="CD163" s="51"/>
      <c r="CE163" s="157"/>
      <c r="CG163" s="45"/>
      <c r="CR163" s="151"/>
      <c r="CS163" s="45"/>
      <c r="CT163" s="151"/>
      <c r="CV163" s="151"/>
      <c r="CX163" s="50"/>
      <c r="CZ163" s="45"/>
      <c r="DK163" s="151"/>
      <c r="DL163" s="45"/>
      <c r="DM163" s="151"/>
      <c r="DN163" s="45"/>
      <c r="DO163" s="151"/>
      <c r="DQ163" s="117"/>
      <c r="DR163" s="77"/>
      <c r="DS163" s="117"/>
      <c r="DT163" s="149"/>
      <c r="DU163" s="77"/>
      <c r="DV163" s="77"/>
      <c r="DW163" s="117"/>
      <c r="DX163" s="149"/>
      <c r="DY163" s="77"/>
      <c r="DZ163" s="77"/>
      <c r="EA163" s="117"/>
      <c r="EB163" s="149"/>
      <c r="EC163" s="77"/>
      <c r="ED163" s="77"/>
      <c r="EE163" s="77"/>
      <c r="EF163" s="117"/>
      <c r="EG163" s="149"/>
      <c r="EH163" s="77"/>
      <c r="EI163" s="149"/>
    </row>
    <row r="164" spans="1:139" x14ac:dyDescent="0.25">
      <c r="A164" s="195">
        <f t="shared" si="2468"/>
        <v>46001</v>
      </c>
      <c r="B164" s="158" t="s">
        <v>11</v>
      </c>
      <c r="C164" s="195"/>
      <c r="D164" s="608"/>
      <c r="E164" s="608"/>
      <c r="F164" s="45"/>
      <c r="G164" s="154"/>
      <c r="H164" s="169">
        <f t="shared" si="2154"/>
        <v>0</v>
      </c>
      <c r="I164" s="169">
        <f t="shared" si="2155"/>
        <v>0</v>
      </c>
      <c r="J164" s="169">
        <f t="shared" si="2156"/>
        <v>0</v>
      </c>
      <c r="K164" s="45"/>
      <c r="L164" s="151"/>
      <c r="M164" s="45"/>
      <c r="N164" s="151"/>
      <c r="Q164" s="45"/>
      <c r="R164" s="151"/>
      <c r="S164" s="320">
        <f t="shared" si="2157"/>
        <v>0</v>
      </c>
      <c r="V164" s="320">
        <f t="shared" si="2158"/>
        <v>0</v>
      </c>
      <c r="Y164" s="45"/>
      <c r="Z164" s="151"/>
      <c r="AA164" s="320">
        <f t="shared" si="2159"/>
        <v>0</v>
      </c>
      <c r="AD164" s="320">
        <f t="shared" si="2160"/>
        <v>0</v>
      </c>
      <c r="AE164" s="45"/>
      <c r="AG164" s="45"/>
      <c r="AH164" s="151"/>
      <c r="AJ164" s="12"/>
      <c r="AK164" s="5"/>
      <c r="AL164" s="9"/>
      <c r="AM164" s="358"/>
      <c r="AN164" s="5"/>
      <c r="AO164" s="13"/>
      <c r="AQ164" s="50"/>
      <c r="AR164" s="50"/>
      <c r="AS164" s="148" t="e">
        <f t="shared" si="2161"/>
        <v>#DIV/0!</v>
      </c>
      <c r="AT164" s="152">
        <v>8.5</v>
      </c>
      <c r="AU164" s="153">
        <v>1</v>
      </c>
      <c r="AV164" s="154" t="e">
        <f t="shared" si="2435"/>
        <v>#DIV/0!</v>
      </c>
      <c r="AW164" s="50">
        <v>2</v>
      </c>
      <c r="AY164" s="155"/>
      <c r="AZ164" s="156"/>
      <c r="BA164" s="127"/>
      <c r="BB164" s="127"/>
      <c r="BC164" s="155"/>
      <c r="BD164" s="156"/>
      <c r="BE164" s="155"/>
      <c r="BF164" s="156"/>
      <c r="BG164" s="127"/>
      <c r="BH164" s="127"/>
      <c r="BI164" s="127"/>
      <c r="BJ164" s="156"/>
      <c r="BK164" s="155"/>
      <c r="BL164" s="156"/>
      <c r="BM164" s="155"/>
      <c r="BN164" s="156"/>
      <c r="BO164" s="50"/>
      <c r="BP164" s="51"/>
      <c r="BQ164" s="157"/>
      <c r="BR164" s="51"/>
      <c r="BS164" s="157"/>
      <c r="BT164" s="51"/>
      <c r="BU164" s="157"/>
      <c r="BV164" s="51"/>
      <c r="BW164" s="157"/>
      <c r="BX164" s="51"/>
      <c r="BY164" s="157"/>
      <c r="BZ164" s="51"/>
      <c r="CA164" s="157"/>
      <c r="CB164" s="51"/>
      <c r="CC164" s="157"/>
      <c r="CD164" s="51"/>
      <c r="CE164" s="157"/>
      <c r="CG164" s="45"/>
      <c r="CR164" s="151"/>
      <c r="CS164" s="45"/>
      <c r="CT164" s="151"/>
      <c r="CV164" s="151"/>
      <c r="CX164" s="50"/>
      <c r="CZ164" s="45"/>
      <c r="DK164" s="151"/>
      <c r="DL164" s="45"/>
      <c r="DM164" s="151"/>
      <c r="DN164" s="45"/>
      <c r="DO164" s="151"/>
      <c r="DQ164" s="117"/>
      <c r="DR164" s="77"/>
      <c r="DS164" s="117"/>
      <c r="DT164" s="149"/>
      <c r="DU164" s="77"/>
      <c r="DV164" s="77"/>
      <c r="DW164" s="117"/>
      <c r="DX164" s="149"/>
      <c r="DY164" s="77"/>
      <c r="DZ164" s="77"/>
      <c r="EA164" s="117"/>
      <c r="EB164" s="149"/>
      <c r="EC164" s="77"/>
      <c r="ED164" s="77"/>
      <c r="EE164" s="77"/>
      <c r="EF164" s="117"/>
      <c r="EG164" s="149"/>
      <c r="EH164" s="77"/>
      <c r="EI164" s="149"/>
    </row>
    <row r="165" spans="1:139" x14ac:dyDescent="0.25">
      <c r="A165" s="195">
        <f t="shared" si="2468"/>
        <v>46002</v>
      </c>
      <c r="B165" s="158" t="s">
        <v>95</v>
      </c>
      <c r="C165" s="195"/>
      <c r="D165" s="45"/>
      <c r="E165" s="45"/>
      <c r="F165" s="45"/>
      <c r="G165" s="154"/>
      <c r="H165" s="169">
        <f t="shared" si="2154"/>
        <v>0</v>
      </c>
      <c r="I165" s="169">
        <f t="shared" si="2155"/>
        <v>0</v>
      </c>
      <c r="J165" s="169">
        <f t="shared" si="2156"/>
        <v>0</v>
      </c>
      <c r="K165" s="45"/>
      <c r="L165" s="151"/>
      <c r="M165" s="45"/>
      <c r="N165" s="151"/>
      <c r="Q165" s="45"/>
      <c r="R165" s="151"/>
      <c r="S165" s="320">
        <f t="shared" si="2157"/>
        <v>0</v>
      </c>
      <c r="V165" s="320">
        <f t="shared" si="2158"/>
        <v>0</v>
      </c>
      <c r="Y165" s="45"/>
      <c r="Z165" s="151"/>
      <c r="AA165" s="320">
        <f t="shared" si="2159"/>
        <v>0</v>
      </c>
      <c r="AD165" s="320">
        <f t="shared" si="2160"/>
        <v>0</v>
      </c>
      <c r="AE165" s="45"/>
      <c r="AG165" s="45"/>
      <c r="AH165" s="151"/>
      <c r="AJ165" s="12"/>
      <c r="AK165" s="5"/>
      <c r="AL165" s="9"/>
      <c r="AM165" s="358"/>
      <c r="AN165" s="5"/>
      <c r="AO165" s="13"/>
      <c r="AQ165" s="50"/>
      <c r="AR165" s="50"/>
      <c r="AS165" s="148" t="e">
        <f t="shared" si="2161"/>
        <v>#DIV/0!</v>
      </c>
      <c r="AT165" s="152">
        <v>8.4</v>
      </c>
      <c r="AU165" s="153">
        <v>1</v>
      </c>
      <c r="AV165" s="154" t="e">
        <f t="shared" ref="AV165:AV168" si="2469">AT165*AS165*AU165</f>
        <v>#DIV/0!</v>
      </c>
      <c r="AW165" s="50">
        <v>1</v>
      </c>
      <c r="AY165" s="155" t="e">
        <f t="shared" ref="AY165:AY166" si="2470">H165/G165</f>
        <v>#DIV/0!</v>
      </c>
      <c r="AZ165" s="156" t="e">
        <f t="shared" ref="AZ165:AZ166" si="2471">I165/G165</f>
        <v>#DIV/0!</v>
      </c>
      <c r="BA165" s="127" t="e">
        <f t="shared" ref="BA165:BA166" si="2472">(K165+L165)/$G165</f>
        <v>#DIV/0!</v>
      </c>
      <c r="BB165" s="127" t="e">
        <f t="shared" ref="BB165:BB166" si="2473">K165/$G165</f>
        <v>#DIV/0!</v>
      </c>
      <c r="BC165" s="155" t="e">
        <f t="shared" ref="BC165:BC166" si="2474">(M165+N165)/$G165</f>
        <v>#DIV/0!</v>
      </c>
      <c r="BD165" s="156" t="e">
        <f t="shared" ref="BD165:BD166" si="2475">M165/$G165</f>
        <v>#DIV/0!</v>
      </c>
      <c r="BE165" s="155" t="e">
        <f t="shared" ref="BE165:BE166" si="2476">(Q165+R165)/$G165</f>
        <v>#DIV/0!</v>
      </c>
      <c r="BF165" s="156" t="e">
        <f t="shared" ref="BF165:BF166" si="2477">Q165/$G165</f>
        <v>#DIV/0!</v>
      </c>
      <c r="BG165" s="127" t="e">
        <f t="shared" ref="BG165:BG166" si="2478">S165/$G165</f>
        <v>#DIV/0!</v>
      </c>
      <c r="BH165" s="127" t="e">
        <f t="shared" ref="BH165:BH166" si="2479">V165/$G165</f>
        <v>#DIV/0!</v>
      </c>
      <c r="BI165" s="127" t="e">
        <f t="shared" ref="BI165:BI166" si="2480">AA165/$G165</f>
        <v>#DIV/0!</v>
      </c>
      <c r="BJ165" s="156" t="e">
        <f t="shared" ref="BJ165:BJ166" si="2481">AD165/$G165</f>
        <v>#DIV/0!</v>
      </c>
      <c r="BK165" s="155" t="e">
        <f t="shared" ref="BK165:BK166" si="2482">Y165/$G165</f>
        <v>#DIV/0!</v>
      </c>
      <c r="BL165" s="156" t="e">
        <f t="shared" ref="BL165:BL166" si="2483">Z165/$G165</f>
        <v>#DIV/0!</v>
      </c>
      <c r="BM165" s="155" t="e">
        <f t="shared" ref="BM165:BM166" si="2484">AG165/$G165</f>
        <v>#DIV/0!</v>
      </c>
      <c r="BN165" s="156" t="e">
        <f t="shared" ref="BN165:BN166" si="2485">AH165/$G165</f>
        <v>#DIV/0!</v>
      </c>
      <c r="BO165" s="50"/>
      <c r="BP165" s="51" t="e">
        <f t="shared" ref="BP165:BP166" si="2486">AY165*$AV165</f>
        <v>#DIV/0!</v>
      </c>
      <c r="BQ165" s="157" t="e">
        <f t="shared" ref="BQ165:BQ166" si="2487">AZ165*$AV165</f>
        <v>#DIV/0!</v>
      </c>
      <c r="BR165" s="51"/>
      <c r="BS165" s="157"/>
      <c r="BT165" s="51"/>
      <c r="BU165" s="157"/>
      <c r="BV165" s="51"/>
      <c r="BW165" s="157"/>
      <c r="BX165" s="51"/>
      <c r="BY165" s="157"/>
      <c r="BZ165" s="51"/>
      <c r="CA165" s="157"/>
      <c r="CB165" s="51"/>
      <c r="CC165" s="157"/>
      <c r="CD165" s="51"/>
      <c r="CE165" s="157"/>
      <c r="CG165" s="45"/>
      <c r="CR165" s="151"/>
      <c r="CS165" s="45"/>
      <c r="CT165" s="151"/>
      <c r="CV165" s="151"/>
      <c r="CX165" s="50"/>
      <c r="CZ165" s="45"/>
      <c r="DK165" s="151"/>
      <c r="DL165" s="45"/>
      <c r="DM165" s="151"/>
      <c r="DN165" s="45"/>
      <c r="DO165" s="151"/>
      <c r="DQ165" s="117"/>
      <c r="DR165" s="77"/>
      <c r="DS165" s="117"/>
      <c r="DT165" s="149"/>
      <c r="DU165" s="77"/>
      <c r="DV165" s="77"/>
      <c r="DW165" s="117"/>
      <c r="DX165" s="149"/>
      <c r="DY165" s="77"/>
      <c r="DZ165" s="77"/>
      <c r="EA165" s="117"/>
      <c r="EB165" s="149"/>
      <c r="EC165" s="77"/>
      <c r="ED165" s="77"/>
      <c r="EE165" s="77"/>
      <c r="EF165" s="117"/>
      <c r="EG165" s="149"/>
      <c r="EH165" s="77"/>
      <c r="EI165" s="149"/>
    </row>
    <row r="166" spans="1:139" x14ac:dyDescent="0.25">
      <c r="A166" s="195">
        <f t="shared" si="2468"/>
        <v>46003</v>
      </c>
      <c r="B166" s="195" t="s">
        <v>13</v>
      </c>
      <c r="C166" s="195"/>
      <c r="D166" s="45"/>
      <c r="E166" s="45"/>
      <c r="F166" s="45"/>
      <c r="G166" s="154"/>
      <c r="H166" s="169">
        <f t="shared" si="2154"/>
        <v>0</v>
      </c>
      <c r="I166" s="169">
        <f t="shared" si="2155"/>
        <v>0</v>
      </c>
      <c r="J166" s="169">
        <f t="shared" si="2156"/>
        <v>0</v>
      </c>
      <c r="K166" s="45"/>
      <c r="L166" s="151"/>
      <c r="M166" s="45"/>
      <c r="N166" s="151"/>
      <c r="Q166" s="45"/>
      <c r="R166" s="151"/>
      <c r="S166" s="320">
        <f t="shared" si="2157"/>
        <v>0</v>
      </c>
      <c r="V166" s="320">
        <f t="shared" si="2158"/>
        <v>0</v>
      </c>
      <c r="Y166" s="45"/>
      <c r="Z166" s="151"/>
      <c r="AA166" s="320">
        <f t="shared" si="2159"/>
        <v>0</v>
      </c>
      <c r="AD166" s="320">
        <f t="shared" si="2160"/>
        <v>0</v>
      </c>
      <c r="AE166" s="45"/>
      <c r="AG166" s="45"/>
      <c r="AH166" s="151"/>
      <c r="AJ166" s="12"/>
      <c r="AK166" s="5"/>
      <c r="AL166" s="9"/>
      <c r="AM166" s="358"/>
      <c r="AN166" s="5"/>
      <c r="AO166" s="13"/>
      <c r="AQ166" s="50"/>
      <c r="AR166" s="50"/>
      <c r="AS166" s="148" t="e">
        <f t="shared" si="2161"/>
        <v>#DIV/0!</v>
      </c>
      <c r="AT166" s="152">
        <v>8.4</v>
      </c>
      <c r="AU166" s="153">
        <v>1</v>
      </c>
      <c r="AV166" s="154" t="e">
        <f t="shared" si="2469"/>
        <v>#DIV/0!</v>
      </c>
      <c r="AW166" s="50"/>
      <c r="AY166" s="155" t="e">
        <f t="shared" si="2470"/>
        <v>#DIV/0!</v>
      </c>
      <c r="AZ166" s="156" t="e">
        <f t="shared" si="2471"/>
        <v>#DIV/0!</v>
      </c>
      <c r="BA166" s="127" t="e">
        <f t="shared" si="2472"/>
        <v>#DIV/0!</v>
      </c>
      <c r="BB166" s="127" t="e">
        <f t="shared" si="2473"/>
        <v>#DIV/0!</v>
      </c>
      <c r="BC166" s="155" t="e">
        <f t="shared" si="2474"/>
        <v>#DIV/0!</v>
      </c>
      <c r="BD166" s="156" t="e">
        <f t="shared" si="2475"/>
        <v>#DIV/0!</v>
      </c>
      <c r="BE166" s="155" t="e">
        <f t="shared" si="2476"/>
        <v>#DIV/0!</v>
      </c>
      <c r="BF166" s="156" t="e">
        <f t="shared" si="2477"/>
        <v>#DIV/0!</v>
      </c>
      <c r="BG166" s="127" t="e">
        <f t="shared" si="2478"/>
        <v>#DIV/0!</v>
      </c>
      <c r="BH166" s="127" t="e">
        <f t="shared" si="2479"/>
        <v>#DIV/0!</v>
      </c>
      <c r="BI166" s="127" t="e">
        <f t="shared" si="2480"/>
        <v>#DIV/0!</v>
      </c>
      <c r="BJ166" s="156" t="e">
        <f t="shared" si="2481"/>
        <v>#DIV/0!</v>
      </c>
      <c r="BK166" s="155" t="e">
        <f t="shared" si="2482"/>
        <v>#DIV/0!</v>
      </c>
      <c r="BL166" s="156" t="e">
        <f t="shared" si="2483"/>
        <v>#DIV/0!</v>
      </c>
      <c r="BM166" s="155" t="e">
        <f t="shared" si="2484"/>
        <v>#DIV/0!</v>
      </c>
      <c r="BN166" s="156" t="e">
        <f t="shared" si="2485"/>
        <v>#DIV/0!</v>
      </c>
      <c r="BO166" s="50"/>
      <c r="BP166" s="51" t="e">
        <f t="shared" si="2486"/>
        <v>#DIV/0!</v>
      </c>
      <c r="BQ166" s="157" t="e">
        <f t="shared" si="2487"/>
        <v>#DIV/0!</v>
      </c>
      <c r="BR166" s="51" t="e">
        <f t="shared" ref="BR166" si="2488">BA166*$AV166</f>
        <v>#DIV/0!</v>
      </c>
      <c r="BS166" s="157" t="e">
        <f t="shared" ref="BS166" si="2489">BB166*$AV166</f>
        <v>#DIV/0!</v>
      </c>
      <c r="BT166" s="51" t="e">
        <f t="shared" ref="BT166" si="2490">BC166*$AV166</f>
        <v>#DIV/0!</v>
      </c>
      <c r="BU166" s="157" t="e">
        <f t="shared" ref="BU166" si="2491">BD166*$AV166</f>
        <v>#DIV/0!</v>
      </c>
      <c r="BV166" s="51" t="e">
        <f t="shared" ref="BV166" si="2492">BE166*$AV166</f>
        <v>#DIV/0!</v>
      </c>
      <c r="BW166" s="157" t="e">
        <f t="shared" ref="BW166" si="2493">BF166*$AV166</f>
        <v>#DIV/0!</v>
      </c>
      <c r="BX166" s="51" t="e">
        <f t="shared" ref="BX166" si="2494">BG166*$AV166</f>
        <v>#DIV/0!</v>
      </c>
      <c r="BY166" s="157" t="e">
        <f t="shared" ref="BY166" si="2495">BH166*$AV166</f>
        <v>#DIV/0!</v>
      </c>
      <c r="BZ166" s="51" t="e">
        <f t="shared" ref="BZ166" si="2496">BI166*$AV166</f>
        <v>#DIV/0!</v>
      </c>
      <c r="CA166" s="157" t="e">
        <f t="shared" ref="CA166" si="2497">BJ166*$AV166</f>
        <v>#DIV/0!</v>
      </c>
      <c r="CB166" s="51" t="e">
        <f t="shared" ref="CB166" si="2498">BK166*$AV166</f>
        <v>#DIV/0!</v>
      </c>
      <c r="CC166" s="157" t="e">
        <f t="shared" ref="CC166" si="2499">BL166*$AV166</f>
        <v>#DIV/0!</v>
      </c>
      <c r="CD166" s="51" t="e">
        <f t="shared" ref="CD166" si="2500">BM166*$AV166</f>
        <v>#DIV/0!</v>
      </c>
      <c r="CE166" s="157" t="e">
        <f t="shared" ref="CE166" si="2501">BN166*$AV166</f>
        <v>#DIV/0!</v>
      </c>
      <c r="CG166" s="45"/>
      <c r="CR166" s="151"/>
      <c r="CS166" s="45"/>
      <c r="CT166" s="151"/>
      <c r="CV166" s="151"/>
      <c r="CX166" s="50"/>
      <c r="CZ166" s="45"/>
      <c r="DK166" s="151"/>
      <c r="DL166" s="45"/>
      <c r="DM166" s="151"/>
      <c r="DN166" s="45"/>
      <c r="DO166" s="151"/>
      <c r="DQ166" s="117"/>
      <c r="DR166" s="77"/>
      <c r="DS166" s="117"/>
      <c r="DT166" s="149"/>
      <c r="DU166" s="77"/>
      <c r="DV166" s="77"/>
      <c r="DW166" s="117"/>
      <c r="DX166" s="149"/>
      <c r="DY166" s="77"/>
      <c r="DZ166" s="77"/>
      <c r="EA166" s="117"/>
      <c r="EB166" s="149"/>
      <c r="EC166" s="77"/>
      <c r="ED166" s="77"/>
      <c r="EE166" s="77"/>
      <c r="EF166" s="117"/>
      <c r="EG166" s="149"/>
      <c r="EH166" s="77"/>
      <c r="EI166" s="149"/>
    </row>
    <row r="167" spans="1:139" x14ac:dyDescent="0.25">
      <c r="A167" s="195">
        <f t="shared" si="2468"/>
        <v>46004</v>
      </c>
      <c r="B167" s="195" t="s">
        <v>14</v>
      </c>
      <c r="C167" s="195"/>
      <c r="D167" s="608"/>
      <c r="E167" s="608"/>
      <c r="F167" s="45"/>
      <c r="G167" s="154"/>
      <c r="H167" s="169">
        <f t="shared" si="2154"/>
        <v>0</v>
      </c>
      <c r="I167" s="169">
        <f t="shared" si="2155"/>
        <v>0</v>
      </c>
      <c r="J167" s="169">
        <f t="shared" si="2156"/>
        <v>0</v>
      </c>
      <c r="K167" s="45"/>
      <c r="L167" s="151"/>
      <c r="M167" s="45"/>
      <c r="N167" s="151"/>
      <c r="Q167" s="45"/>
      <c r="R167" s="151"/>
      <c r="S167" s="320">
        <f t="shared" si="2157"/>
        <v>0</v>
      </c>
      <c r="V167" s="320">
        <f t="shared" si="2158"/>
        <v>0</v>
      </c>
      <c r="Y167" s="45"/>
      <c r="Z167" s="151"/>
      <c r="AA167" s="320">
        <f t="shared" si="2159"/>
        <v>0</v>
      </c>
      <c r="AD167" s="320">
        <f t="shared" si="2160"/>
        <v>0</v>
      </c>
      <c r="AE167" s="45"/>
      <c r="AG167" s="45"/>
      <c r="AH167" s="151"/>
      <c r="AJ167" s="12"/>
      <c r="AK167" s="5"/>
      <c r="AL167" s="9"/>
      <c r="AM167" s="358"/>
      <c r="AN167" s="5"/>
      <c r="AO167" s="13"/>
      <c r="AQ167" s="50"/>
      <c r="AR167" s="50"/>
      <c r="AS167" s="148" t="e">
        <f t="shared" si="2161"/>
        <v>#DIV/0!</v>
      </c>
      <c r="AT167" s="152">
        <v>8.4</v>
      </c>
      <c r="AU167" s="153">
        <v>1</v>
      </c>
      <c r="AV167" s="154" t="e">
        <f t="shared" si="2469"/>
        <v>#DIV/0!</v>
      </c>
      <c r="AW167" s="50"/>
      <c r="AY167" s="155"/>
      <c r="AZ167" s="156"/>
      <c r="BA167" s="127"/>
      <c r="BB167" s="127"/>
      <c r="BC167" s="155"/>
      <c r="BD167" s="156"/>
      <c r="BE167" s="155"/>
      <c r="BF167" s="156"/>
      <c r="BG167" s="127"/>
      <c r="BH167" s="127"/>
      <c r="BI167" s="127"/>
      <c r="BJ167" s="156"/>
      <c r="BK167" s="155"/>
      <c r="BL167" s="156"/>
      <c r="BM167" s="155"/>
      <c r="BN167" s="156"/>
      <c r="BO167" s="50"/>
      <c r="BP167" s="51" t="e">
        <f t="shared" ref="BP167" si="2502">AY167*$AV167</f>
        <v>#DIV/0!</v>
      </c>
      <c r="BQ167" s="157" t="e">
        <f t="shared" ref="BQ167" si="2503">AZ167*$AV167</f>
        <v>#DIV/0!</v>
      </c>
      <c r="BR167" s="51" t="e">
        <f t="shared" ref="BR167" si="2504">BA167*$AV167</f>
        <v>#DIV/0!</v>
      </c>
      <c r="BS167" s="157" t="e">
        <f t="shared" ref="BS167" si="2505">BB167*$AV167</f>
        <v>#DIV/0!</v>
      </c>
      <c r="BT167" s="51" t="e">
        <f t="shared" ref="BT167" si="2506">BC167*$AV167</f>
        <v>#DIV/0!</v>
      </c>
      <c r="BU167" s="157" t="e">
        <f t="shared" ref="BU167" si="2507">BD167*$AV167</f>
        <v>#DIV/0!</v>
      </c>
      <c r="BV167" s="51" t="e">
        <f t="shared" ref="BV167" si="2508">BE167*$AV167</f>
        <v>#DIV/0!</v>
      </c>
      <c r="BW167" s="157" t="e">
        <f t="shared" ref="BW167" si="2509">BF167*$AV167</f>
        <v>#DIV/0!</v>
      </c>
      <c r="BX167" s="51" t="e">
        <f t="shared" ref="BX167" si="2510">BG167*$AV167</f>
        <v>#DIV/0!</v>
      </c>
      <c r="BY167" s="157" t="e">
        <f t="shared" ref="BY167" si="2511">BH167*$AV167</f>
        <v>#DIV/0!</v>
      </c>
      <c r="BZ167" s="51" t="e">
        <f t="shared" ref="BZ167" si="2512">BI167*$AV167</f>
        <v>#DIV/0!</v>
      </c>
      <c r="CA167" s="157" t="e">
        <f t="shared" ref="CA167" si="2513">BJ167*$AV167</f>
        <v>#DIV/0!</v>
      </c>
      <c r="CB167" s="51" t="e">
        <f t="shared" ref="CB167" si="2514">BK167*$AV167</f>
        <v>#DIV/0!</v>
      </c>
      <c r="CC167" s="157" t="e">
        <f t="shared" ref="CC167" si="2515">BL167*$AV167</f>
        <v>#DIV/0!</v>
      </c>
      <c r="CD167" s="51" t="e">
        <f t="shared" ref="CD167" si="2516">BM167*$AV167</f>
        <v>#DIV/0!</v>
      </c>
      <c r="CE167" s="157" t="e">
        <f t="shared" ref="CE167" si="2517">BN167*$AV167</f>
        <v>#DIV/0!</v>
      </c>
      <c r="CG167" s="51" t="e">
        <f t="shared" ref="CG167" si="2518">AVERAGE(BP167:BP168)</f>
        <v>#DIV/0!</v>
      </c>
      <c r="CH167" s="126" t="e">
        <f t="shared" ref="CH167" si="2519">AVERAGE(BQ167:BQ168)</f>
        <v>#DIV/0!</v>
      </c>
      <c r="CI167" s="126" t="e">
        <f t="shared" ref="CI167" si="2520">AVERAGE(BR167:BR168)</f>
        <v>#DIV/0!</v>
      </c>
      <c r="CJ167" s="126" t="e">
        <f t="shared" ref="CJ167" si="2521">AVERAGE(BS167:BS168)</f>
        <v>#DIV/0!</v>
      </c>
      <c r="CK167" s="126" t="e">
        <f t="shared" ref="CK167" si="2522">AVERAGE(BT167:BT168)</f>
        <v>#DIV/0!</v>
      </c>
      <c r="CL167" s="126" t="e">
        <f t="shared" ref="CL167" si="2523">AVERAGE(BU167:BU168)</f>
        <v>#DIV/0!</v>
      </c>
      <c r="CM167" s="126" t="e">
        <f t="shared" ref="CM167" si="2524">AVERAGE(BV167:BV168)</f>
        <v>#DIV/0!</v>
      </c>
      <c r="CN167" s="126" t="e">
        <f t="shared" ref="CN167" si="2525">AVERAGE(BW167:BW168)</f>
        <v>#DIV/0!</v>
      </c>
      <c r="CO167" s="126" t="e">
        <f t="shared" ref="CO167" si="2526">AVERAGE(BX167:BX168)</f>
        <v>#DIV/0!</v>
      </c>
      <c r="CP167" s="126" t="e">
        <f t="shared" ref="CP167" si="2527">AVERAGE(BY167:BY168)</f>
        <v>#DIV/0!</v>
      </c>
      <c r="CQ167" s="126" t="e">
        <f t="shared" ref="CQ167" si="2528">AVERAGE(BZ167:BZ168)</f>
        <v>#DIV/0!</v>
      </c>
      <c r="CR167" s="157" t="e">
        <f t="shared" ref="CR167" si="2529">AVERAGE(CA167:CA168)</f>
        <v>#DIV/0!</v>
      </c>
      <c r="CS167" s="51" t="e">
        <f t="shared" ref="CS167" si="2530">AVERAGE(CB167:CB168)</f>
        <v>#DIV/0!</v>
      </c>
      <c r="CT167" s="157" t="e">
        <f t="shared" ref="CT167" si="2531">AVERAGE(CC167:CC168)</f>
        <v>#DIV/0!</v>
      </c>
      <c r="CU167" s="126" t="e">
        <f t="shared" ref="CU167" si="2532">AVERAGE(CD167:CD168)</f>
        <v>#DIV/0!</v>
      </c>
      <c r="CV167" s="157" t="e">
        <f t="shared" ref="CV167" si="2533">AVERAGE(CE167:CE168)</f>
        <v>#DIV/0!</v>
      </c>
      <c r="CX167" s="150">
        <v>2</v>
      </c>
      <c r="CZ167" s="225" t="e">
        <f t="shared" ref="CZ167" si="2534">CG167*$CX167</f>
        <v>#DIV/0!</v>
      </c>
      <c r="DA167" s="160" t="e">
        <f t="shared" ref="DA167" si="2535">CH167*$CX167</f>
        <v>#DIV/0!</v>
      </c>
      <c r="DB167" s="160" t="e">
        <f t="shared" ref="DB167" si="2536">CI167*$CX167</f>
        <v>#DIV/0!</v>
      </c>
      <c r="DC167" s="160" t="e">
        <f t="shared" ref="DC167" si="2537">CJ167*$CX167</f>
        <v>#DIV/0!</v>
      </c>
      <c r="DD167" s="160" t="e">
        <f t="shared" ref="DD167" si="2538">CK167*$CX167</f>
        <v>#DIV/0!</v>
      </c>
      <c r="DE167" s="160" t="e">
        <f t="shared" ref="DE167" si="2539">CL167*$CX167</f>
        <v>#DIV/0!</v>
      </c>
      <c r="DF167" s="160" t="e">
        <f t="shared" ref="DF167" si="2540">CM167*$CX167</f>
        <v>#DIV/0!</v>
      </c>
      <c r="DG167" s="160" t="e">
        <f t="shared" ref="DG167" si="2541">CN167*$CX167</f>
        <v>#DIV/0!</v>
      </c>
      <c r="DH167" s="160" t="e">
        <f t="shared" ref="DH167" si="2542">CO167*$CX167</f>
        <v>#DIV/0!</v>
      </c>
      <c r="DI167" s="160" t="e">
        <f t="shared" ref="DI167" si="2543">CP167*$CX167</f>
        <v>#DIV/0!</v>
      </c>
      <c r="DJ167" s="160" t="e">
        <f t="shared" ref="DJ167" si="2544">CQ167*$CX167</f>
        <v>#DIV/0!</v>
      </c>
      <c r="DK167" s="161" t="e">
        <f t="shared" ref="DK167" si="2545">CR167*$CX167</f>
        <v>#DIV/0!</v>
      </c>
      <c r="DL167" s="225" t="e">
        <f t="shared" ref="DL167" si="2546">CS167*$CX167</f>
        <v>#DIV/0!</v>
      </c>
      <c r="DM167" s="161" t="e">
        <f t="shared" ref="DM167" si="2547">CT167*$CX167</f>
        <v>#DIV/0!</v>
      </c>
      <c r="DN167" s="225" t="e">
        <f t="shared" ref="DN167" si="2548">CU167*$CX167</f>
        <v>#DIV/0!</v>
      </c>
      <c r="DO167" s="161" t="e">
        <f t="shared" ref="DO167" si="2549">CV167*$CX167</f>
        <v>#DIV/0!</v>
      </c>
      <c r="DQ167" s="117"/>
      <c r="DR167" s="77"/>
      <c r="DS167" s="117"/>
      <c r="DT167" s="149"/>
      <c r="DU167" s="77"/>
      <c r="DV167" s="77"/>
      <c r="DW167" s="117"/>
      <c r="DX167" s="149"/>
      <c r="DY167" s="77"/>
      <c r="DZ167" s="77"/>
      <c r="EA167" s="117"/>
      <c r="EB167" s="149"/>
      <c r="EC167" s="77"/>
      <c r="ED167" s="77"/>
      <c r="EE167" s="77"/>
      <c r="EF167" s="117"/>
      <c r="EG167" s="149"/>
      <c r="EH167" s="77"/>
      <c r="EI167" s="149"/>
    </row>
    <row r="168" spans="1:139" x14ac:dyDescent="0.25">
      <c r="A168" s="334">
        <f t="shared" si="2468"/>
        <v>46005</v>
      </c>
      <c r="B168" s="334" t="s">
        <v>15</v>
      </c>
      <c r="C168" s="334"/>
      <c r="D168" s="609"/>
      <c r="E168" s="609"/>
      <c r="F168" s="176"/>
      <c r="G168" s="305"/>
      <c r="H168" s="323">
        <f t="shared" si="2154"/>
        <v>0</v>
      </c>
      <c r="I168" s="323">
        <f t="shared" si="2155"/>
        <v>0</v>
      </c>
      <c r="J168" s="323">
        <f t="shared" si="2156"/>
        <v>0</v>
      </c>
      <c r="K168" s="176"/>
      <c r="L168" s="178"/>
      <c r="M168" s="176"/>
      <c r="N168" s="178"/>
      <c r="O168" s="177"/>
      <c r="P168" s="177"/>
      <c r="Q168" s="176"/>
      <c r="R168" s="178"/>
      <c r="S168" s="320">
        <f t="shared" si="2157"/>
        <v>0</v>
      </c>
      <c r="V168" s="320">
        <f t="shared" si="2158"/>
        <v>0</v>
      </c>
      <c r="W168" s="177"/>
      <c r="X168" s="177"/>
      <c r="Y168" s="176"/>
      <c r="Z168" s="178"/>
      <c r="AA168" s="320">
        <f t="shared" si="2159"/>
        <v>0</v>
      </c>
      <c r="AD168" s="320">
        <f t="shared" si="2160"/>
        <v>0</v>
      </c>
      <c r="AE168" s="176"/>
      <c r="AF168" s="177"/>
      <c r="AG168" s="176"/>
      <c r="AH168" s="178"/>
      <c r="AJ168" s="12"/>
      <c r="AK168" s="5"/>
      <c r="AL168" s="9"/>
      <c r="AM168" s="358"/>
      <c r="AN168" s="5"/>
      <c r="AO168" s="13"/>
      <c r="AQ168" s="131"/>
      <c r="AR168" s="131"/>
      <c r="AS168" s="191" t="e">
        <f t="shared" si="2161"/>
        <v>#DIV/0!</v>
      </c>
      <c r="AT168" s="192">
        <v>8.4</v>
      </c>
      <c r="AU168" s="193">
        <v>1</v>
      </c>
      <c r="AV168" s="154" t="e">
        <f t="shared" si="2469"/>
        <v>#DIV/0!</v>
      </c>
      <c r="AW168" s="131"/>
      <c r="AY168" s="212"/>
      <c r="AZ168" s="213"/>
      <c r="BA168" s="214"/>
      <c r="BB168" s="214"/>
      <c r="BC168" s="212"/>
      <c r="BD168" s="213"/>
      <c r="BE168" s="212"/>
      <c r="BF168" s="213"/>
      <c r="BG168" s="214"/>
      <c r="BH168" s="214"/>
      <c r="BI168" s="214"/>
      <c r="BJ168" s="213"/>
      <c r="BK168" s="155"/>
      <c r="BL168" s="156"/>
      <c r="BM168" s="155"/>
      <c r="BN168" s="156"/>
      <c r="BO168" s="50"/>
      <c r="BP168" s="217"/>
      <c r="BQ168" s="218"/>
      <c r="BR168" s="217"/>
      <c r="BS168" s="218"/>
      <c r="BT168" s="217"/>
      <c r="BU168" s="218"/>
      <c r="BV168" s="217"/>
      <c r="BW168" s="218"/>
      <c r="BX168" s="217"/>
      <c r="BY168" s="218"/>
      <c r="BZ168" s="217"/>
      <c r="CA168" s="218"/>
      <c r="CB168" s="217"/>
      <c r="CC168" s="218"/>
      <c r="CD168" s="217"/>
      <c r="CE168" s="218"/>
      <c r="CG168" s="176"/>
      <c r="CH168" s="177"/>
      <c r="CI168" s="177"/>
      <c r="CJ168" s="177"/>
      <c r="CK168" s="177"/>
      <c r="CL168" s="177"/>
      <c r="CM168" s="177"/>
      <c r="CN168" s="177"/>
      <c r="CO168" s="177"/>
      <c r="CP168" s="177"/>
      <c r="CQ168" s="177"/>
      <c r="CR168" s="178"/>
      <c r="CS168" s="176"/>
      <c r="CT168" s="178"/>
      <c r="CU168" s="177"/>
      <c r="CV168" s="178"/>
      <c r="CX168" s="131"/>
      <c r="CZ168" s="176"/>
      <c r="DA168" s="177"/>
      <c r="DB168" s="177"/>
      <c r="DC168" s="177"/>
      <c r="DD168" s="177"/>
      <c r="DE168" s="177"/>
      <c r="DF168" s="177"/>
      <c r="DG168" s="177"/>
      <c r="DH168" s="177"/>
      <c r="DI168" s="177"/>
      <c r="DJ168" s="177"/>
      <c r="DK168" s="178"/>
      <c r="DL168" s="176"/>
      <c r="DM168" s="178"/>
      <c r="DN168" s="176"/>
      <c r="DO168" s="178"/>
      <c r="DQ168" s="32"/>
      <c r="DR168" s="34"/>
      <c r="DS168" s="32"/>
      <c r="DT168" s="33"/>
      <c r="DU168" s="34"/>
      <c r="DV168" s="34"/>
      <c r="DW168" s="32"/>
      <c r="DX168" s="33"/>
      <c r="DY168" s="34"/>
      <c r="DZ168" s="34"/>
      <c r="EA168" s="32"/>
      <c r="EB168" s="33"/>
      <c r="EC168" s="34"/>
      <c r="ED168" s="34"/>
      <c r="EE168" s="34"/>
      <c r="EF168" s="32"/>
      <c r="EG168" s="33"/>
      <c r="EH168" s="34"/>
      <c r="EI168" s="33"/>
    </row>
    <row r="169" spans="1:139" x14ac:dyDescent="0.25">
      <c r="A169" s="195"/>
      <c r="B169" s="195"/>
      <c r="C169" s="195"/>
      <c r="D169" s="536">
        <f>SUM(D162:D168)</f>
        <v>0</v>
      </c>
      <c r="E169" s="536">
        <f t="shared" ref="E169" si="2550">SUM(E162:E168)</f>
        <v>0</v>
      </c>
      <c r="F169" s="536">
        <f t="shared" ref="F169" si="2551">SUM(F162:F168)</f>
        <v>0</v>
      </c>
      <c r="G169" s="536">
        <f t="shared" ref="G169" si="2552">SUM(G162:G168)</f>
        <v>0</v>
      </c>
      <c r="H169" s="202">
        <f t="shared" ref="H169:AH169" si="2553">SUM(H162:H168)</f>
        <v>0</v>
      </c>
      <c r="I169" s="204">
        <f t="shared" si="2553"/>
        <v>0</v>
      </c>
      <c r="J169" s="202">
        <f t="shared" si="2553"/>
        <v>0</v>
      </c>
      <c r="K169" s="204">
        <f t="shared" si="2553"/>
        <v>0</v>
      </c>
      <c r="L169" s="202">
        <f t="shared" si="2553"/>
        <v>0</v>
      </c>
      <c r="M169" s="204">
        <f t="shared" si="2553"/>
        <v>0</v>
      </c>
      <c r="N169" s="202">
        <f t="shared" si="2553"/>
        <v>0</v>
      </c>
      <c r="O169" s="204">
        <f t="shared" si="2553"/>
        <v>0</v>
      </c>
      <c r="P169" s="202">
        <f t="shared" si="2553"/>
        <v>0</v>
      </c>
      <c r="Q169" s="205">
        <f t="shared" si="2553"/>
        <v>0</v>
      </c>
      <c r="R169" s="205">
        <f t="shared" si="2553"/>
        <v>0</v>
      </c>
      <c r="S169" s="203">
        <f t="shared" si="2553"/>
        <v>0</v>
      </c>
      <c r="T169" s="205">
        <f t="shared" si="2553"/>
        <v>0</v>
      </c>
      <c r="U169" s="205">
        <f t="shared" si="2553"/>
        <v>0</v>
      </c>
      <c r="V169" s="202">
        <f t="shared" si="2553"/>
        <v>0</v>
      </c>
      <c r="W169" s="204">
        <f t="shared" si="2553"/>
        <v>0</v>
      </c>
      <c r="X169" s="202">
        <f t="shared" si="2553"/>
        <v>0</v>
      </c>
      <c r="Y169" s="205">
        <f t="shared" si="2553"/>
        <v>0</v>
      </c>
      <c r="Z169" s="205">
        <f t="shared" si="2553"/>
        <v>0</v>
      </c>
      <c r="AA169" s="203">
        <f t="shared" si="2553"/>
        <v>0</v>
      </c>
      <c r="AB169" s="205">
        <f t="shared" si="2553"/>
        <v>0</v>
      </c>
      <c r="AC169" s="205">
        <f t="shared" si="2553"/>
        <v>0</v>
      </c>
      <c r="AD169" s="202">
        <f t="shared" si="2553"/>
        <v>0</v>
      </c>
      <c r="AE169" s="204">
        <f t="shared" si="2553"/>
        <v>0</v>
      </c>
      <c r="AF169" s="205">
        <f t="shared" si="2553"/>
        <v>0</v>
      </c>
      <c r="AG169" s="202">
        <f t="shared" si="2553"/>
        <v>0</v>
      </c>
      <c r="AH169" s="204">
        <f t="shared" si="2553"/>
        <v>0</v>
      </c>
      <c r="AJ169" s="12"/>
      <c r="AK169" s="5"/>
      <c r="AL169" s="9"/>
      <c r="AM169" s="358"/>
      <c r="AN169" s="5"/>
      <c r="AO169" s="13"/>
      <c r="AQ169" s="50"/>
      <c r="AR169" s="50"/>
      <c r="AS169" s="148"/>
      <c r="AT169" s="152"/>
      <c r="AU169" s="153"/>
      <c r="AV169" s="194" t="e">
        <f>AVERAGE(AV162:AV166)*2+AVERAGE(AV167:AV168)*1</f>
        <v>#DIV/0!</v>
      </c>
      <c r="AW169" s="50"/>
      <c r="AY169" s="155"/>
      <c r="AZ169" s="156"/>
      <c r="BA169" s="127"/>
      <c r="BB169" s="127"/>
      <c r="BC169" s="155"/>
      <c r="BD169" s="156"/>
      <c r="BE169" s="155"/>
      <c r="BF169" s="156"/>
      <c r="BG169" s="127"/>
      <c r="BH169" s="127"/>
      <c r="BI169" s="127"/>
      <c r="BJ169" s="156"/>
      <c r="BK169" s="127"/>
      <c r="BL169" s="156"/>
      <c r="BM169" s="127"/>
      <c r="BN169" s="156"/>
      <c r="BO169" s="50"/>
      <c r="BP169" s="51"/>
      <c r="BQ169" s="157"/>
      <c r="BR169" s="51"/>
      <c r="BS169" s="157"/>
      <c r="BT169" s="51"/>
      <c r="BU169" s="157"/>
      <c r="BV169" s="51"/>
      <c r="BW169" s="157"/>
      <c r="BX169" s="51"/>
      <c r="BY169" s="157"/>
      <c r="BZ169" s="51"/>
      <c r="CA169" s="157"/>
      <c r="CB169" s="51"/>
      <c r="CC169" s="157"/>
      <c r="CD169" s="51"/>
      <c r="CE169" s="157"/>
      <c r="CG169" s="45"/>
      <c r="CR169" s="151"/>
      <c r="CS169" s="45"/>
      <c r="CT169" s="151"/>
      <c r="CV169" s="151"/>
      <c r="CX169" s="50"/>
      <c r="CZ169" s="226" t="e">
        <f t="shared" ref="CZ169:DO169" si="2554">CZ167+CZ162</f>
        <v>#DIV/0!</v>
      </c>
      <c r="DA169" s="227" t="e">
        <f t="shared" si="2554"/>
        <v>#DIV/0!</v>
      </c>
      <c r="DB169" s="227" t="e">
        <f t="shared" si="2554"/>
        <v>#DIV/0!</v>
      </c>
      <c r="DC169" s="227" t="e">
        <f t="shared" si="2554"/>
        <v>#DIV/0!</v>
      </c>
      <c r="DD169" s="227" t="e">
        <f t="shared" si="2554"/>
        <v>#DIV/0!</v>
      </c>
      <c r="DE169" s="227" t="e">
        <f t="shared" si="2554"/>
        <v>#DIV/0!</v>
      </c>
      <c r="DF169" s="227" t="e">
        <f t="shared" si="2554"/>
        <v>#DIV/0!</v>
      </c>
      <c r="DG169" s="227" t="e">
        <f t="shared" si="2554"/>
        <v>#DIV/0!</v>
      </c>
      <c r="DH169" s="227" t="e">
        <f t="shared" si="2554"/>
        <v>#DIV/0!</v>
      </c>
      <c r="DI169" s="227" t="e">
        <f t="shared" si="2554"/>
        <v>#DIV/0!</v>
      </c>
      <c r="DJ169" s="227" t="e">
        <f t="shared" si="2554"/>
        <v>#DIV/0!</v>
      </c>
      <c r="DK169" s="228" t="e">
        <f t="shared" si="2554"/>
        <v>#DIV/0!</v>
      </c>
      <c r="DL169" s="226" t="e">
        <f t="shared" si="2554"/>
        <v>#DIV/0!</v>
      </c>
      <c r="DM169" s="228" t="e">
        <f t="shared" si="2554"/>
        <v>#DIV/0!</v>
      </c>
      <c r="DN169" s="226" t="e">
        <f t="shared" si="2554"/>
        <v>#DIV/0!</v>
      </c>
      <c r="DO169" s="228" t="e">
        <f t="shared" si="2554"/>
        <v>#DIV/0!</v>
      </c>
      <c r="DQ169" s="117"/>
      <c r="DR169" s="77"/>
      <c r="DS169" s="117"/>
      <c r="DT169" s="149"/>
      <c r="DU169" s="77"/>
      <c r="DV169" s="77"/>
      <c r="DW169" s="117"/>
      <c r="DX169" s="149"/>
      <c r="DY169" s="77"/>
      <c r="DZ169" s="77"/>
      <c r="EA169" s="117"/>
      <c r="EB169" s="149"/>
      <c r="EC169" s="77"/>
      <c r="ED169" s="77"/>
      <c r="EE169" s="77"/>
      <c r="EF169" s="117"/>
      <c r="EG169" s="149"/>
      <c r="EH169" s="77"/>
      <c r="EI169" s="149"/>
    </row>
    <row r="170" spans="1:139" x14ac:dyDescent="0.25">
      <c r="A170" s="206">
        <f>A162+7</f>
        <v>46006</v>
      </c>
      <c r="B170" s="207" t="s">
        <v>7</v>
      </c>
      <c r="C170" s="206"/>
      <c r="D170" s="41"/>
      <c r="E170" s="41"/>
      <c r="F170" s="41"/>
      <c r="G170" s="179"/>
      <c r="H170" s="208">
        <f t="shared" si="2154"/>
        <v>0</v>
      </c>
      <c r="I170" s="208">
        <f t="shared" si="2155"/>
        <v>0</v>
      </c>
      <c r="J170" s="208">
        <f t="shared" si="2156"/>
        <v>0</v>
      </c>
      <c r="K170" s="41"/>
      <c r="L170" s="42"/>
      <c r="M170" s="41"/>
      <c r="N170" s="42"/>
      <c r="O170" s="165"/>
      <c r="P170" s="165"/>
      <c r="Q170" s="41"/>
      <c r="R170" s="42"/>
      <c r="S170" s="319">
        <f t="shared" si="2157"/>
        <v>0</v>
      </c>
      <c r="T170" s="165"/>
      <c r="U170" s="165"/>
      <c r="V170" s="319">
        <f t="shared" si="2158"/>
        <v>0</v>
      </c>
      <c r="W170" s="165"/>
      <c r="X170" s="165"/>
      <c r="Y170" s="41"/>
      <c r="Z170" s="42"/>
      <c r="AA170" s="319">
        <f t="shared" si="2159"/>
        <v>0</v>
      </c>
      <c r="AB170" s="165"/>
      <c r="AC170" s="165"/>
      <c r="AD170" s="319">
        <f t="shared" si="2160"/>
        <v>0</v>
      </c>
      <c r="AE170" s="41"/>
      <c r="AF170" s="165"/>
      <c r="AG170" s="41"/>
      <c r="AH170" s="42"/>
      <c r="AJ170" s="12"/>
      <c r="AK170" s="5"/>
      <c r="AL170" s="9"/>
      <c r="AM170" s="358"/>
      <c r="AN170" s="5"/>
      <c r="AO170" s="13"/>
      <c r="AQ170" s="28"/>
      <c r="AR170" s="28"/>
      <c r="AS170" s="146" t="e">
        <f t="shared" si="2161"/>
        <v>#DIV/0!</v>
      </c>
      <c r="AT170" s="359">
        <v>8.4</v>
      </c>
      <c r="AU170" s="190">
        <v>1</v>
      </c>
      <c r="AV170" s="154" t="e">
        <f t="shared" ref="AV170:AV174" si="2555">AT170*AS170*AU170</f>
        <v>#DIV/0!</v>
      </c>
      <c r="AW170" s="28"/>
      <c r="AY170" s="155" t="e">
        <f t="shared" ref="AY170" si="2556">H170/G170</f>
        <v>#DIV/0!</v>
      </c>
      <c r="AZ170" s="156" t="e">
        <f t="shared" ref="AZ170" si="2557">I170/G170</f>
        <v>#DIV/0!</v>
      </c>
      <c r="BA170" s="127" t="e">
        <f t="shared" ref="BA170" si="2558">(K170+L170)/$G170</f>
        <v>#DIV/0!</v>
      </c>
      <c r="BB170" s="127" t="e">
        <f t="shared" ref="BB170" si="2559">K170/$G170</f>
        <v>#DIV/0!</v>
      </c>
      <c r="BC170" s="155" t="e">
        <f t="shared" ref="BC170" si="2560">(M170+N170)/$G170</f>
        <v>#DIV/0!</v>
      </c>
      <c r="BD170" s="156" t="e">
        <f t="shared" ref="BD170" si="2561">M170/$G170</f>
        <v>#DIV/0!</v>
      </c>
      <c r="BE170" s="155" t="e">
        <f t="shared" ref="BE170" si="2562">(Q170+R170)/$G170</f>
        <v>#DIV/0!</v>
      </c>
      <c r="BF170" s="156" t="e">
        <f t="shared" ref="BF170" si="2563">Q170/$G170</f>
        <v>#DIV/0!</v>
      </c>
      <c r="BG170" s="127" t="e">
        <f t="shared" ref="BG170" si="2564">S170/$G170</f>
        <v>#DIV/0!</v>
      </c>
      <c r="BH170" s="127" t="e">
        <f t="shared" ref="BH170" si="2565">V170/$G170</f>
        <v>#DIV/0!</v>
      </c>
      <c r="BI170" s="127" t="e">
        <f t="shared" ref="BI170" si="2566">AA170/$G170</f>
        <v>#DIV/0!</v>
      </c>
      <c r="BJ170" s="156" t="e">
        <f t="shared" ref="BJ170" si="2567">AD170/$G170</f>
        <v>#DIV/0!</v>
      </c>
      <c r="BK170" s="155" t="e">
        <f t="shared" ref="BK170" si="2568">Y170/$G170</f>
        <v>#DIV/0!</v>
      </c>
      <c r="BL170" s="156" t="e">
        <f t="shared" ref="BL170" si="2569">Z170/$G170</f>
        <v>#DIV/0!</v>
      </c>
      <c r="BM170" s="155" t="e">
        <f t="shared" ref="BM170" si="2570">AG170/$G170</f>
        <v>#DIV/0!</v>
      </c>
      <c r="BN170" s="156" t="e">
        <f t="shared" ref="BN170" si="2571">AH170/$G170</f>
        <v>#DIV/0!</v>
      </c>
      <c r="BO170" s="50"/>
      <c r="BP170" s="51" t="e">
        <f t="shared" ref="BP170" si="2572">AY170*$AV170</f>
        <v>#DIV/0!</v>
      </c>
      <c r="BQ170" s="157" t="e">
        <f t="shared" ref="BQ170" si="2573">AZ170*$AV170</f>
        <v>#DIV/0!</v>
      </c>
      <c r="BR170" s="51" t="e">
        <f t="shared" ref="BR170" si="2574">BA170*$AV170</f>
        <v>#DIV/0!</v>
      </c>
      <c r="BS170" s="157" t="e">
        <f t="shared" ref="BS170" si="2575">BB170*$AV170</f>
        <v>#DIV/0!</v>
      </c>
      <c r="BT170" s="51" t="e">
        <f t="shared" ref="BT170" si="2576">BC170*$AV170</f>
        <v>#DIV/0!</v>
      </c>
      <c r="BU170" s="157" t="e">
        <f t="shared" ref="BU170" si="2577">BD170*$AV170</f>
        <v>#DIV/0!</v>
      </c>
      <c r="BV170" s="51" t="e">
        <f t="shared" ref="BV170" si="2578">BE170*$AV170</f>
        <v>#DIV/0!</v>
      </c>
      <c r="BW170" s="157" t="e">
        <f t="shared" ref="BW170" si="2579">BF170*$AV170</f>
        <v>#DIV/0!</v>
      </c>
      <c r="BX170" s="51" t="e">
        <f t="shared" ref="BX170" si="2580">BG170*$AV170</f>
        <v>#DIV/0!</v>
      </c>
      <c r="BY170" s="157" t="e">
        <f t="shared" ref="BY170" si="2581">BH170*$AV170</f>
        <v>#DIV/0!</v>
      </c>
      <c r="BZ170" s="51" t="e">
        <f t="shared" ref="BZ170" si="2582">BI170*$AV170</f>
        <v>#DIV/0!</v>
      </c>
      <c r="CA170" s="157" t="e">
        <f t="shared" ref="CA170" si="2583">BJ170*$AV170</f>
        <v>#DIV/0!</v>
      </c>
      <c r="CB170" s="51" t="e">
        <f t="shared" ref="CB170" si="2584">BK170*$AV170</f>
        <v>#DIV/0!</v>
      </c>
      <c r="CC170" s="157" t="e">
        <f t="shared" ref="CC170" si="2585">BL170*$AV170</f>
        <v>#DIV/0!</v>
      </c>
      <c r="CD170" s="51" t="e">
        <f t="shared" ref="CD170" si="2586">BM170*$AV170</f>
        <v>#DIV/0!</v>
      </c>
      <c r="CE170" s="157" t="e">
        <f t="shared" ref="CE170" si="2587">BN170*$AV170</f>
        <v>#DIV/0!</v>
      </c>
      <c r="CG170" s="215" t="e">
        <f t="shared" ref="CG170" si="2588">AVERAGE(BP170:BP174)</f>
        <v>#DIV/0!</v>
      </c>
      <c r="CH170" s="175" t="e">
        <f t="shared" ref="CH170" si="2589">AVERAGE(BQ170:BQ174)</f>
        <v>#DIV/0!</v>
      </c>
      <c r="CI170" s="175" t="e">
        <f t="shared" ref="CI170" si="2590">AVERAGE(BR170:BR174)</f>
        <v>#DIV/0!</v>
      </c>
      <c r="CJ170" s="175" t="e">
        <f t="shared" ref="CJ170" si="2591">AVERAGE(BS170:BS174)</f>
        <v>#DIV/0!</v>
      </c>
      <c r="CK170" s="175" t="e">
        <f t="shared" ref="CK170" si="2592">AVERAGE(BT170:BT174)</f>
        <v>#DIV/0!</v>
      </c>
      <c r="CL170" s="175" t="e">
        <f t="shared" ref="CL170" si="2593">AVERAGE(BU170:BU174)</f>
        <v>#DIV/0!</v>
      </c>
      <c r="CM170" s="175" t="e">
        <f t="shared" ref="CM170" si="2594">AVERAGE(BV170:BV174)</f>
        <v>#DIV/0!</v>
      </c>
      <c r="CN170" s="175" t="e">
        <f t="shared" ref="CN170" si="2595">AVERAGE(BW170:BW174)</f>
        <v>#DIV/0!</v>
      </c>
      <c r="CO170" s="175" t="e">
        <f t="shared" ref="CO170" si="2596">AVERAGE(BX170:BX174)</f>
        <v>#DIV/0!</v>
      </c>
      <c r="CP170" s="175" t="e">
        <f t="shared" ref="CP170" si="2597">AVERAGE(BY170:BY174)</f>
        <v>#DIV/0!</v>
      </c>
      <c r="CQ170" s="175" t="e">
        <f t="shared" ref="CQ170" si="2598">AVERAGE(BZ170:BZ174)</f>
        <v>#DIV/0!</v>
      </c>
      <c r="CR170" s="216" t="e">
        <f t="shared" ref="CR170" si="2599">AVERAGE(CA170:CA174)</f>
        <v>#DIV/0!</v>
      </c>
      <c r="CS170" s="215" t="e">
        <f t="shared" ref="CS170" si="2600">AVERAGE(CB170:CB174)</f>
        <v>#DIV/0!</v>
      </c>
      <c r="CT170" s="216" t="e">
        <f t="shared" ref="CT170" si="2601">AVERAGE(CC170:CC174)</f>
        <v>#DIV/0!</v>
      </c>
      <c r="CU170" s="175" t="e">
        <f t="shared" ref="CU170" si="2602">AVERAGE(CD170:CD174)</f>
        <v>#DIV/0!</v>
      </c>
      <c r="CV170" s="216" t="e">
        <f t="shared" ref="CV170" si="2603">AVERAGE(CE170:CE174)</f>
        <v>#DIV/0!</v>
      </c>
      <c r="CX170" s="56">
        <v>5</v>
      </c>
      <c r="CZ170" s="223" t="e">
        <f t="shared" ref="CZ170" si="2604">CG170*$CX170</f>
        <v>#DIV/0!</v>
      </c>
      <c r="DA170" s="159" t="e">
        <f t="shared" ref="DA170" si="2605">CH170*$CX170</f>
        <v>#DIV/0!</v>
      </c>
      <c r="DB170" s="159" t="e">
        <f t="shared" ref="DB170" si="2606">CI170*$CX170</f>
        <v>#DIV/0!</v>
      </c>
      <c r="DC170" s="159" t="e">
        <f t="shared" ref="DC170" si="2607">CJ170*$CX170</f>
        <v>#DIV/0!</v>
      </c>
      <c r="DD170" s="159" t="e">
        <f t="shared" ref="DD170" si="2608">CK170*$CX170</f>
        <v>#DIV/0!</v>
      </c>
      <c r="DE170" s="159" t="e">
        <f t="shared" ref="DE170" si="2609">CL170*$CX170</f>
        <v>#DIV/0!</v>
      </c>
      <c r="DF170" s="159" t="e">
        <f t="shared" ref="DF170" si="2610">CM170*$CX170</f>
        <v>#DIV/0!</v>
      </c>
      <c r="DG170" s="159" t="e">
        <f t="shared" ref="DG170" si="2611">CN170*$CX170</f>
        <v>#DIV/0!</v>
      </c>
      <c r="DH170" s="159" t="e">
        <f t="shared" ref="DH170" si="2612">CO170*$CX170</f>
        <v>#DIV/0!</v>
      </c>
      <c r="DI170" s="159" t="e">
        <f t="shared" ref="DI170" si="2613">CP170*$CX170</f>
        <v>#DIV/0!</v>
      </c>
      <c r="DJ170" s="159" t="e">
        <f t="shared" ref="DJ170" si="2614">CQ170*$CX170</f>
        <v>#DIV/0!</v>
      </c>
      <c r="DK170" s="224" t="e">
        <f t="shared" ref="DK170" si="2615">CR170*$CX170</f>
        <v>#DIV/0!</v>
      </c>
      <c r="DL170" s="223" t="e">
        <f t="shared" ref="DL170" si="2616">CS170*$CX170</f>
        <v>#DIV/0!</v>
      </c>
      <c r="DM170" s="224" t="e">
        <f t="shared" ref="DM170" si="2617">CT170*$CX170</f>
        <v>#DIV/0!</v>
      </c>
      <c r="DN170" s="223" t="e">
        <f t="shared" ref="DN170" si="2618">CU170*$CX170</f>
        <v>#DIV/0!</v>
      </c>
      <c r="DO170" s="224" t="e">
        <f t="shared" ref="DO170" si="2619">CV170*$CX170</f>
        <v>#DIV/0!</v>
      </c>
      <c r="DQ170" s="130"/>
      <c r="DR170" s="229"/>
      <c r="DS170" s="130"/>
      <c r="DT170" s="230"/>
      <c r="DU170" s="229"/>
      <c r="DV170" s="229"/>
      <c r="DW170" s="130"/>
      <c r="DX170" s="230"/>
      <c r="DY170" s="229"/>
      <c r="DZ170" s="229"/>
      <c r="EA170" s="130"/>
      <c r="EB170" s="230"/>
      <c r="EC170" s="229"/>
      <c r="ED170" s="229"/>
      <c r="EE170" s="229"/>
      <c r="EF170" s="130"/>
      <c r="EG170" s="230"/>
      <c r="EH170" s="229"/>
      <c r="EI170" s="230"/>
    </row>
    <row r="171" spans="1:139" x14ac:dyDescent="0.25">
      <c r="A171" s="195">
        <f t="shared" ref="A171:A176" si="2620">A170+1</f>
        <v>46007</v>
      </c>
      <c r="B171" s="158" t="s">
        <v>94</v>
      </c>
      <c r="C171" s="195"/>
      <c r="D171" s="45"/>
      <c r="E171" s="45"/>
      <c r="F171" s="45"/>
      <c r="G171" s="154"/>
      <c r="H171" s="169">
        <f t="shared" si="2154"/>
        <v>0</v>
      </c>
      <c r="I171" s="169">
        <f t="shared" si="2155"/>
        <v>0</v>
      </c>
      <c r="J171" s="169">
        <f t="shared" si="2156"/>
        <v>0</v>
      </c>
      <c r="K171" s="45"/>
      <c r="L171" s="151"/>
      <c r="M171" s="45"/>
      <c r="N171" s="151"/>
      <c r="Q171" s="45"/>
      <c r="R171" s="151"/>
      <c r="S171" s="320">
        <f t="shared" si="2157"/>
        <v>0</v>
      </c>
      <c r="V171" s="320">
        <f t="shared" si="2158"/>
        <v>0</v>
      </c>
      <c r="Y171" s="45"/>
      <c r="Z171" s="151"/>
      <c r="AA171" s="320">
        <f t="shared" si="2159"/>
        <v>0</v>
      </c>
      <c r="AD171" s="320">
        <f t="shared" si="2160"/>
        <v>0</v>
      </c>
      <c r="AE171" s="45"/>
      <c r="AG171" s="45"/>
      <c r="AH171" s="151"/>
      <c r="AJ171" s="12"/>
      <c r="AK171" s="5"/>
      <c r="AL171" s="9"/>
      <c r="AM171" s="358"/>
      <c r="AN171" s="5"/>
      <c r="AO171" s="13"/>
      <c r="AQ171" s="50"/>
      <c r="AR171" s="50"/>
      <c r="AS171" s="148" t="e">
        <f t="shared" si="2161"/>
        <v>#DIV/0!</v>
      </c>
      <c r="AT171" s="152"/>
      <c r="AU171" s="153"/>
      <c r="AV171" s="154"/>
      <c r="AW171" s="50"/>
      <c r="AY171" s="155"/>
      <c r="AZ171" s="156"/>
      <c r="BA171" s="127"/>
      <c r="BB171" s="127"/>
      <c r="BC171" s="155"/>
      <c r="BD171" s="156"/>
      <c r="BE171" s="155"/>
      <c r="BF171" s="156"/>
      <c r="BG171" s="127"/>
      <c r="BH171" s="127"/>
      <c r="BI171" s="127"/>
      <c r="BJ171" s="156"/>
      <c r="BK171" s="156"/>
      <c r="BL171" s="156"/>
      <c r="BM171" s="156"/>
      <c r="BN171" s="156"/>
      <c r="BO171" s="50"/>
      <c r="BP171" s="51"/>
      <c r="BQ171" s="157"/>
      <c r="BR171" s="51"/>
      <c r="BS171" s="157"/>
      <c r="BT171" s="51"/>
      <c r="BU171" s="157"/>
      <c r="BV171" s="51"/>
      <c r="BW171" s="157"/>
      <c r="BX171" s="51"/>
      <c r="BY171" s="157"/>
      <c r="BZ171" s="51"/>
      <c r="CA171" s="157"/>
      <c r="CB171" s="51"/>
      <c r="CC171" s="157"/>
      <c r="CD171" s="51"/>
      <c r="CE171" s="157"/>
      <c r="CG171" s="45"/>
      <c r="CR171" s="151"/>
      <c r="CS171" s="45"/>
      <c r="CT171" s="151"/>
      <c r="CV171" s="151"/>
      <c r="CX171" s="50"/>
      <c r="CZ171" s="45"/>
      <c r="DK171" s="151"/>
      <c r="DL171" s="45"/>
      <c r="DM171" s="151"/>
      <c r="DN171" s="45"/>
      <c r="DO171" s="151"/>
      <c r="DQ171" s="117"/>
      <c r="DR171" s="77"/>
      <c r="DS171" s="117"/>
      <c r="DT171" s="149"/>
      <c r="DU171" s="77"/>
      <c r="DV171" s="77"/>
      <c r="DW171" s="117"/>
      <c r="DX171" s="149"/>
      <c r="DY171" s="77"/>
      <c r="DZ171" s="77"/>
      <c r="EA171" s="117"/>
      <c r="EB171" s="149"/>
      <c r="EC171" s="77"/>
      <c r="ED171" s="77"/>
      <c r="EE171" s="77"/>
      <c r="EF171" s="117"/>
      <c r="EG171" s="149"/>
      <c r="EH171" s="77"/>
      <c r="EI171" s="149"/>
    </row>
    <row r="172" spans="1:139" x14ac:dyDescent="0.25">
      <c r="A172" s="195">
        <f t="shared" si="2620"/>
        <v>46008</v>
      </c>
      <c r="B172" s="158" t="s">
        <v>11</v>
      </c>
      <c r="C172" s="195"/>
      <c r="D172" s="45"/>
      <c r="E172" s="45"/>
      <c r="F172" s="45"/>
      <c r="G172" s="154"/>
      <c r="H172" s="169">
        <f t="shared" si="2154"/>
        <v>0</v>
      </c>
      <c r="I172" s="169">
        <f t="shared" si="2155"/>
        <v>0</v>
      </c>
      <c r="J172" s="169">
        <f t="shared" si="2156"/>
        <v>0</v>
      </c>
      <c r="K172" s="45"/>
      <c r="L172" s="151"/>
      <c r="M172" s="45"/>
      <c r="N172" s="151"/>
      <c r="Q172" s="45"/>
      <c r="R172" s="151"/>
      <c r="S172" s="320">
        <f t="shared" si="2157"/>
        <v>0</v>
      </c>
      <c r="V172" s="320">
        <f t="shared" si="2158"/>
        <v>0</v>
      </c>
      <c r="Y172" s="45"/>
      <c r="Z172" s="151"/>
      <c r="AA172" s="320">
        <f t="shared" si="2159"/>
        <v>0</v>
      </c>
      <c r="AD172" s="320">
        <f t="shared" si="2160"/>
        <v>0</v>
      </c>
      <c r="AE172" s="45"/>
      <c r="AG172" s="45"/>
      <c r="AH172" s="151"/>
      <c r="AJ172" s="12"/>
      <c r="AK172" s="5"/>
      <c r="AL172" s="9"/>
      <c r="AM172" s="358"/>
      <c r="AN172" s="5"/>
      <c r="AO172" s="13"/>
      <c r="AQ172" s="50"/>
      <c r="AR172" s="50"/>
      <c r="AS172" s="148" t="e">
        <f t="shared" si="2161"/>
        <v>#DIV/0!</v>
      </c>
      <c r="AT172" s="152">
        <v>8.1999999999999993</v>
      </c>
      <c r="AU172" s="153">
        <v>1</v>
      </c>
      <c r="AV172" s="154" t="e">
        <f t="shared" si="2555"/>
        <v>#DIV/0!</v>
      </c>
      <c r="AW172" s="50"/>
      <c r="AY172" s="155" t="e">
        <f t="shared" ref="AY172" si="2621">H172/G172</f>
        <v>#DIV/0!</v>
      </c>
      <c r="AZ172" s="156" t="e">
        <f t="shared" ref="AZ172" si="2622">I172/G172</f>
        <v>#DIV/0!</v>
      </c>
      <c r="BA172" s="127" t="e">
        <f t="shared" ref="BA172" si="2623">(K172+L172)/$G172</f>
        <v>#DIV/0!</v>
      </c>
      <c r="BB172" s="127" t="e">
        <f t="shared" ref="BB172" si="2624">K172/$G172</f>
        <v>#DIV/0!</v>
      </c>
      <c r="BC172" s="155" t="e">
        <f t="shared" ref="BC172" si="2625">(M172+N172)/$G172</f>
        <v>#DIV/0!</v>
      </c>
      <c r="BD172" s="156" t="e">
        <f t="shared" ref="BD172" si="2626">M172/$G172</f>
        <v>#DIV/0!</v>
      </c>
      <c r="BE172" s="155" t="e">
        <f t="shared" ref="BE172" si="2627">(Q172+R172)/$G172</f>
        <v>#DIV/0!</v>
      </c>
      <c r="BF172" s="156" t="e">
        <f t="shared" ref="BF172" si="2628">Q172/$G172</f>
        <v>#DIV/0!</v>
      </c>
      <c r="BG172" s="127" t="e">
        <f t="shared" ref="BG172" si="2629">S172/$G172</f>
        <v>#DIV/0!</v>
      </c>
      <c r="BH172" s="127" t="e">
        <f t="shared" ref="BH172" si="2630">V172/$G172</f>
        <v>#DIV/0!</v>
      </c>
      <c r="BI172" s="127" t="e">
        <f t="shared" ref="BI172" si="2631">AA172/$G172</f>
        <v>#DIV/0!</v>
      </c>
      <c r="BJ172" s="156" t="e">
        <f t="shared" ref="BJ172" si="2632">AD172/$G172</f>
        <v>#DIV/0!</v>
      </c>
      <c r="BK172" s="155" t="e">
        <f t="shared" ref="BK172" si="2633">Y172/$G172</f>
        <v>#DIV/0!</v>
      </c>
      <c r="BL172" s="156" t="e">
        <f t="shared" ref="BL172" si="2634">Z172/$G172</f>
        <v>#DIV/0!</v>
      </c>
      <c r="BM172" s="155" t="e">
        <f t="shared" ref="BM172" si="2635">AG172/$G172</f>
        <v>#DIV/0!</v>
      </c>
      <c r="BN172" s="156" t="e">
        <f t="shared" ref="BN172" si="2636">AH172/$G172</f>
        <v>#DIV/0!</v>
      </c>
      <c r="BO172" s="50"/>
      <c r="BP172" s="51" t="e">
        <f t="shared" ref="BP172" si="2637">AY172*$AV172</f>
        <v>#DIV/0!</v>
      </c>
      <c r="BQ172" s="157" t="e">
        <f t="shared" ref="BQ172" si="2638">AZ172*$AV172</f>
        <v>#DIV/0!</v>
      </c>
      <c r="BR172" s="51" t="e">
        <f t="shared" ref="BR172" si="2639">BA172*$AV172</f>
        <v>#DIV/0!</v>
      </c>
      <c r="BS172" s="157" t="e">
        <f t="shared" ref="BS172" si="2640">BB172*$AV172</f>
        <v>#DIV/0!</v>
      </c>
      <c r="BT172" s="51" t="e">
        <f t="shared" ref="BT172" si="2641">BC172*$AV172</f>
        <v>#DIV/0!</v>
      </c>
      <c r="BU172" s="157" t="e">
        <f t="shared" ref="BU172" si="2642">BD172*$AV172</f>
        <v>#DIV/0!</v>
      </c>
      <c r="BV172" s="51" t="e">
        <f t="shared" ref="BV172" si="2643">BE172*$AV172</f>
        <v>#DIV/0!</v>
      </c>
      <c r="BW172" s="157" t="e">
        <f t="shared" ref="BW172" si="2644">BF172*$AV172</f>
        <v>#DIV/0!</v>
      </c>
      <c r="BX172" s="51" t="e">
        <f t="shared" ref="BX172" si="2645">BG172*$AV172</f>
        <v>#DIV/0!</v>
      </c>
      <c r="BY172" s="157" t="e">
        <f t="shared" ref="BY172" si="2646">BH172*$AV172</f>
        <v>#DIV/0!</v>
      </c>
      <c r="BZ172" s="51" t="e">
        <f t="shared" ref="BZ172" si="2647">BI172*$AV172</f>
        <v>#DIV/0!</v>
      </c>
      <c r="CA172" s="157" t="e">
        <f t="shared" ref="CA172" si="2648">BJ172*$AV172</f>
        <v>#DIV/0!</v>
      </c>
      <c r="CB172" s="51" t="e">
        <f t="shared" ref="CB172" si="2649">BK172*$AV172</f>
        <v>#DIV/0!</v>
      </c>
      <c r="CC172" s="157" t="e">
        <f t="shared" ref="CC172" si="2650">BL172*$AV172</f>
        <v>#DIV/0!</v>
      </c>
      <c r="CD172" s="51" t="e">
        <f t="shared" ref="CD172" si="2651">BM172*$AV172</f>
        <v>#DIV/0!</v>
      </c>
      <c r="CE172" s="157" t="e">
        <f t="shared" ref="CE172" si="2652">BN172*$AV172</f>
        <v>#DIV/0!</v>
      </c>
      <c r="CG172" s="45"/>
      <c r="CR172" s="151"/>
      <c r="CS172" s="45"/>
      <c r="CT172" s="151"/>
      <c r="CV172" s="151"/>
      <c r="CX172" s="50"/>
      <c r="CZ172" s="45"/>
      <c r="DK172" s="151"/>
      <c r="DL172" s="45"/>
      <c r="DM172" s="151"/>
      <c r="DN172" s="45"/>
      <c r="DO172" s="151"/>
      <c r="DQ172" s="117"/>
      <c r="DR172" s="77"/>
      <c r="DS172" s="117"/>
      <c r="DT172" s="149"/>
      <c r="DU172" s="77"/>
      <c r="DV172" s="77"/>
      <c r="DW172" s="117"/>
      <c r="DX172" s="149"/>
      <c r="DY172" s="77"/>
      <c r="DZ172" s="77"/>
      <c r="EA172" s="117"/>
      <c r="EB172" s="149"/>
      <c r="EC172" s="77"/>
      <c r="ED172" s="77"/>
      <c r="EE172" s="77"/>
      <c r="EF172" s="117"/>
      <c r="EG172" s="149"/>
      <c r="EH172" s="77"/>
      <c r="EI172" s="149"/>
    </row>
    <row r="173" spans="1:139" x14ac:dyDescent="0.25">
      <c r="A173" s="195">
        <f t="shared" si="2620"/>
        <v>46009</v>
      </c>
      <c r="B173" s="158" t="s">
        <v>95</v>
      </c>
      <c r="C173" s="195"/>
      <c r="D173" s="45"/>
      <c r="E173" s="45"/>
      <c r="F173" s="45"/>
      <c r="G173" s="154"/>
      <c r="H173" s="169">
        <f t="shared" si="2154"/>
        <v>0</v>
      </c>
      <c r="I173" s="169">
        <f t="shared" si="2155"/>
        <v>0</v>
      </c>
      <c r="J173" s="169">
        <f t="shared" si="2156"/>
        <v>0</v>
      </c>
      <c r="K173" s="45"/>
      <c r="L173" s="151"/>
      <c r="M173" s="45"/>
      <c r="N173" s="151"/>
      <c r="Q173" s="45"/>
      <c r="R173" s="151"/>
      <c r="S173" s="320">
        <f t="shared" si="2157"/>
        <v>0</v>
      </c>
      <c r="V173" s="320">
        <f t="shared" si="2158"/>
        <v>0</v>
      </c>
      <c r="Y173" s="45"/>
      <c r="Z173" s="151"/>
      <c r="AA173" s="320">
        <f t="shared" si="2159"/>
        <v>0</v>
      </c>
      <c r="AD173" s="320">
        <f t="shared" si="2160"/>
        <v>0</v>
      </c>
      <c r="AE173" s="45"/>
      <c r="AG173" s="45"/>
      <c r="AH173" s="151"/>
      <c r="AJ173" s="12"/>
      <c r="AK173" s="5"/>
      <c r="AL173" s="9"/>
      <c r="AM173" s="358"/>
      <c r="AN173" s="5"/>
      <c r="AO173" s="13"/>
      <c r="AQ173" s="50"/>
      <c r="AR173" s="50"/>
      <c r="AS173" s="148" t="e">
        <f t="shared" si="2161"/>
        <v>#DIV/0!</v>
      </c>
      <c r="AT173" s="152"/>
      <c r="AU173" s="153"/>
      <c r="AV173" s="154"/>
      <c r="AW173" s="50"/>
      <c r="AY173" s="155"/>
      <c r="AZ173" s="156"/>
      <c r="BA173" s="127"/>
      <c r="BB173" s="127"/>
      <c r="BC173" s="155"/>
      <c r="BD173" s="156"/>
      <c r="BE173" s="155"/>
      <c r="BF173" s="156"/>
      <c r="BG173" s="127"/>
      <c r="BH173" s="127"/>
      <c r="BI173" s="127"/>
      <c r="BJ173" s="156"/>
      <c r="BK173" s="156"/>
      <c r="BL173" s="156"/>
      <c r="BM173" s="156"/>
      <c r="BN173" s="156"/>
      <c r="BO173" s="50"/>
      <c r="BP173" s="51"/>
      <c r="BQ173" s="157"/>
      <c r="BR173" s="51"/>
      <c r="BS173" s="157"/>
      <c r="BT173" s="51"/>
      <c r="BU173" s="157"/>
      <c r="BV173" s="51"/>
      <c r="BW173" s="157"/>
      <c r="BX173" s="51"/>
      <c r="BY173" s="157"/>
      <c r="BZ173" s="51"/>
      <c r="CA173" s="157"/>
      <c r="CB173" s="51"/>
      <c r="CC173" s="157"/>
      <c r="CD173" s="51"/>
      <c r="CE173" s="157"/>
      <c r="CG173" s="45"/>
      <c r="CR173" s="151"/>
      <c r="CS173" s="45"/>
      <c r="CT173" s="151"/>
      <c r="CV173" s="151"/>
      <c r="CX173" s="50"/>
      <c r="CZ173" s="45"/>
      <c r="DK173" s="151"/>
      <c r="DL173" s="45"/>
      <c r="DM173" s="151"/>
      <c r="DN173" s="45"/>
      <c r="DO173" s="151"/>
      <c r="DQ173" s="117"/>
      <c r="DR173" s="77"/>
      <c r="DS173" s="117"/>
      <c r="DT173" s="149"/>
      <c r="DU173" s="77"/>
      <c r="DV173" s="77"/>
      <c r="DW173" s="117"/>
      <c r="DX173" s="149"/>
      <c r="DY173" s="77"/>
      <c r="DZ173" s="77"/>
      <c r="EA173" s="117"/>
      <c r="EB173" s="149"/>
      <c r="EC173" s="77"/>
      <c r="ED173" s="77"/>
      <c r="EE173" s="77"/>
      <c r="EF173" s="117"/>
      <c r="EG173" s="149"/>
      <c r="EH173" s="77"/>
      <c r="EI173" s="149"/>
    </row>
    <row r="174" spans="1:139" x14ac:dyDescent="0.25">
      <c r="A174" s="195">
        <f t="shared" si="2620"/>
        <v>46010</v>
      </c>
      <c r="B174" s="195" t="s">
        <v>13</v>
      </c>
      <c r="C174" s="195"/>
      <c r="D174" s="45"/>
      <c r="E174" s="45"/>
      <c r="F174" s="45"/>
      <c r="G174" s="154"/>
      <c r="H174" s="169">
        <f t="shared" si="2154"/>
        <v>0</v>
      </c>
      <c r="I174" s="169">
        <f t="shared" si="2155"/>
        <v>0</v>
      </c>
      <c r="J174" s="169">
        <f t="shared" si="2156"/>
        <v>0</v>
      </c>
      <c r="K174" s="45"/>
      <c r="L174" s="151"/>
      <c r="M174" s="45"/>
      <c r="N174" s="151"/>
      <c r="Q174" s="45"/>
      <c r="R174" s="151"/>
      <c r="S174" s="320">
        <f t="shared" si="2157"/>
        <v>0</v>
      </c>
      <c r="V174" s="320">
        <f t="shared" si="2158"/>
        <v>0</v>
      </c>
      <c r="Y174" s="45"/>
      <c r="Z174" s="151"/>
      <c r="AA174" s="320">
        <f t="shared" si="2159"/>
        <v>0</v>
      </c>
      <c r="AD174" s="320">
        <f t="shared" si="2160"/>
        <v>0</v>
      </c>
      <c r="AE174" s="45"/>
      <c r="AG174" s="45"/>
      <c r="AH174" s="151"/>
      <c r="AJ174" s="12"/>
      <c r="AK174" s="5"/>
      <c r="AL174" s="9"/>
      <c r="AM174" s="358"/>
      <c r="AN174" s="5"/>
      <c r="AO174" s="13"/>
      <c r="AQ174" s="50"/>
      <c r="AR174" s="50"/>
      <c r="AS174" s="148" t="e">
        <f t="shared" si="2161"/>
        <v>#DIV/0!</v>
      </c>
      <c r="AT174" s="152">
        <v>8.1999999999999993</v>
      </c>
      <c r="AU174" s="153">
        <v>1</v>
      </c>
      <c r="AV174" s="154" t="e">
        <f t="shared" si="2555"/>
        <v>#DIV/0!</v>
      </c>
      <c r="AW174" s="50"/>
      <c r="AY174" s="155" t="e">
        <f t="shared" ref="AY174" si="2653">H174/G174</f>
        <v>#DIV/0!</v>
      </c>
      <c r="AZ174" s="156" t="e">
        <f t="shared" ref="AZ174" si="2654">I174/G174</f>
        <v>#DIV/0!</v>
      </c>
      <c r="BA174" s="127" t="e">
        <f t="shared" ref="BA174" si="2655">(K174+L174)/$G174</f>
        <v>#DIV/0!</v>
      </c>
      <c r="BB174" s="127" t="e">
        <f t="shared" ref="BB174" si="2656">K174/$G174</f>
        <v>#DIV/0!</v>
      </c>
      <c r="BC174" s="155" t="e">
        <f t="shared" ref="BC174" si="2657">(M174+N174)/$G174</f>
        <v>#DIV/0!</v>
      </c>
      <c r="BD174" s="156" t="e">
        <f t="shared" ref="BD174" si="2658">M174/$G174</f>
        <v>#DIV/0!</v>
      </c>
      <c r="BE174" s="155" t="e">
        <f t="shared" ref="BE174" si="2659">(Q174+R174)/$G174</f>
        <v>#DIV/0!</v>
      </c>
      <c r="BF174" s="156" t="e">
        <f t="shared" ref="BF174" si="2660">Q174/$G174</f>
        <v>#DIV/0!</v>
      </c>
      <c r="BG174" s="127" t="e">
        <f t="shared" ref="BG174" si="2661">S174/$G174</f>
        <v>#DIV/0!</v>
      </c>
      <c r="BH174" s="127" t="e">
        <f t="shared" ref="BH174" si="2662">V174/$G174</f>
        <v>#DIV/0!</v>
      </c>
      <c r="BI174" s="127" t="e">
        <f t="shared" ref="BI174" si="2663">AA174/$G174</f>
        <v>#DIV/0!</v>
      </c>
      <c r="BJ174" s="156" t="e">
        <f t="shared" ref="BJ174" si="2664">AD174/$G174</f>
        <v>#DIV/0!</v>
      </c>
      <c r="BK174" s="155" t="e">
        <f t="shared" ref="BK174" si="2665">Y174/$G174</f>
        <v>#DIV/0!</v>
      </c>
      <c r="BL174" s="156" t="e">
        <f t="shared" ref="BL174" si="2666">Z174/$G174</f>
        <v>#DIV/0!</v>
      </c>
      <c r="BM174" s="155" t="e">
        <f t="shared" ref="BM174" si="2667">AG174/$G174</f>
        <v>#DIV/0!</v>
      </c>
      <c r="BN174" s="156" t="e">
        <f t="shared" ref="BN174" si="2668">AH174/$G174</f>
        <v>#DIV/0!</v>
      </c>
      <c r="BO174" s="50"/>
      <c r="BP174" s="51" t="e">
        <f t="shared" ref="BP174" si="2669">AY174*$AV174</f>
        <v>#DIV/0!</v>
      </c>
      <c r="BQ174" s="157" t="e">
        <f t="shared" ref="BQ174" si="2670">AZ174*$AV174</f>
        <v>#DIV/0!</v>
      </c>
      <c r="BR174" s="51" t="e">
        <f t="shared" ref="BR174" si="2671">BA174*$AV174</f>
        <v>#DIV/0!</v>
      </c>
      <c r="BS174" s="157" t="e">
        <f t="shared" ref="BS174" si="2672">BB174*$AV174</f>
        <v>#DIV/0!</v>
      </c>
      <c r="BT174" s="51" t="e">
        <f t="shared" ref="BT174" si="2673">BC174*$AV174</f>
        <v>#DIV/0!</v>
      </c>
      <c r="BU174" s="157" t="e">
        <f t="shared" ref="BU174" si="2674">BD174*$AV174</f>
        <v>#DIV/0!</v>
      </c>
      <c r="BV174" s="51" t="e">
        <f t="shared" ref="BV174" si="2675">BE174*$AV174</f>
        <v>#DIV/0!</v>
      </c>
      <c r="BW174" s="157" t="e">
        <f t="shared" ref="BW174" si="2676">BF174*$AV174</f>
        <v>#DIV/0!</v>
      </c>
      <c r="BX174" s="51" t="e">
        <f t="shared" ref="BX174" si="2677">BG174*$AV174</f>
        <v>#DIV/0!</v>
      </c>
      <c r="BY174" s="157" t="e">
        <f t="shared" ref="BY174" si="2678">BH174*$AV174</f>
        <v>#DIV/0!</v>
      </c>
      <c r="BZ174" s="51" t="e">
        <f t="shared" ref="BZ174" si="2679">BI174*$AV174</f>
        <v>#DIV/0!</v>
      </c>
      <c r="CA174" s="157" t="e">
        <f t="shared" ref="CA174" si="2680">BJ174*$AV174</f>
        <v>#DIV/0!</v>
      </c>
      <c r="CB174" s="51" t="e">
        <f t="shared" ref="CB174" si="2681">BK174*$AV174</f>
        <v>#DIV/0!</v>
      </c>
      <c r="CC174" s="157" t="e">
        <f t="shared" ref="CC174" si="2682">BL174*$AV174</f>
        <v>#DIV/0!</v>
      </c>
      <c r="CD174" s="51" t="e">
        <f t="shared" ref="CD174" si="2683">BM174*$AV174</f>
        <v>#DIV/0!</v>
      </c>
      <c r="CE174" s="157" t="e">
        <f t="shared" ref="CE174" si="2684">BN174*$AV174</f>
        <v>#DIV/0!</v>
      </c>
      <c r="CG174" s="45"/>
      <c r="CR174" s="151"/>
      <c r="CS174" s="45"/>
      <c r="CT174" s="151"/>
      <c r="CV174" s="151"/>
      <c r="CX174" s="50"/>
      <c r="CZ174" s="45"/>
      <c r="DK174" s="151"/>
      <c r="DL174" s="45"/>
      <c r="DM174" s="151"/>
      <c r="DN174" s="45"/>
      <c r="DO174" s="151"/>
      <c r="DQ174" s="117"/>
      <c r="DR174" s="77"/>
      <c r="DS174" s="117"/>
      <c r="DT174" s="149"/>
      <c r="DU174" s="77"/>
      <c r="DV174" s="77"/>
      <c r="DW174" s="117"/>
      <c r="DX174" s="149"/>
      <c r="DY174" s="77"/>
      <c r="DZ174" s="77"/>
      <c r="EA174" s="117"/>
      <c r="EB174" s="149"/>
      <c r="EC174" s="77"/>
      <c r="ED174" s="77"/>
      <c r="EE174" s="77"/>
      <c r="EF174" s="117"/>
      <c r="EG174" s="149"/>
      <c r="EH174" s="77"/>
      <c r="EI174" s="149"/>
    </row>
    <row r="175" spans="1:139" x14ac:dyDescent="0.25">
      <c r="A175" s="195">
        <f t="shared" si="2620"/>
        <v>46011</v>
      </c>
      <c r="B175" s="195" t="s">
        <v>14</v>
      </c>
      <c r="C175" s="195"/>
      <c r="D175" s="45"/>
      <c r="E175" s="45"/>
      <c r="F175" s="45"/>
      <c r="G175" s="154"/>
      <c r="H175" s="169">
        <f t="shared" si="2154"/>
        <v>0</v>
      </c>
      <c r="I175" s="169">
        <f t="shared" si="2155"/>
        <v>0</v>
      </c>
      <c r="J175" s="169">
        <f t="shared" si="2156"/>
        <v>0</v>
      </c>
      <c r="K175" s="45"/>
      <c r="L175" s="151"/>
      <c r="M175" s="45"/>
      <c r="N175" s="151"/>
      <c r="Q175" s="45"/>
      <c r="R175" s="151"/>
      <c r="S175" s="320">
        <f t="shared" si="2157"/>
        <v>0</v>
      </c>
      <c r="V175" s="320">
        <f t="shared" si="2158"/>
        <v>0</v>
      </c>
      <c r="Y175" s="45"/>
      <c r="Z175" s="151"/>
      <c r="AA175" s="320">
        <f t="shared" si="2159"/>
        <v>0</v>
      </c>
      <c r="AD175" s="320">
        <f t="shared" si="2160"/>
        <v>0</v>
      </c>
      <c r="AE175" s="45"/>
      <c r="AG175" s="45"/>
      <c r="AH175" s="151"/>
      <c r="AJ175" s="12"/>
      <c r="AK175" s="5"/>
      <c r="AL175" s="9"/>
      <c r="AM175" s="358"/>
      <c r="AN175" s="5"/>
      <c r="AO175" s="13"/>
      <c r="AQ175" s="50"/>
      <c r="AR175" s="50"/>
      <c r="AS175" s="148" t="e">
        <f t="shared" si="2161"/>
        <v>#DIV/0!</v>
      </c>
      <c r="AT175" s="152"/>
      <c r="AU175" s="153"/>
      <c r="AV175" s="154"/>
      <c r="AW175" s="50"/>
      <c r="AY175" s="155"/>
      <c r="AZ175" s="156"/>
      <c r="BA175" s="127"/>
      <c r="BB175" s="127"/>
      <c r="BC175" s="155"/>
      <c r="BD175" s="156"/>
      <c r="BE175" s="155"/>
      <c r="BF175" s="156"/>
      <c r="BG175" s="127"/>
      <c r="BH175" s="127"/>
      <c r="BI175" s="127"/>
      <c r="BJ175" s="156"/>
      <c r="BK175" s="156"/>
      <c r="BL175" s="156"/>
      <c r="BM175" s="156"/>
      <c r="BN175" s="156"/>
      <c r="BO175" s="50"/>
      <c r="BP175" s="51"/>
      <c r="BQ175" s="157"/>
      <c r="BR175" s="51"/>
      <c r="BS175" s="157"/>
      <c r="BT175" s="51"/>
      <c r="BU175" s="157"/>
      <c r="BV175" s="51"/>
      <c r="BW175" s="157"/>
      <c r="BX175" s="51"/>
      <c r="BY175" s="157"/>
      <c r="BZ175" s="51"/>
      <c r="CA175" s="157"/>
      <c r="CB175" s="51"/>
      <c r="CC175" s="157"/>
      <c r="CD175" s="51"/>
      <c r="CE175" s="157"/>
      <c r="CG175" s="51"/>
      <c r="CH175" s="126"/>
      <c r="CI175" s="126"/>
      <c r="CJ175" s="126"/>
      <c r="CK175" s="126"/>
      <c r="CL175" s="126"/>
      <c r="CM175" s="126"/>
      <c r="CN175" s="126"/>
      <c r="CO175" s="126"/>
      <c r="CP175" s="126"/>
      <c r="CQ175" s="126"/>
      <c r="CR175" s="157"/>
      <c r="CS175" s="51"/>
      <c r="CT175" s="157"/>
      <c r="CU175" s="126"/>
      <c r="CV175" s="157"/>
      <c r="CX175" s="150">
        <v>2</v>
      </c>
      <c r="CZ175" s="225"/>
      <c r="DA175" s="160"/>
      <c r="DB175" s="160"/>
      <c r="DC175" s="160"/>
      <c r="DD175" s="160"/>
      <c r="DE175" s="160"/>
      <c r="DF175" s="160"/>
      <c r="DG175" s="160"/>
      <c r="DH175" s="160"/>
      <c r="DI175" s="160"/>
      <c r="DJ175" s="160"/>
      <c r="DK175" s="161"/>
      <c r="DL175" s="225"/>
      <c r="DM175" s="161"/>
      <c r="DN175" s="225"/>
      <c r="DO175" s="161"/>
      <c r="DQ175" s="117"/>
      <c r="DR175" s="77"/>
      <c r="DS175" s="117"/>
      <c r="DT175" s="149"/>
      <c r="DU175" s="77"/>
      <c r="DV175" s="77"/>
      <c r="DW175" s="117"/>
      <c r="DX175" s="149"/>
      <c r="DY175" s="77"/>
      <c r="DZ175" s="77"/>
      <c r="EA175" s="117"/>
      <c r="EB175" s="149"/>
      <c r="EC175" s="77"/>
      <c r="ED175" s="77"/>
      <c r="EE175" s="77"/>
      <c r="EF175" s="117"/>
      <c r="EG175" s="149"/>
      <c r="EH175" s="77"/>
      <c r="EI175" s="149"/>
    </row>
    <row r="176" spans="1:139" x14ac:dyDescent="0.25">
      <c r="A176" s="334">
        <f t="shared" si="2620"/>
        <v>46012</v>
      </c>
      <c r="B176" s="334" t="s">
        <v>15</v>
      </c>
      <c r="C176" s="334"/>
      <c r="D176" s="176"/>
      <c r="E176" s="176"/>
      <c r="F176" s="176"/>
      <c r="G176" s="305"/>
      <c r="H176" s="323">
        <f t="shared" si="2154"/>
        <v>0</v>
      </c>
      <c r="I176" s="323">
        <f t="shared" si="2155"/>
        <v>0</v>
      </c>
      <c r="J176" s="323">
        <f t="shared" si="2156"/>
        <v>0</v>
      </c>
      <c r="K176" s="176"/>
      <c r="L176" s="178"/>
      <c r="M176" s="176"/>
      <c r="N176" s="178"/>
      <c r="O176" s="177"/>
      <c r="P176" s="177"/>
      <c r="Q176" s="176"/>
      <c r="R176" s="178"/>
      <c r="S176" s="320">
        <f t="shared" si="2157"/>
        <v>0</v>
      </c>
      <c r="V176" s="320">
        <f t="shared" si="2158"/>
        <v>0</v>
      </c>
      <c r="W176" s="177"/>
      <c r="X176" s="177"/>
      <c r="Y176" s="176"/>
      <c r="Z176" s="178"/>
      <c r="AA176" s="320">
        <f t="shared" si="2159"/>
        <v>0</v>
      </c>
      <c r="AD176" s="320">
        <f t="shared" si="2160"/>
        <v>0</v>
      </c>
      <c r="AE176" s="176"/>
      <c r="AF176" s="177"/>
      <c r="AG176" s="176"/>
      <c r="AH176" s="178"/>
      <c r="AJ176" s="12"/>
      <c r="AK176" s="5"/>
      <c r="AL176" s="9"/>
      <c r="AM176" s="358"/>
      <c r="AN176" s="5"/>
      <c r="AO176" s="13"/>
      <c r="AQ176" s="131"/>
      <c r="AR176" s="131"/>
      <c r="AS176" s="191" t="e">
        <f t="shared" si="2161"/>
        <v>#DIV/0!</v>
      </c>
      <c r="AT176" s="192"/>
      <c r="AU176" s="193"/>
      <c r="AV176" s="305"/>
      <c r="AW176" s="131"/>
      <c r="AY176" s="212"/>
      <c r="AZ176" s="213"/>
      <c r="BA176" s="214"/>
      <c r="BB176" s="214"/>
      <c r="BC176" s="212"/>
      <c r="BD176" s="213"/>
      <c r="BE176" s="212"/>
      <c r="BF176" s="213"/>
      <c r="BG176" s="214"/>
      <c r="BH176" s="214"/>
      <c r="BI176" s="214"/>
      <c r="BJ176" s="213"/>
      <c r="BK176" s="213"/>
      <c r="BL176" s="213"/>
      <c r="BM176" s="213"/>
      <c r="BN176" s="213"/>
      <c r="BO176" s="50"/>
      <c r="BP176" s="217"/>
      <c r="BQ176" s="218"/>
      <c r="BR176" s="217"/>
      <c r="BS176" s="218"/>
      <c r="BT176" s="217"/>
      <c r="BU176" s="218"/>
      <c r="BV176" s="217"/>
      <c r="BW176" s="218"/>
      <c r="BX176" s="217"/>
      <c r="BY176" s="218"/>
      <c r="BZ176" s="217"/>
      <c r="CA176" s="218"/>
      <c r="CB176" s="217"/>
      <c r="CC176" s="218"/>
      <c r="CD176" s="217"/>
      <c r="CE176" s="218"/>
      <c r="CG176" s="176"/>
      <c r="CH176" s="177"/>
      <c r="CI176" s="177"/>
      <c r="CJ176" s="177"/>
      <c r="CK176" s="177"/>
      <c r="CL176" s="177"/>
      <c r="CM176" s="177"/>
      <c r="CN176" s="177"/>
      <c r="CO176" s="177"/>
      <c r="CP176" s="177"/>
      <c r="CQ176" s="177"/>
      <c r="CR176" s="178"/>
      <c r="CS176" s="176"/>
      <c r="CT176" s="178"/>
      <c r="CU176" s="177"/>
      <c r="CV176" s="178"/>
      <c r="CX176" s="131"/>
      <c r="CZ176" s="176"/>
      <c r="DA176" s="177"/>
      <c r="DB176" s="177"/>
      <c r="DC176" s="177"/>
      <c r="DD176" s="177"/>
      <c r="DE176" s="177"/>
      <c r="DF176" s="177"/>
      <c r="DG176" s="177"/>
      <c r="DH176" s="177"/>
      <c r="DI176" s="177"/>
      <c r="DJ176" s="177"/>
      <c r="DK176" s="178"/>
      <c r="DL176" s="176"/>
      <c r="DM176" s="178"/>
      <c r="DN176" s="176"/>
      <c r="DO176" s="178"/>
      <c r="DQ176" s="32"/>
      <c r="DR176" s="34"/>
      <c r="DS176" s="32"/>
      <c r="DT176" s="33"/>
      <c r="DU176" s="34"/>
      <c r="DV176" s="34"/>
      <c r="DW176" s="32"/>
      <c r="DX176" s="33"/>
      <c r="DY176" s="34"/>
      <c r="DZ176" s="34"/>
      <c r="EA176" s="32"/>
      <c r="EB176" s="33"/>
      <c r="EC176" s="34"/>
      <c r="ED176" s="34"/>
      <c r="EE176" s="34"/>
      <c r="EF176" s="32"/>
      <c r="EG176" s="33"/>
      <c r="EH176" s="34"/>
      <c r="EI176" s="33"/>
    </row>
    <row r="177" spans="1:139" x14ac:dyDescent="0.25">
      <c r="A177" s="195"/>
      <c r="B177" s="195"/>
      <c r="C177" s="195"/>
      <c r="D177" s="536">
        <f>SUM(D170:D176)</f>
        <v>0</v>
      </c>
      <c r="E177" s="536">
        <f t="shared" ref="E177:AH177" si="2685">SUM(E170:E176)</f>
        <v>0</v>
      </c>
      <c r="F177" s="536">
        <f t="shared" si="2685"/>
        <v>0</v>
      </c>
      <c r="G177" s="536">
        <f t="shared" si="2685"/>
        <v>0</v>
      </c>
      <c r="H177" s="202">
        <f t="shared" si="2685"/>
        <v>0</v>
      </c>
      <c r="I177" s="204">
        <f t="shared" si="2685"/>
        <v>0</v>
      </c>
      <c r="J177" s="202">
        <f t="shared" si="2685"/>
        <v>0</v>
      </c>
      <c r="K177" s="204">
        <f t="shared" si="2685"/>
        <v>0</v>
      </c>
      <c r="L177" s="202">
        <f t="shared" si="2685"/>
        <v>0</v>
      </c>
      <c r="M177" s="204">
        <f t="shared" si="2685"/>
        <v>0</v>
      </c>
      <c r="N177" s="202">
        <f t="shared" si="2685"/>
        <v>0</v>
      </c>
      <c r="O177" s="204">
        <f t="shared" si="2685"/>
        <v>0</v>
      </c>
      <c r="P177" s="202">
        <f t="shared" si="2685"/>
        <v>0</v>
      </c>
      <c r="Q177" s="205">
        <f t="shared" si="2685"/>
        <v>0</v>
      </c>
      <c r="R177" s="205">
        <f t="shared" si="2685"/>
        <v>0</v>
      </c>
      <c r="S177" s="203">
        <f t="shared" si="2685"/>
        <v>0</v>
      </c>
      <c r="T177" s="205">
        <f t="shared" si="2685"/>
        <v>0</v>
      </c>
      <c r="U177" s="205">
        <f t="shared" si="2685"/>
        <v>0</v>
      </c>
      <c r="V177" s="202">
        <f t="shared" si="2685"/>
        <v>0</v>
      </c>
      <c r="W177" s="204">
        <f t="shared" si="2685"/>
        <v>0</v>
      </c>
      <c r="X177" s="202">
        <f t="shared" si="2685"/>
        <v>0</v>
      </c>
      <c r="Y177" s="205">
        <f t="shared" si="2685"/>
        <v>0</v>
      </c>
      <c r="Z177" s="205">
        <f t="shared" si="2685"/>
        <v>0</v>
      </c>
      <c r="AA177" s="203">
        <f t="shared" si="2685"/>
        <v>0</v>
      </c>
      <c r="AB177" s="205">
        <f t="shared" si="2685"/>
        <v>0</v>
      </c>
      <c r="AC177" s="205">
        <f t="shared" si="2685"/>
        <v>0</v>
      </c>
      <c r="AD177" s="202">
        <f t="shared" si="2685"/>
        <v>0</v>
      </c>
      <c r="AE177" s="204">
        <f t="shared" si="2685"/>
        <v>0</v>
      </c>
      <c r="AF177" s="205">
        <f t="shared" si="2685"/>
        <v>0</v>
      </c>
      <c r="AG177" s="202">
        <f t="shared" si="2685"/>
        <v>0</v>
      </c>
      <c r="AH177" s="204">
        <f t="shared" si="2685"/>
        <v>0</v>
      </c>
      <c r="AJ177" s="12"/>
      <c r="AK177" s="5"/>
      <c r="AL177" s="9"/>
      <c r="AM177" s="358"/>
      <c r="AN177" s="5"/>
      <c r="AO177" s="13"/>
      <c r="AQ177" s="50"/>
      <c r="AR177" s="50"/>
      <c r="AS177" s="148"/>
      <c r="AT177" s="152"/>
      <c r="AU177" s="153"/>
      <c r="AV177" s="194" t="e">
        <f>AVERAGE(AV170:AV174)*3</f>
        <v>#DIV/0!</v>
      </c>
      <c r="AW177" s="50"/>
      <c r="AY177" s="155"/>
      <c r="AZ177" s="156"/>
      <c r="BA177" s="127"/>
      <c r="BB177" s="127"/>
      <c r="BC177" s="155"/>
      <c r="BD177" s="156"/>
      <c r="BE177" s="155"/>
      <c r="BF177" s="156"/>
      <c r="BG177" s="127"/>
      <c r="BH177" s="127"/>
      <c r="BI177" s="127"/>
      <c r="BJ177" s="156"/>
      <c r="BK177" s="127"/>
      <c r="BL177" s="156"/>
      <c r="BM177" s="127"/>
      <c r="BN177" s="156"/>
      <c r="BO177" s="50"/>
      <c r="BP177" s="51"/>
      <c r="BQ177" s="157"/>
      <c r="BR177" s="51"/>
      <c r="BS177" s="157"/>
      <c r="BT177" s="51"/>
      <c r="BU177" s="157"/>
      <c r="BV177" s="51"/>
      <c r="BW177" s="157"/>
      <c r="BX177" s="51"/>
      <c r="BY177" s="157"/>
      <c r="BZ177" s="51"/>
      <c r="CA177" s="157"/>
      <c r="CB177" s="51"/>
      <c r="CC177" s="157"/>
      <c r="CD177" s="51"/>
      <c r="CE177" s="157"/>
      <c r="CG177" s="45"/>
      <c r="CR177" s="151"/>
      <c r="CS177" s="45"/>
      <c r="CT177" s="151"/>
      <c r="CV177" s="151"/>
      <c r="CX177" s="50"/>
      <c r="CZ177" s="226" t="e">
        <f t="shared" ref="CZ177:DO177" si="2686">CZ175+CZ170</f>
        <v>#DIV/0!</v>
      </c>
      <c r="DA177" s="227" t="e">
        <f t="shared" si="2686"/>
        <v>#DIV/0!</v>
      </c>
      <c r="DB177" s="227" t="e">
        <f t="shared" si="2686"/>
        <v>#DIV/0!</v>
      </c>
      <c r="DC177" s="227" t="e">
        <f t="shared" si="2686"/>
        <v>#DIV/0!</v>
      </c>
      <c r="DD177" s="227" t="e">
        <f t="shared" si="2686"/>
        <v>#DIV/0!</v>
      </c>
      <c r="DE177" s="227" t="e">
        <f t="shared" si="2686"/>
        <v>#DIV/0!</v>
      </c>
      <c r="DF177" s="227" t="e">
        <f t="shared" si="2686"/>
        <v>#DIV/0!</v>
      </c>
      <c r="DG177" s="227" t="e">
        <f t="shared" si="2686"/>
        <v>#DIV/0!</v>
      </c>
      <c r="DH177" s="227" t="e">
        <f t="shared" si="2686"/>
        <v>#DIV/0!</v>
      </c>
      <c r="DI177" s="227" t="e">
        <f t="shared" si="2686"/>
        <v>#DIV/0!</v>
      </c>
      <c r="DJ177" s="227" t="e">
        <f t="shared" si="2686"/>
        <v>#DIV/0!</v>
      </c>
      <c r="DK177" s="228" t="e">
        <f t="shared" si="2686"/>
        <v>#DIV/0!</v>
      </c>
      <c r="DL177" s="226" t="e">
        <f t="shared" si="2686"/>
        <v>#DIV/0!</v>
      </c>
      <c r="DM177" s="228" t="e">
        <f t="shared" si="2686"/>
        <v>#DIV/0!</v>
      </c>
      <c r="DN177" s="226" t="e">
        <f t="shared" si="2686"/>
        <v>#DIV/0!</v>
      </c>
      <c r="DO177" s="228" t="e">
        <f t="shared" si="2686"/>
        <v>#DIV/0!</v>
      </c>
      <c r="DQ177" s="117"/>
      <c r="DR177" s="77"/>
      <c r="DS177" s="117"/>
      <c r="DT177" s="149"/>
      <c r="DU177" s="77"/>
      <c r="DV177" s="77"/>
      <c r="DW177" s="117"/>
      <c r="DX177" s="149"/>
      <c r="DY177" s="77"/>
      <c r="DZ177" s="77"/>
      <c r="EA177" s="117"/>
      <c r="EB177" s="149"/>
      <c r="EC177" s="77"/>
      <c r="ED177" s="77"/>
      <c r="EE177" s="77"/>
      <c r="EF177" s="117"/>
      <c r="EG177" s="149"/>
      <c r="EH177" s="77"/>
      <c r="EI177" s="149"/>
    </row>
    <row r="178" spans="1:139" x14ac:dyDescent="0.25">
      <c r="A178" s="206">
        <f>A170+7</f>
        <v>46013</v>
      </c>
      <c r="B178" s="207" t="s">
        <v>7</v>
      </c>
      <c r="C178" s="206"/>
      <c r="D178" s="41"/>
      <c r="E178" s="41"/>
      <c r="F178" s="41"/>
      <c r="G178" s="179"/>
      <c r="H178" s="208">
        <f t="shared" si="2154"/>
        <v>0</v>
      </c>
      <c r="I178" s="208">
        <f t="shared" si="2155"/>
        <v>0</v>
      </c>
      <c r="J178" s="208">
        <f t="shared" si="2156"/>
        <v>0</v>
      </c>
      <c r="K178" s="41"/>
      <c r="L178" s="42"/>
      <c r="M178" s="41"/>
      <c r="N178" s="42"/>
      <c r="O178" s="165"/>
      <c r="P178" s="165"/>
      <c r="Q178" s="41"/>
      <c r="R178" s="42"/>
      <c r="S178" s="319">
        <f t="shared" si="2157"/>
        <v>0</v>
      </c>
      <c r="T178" s="165"/>
      <c r="U178" s="165"/>
      <c r="V178" s="319">
        <f t="shared" si="2158"/>
        <v>0</v>
      </c>
      <c r="W178" s="165"/>
      <c r="X178" s="165"/>
      <c r="Y178" s="41"/>
      <c r="Z178" s="42"/>
      <c r="AA178" s="319">
        <f t="shared" si="2159"/>
        <v>0</v>
      </c>
      <c r="AB178" s="165"/>
      <c r="AC178" s="165"/>
      <c r="AD178" s="319">
        <f t="shared" si="2160"/>
        <v>0</v>
      </c>
      <c r="AE178" s="41"/>
      <c r="AF178" s="165"/>
      <c r="AG178" s="41"/>
      <c r="AH178" s="42"/>
      <c r="AJ178" s="12"/>
      <c r="AK178" s="5"/>
      <c r="AL178" s="9"/>
      <c r="AM178" s="358"/>
      <c r="AN178" s="5"/>
      <c r="AO178" s="13"/>
      <c r="AQ178" s="28"/>
      <c r="AR178" s="28"/>
      <c r="AS178" s="146" t="e">
        <f t="shared" si="2161"/>
        <v>#DIV/0!</v>
      </c>
      <c r="AT178" s="359"/>
      <c r="AU178" s="190"/>
      <c r="AV178" s="179"/>
      <c r="AW178" s="28"/>
      <c r="AY178" s="209"/>
      <c r="AZ178" s="210"/>
      <c r="BA178" s="211"/>
      <c r="BB178" s="211"/>
      <c r="BC178" s="209"/>
      <c r="BD178" s="210"/>
      <c r="BE178" s="209"/>
      <c r="BF178" s="210"/>
      <c r="BG178" s="211"/>
      <c r="BH178" s="211"/>
      <c r="BI178" s="211"/>
      <c r="BJ178" s="210"/>
      <c r="BK178" s="210"/>
      <c r="BL178" s="210"/>
      <c r="BM178" s="210"/>
      <c r="BN178" s="210"/>
      <c r="BO178" s="50"/>
      <c r="BP178" s="215"/>
      <c r="BQ178" s="216"/>
      <c r="BR178" s="215"/>
      <c r="BS178" s="216"/>
      <c r="BT178" s="215"/>
      <c r="BU178" s="216"/>
      <c r="BV178" s="215"/>
      <c r="BW178" s="216"/>
      <c r="BX178" s="215"/>
      <c r="BY178" s="216"/>
      <c r="BZ178" s="215"/>
      <c r="CA178" s="216"/>
      <c r="CB178" s="215"/>
      <c r="CC178" s="216"/>
      <c r="CD178" s="215"/>
      <c r="CE178" s="216"/>
      <c r="CG178" s="215" t="e">
        <f t="shared" ref="CG178" si="2687">AVERAGE(BP178:BP182)</f>
        <v>#DIV/0!</v>
      </c>
      <c r="CH178" s="175" t="e">
        <f t="shared" ref="CH178" si="2688">AVERAGE(BQ178:BQ182)</f>
        <v>#DIV/0!</v>
      </c>
      <c r="CI178" s="175" t="e">
        <f t="shared" ref="CI178" si="2689">AVERAGE(BR178:BR182)</f>
        <v>#DIV/0!</v>
      </c>
      <c r="CJ178" s="175" t="e">
        <f t="shared" ref="CJ178" si="2690">AVERAGE(BS178:BS182)</f>
        <v>#DIV/0!</v>
      </c>
      <c r="CK178" s="175" t="e">
        <f t="shared" ref="CK178" si="2691">AVERAGE(BT178:BT182)</f>
        <v>#DIV/0!</v>
      </c>
      <c r="CL178" s="175" t="e">
        <f t="shared" ref="CL178" si="2692">AVERAGE(BU178:BU182)</f>
        <v>#DIV/0!</v>
      </c>
      <c r="CM178" s="175" t="e">
        <f t="shared" ref="CM178" si="2693">AVERAGE(BV178:BV182)</f>
        <v>#DIV/0!</v>
      </c>
      <c r="CN178" s="175" t="e">
        <f t="shared" ref="CN178" si="2694">AVERAGE(BW178:BW182)</f>
        <v>#DIV/0!</v>
      </c>
      <c r="CO178" s="175" t="e">
        <f t="shared" ref="CO178" si="2695">AVERAGE(BX178:BX182)</f>
        <v>#DIV/0!</v>
      </c>
      <c r="CP178" s="175" t="e">
        <f t="shared" ref="CP178" si="2696">AVERAGE(BY178:BY182)</f>
        <v>#DIV/0!</v>
      </c>
      <c r="CQ178" s="175" t="e">
        <f t="shared" ref="CQ178" si="2697">AVERAGE(BZ178:BZ182)</f>
        <v>#DIV/0!</v>
      </c>
      <c r="CR178" s="216" t="e">
        <f t="shared" ref="CR178" si="2698">AVERAGE(CA178:CA182)</f>
        <v>#DIV/0!</v>
      </c>
      <c r="CS178" s="215" t="e">
        <f t="shared" ref="CS178" si="2699">AVERAGE(CB178:CB182)</f>
        <v>#DIV/0!</v>
      </c>
      <c r="CT178" s="216" t="e">
        <f t="shared" ref="CT178" si="2700">AVERAGE(CC178:CC182)</f>
        <v>#DIV/0!</v>
      </c>
      <c r="CU178" s="175" t="e">
        <f t="shared" ref="CU178" si="2701">AVERAGE(CD178:CD182)</f>
        <v>#DIV/0!</v>
      </c>
      <c r="CV178" s="216" t="e">
        <f t="shared" ref="CV178" si="2702">AVERAGE(CE178:CE182)</f>
        <v>#DIV/0!</v>
      </c>
      <c r="CX178" s="56">
        <v>5</v>
      </c>
      <c r="CZ178" s="223" t="e">
        <f t="shared" ref="CZ178" si="2703">CG178*$CX178</f>
        <v>#DIV/0!</v>
      </c>
      <c r="DA178" s="159" t="e">
        <f t="shared" ref="DA178" si="2704">CH178*$CX178</f>
        <v>#DIV/0!</v>
      </c>
      <c r="DB178" s="159" t="e">
        <f t="shared" ref="DB178" si="2705">CI178*$CX178</f>
        <v>#DIV/0!</v>
      </c>
      <c r="DC178" s="159" t="e">
        <f t="shared" ref="DC178" si="2706">CJ178*$CX178</f>
        <v>#DIV/0!</v>
      </c>
      <c r="DD178" s="159" t="e">
        <f t="shared" ref="DD178" si="2707">CK178*$CX178</f>
        <v>#DIV/0!</v>
      </c>
      <c r="DE178" s="159" t="e">
        <f t="shared" ref="DE178" si="2708">CL178*$CX178</f>
        <v>#DIV/0!</v>
      </c>
      <c r="DF178" s="159" t="e">
        <f t="shared" ref="DF178" si="2709">CM178*$CX178</f>
        <v>#DIV/0!</v>
      </c>
      <c r="DG178" s="159" t="e">
        <f t="shared" ref="DG178" si="2710">CN178*$CX178</f>
        <v>#DIV/0!</v>
      </c>
      <c r="DH178" s="159" t="e">
        <f t="shared" ref="DH178" si="2711">CO178*$CX178</f>
        <v>#DIV/0!</v>
      </c>
      <c r="DI178" s="159" t="e">
        <f t="shared" ref="DI178" si="2712">CP178*$CX178</f>
        <v>#DIV/0!</v>
      </c>
      <c r="DJ178" s="159" t="e">
        <f t="shared" ref="DJ178" si="2713">CQ178*$CX178</f>
        <v>#DIV/0!</v>
      </c>
      <c r="DK178" s="224" t="e">
        <f t="shared" ref="DK178" si="2714">CR178*$CX178</f>
        <v>#DIV/0!</v>
      </c>
      <c r="DL178" s="223" t="e">
        <f t="shared" ref="DL178" si="2715">CS178*$CX178</f>
        <v>#DIV/0!</v>
      </c>
      <c r="DM178" s="224" t="e">
        <f t="shared" ref="DM178" si="2716">CT178*$CX178</f>
        <v>#DIV/0!</v>
      </c>
      <c r="DN178" s="223" t="e">
        <f t="shared" ref="DN178" si="2717">CU178*$CX178</f>
        <v>#DIV/0!</v>
      </c>
      <c r="DO178" s="224" t="e">
        <f t="shared" ref="DO178" si="2718">CV178*$CX178</f>
        <v>#DIV/0!</v>
      </c>
      <c r="DQ178" s="130"/>
      <c r="DR178" s="229"/>
      <c r="DS178" s="130"/>
      <c r="DT178" s="230"/>
      <c r="DU178" s="229"/>
      <c r="DV178" s="229"/>
      <c r="DW178" s="130"/>
      <c r="DX178" s="230"/>
      <c r="DY178" s="229"/>
      <c r="DZ178" s="229"/>
      <c r="EA178" s="130"/>
      <c r="EB178" s="230"/>
      <c r="EC178" s="229"/>
      <c r="ED178" s="229"/>
      <c r="EE178" s="229"/>
      <c r="EF178" s="130"/>
      <c r="EG178" s="230"/>
      <c r="EH178" s="229"/>
      <c r="EI178" s="230"/>
    </row>
    <row r="179" spans="1:139" x14ac:dyDescent="0.25">
      <c r="A179" s="195">
        <f t="shared" ref="A179:A184" si="2719">A178+1</f>
        <v>46014</v>
      </c>
      <c r="B179" s="158" t="s">
        <v>94</v>
      </c>
      <c r="C179" s="195"/>
      <c r="D179" s="45"/>
      <c r="E179" s="45"/>
      <c r="F179" s="45"/>
      <c r="G179" s="154"/>
      <c r="H179" s="169">
        <f t="shared" si="2154"/>
        <v>0</v>
      </c>
      <c r="I179" s="169">
        <f t="shared" si="2155"/>
        <v>0</v>
      </c>
      <c r="J179" s="169">
        <f t="shared" si="2156"/>
        <v>0</v>
      </c>
      <c r="K179" s="45"/>
      <c r="L179" s="151"/>
      <c r="M179" s="45"/>
      <c r="N179" s="151"/>
      <c r="Q179" s="45"/>
      <c r="R179" s="151"/>
      <c r="S179" s="320">
        <f t="shared" si="2157"/>
        <v>0</v>
      </c>
      <c r="V179" s="320">
        <f t="shared" si="2158"/>
        <v>0</v>
      </c>
      <c r="Y179" s="45"/>
      <c r="Z179" s="151"/>
      <c r="AA179" s="320">
        <f t="shared" si="2159"/>
        <v>0</v>
      </c>
      <c r="AD179" s="320">
        <f t="shared" si="2160"/>
        <v>0</v>
      </c>
      <c r="AE179" s="45"/>
      <c r="AG179" s="45"/>
      <c r="AH179" s="151"/>
      <c r="AJ179" s="12"/>
      <c r="AK179" s="5"/>
      <c r="AL179" s="9"/>
      <c r="AM179" s="358"/>
      <c r="AN179" s="5"/>
      <c r="AO179" s="13"/>
      <c r="AQ179" s="50"/>
      <c r="AR179" s="50"/>
      <c r="AS179" s="148" t="e">
        <f t="shared" si="2161"/>
        <v>#DIV/0!</v>
      </c>
      <c r="AT179" s="152">
        <v>8.1999999999999993</v>
      </c>
      <c r="AU179" s="153">
        <v>1</v>
      </c>
      <c r="AV179" s="154" t="e">
        <f t="shared" ref="AV179:AV180" si="2720">AT179*AS179*AU179</f>
        <v>#DIV/0!</v>
      </c>
      <c r="AW179" s="50">
        <v>2</v>
      </c>
      <c r="AY179" s="155" t="e">
        <f t="shared" ref="AY179" si="2721">H179/G179</f>
        <v>#DIV/0!</v>
      </c>
      <c r="AZ179" s="156" t="e">
        <f t="shared" ref="AZ179" si="2722">I179/G179</f>
        <v>#DIV/0!</v>
      </c>
      <c r="BA179" s="127" t="e">
        <f t="shared" ref="BA179" si="2723">(K179+L179)/$G179</f>
        <v>#DIV/0!</v>
      </c>
      <c r="BB179" s="127" t="e">
        <f t="shared" ref="BB179" si="2724">K179/$G179</f>
        <v>#DIV/0!</v>
      </c>
      <c r="BC179" s="155" t="e">
        <f t="shared" ref="BC179" si="2725">(M179+N179)/$G179</f>
        <v>#DIV/0!</v>
      </c>
      <c r="BD179" s="156" t="e">
        <f t="shared" ref="BD179" si="2726">M179/$G179</f>
        <v>#DIV/0!</v>
      </c>
      <c r="BE179" s="155" t="e">
        <f t="shared" ref="BE179" si="2727">(Q179+R179)/$G179</f>
        <v>#DIV/0!</v>
      </c>
      <c r="BF179" s="156" t="e">
        <f t="shared" ref="BF179" si="2728">Q179/$G179</f>
        <v>#DIV/0!</v>
      </c>
      <c r="BG179" s="127" t="e">
        <f t="shared" ref="BG179" si="2729">S179/$G179</f>
        <v>#DIV/0!</v>
      </c>
      <c r="BH179" s="127" t="e">
        <f t="shared" ref="BH179" si="2730">V179/$G179</f>
        <v>#DIV/0!</v>
      </c>
      <c r="BI179" s="127" t="e">
        <f t="shared" ref="BI179" si="2731">AA179/$G179</f>
        <v>#DIV/0!</v>
      </c>
      <c r="BJ179" s="156" t="e">
        <f t="shared" ref="BJ179" si="2732">AD179/$G179</f>
        <v>#DIV/0!</v>
      </c>
      <c r="BK179" s="155" t="e">
        <f t="shared" ref="BK179" si="2733">Y179/$G179</f>
        <v>#DIV/0!</v>
      </c>
      <c r="BL179" s="156" t="e">
        <f t="shared" ref="BL179" si="2734">Z179/$G179</f>
        <v>#DIV/0!</v>
      </c>
      <c r="BM179" s="155" t="e">
        <f t="shared" ref="BM179" si="2735">AG179/$G179</f>
        <v>#DIV/0!</v>
      </c>
      <c r="BN179" s="156" t="e">
        <f t="shared" ref="BN179" si="2736">AH179/$G179</f>
        <v>#DIV/0!</v>
      </c>
      <c r="BO179" s="50"/>
      <c r="BP179" s="51" t="e">
        <f t="shared" ref="BP179" si="2737">AY179*$AV179</f>
        <v>#DIV/0!</v>
      </c>
      <c r="BQ179" s="157" t="e">
        <f t="shared" ref="BQ179" si="2738">AZ179*$AV179</f>
        <v>#DIV/0!</v>
      </c>
      <c r="BR179" s="51" t="e">
        <f t="shared" ref="BR179" si="2739">BA179*$AV179</f>
        <v>#DIV/0!</v>
      </c>
      <c r="BS179" s="157" t="e">
        <f t="shared" ref="BS179" si="2740">BB179*$AV179</f>
        <v>#DIV/0!</v>
      </c>
      <c r="BT179" s="51" t="e">
        <f t="shared" ref="BT179" si="2741">BC179*$AV179</f>
        <v>#DIV/0!</v>
      </c>
      <c r="BU179" s="157" t="e">
        <f t="shared" ref="BU179" si="2742">BD179*$AV179</f>
        <v>#DIV/0!</v>
      </c>
      <c r="BV179" s="51" t="e">
        <f t="shared" ref="BV179" si="2743">BE179*$AV179</f>
        <v>#DIV/0!</v>
      </c>
      <c r="BW179" s="157" t="e">
        <f t="shared" ref="BW179" si="2744">BF179*$AV179</f>
        <v>#DIV/0!</v>
      </c>
      <c r="BX179" s="51" t="e">
        <f t="shared" ref="BX179" si="2745">BG179*$AV179</f>
        <v>#DIV/0!</v>
      </c>
      <c r="BY179" s="157" t="e">
        <f t="shared" ref="BY179" si="2746">BH179*$AV179</f>
        <v>#DIV/0!</v>
      </c>
      <c r="BZ179" s="51" t="e">
        <f t="shared" ref="BZ179" si="2747">BI179*$AV179</f>
        <v>#DIV/0!</v>
      </c>
      <c r="CA179" s="157" t="e">
        <f t="shared" ref="CA179" si="2748">BJ179*$AV179</f>
        <v>#DIV/0!</v>
      </c>
      <c r="CB179" s="51" t="e">
        <f t="shared" ref="CB179" si="2749">BK179*$AV179</f>
        <v>#DIV/0!</v>
      </c>
      <c r="CC179" s="157" t="e">
        <f t="shared" ref="CC179" si="2750">BL179*$AV179</f>
        <v>#DIV/0!</v>
      </c>
      <c r="CD179" s="51" t="e">
        <f t="shared" ref="CD179" si="2751">BM179*$AV179</f>
        <v>#DIV/0!</v>
      </c>
      <c r="CE179" s="157" t="e">
        <f t="shared" ref="CE179" si="2752">BN179*$AV179</f>
        <v>#DIV/0!</v>
      </c>
      <c r="CG179" s="45"/>
      <c r="CR179" s="151"/>
      <c r="CS179" s="45"/>
      <c r="CT179" s="151"/>
      <c r="CV179" s="151"/>
      <c r="CX179" s="50"/>
      <c r="CZ179" s="45"/>
      <c r="DK179" s="151"/>
      <c r="DL179" s="45"/>
      <c r="DM179" s="151"/>
      <c r="DN179" s="45"/>
      <c r="DO179" s="151"/>
      <c r="DQ179" s="117"/>
      <c r="DR179" s="77"/>
      <c r="DS179" s="117"/>
      <c r="DT179" s="149"/>
      <c r="DU179" s="77"/>
      <c r="DV179" s="77"/>
      <c r="DW179" s="117"/>
      <c r="DX179" s="149"/>
      <c r="DY179" s="77"/>
      <c r="DZ179" s="77"/>
      <c r="EA179" s="117"/>
      <c r="EB179" s="149"/>
      <c r="EC179" s="77"/>
      <c r="ED179" s="77"/>
      <c r="EE179" s="77"/>
      <c r="EF179" s="117"/>
      <c r="EG179" s="149"/>
      <c r="EH179" s="77"/>
      <c r="EI179" s="149"/>
    </row>
    <row r="180" spans="1:139" x14ac:dyDescent="0.25">
      <c r="A180" s="195">
        <f t="shared" si="2719"/>
        <v>46015</v>
      </c>
      <c r="B180" s="158" t="s">
        <v>11</v>
      </c>
      <c r="C180" s="195"/>
      <c r="D180" s="45"/>
      <c r="E180" s="45"/>
      <c r="F180" s="45"/>
      <c r="G180" s="154"/>
      <c r="H180" s="169">
        <f t="shared" si="2154"/>
        <v>0</v>
      </c>
      <c r="I180" s="169">
        <f t="shared" si="2155"/>
        <v>0</v>
      </c>
      <c r="J180" s="169">
        <f t="shared" si="2156"/>
        <v>0</v>
      </c>
      <c r="K180" s="45"/>
      <c r="L180" s="151"/>
      <c r="M180" s="45"/>
      <c r="N180" s="151"/>
      <c r="Q180" s="45"/>
      <c r="R180" s="151"/>
      <c r="S180" s="320">
        <f t="shared" si="2157"/>
        <v>0</v>
      </c>
      <c r="V180" s="320">
        <f t="shared" si="2158"/>
        <v>0</v>
      </c>
      <c r="Y180" s="45"/>
      <c r="Z180" s="151"/>
      <c r="AA180" s="320">
        <f t="shared" si="2159"/>
        <v>0</v>
      </c>
      <c r="AD180" s="320">
        <f t="shared" si="2160"/>
        <v>0</v>
      </c>
      <c r="AE180" s="45"/>
      <c r="AG180" s="45"/>
      <c r="AH180" s="151"/>
      <c r="AJ180" s="12"/>
      <c r="AK180" s="5"/>
      <c r="AL180" s="9"/>
      <c r="AM180" s="358"/>
      <c r="AN180" s="5"/>
      <c r="AO180" s="13"/>
      <c r="AQ180" s="50"/>
      <c r="AR180" s="50"/>
      <c r="AS180" s="148" t="e">
        <f t="shared" si="2161"/>
        <v>#DIV/0!</v>
      </c>
      <c r="AT180" s="152">
        <v>8.1</v>
      </c>
      <c r="AU180" s="153">
        <v>1</v>
      </c>
      <c r="AV180" s="154" t="e">
        <f t="shared" si="2720"/>
        <v>#DIV/0!</v>
      </c>
      <c r="AW180" s="50"/>
      <c r="AY180" s="155" t="e">
        <f t="shared" ref="AY180" si="2753">H180/G180</f>
        <v>#DIV/0!</v>
      </c>
      <c r="AZ180" s="156" t="e">
        <f t="shared" ref="AZ180" si="2754">I180/G180</f>
        <v>#DIV/0!</v>
      </c>
      <c r="BA180" s="127" t="e">
        <f t="shared" ref="BA180" si="2755">(K180+L180)/$G180</f>
        <v>#DIV/0!</v>
      </c>
      <c r="BB180" s="127" t="e">
        <f t="shared" ref="BB180" si="2756">K180/$G180</f>
        <v>#DIV/0!</v>
      </c>
      <c r="BC180" s="155" t="e">
        <f t="shared" ref="BC180" si="2757">(M180+N180)/$G180</f>
        <v>#DIV/0!</v>
      </c>
      <c r="BD180" s="156" t="e">
        <f t="shared" ref="BD180" si="2758">M180/$G180</f>
        <v>#DIV/0!</v>
      </c>
      <c r="BE180" s="155" t="e">
        <f t="shared" ref="BE180" si="2759">(Q180+R180)/$G180</f>
        <v>#DIV/0!</v>
      </c>
      <c r="BF180" s="156" t="e">
        <f t="shared" ref="BF180" si="2760">Q180/$G180</f>
        <v>#DIV/0!</v>
      </c>
      <c r="BG180" s="127" t="e">
        <f t="shared" ref="BG180" si="2761">S180/$G180</f>
        <v>#DIV/0!</v>
      </c>
      <c r="BH180" s="127" t="e">
        <f t="shared" ref="BH180" si="2762">V180/$G180</f>
        <v>#DIV/0!</v>
      </c>
      <c r="BI180" s="127" t="e">
        <f t="shared" ref="BI180" si="2763">AA180/$G180</f>
        <v>#DIV/0!</v>
      </c>
      <c r="BJ180" s="156" t="e">
        <f t="shared" ref="BJ180" si="2764">AD180/$G180</f>
        <v>#DIV/0!</v>
      </c>
      <c r="BK180" s="155" t="e">
        <f t="shared" ref="BK180" si="2765">Y180/$G180</f>
        <v>#DIV/0!</v>
      </c>
      <c r="BL180" s="156" t="e">
        <f t="shared" ref="BL180" si="2766">Z180/$G180</f>
        <v>#DIV/0!</v>
      </c>
      <c r="BM180" s="155" t="e">
        <f t="shared" ref="BM180" si="2767">AG180/$G180</f>
        <v>#DIV/0!</v>
      </c>
      <c r="BN180" s="156" t="e">
        <f t="shared" ref="BN180" si="2768">AH180/$G180</f>
        <v>#DIV/0!</v>
      </c>
      <c r="BO180" s="50"/>
      <c r="BP180" s="51" t="e">
        <f t="shared" ref="BP180" si="2769">AY180*$AV180</f>
        <v>#DIV/0!</v>
      </c>
      <c r="BQ180" s="157" t="e">
        <f t="shared" ref="BQ180" si="2770">AZ180*$AV180</f>
        <v>#DIV/0!</v>
      </c>
      <c r="BR180" s="51" t="e">
        <f t="shared" ref="BR180" si="2771">BA180*$AV180</f>
        <v>#DIV/0!</v>
      </c>
      <c r="BS180" s="157" t="e">
        <f t="shared" ref="BS180" si="2772">BB180*$AV180</f>
        <v>#DIV/0!</v>
      </c>
      <c r="BT180" s="51" t="e">
        <f t="shared" ref="BT180" si="2773">BC180*$AV180</f>
        <v>#DIV/0!</v>
      </c>
      <c r="BU180" s="157" t="e">
        <f t="shared" ref="BU180" si="2774">BD180*$AV180</f>
        <v>#DIV/0!</v>
      </c>
      <c r="BV180" s="51" t="e">
        <f t="shared" ref="BV180" si="2775">BE180*$AV180</f>
        <v>#DIV/0!</v>
      </c>
      <c r="BW180" s="157" t="e">
        <f t="shared" ref="BW180" si="2776">BF180*$AV180</f>
        <v>#DIV/0!</v>
      </c>
      <c r="BX180" s="51" t="e">
        <f t="shared" ref="BX180" si="2777">BG180*$AV180</f>
        <v>#DIV/0!</v>
      </c>
      <c r="BY180" s="157" t="e">
        <f t="shared" ref="BY180" si="2778">BH180*$AV180</f>
        <v>#DIV/0!</v>
      </c>
      <c r="BZ180" s="51" t="e">
        <f t="shared" ref="BZ180" si="2779">BI180*$AV180</f>
        <v>#DIV/0!</v>
      </c>
      <c r="CA180" s="157" t="e">
        <f t="shared" ref="CA180" si="2780">BJ180*$AV180</f>
        <v>#DIV/0!</v>
      </c>
      <c r="CB180" s="51" t="e">
        <f t="shared" ref="CB180" si="2781">BK180*$AV180</f>
        <v>#DIV/0!</v>
      </c>
      <c r="CC180" s="157" t="e">
        <f t="shared" ref="CC180" si="2782">BL180*$AV180</f>
        <v>#DIV/0!</v>
      </c>
      <c r="CD180" s="51" t="e">
        <f t="shared" ref="CD180" si="2783">BM180*$AV180</f>
        <v>#DIV/0!</v>
      </c>
      <c r="CE180" s="157" t="e">
        <f t="shared" ref="CE180" si="2784">BN180*$AV180</f>
        <v>#DIV/0!</v>
      </c>
      <c r="CG180" s="45"/>
      <c r="CR180" s="151"/>
      <c r="CS180" s="45"/>
      <c r="CT180" s="151"/>
      <c r="CV180" s="151"/>
      <c r="CX180" s="50"/>
      <c r="CZ180" s="45"/>
      <c r="DK180" s="151"/>
      <c r="DL180" s="45"/>
      <c r="DM180" s="151"/>
      <c r="DN180" s="45"/>
      <c r="DO180" s="151"/>
      <c r="DQ180" s="117"/>
      <c r="DR180" s="77"/>
      <c r="DS180" s="117"/>
      <c r="DT180" s="149"/>
      <c r="DU180" s="77"/>
      <c r="DV180" s="77"/>
      <c r="DW180" s="117"/>
      <c r="DX180" s="149"/>
      <c r="DY180" s="77"/>
      <c r="DZ180" s="77"/>
      <c r="EA180" s="117"/>
      <c r="EB180" s="149"/>
      <c r="EC180" s="77"/>
      <c r="ED180" s="77"/>
      <c r="EE180" s="77"/>
      <c r="EF180" s="117"/>
      <c r="EG180" s="149"/>
      <c r="EH180" s="77"/>
      <c r="EI180" s="149"/>
    </row>
    <row r="181" spans="1:139" x14ac:dyDescent="0.25">
      <c r="A181" s="195">
        <f t="shared" si="2719"/>
        <v>46016</v>
      </c>
      <c r="B181" s="158" t="s">
        <v>95</v>
      </c>
      <c r="C181" s="195"/>
      <c r="D181" s="45"/>
      <c r="E181" s="45"/>
      <c r="F181" s="45"/>
      <c r="G181" s="154"/>
      <c r="H181" s="169">
        <f t="shared" si="2154"/>
        <v>0</v>
      </c>
      <c r="I181" s="169">
        <f t="shared" si="2155"/>
        <v>0</v>
      </c>
      <c r="J181" s="169">
        <f t="shared" si="2156"/>
        <v>0</v>
      </c>
      <c r="K181" s="45"/>
      <c r="L181" s="151"/>
      <c r="M181" s="45"/>
      <c r="N181" s="151"/>
      <c r="Q181" s="45"/>
      <c r="R181" s="151"/>
      <c r="S181" s="320">
        <f t="shared" si="2157"/>
        <v>0</v>
      </c>
      <c r="V181" s="320">
        <f t="shared" si="2158"/>
        <v>0</v>
      </c>
      <c r="Y181" s="45"/>
      <c r="Z181" s="151"/>
      <c r="AA181" s="320">
        <f t="shared" si="2159"/>
        <v>0</v>
      </c>
      <c r="AD181" s="320">
        <f t="shared" si="2160"/>
        <v>0</v>
      </c>
      <c r="AE181" s="45"/>
      <c r="AG181" s="45"/>
      <c r="AH181" s="151"/>
      <c r="AJ181" s="12"/>
      <c r="AK181" s="5"/>
      <c r="AL181" s="9"/>
      <c r="AM181" s="358"/>
      <c r="AN181" s="5"/>
      <c r="AO181" s="13"/>
      <c r="AQ181" s="50"/>
      <c r="AR181" s="50"/>
      <c r="AS181" s="148" t="e">
        <f t="shared" si="2161"/>
        <v>#DIV/0!</v>
      </c>
      <c r="AT181" s="152"/>
      <c r="AU181" s="153"/>
      <c r="AV181" s="154"/>
      <c r="AW181" s="50"/>
      <c r="AY181" s="155"/>
      <c r="AZ181" s="156"/>
      <c r="BA181" s="127"/>
      <c r="BB181" s="127"/>
      <c r="BC181" s="155"/>
      <c r="BD181" s="156"/>
      <c r="BE181" s="155"/>
      <c r="BF181" s="156"/>
      <c r="BG181" s="127"/>
      <c r="BH181" s="127"/>
      <c r="BI181" s="127"/>
      <c r="BJ181" s="156"/>
      <c r="BK181" s="156"/>
      <c r="BL181" s="156"/>
      <c r="BM181" s="156"/>
      <c r="BN181" s="156"/>
      <c r="BO181" s="50"/>
      <c r="BP181" s="51"/>
      <c r="BQ181" s="157"/>
      <c r="BR181" s="51"/>
      <c r="BS181" s="157"/>
      <c r="BT181" s="51"/>
      <c r="BU181" s="157"/>
      <c r="BV181" s="51"/>
      <c r="BW181" s="157"/>
      <c r="BX181" s="51"/>
      <c r="BY181" s="157"/>
      <c r="BZ181" s="51"/>
      <c r="CA181" s="157"/>
      <c r="CB181" s="51"/>
      <c r="CC181" s="157"/>
      <c r="CD181" s="51"/>
      <c r="CE181" s="157"/>
      <c r="CG181" s="45"/>
      <c r="CR181" s="151"/>
      <c r="CS181" s="45"/>
      <c r="CT181" s="151"/>
      <c r="CV181" s="151"/>
      <c r="CX181" s="50"/>
      <c r="CZ181" s="45"/>
      <c r="DK181" s="151"/>
      <c r="DL181" s="45"/>
      <c r="DM181" s="151"/>
      <c r="DN181" s="45"/>
      <c r="DO181" s="151"/>
      <c r="DQ181" s="117"/>
      <c r="DR181" s="77"/>
      <c r="DS181" s="117"/>
      <c r="DT181" s="149"/>
      <c r="DU181" s="77"/>
      <c r="DV181" s="77"/>
      <c r="DW181" s="117"/>
      <c r="DX181" s="149"/>
      <c r="DY181" s="77"/>
      <c r="DZ181" s="77"/>
      <c r="EA181" s="117"/>
      <c r="EB181" s="149"/>
      <c r="EC181" s="77"/>
      <c r="ED181" s="77"/>
      <c r="EE181" s="77"/>
      <c r="EF181" s="117"/>
      <c r="EG181" s="149"/>
      <c r="EH181" s="77"/>
      <c r="EI181" s="149"/>
    </row>
    <row r="182" spans="1:139" x14ac:dyDescent="0.25">
      <c r="A182" s="195">
        <f t="shared" si="2719"/>
        <v>46017</v>
      </c>
      <c r="B182" s="195" t="s">
        <v>13</v>
      </c>
      <c r="C182" s="195"/>
      <c r="D182" s="45"/>
      <c r="E182" s="45"/>
      <c r="F182" s="45"/>
      <c r="G182" s="154"/>
      <c r="H182" s="169">
        <f t="shared" si="2154"/>
        <v>0</v>
      </c>
      <c r="I182" s="169">
        <f t="shared" si="2155"/>
        <v>0</v>
      </c>
      <c r="J182" s="169">
        <f t="shared" si="2156"/>
        <v>0</v>
      </c>
      <c r="K182" s="45"/>
      <c r="L182" s="151"/>
      <c r="M182" s="45"/>
      <c r="N182" s="151"/>
      <c r="Q182" s="45"/>
      <c r="R182" s="151"/>
      <c r="S182" s="320">
        <f t="shared" si="2157"/>
        <v>0</v>
      </c>
      <c r="V182" s="320">
        <f t="shared" si="2158"/>
        <v>0</v>
      </c>
      <c r="Y182" s="45"/>
      <c r="Z182" s="151"/>
      <c r="AA182" s="320">
        <f t="shared" si="2159"/>
        <v>0</v>
      </c>
      <c r="AD182" s="320">
        <f t="shared" si="2160"/>
        <v>0</v>
      </c>
      <c r="AE182" s="45"/>
      <c r="AG182" s="45"/>
      <c r="AH182" s="151"/>
      <c r="AJ182" s="12"/>
      <c r="AK182" s="5"/>
      <c r="AL182" s="9"/>
      <c r="AM182" s="358"/>
      <c r="AN182" s="5"/>
      <c r="AO182" s="13"/>
      <c r="AQ182" s="50"/>
      <c r="AR182" s="50"/>
      <c r="AS182" s="148" t="e">
        <f t="shared" si="2161"/>
        <v>#DIV/0!</v>
      </c>
      <c r="AT182" s="152"/>
      <c r="AU182" s="153"/>
      <c r="AV182" s="154"/>
      <c r="AW182" s="50"/>
      <c r="AY182" s="155"/>
      <c r="AZ182" s="156"/>
      <c r="BA182" s="127"/>
      <c r="BB182" s="127"/>
      <c r="BC182" s="155"/>
      <c r="BD182" s="156"/>
      <c r="BE182" s="155"/>
      <c r="BF182" s="156"/>
      <c r="BG182" s="127"/>
      <c r="BH182" s="127"/>
      <c r="BI182" s="127"/>
      <c r="BJ182" s="156"/>
      <c r="BK182" s="156"/>
      <c r="BL182" s="156"/>
      <c r="BM182" s="156"/>
      <c r="BN182" s="156"/>
      <c r="BO182" s="50"/>
      <c r="BP182" s="51"/>
      <c r="BQ182" s="157"/>
      <c r="BR182" s="51"/>
      <c r="BS182" s="157"/>
      <c r="BT182" s="51"/>
      <c r="BU182" s="157"/>
      <c r="BV182" s="51"/>
      <c r="BW182" s="157"/>
      <c r="BX182" s="51"/>
      <c r="BY182" s="157"/>
      <c r="BZ182" s="51"/>
      <c r="CA182" s="157"/>
      <c r="CB182" s="51"/>
      <c r="CC182" s="157"/>
      <c r="CD182" s="51"/>
      <c r="CE182" s="157"/>
      <c r="CG182" s="45"/>
      <c r="CR182" s="151"/>
      <c r="CS182" s="45"/>
      <c r="CT182" s="151"/>
      <c r="CV182" s="151"/>
      <c r="CX182" s="50"/>
      <c r="CZ182" s="45"/>
      <c r="DK182" s="151"/>
      <c r="DL182" s="45"/>
      <c r="DM182" s="151"/>
      <c r="DN182" s="45"/>
      <c r="DO182" s="151"/>
      <c r="DQ182" s="117"/>
      <c r="DR182" s="77"/>
      <c r="DS182" s="117"/>
      <c r="DT182" s="149"/>
      <c r="DU182" s="77"/>
      <c r="DV182" s="77"/>
      <c r="DW182" s="117"/>
      <c r="DX182" s="149"/>
      <c r="DY182" s="77"/>
      <c r="DZ182" s="77"/>
      <c r="EA182" s="117"/>
      <c r="EB182" s="149"/>
      <c r="EC182" s="77"/>
      <c r="ED182" s="77"/>
      <c r="EE182" s="77"/>
      <c r="EF182" s="117"/>
      <c r="EG182" s="149"/>
      <c r="EH182" s="77"/>
      <c r="EI182" s="149"/>
    </row>
    <row r="183" spans="1:139" x14ac:dyDescent="0.25">
      <c r="A183" s="195">
        <f t="shared" si="2719"/>
        <v>46018</v>
      </c>
      <c r="B183" s="195" t="s">
        <v>14</v>
      </c>
      <c r="C183" s="195"/>
      <c r="D183" s="45"/>
      <c r="E183" s="45"/>
      <c r="F183" s="45"/>
      <c r="G183" s="154"/>
      <c r="H183" s="169">
        <f t="shared" si="2154"/>
        <v>0</v>
      </c>
      <c r="I183" s="169">
        <f t="shared" si="2155"/>
        <v>0</v>
      </c>
      <c r="J183" s="169">
        <f t="shared" si="2156"/>
        <v>0</v>
      </c>
      <c r="K183" s="45"/>
      <c r="L183" s="151"/>
      <c r="M183" s="45"/>
      <c r="N183" s="151"/>
      <c r="Q183" s="45"/>
      <c r="R183" s="151"/>
      <c r="S183" s="320">
        <f t="shared" si="2157"/>
        <v>0</v>
      </c>
      <c r="V183" s="320">
        <f t="shared" si="2158"/>
        <v>0</v>
      </c>
      <c r="Y183" s="45"/>
      <c r="Z183" s="151"/>
      <c r="AA183" s="320">
        <f t="shared" si="2159"/>
        <v>0</v>
      </c>
      <c r="AD183" s="320">
        <f t="shared" si="2160"/>
        <v>0</v>
      </c>
      <c r="AE183" s="45"/>
      <c r="AG183" s="45"/>
      <c r="AH183" s="151"/>
      <c r="AJ183" s="12"/>
      <c r="AK183" s="5"/>
      <c r="AL183" s="9"/>
      <c r="AM183" s="358"/>
      <c r="AN183" s="5"/>
      <c r="AO183" s="13"/>
      <c r="AQ183" s="50"/>
      <c r="AR183" s="50"/>
      <c r="AS183" s="148" t="e">
        <f t="shared" si="2161"/>
        <v>#DIV/0!</v>
      </c>
      <c r="AT183" s="152">
        <v>8</v>
      </c>
      <c r="AU183" s="153">
        <v>1</v>
      </c>
      <c r="AV183" s="154" t="e">
        <f t="shared" ref="AV183" si="2785">AT183*AS183*AU183</f>
        <v>#DIV/0!</v>
      </c>
      <c r="AW183" s="50"/>
      <c r="AY183" s="155" t="e">
        <f t="shared" ref="AY183" si="2786">H183/G183</f>
        <v>#DIV/0!</v>
      </c>
      <c r="AZ183" s="156" t="e">
        <f t="shared" ref="AZ183" si="2787">I183/G183</f>
        <v>#DIV/0!</v>
      </c>
      <c r="BA183" s="127" t="e">
        <f t="shared" ref="BA183" si="2788">(K183+L183)/$G183</f>
        <v>#DIV/0!</v>
      </c>
      <c r="BB183" s="127" t="e">
        <f t="shared" ref="BB183" si="2789">K183/$G183</f>
        <v>#DIV/0!</v>
      </c>
      <c r="BC183" s="155" t="e">
        <f t="shared" ref="BC183" si="2790">(M183+N183)/$G183</f>
        <v>#DIV/0!</v>
      </c>
      <c r="BD183" s="156" t="e">
        <f t="shared" ref="BD183" si="2791">M183/$G183</f>
        <v>#DIV/0!</v>
      </c>
      <c r="BE183" s="155" t="e">
        <f t="shared" ref="BE183" si="2792">(Q183+R183)/$G183</f>
        <v>#DIV/0!</v>
      </c>
      <c r="BF183" s="156" t="e">
        <f t="shared" ref="BF183" si="2793">Q183/$G183</f>
        <v>#DIV/0!</v>
      </c>
      <c r="BG183" s="127" t="e">
        <f t="shared" ref="BG183" si="2794">S183/$G183</f>
        <v>#DIV/0!</v>
      </c>
      <c r="BH183" s="127" t="e">
        <f t="shared" ref="BH183" si="2795">V183/$G183</f>
        <v>#DIV/0!</v>
      </c>
      <c r="BI183" s="127" t="e">
        <f t="shared" ref="BI183" si="2796">AA183/$G183</f>
        <v>#DIV/0!</v>
      </c>
      <c r="BJ183" s="156" t="e">
        <f t="shared" ref="BJ183" si="2797">AD183/$G183</f>
        <v>#DIV/0!</v>
      </c>
      <c r="BK183" s="155" t="e">
        <f t="shared" ref="BK183" si="2798">Y183/$G183</f>
        <v>#DIV/0!</v>
      </c>
      <c r="BL183" s="156" t="e">
        <f t="shared" ref="BL183" si="2799">Z183/$G183</f>
        <v>#DIV/0!</v>
      </c>
      <c r="BM183" s="155" t="e">
        <f t="shared" ref="BM183" si="2800">AG183/$G183</f>
        <v>#DIV/0!</v>
      </c>
      <c r="BN183" s="156" t="e">
        <f t="shared" ref="BN183" si="2801">AH183/$G183</f>
        <v>#DIV/0!</v>
      </c>
      <c r="BO183" s="50"/>
      <c r="BP183" s="51" t="e">
        <f t="shared" ref="BP183" si="2802">AY183*$AV183</f>
        <v>#DIV/0!</v>
      </c>
      <c r="BQ183" s="157" t="e">
        <f t="shared" ref="BQ183" si="2803">AZ183*$AV183</f>
        <v>#DIV/0!</v>
      </c>
      <c r="BR183" s="51" t="e">
        <f t="shared" ref="BR183" si="2804">BA183*$AV183</f>
        <v>#DIV/0!</v>
      </c>
      <c r="BS183" s="157" t="e">
        <f t="shared" ref="BS183" si="2805">BB183*$AV183</f>
        <v>#DIV/0!</v>
      </c>
      <c r="BT183" s="51" t="e">
        <f t="shared" ref="BT183" si="2806">BC183*$AV183</f>
        <v>#DIV/0!</v>
      </c>
      <c r="BU183" s="157" t="e">
        <f t="shared" ref="BU183" si="2807">BD183*$AV183</f>
        <v>#DIV/0!</v>
      </c>
      <c r="BV183" s="51" t="e">
        <f t="shared" ref="BV183" si="2808">BE183*$AV183</f>
        <v>#DIV/0!</v>
      </c>
      <c r="BW183" s="157" t="e">
        <f t="shared" ref="BW183" si="2809">BF183*$AV183</f>
        <v>#DIV/0!</v>
      </c>
      <c r="BX183" s="51" t="e">
        <f t="shared" ref="BX183" si="2810">BG183*$AV183</f>
        <v>#DIV/0!</v>
      </c>
      <c r="BY183" s="157" t="e">
        <f t="shared" ref="BY183" si="2811">BH183*$AV183</f>
        <v>#DIV/0!</v>
      </c>
      <c r="BZ183" s="51" t="e">
        <f t="shared" ref="BZ183" si="2812">BI183*$AV183</f>
        <v>#DIV/0!</v>
      </c>
      <c r="CA183" s="157" t="e">
        <f t="shared" ref="CA183" si="2813">BJ183*$AV183</f>
        <v>#DIV/0!</v>
      </c>
      <c r="CB183" s="51" t="e">
        <f t="shared" ref="CB183" si="2814">BK183*$AV183</f>
        <v>#DIV/0!</v>
      </c>
      <c r="CC183" s="157" t="e">
        <f t="shared" ref="CC183" si="2815">BL183*$AV183</f>
        <v>#DIV/0!</v>
      </c>
      <c r="CD183" s="51" t="e">
        <f t="shared" ref="CD183" si="2816">BM183*$AV183</f>
        <v>#DIV/0!</v>
      </c>
      <c r="CE183" s="157" t="e">
        <f t="shared" ref="CE183" si="2817">BN183*$AV183</f>
        <v>#DIV/0!</v>
      </c>
      <c r="CG183" s="51" t="e">
        <f t="shared" ref="CG183" si="2818">AVERAGE(BP183:BP184)</f>
        <v>#DIV/0!</v>
      </c>
      <c r="CH183" s="126" t="e">
        <f t="shared" ref="CH183" si="2819">AVERAGE(BQ183:BQ184)</f>
        <v>#DIV/0!</v>
      </c>
      <c r="CI183" s="126" t="e">
        <f t="shared" ref="CI183" si="2820">AVERAGE(BR183:BR184)</f>
        <v>#DIV/0!</v>
      </c>
      <c r="CJ183" s="126" t="e">
        <f t="shared" ref="CJ183" si="2821">AVERAGE(BS183:BS184)</f>
        <v>#DIV/0!</v>
      </c>
      <c r="CK183" s="126" t="e">
        <f t="shared" ref="CK183" si="2822">AVERAGE(BT183:BT184)</f>
        <v>#DIV/0!</v>
      </c>
      <c r="CL183" s="126" t="e">
        <f t="shared" ref="CL183" si="2823">AVERAGE(BU183:BU184)</f>
        <v>#DIV/0!</v>
      </c>
      <c r="CM183" s="126" t="e">
        <f t="shared" ref="CM183" si="2824">AVERAGE(BV183:BV184)</f>
        <v>#DIV/0!</v>
      </c>
      <c r="CN183" s="126" t="e">
        <f t="shared" ref="CN183" si="2825">AVERAGE(BW183:BW184)</f>
        <v>#DIV/0!</v>
      </c>
      <c r="CO183" s="126" t="e">
        <f t="shared" ref="CO183" si="2826">AVERAGE(BX183:BX184)</f>
        <v>#DIV/0!</v>
      </c>
      <c r="CP183" s="126" t="e">
        <f t="shared" ref="CP183" si="2827">AVERAGE(BY183:BY184)</f>
        <v>#DIV/0!</v>
      </c>
      <c r="CQ183" s="126" t="e">
        <f t="shared" ref="CQ183" si="2828">AVERAGE(BZ183:BZ184)</f>
        <v>#DIV/0!</v>
      </c>
      <c r="CR183" s="157" t="e">
        <f t="shared" ref="CR183" si="2829">AVERAGE(CA183:CA184)</f>
        <v>#DIV/0!</v>
      </c>
      <c r="CS183" s="51" t="e">
        <f t="shared" ref="CS183" si="2830">AVERAGE(CB183:CB184)</f>
        <v>#DIV/0!</v>
      </c>
      <c r="CT183" s="157" t="e">
        <f t="shared" ref="CT183" si="2831">AVERAGE(CC183:CC184)</f>
        <v>#DIV/0!</v>
      </c>
      <c r="CU183" s="126" t="e">
        <f t="shared" ref="CU183" si="2832">AVERAGE(CD183:CD184)</f>
        <v>#DIV/0!</v>
      </c>
      <c r="CV183" s="157" t="e">
        <f t="shared" ref="CV183" si="2833">AVERAGE(CE183:CE184)</f>
        <v>#DIV/0!</v>
      </c>
      <c r="CX183" s="150">
        <v>2</v>
      </c>
      <c r="CZ183" s="225" t="e">
        <f t="shared" ref="CZ183" si="2834">CG183*$CX183</f>
        <v>#DIV/0!</v>
      </c>
      <c r="DA183" s="160" t="e">
        <f t="shared" ref="DA183" si="2835">CH183*$CX183</f>
        <v>#DIV/0!</v>
      </c>
      <c r="DB183" s="160" t="e">
        <f t="shared" ref="DB183" si="2836">CI183*$CX183</f>
        <v>#DIV/0!</v>
      </c>
      <c r="DC183" s="160" t="e">
        <f t="shared" ref="DC183" si="2837">CJ183*$CX183</f>
        <v>#DIV/0!</v>
      </c>
      <c r="DD183" s="160" t="e">
        <f t="shared" ref="DD183" si="2838">CK183*$CX183</f>
        <v>#DIV/0!</v>
      </c>
      <c r="DE183" s="160" t="e">
        <f t="shared" ref="DE183" si="2839">CL183*$CX183</f>
        <v>#DIV/0!</v>
      </c>
      <c r="DF183" s="160" t="e">
        <f t="shared" ref="DF183" si="2840">CM183*$CX183</f>
        <v>#DIV/0!</v>
      </c>
      <c r="DG183" s="160" t="e">
        <f t="shared" ref="DG183" si="2841">CN183*$CX183</f>
        <v>#DIV/0!</v>
      </c>
      <c r="DH183" s="160" t="e">
        <f t="shared" ref="DH183" si="2842">CO183*$CX183</f>
        <v>#DIV/0!</v>
      </c>
      <c r="DI183" s="160" t="e">
        <f t="shared" ref="DI183" si="2843">CP183*$CX183</f>
        <v>#DIV/0!</v>
      </c>
      <c r="DJ183" s="160" t="e">
        <f t="shared" ref="DJ183" si="2844">CQ183*$CX183</f>
        <v>#DIV/0!</v>
      </c>
      <c r="DK183" s="161" t="e">
        <f t="shared" ref="DK183" si="2845">CR183*$CX183</f>
        <v>#DIV/0!</v>
      </c>
      <c r="DL183" s="225" t="e">
        <f t="shared" ref="DL183" si="2846">CS183*$CX183</f>
        <v>#DIV/0!</v>
      </c>
      <c r="DM183" s="161" t="e">
        <f t="shared" ref="DM183" si="2847">CT183*$CX183</f>
        <v>#DIV/0!</v>
      </c>
      <c r="DN183" s="225" t="e">
        <f t="shared" ref="DN183" si="2848">CU183*$CX183</f>
        <v>#DIV/0!</v>
      </c>
      <c r="DO183" s="161" t="e">
        <f t="shared" ref="DO183" si="2849">CV183*$CX183</f>
        <v>#DIV/0!</v>
      </c>
      <c r="DQ183" s="117"/>
      <c r="DR183" s="77"/>
      <c r="DS183" s="117"/>
      <c r="DT183" s="149"/>
      <c r="DU183" s="77"/>
      <c r="DV183" s="77"/>
      <c r="DW183" s="117"/>
      <c r="DX183" s="149"/>
      <c r="DY183" s="77"/>
      <c r="DZ183" s="77"/>
      <c r="EA183" s="117"/>
      <c r="EB183" s="149"/>
      <c r="EC183" s="77"/>
      <c r="ED183" s="77"/>
      <c r="EE183" s="77"/>
      <c r="EF183" s="117"/>
      <c r="EG183" s="149"/>
      <c r="EH183" s="77"/>
      <c r="EI183" s="149"/>
    </row>
    <row r="184" spans="1:139" x14ac:dyDescent="0.25">
      <c r="A184" s="334">
        <f t="shared" si="2719"/>
        <v>46019</v>
      </c>
      <c r="B184" s="334" t="s">
        <v>15</v>
      </c>
      <c r="C184" s="334"/>
      <c r="D184" s="176"/>
      <c r="E184" s="176"/>
      <c r="F184" s="176"/>
      <c r="G184" s="305"/>
      <c r="H184" s="323">
        <f t="shared" si="2154"/>
        <v>0</v>
      </c>
      <c r="I184" s="323">
        <f t="shared" si="2155"/>
        <v>0</v>
      </c>
      <c r="J184" s="323">
        <f t="shared" si="2156"/>
        <v>0</v>
      </c>
      <c r="K184" s="176"/>
      <c r="L184" s="178"/>
      <c r="M184" s="176"/>
      <c r="N184" s="178"/>
      <c r="O184" s="177"/>
      <c r="P184" s="177"/>
      <c r="Q184" s="176"/>
      <c r="R184" s="178"/>
      <c r="S184" s="320">
        <f t="shared" si="2157"/>
        <v>0</v>
      </c>
      <c r="V184" s="320">
        <f t="shared" si="2158"/>
        <v>0</v>
      </c>
      <c r="W184" s="177"/>
      <c r="X184" s="177"/>
      <c r="Y184" s="176"/>
      <c r="Z184" s="178"/>
      <c r="AA184" s="320">
        <f t="shared" si="2159"/>
        <v>0</v>
      </c>
      <c r="AD184" s="320">
        <f t="shared" si="2160"/>
        <v>0</v>
      </c>
      <c r="AE184" s="176"/>
      <c r="AF184" s="177"/>
      <c r="AG184" s="176"/>
      <c r="AH184" s="178"/>
      <c r="AJ184" s="12"/>
      <c r="AK184" s="5"/>
      <c r="AL184" s="9"/>
      <c r="AM184" s="358"/>
      <c r="AN184" s="5"/>
      <c r="AO184" s="13"/>
      <c r="AQ184" s="131"/>
      <c r="AR184" s="131"/>
      <c r="AS184" s="191" t="e">
        <f t="shared" si="2161"/>
        <v>#DIV/0!</v>
      </c>
      <c r="AT184" s="192"/>
      <c r="AU184" s="193"/>
      <c r="AV184" s="305"/>
      <c r="AW184" s="131"/>
      <c r="AY184" s="212"/>
      <c r="AZ184" s="213"/>
      <c r="BA184" s="214"/>
      <c r="BB184" s="214"/>
      <c r="BC184" s="212"/>
      <c r="BD184" s="213"/>
      <c r="BE184" s="212"/>
      <c r="BF184" s="213"/>
      <c r="BG184" s="214"/>
      <c r="BH184" s="214"/>
      <c r="BI184" s="214"/>
      <c r="BJ184" s="213"/>
      <c r="BK184" s="213"/>
      <c r="BL184" s="213"/>
      <c r="BM184" s="213"/>
      <c r="BN184" s="213"/>
      <c r="BO184" s="50"/>
      <c r="BP184" s="217"/>
      <c r="BQ184" s="218"/>
      <c r="BR184" s="217"/>
      <c r="BS184" s="218"/>
      <c r="BT184" s="217"/>
      <c r="BU184" s="218"/>
      <c r="BV184" s="217"/>
      <c r="BW184" s="218"/>
      <c r="BX184" s="217"/>
      <c r="BY184" s="218"/>
      <c r="BZ184" s="217"/>
      <c r="CA184" s="218"/>
      <c r="CB184" s="217"/>
      <c r="CC184" s="218"/>
      <c r="CD184" s="217"/>
      <c r="CE184" s="218"/>
      <c r="CG184" s="176"/>
      <c r="CH184" s="177"/>
      <c r="CI184" s="177"/>
      <c r="CJ184" s="177"/>
      <c r="CK184" s="177"/>
      <c r="CL184" s="177"/>
      <c r="CM184" s="177"/>
      <c r="CN184" s="177"/>
      <c r="CO184" s="177"/>
      <c r="CP184" s="177"/>
      <c r="CQ184" s="177"/>
      <c r="CR184" s="178"/>
      <c r="CS184" s="176"/>
      <c r="CT184" s="178"/>
      <c r="CU184" s="177"/>
      <c r="CV184" s="178"/>
      <c r="CX184" s="131"/>
      <c r="CZ184" s="176"/>
      <c r="DA184" s="177"/>
      <c r="DB184" s="177"/>
      <c r="DC184" s="177"/>
      <c r="DD184" s="177"/>
      <c r="DE184" s="177"/>
      <c r="DF184" s="177"/>
      <c r="DG184" s="177"/>
      <c r="DH184" s="177"/>
      <c r="DI184" s="177"/>
      <c r="DJ184" s="177"/>
      <c r="DK184" s="178"/>
      <c r="DL184" s="176"/>
      <c r="DM184" s="178"/>
      <c r="DN184" s="176"/>
      <c r="DO184" s="178"/>
      <c r="DQ184" s="32"/>
      <c r="DR184" s="34"/>
      <c r="DS184" s="32"/>
      <c r="DT184" s="33"/>
      <c r="DU184" s="34"/>
      <c r="DV184" s="34"/>
      <c r="DW184" s="32"/>
      <c r="DX184" s="33"/>
      <c r="DY184" s="34"/>
      <c r="DZ184" s="34"/>
      <c r="EA184" s="32"/>
      <c r="EB184" s="33"/>
      <c r="EC184" s="34"/>
      <c r="ED184" s="34"/>
      <c r="EE184" s="34"/>
      <c r="EF184" s="32"/>
      <c r="EG184" s="33"/>
      <c r="EH184" s="34"/>
      <c r="EI184" s="33"/>
    </row>
    <row r="185" spans="1:139" x14ac:dyDescent="0.25">
      <c r="A185" s="196"/>
      <c r="B185" s="189"/>
      <c r="C185" s="196"/>
      <c r="D185" s="202">
        <f>SUM(D178:D184)</f>
        <v>0</v>
      </c>
      <c r="E185" s="202">
        <f t="shared" ref="E185:G185" si="2850">SUM(E178:E184)</f>
        <v>0</v>
      </c>
      <c r="F185" s="202">
        <f t="shared" si="2850"/>
        <v>0</v>
      </c>
      <c r="G185" s="202">
        <f t="shared" si="2850"/>
        <v>0</v>
      </c>
      <c r="H185" s="202">
        <f t="shared" ref="H185" si="2851">SUM(H178:H184)</f>
        <v>0</v>
      </c>
      <c r="I185" s="202">
        <f t="shared" ref="I185" si="2852">SUM(I178:I184)</f>
        <v>0</v>
      </c>
      <c r="J185" s="202">
        <f t="shared" ref="J185" si="2853">SUM(J178:J184)</f>
        <v>0</v>
      </c>
      <c r="K185" s="202">
        <f t="shared" ref="K185" si="2854">SUM(K178:K184)</f>
        <v>0</v>
      </c>
      <c r="L185" s="202">
        <f t="shared" ref="L185" si="2855">SUM(L178:L184)</f>
        <v>0</v>
      </c>
      <c r="M185" s="202">
        <f t="shared" ref="M185" si="2856">SUM(M178:M184)</f>
        <v>0</v>
      </c>
      <c r="N185" s="202">
        <f t="shared" ref="N185" si="2857">SUM(N178:N184)</f>
        <v>0</v>
      </c>
      <c r="O185" s="202">
        <f t="shared" ref="O185" si="2858">SUM(O178:O184)</f>
        <v>0</v>
      </c>
      <c r="P185" s="202">
        <f t="shared" ref="P185" si="2859">SUM(P178:P184)</f>
        <v>0</v>
      </c>
      <c r="Q185" s="202">
        <f t="shared" ref="Q185" si="2860">SUM(Q178:Q184)</f>
        <v>0</v>
      </c>
      <c r="R185" s="202">
        <f t="shared" ref="R185" si="2861">SUM(R178:R184)</f>
        <v>0</v>
      </c>
      <c r="S185" s="202">
        <f t="shared" ref="S185" si="2862">SUM(S178:S184)</f>
        <v>0</v>
      </c>
      <c r="T185" s="202">
        <f t="shared" ref="T185" si="2863">SUM(T178:T184)</f>
        <v>0</v>
      </c>
      <c r="U185" s="202">
        <f t="shared" ref="U185" si="2864">SUM(U178:U184)</f>
        <v>0</v>
      </c>
      <c r="V185" s="202">
        <f t="shared" ref="V185" si="2865">SUM(V178:V184)</f>
        <v>0</v>
      </c>
      <c r="W185" s="202">
        <f t="shared" ref="W185" si="2866">SUM(W178:W184)</f>
        <v>0</v>
      </c>
      <c r="X185" s="202">
        <f t="shared" ref="X185" si="2867">SUM(X178:X184)</f>
        <v>0</v>
      </c>
      <c r="Y185" s="202">
        <f t="shared" ref="Y185" si="2868">SUM(Y178:Y184)</f>
        <v>0</v>
      </c>
      <c r="Z185" s="202">
        <f t="shared" ref="Z185" si="2869">SUM(Z178:Z184)</f>
        <v>0</v>
      </c>
      <c r="AA185" s="202">
        <f t="shared" ref="AA185" si="2870">SUM(AA178:AA184)</f>
        <v>0</v>
      </c>
      <c r="AB185" s="202">
        <f t="shared" ref="AB185" si="2871">SUM(AB178:AB184)</f>
        <v>0</v>
      </c>
      <c r="AC185" s="202">
        <f t="shared" ref="AC185" si="2872">SUM(AC178:AC184)</f>
        <v>0</v>
      </c>
      <c r="AD185" s="202">
        <f t="shared" ref="AD185" si="2873">SUM(AD178:AD184)</f>
        <v>0</v>
      </c>
      <c r="AE185" s="202">
        <f t="shared" ref="AE185" si="2874">SUM(AE178:AE184)</f>
        <v>0</v>
      </c>
      <c r="AF185" s="202">
        <f t="shared" ref="AF185" si="2875">SUM(AF178:AF184)</f>
        <v>0</v>
      </c>
      <c r="AG185" s="202">
        <f t="shared" ref="AG185" si="2876">SUM(AG178:AG184)</f>
        <v>0</v>
      </c>
      <c r="AH185" s="202">
        <f t="shared" ref="AH185" si="2877">SUM(AH178:AH184)</f>
        <v>0</v>
      </c>
      <c r="AI185" s="357"/>
      <c r="AJ185" s="12"/>
      <c r="AK185" s="5"/>
      <c r="AL185" s="9"/>
      <c r="AM185" s="358"/>
      <c r="AN185" s="5"/>
      <c r="AO185" s="13"/>
      <c r="AQ185" s="203">
        <f t="shared" ref="AQ185:AR185" si="2878">SUM(AQ149:AQ183)</f>
        <v>0</v>
      </c>
      <c r="AR185" s="203">
        <f t="shared" si="2878"/>
        <v>0</v>
      </c>
      <c r="AS185" s="191"/>
      <c r="AT185" s="192"/>
      <c r="AU185" s="193"/>
      <c r="AV185" s="194" t="e">
        <f>AVERAGE(AV178:AV182)*2+AVERAGE(AV183:AV184)*1</f>
        <v>#DIV/0!</v>
      </c>
      <c r="AW185" s="131"/>
      <c r="AY185" s="212"/>
      <c r="AZ185" s="213"/>
      <c r="BA185" s="214"/>
      <c r="BB185" s="214"/>
      <c r="BC185" s="212"/>
      <c r="BD185" s="213"/>
      <c r="BE185" s="212"/>
      <c r="BF185" s="213"/>
      <c r="BG185" s="214"/>
      <c r="BH185" s="214"/>
      <c r="BI185" s="214"/>
      <c r="BJ185" s="213"/>
      <c r="BK185" s="156"/>
      <c r="BL185" s="156"/>
      <c r="BM185" s="156"/>
      <c r="BN185" s="156"/>
      <c r="BO185" s="50"/>
      <c r="BP185" s="203" t="e">
        <f t="shared" ref="BP185:CE185" si="2879">SUM(BP149:BP183)</f>
        <v>#DIV/0!</v>
      </c>
      <c r="BQ185" s="203" t="e">
        <f t="shared" si="2879"/>
        <v>#DIV/0!</v>
      </c>
      <c r="BR185" s="203" t="e">
        <f t="shared" si="2879"/>
        <v>#DIV/0!</v>
      </c>
      <c r="BS185" s="203" t="e">
        <f t="shared" si="2879"/>
        <v>#DIV/0!</v>
      </c>
      <c r="BT185" s="203" t="e">
        <f t="shared" si="2879"/>
        <v>#DIV/0!</v>
      </c>
      <c r="BU185" s="203" t="e">
        <f t="shared" si="2879"/>
        <v>#DIV/0!</v>
      </c>
      <c r="BV185" s="203" t="e">
        <f t="shared" si="2879"/>
        <v>#DIV/0!</v>
      </c>
      <c r="BW185" s="203" t="e">
        <f t="shared" si="2879"/>
        <v>#DIV/0!</v>
      </c>
      <c r="BX185" s="203" t="e">
        <f t="shared" si="2879"/>
        <v>#DIV/0!</v>
      </c>
      <c r="BY185" s="203" t="e">
        <f t="shared" si="2879"/>
        <v>#DIV/0!</v>
      </c>
      <c r="BZ185" s="203" t="e">
        <f t="shared" si="2879"/>
        <v>#DIV/0!</v>
      </c>
      <c r="CA185" s="203" t="e">
        <f t="shared" si="2879"/>
        <v>#DIV/0!</v>
      </c>
      <c r="CB185" s="203" t="e">
        <f t="shared" si="2879"/>
        <v>#DIV/0!</v>
      </c>
      <c r="CC185" s="203" t="e">
        <f t="shared" si="2879"/>
        <v>#DIV/0!</v>
      </c>
      <c r="CD185" s="203" t="e">
        <f t="shared" si="2879"/>
        <v>#DIV/0!</v>
      </c>
      <c r="CE185" s="203" t="e">
        <f t="shared" si="2879"/>
        <v>#DIV/0!</v>
      </c>
      <c r="CG185" s="203" t="e">
        <f t="shared" ref="CG185:CV185" si="2880">SUM(CG149:CG183)</f>
        <v>#DIV/0!</v>
      </c>
      <c r="CH185" s="203" t="e">
        <f t="shared" si="2880"/>
        <v>#DIV/0!</v>
      </c>
      <c r="CI185" s="203" t="e">
        <f t="shared" si="2880"/>
        <v>#DIV/0!</v>
      </c>
      <c r="CJ185" s="203" t="e">
        <f t="shared" si="2880"/>
        <v>#DIV/0!</v>
      </c>
      <c r="CK185" s="203" t="e">
        <f t="shared" si="2880"/>
        <v>#DIV/0!</v>
      </c>
      <c r="CL185" s="203" t="e">
        <f t="shared" si="2880"/>
        <v>#DIV/0!</v>
      </c>
      <c r="CM185" s="203" t="e">
        <f t="shared" si="2880"/>
        <v>#DIV/0!</v>
      </c>
      <c r="CN185" s="203" t="e">
        <f t="shared" si="2880"/>
        <v>#DIV/0!</v>
      </c>
      <c r="CO185" s="203" t="e">
        <f t="shared" si="2880"/>
        <v>#DIV/0!</v>
      </c>
      <c r="CP185" s="203" t="e">
        <f t="shared" si="2880"/>
        <v>#DIV/0!</v>
      </c>
      <c r="CQ185" s="203" t="e">
        <f t="shared" si="2880"/>
        <v>#DIV/0!</v>
      </c>
      <c r="CR185" s="203" t="e">
        <f t="shared" si="2880"/>
        <v>#DIV/0!</v>
      </c>
      <c r="CS185" s="203" t="e">
        <f t="shared" si="2880"/>
        <v>#DIV/0!</v>
      </c>
      <c r="CT185" s="203" t="e">
        <f t="shared" si="2880"/>
        <v>#DIV/0!</v>
      </c>
      <c r="CU185" s="203" t="e">
        <f t="shared" si="2880"/>
        <v>#DIV/0!</v>
      </c>
      <c r="CV185" s="203" t="e">
        <f t="shared" si="2880"/>
        <v>#DIV/0!</v>
      </c>
      <c r="CX185" s="222"/>
      <c r="CZ185" s="528" t="e">
        <f t="shared" ref="CZ185:DO185" si="2881">SUM(CZ146:CZ183)</f>
        <v>#DIV/0!</v>
      </c>
      <c r="DA185" s="528" t="e">
        <f t="shared" si="2881"/>
        <v>#DIV/0!</v>
      </c>
      <c r="DB185" s="528" t="e">
        <f t="shared" si="2881"/>
        <v>#DIV/0!</v>
      </c>
      <c r="DC185" s="528" t="e">
        <f t="shared" si="2881"/>
        <v>#DIV/0!</v>
      </c>
      <c r="DD185" s="528" t="e">
        <f t="shared" si="2881"/>
        <v>#DIV/0!</v>
      </c>
      <c r="DE185" s="528" t="e">
        <f t="shared" si="2881"/>
        <v>#DIV/0!</v>
      </c>
      <c r="DF185" s="528" t="e">
        <f t="shared" si="2881"/>
        <v>#DIV/0!</v>
      </c>
      <c r="DG185" s="528" t="e">
        <f t="shared" si="2881"/>
        <v>#DIV/0!</v>
      </c>
      <c r="DH185" s="528" t="e">
        <f t="shared" si="2881"/>
        <v>#DIV/0!</v>
      </c>
      <c r="DI185" s="528" t="e">
        <f t="shared" si="2881"/>
        <v>#DIV/0!</v>
      </c>
      <c r="DJ185" s="528" t="e">
        <f t="shared" si="2881"/>
        <v>#DIV/0!</v>
      </c>
      <c r="DK185" s="528" t="e">
        <f t="shared" si="2881"/>
        <v>#DIV/0!</v>
      </c>
      <c r="DL185" s="528" t="e">
        <f t="shared" si="2881"/>
        <v>#DIV/0!</v>
      </c>
      <c r="DM185" s="528" t="e">
        <f t="shared" si="2881"/>
        <v>#DIV/0!</v>
      </c>
      <c r="DN185" s="528" t="e">
        <f t="shared" si="2881"/>
        <v>#DIV/0!</v>
      </c>
      <c r="DO185" s="528" t="e">
        <f t="shared" si="2881"/>
        <v>#DIV/0!</v>
      </c>
      <c r="DQ185" s="528">
        <f t="shared" ref="DQ185:EI185" si="2882">SUM(DQ146:DQ183)</f>
        <v>0</v>
      </c>
      <c r="DR185" s="528">
        <f t="shared" si="2882"/>
        <v>0</v>
      </c>
      <c r="DS185" s="528">
        <f t="shared" si="2882"/>
        <v>0</v>
      </c>
      <c r="DT185" s="528">
        <f t="shared" si="2882"/>
        <v>0</v>
      </c>
      <c r="DU185" s="528">
        <f t="shared" si="2882"/>
        <v>0</v>
      </c>
      <c r="DV185" s="528">
        <f t="shared" si="2882"/>
        <v>0</v>
      </c>
      <c r="DW185" s="528">
        <f t="shared" si="2882"/>
        <v>0</v>
      </c>
      <c r="DX185" s="528">
        <f t="shared" si="2882"/>
        <v>0</v>
      </c>
      <c r="DY185" s="528">
        <f t="shared" si="2882"/>
        <v>0</v>
      </c>
      <c r="DZ185" s="528">
        <f t="shared" si="2882"/>
        <v>0</v>
      </c>
      <c r="EA185" s="528">
        <f t="shared" si="2882"/>
        <v>0</v>
      </c>
      <c r="EB185" s="528">
        <f t="shared" si="2882"/>
        <v>0</v>
      </c>
      <c r="EC185" s="528">
        <f t="shared" si="2882"/>
        <v>0</v>
      </c>
      <c r="ED185" s="528">
        <f t="shared" si="2882"/>
        <v>0</v>
      </c>
      <c r="EE185" s="528">
        <f t="shared" si="2882"/>
        <v>0</v>
      </c>
      <c r="EF185" s="528">
        <f t="shared" si="2882"/>
        <v>0</v>
      </c>
      <c r="EG185" s="528">
        <f t="shared" si="2882"/>
        <v>0</v>
      </c>
      <c r="EH185" s="528">
        <f t="shared" si="2882"/>
        <v>0</v>
      </c>
      <c r="EI185" s="528">
        <f t="shared" si="2882"/>
        <v>0</v>
      </c>
    </row>
    <row r="186" spans="1:139" x14ac:dyDescent="0.25">
      <c r="AJ186" s="12"/>
      <c r="AK186" s="5"/>
      <c r="AL186" s="9"/>
      <c r="AM186" s="358"/>
      <c r="AN186" s="5"/>
      <c r="AO186" s="13"/>
    </row>
  </sheetData>
  <mergeCells count="78">
    <mergeCell ref="DN10:DO10"/>
    <mergeCell ref="DL9:DO9"/>
    <mergeCell ref="CS10:CT10"/>
    <mergeCell ref="DL10:DM10"/>
    <mergeCell ref="DJ10:DK10"/>
    <mergeCell ref="CZ10:DA10"/>
    <mergeCell ref="DB10:DC10"/>
    <mergeCell ref="DD10:DE10"/>
    <mergeCell ref="DF10:DG10"/>
    <mergeCell ref="DJ9:DK9"/>
    <mergeCell ref="DH10:DI10"/>
    <mergeCell ref="DH9:DI9"/>
    <mergeCell ref="CU10:CV10"/>
    <mergeCell ref="CS9:CV9"/>
    <mergeCell ref="EH10:EI10"/>
    <mergeCell ref="EA10:EB10"/>
    <mergeCell ref="EC10:EE10"/>
    <mergeCell ref="EF10:EG10"/>
    <mergeCell ref="DQ10:DR10"/>
    <mergeCell ref="DS10:DT10"/>
    <mergeCell ref="DU10:DV10"/>
    <mergeCell ref="DW10:DX10"/>
    <mergeCell ref="DY10:DZ10"/>
    <mergeCell ref="S8:Z8"/>
    <mergeCell ref="BG9:BJ9"/>
    <mergeCell ref="BP10:BQ10"/>
    <mergeCell ref="S10:U10"/>
    <mergeCell ref="V10:X10"/>
    <mergeCell ref="BE10:BF10"/>
    <mergeCell ref="BI10:BJ10"/>
    <mergeCell ref="BG10:BH10"/>
    <mergeCell ref="Y9:Z9"/>
    <mergeCell ref="BK9:BN9"/>
    <mergeCell ref="S9:X9"/>
    <mergeCell ref="AA8:AH8"/>
    <mergeCell ref="AA9:AF9"/>
    <mergeCell ref="AG9:AH9"/>
    <mergeCell ref="A10:A11"/>
    <mergeCell ref="AY10:AZ10"/>
    <mergeCell ref="BA10:BB10"/>
    <mergeCell ref="BC10:BD10"/>
    <mergeCell ref="H10:J10"/>
    <mergeCell ref="K10:L10"/>
    <mergeCell ref="M10:N10"/>
    <mergeCell ref="Q10:R10"/>
    <mergeCell ref="Y10:Z10"/>
    <mergeCell ref="O10:P10"/>
    <mergeCell ref="B10:B11"/>
    <mergeCell ref="F10:G10"/>
    <mergeCell ref="D10:E10"/>
    <mergeCell ref="AA10:AC10"/>
    <mergeCell ref="AD10:AF10"/>
    <mergeCell ref="AG10:AH10"/>
    <mergeCell ref="BR10:BS10"/>
    <mergeCell ref="BT10:BU10"/>
    <mergeCell ref="H9:R9"/>
    <mergeCell ref="CI9:CJ9"/>
    <mergeCell ref="CK9:CL9"/>
    <mergeCell ref="AJ9:AO9"/>
    <mergeCell ref="AJ10:AK10"/>
    <mergeCell ref="AL10:AM10"/>
    <mergeCell ref="AN10:AO10"/>
    <mergeCell ref="CB9:CE9"/>
    <mergeCell ref="CD10:CE10"/>
    <mergeCell ref="BK10:BL10"/>
    <mergeCell ref="BM10:BN10"/>
    <mergeCell ref="CQ9:CR9"/>
    <mergeCell ref="CG9:CH9"/>
    <mergeCell ref="BV10:BW10"/>
    <mergeCell ref="BZ10:CA10"/>
    <mergeCell ref="BX10:BY10"/>
    <mergeCell ref="BX9:BY9"/>
    <mergeCell ref="BZ9:CA9"/>
    <mergeCell ref="CM9:CN9"/>
    <mergeCell ref="CB10:CC10"/>
    <mergeCell ref="CO9:CP9"/>
    <mergeCell ref="CO10:CP10"/>
    <mergeCell ref="CQ10:CR10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AT194"/>
  <sheetViews>
    <sheetView zoomScale="75" zoomScaleNormal="75" workbookViewId="0">
      <pane ySplit="5" topLeftCell="A6" activePane="bottomLeft" state="frozen"/>
      <selection pane="bottomLeft" activeCell="C19" sqref="C19"/>
    </sheetView>
  </sheetViews>
  <sheetFormatPr defaultRowHeight="12.75" x14ac:dyDescent="0.2"/>
  <cols>
    <col min="1" max="1" width="12" customWidth="1"/>
    <col min="2" max="2" width="10.6640625" customWidth="1"/>
    <col min="3" max="3" width="20.1640625" customWidth="1"/>
    <col min="4" max="4" width="20.5" style="492" customWidth="1"/>
  </cols>
  <sheetData>
    <row r="2" spans="1:46" ht="15.75" x14ac:dyDescent="0.25">
      <c r="A2" s="24" t="s">
        <v>211</v>
      </c>
      <c r="B2" s="24"/>
      <c r="C2" s="27"/>
      <c r="D2" s="33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</row>
    <row r="3" spans="1:46" ht="16.5" thickBot="1" x14ac:dyDescent="0.3">
      <c r="A3" s="27"/>
      <c r="B3" s="27"/>
      <c r="C3" s="27"/>
      <c r="D3" s="33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657" t="s">
        <v>103</v>
      </c>
      <c r="AC3" s="657"/>
      <c r="AD3" s="657"/>
    </row>
    <row r="4" spans="1:46" ht="16.5" thickBot="1" x14ac:dyDescent="0.3">
      <c r="A4" s="102"/>
      <c r="B4" s="452"/>
      <c r="C4" s="452"/>
      <c r="D4" s="453"/>
      <c r="E4" s="454"/>
      <c r="F4" s="455"/>
      <c r="G4" s="455"/>
      <c r="H4" s="243" t="s">
        <v>6</v>
      </c>
      <c r="I4" s="715" t="s">
        <v>103</v>
      </c>
      <c r="J4" s="716"/>
      <c r="K4" s="716"/>
      <c r="L4" s="714"/>
    </row>
    <row r="5" spans="1:46" ht="16.5" thickBot="1" x14ac:dyDescent="0.3">
      <c r="A5" s="456"/>
      <c r="B5" s="143"/>
      <c r="C5" s="143"/>
      <c r="D5" s="457"/>
      <c r="E5" s="458" t="s">
        <v>213</v>
      </c>
      <c r="F5" s="459" t="s">
        <v>93</v>
      </c>
      <c r="G5" s="459" t="s">
        <v>222</v>
      </c>
      <c r="H5" s="109" t="s">
        <v>143</v>
      </c>
      <c r="I5" s="717" t="s">
        <v>107</v>
      </c>
      <c r="J5" s="718"/>
      <c r="K5" s="719" t="s">
        <v>194</v>
      </c>
      <c r="L5" s="720"/>
      <c r="M5" s="716" t="s">
        <v>167</v>
      </c>
      <c r="N5" s="721"/>
      <c r="O5" s="716" t="s">
        <v>130</v>
      </c>
      <c r="P5" s="721"/>
      <c r="Q5" s="722" t="s">
        <v>148</v>
      </c>
      <c r="R5" s="721"/>
      <c r="S5" s="722" t="s">
        <v>135</v>
      </c>
      <c r="T5" s="721"/>
      <c r="U5" s="722" t="s">
        <v>223</v>
      </c>
      <c r="V5" s="721"/>
      <c r="W5" s="634" t="s">
        <v>129</v>
      </c>
      <c r="X5" s="637"/>
      <c r="Y5" s="637"/>
      <c r="Z5" s="638"/>
      <c r="AA5" s="634" t="s">
        <v>133</v>
      </c>
      <c r="AB5" s="714"/>
      <c r="AC5" s="634" t="s">
        <v>224</v>
      </c>
      <c r="AD5" s="714"/>
      <c r="AE5" s="634" t="s">
        <v>146</v>
      </c>
      <c r="AF5" s="714"/>
      <c r="AG5" s="634" t="s">
        <v>225</v>
      </c>
      <c r="AH5" s="714"/>
      <c r="AI5" s="634" t="s">
        <v>109</v>
      </c>
      <c r="AJ5" s="714"/>
      <c r="AK5" s="634" t="s">
        <v>226</v>
      </c>
      <c r="AL5" s="714"/>
      <c r="AM5" s="634" t="s">
        <v>227</v>
      </c>
      <c r="AN5" s="714"/>
      <c r="AO5" s="634" t="s">
        <v>228</v>
      </c>
      <c r="AP5" s="714"/>
      <c r="AQ5" s="634" t="s">
        <v>201</v>
      </c>
      <c r="AR5" s="714"/>
      <c r="AS5" s="634" t="s">
        <v>189</v>
      </c>
      <c r="AT5" s="714"/>
    </row>
    <row r="6" spans="1:46" ht="15.75" x14ac:dyDescent="0.25">
      <c r="A6" s="460" t="s">
        <v>2</v>
      </c>
      <c r="B6" s="461" t="s">
        <v>89</v>
      </c>
      <c r="C6" s="461" t="s">
        <v>229</v>
      </c>
      <c r="D6" s="490" t="s">
        <v>212</v>
      </c>
      <c r="E6" s="462" t="s">
        <v>230</v>
      </c>
      <c r="F6" s="459" t="s">
        <v>151</v>
      </c>
      <c r="G6" s="459" t="s">
        <v>117</v>
      </c>
      <c r="H6" s="109" t="s">
        <v>140</v>
      </c>
      <c r="I6" s="463" t="s">
        <v>231</v>
      </c>
      <c r="J6" s="464" t="s">
        <v>96</v>
      </c>
      <c r="K6" s="464" t="s">
        <v>231</v>
      </c>
      <c r="L6" s="465" t="s">
        <v>96</v>
      </c>
      <c r="M6" s="466" t="s">
        <v>112</v>
      </c>
      <c r="N6" s="464" t="s">
        <v>107</v>
      </c>
      <c r="O6" s="466" t="s">
        <v>112</v>
      </c>
      <c r="P6" s="464" t="s">
        <v>107</v>
      </c>
      <c r="Q6" s="466" t="s">
        <v>112</v>
      </c>
      <c r="R6" s="464" t="s">
        <v>107</v>
      </c>
      <c r="S6" s="466" t="s">
        <v>112</v>
      </c>
      <c r="T6" s="464" t="s">
        <v>107</v>
      </c>
      <c r="U6" s="466" t="s">
        <v>112</v>
      </c>
      <c r="V6" s="464" t="s">
        <v>107</v>
      </c>
      <c r="W6" s="467" t="s">
        <v>216</v>
      </c>
      <c r="X6" s="468" t="s">
        <v>217</v>
      </c>
      <c r="Y6" s="467" t="s">
        <v>218</v>
      </c>
      <c r="Z6" s="469" t="s">
        <v>104</v>
      </c>
      <c r="AA6" s="466" t="s">
        <v>112</v>
      </c>
      <c r="AB6" s="464" t="s">
        <v>107</v>
      </c>
      <c r="AC6" s="466" t="s">
        <v>112</v>
      </c>
      <c r="AD6" s="464" t="s">
        <v>107</v>
      </c>
      <c r="AE6" s="466" t="s">
        <v>112</v>
      </c>
      <c r="AF6" s="464" t="s">
        <v>107</v>
      </c>
      <c r="AG6" s="466" t="s">
        <v>112</v>
      </c>
      <c r="AH6" s="464" t="s">
        <v>107</v>
      </c>
      <c r="AI6" s="466" t="s">
        <v>112</v>
      </c>
      <c r="AJ6" s="464" t="s">
        <v>107</v>
      </c>
      <c r="AK6" s="466" t="s">
        <v>112</v>
      </c>
      <c r="AL6" s="464" t="s">
        <v>107</v>
      </c>
      <c r="AM6" s="466" t="s">
        <v>112</v>
      </c>
      <c r="AN6" s="464" t="s">
        <v>107</v>
      </c>
      <c r="AO6" s="466" t="s">
        <v>112</v>
      </c>
      <c r="AP6" s="464" t="s">
        <v>107</v>
      </c>
      <c r="AQ6" s="466" t="s">
        <v>112</v>
      </c>
      <c r="AR6" s="464" t="s">
        <v>107</v>
      </c>
      <c r="AS6" s="466" t="s">
        <v>112</v>
      </c>
      <c r="AT6" s="464" t="s">
        <v>107</v>
      </c>
    </row>
    <row r="7" spans="1:46" ht="15.75" x14ac:dyDescent="0.25">
      <c r="A7" s="470"/>
      <c r="B7" s="471" t="s">
        <v>14</v>
      </c>
      <c r="C7" s="471" t="s">
        <v>237</v>
      </c>
      <c r="D7" s="472" t="s">
        <v>43</v>
      </c>
      <c r="E7" s="473" t="s">
        <v>238</v>
      </c>
      <c r="F7" s="56"/>
      <c r="G7" s="56"/>
      <c r="H7" s="474"/>
      <c r="I7" s="475"/>
      <c r="J7" s="475"/>
      <c r="K7" s="475"/>
      <c r="L7" s="475"/>
      <c r="M7" s="476"/>
      <c r="N7" s="477"/>
      <c r="O7" s="476"/>
      <c r="P7" s="477"/>
      <c r="Q7" s="476"/>
      <c r="R7" s="477"/>
      <c r="S7" s="476"/>
      <c r="T7" s="477"/>
      <c r="U7" s="476"/>
      <c r="V7" s="477"/>
      <c r="W7" s="475"/>
      <c r="X7" s="475"/>
      <c r="Y7" s="475"/>
      <c r="Z7" s="475"/>
      <c r="AA7" s="476"/>
      <c r="AB7" s="477"/>
      <c r="AC7" s="476"/>
      <c r="AD7" s="477"/>
      <c r="AE7" s="476"/>
      <c r="AF7" s="477"/>
    </row>
    <row r="8" spans="1:46" ht="15.75" x14ac:dyDescent="0.25">
      <c r="A8" s="470"/>
      <c r="B8" s="471" t="s">
        <v>14</v>
      </c>
      <c r="C8" s="471" t="s">
        <v>237</v>
      </c>
      <c r="D8" s="472" t="s">
        <v>43</v>
      </c>
      <c r="E8" s="481">
        <v>3</v>
      </c>
      <c r="F8" s="150"/>
      <c r="G8" s="150"/>
      <c r="H8" s="482"/>
      <c r="M8" s="483"/>
      <c r="N8" s="484"/>
      <c r="O8" s="483"/>
      <c r="P8" s="484"/>
      <c r="Q8" s="483"/>
      <c r="R8" s="484"/>
      <c r="S8" s="483"/>
      <c r="T8" s="484"/>
      <c r="U8" s="483"/>
      <c r="V8" s="484"/>
      <c r="W8">
        <v>2</v>
      </c>
      <c r="X8">
        <v>1</v>
      </c>
      <c r="AA8" s="483"/>
      <c r="AB8" s="484"/>
      <c r="AC8" s="483"/>
      <c r="AD8" s="484"/>
      <c r="AE8" s="483"/>
      <c r="AF8" s="484"/>
    </row>
    <row r="9" spans="1:46" ht="15.75" x14ac:dyDescent="0.25">
      <c r="A9" s="478"/>
      <c r="B9" s="479" t="s">
        <v>14</v>
      </c>
      <c r="C9" s="479" t="s">
        <v>237</v>
      </c>
      <c r="D9" s="480" t="s">
        <v>43</v>
      </c>
      <c r="E9" s="481" t="s">
        <v>238</v>
      </c>
      <c r="F9" s="150"/>
      <c r="G9" s="150"/>
      <c r="H9" s="482"/>
      <c r="M9" s="483"/>
      <c r="N9" s="484"/>
      <c r="O9" s="483"/>
      <c r="P9" s="484"/>
      <c r="Q9" s="483"/>
      <c r="R9" s="484"/>
      <c r="S9" s="483"/>
      <c r="T9" s="484"/>
      <c r="U9" s="483"/>
      <c r="V9" s="484"/>
      <c r="AA9" s="483"/>
      <c r="AB9" s="484"/>
      <c r="AC9" s="483"/>
      <c r="AD9" s="484"/>
      <c r="AE9" s="483"/>
      <c r="AF9" s="484"/>
    </row>
    <row r="10" spans="1:46" ht="15.75" x14ac:dyDescent="0.25">
      <c r="A10" s="478"/>
      <c r="B10" s="479"/>
      <c r="C10" s="479" t="s">
        <v>237</v>
      </c>
      <c r="D10" s="480" t="s">
        <v>43</v>
      </c>
      <c r="E10" s="481" t="s">
        <v>238</v>
      </c>
      <c r="F10" s="150"/>
      <c r="G10" s="150"/>
      <c r="H10" s="482"/>
      <c r="M10" s="483"/>
      <c r="N10" s="484"/>
      <c r="O10" s="483"/>
      <c r="P10" s="484"/>
      <c r="Q10" s="483"/>
      <c r="R10" s="484"/>
      <c r="S10" s="483"/>
      <c r="T10" s="484"/>
      <c r="U10" s="483"/>
      <c r="V10" s="484"/>
      <c r="AA10" s="483"/>
      <c r="AB10" s="484"/>
      <c r="AC10" s="483"/>
      <c r="AD10" s="484"/>
      <c r="AE10" s="483"/>
      <c r="AF10" s="484"/>
    </row>
    <row r="11" spans="1:46" ht="15.75" x14ac:dyDescent="0.25">
      <c r="A11" s="478"/>
      <c r="B11" s="479"/>
      <c r="C11" s="479" t="s">
        <v>239</v>
      </c>
      <c r="D11" s="480" t="s">
        <v>158</v>
      </c>
      <c r="E11" s="481" t="s">
        <v>238</v>
      </c>
      <c r="F11" s="150"/>
      <c r="G11" s="150"/>
      <c r="H11" s="482"/>
      <c r="M11" s="483"/>
      <c r="N11" s="484"/>
      <c r="O11" s="483"/>
      <c r="P11" s="484"/>
      <c r="Q11" s="483"/>
      <c r="R11" s="484"/>
      <c r="S11" s="483"/>
      <c r="T11" s="484"/>
      <c r="U11" s="483"/>
      <c r="V11" s="484"/>
      <c r="AA11" s="483"/>
      <c r="AB11" s="484"/>
      <c r="AC11" s="483"/>
      <c r="AD11" s="484"/>
      <c r="AE11" s="483"/>
      <c r="AF11" s="484"/>
    </row>
    <row r="12" spans="1:46" ht="15.75" x14ac:dyDescent="0.25">
      <c r="A12" s="478"/>
      <c r="B12" s="479"/>
      <c r="C12" s="479" t="s">
        <v>240</v>
      </c>
      <c r="D12" s="480" t="s">
        <v>43</v>
      </c>
      <c r="E12" s="481" t="s">
        <v>238</v>
      </c>
      <c r="F12" s="150"/>
      <c r="G12" s="150"/>
      <c r="H12" s="482"/>
      <c r="M12" s="483"/>
      <c r="N12" s="484"/>
      <c r="O12" s="483"/>
      <c r="P12" s="484"/>
      <c r="Q12" s="483"/>
      <c r="R12" s="484"/>
      <c r="S12" s="483"/>
      <c r="T12" s="484"/>
      <c r="U12" s="483"/>
      <c r="V12" s="484"/>
      <c r="AA12" s="483"/>
      <c r="AB12" s="484"/>
      <c r="AC12" s="483"/>
      <c r="AD12" s="484"/>
      <c r="AE12" s="483"/>
      <c r="AF12" s="484"/>
    </row>
    <row r="13" spans="1:46" ht="15.75" x14ac:dyDescent="0.25">
      <c r="A13" s="478"/>
      <c r="B13" s="479" t="s">
        <v>7</v>
      </c>
      <c r="C13" s="479" t="s">
        <v>241</v>
      </c>
      <c r="D13" s="480" t="s">
        <v>43</v>
      </c>
      <c r="E13" s="481" t="s">
        <v>238</v>
      </c>
      <c r="F13" s="150"/>
      <c r="G13" s="150"/>
      <c r="H13" s="482"/>
      <c r="M13" s="483"/>
      <c r="N13" s="484"/>
      <c r="O13" s="483"/>
      <c r="P13" s="484"/>
      <c r="Q13" s="483"/>
      <c r="R13" s="484"/>
      <c r="S13" s="483"/>
      <c r="T13" s="484"/>
      <c r="U13" s="483"/>
      <c r="V13" s="484"/>
      <c r="AA13" s="483"/>
      <c r="AB13" s="484"/>
      <c r="AC13" s="483"/>
      <c r="AD13" s="484"/>
      <c r="AE13" s="483"/>
      <c r="AF13" s="484"/>
    </row>
    <row r="14" spans="1:46" ht="15.75" x14ac:dyDescent="0.25">
      <c r="A14" s="478"/>
      <c r="B14" s="479" t="s">
        <v>94</v>
      </c>
      <c r="C14" s="479" t="s">
        <v>242</v>
      </c>
      <c r="D14" s="480" t="s">
        <v>43</v>
      </c>
      <c r="E14" s="481" t="s">
        <v>238</v>
      </c>
      <c r="F14" s="150"/>
      <c r="G14" s="150"/>
      <c r="H14" s="482"/>
      <c r="M14" s="483"/>
      <c r="N14" s="484"/>
      <c r="O14" s="483"/>
      <c r="P14" s="484"/>
      <c r="Q14" s="483"/>
      <c r="R14" s="484"/>
      <c r="S14" s="483"/>
      <c r="T14" s="484"/>
      <c r="U14" s="483"/>
      <c r="V14" s="484"/>
      <c r="AA14" s="483"/>
      <c r="AB14" s="484"/>
      <c r="AC14" s="483"/>
      <c r="AD14" s="484"/>
      <c r="AE14" s="483"/>
      <c r="AF14" s="484"/>
    </row>
    <row r="15" spans="1:46" ht="15.75" x14ac:dyDescent="0.25">
      <c r="A15" s="478"/>
      <c r="B15" s="479"/>
      <c r="C15" s="479"/>
      <c r="D15" s="480"/>
      <c r="E15" s="481"/>
      <c r="F15" s="150"/>
      <c r="G15" s="150"/>
      <c r="H15" s="482"/>
      <c r="M15" s="483"/>
      <c r="N15" s="484"/>
      <c r="O15" s="483"/>
      <c r="P15" s="484"/>
      <c r="Q15" s="483"/>
      <c r="R15" s="484"/>
      <c r="S15" s="483"/>
      <c r="T15" s="484"/>
      <c r="U15" s="483"/>
      <c r="V15" s="484"/>
      <c r="AA15" s="483"/>
      <c r="AB15" s="484"/>
      <c r="AC15" s="483"/>
      <c r="AD15" s="484"/>
      <c r="AE15" s="483"/>
      <c r="AF15" s="484"/>
    </row>
    <row r="16" spans="1:46" ht="15.75" x14ac:dyDescent="0.25">
      <c r="A16" s="478"/>
      <c r="B16" s="479"/>
      <c r="C16" s="479"/>
      <c r="D16" s="480"/>
      <c r="E16" s="481"/>
      <c r="F16" s="150"/>
      <c r="G16" s="150"/>
      <c r="H16" s="482"/>
      <c r="M16" s="483"/>
      <c r="N16" s="484"/>
      <c r="O16" s="483"/>
      <c r="P16" s="484"/>
      <c r="Q16" s="483"/>
      <c r="R16" s="484"/>
      <c r="S16" s="483"/>
      <c r="T16" s="484"/>
      <c r="U16" s="483"/>
      <c r="V16" s="484"/>
      <c r="AA16" s="483"/>
      <c r="AB16" s="484"/>
      <c r="AC16" s="483"/>
      <c r="AD16" s="484"/>
      <c r="AE16" s="483"/>
      <c r="AF16" s="484"/>
    </row>
    <row r="17" spans="1:32" ht="15.75" x14ac:dyDescent="0.25">
      <c r="A17" s="478"/>
      <c r="B17" s="479"/>
      <c r="C17" s="479"/>
      <c r="D17" s="480"/>
      <c r="E17" s="481"/>
      <c r="F17" s="150"/>
      <c r="G17" s="150"/>
      <c r="H17" s="482"/>
      <c r="M17" s="483"/>
      <c r="N17" s="484"/>
      <c r="O17" s="483"/>
      <c r="P17" s="484"/>
      <c r="Q17" s="483"/>
      <c r="R17" s="484"/>
      <c r="S17" s="483"/>
      <c r="T17" s="484"/>
      <c r="U17" s="483"/>
      <c r="V17" s="484"/>
      <c r="AA17" s="483"/>
      <c r="AB17" s="484"/>
      <c r="AC17" s="483"/>
      <c r="AD17" s="484"/>
      <c r="AE17" s="483"/>
      <c r="AF17" s="484"/>
    </row>
    <row r="18" spans="1:32" ht="15.75" x14ac:dyDescent="0.25">
      <c r="A18" s="478"/>
      <c r="B18" s="479"/>
      <c r="C18" s="479"/>
      <c r="D18" s="480"/>
      <c r="E18" s="481"/>
      <c r="F18" s="150"/>
      <c r="G18" s="150"/>
      <c r="H18" s="482"/>
      <c r="M18" s="483"/>
      <c r="N18" s="484"/>
      <c r="O18" s="483"/>
      <c r="P18" s="484"/>
      <c r="Q18" s="483"/>
      <c r="R18" s="484"/>
      <c r="S18" s="483"/>
      <c r="T18" s="484"/>
      <c r="U18" s="483"/>
      <c r="V18" s="484"/>
      <c r="AA18" s="483"/>
      <c r="AB18" s="484"/>
      <c r="AC18" s="483"/>
      <c r="AD18" s="484"/>
      <c r="AE18" s="483"/>
      <c r="AF18" s="484"/>
    </row>
    <row r="19" spans="1:32" ht="15.75" x14ac:dyDescent="0.25">
      <c r="A19" s="478"/>
      <c r="B19" s="479"/>
      <c r="C19" s="479"/>
      <c r="D19" s="480"/>
      <c r="E19" s="481"/>
      <c r="F19" s="150"/>
      <c r="G19" s="150"/>
      <c r="H19" s="482"/>
      <c r="M19" s="483"/>
      <c r="N19" s="484"/>
      <c r="O19" s="483"/>
      <c r="P19" s="484"/>
      <c r="Q19" s="483"/>
      <c r="R19" s="484"/>
      <c r="S19" s="483"/>
      <c r="T19" s="484"/>
      <c r="U19" s="483"/>
      <c r="V19" s="484"/>
      <c r="AA19" s="483"/>
      <c r="AB19" s="484"/>
      <c r="AC19" s="483"/>
      <c r="AD19" s="484"/>
      <c r="AE19" s="483"/>
      <c r="AF19" s="484"/>
    </row>
    <row r="20" spans="1:32" ht="15.75" x14ac:dyDescent="0.25">
      <c r="A20" s="478"/>
      <c r="B20" s="479"/>
      <c r="C20" s="479"/>
      <c r="D20" s="480"/>
      <c r="E20" s="481"/>
      <c r="F20" s="150"/>
      <c r="G20" s="150"/>
      <c r="H20" s="482"/>
      <c r="M20" s="483"/>
      <c r="N20" s="484"/>
      <c r="O20" s="483"/>
      <c r="P20" s="484"/>
      <c r="Q20" s="483"/>
      <c r="R20" s="484"/>
      <c r="S20" s="483"/>
      <c r="T20" s="484"/>
      <c r="U20" s="483"/>
      <c r="V20" s="484"/>
      <c r="AA20" s="483"/>
      <c r="AB20" s="484"/>
      <c r="AC20" s="483"/>
      <c r="AD20" s="484"/>
      <c r="AE20" s="483"/>
      <c r="AF20" s="484"/>
    </row>
    <row r="21" spans="1:32" ht="15.75" x14ac:dyDescent="0.25">
      <c r="A21" s="478"/>
      <c r="B21" s="479"/>
      <c r="C21" s="479"/>
      <c r="D21" s="480"/>
      <c r="E21" s="481"/>
      <c r="F21" s="150"/>
      <c r="G21" s="150"/>
      <c r="H21" s="482"/>
      <c r="M21" s="483"/>
      <c r="N21" s="484"/>
      <c r="O21" s="483"/>
      <c r="P21" s="484"/>
      <c r="Q21" s="483"/>
      <c r="R21" s="484"/>
      <c r="S21" s="483"/>
      <c r="T21" s="484"/>
      <c r="U21" s="483"/>
      <c r="V21" s="484"/>
      <c r="AA21" s="483"/>
      <c r="AB21" s="484"/>
      <c r="AC21" s="483"/>
      <c r="AD21" s="484"/>
      <c r="AE21" s="483"/>
      <c r="AF21" s="484"/>
    </row>
    <row r="22" spans="1:32" ht="15.75" x14ac:dyDescent="0.25">
      <c r="A22" s="478"/>
      <c r="B22" s="479"/>
      <c r="C22" s="479"/>
      <c r="D22" s="480"/>
      <c r="E22" s="481"/>
      <c r="F22" s="150"/>
      <c r="G22" s="150"/>
      <c r="H22" s="482"/>
      <c r="M22" s="483"/>
      <c r="N22" s="484"/>
      <c r="O22" s="483"/>
      <c r="P22" s="484"/>
      <c r="Q22" s="483"/>
      <c r="R22" s="484"/>
      <c r="S22" s="483"/>
      <c r="T22" s="484"/>
      <c r="U22" s="483"/>
      <c r="V22" s="484"/>
      <c r="AA22" s="483"/>
      <c r="AB22" s="484"/>
      <c r="AC22" s="483"/>
      <c r="AD22" s="484"/>
      <c r="AE22" s="483"/>
      <c r="AF22" s="484"/>
    </row>
    <row r="23" spans="1:32" ht="15.75" x14ac:dyDescent="0.25">
      <c r="A23" s="478"/>
      <c r="B23" s="479"/>
      <c r="C23" s="479"/>
      <c r="D23" s="480"/>
      <c r="E23" s="481"/>
      <c r="F23" s="150"/>
      <c r="G23" s="150"/>
      <c r="H23" s="482"/>
      <c r="M23" s="483"/>
      <c r="N23" s="484"/>
      <c r="O23" s="483"/>
      <c r="P23" s="484"/>
      <c r="Q23" s="483"/>
      <c r="R23" s="484"/>
      <c r="S23" s="483"/>
      <c r="T23" s="484"/>
      <c r="U23" s="483"/>
      <c r="V23" s="484"/>
      <c r="AA23" s="483"/>
      <c r="AB23" s="484"/>
      <c r="AC23" s="483"/>
      <c r="AD23" s="484"/>
      <c r="AE23" s="483"/>
      <c r="AF23" s="484"/>
    </row>
    <row r="24" spans="1:32" ht="15.75" x14ac:dyDescent="0.25">
      <c r="A24" s="478"/>
      <c r="B24" s="479"/>
      <c r="C24" s="479"/>
      <c r="D24" s="480"/>
      <c r="E24" s="481"/>
      <c r="F24" s="150"/>
      <c r="G24" s="150"/>
      <c r="H24" s="482"/>
      <c r="M24" s="483"/>
      <c r="N24" s="484"/>
      <c r="O24" s="483"/>
      <c r="P24" s="484"/>
      <c r="Q24" s="483"/>
      <c r="R24" s="484"/>
      <c r="S24" s="483"/>
      <c r="T24" s="484"/>
      <c r="U24" s="483"/>
      <c r="V24" s="484"/>
      <c r="AA24" s="483"/>
      <c r="AB24" s="484"/>
      <c r="AC24" s="483"/>
      <c r="AD24" s="484"/>
      <c r="AE24" s="483"/>
      <c r="AF24" s="484"/>
    </row>
    <row r="25" spans="1:32" ht="15.75" x14ac:dyDescent="0.25">
      <c r="A25" s="478"/>
      <c r="B25" s="479"/>
      <c r="C25" s="479"/>
      <c r="D25" s="480"/>
      <c r="E25" s="481"/>
      <c r="F25" s="150"/>
      <c r="G25" s="150"/>
      <c r="H25" s="482"/>
      <c r="M25" s="483"/>
      <c r="N25" s="484"/>
      <c r="O25" s="483"/>
      <c r="P25" s="484"/>
      <c r="Q25" s="483"/>
      <c r="R25" s="484"/>
      <c r="S25" s="483"/>
      <c r="T25" s="484"/>
      <c r="U25" s="483"/>
      <c r="V25" s="484"/>
      <c r="AA25" s="483"/>
      <c r="AB25" s="484"/>
      <c r="AC25" s="483"/>
      <c r="AD25" s="484"/>
      <c r="AE25" s="483"/>
      <c r="AF25" s="484"/>
    </row>
    <row r="26" spans="1:32" ht="15.75" x14ac:dyDescent="0.25">
      <c r="A26" s="478"/>
      <c r="B26" s="479"/>
      <c r="C26" s="479"/>
      <c r="D26" s="480"/>
      <c r="E26" s="481"/>
      <c r="F26" s="150"/>
      <c r="G26" s="150"/>
      <c r="H26" s="482"/>
      <c r="M26" s="483"/>
      <c r="N26" s="484"/>
      <c r="O26" s="483"/>
      <c r="P26" s="484"/>
      <c r="Q26" s="483"/>
      <c r="R26" s="484"/>
      <c r="S26" s="483"/>
      <c r="T26" s="484"/>
      <c r="U26" s="483"/>
      <c r="V26" s="484"/>
      <c r="AA26" s="483"/>
      <c r="AB26" s="484"/>
      <c r="AC26" s="483"/>
      <c r="AD26" s="484"/>
      <c r="AE26" s="483"/>
      <c r="AF26" s="484"/>
    </row>
    <row r="27" spans="1:32" ht="15.75" x14ac:dyDescent="0.25">
      <c r="A27" s="478"/>
      <c r="B27" s="479"/>
      <c r="C27" s="479"/>
      <c r="D27" s="480"/>
      <c r="E27" s="481"/>
      <c r="F27" s="150"/>
      <c r="G27" s="150"/>
      <c r="H27" s="482"/>
      <c r="M27" s="483"/>
      <c r="N27" s="484"/>
      <c r="O27" s="483"/>
      <c r="P27" s="484"/>
      <c r="Q27" s="483"/>
      <c r="R27" s="484"/>
      <c r="S27" s="483"/>
      <c r="T27" s="484"/>
      <c r="U27" s="483"/>
      <c r="V27" s="484"/>
      <c r="AA27" s="483"/>
      <c r="AB27" s="484"/>
      <c r="AC27" s="483"/>
      <c r="AD27" s="484"/>
      <c r="AE27" s="483"/>
      <c r="AF27" s="484"/>
    </row>
    <row r="28" spans="1:32" ht="15.75" x14ac:dyDescent="0.25">
      <c r="A28" s="478"/>
      <c r="B28" s="479"/>
      <c r="C28" s="479"/>
      <c r="D28" s="480"/>
      <c r="E28" s="481"/>
      <c r="F28" s="150"/>
      <c r="G28" s="150"/>
      <c r="H28" s="482"/>
      <c r="M28" s="483"/>
      <c r="N28" s="484"/>
      <c r="O28" s="483"/>
      <c r="P28" s="484"/>
      <c r="Q28" s="483"/>
      <c r="R28" s="484"/>
      <c r="S28" s="483"/>
      <c r="T28" s="484"/>
      <c r="U28" s="483"/>
      <c r="V28" s="484"/>
      <c r="AA28" s="483"/>
      <c r="AB28" s="484"/>
      <c r="AC28" s="483"/>
      <c r="AD28" s="484"/>
      <c r="AE28" s="483"/>
      <c r="AF28" s="484"/>
    </row>
    <row r="29" spans="1:32" ht="15.75" x14ac:dyDescent="0.25">
      <c r="A29" s="478"/>
      <c r="B29" s="479"/>
      <c r="C29" s="479"/>
      <c r="D29" s="480"/>
      <c r="E29" s="481"/>
      <c r="F29" s="150"/>
      <c r="G29" s="150"/>
      <c r="H29" s="482"/>
      <c r="M29" s="483"/>
      <c r="N29" s="484"/>
      <c r="O29" s="483"/>
      <c r="P29" s="484"/>
      <c r="Q29" s="483"/>
      <c r="R29" s="484"/>
      <c r="S29" s="483"/>
      <c r="T29" s="484"/>
      <c r="U29" s="483"/>
      <c r="V29" s="484"/>
      <c r="AA29" s="483"/>
      <c r="AB29" s="484"/>
      <c r="AC29" s="483"/>
      <c r="AD29" s="484"/>
      <c r="AE29" s="483"/>
      <c r="AF29" s="484"/>
    </row>
    <row r="30" spans="1:32" ht="15.75" x14ac:dyDescent="0.25">
      <c r="A30" s="478"/>
      <c r="B30" s="479"/>
      <c r="C30" s="479"/>
      <c r="D30" s="480"/>
      <c r="E30" s="481"/>
      <c r="F30" s="150"/>
      <c r="G30" s="150"/>
      <c r="H30" s="482"/>
      <c r="M30" s="483"/>
      <c r="N30" s="484"/>
      <c r="O30" s="483"/>
      <c r="P30" s="484"/>
      <c r="Q30" s="483"/>
      <c r="R30" s="484"/>
      <c r="S30" s="483"/>
      <c r="T30" s="484"/>
      <c r="U30" s="483"/>
      <c r="V30" s="484"/>
      <c r="AA30" s="483"/>
      <c r="AB30" s="484"/>
      <c r="AC30" s="483"/>
      <c r="AD30" s="484"/>
      <c r="AE30" s="483"/>
      <c r="AF30" s="484"/>
    </row>
    <row r="31" spans="1:32" ht="15.75" x14ac:dyDescent="0.25">
      <c r="A31" s="478"/>
      <c r="B31" s="479"/>
      <c r="C31" s="479"/>
      <c r="D31" s="480"/>
      <c r="E31" s="481"/>
      <c r="F31" s="150"/>
      <c r="G31" s="150"/>
      <c r="H31" s="482"/>
      <c r="M31" s="483"/>
      <c r="N31" s="484"/>
      <c r="O31" s="483"/>
      <c r="P31" s="484"/>
      <c r="Q31" s="483"/>
      <c r="R31" s="484"/>
      <c r="S31" s="483"/>
      <c r="T31" s="484"/>
      <c r="U31" s="483"/>
      <c r="V31" s="484"/>
      <c r="AA31" s="483"/>
      <c r="AB31" s="484"/>
      <c r="AC31" s="483"/>
      <c r="AD31" s="484"/>
      <c r="AE31" s="483"/>
      <c r="AF31" s="484"/>
    </row>
    <row r="32" spans="1:32" ht="15.75" x14ac:dyDescent="0.25">
      <c r="A32" s="478"/>
      <c r="B32" s="479"/>
      <c r="C32" s="479"/>
      <c r="D32" s="480"/>
      <c r="E32" s="481"/>
      <c r="F32" s="150"/>
      <c r="G32" s="150"/>
      <c r="H32" s="482"/>
      <c r="M32" s="483"/>
      <c r="N32" s="484"/>
      <c r="O32" s="483"/>
      <c r="P32" s="484"/>
      <c r="Q32" s="483"/>
      <c r="R32" s="484"/>
      <c r="S32" s="483"/>
      <c r="T32" s="484"/>
      <c r="U32" s="483"/>
      <c r="V32" s="484"/>
      <c r="AA32" s="483"/>
      <c r="AB32" s="484"/>
      <c r="AC32" s="483"/>
      <c r="AD32" s="484"/>
      <c r="AE32" s="483"/>
      <c r="AF32" s="484"/>
    </row>
    <row r="33" spans="1:32" ht="15.75" x14ac:dyDescent="0.25">
      <c r="A33" s="478"/>
      <c r="B33" s="479"/>
      <c r="C33" s="479"/>
      <c r="D33" s="480"/>
      <c r="E33" s="481"/>
      <c r="F33" s="150"/>
      <c r="G33" s="150"/>
      <c r="H33" s="482"/>
      <c r="M33" s="483"/>
      <c r="N33" s="484"/>
      <c r="O33" s="483"/>
      <c r="P33" s="484"/>
      <c r="Q33" s="483"/>
      <c r="R33" s="484"/>
      <c r="S33" s="483"/>
      <c r="T33" s="484"/>
      <c r="U33" s="483"/>
      <c r="V33" s="484"/>
      <c r="AA33" s="483"/>
      <c r="AB33" s="484"/>
      <c r="AC33" s="483"/>
      <c r="AD33" s="484"/>
      <c r="AE33" s="483"/>
      <c r="AF33" s="484"/>
    </row>
    <row r="34" spans="1:32" ht="15.75" x14ac:dyDescent="0.25">
      <c r="A34" s="478"/>
      <c r="B34" s="479"/>
      <c r="C34" s="479"/>
      <c r="D34" s="480"/>
      <c r="E34" s="481"/>
      <c r="F34" s="150"/>
      <c r="G34" s="150"/>
      <c r="H34" s="482"/>
      <c r="M34" s="483"/>
      <c r="N34" s="484"/>
      <c r="O34" s="483"/>
      <c r="P34" s="484"/>
      <c r="Q34" s="483"/>
      <c r="R34" s="484"/>
      <c r="S34" s="483"/>
      <c r="T34" s="484"/>
      <c r="U34" s="483"/>
      <c r="V34" s="484"/>
      <c r="AA34" s="483"/>
      <c r="AB34" s="484"/>
      <c r="AC34" s="483"/>
      <c r="AD34" s="484"/>
      <c r="AE34" s="483"/>
      <c r="AF34" s="484"/>
    </row>
    <row r="35" spans="1:32" ht="15.75" x14ac:dyDescent="0.25">
      <c r="A35" s="478"/>
      <c r="B35" s="479"/>
      <c r="C35" s="479"/>
      <c r="D35" s="480"/>
      <c r="E35" s="481"/>
      <c r="F35" s="150"/>
      <c r="G35" s="150"/>
      <c r="H35" s="482"/>
      <c r="M35" s="483"/>
      <c r="N35" s="484"/>
      <c r="O35" s="483"/>
      <c r="P35" s="484"/>
      <c r="Q35" s="483"/>
      <c r="R35" s="484"/>
      <c r="S35" s="483"/>
      <c r="T35" s="484"/>
      <c r="U35" s="483"/>
      <c r="V35" s="484"/>
      <c r="AA35" s="483"/>
      <c r="AB35" s="484"/>
      <c r="AC35" s="483"/>
      <c r="AD35" s="484"/>
      <c r="AE35" s="483"/>
      <c r="AF35" s="484"/>
    </row>
    <row r="36" spans="1:32" ht="15.75" x14ac:dyDescent="0.25">
      <c r="A36" s="478"/>
      <c r="B36" s="479"/>
      <c r="C36" s="479"/>
      <c r="D36" s="480"/>
      <c r="E36" s="481"/>
      <c r="F36" s="150"/>
      <c r="G36" s="150"/>
      <c r="H36" s="482"/>
      <c r="M36" s="483"/>
      <c r="N36" s="484"/>
      <c r="O36" s="483"/>
      <c r="P36" s="484"/>
      <c r="Q36" s="483"/>
      <c r="R36" s="484"/>
      <c r="S36" s="483"/>
      <c r="T36" s="484"/>
      <c r="U36" s="483"/>
      <c r="V36" s="484"/>
      <c r="AA36" s="483"/>
      <c r="AB36" s="484"/>
      <c r="AC36" s="483"/>
      <c r="AD36" s="484"/>
      <c r="AE36" s="483"/>
      <c r="AF36" s="484"/>
    </row>
    <row r="37" spans="1:32" ht="15.75" x14ac:dyDescent="0.25">
      <c r="A37" s="478"/>
      <c r="B37" s="479"/>
      <c r="C37" s="479"/>
      <c r="D37" s="480"/>
      <c r="E37" s="481"/>
      <c r="F37" s="486"/>
      <c r="G37" s="486"/>
      <c r="H37" s="487"/>
      <c r="M37" s="483"/>
      <c r="N37" s="484"/>
      <c r="O37" s="483"/>
      <c r="P37" s="484"/>
      <c r="Q37" s="483"/>
      <c r="R37" s="484"/>
      <c r="S37" s="483"/>
      <c r="T37" s="484"/>
      <c r="U37" s="483"/>
      <c r="V37" s="484"/>
      <c r="AA37" s="483"/>
      <c r="AB37" s="484"/>
      <c r="AC37" s="483"/>
      <c r="AD37" s="484"/>
      <c r="AE37" s="483"/>
      <c r="AF37" s="484"/>
    </row>
    <row r="38" spans="1:32" ht="15.75" x14ac:dyDescent="0.25">
      <c r="A38" s="478"/>
      <c r="B38" s="479"/>
      <c r="C38" s="485"/>
      <c r="D38" s="480"/>
      <c r="E38" s="481"/>
      <c r="F38" s="486"/>
      <c r="G38" s="486"/>
      <c r="H38" s="487"/>
      <c r="M38" s="483"/>
      <c r="N38" s="484"/>
      <c r="O38" s="483"/>
      <c r="P38" s="484"/>
      <c r="Q38" s="483"/>
      <c r="R38" s="484"/>
      <c r="S38" s="483"/>
      <c r="T38" s="484"/>
      <c r="U38" s="483"/>
      <c r="V38" s="484"/>
      <c r="AA38" s="483"/>
      <c r="AB38" s="484"/>
      <c r="AC38" s="483"/>
      <c r="AD38" s="484"/>
      <c r="AE38" s="483"/>
      <c r="AF38" s="484"/>
    </row>
    <row r="39" spans="1:32" ht="15.75" x14ac:dyDescent="0.25">
      <c r="A39" s="478"/>
      <c r="B39" s="479"/>
      <c r="C39" s="485"/>
      <c r="D39" s="488"/>
      <c r="E39" s="481"/>
      <c r="F39" s="486"/>
      <c r="G39" s="486"/>
      <c r="H39" s="487"/>
      <c r="M39" s="483"/>
      <c r="N39" s="484"/>
      <c r="O39" s="483"/>
      <c r="P39" s="484"/>
      <c r="Q39" s="483"/>
      <c r="R39" s="484"/>
      <c r="S39" s="483"/>
      <c r="T39" s="484"/>
      <c r="U39" s="483"/>
      <c r="V39" s="484"/>
      <c r="AA39" s="483"/>
      <c r="AB39" s="484"/>
      <c r="AC39" s="483"/>
      <c r="AD39" s="484"/>
      <c r="AE39" s="483"/>
      <c r="AF39" s="484"/>
    </row>
    <row r="40" spans="1:32" ht="15.75" x14ac:dyDescent="0.25">
      <c r="A40" s="485"/>
      <c r="B40" s="485"/>
      <c r="C40" s="485"/>
      <c r="D40" s="488"/>
      <c r="E40" s="117"/>
      <c r="F40" s="486"/>
      <c r="G40" s="486"/>
      <c r="H40" s="487"/>
      <c r="M40" s="483"/>
      <c r="N40" s="484"/>
      <c r="O40" s="483"/>
      <c r="P40" s="484"/>
      <c r="Q40" s="483"/>
      <c r="R40" s="484"/>
      <c r="S40" s="483"/>
      <c r="T40" s="484"/>
      <c r="U40" s="483"/>
      <c r="V40" s="484"/>
      <c r="AA40" s="483"/>
      <c r="AB40" s="484"/>
      <c r="AC40" s="483"/>
      <c r="AD40" s="484"/>
      <c r="AE40" s="483"/>
      <c r="AF40" s="484"/>
    </row>
    <row r="41" spans="1:32" ht="15.75" x14ac:dyDescent="0.25">
      <c r="A41" s="485"/>
      <c r="B41" s="485"/>
      <c r="C41" s="485"/>
      <c r="D41" s="489"/>
      <c r="E41" s="117"/>
      <c r="F41" s="77"/>
      <c r="G41" s="486"/>
      <c r="H41" s="487"/>
      <c r="M41" s="483"/>
      <c r="N41" s="484"/>
      <c r="O41" s="483"/>
      <c r="P41" s="484"/>
      <c r="Q41" s="483"/>
      <c r="R41" s="484"/>
      <c r="S41" s="483"/>
      <c r="T41" s="484"/>
      <c r="U41" s="483"/>
      <c r="V41" s="484"/>
      <c r="AA41" s="483"/>
      <c r="AB41" s="484"/>
      <c r="AC41" s="483"/>
      <c r="AD41" s="484"/>
      <c r="AE41" s="483"/>
      <c r="AF41" s="484"/>
    </row>
    <row r="42" spans="1:32" ht="15.75" x14ac:dyDescent="0.25">
      <c r="A42" s="478"/>
      <c r="B42" s="479"/>
      <c r="C42" s="479"/>
      <c r="D42" s="488"/>
      <c r="E42" s="481"/>
      <c r="F42" s="486"/>
      <c r="G42" s="486"/>
      <c r="H42" s="487"/>
      <c r="M42" s="483"/>
      <c r="N42" s="484"/>
      <c r="O42" s="483"/>
      <c r="P42" s="484"/>
      <c r="Q42" s="483"/>
      <c r="R42" s="484"/>
      <c r="S42" s="483"/>
      <c r="T42" s="484"/>
      <c r="U42" s="483"/>
      <c r="V42" s="484"/>
      <c r="AA42" s="483"/>
      <c r="AB42" s="484"/>
      <c r="AC42" s="483"/>
      <c r="AD42" s="484"/>
      <c r="AE42" s="483"/>
      <c r="AF42" s="484"/>
    </row>
    <row r="43" spans="1:32" ht="15.75" x14ac:dyDescent="0.25">
      <c r="A43" s="478"/>
      <c r="B43" s="479"/>
      <c r="C43" s="479"/>
      <c r="D43" s="488"/>
      <c r="E43" s="481"/>
      <c r="F43" s="486"/>
      <c r="G43" s="486"/>
      <c r="H43" s="487"/>
      <c r="M43" s="483"/>
      <c r="N43" s="484"/>
      <c r="O43" s="483"/>
      <c r="P43" s="484"/>
      <c r="Q43" s="483"/>
      <c r="R43" s="484"/>
      <c r="S43" s="483"/>
      <c r="T43" s="484"/>
      <c r="U43" s="483"/>
      <c r="V43" s="484"/>
      <c r="AA43" s="483"/>
      <c r="AB43" s="484"/>
      <c r="AC43" s="483"/>
      <c r="AD43" s="484"/>
      <c r="AE43" s="483"/>
      <c r="AF43" s="484"/>
    </row>
    <row r="44" spans="1:32" ht="15.75" x14ac:dyDescent="0.25">
      <c r="A44" s="485"/>
      <c r="B44" s="485"/>
      <c r="C44" s="485"/>
      <c r="D44" s="489"/>
      <c r="E44" s="481"/>
      <c r="F44" s="486"/>
      <c r="G44" s="486"/>
      <c r="H44" s="487"/>
      <c r="M44" s="483"/>
      <c r="N44" s="484"/>
      <c r="O44" s="483"/>
      <c r="P44" s="484"/>
      <c r="Q44" s="483"/>
      <c r="R44" s="484"/>
      <c r="S44" s="483"/>
      <c r="T44" s="484"/>
      <c r="U44" s="483"/>
      <c r="V44" s="484"/>
      <c r="AA44" s="483"/>
      <c r="AB44" s="484"/>
      <c r="AC44" s="483"/>
      <c r="AD44" s="484"/>
      <c r="AE44" s="483"/>
      <c r="AF44" s="484"/>
    </row>
    <row r="45" spans="1:32" ht="15.75" x14ac:dyDescent="0.25">
      <c r="A45" s="485"/>
      <c r="B45" s="485"/>
      <c r="C45" s="485"/>
      <c r="D45" s="489"/>
      <c r="E45" s="481"/>
      <c r="F45" s="486"/>
      <c r="G45" s="486"/>
      <c r="H45" s="487"/>
      <c r="M45" s="483"/>
      <c r="N45" s="484"/>
      <c r="O45" s="483"/>
      <c r="P45" s="484"/>
      <c r="Q45" s="483"/>
      <c r="R45" s="484"/>
      <c r="S45" s="483"/>
      <c r="T45" s="484"/>
      <c r="U45" s="483"/>
      <c r="V45" s="484"/>
      <c r="AA45" s="483"/>
      <c r="AB45" s="484"/>
      <c r="AC45" s="483"/>
      <c r="AD45" s="484"/>
      <c r="AE45" s="483"/>
      <c r="AF45" s="484"/>
    </row>
    <row r="46" spans="1:32" ht="15.75" x14ac:dyDescent="0.25">
      <c r="A46" s="478"/>
      <c r="B46" s="479"/>
      <c r="C46" s="479"/>
      <c r="D46" s="488"/>
      <c r="E46" s="481"/>
      <c r="F46" s="486"/>
      <c r="G46" s="486"/>
      <c r="H46" s="487"/>
      <c r="M46" s="483"/>
      <c r="N46" s="484"/>
      <c r="O46" s="483"/>
      <c r="P46" s="484"/>
      <c r="Q46" s="483"/>
      <c r="R46" s="484"/>
      <c r="S46" s="483"/>
      <c r="T46" s="484"/>
      <c r="U46" s="483"/>
      <c r="V46" s="484"/>
      <c r="AA46" s="483"/>
      <c r="AB46" s="484"/>
      <c r="AC46" s="483"/>
      <c r="AD46" s="484"/>
      <c r="AE46" s="483"/>
      <c r="AF46" s="484"/>
    </row>
    <row r="47" spans="1:32" ht="15.75" x14ac:dyDescent="0.25">
      <c r="A47" s="478"/>
      <c r="B47" s="479"/>
      <c r="C47" s="479"/>
      <c r="D47" s="488"/>
      <c r="E47" s="481"/>
      <c r="F47" s="486"/>
      <c r="G47" s="486"/>
      <c r="H47" s="487"/>
      <c r="M47" s="483"/>
      <c r="N47" s="484"/>
      <c r="O47" s="483"/>
      <c r="P47" s="484"/>
      <c r="Q47" s="483"/>
      <c r="R47" s="484"/>
      <c r="S47" s="483"/>
      <c r="T47" s="484"/>
      <c r="U47" s="483"/>
      <c r="V47" s="484"/>
      <c r="AA47" s="483"/>
      <c r="AB47" s="484"/>
      <c r="AC47" s="483"/>
      <c r="AD47" s="484"/>
      <c r="AE47" s="483"/>
      <c r="AF47" s="484"/>
    </row>
    <row r="48" spans="1:32" ht="15.75" x14ac:dyDescent="0.25">
      <c r="A48" s="478"/>
      <c r="B48" s="479"/>
      <c r="C48" s="479"/>
      <c r="D48" s="488"/>
      <c r="E48" s="481"/>
      <c r="F48" s="486"/>
      <c r="G48" s="486"/>
      <c r="H48" s="487"/>
      <c r="M48" s="483"/>
      <c r="N48" s="484"/>
      <c r="O48" s="483"/>
      <c r="P48" s="484"/>
      <c r="Q48" s="483"/>
      <c r="R48" s="484"/>
      <c r="S48" s="483"/>
      <c r="T48" s="484"/>
      <c r="U48" s="483"/>
      <c r="V48" s="484"/>
      <c r="AA48" s="483"/>
      <c r="AB48" s="484"/>
      <c r="AC48" s="483"/>
      <c r="AD48" s="484"/>
      <c r="AE48" s="483"/>
      <c r="AF48" s="484"/>
    </row>
    <row r="49" spans="1:32" ht="15.75" x14ac:dyDescent="0.25">
      <c r="A49" s="478"/>
      <c r="B49" s="479"/>
      <c r="C49" s="479"/>
      <c r="D49" s="488"/>
      <c r="E49" s="481"/>
      <c r="F49" s="486"/>
      <c r="G49" s="486"/>
      <c r="H49" s="487"/>
      <c r="M49" s="483"/>
      <c r="N49" s="484"/>
      <c r="O49" s="483"/>
      <c r="P49" s="484"/>
      <c r="Q49" s="483"/>
      <c r="R49" s="484"/>
      <c r="S49" s="483"/>
      <c r="T49" s="484"/>
      <c r="U49" s="483"/>
      <c r="V49" s="484"/>
      <c r="AA49" s="483"/>
      <c r="AB49" s="484"/>
      <c r="AC49" s="483"/>
      <c r="AD49" s="484"/>
      <c r="AE49" s="483"/>
      <c r="AF49" s="484"/>
    </row>
    <row r="50" spans="1:32" ht="15.75" x14ac:dyDescent="0.25">
      <c r="A50" s="478"/>
      <c r="B50" s="479"/>
      <c r="C50" s="479"/>
      <c r="D50" s="488"/>
      <c r="E50" s="77"/>
      <c r="F50" s="486"/>
      <c r="G50" s="486"/>
      <c r="H50" s="487"/>
      <c r="M50" s="483"/>
      <c r="N50" s="484"/>
      <c r="O50" s="483"/>
      <c r="P50" s="484"/>
      <c r="Q50" s="483"/>
      <c r="R50" s="484"/>
      <c r="S50" s="483"/>
      <c r="T50" s="484"/>
      <c r="U50" s="483"/>
      <c r="V50" s="484"/>
      <c r="AA50" s="483"/>
      <c r="AB50" s="484"/>
      <c r="AC50" s="483"/>
      <c r="AD50" s="484"/>
      <c r="AE50" s="483"/>
      <c r="AF50" s="484"/>
    </row>
    <row r="51" spans="1:32" ht="15.75" x14ac:dyDescent="0.25">
      <c r="A51" s="478"/>
      <c r="B51" s="479"/>
      <c r="C51" s="479"/>
      <c r="D51" s="488"/>
      <c r="E51" s="77"/>
      <c r="F51" s="486"/>
      <c r="G51" s="486"/>
      <c r="H51" s="487"/>
      <c r="M51" s="483"/>
      <c r="N51" s="484"/>
      <c r="O51" s="483"/>
      <c r="P51" s="484"/>
      <c r="Q51" s="483"/>
      <c r="R51" s="484"/>
      <c r="S51" s="483"/>
      <c r="T51" s="484"/>
      <c r="U51" s="483"/>
      <c r="V51" s="484"/>
      <c r="AA51" s="483"/>
      <c r="AB51" s="484"/>
      <c r="AC51" s="483"/>
      <c r="AD51" s="484"/>
      <c r="AE51" s="483"/>
      <c r="AF51" s="484"/>
    </row>
    <row r="52" spans="1:32" ht="15.75" x14ac:dyDescent="0.25">
      <c r="A52" s="478"/>
      <c r="B52" s="479"/>
      <c r="C52" s="479"/>
      <c r="D52" s="488"/>
      <c r="E52" s="481"/>
      <c r="F52" s="486"/>
      <c r="G52" s="486"/>
      <c r="H52" s="487"/>
      <c r="M52" s="483"/>
      <c r="N52" s="484"/>
      <c r="O52" s="483"/>
      <c r="P52" s="484"/>
      <c r="Q52" s="483"/>
      <c r="R52" s="484"/>
      <c r="S52" s="483"/>
      <c r="T52" s="484"/>
      <c r="U52" s="483"/>
      <c r="V52" s="484"/>
      <c r="AA52" s="483"/>
      <c r="AB52" s="484"/>
      <c r="AC52" s="483"/>
      <c r="AD52" s="484"/>
      <c r="AE52" s="483"/>
      <c r="AF52" s="484"/>
    </row>
    <row r="53" spans="1:32" ht="15.75" x14ac:dyDescent="0.25">
      <c r="A53" s="478"/>
      <c r="B53" s="479"/>
      <c r="C53" s="479"/>
      <c r="D53" s="488"/>
      <c r="E53" s="481"/>
      <c r="F53" s="486"/>
      <c r="G53" s="486"/>
      <c r="H53" s="487"/>
      <c r="M53" s="483"/>
      <c r="N53" s="484"/>
      <c r="O53" s="483"/>
      <c r="P53" s="484"/>
      <c r="Q53" s="483"/>
      <c r="R53" s="484"/>
      <c r="S53" s="483"/>
      <c r="T53" s="484"/>
      <c r="U53" s="483"/>
      <c r="V53" s="484"/>
      <c r="AA53" s="483"/>
      <c r="AB53" s="484"/>
      <c r="AC53" s="483"/>
      <c r="AD53" s="484"/>
      <c r="AE53" s="483"/>
      <c r="AF53" s="484"/>
    </row>
    <row r="54" spans="1:32" ht="15.75" x14ac:dyDescent="0.25">
      <c r="A54" s="478"/>
      <c r="B54" s="479"/>
      <c r="C54" s="479"/>
      <c r="D54" s="488"/>
      <c r="E54" s="481"/>
      <c r="F54" s="486"/>
      <c r="G54" s="486"/>
      <c r="H54" s="487"/>
      <c r="M54" s="483"/>
      <c r="N54" s="484"/>
      <c r="O54" s="483"/>
      <c r="P54" s="484"/>
      <c r="Q54" s="483"/>
      <c r="R54" s="484"/>
      <c r="S54" s="483"/>
      <c r="T54" s="484"/>
      <c r="U54" s="483"/>
      <c r="V54" s="484"/>
      <c r="AA54" s="483"/>
      <c r="AB54" s="484"/>
      <c r="AC54" s="483"/>
      <c r="AD54" s="484"/>
      <c r="AE54" s="483"/>
      <c r="AF54" s="484"/>
    </row>
    <row r="55" spans="1:32" ht="15.75" x14ac:dyDescent="0.25">
      <c r="A55" s="478"/>
      <c r="B55" s="479"/>
      <c r="C55" s="479"/>
      <c r="D55" s="488"/>
      <c r="E55" s="481"/>
      <c r="F55" s="486"/>
      <c r="G55" s="486"/>
      <c r="H55" s="487"/>
      <c r="M55" s="483"/>
      <c r="N55" s="484"/>
      <c r="O55" s="483"/>
      <c r="P55" s="484"/>
      <c r="Q55" s="483"/>
      <c r="R55" s="484"/>
      <c r="S55" s="483"/>
      <c r="T55" s="484"/>
      <c r="U55" s="483"/>
      <c r="V55" s="484"/>
      <c r="AA55" s="483"/>
      <c r="AB55" s="484"/>
      <c r="AC55" s="483"/>
      <c r="AD55" s="484"/>
      <c r="AE55" s="483"/>
      <c r="AF55" s="484"/>
    </row>
    <row r="56" spans="1:32" ht="15.75" x14ac:dyDescent="0.25">
      <c r="A56" s="478"/>
      <c r="B56" s="479"/>
      <c r="C56" s="479"/>
      <c r="D56" s="488"/>
      <c r="E56" s="481"/>
      <c r="F56" s="486"/>
      <c r="G56" s="486"/>
      <c r="H56" s="487"/>
      <c r="I56" s="5"/>
      <c r="M56" s="483"/>
      <c r="N56" s="484"/>
      <c r="O56" s="483"/>
      <c r="P56" s="484"/>
      <c r="Q56" s="483"/>
      <c r="R56" s="484"/>
      <c r="S56" s="483"/>
      <c r="T56" s="484"/>
      <c r="U56" s="483"/>
      <c r="V56" s="484"/>
      <c r="AA56" s="483"/>
      <c r="AB56" s="484"/>
      <c r="AC56" s="483"/>
      <c r="AD56" s="484"/>
      <c r="AE56" s="483"/>
      <c r="AF56" s="484"/>
    </row>
    <row r="57" spans="1:32" ht="15.75" x14ac:dyDescent="0.25">
      <c r="A57" s="478"/>
      <c r="B57" s="479"/>
      <c r="C57" s="479"/>
      <c r="D57" s="488"/>
      <c r="E57" s="481"/>
      <c r="F57" s="486"/>
      <c r="G57" s="486"/>
      <c r="H57" s="487"/>
      <c r="M57" s="483"/>
      <c r="N57" s="484"/>
      <c r="O57" s="483"/>
      <c r="P57" s="484"/>
      <c r="Q57" s="483"/>
      <c r="R57" s="484"/>
      <c r="S57" s="483"/>
      <c r="T57" s="484"/>
      <c r="U57" s="483"/>
      <c r="V57" s="484"/>
      <c r="AA57" s="483"/>
      <c r="AB57" s="484"/>
      <c r="AC57" s="483"/>
      <c r="AD57" s="484"/>
      <c r="AE57" s="483"/>
      <c r="AF57" s="484"/>
    </row>
    <row r="58" spans="1:32" ht="15.75" x14ac:dyDescent="0.25">
      <c r="A58" s="478"/>
      <c r="B58" s="479"/>
      <c r="C58" s="479"/>
      <c r="D58" s="488"/>
      <c r="E58" s="481"/>
      <c r="F58" s="486"/>
      <c r="G58" s="486"/>
      <c r="H58" s="487"/>
      <c r="M58" s="483"/>
      <c r="N58" s="484"/>
      <c r="O58" s="483"/>
      <c r="P58" s="484"/>
      <c r="Q58" s="483"/>
      <c r="R58" s="484"/>
      <c r="S58" s="483"/>
      <c r="T58" s="484"/>
      <c r="U58" s="483"/>
      <c r="V58" s="484"/>
      <c r="AA58" s="483"/>
      <c r="AB58" s="484"/>
      <c r="AC58" s="483"/>
      <c r="AD58" s="484"/>
      <c r="AE58" s="483"/>
      <c r="AF58" s="484"/>
    </row>
    <row r="59" spans="1:32" ht="15.75" x14ac:dyDescent="0.25">
      <c r="A59" s="478"/>
      <c r="B59" s="479"/>
      <c r="C59" s="479"/>
      <c r="D59" s="488"/>
      <c r="E59" s="481"/>
      <c r="F59" s="486"/>
      <c r="G59" s="486"/>
      <c r="H59" s="487"/>
      <c r="M59" s="483"/>
      <c r="N59" s="484"/>
      <c r="O59" s="483"/>
      <c r="P59" s="484"/>
      <c r="Q59" s="483"/>
      <c r="R59" s="484"/>
      <c r="S59" s="483"/>
      <c r="T59" s="484"/>
      <c r="U59" s="483"/>
      <c r="V59" s="484"/>
      <c r="AA59" s="483"/>
      <c r="AB59" s="484"/>
      <c r="AC59" s="483"/>
      <c r="AD59" s="484"/>
      <c r="AE59" s="483"/>
      <c r="AF59" s="484"/>
    </row>
    <row r="60" spans="1:32" ht="15.75" x14ac:dyDescent="0.25">
      <c r="A60" s="478"/>
      <c r="B60" s="479"/>
      <c r="C60" s="479"/>
      <c r="D60" s="488"/>
      <c r="E60" s="481"/>
      <c r="F60" s="486"/>
      <c r="G60" s="486"/>
      <c r="H60" s="487"/>
      <c r="M60" s="483"/>
      <c r="N60" s="484"/>
      <c r="O60" s="483"/>
      <c r="P60" s="484"/>
      <c r="Q60" s="483"/>
      <c r="R60" s="484"/>
      <c r="S60" s="483"/>
      <c r="T60" s="484"/>
      <c r="U60" s="483"/>
      <c r="V60" s="484"/>
      <c r="AA60" s="483"/>
      <c r="AB60" s="484"/>
      <c r="AC60" s="483"/>
      <c r="AD60" s="484"/>
      <c r="AE60" s="483"/>
      <c r="AF60" s="484"/>
    </row>
    <row r="61" spans="1:32" x14ac:dyDescent="0.2">
      <c r="A61" s="485"/>
      <c r="B61" s="485"/>
      <c r="C61" s="485"/>
      <c r="D61" s="488"/>
      <c r="E61" s="481"/>
      <c r="F61" s="486"/>
      <c r="G61" s="486"/>
      <c r="H61" s="487"/>
      <c r="M61" s="483"/>
      <c r="N61" s="484"/>
      <c r="O61" s="483"/>
      <c r="P61" s="484"/>
      <c r="Q61" s="483"/>
      <c r="R61" s="484"/>
      <c r="S61" s="483"/>
      <c r="T61" s="484"/>
      <c r="U61" s="483"/>
      <c r="V61" s="484"/>
      <c r="AA61" s="483"/>
      <c r="AB61" s="484"/>
      <c r="AC61" s="483"/>
      <c r="AD61" s="484"/>
      <c r="AE61" s="483"/>
      <c r="AF61" s="484"/>
    </row>
    <row r="62" spans="1:32" x14ac:dyDescent="0.2">
      <c r="A62" s="485"/>
      <c r="B62" s="485"/>
      <c r="C62" s="485"/>
      <c r="D62" s="488"/>
      <c r="E62" s="481"/>
      <c r="F62" s="486"/>
      <c r="G62" s="486"/>
      <c r="H62" s="487"/>
      <c r="M62" s="483"/>
      <c r="N62" s="484"/>
      <c r="O62" s="483"/>
      <c r="P62" s="484"/>
      <c r="Q62" s="483"/>
      <c r="R62" s="484"/>
      <c r="S62" s="483"/>
      <c r="T62" s="484"/>
      <c r="U62" s="483"/>
      <c r="V62" s="484"/>
      <c r="AA62" s="483"/>
      <c r="AB62" s="484"/>
      <c r="AC62" s="483"/>
      <c r="AD62" s="484"/>
      <c r="AE62" s="483"/>
      <c r="AF62" s="484"/>
    </row>
    <row r="63" spans="1:32" x14ac:dyDescent="0.2">
      <c r="A63" s="485"/>
      <c r="B63" s="485"/>
      <c r="C63" s="485"/>
      <c r="D63" s="488"/>
      <c r="E63" s="481"/>
      <c r="F63" s="486"/>
      <c r="G63" s="486"/>
      <c r="H63" s="487"/>
      <c r="M63" s="483"/>
      <c r="N63" s="484"/>
      <c r="O63" s="483"/>
      <c r="P63" s="484"/>
      <c r="Q63" s="483"/>
      <c r="R63" s="484"/>
      <c r="S63" s="483"/>
      <c r="T63" s="484"/>
      <c r="U63" s="483"/>
      <c r="V63" s="484"/>
      <c r="AA63" s="483"/>
      <c r="AB63" s="484"/>
      <c r="AC63" s="483"/>
      <c r="AD63" s="484"/>
      <c r="AE63" s="483"/>
      <c r="AF63" s="484"/>
    </row>
    <row r="64" spans="1:32" x14ac:dyDescent="0.2">
      <c r="A64" s="485"/>
      <c r="B64" s="485"/>
      <c r="C64" s="485"/>
      <c r="D64" s="488"/>
      <c r="E64" s="481"/>
      <c r="F64" s="486"/>
      <c r="G64" s="486"/>
      <c r="H64" s="487"/>
      <c r="M64" s="483"/>
      <c r="N64" s="484"/>
      <c r="O64" s="483"/>
      <c r="P64" s="484"/>
      <c r="Q64" s="483"/>
      <c r="R64" s="484"/>
      <c r="S64" s="483"/>
      <c r="T64" s="484"/>
      <c r="U64" s="483"/>
      <c r="V64" s="484"/>
      <c r="AA64" s="483"/>
      <c r="AB64" s="484"/>
      <c r="AC64" s="483"/>
      <c r="AD64" s="484"/>
      <c r="AE64" s="483"/>
      <c r="AF64" s="484"/>
    </row>
    <row r="65" spans="1:32" ht="15.75" x14ac:dyDescent="0.25">
      <c r="A65" s="485"/>
      <c r="B65" s="485"/>
      <c r="C65" s="485"/>
      <c r="D65" s="489"/>
      <c r="E65" s="486"/>
      <c r="F65" s="486"/>
      <c r="G65" s="486"/>
      <c r="H65" s="487"/>
      <c r="M65" s="483"/>
      <c r="N65" s="484"/>
      <c r="O65" s="483"/>
      <c r="P65" s="484"/>
      <c r="Q65" s="483"/>
      <c r="R65" s="484"/>
      <c r="S65" s="483"/>
      <c r="T65" s="484"/>
      <c r="U65" s="483"/>
      <c r="V65" s="484"/>
      <c r="AA65" s="483"/>
      <c r="AB65" s="484"/>
      <c r="AC65" s="483"/>
      <c r="AD65" s="484"/>
      <c r="AE65" s="483"/>
      <c r="AF65" s="484"/>
    </row>
    <row r="66" spans="1:32" ht="15.75" x14ac:dyDescent="0.25">
      <c r="A66" s="478"/>
      <c r="B66" s="479"/>
      <c r="C66" s="479"/>
      <c r="D66" s="488"/>
      <c r="E66" s="481"/>
      <c r="F66" s="486"/>
      <c r="G66" s="486"/>
      <c r="H66" s="487"/>
      <c r="M66" s="483"/>
      <c r="N66" s="484"/>
      <c r="O66" s="483"/>
      <c r="P66" s="484"/>
      <c r="Q66" s="483"/>
      <c r="R66" s="484"/>
      <c r="S66" s="483"/>
      <c r="T66" s="484"/>
      <c r="U66" s="483"/>
      <c r="V66" s="484"/>
      <c r="AA66" s="483"/>
      <c r="AB66" s="484"/>
      <c r="AC66" s="483"/>
      <c r="AD66" s="484"/>
      <c r="AE66" s="483"/>
      <c r="AF66" s="484"/>
    </row>
    <row r="67" spans="1:32" ht="15.75" x14ac:dyDescent="0.25">
      <c r="A67" s="478"/>
      <c r="B67" s="479"/>
      <c r="C67" s="479"/>
      <c r="D67" s="488"/>
      <c r="E67" s="481"/>
      <c r="F67" s="486"/>
      <c r="G67" s="486"/>
      <c r="H67" s="487"/>
      <c r="M67" s="483"/>
      <c r="N67" s="484"/>
      <c r="O67" s="483"/>
      <c r="P67" s="484"/>
      <c r="Q67" s="483"/>
      <c r="R67" s="484"/>
      <c r="S67" s="483"/>
      <c r="T67" s="484"/>
      <c r="U67" s="483"/>
      <c r="V67" s="484"/>
      <c r="AA67" s="483"/>
      <c r="AB67" s="484"/>
      <c r="AC67" s="483"/>
      <c r="AD67" s="484"/>
      <c r="AE67" s="483"/>
      <c r="AF67" s="484"/>
    </row>
    <row r="68" spans="1:32" ht="15.75" x14ac:dyDescent="0.25">
      <c r="A68" s="478"/>
      <c r="B68" s="479"/>
      <c r="C68" s="479"/>
      <c r="D68" s="488"/>
      <c r="E68" s="481"/>
      <c r="F68" s="486"/>
      <c r="G68" s="486"/>
      <c r="H68" s="487"/>
      <c r="M68" s="483"/>
      <c r="N68" s="484"/>
      <c r="O68" s="483"/>
      <c r="P68" s="484"/>
      <c r="Q68" s="483"/>
      <c r="R68" s="484"/>
      <c r="S68" s="483"/>
      <c r="T68" s="484"/>
      <c r="U68" s="483"/>
      <c r="V68" s="484"/>
      <c r="AA68" s="483"/>
      <c r="AB68" s="484"/>
      <c r="AC68" s="483"/>
      <c r="AD68" s="484"/>
      <c r="AE68" s="483"/>
      <c r="AF68" s="484"/>
    </row>
    <row r="69" spans="1:32" ht="15.75" x14ac:dyDescent="0.25">
      <c r="A69" s="478"/>
      <c r="B69" s="479"/>
      <c r="C69" s="479"/>
      <c r="D69" s="488"/>
      <c r="E69" s="481"/>
      <c r="F69" s="486"/>
      <c r="G69" s="486"/>
      <c r="H69" s="487"/>
      <c r="M69" s="483"/>
      <c r="N69" s="484"/>
      <c r="O69" s="483"/>
      <c r="P69" s="484"/>
      <c r="Q69" s="483"/>
      <c r="R69" s="484"/>
      <c r="S69" s="483"/>
      <c r="T69" s="484"/>
      <c r="U69" s="483"/>
      <c r="V69" s="484"/>
      <c r="AA69" s="483"/>
      <c r="AB69" s="484"/>
      <c r="AC69" s="483"/>
      <c r="AD69" s="484"/>
      <c r="AE69" s="483"/>
      <c r="AF69" s="484"/>
    </row>
    <row r="70" spans="1:32" ht="15.75" x14ac:dyDescent="0.25">
      <c r="A70" s="478"/>
      <c r="B70" s="479"/>
      <c r="C70" s="479"/>
      <c r="D70" s="493"/>
      <c r="E70" s="481"/>
      <c r="F70" s="486"/>
      <c r="G70" s="486"/>
      <c r="H70" s="487"/>
      <c r="M70" s="483"/>
      <c r="N70" s="484"/>
      <c r="O70" s="483"/>
      <c r="P70" s="484"/>
      <c r="Q70" s="483"/>
      <c r="R70" s="484"/>
      <c r="S70" s="483"/>
      <c r="T70" s="484"/>
      <c r="U70" s="483"/>
      <c r="V70" s="484"/>
      <c r="AA70" s="483"/>
      <c r="AB70" s="484"/>
      <c r="AC70" s="483"/>
      <c r="AD70" s="484"/>
      <c r="AE70" s="483"/>
      <c r="AF70" s="484"/>
    </row>
    <row r="71" spans="1:32" ht="15.75" x14ac:dyDescent="0.25">
      <c r="A71" s="478"/>
      <c r="B71" s="479"/>
      <c r="C71" s="479"/>
      <c r="D71" s="488"/>
      <c r="E71" s="481"/>
      <c r="F71" s="486"/>
      <c r="G71" s="486"/>
      <c r="H71" s="487"/>
      <c r="M71" s="483"/>
      <c r="N71" s="484"/>
      <c r="O71" s="483"/>
      <c r="P71" s="484"/>
      <c r="Q71" s="483"/>
      <c r="R71" s="484"/>
      <c r="S71" s="483"/>
      <c r="T71" s="484"/>
      <c r="U71" s="483"/>
      <c r="V71" s="484"/>
      <c r="AA71" s="483"/>
      <c r="AB71" s="484"/>
      <c r="AC71" s="483"/>
      <c r="AD71" s="484"/>
      <c r="AE71" s="483"/>
      <c r="AF71" s="484"/>
    </row>
    <row r="72" spans="1:32" ht="15.75" x14ac:dyDescent="0.25">
      <c r="A72" s="478"/>
      <c r="B72" s="479"/>
      <c r="C72" s="479"/>
      <c r="D72" s="493"/>
      <c r="E72" s="481"/>
      <c r="F72" s="486"/>
      <c r="G72" s="486"/>
      <c r="H72" s="487"/>
      <c r="M72" s="483"/>
      <c r="N72" s="484"/>
      <c r="O72" s="483"/>
      <c r="P72" s="484"/>
      <c r="Q72" s="483"/>
      <c r="R72" s="484"/>
      <c r="S72" s="483"/>
      <c r="T72" s="484"/>
      <c r="U72" s="483"/>
      <c r="V72" s="484"/>
      <c r="AA72" s="483"/>
      <c r="AB72" s="484"/>
      <c r="AC72" s="483"/>
      <c r="AD72" s="484"/>
      <c r="AE72" s="483"/>
      <c r="AF72" s="484"/>
    </row>
    <row r="73" spans="1:32" ht="15.75" x14ac:dyDescent="0.25">
      <c r="A73" s="485"/>
      <c r="B73" s="485"/>
      <c r="C73" s="485"/>
      <c r="D73" s="117"/>
      <c r="E73" s="150"/>
      <c r="F73" s="486"/>
      <c r="G73" s="486"/>
      <c r="H73" s="487"/>
      <c r="M73" s="483"/>
      <c r="N73" s="484"/>
      <c r="O73" s="483"/>
      <c r="P73" s="484"/>
      <c r="Q73" s="483"/>
      <c r="R73" s="484"/>
      <c r="S73" s="483"/>
      <c r="T73" s="484"/>
      <c r="U73" s="483"/>
      <c r="V73" s="484"/>
      <c r="AA73" s="483"/>
      <c r="AB73" s="484"/>
      <c r="AC73" s="483"/>
      <c r="AD73" s="484"/>
      <c r="AE73" s="483"/>
      <c r="AF73" s="484"/>
    </row>
    <row r="74" spans="1:32" ht="15.75" x14ac:dyDescent="0.25">
      <c r="A74" s="478"/>
      <c r="B74" s="479"/>
      <c r="C74" s="479"/>
      <c r="D74" s="488"/>
      <c r="E74" s="481"/>
      <c r="F74" s="486"/>
      <c r="G74" s="486"/>
      <c r="H74" s="487"/>
      <c r="M74" s="483"/>
      <c r="N74" s="484"/>
      <c r="O74" s="483"/>
      <c r="P74" s="484"/>
      <c r="Q74" s="483"/>
      <c r="R74" s="484"/>
      <c r="S74" s="483"/>
      <c r="T74" s="484"/>
      <c r="U74" s="483"/>
      <c r="V74" s="484"/>
      <c r="AA74" s="483"/>
      <c r="AB74" s="484"/>
      <c r="AC74" s="483"/>
      <c r="AD74" s="484"/>
      <c r="AE74" s="483"/>
      <c r="AF74" s="484"/>
    </row>
    <row r="75" spans="1:32" ht="15.75" x14ac:dyDescent="0.25">
      <c r="A75" s="338"/>
      <c r="B75" s="339"/>
      <c r="C75" s="339"/>
      <c r="D75" s="491"/>
      <c r="E75" s="173"/>
      <c r="F75" s="340"/>
      <c r="G75" s="341"/>
      <c r="H75" s="342"/>
      <c r="I75" s="341"/>
      <c r="J75" s="342"/>
      <c r="K75" s="173"/>
      <c r="L75" s="173"/>
      <c r="M75" s="341"/>
      <c r="N75" s="342"/>
      <c r="O75" s="341"/>
      <c r="P75" s="342"/>
      <c r="Q75" s="173"/>
      <c r="R75" s="173"/>
      <c r="S75" s="341"/>
      <c r="T75" s="342"/>
      <c r="U75" s="341"/>
      <c r="V75" s="173"/>
      <c r="W75" s="45"/>
      <c r="X75" s="27"/>
      <c r="Y75" s="27"/>
      <c r="Z75" s="27"/>
      <c r="AA75" s="151"/>
    </row>
    <row r="76" spans="1:32" ht="15.75" x14ac:dyDescent="0.25">
      <c r="A76" s="338"/>
      <c r="B76" s="339"/>
      <c r="C76" s="339"/>
      <c r="D76" s="491"/>
      <c r="E76" s="173"/>
      <c r="F76" s="340"/>
      <c r="G76" s="341"/>
      <c r="H76" s="342"/>
      <c r="I76" s="341"/>
      <c r="J76" s="342"/>
      <c r="K76" s="173"/>
      <c r="L76" s="173"/>
      <c r="M76" s="341"/>
      <c r="N76" s="342"/>
      <c r="O76" s="341"/>
      <c r="P76" s="342"/>
      <c r="Q76" s="173"/>
      <c r="R76" s="173"/>
      <c r="S76" s="341"/>
      <c r="T76" s="342"/>
      <c r="U76" s="341"/>
      <c r="V76" s="173"/>
      <c r="W76" s="45"/>
      <c r="X76" s="27"/>
      <c r="Y76" s="27"/>
      <c r="Z76" s="27"/>
      <c r="AA76" s="151"/>
    </row>
    <row r="77" spans="1:32" ht="15.75" x14ac:dyDescent="0.25">
      <c r="A77" s="338"/>
      <c r="B77" s="339"/>
      <c r="C77" s="339"/>
      <c r="D77" s="491"/>
      <c r="E77" s="173"/>
      <c r="F77" s="340"/>
      <c r="G77" s="341"/>
      <c r="H77" s="342"/>
      <c r="I77" s="341"/>
      <c r="J77" s="342"/>
      <c r="K77" s="173"/>
      <c r="L77" s="173"/>
      <c r="M77" s="341"/>
      <c r="N77" s="342"/>
      <c r="O77" s="341"/>
      <c r="P77" s="342"/>
      <c r="Q77" s="173"/>
      <c r="R77" s="173"/>
      <c r="S77" s="341"/>
      <c r="T77" s="342"/>
      <c r="U77" s="341"/>
      <c r="V77" s="173"/>
      <c r="W77" s="45"/>
      <c r="X77" s="27"/>
      <c r="Y77" s="27"/>
      <c r="Z77" s="27"/>
      <c r="AA77" s="151"/>
    </row>
    <row r="78" spans="1:32" ht="15.75" x14ac:dyDescent="0.25">
      <c r="A78" s="338"/>
      <c r="B78" s="339"/>
      <c r="C78" s="339"/>
      <c r="D78" s="491"/>
      <c r="E78" s="173"/>
      <c r="F78" s="340"/>
      <c r="G78" s="341"/>
      <c r="H78" s="342"/>
      <c r="I78" s="341"/>
      <c r="J78" s="342"/>
      <c r="K78" s="173"/>
      <c r="L78" s="173"/>
      <c r="M78" s="341"/>
      <c r="N78" s="342"/>
      <c r="O78" s="341"/>
      <c r="P78" s="342"/>
      <c r="Q78" s="173"/>
      <c r="R78" s="173"/>
      <c r="S78" s="341"/>
      <c r="T78" s="342"/>
      <c r="U78" s="341"/>
      <c r="V78" s="173"/>
      <c r="W78" s="45"/>
      <c r="X78" s="27"/>
      <c r="Y78" s="27"/>
      <c r="Z78" s="27"/>
      <c r="AA78" s="151"/>
    </row>
    <row r="79" spans="1:32" ht="15.75" x14ac:dyDescent="0.25">
      <c r="A79" s="338"/>
      <c r="B79" s="339"/>
      <c r="C79" s="339"/>
      <c r="D79" s="491"/>
      <c r="E79" s="173"/>
      <c r="F79" s="340"/>
      <c r="G79" s="341"/>
      <c r="H79" s="342"/>
      <c r="I79" s="341"/>
      <c r="J79" s="342"/>
      <c r="K79" s="173"/>
      <c r="L79" s="173"/>
      <c r="M79" s="341"/>
      <c r="N79" s="342"/>
      <c r="O79" s="341"/>
      <c r="P79" s="342"/>
      <c r="Q79" s="173"/>
      <c r="R79" s="173"/>
      <c r="S79" s="341"/>
      <c r="T79" s="342"/>
      <c r="U79" s="341"/>
      <c r="V79" s="173"/>
      <c r="W79" s="45"/>
      <c r="X79" s="27"/>
      <c r="Y79" s="27"/>
      <c r="Z79" s="27"/>
      <c r="AA79" s="151"/>
    </row>
    <row r="80" spans="1:32" ht="15.75" x14ac:dyDescent="0.25">
      <c r="A80" s="338"/>
      <c r="B80" s="339"/>
      <c r="C80" s="339"/>
      <c r="D80" s="491"/>
      <c r="E80" s="173"/>
      <c r="F80" s="340"/>
      <c r="G80" s="341"/>
      <c r="H80" s="342"/>
      <c r="I80" s="341"/>
      <c r="J80" s="342"/>
      <c r="K80" s="173"/>
      <c r="L80" s="173"/>
      <c r="M80" s="341"/>
      <c r="N80" s="342"/>
      <c r="O80" s="341"/>
      <c r="P80" s="342"/>
      <c r="Q80" s="173"/>
      <c r="R80" s="173"/>
      <c r="S80" s="341"/>
      <c r="T80" s="342"/>
      <c r="U80" s="341"/>
      <c r="V80" s="173"/>
      <c r="W80" s="45"/>
      <c r="X80" s="27"/>
      <c r="Y80" s="27"/>
      <c r="Z80" s="27"/>
      <c r="AA80" s="151"/>
    </row>
    <row r="81" spans="1:27" ht="15.75" x14ac:dyDescent="0.25">
      <c r="A81" s="338"/>
      <c r="B81" s="339"/>
      <c r="C81" s="339"/>
      <c r="D81" s="491"/>
      <c r="E81" s="173"/>
      <c r="F81" s="340"/>
      <c r="G81" s="341"/>
      <c r="H81" s="342"/>
      <c r="I81" s="341"/>
      <c r="J81" s="342"/>
      <c r="K81" s="173"/>
      <c r="L81" s="173"/>
      <c r="M81" s="341"/>
      <c r="N81" s="342"/>
      <c r="O81" s="341"/>
      <c r="P81" s="342"/>
      <c r="Q81" s="173"/>
      <c r="R81" s="173"/>
      <c r="S81" s="341"/>
      <c r="T81" s="342"/>
      <c r="U81" s="341"/>
      <c r="V81" s="173"/>
      <c r="W81" s="45"/>
      <c r="X81" s="27"/>
      <c r="Y81" s="27"/>
      <c r="Z81" s="27"/>
      <c r="AA81" s="151"/>
    </row>
    <row r="82" spans="1:27" ht="15.75" x14ac:dyDescent="0.25">
      <c r="A82" s="338"/>
      <c r="B82" s="339"/>
      <c r="C82" s="339"/>
      <c r="D82" s="491"/>
      <c r="E82" s="173"/>
      <c r="F82" s="340"/>
      <c r="G82" s="341"/>
      <c r="H82" s="342"/>
      <c r="I82" s="341"/>
      <c r="J82" s="342"/>
      <c r="K82" s="173"/>
      <c r="L82" s="173"/>
      <c r="M82" s="341"/>
      <c r="N82" s="342"/>
      <c r="O82" s="341"/>
      <c r="P82" s="342"/>
      <c r="Q82" s="173"/>
      <c r="R82" s="173"/>
      <c r="S82" s="341"/>
      <c r="T82" s="342"/>
      <c r="U82" s="341"/>
      <c r="V82" s="173"/>
      <c r="W82" s="45"/>
      <c r="X82" s="27"/>
      <c r="Y82" s="27"/>
      <c r="Z82" s="27"/>
      <c r="AA82" s="151"/>
    </row>
    <row r="83" spans="1:27" ht="15.75" x14ac:dyDescent="0.25">
      <c r="A83" s="338"/>
      <c r="B83" s="339"/>
      <c r="C83" s="339"/>
      <c r="D83" s="491"/>
      <c r="E83" s="173"/>
      <c r="F83" s="340"/>
      <c r="G83" s="341"/>
      <c r="H83" s="342"/>
      <c r="I83" s="341"/>
      <c r="J83" s="342"/>
      <c r="K83" s="173"/>
      <c r="L83" s="173"/>
      <c r="M83" s="341"/>
      <c r="N83" s="342"/>
      <c r="O83" s="341"/>
      <c r="P83" s="342"/>
      <c r="Q83" s="173"/>
      <c r="R83" s="173"/>
      <c r="S83" s="341"/>
      <c r="T83" s="342"/>
      <c r="U83" s="341"/>
      <c r="V83" s="173"/>
      <c r="W83" s="45"/>
      <c r="X83" s="27"/>
      <c r="Y83" s="27"/>
      <c r="Z83" s="27"/>
      <c r="AA83" s="151"/>
    </row>
    <row r="84" spans="1:27" ht="15.75" x14ac:dyDescent="0.25">
      <c r="A84" s="338"/>
      <c r="B84" s="339"/>
      <c r="C84" s="339"/>
      <c r="D84" s="491"/>
      <c r="E84" s="173"/>
      <c r="F84" s="340"/>
      <c r="G84" s="341"/>
      <c r="H84" s="342"/>
      <c r="I84" s="341"/>
      <c r="J84" s="342"/>
      <c r="K84" s="173"/>
      <c r="L84" s="173"/>
      <c r="M84" s="341"/>
      <c r="N84" s="342"/>
      <c r="O84" s="341"/>
      <c r="P84" s="342"/>
      <c r="Q84" s="173"/>
      <c r="R84" s="173"/>
      <c r="S84" s="341"/>
      <c r="T84" s="342"/>
      <c r="U84" s="341"/>
      <c r="V84" s="173"/>
      <c r="W84" s="45"/>
      <c r="X84" s="27"/>
      <c r="Y84" s="27"/>
      <c r="Z84" s="27"/>
      <c r="AA84" s="151"/>
    </row>
    <row r="85" spans="1:27" ht="15.75" x14ac:dyDescent="0.25">
      <c r="A85" s="338"/>
      <c r="B85" s="339"/>
      <c r="C85" s="339"/>
      <c r="D85" s="491"/>
      <c r="E85" s="173"/>
      <c r="F85" s="340"/>
      <c r="G85" s="341"/>
      <c r="H85" s="342"/>
      <c r="I85" s="341"/>
      <c r="J85" s="342"/>
      <c r="K85" s="173"/>
      <c r="L85" s="173"/>
      <c r="M85" s="341"/>
      <c r="N85" s="342"/>
      <c r="O85" s="341"/>
      <c r="P85" s="342"/>
      <c r="Q85" s="173"/>
      <c r="R85" s="173"/>
      <c r="S85" s="341"/>
      <c r="T85" s="342"/>
      <c r="U85" s="341"/>
      <c r="V85" s="173"/>
      <c r="W85" s="45"/>
      <c r="X85" s="27"/>
      <c r="Y85" s="27"/>
      <c r="Z85" s="27"/>
      <c r="AA85" s="151"/>
    </row>
    <row r="86" spans="1:27" ht="15.75" x14ac:dyDescent="0.25">
      <c r="A86" s="338"/>
      <c r="B86" s="339"/>
      <c r="C86" s="339"/>
      <c r="D86" s="491"/>
      <c r="E86" s="173"/>
      <c r="F86" s="340"/>
      <c r="G86" s="341"/>
      <c r="H86" s="342"/>
      <c r="I86" s="341"/>
      <c r="J86" s="342"/>
      <c r="K86" s="173"/>
      <c r="L86" s="173"/>
      <c r="M86" s="341"/>
      <c r="N86" s="342"/>
      <c r="O86" s="341"/>
      <c r="P86" s="342"/>
      <c r="Q86" s="173"/>
      <c r="R86" s="173"/>
      <c r="S86" s="341"/>
      <c r="T86" s="342"/>
      <c r="U86" s="341"/>
      <c r="V86" s="173"/>
      <c r="W86" s="45"/>
      <c r="X86" s="27"/>
      <c r="Y86" s="27"/>
      <c r="Z86" s="27"/>
      <c r="AA86" s="151"/>
    </row>
    <row r="87" spans="1:27" ht="15.75" x14ac:dyDescent="0.25">
      <c r="A87" s="338"/>
      <c r="B87" s="339"/>
      <c r="C87" s="339"/>
      <c r="D87" s="491"/>
      <c r="E87" s="173"/>
      <c r="F87" s="340"/>
      <c r="G87" s="341"/>
      <c r="H87" s="342"/>
      <c r="I87" s="341"/>
      <c r="J87" s="342"/>
      <c r="K87" s="173"/>
      <c r="L87" s="173"/>
      <c r="M87" s="341"/>
      <c r="N87" s="342"/>
      <c r="O87" s="341"/>
      <c r="P87" s="342"/>
      <c r="Q87" s="173"/>
      <c r="R87" s="173"/>
      <c r="S87" s="341"/>
      <c r="T87" s="342"/>
      <c r="U87" s="341"/>
      <c r="V87" s="173"/>
      <c r="W87" s="45"/>
      <c r="X87" s="27"/>
      <c r="Y87" s="27"/>
      <c r="Z87" s="27"/>
      <c r="AA87" s="151"/>
    </row>
    <row r="88" spans="1:27" ht="15.75" x14ac:dyDescent="0.25">
      <c r="A88" s="338"/>
      <c r="B88" s="339"/>
      <c r="C88" s="339"/>
      <c r="D88" s="491"/>
      <c r="E88" s="173"/>
      <c r="F88" s="340"/>
      <c r="G88" s="341"/>
      <c r="H88" s="342"/>
      <c r="I88" s="341"/>
      <c r="J88" s="342"/>
      <c r="K88" s="173"/>
      <c r="L88" s="173"/>
      <c r="M88" s="341"/>
      <c r="N88" s="342"/>
      <c r="O88" s="341"/>
      <c r="P88" s="342"/>
      <c r="Q88" s="173"/>
      <c r="R88" s="173"/>
      <c r="S88" s="341"/>
      <c r="T88" s="342"/>
      <c r="U88" s="341"/>
      <c r="V88" s="173"/>
      <c r="W88" s="45"/>
      <c r="X88" s="27"/>
      <c r="Y88" s="27"/>
      <c r="Z88" s="27"/>
      <c r="AA88" s="151"/>
    </row>
    <row r="89" spans="1:27" ht="15.75" x14ac:dyDescent="0.25">
      <c r="A89" s="338"/>
      <c r="B89" s="339"/>
      <c r="C89" s="339"/>
      <c r="D89" s="491"/>
      <c r="E89" s="173"/>
      <c r="F89" s="340"/>
      <c r="G89" s="341"/>
      <c r="H89" s="342"/>
      <c r="I89" s="341"/>
      <c r="J89" s="342"/>
      <c r="K89" s="173"/>
      <c r="L89" s="173"/>
      <c r="M89" s="341"/>
      <c r="N89" s="342"/>
      <c r="O89" s="341"/>
      <c r="P89" s="342"/>
      <c r="Q89" s="173"/>
      <c r="R89" s="173"/>
      <c r="S89" s="341"/>
      <c r="T89" s="342"/>
      <c r="U89" s="341"/>
      <c r="V89" s="173"/>
      <c r="W89" s="45"/>
      <c r="X89" s="27"/>
      <c r="Y89" s="27"/>
      <c r="Z89" s="27"/>
      <c r="AA89" s="151"/>
    </row>
    <row r="90" spans="1:27" ht="15.75" x14ac:dyDescent="0.25">
      <c r="A90" s="338"/>
      <c r="B90" s="339"/>
      <c r="C90" s="339"/>
      <c r="D90" s="491"/>
      <c r="E90" s="173"/>
      <c r="F90" s="340"/>
      <c r="G90" s="341"/>
      <c r="H90" s="342"/>
      <c r="I90" s="341"/>
      <c r="J90" s="342"/>
      <c r="K90" s="173"/>
      <c r="L90" s="173"/>
      <c r="M90" s="341"/>
      <c r="N90" s="342"/>
      <c r="O90" s="341"/>
      <c r="P90" s="342"/>
      <c r="Q90" s="173"/>
      <c r="R90" s="173"/>
      <c r="S90" s="341"/>
      <c r="T90" s="342"/>
      <c r="U90" s="341"/>
      <c r="V90" s="173"/>
      <c r="W90" s="45"/>
      <c r="X90" s="27"/>
      <c r="Y90" s="27"/>
      <c r="Z90" s="27"/>
      <c r="AA90" s="151"/>
    </row>
    <row r="91" spans="1:27" ht="15.75" x14ac:dyDescent="0.25">
      <c r="A91" s="338"/>
      <c r="B91" s="339"/>
      <c r="C91" s="339"/>
      <c r="D91" s="491"/>
      <c r="E91" s="173"/>
      <c r="F91" s="340"/>
      <c r="G91" s="341"/>
      <c r="H91" s="342"/>
      <c r="I91" s="341"/>
      <c r="J91" s="342"/>
      <c r="K91" s="173"/>
      <c r="L91" s="173"/>
      <c r="M91" s="341"/>
      <c r="N91" s="342"/>
      <c r="O91" s="341"/>
      <c r="P91" s="342"/>
      <c r="Q91" s="173"/>
      <c r="R91" s="173"/>
      <c r="S91" s="341"/>
      <c r="T91" s="342"/>
      <c r="U91" s="341"/>
      <c r="V91" s="173"/>
      <c r="W91" s="45"/>
      <c r="X91" s="27"/>
      <c r="Y91" s="27"/>
      <c r="Z91" s="27"/>
      <c r="AA91" s="151"/>
    </row>
    <row r="92" spans="1:27" ht="15.75" x14ac:dyDescent="0.25">
      <c r="A92" s="338"/>
      <c r="B92" s="339"/>
      <c r="C92" s="339"/>
      <c r="D92" s="491"/>
      <c r="E92" s="173"/>
      <c r="F92" s="340"/>
      <c r="G92" s="341"/>
      <c r="H92" s="342"/>
      <c r="I92" s="341"/>
      <c r="J92" s="342"/>
      <c r="K92" s="173"/>
      <c r="L92" s="173"/>
      <c r="M92" s="341"/>
      <c r="N92" s="342"/>
      <c r="O92" s="341"/>
      <c r="P92" s="342"/>
      <c r="Q92" s="173"/>
      <c r="R92" s="173"/>
      <c r="S92" s="341"/>
      <c r="T92" s="342"/>
      <c r="U92" s="341"/>
      <c r="V92" s="173"/>
      <c r="W92" s="45"/>
      <c r="X92" s="27"/>
      <c r="Y92" s="27"/>
      <c r="Z92" s="27"/>
      <c r="AA92" s="151"/>
    </row>
    <row r="93" spans="1:27" ht="15.75" x14ac:dyDescent="0.25">
      <c r="A93" s="338"/>
      <c r="B93" s="339"/>
      <c r="C93" s="339"/>
      <c r="D93" s="491"/>
      <c r="E93" s="173"/>
      <c r="F93" s="340"/>
      <c r="G93" s="341"/>
      <c r="H93" s="342"/>
      <c r="I93" s="341"/>
      <c r="J93" s="342"/>
      <c r="K93" s="173"/>
      <c r="L93" s="173"/>
      <c r="M93" s="341"/>
      <c r="N93" s="342"/>
      <c r="O93" s="341"/>
      <c r="P93" s="342"/>
      <c r="Q93" s="173"/>
      <c r="R93" s="173"/>
      <c r="S93" s="341"/>
      <c r="T93" s="342"/>
      <c r="U93" s="341"/>
      <c r="V93" s="173"/>
      <c r="W93" s="45"/>
      <c r="X93" s="27"/>
      <c r="Y93" s="27"/>
      <c r="Z93" s="27"/>
      <c r="AA93" s="151"/>
    </row>
    <row r="94" spans="1:27" ht="15.75" x14ac:dyDescent="0.25">
      <c r="A94" s="338"/>
      <c r="B94" s="339"/>
      <c r="C94" s="339"/>
      <c r="D94" s="491"/>
      <c r="E94" s="173"/>
      <c r="F94" s="340"/>
      <c r="G94" s="341"/>
      <c r="H94" s="342"/>
      <c r="I94" s="341"/>
      <c r="J94" s="342"/>
      <c r="K94" s="173"/>
      <c r="L94" s="173"/>
      <c r="M94" s="341"/>
      <c r="N94" s="342"/>
      <c r="O94" s="341"/>
      <c r="P94" s="342"/>
      <c r="Q94" s="173"/>
      <c r="R94" s="173"/>
      <c r="S94" s="341"/>
      <c r="T94" s="342"/>
      <c r="U94" s="341"/>
      <c r="V94" s="173"/>
      <c r="W94" s="45"/>
      <c r="X94" s="27"/>
      <c r="Y94" s="27"/>
      <c r="Z94" s="27"/>
      <c r="AA94" s="151"/>
    </row>
    <row r="95" spans="1:27" ht="15.75" x14ac:dyDescent="0.25">
      <c r="A95" s="338"/>
      <c r="B95" s="339"/>
      <c r="C95" s="339"/>
      <c r="D95" s="491"/>
      <c r="E95" s="173"/>
      <c r="F95" s="340"/>
      <c r="G95" s="341"/>
      <c r="H95" s="342"/>
      <c r="I95" s="341"/>
      <c r="J95" s="342"/>
      <c r="K95" s="173"/>
      <c r="L95" s="173"/>
      <c r="M95" s="341"/>
      <c r="N95" s="342"/>
      <c r="O95" s="341"/>
      <c r="P95" s="342"/>
      <c r="Q95" s="173"/>
      <c r="R95" s="173"/>
      <c r="S95" s="341"/>
      <c r="T95" s="342"/>
      <c r="U95" s="341"/>
      <c r="V95" s="173"/>
      <c r="W95" s="45"/>
      <c r="X95" s="27"/>
      <c r="Y95" s="27"/>
      <c r="Z95" s="27"/>
      <c r="AA95" s="151"/>
    </row>
    <row r="96" spans="1:27" ht="15.75" x14ac:dyDescent="0.25">
      <c r="A96" s="338"/>
      <c r="B96" s="339"/>
      <c r="C96" s="339"/>
      <c r="D96" s="491"/>
      <c r="E96" s="173"/>
      <c r="F96" s="340"/>
      <c r="G96" s="341"/>
      <c r="H96" s="342"/>
      <c r="I96" s="341"/>
      <c r="J96" s="342"/>
      <c r="K96" s="173"/>
      <c r="L96" s="173"/>
      <c r="M96" s="341"/>
      <c r="N96" s="342"/>
      <c r="O96" s="341"/>
      <c r="P96" s="342"/>
      <c r="Q96" s="173"/>
      <c r="R96" s="173"/>
      <c r="S96" s="341"/>
      <c r="T96" s="342"/>
      <c r="U96" s="341"/>
      <c r="V96" s="173"/>
      <c r="W96" s="45"/>
      <c r="X96" s="27"/>
      <c r="Y96" s="27"/>
      <c r="Z96" s="27"/>
      <c r="AA96" s="151"/>
    </row>
    <row r="97" spans="1:27" ht="15.75" x14ac:dyDescent="0.25">
      <c r="A97" s="338"/>
      <c r="B97" s="339"/>
      <c r="C97" s="339"/>
      <c r="D97" s="491"/>
      <c r="E97" s="173"/>
      <c r="F97" s="340"/>
      <c r="G97" s="341"/>
      <c r="H97" s="342"/>
      <c r="I97" s="341"/>
      <c r="J97" s="342"/>
      <c r="K97" s="173"/>
      <c r="L97" s="173"/>
      <c r="M97" s="341"/>
      <c r="N97" s="342"/>
      <c r="O97" s="341"/>
      <c r="P97" s="342"/>
      <c r="Q97" s="173"/>
      <c r="R97" s="173"/>
      <c r="S97" s="341"/>
      <c r="T97" s="342"/>
      <c r="U97" s="341"/>
      <c r="V97" s="173"/>
      <c r="W97" s="45"/>
      <c r="X97" s="27"/>
      <c r="Y97" s="27"/>
      <c r="Z97" s="27"/>
      <c r="AA97" s="151"/>
    </row>
    <row r="98" spans="1:27" ht="15.75" x14ac:dyDescent="0.25">
      <c r="A98" s="338"/>
      <c r="B98" s="339"/>
      <c r="C98" s="339"/>
      <c r="D98" s="491"/>
      <c r="E98" s="173"/>
      <c r="F98" s="340"/>
      <c r="G98" s="341"/>
      <c r="H98" s="342"/>
      <c r="I98" s="341"/>
      <c r="J98" s="342"/>
      <c r="K98" s="173"/>
      <c r="L98" s="173"/>
      <c r="M98" s="341"/>
      <c r="N98" s="342"/>
      <c r="O98" s="341"/>
      <c r="P98" s="342"/>
      <c r="Q98" s="173"/>
      <c r="R98" s="173"/>
      <c r="S98" s="341"/>
      <c r="T98" s="342"/>
      <c r="U98" s="341"/>
      <c r="V98" s="173"/>
      <c r="W98" s="45"/>
      <c r="X98" s="27"/>
      <c r="Y98" s="27"/>
      <c r="Z98" s="27"/>
      <c r="AA98" s="151"/>
    </row>
    <row r="99" spans="1:27" ht="15.75" x14ac:dyDescent="0.25">
      <c r="A99" s="338"/>
      <c r="B99" s="339"/>
      <c r="C99" s="339"/>
      <c r="D99" s="491"/>
      <c r="E99" s="173"/>
      <c r="F99" s="340"/>
      <c r="G99" s="341"/>
      <c r="H99" s="342"/>
      <c r="I99" s="341"/>
      <c r="J99" s="342"/>
      <c r="K99" s="173"/>
      <c r="L99" s="173"/>
      <c r="M99" s="341"/>
      <c r="N99" s="342"/>
      <c r="O99" s="341"/>
      <c r="P99" s="342"/>
      <c r="Q99" s="173"/>
      <c r="R99" s="173"/>
      <c r="S99" s="341"/>
      <c r="T99" s="342"/>
      <c r="U99" s="341"/>
      <c r="V99" s="173"/>
      <c r="W99" s="45"/>
      <c r="X99" s="27"/>
      <c r="Y99" s="27"/>
      <c r="Z99" s="27"/>
      <c r="AA99" s="151"/>
    </row>
    <row r="100" spans="1:27" ht="15.75" x14ac:dyDescent="0.25">
      <c r="A100" s="338"/>
      <c r="B100" s="339"/>
      <c r="C100" s="339"/>
      <c r="D100" s="491"/>
      <c r="E100" s="173"/>
      <c r="F100" s="340"/>
      <c r="G100" s="341"/>
      <c r="H100" s="342"/>
      <c r="I100" s="341"/>
      <c r="J100" s="342"/>
      <c r="K100" s="173"/>
      <c r="L100" s="173"/>
      <c r="M100" s="341"/>
      <c r="N100" s="342"/>
      <c r="O100" s="341"/>
      <c r="P100" s="342"/>
      <c r="Q100" s="173"/>
      <c r="R100" s="173"/>
      <c r="S100" s="341"/>
      <c r="T100" s="342"/>
      <c r="U100" s="341"/>
      <c r="V100" s="173"/>
      <c r="W100" s="45"/>
      <c r="X100" s="27"/>
      <c r="Y100" s="27"/>
      <c r="Z100" s="27"/>
      <c r="AA100" s="151"/>
    </row>
    <row r="101" spans="1:27" ht="15.75" x14ac:dyDescent="0.25">
      <c r="A101" s="338"/>
      <c r="B101" s="339"/>
      <c r="C101" s="339"/>
      <c r="D101" s="491"/>
      <c r="E101" s="173"/>
      <c r="F101" s="340"/>
      <c r="G101" s="341"/>
      <c r="H101" s="342"/>
      <c r="I101" s="341"/>
      <c r="J101" s="342"/>
      <c r="K101" s="173"/>
      <c r="L101" s="173"/>
      <c r="M101" s="341"/>
      <c r="N101" s="342"/>
      <c r="O101" s="341"/>
      <c r="P101" s="342"/>
      <c r="Q101" s="173"/>
      <c r="R101" s="173"/>
      <c r="S101" s="341"/>
      <c r="T101" s="342"/>
      <c r="U101" s="341"/>
      <c r="V101" s="173"/>
      <c r="W101" s="45"/>
      <c r="X101" s="27"/>
      <c r="Y101" s="27"/>
      <c r="Z101" s="27"/>
      <c r="AA101" s="151"/>
    </row>
    <row r="102" spans="1:27" ht="15.75" x14ac:dyDescent="0.25">
      <c r="A102" s="338"/>
      <c r="B102" s="339"/>
      <c r="C102" s="339"/>
      <c r="D102" s="491"/>
      <c r="E102" s="173"/>
      <c r="F102" s="340"/>
      <c r="G102" s="341"/>
      <c r="H102" s="342"/>
      <c r="I102" s="341"/>
      <c r="J102" s="342"/>
      <c r="K102" s="173"/>
      <c r="L102" s="173"/>
      <c r="M102" s="341"/>
      <c r="N102" s="342"/>
      <c r="O102" s="341"/>
      <c r="P102" s="342"/>
      <c r="Q102" s="173"/>
      <c r="R102" s="173"/>
      <c r="S102" s="341"/>
      <c r="T102" s="342"/>
      <c r="U102" s="341"/>
      <c r="V102" s="173"/>
      <c r="W102" s="45"/>
      <c r="X102" s="27"/>
      <c r="Y102" s="27"/>
      <c r="Z102" s="27"/>
      <c r="AA102" s="151"/>
    </row>
    <row r="103" spans="1:27" ht="15.75" x14ac:dyDescent="0.25">
      <c r="A103" s="338"/>
      <c r="B103" s="339"/>
      <c r="C103" s="339"/>
      <c r="D103" s="491"/>
      <c r="E103" s="173"/>
      <c r="F103" s="340"/>
      <c r="G103" s="341"/>
      <c r="H103" s="342"/>
      <c r="I103" s="341"/>
      <c r="J103" s="342"/>
      <c r="K103" s="173"/>
      <c r="L103" s="173"/>
      <c r="M103" s="341"/>
      <c r="N103" s="342"/>
      <c r="O103" s="341"/>
      <c r="P103" s="342"/>
      <c r="Q103" s="173"/>
      <c r="R103" s="173"/>
      <c r="S103" s="341"/>
      <c r="T103" s="342"/>
      <c r="U103" s="341"/>
      <c r="V103" s="173"/>
      <c r="W103" s="45"/>
      <c r="X103" s="27"/>
      <c r="Y103" s="27"/>
      <c r="Z103" s="27"/>
      <c r="AA103" s="151"/>
    </row>
    <row r="104" spans="1:27" ht="15.75" x14ac:dyDescent="0.25">
      <c r="A104" s="338"/>
      <c r="B104" s="339"/>
      <c r="C104" s="339"/>
      <c r="D104" s="491"/>
      <c r="E104" s="173"/>
      <c r="F104" s="340"/>
      <c r="G104" s="341"/>
      <c r="H104" s="342"/>
      <c r="I104" s="341"/>
      <c r="J104" s="342"/>
      <c r="K104" s="173"/>
      <c r="L104" s="173"/>
      <c r="M104" s="341"/>
      <c r="N104" s="342"/>
      <c r="O104" s="341"/>
      <c r="P104" s="342"/>
      <c r="Q104" s="173"/>
      <c r="R104" s="173"/>
      <c r="S104" s="341"/>
      <c r="T104" s="342"/>
      <c r="U104" s="341"/>
      <c r="V104" s="173"/>
      <c r="W104" s="45"/>
      <c r="X104" s="27"/>
      <c r="Y104" s="27"/>
      <c r="Z104" s="27"/>
      <c r="AA104" s="151"/>
    </row>
    <row r="105" spans="1:27" ht="15.75" x14ac:dyDescent="0.25">
      <c r="A105" s="338"/>
      <c r="B105" s="339"/>
      <c r="C105" s="339"/>
      <c r="D105" s="491"/>
      <c r="E105" s="173"/>
      <c r="F105" s="340"/>
      <c r="G105" s="341"/>
      <c r="H105" s="342"/>
      <c r="I105" s="341"/>
      <c r="J105" s="342"/>
      <c r="K105" s="173"/>
      <c r="L105" s="173"/>
      <c r="M105" s="341"/>
      <c r="N105" s="342"/>
      <c r="O105" s="341"/>
      <c r="P105" s="342"/>
      <c r="Q105" s="173"/>
      <c r="R105" s="173"/>
      <c r="S105" s="341"/>
      <c r="T105" s="342"/>
      <c r="U105" s="341"/>
      <c r="V105" s="173"/>
      <c r="W105" s="45"/>
      <c r="X105" s="27"/>
      <c r="Y105" s="27"/>
      <c r="Z105" s="27"/>
      <c r="AA105" s="151"/>
    </row>
    <row r="106" spans="1:27" ht="15.75" x14ac:dyDescent="0.25">
      <c r="A106" s="338"/>
      <c r="B106" s="339"/>
      <c r="C106" s="339"/>
      <c r="D106" s="491"/>
      <c r="E106" s="173"/>
      <c r="F106" s="340"/>
      <c r="G106" s="341"/>
      <c r="H106" s="342"/>
      <c r="I106" s="341"/>
      <c r="J106" s="342"/>
      <c r="K106" s="173"/>
      <c r="L106" s="173"/>
      <c r="M106" s="341"/>
      <c r="N106" s="342"/>
      <c r="O106" s="341"/>
      <c r="P106" s="342"/>
      <c r="Q106" s="173"/>
      <c r="R106" s="173"/>
      <c r="S106" s="341"/>
      <c r="T106" s="342"/>
      <c r="U106" s="341"/>
      <c r="V106" s="173"/>
      <c r="W106" s="45"/>
      <c r="X106" s="27"/>
      <c r="Y106" s="27"/>
      <c r="Z106" s="27"/>
      <c r="AA106" s="151"/>
    </row>
    <row r="107" spans="1:27" ht="15.75" x14ac:dyDescent="0.25">
      <c r="A107" s="338"/>
      <c r="B107" s="339"/>
      <c r="C107" s="339"/>
      <c r="D107" s="491"/>
      <c r="E107" s="173"/>
      <c r="F107" s="340"/>
      <c r="G107" s="341"/>
      <c r="H107" s="342"/>
      <c r="I107" s="341"/>
      <c r="J107" s="342"/>
      <c r="K107" s="173"/>
      <c r="L107" s="173"/>
      <c r="M107" s="341"/>
      <c r="N107" s="342"/>
      <c r="O107" s="341"/>
      <c r="P107" s="342"/>
      <c r="Q107" s="173"/>
      <c r="R107" s="173"/>
      <c r="S107" s="341"/>
      <c r="T107" s="342"/>
      <c r="U107" s="341"/>
      <c r="V107" s="173"/>
      <c r="W107" s="45"/>
      <c r="X107" s="27"/>
      <c r="Y107" s="27"/>
      <c r="Z107" s="27"/>
      <c r="AA107" s="151"/>
    </row>
    <row r="108" spans="1:27" ht="15.75" x14ac:dyDescent="0.25">
      <c r="A108" s="338"/>
      <c r="B108" s="339"/>
      <c r="C108" s="339"/>
      <c r="D108" s="491"/>
      <c r="E108" s="173"/>
      <c r="F108" s="340"/>
      <c r="G108" s="341"/>
      <c r="H108" s="342"/>
      <c r="I108" s="341"/>
      <c r="J108" s="342"/>
      <c r="K108" s="173"/>
      <c r="L108" s="173"/>
      <c r="M108" s="341"/>
      <c r="N108" s="342"/>
      <c r="O108" s="341"/>
      <c r="P108" s="342"/>
      <c r="Q108" s="173"/>
      <c r="R108" s="173"/>
      <c r="S108" s="341"/>
      <c r="T108" s="342"/>
      <c r="U108" s="341"/>
      <c r="V108" s="173"/>
      <c r="W108" s="45"/>
      <c r="X108" s="27"/>
      <c r="Y108" s="27"/>
      <c r="Z108" s="27"/>
      <c r="AA108" s="151"/>
    </row>
    <row r="109" spans="1:27" ht="15.75" x14ac:dyDescent="0.25">
      <c r="A109" s="338"/>
      <c r="B109" s="339"/>
      <c r="C109" s="339"/>
      <c r="D109" s="491"/>
      <c r="E109" s="173"/>
      <c r="F109" s="340"/>
      <c r="G109" s="341"/>
      <c r="H109" s="342"/>
      <c r="I109" s="341"/>
      <c r="J109" s="342"/>
      <c r="K109" s="173"/>
      <c r="L109" s="173"/>
      <c r="M109" s="341"/>
      <c r="N109" s="342"/>
      <c r="O109" s="341"/>
      <c r="P109" s="342"/>
      <c r="Q109" s="173"/>
      <c r="R109" s="173"/>
      <c r="S109" s="341"/>
      <c r="T109" s="342"/>
      <c r="U109" s="341"/>
      <c r="V109" s="173"/>
      <c r="W109" s="45"/>
      <c r="X109" s="27"/>
      <c r="Y109" s="27"/>
      <c r="Z109" s="27"/>
      <c r="AA109" s="151"/>
    </row>
    <row r="110" spans="1:27" ht="15.75" x14ac:dyDescent="0.25">
      <c r="A110" s="338"/>
      <c r="B110" s="339"/>
      <c r="C110" s="339"/>
      <c r="D110" s="491"/>
      <c r="E110" s="173"/>
      <c r="F110" s="340"/>
      <c r="G110" s="341"/>
      <c r="H110" s="342"/>
      <c r="I110" s="341"/>
      <c r="J110" s="342"/>
      <c r="K110" s="173"/>
      <c r="L110" s="173"/>
      <c r="M110" s="341"/>
      <c r="N110" s="342"/>
      <c r="O110" s="341"/>
      <c r="P110" s="342"/>
      <c r="Q110" s="173"/>
      <c r="R110" s="173"/>
      <c r="S110" s="341"/>
      <c r="T110" s="342"/>
      <c r="U110" s="341"/>
      <c r="V110" s="173"/>
      <c r="W110" s="45"/>
      <c r="X110" s="27"/>
      <c r="Y110" s="27"/>
      <c r="Z110" s="27"/>
      <c r="AA110" s="151"/>
    </row>
    <row r="111" spans="1:27" ht="15.75" x14ac:dyDescent="0.25">
      <c r="A111" s="338"/>
      <c r="B111" s="339"/>
      <c r="C111" s="339"/>
      <c r="D111" s="491"/>
      <c r="E111" s="173"/>
      <c r="F111" s="340"/>
      <c r="G111" s="341"/>
      <c r="H111" s="342"/>
      <c r="I111" s="341"/>
      <c r="J111" s="342"/>
      <c r="K111" s="173"/>
      <c r="L111" s="173"/>
      <c r="M111" s="341"/>
      <c r="N111" s="342"/>
      <c r="O111" s="341"/>
      <c r="P111" s="342"/>
      <c r="Q111" s="173"/>
      <c r="R111" s="173"/>
      <c r="S111" s="341"/>
      <c r="T111" s="342"/>
      <c r="U111" s="341"/>
      <c r="V111" s="173"/>
      <c r="W111" s="45"/>
      <c r="X111" s="27"/>
      <c r="Y111" s="27"/>
      <c r="Z111" s="27"/>
      <c r="AA111" s="151"/>
    </row>
    <row r="112" spans="1:27" ht="15.75" x14ac:dyDescent="0.25">
      <c r="A112" s="338"/>
      <c r="B112" s="339"/>
      <c r="C112" s="339"/>
      <c r="D112" s="491"/>
      <c r="E112" s="173"/>
      <c r="F112" s="340"/>
      <c r="G112" s="341"/>
      <c r="H112" s="342"/>
      <c r="I112" s="341"/>
      <c r="J112" s="342"/>
      <c r="K112" s="173"/>
      <c r="L112" s="173"/>
      <c r="M112" s="341"/>
      <c r="N112" s="342"/>
      <c r="O112" s="341"/>
      <c r="P112" s="342"/>
      <c r="Q112" s="173"/>
      <c r="R112" s="173"/>
      <c r="S112" s="341"/>
      <c r="T112" s="342"/>
      <c r="U112" s="341"/>
      <c r="V112" s="173"/>
      <c r="W112" s="45"/>
      <c r="X112" s="27"/>
      <c r="Y112" s="27"/>
      <c r="Z112" s="27"/>
      <c r="AA112" s="151"/>
    </row>
    <row r="113" spans="1:27" ht="15.75" x14ac:dyDescent="0.25">
      <c r="A113" s="338"/>
      <c r="B113" s="339"/>
      <c r="C113" s="339"/>
      <c r="D113" s="491"/>
      <c r="E113" s="173"/>
      <c r="F113" s="340"/>
      <c r="G113" s="341"/>
      <c r="H113" s="342"/>
      <c r="I113" s="341"/>
      <c r="J113" s="342"/>
      <c r="K113" s="173"/>
      <c r="L113" s="173"/>
      <c r="M113" s="341"/>
      <c r="N113" s="342"/>
      <c r="O113" s="341"/>
      <c r="P113" s="342"/>
      <c r="Q113" s="173"/>
      <c r="R113" s="173"/>
      <c r="S113" s="341"/>
      <c r="T113" s="342"/>
      <c r="U113" s="341"/>
      <c r="V113" s="173"/>
      <c r="W113" s="45"/>
      <c r="X113" s="27"/>
      <c r="Y113" s="27"/>
      <c r="Z113" s="27"/>
      <c r="AA113" s="151"/>
    </row>
    <row r="114" spans="1:27" ht="15.75" x14ac:dyDescent="0.25">
      <c r="A114" s="338"/>
      <c r="B114" s="339"/>
      <c r="C114" s="339"/>
      <c r="D114" s="491"/>
      <c r="E114" s="173"/>
      <c r="F114" s="340"/>
      <c r="G114" s="341"/>
      <c r="H114" s="342"/>
      <c r="I114" s="341"/>
      <c r="J114" s="342"/>
      <c r="K114" s="173"/>
      <c r="L114" s="173"/>
      <c r="M114" s="341"/>
      <c r="N114" s="342"/>
      <c r="O114" s="341"/>
      <c r="P114" s="342"/>
      <c r="Q114" s="173"/>
      <c r="R114" s="173"/>
      <c r="S114" s="341"/>
      <c r="T114" s="342"/>
      <c r="U114" s="341"/>
      <c r="V114" s="173"/>
      <c r="W114" s="45"/>
      <c r="X114" s="27"/>
      <c r="Y114" s="27"/>
      <c r="Z114" s="27"/>
      <c r="AA114" s="151"/>
    </row>
    <row r="115" spans="1:27" ht="15.75" x14ac:dyDescent="0.25">
      <c r="A115" s="338"/>
      <c r="B115" s="339"/>
      <c r="C115" s="339"/>
      <c r="D115" s="491"/>
      <c r="E115" s="173"/>
      <c r="F115" s="340"/>
      <c r="G115" s="341"/>
      <c r="H115" s="342"/>
      <c r="I115" s="341"/>
      <c r="J115" s="342"/>
      <c r="K115" s="173"/>
      <c r="L115" s="173"/>
      <c r="M115" s="341"/>
      <c r="N115" s="342"/>
      <c r="O115" s="341"/>
      <c r="P115" s="342"/>
      <c r="Q115" s="173"/>
      <c r="R115" s="173"/>
      <c r="S115" s="341"/>
      <c r="T115" s="342"/>
      <c r="U115" s="341"/>
      <c r="V115" s="173"/>
      <c r="W115" s="45"/>
      <c r="X115" s="27"/>
      <c r="Y115" s="27"/>
      <c r="Z115" s="27"/>
      <c r="AA115" s="151"/>
    </row>
    <row r="116" spans="1:27" ht="15.75" x14ac:dyDescent="0.25">
      <c r="A116" s="338"/>
      <c r="B116" s="339"/>
      <c r="C116" s="339"/>
      <c r="D116" s="491"/>
      <c r="E116" s="173"/>
      <c r="F116" s="340"/>
      <c r="G116" s="341"/>
      <c r="H116" s="342"/>
      <c r="I116" s="341"/>
      <c r="J116" s="342"/>
      <c r="K116" s="173"/>
      <c r="L116" s="173"/>
      <c r="M116" s="341"/>
      <c r="N116" s="342"/>
      <c r="O116" s="341"/>
      <c r="P116" s="342"/>
      <c r="Q116" s="173"/>
      <c r="R116" s="173"/>
      <c r="S116" s="341"/>
      <c r="T116" s="342"/>
      <c r="U116" s="341"/>
      <c r="V116" s="173"/>
      <c r="W116" s="45"/>
      <c r="X116" s="27"/>
      <c r="Y116" s="27"/>
      <c r="Z116" s="27"/>
      <c r="AA116" s="151"/>
    </row>
    <row r="117" spans="1:27" ht="15.75" x14ac:dyDescent="0.25">
      <c r="A117" s="338"/>
      <c r="B117" s="339"/>
      <c r="C117" s="339"/>
      <c r="D117" s="491"/>
      <c r="E117" s="173"/>
      <c r="F117" s="340"/>
      <c r="G117" s="341"/>
      <c r="H117" s="342"/>
      <c r="I117" s="341"/>
      <c r="J117" s="342"/>
      <c r="K117" s="173"/>
      <c r="L117" s="173"/>
      <c r="M117" s="341"/>
      <c r="N117" s="342"/>
      <c r="O117" s="341"/>
      <c r="P117" s="342"/>
      <c r="Q117" s="173"/>
      <c r="R117" s="173"/>
      <c r="S117" s="341"/>
      <c r="T117" s="342"/>
      <c r="U117" s="341"/>
      <c r="V117" s="173"/>
      <c r="W117" s="45"/>
      <c r="X117" s="27"/>
      <c r="Y117" s="27"/>
      <c r="Z117" s="27"/>
      <c r="AA117" s="151"/>
    </row>
    <row r="118" spans="1:27" ht="15.75" x14ac:dyDescent="0.25">
      <c r="A118" s="338"/>
      <c r="B118" s="339"/>
      <c r="C118" s="339"/>
      <c r="D118" s="491"/>
      <c r="E118" s="173"/>
      <c r="F118" s="340"/>
      <c r="G118" s="341"/>
      <c r="H118" s="342"/>
      <c r="I118" s="341"/>
      <c r="J118" s="342"/>
      <c r="K118" s="173"/>
      <c r="L118" s="173"/>
      <c r="M118" s="341"/>
      <c r="N118" s="342"/>
      <c r="O118" s="341"/>
      <c r="P118" s="342"/>
      <c r="Q118" s="173"/>
      <c r="R118" s="173"/>
      <c r="S118" s="341"/>
      <c r="T118" s="342"/>
      <c r="U118" s="341"/>
      <c r="V118" s="173"/>
      <c r="W118" s="45"/>
      <c r="X118" s="27"/>
      <c r="Y118" s="27"/>
      <c r="Z118" s="27"/>
      <c r="AA118" s="151"/>
    </row>
    <row r="119" spans="1:27" ht="15.75" x14ac:dyDescent="0.25">
      <c r="A119" s="338"/>
      <c r="B119" s="339"/>
      <c r="C119" s="339"/>
      <c r="D119" s="491"/>
      <c r="E119" s="173"/>
      <c r="F119" s="340"/>
      <c r="G119" s="341"/>
      <c r="H119" s="342"/>
      <c r="I119" s="341"/>
      <c r="J119" s="342"/>
      <c r="K119" s="173"/>
      <c r="L119" s="173"/>
      <c r="M119" s="341"/>
      <c r="N119" s="342"/>
      <c r="O119" s="341"/>
      <c r="P119" s="342"/>
      <c r="Q119" s="173"/>
      <c r="R119" s="173"/>
      <c r="S119" s="341"/>
      <c r="T119" s="342"/>
      <c r="U119" s="341"/>
      <c r="V119" s="173"/>
      <c r="W119" s="45"/>
      <c r="X119" s="27"/>
      <c r="Y119" s="27"/>
      <c r="Z119" s="27"/>
      <c r="AA119" s="151"/>
    </row>
    <row r="120" spans="1:27" ht="15.75" x14ac:dyDescent="0.25">
      <c r="A120" s="338"/>
      <c r="B120" s="339"/>
      <c r="C120" s="339"/>
      <c r="D120" s="491"/>
      <c r="E120" s="173"/>
      <c r="F120" s="340"/>
      <c r="G120" s="341"/>
      <c r="H120" s="342"/>
      <c r="I120" s="341"/>
      <c r="J120" s="342"/>
      <c r="K120" s="173"/>
      <c r="L120" s="173"/>
      <c r="M120" s="341"/>
      <c r="N120" s="342"/>
      <c r="O120" s="341"/>
      <c r="P120" s="342"/>
      <c r="Q120" s="173"/>
      <c r="R120" s="173"/>
      <c r="S120" s="341"/>
      <c r="T120" s="342"/>
      <c r="U120" s="341"/>
      <c r="V120" s="173"/>
      <c r="W120" s="45"/>
      <c r="X120" s="27"/>
      <c r="Y120" s="27"/>
      <c r="Z120" s="27"/>
      <c r="AA120" s="151"/>
    </row>
    <row r="121" spans="1:27" ht="15.75" x14ac:dyDescent="0.25">
      <c r="A121" s="338"/>
      <c r="B121" s="339"/>
      <c r="C121" s="339"/>
      <c r="D121" s="491"/>
      <c r="E121" s="173"/>
      <c r="F121" s="340"/>
      <c r="G121" s="341"/>
      <c r="H121" s="342"/>
      <c r="I121" s="341"/>
      <c r="J121" s="342"/>
      <c r="K121" s="173"/>
      <c r="L121" s="173"/>
      <c r="M121" s="341"/>
      <c r="N121" s="342"/>
      <c r="O121" s="341"/>
      <c r="P121" s="342"/>
      <c r="Q121" s="173"/>
      <c r="R121" s="173"/>
      <c r="S121" s="341"/>
      <c r="T121" s="342"/>
      <c r="U121" s="341"/>
      <c r="V121" s="173"/>
      <c r="W121" s="45"/>
      <c r="X121" s="27"/>
      <c r="Y121" s="27"/>
      <c r="Z121" s="27"/>
      <c r="AA121" s="151"/>
    </row>
    <row r="122" spans="1:27" ht="15.75" x14ac:dyDescent="0.25">
      <c r="A122" s="338"/>
      <c r="B122" s="339"/>
      <c r="C122" s="339"/>
      <c r="D122" s="491"/>
      <c r="E122" s="173"/>
      <c r="F122" s="340"/>
      <c r="G122" s="341"/>
      <c r="H122" s="342"/>
      <c r="I122" s="341"/>
      <c r="J122" s="342"/>
      <c r="K122" s="173"/>
      <c r="L122" s="173"/>
      <c r="M122" s="341"/>
      <c r="N122" s="342"/>
      <c r="O122" s="341"/>
      <c r="P122" s="342"/>
      <c r="Q122" s="173"/>
      <c r="R122" s="173"/>
      <c r="S122" s="341"/>
      <c r="T122" s="342"/>
      <c r="U122" s="341"/>
      <c r="V122" s="173"/>
      <c r="W122" s="45"/>
      <c r="X122" s="27"/>
      <c r="Y122" s="27"/>
      <c r="Z122" s="27"/>
      <c r="AA122" s="151"/>
    </row>
    <row r="123" spans="1:27" ht="15.75" x14ac:dyDescent="0.25">
      <c r="A123" s="338"/>
      <c r="B123" s="339"/>
      <c r="C123" s="339"/>
      <c r="D123" s="491"/>
      <c r="E123" s="173"/>
      <c r="F123" s="340"/>
      <c r="G123" s="341"/>
      <c r="H123" s="342"/>
      <c r="I123" s="341"/>
      <c r="J123" s="342"/>
      <c r="K123" s="173"/>
      <c r="L123" s="173"/>
      <c r="M123" s="341"/>
      <c r="N123" s="342"/>
      <c r="O123" s="341"/>
      <c r="P123" s="342"/>
      <c r="Q123" s="173"/>
      <c r="R123" s="173"/>
      <c r="S123" s="341"/>
      <c r="T123" s="342"/>
      <c r="U123" s="341"/>
      <c r="V123" s="173"/>
      <c r="W123" s="45"/>
      <c r="X123" s="27"/>
      <c r="Y123" s="27"/>
      <c r="Z123" s="27"/>
      <c r="AA123" s="151"/>
    </row>
    <row r="124" spans="1:27" ht="15.75" x14ac:dyDescent="0.25">
      <c r="A124" s="338"/>
      <c r="B124" s="339"/>
      <c r="C124" s="339"/>
      <c r="D124" s="491"/>
      <c r="E124" s="173"/>
      <c r="F124" s="340"/>
      <c r="G124" s="341"/>
      <c r="H124" s="342"/>
      <c r="I124" s="341"/>
      <c r="J124" s="342"/>
      <c r="K124" s="173"/>
      <c r="L124" s="173"/>
      <c r="M124" s="341"/>
      <c r="N124" s="342"/>
      <c r="O124" s="341"/>
      <c r="P124" s="342"/>
      <c r="Q124" s="173"/>
      <c r="R124" s="173"/>
      <c r="S124" s="341"/>
      <c r="T124" s="342"/>
      <c r="U124" s="341"/>
      <c r="V124" s="173"/>
      <c r="W124" s="45"/>
      <c r="X124" s="27"/>
      <c r="Y124" s="27"/>
      <c r="Z124" s="27"/>
      <c r="AA124" s="151"/>
    </row>
    <row r="125" spans="1:27" ht="15.75" x14ac:dyDescent="0.25">
      <c r="A125" s="338"/>
      <c r="B125" s="339"/>
      <c r="C125" s="339"/>
      <c r="D125" s="491"/>
      <c r="E125" s="173"/>
      <c r="F125" s="340"/>
      <c r="G125" s="341"/>
      <c r="H125" s="342"/>
      <c r="I125" s="341"/>
      <c r="J125" s="342"/>
      <c r="K125" s="173"/>
      <c r="L125" s="173"/>
      <c r="M125" s="341"/>
      <c r="N125" s="342"/>
      <c r="O125" s="341"/>
      <c r="P125" s="342"/>
      <c r="Q125" s="173"/>
      <c r="R125" s="173"/>
      <c r="S125" s="341"/>
      <c r="T125" s="342"/>
      <c r="U125" s="341"/>
      <c r="V125" s="173"/>
      <c r="W125" s="45"/>
      <c r="X125" s="27"/>
      <c r="Y125" s="27"/>
      <c r="Z125" s="27"/>
      <c r="AA125" s="151"/>
    </row>
    <row r="126" spans="1:27" ht="15.75" x14ac:dyDescent="0.25">
      <c r="A126" s="338"/>
      <c r="B126" s="339"/>
      <c r="C126" s="339"/>
      <c r="D126" s="491"/>
      <c r="E126" s="173"/>
      <c r="F126" s="340"/>
      <c r="G126" s="341"/>
      <c r="H126" s="342"/>
      <c r="I126" s="341"/>
      <c r="J126" s="342"/>
      <c r="K126" s="173"/>
      <c r="L126" s="173"/>
      <c r="M126" s="341"/>
      <c r="N126" s="342"/>
      <c r="O126" s="341"/>
      <c r="P126" s="342"/>
      <c r="Q126" s="173"/>
      <c r="R126" s="173"/>
      <c r="S126" s="341"/>
      <c r="T126" s="342"/>
      <c r="U126" s="341"/>
      <c r="V126" s="173"/>
      <c r="W126" s="45"/>
      <c r="X126" s="27"/>
      <c r="Y126" s="27"/>
      <c r="Z126" s="27"/>
      <c r="AA126" s="151"/>
    </row>
    <row r="127" spans="1:27" ht="15.75" x14ac:dyDescent="0.25">
      <c r="A127" s="338"/>
      <c r="B127" s="339"/>
      <c r="C127" s="339"/>
      <c r="D127" s="491"/>
      <c r="E127" s="173"/>
      <c r="F127" s="340"/>
      <c r="G127" s="341"/>
      <c r="H127" s="342"/>
      <c r="I127" s="341"/>
      <c r="J127" s="342"/>
      <c r="K127" s="173"/>
      <c r="L127" s="173"/>
      <c r="M127" s="341"/>
      <c r="N127" s="342"/>
      <c r="O127" s="341"/>
      <c r="P127" s="342"/>
      <c r="Q127" s="173"/>
      <c r="R127" s="173"/>
      <c r="S127" s="341"/>
      <c r="T127" s="342"/>
      <c r="U127" s="341"/>
      <c r="V127" s="173"/>
      <c r="W127" s="45"/>
      <c r="X127" s="27"/>
      <c r="Y127" s="27"/>
      <c r="Z127" s="27"/>
      <c r="AA127" s="151"/>
    </row>
    <row r="128" spans="1:27" ht="15.75" x14ac:dyDescent="0.25">
      <c r="A128" s="338"/>
      <c r="B128" s="339"/>
      <c r="C128" s="339"/>
      <c r="D128" s="491"/>
      <c r="E128" s="173"/>
      <c r="F128" s="340"/>
      <c r="G128" s="341"/>
      <c r="H128" s="342"/>
      <c r="I128" s="341"/>
      <c r="J128" s="342"/>
      <c r="K128" s="173"/>
      <c r="L128" s="173"/>
      <c r="M128" s="341"/>
      <c r="N128" s="342"/>
      <c r="O128" s="341"/>
      <c r="P128" s="342"/>
      <c r="Q128" s="173"/>
      <c r="R128" s="173"/>
      <c r="S128" s="341"/>
      <c r="T128" s="342"/>
      <c r="U128" s="341"/>
      <c r="V128" s="173"/>
      <c r="W128" s="45"/>
      <c r="X128" s="27"/>
      <c r="Y128" s="27"/>
      <c r="Z128" s="27"/>
      <c r="AA128" s="151"/>
    </row>
    <row r="129" spans="1:27" ht="15.75" x14ac:dyDescent="0.25">
      <c r="A129" s="338"/>
      <c r="B129" s="339"/>
      <c r="C129" s="339"/>
      <c r="D129" s="491"/>
      <c r="E129" s="173"/>
      <c r="F129" s="340"/>
      <c r="G129" s="341"/>
      <c r="H129" s="342"/>
      <c r="I129" s="341"/>
      <c r="J129" s="342"/>
      <c r="K129" s="173"/>
      <c r="L129" s="173"/>
      <c r="M129" s="341"/>
      <c r="N129" s="342"/>
      <c r="O129" s="341"/>
      <c r="P129" s="342"/>
      <c r="Q129" s="173"/>
      <c r="R129" s="173"/>
      <c r="S129" s="341"/>
      <c r="T129" s="342"/>
      <c r="U129" s="341"/>
      <c r="V129" s="173"/>
      <c r="W129" s="45"/>
      <c r="X129" s="27"/>
      <c r="Y129" s="27"/>
      <c r="Z129" s="27"/>
      <c r="AA129" s="151"/>
    </row>
    <row r="130" spans="1:27" ht="15.75" x14ac:dyDescent="0.25">
      <c r="A130" s="338"/>
      <c r="B130" s="339"/>
      <c r="C130" s="339"/>
      <c r="D130" s="491"/>
      <c r="E130" s="173"/>
      <c r="F130" s="340"/>
      <c r="G130" s="341"/>
      <c r="H130" s="342"/>
      <c r="I130" s="341"/>
      <c r="J130" s="342"/>
      <c r="K130" s="173"/>
      <c r="L130" s="173"/>
      <c r="M130" s="341"/>
      <c r="N130" s="342"/>
      <c r="O130" s="341"/>
      <c r="P130" s="342"/>
      <c r="Q130" s="173"/>
      <c r="R130" s="173"/>
      <c r="S130" s="341"/>
      <c r="T130" s="342"/>
      <c r="U130" s="341"/>
      <c r="V130" s="173"/>
      <c r="W130" s="45"/>
      <c r="X130" s="27"/>
      <c r="Y130" s="27"/>
      <c r="Z130" s="27"/>
      <c r="AA130" s="151"/>
    </row>
    <row r="131" spans="1:27" ht="15.75" x14ac:dyDescent="0.25">
      <c r="A131" s="338"/>
      <c r="B131" s="339"/>
      <c r="C131" s="339"/>
      <c r="D131" s="491"/>
      <c r="E131" s="173"/>
      <c r="F131" s="340"/>
      <c r="G131" s="341"/>
      <c r="H131" s="342"/>
      <c r="I131" s="341"/>
      <c r="J131" s="342"/>
      <c r="K131" s="173"/>
      <c r="L131" s="173"/>
      <c r="M131" s="341"/>
      <c r="N131" s="342"/>
      <c r="O131" s="341"/>
      <c r="P131" s="342"/>
      <c r="Q131" s="173"/>
      <c r="R131" s="173"/>
      <c r="S131" s="341"/>
      <c r="T131" s="342"/>
      <c r="U131" s="341"/>
      <c r="V131" s="173"/>
      <c r="W131" s="45"/>
      <c r="X131" s="27"/>
      <c r="Y131" s="27"/>
      <c r="Z131" s="27"/>
      <c r="AA131" s="151"/>
    </row>
    <row r="132" spans="1:27" ht="15.75" x14ac:dyDescent="0.25">
      <c r="A132" s="338"/>
      <c r="B132" s="339"/>
      <c r="C132" s="339"/>
      <c r="D132" s="491"/>
      <c r="E132" s="173"/>
      <c r="F132" s="340"/>
      <c r="G132" s="341"/>
      <c r="H132" s="342"/>
      <c r="I132" s="341"/>
      <c r="J132" s="342"/>
      <c r="K132" s="173"/>
      <c r="L132" s="173"/>
      <c r="M132" s="341"/>
      <c r="N132" s="342"/>
      <c r="O132" s="341"/>
      <c r="P132" s="342"/>
      <c r="Q132" s="173"/>
      <c r="R132" s="173"/>
      <c r="S132" s="341"/>
      <c r="T132" s="342"/>
      <c r="U132" s="341"/>
      <c r="V132" s="173"/>
      <c r="W132" s="45"/>
      <c r="X132" s="27"/>
      <c r="Y132" s="27"/>
      <c r="Z132" s="27"/>
      <c r="AA132" s="151"/>
    </row>
    <row r="133" spans="1:27" ht="15.75" x14ac:dyDescent="0.25">
      <c r="A133" s="338"/>
      <c r="B133" s="339"/>
      <c r="C133" s="339"/>
      <c r="D133" s="491"/>
      <c r="E133" s="173"/>
      <c r="F133" s="340"/>
      <c r="G133" s="341"/>
      <c r="H133" s="342"/>
      <c r="I133" s="341"/>
      <c r="J133" s="342"/>
      <c r="K133" s="173"/>
      <c r="L133" s="173"/>
      <c r="M133" s="341"/>
      <c r="N133" s="342"/>
      <c r="O133" s="341"/>
      <c r="P133" s="342"/>
      <c r="Q133" s="173"/>
      <c r="R133" s="173"/>
      <c r="S133" s="341"/>
      <c r="T133" s="342"/>
      <c r="U133" s="341"/>
      <c r="V133" s="173"/>
      <c r="W133" s="45"/>
      <c r="X133" s="27"/>
      <c r="Y133" s="27"/>
      <c r="Z133" s="27"/>
      <c r="AA133" s="151"/>
    </row>
    <row r="134" spans="1:27" ht="15.75" x14ac:dyDescent="0.25">
      <c r="A134" s="338"/>
      <c r="B134" s="339"/>
      <c r="C134" s="339"/>
      <c r="D134" s="491"/>
      <c r="E134" s="173"/>
      <c r="F134" s="340"/>
      <c r="G134" s="341"/>
      <c r="H134" s="342"/>
      <c r="I134" s="341"/>
      <c r="J134" s="342"/>
      <c r="K134" s="173"/>
      <c r="L134" s="173"/>
      <c r="M134" s="341"/>
      <c r="N134" s="342"/>
      <c r="O134" s="341"/>
      <c r="P134" s="342"/>
      <c r="Q134" s="173"/>
      <c r="R134" s="173"/>
      <c r="S134" s="341"/>
      <c r="T134" s="342"/>
      <c r="U134" s="341"/>
      <c r="V134" s="173"/>
      <c r="W134" s="45"/>
      <c r="X134" s="27"/>
      <c r="Y134" s="27"/>
      <c r="Z134" s="27"/>
      <c r="AA134" s="151"/>
    </row>
    <row r="135" spans="1:27" ht="15.75" x14ac:dyDescent="0.25">
      <c r="A135" s="338"/>
      <c r="B135" s="339"/>
      <c r="C135" s="339"/>
      <c r="D135" s="491"/>
      <c r="E135" s="173"/>
      <c r="F135" s="340"/>
      <c r="G135" s="341"/>
      <c r="H135" s="342"/>
      <c r="I135" s="341"/>
      <c r="J135" s="342"/>
      <c r="K135" s="173"/>
      <c r="L135" s="173"/>
      <c r="M135" s="341"/>
      <c r="N135" s="342"/>
      <c r="O135" s="341"/>
      <c r="P135" s="342"/>
      <c r="Q135" s="173"/>
      <c r="R135" s="173"/>
      <c r="S135" s="341"/>
      <c r="T135" s="342"/>
      <c r="U135" s="341"/>
      <c r="V135" s="173"/>
      <c r="W135" s="45"/>
      <c r="X135" s="27"/>
      <c r="Y135" s="27"/>
      <c r="Z135" s="27"/>
      <c r="AA135" s="151"/>
    </row>
    <row r="136" spans="1:27" ht="15.75" x14ac:dyDescent="0.25">
      <c r="A136" s="338"/>
      <c r="B136" s="339"/>
      <c r="C136" s="339"/>
      <c r="D136" s="491"/>
      <c r="E136" s="173"/>
      <c r="F136" s="340"/>
      <c r="G136" s="341"/>
      <c r="H136" s="342"/>
      <c r="I136" s="341"/>
      <c r="J136" s="342"/>
      <c r="K136" s="173"/>
      <c r="L136" s="173"/>
      <c r="M136" s="341"/>
      <c r="N136" s="342"/>
      <c r="O136" s="341"/>
      <c r="P136" s="342"/>
      <c r="Q136" s="173"/>
      <c r="R136" s="173"/>
      <c r="S136" s="341"/>
      <c r="T136" s="342"/>
      <c r="U136" s="341"/>
      <c r="V136" s="173"/>
      <c r="W136" s="45"/>
      <c r="X136" s="27"/>
      <c r="Y136" s="27"/>
      <c r="Z136" s="27"/>
      <c r="AA136" s="151"/>
    </row>
    <row r="137" spans="1:27" ht="15.75" x14ac:dyDescent="0.25">
      <c r="A137" s="338"/>
      <c r="B137" s="339"/>
      <c r="C137" s="339"/>
      <c r="D137" s="491"/>
      <c r="E137" s="173"/>
      <c r="F137" s="340"/>
      <c r="G137" s="341"/>
      <c r="H137" s="342"/>
      <c r="I137" s="341"/>
      <c r="J137" s="342"/>
      <c r="K137" s="173"/>
      <c r="L137" s="173"/>
      <c r="M137" s="341"/>
      <c r="N137" s="342"/>
      <c r="O137" s="341"/>
      <c r="P137" s="342"/>
      <c r="Q137" s="173"/>
      <c r="R137" s="173"/>
      <c r="S137" s="341"/>
      <c r="T137" s="342"/>
      <c r="U137" s="341"/>
      <c r="V137" s="173"/>
      <c r="W137" s="45"/>
      <c r="X137" s="27"/>
      <c r="Y137" s="27"/>
      <c r="Z137" s="27"/>
      <c r="AA137" s="151"/>
    </row>
    <row r="138" spans="1:27" ht="15.75" x14ac:dyDescent="0.25">
      <c r="A138" s="338"/>
      <c r="B138" s="339"/>
      <c r="C138" s="339"/>
      <c r="D138" s="491"/>
      <c r="E138" s="173"/>
      <c r="F138" s="340"/>
      <c r="G138" s="341"/>
      <c r="H138" s="342"/>
      <c r="I138" s="341"/>
      <c r="J138" s="342"/>
      <c r="K138" s="173"/>
      <c r="L138" s="173"/>
      <c r="M138" s="341"/>
      <c r="N138" s="342"/>
      <c r="O138" s="341"/>
      <c r="P138" s="342"/>
      <c r="Q138" s="173"/>
      <c r="R138" s="173"/>
      <c r="S138" s="341"/>
      <c r="T138" s="342"/>
      <c r="U138" s="341"/>
      <c r="V138" s="173"/>
      <c r="W138" s="45"/>
      <c r="X138" s="27"/>
      <c r="Y138" s="27"/>
      <c r="Z138" s="27"/>
      <c r="AA138" s="151"/>
    </row>
    <row r="139" spans="1:27" ht="15.75" x14ac:dyDescent="0.25">
      <c r="A139" s="338"/>
      <c r="B139" s="339"/>
      <c r="C139" s="339"/>
      <c r="D139" s="491"/>
      <c r="E139" s="173"/>
      <c r="F139" s="340"/>
      <c r="G139" s="341"/>
      <c r="H139" s="342"/>
      <c r="I139" s="341"/>
      <c r="J139" s="342"/>
      <c r="K139" s="173"/>
      <c r="L139" s="173"/>
      <c r="M139" s="341"/>
      <c r="N139" s="342"/>
      <c r="O139" s="341"/>
      <c r="P139" s="342"/>
      <c r="Q139" s="173"/>
      <c r="R139" s="173"/>
      <c r="S139" s="341"/>
      <c r="T139" s="342"/>
      <c r="U139" s="341"/>
      <c r="V139" s="173"/>
      <c r="W139" s="45"/>
      <c r="X139" s="27"/>
      <c r="Y139" s="27"/>
      <c r="Z139" s="27"/>
      <c r="AA139" s="151"/>
    </row>
    <row r="140" spans="1:27" ht="15.75" x14ac:dyDescent="0.25">
      <c r="A140" s="338"/>
      <c r="B140" s="339"/>
      <c r="C140" s="339"/>
      <c r="D140" s="491"/>
      <c r="E140" s="173"/>
      <c r="F140" s="340"/>
      <c r="G140" s="341"/>
      <c r="H140" s="342"/>
      <c r="I140" s="341"/>
      <c r="J140" s="342"/>
      <c r="K140" s="173"/>
      <c r="L140" s="173"/>
      <c r="M140" s="341"/>
      <c r="N140" s="342"/>
      <c r="O140" s="341"/>
      <c r="P140" s="342"/>
      <c r="Q140" s="173"/>
      <c r="R140" s="173"/>
      <c r="S140" s="341"/>
      <c r="T140" s="342"/>
      <c r="U140" s="341"/>
      <c r="V140" s="173"/>
      <c r="W140" s="45"/>
      <c r="X140" s="27"/>
      <c r="Y140" s="27"/>
      <c r="Z140" s="27"/>
      <c r="AA140" s="151"/>
    </row>
    <row r="141" spans="1:27" ht="15.75" x14ac:dyDescent="0.25">
      <c r="A141" s="338"/>
      <c r="B141" s="339"/>
      <c r="C141" s="339"/>
      <c r="D141" s="491"/>
      <c r="E141" s="173"/>
      <c r="F141" s="340"/>
      <c r="G141" s="341"/>
      <c r="H141" s="342"/>
      <c r="I141" s="341"/>
      <c r="J141" s="342"/>
      <c r="K141" s="173"/>
      <c r="L141" s="173"/>
      <c r="M141" s="341"/>
      <c r="N141" s="342"/>
      <c r="O141" s="341"/>
      <c r="P141" s="342"/>
      <c r="Q141" s="173"/>
      <c r="R141" s="173"/>
      <c r="S141" s="341"/>
      <c r="T141" s="342"/>
      <c r="U141" s="341"/>
      <c r="V141" s="173"/>
      <c r="W141" s="45"/>
      <c r="X141" s="27"/>
      <c r="Y141" s="27"/>
      <c r="Z141" s="27"/>
      <c r="AA141" s="151"/>
    </row>
    <row r="142" spans="1:27" ht="15.75" x14ac:dyDescent="0.25">
      <c r="A142" s="338"/>
      <c r="B142" s="339"/>
      <c r="C142" s="339"/>
      <c r="D142" s="491"/>
      <c r="E142" s="173"/>
      <c r="F142" s="340"/>
      <c r="G142" s="341"/>
      <c r="H142" s="342"/>
      <c r="I142" s="341"/>
      <c r="J142" s="342"/>
      <c r="K142" s="173"/>
      <c r="L142" s="173"/>
      <c r="M142" s="341"/>
      <c r="N142" s="342"/>
      <c r="O142" s="341"/>
      <c r="P142" s="342"/>
      <c r="Q142" s="173"/>
      <c r="R142" s="173"/>
      <c r="S142" s="341"/>
      <c r="T142" s="342"/>
      <c r="U142" s="341"/>
      <c r="V142" s="173"/>
      <c r="W142" s="45"/>
      <c r="X142" s="27"/>
      <c r="Y142" s="27"/>
      <c r="Z142" s="27"/>
      <c r="AA142" s="151"/>
    </row>
    <row r="143" spans="1:27" ht="15.75" x14ac:dyDescent="0.25">
      <c r="A143" s="338"/>
      <c r="B143" s="339"/>
      <c r="C143" s="339"/>
      <c r="D143" s="491"/>
      <c r="E143" s="173"/>
      <c r="F143" s="340"/>
      <c r="G143" s="341"/>
      <c r="H143" s="342"/>
      <c r="I143" s="341"/>
      <c r="J143" s="342"/>
      <c r="K143" s="173"/>
      <c r="L143" s="173"/>
      <c r="M143" s="341"/>
      <c r="N143" s="342"/>
      <c r="O143" s="341"/>
      <c r="P143" s="342"/>
      <c r="Q143" s="173"/>
      <c r="R143" s="173"/>
      <c r="S143" s="341"/>
      <c r="T143" s="342"/>
      <c r="U143" s="341"/>
      <c r="V143" s="173"/>
      <c r="W143" s="45"/>
      <c r="X143" s="27"/>
      <c r="Y143" s="27"/>
      <c r="Z143" s="27"/>
      <c r="AA143" s="151"/>
    </row>
    <row r="144" spans="1:27" ht="15.75" x14ac:dyDescent="0.25">
      <c r="A144" s="338"/>
      <c r="B144" s="339"/>
      <c r="C144" s="339"/>
      <c r="D144" s="491"/>
      <c r="E144" s="173"/>
      <c r="F144" s="340"/>
      <c r="G144" s="341"/>
      <c r="H144" s="342"/>
      <c r="I144" s="341"/>
      <c r="J144" s="342"/>
      <c r="K144" s="173"/>
      <c r="L144" s="173"/>
      <c r="M144" s="341"/>
      <c r="N144" s="342"/>
      <c r="O144" s="341"/>
      <c r="P144" s="342"/>
      <c r="Q144" s="173"/>
      <c r="R144" s="173"/>
      <c r="S144" s="341"/>
      <c r="T144" s="342"/>
      <c r="U144" s="341"/>
      <c r="V144" s="173"/>
      <c r="W144" s="45"/>
      <c r="X144" s="27"/>
      <c r="Y144" s="27"/>
      <c r="Z144" s="27"/>
      <c r="AA144" s="151"/>
    </row>
    <row r="145" spans="1:27" ht="15.75" x14ac:dyDescent="0.25">
      <c r="A145" s="338"/>
      <c r="B145" s="339"/>
      <c r="C145" s="339"/>
      <c r="D145" s="491"/>
      <c r="E145" s="173"/>
      <c r="F145" s="340"/>
      <c r="G145" s="341"/>
      <c r="H145" s="342"/>
      <c r="I145" s="341"/>
      <c r="J145" s="342"/>
      <c r="K145" s="173"/>
      <c r="L145" s="173"/>
      <c r="M145" s="341"/>
      <c r="N145" s="342"/>
      <c r="O145" s="341"/>
      <c r="P145" s="342"/>
      <c r="Q145" s="173"/>
      <c r="R145" s="173"/>
      <c r="S145" s="341"/>
      <c r="T145" s="342"/>
      <c r="U145" s="341"/>
      <c r="V145" s="173"/>
      <c r="W145" s="45"/>
      <c r="X145" s="27"/>
      <c r="Y145" s="27"/>
      <c r="Z145" s="27"/>
      <c r="AA145" s="151"/>
    </row>
    <row r="146" spans="1:27" ht="15.75" x14ac:dyDescent="0.25">
      <c r="A146" s="338"/>
      <c r="B146" s="339"/>
      <c r="C146" s="339"/>
      <c r="D146" s="491"/>
      <c r="E146" s="173"/>
      <c r="F146" s="340"/>
      <c r="G146" s="341"/>
      <c r="H146" s="342"/>
      <c r="I146" s="341"/>
      <c r="J146" s="342"/>
      <c r="K146" s="173"/>
      <c r="L146" s="173"/>
      <c r="M146" s="341"/>
      <c r="N146" s="342"/>
      <c r="O146" s="341"/>
      <c r="P146" s="342"/>
      <c r="Q146" s="173"/>
      <c r="R146" s="173"/>
      <c r="S146" s="341"/>
      <c r="T146" s="342"/>
      <c r="U146" s="341"/>
      <c r="V146" s="173"/>
      <c r="W146" s="45"/>
      <c r="X146" s="27"/>
      <c r="Y146" s="27"/>
      <c r="Z146" s="27"/>
      <c r="AA146" s="151"/>
    </row>
    <row r="147" spans="1:27" ht="15.75" x14ac:dyDescent="0.25">
      <c r="A147" s="338"/>
      <c r="B147" s="339"/>
      <c r="C147" s="339"/>
      <c r="D147" s="491"/>
      <c r="E147" s="173"/>
      <c r="F147" s="340"/>
      <c r="G147" s="341"/>
      <c r="H147" s="342"/>
      <c r="I147" s="341"/>
      <c r="J147" s="342"/>
      <c r="K147" s="173"/>
      <c r="L147" s="173"/>
      <c r="M147" s="341"/>
      <c r="N147" s="342"/>
      <c r="O147" s="341"/>
      <c r="P147" s="342"/>
      <c r="Q147" s="173"/>
      <c r="R147" s="173"/>
      <c r="S147" s="341"/>
      <c r="T147" s="342"/>
      <c r="U147" s="341"/>
      <c r="V147" s="173"/>
      <c r="W147" s="45"/>
      <c r="X147" s="27"/>
      <c r="Y147" s="27"/>
      <c r="Z147" s="27"/>
      <c r="AA147" s="151"/>
    </row>
    <row r="148" spans="1:27" ht="15.75" x14ac:dyDescent="0.25">
      <c r="A148" s="338"/>
      <c r="B148" s="339"/>
      <c r="C148" s="339"/>
      <c r="D148" s="491"/>
      <c r="E148" s="173"/>
      <c r="F148" s="340"/>
      <c r="G148" s="341"/>
      <c r="H148" s="342"/>
      <c r="I148" s="341"/>
      <c r="J148" s="342"/>
      <c r="K148" s="173"/>
      <c r="L148" s="173"/>
      <c r="M148" s="341"/>
      <c r="N148" s="342"/>
      <c r="O148" s="341"/>
      <c r="P148" s="342"/>
      <c r="Q148" s="173"/>
      <c r="R148" s="173"/>
      <c r="S148" s="341"/>
      <c r="T148" s="342"/>
      <c r="U148" s="341"/>
      <c r="V148" s="173"/>
      <c r="W148" s="45"/>
      <c r="X148" s="27"/>
      <c r="Y148" s="27"/>
      <c r="Z148" s="27"/>
      <c r="AA148" s="151"/>
    </row>
    <row r="149" spans="1:27" ht="15.75" x14ac:dyDescent="0.25">
      <c r="A149" s="338"/>
      <c r="B149" s="339"/>
      <c r="C149" s="339"/>
      <c r="D149" s="491"/>
      <c r="E149" s="173"/>
      <c r="F149" s="340"/>
      <c r="G149" s="341"/>
      <c r="H149" s="342"/>
      <c r="I149" s="341"/>
      <c r="J149" s="342"/>
      <c r="K149" s="173"/>
      <c r="L149" s="173"/>
      <c r="M149" s="341"/>
      <c r="N149" s="342"/>
      <c r="O149" s="341"/>
      <c r="P149" s="342"/>
      <c r="Q149" s="173"/>
      <c r="R149" s="173"/>
      <c r="S149" s="341"/>
      <c r="T149" s="342"/>
      <c r="U149" s="341"/>
      <c r="V149" s="173"/>
      <c r="W149" s="45"/>
      <c r="X149" s="27"/>
      <c r="Y149" s="27"/>
      <c r="Z149" s="27"/>
      <c r="AA149" s="151"/>
    </row>
    <row r="150" spans="1:27" ht="15.75" x14ac:dyDescent="0.25">
      <c r="A150" s="338"/>
      <c r="B150" s="339"/>
      <c r="C150" s="339"/>
      <c r="D150" s="491"/>
      <c r="E150" s="173"/>
      <c r="F150" s="340"/>
      <c r="G150" s="341"/>
      <c r="H150" s="342"/>
      <c r="I150" s="341"/>
      <c r="J150" s="342"/>
      <c r="K150" s="173"/>
      <c r="L150" s="173"/>
      <c r="M150" s="341"/>
      <c r="N150" s="342"/>
      <c r="O150" s="341"/>
      <c r="P150" s="342"/>
      <c r="Q150" s="173"/>
      <c r="R150" s="173"/>
      <c r="S150" s="341"/>
      <c r="T150" s="342"/>
      <c r="U150" s="341"/>
      <c r="V150" s="173"/>
      <c r="W150" s="45"/>
      <c r="X150" s="27"/>
      <c r="Y150" s="27"/>
      <c r="Z150" s="27"/>
      <c r="AA150" s="151"/>
    </row>
    <row r="151" spans="1:27" ht="15.75" x14ac:dyDescent="0.25">
      <c r="A151" s="338"/>
      <c r="B151" s="339"/>
      <c r="C151" s="339"/>
      <c r="D151" s="491"/>
      <c r="E151" s="173"/>
      <c r="F151" s="340"/>
      <c r="G151" s="341"/>
      <c r="H151" s="342"/>
      <c r="I151" s="341"/>
      <c r="J151" s="342"/>
      <c r="K151" s="173"/>
      <c r="L151" s="173"/>
      <c r="M151" s="341"/>
      <c r="N151" s="342"/>
      <c r="O151" s="341"/>
      <c r="P151" s="342"/>
      <c r="Q151" s="173"/>
      <c r="R151" s="173"/>
      <c r="S151" s="341"/>
      <c r="T151" s="342"/>
      <c r="U151" s="341"/>
      <c r="V151" s="173"/>
      <c r="W151" s="45"/>
      <c r="X151" s="27"/>
      <c r="Y151" s="27"/>
      <c r="Z151" s="27"/>
      <c r="AA151" s="151"/>
    </row>
    <row r="152" spans="1:27" ht="15.75" x14ac:dyDescent="0.25">
      <c r="A152" s="338"/>
      <c r="B152" s="339"/>
      <c r="C152" s="339"/>
      <c r="D152" s="491"/>
      <c r="E152" s="173"/>
      <c r="F152" s="340"/>
      <c r="G152" s="341"/>
      <c r="H152" s="342"/>
      <c r="I152" s="341"/>
      <c r="J152" s="342"/>
      <c r="K152" s="173"/>
      <c r="L152" s="173"/>
      <c r="M152" s="341"/>
      <c r="N152" s="342"/>
      <c r="O152" s="341"/>
      <c r="P152" s="342"/>
      <c r="Q152" s="173"/>
      <c r="R152" s="173"/>
      <c r="S152" s="341"/>
      <c r="T152" s="342"/>
      <c r="U152" s="341"/>
      <c r="V152" s="173"/>
      <c r="W152" s="45"/>
      <c r="X152" s="27"/>
      <c r="Y152" s="27"/>
      <c r="Z152" s="27"/>
      <c r="AA152" s="151"/>
    </row>
    <row r="153" spans="1:27" ht="15.75" x14ac:dyDescent="0.25">
      <c r="A153" s="338"/>
      <c r="B153" s="339"/>
      <c r="C153" s="339"/>
      <c r="D153" s="491"/>
      <c r="E153" s="173"/>
      <c r="F153" s="340"/>
      <c r="G153" s="341"/>
      <c r="H153" s="342"/>
      <c r="I153" s="341"/>
      <c r="J153" s="342"/>
      <c r="K153" s="173"/>
      <c r="L153" s="173"/>
      <c r="M153" s="341"/>
      <c r="N153" s="342"/>
      <c r="O153" s="341"/>
      <c r="P153" s="342"/>
      <c r="Q153" s="173"/>
      <c r="R153" s="173"/>
      <c r="S153" s="341"/>
      <c r="T153" s="342"/>
      <c r="U153" s="341"/>
      <c r="V153" s="173"/>
      <c r="W153" s="45"/>
      <c r="X153" s="27"/>
      <c r="Y153" s="27"/>
      <c r="Z153" s="27"/>
      <c r="AA153" s="151"/>
    </row>
    <row r="154" spans="1:27" ht="15.75" x14ac:dyDescent="0.25">
      <c r="A154" s="338"/>
      <c r="B154" s="339"/>
      <c r="C154" s="339"/>
      <c r="D154" s="491"/>
      <c r="E154" s="173"/>
      <c r="F154" s="340"/>
      <c r="G154" s="341"/>
      <c r="H154" s="342"/>
      <c r="I154" s="341"/>
      <c r="J154" s="342"/>
      <c r="K154" s="173"/>
      <c r="L154" s="173"/>
      <c r="M154" s="341"/>
      <c r="N154" s="342"/>
      <c r="O154" s="341"/>
      <c r="P154" s="342"/>
      <c r="Q154" s="173"/>
      <c r="R154" s="173"/>
      <c r="S154" s="341"/>
      <c r="T154" s="342"/>
      <c r="U154" s="341"/>
      <c r="V154" s="173"/>
      <c r="W154" s="45"/>
      <c r="X154" s="27"/>
      <c r="Y154" s="27"/>
      <c r="Z154" s="27"/>
      <c r="AA154" s="151"/>
    </row>
    <row r="155" spans="1:27" ht="15.75" x14ac:dyDescent="0.25">
      <c r="A155" s="338"/>
      <c r="B155" s="339"/>
      <c r="C155" s="339"/>
      <c r="D155" s="491"/>
      <c r="E155" s="173"/>
      <c r="F155" s="340"/>
      <c r="G155" s="341"/>
      <c r="H155" s="342"/>
      <c r="I155" s="341"/>
      <c r="J155" s="342"/>
      <c r="K155" s="173"/>
      <c r="L155" s="173"/>
      <c r="M155" s="341"/>
      <c r="N155" s="342"/>
      <c r="O155" s="341"/>
      <c r="P155" s="342"/>
      <c r="Q155" s="173"/>
      <c r="R155" s="173"/>
      <c r="S155" s="341"/>
      <c r="T155" s="342"/>
      <c r="U155" s="341"/>
      <c r="V155" s="173"/>
      <c r="W155" s="45"/>
      <c r="X155" s="27"/>
      <c r="Y155" s="27"/>
      <c r="Z155" s="27"/>
      <c r="AA155" s="151"/>
    </row>
    <row r="156" spans="1:27" ht="15.75" x14ac:dyDescent="0.25">
      <c r="A156" s="338"/>
      <c r="B156" s="339"/>
      <c r="C156" s="339"/>
      <c r="D156" s="491"/>
      <c r="E156" s="173"/>
      <c r="F156" s="340"/>
      <c r="G156" s="341"/>
      <c r="H156" s="342"/>
      <c r="I156" s="341"/>
      <c r="J156" s="342"/>
      <c r="K156" s="173"/>
      <c r="L156" s="173"/>
      <c r="M156" s="341"/>
      <c r="N156" s="342"/>
      <c r="O156" s="341"/>
      <c r="P156" s="342"/>
      <c r="Q156" s="173"/>
      <c r="R156" s="173"/>
      <c r="S156" s="341"/>
      <c r="T156" s="342"/>
      <c r="U156" s="341"/>
      <c r="V156" s="173"/>
      <c r="W156" s="45"/>
      <c r="X156" s="27"/>
      <c r="Y156" s="27"/>
      <c r="Z156" s="27"/>
      <c r="AA156" s="151"/>
    </row>
    <row r="157" spans="1:27" ht="15.75" x14ac:dyDescent="0.25">
      <c r="A157" s="338"/>
      <c r="B157" s="339"/>
      <c r="C157" s="339"/>
      <c r="D157" s="491"/>
      <c r="E157" s="173"/>
      <c r="F157" s="340"/>
      <c r="G157" s="341"/>
      <c r="H157" s="342"/>
      <c r="I157" s="341"/>
      <c r="J157" s="342"/>
      <c r="K157" s="173"/>
      <c r="L157" s="173"/>
      <c r="M157" s="341"/>
      <c r="N157" s="342"/>
      <c r="O157" s="341"/>
      <c r="P157" s="342"/>
      <c r="Q157" s="173"/>
      <c r="R157" s="173"/>
      <c r="S157" s="341"/>
      <c r="T157" s="342"/>
      <c r="U157" s="341"/>
      <c r="V157" s="173"/>
      <c r="W157" s="45"/>
      <c r="X157" s="27"/>
      <c r="Y157" s="27"/>
      <c r="Z157" s="27"/>
      <c r="AA157" s="151"/>
    </row>
    <row r="158" spans="1:27" ht="15.75" x14ac:dyDescent="0.25">
      <c r="A158" s="338"/>
      <c r="B158" s="339"/>
      <c r="C158" s="339"/>
      <c r="D158" s="491"/>
      <c r="E158" s="173"/>
      <c r="F158" s="340"/>
      <c r="G158" s="341"/>
      <c r="H158" s="342"/>
      <c r="I158" s="341"/>
      <c r="J158" s="342"/>
      <c r="K158" s="173"/>
      <c r="L158" s="173"/>
      <c r="M158" s="341"/>
      <c r="N158" s="342"/>
      <c r="O158" s="341"/>
      <c r="P158" s="342"/>
      <c r="Q158" s="173"/>
      <c r="R158" s="173"/>
      <c r="S158" s="341"/>
      <c r="T158" s="342"/>
      <c r="U158" s="341"/>
      <c r="V158" s="173"/>
      <c r="W158" s="45"/>
      <c r="X158" s="27"/>
      <c r="Y158" s="27"/>
      <c r="Z158" s="27"/>
      <c r="AA158" s="151"/>
    </row>
    <row r="159" spans="1:27" ht="15.75" x14ac:dyDescent="0.25">
      <c r="A159" s="338"/>
      <c r="B159" s="339"/>
      <c r="C159" s="339"/>
      <c r="D159" s="491"/>
      <c r="E159" s="173"/>
      <c r="F159" s="340"/>
      <c r="G159" s="341"/>
      <c r="H159" s="342"/>
      <c r="I159" s="341"/>
      <c r="J159" s="342"/>
      <c r="K159" s="173"/>
      <c r="L159" s="173"/>
      <c r="M159" s="341"/>
      <c r="N159" s="342"/>
      <c r="O159" s="341"/>
      <c r="P159" s="342"/>
      <c r="Q159" s="173"/>
      <c r="R159" s="173"/>
      <c r="S159" s="341"/>
      <c r="T159" s="342"/>
      <c r="U159" s="341"/>
      <c r="V159" s="173"/>
      <c r="W159" s="45"/>
      <c r="X159" s="27"/>
      <c r="Y159" s="27"/>
      <c r="Z159" s="27"/>
      <c r="AA159" s="151"/>
    </row>
    <row r="160" spans="1:27" ht="15.75" x14ac:dyDescent="0.25">
      <c r="A160" s="338"/>
      <c r="B160" s="339"/>
      <c r="C160" s="339"/>
      <c r="D160" s="491"/>
      <c r="E160" s="173"/>
      <c r="F160" s="340"/>
      <c r="G160" s="341"/>
      <c r="H160" s="342"/>
      <c r="I160" s="341"/>
      <c r="J160" s="342"/>
      <c r="K160" s="173"/>
      <c r="L160" s="173"/>
      <c r="M160" s="341"/>
      <c r="N160" s="342"/>
      <c r="O160" s="341"/>
      <c r="P160" s="342"/>
      <c r="Q160" s="173"/>
      <c r="R160" s="173"/>
      <c r="S160" s="341"/>
      <c r="T160" s="342"/>
      <c r="U160" s="341"/>
      <c r="V160" s="173"/>
      <c r="W160" s="45"/>
      <c r="X160" s="27"/>
      <c r="Y160" s="27"/>
      <c r="Z160" s="27"/>
      <c r="AA160" s="151"/>
    </row>
    <row r="161" spans="1:27" ht="15.75" x14ac:dyDescent="0.25">
      <c r="A161" s="338"/>
      <c r="B161" s="339"/>
      <c r="C161" s="339"/>
      <c r="D161" s="491"/>
      <c r="E161" s="173"/>
      <c r="F161" s="340"/>
      <c r="G161" s="341"/>
      <c r="H161" s="342"/>
      <c r="I161" s="341"/>
      <c r="J161" s="342"/>
      <c r="K161" s="173"/>
      <c r="L161" s="173"/>
      <c r="M161" s="341"/>
      <c r="N161" s="342"/>
      <c r="O161" s="341"/>
      <c r="P161" s="342"/>
      <c r="Q161" s="173"/>
      <c r="R161" s="173"/>
      <c r="S161" s="341"/>
      <c r="T161" s="342"/>
      <c r="U161" s="341"/>
      <c r="V161" s="173"/>
      <c r="W161" s="45"/>
      <c r="X161" s="27"/>
      <c r="Y161" s="27"/>
      <c r="Z161" s="27"/>
      <c r="AA161" s="151"/>
    </row>
    <row r="162" spans="1:27" ht="15.75" x14ac:dyDescent="0.25">
      <c r="A162" s="338"/>
      <c r="B162" s="339"/>
      <c r="C162" s="339"/>
      <c r="D162" s="491"/>
      <c r="E162" s="173"/>
      <c r="F162" s="340"/>
      <c r="G162" s="341"/>
      <c r="H162" s="342"/>
      <c r="I162" s="341"/>
      <c r="J162" s="342"/>
      <c r="K162" s="173"/>
      <c r="L162" s="173"/>
      <c r="M162" s="341"/>
      <c r="N162" s="342"/>
      <c r="O162" s="341"/>
      <c r="P162" s="342"/>
      <c r="Q162" s="173"/>
      <c r="R162" s="173"/>
      <c r="S162" s="341"/>
      <c r="T162" s="342"/>
      <c r="U162" s="341"/>
      <c r="V162" s="173"/>
      <c r="W162" s="45"/>
      <c r="X162" s="27"/>
      <c r="Y162" s="27"/>
      <c r="Z162" s="27"/>
      <c r="AA162" s="151"/>
    </row>
    <row r="163" spans="1:27" ht="15.75" x14ac:dyDescent="0.25">
      <c r="A163" s="338"/>
      <c r="B163" s="339"/>
      <c r="C163" s="339"/>
      <c r="D163" s="491"/>
      <c r="E163" s="173"/>
      <c r="F163" s="340"/>
      <c r="G163" s="341"/>
      <c r="H163" s="342"/>
      <c r="I163" s="341"/>
      <c r="J163" s="342"/>
      <c r="K163" s="173"/>
      <c r="L163" s="173"/>
      <c r="M163" s="341"/>
      <c r="N163" s="342"/>
      <c r="O163" s="341"/>
      <c r="P163" s="342"/>
      <c r="Q163" s="173"/>
      <c r="R163" s="173"/>
      <c r="S163" s="341"/>
      <c r="T163" s="342"/>
      <c r="U163" s="341"/>
      <c r="V163" s="173"/>
      <c r="W163" s="45"/>
      <c r="X163" s="27"/>
      <c r="Y163" s="27"/>
      <c r="Z163" s="27"/>
      <c r="AA163" s="151"/>
    </row>
    <row r="164" spans="1:27" ht="15.75" x14ac:dyDescent="0.25">
      <c r="A164" s="338"/>
      <c r="B164" s="339"/>
      <c r="C164" s="339"/>
      <c r="D164" s="491"/>
      <c r="E164" s="173"/>
      <c r="F164" s="340"/>
      <c r="G164" s="341"/>
      <c r="H164" s="342"/>
      <c r="I164" s="341"/>
      <c r="J164" s="342"/>
      <c r="K164" s="173"/>
      <c r="L164" s="173"/>
      <c r="M164" s="341"/>
      <c r="N164" s="342"/>
      <c r="O164" s="341"/>
      <c r="P164" s="342"/>
      <c r="Q164" s="173"/>
      <c r="R164" s="173"/>
      <c r="S164" s="341"/>
      <c r="T164" s="342"/>
      <c r="U164" s="341"/>
      <c r="V164" s="173"/>
      <c r="W164" s="45"/>
      <c r="X164" s="27"/>
      <c r="Y164" s="27"/>
      <c r="Z164" s="27"/>
      <c r="AA164" s="151"/>
    </row>
    <row r="165" spans="1:27" ht="15.75" x14ac:dyDescent="0.25">
      <c r="A165" s="338"/>
      <c r="B165" s="339"/>
      <c r="C165" s="339"/>
      <c r="D165" s="491"/>
      <c r="E165" s="173"/>
      <c r="F165" s="340"/>
      <c r="G165" s="341"/>
      <c r="H165" s="342"/>
      <c r="I165" s="341"/>
      <c r="J165" s="342"/>
      <c r="K165" s="173"/>
      <c r="L165" s="173"/>
      <c r="M165" s="341"/>
      <c r="N165" s="342"/>
      <c r="O165" s="341"/>
      <c r="P165" s="342"/>
      <c r="Q165" s="173"/>
      <c r="R165" s="173"/>
      <c r="S165" s="341"/>
      <c r="T165" s="342"/>
      <c r="U165" s="341"/>
      <c r="V165" s="173"/>
      <c r="W165" s="45"/>
      <c r="X165" s="27"/>
      <c r="Y165" s="27"/>
      <c r="Z165" s="27"/>
      <c r="AA165" s="151"/>
    </row>
    <row r="166" spans="1:27" ht="15.75" x14ac:dyDescent="0.25">
      <c r="A166" s="338"/>
      <c r="B166" s="339"/>
      <c r="C166" s="339"/>
      <c r="D166" s="491"/>
      <c r="E166" s="173"/>
      <c r="F166" s="340"/>
      <c r="G166" s="341"/>
      <c r="H166" s="342"/>
      <c r="I166" s="341"/>
      <c r="J166" s="342"/>
      <c r="K166" s="173"/>
      <c r="L166" s="173"/>
      <c r="M166" s="341"/>
      <c r="N166" s="342"/>
      <c r="O166" s="341"/>
      <c r="P166" s="342"/>
      <c r="Q166" s="173"/>
      <c r="R166" s="173"/>
      <c r="S166" s="341"/>
      <c r="T166" s="342"/>
      <c r="U166" s="341"/>
      <c r="V166" s="173"/>
      <c r="W166" s="45"/>
      <c r="X166" s="27"/>
      <c r="Y166" s="27"/>
      <c r="Z166" s="27"/>
      <c r="AA166" s="151"/>
    </row>
    <row r="167" spans="1:27" ht="15.75" x14ac:dyDescent="0.25">
      <c r="A167" s="338"/>
      <c r="B167" s="339"/>
      <c r="C167" s="339"/>
      <c r="D167" s="491"/>
      <c r="E167" s="173"/>
      <c r="F167" s="340"/>
      <c r="G167" s="341"/>
      <c r="H167" s="342"/>
      <c r="I167" s="341"/>
      <c r="J167" s="342"/>
      <c r="K167" s="173"/>
      <c r="L167" s="173"/>
      <c r="M167" s="341"/>
      <c r="N167" s="342"/>
      <c r="O167" s="341"/>
      <c r="P167" s="342"/>
      <c r="Q167" s="173"/>
      <c r="R167" s="173"/>
      <c r="S167" s="341"/>
      <c r="T167" s="342"/>
      <c r="U167" s="341"/>
      <c r="V167" s="173"/>
      <c r="W167" s="45"/>
      <c r="X167" s="27"/>
      <c r="Y167" s="27"/>
      <c r="Z167" s="27"/>
      <c r="AA167" s="151"/>
    </row>
    <row r="168" spans="1:27" ht="15.75" x14ac:dyDescent="0.25">
      <c r="A168" s="338"/>
      <c r="B168" s="339"/>
      <c r="C168" s="339"/>
      <c r="D168" s="491"/>
      <c r="E168" s="173"/>
      <c r="F168" s="340"/>
      <c r="G168" s="341"/>
      <c r="H168" s="342"/>
      <c r="I168" s="341"/>
      <c r="J168" s="342"/>
      <c r="K168" s="173"/>
      <c r="L168" s="173"/>
      <c r="M168" s="341"/>
      <c r="N168" s="342"/>
      <c r="O168" s="341"/>
      <c r="P168" s="342"/>
      <c r="Q168" s="173"/>
      <c r="R168" s="173"/>
      <c r="S168" s="341"/>
      <c r="T168" s="342"/>
      <c r="U168" s="341"/>
      <c r="V168" s="173"/>
      <c r="W168" s="45"/>
      <c r="X168" s="27"/>
      <c r="Y168" s="27"/>
      <c r="Z168" s="27"/>
      <c r="AA168" s="151"/>
    </row>
    <row r="169" spans="1:27" ht="15.75" x14ac:dyDescent="0.25">
      <c r="A169" s="338"/>
      <c r="B169" s="339"/>
      <c r="C169" s="339"/>
      <c r="D169" s="491"/>
      <c r="E169" s="173"/>
      <c r="F169" s="340"/>
      <c r="G169" s="341"/>
      <c r="H169" s="342"/>
      <c r="I169" s="341"/>
      <c r="J169" s="342"/>
      <c r="K169" s="173"/>
      <c r="L169" s="173"/>
      <c r="M169" s="341"/>
      <c r="N169" s="342"/>
      <c r="O169" s="341"/>
      <c r="P169" s="342"/>
      <c r="Q169" s="173"/>
      <c r="R169" s="173"/>
      <c r="S169" s="341"/>
      <c r="T169" s="342"/>
      <c r="U169" s="341"/>
      <c r="V169" s="173"/>
      <c r="W169" s="45"/>
      <c r="X169" s="27"/>
      <c r="Y169" s="27"/>
      <c r="Z169" s="27"/>
      <c r="AA169" s="151"/>
    </row>
    <row r="170" spans="1:27" ht="15.75" x14ac:dyDescent="0.25">
      <c r="A170" s="338"/>
      <c r="B170" s="339"/>
      <c r="C170" s="339"/>
      <c r="D170" s="491"/>
      <c r="E170" s="173"/>
      <c r="F170" s="340"/>
      <c r="G170" s="341"/>
      <c r="H170" s="342"/>
      <c r="I170" s="341"/>
      <c r="J170" s="342"/>
      <c r="K170" s="173"/>
      <c r="L170" s="173"/>
      <c r="M170" s="341"/>
      <c r="N170" s="342"/>
      <c r="O170" s="341"/>
      <c r="P170" s="342"/>
      <c r="Q170" s="173"/>
      <c r="R170" s="173"/>
      <c r="S170" s="341"/>
      <c r="T170" s="342"/>
      <c r="U170" s="341"/>
      <c r="V170" s="173"/>
      <c r="W170" s="45"/>
      <c r="X170" s="27"/>
      <c r="Y170" s="27"/>
      <c r="Z170" s="27"/>
      <c r="AA170" s="151"/>
    </row>
    <row r="171" spans="1:27" ht="15.75" x14ac:dyDescent="0.25">
      <c r="A171" s="338"/>
      <c r="B171" s="339"/>
      <c r="C171" s="339"/>
      <c r="D171" s="491"/>
      <c r="E171" s="173"/>
      <c r="F171" s="340"/>
      <c r="G171" s="341"/>
      <c r="H171" s="342"/>
      <c r="I171" s="341"/>
      <c r="J171" s="342"/>
      <c r="K171" s="173"/>
      <c r="L171" s="173"/>
      <c r="M171" s="341"/>
      <c r="N171" s="342"/>
      <c r="O171" s="341"/>
      <c r="P171" s="342"/>
      <c r="Q171" s="173"/>
      <c r="R171" s="173"/>
      <c r="S171" s="341"/>
      <c r="T171" s="342"/>
      <c r="U171" s="341"/>
      <c r="V171" s="173"/>
      <c r="W171" s="45"/>
      <c r="X171" s="27"/>
      <c r="Y171" s="27"/>
      <c r="Z171" s="27"/>
      <c r="AA171" s="151"/>
    </row>
    <row r="172" spans="1:27" ht="15.75" x14ac:dyDescent="0.25">
      <c r="A172" s="338"/>
      <c r="B172" s="339"/>
      <c r="C172" s="339"/>
      <c r="D172" s="491"/>
      <c r="E172" s="173"/>
      <c r="F172" s="340"/>
      <c r="G172" s="341"/>
      <c r="H172" s="342"/>
      <c r="I172" s="341"/>
      <c r="J172" s="342"/>
      <c r="K172" s="173"/>
      <c r="L172" s="173"/>
      <c r="M172" s="341"/>
      <c r="N172" s="342"/>
      <c r="O172" s="341"/>
      <c r="P172" s="342"/>
      <c r="Q172" s="173"/>
      <c r="R172" s="173"/>
      <c r="S172" s="341"/>
      <c r="T172" s="342"/>
      <c r="U172" s="341"/>
      <c r="V172" s="173"/>
      <c r="W172" s="45"/>
      <c r="X172" s="27"/>
      <c r="Y172" s="27"/>
      <c r="Z172" s="27"/>
      <c r="AA172" s="151"/>
    </row>
    <row r="173" spans="1:27" ht="15.75" x14ac:dyDescent="0.25">
      <c r="A173" s="338"/>
      <c r="B173" s="339"/>
      <c r="C173" s="339"/>
      <c r="D173" s="491"/>
      <c r="E173" s="173"/>
      <c r="F173" s="340"/>
      <c r="G173" s="341"/>
      <c r="H173" s="342"/>
      <c r="I173" s="341"/>
      <c r="J173" s="342"/>
      <c r="K173" s="173"/>
      <c r="L173" s="173"/>
      <c r="M173" s="341"/>
      <c r="N173" s="342"/>
      <c r="O173" s="341"/>
      <c r="P173" s="342"/>
      <c r="Q173" s="173"/>
      <c r="R173" s="173"/>
      <c r="S173" s="341"/>
      <c r="T173" s="342"/>
      <c r="U173" s="341"/>
      <c r="V173" s="173"/>
      <c r="W173" s="45"/>
      <c r="X173" s="27"/>
      <c r="Y173" s="27"/>
      <c r="Z173" s="27"/>
      <c r="AA173" s="151"/>
    </row>
    <row r="174" spans="1:27" ht="15.75" x14ac:dyDescent="0.25">
      <c r="A174" s="338"/>
      <c r="B174" s="339"/>
      <c r="C174" s="339"/>
      <c r="D174" s="491"/>
      <c r="E174" s="173"/>
      <c r="F174" s="340"/>
      <c r="G174" s="341"/>
      <c r="H174" s="342"/>
      <c r="I174" s="341"/>
      <c r="J174" s="342"/>
      <c r="K174" s="173"/>
      <c r="L174" s="173"/>
      <c r="M174" s="341"/>
      <c r="N174" s="342"/>
      <c r="O174" s="341"/>
      <c r="P174" s="342"/>
      <c r="Q174" s="173"/>
      <c r="R174" s="173"/>
      <c r="S174" s="341"/>
      <c r="T174" s="342"/>
      <c r="U174" s="341"/>
      <c r="V174" s="173"/>
      <c r="W174" s="45"/>
      <c r="X174" s="27"/>
      <c r="Y174" s="27"/>
      <c r="Z174" s="27"/>
      <c r="AA174" s="151"/>
    </row>
    <row r="175" spans="1:27" ht="15.75" x14ac:dyDescent="0.25">
      <c r="A175" s="338"/>
      <c r="B175" s="339"/>
      <c r="C175" s="339"/>
      <c r="D175" s="491"/>
      <c r="E175" s="173"/>
      <c r="F175" s="340"/>
      <c r="G175" s="341"/>
      <c r="H175" s="342"/>
      <c r="I175" s="341"/>
      <c r="J175" s="342"/>
      <c r="K175" s="173"/>
      <c r="L175" s="173"/>
      <c r="M175" s="341"/>
      <c r="N175" s="342"/>
      <c r="O175" s="341"/>
      <c r="P175" s="342"/>
      <c r="Q175" s="173"/>
      <c r="R175" s="173"/>
      <c r="S175" s="341"/>
      <c r="T175" s="342"/>
      <c r="U175" s="341"/>
      <c r="V175" s="173"/>
      <c r="W175" s="45"/>
      <c r="X175" s="27"/>
      <c r="Y175" s="27"/>
      <c r="Z175" s="27"/>
      <c r="AA175" s="151"/>
    </row>
    <row r="176" spans="1:27" ht="15.75" x14ac:dyDescent="0.25">
      <c r="A176" s="338"/>
      <c r="B176" s="339"/>
      <c r="C176" s="339"/>
      <c r="D176" s="491"/>
      <c r="E176" s="173"/>
      <c r="F176" s="340"/>
      <c r="G176" s="341"/>
      <c r="H176" s="342"/>
      <c r="I176" s="341"/>
      <c r="J176" s="342"/>
      <c r="K176" s="173"/>
      <c r="L176" s="173"/>
      <c r="M176" s="341"/>
      <c r="N176" s="342"/>
      <c r="O176" s="341"/>
      <c r="P176" s="342"/>
      <c r="Q176" s="173"/>
      <c r="R176" s="173"/>
      <c r="S176" s="341"/>
      <c r="T176" s="342"/>
      <c r="U176" s="341"/>
      <c r="V176" s="173"/>
      <c r="W176" s="45"/>
      <c r="X176" s="27"/>
      <c r="Y176" s="27"/>
      <c r="Z176" s="27"/>
      <c r="AA176" s="151"/>
    </row>
    <row r="177" spans="1:27" ht="15.75" x14ac:dyDescent="0.25">
      <c r="A177" s="338"/>
      <c r="B177" s="339"/>
      <c r="C177" s="339"/>
      <c r="D177" s="491"/>
      <c r="E177" s="173"/>
      <c r="F177" s="340"/>
      <c r="G177" s="341"/>
      <c r="H177" s="342"/>
      <c r="I177" s="341"/>
      <c r="J177" s="342"/>
      <c r="K177" s="173"/>
      <c r="L177" s="173"/>
      <c r="M177" s="341"/>
      <c r="N177" s="342"/>
      <c r="O177" s="341"/>
      <c r="P177" s="342"/>
      <c r="Q177" s="173"/>
      <c r="R177" s="173"/>
      <c r="S177" s="341"/>
      <c r="T177" s="342"/>
      <c r="U177" s="341"/>
      <c r="V177" s="173"/>
      <c r="W177" s="45"/>
      <c r="X177" s="27"/>
      <c r="Y177" s="27"/>
      <c r="Z177" s="27"/>
      <c r="AA177" s="151"/>
    </row>
    <row r="178" spans="1:27" ht="15.75" x14ac:dyDescent="0.25">
      <c r="A178" s="338"/>
      <c r="B178" s="339"/>
      <c r="C178" s="339"/>
      <c r="D178" s="491"/>
      <c r="E178" s="173"/>
      <c r="F178" s="340"/>
      <c r="G178" s="341"/>
      <c r="H178" s="342"/>
      <c r="I178" s="341"/>
      <c r="J178" s="342"/>
      <c r="K178" s="173"/>
      <c r="L178" s="173"/>
      <c r="M178" s="341"/>
      <c r="N178" s="342"/>
      <c r="O178" s="341"/>
      <c r="P178" s="342"/>
      <c r="Q178" s="173"/>
      <c r="R178" s="173"/>
      <c r="S178" s="341"/>
      <c r="T178" s="342"/>
      <c r="U178" s="341"/>
      <c r="V178" s="173"/>
      <c r="W178" s="45"/>
      <c r="X178" s="27"/>
      <c r="Y178" s="27"/>
      <c r="Z178" s="27"/>
      <c r="AA178" s="151"/>
    </row>
    <row r="179" spans="1:27" ht="15.75" x14ac:dyDescent="0.25">
      <c r="A179" s="338"/>
      <c r="B179" s="339"/>
      <c r="C179" s="339"/>
      <c r="D179" s="491"/>
      <c r="E179" s="173"/>
      <c r="F179" s="340"/>
      <c r="G179" s="341"/>
      <c r="H179" s="342"/>
      <c r="I179" s="341"/>
      <c r="J179" s="342"/>
      <c r="K179" s="173"/>
      <c r="L179" s="173"/>
      <c r="M179" s="341"/>
      <c r="N179" s="342"/>
      <c r="O179" s="341"/>
      <c r="P179" s="342"/>
      <c r="Q179" s="173"/>
      <c r="R179" s="173"/>
      <c r="S179" s="341"/>
      <c r="T179" s="342"/>
      <c r="U179" s="341"/>
      <c r="V179" s="173"/>
      <c r="W179" s="45"/>
      <c r="X179" s="27"/>
      <c r="Y179" s="27"/>
      <c r="Z179" s="27"/>
      <c r="AA179" s="151"/>
    </row>
    <row r="180" spans="1:27" ht="15.75" x14ac:dyDescent="0.25">
      <c r="A180" s="338"/>
      <c r="B180" s="339"/>
      <c r="C180" s="339"/>
      <c r="D180" s="491"/>
      <c r="E180" s="173"/>
      <c r="F180" s="340"/>
      <c r="G180" s="341"/>
      <c r="H180" s="342"/>
      <c r="I180" s="341"/>
      <c r="J180" s="342"/>
      <c r="K180" s="173"/>
      <c r="L180" s="173"/>
      <c r="M180" s="341"/>
      <c r="N180" s="342"/>
      <c r="O180" s="341"/>
      <c r="P180" s="342"/>
      <c r="Q180" s="173"/>
      <c r="R180" s="173"/>
      <c r="S180" s="341"/>
      <c r="T180" s="342"/>
      <c r="U180" s="341"/>
      <c r="V180" s="173"/>
      <c r="W180" s="45"/>
      <c r="X180" s="27"/>
      <c r="Y180" s="27"/>
      <c r="Z180" s="27"/>
      <c r="AA180" s="151"/>
    </row>
    <row r="181" spans="1:27" ht="15.75" x14ac:dyDescent="0.25">
      <c r="A181" s="338"/>
      <c r="B181" s="339"/>
      <c r="C181" s="339"/>
      <c r="D181" s="491"/>
      <c r="E181" s="173"/>
      <c r="F181" s="340"/>
      <c r="G181" s="341"/>
      <c r="H181" s="342"/>
      <c r="I181" s="341"/>
      <c r="J181" s="342"/>
      <c r="K181" s="173"/>
      <c r="L181" s="173"/>
      <c r="M181" s="341"/>
      <c r="N181" s="342"/>
      <c r="O181" s="341"/>
      <c r="P181" s="342"/>
      <c r="Q181" s="173"/>
      <c r="R181" s="173"/>
      <c r="S181" s="341"/>
      <c r="T181" s="342"/>
      <c r="U181" s="341"/>
      <c r="V181" s="173"/>
      <c r="W181" s="45"/>
      <c r="X181" s="27"/>
      <c r="Y181" s="27"/>
      <c r="Z181" s="27"/>
      <c r="AA181" s="151"/>
    </row>
    <row r="182" spans="1:27" ht="15.75" x14ac:dyDescent="0.25">
      <c r="A182" s="338"/>
      <c r="B182" s="339"/>
      <c r="C182" s="339"/>
      <c r="D182" s="491"/>
      <c r="E182" s="173"/>
      <c r="F182" s="340"/>
      <c r="G182" s="341"/>
      <c r="H182" s="342"/>
      <c r="I182" s="341"/>
      <c r="J182" s="342"/>
      <c r="K182" s="173"/>
      <c r="L182" s="173"/>
      <c r="M182" s="341"/>
      <c r="N182" s="342"/>
      <c r="O182" s="341"/>
      <c r="P182" s="342"/>
      <c r="Q182" s="173"/>
      <c r="R182" s="173"/>
      <c r="S182" s="341"/>
      <c r="T182" s="342"/>
      <c r="U182" s="341"/>
      <c r="V182" s="173"/>
      <c r="W182" s="45"/>
      <c r="X182" s="27"/>
      <c r="Y182" s="27"/>
      <c r="Z182" s="27"/>
      <c r="AA182" s="151"/>
    </row>
    <row r="183" spans="1:27" ht="15.75" x14ac:dyDescent="0.25">
      <c r="A183" s="338"/>
      <c r="B183" s="339"/>
      <c r="C183" s="339"/>
      <c r="D183" s="491"/>
      <c r="E183" s="173"/>
      <c r="F183" s="340"/>
      <c r="G183" s="341"/>
      <c r="H183" s="342"/>
      <c r="I183" s="341"/>
      <c r="J183" s="342"/>
      <c r="K183" s="173"/>
      <c r="L183" s="173"/>
      <c r="M183" s="341"/>
      <c r="N183" s="342"/>
      <c r="O183" s="341"/>
      <c r="P183" s="342"/>
      <c r="Q183" s="173"/>
      <c r="R183" s="173"/>
      <c r="S183" s="341"/>
      <c r="T183" s="342"/>
      <c r="U183" s="341"/>
      <c r="V183" s="173"/>
      <c r="W183" s="45"/>
      <c r="X183" s="27"/>
      <c r="Y183" s="27"/>
      <c r="Z183" s="27"/>
      <c r="AA183" s="151"/>
    </row>
    <row r="184" spans="1:27" ht="15.75" x14ac:dyDescent="0.25">
      <c r="A184" s="338"/>
      <c r="B184" s="339"/>
      <c r="C184" s="339"/>
      <c r="D184" s="491"/>
      <c r="E184" s="173"/>
      <c r="F184" s="340"/>
      <c r="G184" s="341"/>
      <c r="H184" s="342"/>
      <c r="I184" s="341"/>
      <c r="J184" s="342"/>
      <c r="K184" s="173"/>
      <c r="L184" s="173"/>
      <c r="M184" s="341"/>
      <c r="N184" s="342"/>
      <c r="O184" s="341"/>
      <c r="P184" s="342"/>
      <c r="Q184" s="173"/>
      <c r="R184" s="173"/>
      <c r="S184" s="341"/>
      <c r="T184" s="342"/>
      <c r="U184" s="341"/>
      <c r="V184" s="173"/>
      <c r="W184" s="45"/>
      <c r="X184" s="27"/>
      <c r="Y184" s="27"/>
      <c r="Z184" s="27"/>
      <c r="AA184" s="151"/>
    </row>
    <row r="185" spans="1:27" ht="15.75" x14ac:dyDescent="0.25">
      <c r="A185" s="338"/>
      <c r="B185" s="339"/>
      <c r="C185" s="339"/>
      <c r="D185" s="491"/>
      <c r="E185" s="173"/>
      <c r="F185" s="340"/>
      <c r="G185" s="341"/>
      <c r="H185" s="342"/>
      <c r="I185" s="341"/>
      <c r="J185" s="342"/>
      <c r="K185" s="173"/>
      <c r="L185" s="173"/>
      <c r="M185" s="341"/>
      <c r="N185" s="342"/>
      <c r="O185" s="341"/>
      <c r="P185" s="342"/>
      <c r="Q185" s="173"/>
      <c r="R185" s="173"/>
      <c r="S185" s="341"/>
      <c r="T185" s="342"/>
      <c r="U185" s="341"/>
      <c r="V185" s="173"/>
      <c r="W185" s="45"/>
      <c r="X185" s="27"/>
      <c r="Y185" s="27"/>
      <c r="Z185" s="27"/>
      <c r="AA185" s="151"/>
    </row>
    <row r="186" spans="1:27" ht="15.75" x14ac:dyDescent="0.25">
      <c r="A186" s="338"/>
      <c r="B186" s="339"/>
      <c r="C186" s="339"/>
      <c r="D186" s="491"/>
      <c r="E186" s="173"/>
      <c r="F186" s="340"/>
      <c r="G186" s="341"/>
      <c r="H186" s="342"/>
      <c r="I186" s="341"/>
      <c r="J186" s="342"/>
      <c r="K186" s="173"/>
      <c r="L186" s="173"/>
      <c r="M186" s="341"/>
      <c r="N186" s="342"/>
      <c r="O186" s="341"/>
      <c r="P186" s="342"/>
      <c r="Q186" s="173"/>
      <c r="R186" s="173"/>
      <c r="S186" s="341"/>
      <c r="T186" s="342"/>
      <c r="U186" s="341"/>
      <c r="V186" s="173"/>
      <c r="W186" s="45"/>
      <c r="X186" s="27"/>
      <c r="Y186" s="27"/>
      <c r="Z186" s="27"/>
      <c r="AA186" s="151"/>
    </row>
    <row r="187" spans="1:27" ht="15.75" x14ac:dyDescent="0.25">
      <c r="A187" s="338"/>
      <c r="B187" s="339"/>
      <c r="C187" s="339"/>
      <c r="D187" s="491"/>
      <c r="E187" s="173"/>
      <c r="F187" s="340"/>
      <c r="G187" s="341"/>
      <c r="H187" s="342"/>
      <c r="I187" s="341"/>
      <c r="J187" s="342"/>
      <c r="K187" s="173"/>
      <c r="L187" s="173"/>
      <c r="M187" s="341"/>
      <c r="N187" s="342"/>
      <c r="O187" s="341"/>
      <c r="P187" s="342"/>
      <c r="Q187" s="173"/>
      <c r="R187" s="173"/>
      <c r="S187" s="341"/>
      <c r="T187" s="342"/>
      <c r="U187" s="341"/>
      <c r="V187" s="173"/>
      <c r="W187" s="45"/>
      <c r="X187" s="27"/>
      <c r="Y187" s="27"/>
      <c r="Z187" s="27"/>
      <c r="AA187" s="151"/>
    </row>
    <row r="188" spans="1:27" ht="15.75" x14ac:dyDescent="0.25">
      <c r="A188" s="338"/>
      <c r="B188" s="339"/>
      <c r="C188" s="339"/>
      <c r="D188" s="491"/>
      <c r="E188" s="173"/>
      <c r="F188" s="340"/>
      <c r="G188" s="341"/>
      <c r="H188" s="342"/>
      <c r="I188" s="341"/>
      <c r="J188" s="342"/>
      <c r="K188" s="173"/>
      <c r="L188" s="173"/>
      <c r="M188" s="341"/>
      <c r="N188" s="342"/>
      <c r="O188" s="341"/>
      <c r="P188" s="342"/>
      <c r="Q188" s="173"/>
      <c r="R188" s="173"/>
      <c r="S188" s="341"/>
      <c r="T188" s="342"/>
      <c r="U188" s="341"/>
      <c r="V188" s="173"/>
      <c r="W188" s="45"/>
      <c r="X188" s="27"/>
      <c r="Y188" s="27"/>
      <c r="Z188" s="27"/>
      <c r="AA188" s="151"/>
    </row>
    <row r="189" spans="1:27" ht="15.75" x14ac:dyDescent="0.25">
      <c r="A189" s="338"/>
      <c r="B189" s="339"/>
      <c r="C189" s="339"/>
      <c r="D189" s="491"/>
      <c r="E189" s="173"/>
      <c r="F189" s="340"/>
      <c r="G189" s="341"/>
      <c r="H189" s="342"/>
      <c r="I189" s="341"/>
      <c r="J189" s="342"/>
      <c r="K189" s="173"/>
      <c r="L189" s="173"/>
      <c r="M189" s="341"/>
      <c r="N189" s="342"/>
      <c r="O189" s="341"/>
      <c r="P189" s="342"/>
      <c r="Q189" s="173"/>
      <c r="R189" s="173"/>
      <c r="S189" s="341"/>
      <c r="T189" s="342"/>
      <c r="U189" s="341"/>
      <c r="V189" s="173"/>
      <c r="W189" s="45"/>
      <c r="X189" s="27"/>
      <c r="Y189" s="27"/>
      <c r="Z189" s="27"/>
      <c r="AA189" s="151"/>
    </row>
    <row r="190" spans="1:27" ht="15.75" x14ac:dyDescent="0.25">
      <c r="A190" s="338"/>
      <c r="B190" s="339"/>
      <c r="C190" s="339"/>
      <c r="D190" s="491"/>
      <c r="E190" s="173"/>
      <c r="F190" s="340"/>
      <c r="G190" s="341"/>
      <c r="H190" s="342"/>
      <c r="I190" s="341"/>
      <c r="J190" s="342"/>
      <c r="K190" s="173"/>
      <c r="L190" s="173"/>
      <c r="M190" s="341"/>
      <c r="N190" s="342"/>
      <c r="O190" s="341"/>
      <c r="P190" s="342"/>
      <c r="Q190" s="173"/>
      <c r="R190" s="173"/>
      <c r="S190" s="341"/>
      <c r="T190" s="342"/>
      <c r="U190" s="341"/>
      <c r="V190" s="173"/>
      <c r="W190" s="45"/>
      <c r="X190" s="27"/>
      <c r="Y190" s="27"/>
      <c r="Z190" s="27"/>
      <c r="AA190" s="151"/>
    </row>
    <row r="191" spans="1:27" ht="15.75" x14ac:dyDescent="0.25">
      <c r="A191" s="338"/>
      <c r="B191" s="339"/>
      <c r="C191" s="339"/>
      <c r="D191" s="491"/>
      <c r="E191" s="173"/>
      <c r="F191" s="340"/>
      <c r="G191" s="341"/>
      <c r="H191" s="342"/>
      <c r="I191" s="341"/>
      <c r="J191" s="342"/>
      <c r="K191" s="173"/>
      <c r="L191" s="173"/>
      <c r="M191" s="341"/>
      <c r="N191" s="342"/>
      <c r="O191" s="341"/>
      <c r="P191" s="342"/>
      <c r="Q191" s="173"/>
      <c r="R191" s="173"/>
      <c r="S191" s="341"/>
      <c r="T191" s="342"/>
      <c r="U191" s="341"/>
      <c r="V191" s="173"/>
      <c r="W191" s="45"/>
      <c r="X191" s="27"/>
      <c r="Y191" s="27"/>
      <c r="Z191" s="27"/>
      <c r="AA191" s="151"/>
    </row>
    <row r="192" spans="1:27" ht="15.75" x14ac:dyDescent="0.25">
      <c r="A192" s="338"/>
      <c r="B192" s="339"/>
      <c r="C192" s="339"/>
      <c r="D192" s="491"/>
      <c r="E192" s="173"/>
      <c r="F192" s="340"/>
      <c r="G192" s="341"/>
      <c r="H192" s="342"/>
      <c r="I192" s="341"/>
      <c r="J192" s="342"/>
      <c r="K192" s="173"/>
      <c r="L192" s="173"/>
      <c r="M192" s="341"/>
      <c r="N192" s="342"/>
      <c r="O192" s="341"/>
      <c r="P192" s="342"/>
      <c r="Q192" s="173"/>
      <c r="R192" s="173"/>
      <c r="S192" s="341"/>
      <c r="T192" s="342"/>
      <c r="U192" s="341"/>
      <c r="V192" s="173"/>
      <c r="W192" s="45"/>
      <c r="X192" s="27"/>
      <c r="Y192" s="27"/>
      <c r="Z192" s="27"/>
      <c r="AA192" s="151"/>
    </row>
    <row r="193" spans="1:27" ht="15.75" x14ac:dyDescent="0.25">
      <c r="A193" s="338"/>
      <c r="B193" s="339"/>
      <c r="C193" s="339"/>
      <c r="D193" s="491"/>
      <c r="E193" s="173"/>
      <c r="F193" s="340"/>
      <c r="G193" s="341"/>
      <c r="H193" s="342"/>
      <c r="I193" s="341"/>
      <c r="J193" s="342"/>
      <c r="K193" s="173"/>
      <c r="L193" s="173"/>
      <c r="M193" s="341"/>
      <c r="N193" s="342"/>
      <c r="O193" s="341"/>
      <c r="P193" s="342"/>
      <c r="Q193" s="173"/>
      <c r="R193" s="173"/>
      <c r="S193" s="341"/>
      <c r="T193" s="342"/>
      <c r="U193" s="341"/>
      <c r="V193" s="173"/>
      <c r="W193" s="45"/>
      <c r="X193" s="27"/>
      <c r="Y193" s="27"/>
      <c r="Z193" s="27"/>
      <c r="AA193" s="151"/>
    </row>
    <row r="194" spans="1:27" ht="15.75" x14ac:dyDescent="0.25">
      <c r="A194" s="338"/>
      <c r="B194" s="339"/>
      <c r="C194" s="339"/>
      <c r="D194" s="491"/>
      <c r="E194" s="173"/>
      <c r="F194" s="340"/>
      <c r="G194" s="341"/>
      <c r="H194" s="342"/>
      <c r="I194" s="341"/>
      <c r="J194" s="342"/>
      <c r="K194" s="173"/>
      <c r="L194" s="173"/>
      <c r="M194" s="341"/>
      <c r="N194" s="342"/>
      <c r="O194" s="341"/>
      <c r="P194" s="342"/>
      <c r="Q194" s="173"/>
      <c r="R194" s="173"/>
      <c r="S194" s="341"/>
      <c r="T194" s="342"/>
      <c r="U194" s="341"/>
      <c r="V194" s="173"/>
      <c r="W194" s="45"/>
      <c r="X194" s="27"/>
      <c r="Y194" s="27"/>
      <c r="Z194" s="27"/>
      <c r="AA194" s="151"/>
    </row>
  </sheetData>
  <mergeCells count="20">
    <mergeCell ref="AB3:AD3"/>
    <mergeCell ref="I4:L4"/>
    <mergeCell ref="I5:J5"/>
    <mergeCell ref="K5:L5"/>
    <mergeCell ref="M5:N5"/>
    <mergeCell ref="O5:P5"/>
    <mergeCell ref="Q5:R5"/>
    <mergeCell ref="S5:T5"/>
    <mergeCell ref="U5:V5"/>
    <mergeCell ref="W5:Z5"/>
    <mergeCell ref="AA5:AB5"/>
    <mergeCell ref="AC5:AD5"/>
    <mergeCell ref="AO5:AP5"/>
    <mergeCell ref="AQ5:AR5"/>
    <mergeCell ref="AS5:AT5"/>
    <mergeCell ref="AE5:AF5"/>
    <mergeCell ref="AG5:AH5"/>
    <mergeCell ref="AI5:AJ5"/>
    <mergeCell ref="AK5:AL5"/>
    <mergeCell ref="AM5:A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U88"/>
  <sheetViews>
    <sheetView zoomScale="62" zoomScaleNormal="62" workbookViewId="0">
      <pane xSplit="1" ySplit="8" topLeftCell="B9" activePane="bottomRight" state="frozen"/>
      <selection pane="topRight" activeCell="B1" sqref="B1"/>
      <selection pane="bottomLeft" activeCell="A8" sqref="A8"/>
      <selection pane="bottomRight" activeCell="X26" sqref="X26:X28"/>
    </sheetView>
  </sheetViews>
  <sheetFormatPr defaultColWidth="8.83203125" defaultRowHeight="15.75" x14ac:dyDescent="0.25"/>
  <cols>
    <col min="1" max="1" width="12.6640625" style="27" customWidth="1"/>
    <col min="2" max="2" width="8.83203125" style="27" customWidth="1"/>
    <col min="3" max="3" width="11.5" style="27" customWidth="1"/>
    <col min="4" max="4" width="13.33203125" style="27" customWidth="1"/>
    <col min="5" max="5" width="8.83203125" style="27" customWidth="1"/>
    <col min="6" max="6" width="13.6640625" style="27" customWidth="1"/>
    <col min="7" max="7" width="11.33203125" style="27" customWidth="1"/>
    <col min="8" max="8" width="15.6640625" style="27" customWidth="1"/>
    <col min="9" max="9" width="8.83203125" style="27" customWidth="1"/>
    <col min="10" max="10" width="8.83203125" style="27"/>
    <col min="11" max="11" width="10.83203125" style="27" customWidth="1"/>
    <col min="12" max="12" width="9.83203125" style="27" customWidth="1"/>
    <col min="13" max="13" width="13" style="27" customWidth="1"/>
    <col min="14" max="16" width="10.1640625" style="27" customWidth="1"/>
    <col min="17" max="17" width="10.83203125" style="27" customWidth="1"/>
    <col min="18" max="19" width="13.33203125" style="27" bestFit="1" customWidth="1"/>
    <col min="20" max="20" width="15.1640625" style="27" bestFit="1" customWidth="1"/>
    <col min="21" max="21" width="15.5" style="27" customWidth="1"/>
    <col min="22" max="22" width="17.83203125" style="27" customWidth="1"/>
    <col min="23" max="24" width="8.83203125" style="27" customWidth="1"/>
    <col min="25" max="25" width="12.33203125" style="27" customWidth="1"/>
    <col min="26" max="26" width="10.1640625" style="27" customWidth="1"/>
    <col min="27" max="27" width="12" style="27" customWidth="1"/>
    <col min="28" max="28" width="5.5" style="27" customWidth="1"/>
    <col min="29" max="29" width="11.6640625" style="27" customWidth="1"/>
    <col min="30" max="30" width="11.33203125" style="27" customWidth="1"/>
    <col min="31" max="31" width="10.1640625" style="27" customWidth="1"/>
    <col min="32" max="32" width="8.83203125" style="27"/>
    <col min="33" max="33" width="10" style="27" customWidth="1"/>
    <col min="34" max="34" width="12.1640625" style="27" customWidth="1"/>
    <col min="35" max="35" width="10.33203125" style="27" bestFit="1" customWidth="1"/>
    <col min="36" max="36" width="11.33203125" style="27" customWidth="1"/>
    <col min="37" max="37" width="10.6640625" style="27" customWidth="1"/>
    <col min="38" max="38" width="10.33203125" style="27" bestFit="1" customWidth="1"/>
    <col min="39" max="39" width="8.83203125" style="27"/>
    <col min="40" max="40" width="11.5" style="27" customWidth="1"/>
    <col min="41" max="41" width="10.6640625" style="27" customWidth="1"/>
    <col min="42" max="42" width="8.83203125" style="27"/>
    <col min="43" max="43" width="4" style="27" customWidth="1"/>
    <col min="44" max="44" width="14.33203125" style="27" customWidth="1"/>
    <col min="45" max="46" width="8.83203125" style="27"/>
    <col min="47" max="47" width="11.5" style="27" bestFit="1" customWidth="1"/>
    <col min="48" max="16384" width="8.83203125" style="27"/>
  </cols>
  <sheetData>
    <row r="1" spans="1:44" ht="18.75" x14ac:dyDescent="0.3">
      <c r="A1" s="6"/>
      <c r="J1" s="31"/>
      <c r="K1" s="31"/>
      <c r="L1" s="31"/>
      <c r="M1" s="31"/>
      <c r="N1" s="31"/>
      <c r="O1" s="31"/>
      <c r="P1" s="31"/>
      <c r="Q1" s="27" t="s">
        <v>177</v>
      </c>
      <c r="R1" s="31">
        <f>SUM(R9:R10)+R11*3/7</f>
        <v>10.193084998530139</v>
      </c>
      <c r="S1" s="31">
        <f>SUM(S9:S10)+S11*3/7</f>
        <v>0</v>
      </c>
      <c r="T1" s="31">
        <f>S1+R1</f>
        <v>10.193084998530139</v>
      </c>
      <c r="U1" s="31"/>
    </row>
    <row r="2" spans="1:44" ht="18.75" x14ac:dyDescent="0.3">
      <c r="A2" s="6"/>
      <c r="J2" s="31"/>
      <c r="K2" s="31"/>
      <c r="L2" s="31"/>
      <c r="M2" s="31"/>
      <c r="N2" s="31"/>
      <c r="O2" s="31"/>
      <c r="P2" s="31"/>
      <c r="Q2" s="27" t="s">
        <v>171</v>
      </c>
      <c r="R2" s="31">
        <f>SUM(R12:R14)+R11*4/7+R15*5/7</f>
        <v>1834.2590836913237</v>
      </c>
      <c r="S2" s="31">
        <f>SUM(S12:S14)+S11*4/7+S15*5/7</f>
        <v>103.36363350299935</v>
      </c>
      <c r="T2" s="31">
        <f>S2+R2</f>
        <v>1937.6227171943231</v>
      </c>
      <c r="U2" s="31"/>
    </row>
    <row r="3" spans="1:44" ht="18.75" x14ac:dyDescent="0.3">
      <c r="A3" s="6"/>
      <c r="J3" s="31"/>
      <c r="K3" s="31"/>
      <c r="L3" s="31"/>
      <c r="M3" s="31"/>
      <c r="N3" s="31"/>
      <c r="O3" s="31"/>
      <c r="P3" s="31"/>
      <c r="Q3" s="27" t="s">
        <v>172</v>
      </c>
      <c r="R3" s="31">
        <f>SUM(R16:R19)+R15*2/7+R20*1/7</f>
        <v>5610.0236390477512</v>
      </c>
      <c r="S3" s="31">
        <f>SUM(S16:S19)+S15*2/7+S20*1/7</f>
        <v>249.22794656856226</v>
      </c>
      <c r="T3" s="31">
        <f>S3+R3</f>
        <v>5859.2515856163136</v>
      </c>
      <c r="U3" s="31"/>
    </row>
    <row r="4" spans="1:44" ht="18.75" x14ac:dyDescent="0.3">
      <c r="A4" s="6"/>
      <c r="J4" s="31"/>
      <c r="K4" s="31"/>
      <c r="L4" s="31"/>
      <c r="M4" s="31"/>
      <c r="N4" s="31"/>
      <c r="O4" s="31"/>
      <c r="P4" s="31"/>
      <c r="Q4" s="27" t="s">
        <v>243</v>
      </c>
      <c r="R4" s="31" t="e">
        <f>R20*6/7+R21</f>
        <v>#DIV/0!</v>
      </c>
      <c r="S4" s="31" t="e">
        <f>S20*6/7+S21</f>
        <v>#DIV/0!</v>
      </c>
      <c r="T4" s="31" t="e">
        <f>S4+R4</f>
        <v>#DIV/0!</v>
      </c>
      <c r="U4" s="31"/>
    </row>
    <row r="5" spans="1:44" ht="19.5" thickBot="1" x14ac:dyDescent="0.35">
      <c r="A5" s="6" t="s">
        <v>248</v>
      </c>
      <c r="R5" s="31"/>
      <c r="S5" s="31"/>
      <c r="T5" s="31">
        <f>T3+T2+T1</f>
        <v>7807.0673878091666</v>
      </c>
    </row>
    <row r="6" spans="1:44" ht="19.5" thickBot="1" x14ac:dyDescent="0.35">
      <c r="A6" s="6"/>
      <c r="I6" s="636" t="s">
        <v>106</v>
      </c>
      <c r="J6" s="637"/>
      <c r="K6" s="637"/>
      <c r="L6" s="637"/>
      <c r="M6" s="637"/>
      <c r="N6" s="637"/>
      <c r="O6" s="637"/>
      <c r="P6" s="637"/>
      <c r="Q6" s="637"/>
      <c r="R6" s="636" t="s">
        <v>107</v>
      </c>
      <c r="S6" s="637"/>
      <c r="T6" s="637"/>
      <c r="U6" s="637"/>
      <c r="V6" s="638"/>
      <c r="W6" s="632" t="s">
        <v>102</v>
      </c>
      <c r="X6" s="633"/>
      <c r="Y6" s="633"/>
      <c r="Z6" s="634"/>
      <c r="AA6" s="635"/>
      <c r="AC6" s="642" t="s">
        <v>103</v>
      </c>
      <c r="AD6" s="643"/>
      <c r="AE6" s="643"/>
      <c r="AF6" s="643"/>
      <c r="AG6" s="643"/>
      <c r="AH6" s="643"/>
      <c r="AI6" s="643"/>
      <c r="AJ6" s="643"/>
      <c r="AK6" s="643"/>
      <c r="AL6" s="643"/>
      <c r="AM6" s="643"/>
      <c r="AN6" s="643"/>
      <c r="AO6" s="643"/>
      <c r="AP6" s="644"/>
    </row>
    <row r="7" spans="1:44" ht="20.25" customHeight="1" x14ac:dyDescent="0.25">
      <c r="A7" s="252" t="s">
        <v>69</v>
      </c>
      <c r="B7" s="649" t="s">
        <v>106</v>
      </c>
      <c r="C7" s="650"/>
      <c r="D7" s="651"/>
      <c r="E7" s="654" t="s">
        <v>88</v>
      </c>
      <c r="F7" s="655"/>
      <c r="G7" s="656"/>
      <c r="H7" s="243" t="s">
        <v>185</v>
      </c>
      <c r="I7" s="652" t="s">
        <v>109</v>
      </c>
      <c r="J7" s="639"/>
      <c r="K7" s="629" t="s">
        <v>190</v>
      </c>
      <c r="L7" s="639"/>
      <c r="M7" s="242" t="s">
        <v>189</v>
      </c>
      <c r="N7" s="629" t="s">
        <v>101</v>
      </c>
      <c r="O7" s="630"/>
      <c r="P7" s="629" t="s">
        <v>233</v>
      </c>
      <c r="Q7" s="639"/>
      <c r="R7" s="652" t="s">
        <v>109</v>
      </c>
      <c r="S7" s="630"/>
      <c r="T7" s="300" t="s">
        <v>189</v>
      </c>
      <c r="U7" s="629" t="s">
        <v>234</v>
      </c>
      <c r="V7" s="639"/>
      <c r="W7" s="631" t="s">
        <v>109</v>
      </c>
      <c r="X7" s="629"/>
      <c r="Y7" s="245" t="s">
        <v>189</v>
      </c>
      <c r="Z7" s="629" t="s">
        <v>101</v>
      </c>
      <c r="AA7" s="641"/>
      <c r="AC7" s="636" t="s">
        <v>112</v>
      </c>
      <c r="AD7" s="637"/>
      <c r="AE7" s="637"/>
      <c r="AF7" s="637"/>
      <c r="AG7" s="636" t="s">
        <v>107</v>
      </c>
      <c r="AH7" s="637"/>
      <c r="AI7" s="637"/>
      <c r="AJ7" s="645" t="s">
        <v>113</v>
      </c>
      <c r="AK7" s="646"/>
      <c r="AL7" s="646"/>
      <c r="AM7" s="647"/>
      <c r="AN7" s="646" t="s">
        <v>114</v>
      </c>
      <c r="AO7" s="646"/>
      <c r="AP7" s="648"/>
      <c r="AR7" s="105" t="s">
        <v>157</v>
      </c>
    </row>
    <row r="8" spans="1:44" x14ac:dyDescent="0.25">
      <c r="A8" s="101" t="s">
        <v>108</v>
      </c>
      <c r="B8" s="26" t="s">
        <v>93</v>
      </c>
      <c r="C8" s="26" t="s">
        <v>117</v>
      </c>
      <c r="D8" s="26" t="s">
        <v>123</v>
      </c>
      <c r="E8" s="245" t="s">
        <v>93</v>
      </c>
      <c r="F8" s="245" t="s">
        <v>117</v>
      </c>
      <c r="G8" s="245" t="s">
        <v>140</v>
      </c>
      <c r="H8" s="244" t="s">
        <v>106</v>
      </c>
      <c r="I8" s="92" t="s">
        <v>118</v>
      </c>
      <c r="J8" s="35" t="s">
        <v>90</v>
      </c>
      <c r="K8" s="29" t="s">
        <v>118</v>
      </c>
      <c r="L8" s="35" t="s">
        <v>90</v>
      </c>
      <c r="M8" s="35" t="s">
        <v>118</v>
      </c>
      <c r="N8" s="29" t="s">
        <v>118</v>
      </c>
      <c r="O8" s="29" t="s">
        <v>90</v>
      </c>
      <c r="P8" s="29" t="s">
        <v>118</v>
      </c>
      <c r="Q8" s="35" t="s">
        <v>90</v>
      </c>
      <c r="R8" s="92" t="s">
        <v>118</v>
      </c>
      <c r="S8" s="29" t="s">
        <v>90</v>
      </c>
      <c r="T8" s="35" t="s">
        <v>118</v>
      </c>
      <c r="U8" s="35" t="s">
        <v>118</v>
      </c>
      <c r="V8" s="301" t="s">
        <v>90</v>
      </c>
      <c r="W8" s="92" t="s">
        <v>118</v>
      </c>
      <c r="X8" s="35" t="s">
        <v>90</v>
      </c>
      <c r="Y8" s="29" t="s">
        <v>118</v>
      </c>
      <c r="Z8" s="35" t="s">
        <v>118</v>
      </c>
      <c r="AA8" s="301" t="s">
        <v>90</v>
      </c>
      <c r="AC8" s="92" t="s">
        <v>111</v>
      </c>
      <c r="AD8" s="29" t="s">
        <v>110</v>
      </c>
      <c r="AE8" s="29" t="s">
        <v>96</v>
      </c>
      <c r="AF8" s="35" t="s">
        <v>104</v>
      </c>
      <c r="AG8" s="92" t="s">
        <v>111</v>
      </c>
      <c r="AH8" s="29" t="s">
        <v>110</v>
      </c>
      <c r="AI8" s="35" t="s">
        <v>96</v>
      </c>
      <c r="AJ8" s="88" t="s">
        <v>111</v>
      </c>
      <c r="AK8" s="88" t="s">
        <v>110</v>
      </c>
      <c r="AL8" s="88" t="s">
        <v>96</v>
      </c>
      <c r="AM8" s="88" t="s">
        <v>104</v>
      </c>
      <c r="AN8" s="138" t="s">
        <v>111</v>
      </c>
      <c r="AO8" s="88" t="s">
        <v>110</v>
      </c>
      <c r="AP8" s="89" t="s">
        <v>96</v>
      </c>
      <c r="AR8" s="106" t="s">
        <v>163</v>
      </c>
    </row>
    <row r="9" spans="1:44" x14ac:dyDescent="0.25">
      <c r="A9" s="54">
        <v>45522</v>
      </c>
      <c r="B9" s="57">
        <f t="shared" ref="B9:B28" si="0">B37</f>
        <v>9</v>
      </c>
      <c r="C9" s="46">
        <f t="shared" ref="C9:D24" si="1">C37+C65</f>
        <v>24</v>
      </c>
      <c r="D9" s="57">
        <f t="shared" si="1"/>
        <v>156.64000000000001</v>
      </c>
      <c r="E9" s="57">
        <f t="shared" ref="E9:E28" si="2">E37</f>
        <v>31.160121125562895</v>
      </c>
      <c r="F9" s="31">
        <f t="shared" ref="F9:G24" si="3">F37+F65</f>
        <v>61.086583433722872</v>
      </c>
      <c r="G9" s="57">
        <f t="shared" si="3"/>
        <v>450.80268258452162</v>
      </c>
      <c r="H9" s="55">
        <f t="shared" ref="H9:H28" si="4">H37</f>
        <v>0.28883071294022189</v>
      </c>
      <c r="I9" s="48">
        <f t="shared" ref="I9:N9" si="5">I37+I65</f>
        <v>0</v>
      </c>
      <c r="J9" s="47">
        <f t="shared" si="5"/>
        <v>0</v>
      </c>
      <c r="K9" s="31">
        <f t="shared" si="5"/>
        <v>0</v>
      </c>
      <c r="L9" s="31">
        <f t="shared" si="5"/>
        <v>0</v>
      </c>
      <c r="M9" s="57">
        <f t="shared" si="5"/>
        <v>0</v>
      </c>
      <c r="N9" s="31">
        <f t="shared" si="5"/>
        <v>0</v>
      </c>
      <c r="O9" s="31">
        <f t="shared" ref="O9:AA9" si="6">O37+O65</f>
        <v>0</v>
      </c>
      <c r="P9" s="46">
        <f t="shared" si="6"/>
        <v>0</v>
      </c>
      <c r="Q9" s="27">
        <f t="shared" si="6"/>
        <v>0</v>
      </c>
      <c r="R9" s="48">
        <f t="shared" si="6"/>
        <v>0</v>
      </c>
      <c r="S9" s="47">
        <f t="shared" si="6"/>
        <v>0</v>
      </c>
      <c r="T9" s="31">
        <f t="shared" si="6"/>
        <v>0</v>
      </c>
      <c r="U9" s="46">
        <f t="shared" si="6"/>
        <v>0</v>
      </c>
      <c r="V9" s="49">
        <f t="shared" si="6"/>
        <v>0</v>
      </c>
      <c r="W9" s="48">
        <f t="shared" si="6"/>
        <v>0</v>
      </c>
      <c r="X9" s="31">
        <f t="shared" si="6"/>
        <v>0</v>
      </c>
      <c r="Y9" s="57">
        <f t="shared" si="6"/>
        <v>0</v>
      </c>
      <c r="Z9" s="46">
        <f t="shared" si="6"/>
        <v>0</v>
      </c>
      <c r="AA9" s="49">
        <f t="shared" si="6"/>
        <v>0</v>
      </c>
      <c r="AC9" s="48">
        <f t="shared" ref="AC9:AP9" si="7">AC37+AC65</f>
        <v>0</v>
      </c>
      <c r="AD9" s="31">
        <f t="shared" si="7"/>
        <v>0</v>
      </c>
      <c r="AE9" s="31">
        <f t="shared" si="7"/>
        <v>0</v>
      </c>
      <c r="AF9" s="31">
        <f t="shared" si="7"/>
        <v>2</v>
      </c>
      <c r="AG9" s="48">
        <f t="shared" si="7"/>
        <v>0</v>
      </c>
      <c r="AH9" s="31">
        <f t="shared" si="7"/>
        <v>0</v>
      </c>
      <c r="AI9" s="31">
        <f t="shared" si="7"/>
        <v>0</v>
      </c>
      <c r="AJ9" s="46">
        <f t="shared" si="7"/>
        <v>0</v>
      </c>
      <c r="AK9" s="31">
        <f t="shared" si="7"/>
        <v>0</v>
      </c>
      <c r="AL9" s="31">
        <f t="shared" si="7"/>
        <v>0</v>
      </c>
      <c r="AM9" s="47">
        <f t="shared" si="7"/>
        <v>6.9244713612361988</v>
      </c>
      <c r="AN9" s="31">
        <f t="shared" si="7"/>
        <v>0</v>
      </c>
      <c r="AO9" s="31">
        <f t="shared" si="7"/>
        <v>0</v>
      </c>
      <c r="AP9" s="49">
        <f t="shared" si="7"/>
        <v>0</v>
      </c>
      <c r="AR9" s="107">
        <f t="shared" ref="AR9:AR25" si="8">AR37+AR65</f>
        <v>61.086583433722872</v>
      </c>
    </row>
    <row r="10" spans="1:44" x14ac:dyDescent="0.25">
      <c r="A10" s="54">
        <f t="shared" ref="A10:A28" si="9">A9+7</f>
        <v>45529</v>
      </c>
      <c r="B10" s="57">
        <f t="shared" si="0"/>
        <v>17</v>
      </c>
      <c r="C10" s="46">
        <f t="shared" si="1"/>
        <v>46</v>
      </c>
      <c r="D10" s="57">
        <f t="shared" si="1"/>
        <v>203.59</v>
      </c>
      <c r="E10" s="57">
        <f t="shared" si="2"/>
        <v>47.464994744361775</v>
      </c>
      <c r="F10" s="31">
        <f t="shared" si="3"/>
        <v>118.33492718634326</v>
      </c>
      <c r="G10" s="57">
        <f t="shared" si="3"/>
        <v>544.26789937657804</v>
      </c>
      <c r="H10" s="55">
        <f t="shared" si="4"/>
        <v>0.35815868286848129</v>
      </c>
      <c r="I10" s="48">
        <f t="shared" ref="I10:AA10" si="10">I38+I66</f>
        <v>0</v>
      </c>
      <c r="J10" s="47">
        <f t="shared" si="10"/>
        <v>0</v>
      </c>
      <c r="K10" s="31">
        <f t="shared" si="10"/>
        <v>0</v>
      </c>
      <c r="L10" s="31">
        <f t="shared" si="10"/>
        <v>0</v>
      </c>
      <c r="M10" s="57">
        <f t="shared" si="10"/>
        <v>0</v>
      </c>
      <c r="N10" s="31">
        <f t="shared" si="10"/>
        <v>0</v>
      </c>
      <c r="O10" s="31">
        <f t="shared" si="10"/>
        <v>0</v>
      </c>
      <c r="P10" s="46">
        <f t="shared" si="10"/>
        <v>0</v>
      </c>
      <c r="Q10" s="27">
        <f t="shared" si="10"/>
        <v>0</v>
      </c>
      <c r="R10" s="48">
        <f t="shared" si="10"/>
        <v>0</v>
      </c>
      <c r="S10" s="47">
        <f t="shared" si="10"/>
        <v>0</v>
      </c>
      <c r="T10" s="31">
        <f t="shared" si="10"/>
        <v>0</v>
      </c>
      <c r="U10" s="46">
        <f t="shared" si="10"/>
        <v>0</v>
      </c>
      <c r="V10" s="49">
        <f t="shared" si="10"/>
        <v>0</v>
      </c>
      <c r="W10" s="48">
        <f t="shared" si="10"/>
        <v>0</v>
      </c>
      <c r="X10" s="31">
        <f t="shared" si="10"/>
        <v>0</v>
      </c>
      <c r="Y10" s="57">
        <f t="shared" si="10"/>
        <v>0</v>
      </c>
      <c r="Z10" s="46">
        <f t="shared" si="10"/>
        <v>0</v>
      </c>
      <c r="AA10" s="49">
        <f t="shared" si="10"/>
        <v>0</v>
      </c>
      <c r="AC10" s="48">
        <f t="shared" ref="AC10:AP10" si="11">AC38+AC66</f>
        <v>0</v>
      </c>
      <c r="AD10" s="31">
        <f t="shared" si="11"/>
        <v>0</v>
      </c>
      <c r="AE10" s="31">
        <f t="shared" si="11"/>
        <v>0</v>
      </c>
      <c r="AF10" s="31">
        <f t="shared" si="11"/>
        <v>1</v>
      </c>
      <c r="AG10" s="48">
        <f t="shared" si="11"/>
        <v>0</v>
      </c>
      <c r="AH10" s="31">
        <f t="shared" si="11"/>
        <v>0</v>
      </c>
      <c r="AI10" s="31">
        <f t="shared" si="11"/>
        <v>0</v>
      </c>
      <c r="AJ10" s="46">
        <f t="shared" si="11"/>
        <v>0</v>
      </c>
      <c r="AK10" s="31">
        <f t="shared" si="11"/>
        <v>0</v>
      </c>
      <c r="AL10" s="31">
        <f t="shared" si="11"/>
        <v>0</v>
      </c>
      <c r="AM10" s="47">
        <f t="shared" si="11"/>
        <v>0</v>
      </c>
      <c r="AN10" s="31">
        <f t="shared" si="11"/>
        <v>0</v>
      </c>
      <c r="AO10" s="31">
        <f t="shared" si="11"/>
        <v>0</v>
      </c>
      <c r="AP10" s="49">
        <f t="shared" si="11"/>
        <v>0</v>
      </c>
      <c r="AR10" s="107">
        <f t="shared" si="8"/>
        <v>118.33492718634326</v>
      </c>
    </row>
    <row r="11" spans="1:44" x14ac:dyDescent="0.25">
      <c r="A11" s="54">
        <f t="shared" si="9"/>
        <v>45536</v>
      </c>
      <c r="B11" s="57">
        <f t="shared" si="0"/>
        <v>34</v>
      </c>
      <c r="C11" s="46">
        <f t="shared" si="1"/>
        <v>86</v>
      </c>
      <c r="D11" s="57">
        <f t="shared" si="1"/>
        <v>471.51000000000005</v>
      </c>
      <c r="E11" s="57">
        <f t="shared" si="2"/>
        <v>101.08142623542386</v>
      </c>
      <c r="F11" s="31">
        <f t="shared" si="3"/>
        <v>237.04516146231543</v>
      </c>
      <c r="G11" s="57">
        <f t="shared" si="3"/>
        <v>1350.9056665927642</v>
      </c>
      <c r="H11" s="55">
        <f t="shared" si="4"/>
        <v>0.33636248781069078</v>
      </c>
      <c r="I11" s="48">
        <f t="shared" ref="I11:AA11" si="12">I39+I67</f>
        <v>8</v>
      </c>
      <c r="J11" s="47">
        <f t="shared" si="12"/>
        <v>0</v>
      </c>
      <c r="K11" s="31">
        <f t="shared" si="12"/>
        <v>0</v>
      </c>
      <c r="L11" s="31">
        <f t="shared" si="12"/>
        <v>0</v>
      </c>
      <c r="M11" s="57">
        <f t="shared" si="12"/>
        <v>0</v>
      </c>
      <c r="N11" s="31">
        <f t="shared" si="12"/>
        <v>0</v>
      </c>
      <c r="O11" s="31">
        <f t="shared" si="12"/>
        <v>0</v>
      </c>
      <c r="P11" s="46">
        <f t="shared" si="12"/>
        <v>0</v>
      </c>
      <c r="Q11" s="27">
        <f t="shared" si="12"/>
        <v>0</v>
      </c>
      <c r="R11" s="48">
        <f t="shared" si="12"/>
        <v>23.783864996570323</v>
      </c>
      <c r="S11" s="47">
        <f t="shared" si="12"/>
        <v>0</v>
      </c>
      <c r="T11" s="31">
        <f t="shared" si="12"/>
        <v>0</v>
      </c>
      <c r="U11" s="46">
        <f t="shared" si="12"/>
        <v>0</v>
      </c>
      <c r="V11" s="49">
        <f t="shared" si="12"/>
        <v>0</v>
      </c>
      <c r="W11" s="48">
        <f t="shared" si="12"/>
        <v>0</v>
      </c>
      <c r="X11" s="31">
        <f t="shared" si="12"/>
        <v>0</v>
      </c>
      <c r="Y11" s="57">
        <f t="shared" si="12"/>
        <v>0</v>
      </c>
      <c r="Z11" s="46">
        <f t="shared" si="12"/>
        <v>0</v>
      </c>
      <c r="AA11" s="49">
        <f t="shared" si="12"/>
        <v>0</v>
      </c>
      <c r="AC11" s="48">
        <f t="shared" ref="AC11:AI11" si="13">AC39+AJ67</f>
        <v>0</v>
      </c>
      <c r="AD11" s="31">
        <f t="shared" si="13"/>
        <v>0</v>
      </c>
      <c r="AE11" s="31">
        <f t="shared" si="13"/>
        <v>0</v>
      </c>
      <c r="AF11" s="31">
        <f t="shared" si="13"/>
        <v>0</v>
      </c>
      <c r="AG11" s="48">
        <f t="shared" si="13"/>
        <v>0</v>
      </c>
      <c r="AH11" s="31">
        <f t="shared" si="13"/>
        <v>0</v>
      </c>
      <c r="AI11" s="31">
        <f t="shared" si="13"/>
        <v>0</v>
      </c>
      <c r="AJ11" s="46">
        <f t="shared" ref="AJ11:AP20" si="14">AJ39+AJ67</f>
        <v>0</v>
      </c>
      <c r="AK11" s="31">
        <f t="shared" si="14"/>
        <v>0</v>
      </c>
      <c r="AL11" s="31">
        <f t="shared" si="14"/>
        <v>0</v>
      </c>
      <c r="AM11" s="47">
        <f t="shared" si="14"/>
        <v>0</v>
      </c>
      <c r="AN11" s="31">
        <f t="shared" si="14"/>
        <v>0</v>
      </c>
      <c r="AO11" s="31">
        <f t="shared" si="14"/>
        <v>0</v>
      </c>
      <c r="AP11" s="49">
        <f t="shared" si="14"/>
        <v>0</v>
      </c>
      <c r="AR11" s="107">
        <f t="shared" si="8"/>
        <v>237.04516146231543</v>
      </c>
    </row>
    <row r="12" spans="1:44" x14ac:dyDescent="0.25">
      <c r="A12" s="54">
        <f t="shared" si="9"/>
        <v>45543</v>
      </c>
      <c r="B12" s="57">
        <f t="shared" si="0"/>
        <v>38</v>
      </c>
      <c r="C12" s="46">
        <f t="shared" si="1"/>
        <v>109</v>
      </c>
      <c r="D12" s="57">
        <f t="shared" si="1"/>
        <v>683.68999999999994</v>
      </c>
      <c r="E12" s="57">
        <f t="shared" si="2"/>
        <v>172.48577130190429</v>
      </c>
      <c r="F12" s="31">
        <f t="shared" si="3"/>
        <v>396.80563649059269</v>
      </c>
      <c r="G12" s="57">
        <f t="shared" si="3"/>
        <v>2662.0441664021027</v>
      </c>
      <c r="H12" s="55">
        <f t="shared" si="4"/>
        <v>0.22030802722555046</v>
      </c>
      <c r="I12" s="48">
        <f t="shared" ref="I12:AA12" si="15">I40+I68</f>
        <v>20</v>
      </c>
      <c r="J12" s="47">
        <f t="shared" si="15"/>
        <v>1</v>
      </c>
      <c r="K12" s="31">
        <f t="shared" si="15"/>
        <v>0</v>
      </c>
      <c r="L12" s="31">
        <f t="shared" si="15"/>
        <v>0</v>
      </c>
      <c r="M12" s="57">
        <f t="shared" si="15"/>
        <v>0</v>
      </c>
      <c r="N12" s="31">
        <f t="shared" si="15"/>
        <v>0</v>
      </c>
      <c r="O12" s="31">
        <f t="shared" si="15"/>
        <v>0</v>
      </c>
      <c r="P12" s="46">
        <f t="shared" si="15"/>
        <v>0</v>
      </c>
      <c r="Q12" s="27">
        <f t="shared" si="15"/>
        <v>0</v>
      </c>
      <c r="R12" s="48">
        <f t="shared" si="15"/>
        <v>86.242885650952147</v>
      </c>
      <c r="S12" s="47">
        <f t="shared" si="15"/>
        <v>4.5390992447869554</v>
      </c>
      <c r="T12" s="31">
        <f t="shared" si="15"/>
        <v>0</v>
      </c>
      <c r="U12" s="46">
        <f t="shared" si="15"/>
        <v>0</v>
      </c>
      <c r="V12" s="49">
        <f t="shared" si="15"/>
        <v>0</v>
      </c>
      <c r="W12" s="48">
        <f t="shared" si="15"/>
        <v>0</v>
      </c>
      <c r="X12" s="31">
        <f t="shared" si="15"/>
        <v>0</v>
      </c>
      <c r="Y12" s="57">
        <f t="shared" si="15"/>
        <v>0</v>
      </c>
      <c r="Z12" s="46">
        <f t="shared" si="15"/>
        <v>0</v>
      </c>
      <c r="AA12" s="49">
        <f t="shared" si="15"/>
        <v>0</v>
      </c>
      <c r="AC12" s="48">
        <f t="shared" ref="AC12:AI21" si="16">AC40+AC68</f>
        <v>0</v>
      </c>
      <c r="AD12" s="31">
        <f t="shared" si="16"/>
        <v>0</v>
      </c>
      <c r="AE12" s="31">
        <f t="shared" si="16"/>
        <v>0</v>
      </c>
      <c r="AF12" s="31">
        <f t="shared" si="16"/>
        <v>0</v>
      </c>
      <c r="AG12" s="48">
        <f t="shared" si="16"/>
        <v>0</v>
      </c>
      <c r="AH12" s="31">
        <f t="shared" si="16"/>
        <v>0</v>
      </c>
      <c r="AI12" s="31">
        <f t="shared" si="16"/>
        <v>0</v>
      </c>
      <c r="AJ12" s="46">
        <f t="shared" si="14"/>
        <v>0</v>
      </c>
      <c r="AK12" s="31">
        <f t="shared" si="14"/>
        <v>0</v>
      </c>
      <c r="AL12" s="31">
        <f t="shared" si="14"/>
        <v>0</v>
      </c>
      <c r="AM12" s="47">
        <f t="shared" si="14"/>
        <v>0</v>
      </c>
      <c r="AN12" s="31">
        <f t="shared" si="14"/>
        <v>0</v>
      </c>
      <c r="AO12" s="31">
        <f t="shared" si="14"/>
        <v>0</v>
      </c>
      <c r="AP12" s="49">
        <f t="shared" si="14"/>
        <v>0</v>
      </c>
      <c r="AR12" s="107">
        <f t="shared" si="8"/>
        <v>396.80563649059269</v>
      </c>
    </row>
    <row r="13" spans="1:44" x14ac:dyDescent="0.25">
      <c r="A13" s="54">
        <f t="shared" si="9"/>
        <v>45550</v>
      </c>
      <c r="B13" s="57">
        <f t="shared" si="0"/>
        <v>117</v>
      </c>
      <c r="C13" s="46">
        <f t="shared" si="1"/>
        <v>355</v>
      </c>
      <c r="D13" s="57">
        <f t="shared" si="1"/>
        <v>2012.9099999999999</v>
      </c>
      <c r="E13" s="57">
        <f t="shared" si="2"/>
        <v>551.51890251757879</v>
      </c>
      <c r="F13" s="31">
        <f t="shared" si="3"/>
        <v>1470.9430265261274</v>
      </c>
      <c r="G13" s="57">
        <f t="shared" si="3"/>
        <v>8744.0962824679664</v>
      </c>
      <c r="H13" s="55">
        <f t="shared" si="4"/>
        <v>0.21214141431221537</v>
      </c>
      <c r="I13" s="48">
        <f t="shared" ref="I13:AA13" si="17">I41+I69</f>
        <v>53</v>
      </c>
      <c r="J13" s="47">
        <f t="shared" si="17"/>
        <v>2</v>
      </c>
      <c r="K13" s="31">
        <f t="shared" si="17"/>
        <v>1</v>
      </c>
      <c r="L13" s="31">
        <f t="shared" si="17"/>
        <v>0</v>
      </c>
      <c r="M13" s="57">
        <f t="shared" si="17"/>
        <v>0</v>
      </c>
      <c r="N13" s="31">
        <f t="shared" si="17"/>
        <v>0</v>
      </c>
      <c r="O13" s="31">
        <f t="shared" si="17"/>
        <v>0</v>
      </c>
      <c r="P13" s="46">
        <f t="shared" si="17"/>
        <v>0</v>
      </c>
      <c r="Q13" s="27">
        <f t="shared" si="17"/>
        <v>0</v>
      </c>
      <c r="R13" s="48">
        <f t="shared" si="17"/>
        <v>226.09330035597404</v>
      </c>
      <c r="S13" s="47">
        <f t="shared" si="17"/>
        <v>5.5302924698570513</v>
      </c>
      <c r="T13" s="31">
        <f t="shared" si="17"/>
        <v>0</v>
      </c>
      <c r="U13" s="46">
        <f t="shared" si="17"/>
        <v>0</v>
      </c>
      <c r="V13" s="49">
        <f t="shared" si="17"/>
        <v>0</v>
      </c>
      <c r="W13" s="48">
        <f t="shared" si="17"/>
        <v>4.7138367736545197</v>
      </c>
      <c r="X13" s="31">
        <f t="shared" si="17"/>
        <v>0</v>
      </c>
      <c r="Y13" s="57">
        <f t="shared" si="17"/>
        <v>0</v>
      </c>
      <c r="Z13" s="46">
        <f t="shared" si="17"/>
        <v>0</v>
      </c>
      <c r="AA13" s="49">
        <f t="shared" si="17"/>
        <v>0</v>
      </c>
      <c r="AC13" s="48">
        <f t="shared" si="16"/>
        <v>0</v>
      </c>
      <c r="AD13" s="31">
        <f t="shared" si="16"/>
        <v>1</v>
      </c>
      <c r="AE13" s="31">
        <f t="shared" si="16"/>
        <v>2</v>
      </c>
      <c r="AF13" s="31">
        <f t="shared" si="16"/>
        <v>0</v>
      </c>
      <c r="AG13" s="48">
        <f t="shared" si="16"/>
        <v>0</v>
      </c>
      <c r="AH13" s="31">
        <f t="shared" si="16"/>
        <v>0</v>
      </c>
      <c r="AI13" s="31">
        <f t="shared" si="16"/>
        <v>0</v>
      </c>
      <c r="AJ13" s="46">
        <f t="shared" si="14"/>
        <v>0</v>
      </c>
      <c r="AK13" s="31">
        <f t="shared" si="14"/>
        <v>4.7138367736545197</v>
      </c>
      <c r="AL13" s="31">
        <f t="shared" si="14"/>
        <v>5.8475834521310475</v>
      </c>
      <c r="AM13" s="47">
        <f t="shared" si="14"/>
        <v>0</v>
      </c>
      <c r="AN13" s="31">
        <f t="shared" si="14"/>
        <v>0</v>
      </c>
      <c r="AO13" s="31">
        <f t="shared" si="14"/>
        <v>0</v>
      </c>
      <c r="AP13" s="49">
        <f t="shared" si="14"/>
        <v>0</v>
      </c>
      <c r="AR13" s="107">
        <f t="shared" si="8"/>
        <v>1470.9430265261274</v>
      </c>
    </row>
    <row r="14" spans="1:44" x14ac:dyDescent="0.25">
      <c r="A14" s="54">
        <f t="shared" si="9"/>
        <v>45557</v>
      </c>
      <c r="B14" s="57">
        <f t="shared" si="0"/>
        <v>258</v>
      </c>
      <c r="C14" s="46">
        <f t="shared" si="1"/>
        <v>776</v>
      </c>
      <c r="D14" s="57">
        <f t="shared" si="1"/>
        <v>5445.78</v>
      </c>
      <c r="E14" s="57">
        <f t="shared" si="2"/>
        <v>773.65186613521792</v>
      </c>
      <c r="F14" s="31">
        <f t="shared" si="3"/>
        <v>2118.529205034587</v>
      </c>
      <c r="G14" s="57">
        <f t="shared" si="3"/>
        <v>15156.489817038766</v>
      </c>
      <c r="H14" s="55">
        <f t="shared" si="4"/>
        <v>0.33348332925097229</v>
      </c>
      <c r="I14" s="48">
        <f t="shared" ref="I14:AA14" si="18">I42+I70</f>
        <v>192</v>
      </c>
      <c r="J14" s="47">
        <f t="shared" si="18"/>
        <v>12</v>
      </c>
      <c r="K14" s="31">
        <f t="shared" si="18"/>
        <v>2</v>
      </c>
      <c r="L14" s="31">
        <f t="shared" si="18"/>
        <v>4</v>
      </c>
      <c r="M14" s="57">
        <f t="shared" si="18"/>
        <v>0</v>
      </c>
      <c r="N14" s="31">
        <f t="shared" si="18"/>
        <v>0</v>
      </c>
      <c r="O14" s="31">
        <f t="shared" si="18"/>
        <v>0</v>
      </c>
      <c r="P14" s="46">
        <f t="shared" si="18"/>
        <v>0</v>
      </c>
      <c r="Q14" s="27">
        <f t="shared" si="18"/>
        <v>0</v>
      </c>
      <c r="R14" s="48">
        <f t="shared" si="18"/>
        <v>524.0855801602155</v>
      </c>
      <c r="S14" s="47">
        <f t="shared" si="18"/>
        <v>33.597642360080712</v>
      </c>
      <c r="T14" s="31">
        <f t="shared" si="18"/>
        <v>0</v>
      </c>
      <c r="U14" s="46">
        <f t="shared" si="18"/>
        <v>0</v>
      </c>
      <c r="V14" s="49">
        <f t="shared" si="18"/>
        <v>0</v>
      </c>
      <c r="W14" s="48">
        <f t="shared" si="18"/>
        <v>0</v>
      </c>
      <c r="X14" s="31">
        <f t="shared" si="18"/>
        <v>5.9973012878699059</v>
      </c>
      <c r="Y14" s="57">
        <f t="shared" si="18"/>
        <v>0</v>
      </c>
      <c r="Z14" s="46">
        <f t="shared" si="18"/>
        <v>0</v>
      </c>
      <c r="AA14" s="49">
        <f t="shared" si="18"/>
        <v>0</v>
      </c>
      <c r="AC14" s="48">
        <f t="shared" si="16"/>
        <v>0</v>
      </c>
      <c r="AD14" s="31">
        <f t="shared" si="16"/>
        <v>0</v>
      </c>
      <c r="AE14" s="31">
        <f t="shared" si="16"/>
        <v>1</v>
      </c>
      <c r="AF14" s="31">
        <f t="shared" si="16"/>
        <v>0</v>
      </c>
      <c r="AG14" s="48">
        <f t="shared" si="16"/>
        <v>0</v>
      </c>
      <c r="AH14" s="31">
        <f t="shared" si="16"/>
        <v>0</v>
      </c>
      <c r="AI14" s="31">
        <f t="shared" si="16"/>
        <v>0</v>
      </c>
      <c r="AJ14" s="46">
        <f t="shared" si="14"/>
        <v>0</v>
      </c>
      <c r="AK14" s="31">
        <f t="shared" si="14"/>
        <v>0</v>
      </c>
      <c r="AL14" s="31">
        <f t="shared" si="14"/>
        <v>2.998650643934953</v>
      </c>
      <c r="AM14" s="47">
        <f t="shared" si="14"/>
        <v>0</v>
      </c>
      <c r="AN14" s="31">
        <f t="shared" si="14"/>
        <v>0</v>
      </c>
      <c r="AO14" s="31">
        <f t="shared" si="14"/>
        <v>0</v>
      </c>
      <c r="AP14" s="49">
        <f t="shared" si="14"/>
        <v>0</v>
      </c>
      <c r="AR14" s="107">
        <f t="shared" si="8"/>
        <v>2118.529205034587</v>
      </c>
    </row>
    <row r="15" spans="1:44" x14ac:dyDescent="0.25">
      <c r="A15" s="54">
        <f t="shared" si="9"/>
        <v>45564</v>
      </c>
      <c r="B15" s="57">
        <f t="shared" si="0"/>
        <v>332</v>
      </c>
      <c r="C15" s="46">
        <f t="shared" si="1"/>
        <v>1066</v>
      </c>
      <c r="D15" s="57">
        <f t="shared" si="1"/>
        <v>6839.17</v>
      </c>
      <c r="E15" s="57">
        <f t="shared" si="2"/>
        <v>1425.3049745225833</v>
      </c>
      <c r="F15" s="31">
        <f t="shared" si="3"/>
        <v>4116.3092520238451</v>
      </c>
      <c r="G15" s="57">
        <f t="shared" si="3"/>
        <v>26403.29888339647</v>
      </c>
      <c r="H15" s="55">
        <f t="shared" si="4"/>
        <v>0.23293260455447853</v>
      </c>
      <c r="I15" s="48">
        <f t="shared" ref="I15:AA15" si="19">I43+I71</f>
        <v>351</v>
      </c>
      <c r="J15" s="47">
        <f t="shared" si="19"/>
        <v>25</v>
      </c>
      <c r="K15" s="31">
        <f t="shared" si="19"/>
        <v>11</v>
      </c>
      <c r="L15" s="31">
        <f t="shared" si="19"/>
        <v>3</v>
      </c>
      <c r="M15" s="57">
        <f t="shared" si="19"/>
        <v>0</v>
      </c>
      <c r="N15" s="31">
        <f t="shared" si="19"/>
        <v>0</v>
      </c>
      <c r="O15" s="31">
        <f t="shared" si="19"/>
        <v>0</v>
      </c>
      <c r="P15" s="46">
        <f t="shared" si="19"/>
        <v>0</v>
      </c>
      <c r="Q15" s="27">
        <f t="shared" si="19"/>
        <v>0</v>
      </c>
      <c r="R15" s="48">
        <f t="shared" si="19"/>
        <v>1377.9451525365985</v>
      </c>
      <c r="S15" s="47">
        <f t="shared" si="19"/>
        <v>83.575239199584487</v>
      </c>
      <c r="T15" s="31">
        <f t="shared" si="19"/>
        <v>0</v>
      </c>
      <c r="U15" s="46">
        <f t="shared" si="19"/>
        <v>0</v>
      </c>
      <c r="V15" s="49">
        <f t="shared" si="19"/>
        <v>0</v>
      </c>
      <c r="W15" s="48">
        <f t="shared" si="19"/>
        <v>12.87926181797515</v>
      </c>
      <c r="X15" s="31">
        <f t="shared" si="19"/>
        <v>12.87926181797515</v>
      </c>
      <c r="Y15" s="57">
        <f t="shared" si="19"/>
        <v>0</v>
      </c>
      <c r="Z15" s="46">
        <f t="shared" si="19"/>
        <v>0</v>
      </c>
      <c r="AA15" s="49">
        <f t="shared" si="19"/>
        <v>0</v>
      </c>
      <c r="AC15" s="48">
        <f t="shared" si="16"/>
        <v>0</v>
      </c>
      <c r="AD15" s="31">
        <f t="shared" si="16"/>
        <v>0</v>
      </c>
      <c r="AE15" s="31">
        <f t="shared" si="16"/>
        <v>3</v>
      </c>
      <c r="AF15" s="31">
        <f t="shared" si="16"/>
        <v>1</v>
      </c>
      <c r="AG15" s="48">
        <f t="shared" si="16"/>
        <v>0</v>
      </c>
      <c r="AH15" s="31">
        <f t="shared" si="16"/>
        <v>0</v>
      </c>
      <c r="AI15" s="31">
        <f t="shared" si="16"/>
        <v>0</v>
      </c>
      <c r="AJ15" s="46">
        <f t="shared" si="14"/>
        <v>0</v>
      </c>
      <c r="AK15" s="31">
        <f t="shared" si="14"/>
        <v>0</v>
      </c>
      <c r="AL15" s="31">
        <f t="shared" si="14"/>
        <v>9.4477217702090748</v>
      </c>
      <c r="AM15" s="47">
        <f t="shared" si="14"/>
        <v>4.2930872726583837</v>
      </c>
      <c r="AN15" s="31">
        <f t="shared" si="14"/>
        <v>0</v>
      </c>
      <c r="AO15" s="31">
        <f t="shared" si="14"/>
        <v>0</v>
      </c>
      <c r="AP15" s="49">
        <f t="shared" si="14"/>
        <v>0</v>
      </c>
      <c r="AR15" s="107">
        <f t="shared" si="8"/>
        <v>4116.3092520238451</v>
      </c>
    </row>
    <row r="16" spans="1:44" x14ac:dyDescent="0.25">
      <c r="A16" s="54">
        <f t="shared" si="9"/>
        <v>45571</v>
      </c>
      <c r="B16" s="57">
        <f t="shared" si="0"/>
        <v>457</v>
      </c>
      <c r="C16" s="46">
        <f t="shared" si="1"/>
        <v>1512</v>
      </c>
      <c r="D16" s="57">
        <f t="shared" si="1"/>
        <v>8860.76</v>
      </c>
      <c r="E16" s="57">
        <f t="shared" si="2"/>
        <v>1471.2782785056847</v>
      </c>
      <c r="F16" s="31">
        <f t="shared" si="3"/>
        <v>4525.3382091800677</v>
      </c>
      <c r="G16" s="57">
        <f t="shared" si="3"/>
        <v>26783.337173298238</v>
      </c>
      <c r="H16" s="55">
        <f t="shared" si="4"/>
        <v>0.31061425066653986</v>
      </c>
      <c r="I16" s="48">
        <f t="shared" ref="I16:AA16" si="20">I44+I72</f>
        <v>740</v>
      </c>
      <c r="J16" s="47">
        <f t="shared" si="20"/>
        <v>24</v>
      </c>
      <c r="K16" s="31">
        <f t="shared" si="20"/>
        <v>9</v>
      </c>
      <c r="L16" s="31">
        <f t="shared" si="20"/>
        <v>3</v>
      </c>
      <c r="M16" s="57">
        <f t="shared" si="20"/>
        <v>0</v>
      </c>
      <c r="N16" s="31">
        <f t="shared" si="20"/>
        <v>2</v>
      </c>
      <c r="O16" s="31">
        <f t="shared" si="20"/>
        <v>1</v>
      </c>
      <c r="P16" s="46">
        <f t="shared" si="20"/>
        <v>0</v>
      </c>
      <c r="Q16" s="27">
        <f t="shared" si="20"/>
        <v>0</v>
      </c>
      <c r="R16" s="48">
        <f t="shared" si="20"/>
        <v>2284.7130333955456</v>
      </c>
      <c r="S16" s="47">
        <f t="shared" si="20"/>
        <v>66.646639376445663</v>
      </c>
      <c r="T16" s="31">
        <f t="shared" si="20"/>
        <v>0</v>
      </c>
      <c r="U16" s="46">
        <f t="shared" si="20"/>
        <v>6.4388546105281605</v>
      </c>
      <c r="V16" s="49">
        <f t="shared" si="20"/>
        <v>3.2194273052640803</v>
      </c>
      <c r="W16" s="48">
        <f t="shared" si="20"/>
        <v>9.6582819157922408</v>
      </c>
      <c r="X16" s="31">
        <f t="shared" si="20"/>
        <v>3.2194273052640803</v>
      </c>
      <c r="Y16" s="57">
        <f t="shared" si="20"/>
        <v>0</v>
      </c>
      <c r="Z16" s="46">
        <f t="shared" si="20"/>
        <v>0</v>
      </c>
      <c r="AA16" s="49">
        <f t="shared" si="20"/>
        <v>0</v>
      </c>
      <c r="AC16" s="48">
        <f t="shared" si="16"/>
        <v>0</v>
      </c>
      <c r="AD16" s="31">
        <f t="shared" si="16"/>
        <v>1</v>
      </c>
      <c r="AE16" s="31">
        <f t="shared" si="16"/>
        <v>3</v>
      </c>
      <c r="AF16" s="31">
        <f t="shared" si="16"/>
        <v>0</v>
      </c>
      <c r="AG16" s="48">
        <f t="shared" si="16"/>
        <v>0</v>
      </c>
      <c r="AH16" s="31">
        <f t="shared" si="16"/>
        <v>0</v>
      </c>
      <c r="AI16" s="31">
        <f t="shared" si="16"/>
        <v>0</v>
      </c>
      <c r="AJ16" s="46">
        <f t="shared" si="14"/>
        <v>0</v>
      </c>
      <c r="AK16" s="31">
        <f t="shared" si="14"/>
        <v>3.2194273052640803</v>
      </c>
      <c r="AL16" s="31">
        <f t="shared" si="14"/>
        <v>7.3671846834429751</v>
      </c>
      <c r="AM16" s="47">
        <f t="shared" si="14"/>
        <v>0</v>
      </c>
      <c r="AN16" s="31">
        <f t="shared" si="14"/>
        <v>0</v>
      </c>
      <c r="AO16" s="31">
        <f t="shared" si="14"/>
        <v>0</v>
      </c>
      <c r="AP16" s="49">
        <f t="shared" si="14"/>
        <v>0</v>
      </c>
      <c r="AR16" s="107">
        <f t="shared" si="8"/>
        <v>4525.3382091800677</v>
      </c>
    </row>
    <row r="17" spans="1:44" x14ac:dyDescent="0.25">
      <c r="A17" s="54">
        <f t="shared" si="9"/>
        <v>45578</v>
      </c>
      <c r="B17" s="57">
        <f t="shared" si="0"/>
        <v>305</v>
      </c>
      <c r="C17" s="46">
        <f t="shared" si="1"/>
        <v>1016</v>
      </c>
      <c r="D17" s="57">
        <f t="shared" si="1"/>
        <v>5721.9299999999994</v>
      </c>
      <c r="E17" s="57">
        <f t="shared" si="2"/>
        <v>1221.4502131899808</v>
      </c>
      <c r="F17" s="31">
        <f t="shared" si="3"/>
        <v>3764.6332651263147</v>
      </c>
      <c r="G17" s="57">
        <f t="shared" si="3"/>
        <v>21971.428336082587</v>
      </c>
      <c r="H17" s="55">
        <f t="shared" si="4"/>
        <v>0.24970317799810413</v>
      </c>
      <c r="I17" s="48">
        <f t="shared" ref="I17:AA17" si="21">I45+I73</f>
        <v>548</v>
      </c>
      <c r="J17" s="47">
        <f t="shared" si="21"/>
        <v>27</v>
      </c>
      <c r="K17" s="31">
        <f t="shared" si="21"/>
        <v>6</v>
      </c>
      <c r="L17" s="31">
        <f t="shared" si="21"/>
        <v>6</v>
      </c>
      <c r="M17" s="57">
        <f t="shared" si="21"/>
        <v>0</v>
      </c>
      <c r="N17" s="31">
        <f t="shared" si="21"/>
        <v>2</v>
      </c>
      <c r="O17" s="31">
        <f t="shared" si="21"/>
        <v>0</v>
      </c>
      <c r="P17" s="46">
        <f t="shared" si="21"/>
        <v>0</v>
      </c>
      <c r="Q17" s="27">
        <f t="shared" si="21"/>
        <v>0</v>
      </c>
      <c r="R17" s="48">
        <f t="shared" si="21"/>
        <v>2149.0356510153288</v>
      </c>
      <c r="S17" s="47">
        <f t="shared" si="21"/>
        <v>100.55140274040262</v>
      </c>
      <c r="T17" s="31">
        <f t="shared" si="21"/>
        <v>0</v>
      </c>
      <c r="U17" s="46">
        <f t="shared" si="21"/>
        <v>4.7652023881183485</v>
      </c>
      <c r="V17" s="49">
        <f t="shared" si="21"/>
        <v>0</v>
      </c>
      <c r="W17" s="48">
        <f t="shared" si="21"/>
        <v>24.028528784065195</v>
      </c>
      <c r="X17" s="31">
        <f t="shared" si="21"/>
        <v>24.028528784065195</v>
      </c>
      <c r="Y17" s="57">
        <f t="shared" si="21"/>
        <v>0</v>
      </c>
      <c r="Z17" s="46">
        <f t="shared" si="21"/>
        <v>0</v>
      </c>
      <c r="AA17" s="49">
        <f t="shared" si="21"/>
        <v>0</v>
      </c>
      <c r="AC17" s="48">
        <f t="shared" si="16"/>
        <v>2</v>
      </c>
      <c r="AD17" s="31">
        <f t="shared" si="16"/>
        <v>1</v>
      </c>
      <c r="AE17" s="31">
        <f t="shared" si="16"/>
        <v>2</v>
      </c>
      <c r="AF17" s="31">
        <f t="shared" si="16"/>
        <v>0</v>
      </c>
      <c r="AG17" s="48">
        <f t="shared" si="16"/>
        <v>2</v>
      </c>
      <c r="AH17" s="31">
        <f t="shared" si="16"/>
        <v>0</v>
      </c>
      <c r="AI17" s="31">
        <f t="shared" si="16"/>
        <v>0</v>
      </c>
      <c r="AJ17" s="46">
        <f t="shared" si="14"/>
        <v>4.9816117745174822</v>
      </c>
      <c r="AK17" s="31">
        <f t="shared" si="14"/>
        <v>1.021742435760985</v>
      </c>
      <c r="AL17" s="31">
        <f t="shared" si="14"/>
        <v>4.9816117745174822</v>
      </c>
      <c r="AM17" s="47">
        <f t="shared" si="14"/>
        <v>0</v>
      </c>
      <c r="AN17" s="31">
        <f t="shared" si="14"/>
        <v>4.9816117745174822</v>
      </c>
      <c r="AO17" s="31">
        <f t="shared" si="14"/>
        <v>0</v>
      </c>
      <c r="AP17" s="49">
        <f t="shared" si="14"/>
        <v>0</v>
      </c>
      <c r="AR17" s="107">
        <f t="shared" si="8"/>
        <v>3764.6332651263147</v>
      </c>
    </row>
    <row r="18" spans="1:44" x14ac:dyDescent="0.25">
      <c r="A18" s="54">
        <f t="shared" si="9"/>
        <v>45585</v>
      </c>
      <c r="B18" s="57">
        <f t="shared" si="0"/>
        <v>144</v>
      </c>
      <c r="C18" s="46">
        <f t="shared" si="1"/>
        <v>459</v>
      </c>
      <c r="D18" s="57">
        <f t="shared" si="1"/>
        <v>2441.0699999999997</v>
      </c>
      <c r="E18" s="57">
        <f t="shared" si="2"/>
        <v>401.69439335402524</v>
      </c>
      <c r="F18" s="31">
        <f t="shared" si="3"/>
        <v>1149.917218177819</v>
      </c>
      <c r="G18" s="57">
        <f t="shared" si="3"/>
        <v>6344.778382313847</v>
      </c>
      <c r="H18" s="55">
        <f t="shared" si="4"/>
        <v>0.35848147841358718</v>
      </c>
      <c r="I18" s="48">
        <f t="shared" ref="I18:AA18" si="22">I46+I74</f>
        <v>235</v>
      </c>
      <c r="J18" s="47">
        <f t="shared" si="22"/>
        <v>22</v>
      </c>
      <c r="K18" s="31">
        <f t="shared" si="22"/>
        <v>32</v>
      </c>
      <c r="L18" s="31">
        <f t="shared" si="22"/>
        <v>1</v>
      </c>
      <c r="M18" s="57">
        <f t="shared" si="22"/>
        <v>0</v>
      </c>
      <c r="N18" s="31">
        <f t="shared" si="22"/>
        <v>6</v>
      </c>
      <c r="O18" s="31">
        <f t="shared" si="22"/>
        <v>0</v>
      </c>
      <c r="P18" s="46">
        <f t="shared" si="22"/>
        <v>0</v>
      </c>
      <c r="Q18" s="27">
        <f t="shared" si="22"/>
        <v>0</v>
      </c>
      <c r="R18" s="48">
        <f t="shared" si="22"/>
        <v>627.15471523833014</v>
      </c>
      <c r="S18" s="47">
        <f t="shared" si="22"/>
        <v>58.095671688490384</v>
      </c>
      <c r="T18" s="31">
        <f t="shared" si="22"/>
        <v>0</v>
      </c>
      <c r="U18" s="46">
        <f t="shared" si="22"/>
        <v>16.737266389751053</v>
      </c>
      <c r="V18" s="49">
        <f t="shared" si="22"/>
        <v>0</v>
      </c>
      <c r="W18" s="48">
        <f t="shared" si="22"/>
        <v>86.475876347047105</v>
      </c>
      <c r="X18" s="31">
        <f t="shared" si="22"/>
        <v>2.789544398291842</v>
      </c>
      <c r="Y18" s="57">
        <f t="shared" si="22"/>
        <v>0</v>
      </c>
      <c r="Z18" s="46">
        <f t="shared" si="22"/>
        <v>0</v>
      </c>
      <c r="AA18" s="49">
        <f t="shared" si="22"/>
        <v>0</v>
      </c>
      <c r="AC18" s="48">
        <f t="shared" si="16"/>
        <v>0</v>
      </c>
      <c r="AD18" s="31">
        <f t="shared" si="16"/>
        <v>2</v>
      </c>
      <c r="AE18" s="31">
        <f t="shared" si="16"/>
        <v>4</v>
      </c>
      <c r="AF18" s="31">
        <f t="shared" si="16"/>
        <v>0</v>
      </c>
      <c r="AG18" s="48">
        <f t="shared" si="16"/>
        <v>3</v>
      </c>
      <c r="AH18" s="31">
        <f t="shared" si="16"/>
        <v>0</v>
      </c>
      <c r="AI18" s="31">
        <f t="shared" si="16"/>
        <v>0</v>
      </c>
      <c r="AJ18" s="46">
        <f t="shared" si="14"/>
        <v>0</v>
      </c>
      <c r="AK18" s="31">
        <f t="shared" si="14"/>
        <v>3.6143979289733097</v>
      </c>
      <c r="AL18" s="31">
        <f t="shared" si="14"/>
        <v>9.0557051126837447</v>
      </c>
      <c r="AM18" s="47">
        <f t="shared" si="14"/>
        <v>0</v>
      </c>
      <c r="AN18" s="31">
        <f t="shared" si="14"/>
        <v>8.3686331948755264</v>
      </c>
      <c r="AO18" s="31">
        <f t="shared" si="14"/>
        <v>0</v>
      </c>
      <c r="AP18" s="49">
        <f t="shared" si="14"/>
        <v>0</v>
      </c>
      <c r="AR18" s="107">
        <f t="shared" si="8"/>
        <v>1149.917218177819</v>
      </c>
    </row>
    <row r="19" spans="1:44" x14ac:dyDescent="0.25">
      <c r="A19" s="54">
        <f t="shared" si="9"/>
        <v>45592</v>
      </c>
      <c r="B19" s="57">
        <f t="shared" si="0"/>
        <v>21</v>
      </c>
      <c r="C19" s="46">
        <f t="shared" si="1"/>
        <v>119</v>
      </c>
      <c r="D19" s="57">
        <f t="shared" si="1"/>
        <v>347.16999999999996</v>
      </c>
      <c r="E19" s="57">
        <f t="shared" si="2"/>
        <v>131.01236587105413</v>
      </c>
      <c r="F19" s="31">
        <f t="shared" si="3"/>
        <v>439.39008689358656</v>
      </c>
      <c r="G19" s="57">
        <f t="shared" si="3"/>
        <v>1644.3684697177139</v>
      </c>
      <c r="H19" s="55">
        <f t="shared" si="4"/>
        <v>0.16029021276257815</v>
      </c>
      <c r="I19" s="48">
        <f t="shared" ref="I19:AA19" si="23">I47+I75</f>
        <v>31</v>
      </c>
      <c r="J19" s="47">
        <f t="shared" si="23"/>
        <v>0</v>
      </c>
      <c r="K19" s="31">
        <f t="shared" si="23"/>
        <v>7</v>
      </c>
      <c r="L19" s="31">
        <f t="shared" si="23"/>
        <v>0</v>
      </c>
      <c r="M19" s="57">
        <f t="shared" si="23"/>
        <v>0</v>
      </c>
      <c r="N19" s="31">
        <f t="shared" si="23"/>
        <v>9</v>
      </c>
      <c r="O19" s="31">
        <f t="shared" si="23"/>
        <v>1</v>
      </c>
      <c r="P19" s="46">
        <f t="shared" si="23"/>
        <v>3</v>
      </c>
      <c r="Q19" s="27">
        <f t="shared" si="23"/>
        <v>0</v>
      </c>
      <c r="R19" s="48">
        <f t="shared" si="23"/>
        <v>149.01867838731994</v>
      </c>
      <c r="S19" s="47">
        <f t="shared" si="23"/>
        <v>0</v>
      </c>
      <c r="T19" s="31">
        <f t="shared" si="23"/>
        <v>0</v>
      </c>
      <c r="U19" s="46">
        <f t="shared" si="23"/>
        <v>36.011712873608346</v>
      </c>
      <c r="V19" s="49">
        <f t="shared" si="23"/>
        <v>6.2386840890978155</v>
      </c>
      <c r="W19" s="48">
        <f t="shared" si="23"/>
        <v>24.954736356391262</v>
      </c>
      <c r="X19" s="31">
        <f t="shared" si="23"/>
        <v>0</v>
      </c>
      <c r="Y19" s="57">
        <f t="shared" si="23"/>
        <v>0</v>
      </c>
      <c r="Z19" s="46">
        <f t="shared" si="23"/>
        <v>0</v>
      </c>
      <c r="AA19" s="49">
        <f t="shared" si="23"/>
        <v>0</v>
      </c>
      <c r="AC19" s="48">
        <f t="shared" si="16"/>
        <v>1</v>
      </c>
      <c r="AD19" s="31">
        <f t="shared" si="16"/>
        <v>0</v>
      </c>
      <c r="AE19" s="31">
        <f t="shared" si="16"/>
        <v>2</v>
      </c>
      <c r="AF19" s="31">
        <f t="shared" si="16"/>
        <v>0</v>
      </c>
      <c r="AG19" s="48">
        <f t="shared" si="16"/>
        <v>1</v>
      </c>
      <c r="AH19" s="31">
        <f t="shared" si="16"/>
        <v>0</v>
      </c>
      <c r="AI19" s="31">
        <f t="shared" si="16"/>
        <v>0</v>
      </c>
      <c r="AJ19" s="46">
        <f t="shared" si="14"/>
        <v>2.7877055039313796</v>
      </c>
      <c r="AK19" s="31">
        <f t="shared" si="14"/>
        <v>0</v>
      </c>
      <c r="AL19" s="31">
        <f t="shared" si="14"/>
        <v>1.7526707363601677</v>
      </c>
      <c r="AM19" s="47">
        <f t="shared" si="14"/>
        <v>0</v>
      </c>
      <c r="AN19" s="31">
        <f t="shared" si="14"/>
        <v>2.7877055039313796</v>
      </c>
      <c r="AO19" s="31">
        <f t="shared" si="14"/>
        <v>0</v>
      </c>
      <c r="AP19" s="49">
        <f t="shared" si="14"/>
        <v>0</v>
      </c>
      <c r="AR19" s="107">
        <f t="shared" si="8"/>
        <v>439.39008689358656</v>
      </c>
    </row>
    <row r="20" spans="1:44" x14ac:dyDescent="0.25">
      <c r="A20" s="54">
        <f t="shared" si="9"/>
        <v>45599</v>
      </c>
      <c r="B20" s="57">
        <f t="shared" si="0"/>
        <v>23</v>
      </c>
      <c r="C20" s="46">
        <f t="shared" si="1"/>
        <v>94</v>
      </c>
      <c r="D20" s="57">
        <f t="shared" si="1"/>
        <v>521.29</v>
      </c>
      <c r="E20" s="57">
        <f t="shared" si="2"/>
        <v>40.497127490228735</v>
      </c>
      <c r="F20" s="31">
        <f t="shared" si="3"/>
        <v>104.52143040838156</v>
      </c>
      <c r="G20" s="57">
        <f t="shared" si="3"/>
        <v>582.09000228177877</v>
      </c>
      <c r="H20" s="55">
        <f t="shared" si="4"/>
        <v>0.5679415164828544</v>
      </c>
      <c r="I20" s="48">
        <f t="shared" ref="I20:AA20" si="24">I48+I76</f>
        <v>34</v>
      </c>
      <c r="J20" s="47">
        <f t="shared" si="24"/>
        <v>1</v>
      </c>
      <c r="K20" s="31">
        <f t="shared" si="24"/>
        <v>28</v>
      </c>
      <c r="L20" s="31">
        <f t="shared" si="24"/>
        <v>0</v>
      </c>
      <c r="M20" s="57">
        <f t="shared" si="24"/>
        <v>0</v>
      </c>
      <c r="N20" s="31">
        <f t="shared" si="24"/>
        <v>12</v>
      </c>
      <c r="O20" s="31">
        <f t="shared" si="24"/>
        <v>2</v>
      </c>
      <c r="P20" s="46">
        <f t="shared" si="24"/>
        <v>0</v>
      </c>
      <c r="Q20" s="27">
        <f t="shared" si="24"/>
        <v>0</v>
      </c>
      <c r="R20" s="48">
        <f t="shared" si="24"/>
        <v>44.82062200539611</v>
      </c>
      <c r="S20" s="47">
        <f t="shared" si="24"/>
        <v>0.38915094339622636</v>
      </c>
      <c r="T20" s="31">
        <f t="shared" si="24"/>
        <v>0</v>
      </c>
      <c r="U20" s="46">
        <f t="shared" si="24"/>
        <v>13.700929298722341</v>
      </c>
      <c r="V20" s="49">
        <f t="shared" si="24"/>
        <v>2.719571520639926</v>
      </c>
      <c r="W20" s="48">
        <f t="shared" si="24"/>
        <v>26.411170102323087</v>
      </c>
      <c r="X20" s="31">
        <f t="shared" si="24"/>
        <v>0</v>
      </c>
      <c r="Y20" s="57">
        <f t="shared" si="24"/>
        <v>0</v>
      </c>
      <c r="Z20" s="46">
        <f t="shared" si="24"/>
        <v>0</v>
      </c>
      <c r="AA20" s="49">
        <f t="shared" si="24"/>
        <v>0</v>
      </c>
      <c r="AC20" s="48">
        <f t="shared" si="16"/>
        <v>4</v>
      </c>
      <c r="AD20" s="31">
        <f t="shared" si="16"/>
        <v>2</v>
      </c>
      <c r="AE20" s="31">
        <f t="shared" si="16"/>
        <v>1</v>
      </c>
      <c r="AF20" s="31">
        <f t="shared" si="16"/>
        <v>0</v>
      </c>
      <c r="AG20" s="48">
        <f t="shared" si="16"/>
        <v>3</v>
      </c>
      <c r="AH20" s="31">
        <f t="shared" si="16"/>
        <v>0</v>
      </c>
      <c r="AI20" s="31">
        <f t="shared" si="16"/>
        <v>0</v>
      </c>
      <c r="AJ20" s="46">
        <f t="shared" si="14"/>
        <v>4.0022899252811346</v>
      </c>
      <c r="AK20" s="31">
        <f t="shared" si="14"/>
        <v>2.1498956168844323</v>
      </c>
      <c r="AL20" s="31">
        <f t="shared" si="14"/>
        <v>0.95882684715172029</v>
      </c>
      <c r="AM20" s="47">
        <f t="shared" si="14"/>
        <v>0</v>
      </c>
      <c r="AN20" s="31">
        <f t="shared" si="14"/>
        <v>3.6783983677916465</v>
      </c>
      <c r="AO20" s="31">
        <f t="shared" si="14"/>
        <v>0</v>
      </c>
      <c r="AP20" s="49">
        <f t="shared" si="14"/>
        <v>0</v>
      </c>
      <c r="AR20" s="107">
        <f t="shared" si="8"/>
        <v>104.52143040838156</v>
      </c>
    </row>
    <row r="21" spans="1:44" x14ac:dyDescent="0.25">
      <c r="A21" s="54">
        <f t="shared" si="9"/>
        <v>45606</v>
      </c>
      <c r="B21" s="57">
        <f t="shared" si="0"/>
        <v>0</v>
      </c>
      <c r="C21" s="46">
        <f t="shared" si="1"/>
        <v>0</v>
      </c>
      <c r="D21" s="57">
        <f t="shared" si="1"/>
        <v>0</v>
      </c>
      <c r="E21" s="57">
        <f t="shared" si="2"/>
        <v>0</v>
      </c>
      <c r="F21" s="31" t="e">
        <f t="shared" si="3"/>
        <v>#DIV/0!</v>
      </c>
      <c r="G21" s="57" t="e">
        <f t="shared" si="3"/>
        <v>#DIV/0!</v>
      </c>
      <c r="H21" s="55" t="e">
        <f t="shared" si="4"/>
        <v>#DIV/0!</v>
      </c>
      <c r="I21" s="48">
        <f t="shared" ref="I21:AA21" si="25">I49+I77</f>
        <v>0</v>
      </c>
      <c r="J21" s="47">
        <f t="shared" si="25"/>
        <v>0</v>
      </c>
      <c r="K21" s="31">
        <f t="shared" si="25"/>
        <v>0</v>
      </c>
      <c r="L21" s="31">
        <f t="shared" si="25"/>
        <v>0</v>
      </c>
      <c r="M21" s="57">
        <f t="shared" si="25"/>
        <v>0</v>
      </c>
      <c r="N21" s="31">
        <f t="shared" si="25"/>
        <v>0</v>
      </c>
      <c r="O21" s="31">
        <f t="shared" si="25"/>
        <v>0</v>
      </c>
      <c r="P21" s="46">
        <f t="shared" si="25"/>
        <v>0</v>
      </c>
      <c r="Q21" s="27">
        <f t="shared" si="25"/>
        <v>0</v>
      </c>
      <c r="R21" s="48" t="e">
        <f t="shared" si="25"/>
        <v>#DIV/0!</v>
      </c>
      <c r="S21" s="47" t="e">
        <f t="shared" si="25"/>
        <v>#DIV/0!</v>
      </c>
      <c r="T21" s="31">
        <f t="shared" si="25"/>
        <v>0</v>
      </c>
      <c r="U21" s="46" t="e">
        <f t="shared" si="25"/>
        <v>#DIV/0!</v>
      </c>
      <c r="V21" s="49" t="e">
        <f t="shared" si="25"/>
        <v>#DIV/0!</v>
      </c>
      <c r="W21" s="48" t="e">
        <f t="shared" si="25"/>
        <v>#DIV/0!</v>
      </c>
      <c r="X21" s="31" t="e">
        <f t="shared" si="25"/>
        <v>#DIV/0!</v>
      </c>
      <c r="Y21" s="57" t="e">
        <f t="shared" si="25"/>
        <v>#DIV/0!</v>
      </c>
      <c r="Z21" s="46" t="e">
        <f t="shared" si="25"/>
        <v>#DIV/0!</v>
      </c>
      <c r="AA21" s="49" t="e">
        <f t="shared" si="25"/>
        <v>#DIV/0!</v>
      </c>
      <c r="AC21" s="48">
        <f t="shared" si="16"/>
        <v>0</v>
      </c>
      <c r="AD21" s="31">
        <f t="shared" si="16"/>
        <v>0</v>
      </c>
      <c r="AE21" s="31">
        <f t="shared" si="16"/>
        <v>0</v>
      </c>
      <c r="AF21" s="31">
        <f t="shared" si="16"/>
        <v>0</v>
      </c>
      <c r="AG21" s="48">
        <f t="shared" si="16"/>
        <v>0</v>
      </c>
      <c r="AH21" s="31">
        <f t="shared" si="16"/>
        <v>0</v>
      </c>
      <c r="AI21" s="31">
        <f t="shared" si="16"/>
        <v>0</v>
      </c>
      <c r="AJ21" s="46"/>
      <c r="AK21" s="31"/>
      <c r="AL21" s="31"/>
      <c r="AM21" s="47"/>
      <c r="AN21" s="31"/>
      <c r="AO21" s="31"/>
      <c r="AP21" s="49"/>
      <c r="AR21" s="107" t="e">
        <f t="shared" si="8"/>
        <v>#DIV/0!</v>
      </c>
    </row>
    <row r="22" spans="1:44" x14ac:dyDescent="0.25">
      <c r="A22" s="54">
        <f t="shared" si="9"/>
        <v>45613</v>
      </c>
      <c r="B22" s="57">
        <f t="shared" si="0"/>
        <v>0</v>
      </c>
      <c r="C22" s="46">
        <f t="shared" si="1"/>
        <v>0</v>
      </c>
      <c r="D22" s="57">
        <f t="shared" si="1"/>
        <v>0</v>
      </c>
      <c r="E22" s="57">
        <f t="shared" si="2"/>
        <v>0</v>
      </c>
      <c r="F22" s="31" t="e">
        <f t="shared" si="3"/>
        <v>#DIV/0!</v>
      </c>
      <c r="G22" s="57" t="e">
        <f t="shared" si="3"/>
        <v>#DIV/0!</v>
      </c>
      <c r="H22" s="55" t="e">
        <f t="shared" si="4"/>
        <v>#DIV/0!</v>
      </c>
      <c r="I22" s="48">
        <f t="shared" ref="I22:AA22" si="26">I50+I78</f>
        <v>0</v>
      </c>
      <c r="J22" s="47">
        <f t="shared" si="26"/>
        <v>0</v>
      </c>
      <c r="K22" s="31">
        <f t="shared" si="26"/>
        <v>0</v>
      </c>
      <c r="L22" s="31">
        <f t="shared" si="26"/>
        <v>0</v>
      </c>
      <c r="M22" s="57">
        <f t="shared" si="26"/>
        <v>0</v>
      </c>
      <c r="N22" s="31">
        <f t="shared" si="26"/>
        <v>0</v>
      </c>
      <c r="O22" s="31">
        <f t="shared" si="26"/>
        <v>0</v>
      </c>
      <c r="P22" s="46">
        <f t="shared" si="26"/>
        <v>0</v>
      </c>
      <c r="Q22" s="27">
        <f t="shared" si="26"/>
        <v>0</v>
      </c>
      <c r="R22" s="48" t="e">
        <f t="shared" si="26"/>
        <v>#DIV/0!</v>
      </c>
      <c r="S22" s="47" t="e">
        <f t="shared" si="26"/>
        <v>#DIV/0!</v>
      </c>
      <c r="T22" s="31">
        <f t="shared" si="26"/>
        <v>0</v>
      </c>
      <c r="U22" s="46" t="e">
        <f t="shared" si="26"/>
        <v>#DIV/0!</v>
      </c>
      <c r="V22" s="49" t="e">
        <f t="shared" si="26"/>
        <v>#DIV/0!</v>
      </c>
      <c r="W22" s="48" t="e">
        <f t="shared" si="26"/>
        <v>#DIV/0!</v>
      </c>
      <c r="X22" s="31" t="e">
        <f t="shared" si="26"/>
        <v>#DIV/0!</v>
      </c>
      <c r="Y22" s="57" t="e">
        <f t="shared" si="26"/>
        <v>#DIV/0!</v>
      </c>
      <c r="Z22" s="46" t="e">
        <f t="shared" si="26"/>
        <v>#DIV/0!</v>
      </c>
      <c r="AA22" s="49" t="e">
        <f t="shared" si="26"/>
        <v>#DIV/0!</v>
      </c>
      <c r="AC22" s="48">
        <f t="shared" ref="AC22:AI22" si="27">AC50+AC78</f>
        <v>0</v>
      </c>
      <c r="AD22" s="31">
        <f t="shared" si="27"/>
        <v>0</v>
      </c>
      <c r="AE22" s="31">
        <f t="shared" si="27"/>
        <v>0</v>
      </c>
      <c r="AF22" s="31">
        <f t="shared" si="27"/>
        <v>0</v>
      </c>
      <c r="AG22" s="48">
        <f t="shared" si="27"/>
        <v>0</v>
      </c>
      <c r="AH22" s="31">
        <f t="shared" si="27"/>
        <v>0</v>
      </c>
      <c r="AI22" s="31">
        <f t="shared" si="27"/>
        <v>0</v>
      </c>
      <c r="AJ22" s="46"/>
      <c r="AK22" s="31"/>
      <c r="AL22" s="31"/>
      <c r="AM22" s="47"/>
      <c r="AN22" s="31"/>
      <c r="AO22" s="31"/>
      <c r="AP22" s="49"/>
      <c r="AR22" s="107" t="e">
        <f t="shared" si="8"/>
        <v>#DIV/0!</v>
      </c>
    </row>
    <row r="23" spans="1:44" x14ac:dyDescent="0.25">
      <c r="A23" s="54">
        <f t="shared" si="9"/>
        <v>45620</v>
      </c>
      <c r="B23" s="57">
        <f t="shared" si="0"/>
        <v>0</v>
      </c>
      <c r="C23" s="46">
        <f t="shared" si="1"/>
        <v>0</v>
      </c>
      <c r="D23" s="57">
        <f t="shared" si="1"/>
        <v>0</v>
      </c>
      <c r="E23" s="57">
        <f t="shared" si="2"/>
        <v>0</v>
      </c>
      <c r="F23" s="31" t="e">
        <f t="shared" si="3"/>
        <v>#DIV/0!</v>
      </c>
      <c r="G23" s="57" t="e">
        <f t="shared" si="3"/>
        <v>#DIV/0!</v>
      </c>
      <c r="H23" s="55" t="e">
        <f t="shared" si="4"/>
        <v>#DIV/0!</v>
      </c>
      <c r="I23" s="48">
        <f t="shared" ref="I23:AA23" si="28">I51+I79</f>
        <v>0</v>
      </c>
      <c r="J23" s="47">
        <f t="shared" si="28"/>
        <v>0</v>
      </c>
      <c r="K23" s="31">
        <f t="shared" si="28"/>
        <v>0</v>
      </c>
      <c r="L23" s="31">
        <f t="shared" si="28"/>
        <v>0</v>
      </c>
      <c r="M23" s="57">
        <f t="shared" si="28"/>
        <v>0</v>
      </c>
      <c r="N23" s="31">
        <f t="shared" si="28"/>
        <v>0</v>
      </c>
      <c r="O23" s="31">
        <f t="shared" si="28"/>
        <v>0</v>
      </c>
      <c r="P23" s="46">
        <f t="shared" si="28"/>
        <v>0</v>
      </c>
      <c r="Q23" s="27">
        <f t="shared" si="28"/>
        <v>0</v>
      </c>
      <c r="R23" s="48" t="e">
        <f t="shared" si="28"/>
        <v>#DIV/0!</v>
      </c>
      <c r="S23" s="47" t="e">
        <f t="shared" si="28"/>
        <v>#DIV/0!</v>
      </c>
      <c r="T23" s="31">
        <f t="shared" si="28"/>
        <v>0</v>
      </c>
      <c r="U23" s="46" t="e">
        <f t="shared" si="28"/>
        <v>#DIV/0!</v>
      </c>
      <c r="V23" s="49" t="e">
        <f t="shared" si="28"/>
        <v>#DIV/0!</v>
      </c>
      <c r="W23" s="48" t="e">
        <f t="shared" si="28"/>
        <v>#DIV/0!</v>
      </c>
      <c r="X23" s="31" t="e">
        <f t="shared" si="28"/>
        <v>#DIV/0!</v>
      </c>
      <c r="Y23" s="57" t="e">
        <f t="shared" si="28"/>
        <v>#DIV/0!</v>
      </c>
      <c r="Z23" s="46" t="e">
        <f t="shared" si="28"/>
        <v>#DIV/0!</v>
      </c>
      <c r="AA23" s="49" t="e">
        <f t="shared" si="28"/>
        <v>#DIV/0!</v>
      </c>
      <c r="AC23" s="48">
        <f t="shared" ref="AC23:AI23" si="29">AC51+AC79</f>
        <v>0</v>
      </c>
      <c r="AD23" s="31">
        <f t="shared" si="29"/>
        <v>0</v>
      </c>
      <c r="AE23" s="31">
        <f t="shared" si="29"/>
        <v>0</v>
      </c>
      <c r="AF23" s="31">
        <f t="shared" si="29"/>
        <v>0</v>
      </c>
      <c r="AG23" s="48">
        <f t="shared" si="29"/>
        <v>0</v>
      </c>
      <c r="AH23" s="31">
        <f t="shared" si="29"/>
        <v>0</v>
      </c>
      <c r="AI23" s="31">
        <f t="shared" si="29"/>
        <v>0</v>
      </c>
      <c r="AJ23" s="46"/>
      <c r="AK23" s="31"/>
      <c r="AL23" s="31"/>
      <c r="AM23" s="47"/>
      <c r="AN23" s="31"/>
      <c r="AO23" s="31"/>
      <c r="AP23" s="49"/>
      <c r="AR23" s="107" t="e">
        <f t="shared" si="8"/>
        <v>#DIV/0!</v>
      </c>
    </row>
    <row r="24" spans="1:44" x14ac:dyDescent="0.25">
      <c r="A24" s="54">
        <f t="shared" si="9"/>
        <v>45627</v>
      </c>
      <c r="B24" s="57">
        <f t="shared" si="0"/>
        <v>0</v>
      </c>
      <c r="C24" s="46">
        <f t="shared" si="1"/>
        <v>0</v>
      </c>
      <c r="D24" s="57">
        <f t="shared" si="1"/>
        <v>0</v>
      </c>
      <c r="E24" s="57">
        <f t="shared" si="2"/>
        <v>0</v>
      </c>
      <c r="F24" s="31" t="e">
        <f t="shared" si="3"/>
        <v>#DIV/0!</v>
      </c>
      <c r="G24" s="57" t="e">
        <f t="shared" si="3"/>
        <v>#DIV/0!</v>
      </c>
      <c r="H24" s="55" t="e">
        <f t="shared" si="4"/>
        <v>#DIV/0!</v>
      </c>
      <c r="I24" s="48">
        <f t="shared" ref="I24:AA24" si="30">I52+I80</f>
        <v>0</v>
      </c>
      <c r="J24" s="47">
        <f t="shared" si="30"/>
        <v>0</v>
      </c>
      <c r="K24" s="31">
        <f t="shared" si="30"/>
        <v>0</v>
      </c>
      <c r="L24" s="31">
        <f t="shared" si="30"/>
        <v>0</v>
      </c>
      <c r="M24" s="57">
        <f t="shared" si="30"/>
        <v>0</v>
      </c>
      <c r="N24" s="31">
        <f t="shared" si="30"/>
        <v>0</v>
      </c>
      <c r="O24" s="31">
        <f t="shared" si="30"/>
        <v>0</v>
      </c>
      <c r="P24" s="46">
        <f t="shared" si="30"/>
        <v>0</v>
      </c>
      <c r="Q24" s="27">
        <f t="shared" si="30"/>
        <v>0</v>
      </c>
      <c r="R24" s="48" t="e">
        <f t="shared" si="30"/>
        <v>#DIV/0!</v>
      </c>
      <c r="S24" s="47" t="e">
        <f t="shared" si="30"/>
        <v>#DIV/0!</v>
      </c>
      <c r="T24" s="31">
        <f t="shared" si="30"/>
        <v>0</v>
      </c>
      <c r="U24" s="46" t="e">
        <f t="shared" si="30"/>
        <v>#DIV/0!</v>
      </c>
      <c r="V24" s="49" t="e">
        <f t="shared" si="30"/>
        <v>#DIV/0!</v>
      </c>
      <c r="W24" s="48" t="e">
        <f t="shared" si="30"/>
        <v>#DIV/0!</v>
      </c>
      <c r="X24" s="31" t="e">
        <f t="shared" si="30"/>
        <v>#DIV/0!</v>
      </c>
      <c r="Y24" s="57">
        <f t="shared" si="30"/>
        <v>0</v>
      </c>
      <c r="Z24" s="46" t="e">
        <f t="shared" si="30"/>
        <v>#DIV/0!</v>
      </c>
      <c r="AA24" s="49" t="e">
        <f t="shared" si="30"/>
        <v>#DIV/0!</v>
      </c>
      <c r="AC24" s="48">
        <f t="shared" ref="AC24:AI24" si="31">AC52+AC80</f>
        <v>0</v>
      </c>
      <c r="AD24" s="31">
        <f t="shared" si="31"/>
        <v>0</v>
      </c>
      <c r="AE24" s="31">
        <f t="shared" si="31"/>
        <v>0</v>
      </c>
      <c r="AF24" s="31">
        <f t="shared" si="31"/>
        <v>0</v>
      </c>
      <c r="AG24" s="48">
        <f t="shared" si="31"/>
        <v>0</v>
      </c>
      <c r="AH24" s="31">
        <f t="shared" si="31"/>
        <v>0</v>
      </c>
      <c r="AI24" s="31">
        <f t="shared" si="31"/>
        <v>0</v>
      </c>
      <c r="AJ24" s="46"/>
      <c r="AK24" s="31"/>
      <c r="AL24" s="31"/>
      <c r="AM24" s="47"/>
      <c r="AN24" s="31"/>
      <c r="AO24" s="31"/>
      <c r="AP24" s="49"/>
      <c r="AR24" s="107" t="e">
        <f t="shared" si="8"/>
        <v>#DIV/0!</v>
      </c>
    </row>
    <row r="25" spans="1:44" x14ac:dyDescent="0.25">
      <c r="A25" s="54">
        <f t="shared" si="9"/>
        <v>45634</v>
      </c>
      <c r="B25" s="57">
        <f t="shared" si="0"/>
        <v>0</v>
      </c>
      <c r="C25" s="46">
        <f t="shared" ref="C25:D25" si="32">C53+C81</f>
        <v>0</v>
      </c>
      <c r="D25" s="57">
        <f t="shared" si="32"/>
        <v>0</v>
      </c>
      <c r="E25" s="57">
        <f t="shared" si="2"/>
        <v>0</v>
      </c>
      <c r="F25" s="31" t="e">
        <f t="shared" ref="F25:G25" si="33">F53+F81</f>
        <v>#DIV/0!</v>
      </c>
      <c r="G25" s="57" t="e">
        <f t="shared" si="33"/>
        <v>#DIV/0!</v>
      </c>
      <c r="H25" s="55" t="e">
        <f t="shared" si="4"/>
        <v>#DIV/0!</v>
      </c>
      <c r="I25" s="48">
        <f t="shared" ref="I25:AA25" si="34">I53+I81</f>
        <v>0</v>
      </c>
      <c r="J25" s="47">
        <f t="shared" si="34"/>
        <v>0</v>
      </c>
      <c r="K25" s="31">
        <f t="shared" si="34"/>
        <v>0</v>
      </c>
      <c r="L25" s="31">
        <f t="shared" si="34"/>
        <v>0</v>
      </c>
      <c r="M25" s="57">
        <f t="shared" si="34"/>
        <v>0</v>
      </c>
      <c r="N25" s="31">
        <f t="shared" si="34"/>
        <v>0</v>
      </c>
      <c r="O25" s="31">
        <f t="shared" si="34"/>
        <v>0</v>
      </c>
      <c r="P25" s="46">
        <f t="shared" si="34"/>
        <v>0</v>
      </c>
      <c r="Q25" s="27">
        <f t="shared" si="34"/>
        <v>0</v>
      </c>
      <c r="R25" s="48" t="e">
        <f t="shared" si="34"/>
        <v>#DIV/0!</v>
      </c>
      <c r="S25" s="47" t="e">
        <f t="shared" si="34"/>
        <v>#DIV/0!</v>
      </c>
      <c r="T25" s="31">
        <f t="shared" si="34"/>
        <v>0</v>
      </c>
      <c r="U25" s="46" t="e">
        <f t="shared" si="34"/>
        <v>#DIV/0!</v>
      </c>
      <c r="V25" s="49" t="e">
        <f t="shared" si="34"/>
        <v>#DIV/0!</v>
      </c>
      <c r="W25" s="48" t="e">
        <f t="shared" si="34"/>
        <v>#DIV/0!</v>
      </c>
      <c r="X25" s="31" t="e">
        <f t="shared" si="34"/>
        <v>#DIV/0!</v>
      </c>
      <c r="Y25" s="57" t="e">
        <f t="shared" si="34"/>
        <v>#DIV/0!</v>
      </c>
      <c r="Z25" s="46" t="e">
        <f t="shared" si="34"/>
        <v>#DIV/0!</v>
      </c>
      <c r="AA25" s="49" t="e">
        <f t="shared" si="34"/>
        <v>#DIV/0!</v>
      </c>
      <c r="AC25" s="48">
        <f t="shared" ref="AC25:AI25" si="35">AC53+AC81</f>
        <v>0</v>
      </c>
      <c r="AD25" s="31">
        <f t="shared" si="35"/>
        <v>0</v>
      </c>
      <c r="AE25" s="31">
        <f t="shared" si="35"/>
        <v>0</v>
      </c>
      <c r="AF25" s="31">
        <f t="shared" si="35"/>
        <v>0</v>
      </c>
      <c r="AG25" s="48">
        <f t="shared" si="35"/>
        <v>0</v>
      </c>
      <c r="AH25" s="31">
        <f t="shared" si="35"/>
        <v>0</v>
      </c>
      <c r="AI25" s="31">
        <f t="shared" si="35"/>
        <v>0</v>
      </c>
      <c r="AJ25" s="46"/>
      <c r="AK25" s="31"/>
      <c r="AL25" s="31"/>
      <c r="AM25" s="47"/>
      <c r="AN25" s="31"/>
      <c r="AO25" s="31"/>
      <c r="AP25" s="49"/>
      <c r="AR25" s="107" t="e">
        <f t="shared" si="8"/>
        <v>#DIV/0!</v>
      </c>
    </row>
    <row r="26" spans="1:44" x14ac:dyDescent="0.25">
      <c r="A26" s="54">
        <f t="shared" si="9"/>
        <v>45641</v>
      </c>
      <c r="B26" s="57">
        <f t="shared" si="0"/>
        <v>0</v>
      </c>
      <c r="C26" s="46">
        <f t="shared" ref="C26:D28" si="36">C54+C82</f>
        <v>0</v>
      </c>
      <c r="D26" s="57">
        <f t="shared" si="36"/>
        <v>0</v>
      </c>
      <c r="E26" s="57">
        <f t="shared" si="2"/>
        <v>0</v>
      </c>
      <c r="F26" s="31" t="e">
        <f t="shared" ref="F26:G28" si="37">F54+F82</f>
        <v>#DIV/0!</v>
      </c>
      <c r="G26" s="57" t="e">
        <f t="shared" si="37"/>
        <v>#DIV/0!</v>
      </c>
      <c r="H26" s="55" t="e">
        <f t="shared" si="4"/>
        <v>#DIV/0!</v>
      </c>
      <c r="I26" s="48">
        <f t="shared" ref="I26:AA26" si="38">I54+I82</f>
        <v>0</v>
      </c>
      <c r="J26" s="47">
        <f t="shared" si="38"/>
        <v>0</v>
      </c>
      <c r="K26" s="31">
        <f t="shared" si="38"/>
        <v>0</v>
      </c>
      <c r="L26" s="31">
        <f t="shared" si="38"/>
        <v>0</v>
      </c>
      <c r="M26" s="57">
        <f t="shared" si="38"/>
        <v>0</v>
      </c>
      <c r="N26" s="31">
        <f t="shared" si="38"/>
        <v>0</v>
      </c>
      <c r="O26" s="31">
        <f t="shared" si="38"/>
        <v>0</v>
      </c>
      <c r="P26" s="46">
        <f t="shared" si="38"/>
        <v>0</v>
      </c>
      <c r="Q26" s="27">
        <f t="shared" si="38"/>
        <v>0</v>
      </c>
      <c r="R26" s="48" t="e">
        <f t="shared" si="38"/>
        <v>#DIV/0!</v>
      </c>
      <c r="S26" s="47" t="e">
        <f t="shared" si="38"/>
        <v>#DIV/0!</v>
      </c>
      <c r="T26" s="31">
        <f t="shared" si="38"/>
        <v>0</v>
      </c>
      <c r="U26" s="46" t="e">
        <f t="shared" si="38"/>
        <v>#DIV/0!</v>
      </c>
      <c r="V26" s="49" t="e">
        <f t="shared" si="38"/>
        <v>#DIV/0!</v>
      </c>
      <c r="W26" s="48" t="e">
        <f t="shared" si="38"/>
        <v>#DIV/0!</v>
      </c>
      <c r="X26" s="31" t="e">
        <f t="shared" si="38"/>
        <v>#DIV/0!</v>
      </c>
      <c r="Y26" s="57" t="e">
        <f t="shared" si="38"/>
        <v>#DIV/0!</v>
      </c>
      <c r="Z26" s="46" t="e">
        <f t="shared" si="38"/>
        <v>#DIV/0!</v>
      </c>
      <c r="AA26" s="49" t="e">
        <f t="shared" si="38"/>
        <v>#DIV/0!</v>
      </c>
      <c r="AC26" s="48">
        <f t="shared" ref="AC26:AI26" si="39">AC54+AC82</f>
        <v>0</v>
      </c>
      <c r="AD26" s="31">
        <f t="shared" si="39"/>
        <v>0</v>
      </c>
      <c r="AE26" s="31">
        <f t="shared" si="39"/>
        <v>0</v>
      </c>
      <c r="AF26" s="31">
        <f t="shared" si="39"/>
        <v>0</v>
      </c>
      <c r="AG26" s="48">
        <f t="shared" si="39"/>
        <v>0</v>
      </c>
      <c r="AH26" s="31">
        <f t="shared" si="39"/>
        <v>0</v>
      </c>
      <c r="AI26" s="31">
        <f t="shared" si="39"/>
        <v>0</v>
      </c>
      <c r="AJ26" s="46"/>
      <c r="AK26" s="31"/>
      <c r="AL26" s="31"/>
      <c r="AM26" s="47"/>
      <c r="AN26" s="31"/>
      <c r="AO26" s="31"/>
      <c r="AP26" s="49"/>
      <c r="AR26" s="107" t="e">
        <f t="shared" ref="AR26:AR28" si="40">AR54+AR82</f>
        <v>#DIV/0!</v>
      </c>
    </row>
    <row r="27" spans="1:44" x14ac:dyDescent="0.25">
      <c r="A27" s="54">
        <f t="shared" si="9"/>
        <v>45648</v>
      </c>
      <c r="B27" s="57">
        <f t="shared" si="0"/>
        <v>0</v>
      </c>
      <c r="C27" s="46">
        <f t="shared" si="36"/>
        <v>0</v>
      </c>
      <c r="D27" s="57">
        <f t="shared" si="36"/>
        <v>0</v>
      </c>
      <c r="E27" s="57">
        <f t="shared" si="2"/>
        <v>0</v>
      </c>
      <c r="F27" s="31" t="e">
        <f t="shared" si="37"/>
        <v>#DIV/0!</v>
      </c>
      <c r="G27" s="57" t="e">
        <f t="shared" si="37"/>
        <v>#DIV/0!</v>
      </c>
      <c r="H27" s="55" t="e">
        <f t="shared" si="4"/>
        <v>#DIV/0!</v>
      </c>
      <c r="I27" s="48">
        <f t="shared" ref="I27:AA27" si="41">I55+I83</f>
        <v>0</v>
      </c>
      <c r="J27" s="47">
        <f t="shared" si="41"/>
        <v>0</v>
      </c>
      <c r="K27" s="31">
        <f t="shared" si="41"/>
        <v>0</v>
      </c>
      <c r="L27" s="31">
        <f t="shared" si="41"/>
        <v>0</v>
      </c>
      <c r="M27" s="57">
        <f t="shared" si="41"/>
        <v>0</v>
      </c>
      <c r="N27" s="31">
        <f t="shared" si="41"/>
        <v>0</v>
      </c>
      <c r="O27" s="31">
        <f t="shared" si="41"/>
        <v>0</v>
      </c>
      <c r="P27" s="46">
        <f t="shared" si="41"/>
        <v>0</v>
      </c>
      <c r="Q27" s="27">
        <f t="shared" si="41"/>
        <v>0</v>
      </c>
      <c r="R27" s="48" t="e">
        <f t="shared" si="41"/>
        <v>#DIV/0!</v>
      </c>
      <c r="S27" s="47" t="e">
        <f t="shared" si="41"/>
        <v>#DIV/0!</v>
      </c>
      <c r="T27" s="31">
        <f t="shared" si="41"/>
        <v>0</v>
      </c>
      <c r="U27" s="46" t="e">
        <f t="shared" si="41"/>
        <v>#DIV/0!</v>
      </c>
      <c r="V27" s="49" t="e">
        <f t="shared" si="41"/>
        <v>#DIV/0!</v>
      </c>
      <c r="W27" s="48" t="e">
        <f t="shared" si="41"/>
        <v>#DIV/0!</v>
      </c>
      <c r="X27" s="31" t="e">
        <f t="shared" si="41"/>
        <v>#DIV/0!</v>
      </c>
      <c r="Y27" s="57" t="e">
        <f t="shared" si="41"/>
        <v>#DIV/0!</v>
      </c>
      <c r="Z27" s="46" t="e">
        <f t="shared" si="41"/>
        <v>#DIV/0!</v>
      </c>
      <c r="AA27" s="49" t="e">
        <f t="shared" si="41"/>
        <v>#DIV/0!</v>
      </c>
      <c r="AC27" s="48">
        <f t="shared" ref="AC27:AI27" si="42">AC55+AC83</f>
        <v>0</v>
      </c>
      <c r="AD27" s="31">
        <f t="shared" si="42"/>
        <v>0</v>
      </c>
      <c r="AE27" s="31">
        <f t="shared" si="42"/>
        <v>0</v>
      </c>
      <c r="AF27" s="31">
        <f t="shared" si="42"/>
        <v>0</v>
      </c>
      <c r="AG27" s="48">
        <f t="shared" si="42"/>
        <v>0</v>
      </c>
      <c r="AH27" s="31">
        <f t="shared" si="42"/>
        <v>0</v>
      </c>
      <c r="AI27" s="31">
        <f t="shared" si="42"/>
        <v>0</v>
      </c>
      <c r="AJ27" s="46"/>
      <c r="AK27" s="31"/>
      <c r="AL27" s="31"/>
      <c r="AM27" s="47"/>
      <c r="AN27" s="31"/>
      <c r="AO27" s="31"/>
      <c r="AP27" s="49"/>
      <c r="AR27" s="107" t="e">
        <f t="shared" si="40"/>
        <v>#DIV/0!</v>
      </c>
    </row>
    <row r="28" spans="1:44" x14ac:dyDescent="0.25">
      <c r="A28" s="54">
        <f t="shared" si="9"/>
        <v>45655</v>
      </c>
      <c r="B28" s="57">
        <f t="shared" si="0"/>
        <v>0</v>
      </c>
      <c r="C28" s="46">
        <f t="shared" si="36"/>
        <v>0</v>
      </c>
      <c r="D28" s="57">
        <f t="shared" si="36"/>
        <v>0</v>
      </c>
      <c r="E28" s="57">
        <f t="shared" si="2"/>
        <v>0</v>
      </c>
      <c r="F28" s="31" t="e">
        <f t="shared" si="37"/>
        <v>#DIV/0!</v>
      </c>
      <c r="G28" s="57" t="e">
        <f t="shared" si="37"/>
        <v>#DIV/0!</v>
      </c>
      <c r="H28" s="55" t="e">
        <f t="shared" si="4"/>
        <v>#DIV/0!</v>
      </c>
      <c r="I28" s="48">
        <f t="shared" ref="I28:AA28" si="43">I56+I84</f>
        <v>0</v>
      </c>
      <c r="J28" s="47">
        <f t="shared" si="43"/>
        <v>0</v>
      </c>
      <c r="K28" s="31">
        <f t="shared" si="43"/>
        <v>0</v>
      </c>
      <c r="L28" s="31">
        <f t="shared" si="43"/>
        <v>0</v>
      </c>
      <c r="M28" s="57">
        <f t="shared" si="43"/>
        <v>0</v>
      </c>
      <c r="N28" s="31">
        <f t="shared" si="43"/>
        <v>0</v>
      </c>
      <c r="O28" s="31">
        <f t="shared" si="43"/>
        <v>0</v>
      </c>
      <c r="P28" s="46">
        <f t="shared" si="43"/>
        <v>0</v>
      </c>
      <c r="Q28" s="27">
        <f t="shared" si="43"/>
        <v>0</v>
      </c>
      <c r="R28" s="48" t="e">
        <f t="shared" si="43"/>
        <v>#DIV/0!</v>
      </c>
      <c r="S28" s="47" t="e">
        <f t="shared" si="43"/>
        <v>#DIV/0!</v>
      </c>
      <c r="T28" s="31">
        <f t="shared" si="43"/>
        <v>0</v>
      </c>
      <c r="U28" s="46" t="e">
        <f t="shared" si="43"/>
        <v>#DIV/0!</v>
      </c>
      <c r="V28" s="49" t="e">
        <f t="shared" si="43"/>
        <v>#DIV/0!</v>
      </c>
      <c r="W28" s="48" t="e">
        <f t="shared" si="43"/>
        <v>#DIV/0!</v>
      </c>
      <c r="X28" s="31" t="e">
        <f t="shared" si="43"/>
        <v>#DIV/0!</v>
      </c>
      <c r="Y28" s="57" t="e">
        <f t="shared" si="43"/>
        <v>#DIV/0!</v>
      </c>
      <c r="Z28" s="46" t="e">
        <f t="shared" si="43"/>
        <v>#DIV/0!</v>
      </c>
      <c r="AA28" s="49" t="e">
        <f t="shared" si="43"/>
        <v>#DIV/0!</v>
      </c>
      <c r="AC28" s="48">
        <f t="shared" ref="AC28:AI28" si="44">AC56+AC84</f>
        <v>0</v>
      </c>
      <c r="AD28" s="31">
        <f t="shared" si="44"/>
        <v>0</v>
      </c>
      <c r="AE28" s="31">
        <f t="shared" si="44"/>
        <v>0</v>
      </c>
      <c r="AF28" s="31">
        <f t="shared" si="44"/>
        <v>0</v>
      </c>
      <c r="AG28" s="48">
        <f t="shared" si="44"/>
        <v>0</v>
      </c>
      <c r="AH28" s="31">
        <f t="shared" si="44"/>
        <v>0</v>
      </c>
      <c r="AI28" s="31">
        <f t="shared" si="44"/>
        <v>0</v>
      </c>
      <c r="AJ28" s="46"/>
      <c r="AK28" s="31"/>
      <c r="AL28" s="31"/>
      <c r="AM28" s="47"/>
      <c r="AN28" s="31"/>
      <c r="AO28" s="31"/>
      <c r="AP28" s="49"/>
      <c r="AR28" s="107" t="e">
        <f t="shared" si="40"/>
        <v>#DIV/0!</v>
      </c>
    </row>
    <row r="29" spans="1:44" ht="16.5" thickBot="1" x14ac:dyDescent="0.3">
      <c r="A29" s="54"/>
      <c r="B29" s="57"/>
      <c r="C29" s="46"/>
      <c r="D29" s="57"/>
      <c r="E29" s="57"/>
      <c r="F29" s="31"/>
      <c r="G29" s="57"/>
      <c r="H29" s="55"/>
      <c r="I29" s="48"/>
      <c r="J29" s="47"/>
      <c r="K29" s="31"/>
      <c r="L29" s="31"/>
      <c r="M29" s="57"/>
      <c r="N29" s="31"/>
      <c r="O29" s="31"/>
      <c r="P29" s="46"/>
      <c r="Q29" s="31"/>
      <c r="R29" s="48"/>
      <c r="S29" s="47"/>
      <c r="T29" s="31"/>
      <c r="U29" s="46"/>
      <c r="V29" s="49"/>
      <c r="W29" s="48"/>
      <c r="X29" s="31"/>
      <c r="Y29" s="57"/>
      <c r="Z29" s="46"/>
      <c r="AA29" s="49"/>
      <c r="AC29" s="97"/>
      <c r="AD29" s="86"/>
      <c r="AE29" s="86"/>
      <c r="AF29" s="86"/>
      <c r="AG29" s="97"/>
      <c r="AH29" s="86"/>
      <c r="AI29" s="86"/>
      <c r="AJ29" s="95"/>
      <c r="AK29" s="86"/>
      <c r="AL29" s="86"/>
      <c r="AM29" s="87"/>
      <c r="AN29" s="86"/>
      <c r="AO29" s="86"/>
      <c r="AP29" s="96"/>
      <c r="AR29" s="107"/>
    </row>
    <row r="30" spans="1:44" ht="17.25" thickTop="1" thickBot="1" x14ac:dyDescent="0.3">
      <c r="A30" s="120" t="s">
        <v>121</v>
      </c>
      <c r="B30" s="121">
        <f t="shared" ref="B30:G30" si="45">SUM(B9:B29)</f>
        <v>1755</v>
      </c>
      <c r="C30" s="121">
        <f t="shared" si="45"/>
        <v>5662</v>
      </c>
      <c r="D30" s="121">
        <f t="shared" si="45"/>
        <v>33705.51</v>
      </c>
      <c r="E30" s="121">
        <f t="shared" si="45"/>
        <v>6368.6004349936075</v>
      </c>
      <c r="F30" s="121" t="e">
        <f t="shared" si="45"/>
        <v>#DIV/0!</v>
      </c>
      <c r="G30" s="121" t="e">
        <f t="shared" si="45"/>
        <v>#DIV/0!</v>
      </c>
      <c r="H30" s="349" t="e">
        <f t="shared" ref="H30" si="46">D30/G30</f>
        <v>#DIV/0!</v>
      </c>
      <c r="I30" s="124">
        <f t="shared" ref="I30:AA30" si="47">SUM(I9:I29)</f>
        <v>2212</v>
      </c>
      <c r="J30" s="123">
        <f t="shared" si="47"/>
        <v>114</v>
      </c>
      <c r="K30" s="122">
        <f t="shared" si="47"/>
        <v>96</v>
      </c>
      <c r="L30" s="118">
        <f t="shared" si="47"/>
        <v>17</v>
      </c>
      <c r="M30" s="121">
        <f t="shared" si="47"/>
        <v>0</v>
      </c>
      <c r="N30" s="122">
        <f t="shared" ref="N30" si="48">SUM(N9:N29)</f>
        <v>31</v>
      </c>
      <c r="O30" s="118">
        <f t="shared" si="47"/>
        <v>4</v>
      </c>
      <c r="P30" s="122">
        <f t="shared" si="47"/>
        <v>3</v>
      </c>
      <c r="Q30" s="119">
        <f t="shared" si="47"/>
        <v>0</v>
      </c>
      <c r="R30" s="124" t="e">
        <f t="shared" si="47"/>
        <v>#DIV/0!</v>
      </c>
      <c r="S30" s="123" t="e">
        <f t="shared" si="47"/>
        <v>#DIV/0!</v>
      </c>
      <c r="T30" s="118">
        <f t="shared" si="47"/>
        <v>0</v>
      </c>
      <c r="U30" s="122" t="e">
        <f t="shared" si="47"/>
        <v>#DIV/0!</v>
      </c>
      <c r="V30" s="119" t="e">
        <f t="shared" si="47"/>
        <v>#DIV/0!</v>
      </c>
      <c r="W30" s="124" t="e">
        <f t="shared" si="47"/>
        <v>#DIV/0!</v>
      </c>
      <c r="X30" s="123" t="e">
        <f t="shared" si="47"/>
        <v>#DIV/0!</v>
      </c>
      <c r="Y30" s="123" t="e">
        <f t="shared" si="47"/>
        <v>#DIV/0!</v>
      </c>
      <c r="Z30" s="122" t="e">
        <f t="shared" si="47"/>
        <v>#DIV/0!</v>
      </c>
      <c r="AA30" s="119" t="e">
        <f t="shared" si="47"/>
        <v>#DIV/0!</v>
      </c>
      <c r="AC30" s="90">
        <f t="shared" ref="AC30:AP30" si="49">SUM(AC9:AC29)</f>
        <v>7</v>
      </c>
      <c r="AD30" s="91">
        <f t="shared" si="49"/>
        <v>7</v>
      </c>
      <c r="AE30" s="91">
        <f t="shared" si="49"/>
        <v>18</v>
      </c>
      <c r="AF30" s="91">
        <f t="shared" si="49"/>
        <v>4</v>
      </c>
      <c r="AG30" s="90">
        <f t="shared" si="49"/>
        <v>9</v>
      </c>
      <c r="AH30" s="91">
        <f t="shared" si="49"/>
        <v>0</v>
      </c>
      <c r="AI30" s="91">
        <f t="shared" si="49"/>
        <v>0</v>
      </c>
      <c r="AJ30" s="93">
        <f t="shared" si="49"/>
        <v>11.771607203729996</v>
      </c>
      <c r="AK30" s="91">
        <f t="shared" si="49"/>
        <v>14.719300060537327</v>
      </c>
      <c r="AL30" s="91">
        <f t="shared" si="49"/>
        <v>42.409955020431163</v>
      </c>
      <c r="AM30" s="98">
        <f t="shared" si="49"/>
        <v>11.217558633894583</v>
      </c>
      <c r="AN30" s="91">
        <f t="shared" si="49"/>
        <v>19.816348841116035</v>
      </c>
      <c r="AO30" s="91">
        <f t="shared" si="49"/>
        <v>0</v>
      </c>
      <c r="AP30" s="94">
        <f t="shared" si="49"/>
        <v>0</v>
      </c>
      <c r="AR30" s="108" t="e">
        <f>SUM(AR9:AR29)</f>
        <v>#DIV/0!</v>
      </c>
    </row>
    <row r="31" spans="1:44" x14ac:dyDescent="0.25">
      <c r="A31" s="30"/>
      <c r="I31" s="31">
        <f>I30+J30</f>
        <v>2326</v>
      </c>
      <c r="R31" s="665" t="e">
        <f>R30+S30</f>
        <v>#DIV/0!</v>
      </c>
      <c r="S31" s="665"/>
    </row>
    <row r="32" spans="1:44" x14ac:dyDescent="0.25">
      <c r="A32" s="30"/>
      <c r="C32" s="31"/>
      <c r="R32" s="640"/>
      <c r="S32" s="640"/>
      <c r="T32" s="31"/>
      <c r="U32" s="31"/>
      <c r="V32" s="27">
        <f>8/21</f>
        <v>0.38095238095238093</v>
      </c>
    </row>
    <row r="33" spans="1:47" ht="19.5" thickBot="1" x14ac:dyDescent="0.35">
      <c r="A33" s="6" t="s">
        <v>186</v>
      </c>
      <c r="B33" s="31"/>
      <c r="C33" s="31"/>
      <c r="D33" s="31"/>
    </row>
    <row r="34" spans="1:47" ht="16.5" thickBot="1" x14ac:dyDescent="0.3">
      <c r="A34" s="112"/>
      <c r="B34" s="113"/>
      <c r="C34" s="113"/>
      <c r="D34" s="113"/>
      <c r="E34" s="113"/>
      <c r="F34" s="113"/>
      <c r="G34" s="53"/>
      <c r="H34" s="53"/>
      <c r="I34" s="636" t="s">
        <v>106</v>
      </c>
      <c r="J34" s="637"/>
      <c r="K34" s="637"/>
      <c r="L34" s="637"/>
      <c r="M34" s="637"/>
      <c r="N34" s="637"/>
      <c r="O34" s="637"/>
      <c r="P34" s="637"/>
      <c r="Q34" s="638"/>
      <c r="R34" s="636" t="s">
        <v>107</v>
      </c>
      <c r="S34" s="637"/>
      <c r="T34" s="637"/>
      <c r="U34" s="637"/>
      <c r="V34" s="637"/>
      <c r="W34" s="636" t="s">
        <v>102</v>
      </c>
      <c r="X34" s="637"/>
      <c r="Y34" s="637"/>
      <c r="Z34" s="637"/>
      <c r="AA34" s="638"/>
      <c r="AC34" s="658" t="s">
        <v>103</v>
      </c>
      <c r="AD34" s="659"/>
      <c r="AE34" s="659"/>
      <c r="AF34" s="659"/>
      <c r="AG34" s="659"/>
      <c r="AH34" s="659"/>
      <c r="AI34" s="659"/>
      <c r="AJ34" s="659"/>
      <c r="AK34" s="659"/>
      <c r="AL34" s="659"/>
      <c r="AM34" s="659"/>
      <c r="AN34" s="659"/>
      <c r="AO34" s="659"/>
      <c r="AP34" s="660"/>
    </row>
    <row r="35" spans="1:47" x14ac:dyDescent="0.25">
      <c r="A35" s="100" t="s">
        <v>69</v>
      </c>
      <c r="B35" s="657" t="s">
        <v>106</v>
      </c>
      <c r="C35" s="657"/>
      <c r="D35" s="657"/>
      <c r="E35" s="657" t="s">
        <v>88</v>
      </c>
      <c r="F35" s="657"/>
      <c r="G35" s="629"/>
      <c r="H35" s="304" t="s">
        <v>185</v>
      </c>
      <c r="I35" s="652" t="s">
        <v>109</v>
      </c>
      <c r="J35" s="639"/>
      <c r="K35" s="629" t="s">
        <v>190</v>
      </c>
      <c r="L35" s="630"/>
      <c r="M35" s="300" t="s">
        <v>189</v>
      </c>
      <c r="N35" s="629" t="s">
        <v>101</v>
      </c>
      <c r="O35" s="630"/>
      <c r="P35" s="629" t="s">
        <v>233</v>
      </c>
      <c r="Q35" s="639"/>
      <c r="R35" s="652" t="s">
        <v>109</v>
      </c>
      <c r="S35" s="630"/>
      <c r="T35" s="300" t="s">
        <v>189</v>
      </c>
      <c r="U35" s="629" t="s">
        <v>234</v>
      </c>
      <c r="V35" s="639"/>
      <c r="W35" s="631" t="s">
        <v>109</v>
      </c>
      <c r="X35" s="629"/>
      <c r="Y35" s="245" t="s">
        <v>189</v>
      </c>
      <c r="Z35" s="629" t="s">
        <v>101</v>
      </c>
      <c r="AA35" s="641"/>
      <c r="AC35" s="652" t="s">
        <v>112</v>
      </c>
      <c r="AD35" s="639"/>
      <c r="AE35" s="639"/>
      <c r="AF35" s="639"/>
      <c r="AG35" s="629" t="s">
        <v>107</v>
      </c>
      <c r="AH35" s="639"/>
      <c r="AI35" s="630"/>
      <c r="AJ35" s="661" t="s">
        <v>113</v>
      </c>
      <c r="AK35" s="662"/>
      <c r="AL35" s="662"/>
      <c r="AM35" s="663"/>
      <c r="AN35" s="662" t="s">
        <v>114</v>
      </c>
      <c r="AO35" s="662"/>
      <c r="AP35" s="664"/>
      <c r="AR35" s="105" t="s">
        <v>157</v>
      </c>
      <c r="AT35" s="27" t="s">
        <v>116</v>
      </c>
      <c r="AU35" s="27" t="s">
        <v>140</v>
      </c>
    </row>
    <row r="36" spans="1:47" x14ac:dyDescent="0.25">
      <c r="A36" s="101" t="s">
        <v>108</v>
      </c>
      <c r="B36" s="245" t="s">
        <v>93</v>
      </c>
      <c r="C36" s="245" t="s">
        <v>117</v>
      </c>
      <c r="D36" s="245" t="s">
        <v>140</v>
      </c>
      <c r="E36" s="245" t="s">
        <v>93</v>
      </c>
      <c r="F36" s="245" t="s">
        <v>117</v>
      </c>
      <c r="G36" s="242" t="s">
        <v>140</v>
      </c>
      <c r="H36" s="133" t="s">
        <v>106</v>
      </c>
      <c r="I36" s="92" t="s">
        <v>118</v>
      </c>
      <c r="J36" s="35" t="s">
        <v>90</v>
      </c>
      <c r="K36" s="29" t="s">
        <v>118</v>
      </c>
      <c r="L36" s="29" t="s">
        <v>90</v>
      </c>
      <c r="M36" s="36" t="s">
        <v>118</v>
      </c>
      <c r="N36" s="29" t="s">
        <v>118</v>
      </c>
      <c r="O36" s="35" t="s">
        <v>90</v>
      </c>
      <c r="P36" s="29" t="s">
        <v>118</v>
      </c>
      <c r="Q36" s="35" t="s">
        <v>90</v>
      </c>
      <c r="R36" s="92" t="s">
        <v>118</v>
      </c>
      <c r="S36" s="29" t="s">
        <v>90</v>
      </c>
      <c r="T36" s="35" t="s">
        <v>118</v>
      </c>
      <c r="U36" s="29" t="s">
        <v>118</v>
      </c>
      <c r="V36" s="35" t="s">
        <v>90</v>
      </c>
      <c r="W36" s="92" t="s">
        <v>118</v>
      </c>
      <c r="X36" s="35" t="s">
        <v>90</v>
      </c>
      <c r="Y36" s="29" t="s">
        <v>118</v>
      </c>
      <c r="Z36" s="29" t="s">
        <v>118</v>
      </c>
      <c r="AA36" s="44" t="s">
        <v>90</v>
      </c>
      <c r="AC36" s="233" t="s">
        <v>111</v>
      </c>
      <c r="AD36" s="36" t="s">
        <v>110</v>
      </c>
      <c r="AE36" s="36" t="s">
        <v>96</v>
      </c>
      <c r="AF36" s="36" t="s">
        <v>104</v>
      </c>
      <c r="AG36" s="35" t="s">
        <v>111</v>
      </c>
      <c r="AH36" s="36" t="s">
        <v>110</v>
      </c>
      <c r="AI36" s="137" t="s">
        <v>96</v>
      </c>
      <c r="AJ36" s="38" t="s">
        <v>111</v>
      </c>
      <c r="AK36" s="37" t="s">
        <v>110</v>
      </c>
      <c r="AL36" s="37" t="s">
        <v>96</v>
      </c>
      <c r="AM36" s="138" t="s">
        <v>104</v>
      </c>
      <c r="AN36" s="37" t="s">
        <v>111</v>
      </c>
      <c r="AO36" s="37" t="s">
        <v>110</v>
      </c>
      <c r="AP36" s="114" t="s">
        <v>96</v>
      </c>
      <c r="AR36" s="106" t="s">
        <v>163</v>
      </c>
      <c r="AT36" s="27" t="s">
        <v>191</v>
      </c>
      <c r="AU36" s="27" t="s">
        <v>192</v>
      </c>
    </row>
    <row r="37" spans="1:47" x14ac:dyDescent="0.25">
      <c r="A37" s="54">
        <f>A9</f>
        <v>45522</v>
      </c>
      <c r="B37" s="552">
        <f>Harvest!D22</f>
        <v>9</v>
      </c>
      <c r="C37" s="552">
        <f>Harvest!E22</f>
        <v>16</v>
      </c>
      <c r="D37" s="552">
        <f>Harvest!F22</f>
        <v>123.37</v>
      </c>
      <c r="E37" s="46">
        <f>Harvest!C22</f>
        <v>31.160121125562895</v>
      </c>
      <c r="F37" s="31">
        <f t="shared" ref="F37" si="50">C37/H37</f>
        <v>55.39577088988959</v>
      </c>
      <c r="G37" s="31">
        <f t="shared" ref="G37" si="51">D37/H37</f>
        <v>427.13601591785493</v>
      </c>
      <c r="H37" s="55">
        <f t="shared" ref="H37" si="52">B37/E37</f>
        <v>0.28883071294022189</v>
      </c>
      <c r="I37" s="48">
        <f>Harvest!H21</f>
        <v>0</v>
      </c>
      <c r="J37" s="31">
        <f>Harvest!K21</f>
        <v>0</v>
      </c>
      <c r="K37" s="46">
        <f>Harvest!T21</f>
        <v>0</v>
      </c>
      <c r="L37" s="47">
        <f>Harvest!U21</f>
        <v>0</v>
      </c>
      <c r="M37" s="31"/>
      <c r="N37" s="46">
        <f>Harvest!N21</f>
        <v>0</v>
      </c>
      <c r="O37" s="31">
        <f>Harvest!Q21</f>
        <v>0</v>
      </c>
      <c r="P37" s="46">
        <f>Harvest!W21</f>
        <v>0</v>
      </c>
      <c r="Q37" s="31">
        <f>Harvest!X21</f>
        <v>0</v>
      </c>
      <c r="R37" s="48">
        <f>Harvest!H22</f>
        <v>0</v>
      </c>
      <c r="S37" s="47">
        <f>Harvest!K22</f>
        <v>0</v>
      </c>
      <c r="T37" s="31"/>
      <c r="U37" s="523">
        <f>Harvest!N22</f>
        <v>0</v>
      </c>
      <c r="V37" s="505">
        <f>Harvest!Q22</f>
        <v>0</v>
      </c>
      <c r="W37" s="48">
        <f>Harvest!T22</f>
        <v>0</v>
      </c>
      <c r="X37" s="31">
        <f>Harvest!U22</f>
        <v>0</v>
      </c>
      <c r="Y37" s="57">
        <f>Harvest!V22</f>
        <v>0</v>
      </c>
      <c r="Z37" s="46">
        <f>Harvest!W22</f>
        <v>0</v>
      </c>
      <c r="AA37" s="49">
        <f>Harvest!X22</f>
        <v>0</v>
      </c>
      <c r="AC37" s="48">
        <f>Harvest!AW21</f>
        <v>0</v>
      </c>
      <c r="AD37" s="48">
        <f>Harvest!AX21</f>
        <v>0</v>
      </c>
      <c r="AE37" s="48">
        <f>Harvest!AY21</f>
        <v>0</v>
      </c>
      <c r="AF37" s="48">
        <f>Harvest!AZ21</f>
        <v>2</v>
      </c>
      <c r="AG37" s="46">
        <f>Harvest!BA21</f>
        <v>0</v>
      </c>
      <c r="AH37" s="31">
        <f>Harvest!BB21</f>
        <v>0</v>
      </c>
      <c r="AI37" s="47">
        <f>Harvest!BC21</f>
        <v>0</v>
      </c>
      <c r="AJ37" s="46">
        <f>Harvest!AW22</f>
        <v>0</v>
      </c>
      <c r="AK37" s="46">
        <f>Harvest!AX22</f>
        <v>0</v>
      </c>
      <c r="AL37" s="46">
        <f>Harvest!AY22</f>
        <v>0</v>
      </c>
      <c r="AM37" s="46">
        <f>Harvest!AZ22</f>
        <v>6.9244713612361988</v>
      </c>
      <c r="AN37" s="31">
        <f>Harvest!BA22</f>
        <v>0</v>
      </c>
      <c r="AO37" s="31">
        <f>Harvest!BB22</f>
        <v>0</v>
      </c>
      <c r="AP37" s="505">
        <f>Harvest!BC22</f>
        <v>0</v>
      </c>
      <c r="AR37" s="107">
        <f t="shared" ref="AR37" si="53">F37</f>
        <v>55.39577088988959</v>
      </c>
      <c r="AT37" s="125">
        <f t="shared" ref="AT37" si="54">SUM(I37:Q37)/B37</f>
        <v>0</v>
      </c>
      <c r="AU37" s="622">
        <v>0</v>
      </c>
    </row>
    <row r="38" spans="1:47" x14ac:dyDescent="0.25">
      <c r="A38" s="54">
        <f t="shared" ref="A38:A56" si="55">A37+7</f>
        <v>45529</v>
      </c>
      <c r="B38" s="57">
        <f>Harvest!D32</f>
        <v>17</v>
      </c>
      <c r="C38" s="57">
        <f>Harvest!E32</f>
        <v>32</v>
      </c>
      <c r="D38" s="57">
        <f>Harvest!F32</f>
        <v>170.09</v>
      </c>
      <c r="E38" s="46">
        <f>Harvest!C32</f>
        <v>47.464994744361775</v>
      </c>
      <c r="F38" s="31">
        <f t="shared" ref="F38" si="56">C38/H38</f>
        <v>89.345872459975098</v>
      </c>
      <c r="G38" s="31">
        <f t="shared" ref="G38" si="57">D38/H38</f>
        <v>474.90123270991143</v>
      </c>
      <c r="H38" s="55">
        <f t="shared" ref="H38" si="58">B38/E38</f>
        <v>0.35815868286848129</v>
      </c>
      <c r="I38" s="48">
        <f>Harvest!H31</f>
        <v>0</v>
      </c>
      <c r="J38" s="31">
        <f>Harvest!K31</f>
        <v>0</v>
      </c>
      <c r="K38" s="46">
        <f>Harvest!T31</f>
        <v>0</v>
      </c>
      <c r="L38" s="47">
        <f>Harvest!U31</f>
        <v>0</v>
      </c>
      <c r="M38" s="31"/>
      <c r="N38" s="46">
        <f>Harvest!N31</f>
        <v>0</v>
      </c>
      <c r="O38" s="31">
        <f>Harvest!Q31</f>
        <v>0</v>
      </c>
      <c r="P38" s="46">
        <f>Harvest!W31</f>
        <v>0</v>
      </c>
      <c r="Q38" s="31">
        <f>Harvest!X31</f>
        <v>0</v>
      </c>
      <c r="R38" s="48">
        <f>Harvest!H32</f>
        <v>0</v>
      </c>
      <c r="S38" s="47">
        <f>Harvest!K32</f>
        <v>0</v>
      </c>
      <c r="T38" s="31"/>
      <c r="U38" s="46">
        <f>Harvest!N32</f>
        <v>0</v>
      </c>
      <c r="V38" s="49">
        <f>Harvest!Q32</f>
        <v>0</v>
      </c>
      <c r="W38" s="48">
        <f>Harvest!T32</f>
        <v>0</v>
      </c>
      <c r="X38" s="31">
        <f>Harvest!U32</f>
        <v>0</v>
      </c>
      <c r="Y38" s="57">
        <f>Harvest!V32</f>
        <v>0</v>
      </c>
      <c r="Z38" s="46">
        <f>Harvest!W32</f>
        <v>0</v>
      </c>
      <c r="AA38" s="49">
        <f>Harvest!X32</f>
        <v>0</v>
      </c>
      <c r="AC38" s="48">
        <f>Harvest!AW31</f>
        <v>0</v>
      </c>
      <c r="AD38" s="48">
        <f>Harvest!AX31</f>
        <v>0</v>
      </c>
      <c r="AE38" s="48">
        <f>Harvest!AY31</f>
        <v>0</v>
      </c>
      <c r="AF38" s="48">
        <f>Harvest!AZ31</f>
        <v>0</v>
      </c>
      <c r="AG38" s="46">
        <f>Harvest!BA31</f>
        <v>0</v>
      </c>
      <c r="AH38" s="31">
        <f>Harvest!BB31</f>
        <v>0</v>
      </c>
      <c r="AI38" s="47">
        <f>Harvest!BC31</f>
        <v>0</v>
      </c>
      <c r="AJ38" s="46">
        <f>Harvest!AW32</f>
        <v>0</v>
      </c>
      <c r="AK38" s="46">
        <f>Harvest!AX32</f>
        <v>0</v>
      </c>
      <c r="AL38" s="46">
        <f>Harvest!AY32</f>
        <v>0</v>
      </c>
      <c r="AM38" s="46">
        <f>Harvest!AZ32</f>
        <v>0</v>
      </c>
      <c r="AN38" s="31">
        <f>Harvest!BA32</f>
        <v>0</v>
      </c>
      <c r="AO38" s="31">
        <f>Harvest!BB32</f>
        <v>0</v>
      </c>
      <c r="AP38" s="49">
        <f>Harvest!BC32</f>
        <v>0</v>
      </c>
      <c r="AR38" s="107">
        <f t="shared" ref="AR38" si="59">F38</f>
        <v>89.345872459975098</v>
      </c>
      <c r="AT38" s="125">
        <f t="shared" ref="AT38:AT52" si="60">SUM(I38:Q38)/B38</f>
        <v>0</v>
      </c>
      <c r="AU38" s="622">
        <v>0</v>
      </c>
    </row>
    <row r="39" spans="1:47" x14ac:dyDescent="0.25">
      <c r="A39" s="54">
        <f t="shared" si="55"/>
        <v>45536</v>
      </c>
      <c r="B39" s="57">
        <f>Harvest!D42</f>
        <v>34</v>
      </c>
      <c r="C39" s="57">
        <f>Harvest!E42</f>
        <v>69</v>
      </c>
      <c r="D39" s="57">
        <f>Harvest!F42</f>
        <v>425.08000000000004</v>
      </c>
      <c r="E39" s="46">
        <f>Harvest!C42</f>
        <v>101.08142623542386</v>
      </c>
      <c r="F39" s="31">
        <f t="shared" ref="F39" si="61">C39/H39</f>
        <v>205.13583559541902</v>
      </c>
      <c r="G39" s="31">
        <f t="shared" ref="G39" si="62">D39/H39</f>
        <v>1263.7556665927641</v>
      </c>
      <c r="H39" s="55">
        <f t="shared" ref="H39" si="63">B39/E39</f>
        <v>0.33636248781069078</v>
      </c>
      <c r="I39" s="48">
        <f>Harvest!H41</f>
        <v>8</v>
      </c>
      <c r="J39" s="31">
        <f>Harvest!K41</f>
        <v>0</v>
      </c>
      <c r="K39" s="46">
        <f>Harvest!T41</f>
        <v>0</v>
      </c>
      <c r="L39" s="47">
        <f>Harvest!U41</f>
        <v>0</v>
      </c>
      <c r="M39" s="31"/>
      <c r="N39" s="46">
        <f>Harvest!N41</f>
        <v>0</v>
      </c>
      <c r="O39" s="31">
        <f>Harvest!Q41</f>
        <v>0</v>
      </c>
      <c r="P39" s="46">
        <f>Harvest!W41</f>
        <v>0</v>
      </c>
      <c r="Q39" s="31">
        <f>Harvest!X41</f>
        <v>0</v>
      </c>
      <c r="R39" s="48">
        <f>Harvest!H42</f>
        <v>23.783864996570323</v>
      </c>
      <c r="S39" s="47">
        <f>Harvest!K42</f>
        <v>0</v>
      </c>
      <c r="U39" s="46">
        <f>Harvest!N42</f>
        <v>0</v>
      </c>
      <c r="V39" s="49">
        <f>Harvest!Q42</f>
        <v>0</v>
      </c>
      <c r="W39" s="48">
        <f>Harvest!T42</f>
        <v>0</v>
      </c>
      <c r="X39" s="31">
        <f>Harvest!U42</f>
        <v>0</v>
      </c>
      <c r="Y39" s="57">
        <f>Harvest!V42</f>
        <v>0</v>
      </c>
      <c r="Z39" s="46">
        <f>Harvest!W42</f>
        <v>0</v>
      </c>
      <c r="AA39" s="49">
        <f>Harvest!X42</f>
        <v>0</v>
      </c>
      <c r="AC39" s="48">
        <f>Harvest!AW41</f>
        <v>0</v>
      </c>
      <c r="AD39" s="48">
        <f>Harvest!AX41</f>
        <v>0</v>
      </c>
      <c r="AE39" s="48">
        <f>Harvest!AY41</f>
        <v>0</v>
      </c>
      <c r="AF39" s="48">
        <f>Harvest!AZ41</f>
        <v>0</v>
      </c>
      <c r="AG39" s="46">
        <f>Harvest!BA41</f>
        <v>0</v>
      </c>
      <c r="AH39" s="31">
        <f>Harvest!BB41</f>
        <v>0</v>
      </c>
      <c r="AI39" s="47">
        <f>Harvest!BC41</f>
        <v>0</v>
      </c>
      <c r="AJ39" s="46">
        <f>Harvest!AW42</f>
        <v>0</v>
      </c>
      <c r="AK39" s="46">
        <f>Harvest!AX42</f>
        <v>0</v>
      </c>
      <c r="AL39" s="46">
        <f>Harvest!AY42</f>
        <v>0</v>
      </c>
      <c r="AM39" s="46">
        <f>Harvest!AZ42</f>
        <v>0</v>
      </c>
      <c r="AN39" s="31">
        <f>Harvest!BA42</f>
        <v>0</v>
      </c>
      <c r="AO39" s="31">
        <f>Harvest!BB42</f>
        <v>0</v>
      </c>
      <c r="AP39" s="49">
        <f>Harvest!BC42</f>
        <v>0</v>
      </c>
      <c r="AR39" s="107">
        <f t="shared" ref="AR39" si="64">F39</f>
        <v>205.13583559541902</v>
      </c>
      <c r="AT39" s="125">
        <f t="shared" si="60"/>
        <v>0.23529411764705882</v>
      </c>
      <c r="AU39" s="125">
        <f t="shared" ref="AU39:AU52" si="65">D39/SUM(I39:Q39)</f>
        <v>53.135000000000005</v>
      </c>
    </row>
    <row r="40" spans="1:47" x14ac:dyDescent="0.25">
      <c r="A40" s="54">
        <f t="shared" si="55"/>
        <v>45543</v>
      </c>
      <c r="B40" s="57">
        <f>Harvest!D52</f>
        <v>38</v>
      </c>
      <c r="C40" s="57">
        <f>Harvest!E52</f>
        <v>79</v>
      </c>
      <c r="D40" s="57">
        <f>Harvest!F52</f>
        <v>548.54</v>
      </c>
      <c r="E40" s="46">
        <f>Harvest!C52</f>
        <v>172.48577130190429</v>
      </c>
      <c r="F40" s="31">
        <f t="shared" ref="F40" si="66">C40/H40</f>
        <v>358.58884033816946</v>
      </c>
      <c r="G40" s="31">
        <f t="shared" ref="G40" si="67">D40/H40</f>
        <v>2489.8774997354362</v>
      </c>
      <c r="H40" s="55">
        <f t="shared" ref="H40" si="68">B40/E40</f>
        <v>0.22030802722555046</v>
      </c>
      <c r="I40" s="48">
        <f>Harvest!H51</f>
        <v>19</v>
      </c>
      <c r="J40" s="31">
        <f>Harvest!K51</f>
        <v>1</v>
      </c>
      <c r="K40" s="46">
        <f>Harvest!T51</f>
        <v>0</v>
      </c>
      <c r="L40" s="47">
        <f>Harvest!U51</f>
        <v>0</v>
      </c>
      <c r="M40" s="31"/>
      <c r="N40" s="46">
        <f>Harvest!N51</f>
        <v>0</v>
      </c>
      <c r="O40" s="31">
        <f>Harvest!Q51</f>
        <v>0</v>
      </c>
      <c r="P40" s="46">
        <f>Harvest!W51</f>
        <v>0</v>
      </c>
      <c r="Q40" s="31">
        <f>Harvest!X51</f>
        <v>0</v>
      </c>
      <c r="R40" s="48">
        <f>Harvest!H52</f>
        <v>86.242885650952147</v>
      </c>
      <c r="S40" s="47">
        <f>Harvest!K52</f>
        <v>4.5390992447869554</v>
      </c>
      <c r="U40" s="46">
        <f>Harvest!N52</f>
        <v>0</v>
      </c>
      <c r="V40" s="49">
        <f>Harvest!Q52</f>
        <v>0</v>
      </c>
      <c r="W40" s="48">
        <f>Harvest!T52</f>
        <v>0</v>
      </c>
      <c r="X40" s="31">
        <f>Harvest!U52</f>
        <v>0</v>
      </c>
      <c r="Y40" s="57">
        <f>Harvest!V52</f>
        <v>0</v>
      </c>
      <c r="Z40" s="46">
        <f>Harvest!W52</f>
        <v>0</v>
      </c>
      <c r="AA40" s="49">
        <f>Harvest!X52</f>
        <v>0</v>
      </c>
      <c r="AC40" s="48">
        <f>Harvest!AW51</f>
        <v>0</v>
      </c>
      <c r="AD40" s="48">
        <f>Harvest!AX51</f>
        <v>0</v>
      </c>
      <c r="AE40" s="48">
        <f>Harvest!AY51</f>
        <v>0</v>
      </c>
      <c r="AF40" s="48">
        <f>Harvest!AZ51</f>
        <v>0</v>
      </c>
      <c r="AG40" s="46">
        <f>Harvest!BA51</f>
        <v>0</v>
      </c>
      <c r="AH40" s="31">
        <f>Harvest!BB51</f>
        <v>0</v>
      </c>
      <c r="AI40" s="47">
        <f>Harvest!BC51</f>
        <v>0</v>
      </c>
      <c r="AJ40" s="46">
        <f>Harvest!AW52</f>
        <v>0</v>
      </c>
      <c r="AK40" s="46">
        <f>Harvest!AX52</f>
        <v>0</v>
      </c>
      <c r="AL40" s="46">
        <f>Harvest!AY52</f>
        <v>0</v>
      </c>
      <c r="AM40" s="46">
        <f>Harvest!AZ52</f>
        <v>0</v>
      </c>
      <c r="AN40" s="31">
        <f>Harvest!BA52</f>
        <v>0</v>
      </c>
      <c r="AO40" s="31">
        <f>Harvest!BB52</f>
        <v>0</v>
      </c>
      <c r="AP40" s="49">
        <f>Harvest!BC52</f>
        <v>0</v>
      </c>
      <c r="AR40" s="107">
        <f t="shared" ref="AR40" si="69">F40</f>
        <v>358.58884033816946</v>
      </c>
      <c r="AT40" s="125">
        <f t="shared" si="60"/>
        <v>0.52631578947368418</v>
      </c>
      <c r="AU40" s="125">
        <f t="shared" si="65"/>
        <v>27.427</v>
      </c>
    </row>
    <row r="41" spans="1:47" x14ac:dyDescent="0.25">
      <c r="A41" s="54">
        <f t="shared" si="55"/>
        <v>45550</v>
      </c>
      <c r="B41" s="57">
        <f>Harvest!D62</f>
        <v>117</v>
      </c>
      <c r="C41" s="57">
        <f>Harvest!E62</f>
        <v>293</v>
      </c>
      <c r="D41" s="57">
        <f>Harvest!F62</f>
        <v>1784.9499999999998</v>
      </c>
      <c r="E41" s="46">
        <f>Harvest!C62</f>
        <v>551.51890251757879</v>
      </c>
      <c r="F41" s="31">
        <f t="shared" ref="F41" si="70">C41/H41</f>
        <v>1381.1541746807743</v>
      </c>
      <c r="G41" s="31">
        <f t="shared" ref="G41" si="71">D41/H41</f>
        <v>8413.9629491346332</v>
      </c>
      <c r="H41" s="55">
        <f t="shared" ref="H41" si="72">B41/E41</f>
        <v>0.21214141431221537</v>
      </c>
      <c r="I41" s="48">
        <f>Harvest!H61</f>
        <v>46</v>
      </c>
      <c r="J41" s="31">
        <f>Harvest!K61</f>
        <v>1</v>
      </c>
      <c r="K41" s="46">
        <f>Harvest!T61</f>
        <v>1</v>
      </c>
      <c r="L41" s="47">
        <f>Harvest!U61</f>
        <v>0</v>
      </c>
      <c r="M41" s="31"/>
      <c r="N41" s="46">
        <f>Harvest!N61</f>
        <v>0</v>
      </c>
      <c r="O41" s="31">
        <f>Harvest!Q61</f>
        <v>0</v>
      </c>
      <c r="P41" s="46">
        <f>Harvest!W61</f>
        <v>0</v>
      </c>
      <c r="Q41" s="31">
        <f>Harvest!X61</f>
        <v>0</v>
      </c>
      <c r="R41" s="48">
        <f>Harvest!H62</f>
        <v>216.83649158810789</v>
      </c>
      <c r="S41" s="47">
        <f>Harvest!K62</f>
        <v>4.7138367736545197</v>
      </c>
      <c r="U41" s="46">
        <f>Harvest!N62</f>
        <v>0</v>
      </c>
      <c r="V41" s="49">
        <f>Harvest!Q62</f>
        <v>0</v>
      </c>
      <c r="W41" s="48">
        <f>Harvest!T62</f>
        <v>4.7138367736545197</v>
      </c>
      <c r="X41" s="31">
        <f>Harvest!U62</f>
        <v>0</v>
      </c>
      <c r="Y41" s="57">
        <f>Harvest!V62</f>
        <v>0</v>
      </c>
      <c r="Z41" s="46">
        <f>Harvest!W62</f>
        <v>0</v>
      </c>
      <c r="AA41" s="49">
        <f>Harvest!X62</f>
        <v>0</v>
      </c>
      <c r="AC41" s="48">
        <f>Harvest!AW61</f>
        <v>0</v>
      </c>
      <c r="AD41" s="48">
        <f>Harvest!AX61</f>
        <v>1</v>
      </c>
      <c r="AE41" s="48">
        <f>Harvest!AY61</f>
        <v>1</v>
      </c>
      <c r="AF41" s="48">
        <f>Harvest!AZ61</f>
        <v>0</v>
      </c>
      <c r="AG41" s="46">
        <f>Harvest!BA61</f>
        <v>0</v>
      </c>
      <c r="AH41" s="31">
        <f>Harvest!BB61</f>
        <v>0</v>
      </c>
      <c r="AI41" s="47">
        <f>Harvest!BC61</f>
        <v>0</v>
      </c>
      <c r="AJ41" s="46">
        <f>Harvest!AW62</f>
        <v>0</v>
      </c>
      <c r="AK41" s="46">
        <f>Harvest!AX62</f>
        <v>4.7138367736545197</v>
      </c>
      <c r="AL41" s="46">
        <f>Harvest!AY62</f>
        <v>4.7138367736545197</v>
      </c>
      <c r="AM41" s="46">
        <f>Harvest!AZ62</f>
        <v>0</v>
      </c>
      <c r="AN41" s="31">
        <f>Harvest!BA62</f>
        <v>0</v>
      </c>
      <c r="AO41" s="31">
        <f>Harvest!BB62</f>
        <v>0</v>
      </c>
      <c r="AP41" s="49">
        <f>Harvest!BC62</f>
        <v>0</v>
      </c>
      <c r="AR41" s="107">
        <f t="shared" ref="AR41" si="73">F41</f>
        <v>1381.1541746807743</v>
      </c>
      <c r="AT41" s="125">
        <f t="shared" si="60"/>
        <v>0.41025641025641024</v>
      </c>
      <c r="AU41" s="125">
        <f t="shared" si="65"/>
        <v>37.186458333333327</v>
      </c>
    </row>
    <row r="42" spans="1:47" x14ac:dyDescent="0.25">
      <c r="A42" s="54">
        <f t="shared" si="55"/>
        <v>45557</v>
      </c>
      <c r="B42" s="57">
        <f>Harvest!D72</f>
        <v>258</v>
      </c>
      <c r="C42" s="57">
        <f>Harvest!E72</f>
        <v>667</v>
      </c>
      <c r="D42" s="57">
        <f>Harvest!F72</f>
        <v>4832.07</v>
      </c>
      <c r="E42" s="46">
        <f>Harvest!C72</f>
        <v>773.65186613521792</v>
      </c>
      <c r="F42" s="31">
        <f t="shared" ref="F42" si="74">C42/H42</f>
        <v>2000.0999795046137</v>
      </c>
      <c r="G42" s="31">
        <f t="shared" ref="G42" si="75">D42/H42</f>
        <v>14489.689817038767</v>
      </c>
      <c r="H42" s="55">
        <f t="shared" ref="H42" si="76">B42/E42</f>
        <v>0.33348332925097229</v>
      </c>
      <c r="I42" s="48">
        <f>Harvest!H71</f>
        <v>165</v>
      </c>
      <c r="J42" s="31">
        <f>Harvest!K71</f>
        <v>11</v>
      </c>
      <c r="K42" s="46">
        <f>Harvest!T71</f>
        <v>0</v>
      </c>
      <c r="L42" s="47">
        <f>Harvest!U71</f>
        <v>2</v>
      </c>
      <c r="M42" s="31"/>
      <c r="N42" s="46">
        <f>Harvest!N71</f>
        <v>0</v>
      </c>
      <c r="O42" s="31">
        <f>Harvest!Q71</f>
        <v>0</v>
      </c>
      <c r="P42" s="46">
        <f>Harvest!W71</f>
        <v>0</v>
      </c>
      <c r="Q42" s="31">
        <f>Harvest!X71</f>
        <v>0</v>
      </c>
      <c r="R42" s="48">
        <f>Harvest!H72</f>
        <v>494.77735624926726</v>
      </c>
      <c r="S42" s="47">
        <f>Harvest!K72</f>
        <v>32.985157083284484</v>
      </c>
      <c r="U42" s="46">
        <f>Harvest!N72</f>
        <v>0</v>
      </c>
      <c r="V42" s="49">
        <f>Harvest!Q72</f>
        <v>0</v>
      </c>
      <c r="W42" s="48">
        <f>Harvest!T72</f>
        <v>0</v>
      </c>
      <c r="X42" s="31">
        <f>Harvest!U72</f>
        <v>5.9973012878699059</v>
      </c>
      <c r="Y42" s="57">
        <f>Harvest!V72</f>
        <v>0</v>
      </c>
      <c r="Z42" s="46">
        <f>Harvest!W72</f>
        <v>0</v>
      </c>
      <c r="AA42" s="49">
        <f>Harvest!X72</f>
        <v>0</v>
      </c>
      <c r="AC42" s="48">
        <f>Harvest!AW71</f>
        <v>0</v>
      </c>
      <c r="AD42" s="48">
        <f>Harvest!AX71</f>
        <v>0</v>
      </c>
      <c r="AE42" s="48">
        <f>Harvest!AY71</f>
        <v>1</v>
      </c>
      <c r="AF42" s="48">
        <f>Harvest!AZ71</f>
        <v>0</v>
      </c>
      <c r="AG42" s="46">
        <f>Harvest!BA71</f>
        <v>0</v>
      </c>
      <c r="AH42" s="31">
        <f>Harvest!BB71</f>
        <v>0</v>
      </c>
      <c r="AI42" s="47">
        <f>Harvest!BC71</f>
        <v>0</v>
      </c>
      <c r="AJ42" s="46">
        <f>Harvest!AW72</f>
        <v>0</v>
      </c>
      <c r="AK42" s="46">
        <f>Harvest!AX72</f>
        <v>0</v>
      </c>
      <c r="AL42" s="46">
        <f>Harvest!AY72</f>
        <v>2.998650643934953</v>
      </c>
      <c r="AM42" s="46">
        <f>Harvest!AZ72</f>
        <v>0</v>
      </c>
      <c r="AN42" s="31">
        <f>Harvest!BA72</f>
        <v>0</v>
      </c>
      <c r="AO42" s="31">
        <f>Harvest!BB72</f>
        <v>0</v>
      </c>
      <c r="AP42" s="49">
        <f>Harvest!BC72</f>
        <v>0</v>
      </c>
      <c r="AR42" s="107">
        <f t="shared" ref="AR42" si="77">F42</f>
        <v>2000.0999795046137</v>
      </c>
      <c r="AT42" s="125">
        <f t="shared" si="60"/>
        <v>0.68992248062015504</v>
      </c>
      <c r="AU42" s="125">
        <f t="shared" si="65"/>
        <v>27.1464606741573</v>
      </c>
    </row>
    <row r="43" spans="1:47" x14ac:dyDescent="0.25">
      <c r="A43" s="54">
        <f t="shared" si="55"/>
        <v>45564</v>
      </c>
      <c r="B43" s="57">
        <f>Harvest!D82</f>
        <v>332</v>
      </c>
      <c r="C43" s="57">
        <f>Harvest!E82</f>
        <v>927</v>
      </c>
      <c r="D43" s="57">
        <f>Harvest!F82</f>
        <v>5945.62</v>
      </c>
      <c r="E43" s="46">
        <f>Harvest!C82</f>
        <v>1425.3049745225833</v>
      </c>
      <c r="F43" s="31">
        <f t="shared" ref="F43" si="78">C43/H43</f>
        <v>3979.6919017543214</v>
      </c>
      <c r="G43" s="31">
        <f t="shared" ref="G43" si="79">D43/H43</f>
        <v>25525.065550063136</v>
      </c>
      <c r="H43" s="55">
        <f t="shared" ref="H43" si="80">B43/E43</f>
        <v>0.23293260455447853</v>
      </c>
      <c r="I43" s="48">
        <f>Harvest!H81</f>
        <v>312</v>
      </c>
      <c r="J43" s="31">
        <f>Harvest!K81</f>
        <v>18</v>
      </c>
      <c r="K43" s="46">
        <f>Harvest!T81</f>
        <v>3</v>
      </c>
      <c r="L43" s="47">
        <f>Harvest!U81</f>
        <v>3</v>
      </c>
      <c r="M43" s="31"/>
      <c r="N43" s="46">
        <f>Harvest!N81</f>
        <v>0</v>
      </c>
      <c r="O43" s="31">
        <f>Harvest!Q81</f>
        <v>0</v>
      </c>
      <c r="P43" s="46">
        <f>Harvest!W81</f>
        <v>0</v>
      </c>
      <c r="Q43" s="31">
        <f>Harvest!X81</f>
        <v>0</v>
      </c>
      <c r="R43" s="48">
        <f>Harvest!H82</f>
        <v>1339.4432290694156</v>
      </c>
      <c r="S43" s="47">
        <f>Harvest!K82</f>
        <v>77.275570907850906</v>
      </c>
      <c r="U43" s="46">
        <f>Harvest!N82</f>
        <v>0</v>
      </c>
      <c r="V43" s="49">
        <f>Harvest!Q82</f>
        <v>0</v>
      </c>
      <c r="W43" s="48">
        <f>Harvest!T82</f>
        <v>12.87926181797515</v>
      </c>
      <c r="X43" s="31">
        <f>Harvest!U82</f>
        <v>12.87926181797515</v>
      </c>
      <c r="Y43" s="57">
        <f>Harvest!V82</f>
        <v>0</v>
      </c>
      <c r="Z43" s="46">
        <f>Harvest!W82</f>
        <v>0</v>
      </c>
      <c r="AA43" s="49">
        <f>Harvest!X82</f>
        <v>0</v>
      </c>
      <c r="AC43" s="48">
        <f>Harvest!AW81</f>
        <v>0</v>
      </c>
      <c r="AD43" s="48">
        <f>Harvest!AX81</f>
        <v>0</v>
      </c>
      <c r="AE43" s="48">
        <f>Harvest!AY81</f>
        <v>2</v>
      </c>
      <c r="AF43" s="48">
        <f>Harvest!AZ81</f>
        <v>1</v>
      </c>
      <c r="AG43" s="46">
        <f>Harvest!BA81</f>
        <v>0</v>
      </c>
      <c r="AH43" s="31">
        <f>Harvest!BB81</f>
        <v>0</v>
      </c>
      <c r="AI43" s="47">
        <f>Harvest!BC81</f>
        <v>0</v>
      </c>
      <c r="AJ43" s="46">
        <f>Harvest!AW82</f>
        <v>0</v>
      </c>
      <c r="AK43" s="46">
        <f>Harvest!AX82</f>
        <v>0</v>
      </c>
      <c r="AL43" s="46">
        <f>Harvest!AY82</f>
        <v>8.5861745453167675</v>
      </c>
      <c r="AM43" s="46">
        <f>Harvest!AZ82</f>
        <v>4.2930872726583837</v>
      </c>
      <c r="AN43" s="31">
        <f>Harvest!BA82</f>
        <v>0</v>
      </c>
      <c r="AO43" s="31">
        <f>Harvest!BB82</f>
        <v>0</v>
      </c>
      <c r="AP43" s="49">
        <f>Harvest!BC82</f>
        <v>0</v>
      </c>
      <c r="AR43" s="107">
        <f t="shared" ref="AR43" si="81">F43</f>
        <v>3979.6919017543214</v>
      </c>
      <c r="AT43" s="125">
        <f t="shared" si="60"/>
        <v>1.0120481927710843</v>
      </c>
      <c r="AU43" s="125">
        <f t="shared" si="65"/>
        <v>17.695297619047619</v>
      </c>
    </row>
    <row r="44" spans="1:47" x14ac:dyDescent="0.25">
      <c r="A44" s="54">
        <f t="shared" si="55"/>
        <v>45571</v>
      </c>
      <c r="B44" s="57">
        <f>Harvest!D92</f>
        <v>457</v>
      </c>
      <c r="C44" s="57">
        <f>Harvest!E92</f>
        <v>1353</v>
      </c>
      <c r="D44" s="57">
        <f>Harvest!F92</f>
        <v>8051.34</v>
      </c>
      <c r="E44" s="46">
        <f>Harvest!C92</f>
        <v>1471.2782785056847</v>
      </c>
      <c r="F44" s="31">
        <f t="shared" ref="F44" si="82">C44/H44</f>
        <v>4355.8851440223007</v>
      </c>
      <c r="G44" s="31">
        <f t="shared" ref="G44" si="83">D44/H44</f>
        <v>25920.703839964903</v>
      </c>
      <c r="H44" s="55">
        <f t="shared" ref="H44" si="84">B44/E44</f>
        <v>0.31061425066653986</v>
      </c>
      <c r="I44" s="48">
        <f>Harvest!H91</f>
        <v>694</v>
      </c>
      <c r="J44" s="31">
        <f>Harvest!K91</f>
        <v>19</v>
      </c>
      <c r="K44" s="46">
        <f>Harvest!T91</f>
        <v>3</v>
      </c>
      <c r="L44" s="47">
        <f>Harvest!U91</f>
        <v>1</v>
      </c>
      <c r="M44" s="31"/>
      <c r="N44" s="46">
        <f>Harvest!N91</f>
        <v>2</v>
      </c>
      <c r="O44" s="31">
        <f>Harvest!Q91</f>
        <v>1</v>
      </c>
      <c r="P44" s="46">
        <f>Harvest!W91</f>
        <v>0</v>
      </c>
      <c r="Q44" s="31">
        <f>Harvest!X91</f>
        <v>0</v>
      </c>
      <c r="R44" s="48">
        <f>Harvest!H92</f>
        <v>2234.2825498532716</v>
      </c>
      <c r="S44" s="47">
        <f>Harvest!K92</f>
        <v>61.169118800017529</v>
      </c>
      <c r="U44" s="46">
        <f>Harvest!N92</f>
        <v>6.4388546105281605</v>
      </c>
      <c r="V44" s="49">
        <f>Harvest!Q92</f>
        <v>3.2194273052640803</v>
      </c>
      <c r="W44" s="48">
        <f>Harvest!T92</f>
        <v>9.6582819157922408</v>
      </c>
      <c r="X44" s="31">
        <f>Harvest!U92</f>
        <v>3.2194273052640803</v>
      </c>
      <c r="Y44" s="57">
        <f>Harvest!V92</f>
        <v>0</v>
      </c>
      <c r="Z44" s="46">
        <f>Harvest!W92</f>
        <v>0</v>
      </c>
      <c r="AA44" s="49">
        <f>Harvest!X92</f>
        <v>0</v>
      </c>
      <c r="AC44" s="48">
        <f>Harvest!AW91</f>
        <v>0</v>
      </c>
      <c r="AD44" s="48">
        <f>Harvest!AX91</f>
        <v>1</v>
      </c>
      <c r="AE44" s="48">
        <f>Harvest!AY91</f>
        <v>2</v>
      </c>
      <c r="AF44" s="48">
        <f>Harvest!AZ91</f>
        <v>0</v>
      </c>
      <c r="AG44" s="46">
        <f>Harvest!BA91</f>
        <v>0</v>
      </c>
      <c r="AH44" s="31">
        <f>Harvest!BB91</f>
        <v>0</v>
      </c>
      <c r="AI44" s="47">
        <f>Harvest!BC91</f>
        <v>0</v>
      </c>
      <c r="AJ44" s="46">
        <f>Harvest!AW92</f>
        <v>0</v>
      </c>
      <c r="AK44" s="46">
        <f>Harvest!AX92</f>
        <v>3.2194273052640803</v>
      </c>
      <c r="AL44" s="46">
        <f>Harvest!AY92</f>
        <v>6.4388546105281605</v>
      </c>
      <c r="AM44" s="46">
        <f>Harvest!AZ92</f>
        <v>0</v>
      </c>
      <c r="AN44" s="31">
        <f>Harvest!BA92</f>
        <v>0</v>
      </c>
      <c r="AO44" s="31">
        <f>Harvest!BB92</f>
        <v>0</v>
      </c>
      <c r="AP44" s="49">
        <f>Harvest!BC92</f>
        <v>0</v>
      </c>
      <c r="AR44" s="107">
        <f t="shared" ref="AR44" si="85">F44</f>
        <v>4355.8851440223007</v>
      </c>
      <c r="AT44" s="125">
        <f t="shared" si="60"/>
        <v>1.5754923413566739</v>
      </c>
      <c r="AU44" s="125">
        <f t="shared" si="65"/>
        <v>11.182416666666667</v>
      </c>
    </row>
    <row r="45" spans="1:47" x14ac:dyDescent="0.25">
      <c r="A45" s="54">
        <f t="shared" si="55"/>
        <v>45578</v>
      </c>
      <c r="B45" s="57">
        <f>Harvest!D102</f>
        <v>305</v>
      </c>
      <c r="C45" s="57">
        <f>Harvest!E102</f>
        <v>897</v>
      </c>
      <c r="D45" s="57">
        <f>Harvest!F102</f>
        <v>5352.8399999999992</v>
      </c>
      <c r="E45" s="46">
        <f>Harvest!C102</f>
        <v>1221.4502131899808</v>
      </c>
      <c r="F45" s="31">
        <f t="shared" ref="F45" si="86">C45/H45</f>
        <v>3592.2650532177468</v>
      </c>
      <c r="G45" s="31">
        <f t="shared" ref="G45" si="87">D45/H45</f>
        <v>21436.811669415922</v>
      </c>
      <c r="H45" s="55">
        <f t="shared" ref="H45" si="88">B45/E45</f>
        <v>0.24970317799810413</v>
      </c>
      <c r="I45" s="48">
        <f>Harvest!H101</f>
        <v>532</v>
      </c>
      <c r="J45" s="31">
        <f>Harvest!K101</f>
        <v>24</v>
      </c>
      <c r="K45" s="46">
        <f>Harvest!T101</f>
        <v>6</v>
      </c>
      <c r="L45" s="47">
        <f>Harvest!U101</f>
        <v>6</v>
      </c>
      <c r="M45" s="31"/>
      <c r="N45" s="46">
        <f>Harvest!N101</f>
        <v>1</v>
      </c>
      <c r="O45" s="31">
        <f>Harvest!Q101</f>
        <v>0</v>
      </c>
      <c r="P45" s="46">
        <f>Harvest!W101</f>
        <v>0</v>
      </c>
      <c r="Q45" s="31">
        <f>Harvest!X101</f>
        <v>0</v>
      </c>
      <c r="R45" s="48">
        <f>Harvest!H102</f>
        <v>2130.5295521871139</v>
      </c>
      <c r="S45" s="47">
        <f>Harvest!K102</f>
        <v>96.114115136260779</v>
      </c>
      <c r="U45" s="46">
        <f>Harvest!N102</f>
        <v>4.0047547973441988</v>
      </c>
      <c r="V45" s="49">
        <f>Harvest!Q102</f>
        <v>0</v>
      </c>
      <c r="W45" s="48">
        <f>Harvest!T102</f>
        <v>24.028528784065195</v>
      </c>
      <c r="X45" s="31">
        <f>Harvest!U102</f>
        <v>24.028528784065195</v>
      </c>
      <c r="Y45" s="57">
        <f>Harvest!V102</f>
        <v>0</v>
      </c>
      <c r="Z45" s="46">
        <f>Harvest!W102</f>
        <v>0</v>
      </c>
      <c r="AA45" s="49">
        <f>Harvest!X102</f>
        <v>0</v>
      </c>
      <c r="AC45" s="48">
        <f>Harvest!AW101</f>
        <v>1</v>
      </c>
      <c r="AD45" s="48">
        <f>Harvest!AX101</f>
        <v>0</v>
      </c>
      <c r="AE45" s="48">
        <f>Harvest!AY101</f>
        <v>1</v>
      </c>
      <c r="AF45" s="48">
        <f>Harvest!AZ101</f>
        <v>0</v>
      </c>
      <c r="AG45" s="46">
        <f>Harvest!BA101</f>
        <v>1</v>
      </c>
      <c r="AH45" s="31">
        <f>Harvest!BB101</f>
        <v>0</v>
      </c>
      <c r="AI45" s="47">
        <f>Harvest!BC101</f>
        <v>0</v>
      </c>
      <c r="AJ45" s="46">
        <f>Harvest!AW102</f>
        <v>4.0047547973441988</v>
      </c>
      <c r="AK45" s="46">
        <f>Harvest!AX102</f>
        <v>0</v>
      </c>
      <c r="AL45" s="46">
        <f>Harvest!AY102</f>
        <v>4.0047547973441988</v>
      </c>
      <c r="AM45" s="46">
        <f>Harvest!AZ102</f>
        <v>0</v>
      </c>
      <c r="AN45" s="31">
        <f>Harvest!BA102</f>
        <v>4.0047547973441988</v>
      </c>
      <c r="AO45" s="31">
        <f>Harvest!BB102</f>
        <v>0</v>
      </c>
      <c r="AP45" s="49">
        <f>Harvest!BC102</f>
        <v>0</v>
      </c>
      <c r="AR45" s="107">
        <f t="shared" ref="AR45" si="89">F45</f>
        <v>3592.2650532177468</v>
      </c>
      <c r="AT45" s="125">
        <f t="shared" si="60"/>
        <v>1.8655737704918032</v>
      </c>
      <c r="AU45" s="125">
        <f t="shared" si="65"/>
        <v>9.4074516695957815</v>
      </c>
    </row>
    <row r="46" spans="1:47" x14ac:dyDescent="0.25">
      <c r="A46" s="54">
        <f t="shared" si="55"/>
        <v>45585</v>
      </c>
      <c r="B46" s="57">
        <f>Harvest!D112</f>
        <v>144</v>
      </c>
      <c r="C46" s="57">
        <f>Harvest!E112</f>
        <v>376</v>
      </c>
      <c r="D46" s="57">
        <f>Harvest!F112</f>
        <v>2145.4799999999996</v>
      </c>
      <c r="E46" s="46">
        <f>Harvest!C112</f>
        <v>401.69439335402524</v>
      </c>
      <c r="F46" s="31">
        <f t="shared" ref="F46" si="90">C46/H46</f>
        <v>1048.8686937577327</v>
      </c>
      <c r="G46" s="31">
        <f t="shared" ref="G46" si="91">D46/H46</f>
        <v>5984.9117156471802</v>
      </c>
      <c r="H46" s="55">
        <f t="shared" ref="H46" si="92">B46/E46</f>
        <v>0.35848147841358718</v>
      </c>
      <c r="I46" s="48">
        <f>Harvest!H111</f>
        <v>219</v>
      </c>
      <c r="J46" s="31">
        <f>Harvest!K111</f>
        <v>20</v>
      </c>
      <c r="K46" s="46">
        <f>Harvest!T111</f>
        <v>31</v>
      </c>
      <c r="L46" s="47">
        <f>Harvest!U111</f>
        <v>1</v>
      </c>
      <c r="M46" s="31"/>
      <c r="N46" s="46">
        <f>Harvest!N111</f>
        <v>6</v>
      </c>
      <c r="O46" s="31">
        <f>Harvest!Q111</f>
        <v>0</v>
      </c>
      <c r="P46" s="46">
        <f>Harvest!W111</f>
        <v>0</v>
      </c>
      <c r="Q46" s="31">
        <f>Harvest!X111</f>
        <v>0</v>
      </c>
      <c r="R46" s="48">
        <f>Harvest!H112</f>
        <v>610.91022322591334</v>
      </c>
      <c r="S46" s="47">
        <f>Harvest!K112</f>
        <v>55.790887965836838</v>
      </c>
      <c r="U46" s="46">
        <f>Harvest!N112</f>
        <v>16.737266389751053</v>
      </c>
      <c r="V46" s="49">
        <f>Harvest!Q112</f>
        <v>0</v>
      </c>
      <c r="W46" s="48">
        <f>Harvest!T112</f>
        <v>86.475876347047105</v>
      </c>
      <c r="X46" s="31">
        <f>Harvest!U112</f>
        <v>2.789544398291842</v>
      </c>
      <c r="Y46" s="57">
        <f>Harvest!V112</f>
        <v>0</v>
      </c>
      <c r="Z46" s="46">
        <f>Harvest!W112</f>
        <v>0</v>
      </c>
      <c r="AA46" s="49">
        <f>Harvest!X112</f>
        <v>0</v>
      </c>
      <c r="AC46" s="48">
        <f>Harvest!AW111</f>
        <v>0</v>
      </c>
      <c r="AD46" s="48">
        <f>Harvest!AX111</f>
        <v>1</v>
      </c>
      <c r="AE46" s="48">
        <f>Harvest!AY111</f>
        <v>3</v>
      </c>
      <c r="AF46" s="48">
        <f>Harvest!AZ111</f>
        <v>0</v>
      </c>
      <c r="AG46" s="46">
        <f>Harvest!BA111</f>
        <v>3</v>
      </c>
      <c r="AH46" s="31">
        <f>Harvest!BB111</f>
        <v>0</v>
      </c>
      <c r="AI46" s="47">
        <f>Harvest!BC111</f>
        <v>0</v>
      </c>
      <c r="AJ46" s="46">
        <f>Harvest!AW112</f>
        <v>0</v>
      </c>
      <c r="AK46" s="46">
        <f>Harvest!AX112</f>
        <v>2.789544398291842</v>
      </c>
      <c r="AL46" s="46">
        <f>Harvest!AY112</f>
        <v>8.3686331948755264</v>
      </c>
      <c r="AM46" s="46">
        <f>Harvest!AZ112</f>
        <v>0</v>
      </c>
      <c r="AN46" s="31">
        <f>Harvest!BA112</f>
        <v>8.3686331948755264</v>
      </c>
      <c r="AO46" s="31">
        <f>Harvest!BB112</f>
        <v>0</v>
      </c>
      <c r="AP46" s="49">
        <f>Harvest!BC112</f>
        <v>0</v>
      </c>
      <c r="AR46" s="107">
        <f t="shared" ref="AR46" si="93">F46</f>
        <v>1048.8686937577327</v>
      </c>
      <c r="AT46" s="125">
        <f t="shared" si="60"/>
        <v>1.9236111111111112</v>
      </c>
      <c r="AU46" s="125">
        <f t="shared" si="65"/>
        <v>7.7454151624548722</v>
      </c>
    </row>
    <row r="47" spans="1:47" x14ac:dyDescent="0.25">
      <c r="A47" s="54">
        <f t="shared" si="55"/>
        <v>45592</v>
      </c>
      <c r="B47" s="57">
        <f>Harvest!D122</f>
        <v>21</v>
      </c>
      <c r="C47" s="57">
        <f>Harvest!E122</f>
        <v>37</v>
      </c>
      <c r="D47" s="57">
        <f>Harvest!F122</f>
        <v>206.04</v>
      </c>
      <c r="E47" s="46">
        <f>Harvest!C122</f>
        <v>131.01236587105413</v>
      </c>
      <c r="F47" s="31">
        <f t="shared" ref="F47" si="94">C47/H47</f>
        <v>230.83131129661919</v>
      </c>
      <c r="G47" s="31">
        <f t="shared" ref="G47" si="95">D47/H47</f>
        <v>1285.4184697177138</v>
      </c>
      <c r="H47" s="55">
        <f t="shared" ref="H47" si="96">B47/E47</f>
        <v>0.16029021276257815</v>
      </c>
      <c r="I47" s="48">
        <f>Harvest!H121</f>
        <v>23</v>
      </c>
      <c r="J47" s="31">
        <f>Harvest!K121</f>
        <v>0</v>
      </c>
      <c r="K47" s="46">
        <f>Harvest!T121</f>
        <v>4</v>
      </c>
      <c r="L47" s="47">
        <f>Harvest!U121</f>
        <v>0</v>
      </c>
      <c r="M47" s="31"/>
      <c r="N47" s="46">
        <f>Harvest!N121</f>
        <v>4</v>
      </c>
      <c r="O47" s="31">
        <f>Harvest!Q121</f>
        <v>1</v>
      </c>
      <c r="P47" s="46">
        <f>Harvest!W121</f>
        <v>0</v>
      </c>
      <c r="Q47" s="31">
        <f>Harvest!X121</f>
        <v>0</v>
      </c>
      <c r="R47" s="48">
        <f>Harvest!H122</f>
        <v>143.48973404924976</v>
      </c>
      <c r="S47" s="47">
        <f>Harvest!K122</f>
        <v>0</v>
      </c>
      <c r="U47" s="46">
        <f>Harvest!N122</f>
        <v>24.954736356391262</v>
      </c>
      <c r="V47" s="49">
        <f>Harvest!Q122</f>
        <v>6.2386840890978155</v>
      </c>
      <c r="W47" s="48">
        <f>Harvest!T122</f>
        <v>24.954736356391262</v>
      </c>
      <c r="X47" s="31">
        <f>Harvest!U122</f>
        <v>0</v>
      </c>
      <c r="Y47" s="57">
        <f>Harvest!V122</f>
        <v>0</v>
      </c>
      <c r="Z47" s="46">
        <f>Harvest!W122</f>
        <v>0</v>
      </c>
      <c r="AA47" s="49">
        <f>Harvest!X122</f>
        <v>0</v>
      </c>
      <c r="AC47" s="48">
        <f>Harvest!AW121</f>
        <v>0</v>
      </c>
      <c r="AD47" s="48">
        <f>Harvest!AX121</f>
        <v>0</v>
      </c>
      <c r="AE47" s="48">
        <f>Harvest!AY121</f>
        <v>0</v>
      </c>
      <c r="AF47" s="48">
        <f>Harvest!AZ121</f>
        <v>0</v>
      </c>
      <c r="AG47" s="46">
        <f>Harvest!BA121</f>
        <v>0</v>
      </c>
      <c r="AH47" s="46">
        <f>Harvest!BB121</f>
        <v>0</v>
      </c>
      <c r="AI47" s="46">
        <f>Harvest!BC121</f>
        <v>0</v>
      </c>
      <c r="AJ47" s="46">
        <f>Harvest!AW122</f>
        <v>0</v>
      </c>
      <c r="AK47" s="46">
        <f>Harvest!AX122</f>
        <v>0</v>
      </c>
      <c r="AL47" s="46">
        <f>Harvest!AY122</f>
        <v>0</v>
      </c>
      <c r="AM47" s="46">
        <f>Harvest!AZ122</f>
        <v>0</v>
      </c>
      <c r="AN47" s="31">
        <f>Harvest!BA122</f>
        <v>0</v>
      </c>
      <c r="AO47" s="31">
        <f>Harvest!BB122</f>
        <v>0</v>
      </c>
      <c r="AP47" s="49">
        <f>Harvest!BC122</f>
        <v>0</v>
      </c>
      <c r="AR47" s="107">
        <f t="shared" ref="AR47" si="97">F47</f>
        <v>230.83131129661919</v>
      </c>
      <c r="AT47" s="125">
        <f t="shared" si="60"/>
        <v>1.5238095238095237</v>
      </c>
      <c r="AU47" s="125">
        <f t="shared" si="65"/>
        <v>6.4387499999999998</v>
      </c>
    </row>
    <row r="48" spans="1:47" x14ac:dyDescent="0.25">
      <c r="A48" s="54">
        <f t="shared" si="55"/>
        <v>45599</v>
      </c>
      <c r="B48" s="57">
        <f>Harvest!D132</f>
        <v>23</v>
      </c>
      <c r="C48" s="57">
        <f>Harvest!E132</f>
        <v>48</v>
      </c>
      <c r="D48" s="57">
        <f>Harvest!F132</f>
        <v>268.04000000000002</v>
      </c>
      <c r="E48" s="46">
        <f>Harvest!C132</f>
        <v>40.497127490228735</v>
      </c>
      <c r="F48" s="31">
        <f t="shared" ref="F48:F52" si="98">C48/H48</f>
        <v>84.515744327433879</v>
      </c>
      <c r="G48" s="31">
        <f t="shared" ref="G48:G52" si="99">D48/H48</f>
        <v>471.95000228177878</v>
      </c>
      <c r="H48" s="55">
        <f t="shared" ref="H48:H51" si="100">B48/E48</f>
        <v>0.5679415164828544</v>
      </c>
      <c r="I48" s="48">
        <f>Harvest!H131</f>
        <v>20</v>
      </c>
      <c r="J48" s="31">
        <f>Harvest!K131</f>
        <v>0</v>
      </c>
      <c r="K48" s="46">
        <f>Harvest!T131</f>
        <v>15</v>
      </c>
      <c r="L48" s="47">
        <f>Harvest!U131</f>
        <v>0</v>
      </c>
      <c r="M48" s="31"/>
      <c r="N48" s="46">
        <f>Harvest!N131</f>
        <v>4</v>
      </c>
      <c r="O48" s="31">
        <f>Harvest!Q131</f>
        <v>1</v>
      </c>
      <c r="P48" s="46">
        <f>Harvest!W131</f>
        <v>0</v>
      </c>
      <c r="Q48" s="31">
        <f>Harvest!X131</f>
        <v>0</v>
      </c>
      <c r="R48" s="48">
        <f>Harvest!H132</f>
        <v>35.214893469764121</v>
      </c>
      <c r="S48" s="47">
        <f>Harvest!K132</f>
        <v>0</v>
      </c>
      <c r="U48" s="46">
        <f>Harvest!N132</f>
        <v>7.0429786939528238</v>
      </c>
      <c r="V48" s="49">
        <f>Harvest!Q132</f>
        <v>1.760744673488206</v>
      </c>
      <c r="W48" s="48">
        <f>Harvest!T132</f>
        <v>26.411170102323087</v>
      </c>
      <c r="X48" s="31">
        <f>Harvest!U132</f>
        <v>0</v>
      </c>
      <c r="Y48" s="57">
        <f>Harvest!V132</f>
        <v>0</v>
      </c>
      <c r="Z48" s="46">
        <f>Harvest!W132</f>
        <v>0</v>
      </c>
      <c r="AA48" s="49">
        <f>Harvest!X132</f>
        <v>0</v>
      </c>
      <c r="AC48" s="48">
        <f>Harvest!AW131</f>
        <v>0</v>
      </c>
      <c r="AD48" s="48">
        <f>Harvest!AX131</f>
        <v>1</v>
      </c>
      <c r="AE48" s="48">
        <f>Harvest!AY131</f>
        <v>0</v>
      </c>
      <c r="AF48" s="48">
        <f>Harvest!AZ131</f>
        <v>0</v>
      </c>
      <c r="AG48" s="46">
        <f>Harvest!BA131</f>
        <v>1</v>
      </c>
      <c r="AH48" s="46">
        <f>Harvest!BB131</f>
        <v>0</v>
      </c>
      <c r="AI48" s="46">
        <f>Harvest!BC131</f>
        <v>0</v>
      </c>
      <c r="AJ48" s="46">
        <f>Harvest!AW132</f>
        <v>0</v>
      </c>
      <c r="AK48" s="46">
        <f>Harvest!AX132</f>
        <v>1.760744673488206</v>
      </c>
      <c r="AL48" s="46">
        <f>Harvest!AY132</f>
        <v>0</v>
      </c>
      <c r="AM48" s="46">
        <f>Harvest!AZ132</f>
        <v>0</v>
      </c>
      <c r="AN48" s="31">
        <f>Harvest!BA132</f>
        <v>1.760744673488206</v>
      </c>
      <c r="AO48" s="31">
        <f>Harvest!BB132</f>
        <v>0</v>
      </c>
      <c r="AP48" s="49">
        <f>Harvest!BC132</f>
        <v>0</v>
      </c>
      <c r="AR48" s="107">
        <f t="shared" ref="AR48:AR56" si="101">F48</f>
        <v>84.515744327433879</v>
      </c>
      <c r="AT48" s="125">
        <f t="shared" si="60"/>
        <v>1.7391304347826086</v>
      </c>
      <c r="AU48" s="125">
        <f t="shared" si="65"/>
        <v>6.7010000000000005</v>
      </c>
    </row>
    <row r="49" spans="1:47" x14ac:dyDescent="0.25">
      <c r="A49" s="54">
        <f t="shared" si="55"/>
        <v>45606</v>
      </c>
      <c r="B49" s="57">
        <f>Harvest!D142</f>
        <v>0</v>
      </c>
      <c r="C49" s="57">
        <f>Harvest!E142</f>
        <v>0</v>
      </c>
      <c r="D49" s="57">
        <f>Harvest!F142</f>
        <v>0</v>
      </c>
      <c r="E49" s="46">
        <f>Harvest!C142</f>
        <v>0</v>
      </c>
      <c r="F49" s="31" t="e">
        <f t="shared" si="98"/>
        <v>#DIV/0!</v>
      </c>
      <c r="G49" s="31" t="e">
        <f t="shared" si="99"/>
        <v>#DIV/0!</v>
      </c>
      <c r="H49" s="55" t="e">
        <f t="shared" si="100"/>
        <v>#DIV/0!</v>
      </c>
      <c r="I49" s="48">
        <f>Harvest!H141</f>
        <v>0</v>
      </c>
      <c r="J49" s="31">
        <f>Harvest!K141</f>
        <v>0</v>
      </c>
      <c r="K49" s="46">
        <f>Harvest!T141</f>
        <v>0</v>
      </c>
      <c r="L49" s="47">
        <f>Harvest!U141</f>
        <v>0</v>
      </c>
      <c r="M49" s="31"/>
      <c r="N49" s="46">
        <f>Harvest!N141</f>
        <v>0</v>
      </c>
      <c r="O49" s="31">
        <f>Harvest!Q141</f>
        <v>0</v>
      </c>
      <c r="P49" s="46">
        <f>Harvest!W141</f>
        <v>0</v>
      </c>
      <c r="Q49" s="31">
        <f>Harvest!X141</f>
        <v>0</v>
      </c>
      <c r="R49" s="48" t="e">
        <f>Harvest!H142</f>
        <v>#DIV/0!</v>
      </c>
      <c r="S49" s="47" t="e">
        <f>Harvest!K142</f>
        <v>#DIV/0!</v>
      </c>
      <c r="U49" s="46" t="e">
        <f>Harvest!N142</f>
        <v>#DIV/0!</v>
      </c>
      <c r="V49" s="49" t="e">
        <f>Harvest!Q142</f>
        <v>#DIV/0!</v>
      </c>
      <c r="W49" s="48" t="e">
        <f>Harvest!T142</f>
        <v>#DIV/0!</v>
      </c>
      <c r="X49" s="31" t="e">
        <f>Harvest!U142</f>
        <v>#DIV/0!</v>
      </c>
      <c r="Y49" s="57" t="e">
        <f>Harvest!V142</f>
        <v>#DIV/0!</v>
      </c>
      <c r="Z49" s="46" t="e">
        <f>Harvest!W142</f>
        <v>#DIV/0!</v>
      </c>
      <c r="AA49" s="49" t="e">
        <f>Harvest!X142</f>
        <v>#DIV/0!</v>
      </c>
      <c r="AC49" s="48">
        <f>Harvest!AW141</f>
        <v>0</v>
      </c>
      <c r="AD49" s="48">
        <f>Harvest!AX141</f>
        <v>0</v>
      </c>
      <c r="AE49" s="48">
        <f>Harvest!AY141</f>
        <v>0</v>
      </c>
      <c r="AF49" s="48">
        <f>Harvest!AZ141</f>
        <v>0</v>
      </c>
      <c r="AG49" s="46">
        <f>Harvest!BA141</f>
        <v>0</v>
      </c>
      <c r="AH49" s="46">
        <f>Harvest!BB141</f>
        <v>0</v>
      </c>
      <c r="AI49" s="46">
        <f>Harvest!BC141</f>
        <v>0</v>
      </c>
      <c r="AJ49" s="46" t="e">
        <f>Harvest!AW142</f>
        <v>#DIV/0!</v>
      </c>
      <c r="AK49" s="46" t="e">
        <f>Harvest!AX142</f>
        <v>#DIV/0!</v>
      </c>
      <c r="AL49" s="46" t="e">
        <f>Harvest!AY142</f>
        <v>#DIV/0!</v>
      </c>
      <c r="AM49" s="46" t="e">
        <f>Harvest!AZ142</f>
        <v>#DIV/0!</v>
      </c>
      <c r="AN49" s="31" t="e">
        <f>Harvest!BA142</f>
        <v>#DIV/0!</v>
      </c>
      <c r="AO49" s="31" t="e">
        <f>Harvest!BB142</f>
        <v>#DIV/0!</v>
      </c>
      <c r="AP49" s="49" t="e">
        <f>Harvest!BC142</f>
        <v>#DIV/0!</v>
      </c>
      <c r="AR49" s="107" t="e">
        <f t="shared" si="101"/>
        <v>#DIV/0!</v>
      </c>
      <c r="AT49" s="125" t="e">
        <f t="shared" si="60"/>
        <v>#DIV/0!</v>
      </c>
      <c r="AU49" s="125" t="e">
        <f t="shared" si="65"/>
        <v>#DIV/0!</v>
      </c>
    </row>
    <row r="50" spans="1:47" x14ac:dyDescent="0.25">
      <c r="A50" s="54">
        <f t="shared" si="55"/>
        <v>45613</v>
      </c>
      <c r="B50" s="57">
        <f>Harvest!D152</f>
        <v>0</v>
      </c>
      <c r="C50" s="57">
        <f>Harvest!E152</f>
        <v>0</v>
      </c>
      <c r="D50" s="57">
        <f>Harvest!F152</f>
        <v>0</v>
      </c>
      <c r="E50" s="46">
        <f>Harvest!C152</f>
        <v>0</v>
      </c>
      <c r="F50" s="31" t="e">
        <f t="shared" si="98"/>
        <v>#DIV/0!</v>
      </c>
      <c r="G50" s="31" t="e">
        <f t="shared" si="99"/>
        <v>#DIV/0!</v>
      </c>
      <c r="H50" s="55" t="e">
        <f t="shared" si="100"/>
        <v>#DIV/0!</v>
      </c>
      <c r="I50" s="48">
        <f>Harvest!H151</f>
        <v>0</v>
      </c>
      <c r="J50" s="31">
        <f>Harvest!K151</f>
        <v>0</v>
      </c>
      <c r="K50" s="46">
        <f>Harvest!T151</f>
        <v>0</v>
      </c>
      <c r="L50" s="47">
        <f>Harvest!U151</f>
        <v>0</v>
      </c>
      <c r="M50" s="31"/>
      <c r="N50" s="46">
        <f>Harvest!N151</f>
        <v>0</v>
      </c>
      <c r="O50" s="31">
        <f>Harvest!Q151</f>
        <v>0</v>
      </c>
      <c r="P50" s="46">
        <f>Harvest!W151</f>
        <v>0</v>
      </c>
      <c r="Q50" s="31">
        <f>Harvest!X151</f>
        <v>0</v>
      </c>
      <c r="R50" s="48" t="e">
        <f>Harvest!H152</f>
        <v>#DIV/0!</v>
      </c>
      <c r="S50" s="47" t="e">
        <f>Harvest!K152</f>
        <v>#DIV/0!</v>
      </c>
      <c r="U50" s="46" t="e">
        <f>Harvest!N152</f>
        <v>#DIV/0!</v>
      </c>
      <c r="V50" s="49" t="e">
        <f>Harvest!Q152</f>
        <v>#DIV/0!</v>
      </c>
      <c r="W50" s="48" t="e">
        <f>Harvest!T152</f>
        <v>#DIV/0!</v>
      </c>
      <c r="X50" s="31" t="e">
        <f>Harvest!U152</f>
        <v>#DIV/0!</v>
      </c>
      <c r="Y50" s="57" t="e">
        <f>Harvest!V152</f>
        <v>#DIV/0!</v>
      </c>
      <c r="Z50" s="46" t="e">
        <f>Harvest!W152</f>
        <v>#DIV/0!</v>
      </c>
      <c r="AA50" s="49" t="e">
        <f>Harvest!X152</f>
        <v>#DIV/0!</v>
      </c>
      <c r="AC50" s="48">
        <f>Harvest!AW151</f>
        <v>0</v>
      </c>
      <c r="AD50" s="48">
        <f>Harvest!AX151</f>
        <v>0</v>
      </c>
      <c r="AE50" s="48">
        <f>Harvest!AY151</f>
        <v>0</v>
      </c>
      <c r="AF50" s="48">
        <f>Harvest!AZ151</f>
        <v>0</v>
      </c>
      <c r="AG50" s="46">
        <f>Harvest!BA151</f>
        <v>0</v>
      </c>
      <c r="AH50" s="46">
        <f>Harvest!BB151</f>
        <v>0</v>
      </c>
      <c r="AI50" s="46">
        <f>Harvest!BC151</f>
        <v>0</v>
      </c>
      <c r="AJ50" s="46" t="e">
        <f>Harvest!AW152</f>
        <v>#DIV/0!</v>
      </c>
      <c r="AK50" s="46" t="e">
        <f>Harvest!AX152</f>
        <v>#DIV/0!</v>
      </c>
      <c r="AL50" s="46" t="e">
        <f>Harvest!AY152</f>
        <v>#DIV/0!</v>
      </c>
      <c r="AM50" s="46" t="e">
        <f>Harvest!AZ152</f>
        <v>#DIV/0!</v>
      </c>
      <c r="AN50" s="31" t="e">
        <f>Harvest!BA152</f>
        <v>#DIV/0!</v>
      </c>
      <c r="AO50" s="31" t="e">
        <f>Harvest!BB152</f>
        <v>#DIV/0!</v>
      </c>
      <c r="AP50" s="49" t="e">
        <f>Harvest!BC152</f>
        <v>#DIV/0!</v>
      </c>
      <c r="AR50" s="107" t="e">
        <f t="shared" si="101"/>
        <v>#DIV/0!</v>
      </c>
      <c r="AT50" s="125" t="e">
        <f t="shared" si="60"/>
        <v>#DIV/0!</v>
      </c>
      <c r="AU50" s="125" t="e">
        <f t="shared" si="65"/>
        <v>#DIV/0!</v>
      </c>
    </row>
    <row r="51" spans="1:47" x14ac:dyDescent="0.25">
      <c r="A51" s="54">
        <f t="shared" si="55"/>
        <v>45620</v>
      </c>
      <c r="B51" s="57">
        <f>Harvest!D162</f>
        <v>0</v>
      </c>
      <c r="C51" s="57">
        <f>Harvest!E162</f>
        <v>0</v>
      </c>
      <c r="D51" s="57">
        <f>Harvest!F162</f>
        <v>0</v>
      </c>
      <c r="E51" s="46">
        <f>Harvest!C162</f>
        <v>0</v>
      </c>
      <c r="F51" s="31" t="e">
        <f t="shared" si="98"/>
        <v>#DIV/0!</v>
      </c>
      <c r="G51" s="31" t="e">
        <f t="shared" si="99"/>
        <v>#DIV/0!</v>
      </c>
      <c r="H51" s="55" t="e">
        <f t="shared" si="100"/>
        <v>#DIV/0!</v>
      </c>
      <c r="I51" s="48">
        <f>Harvest!H161</f>
        <v>0</v>
      </c>
      <c r="J51" s="31">
        <f>Harvest!K161</f>
        <v>0</v>
      </c>
      <c r="K51" s="46">
        <f>Harvest!T161</f>
        <v>0</v>
      </c>
      <c r="L51" s="47">
        <f>Harvest!U161</f>
        <v>0</v>
      </c>
      <c r="M51" s="31"/>
      <c r="N51" s="46">
        <f>Harvest!N161</f>
        <v>0</v>
      </c>
      <c r="O51" s="31">
        <f>Harvest!Q161</f>
        <v>0</v>
      </c>
      <c r="P51" s="46">
        <f>Harvest!W161</f>
        <v>0</v>
      </c>
      <c r="Q51" s="31">
        <f>Harvest!X161</f>
        <v>0</v>
      </c>
      <c r="R51" s="48" t="e">
        <f>Harvest!H162</f>
        <v>#DIV/0!</v>
      </c>
      <c r="S51" s="47" t="e">
        <f>Harvest!K162</f>
        <v>#DIV/0!</v>
      </c>
      <c r="U51" s="46" t="e">
        <f>Harvest!N162</f>
        <v>#DIV/0!</v>
      </c>
      <c r="V51" s="49" t="e">
        <f>Harvest!Q162</f>
        <v>#DIV/0!</v>
      </c>
      <c r="W51" s="48" t="e">
        <f>Harvest!T162</f>
        <v>#DIV/0!</v>
      </c>
      <c r="X51" s="31" t="e">
        <f>Harvest!U162</f>
        <v>#DIV/0!</v>
      </c>
      <c r="Y51" s="57" t="e">
        <f>Harvest!V162</f>
        <v>#DIV/0!</v>
      </c>
      <c r="Z51" s="46" t="e">
        <f>Harvest!W162</f>
        <v>#DIV/0!</v>
      </c>
      <c r="AA51" s="49" t="e">
        <f>Harvest!X162</f>
        <v>#DIV/0!</v>
      </c>
      <c r="AC51" s="48">
        <f>Harvest!AW161</f>
        <v>0</v>
      </c>
      <c r="AD51" s="48">
        <f>Harvest!AX161</f>
        <v>0</v>
      </c>
      <c r="AE51" s="48">
        <f>Harvest!AY161</f>
        <v>0</v>
      </c>
      <c r="AF51" s="48">
        <f>Harvest!AZ161</f>
        <v>0</v>
      </c>
      <c r="AG51" s="46">
        <f>Harvest!BA161</f>
        <v>0</v>
      </c>
      <c r="AH51" s="46">
        <f>Harvest!BB161</f>
        <v>0</v>
      </c>
      <c r="AI51" s="46">
        <f>Harvest!BC161</f>
        <v>0</v>
      </c>
      <c r="AJ51" s="46" t="e">
        <f>Harvest!AW162</f>
        <v>#DIV/0!</v>
      </c>
      <c r="AK51" s="46" t="e">
        <f>Harvest!AX162</f>
        <v>#DIV/0!</v>
      </c>
      <c r="AL51" s="46" t="e">
        <f>Harvest!AY162</f>
        <v>#DIV/0!</v>
      </c>
      <c r="AM51" s="46" t="e">
        <f>Harvest!AZ162</f>
        <v>#DIV/0!</v>
      </c>
      <c r="AN51" s="31" t="e">
        <f>Harvest!BA162</f>
        <v>#DIV/0!</v>
      </c>
      <c r="AO51" s="31" t="e">
        <f>Harvest!BB162</f>
        <v>#DIV/0!</v>
      </c>
      <c r="AP51" s="49" t="e">
        <f>Harvest!BC162</f>
        <v>#DIV/0!</v>
      </c>
      <c r="AR51" s="107" t="e">
        <f t="shared" si="101"/>
        <v>#DIV/0!</v>
      </c>
      <c r="AT51" s="125" t="e">
        <f t="shared" si="60"/>
        <v>#DIV/0!</v>
      </c>
      <c r="AU51" s="125" t="e">
        <f t="shared" si="65"/>
        <v>#DIV/0!</v>
      </c>
    </row>
    <row r="52" spans="1:47" x14ac:dyDescent="0.25">
      <c r="A52" s="54">
        <f t="shared" si="55"/>
        <v>45627</v>
      </c>
      <c r="B52" s="57">
        <f>Harvest!D172</f>
        <v>0</v>
      </c>
      <c r="C52" s="57">
        <f>Harvest!E172</f>
        <v>0</v>
      </c>
      <c r="D52" s="57">
        <f>Harvest!F172</f>
        <v>0</v>
      </c>
      <c r="E52" s="46">
        <f>Harvest!C172</f>
        <v>0</v>
      </c>
      <c r="F52" s="31" t="e">
        <f t="shared" si="98"/>
        <v>#DIV/0!</v>
      </c>
      <c r="G52" s="31" t="e">
        <f t="shared" si="99"/>
        <v>#DIV/0!</v>
      </c>
      <c r="H52" s="55" t="e">
        <f t="shared" ref="H52:H54" si="102">B52/E52</f>
        <v>#DIV/0!</v>
      </c>
      <c r="I52" s="48">
        <f>Harvest!H171</f>
        <v>0</v>
      </c>
      <c r="J52" s="31">
        <f>Harvest!K171</f>
        <v>0</v>
      </c>
      <c r="K52" s="46">
        <f>Harvest!T171</f>
        <v>0</v>
      </c>
      <c r="L52" s="47">
        <f>Harvest!U171</f>
        <v>0</v>
      </c>
      <c r="M52" s="31"/>
      <c r="N52" s="46">
        <f>Harvest!N171</f>
        <v>0</v>
      </c>
      <c r="O52" s="31">
        <f>Harvest!Q171</f>
        <v>0</v>
      </c>
      <c r="P52" s="46">
        <f>Harvest!W171</f>
        <v>0</v>
      </c>
      <c r="Q52" s="31">
        <f>Harvest!X171</f>
        <v>0</v>
      </c>
      <c r="R52" s="48" t="e">
        <f>Harvest!H172</f>
        <v>#DIV/0!</v>
      </c>
      <c r="S52" s="47" t="e">
        <f>Harvest!K172</f>
        <v>#DIV/0!</v>
      </c>
      <c r="U52" s="46" t="e">
        <f>Harvest!N172</f>
        <v>#DIV/0!</v>
      </c>
      <c r="V52" s="49" t="e">
        <f>Harvest!Q172</f>
        <v>#DIV/0!</v>
      </c>
      <c r="W52" s="48">
        <f>Harvest!T172</f>
        <v>0</v>
      </c>
      <c r="X52" s="31">
        <f>Harvest!U172</f>
        <v>0</v>
      </c>
      <c r="Y52" s="57">
        <f>Harvest!V172</f>
        <v>0</v>
      </c>
      <c r="Z52" s="46">
        <f>Harvest!W172</f>
        <v>0</v>
      </c>
      <c r="AA52" s="49">
        <f>Harvest!X172</f>
        <v>0</v>
      </c>
      <c r="AC52" s="48">
        <f>Harvest!AW171</f>
        <v>0</v>
      </c>
      <c r="AD52" s="48">
        <f>Harvest!AX171</f>
        <v>0</v>
      </c>
      <c r="AE52" s="48">
        <f>Harvest!AY171</f>
        <v>0</v>
      </c>
      <c r="AF52" s="48">
        <f>Harvest!AZ171</f>
        <v>0</v>
      </c>
      <c r="AG52" s="46">
        <f>Harvest!BA171</f>
        <v>0</v>
      </c>
      <c r="AH52" s="46">
        <f>Harvest!BB171</f>
        <v>0</v>
      </c>
      <c r="AI52" s="46">
        <f>Harvest!BC171</f>
        <v>0</v>
      </c>
      <c r="AJ52" s="46" t="e">
        <f>Harvest!AW172</f>
        <v>#DIV/0!</v>
      </c>
      <c r="AK52" s="46" t="e">
        <f>Harvest!AX172</f>
        <v>#DIV/0!</v>
      </c>
      <c r="AL52" s="46" t="e">
        <f>Harvest!AY172</f>
        <v>#DIV/0!</v>
      </c>
      <c r="AM52" s="46" t="e">
        <f>Harvest!AZ172</f>
        <v>#DIV/0!</v>
      </c>
      <c r="AN52" s="31" t="e">
        <f>Harvest!BA172</f>
        <v>#DIV/0!</v>
      </c>
      <c r="AO52" s="31" t="e">
        <f>Harvest!BB172</f>
        <v>#DIV/0!</v>
      </c>
      <c r="AP52" s="49" t="e">
        <f>Harvest!BC172</f>
        <v>#DIV/0!</v>
      </c>
      <c r="AR52" s="107" t="e">
        <f t="shared" si="101"/>
        <v>#DIV/0!</v>
      </c>
      <c r="AT52" s="125" t="e">
        <f t="shared" si="60"/>
        <v>#DIV/0!</v>
      </c>
      <c r="AU52" s="125" t="e">
        <f t="shared" si="65"/>
        <v>#DIV/0!</v>
      </c>
    </row>
    <row r="53" spans="1:47" x14ac:dyDescent="0.25">
      <c r="A53" s="54">
        <f t="shared" si="55"/>
        <v>45634</v>
      </c>
      <c r="B53" s="57">
        <f>Harvest!D182</f>
        <v>0</v>
      </c>
      <c r="C53" s="57">
        <f>Harvest!E182</f>
        <v>0</v>
      </c>
      <c r="D53" s="57">
        <f>Harvest!F182</f>
        <v>0</v>
      </c>
      <c r="E53" s="46">
        <f>Harvest!C182</f>
        <v>0</v>
      </c>
      <c r="F53" s="31" t="e">
        <f t="shared" ref="F53:F54" si="103">C53/H53</f>
        <v>#DIV/0!</v>
      </c>
      <c r="G53" s="31" t="e">
        <f t="shared" ref="G53:G54" si="104">D53/H53</f>
        <v>#DIV/0!</v>
      </c>
      <c r="H53" s="55" t="e">
        <f t="shared" si="102"/>
        <v>#DIV/0!</v>
      </c>
      <c r="I53" s="48">
        <f>Harvest!H181</f>
        <v>0</v>
      </c>
      <c r="J53" s="31">
        <f>Harvest!K181</f>
        <v>0</v>
      </c>
      <c r="K53" s="46">
        <f>Harvest!T181</f>
        <v>0</v>
      </c>
      <c r="L53" s="47">
        <f>Harvest!U181</f>
        <v>0</v>
      </c>
      <c r="M53" s="31"/>
      <c r="N53" s="46">
        <f>Harvest!N181</f>
        <v>0</v>
      </c>
      <c r="O53" s="31">
        <f>Harvest!Q181</f>
        <v>0</v>
      </c>
      <c r="P53" s="46">
        <f>Harvest!W181</f>
        <v>0</v>
      </c>
      <c r="Q53" s="31">
        <f>Harvest!X181</f>
        <v>0</v>
      </c>
      <c r="R53" s="48" t="e">
        <f>Harvest!H182</f>
        <v>#DIV/0!</v>
      </c>
      <c r="S53" s="47" t="e">
        <f>Harvest!K182</f>
        <v>#DIV/0!</v>
      </c>
      <c r="U53" s="46" t="e">
        <f>Harvest!N182</f>
        <v>#DIV/0!</v>
      </c>
      <c r="V53" s="49" t="e">
        <f>Harvest!Q182</f>
        <v>#DIV/0!</v>
      </c>
      <c r="W53" s="48" t="e">
        <f>Harvest!T182</f>
        <v>#DIV/0!</v>
      </c>
      <c r="X53" s="31" t="e">
        <f>Harvest!U182</f>
        <v>#DIV/0!</v>
      </c>
      <c r="Y53" s="57" t="e">
        <f>Harvest!V182</f>
        <v>#DIV/0!</v>
      </c>
      <c r="Z53" s="46" t="e">
        <f>Harvest!W182</f>
        <v>#DIV/0!</v>
      </c>
      <c r="AA53" s="49" t="e">
        <f>Harvest!X182</f>
        <v>#DIV/0!</v>
      </c>
      <c r="AC53" s="48">
        <f>Harvest!AW181</f>
        <v>0</v>
      </c>
      <c r="AD53" s="48">
        <f>Harvest!AX181</f>
        <v>0</v>
      </c>
      <c r="AE53" s="48">
        <f>Harvest!AY181</f>
        <v>0</v>
      </c>
      <c r="AF53" s="48">
        <f>Harvest!AZ181</f>
        <v>0</v>
      </c>
      <c r="AG53" s="46">
        <f>Harvest!BA181</f>
        <v>0</v>
      </c>
      <c r="AH53" s="46">
        <f>Harvest!BB181</f>
        <v>0</v>
      </c>
      <c r="AI53" s="46">
        <f>Harvest!BC181</f>
        <v>0</v>
      </c>
      <c r="AJ53" s="46" t="e">
        <f>Harvest!AW182</f>
        <v>#DIV/0!</v>
      </c>
      <c r="AK53" s="46" t="e">
        <f>Harvest!AX182</f>
        <v>#DIV/0!</v>
      </c>
      <c r="AL53" s="46" t="e">
        <f>Harvest!AY182</f>
        <v>#DIV/0!</v>
      </c>
      <c r="AM53" s="46" t="e">
        <f>Harvest!AZ182</f>
        <v>#DIV/0!</v>
      </c>
      <c r="AN53" s="31" t="e">
        <f>Harvest!BA182</f>
        <v>#DIV/0!</v>
      </c>
      <c r="AO53" s="31" t="e">
        <f>Harvest!BB182</f>
        <v>#DIV/0!</v>
      </c>
      <c r="AP53" s="49" t="e">
        <f>Harvest!BC182</f>
        <v>#DIV/0!</v>
      </c>
      <c r="AR53" s="107" t="e">
        <f t="shared" si="101"/>
        <v>#DIV/0!</v>
      </c>
      <c r="AT53" s="125"/>
      <c r="AU53" s="125"/>
    </row>
    <row r="54" spans="1:47" x14ac:dyDescent="0.25">
      <c r="A54" s="54">
        <f t="shared" si="55"/>
        <v>45641</v>
      </c>
      <c r="B54" s="57">
        <f>Harvest!D192</f>
        <v>0</v>
      </c>
      <c r="C54" s="57">
        <f>Harvest!E192</f>
        <v>0</v>
      </c>
      <c r="D54" s="57">
        <f>Harvest!F192</f>
        <v>0</v>
      </c>
      <c r="E54" s="46">
        <f>Harvest!C192</f>
        <v>0</v>
      </c>
      <c r="F54" s="31" t="e">
        <f t="shared" si="103"/>
        <v>#DIV/0!</v>
      </c>
      <c r="G54" s="31" t="e">
        <f t="shared" si="104"/>
        <v>#DIV/0!</v>
      </c>
      <c r="H54" s="55" t="e">
        <f t="shared" si="102"/>
        <v>#DIV/0!</v>
      </c>
      <c r="I54" s="48">
        <f>Harvest!H191</f>
        <v>0</v>
      </c>
      <c r="J54" s="31">
        <f>Harvest!K191</f>
        <v>0</v>
      </c>
      <c r="K54" s="46">
        <f>Harvest!T191</f>
        <v>0</v>
      </c>
      <c r="L54" s="47">
        <f>Harvest!U191</f>
        <v>0</v>
      </c>
      <c r="M54" s="31"/>
      <c r="N54" s="46">
        <f>Harvest!N191</f>
        <v>0</v>
      </c>
      <c r="O54" s="31">
        <f>Harvest!Q191</f>
        <v>0</v>
      </c>
      <c r="P54" s="46">
        <f>Harvest!W191</f>
        <v>0</v>
      </c>
      <c r="Q54" s="31">
        <f>Harvest!X191</f>
        <v>0</v>
      </c>
      <c r="R54" s="48" t="e">
        <f>Harvest!H192</f>
        <v>#DIV/0!</v>
      </c>
      <c r="S54" s="47" t="e">
        <f>Harvest!K192</f>
        <v>#DIV/0!</v>
      </c>
      <c r="U54" s="46" t="e">
        <f>Harvest!N192</f>
        <v>#DIV/0!</v>
      </c>
      <c r="V54" s="49" t="e">
        <f>Harvest!Q192</f>
        <v>#DIV/0!</v>
      </c>
      <c r="W54" s="48" t="e">
        <f>Harvest!T192</f>
        <v>#DIV/0!</v>
      </c>
      <c r="X54" s="31" t="e">
        <f>Harvest!U192</f>
        <v>#DIV/0!</v>
      </c>
      <c r="Y54" s="57" t="e">
        <f>Harvest!V192</f>
        <v>#DIV/0!</v>
      </c>
      <c r="Z54" s="46" t="e">
        <f>Harvest!W192</f>
        <v>#DIV/0!</v>
      </c>
      <c r="AA54" s="49" t="e">
        <f>Harvest!X192</f>
        <v>#DIV/0!</v>
      </c>
      <c r="AC54" s="48">
        <f>Harvest!AW191</f>
        <v>0</v>
      </c>
      <c r="AD54" s="48">
        <f>Harvest!AX191</f>
        <v>0</v>
      </c>
      <c r="AE54" s="48">
        <f>Harvest!AY191</f>
        <v>0</v>
      </c>
      <c r="AF54" s="48">
        <f>Harvest!AZ191</f>
        <v>0</v>
      </c>
      <c r="AG54" s="46">
        <f>Harvest!BA191</f>
        <v>0</v>
      </c>
      <c r="AH54" s="46">
        <f>Harvest!BB191</f>
        <v>0</v>
      </c>
      <c r="AI54" s="46">
        <f>Harvest!BC191</f>
        <v>0</v>
      </c>
      <c r="AJ54" s="46" t="e">
        <f>Harvest!AW192</f>
        <v>#DIV/0!</v>
      </c>
      <c r="AK54" s="46" t="e">
        <f>Harvest!AX192</f>
        <v>#DIV/0!</v>
      </c>
      <c r="AL54" s="46" t="e">
        <f>Harvest!AY192</f>
        <v>#DIV/0!</v>
      </c>
      <c r="AM54" s="46" t="e">
        <f>Harvest!AZ192</f>
        <v>#DIV/0!</v>
      </c>
      <c r="AN54" s="31" t="e">
        <f>Harvest!BA192</f>
        <v>#DIV/0!</v>
      </c>
      <c r="AO54" s="31" t="e">
        <f>Harvest!BB192</f>
        <v>#DIV/0!</v>
      </c>
      <c r="AP54" s="49" t="e">
        <f>Harvest!BC192</f>
        <v>#DIV/0!</v>
      </c>
      <c r="AR54" s="107" t="e">
        <f t="shared" si="101"/>
        <v>#DIV/0!</v>
      </c>
      <c r="AT54" s="125"/>
      <c r="AU54" s="125"/>
    </row>
    <row r="55" spans="1:47" x14ac:dyDescent="0.25">
      <c r="A55" s="54">
        <f t="shared" si="55"/>
        <v>45648</v>
      </c>
      <c r="B55" s="57">
        <f>Harvest!D202</f>
        <v>0</v>
      </c>
      <c r="C55" s="57">
        <f>Harvest!E202</f>
        <v>0</v>
      </c>
      <c r="D55" s="57">
        <f>Harvest!F202</f>
        <v>0</v>
      </c>
      <c r="E55" s="46">
        <f>Harvest!C202</f>
        <v>0</v>
      </c>
      <c r="F55" s="31" t="e">
        <f t="shared" ref="F55" si="105">C55/H55</f>
        <v>#DIV/0!</v>
      </c>
      <c r="G55" s="31" t="e">
        <f t="shared" ref="G55" si="106">D55/H55</f>
        <v>#DIV/0!</v>
      </c>
      <c r="H55" s="55" t="e">
        <f t="shared" ref="H55:H56" si="107">B55/E55</f>
        <v>#DIV/0!</v>
      </c>
      <c r="I55" s="48">
        <f>Harvest!H201</f>
        <v>0</v>
      </c>
      <c r="J55" s="31">
        <f>Harvest!K201</f>
        <v>0</v>
      </c>
      <c r="K55" s="46">
        <f>Harvest!T201</f>
        <v>0</v>
      </c>
      <c r="L55" s="47">
        <f>Harvest!U201</f>
        <v>0</v>
      </c>
      <c r="M55" s="31"/>
      <c r="N55" s="46">
        <f>Harvest!N201</f>
        <v>0</v>
      </c>
      <c r="O55" s="31">
        <f>Harvest!Q201</f>
        <v>0</v>
      </c>
      <c r="P55" s="46">
        <f>Harvest!W201</f>
        <v>0</v>
      </c>
      <c r="Q55" s="31">
        <f>Harvest!X201</f>
        <v>0</v>
      </c>
      <c r="R55" s="48" t="e">
        <f>Harvest!H202</f>
        <v>#DIV/0!</v>
      </c>
      <c r="S55" s="47" t="e">
        <f>Harvest!K202</f>
        <v>#DIV/0!</v>
      </c>
      <c r="U55" s="46" t="e">
        <f>Harvest!N202</f>
        <v>#DIV/0!</v>
      </c>
      <c r="V55" s="49" t="e">
        <f>Harvest!Q202</f>
        <v>#DIV/0!</v>
      </c>
      <c r="W55" s="48" t="e">
        <f>Harvest!T202</f>
        <v>#DIV/0!</v>
      </c>
      <c r="X55" s="31" t="e">
        <f>Harvest!U202</f>
        <v>#DIV/0!</v>
      </c>
      <c r="Y55" s="57" t="e">
        <f>Harvest!V202</f>
        <v>#DIV/0!</v>
      </c>
      <c r="Z55" s="46" t="e">
        <f>Harvest!W202</f>
        <v>#DIV/0!</v>
      </c>
      <c r="AA55" s="49" t="e">
        <f>Harvest!X202</f>
        <v>#DIV/0!</v>
      </c>
      <c r="AC55" s="48">
        <f>Harvest!AW201</f>
        <v>0</v>
      </c>
      <c r="AD55" s="48">
        <f>Harvest!AX201</f>
        <v>0</v>
      </c>
      <c r="AE55" s="48">
        <f>Harvest!AY201</f>
        <v>0</v>
      </c>
      <c r="AF55" s="48">
        <f>Harvest!AZ201</f>
        <v>0</v>
      </c>
      <c r="AG55" s="46">
        <f>Harvest!BA201</f>
        <v>0</v>
      </c>
      <c r="AH55" s="46">
        <f>Harvest!BB201</f>
        <v>0</v>
      </c>
      <c r="AI55" s="46">
        <f>Harvest!BC201</f>
        <v>0</v>
      </c>
      <c r="AJ55" s="46" t="e">
        <f>Harvest!AW202</f>
        <v>#DIV/0!</v>
      </c>
      <c r="AK55" s="46" t="e">
        <f>Harvest!AX202</f>
        <v>#DIV/0!</v>
      </c>
      <c r="AL55" s="46" t="e">
        <f>Harvest!AY202</f>
        <v>#DIV/0!</v>
      </c>
      <c r="AM55" s="46" t="e">
        <f>Harvest!AZ202</f>
        <v>#DIV/0!</v>
      </c>
      <c r="AN55" s="31" t="e">
        <f>Harvest!BA202</f>
        <v>#DIV/0!</v>
      </c>
      <c r="AO55" s="31" t="e">
        <f>Harvest!BB202</f>
        <v>#DIV/0!</v>
      </c>
      <c r="AP55" s="49" t="e">
        <f>Harvest!BC202</f>
        <v>#DIV/0!</v>
      </c>
      <c r="AR55" s="107" t="e">
        <f t="shared" si="101"/>
        <v>#DIV/0!</v>
      </c>
      <c r="AT55" s="125"/>
      <c r="AU55" s="125"/>
    </row>
    <row r="56" spans="1:47" x14ac:dyDescent="0.25">
      <c r="A56" s="54">
        <f t="shared" si="55"/>
        <v>45655</v>
      </c>
      <c r="B56" s="57">
        <f>Harvest!D212</f>
        <v>0</v>
      </c>
      <c r="C56" s="57">
        <f>Harvest!E212</f>
        <v>0</v>
      </c>
      <c r="D56" s="57">
        <f>Harvest!F212</f>
        <v>0</v>
      </c>
      <c r="E56" s="46">
        <f>Harvest!C212</f>
        <v>0</v>
      </c>
      <c r="F56" s="31" t="e">
        <f t="shared" ref="F56" si="108">C56/H56</f>
        <v>#DIV/0!</v>
      </c>
      <c r="G56" s="31" t="e">
        <f t="shared" ref="G56" si="109">D56/H56</f>
        <v>#DIV/0!</v>
      </c>
      <c r="H56" s="55" t="e">
        <f t="shared" si="107"/>
        <v>#DIV/0!</v>
      </c>
      <c r="I56" s="48">
        <f>Harvest!H211</f>
        <v>0</v>
      </c>
      <c r="J56" s="31">
        <f>Harvest!K211</f>
        <v>0</v>
      </c>
      <c r="K56" s="46">
        <f>Harvest!T211</f>
        <v>0</v>
      </c>
      <c r="L56" s="47">
        <f>Harvest!U211</f>
        <v>0</v>
      </c>
      <c r="M56" s="31"/>
      <c r="N56" s="46">
        <f>Harvest!N211</f>
        <v>0</v>
      </c>
      <c r="O56" s="31">
        <f>Harvest!Q211</f>
        <v>0</v>
      </c>
      <c r="P56" s="46">
        <f>Harvest!W211</f>
        <v>0</v>
      </c>
      <c r="Q56" s="31">
        <f>Harvest!X211</f>
        <v>0</v>
      </c>
      <c r="R56" s="48" t="e">
        <f>Harvest!H212</f>
        <v>#DIV/0!</v>
      </c>
      <c r="S56" s="47" t="e">
        <f>Harvest!K212</f>
        <v>#DIV/0!</v>
      </c>
      <c r="U56" s="46" t="e">
        <f>Harvest!N212</f>
        <v>#DIV/0!</v>
      </c>
      <c r="V56" s="49" t="e">
        <f>Harvest!Q212</f>
        <v>#DIV/0!</v>
      </c>
      <c r="W56" s="48" t="e">
        <f>Harvest!T212</f>
        <v>#DIV/0!</v>
      </c>
      <c r="X56" s="31" t="e">
        <f>Harvest!U212</f>
        <v>#DIV/0!</v>
      </c>
      <c r="Y56" s="57" t="e">
        <f>Harvest!V212</f>
        <v>#DIV/0!</v>
      </c>
      <c r="Z56" s="46" t="e">
        <f>Harvest!W212</f>
        <v>#DIV/0!</v>
      </c>
      <c r="AA56" s="49" t="e">
        <f>Harvest!X212</f>
        <v>#DIV/0!</v>
      </c>
      <c r="AC56" s="48">
        <f>Harvest!AW211</f>
        <v>0</v>
      </c>
      <c r="AD56" s="48">
        <f>Harvest!AX211</f>
        <v>0</v>
      </c>
      <c r="AE56" s="48">
        <f>Harvest!AY211</f>
        <v>0</v>
      </c>
      <c r="AF56" s="48">
        <f>Harvest!AZ211</f>
        <v>0</v>
      </c>
      <c r="AG56" s="46">
        <f>Harvest!BA211</f>
        <v>0</v>
      </c>
      <c r="AH56" s="46">
        <f>Harvest!BB211</f>
        <v>0</v>
      </c>
      <c r="AI56" s="46">
        <f>Harvest!BC211</f>
        <v>0</v>
      </c>
      <c r="AJ56" s="46" t="e">
        <f>Harvest!AW212</f>
        <v>#DIV/0!</v>
      </c>
      <c r="AK56" s="46" t="e">
        <f>Harvest!AX212</f>
        <v>#DIV/0!</v>
      </c>
      <c r="AL56" s="46" t="e">
        <f>Harvest!AY212</f>
        <v>#DIV/0!</v>
      </c>
      <c r="AM56" s="46" t="e">
        <f>Harvest!AZ212</f>
        <v>#DIV/0!</v>
      </c>
      <c r="AN56" s="31" t="e">
        <f>Harvest!BA212</f>
        <v>#DIV/0!</v>
      </c>
      <c r="AO56" s="31" t="e">
        <f>Harvest!BB212</f>
        <v>#DIV/0!</v>
      </c>
      <c r="AP56" s="49" t="e">
        <f>Harvest!BC212</f>
        <v>#DIV/0!</v>
      </c>
      <c r="AR56" s="107" t="e">
        <f t="shared" si="101"/>
        <v>#DIV/0!</v>
      </c>
      <c r="AT56" s="125"/>
      <c r="AU56" s="125"/>
    </row>
    <row r="57" spans="1:47" ht="16.5" thickBot="1" x14ac:dyDescent="0.3">
      <c r="A57" s="234"/>
      <c r="B57" s="95"/>
      <c r="C57" s="86"/>
      <c r="D57" s="87"/>
      <c r="E57" s="95"/>
      <c r="F57" s="86"/>
      <c r="G57" s="86"/>
      <c r="H57" s="361"/>
      <c r="I57" s="97"/>
      <c r="J57" s="86"/>
      <c r="K57" s="95"/>
      <c r="L57" s="87"/>
      <c r="M57" s="86"/>
      <c r="N57" s="95"/>
      <c r="O57" s="86"/>
      <c r="P57" s="95"/>
      <c r="Q57" s="86"/>
      <c r="R57" s="97"/>
      <c r="S57" s="87"/>
      <c r="T57" s="172"/>
      <c r="U57" s="95"/>
      <c r="V57" s="96"/>
      <c r="W57" s="48"/>
      <c r="X57" s="31"/>
      <c r="Y57" s="103"/>
      <c r="Z57" s="95"/>
      <c r="AA57" s="96"/>
      <c r="AC57" s="97"/>
      <c r="AD57" s="86"/>
      <c r="AE57" s="86"/>
      <c r="AF57" s="86"/>
      <c r="AG57" s="97"/>
      <c r="AH57" s="86"/>
      <c r="AI57" s="86"/>
      <c r="AJ57" s="95"/>
      <c r="AK57" s="86"/>
      <c r="AL57" s="86"/>
      <c r="AM57" s="87"/>
      <c r="AN57" s="86"/>
      <c r="AO57" s="86"/>
      <c r="AP57" s="96"/>
      <c r="AR57" s="116"/>
      <c r="AT57" s="125"/>
      <c r="AU57" s="125"/>
    </row>
    <row r="58" spans="1:47" ht="17.25" thickTop="1" thickBot="1" x14ac:dyDescent="0.3">
      <c r="A58" s="115" t="s">
        <v>121</v>
      </c>
      <c r="B58" s="93">
        <f t="shared" ref="B58:G58" si="110">SUM(B37:B57)</f>
        <v>1755</v>
      </c>
      <c r="C58" s="91">
        <f t="shared" si="110"/>
        <v>4794</v>
      </c>
      <c r="D58" s="98">
        <f t="shared" si="110"/>
        <v>29853.46</v>
      </c>
      <c r="E58" s="93">
        <f t="shared" si="110"/>
        <v>6368.6004349936075</v>
      </c>
      <c r="F58" s="91" t="e">
        <f t="shared" si="110"/>
        <v>#DIV/0!</v>
      </c>
      <c r="G58" s="91" t="e">
        <f t="shared" si="110"/>
        <v>#DIV/0!</v>
      </c>
      <c r="H58" s="281">
        <f t="shared" ref="H58" si="111">B58/E58</f>
        <v>0.27557075026355637</v>
      </c>
      <c r="I58" s="90">
        <f t="shared" ref="I58:AA58" si="112">SUM(I37:I57)</f>
        <v>2038</v>
      </c>
      <c r="J58" s="91">
        <f t="shared" si="112"/>
        <v>94</v>
      </c>
      <c r="K58" s="93">
        <f t="shared" si="112"/>
        <v>63</v>
      </c>
      <c r="L58" s="98">
        <f t="shared" si="112"/>
        <v>13</v>
      </c>
      <c r="M58" s="91">
        <f t="shared" si="112"/>
        <v>0</v>
      </c>
      <c r="N58" s="93">
        <f t="shared" si="112"/>
        <v>17</v>
      </c>
      <c r="O58" s="98">
        <f t="shared" si="112"/>
        <v>3</v>
      </c>
      <c r="P58" s="93">
        <f t="shared" si="112"/>
        <v>0</v>
      </c>
      <c r="Q58" s="98">
        <f t="shared" si="112"/>
        <v>0</v>
      </c>
      <c r="R58" s="90" t="e">
        <f t="shared" si="112"/>
        <v>#DIV/0!</v>
      </c>
      <c r="S58" s="91" t="e">
        <f t="shared" si="112"/>
        <v>#DIV/0!</v>
      </c>
      <c r="T58" s="93">
        <f t="shared" si="112"/>
        <v>0</v>
      </c>
      <c r="U58" s="93" t="e">
        <f t="shared" si="112"/>
        <v>#DIV/0!</v>
      </c>
      <c r="V58" s="98" t="e">
        <f t="shared" si="112"/>
        <v>#DIV/0!</v>
      </c>
      <c r="W58" s="124" t="e">
        <f t="shared" si="112"/>
        <v>#DIV/0!</v>
      </c>
      <c r="X58" s="118" t="e">
        <f t="shared" si="112"/>
        <v>#DIV/0!</v>
      </c>
      <c r="Y58" s="93" t="e">
        <f t="shared" si="112"/>
        <v>#DIV/0!</v>
      </c>
      <c r="Z58" s="93" t="e">
        <f t="shared" si="112"/>
        <v>#DIV/0!</v>
      </c>
      <c r="AA58" s="98" t="e">
        <f t="shared" si="112"/>
        <v>#DIV/0!</v>
      </c>
      <c r="AC58" s="90">
        <f t="shared" ref="AC58:AP58" si="113">SUM(AC37:AC57)</f>
        <v>1</v>
      </c>
      <c r="AD58" s="91">
        <f t="shared" si="113"/>
        <v>4</v>
      </c>
      <c r="AE58" s="91">
        <f t="shared" si="113"/>
        <v>10</v>
      </c>
      <c r="AF58" s="91">
        <f t="shared" si="113"/>
        <v>3</v>
      </c>
      <c r="AG58" s="93">
        <f t="shared" si="113"/>
        <v>5</v>
      </c>
      <c r="AH58" s="91">
        <f t="shared" si="113"/>
        <v>0</v>
      </c>
      <c r="AI58" s="98">
        <f t="shared" si="113"/>
        <v>0</v>
      </c>
      <c r="AJ58" s="93" t="e">
        <f t="shared" si="113"/>
        <v>#DIV/0!</v>
      </c>
      <c r="AK58" s="91" t="e">
        <f t="shared" si="113"/>
        <v>#DIV/0!</v>
      </c>
      <c r="AL58" s="91" t="e">
        <f t="shared" si="113"/>
        <v>#DIV/0!</v>
      </c>
      <c r="AM58" s="98" t="e">
        <f t="shared" si="113"/>
        <v>#DIV/0!</v>
      </c>
      <c r="AN58" s="91" t="e">
        <f t="shared" si="113"/>
        <v>#DIV/0!</v>
      </c>
      <c r="AO58" s="91" t="e">
        <f t="shared" si="113"/>
        <v>#DIV/0!</v>
      </c>
      <c r="AP58" s="94" t="e">
        <f t="shared" si="113"/>
        <v>#DIV/0!</v>
      </c>
      <c r="AR58" s="108" t="e">
        <f>SUM(AR37:AR57)</f>
        <v>#DIV/0!</v>
      </c>
    </row>
    <row r="59" spans="1:47" x14ac:dyDescent="0.25">
      <c r="A59" s="39"/>
      <c r="B59" s="31"/>
      <c r="C59" s="31"/>
      <c r="D59" s="31"/>
      <c r="E59" s="31"/>
      <c r="F59" s="40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 t="e">
        <f>R58+S58</f>
        <v>#DIV/0!</v>
      </c>
      <c r="S59" s="31"/>
      <c r="T59" s="31"/>
      <c r="U59" s="31"/>
      <c r="V59" s="31"/>
      <c r="W59" s="31"/>
      <c r="X59" s="31"/>
      <c r="Y59" s="31"/>
      <c r="Z59" s="31"/>
      <c r="AA59" s="31"/>
      <c r="AB59" s="31"/>
      <c r="AC59" s="31"/>
      <c r="AD59" s="31"/>
      <c r="AE59" s="31"/>
      <c r="AF59" s="31"/>
      <c r="AG59" s="31"/>
      <c r="AH59" s="31"/>
      <c r="AI59" s="31"/>
      <c r="AJ59" s="31"/>
      <c r="AK59" s="31"/>
      <c r="AL59" s="31"/>
      <c r="AM59" s="31"/>
    </row>
    <row r="60" spans="1:47" x14ac:dyDescent="0.25">
      <c r="G60" s="31"/>
      <c r="H60" s="31"/>
      <c r="I60" s="31"/>
      <c r="J60" s="250"/>
      <c r="K60" s="250"/>
      <c r="L60" s="250"/>
      <c r="M60" s="250"/>
      <c r="N60" s="250"/>
      <c r="O60" s="250"/>
      <c r="P60" s="250"/>
    </row>
    <row r="61" spans="1:47" ht="16.5" thickBot="1" x14ac:dyDescent="0.3"/>
    <row r="62" spans="1:47" ht="19.5" thickBot="1" x14ac:dyDescent="0.35">
      <c r="A62" s="6" t="s">
        <v>187</v>
      </c>
      <c r="B62" s="24"/>
      <c r="C62" s="24"/>
      <c r="D62" s="25"/>
      <c r="H62" s="310"/>
      <c r="I62" s="636" t="s">
        <v>106</v>
      </c>
      <c r="J62" s="637"/>
      <c r="K62" s="637"/>
      <c r="L62" s="637"/>
      <c r="M62" s="637"/>
      <c r="N62" s="637"/>
      <c r="O62" s="637"/>
      <c r="P62" s="637"/>
      <c r="Q62" s="638"/>
      <c r="R62" s="636" t="s">
        <v>107</v>
      </c>
      <c r="S62" s="637"/>
      <c r="T62" s="637"/>
      <c r="U62" s="637"/>
      <c r="V62" s="638"/>
      <c r="W62" s="632" t="s">
        <v>102</v>
      </c>
      <c r="X62" s="633"/>
      <c r="Y62" s="633"/>
      <c r="Z62" s="634"/>
      <c r="AA62" s="635"/>
      <c r="AC62" s="658" t="s">
        <v>103</v>
      </c>
      <c r="AD62" s="659"/>
      <c r="AE62" s="659"/>
      <c r="AF62" s="659"/>
      <c r="AG62" s="659"/>
      <c r="AH62" s="659"/>
      <c r="AI62" s="659"/>
      <c r="AJ62" s="659"/>
      <c r="AK62" s="659"/>
      <c r="AL62" s="659"/>
      <c r="AM62" s="659"/>
      <c r="AN62" s="659"/>
      <c r="AO62" s="659"/>
      <c r="AP62" s="660"/>
    </row>
    <row r="63" spans="1:47" x14ac:dyDescent="0.25">
      <c r="A63" s="102" t="s">
        <v>69</v>
      </c>
      <c r="B63" s="634" t="s">
        <v>106</v>
      </c>
      <c r="C63" s="637"/>
      <c r="D63" s="653"/>
      <c r="E63" s="633" t="s">
        <v>88</v>
      </c>
      <c r="F63" s="633"/>
      <c r="G63" s="634"/>
      <c r="H63" s="109" t="s">
        <v>185</v>
      </c>
      <c r="I63" s="652" t="s">
        <v>109</v>
      </c>
      <c r="J63" s="639"/>
      <c r="K63" s="629" t="s">
        <v>190</v>
      </c>
      <c r="L63" s="630"/>
      <c r="M63" s="242" t="s">
        <v>189</v>
      </c>
      <c r="N63" s="629" t="s">
        <v>101</v>
      </c>
      <c r="O63" s="630"/>
      <c r="P63" s="629" t="s">
        <v>233</v>
      </c>
      <c r="Q63" s="639"/>
      <c r="R63" s="652" t="s">
        <v>109</v>
      </c>
      <c r="S63" s="630"/>
      <c r="T63" s="300" t="s">
        <v>189</v>
      </c>
      <c r="U63" s="629" t="s">
        <v>234</v>
      </c>
      <c r="V63" s="639"/>
      <c r="W63" s="631" t="s">
        <v>109</v>
      </c>
      <c r="X63" s="629"/>
      <c r="Y63" s="245" t="s">
        <v>189</v>
      </c>
      <c r="Z63" s="629" t="s">
        <v>101</v>
      </c>
      <c r="AA63" s="641"/>
      <c r="AC63" s="652" t="s">
        <v>112</v>
      </c>
      <c r="AD63" s="639"/>
      <c r="AE63" s="639"/>
      <c r="AF63" s="639"/>
      <c r="AG63" s="629" t="s">
        <v>107</v>
      </c>
      <c r="AH63" s="639"/>
      <c r="AI63" s="630"/>
      <c r="AJ63" s="661" t="s">
        <v>113</v>
      </c>
      <c r="AK63" s="662"/>
      <c r="AL63" s="662"/>
      <c r="AM63" s="663"/>
      <c r="AN63" s="662" t="s">
        <v>114</v>
      </c>
      <c r="AO63" s="662"/>
      <c r="AP63" s="664"/>
      <c r="AR63" s="105" t="s">
        <v>157</v>
      </c>
      <c r="AT63" s="27" t="s">
        <v>116</v>
      </c>
      <c r="AU63" s="27" t="s">
        <v>140</v>
      </c>
    </row>
    <row r="64" spans="1:47" x14ac:dyDescent="0.25">
      <c r="A64" s="101" t="s">
        <v>108</v>
      </c>
      <c r="B64" s="245"/>
      <c r="C64" s="245" t="s">
        <v>117</v>
      </c>
      <c r="D64" s="242" t="s">
        <v>140</v>
      </c>
      <c r="E64" s="245"/>
      <c r="F64" s="245" t="s">
        <v>117</v>
      </c>
      <c r="G64" s="242" t="s">
        <v>140</v>
      </c>
      <c r="H64" s="244" t="s">
        <v>106</v>
      </c>
      <c r="I64" s="92" t="s">
        <v>118</v>
      </c>
      <c r="J64" s="35" t="s">
        <v>90</v>
      </c>
      <c r="K64" s="29" t="s">
        <v>118</v>
      </c>
      <c r="L64" s="29" t="s">
        <v>90</v>
      </c>
      <c r="M64" s="35" t="s">
        <v>194</v>
      </c>
      <c r="N64" s="29" t="s">
        <v>118</v>
      </c>
      <c r="O64" s="29" t="s">
        <v>90</v>
      </c>
      <c r="P64" s="29" t="s">
        <v>118</v>
      </c>
      <c r="Q64" s="35" t="s">
        <v>90</v>
      </c>
      <c r="R64" s="92" t="s">
        <v>118</v>
      </c>
      <c r="S64" s="29" t="s">
        <v>90</v>
      </c>
      <c r="T64" s="35" t="s">
        <v>118</v>
      </c>
      <c r="U64" s="35" t="s">
        <v>118</v>
      </c>
      <c r="V64" s="301" t="s">
        <v>90</v>
      </c>
      <c r="W64" s="92" t="s">
        <v>118</v>
      </c>
      <c r="X64" s="35" t="s">
        <v>90</v>
      </c>
      <c r="Y64" s="29" t="s">
        <v>118</v>
      </c>
      <c r="Z64" s="35" t="s">
        <v>118</v>
      </c>
      <c r="AA64" s="301" t="s">
        <v>90</v>
      </c>
      <c r="AC64" s="233" t="s">
        <v>111</v>
      </c>
      <c r="AD64" s="36" t="s">
        <v>110</v>
      </c>
      <c r="AE64" s="36" t="s">
        <v>96</v>
      </c>
      <c r="AF64" s="36" t="s">
        <v>104</v>
      </c>
      <c r="AG64" s="35" t="s">
        <v>111</v>
      </c>
      <c r="AH64" s="36" t="s">
        <v>110</v>
      </c>
      <c r="AI64" s="137" t="s">
        <v>96</v>
      </c>
      <c r="AJ64" s="38" t="s">
        <v>111</v>
      </c>
      <c r="AK64" s="37" t="s">
        <v>110</v>
      </c>
      <c r="AL64" s="37" t="s">
        <v>96</v>
      </c>
      <c r="AM64" s="138" t="s">
        <v>104</v>
      </c>
      <c r="AN64" s="37" t="s">
        <v>111</v>
      </c>
      <c r="AO64" s="37" t="s">
        <v>110</v>
      </c>
      <c r="AP64" s="114" t="s">
        <v>96</v>
      </c>
      <c r="AR64" s="106" t="s">
        <v>163</v>
      </c>
      <c r="AT64" s="27" t="s">
        <v>191</v>
      </c>
      <c r="AU64" s="27" t="s">
        <v>192</v>
      </c>
    </row>
    <row r="65" spans="1:47" x14ac:dyDescent="0.25">
      <c r="A65" s="54">
        <f>A9</f>
        <v>45522</v>
      </c>
      <c r="B65" s="50"/>
      <c r="C65" s="50">
        <f>Bank!D19</f>
        <v>8</v>
      </c>
      <c r="D65" s="50">
        <f>Bank!G19</f>
        <v>33.270000000000003</v>
      </c>
      <c r="E65" s="50"/>
      <c r="F65" s="57">
        <f t="shared" ref="F65" si="114">(G65)/(D65/C65)</f>
        <v>5.6908125438332826</v>
      </c>
      <c r="G65" s="57">
        <f>Bank!AV19</f>
        <v>23.666666666666668</v>
      </c>
      <c r="H65" s="55">
        <f>D65/G65</f>
        <v>1.4057746478873241</v>
      </c>
      <c r="I65" s="48">
        <f>Bank!S19</f>
        <v>0</v>
      </c>
      <c r="J65" s="31">
        <f>Bank!T19</f>
        <v>0</v>
      </c>
      <c r="K65" s="46">
        <f>Bank!Y19</f>
        <v>0</v>
      </c>
      <c r="L65" s="46">
        <f>Bank!Z19</f>
        <v>0</v>
      </c>
      <c r="M65" s="46"/>
      <c r="N65" s="46">
        <f>Bank!AB19</f>
        <v>0</v>
      </c>
      <c r="O65" s="46">
        <f>Bank!AC19</f>
        <v>0</v>
      </c>
      <c r="P65" s="46">
        <f>Bank!AD19</f>
        <v>0</v>
      </c>
      <c r="Q65" s="46">
        <f>Bank!AE19</f>
        <v>0</v>
      </c>
      <c r="R65" s="48">
        <f>Bank!DH17</f>
        <v>0</v>
      </c>
      <c r="S65" s="47">
        <f>Bank!DI17</f>
        <v>0</v>
      </c>
      <c r="T65" s="552"/>
      <c r="U65" s="31">
        <f>Bank!DK17</f>
        <v>0</v>
      </c>
      <c r="V65" s="47">
        <f>Bank!DL17</f>
        <v>0</v>
      </c>
      <c r="W65" s="46">
        <f>Bank!DL17</f>
        <v>0</v>
      </c>
      <c r="X65" s="47">
        <f>Bank!DM17</f>
        <v>0</v>
      </c>
      <c r="Y65" s="57"/>
      <c r="Z65" s="46">
        <f>Bank!DN17</f>
        <v>0</v>
      </c>
      <c r="AA65" s="49">
        <f>Bank!DO1726</f>
        <v>0</v>
      </c>
      <c r="AC65" s="48">
        <f>Bank!K19+Bank!L19</f>
        <v>0</v>
      </c>
      <c r="AD65" s="31">
        <f>Bank!M19+Bank!N19</f>
        <v>0</v>
      </c>
      <c r="AE65" s="31">
        <f>Bank!Q19+Bank!R19</f>
        <v>0</v>
      </c>
      <c r="AF65" s="47">
        <f>Bank!O19+Bank!P19</f>
        <v>0</v>
      </c>
      <c r="AG65" s="31">
        <f>Bank!K19</f>
        <v>0</v>
      </c>
      <c r="AH65" s="31">
        <f>Bank!M19</f>
        <v>0</v>
      </c>
      <c r="AI65" s="31">
        <f>Bank!Q19</f>
        <v>0</v>
      </c>
      <c r="AJ65" s="46">
        <f>Bank!DB19</f>
        <v>0</v>
      </c>
      <c r="AK65" s="31">
        <f>Bank!DD19</f>
        <v>0</v>
      </c>
      <c r="AL65" s="31">
        <f>Bank!DF19</f>
        <v>0</v>
      </c>
      <c r="AM65" s="47">
        <f>Bank!DG19</f>
        <v>0</v>
      </c>
      <c r="AN65" s="46">
        <f>Bank!DC19</f>
        <v>0</v>
      </c>
      <c r="AO65" s="31">
        <f>Bank!DE19</f>
        <v>0</v>
      </c>
      <c r="AP65" s="49">
        <f>Bank!DG19</f>
        <v>0</v>
      </c>
      <c r="AR65" s="107">
        <f t="shared" ref="AR65:AR67" si="115">G65/(D65/C65)</f>
        <v>5.6908125438332826</v>
      </c>
      <c r="AT65" s="125"/>
      <c r="AU65" s="125"/>
    </row>
    <row r="66" spans="1:47" x14ac:dyDescent="0.25">
      <c r="A66" s="54">
        <f>A10</f>
        <v>45529</v>
      </c>
      <c r="B66" s="50"/>
      <c r="C66" s="50">
        <f>Bank!D27</f>
        <v>14</v>
      </c>
      <c r="D66" s="50">
        <f>Bank!G27</f>
        <v>33.5</v>
      </c>
      <c r="E66" s="50"/>
      <c r="F66" s="57">
        <f t="shared" ref="F66" si="116">(G66)/(D66/C66)</f>
        <v>28.989054726368163</v>
      </c>
      <c r="G66" s="57">
        <f>Bank!AV27</f>
        <v>69.366666666666674</v>
      </c>
      <c r="H66" s="55">
        <f t="shared" ref="H66:H71" si="117">D66/G66</f>
        <v>0.48294089380105715</v>
      </c>
      <c r="I66" s="48">
        <f>Bank!S27</f>
        <v>0</v>
      </c>
      <c r="J66" s="31">
        <f>Bank!T27</f>
        <v>0</v>
      </c>
      <c r="K66" s="46">
        <f>Bank!Y27</f>
        <v>0</v>
      </c>
      <c r="L66" s="47">
        <f>Bank!Z27</f>
        <v>0</v>
      </c>
      <c r="M66" s="31"/>
      <c r="N66" s="46">
        <f>Bank!AA27</f>
        <v>0</v>
      </c>
      <c r="O66" s="31">
        <f>Bank!AD27</f>
        <v>0</v>
      </c>
      <c r="P66" s="46">
        <f>Bank!AG27</f>
        <v>0</v>
      </c>
      <c r="Q66" s="47">
        <f>Bank!AH27</f>
        <v>0</v>
      </c>
      <c r="R66" s="48">
        <f>Bank!DH27</f>
        <v>0</v>
      </c>
      <c r="S66" s="47">
        <f>Bank!DI19</f>
        <v>0</v>
      </c>
      <c r="T66" s="31"/>
      <c r="U66" s="46">
        <f>Bank!DJ27</f>
        <v>0</v>
      </c>
      <c r="V66" s="49">
        <f>Bank!DK27</f>
        <v>0</v>
      </c>
      <c r="W66" s="46">
        <f>Bank!DL27</f>
        <v>0</v>
      </c>
      <c r="X66" s="47">
        <f>Bank!DM27</f>
        <v>0</v>
      </c>
      <c r="Y66" s="57"/>
      <c r="Z66" s="46">
        <f>Bank!DN27</f>
        <v>0</v>
      </c>
      <c r="AA66" s="49">
        <f>Bank!DO27</f>
        <v>0</v>
      </c>
      <c r="AC66" s="48">
        <f>Bank!K27+Bank!L27</f>
        <v>0</v>
      </c>
      <c r="AD66" s="31">
        <f>Bank!M27+Bank!N27</f>
        <v>0</v>
      </c>
      <c r="AE66" s="31">
        <f>Bank!Q27+Bank!R27</f>
        <v>0</v>
      </c>
      <c r="AF66" s="47">
        <f>Bank!O27+Bank!P27</f>
        <v>1</v>
      </c>
      <c r="AG66" s="31">
        <f>Bank!K27</f>
        <v>0</v>
      </c>
      <c r="AH66" s="31">
        <f>Bank!M27</f>
        <v>0</v>
      </c>
      <c r="AI66" s="31">
        <f>Bank!Q27</f>
        <v>0</v>
      </c>
      <c r="AJ66" s="46">
        <f>Bank!DB27</f>
        <v>0</v>
      </c>
      <c r="AK66" s="31">
        <f>Bank!DD27</f>
        <v>0</v>
      </c>
      <c r="AL66" s="31">
        <f>Bank!DF27</f>
        <v>0</v>
      </c>
      <c r="AM66" s="47">
        <f>Bank!DG27</f>
        <v>0</v>
      </c>
      <c r="AN66" s="46">
        <f>Bank!DC27</f>
        <v>0</v>
      </c>
      <c r="AO66" s="31">
        <f>Bank!DE27</f>
        <v>0</v>
      </c>
      <c r="AP66" s="49">
        <f>Bank!DG27</f>
        <v>0</v>
      </c>
      <c r="AR66" s="107">
        <f t="shared" si="115"/>
        <v>28.989054726368163</v>
      </c>
      <c r="AT66" s="125"/>
      <c r="AU66" s="125"/>
    </row>
    <row r="67" spans="1:47" x14ac:dyDescent="0.25">
      <c r="A67" s="54">
        <f>A11</f>
        <v>45536</v>
      </c>
      <c r="B67" s="50"/>
      <c r="C67" s="50">
        <f>Bank!D36</f>
        <v>17</v>
      </c>
      <c r="D67" s="50">
        <f>Bank!G36</f>
        <v>46.43</v>
      </c>
      <c r="E67" s="50"/>
      <c r="F67" s="57">
        <f t="shared" ref="F67:F68" si="118">(G67)/(D67/C67)</f>
        <v>31.909325866896406</v>
      </c>
      <c r="G67" s="57">
        <f>Bank!AV36</f>
        <v>87.15</v>
      </c>
      <c r="H67" s="55">
        <f t="shared" ref="H67:H68" si="119">D67/G67</f>
        <v>0.5327596098680436</v>
      </c>
      <c r="I67" s="48">
        <f>Bank!S36</f>
        <v>0</v>
      </c>
      <c r="J67" s="31">
        <f>Bank!T36</f>
        <v>0</v>
      </c>
      <c r="K67" s="46">
        <f>Bank!Y36</f>
        <v>0</v>
      </c>
      <c r="L67" s="47">
        <f>Bank!Z36</f>
        <v>0</v>
      </c>
      <c r="M67" s="31"/>
      <c r="N67" s="46">
        <f>Bank!AA36</f>
        <v>0</v>
      </c>
      <c r="O67" s="31">
        <f>Bank!AD36</f>
        <v>0</v>
      </c>
      <c r="P67" s="46">
        <f>Bank!AG36</f>
        <v>0</v>
      </c>
      <c r="Q67" s="47">
        <f>Bank!AH36</f>
        <v>0</v>
      </c>
      <c r="R67" s="48">
        <f>Bank!DH36</f>
        <v>0</v>
      </c>
      <c r="S67" s="47">
        <f>Bank!DI36</f>
        <v>0</v>
      </c>
      <c r="U67" s="46">
        <f>Bank!DJ36</f>
        <v>0</v>
      </c>
      <c r="V67" s="49">
        <f>Bank!DK36</f>
        <v>0</v>
      </c>
      <c r="W67" s="46">
        <f>Bank!DL36</f>
        <v>0</v>
      </c>
      <c r="X67" s="47">
        <f>Bank!DM36</f>
        <v>0</v>
      </c>
      <c r="Y67" s="57"/>
      <c r="Z67" s="46">
        <f>Bank!DN36</f>
        <v>0</v>
      </c>
      <c r="AA67" s="49">
        <f>Bank!DO36</f>
        <v>0</v>
      </c>
      <c r="AC67" s="48">
        <f>Bank!K36+Bank!L36</f>
        <v>0</v>
      </c>
      <c r="AD67" s="31">
        <f>Bank!M36+Bank!N36</f>
        <v>0</v>
      </c>
      <c r="AE67" s="31">
        <f>Bank!Q36+Bank!R36</f>
        <v>0</v>
      </c>
      <c r="AF67" s="47">
        <f>Bank!O36+Bank!P36</f>
        <v>0</v>
      </c>
      <c r="AG67" s="31">
        <f>Bank!K36</f>
        <v>0</v>
      </c>
      <c r="AH67" s="31">
        <f>Bank!M36</f>
        <v>0</v>
      </c>
      <c r="AI67" s="31">
        <f>Bank!Q36</f>
        <v>0</v>
      </c>
      <c r="AJ67" s="46">
        <f>Bank!DB36</f>
        <v>0</v>
      </c>
      <c r="AK67" s="31">
        <f>Bank!DD36</f>
        <v>0</v>
      </c>
      <c r="AL67" s="31">
        <f>Bank!DF36</f>
        <v>0</v>
      </c>
      <c r="AM67" s="47">
        <f>Bank!DG36</f>
        <v>0</v>
      </c>
      <c r="AN67" s="46">
        <f>Bank!DC36</f>
        <v>0</v>
      </c>
      <c r="AO67" s="31">
        <f>Bank!DE36</f>
        <v>0</v>
      </c>
      <c r="AP67" s="49">
        <f>Bank!DG36</f>
        <v>0</v>
      </c>
      <c r="AR67" s="107">
        <f t="shared" si="115"/>
        <v>31.909325866896406</v>
      </c>
      <c r="AT67" s="125"/>
      <c r="AU67" s="125"/>
    </row>
    <row r="68" spans="1:47" x14ac:dyDescent="0.25">
      <c r="A68" s="54">
        <f>A12</f>
        <v>45543</v>
      </c>
      <c r="B68" s="50"/>
      <c r="C68" s="50">
        <f>Bank!D45</f>
        <v>30</v>
      </c>
      <c r="D68" s="50">
        <f>Bank!G45</f>
        <v>135.15</v>
      </c>
      <c r="E68" s="50"/>
      <c r="F68" s="57">
        <f t="shared" si="118"/>
        <v>38.216796152423235</v>
      </c>
      <c r="G68" s="57">
        <f>Bank!AV45</f>
        <v>172.16666666666666</v>
      </c>
      <c r="H68" s="55">
        <f t="shared" si="119"/>
        <v>0.78499515972894485</v>
      </c>
      <c r="I68" s="48">
        <f>Bank!S45</f>
        <v>1</v>
      </c>
      <c r="J68" s="31">
        <f>Bank!T45</f>
        <v>0</v>
      </c>
      <c r="K68" s="46">
        <f>Bank!Y45</f>
        <v>0</v>
      </c>
      <c r="L68" s="47">
        <f>Bank!Z45</f>
        <v>0</v>
      </c>
      <c r="M68" s="31"/>
      <c r="N68" s="46">
        <f>Bank!AA45</f>
        <v>0</v>
      </c>
      <c r="O68" s="31">
        <f>Bank!AD45</f>
        <v>0</v>
      </c>
      <c r="P68" s="46">
        <f>Bank!AG45</f>
        <v>0</v>
      </c>
      <c r="Q68" s="47">
        <f>Bank!AH45</f>
        <v>0</v>
      </c>
      <c r="R68" s="48">
        <f>Bank!DH45</f>
        <v>0</v>
      </c>
      <c r="S68" s="47">
        <f>Bank!DI45</f>
        <v>0</v>
      </c>
      <c r="U68" s="46">
        <f>Bank!DJ45</f>
        <v>0</v>
      </c>
      <c r="V68" s="49">
        <f>Bank!DK45</f>
        <v>0</v>
      </c>
      <c r="W68" s="46">
        <f>Bank!DL45</f>
        <v>0</v>
      </c>
      <c r="X68" s="47">
        <f>Bank!DM45</f>
        <v>0</v>
      </c>
      <c r="Y68" s="57"/>
      <c r="Z68" s="46">
        <f>Bank!DN45</f>
        <v>0</v>
      </c>
      <c r="AA68" s="49">
        <f>Bank!DO45</f>
        <v>0</v>
      </c>
      <c r="AC68" s="48">
        <f>Bank!K45+Bank!L45</f>
        <v>0</v>
      </c>
      <c r="AD68" s="31">
        <f>Bank!M45+Bank!N45</f>
        <v>0</v>
      </c>
      <c r="AE68" s="31">
        <f>Bank!Q45+Bank!R45</f>
        <v>0</v>
      </c>
      <c r="AF68" s="47">
        <f>Bank!O45+Bank!P45</f>
        <v>0</v>
      </c>
      <c r="AG68" s="31">
        <f>Bank!K45</f>
        <v>0</v>
      </c>
      <c r="AH68" s="31">
        <f>Bank!M45</f>
        <v>0</v>
      </c>
      <c r="AI68" s="31">
        <f>Bank!Q45</f>
        <v>0</v>
      </c>
      <c r="AJ68" s="46">
        <f>Bank!DB45</f>
        <v>0</v>
      </c>
      <c r="AK68" s="31">
        <f>Bank!DD45</f>
        <v>0</v>
      </c>
      <c r="AL68" s="31">
        <f>Bank!DF45</f>
        <v>0</v>
      </c>
      <c r="AM68" s="47">
        <f>Bank!DG45</f>
        <v>0</v>
      </c>
      <c r="AN68" s="46">
        <f>Bank!DC45</f>
        <v>0</v>
      </c>
      <c r="AO68" s="31">
        <f>Bank!DE45</f>
        <v>0</v>
      </c>
      <c r="AP68" s="49">
        <f>Bank!DG45</f>
        <v>0</v>
      </c>
      <c r="AR68" s="107">
        <f t="shared" ref="AR68" si="120">G68/(D68/C68)</f>
        <v>38.216796152423235</v>
      </c>
      <c r="AT68" s="125"/>
      <c r="AU68" s="126">
        <f t="shared" ref="AU68:AU75" si="121">D68/SUM(I68:Q68)</f>
        <v>135.15</v>
      </c>
    </row>
    <row r="69" spans="1:47" x14ac:dyDescent="0.25">
      <c r="A69" s="54">
        <f t="shared" ref="A69:A84" si="122">A68+7</f>
        <v>45550</v>
      </c>
      <c r="B69" s="50"/>
      <c r="C69" s="50">
        <f>Bank!D54</f>
        <v>62</v>
      </c>
      <c r="D69" s="50">
        <f>SUM(Bank!G47:G53)</f>
        <v>227.95999999999998</v>
      </c>
      <c r="E69" s="50"/>
      <c r="F69" s="57">
        <f t="shared" ref="F69" si="123">(G69)/(D69/C69)</f>
        <v>89.788851845352994</v>
      </c>
      <c r="G69" s="46">
        <f>Bank!AV54</f>
        <v>330.13333333333333</v>
      </c>
      <c r="H69" s="55">
        <f t="shared" si="117"/>
        <v>0.69050888529886911</v>
      </c>
      <c r="I69" s="48">
        <f>SUM(Bank!S47:S53)</f>
        <v>7</v>
      </c>
      <c r="J69" s="31">
        <f>SUM(Bank!V47:V53)</f>
        <v>1</v>
      </c>
      <c r="K69" s="46">
        <f>SUM(Bank!Y47:Y53)</f>
        <v>0</v>
      </c>
      <c r="L69" s="47">
        <f>SUM(Bank!Z47:Z53)</f>
        <v>0</v>
      </c>
      <c r="M69" s="31"/>
      <c r="N69" s="46">
        <f>Bank!AA54</f>
        <v>0</v>
      </c>
      <c r="O69" s="31">
        <f>Bank!AD54</f>
        <v>0</v>
      </c>
      <c r="P69" s="46">
        <f>Bank!AG54</f>
        <v>0</v>
      </c>
      <c r="Q69" s="47">
        <f>Bank!AH54</f>
        <v>0</v>
      </c>
      <c r="R69" s="48">
        <f>Bank!DH54</f>
        <v>9.2568087678661453</v>
      </c>
      <c r="S69" s="47">
        <f>Bank!DI54</f>
        <v>0.81645569620253167</v>
      </c>
      <c r="U69" s="46">
        <f>Bank!DJ54</f>
        <v>0</v>
      </c>
      <c r="V69" s="49">
        <f>Bank!DK54</f>
        <v>0</v>
      </c>
      <c r="W69" s="46">
        <f>Bank!DL54</f>
        <v>0</v>
      </c>
      <c r="X69" s="47">
        <f>Bank!DM54</f>
        <v>0</v>
      </c>
      <c r="Y69" s="57"/>
      <c r="Z69" s="46">
        <f>Bank!DN54</f>
        <v>0</v>
      </c>
      <c r="AA69" s="49">
        <f>Bank!DO54</f>
        <v>0</v>
      </c>
      <c r="AC69" s="48">
        <f>Bank!K54+Bank!L54</f>
        <v>0</v>
      </c>
      <c r="AD69" s="31">
        <f>Bank!M54+Bank!N54</f>
        <v>0</v>
      </c>
      <c r="AE69" s="31">
        <f>Bank!Q54+Bank!R54</f>
        <v>1</v>
      </c>
      <c r="AF69" s="47">
        <f>Bank!O54+Bank!P54</f>
        <v>0</v>
      </c>
      <c r="AG69" s="31">
        <f>Bank!K54</f>
        <v>0</v>
      </c>
      <c r="AH69" s="31">
        <f>Bank!M54</f>
        <v>0</v>
      </c>
      <c r="AI69" s="31">
        <f>Bank!Q54</f>
        <v>0</v>
      </c>
      <c r="AJ69" s="46">
        <f>Bank!DB54</f>
        <v>0</v>
      </c>
      <c r="AK69" s="31">
        <f>Bank!DD54</f>
        <v>0</v>
      </c>
      <c r="AL69" s="31">
        <f>Bank!DF54</f>
        <v>1.1337466784765282</v>
      </c>
      <c r="AM69" s="47">
        <f>Bank!DG54</f>
        <v>0</v>
      </c>
      <c r="AN69" s="46">
        <f>Bank!DC54</f>
        <v>0</v>
      </c>
      <c r="AO69" s="31">
        <f>Bank!DE54</f>
        <v>0</v>
      </c>
      <c r="AP69" s="49">
        <f>Bank!DG54</f>
        <v>0</v>
      </c>
      <c r="AR69" s="107">
        <f t="shared" ref="AR69" si="124">G69/(D69/C69)</f>
        <v>89.788851845352994</v>
      </c>
      <c r="AT69" s="125"/>
      <c r="AU69" s="126">
        <f t="shared" si="121"/>
        <v>28.494999999999997</v>
      </c>
    </row>
    <row r="70" spans="1:47" x14ac:dyDescent="0.25">
      <c r="A70" s="54">
        <f t="shared" si="122"/>
        <v>45557</v>
      </c>
      <c r="B70" s="50"/>
      <c r="C70" s="50">
        <f>SUM(Bank!D56:D62)</f>
        <v>109</v>
      </c>
      <c r="D70" s="50">
        <f>SUM(Bank!G56:G62)</f>
        <v>613.71</v>
      </c>
      <c r="E70" s="50"/>
      <c r="F70" s="57">
        <f t="shared" ref="F70:F71" si="125">(G70)/(D70/C70)</f>
        <v>118.42922552997345</v>
      </c>
      <c r="G70" s="46">
        <f>Bank!AV63</f>
        <v>666.80000000000007</v>
      </c>
      <c r="H70" s="55">
        <f t="shared" si="117"/>
        <v>0.92038092381523695</v>
      </c>
      <c r="I70" s="48">
        <f>SUM(Bank!S56:S62)</f>
        <v>27</v>
      </c>
      <c r="J70" s="31">
        <f>SUM(Bank!V56:V62)</f>
        <v>1</v>
      </c>
      <c r="K70" s="46">
        <f>SUM(Bank!Y56:Y62)</f>
        <v>2</v>
      </c>
      <c r="L70" s="47">
        <f>SUM(Bank!Z56:Z62)</f>
        <v>2</v>
      </c>
      <c r="M70" s="31"/>
      <c r="N70" s="46">
        <f>Bank!AA63</f>
        <v>0</v>
      </c>
      <c r="O70" s="31">
        <f>Bank!AD63</f>
        <v>0</v>
      </c>
      <c r="P70" s="46">
        <f>Bank!AG63</f>
        <v>0</v>
      </c>
      <c r="Q70" s="47">
        <f>Bank!AH63</f>
        <v>0</v>
      </c>
      <c r="R70" s="48">
        <f>Bank!DH63</f>
        <v>29.308223910948289</v>
      </c>
      <c r="S70" s="47">
        <f>Bank!DI63</f>
        <v>0.61248527679623088</v>
      </c>
      <c r="U70" s="46">
        <f>Bank!DJ63</f>
        <v>0</v>
      </c>
      <c r="V70" s="49">
        <f>Bank!DK63</f>
        <v>0</v>
      </c>
      <c r="W70" s="46">
        <f>Bank!DL63</f>
        <v>0</v>
      </c>
      <c r="X70" s="47">
        <f>Bank!DM63</f>
        <v>0</v>
      </c>
      <c r="Y70" s="57"/>
      <c r="Z70" s="46">
        <f>Bank!DN63</f>
        <v>0</v>
      </c>
      <c r="AA70" s="49">
        <f>Bank!DO63</f>
        <v>0</v>
      </c>
      <c r="AC70" s="48">
        <f>Bank!K63+Bank!L63</f>
        <v>0</v>
      </c>
      <c r="AD70" s="31">
        <f>Bank!M63+Bank!N63</f>
        <v>0</v>
      </c>
      <c r="AE70" s="31">
        <f>Bank!Q63+Bank!R63</f>
        <v>0</v>
      </c>
      <c r="AF70" s="47">
        <f>Bank!O63+Bank!P63</f>
        <v>0</v>
      </c>
      <c r="AG70" s="31">
        <f>Bank!K63</f>
        <v>0</v>
      </c>
      <c r="AH70" s="31">
        <f>Bank!M63</f>
        <v>0</v>
      </c>
      <c r="AI70" s="31">
        <f>Bank!Q63</f>
        <v>0</v>
      </c>
      <c r="AJ70" s="46">
        <f>Bank!DB63</f>
        <v>0</v>
      </c>
      <c r="AK70" s="31">
        <f>Bank!DD63</f>
        <v>0</v>
      </c>
      <c r="AL70" s="31">
        <f>Bank!DF63</f>
        <v>0</v>
      </c>
      <c r="AM70" s="47">
        <f>Bank!DG63</f>
        <v>0</v>
      </c>
      <c r="AN70" s="46">
        <f>Bank!DC63</f>
        <v>0</v>
      </c>
      <c r="AO70" s="31">
        <f>Bank!DE63</f>
        <v>0</v>
      </c>
      <c r="AP70" s="49">
        <f>Bank!DG63</f>
        <v>0</v>
      </c>
      <c r="AR70" s="107">
        <f t="shared" ref="AR70:AR71" si="126">G70/(D70/C70)</f>
        <v>118.42922552997345</v>
      </c>
      <c r="AU70" s="126">
        <f t="shared" si="121"/>
        <v>19.178437500000001</v>
      </c>
    </row>
    <row r="71" spans="1:47" x14ac:dyDescent="0.25">
      <c r="A71" s="54">
        <f t="shared" si="122"/>
        <v>45564</v>
      </c>
      <c r="B71" s="50"/>
      <c r="C71" s="50">
        <f>SUM(Bank!D65:D71)</f>
        <v>139</v>
      </c>
      <c r="D71" s="50">
        <f>Bank!G72</f>
        <v>893.55000000000007</v>
      </c>
      <c r="E71" s="50"/>
      <c r="F71" s="57">
        <f t="shared" si="125"/>
        <v>136.61735026952417</v>
      </c>
      <c r="G71" s="46">
        <f>Bank!AV72</f>
        <v>878.23333333333335</v>
      </c>
      <c r="H71" s="55">
        <f t="shared" si="117"/>
        <v>1.0174403157854786</v>
      </c>
      <c r="I71" s="48">
        <f>SUM(Bank!S65:S71)</f>
        <v>39</v>
      </c>
      <c r="J71" s="31">
        <f>SUM(Bank!V65:V71)</f>
        <v>7</v>
      </c>
      <c r="K71" s="46">
        <f>SUM(Bank!Y65:Y71)</f>
        <v>8</v>
      </c>
      <c r="L71" s="47">
        <f>SUM(Bank!Z65:Z71)</f>
        <v>0</v>
      </c>
      <c r="M71" s="31"/>
      <c r="N71" s="46">
        <f>Bank!AA72</f>
        <v>0</v>
      </c>
      <c r="O71" s="31">
        <f>Bank!AD72</f>
        <v>0</v>
      </c>
      <c r="P71" s="46">
        <f>Bank!AG72</f>
        <v>0</v>
      </c>
      <c r="Q71" s="47">
        <f>Bank!AH72</f>
        <v>0</v>
      </c>
      <c r="R71" s="48">
        <f>Bank!DH72</f>
        <v>38.501923467182877</v>
      </c>
      <c r="S71" s="47">
        <f>Bank!DI72</f>
        <v>6.2996682917335871</v>
      </c>
      <c r="U71" s="46">
        <f>Bank!DJ72</f>
        <v>0</v>
      </c>
      <c r="V71" s="49">
        <f>Bank!DK72</f>
        <v>0</v>
      </c>
      <c r="W71" s="46">
        <f>Bank!DL72</f>
        <v>0</v>
      </c>
      <c r="X71" s="47">
        <f>Bank!DM72</f>
        <v>0</v>
      </c>
      <c r="Y71" s="57"/>
      <c r="Z71" s="46">
        <f>Bank!DN72</f>
        <v>0</v>
      </c>
      <c r="AA71" s="49">
        <f>Bank!DO72</f>
        <v>0</v>
      </c>
      <c r="AC71" s="48">
        <f>Bank!K72+Bank!L72</f>
        <v>0</v>
      </c>
      <c r="AD71" s="31">
        <f>Bank!M72+Bank!N72</f>
        <v>0</v>
      </c>
      <c r="AE71" s="31">
        <f>Bank!Q72+Bank!R72</f>
        <v>1</v>
      </c>
      <c r="AF71" s="47">
        <f>Bank!O72+Bank!P72</f>
        <v>0</v>
      </c>
      <c r="AG71" s="31">
        <f>Bank!K72</f>
        <v>0</v>
      </c>
      <c r="AH71" s="31">
        <f>Bank!M72</f>
        <v>0</v>
      </c>
      <c r="AI71" s="31">
        <f>Bank!Q72</f>
        <v>0</v>
      </c>
      <c r="AJ71" s="46">
        <f>Bank!DB72</f>
        <v>0</v>
      </c>
      <c r="AK71" s="31">
        <f>Bank!DD72</f>
        <v>0</v>
      </c>
      <c r="AL71" s="31">
        <f>Bank!DF72</f>
        <v>0.86154722489230662</v>
      </c>
      <c r="AM71" s="47">
        <f>Bank!DG72</f>
        <v>0</v>
      </c>
      <c r="AN71" s="46">
        <f>Bank!DC72</f>
        <v>0</v>
      </c>
      <c r="AO71" s="31">
        <f>Bank!DE72</f>
        <v>0</v>
      </c>
      <c r="AP71" s="49">
        <f>Bank!DG72</f>
        <v>0</v>
      </c>
      <c r="AR71" s="107">
        <f t="shared" si="126"/>
        <v>136.61735026952417</v>
      </c>
      <c r="AU71" s="126">
        <f t="shared" si="121"/>
        <v>16.547222222222224</v>
      </c>
    </row>
    <row r="72" spans="1:47" x14ac:dyDescent="0.25">
      <c r="A72" s="54">
        <f t="shared" si="122"/>
        <v>45571</v>
      </c>
      <c r="B72" s="50"/>
      <c r="C72" s="50">
        <f>SUM(Bank!D74:D80)</f>
        <v>159</v>
      </c>
      <c r="D72" s="50">
        <f>Bank!G81</f>
        <v>809.42</v>
      </c>
      <c r="E72" s="50"/>
      <c r="F72" s="57">
        <f t="shared" ref="F72" si="127">(G72)/(D72/C72)</f>
        <v>169.4530651577673</v>
      </c>
      <c r="G72" s="46">
        <f>Bank!AV81</f>
        <v>862.63333333333333</v>
      </c>
      <c r="H72" s="55">
        <f t="shared" ref="H72" si="128">D72/G72</f>
        <v>0.93831291780980719</v>
      </c>
      <c r="I72" s="48">
        <f>SUM(Bank!S74:S80)</f>
        <v>46</v>
      </c>
      <c r="J72" s="31">
        <f>SUM(Bank!V74:V80)</f>
        <v>5</v>
      </c>
      <c r="K72" s="46">
        <f>SUM(Bank!Y74:Y80)</f>
        <v>6</v>
      </c>
      <c r="L72" s="47">
        <f>SUM(Bank!Z74:Z80)</f>
        <v>2</v>
      </c>
      <c r="M72" s="31"/>
      <c r="N72" s="46">
        <f>Bank!AA81</f>
        <v>0</v>
      </c>
      <c r="O72" s="31">
        <f>Bank!AD81</f>
        <v>0</v>
      </c>
      <c r="P72" s="46">
        <f>Bank!AG81</f>
        <v>0</v>
      </c>
      <c r="Q72" s="47">
        <f>Bank!AH81</f>
        <v>0</v>
      </c>
      <c r="R72" s="48">
        <f>Bank!DH81</f>
        <v>50.43048354227404</v>
      </c>
      <c r="S72" s="47">
        <f>Bank!DI81</f>
        <v>5.4775205764281303</v>
      </c>
      <c r="U72" s="46">
        <f>Bank!DJ81</f>
        <v>0</v>
      </c>
      <c r="V72" s="49">
        <f>Bank!DK81</f>
        <v>0</v>
      </c>
      <c r="W72" s="46">
        <f>Bank!DL81</f>
        <v>0</v>
      </c>
      <c r="X72" s="47">
        <f>Bank!DM81</f>
        <v>0</v>
      </c>
      <c r="Y72" s="57"/>
      <c r="Z72" s="46">
        <f>Bank!DN81</f>
        <v>0</v>
      </c>
      <c r="AA72" s="49">
        <f>Bank!DO81</f>
        <v>0</v>
      </c>
      <c r="AC72" s="48">
        <f>Bank!K81+Bank!L81</f>
        <v>0</v>
      </c>
      <c r="AD72" s="31">
        <f>Bank!M81+Bank!N81</f>
        <v>0</v>
      </c>
      <c r="AE72" s="31">
        <f>Bank!Q81+Bank!R81</f>
        <v>1</v>
      </c>
      <c r="AF72" s="47">
        <f>Bank!O81+Bank!P81</f>
        <v>0</v>
      </c>
      <c r="AG72" s="31">
        <f>Bank!K81</f>
        <v>0</v>
      </c>
      <c r="AH72" s="31">
        <f>Bank!M81</f>
        <v>0</v>
      </c>
      <c r="AI72" s="31">
        <f>Bank!Q81</f>
        <v>0</v>
      </c>
      <c r="AJ72" s="46">
        <f>Bank!DB81</f>
        <v>0</v>
      </c>
      <c r="AK72" s="31">
        <f>Bank!DD81</f>
        <v>0</v>
      </c>
      <c r="AL72" s="31">
        <f>Bank!DF81</f>
        <v>0.92833007291481406</v>
      </c>
      <c r="AM72" s="47">
        <f>Bank!DG81</f>
        <v>0</v>
      </c>
      <c r="AN72" s="46">
        <f>Bank!DC81</f>
        <v>0</v>
      </c>
      <c r="AO72" s="31">
        <f>Bank!DE81</f>
        <v>0</v>
      </c>
      <c r="AP72" s="49">
        <f>Bank!DG81</f>
        <v>0</v>
      </c>
      <c r="AR72" s="107">
        <f t="shared" ref="AR72" si="129">G72/(D72/C72)</f>
        <v>169.4530651577673</v>
      </c>
      <c r="AU72" s="126">
        <f t="shared" si="121"/>
        <v>13.718983050847458</v>
      </c>
    </row>
    <row r="73" spans="1:47" x14ac:dyDescent="0.25">
      <c r="A73" s="54">
        <f t="shared" si="122"/>
        <v>45578</v>
      </c>
      <c r="B73" s="50"/>
      <c r="C73" s="50">
        <f>SUM(Bank!D83:D89)</f>
        <v>119</v>
      </c>
      <c r="D73" s="50">
        <f>SUM(Bank!G83:G89)</f>
        <v>369.09</v>
      </c>
      <c r="E73" s="50"/>
      <c r="F73" s="57">
        <f>(G73)/(D73/C73)</f>
        <v>172.36821190856793</v>
      </c>
      <c r="G73" s="46">
        <f>Bank!AV90</f>
        <v>534.61666666666667</v>
      </c>
      <c r="H73" s="55">
        <f t="shared" ref="H73" si="130">D73/G73</f>
        <v>0.69038251706830434</v>
      </c>
      <c r="I73" s="48">
        <f>SUM(Bank!S83:S89)</f>
        <v>16</v>
      </c>
      <c r="J73" s="31">
        <f>SUM(Bank!V83:V89)</f>
        <v>3</v>
      </c>
      <c r="K73" s="46">
        <f>SUM(Bank!Y83:Y89)</f>
        <v>0</v>
      </c>
      <c r="L73" s="47">
        <f>SUM(Bank!Z83:Z89)</f>
        <v>0</v>
      </c>
      <c r="M73" s="31"/>
      <c r="N73" s="46">
        <f>Bank!AA90</f>
        <v>1</v>
      </c>
      <c r="O73" s="31">
        <f>Bank!AD90</f>
        <v>0</v>
      </c>
      <c r="P73" s="46">
        <f>Bank!AG90</f>
        <v>0</v>
      </c>
      <c r="Q73" s="47">
        <f>Bank!AH90</f>
        <v>0</v>
      </c>
      <c r="R73" s="48">
        <f>Bank!DH90</f>
        <v>18.506098828214952</v>
      </c>
      <c r="S73" s="47">
        <f>Bank!DI90</f>
        <v>4.4372876041418419</v>
      </c>
      <c r="U73" s="46">
        <f>Bank!DJ90</f>
        <v>0.76044759077414936</v>
      </c>
      <c r="V73" s="49">
        <f>Bank!DK90</f>
        <v>0</v>
      </c>
      <c r="W73" s="46">
        <f>Bank!DL90</f>
        <v>0</v>
      </c>
      <c r="X73" s="47">
        <f>Bank!DM90</f>
        <v>0</v>
      </c>
      <c r="Y73" s="57"/>
      <c r="Z73" s="46">
        <f>Bank!DN90</f>
        <v>0</v>
      </c>
      <c r="AA73" s="49">
        <f>Bank!DO90</f>
        <v>0</v>
      </c>
      <c r="AC73" s="48">
        <f>Bank!K90+Bank!L90</f>
        <v>1</v>
      </c>
      <c r="AD73" s="31">
        <f>Bank!M90+Bank!N90</f>
        <v>1</v>
      </c>
      <c r="AE73" s="31">
        <f>Bank!Q90+Bank!R90</f>
        <v>1</v>
      </c>
      <c r="AF73" s="47">
        <f>Bank!O90+Bank!P90</f>
        <v>0</v>
      </c>
      <c r="AG73" s="31">
        <f>Bank!K90</f>
        <v>1</v>
      </c>
      <c r="AH73" s="31">
        <f>Bank!M90</f>
        <v>0</v>
      </c>
      <c r="AI73" s="31">
        <f>Bank!Q90</f>
        <v>0</v>
      </c>
      <c r="AJ73" s="46">
        <f>Bank!DB90</f>
        <v>0.9768569771732829</v>
      </c>
      <c r="AK73" s="31">
        <f>Bank!DD90</f>
        <v>1.021742435760985</v>
      </c>
      <c r="AL73" s="31">
        <f>Bank!DF90</f>
        <v>0.9768569771732829</v>
      </c>
      <c r="AM73" s="47">
        <f>Bank!DG90</f>
        <v>0</v>
      </c>
      <c r="AN73" s="46">
        <f>Bank!DC90</f>
        <v>0.9768569771732829</v>
      </c>
      <c r="AO73" s="31">
        <f>Bank!DE90</f>
        <v>0</v>
      </c>
      <c r="AP73" s="49">
        <f>Bank!DG90</f>
        <v>0</v>
      </c>
      <c r="AR73" s="107">
        <f t="shared" ref="AR73" si="131">G73/(D73/C73)</f>
        <v>172.36821190856793</v>
      </c>
      <c r="AU73" s="126">
        <f t="shared" si="121"/>
        <v>18.454499999999999</v>
      </c>
    </row>
    <row r="74" spans="1:47" x14ac:dyDescent="0.25">
      <c r="A74" s="54">
        <f t="shared" si="122"/>
        <v>45585</v>
      </c>
      <c r="B74" s="50"/>
      <c r="C74" s="50">
        <f>SUM(Bank!D92:D98)</f>
        <v>83</v>
      </c>
      <c r="D74" s="50">
        <f>SUM(Bank!G92:G98)</f>
        <v>295.58999999999997</v>
      </c>
      <c r="E74" s="50"/>
      <c r="F74" s="57">
        <f t="shared" ref="F74" si="132">(G74)/(D74/C74)</f>
        <v>101.04852442008639</v>
      </c>
      <c r="G74" s="46">
        <f>Bank!AV99</f>
        <v>359.86666666666667</v>
      </c>
      <c r="H74" s="55">
        <f t="shared" ref="H74" si="133">D74/G74</f>
        <v>0.82138755094479432</v>
      </c>
      <c r="I74" s="48">
        <f>SUM(Bank!S92:S98)</f>
        <v>16</v>
      </c>
      <c r="J74" s="31">
        <f>SUM(Bank!V92:V98)</f>
        <v>2</v>
      </c>
      <c r="K74" s="46">
        <f>SUM(Bank!Y92:Y98)</f>
        <v>1</v>
      </c>
      <c r="L74" s="47">
        <f>SUM(Bank!Z92:Z98)</f>
        <v>0</v>
      </c>
      <c r="M74" s="31"/>
      <c r="N74" s="46">
        <f>Bank!AA99</f>
        <v>0</v>
      </c>
      <c r="O74" s="31">
        <f>Bank!AD99</f>
        <v>0</v>
      </c>
      <c r="P74" s="46">
        <f>Bank!AG99</f>
        <v>0</v>
      </c>
      <c r="Q74" s="47">
        <f>Bank!AH99</f>
        <v>0</v>
      </c>
      <c r="R74" s="48">
        <f>Bank!DH99</f>
        <v>16.24449201241675</v>
      </c>
      <c r="S74" s="47">
        <f>Bank!DI99</f>
        <v>2.3047837226535446</v>
      </c>
      <c r="U74" s="46">
        <f>Bank!DJ99</f>
        <v>0</v>
      </c>
      <c r="V74" s="49">
        <f>Bank!DK99</f>
        <v>0</v>
      </c>
      <c r="W74" s="46">
        <f>Bank!DL99</f>
        <v>0</v>
      </c>
      <c r="X74" s="47">
        <f>Bank!DM99</f>
        <v>0</v>
      </c>
      <c r="Y74" s="57"/>
      <c r="Z74" s="46">
        <f>Bank!DN99</f>
        <v>0</v>
      </c>
      <c r="AA74" s="49">
        <f>Bank!DO99</f>
        <v>0</v>
      </c>
      <c r="AC74" s="48">
        <f>Bank!K99+Bank!L99</f>
        <v>0</v>
      </c>
      <c r="AD74" s="31">
        <f>Bank!M99+Bank!N99</f>
        <v>1</v>
      </c>
      <c r="AE74" s="31">
        <f>Bank!Q99+Bank!R99</f>
        <v>1</v>
      </c>
      <c r="AF74" s="47">
        <f>Bank!O99+Bank!P99</f>
        <v>0</v>
      </c>
      <c r="AG74" s="31">
        <f>Bank!K99</f>
        <v>0</v>
      </c>
      <c r="AH74" s="31">
        <f>Bank!M99</f>
        <v>0</v>
      </c>
      <c r="AI74" s="31">
        <f>Bank!Q99</f>
        <v>0</v>
      </c>
      <c r="AJ74" s="46">
        <f>Bank!DB99</f>
        <v>0</v>
      </c>
      <c r="AK74" s="31">
        <f>Bank!DD99</f>
        <v>0.82485353068146772</v>
      </c>
      <c r="AL74" s="31">
        <f>Bank!DF99</f>
        <v>0.68707191780821897</v>
      </c>
      <c r="AM74" s="47">
        <f>Bank!DG99</f>
        <v>0</v>
      </c>
      <c r="AN74" s="46">
        <f>Bank!DC99</f>
        <v>0</v>
      </c>
      <c r="AO74" s="31">
        <f>Bank!DE99</f>
        <v>0</v>
      </c>
      <c r="AP74" s="49">
        <f>Bank!DG99</f>
        <v>0</v>
      </c>
      <c r="AR74" s="107">
        <f t="shared" ref="AR74" si="134">G74/(D74/C74)</f>
        <v>101.04852442008639</v>
      </c>
      <c r="AU74" s="126">
        <f t="shared" si="121"/>
        <v>15.55736842105263</v>
      </c>
    </row>
    <row r="75" spans="1:47" x14ac:dyDescent="0.25">
      <c r="A75" s="54">
        <f t="shared" si="122"/>
        <v>45592</v>
      </c>
      <c r="B75" s="50"/>
      <c r="C75" s="50">
        <f>SUM(Bank!D101:D107)</f>
        <v>82</v>
      </c>
      <c r="D75" s="50">
        <f>Bank!G108</f>
        <v>141.13</v>
      </c>
      <c r="E75" s="50"/>
      <c r="F75" s="57">
        <f t="shared" ref="F75:F76" si="135">(G75)/(D75/C75)</f>
        <v>208.55877559696737</v>
      </c>
      <c r="G75" s="46">
        <f>Bank!AV108</f>
        <v>358.95000000000005</v>
      </c>
      <c r="H75" s="55">
        <f t="shared" ref="H75:H76" si="136">D75/G75</f>
        <v>0.39317453684357145</v>
      </c>
      <c r="I75" s="48">
        <f>SUM(Bank!S101:S107)</f>
        <v>8</v>
      </c>
      <c r="J75" s="31">
        <f>SUM(Bank!V101:V107)</f>
        <v>0</v>
      </c>
      <c r="K75" s="46">
        <f>SUM(Bank!Y101:Y107)</f>
        <v>3</v>
      </c>
      <c r="L75" s="47">
        <f>SUM(Bank!Z101:Z107)</f>
        <v>0</v>
      </c>
      <c r="M75" s="31"/>
      <c r="N75" s="46">
        <f>Bank!AA108</f>
        <v>5</v>
      </c>
      <c r="O75" s="31">
        <f>Bank!AD108</f>
        <v>0</v>
      </c>
      <c r="P75" s="46">
        <f>Bank!AG108</f>
        <v>3</v>
      </c>
      <c r="Q75" s="47">
        <f>Bank!AH108</f>
        <v>0</v>
      </c>
      <c r="R75" s="48">
        <f>Bank!DH108</f>
        <v>5.528944338070179</v>
      </c>
      <c r="S75" s="47">
        <f>Bank!DI108</f>
        <v>0</v>
      </c>
      <c r="U75" s="46">
        <f>Bank!DJ108</f>
        <v>11.05697651721708</v>
      </c>
      <c r="V75" s="49">
        <f>Bank!DK108</f>
        <v>0</v>
      </c>
      <c r="W75" s="46">
        <f>Bank!DL108</f>
        <v>0</v>
      </c>
      <c r="X75" s="47">
        <f>Bank!DM108</f>
        <v>0</v>
      </c>
      <c r="Y75" s="57"/>
      <c r="Z75" s="46">
        <f>Bank!DN108</f>
        <v>0</v>
      </c>
      <c r="AA75" s="49">
        <f>Bank!DO108</f>
        <v>0</v>
      </c>
      <c r="AC75" s="48">
        <f>Bank!K108+Bank!L108</f>
        <v>1</v>
      </c>
      <c r="AD75" s="31">
        <f>Bank!M108+Bank!N108</f>
        <v>0</v>
      </c>
      <c r="AE75" s="31">
        <f>Bank!Q108+Bank!R108</f>
        <v>2</v>
      </c>
      <c r="AF75" s="47">
        <f>Bank!O108+Bank!P108</f>
        <v>0</v>
      </c>
      <c r="AG75" s="31">
        <f>Bank!K108</f>
        <v>1</v>
      </c>
      <c r="AH75" s="31">
        <f>Bank!M108</f>
        <v>0</v>
      </c>
      <c r="AI75" s="31">
        <f>Bank!Q108</f>
        <v>0</v>
      </c>
      <c r="AJ75" s="46">
        <f>Bank!DB108</f>
        <v>2.7877055039313796</v>
      </c>
      <c r="AK75" s="31">
        <f>Bank!DD108</f>
        <v>0</v>
      </c>
      <c r="AL75" s="31">
        <f>Bank!DF108</f>
        <v>1.7526707363601677</v>
      </c>
      <c r="AM75" s="47">
        <f>Bank!DG108</f>
        <v>0</v>
      </c>
      <c r="AN75" s="46">
        <f>Bank!DC108</f>
        <v>2.7877055039313796</v>
      </c>
      <c r="AO75" s="31">
        <f>Bank!DE108</f>
        <v>0</v>
      </c>
      <c r="AP75" s="49">
        <f>Bank!DG108</f>
        <v>0</v>
      </c>
      <c r="AR75" s="107">
        <f t="shared" ref="AR75:AR76" si="137">G75/(D75/C75)</f>
        <v>208.55877559696737</v>
      </c>
      <c r="AU75" s="126">
        <f t="shared" si="121"/>
        <v>7.4278947368421049</v>
      </c>
    </row>
    <row r="76" spans="1:47" x14ac:dyDescent="0.25">
      <c r="A76" s="54">
        <f t="shared" si="122"/>
        <v>45599</v>
      </c>
      <c r="B76" s="50"/>
      <c r="C76" s="50">
        <f>Bank!D117</f>
        <v>46</v>
      </c>
      <c r="D76" s="50">
        <f>Bank!G117</f>
        <v>253.25</v>
      </c>
      <c r="E76" s="50"/>
      <c r="F76" s="57">
        <f t="shared" si="135"/>
        <v>20.00568608094768</v>
      </c>
      <c r="G76" s="57">
        <f>Bank!AV117</f>
        <v>110.13999999999999</v>
      </c>
      <c r="H76" s="55">
        <f t="shared" si="136"/>
        <v>2.2993462865443983</v>
      </c>
      <c r="I76" s="48">
        <f>Bank!S117</f>
        <v>14</v>
      </c>
      <c r="J76" s="31">
        <f>Bank!V117</f>
        <v>1</v>
      </c>
      <c r="K76" s="46">
        <f>Bank!Y117</f>
        <v>13</v>
      </c>
      <c r="L76" s="47">
        <f>Bank!Z117</f>
        <v>0</v>
      </c>
      <c r="M76" s="31"/>
      <c r="N76" s="46">
        <f>Bank!AA117</f>
        <v>8</v>
      </c>
      <c r="O76" s="31">
        <f>Bank!AD117</f>
        <v>1</v>
      </c>
      <c r="P76" s="46">
        <f>Bank!AG117</f>
        <v>0</v>
      </c>
      <c r="Q76" s="47">
        <f>Bank!AH117</f>
        <v>0</v>
      </c>
      <c r="R76" s="48">
        <f>Bank!DH117</f>
        <v>9.6057285356319895</v>
      </c>
      <c r="S76" s="47">
        <f>Bank!DI117</f>
        <v>0.38915094339622636</v>
      </c>
      <c r="U76" s="46">
        <f>Bank!DJ117</f>
        <v>6.6579506047695176</v>
      </c>
      <c r="V76" s="49">
        <f>Bank!DK117</f>
        <v>0.95882684715172029</v>
      </c>
      <c r="W76" s="46">
        <f>Bank!DL117</f>
        <v>0</v>
      </c>
      <c r="X76" s="47">
        <f>Bank!DM117</f>
        <v>0</v>
      </c>
      <c r="Y76" s="57"/>
      <c r="Z76" s="46">
        <f>Bank!DN117</f>
        <v>0</v>
      </c>
      <c r="AA76" s="49">
        <f>Bank!DO117</f>
        <v>0</v>
      </c>
      <c r="AC76" s="48">
        <f>Bank!K117+Bank!L117</f>
        <v>4</v>
      </c>
      <c r="AD76" s="31">
        <f>Bank!M117+Bank!N117</f>
        <v>1</v>
      </c>
      <c r="AE76" s="31">
        <f>Bank!Q117+Bank!R117</f>
        <v>1</v>
      </c>
      <c r="AF76" s="47">
        <f>Bank!O117+Bank!P117</f>
        <v>0</v>
      </c>
      <c r="AG76" s="31">
        <f>Bank!K117</f>
        <v>2</v>
      </c>
      <c r="AH76" s="31">
        <f>Bank!M117</f>
        <v>0</v>
      </c>
      <c r="AI76" s="31">
        <f>Bank!Q117</f>
        <v>0</v>
      </c>
      <c r="AJ76" s="46">
        <f>Bank!DB117</f>
        <v>4.0022899252811346</v>
      </c>
      <c r="AK76" s="31">
        <f>Bank!DD117</f>
        <v>0.38915094339622636</v>
      </c>
      <c r="AL76" s="31">
        <f>Bank!DF117</f>
        <v>0.95882684715172029</v>
      </c>
      <c r="AM76" s="47">
        <f>Bank!DG117</f>
        <v>0</v>
      </c>
      <c r="AN76" s="46">
        <f>Bank!DC117</f>
        <v>1.9176536943034406</v>
      </c>
      <c r="AO76" s="31">
        <f>Bank!DE117</f>
        <v>0</v>
      </c>
      <c r="AP76" s="49">
        <f>Bank!DG117</f>
        <v>0</v>
      </c>
      <c r="AR76" s="107">
        <f t="shared" si="137"/>
        <v>20.00568608094768</v>
      </c>
      <c r="AU76" s="126">
        <f t="shared" ref="AU76" si="138">D76/SUM(I76:Q76)</f>
        <v>6.8445945945945947</v>
      </c>
    </row>
    <row r="77" spans="1:47" x14ac:dyDescent="0.25">
      <c r="A77" s="54">
        <f t="shared" si="122"/>
        <v>45606</v>
      </c>
      <c r="B77" s="50"/>
      <c r="C77" s="50">
        <f>Bank!D126</f>
        <v>0</v>
      </c>
      <c r="D77" s="50">
        <f>Bank!G126</f>
        <v>0</v>
      </c>
      <c r="E77" s="50"/>
      <c r="F77" s="57" t="e">
        <f t="shared" ref="F77:F79" si="139">(G77)/(D77/C77)</f>
        <v>#DIV/0!</v>
      </c>
      <c r="G77" s="57" t="e">
        <f>Bank!AV126</f>
        <v>#DIV/0!</v>
      </c>
      <c r="H77" s="55" t="e">
        <f t="shared" ref="H77:H79" si="140">D77/G77</f>
        <v>#DIV/0!</v>
      </c>
      <c r="I77" s="48">
        <f>Bank!S126</f>
        <v>0</v>
      </c>
      <c r="J77" s="31">
        <f>Bank!T126</f>
        <v>0</v>
      </c>
      <c r="K77" s="46">
        <f>Bank!Y126</f>
        <v>0</v>
      </c>
      <c r="L77" s="47">
        <f>Bank!Z126</f>
        <v>0</v>
      </c>
      <c r="M77" s="31"/>
      <c r="N77" s="46">
        <f>Bank!AA126</f>
        <v>0</v>
      </c>
      <c r="O77" s="31">
        <f>Bank!AD126</f>
        <v>0</v>
      </c>
      <c r="P77" s="46">
        <f>Bank!AG126</f>
        <v>0</v>
      </c>
      <c r="Q77" s="47">
        <f>Bank!AH126</f>
        <v>0</v>
      </c>
      <c r="R77" s="48" t="e">
        <f>Bank!DH126</f>
        <v>#DIV/0!</v>
      </c>
      <c r="S77" s="47" t="e">
        <f>Bank!DI126</f>
        <v>#DIV/0!</v>
      </c>
      <c r="U77" s="46" t="e">
        <f>Bank!DJ126</f>
        <v>#DIV/0!</v>
      </c>
      <c r="V77" s="49" t="e">
        <f>Bank!DK126</f>
        <v>#DIV/0!</v>
      </c>
      <c r="W77" s="46" t="e">
        <f>Bank!DL126</f>
        <v>#DIV/0!</v>
      </c>
      <c r="X77" s="47" t="e">
        <f>Bank!DM126</f>
        <v>#DIV/0!</v>
      </c>
      <c r="Y77" s="57"/>
      <c r="Z77" s="46" t="e">
        <f>Bank!DN126</f>
        <v>#DIV/0!</v>
      </c>
      <c r="AA77" s="49" t="e">
        <f>Bank!DO126</f>
        <v>#DIV/0!</v>
      </c>
      <c r="AC77" s="48">
        <f>Bank!K126+Bank!L126</f>
        <v>0</v>
      </c>
      <c r="AD77" s="31">
        <f>Bank!M126+Bank!N126</f>
        <v>0</v>
      </c>
      <c r="AE77" s="31">
        <f>Bank!Q126+Bank!R126</f>
        <v>0</v>
      </c>
      <c r="AF77" s="47">
        <f>Bank!O126+Bank!P126</f>
        <v>0</v>
      </c>
      <c r="AG77" s="31">
        <f>Bank!K126</f>
        <v>0</v>
      </c>
      <c r="AH77" s="31">
        <f>Bank!M126</f>
        <v>0</v>
      </c>
      <c r="AI77" s="31">
        <f>Bank!Q126</f>
        <v>0</v>
      </c>
      <c r="AJ77" s="46" t="e">
        <f>Bank!DB126</f>
        <v>#DIV/0!</v>
      </c>
      <c r="AK77" s="31" t="e">
        <f>Bank!DD126</f>
        <v>#DIV/0!</v>
      </c>
      <c r="AL77" s="31" t="e">
        <f>Bank!DF126</f>
        <v>#DIV/0!</v>
      </c>
      <c r="AM77" s="47" t="e">
        <f>Bank!DG126</f>
        <v>#DIV/0!</v>
      </c>
      <c r="AN77" s="46" t="e">
        <f>Bank!DC126</f>
        <v>#DIV/0!</v>
      </c>
      <c r="AO77" s="31" t="e">
        <f>Bank!DE126</f>
        <v>#DIV/0!</v>
      </c>
      <c r="AP77" s="49" t="e">
        <f>Bank!DG126</f>
        <v>#DIV/0!</v>
      </c>
      <c r="AR77" s="107" t="e">
        <f t="shared" ref="AR77:AR79" si="141">G77/(D77/C77)</f>
        <v>#DIV/0!</v>
      </c>
      <c r="AU77" s="126" t="e">
        <f t="shared" ref="AU77:AU80" si="142">D77/SUM(I77:Q77)</f>
        <v>#DIV/0!</v>
      </c>
    </row>
    <row r="78" spans="1:47" x14ac:dyDescent="0.25">
      <c r="A78" s="54">
        <f t="shared" si="122"/>
        <v>45613</v>
      </c>
      <c r="B78" s="50"/>
      <c r="C78" s="50">
        <f>Bank!D135</f>
        <v>0</v>
      </c>
      <c r="D78" s="50">
        <f>Bank!G135</f>
        <v>0</v>
      </c>
      <c r="E78" s="50"/>
      <c r="F78" s="57" t="e">
        <f t="shared" si="139"/>
        <v>#DIV/0!</v>
      </c>
      <c r="G78" s="57" t="e">
        <f>Bank!AV135</f>
        <v>#DIV/0!</v>
      </c>
      <c r="H78" s="55" t="e">
        <f t="shared" si="140"/>
        <v>#DIV/0!</v>
      </c>
      <c r="I78" s="48">
        <f>Bank!S135</f>
        <v>0</v>
      </c>
      <c r="J78" s="31">
        <f>Bank!T135</f>
        <v>0</v>
      </c>
      <c r="K78" s="46">
        <f>Bank!Y135</f>
        <v>0</v>
      </c>
      <c r="L78" s="47">
        <f>Bank!Z135</f>
        <v>0</v>
      </c>
      <c r="M78" s="31"/>
      <c r="N78" s="46">
        <f>Bank!AA135</f>
        <v>0</v>
      </c>
      <c r="O78" s="31">
        <f>Bank!AD135</f>
        <v>0</v>
      </c>
      <c r="P78" s="46">
        <f>Bank!AG135</f>
        <v>0</v>
      </c>
      <c r="Q78" s="47">
        <f>Bank!AH135</f>
        <v>0</v>
      </c>
      <c r="R78" s="48" t="e">
        <f>Bank!DH135</f>
        <v>#DIV/0!</v>
      </c>
      <c r="S78" s="47" t="e">
        <f>Bank!DI135</f>
        <v>#DIV/0!</v>
      </c>
      <c r="U78" s="46" t="e">
        <f>Bank!DJ135</f>
        <v>#DIV/0!</v>
      </c>
      <c r="V78" s="49" t="e">
        <f>Bank!DK135</f>
        <v>#DIV/0!</v>
      </c>
      <c r="W78" s="46" t="e">
        <f>Bank!DL135</f>
        <v>#DIV/0!</v>
      </c>
      <c r="X78" s="47" t="e">
        <f>Bank!DM135</f>
        <v>#DIV/0!</v>
      </c>
      <c r="Y78" s="57"/>
      <c r="Z78" s="46" t="e">
        <f>Bank!DN135</f>
        <v>#DIV/0!</v>
      </c>
      <c r="AA78" s="49" t="e">
        <f>Bank!DO135</f>
        <v>#DIV/0!</v>
      </c>
      <c r="AC78" s="48">
        <f>Bank!K135+Bank!L135</f>
        <v>0</v>
      </c>
      <c r="AD78" s="31">
        <f>Bank!M135+Bank!N135</f>
        <v>0</v>
      </c>
      <c r="AE78" s="31">
        <f>Bank!Q135+Bank!R135</f>
        <v>0</v>
      </c>
      <c r="AF78" s="47">
        <f>Bank!O135+Bank!P135</f>
        <v>0</v>
      </c>
      <c r="AG78" s="31">
        <f>Bank!K135</f>
        <v>0</v>
      </c>
      <c r="AH78" s="31">
        <f>Bank!M135</f>
        <v>0</v>
      </c>
      <c r="AI78" s="31">
        <f>Bank!Q135</f>
        <v>0</v>
      </c>
      <c r="AJ78" s="46" t="e">
        <f>Bank!DB135</f>
        <v>#DIV/0!</v>
      </c>
      <c r="AK78" s="31" t="e">
        <f>Bank!DD135</f>
        <v>#DIV/0!</v>
      </c>
      <c r="AL78" s="31" t="e">
        <f>Bank!DF135</f>
        <v>#DIV/0!</v>
      </c>
      <c r="AM78" s="47" t="e">
        <f>Bank!DG135</f>
        <v>#DIV/0!</v>
      </c>
      <c r="AN78" s="46" t="e">
        <f>Bank!DC135</f>
        <v>#DIV/0!</v>
      </c>
      <c r="AO78" s="31" t="e">
        <f>Bank!DE135</f>
        <v>#DIV/0!</v>
      </c>
      <c r="AP78" s="49" t="e">
        <f>Bank!DG135</f>
        <v>#DIV/0!</v>
      </c>
      <c r="AR78" s="107" t="e">
        <f t="shared" si="141"/>
        <v>#DIV/0!</v>
      </c>
      <c r="AU78" s="125" t="e">
        <f t="shared" si="142"/>
        <v>#DIV/0!</v>
      </c>
    </row>
    <row r="79" spans="1:47" x14ac:dyDescent="0.25">
      <c r="A79" s="54">
        <f t="shared" si="122"/>
        <v>45620</v>
      </c>
      <c r="B79" s="50"/>
      <c r="C79" s="50">
        <f>Bank!D144</f>
        <v>0</v>
      </c>
      <c r="D79" s="50">
        <f>Bank!G144</f>
        <v>0</v>
      </c>
      <c r="E79" s="50"/>
      <c r="F79" s="57" t="e">
        <f t="shared" si="139"/>
        <v>#DIV/0!</v>
      </c>
      <c r="G79" s="57" t="e">
        <f>Bank!AV144</f>
        <v>#DIV/0!</v>
      </c>
      <c r="H79" s="55" t="e">
        <f t="shared" si="140"/>
        <v>#DIV/0!</v>
      </c>
      <c r="I79" s="48">
        <f>Bank!S144</f>
        <v>0</v>
      </c>
      <c r="J79" s="31">
        <f>Bank!T144</f>
        <v>0</v>
      </c>
      <c r="K79" s="46">
        <f>Bank!Y144</f>
        <v>0</v>
      </c>
      <c r="L79" s="47">
        <f>Bank!Z144</f>
        <v>0</v>
      </c>
      <c r="M79" s="31"/>
      <c r="N79" s="46">
        <f>Bank!AA144</f>
        <v>0</v>
      </c>
      <c r="O79" s="31">
        <f>Bank!AD144</f>
        <v>0</v>
      </c>
      <c r="P79" s="46">
        <f>Bank!AG144</f>
        <v>0</v>
      </c>
      <c r="Q79" s="47">
        <f>Bank!AH144</f>
        <v>0</v>
      </c>
      <c r="R79" s="48" t="e">
        <f>Bank!DH144</f>
        <v>#DIV/0!</v>
      </c>
      <c r="S79" s="47" t="e">
        <f>Bank!DI144</f>
        <v>#DIV/0!</v>
      </c>
      <c r="U79" s="46" t="e">
        <f>Bank!DJ144</f>
        <v>#DIV/0!</v>
      </c>
      <c r="V79" s="49" t="e">
        <f>Bank!DK144</f>
        <v>#DIV/0!</v>
      </c>
      <c r="W79" s="46" t="e">
        <f>Bank!DL144</f>
        <v>#DIV/0!</v>
      </c>
      <c r="X79" s="47" t="e">
        <f>Bank!DM144</f>
        <v>#DIV/0!</v>
      </c>
      <c r="Y79" s="57"/>
      <c r="Z79" s="46" t="e">
        <f>Bank!DN144</f>
        <v>#DIV/0!</v>
      </c>
      <c r="AA79" s="49" t="e">
        <f>Bank!DO144</f>
        <v>#DIV/0!</v>
      </c>
      <c r="AC79" s="48">
        <f>Bank!K144+Bank!L144</f>
        <v>0</v>
      </c>
      <c r="AD79" s="31">
        <f>Bank!M144+Bank!N144</f>
        <v>0</v>
      </c>
      <c r="AE79" s="31">
        <f>Bank!Q144+Bank!R144</f>
        <v>0</v>
      </c>
      <c r="AF79" s="47">
        <f>Bank!O144+Bank!P144</f>
        <v>0</v>
      </c>
      <c r="AG79" s="31">
        <f>Bank!K144</f>
        <v>0</v>
      </c>
      <c r="AH79" s="31">
        <f>Bank!M144</f>
        <v>0</v>
      </c>
      <c r="AI79" s="31">
        <f>Bank!Q144</f>
        <v>0</v>
      </c>
      <c r="AJ79" s="46" t="e">
        <f>Bank!DB144</f>
        <v>#DIV/0!</v>
      </c>
      <c r="AK79" s="31" t="e">
        <f>Bank!DD144</f>
        <v>#DIV/0!</v>
      </c>
      <c r="AL79" s="31" t="e">
        <f>Bank!DF144</f>
        <v>#DIV/0!</v>
      </c>
      <c r="AM79" s="47" t="e">
        <f>Bank!DG144</f>
        <v>#DIV/0!</v>
      </c>
      <c r="AN79" s="46" t="e">
        <f>Bank!DC144</f>
        <v>#DIV/0!</v>
      </c>
      <c r="AO79" s="31" t="e">
        <f>Bank!DE144</f>
        <v>#DIV/0!</v>
      </c>
      <c r="AP79" s="49" t="e">
        <f>Bank!DG144</f>
        <v>#DIV/0!</v>
      </c>
      <c r="AR79" s="107" t="e">
        <f t="shared" si="141"/>
        <v>#DIV/0!</v>
      </c>
      <c r="AU79" s="125" t="e">
        <f t="shared" si="142"/>
        <v>#DIV/0!</v>
      </c>
    </row>
    <row r="80" spans="1:47" x14ac:dyDescent="0.25">
      <c r="A80" s="54">
        <f t="shared" si="122"/>
        <v>45627</v>
      </c>
      <c r="B80" s="50"/>
      <c r="C80" s="50">
        <f>Bank!D153</f>
        <v>0</v>
      </c>
      <c r="D80" s="50">
        <f>Bank!G153</f>
        <v>0</v>
      </c>
      <c r="E80" s="50"/>
      <c r="F80" s="57" t="e">
        <f t="shared" ref="F80:F82" si="143">(G80)/(D80/C80)</f>
        <v>#DIV/0!</v>
      </c>
      <c r="G80" s="57" t="e">
        <f>Bank!AV153</f>
        <v>#DIV/0!</v>
      </c>
      <c r="H80" s="55" t="e">
        <f t="shared" ref="H80:H82" si="144">D80/G80</f>
        <v>#DIV/0!</v>
      </c>
      <c r="I80" s="48">
        <f>Bank!S153</f>
        <v>0</v>
      </c>
      <c r="J80" s="31">
        <f>Bank!T153</f>
        <v>0</v>
      </c>
      <c r="K80" s="46">
        <f>Bank!Y153</f>
        <v>0</v>
      </c>
      <c r="L80" s="47">
        <f>Bank!Z153</f>
        <v>0</v>
      </c>
      <c r="M80" s="31"/>
      <c r="N80" s="46">
        <f>Bank!AA153</f>
        <v>0</v>
      </c>
      <c r="O80" s="31">
        <f>Bank!AD153</f>
        <v>0</v>
      </c>
      <c r="P80" s="46">
        <f>Bank!AG153</f>
        <v>0</v>
      </c>
      <c r="Q80" s="47">
        <f>Bank!AH153</f>
        <v>0</v>
      </c>
      <c r="R80" s="48" t="e">
        <f>Bank!DH153</f>
        <v>#DIV/0!</v>
      </c>
      <c r="S80" s="47" t="e">
        <f>Bank!DI153</f>
        <v>#DIV/0!</v>
      </c>
      <c r="U80" s="46" t="e">
        <f>Bank!DJ153</f>
        <v>#DIV/0!</v>
      </c>
      <c r="V80" s="49" t="e">
        <f>Bank!DK153</f>
        <v>#DIV/0!</v>
      </c>
      <c r="W80" s="46" t="e">
        <f>Bank!DL153</f>
        <v>#DIV/0!</v>
      </c>
      <c r="X80" s="47" t="e">
        <f>Bank!DM153</f>
        <v>#DIV/0!</v>
      </c>
      <c r="Y80" s="57"/>
      <c r="Z80" s="46" t="e">
        <f>Bank!DN153</f>
        <v>#DIV/0!</v>
      </c>
      <c r="AA80" s="49" t="e">
        <f>Bank!DO153</f>
        <v>#DIV/0!</v>
      </c>
      <c r="AC80" s="48">
        <f>Bank!K153+Bank!L153</f>
        <v>0</v>
      </c>
      <c r="AD80" s="31">
        <f>Bank!M153+Bank!N153</f>
        <v>0</v>
      </c>
      <c r="AE80" s="31">
        <f>Bank!Q153+Bank!R153</f>
        <v>0</v>
      </c>
      <c r="AF80" s="47">
        <f>Bank!O153+Bank!P153</f>
        <v>0</v>
      </c>
      <c r="AG80" s="31">
        <f>Bank!K153</f>
        <v>0</v>
      </c>
      <c r="AH80" s="31">
        <f>Bank!M153</f>
        <v>0</v>
      </c>
      <c r="AI80" s="31">
        <f>Bank!Q153</f>
        <v>0</v>
      </c>
      <c r="AJ80" s="46" t="e">
        <f>Bank!DB153</f>
        <v>#DIV/0!</v>
      </c>
      <c r="AK80" s="31" t="e">
        <f>Bank!DD153</f>
        <v>#DIV/0!</v>
      </c>
      <c r="AL80" s="31" t="e">
        <f>Bank!DF153</f>
        <v>#DIV/0!</v>
      </c>
      <c r="AM80" s="47" t="e">
        <f>Bank!DG153</f>
        <v>#DIV/0!</v>
      </c>
      <c r="AN80" s="46" t="e">
        <f>Bank!DC153</f>
        <v>#DIV/0!</v>
      </c>
      <c r="AO80" s="31" t="e">
        <f>Bank!DE153</f>
        <v>#DIV/0!</v>
      </c>
      <c r="AP80" s="49" t="e">
        <f>Bank!DG153</f>
        <v>#DIV/0!</v>
      </c>
      <c r="AR80" s="107" t="e">
        <f t="shared" ref="AR80:AR84" si="145">G80/(D80/C80)</f>
        <v>#DIV/0!</v>
      </c>
      <c r="AU80" s="125" t="e">
        <f t="shared" si="142"/>
        <v>#DIV/0!</v>
      </c>
    </row>
    <row r="81" spans="1:47" x14ac:dyDescent="0.25">
      <c r="A81" s="54">
        <f t="shared" si="122"/>
        <v>45634</v>
      </c>
      <c r="B81" s="50"/>
      <c r="C81" s="50">
        <f>Bank!D161</f>
        <v>0</v>
      </c>
      <c r="D81" s="50">
        <f>Bank!G161</f>
        <v>0</v>
      </c>
      <c r="E81" s="50"/>
      <c r="F81" s="57" t="e">
        <f t="shared" si="143"/>
        <v>#DIV/0!</v>
      </c>
      <c r="G81" s="57" t="e">
        <f>Bank!AV161</f>
        <v>#DIV/0!</v>
      </c>
      <c r="H81" s="55" t="e">
        <f t="shared" si="144"/>
        <v>#DIV/0!</v>
      </c>
      <c r="I81" s="48">
        <f>Bank!S161</f>
        <v>0</v>
      </c>
      <c r="J81" s="31">
        <f>Bank!T161</f>
        <v>0</v>
      </c>
      <c r="K81" s="46">
        <f>Bank!Y161</f>
        <v>0</v>
      </c>
      <c r="L81" s="47">
        <f>Bank!Z161</f>
        <v>0</v>
      </c>
      <c r="M81" s="31"/>
      <c r="N81" s="46">
        <f>Bank!AA161</f>
        <v>0</v>
      </c>
      <c r="O81" s="31">
        <f>Bank!AD161</f>
        <v>0</v>
      </c>
      <c r="P81" s="46">
        <f>Bank!AG161</f>
        <v>0</v>
      </c>
      <c r="Q81" s="47">
        <f>Bank!AH161</f>
        <v>0</v>
      </c>
      <c r="R81" s="48" t="e">
        <f>Bank!DH161</f>
        <v>#DIV/0!</v>
      </c>
      <c r="S81" s="47" t="e">
        <f>Bank!DI161</f>
        <v>#DIV/0!</v>
      </c>
      <c r="U81" s="46" t="e">
        <f>Bank!DJ161</f>
        <v>#DIV/0!</v>
      </c>
      <c r="V81" s="49" t="e">
        <f>Bank!DK161</f>
        <v>#DIV/0!</v>
      </c>
      <c r="W81" s="46" t="e">
        <f>Bank!DL161</f>
        <v>#DIV/0!</v>
      </c>
      <c r="X81" s="47" t="e">
        <f>Bank!DM161</f>
        <v>#DIV/0!</v>
      </c>
      <c r="Y81" s="57"/>
      <c r="Z81" s="46" t="e">
        <f>Bank!DN161</f>
        <v>#DIV/0!</v>
      </c>
      <c r="AA81" s="49" t="e">
        <f>Bank!DO161</f>
        <v>#DIV/0!</v>
      </c>
      <c r="AC81" s="48">
        <f>Bank!K161+Bank!L161</f>
        <v>0</v>
      </c>
      <c r="AD81" s="31">
        <f>Bank!M161+Bank!N161</f>
        <v>0</v>
      </c>
      <c r="AE81" s="31">
        <f>Bank!Q161+Bank!R161</f>
        <v>0</v>
      </c>
      <c r="AF81" s="47">
        <f>Bank!O161+Bank!P161</f>
        <v>0</v>
      </c>
      <c r="AG81" s="31">
        <f>Bank!K161</f>
        <v>0</v>
      </c>
      <c r="AH81" s="31">
        <f>Bank!M161</f>
        <v>0</v>
      </c>
      <c r="AI81" s="31">
        <f>Bank!Q161</f>
        <v>0</v>
      </c>
      <c r="AJ81" s="46" t="e">
        <f>Bank!DB161</f>
        <v>#DIV/0!</v>
      </c>
      <c r="AK81" s="31" t="e">
        <f>Bank!DD161</f>
        <v>#DIV/0!</v>
      </c>
      <c r="AL81" s="31" t="e">
        <f>Bank!DF161</f>
        <v>#DIV/0!</v>
      </c>
      <c r="AM81" s="47" t="e">
        <f>Bank!DG161</f>
        <v>#DIV/0!</v>
      </c>
      <c r="AN81" s="46" t="e">
        <f>Bank!DC161</f>
        <v>#DIV/0!</v>
      </c>
      <c r="AO81" s="31" t="e">
        <f>Bank!DE161</f>
        <v>#DIV/0!</v>
      </c>
      <c r="AP81" s="49" t="e">
        <f>Bank!DG161</f>
        <v>#DIV/0!</v>
      </c>
      <c r="AR81" s="107" t="e">
        <f t="shared" si="145"/>
        <v>#DIV/0!</v>
      </c>
      <c r="AU81" s="125"/>
    </row>
    <row r="82" spans="1:47" x14ac:dyDescent="0.25">
      <c r="A82" s="54">
        <f t="shared" si="122"/>
        <v>45641</v>
      </c>
      <c r="B82" s="50"/>
      <c r="C82" s="50">
        <f>Bank!D169</f>
        <v>0</v>
      </c>
      <c r="D82" s="50">
        <f>Bank!G169</f>
        <v>0</v>
      </c>
      <c r="E82" s="50"/>
      <c r="F82" s="57" t="e">
        <f t="shared" si="143"/>
        <v>#DIV/0!</v>
      </c>
      <c r="G82" s="57" t="e">
        <f>Bank!AV169</f>
        <v>#DIV/0!</v>
      </c>
      <c r="H82" s="55" t="e">
        <f t="shared" si="144"/>
        <v>#DIV/0!</v>
      </c>
      <c r="I82" s="48">
        <f>Bank!S169</f>
        <v>0</v>
      </c>
      <c r="J82" s="31">
        <f>Bank!T169</f>
        <v>0</v>
      </c>
      <c r="K82" s="46">
        <f>Bank!Y169</f>
        <v>0</v>
      </c>
      <c r="L82" s="47">
        <f>Bank!Z169</f>
        <v>0</v>
      </c>
      <c r="M82" s="31"/>
      <c r="N82" s="46">
        <f>Bank!AA169</f>
        <v>0</v>
      </c>
      <c r="O82" s="31">
        <f>Bank!AD169</f>
        <v>0</v>
      </c>
      <c r="P82" s="46">
        <f>Bank!AG169</f>
        <v>0</v>
      </c>
      <c r="Q82" s="47">
        <f>Bank!AH169</f>
        <v>0</v>
      </c>
      <c r="R82" s="48" t="e">
        <f>Bank!DH169</f>
        <v>#DIV/0!</v>
      </c>
      <c r="S82" s="47" t="e">
        <f>Bank!DI169</f>
        <v>#DIV/0!</v>
      </c>
      <c r="U82" s="46" t="e">
        <f>Bank!DJ169</f>
        <v>#DIV/0!</v>
      </c>
      <c r="V82" s="49" t="e">
        <f>Bank!DK169</f>
        <v>#DIV/0!</v>
      </c>
      <c r="W82" s="46" t="e">
        <f>Bank!DL169</f>
        <v>#DIV/0!</v>
      </c>
      <c r="X82" s="47" t="e">
        <f>Bank!DM169</f>
        <v>#DIV/0!</v>
      </c>
      <c r="Y82" s="57"/>
      <c r="Z82" s="46" t="e">
        <f>Bank!DN169</f>
        <v>#DIV/0!</v>
      </c>
      <c r="AA82" s="49" t="e">
        <f>Bank!DO169</f>
        <v>#DIV/0!</v>
      </c>
      <c r="AC82" s="48">
        <f>Bank!K169+Bank!L169</f>
        <v>0</v>
      </c>
      <c r="AD82" s="31">
        <f>Bank!M169+Bank!N169</f>
        <v>0</v>
      </c>
      <c r="AE82" s="31">
        <f>Bank!Q169+Bank!R169</f>
        <v>0</v>
      </c>
      <c r="AF82" s="47">
        <f>Bank!O169+Bank!P169</f>
        <v>0</v>
      </c>
      <c r="AG82" s="31">
        <f>Bank!K169</f>
        <v>0</v>
      </c>
      <c r="AH82" s="31">
        <f>Bank!M169</f>
        <v>0</v>
      </c>
      <c r="AI82" s="31">
        <f>Bank!Q169</f>
        <v>0</v>
      </c>
      <c r="AJ82" s="46" t="e">
        <f>Bank!DB169</f>
        <v>#DIV/0!</v>
      </c>
      <c r="AK82" s="31" t="e">
        <f>Bank!DD169</f>
        <v>#DIV/0!</v>
      </c>
      <c r="AL82" s="31" t="e">
        <f>Bank!DF169</f>
        <v>#DIV/0!</v>
      </c>
      <c r="AM82" s="47" t="e">
        <f>Bank!DG169</f>
        <v>#DIV/0!</v>
      </c>
      <c r="AN82" s="46" t="e">
        <f>Bank!DC169</f>
        <v>#DIV/0!</v>
      </c>
      <c r="AO82" s="31" t="e">
        <f>Bank!DE169</f>
        <v>#DIV/0!</v>
      </c>
      <c r="AP82" s="49" t="e">
        <f>Bank!DG169</f>
        <v>#DIV/0!</v>
      </c>
      <c r="AR82" s="107" t="e">
        <f t="shared" si="145"/>
        <v>#DIV/0!</v>
      </c>
      <c r="AU82" s="125"/>
    </row>
    <row r="83" spans="1:47" x14ac:dyDescent="0.25">
      <c r="A83" s="54">
        <f t="shared" si="122"/>
        <v>45648</v>
      </c>
      <c r="B83" s="50"/>
      <c r="C83" s="50">
        <f>Bank!D177</f>
        <v>0</v>
      </c>
      <c r="D83" s="50">
        <f>Bank!G177</f>
        <v>0</v>
      </c>
      <c r="E83" s="50"/>
      <c r="F83" s="57" t="e">
        <f t="shared" ref="F83" si="146">(G83)/(D83/C83)</f>
        <v>#DIV/0!</v>
      </c>
      <c r="G83" s="57" t="e">
        <f>Bank!AV177</f>
        <v>#DIV/0!</v>
      </c>
      <c r="H83" s="55" t="e">
        <f t="shared" ref="H83:H84" si="147">D83/G83</f>
        <v>#DIV/0!</v>
      </c>
      <c r="I83" s="48">
        <f>Bank!S177</f>
        <v>0</v>
      </c>
      <c r="J83" s="31">
        <f>Bank!T177</f>
        <v>0</v>
      </c>
      <c r="K83" s="46">
        <f>Bank!Y177</f>
        <v>0</v>
      </c>
      <c r="L83" s="47">
        <f>Bank!Z177</f>
        <v>0</v>
      </c>
      <c r="M83" s="31"/>
      <c r="N83" s="46">
        <f>Bank!AA177</f>
        <v>0</v>
      </c>
      <c r="O83" s="31">
        <f>Bank!AD177</f>
        <v>0</v>
      </c>
      <c r="P83" s="46">
        <f>Bank!AG177</f>
        <v>0</v>
      </c>
      <c r="Q83" s="47">
        <f>Bank!AH177</f>
        <v>0</v>
      </c>
      <c r="R83" s="48" t="e">
        <f>Bank!DH177</f>
        <v>#DIV/0!</v>
      </c>
      <c r="S83" s="47" t="e">
        <f>Bank!DI177</f>
        <v>#DIV/0!</v>
      </c>
      <c r="U83" s="46" t="e">
        <f>Bank!DJ177</f>
        <v>#DIV/0!</v>
      </c>
      <c r="V83" s="49" t="e">
        <f>Bank!DK177</f>
        <v>#DIV/0!</v>
      </c>
      <c r="W83" s="46" t="e">
        <f>Bank!DL177</f>
        <v>#DIV/0!</v>
      </c>
      <c r="X83" s="47" t="e">
        <f>Bank!DM177</f>
        <v>#DIV/0!</v>
      </c>
      <c r="Y83" s="57"/>
      <c r="Z83" s="46" t="e">
        <f>Bank!DN177</f>
        <v>#DIV/0!</v>
      </c>
      <c r="AA83" s="49" t="e">
        <f>Bank!DO177</f>
        <v>#DIV/0!</v>
      </c>
      <c r="AC83" s="48">
        <f>Bank!K177+Bank!L177</f>
        <v>0</v>
      </c>
      <c r="AD83" s="31">
        <f>Bank!M177+Bank!N177</f>
        <v>0</v>
      </c>
      <c r="AE83" s="31">
        <f>Bank!Q177+Bank!R177</f>
        <v>0</v>
      </c>
      <c r="AF83" s="47">
        <f>Bank!O177+Bank!P177</f>
        <v>0</v>
      </c>
      <c r="AG83" s="31">
        <f>Bank!K177</f>
        <v>0</v>
      </c>
      <c r="AH83" s="31">
        <f>Bank!M177</f>
        <v>0</v>
      </c>
      <c r="AI83" s="31">
        <f>Bank!Q177</f>
        <v>0</v>
      </c>
      <c r="AJ83" s="46" t="e">
        <f>Bank!DB177</f>
        <v>#DIV/0!</v>
      </c>
      <c r="AK83" s="31" t="e">
        <f>Bank!DD177</f>
        <v>#DIV/0!</v>
      </c>
      <c r="AL83" s="31" t="e">
        <f>Bank!DF177</f>
        <v>#DIV/0!</v>
      </c>
      <c r="AM83" s="47" t="e">
        <f>Bank!DG177</f>
        <v>#DIV/0!</v>
      </c>
      <c r="AN83" s="46" t="e">
        <f>Bank!DC177</f>
        <v>#DIV/0!</v>
      </c>
      <c r="AO83" s="31" t="e">
        <f>Bank!DE177</f>
        <v>#DIV/0!</v>
      </c>
      <c r="AP83" s="49" t="e">
        <f>Bank!DG177</f>
        <v>#DIV/0!</v>
      </c>
      <c r="AR83" s="107" t="e">
        <f t="shared" si="145"/>
        <v>#DIV/0!</v>
      </c>
      <c r="AU83" s="125"/>
    </row>
    <row r="84" spans="1:47" x14ac:dyDescent="0.25">
      <c r="A84" s="54">
        <f t="shared" si="122"/>
        <v>45655</v>
      </c>
      <c r="B84" s="50"/>
      <c r="C84" s="50">
        <f>Bank!D185</f>
        <v>0</v>
      </c>
      <c r="D84" s="50">
        <f>Bank!G185</f>
        <v>0</v>
      </c>
      <c r="E84" s="50"/>
      <c r="F84" s="57" t="e">
        <f t="shared" ref="F84" si="148">(G84)/(D84/C84)</f>
        <v>#DIV/0!</v>
      </c>
      <c r="G84" s="57" t="e">
        <f>Bank!AV185</f>
        <v>#DIV/0!</v>
      </c>
      <c r="H84" s="55" t="e">
        <f t="shared" si="147"/>
        <v>#DIV/0!</v>
      </c>
      <c r="I84" s="48">
        <f>Bank!S185</f>
        <v>0</v>
      </c>
      <c r="J84" s="31">
        <f>Bank!T185</f>
        <v>0</v>
      </c>
      <c r="K84" s="46">
        <f>Bank!Y185</f>
        <v>0</v>
      </c>
      <c r="L84" s="47">
        <f>Bank!Z185</f>
        <v>0</v>
      </c>
      <c r="M84" s="31"/>
      <c r="N84" s="46">
        <f>Bank!AA185</f>
        <v>0</v>
      </c>
      <c r="O84" s="31">
        <f>Bank!AD185</f>
        <v>0</v>
      </c>
      <c r="P84" s="46">
        <f>Bank!AG185</f>
        <v>0</v>
      </c>
      <c r="Q84" s="47">
        <f>Bank!AH185</f>
        <v>0</v>
      </c>
      <c r="R84" s="48" t="e">
        <f>Bank!DH185</f>
        <v>#DIV/0!</v>
      </c>
      <c r="S84" s="47" t="e">
        <f>Bank!DI185</f>
        <v>#DIV/0!</v>
      </c>
      <c r="U84" s="46" t="e">
        <f>Bank!DJ185</f>
        <v>#DIV/0!</v>
      </c>
      <c r="V84" s="49" t="e">
        <f>Bank!DK185</f>
        <v>#DIV/0!</v>
      </c>
      <c r="W84" s="46" t="e">
        <f>Bank!DL185</f>
        <v>#DIV/0!</v>
      </c>
      <c r="X84" s="47" t="e">
        <f>Bank!DM185</f>
        <v>#DIV/0!</v>
      </c>
      <c r="Y84" s="57"/>
      <c r="Z84" s="46" t="e">
        <f>Bank!DN185</f>
        <v>#DIV/0!</v>
      </c>
      <c r="AA84" s="49" t="e">
        <f>Bank!DO185</f>
        <v>#DIV/0!</v>
      </c>
      <c r="AC84" s="48">
        <f>Bank!K185+Bank!L185</f>
        <v>0</v>
      </c>
      <c r="AD84" s="31">
        <f>Bank!M185+Bank!N185</f>
        <v>0</v>
      </c>
      <c r="AE84" s="31">
        <f>Bank!Q185+Bank!R185</f>
        <v>0</v>
      </c>
      <c r="AF84" s="47">
        <f>Bank!O185+Bank!P185</f>
        <v>0</v>
      </c>
      <c r="AG84" s="31">
        <f>Bank!K185</f>
        <v>0</v>
      </c>
      <c r="AH84" s="31">
        <f>Bank!M185</f>
        <v>0</v>
      </c>
      <c r="AI84" s="31">
        <f>Bank!Q185</f>
        <v>0</v>
      </c>
      <c r="AJ84" s="46" t="e">
        <f>Bank!DB185</f>
        <v>#DIV/0!</v>
      </c>
      <c r="AK84" s="31" t="e">
        <f>Bank!DD185</f>
        <v>#DIV/0!</v>
      </c>
      <c r="AL84" s="31" t="e">
        <f>Bank!DF185</f>
        <v>#DIV/0!</v>
      </c>
      <c r="AM84" s="47" t="e">
        <f>Bank!DG185</f>
        <v>#DIV/0!</v>
      </c>
      <c r="AN84" s="46" t="e">
        <f>Bank!DC185</f>
        <v>#DIV/0!</v>
      </c>
      <c r="AO84" s="31" t="e">
        <f>Bank!DE185</f>
        <v>#DIV/0!</v>
      </c>
      <c r="AP84" s="49" t="e">
        <f>Bank!DG185</f>
        <v>#DIV/0!</v>
      </c>
      <c r="AR84" s="107" t="e">
        <f t="shared" si="145"/>
        <v>#DIV/0!</v>
      </c>
      <c r="AU84" s="125"/>
    </row>
    <row r="85" spans="1:47" ht="16.5" thickBot="1" x14ac:dyDescent="0.3">
      <c r="A85" s="234"/>
      <c r="B85" s="104"/>
      <c r="C85" s="104"/>
      <c r="D85" s="104"/>
      <c r="E85" s="104"/>
      <c r="F85" s="103"/>
      <c r="G85" s="95"/>
      <c r="H85" s="280"/>
      <c r="I85" s="97"/>
      <c r="J85" s="86"/>
      <c r="K85" s="95"/>
      <c r="L85" s="87"/>
      <c r="M85" s="86"/>
      <c r="N85" s="95"/>
      <c r="O85" s="86"/>
      <c r="P85" s="95"/>
      <c r="Q85" s="86"/>
      <c r="R85" s="97"/>
      <c r="S85" s="87"/>
      <c r="T85" s="172"/>
      <c r="U85" s="95"/>
      <c r="V85" s="96"/>
      <c r="W85" s="48"/>
      <c r="X85" s="31"/>
      <c r="Y85" s="103"/>
      <c r="Z85" s="95"/>
      <c r="AA85" s="96"/>
      <c r="AC85" s="97"/>
      <c r="AD85" s="86"/>
      <c r="AE85" s="86"/>
      <c r="AF85" s="87"/>
      <c r="AG85" s="86"/>
      <c r="AH85" s="86"/>
      <c r="AI85" s="86"/>
      <c r="AJ85" s="95"/>
      <c r="AK85" s="86"/>
      <c r="AL85" s="86"/>
      <c r="AM85" s="87"/>
      <c r="AN85" s="86"/>
      <c r="AO85" s="86"/>
      <c r="AP85" s="96"/>
      <c r="AR85" s="116"/>
    </row>
    <row r="86" spans="1:47" ht="17.25" thickTop="1" thickBot="1" x14ac:dyDescent="0.3">
      <c r="A86" s="115" t="s">
        <v>121</v>
      </c>
      <c r="B86" s="251"/>
      <c r="C86" s="93">
        <f>SUM(C65:C85)</f>
        <v>868</v>
      </c>
      <c r="D86" s="93">
        <f>SUM(D65:D85)</f>
        <v>3852.0500000000006</v>
      </c>
      <c r="E86" s="251"/>
      <c r="F86" s="93" t="e">
        <f>SUM(F65:F85)</f>
        <v>#DIV/0!</v>
      </c>
      <c r="G86" s="93" t="e">
        <f>SUM(G65:G85)</f>
        <v>#DIV/0!</v>
      </c>
      <c r="H86" s="327" t="e">
        <f t="shared" ref="H86" si="149">C86/F86</f>
        <v>#DIV/0!</v>
      </c>
      <c r="I86" s="90">
        <f t="shared" ref="I86:U86" si="150">SUM(I65:I85)</f>
        <v>174</v>
      </c>
      <c r="J86" s="91">
        <f t="shared" si="150"/>
        <v>20</v>
      </c>
      <c r="K86" s="93">
        <f t="shared" si="150"/>
        <v>33</v>
      </c>
      <c r="L86" s="98">
        <f t="shared" si="150"/>
        <v>4</v>
      </c>
      <c r="M86" s="91">
        <f t="shared" si="150"/>
        <v>0</v>
      </c>
      <c r="N86" s="93"/>
      <c r="O86" s="98"/>
      <c r="P86" s="93"/>
      <c r="Q86" s="98">
        <f t="shared" si="150"/>
        <v>0</v>
      </c>
      <c r="R86" s="90" t="e">
        <f t="shared" si="150"/>
        <v>#DIV/0!</v>
      </c>
      <c r="S86" s="91" t="e">
        <f t="shared" si="150"/>
        <v>#DIV/0!</v>
      </c>
      <c r="T86" s="91">
        <f t="shared" si="150"/>
        <v>0</v>
      </c>
      <c r="U86" s="122" t="e">
        <f t="shared" si="150"/>
        <v>#DIV/0!</v>
      </c>
      <c r="V86" s="98" t="e">
        <f>SUM(V65:V85)</f>
        <v>#DIV/0!</v>
      </c>
      <c r="W86" s="124" t="e">
        <f>SUM(W65:W85)</f>
        <v>#DIV/0!</v>
      </c>
      <c r="X86" s="118" t="e">
        <f>SUM(X65:X85)</f>
        <v>#DIV/0!</v>
      </c>
      <c r="Y86" s="93">
        <f>SUM(Y65:Y85)</f>
        <v>0</v>
      </c>
      <c r="Z86" s="122" t="e">
        <f t="shared" ref="Z86:AA86" si="151">SUM(Z65:Z85)</f>
        <v>#DIV/0!</v>
      </c>
      <c r="AA86" s="94" t="e">
        <f t="shared" si="151"/>
        <v>#DIV/0!</v>
      </c>
      <c r="AC86" s="90">
        <f t="shared" ref="AC86:AP86" si="152">SUM(AC65:AC85)</f>
        <v>6</v>
      </c>
      <c r="AD86" s="91">
        <f t="shared" si="152"/>
        <v>3</v>
      </c>
      <c r="AE86" s="91">
        <f t="shared" si="152"/>
        <v>8</v>
      </c>
      <c r="AF86" s="91">
        <f t="shared" si="152"/>
        <v>1</v>
      </c>
      <c r="AG86" s="93">
        <f t="shared" si="152"/>
        <v>4</v>
      </c>
      <c r="AH86" s="91">
        <f t="shared" si="152"/>
        <v>0</v>
      </c>
      <c r="AI86" s="91">
        <f t="shared" si="152"/>
        <v>0</v>
      </c>
      <c r="AJ86" s="93" t="e">
        <f t="shared" si="152"/>
        <v>#DIV/0!</v>
      </c>
      <c r="AK86" s="91" t="e">
        <f t="shared" si="152"/>
        <v>#DIV/0!</v>
      </c>
      <c r="AL86" s="91" t="e">
        <f t="shared" si="152"/>
        <v>#DIV/0!</v>
      </c>
      <c r="AM86" s="91" t="e">
        <f t="shared" si="152"/>
        <v>#DIV/0!</v>
      </c>
      <c r="AN86" s="93" t="e">
        <f t="shared" si="152"/>
        <v>#DIV/0!</v>
      </c>
      <c r="AO86" s="91" t="e">
        <f t="shared" si="152"/>
        <v>#DIV/0!</v>
      </c>
      <c r="AP86" s="94" t="e">
        <f t="shared" si="152"/>
        <v>#DIV/0!</v>
      </c>
      <c r="AR86" s="108" t="e">
        <f>SUM(AR65:AR85)</f>
        <v>#DIV/0!</v>
      </c>
    </row>
    <row r="88" spans="1:47" x14ac:dyDescent="0.25">
      <c r="F88" s="31"/>
      <c r="W88" s="31"/>
      <c r="X88" s="31"/>
      <c r="Y88" s="31"/>
      <c r="Z88" s="31"/>
      <c r="AA88" s="31"/>
      <c r="AB88" s="31"/>
    </row>
  </sheetData>
  <mergeCells count="56">
    <mergeCell ref="W63:X63"/>
    <mergeCell ref="P7:Q7"/>
    <mergeCell ref="Z7:AA7"/>
    <mergeCell ref="U7:V7"/>
    <mergeCell ref="N35:O35"/>
    <mergeCell ref="P35:Q35"/>
    <mergeCell ref="U35:V35"/>
    <mergeCell ref="Z35:AA35"/>
    <mergeCell ref="R31:S31"/>
    <mergeCell ref="AC35:AF35"/>
    <mergeCell ref="AG35:AI35"/>
    <mergeCell ref="AJ35:AM35"/>
    <mergeCell ref="AC34:AP34"/>
    <mergeCell ref="AN35:AP35"/>
    <mergeCell ref="AC62:AP62"/>
    <mergeCell ref="AC63:AF63"/>
    <mergeCell ref="AG63:AI63"/>
    <mergeCell ref="AJ63:AM63"/>
    <mergeCell ref="AN63:AP63"/>
    <mergeCell ref="B7:D7"/>
    <mergeCell ref="I63:J63"/>
    <mergeCell ref="R63:S63"/>
    <mergeCell ref="B63:D63"/>
    <mergeCell ref="E63:G63"/>
    <mergeCell ref="I35:J35"/>
    <mergeCell ref="R35:S35"/>
    <mergeCell ref="E7:G7"/>
    <mergeCell ref="E35:G35"/>
    <mergeCell ref="B35:D35"/>
    <mergeCell ref="R62:V62"/>
    <mergeCell ref="I62:Q62"/>
    <mergeCell ref="R7:S7"/>
    <mergeCell ref="I7:J7"/>
    <mergeCell ref="I34:Q34"/>
    <mergeCell ref="R34:V34"/>
    <mergeCell ref="AC6:AP6"/>
    <mergeCell ref="AC7:AF7"/>
    <mergeCell ref="AG7:AI7"/>
    <mergeCell ref="AJ7:AM7"/>
    <mergeCell ref="AN7:AP7"/>
    <mergeCell ref="K35:L35"/>
    <mergeCell ref="K63:L63"/>
    <mergeCell ref="W7:X7"/>
    <mergeCell ref="W6:AA6"/>
    <mergeCell ref="W34:AA34"/>
    <mergeCell ref="W35:X35"/>
    <mergeCell ref="W62:AA62"/>
    <mergeCell ref="R6:V6"/>
    <mergeCell ref="I6:Q6"/>
    <mergeCell ref="K7:L7"/>
    <mergeCell ref="R32:S32"/>
    <mergeCell ref="N7:O7"/>
    <mergeCell ref="N63:O63"/>
    <mergeCell ref="P63:Q63"/>
    <mergeCell ref="U63:V63"/>
    <mergeCell ref="Z63:AA63"/>
  </mergeCells>
  <phoneticPr fontId="0" type="noConversion"/>
  <pageMargins left="0.75" right="0.75" top="1" bottom="1" header="0.5" footer="0.5"/>
  <pageSetup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3:AB39"/>
  <sheetViews>
    <sheetView showGridLines="0" tabSelected="1" topLeftCell="A3" zoomScale="98" zoomScaleNormal="98" workbookViewId="0">
      <selection activeCell="O12" sqref="O12"/>
    </sheetView>
  </sheetViews>
  <sheetFormatPr defaultColWidth="8.83203125" defaultRowHeight="15.75" x14ac:dyDescent="0.25"/>
  <cols>
    <col min="1" max="1" width="10.5" style="27" customWidth="1"/>
    <col min="2" max="2" width="8.83203125" style="27"/>
    <col min="3" max="3" width="11.6640625" style="27" customWidth="1"/>
    <col min="4" max="5" width="10.83203125" style="27" customWidth="1"/>
    <col min="6" max="6" width="11.6640625" style="27" customWidth="1"/>
    <col min="7" max="7" width="10" style="27" customWidth="1"/>
    <col min="8" max="8" width="12.33203125" style="27" customWidth="1"/>
    <col min="9" max="9" width="10.33203125" style="27" customWidth="1"/>
    <col min="10" max="10" width="14" style="27" customWidth="1"/>
    <col min="11" max="11" width="11.6640625" style="27" customWidth="1"/>
    <col min="12" max="12" width="9.83203125" style="27" customWidth="1"/>
    <col min="13" max="13" width="9.5" style="27" customWidth="1"/>
    <col min="14" max="14" width="12.6640625" style="27" customWidth="1"/>
    <col min="15" max="15" width="8.83203125" style="27"/>
    <col min="16" max="16" width="13.33203125" style="27" customWidth="1"/>
    <col min="17" max="17" width="6" style="27" customWidth="1"/>
    <col min="18" max="18" width="10.83203125" style="27" customWidth="1"/>
    <col min="19" max="20" width="8.83203125" style="27"/>
    <col min="21" max="21" width="4.1640625" style="27" customWidth="1"/>
    <col min="22" max="22" width="9.33203125" style="27" bestFit="1" customWidth="1"/>
    <col min="23" max="24" width="8.83203125" style="27"/>
    <col min="25" max="25" width="3.5" style="27" customWidth="1"/>
    <col min="26" max="16384" width="8.83203125" style="27"/>
  </cols>
  <sheetData>
    <row r="3" spans="1:8" ht="18.75" x14ac:dyDescent="0.3">
      <c r="A3" s="6" t="s">
        <v>247</v>
      </c>
    </row>
    <row r="4" spans="1:8" ht="19.5" thickBot="1" x14ac:dyDescent="0.35">
      <c r="A4" s="6"/>
    </row>
    <row r="5" spans="1:8" ht="20.25" customHeight="1" x14ac:dyDescent="0.25">
      <c r="A5" s="252" t="s">
        <v>69</v>
      </c>
      <c r="B5" s="649" t="s">
        <v>106</v>
      </c>
      <c r="C5" s="650"/>
      <c r="D5" s="651"/>
      <c r="E5" s="654" t="s">
        <v>88</v>
      </c>
      <c r="F5" s="655"/>
      <c r="G5" s="656"/>
      <c r="H5" s="356" t="s">
        <v>106</v>
      </c>
    </row>
    <row r="6" spans="1:8" x14ac:dyDescent="0.25">
      <c r="A6" s="101" t="s">
        <v>108</v>
      </c>
      <c r="B6" s="26" t="s">
        <v>93</v>
      </c>
      <c r="C6" s="26" t="s">
        <v>117</v>
      </c>
      <c r="D6" s="26" t="s">
        <v>123</v>
      </c>
      <c r="E6" s="245" t="s">
        <v>93</v>
      </c>
      <c r="F6" s="245" t="s">
        <v>117</v>
      </c>
      <c r="G6" s="245" t="s">
        <v>140</v>
      </c>
      <c r="H6" s="133" t="s">
        <v>236</v>
      </c>
    </row>
    <row r="7" spans="1:8" x14ac:dyDescent="0.25">
      <c r="A7" s="54">
        <v>45522</v>
      </c>
      <c r="B7" s="57">
        <f>Summary!B9</f>
        <v>9</v>
      </c>
      <c r="C7" s="57">
        <f>Summary!C9</f>
        <v>24</v>
      </c>
      <c r="D7" s="57">
        <f>Summary!D9</f>
        <v>156.64000000000001</v>
      </c>
      <c r="E7" s="57">
        <f>Summary!E9</f>
        <v>31.160121125562895</v>
      </c>
      <c r="F7" s="57">
        <f>Summary!F9</f>
        <v>61.086583433722872</v>
      </c>
      <c r="G7" s="57">
        <f>Summary!G9</f>
        <v>450.80268258452162</v>
      </c>
      <c r="H7" s="135">
        <f>Summary!H9</f>
        <v>0.28883071294022189</v>
      </c>
    </row>
    <row r="8" spans="1:8" x14ac:dyDescent="0.25">
      <c r="A8" s="54">
        <f t="shared" ref="A8:A18" si="0">A7+7</f>
        <v>45529</v>
      </c>
      <c r="B8" s="57">
        <f>Summary!B10</f>
        <v>17</v>
      </c>
      <c r="C8" s="57">
        <f>Summary!C10</f>
        <v>46</v>
      </c>
      <c r="D8" s="57">
        <f>Summary!D10</f>
        <v>203.59</v>
      </c>
      <c r="E8" s="57">
        <f>Summary!E10</f>
        <v>47.464994744361775</v>
      </c>
      <c r="F8" s="57">
        <f>Summary!F10</f>
        <v>118.33492718634326</v>
      </c>
      <c r="G8" s="57">
        <f>Summary!G10</f>
        <v>544.26789937657804</v>
      </c>
      <c r="H8" s="135">
        <f>Summary!H10</f>
        <v>0.35815868286848129</v>
      </c>
    </row>
    <row r="9" spans="1:8" x14ac:dyDescent="0.25">
      <c r="A9" s="54">
        <f t="shared" si="0"/>
        <v>45536</v>
      </c>
      <c r="B9" s="57">
        <f>Summary!B11</f>
        <v>34</v>
      </c>
      <c r="C9" s="57">
        <f>Summary!C11</f>
        <v>86</v>
      </c>
      <c r="D9" s="57">
        <f>Summary!D11</f>
        <v>471.51000000000005</v>
      </c>
      <c r="E9" s="57">
        <f>Summary!E11</f>
        <v>101.08142623542386</v>
      </c>
      <c r="F9" s="57">
        <f>Summary!F11</f>
        <v>237.04516146231543</v>
      </c>
      <c r="G9" s="57">
        <f>Summary!G11</f>
        <v>1350.9056665927642</v>
      </c>
      <c r="H9" s="135">
        <f>Summary!H11</f>
        <v>0.33636248781069078</v>
      </c>
    </row>
    <row r="10" spans="1:8" x14ac:dyDescent="0.25">
      <c r="A10" s="54">
        <f t="shared" si="0"/>
        <v>45543</v>
      </c>
      <c r="B10" s="57">
        <f>Summary!B12</f>
        <v>38</v>
      </c>
      <c r="C10" s="57">
        <f>Summary!C12</f>
        <v>109</v>
      </c>
      <c r="D10" s="57">
        <f>Summary!D12</f>
        <v>683.68999999999994</v>
      </c>
      <c r="E10" s="57">
        <f>Summary!E12</f>
        <v>172.48577130190429</v>
      </c>
      <c r="F10" s="57">
        <f>Summary!F12</f>
        <v>396.80563649059269</v>
      </c>
      <c r="G10" s="57">
        <f>Summary!G12</f>
        <v>2662.0441664021027</v>
      </c>
      <c r="H10" s="135">
        <f>Summary!H12</f>
        <v>0.22030802722555046</v>
      </c>
    </row>
    <row r="11" spans="1:8" x14ac:dyDescent="0.25">
      <c r="A11" s="54">
        <f t="shared" si="0"/>
        <v>45550</v>
      </c>
      <c r="B11" s="57">
        <f>Summary!B13</f>
        <v>117</v>
      </c>
      <c r="C11" s="57">
        <f>Summary!C13</f>
        <v>355</v>
      </c>
      <c r="D11" s="57">
        <f>Summary!D13</f>
        <v>2012.9099999999999</v>
      </c>
      <c r="E11" s="57">
        <f>Summary!E13</f>
        <v>551.51890251757879</v>
      </c>
      <c r="F11" s="57">
        <f>Summary!F13</f>
        <v>1470.9430265261274</v>
      </c>
      <c r="G11" s="57">
        <f>Summary!G13</f>
        <v>8744.0962824679664</v>
      </c>
      <c r="H11" s="135">
        <f>Summary!H13</f>
        <v>0.21214141431221537</v>
      </c>
    </row>
    <row r="12" spans="1:8" x14ac:dyDescent="0.25">
      <c r="A12" s="54">
        <f t="shared" si="0"/>
        <v>45557</v>
      </c>
      <c r="B12" s="57">
        <f>Summary!B14</f>
        <v>258</v>
      </c>
      <c r="C12" s="57">
        <f>Summary!C14</f>
        <v>776</v>
      </c>
      <c r="D12" s="57">
        <f>Summary!D14</f>
        <v>5445.78</v>
      </c>
      <c r="E12" s="57">
        <f>Summary!E14</f>
        <v>773.65186613521792</v>
      </c>
      <c r="F12" s="57">
        <f>Summary!F14</f>
        <v>2118.529205034587</v>
      </c>
      <c r="G12" s="57">
        <f>Summary!G14</f>
        <v>15156.489817038766</v>
      </c>
      <c r="H12" s="135">
        <f>Summary!H14</f>
        <v>0.33348332925097229</v>
      </c>
    </row>
    <row r="13" spans="1:8" x14ac:dyDescent="0.25">
      <c r="A13" s="54">
        <f t="shared" si="0"/>
        <v>45564</v>
      </c>
      <c r="B13" s="57">
        <f>Summary!B15</f>
        <v>332</v>
      </c>
      <c r="C13" s="57">
        <f>Summary!C15</f>
        <v>1066</v>
      </c>
      <c r="D13" s="57">
        <f>Summary!D15</f>
        <v>6839.17</v>
      </c>
      <c r="E13" s="57">
        <f>Summary!E15</f>
        <v>1425.3049745225833</v>
      </c>
      <c r="F13" s="57">
        <f>Summary!F15</f>
        <v>4116.3092520238451</v>
      </c>
      <c r="G13" s="57">
        <f>Summary!G15</f>
        <v>26403.29888339647</v>
      </c>
      <c r="H13" s="135">
        <f>Summary!H15</f>
        <v>0.23293260455447853</v>
      </c>
    </row>
    <row r="14" spans="1:8" x14ac:dyDescent="0.25">
      <c r="A14" s="54">
        <f t="shared" si="0"/>
        <v>45571</v>
      </c>
      <c r="B14" s="57">
        <f>Summary!B16</f>
        <v>457</v>
      </c>
      <c r="C14" s="57">
        <f>Summary!C16</f>
        <v>1512</v>
      </c>
      <c r="D14" s="57">
        <f>Summary!D16</f>
        <v>8860.76</v>
      </c>
      <c r="E14" s="57">
        <f>Summary!E16</f>
        <v>1471.2782785056847</v>
      </c>
      <c r="F14" s="57">
        <f>Summary!F16</f>
        <v>4525.3382091800677</v>
      </c>
      <c r="G14" s="57">
        <f>Summary!G16</f>
        <v>26783.337173298238</v>
      </c>
      <c r="H14" s="135">
        <f>Summary!H16</f>
        <v>0.31061425066653986</v>
      </c>
    </row>
    <row r="15" spans="1:8" x14ac:dyDescent="0.25">
      <c r="A15" s="54">
        <f t="shared" si="0"/>
        <v>45578</v>
      </c>
      <c r="B15" s="57">
        <f>Summary!B17</f>
        <v>305</v>
      </c>
      <c r="C15" s="57">
        <f>Summary!C17</f>
        <v>1016</v>
      </c>
      <c r="D15" s="57">
        <f>Summary!D17</f>
        <v>5721.9299999999994</v>
      </c>
      <c r="E15" s="57">
        <f>Summary!E17</f>
        <v>1221.4502131899808</v>
      </c>
      <c r="F15" s="57">
        <f>Summary!F17</f>
        <v>3764.6332651263147</v>
      </c>
      <c r="G15" s="57">
        <f>Summary!G17</f>
        <v>21971.428336082587</v>
      </c>
      <c r="H15" s="135">
        <f>Summary!H17</f>
        <v>0.24970317799810413</v>
      </c>
    </row>
    <row r="16" spans="1:8" x14ac:dyDescent="0.25">
      <c r="A16" s="54">
        <f t="shared" si="0"/>
        <v>45585</v>
      </c>
      <c r="B16" s="57">
        <f>Summary!B18</f>
        <v>144</v>
      </c>
      <c r="C16" s="57">
        <f>Summary!C18</f>
        <v>459</v>
      </c>
      <c r="D16" s="57">
        <f>Summary!D18</f>
        <v>2441.0699999999997</v>
      </c>
      <c r="E16" s="57">
        <f>Summary!E18</f>
        <v>401.69439335402524</v>
      </c>
      <c r="F16" s="57">
        <f>Summary!F18</f>
        <v>1149.917218177819</v>
      </c>
      <c r="G16" s="57">
        <f>Summary!G18</f>
        <v>6344.778382313847</v>
      </c>
      <c r="H16" s="135">
        <f>Summary!H18</f>
        <v>0.35848147841358718</v>
      </c>
    </row>
    <row r="17" spans="1:28" x14ac:dyDescent="0.25">
      <c r="A17" s="54">
        <f t="shared" si="0"/>
        <v>45592</v>
      </c>
      <c r="B17" s="57">
        <f>Summary!B19</f>
        <v>21</v>
      </c>
      <c r="C17" s="57">
        <f>Summary!C19</f>
        <v>119</v>
      </c>
      <c r="D17" s="57">
        <f>Summary!D19</f>
        <v>347.16999999999996</v>
      </c>
      <c r="E17" s="57">
        <f>Summary!E19</f>
        <v>131.01236587105413</v>
      </c>
      <c r="F17" s="57">
        <f>Summary!F19</f>
        <v>439.39008689358656</v>
      </c>
      <c r="G17" s="57">
        <f>Summary!G19</f>
        <v>1644.3684697177139</v>
      </c>
      <c r="H17" s="135">
        <f>Summary!H19</f>
        <v>0.16029021276257815</v>
      </c>
    </row>
    <row r="18" spans="1:28" x14ac:dyDescent="0.25">
      <c r="A18" s="54">
        <f t="shared" si="0"/>
        <v>45599</v>
      </c>
      <c r="B18" s="57">
        <f>Summary!B20</f>
        <v>23</v>
      </c>
      <c r="C18" s="57">
        <f>Summary!C20</f>
        <v>94</v>
      </c>
      <c r="D18" s="57">
        <f>Summary!D20</f>
        <v>521.29</v>
      </c>
      <c r="E18" s="57">
        <f>Summary!E20</f>
        <v>40.497127490228735</v>
      </c>
      <c r="F18" s="57">
        <f>Summary!F20</f>
        <v>104.52143040838156</v>
      </c>
      <c r="G18" s="57">
        <f>Summary!G20</f>
        <v>582.09000228177877</v>
      </c>
      <c r="H18" s="135">
        <f>Summary!H20</f>
        <v>0.5679415164828544</v>
      </c>
    </row>
    <row r="19" spans="1:28" ht="16.5" thickBot="1" x14ac:dyDescent="0.3">
      <c r="A19" s="54"/>
      <c r="B19" s="57"/>
      <c r="C19" s="57"/>
      <c r="D19" s="57"/>
      <c r="E19" s="57"/>
      <c r="F19" s="57"/>
      <c r="G19" s="57"/>
      <c r="H19" s="607"/>
    </row>
    <row r="20" spans="1:28" ht="17.25" thickTop="1" thickBot="1" x14ac:dyDescent="0.3">
      <c r="A20" s="120" t="s">
        <v>121</v>
      </c>
      <c r="B20" s="121">
        <f t="shared" ref="B20:G20" si="1">SUM(B7:B19)</f>
        <v>1755</v>
      </c>
      <c r="C20" s="121">
        <f t="shared" si="1"/>
        <v>5662</v>
      </c>
      <c r="D20" s="121">
        <f t="shared" si="1"/>
        <v>33705.51</v>
      </c>
      <c r="E20" s="121">
        <f t="shared" si="1"/>
        <v>6368.6004349936075</v>
      </c>
      <c r="F20" s="121">
        <f t="shared" si="1"/>
        <v>18502.854001943702</v>
      </c>
      <c r="G20" s="121">
        <f t="shared" si="1"/>
        <v>112637.90776155332</v>
      </c>
      <c r="H20" s="136">
        <f t="shared" ref="H20" si="2">D20/G20</f>
        <v>0.29923771374866304</v>
      </c>
    </row>
    <row r="21" spans="1:28" ht="16.5" thickBot="1" x14ac:dyDescent="0.3"/>
    <row r="22" spans="1:28" ht="16.5" thickBot="1" x14ac:dyDescent="0.3">
      <c r="B22" s="636" t="s">
        <v>106</v>
      </c>
      <c r="C22" s="637"/>
      <c r="D22" s="637"/>
      <c r="E22" s="637"/>
      <c r="F22" s="636" t="s">
        <v>107</v>
      </c>
      <c r="G22" s="637"/>
      <c r="H22" s="637"/>
      <c r="I22" s="638"/>
      <c r="J22" s="636" t="s">
        <v>102</v>
      </c>
      <c r="K22" s="637"/>
      <c r="L22" s="637"/>
      <c r="M22" s="638"/>
      <c r="R22" s="642">
        <v>2024</v>
      </c>
      <c r="S22" s="643"/>
      <c r="T22" s="644"/>
      <c r="V22" s="642">
        <v>2023</v>
      </c>
      <c r="W22" s="643"/>
      <c r="X22" s="644"/>
      <c r="Z22" s="642">
        <v>2022</v>
      </c>
      <c r="AA22" s="643"/>
      <c r="AB22" s="644"/>
    </row>
    <row r="23" spans="1:28" x14ac:dyDescent="0.25">
      <c r="A23" s="252" t="s">
        <v>69</v>
      </c>
      <c r="B23" s="652" t="s">
        <v>109</v>
      </c>
      <c r="C23" s="639"/>
      <c r="D23" s="629" t="s">
        <v>101</v>
      </c>
      <c r="E23" s="641"/>
      <c r="F23" s="652" t="s">
        <v>109</v>
      </c>
      <c r="G23" s="639"/>
      <c r="H23" s="629" t="s">
        <v>101</v>
      </c>
      <c r="I23" s="641"/>
      <c r="J23" s="652" t="s">
        <v>109</v>
      </c>
      <c r="K23" s="639"/>
      <c r="L23" s="629" t="s">
        <v>101</v>
      </c>
      <c r="M23" s="641"/>
      <c r="N23" s="653" t="s">
        <v>235</v>
      </c>
      <c r="O23" s="633"/>
      <c r="P23" s="723" t="s">
        <v>215</v>
      </c>
      <c r="R23" s="652" t="s">
        <v>109</v>
      </c>
      <c r="S23" s="630"/>
      <c r="T23" s="133" t="s">
        <v>101</v>
      </c>
      <c r="V23" s="652" t="s">
        <v>109</v>
      </c>
      <c r="W23" s="630"/>
      <c r="X23" s="133" t="s">
        <v>101</v>
      </c>
      <c r="Z23" s="652" t="s">
        <v>109</v>
      </c>
      <c r="AA23" s="630"/>
      <c r="AB23" s="133" t="s">
        <v>101</v>
      </c>
    </row>
    <row r="24" spans="1:28" x14ac:dyDescent="0.25">
      <c r="A24" s="101" t="s">
        <v>108</v>
      </c>
      <c r="B24" s="92" t="s">
        <v>118</v>
      </c>
      <c r="C24" s="35" t="s">
        <v>90</v>
      </c>
      <c r="D24" s="29" t="s">
        <v>118</v>
      </c>
      <c r="E24" s="44" t="s">
        <v>90</v>
      </c>
      <c r="F24" s="92" t="s">
        <v>118</v>
      </c>
      <c r="G24" s="35" t="s">
        <v>90</v>
      </c>
      <c r="H24" s="29" t="s">
        <v>118</v>
      </c>
      <c r="I24" s="44" t="s">
        <v>90</v>
      </c>
      <c r="J24" s="92" t="s">
        <v>118</v>
      </c>
      <c r="K24" s="130" t="s">
        <v>90</v>
      </c>
      <c r="L24" s="29" t="s">
        <v>118</v>
      </c>
      <c r="M24" s="44" t="s">
        <v>90</v>
      </c>
      <c r="N24" s="345" t="s">
        <v>208</v>
      </c>
      <c r="O24" s="302" t="s">
        <v>122</v>
      </c>
      <c r="P24" s="724"/>
      <c r="R24" s="92" t="s">
        <v>118</v>
      </c>
      <c r="S24" s="35" t="s">
        <v>90</v>
      </c>
      <c r="T24" s="44" t="s">
        <v>118</v>
      </c>
      <c r="V24" s="92" t="s">
        <v>118</v>
      </c>
      <c r="W24" s="35" t="s">
        <v>90</v>
      </c>
      <c r="X24" s="44" t="s">
        <v>118</v>
      </c>
      <c r="Z24" s="92" t="s">
        <v>118</v>
      </c>
      <c r="AA24" s="29" t="s">
        <v>90</v>
      </c>
      <c r="AB24" s="44" t="s">
        <v>118</v>
      </c>
    </row>
    <row r="25" spans="1:28" x14ac:dyDescent="0.25">
      <c r="A25" s="54">
        <v>45522</v>
      </c>
      <c r="B25" s="48">
        <f>Summary!I9</f>
        <v>0</v>
      </c>
      <c r="C25" s="47">
        <f>Summary!J9</f>
        <v>0</v>
      </c>
      <c r="D25" s="46">
        <f>Summary!N9</f>
        <v>0</v>
      </c>
      <c r="E25" s="505">
        <f>Summary!O9</f>
        <v>0</v>
      </c>
      <c r="F25" s="48">
        <f>Summary!R9</f>
        <v>0</v>
      </c>
      <c r="G25" s="47">
        <f>Summary!S9</f>
        <v>0</v>
      </c>
      <c r="H25" s="46">
        <f>Summary!U9</f>
        <v>0</v>
      </c>
      <c r="I25" s="49">
        <f>Summary!V9</f>
        <v>0</v>
      </c>
      <c r="J25" s="48">
        <f>Summary!W9</f>
        <v>0</v>
      </c>
      <c r="K25" s="738">
        <f>Summary!X9</f>
        <v>0</v>
      </c>
      <c r="L25" s="740">
        <f>Summary!Z9</f>
        <v>0</v>
      </c>
      <c r="M25" s="505">
        <f>Summary!AA9</f>
        <v>0</v>
      </c>
      <c r="N25" s="736">
        <f>Summary!AU37</f>
        <v>0</v>
      </c>
      <c r="O25" s="141">
        <f>Summary!AU65</f>
        <v>0</v>
      </c>
      <c r="P25" s="474">
        <f t="shared" ref="P25:P35" si="3">SUM(B25:D25)/B7</f>
        <v>0</v>
      </c>
      <c r="R25" s="48">
        <v>0</v>
      </c>
      <c r="S25" s="47">
        <v>0</v>
      </c>
      <c r="T25" s="134">
        <v>0</v>
      </c>
      <c r="V25" s="48">
        <v>4.6575593517241227</v>
      </c>
      <c r="W25" s="47">
        <v>0</v>
      </c>
      <c r="X25" s="134">
        <v>0</v>
      </c>
      <c r="Z25" s="48">
        <v>414.90920802591239</v>
      </c>
      <c r="AA25" s="47">
        <v>21.837326738205917</v>
      </c>
      <c r="AB25" s="134">
        <v>0</v>
      </c>
    </row>
    <row r="26" spans="1:28" x14ac:dyDescent="0.25">
      <c r="A26" s="54">
        <f t="shared" ref="A26:A36" si="4">A25+7</f>
        <v>45529</v>
      </c>
      <c r="B26" s="48">
        <f>Summary!I10</f>
        <v>0</v>
      </c>
      <c r="C26" s="47">
        <f>Summary!J10</f>
        <v>0</v>
      </c>
      <c r="D26" s="46">
        <f>Summary!N10</f>
        <v>0</v>
      </c>
      <c r="E26" s="49">
        <f>Summary!O10</f>
        <v>0</v>
      </c>
      <c r="F26" s="48">
        <f>Summary!R10</f>
        <v>0</v>
      </c>
      <c r="G26" s="47">
        <f>Summary!S10</f>
        <v>0</v>
      </c>
      <c r="H26" s="46">
        <f>Summary!U10</f>
        <v>0</v>
      </c>
      <c r="I26" s="49">
        <f>Summary!V10</f>
        <v>0</v>
      </c>
      <c r="J26" s="48">
        <f>Summary!W10</f>
        <v>0</v>
      </c>
      <c r="K26" s="47">
        <f>Summary!X10</f>
        <v>0</v>
      </c>
      <c r="L26" s="739">
        <f>Summary!Z10</f>
        <v>0</v>
      </c>
      <c r="M26" s="49">
        <f>Summary!AA10</f>
        <v>0</v>
      </c>
      <c r="N26" s="736">
        <f>Summary!AU38</f>
        <v>0</v>
      </c>
      <c r="O26" s="141">
        <f>Summary!AU66</f>
        <v>0</v>
      </c>
      <c r="P26" s="482">
        <f t="shared" si="3"/>
        <v>0</v>
      </c>
      <c r="R26" s="48">
        <v>13.224440984968743</v>
      </c>
      <c r="S26" s="47">
        <v>0</v>
      </c>
      <c r="T26" s="134">
        <v>0</v>
      </c>
      <c r="V26" s="48">
        <v>11.238884321952817</v>
      </c>
      <c r="W26" s="47">
        <v>0</v>
      </c>
      <c r="X26" s="134">
        <v>0</v>
      </c>
      <c r="Z26" s="48">
        <v>68.212609217419924</v>
      </c>
      <c r="AA26" s="47">
        <v>10.231891382612989</v>
      </c>
      <c r="AB26" s="134">
        <v>0</v>
      </c>
    </row>
    <row r="27" spans="1:28" x14ac:dyDescent="0.25">
      <c r="A27" s="54">
        <f t="shared" si="4"/>
        <v>45536</v>
      </c>
      <c r="B27" s="48">
        <f>Summary!I11</f>
        <v>8</v>
      </c>
      <c r="C27" s="47">
        <f>Summary!J11</f>
        <v>0</v>
      </c>
      <c r="D27" s="46">
        <f>Summary!N11</f>
        <v>0</v>
      </c>
      <c r="E27" s="49">
        <f>Summary!O11</f>
        <v>0</v>
      </c>
      <c r="F27" s="48">
        <f>Summary!R11</f>
        <v>23.783864996570323</v>
      </c>
      <c r="G27" s="47">
        <f>Summary!S11</f>
        <v>0</v>
      </c>
      <c r="H27" s="46">
        <f>Summary!U11</f>
        <v>0</v>
      </c>
      <c r="I27" s="49">
        <f>Summary!V11</f>
        <v>0</v>
      </c>
      <c r="J27" s="48">
        <f>Summary!W11</f>
        <v>0</v>
      </c>
      <c r="K27" s="47">
        <f>Summary!X11</f>
        <v>0</v>
      </c>
      <c r="L27" s="739">
        <f>Summary!Z11</f>
        <v>0</v>
      </c>
      <c r="M27" s="49">
        <f>Summary!AA11</f>
        <v>0</v>
      </c>
      <c r="N27" s="736">
        <f>Summary!AU39</f>
        <v>53.135000000000005</v>
      </c>
      <c r="O27" s="141">
        <f>Summary!AU67</f>
        <v>0</v>
      </c>
      <c r="P27" s="482">
        <f t="shared" si="3"/>
        <v>0.23529411764705882</v>
      </c>
      <c r="R27" s="48">
        <v>71.130273426037149</v>
      </c>
      <c r="S27" s="47">
        <v>0.79906057130373043</v>
      </c>
      <c r="T27" s="134">
        <v>0</v>
      </c>
      <c r="V27" s="48">
        <v>157.99356735464713</v>
      </c>
      <c r="W27" s="47">
        <v>4.4532133829149174</v>
      </c>
      <c r="X27" s="134">
        <v>0</v>
      </c>
      <c r="Z27" s="48">
        <v>135.90879936899796</v>
      </c>
      <c r="AA27" s="47">
        <v>13.590879936899796</v>
      </c>
      <c r="AB27" s="134">
        <v>3.397719984224949</v>
      </c>
    </row>
    <row r="28" spans="1:28" x14ac:dyDescent="0.25">
      <c r="A28" s="54">
        <f t="shared" si="4"/>
        <v>45543</v>
      </c>
      <c r="B28" s="48">
        <f>Summary!I12</f>
        <v>20</v>
      </c>
      <c r="C28" s="47">
        <f>Summary!J12</f>
        <v>1</v>
      </c>
      <c r="D28" s="46">
        <f>Summary!N12</f>
        <v>0</v>
      </c>
      <c r="E28" s="49">
        <f>Summary!O12</f>
        <v>0</v>
      </c>
      <c r="F28" s="48">
        <f>Summary!R12</f>
        <v>86.242885650952147</v>
      </c>
      <c r="G28" s="47">
        <f>Summary!S12</f>
        <v>4.5390992447869554</v>
      </c>
      <c r="H28" s="46">
        <f>Summary!U12</f>
        <v>0</v>
      </c>
      <c r="I28" s="49">
        <f>Summary!V12</f>
        <v>0</v>
      </c>
      <c r="J28" s="48">
        <f>Summary!W12</f>
        <v>0</v>
      </c>
      <c r="K28" s="47">
        <f>Summary!X12</f>
        <v>0</v>
      </c>
      <c r="L28" s="739">
        <f>Summary!Z12</f>
        <v>0</v>
      </c>
      <c r="M28" s="49">
        <f>Summary!AA12</f>
        <v>0</v>
      </c>
      <c r="N28" s="736">
        <f>Summary!AU40</f>
        <v>27.427</v>
      </c>
      <c r="O28" s="141">
        <f>Summary!AU68</f>
        <v>135.15</v>
      </c>
      <c r="P28" s="482">
        <f t="shared" si="3"/>
        <v>0.55263157894736847</v>
      </c>
      <c r="R28" s="48">
        <v>289.50099314352758</v>
      </c>
      <c r="S28" s="47">
        <v>39.058689131645167</v>
      </c>
      <c r="T28" s="134">
        <v>7.6096563890510751</v>
      </c>
      <c r="V28" s="48">
        <v>363.23220266899608</v>
      </c>
      <c r="W28" s="47">
        <v>8.3687382406206332</v>
      </c>
      <c r="X28" s="134">
        <v>0</v>
      </c>
      <c r="Z28" s="48">
        <v>378.84588113948462</v>
      </c>
      <c r="AA28" s="47">
        <v>36.896417795924634</v>
      </c>
      <c r="AB28" s="134">
        <v>0</v>
      </c>
    </row>
    <row r="29" spans="1:28" x14ac:dyDescent="0.25">
      <c r="A29" s="54">
        <f t="shared" si="4"/>
        <v>45550</v>
      </c>
      <c r="B29" s="48">
        <f>Summary!I13</f>
        <v>53</v>
      </c>
      <c r="C29" s="47">
        <f>Summary!J13</f>
        <v>2</v>
      </c>
      <c r="D29" s="46">
        <f>Summary!N13</f>
        <v>0</v>
      </c>
      <c r="E29" s="49">
        <f>Summary!O13</f>
        <v>0</v>
      </c>
      <c r="F29" s="48">
        <f>Summary!R13</f>
        <v>226.09330035597404</v>
      </c>
      <c r="G29" s="47">
        <f>Summary!S13</f>
        <v>5.5302924698570513</v>
      </c>
      <c r="H29" s="46">
        <f>Summary!U13</f>
        <v>0</v>
      </c>
      <c r="I29" s="49">
        <f>Summary!V13</f>
        <v>0</v>
      </c>
      <c r="J29" s="48">
        <f>Summary!W13</f>
        <v>4.7138367736545197</v>
      </c>
      <c r="K29" s="47">
        <f>Summary!X13</f>
        <v>0</v>
      </c>
      <c r="L29" s="739">
        <f>Summary!Z13</f>
        <v>0</v>
      </c>
      <c r="M29" s="49">
        <f>Summary!AA13</f>
        <v>0</v>
      </c>
      <c r="N29" s="736">
        <f>Summary!AU41</f>
        <v>37.186458333333327</v>
      </c>
      <c r="O29" s="141">
        <f>Summary!AU69</f>
        <v>28.494999999999997</v>
      </c>
      <c r="P29" s="482">
        <f t="shared" si="3"/>
        <v>0.47008547008547008</v>
      </c>
      <c r="R29" s="48">
        <v>802.50746895778343</v>
      </c>
      <c r="S29" s="47">
        <v>52.697354597091547</v>
      </c>
      <c r="T29" s="134">
        <v>8.1807278541047097</v>
      </c>
      <c r="V29" s="48">
        <v>1051.2398871958624</v>
      </c>
      <c r="W29" s="47">
        <v>58.980338437894247</v>
      </c>
      <c r="X29" s="134">
        <v>13.00701006520684</v>
      </c>
      <c r="Z29" s="48">
        <v>1158.274930055808</v>
      </c>
      <c r="AA29" s="47">
        <v>120.08445702032488</v>
      </c>
      <c r="AB29" s="134">
        <v>12.943153076434269</v>
      </c>
    </row>
    <row r="30" spans="1:28" x14ac:dyDescent="0.25">
      <c r="A30" s="54">
        <f t="shared" si="4"/>
        <v>45557</v>
      </c>
      <c r="B30" s="48">
        <f>Summary!I14</f>
        <v>192</v>
      </c>
      <c r="C30" s="47">
        <f>Summary!J14</f>
        <v>12</v>
      </c>
      <c r="D30" s="46">
        <f>Summary!N14</f>
        <v>0</v>
      </c>
      <c r="E30" s="49">
        <f>Summary!O14</f>
        <v>0</v>
      </c>
      <c r="F30" s="48">
        <f>Summary!R14</f>
        <v>524.0855801602155</v>
      </c>
      <c r="G30" s="47">
        <f>Summary!S14</f>
        <v>33.597642360080712</v>
      </c>
      <c r="H30" s="46">
        <f>Summary!U14</f>
        <v>0</v>
      </c>
      <c r="I30" s="49">
        <f>Summary!V14</f>
        <v>0</v>
      </c>
      <c r="J30" s="48">
        <f>Summary!W14</f>
        <v>0</v>
      </c>
      <c r="K30" s="47">
        <f>Summary!X14</f>
        <v>5.9973012878699059</v>
      </c>
      <c r="L30" s="739">
        <f>Summary!Z14</f>
        <v>0</v>
      </c>
      <c r="M30" s="49">
        <f>Summary!AA14</f>
        <v>0</v>
      </c>
      <c r="N30" s="736">
        <f>Summary!AU42</f>
        <v>27.1464606741573</v>
      </c>
      <c r="O30" s="141">
        <f>Summary!AU70</f>
        <v>19.178437500000001</v>
      </c>
      <c r="P30" s="482">
        <f t="shared" si="3"/>
        <v>0.79069767441860461</v>
      </c>
      <c r="R30" s="48">
        <v>1551.378275087905</v>
      </c>
      <c r="S30" s="47">
        <v>122.07797501591965</v>
      </c>
      <c r="T30" s="134">
        <v>3.1041587519871769</v>
      </c>
      <c r="V30" s="48">
        <v>1752.1447701547158</v>
      </c>
      <c r="W30" s="47">
        <v>73.21610334836447</v>
      </c>
      <c r="X30" s="134">
        <v>13.301788095611796</v>
      </c>
      <c r="Z30" s="48">
        <v>2323.9703302370885</v>
      </c>
      <c r="AA30" s="47">
        <v>199.85318629804587</v>
      </c>
      <c r="AB30" s="134">
        <v>34.642181514670966</v>
      </c>
    </row>
    <row r="31" spans="1:28" x14ac:dyDescent="0.25">
      <c r="A31" s="54">
        <f t="shared" si="4"/>
        <v>45564</v>
      </c>
      <c r="B31" s="48">
        <f>Summary!I15</f>
        <v>351</v>
      </c>
      <c r="C31" s="47">
        <f>Summary!J15</f>
        <v>25</v>
      </c>
      <c r="D31" s="46">
        <f>Summary!N15</f>
        <v>0</v>
      </c>
      <c r="E31" s="49">
        <f>Summary!O15</f>
        <v>0</v>
      </c>
      <c r="F31" s="48">
        <f>Summary!R15</f>
        <v>1377.9451525365985</v>
      </c>
      <c r="G31" s="47">
        <f>Summary!S15</f>
        <v>83.575239199584487</v>
      </c>
      <c r="H31" s="46">
        <f>Summary!U15</f>
        <v>0</v>
      </c>
      <c r="I31" s="49">
        <f>Summary!V15</f>
        <v>0</v>
      </c>
      <c r="J31" s="48">
        <f>Summary!W15</f>
        <v>12.87926181797515</v>
      </c>
      <c r="K31" s="47">
        <f>Summary!X15</f>
        <v>12.87926181797515</v>
      </c>
      <c r="L31" s="739">
        <f>Summary!Z15</f>
        <v>0</v>
      </c>
      <c r="M31" s="49">
        <f>Summary!AA15</f>
        <v>0</v>
      </c>
      <c r="N31" s="736">
        <f>Summary!AU43</f>
        <v>17.695297619047619</v>
      </c>
      <c r="O31" s="141">
        <f>Summary!AU71</f>
        <v>16.547222222222224</v>
      </c>
      <c r="P31" s="482">
        <f t="shared" si="3"/>
        <v>1.1325301204819278</v>
      </c>
      <c r="R31" s="48">
        <v>1889.1815186891172</v>
      </c>
      <c r="S31" s="47">
        <v>151.57687443024247</v>
      </c>
      <c r="T31" s="134">
        <v>2.5794567154114501</v>
      </c>
      <c r="V31" s="48">
        <v>1998.3286898561093</v>
      </c>
      <c r="W31" s="47">
        <v>67.267379506488012</v>
      </c>
      <c r="X31" s="134">
        <v>3.1444511953950567</v>
      </c>
      <c r="Z31" s="48">
        <v>2438.0897464329278</v>
      </c>
      <c r="AA31" s="47">
        <v>190.17210145466834</v>
      </c>
      <c r="AB31" s="134">
        <v>35.399066064579458</v>
      </c>
    </row>
    <row r="32" spans="1:28" x14ac:dyDescent="0.25">
      <c r="A32" s="54">
        <f t="shared" si="4"/>
        <v>45571</v>
      </c>
      <c r="B32" s="48">
        <f>Summary!I16</f>
        <v>740</v>
      </c>
      <c r="C32" s="47">
        <f>Summary!J16</f>
        <v>24</v>
      </c>
      <c r="D32" s="46">
        <f>Summary!N16</f>
        <v>2</v>
      </c>
      <c r="E32" s="49">
        <f>Summary!O16</f>
        <v>1</v>
      </c>
      <c r="F32" s="48">
        <f>Summary!R16</f>
        <v>2284.7130333955456</v>
      </c>
      <c r="G32" s="47">
        <f>Summary!S16</f>
        <v>66.646639376445663</v>
      </c>
      <c r="H32" s="46">
        <f>Summary!U16</f>
        <v>6.4388546105281605</v>
      </c>
      <c r="I32" s="49">
        <f>Summary!V16</f>
        <v>3.2194273052640803</v>
      </c>
      <c r="J32" s="48">
        <f>Summary!W16</f>
        <v>9.6582819157922408</v>
      </c>
      <c r="K32" s="47">
        <f>Summary!X16</f>
        <v>3.2194273052640803</v>
      </c>
      <c r="L32" s="739">
        <f>Summary!Z16</f>
        <v>0</v>
      </c>
      <c r="M32" s="49">
        <f>Summary!AA16</f>
        <v>0</v>
      </c>
      <c r="N32" s="736">
        <f>Summary!AU44</f>
        <v>11.182416666666667</v>
      </c>
      <c r="O32" s="141">
        <f>Summary!AU72</f>
        <v>13.718983050847458</v>
      </c>
      <c r="P32" s="482">
        <f t="shared" si="3"/>
        <v>1.6761487964989059</v>
      </c>
      <c r="R32" s="48">
        <v>2791.1333224792111</v>
      </c>
      <c r="S32" s="47">
        <v>307.54011092022057</v>
      </c>
      <c r="T32" s="134">
        <v>19.347045708201829</v>
      </c>
      <c r="V32" s="48">
        <v>2742.9787550082356</v>
      </c>
      <c r="W32" s="47">
        <v>108.88810295301353</v>
      </c>
      <c r="X32" s="134">
        <v>6.4623644043851778</v>
      </c>
      <c r="Z32" s="48">
        <v>2146.0208490857694</v>
      </c>
      <c r="AA32" s="47">
        <v>219.50416044995228</v>
      </c>
      <c r="AB32" s="134">
        <v>9.3794113013543434</v>
      </c>
    </row>
    <row r="33" spans="1:28" x14ac:dyDescent="0.25">
      <c r="A33" s="54">
        <f t="shared" si="4"/>
        <v>45578</v>
      </c>
      <c r="B33" s="48">
        <f>Summary!I17</f>
        <v>548</v>
      </c>
      <c r="C33" s="47">
        <f>Summary!J17</f>
        <v>27</v>
      </c>
      <c r="D33" s="46">
        <f>Summary!N17</f>
        <v>2</v>
      </c>
      <c r="E33" s="49">
        <f>Summary!O17</f>
        <v>0</v>
      </c>
      <c r="F33" s="48">
        <f>Summary!R17</f>
        <v>2149.0356510153288</v>
      </c>
      <c r="G33" s="47">
        <f>Summary!S17</f>
        <v>100.55140274040262</v>
      </c>
      <c r="H33" s="46">
        <f>Summary!U17</f>
        <v>4.7652023881183485</v>
      </c>
      <c r="I33" s="49">
        <f>Summary!V17</f>
        <v>0</v>
      </c>
      <c r="J33" s="48">
        <f>Summary!W17</f>
        <v>24.028528784065195</v>
      </c>
      <c r="K33" s="47">
        <f>Summary!X17</f>
        <v>24.028528784065195</v>
      </c>
      <c r="L33" s="739">
        <f>Summary!Z17</f>
        <v>0</v>
      </c>
      <c r="M33" s="49">
        <f>Summary!AA17</f>
        <v>0</v>
      </c>
      <c r="N33" s="736">
        <f>Summary!AU45</f>
        <v>9.4074516695957815</v>
      </c>
      <c r="O33" s="141">
        <f>Summary!AU73</f>
        <v>18.454499999999999</v>
      </c>
      <c r="P33" s="482">
        <f t="shared" si="3"/>
        <v>1.8918032786885246</v>
      </c>
      <c r="R33" s="48">
        <v>2274.4360342054661</v>
      </c>
      <c r="S33" s="47">
        <v>158.56318012870693</v>
      </c>
      <c r="T33" s="134">
        <v>2.7795419667293277</v>
      </c>
      <c r="V33" s="48">
        <v>1909</v>
      </c>
      <c r="W33" s="47">
        <v>99</v>
      </c>
      <c r="X33" s="134">
        <v>9</v>
      </c>
      <c r="Z33" s="48">
        <v>1060</v>
      </c>
      <c r="AA33" s="47">
        <v>109</v>
      </c>
      <c r="AB33" s="134">
        <v>3</v>
      </c>
    </row>
    <row r="34" spans="1:28" x14ac:dyDescent="0.25">
      <c r="A34" s="54">
        <f t="shared" si="4"/>
        <v>45585</v>
      </c>
      <c r="B34" s="48">
        <f>Summary!I18</f>
        <v>235</v>
      </c>
      <c r="C34" s="47">
        <f>Summary!J18</f>
        <v>22</v>
      </c>
      <c r="D34" s="46">
        <f>Summary!N18</f>
        <v>6</v>
      </c>
      <c r="E34" s="49">
        <f>Summary!O18</f>
        <v>0</v>
      </c>
      <c r="F34" s="48">
        <f>Summary!R18</f>
        <v>627.15471523833014</v>
      </c>
      <c r="G34" s="47">
        <f>Summary!S18</f>
        <v>58.095671688490384</v>
      </c>
      <c r="H34" s="46">
        <f>Summary!U18</f>
        <v>16.737266389751053</v>
      </c>
      <c r="I34" s="49">
        <f>Summary!V18</f>
        <v>0</v>
      </c>
      <c r="J34" s="48">
        <f>Summary!W18</f>
        <v>86.475876347047105</v>
      </c>
      <c r="K34" s="47">
        <f>Summary!X18</f>
        <v>2.789544398291842</v>
      </c>
      <c r="L34" s="739">
        <f>Summary!Z18</f>
        <v>0</v>
      </c>
      <c r="M34" s="49">
        <f>Summary!AA18</f>
        <v>0</v>
      </c>
      <c r="N34" s="736">
        <f>Summary!AU46</f>
        <v>7.7454151624548722</v>
      </c>
      <c r="O34" s="141">
        <f>Summary!AU74</f>
        <v>15.55736842105263</v>
      </c>
      <c r="P34" s="482">
        <f t="shared" si="3"/>
        <v>1.8263888888888888</v>
      </c>
      <c r="R34" s="48">
        <v>446.52415728710275</v>
      </c>
      <c r="S34" s="47">
        <v>71.842359022823459</v>
      </c>
      <c r="T34" s="134">
        <v>2.1416967183252287</v>
      </c>
      <c r="V34" s="48">
        <v>423</v>
      </c>
      <c r="W34" s="47">
        <v>15</v>
      </c>
      <c r="X34" s="134">
        <v>6</v>
      </c>
      <c r="Z34" s="48">
        <v>120</v>
      </c>
      <c r="AA34" s="47">
        <v>0</v>
      </c>
      <c r="AB34" s="134">
        <v>0</v>
      </c>
    </row>
    <row r="35" spans="1:28" x14ac:dyDescent="0.25">
      <c r="A35" s="54">
        <f t="shared" si="4"/>
        <v>45592</v>
      </c>
      <c r="B35" s="48">
        <f>Summary!I19</f>
        <v>31</v>
      </c>
      <c r="C35" s="47">
        <f>Summary!J19</f>
        <v>0</v>
      </c>
      <c r="D35" s="46">
        <f>Summary!N19</f>
        <v>9</v>
      </c>
      <c r="E35" s="49">
        <f>Summary!O19</f>
        <v>1</v>
      </c>
      <c r="F35" s="48">
        <f>Summary!R19</f>
        <v>149.01867838731994</v>
      </c>
      <c r="G35" s="47">
        <f>Summary!S19</f>
        <v>0</v>
      </c>
      <c r="H35" s="46">
        <f>Summary!U19</f>
        <v>36.011712873608346</v>
      </c>
      <c r="I35" s="49">
        <f>Summary!V19</f>
        <v>6.2386840890978155</v>
      </c>
      <c r="J35" s="48">
        <f>Summary!W19</f>
        <v>24.954736356391262</v>
      </c>
      <c r="K35" s="47">
        <f>Summary!X19</f>
        <v>0</v>
      </c>
      <c r="L35" s="739">
        <f>Summary!Z19</f>
        <v>0</v>
      </c>
      <c r="M35" s="49">
        <f>Summary!AA19</f>
        <v>0</v>
      </c>
      <c r="N35" s="736">
        <f>Summary!AU47</f>
        <v>6.4387499999999998</v>
      </c>
      <c r="O35" s="141">
        <f>Summary!AU75</f>
        <v>7.4278947368421049</v>
      </c>
      <c r="P35" s="482">
        <f t="shared" si="3"/>
        <v>1.9047619047619047</v>
      </c>
      <c r="R35" s="48">
        <v>40.266935654277141</v>
      </c>
      <c r="S35" s="47">
        <v>9.6285808970542863</v>
      </c>
      <c r="T35" s="134">
        <v>1.7526120660599931</v>
      </c>
      <c r="V35" s="48">
        <v>54</v>
      </c>
      <c r="W35" s="47">
        <v>0</v>
      </c>
      <c r="X35" s="134">
        <v>0</v>
      </c>
      <c r="Z35" s="48">
        <v>42</v>
      </c>
      <c r="AA35" s="47">
        <v>2</v>
      </c>
      <c r="AB35" s="134">
        <v>3</v>
      </c>
    </row>
    <row r="36" spans="1:28" x14ac:dyDescent="0.25">
      <c r="A36" s="54">
        <f t="shared" si="4"/>
        <v>45599</v>
      </c>
      <c r="B36" s="48">
        <f>Summary!I20</f>
        <v>34</v>
      </c>
      <c r="C36" s="47">
        <f>Summary!J20</f>
        <v>1</v>
      </c>
      <c r="D36" s="46">
        <f>Summary!N20</f>
        <v>12</v>
      </c>
      <c r="E36" s="49">
        <f>Summary!O20</f>
        <v>2</v>
      </c>
      <c r="F36" s="48">
        <f>Summary!R20</f>
        <v>44.82062200539611</v>
      </c>
      <c r="G36" s="47">
        <f>Summary!S20</f>
        <v>0.38915094339622636</v>
      </c>
      <c r="H36" s="46">
        <f>Summary!U20</f>
        <v>13.700929298722341</v>
      </c>
      <c r="I36" s="49">
        <f>Summary!V20</f>
        <v>2.719571520639926</v>
      </c>
      <c r="J36" s="48">
        <f>Summary!W20</f>
        <v>26.411170102323087</v>
      </c>
      <c r="K36" s="47">
        <f>Summary!X20</f>
        <v>0</v>
      </c>
      <c r="L36" s="739">
        <f>Summary!Z20</f>
        <v>0</v>
      </c>
      <c r="M36" s="49">
        <f>Summary!AA20</f>
        <v>0</v>
      </c>
      <c r="N36" s="736">
        <f>Summary!AU48</f>
        <v>6.7010000000000005</v>
      </c>
      <c r="O36" s="141">
        <f>Summary!AU76</f>
        <v>6.8445945945945947</v>
      </c>
      <c r="P36" s="482">
        <f t="shared" ref="P36" si="5">SUM(B36:D36)/B18</f>
        <v>2.0434782608695654</v>
      </c>
      <c r="R36" s="48">
        <v>31.82095023442929</v>
      </c>
      <c r="S36" s="47">
        <v>24.070366132723112</v>
      </c>
      <c r="T36" s="134">
        <v>8.82309686172146</v>
      </c>
      <c r="V36" s="48">
        <v>38</v>
      </c>
      <c r="W36" s="47">
        <v>9</v>
      </c>
      <c r="X36" s="134">
        <v>29</v>
      </c>
      <c r="Z36" s="48">
        <v>21</v>
      </c>
      <c r="AA36" s="47">
        <v>0</v>
      </c>
      <c r="AB36" s="134">
        <v>48</v>
      </c>
    </row>
    <row r="37" spans="1:28" x14ac:dyDescent="0.25">
      <c r="A37" s="54"/>
      <c r="B37" s="48"/>
      <c r="C37" s="47"/>
      <c r="D37" s="46"/>
      <c r="E37" s="49"/>
      <c r="F37" s="48"/>
      <c r="G37" s="47"/>
      <c r="H37" s="46"/>
      <c r="I37" s="49"/>
      <c r="J37" s="132"/>
      <c r="K37" s="151"/>
      <c r="L37" s="737"/>
      <c r="M37" s="582"/>
      <c r="N37" s="736"/>
      <c r="O37" s="141"/>
      <c r="P37" s="482"/>
      <c r="R37" s="48">
        <v>2.6460859977949278</v>
      </c>
      <c r="S37" s="47">
        <v>0</v>
      </c>
      <c r="T37" s="134">
        <v>25.531607627215521</v>
      </c>
      <c r="V37" s="48">
        <v>9</v>
      </c>
      <c r="W37" s="47">
        <v>0</v>
      </c>
      <c r="X37" s="134">
        <v>11</v>
      </c>
      <c r="Z37" s="48">
        <v>9</v>
      </c>
      <c r="AA37" s="47">
        <v>10</v>
      </c>
      <c r="AB37" s="134">
        <v>23</v>
      </c>
    </row>
    <row r="38" spans="1:28" ht="16.5" thickBot="1" x14ac:dyDescent="0.3">
      <c r="A38" s="54"/>
      <c r="B38" s="48"/>
      <c r="C38" s="47"/>
      <c r="D38" s="46"/>
      <c r="E38" s="49"/>
      <c r="F38" s="48"/>
      <c r="G38" s="47"/>
      <c r="H38" s="46"/>
      <c r="I38" s="49"/>
      <c r="J38" s="132"/>
      <c r="K38" s="584"/>
      <c r="L38" s="737"/>
      <c r="M38" s="582"/>
      <c r="N38" s="736"/>
      <c r="O38" s="141"/>
      <c r="P38" s="526"/>
      <c r="R38" s="48">
        <v>0</v>
      </c>
      <c r="S38" s="47">
        <v>0</v>
      </c>
      <c r="T38" s="134">
        <v>28</v>
      </c>
      <c r="V38" s="48">
        <v>0</v>
      </c>
      <c r="W38" s="47">
        <v>0</v>
      </c>
      <c r="X38" s="134">
        <v>0</v>
      </c>
      <c r="Z38" s="48">
        <v>0</v>
      </c>
      <c r="AA38" s="47">
        <v>0</v>
      </c>
      <c r="AB38" s="134">
        <v>0</v>
      </c>
    </row>
    <row r="39" spans="1:28" ht="17.25" thickTop="1" thickBot="1" x14ac:dyDescent="0.3">
      <c r="A39" s="120" t="s">
        <v>121</v>
      </c>
      <c r="B39" s="124">
        <f t="shared" ref="B39:K39" si="6">SUM(B25:B38)</f>
        <v>2212</v>
      </c>
      <c r="C39" s="123">
        <f t="shared" si="6"/>
        <v>114</v>
      </c>
      <c r="D39" s="122">
        <f t="shared" si="6"/>
        <v>31</v>
      </c>
      <c r="E39" s="119">
        <f t="shared" si="6"/>
        <v>4</v>
      </c>
      <c r="F39" s="124">
        <f t="shared" si="6"/>
        <v>7492.8934837422312</v>
      </c>
      <c r="G39" s="123">
        <f t="shared" si="6"/>
        <v>352.9251380230441</v>
      </c>
      <c r="H39" s="122">
        <f t="shared" si="6"/>
        <v>77.653965560728253</v>
      </c>
      <c r="I39" s="119">
        <f t="shared" si="6"/>
        <v>12.177682915001823</v>
      </c>
      <c r="J39" s="124">
        <f t="shared" si="6"/>
        <v>189.12169209724857</v>
      </c>
      <c r="K39" s="123">
        <f t="shared" si="6"/>
        <v>48.914063593466174</v>
      </c>
      <c r="L39" s="118">
        <f>SUM(L25:L38)</f>
        <v>0</v>
      </c>
      <c r="M39" s="119">
        <f>SUM(M25:M36)</f>
        <v>0</v>
      </c>
      <c r="N39" s="525"/>
      <c r="O39" s="525"/>
      <c r="P39" s="527"/>
      <c r="R39" s="621">
        <v>10203.75045614762</v>
      </c>
      <c r="S39" s="123">
        <v>937.85455084773093</v>
      </c>
      <c r="T39" s="350">
        <v>109.44151285545105</v>
      </c>
      <c r="V39" s="124">
        <v>10515</v>
      </c>
      <c r="W39" s="123">
        <v>444</v>
      </c>
      <c r="X39" s="350">
        <v>91</v>
      </c>
      <c r="Y39" s="31"/>
      <c r="Z39" s="124">
        <v>10317</v>
      </c>
      <c r="AA39" s="123">
        <v>933</v>
      </c>
      <c r="AB39" s="350">
        <v>172</v>
      </c>
    </row>
  </sheetData>
  <mergeCells count="19">
    <mergeCell ref="N23:O23"/>
    <mergeCell ref="B5:D5"/>
    <mergeCell ref="E5:G5"/>
    <mergeCell ref="B23:C23"/>
    <mergeCell ref="F23:G23"/>
    <mergeCell ref="D23:E23"/>
    <mergeCell ref="H23:I23"/>
    <mergeCell ref="B22:E22"/>
    <mergeCell ref="F22:I22"/>
    <mergeCell ref="J23:K23"/>
    <mergeCell ref="L23:M23"/>
    <mergeCell ref="J22:M22"/>
    <mergeCell ref="Z22:AB22"/>
    <mergeCell ref="Z23:AA23"/>
    <mergeCell ref="V22:X22"/>
    <mergeCell ref="V23:W23"/>
    <mergeCell ref="P23:P24"/>
    <mergeCell ref="R22:T22"/>
    <mergeCell ref="R23:S23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G46"/>
  <sheetViews>
    <sheetView zoomScale="75" workbookViewId="0">
      <pane xSplit="1" ySplit="6" topLeftCell="B7" activePane="bottomRight" state="frozen"/>
      <selection pane="topRight" activeCell="B1" sqref="B1"/>
      <selection pane="bottomLeft" activeCell="A7" sqref="A7"/>
      <selection pane="bottomRight" activeCell="F10" sqref="F10"/>
    </sheetView>
  </sheetViews>
  <sheetFormatPr defaultRowHeight="12.75" x14ac:dyDescent="0.2"/>
  <sheetData>
    <row r="1" spans="1:33" x14ac:dyDescent="0.2">
      <c r="E1" s="4"/>
      <c r="F1" s="4"/>
      <c r="G1" s="4"/>
    </row>
    <row r="3" spans="1:33" ht="13.5" thickBot="1" x14ac:dyDescent="0.25">
      <c r="A3" s="3" t="s">
        <v>126</v>
      </c>
      <c r="T3" s="3" t="s">
        <v>127</v>
      </c>
    </row>
    <row r="4" spans="1:33" ht="16.5" thickBot="1" x14ac:dyDescent="0.3">
      <c r="A4" s="21"/>
      <c r="B4" s="22"/>
      <c r="C4" s="22"/>
      <c r="D4" s="23"/>
      <c r="E4" s="658" t="s">
        <v>103</v>
      </c>
      <c r="F4" s="659"/>
      <c r="G4" s="659"/>
      <c r="H4" s="659"/>
      <c r="I4" s="659"/>
      <c r="J4" s="659"/>
      <c r="K4" s="659"/>
      <c r="L4" s="659"/>
      <c r="M4" s="659"/>
      <c r="N4" s="659"/>
      <c r="O4" s="659"/>
      <c r="P4" s="659"/>
      <c r="Q4" s="659"/>
      <c r="R4" s="660"/>
      <c r="T4" s="658" t="s">
        <v>103</v>
      </c>
      <c r="U4" s="659"/>
      <c r="V4" s="659"/>
      <c r="W4" s="659"/>
      <c r="X4" s="659"/>
      <c r="Y4" s="659"/>
      <c r="Z4" s="659"/>
      <c r="AA4" s="659"/>
      <c r="AB4" s="659"/>
      <c r="AC4" s="659"/>
      <c r="AD4" s="659"/>
      <c r="AE4" s="659"/>
      <c r="AF4" s="659"/>
      <c r="AG4" s="660"/>
    </row>
    <row r="5" spans="1:33" x14ac:dyDescent="0.2">
      <c r="A5" s="61" t="s">
        <v>69</v>
      </c>
      <c r="D5" s="11"/>
      <c r="E5" s="725" t="s">
        <v>112</v>
      </c>
      <c r="F5" s="726"/>
      <c r="G5" s="726"/>
      <c r="H5" s="726"/>
      <c r="I5" s="727" t="s">
        <v>107</v>
      </c>
      <c r="J5" s="726"/>
      <c r="K5" s="728"/>
      <c r="L5" s="729" t="s">
        <v>113</v>
      </c>
      <c r="M5" s="729"/>
      <c r="N5" s="729"/>
      <c r="O5" s="729"/>
      <c r="P5" s="730" t="s">
        <v>114</v>
      </c>
      <c r="Q5" s="729"/>
      <c r="R5" s="731"/>
      <c r="T5" s="725" t="s">
        <v>112</v>
      </c>
      <c r="U5" s="726"/>
      <c r="V5" s="726"/>
      <c r="W5" s="726"/>
      <c r="X5" s="727" t="s">
        <v>107</v>
      </c>
      <c r="Y5" s="726"/>
      <c r="Z5" s="728"/>
      <c r="AA5" s="729" t="s">
        <v>113</v>
      </c>
      <c r="AB5" s="729"/>
      <c r="AC5" s="729"/>
      <c r="AD5" s="729"/>
      <c r="AE5" s="730" t="s">
        <v>114</v>
      </c>
      <c r="AF5" s="729"/>
      <c r="AG5" s="731"/>
    </row>
    <row r="6" spans="1:33" x14ac:dyDescent="0.2">
      <c r="A6" s="65" t="s">
        <v>108</v>
      </c>
      <c r="B6" s="2"/>
      <c r="C6" s="2"/>
      <c r="D6" s="66"/>
      <c r="E6" s="17" t="s">
        <v>111</v>
      </c>
      <c r="F6" s="18" t="s">
        <v>110</v>
      </c>
      <c r="G6" s="18" t="s">
        <v>96</v>
      </c>
      <c r="H6" s="18" t="s">
        <v>104</v>
      </c>
      <c r="I6" s="10" t="s">
        <v>111</v>
      </c>
      <c r="J6" s="18" t="s">
        <v>110</v>
      </c>
      <c r="K6" s="19" t="s">
        <v>96</v>
      </c>
      <c r="L6" s="14" t="s">
        <v>111</v>
      </c>
      <c r="M6" s="14" t="s">
        <v>110</v>
      </c>
      <c r="N6" s="14" t="s">
        <v>96</v>
      </c>
      <c r="O6" s="14" t="s">
        <v>104</v>
      </c>
      <c r="P6" s="15" t="s">
        <v>111</v>
      </c>
      <c r="Q6" s="14" t="s">
        <v>110</v>
      </c>
      <c r="R6" s="16" t="s">
        <v>96</v>
      </c>
      <c r="T6" s="17" t="s">
        <v>111</v>
      </c>
      <c r="U6" s="18" t="s">
        <v>110</v>
      </c>
      <c r="V6" s="18" t="s">
        <v>96</v>
      </c>
      <c r="W6" s="18" t="s">
        <v>104</v>
      </c>
      <c r="X6" s="10" t="s">
        <v>111</v>
      </c>
      <c r="Y6" s="18" t="s">
        <v>110</v>
      </c>
      <c r="Z6" s="19" t="s">
        <v>96</v>
      </c>
      <c r="AA6" s="14" t="s">
        <v>111</v>
      </c>
      <c r="AB6" s="14" t="s">
        <v>110</v>
      </c>
      <c r="AC6" s="14" t="s">
        <v>96</v>
      </c>
      <c r="AD6" s="14" t="s">
        <v>104</v>
      </c>
      <c r="AE6" s="15" t="s">
        <v>111</v>
      </c>
      <c r="AF6" s="14" t="s">
        <v>110</v>
      </c>
      <c r="AG6" s="16" t="s">
        <v>96</v>
      </c>
    </row>
    <row r="7" spans="1:33" x14ac:dyDescent="0.2">
      <c r="A7" s="62">
        <f>Summary!A38</f>
        <v>45529</v>
      </c>
      <c r="E7" s="12">
        <f>Harvest!AW31</f>
        <v>0</v>
      </c>
      <c r="F7" s="5">
        <f>Harvest!AX31</f>
        <v>0</v>
      </c>
      <c r="G7" s="5">
        <f>Harvest!AY31</f>
        <v>0</v>
      </c>
      <c r="H7" s="5">
        <f>Harvest!AZ31</f>
        <v>0</v>
      </c>
      <c r="I7" s="9">
        <f>Harvest!BA31</f>
        <v>0</v>
      </c>
      <c r="J7" s="5">
        <f>Harvest!BB31</f>
        <v>0</v>
      </c>
      <c r="K7" s="13">
        <f>Harvest!BC31</f>
        <v>0</v>
      </c>
      <c r="L7" s="547">
        <f>Harvest!BE32</f>
        <v>0</v>
      </c>
      <c r="M7" s="548">
        <f>Harvest!BF32</f>
        <v>0</v>
      </c>
      <c r="N7" s="548">
        <f>Harvest!BG32</f>
        <v>0</v>
      </c>
      <c r="O7" s="549">
        <f>Harvest!BH32</f>
        <v>0</v>
      </c>
      <c r="P7" s="547">
        <f>Harvest!BI32</f>
        <v>0</v>
      </c>
      <c r="Q7" s="548">
        <f>Harvest!BJ32</f>
        <v>0</v>
      </c>
      <c r="R7" s="549">
        <f>Harvest!BK32</f>
        <v>0</v>
      </c>
      <c r="T7" s="67">
        <f>Harvest!BU31</f>
        <v>0</v>
      </c>
      <c r="U7" s="4">
        <f>Harvest!BV31</f>
        <v>0</v>
      </c>
      <c r="V7" s="4">
        <f>Harvest!BW31</f>
        <v>0</v>
      </c>
      <c r="W7" s="4">
        <f>Harvest!BX31</f>
        <v>0</v>
      </c>
      <c r="X7" s="68">
        <f>Harvest!BY31</f>
        <v>0</v>
      </c>
      <c r="Y7" s="4">
        <f>Harvest!BZ31</f>
        <v>0</v>
      </c>
      <c r="Z7" s="69">
        <f>Harvest!CA31</f>
        <v>0</v>
      </c>
      <c r="AA7" s="4" t="e">
        <f>Harvest!#REF!</f>
        <v>#REF!</v>
      </c>
      <c r="AB7" s="4" t="e">
        <f>Harvest!#REF!</f>
        <v>#REF!</v>
      </c>
      <c r="AC7" s="4" t="e">
        <f>Harvest!#REF!</f>
        <v>#REF!</v>
      </c>
      <c r="AD7" s="4" t="e">
        <f>Harvest!#REF!</f>
        <v>#REF!</v>
      </c>
      <c r="AE7" s="68" t="e">
        <f>Harvest!#REF!</f>
        <v>#REF!</v>
      </c>
      <c r="AF7" s="4" t="e">
        <f>Harvest!#REF!</f>
        <v>#REF!</v>
      </c>
      <c r="AG7" s="69" t="e">
        <f>Harvest!#REF!</f>
        <v>#REF!</v>
      </c>
    </row>
    <row r="8" spans="1:33" x14ac:dyDescent="0.2">
      <c r="A8" s="62">
        <f>Summary!A39</f>
        <v>45536</v>
      </c>
      <c r="E8" s="82">
        <f>Harvest!AW41</f>
        <v>0</v>
      </c>
      <c r="F8" s="83">
        <f>Harvest!AX41</f>
        <v>0</v>
      </c>
      <c r="G8" s="83">
        <f>Harvest!AY41</f>
        <v>0</v>
      </c>
      <c r="H8" s="83">
        <f>Harvest!AZ41</f>
        <v>0</v>
      </c>
      <c r="I8" s="84">
        <f>Harvest!BA41</f>
        <v>0</v>
      </c>
      <c r="J8" s="83">
        <f>Harvest!BB41</f>
        <v>0</v>
      </c>
      <c r="K8" s="85">
        <f>Harvest!BC41</f>
        <v>0</v>
      </c>
      <c r="L8" s="78">
        <f>Harvest!AW42</f>
        <v>0</v>
      </c>
      <c r="M8" s="79">
        <f>Harvest!AX42</f>
        <v>0</v>
      </c>
      <c r="N8" s="79">
        <f>Harvest!AY42</f>
        <v>0</v>
      </c>
      <c r="O8" s="81">
        <f>Harvest!AZ42</f>
        <v>0</v>
      </c>
      <c r="P8" s="78">
        <f>Harvest!BA42</f>
        <v>0</v>
      </c>
      <c r="Q8" s="79">
        <f>Harvest!BB42</f>
        <v>0</v>
      </c>
      <c r="R8" s="81">
        <f>Harvest!BC42</f>
        <v>0</v>
      </c>
      <c r="T8" s="67">
        <f>Harvest!BU41</f>
        <v>0</v>
      </c>
      <c r="U8" s="4">
        <f>Harvest!BV41</f>
        <v>0</v>
      </c>
      <c r="V8" s="4">
        <f>Harvest!BW41</f>
        <v>0</v>
      </c>
      <c r="W8" s="4">
        <f>Harvest!BX41</f>
        <v>0</v>
      </c>
      <c r="X8" s="68">
        <f>Harvest!BY41</f>
        <v>0</v>
      </c>
      <c r="Y8" s="4">
        <f>Harvest!BZ41</f>
        <v>0</v>
      </c>
      <c r="Z8" s="69">
        <f>Harvest!CA41</f>
        <v>0</v>
      </c>
      <c r="AA8" s="4" t="e">
        <f>Harvest!#REF!</f>
        <v>#REF!</v>
      </c>
      <c r="AB8" s="4" t="e">
        <f>Harvest!#REF!</f>
        <v>#REF!</v>
      </c>
      <c r="AC8" s="4" t="e">
        <f>Harvest!#REF!</f>
        <v>#REF!</v>
      </c>
      <c r="AD8" s="4" t="e">
        <f>Harvest!#REF!</f>
        <v>#REF!</v>
      </c>
      <c r="AE8" s="68" t="e">
        <f>Harvest!#REF!</f>
        <v>#REF!</v>
      </c>
      <c r="AF8" s="4" t="e">
        <f>Harvest!#REF!</f>
        <v>#REF!</v>
      </c>
      <c r="AG8" s="69" t="e">
        <f>Harvest!#REF!</f>
        <v>#REF!</v>
      </c>
    </row>
    <row r="9" spans="1:33" x14ac:dyDescent="0.2">
      <c r="A9" s="62">
        <f>Summary!A40</f>
        <v>45543</v>
      </c>
      <c r="E9" s="82">
        <f>Harvest!AW51</f>
        <v>0</v>
      </c>
      <c r="F9" s="83">
        <f>Harvest!AX51</f>
        <v>0</v>
      </c>
      <c r="G9" s="83">
        <f>Harvest!AY51</f>
        <v>0</v>
      </c>
      <c r="H9" s="83">
        <f>Harvest!AZ51</f>
        <v>0</v>
      </c>
      <c r="I9" s="84">
        <f>Harvest!BA51</f>
        <v>0</v>
      </c>
      <c r="J9" s="83">
        <f>Harvest!BB51</f>
        <v>0</v>
      </c>
      <c r="K9" s="85">
        <f>Harvest!BC51</f>
        <v>0</v>
      </c>
      <c r="L9" s="78">
        <f>Harvest!BE34</f>
        <v>0</v>
      </c>
      <c r="M9" s="79">
        <f>Harvest!BF34</f>
        <v>0</v>
      </c>
      <c r="N9" s="79">
        <f>Harvest!BG34</f>
        <v>0</v>
      </c>
      <c r="O9" s="81">
        <f>Harvest!BH34</f>
        <v>0</v>
      </c>
      <c r="P9" s="78">
        <f>Harvest!BI34</f>
        <v>0</v>
      </c>
      <c r="Q9" s="79">
        <f>Harvest!BJ34</f>
        <v>0</v>
      </c>
      <c r="R9" s="81">
        <f>Harvest!BK34</f>
        <v>0</v>
      </c>
      <c r="T9" s="67">
        <f>Harvest!BU51</f>
        <v>0</v>
      </c>
      <c r="U9" s="4">
        <f>Harvest!BV51</f>
        <v>0</v>
      </c>
      <c r="V9" s="4">
        <f>Harvest!BW51</f>
        <v>0</v>
      </c>
      <c r="W9" s="4">
        <f>Harvest!BX51</f>
        <v>0</v>
      </c>
      <c r="X9" s="68">
        <f>Harvest!BY51</f>
        <v>0</v>
      </c>
      <c r="Y9" s="4">
        <f>Harvest!BZ51</f>
        <v>0</v>
      </c>
      <c r="Z9" s="69">
        <f>Harvest!CA51</f>
        <v>0</v>
      </c>
      <c r="AA9" s="4" t="e">
        <f>Harvest!#REF!</f>
        <v>#REF!</v>
      </c>
      <c r="AB9" s="4" t="e">
        <f>Harvest!#REF!</f>
        <v>#REF!</v>
      </c>
      <c r="AC9" s="4" t="e">
        <f>Harvest!#REF!</f>
        <v>#REF!</v>
      </c>
      <c r="AD9" s="4" t="e">
        <f>Harvest!#REF!</f>
        <v>#REF!</v>
      </c>
      <c r="AE9" s="68" t="e">
        <f>Harvest!#REF!</f>
        <v>#REF!</v>
      </c>
      <c r="AF9" s="4" t="e">
        <f>Harvest!#REF!</f>
        <v>#REF!</v>
      </c>
      <c r="AG9" s="69" t="e">
        <f>Harvest!#REF!</f>
        <v>#REF!</v>
      </c>
    </row>
    <row r="10" spans="1:33" x14ac:dyDescent="0.2">
      <c r="A10" s="62">
        <f>Summary!A41</f>
        <v>45550</v>
      </c>
      <c r="E10" s="82">
        <f>Harvest!AW61</f>
        <v>0</v>
      </c>
      <c r="F10" s="83">
        <f>Harvest!AX61</f>
        <v>1</v>
      </c>
      <c r="G10" s="83">
        <f>Harvest!AY61</f>
        <v>1</v>
      </c>
      <c r="H10" s="83">
        <f>Harvest!AZ61</f>
        <v>0</v>
      </c>
      <c r="I10" s="84">
        <f>Harvest!BA61</f>
        <v>0</v>
      </c>
      <c r="J10" s="83">
        <f>Harvest!BB61</f>
        <v>0</v>
      </c>
      <c r="K10" s="85">
        <f>Harvest!BC61</f>
        <v>0</v>
      </c>
      <c r="L10" s="78">
        <f>Harvest!AW44</f>
        <v>0</v>
      </c>
      <c r="M10" s="79">
        <f>Harvest!AX44</f>
        <v>0</v>
      </c>
      <c r="N10" s="79">
        <f>Harvest!AY44</f>
        <v>0</v>
      </c>
      <c r="O10" s="81">
        <f>Harvest!AZ44</f>
        <v>0</v>
      </c>
      <c r="P10" s="78">
        <f>Harvest!BA44</f>
        <v>0</v>
      </c>
      <c r="Q10" s="79">
        <f>Harvest!BB44</f>
        <v>0</v>
      </c>
      <c r="R10" s="81">
        <f>Harvest!BC44</f>
        <v>0</v>
      </c>
      <c r="T10" s="67">
        <f>Harvest!BU61</f>
        <v>0</v>
      </c>
      <c r="U10" s="4">
        <f>Harvest!BV61</f>
        <v>0</v>
      </c>
      <c r="V10" s="4">
        <f>Harvest!BW61</f>
        <v>0</v>
      </c>
      <c r="W10" s="4">
        <f>Harvest!BX61</f>
        <v>0</v>
      </c>
      <c r="X10" s="68">
        <f>Harvest!BY61</f>
        <v>0</v>
      </c>
      <c r="Y10" s="4">
        <f>Harvest!BZ61</f>
        <v>0</v>
      </c>
      <c r="Z10" s="69">
        <f>Harvest!CA61</f>
        <v>0</v>
      </c>
      <c r="AA10" s="4" t="e">
        <f>Harvest!#REF!</f>
        <v>#REF!</v>
      </c>
      <c r="AB10" s="4" t="e">
        <f>Harvest!#REF!</f>
        <v>#REF!</v>
      </c>
      <c r="AC10" s="4" t="e">
        <f>Harvest!#REF!</f>
        <v>#REF!</v>
      </c>
      <c r="AD10" s="4" t="e">
        <f>Harvest!#REF!</f>
        <v>#REF!</v>
      </c>
      <c r="AE10" s="68" t="e">
        <f>Harvest!#REF!</f>
        <v>#REF!</v>
      </c>
      <c r="AF10" s="4" t="e">
        <f>Harvest!#REF!</f>
        <v>#REF!</v>
      </c>
      <c r="AG10" s="69" t="e">
        <f>Harvest!#REF!</f>
        <v>#REF!</v>
      </c>
    </row>
    <row r="11" spans="1:33" x14ac:dyDescent="0.2">
      <c r="A11" s="62">
        <f>Summary!A42</f>
        <v>45557</v>
      </c>
      <c r="B11" s="4"/>
      <c r="C11" s="4"/>
      <c r="D11" s="74"/>
      <c r="E11" s="82">
        <f>Harvest!AW71</f>
        <v>0</v>
      </c>
      <c r="F11" s="83">
        <f>Harvest!AX71</f>
        <v>0</v>
      </c>
      <c r="G11" s="83">
        <f>Harvest!AY71</f>
        <v>1</v>
      </c>
      <c r="H11" s="83">
        <f>Harvest!AZ71</f>
        <v>0</v>
      </c>
      <c r="I11" s="84">
        <f>Harvest!BA71</f>
        <v>0</v>
      </c>
      <c r="J11" s="83">
        <f>Harvest!BB71</f>
        <v>0</v>
      </c>
      <c r="K11" s="85">
        <f>Harvest!BC71</f>
        <v>0</v>
      </c>
      <c r="L11" s="78">
        <f>Harvest!BE36</f>
        <v>0</v>
      </c>
      <c r="M11" s="79">
        <f>Harvest!BF36</f>
        <v>0</v>
      </c>
      <c r="N11" s="79">
        <f>Harvest!BG36</f>
        <v>0</v>
      </c>
      <c r="O11" s="81">
        <f>Harvest!BH36</f>
        <v>0</v>
      </c>
      <c r="P11" s="78">
        <f>Harvest!BI36</f>
        <v>0</v>
      </c>
      <c r="Q11" s="79">
        <f>Harvest!BJ36</f>
        <v>0</v>
      </c>
      <c r="R11" s="81">
        <f>Harvest!BK36</f>
        <v>0</v>
      </c>
      <c r="T11" s="67">
        <f>Harvest!BU71</f>
        <v>0</v>
      </c>
      <c r="U11" s="4">
        <f>Harvest!BV71</f>
        <v>0</v>
      </c>
      <c r="V11" s="4">
        <f>Harvest!BW71</f>
        <v>0</v>
      </c>
      <c r="W11" s="4">
        <f>Harvest!BX71</f>
        <v>0</v>
      </c>
      <c r="X11" s="68">
        <f>Harvest!BY71</f>
        <v>0</v>
      </c>
      <c r="Y11" s="4">
        <f>Harvest!BZ71</f>
        <v>0</v>
      </c>
      <c r="Z11" s="69">
        <f>Harvest!CA71</f>
        <v>0</v>
      </c>
      <c r="AA11" s="4" t="e">
        <f>Harvest!#REF!</f>
        <v>#REF!</v>
      </c>
      <c r="AB11" s="4" t="e">
        <f>Harvest!#REF!</f>
        <v>#REF!</v>
      </c>
      <c r="AC11" s="4" t="e">
        <f>Harvest!#REF!</f>
        <v>#REF!</v>
      </c>
      <c r="AD11" s="4" t="e">
        <f>Harvest!#REF!</f>
        <v>#REF!</v>
      </c>
      <c r="AE11" s="68" t="e">
        <f>Harvest!#REF!</f>
        <v>#REF!</v>
      </c>
      <c r="AF11" s="4" t="e">
        <f>Harvest!#REF!</f>
        <v>#REF!</v>
      </c>
      <c r="AG11" s="69" t="e">
        <f>Harvest!#REF!</f>
        <v>#REF!</v>
      </c>
    </row>
    <row r="12" spans="1:33" x14ac:dyDescent="0.2">
      <c r="A12" s="62">
        <f>Summary!A43</f>
        <v>45564</v>
      </c>
      <c r="B12" s="4"/>
      <c r="C12" s="4"/>
      <c r="D12" s="74"/>
      <c r="E12" s="82">
        <f>Harvest!AW81</f>
        <v>0</v>
      </c>
      <c r="F12" s="83">
        <f>Harvest!AX81</f>
        <v>0</v>
      </c>
      <c r="G12" s="83">
        <f>Harvest!AY81</f>
        <v>2</v>
      </c>
      <c r="H12" s="83">
        <f>Harvest!AZ81</f>
        <v>1</v>
      </c>
      <c r="I12" s="84">
        <f>Harvest!BA81</f>
        <v>0</v>
      </c>
      <c r="J12" s="83">
        <f>Harvest!BB81</f>
        <v>0</v>
      </c>
      <c r="K12" s="85">
        <f>Harvest!BC81</f>
        <v>0</v>
      </c>
      <c r="L12" s="78">
        <f>Harvest!AW46</f>
        <v>0</v>
      </c>
      <c r="M12" s="79">
        <f>Harvest!AX46</f>
        <v>0</v>
      </c>
      <c r="N12" s="79">
        <f>Harvest!AY46</f>
        <v>0</v>
      </c>
      <c r="O12" s="81">
        <f>Harvest!AZ46</f>
        <v>0</v>
      </c>
      <c r="P12" s="78">
        <f>Harvest!BA46</f>
        <v>0</v>
      </c>
      <c r="Q12" s="79">
        <f>Harvest!BB46</f>
        <v>0</v>
      </c>
      <c r="R12" s="81">
        <f>Harvest!BC46</f>
        <v>0</v>
      </c>
      <c r="T12" s="67">
        <f>Harvest!BU81</f>
        <v>0</v>
      </c>
      <c r="U12" s="4">
        <f>Harvest!BV81</f>
        <v>0</v>
      </c>
      <c r="V12" s="4">
        <f>Harvest!BW81</f>
        <v>0</v>
      </c>
      <c r="W12" s="4">
        <f>Harvest!BX81</f>
        <v>0</v>
      </c>
      <c r="X12" s="68">
        <f>Harvest!BY81</f>
        <v>0</v>
      </c>
      <c r="Y12" s="4">
        <f>Harvest!BZ81</f>
        <v>0</v>
      </c>
      <c r="Z12" s="69">
        <f>Harvest!CA81</f>
        <v>0</v>
      </c>
      <c r="AA12" s="4" t="e">
        <f>Harvest!#REF!</f>
        <v>#REF!</v>
      </c>
      <c r="AB12" s="4" t="e">
        <f>Harvest!#REF!</f>
        <v>#REF!</v>
      </c>
      <c r="AC12" s="4" t="e">
        <f>Harvest!#REF!</f>
        <v>#REF!</v>
      </c>
      <c r="AD12" s="4" t="e">
        <f>Harvest!#REF!</f>
        <v>#REF!</v>
      </c>
      <c r="AE12" s="68" t="e">
        <f>Harvest!#REF!</f>
        <v>#REF!</v>
      </c>
      <c r="AF12" s="4" t="e">
        <f>Harvest!#REF!</f>
        <v>#REF!</v>
      </c>
      <c r="AG12" s="69" t="e">
        <f>Harvest!#REF!</f>
        <v>#REF!</v>
      </c>
    </row>
    <row r="13" spans="1:33" x14ac:dyDescent="0.2">
      <c r="A13" s="62">
        <f>Summary!A44</f>
        <v>45571</v>
      </c>
      <c r="B13" s="4"/>
      <c r="C13" s="4"/>
      <c r="D13" s="74"/>
      <c r="E13" s="82">
        <f>Harvest!AW91</f>
        <v>0</v>
      </c>
      <c r="F13" s="83">
        <f>Harvest!AX91</f>
        <v>1</v>
      </c>
      <c r="G13" s="83">
        <f>Harvest!AY91</f>
        <v>2</v>
      </c>
      <c r="H13" s="83">
        <f>Harvest!AZ91</f>
        <v>0</v>
      </c>
      <c r="I13" s="84">
        <f>Harvest!BA91</f>
        <v>0</v>
      </c>
      <c r="J13" s="83">
        <f>Harvest!BB91</f>
        <v>0</v>
      </c>
      <c r="K13" s="85">
        <f>Harvest!BC91</f>
        <v>0</v>
      </c>
      <c r="L13" s="78">
        <f>Harvest!BE38</f>
        <v>0</v>
      </c>
      <c r="M13" s="79">
        <f>Harvest!BF38</f>
        <v>0</v>
      </c>
      <c r="N13" s="79">
        <f>Harvest!BG38</f>
        <v>0</v>
      </c>
      <c r="O13" s="81">
        <f>Harvest!BH38</f>
        <v>0</v>
      </c>
      <c r="P13" s="78">
        <f>Harvest!BI38</f>
        <v>0</v>
      </c>
      <c r="Q13" s="79">
        <f>Harvest!BJ38</f>
        <v>0</v>
      </c>
      <c r="R13" s="81">
        <f>Harvest!BK38</f>
        <v>0</v>
      </c>
      <c r="T13" s="67">
        <f>Harvest!BU91</f>
        <v>0</v>
      </c>
      <c r="U13" s="4">
        <f>Harvest!BV91</f>
        <v>0</v>
      </c>
      <c r="V13" s="4">
        <f>Harvest!BW91</f>
        <v>0</v>
      </c>
      <c r="W13" s="4">
        <f>Harvest!BX91</f>
        <v>0</v>
      </c>
      <c r="X13" s="68">
        <f>Harvest!BY91</f>
        <v>0</v>
      </c>
      <c r="Y13" s="4">
        <f>Harvest!BZ91</f>
        <v>0</v>
      </c>
      <c r="Z13" s="69">
        <f>Harvest!CA91</f>
        <v>0</v>
      </c>
      <c r="AA13" s="4" t="e">
        <f>Harvest!#REF!</f>
        <v>#REF!</v>
      </c>
      <c r="AB13" s="4" t="e">
        <f>Harvest!#REF!</f>
        <v>#REF!</v>
      </c>
      <c r="AC13" s="4" t="e">
        <f>Harvest!#REF!</f>
        <v>#REF!</v>
      </c>
      <c r="AD13" s="4" t="e">
        <f>Harvest!#REF!</f>
        <v>#REF!</v>
      </c>
      <c r="AE13" s="68" t="e">
        <f>Harvest!#REF!</f>
        <v>#REF!</v>
      </c>
      <c r="AF13" s="4" t="e">
        <f>Harvest!#REF!</f>
        <v>#REF!</v>
      </c>
      <c r="AG13" s="69" t="e">
        <f>Harvest!#REF!</f>
        <v>#REF!</v>
      </c>
    </row>
    <row r="14" spans="1:33" x14ac:dyDescent="0.2">
      <c r="A14" s="62">
        <f>Summary!A45</f>
        <v>45578</v>
      </c>
      <c r="B14" s="4"/>
      <c r="C14" s="4"/>
      <c r="D14" s="74"/>
      <c r="E14" s="82">
        <f>Harvest!AW101</f>
        <v>1</v>
      </c>
      <c r="F14" s="83">
        <f>Harvest!AX101</f>
        <v>0</v>
      </c>
      <c r="G14" s="83">
        <f>Harvest!AY101</f>
        <v>1</v>
      </c>
      <c r="H14" s="83">
        <f>Harvest!AZ101</f>
        <v>0</v>
      </c>
      <c r="I14" s="84">
        <f>Harvest!BA101</f>
        <v>1</v>
      </c>
      <c r="J14" s="83">
        <f>Harvest!BB101</f>
        <v>0</v>
      </c>
      <c r="K14" s="85">
        <f>Harvest!BC101</f>
        <v>0</v>
      </c>
      <c r="L14" s="78">
        <f>Harvest!AW48</f>
        <v>0</v>
      </c>
      <c r="M14" s="79">
        <f>Harvest!AX48</f>
        <v>0</v>
      </c>
      <c r="N14" s="79">
        <f>Harvest!AY48</f>
        <v>0</v>
      </c>
      <c r="O14" s="81">
        <f>Harvest!AZ48</f>
        <v>0</v>
      </c>
      <c r="P14" s="78">
        <f>Harvest!BA48</f>
        <v>0</v>
      </c>
      <c r="Q14" s="79">
        <f>Harvest!BB48</f>
        <v>0</v>
      </c>
      <c r="R14" s="81">
        <f>Harvest!BC48</f>
        <v>0</v>
      </c>
      <c r="T14" s="67">
        <f>Harvest!BU101</f>
        <v>0</v>
      </c>
      <c r="U14" s="4">
        <f>Harvest!BV101</f>
        <v>0</v>
      </c>
      <c r="V14" s="4">
        <f>Harvest!BW101</f>
        <v>0</v>
      </c>
      <c r="W14" s="4">
        <f>Harvest!BX101</f>
        <v>0</v>
      </c>
      <c r="X14" s="68">
        <f>Harvest!BY101</f>
        <v>0</v>
      </c>
      <c r="Y14" s="4">
        <f>Harvest!BZ101</f>
        <v>0</v>
      </c>
      <c r="Z14" s="69">
        <f>Harvest!CA101</f>
        <v>0</v>
      </c>
      <c r="AA14" s="4" t="e">
        <f>Harvest!#REF!</f>
        <v>#REF!</v>
      </c>
      <c r="AB14" s="4" t="e">
        <f>Harvest!#REF!</f>
        <v>#REF!</v>
      </c>
      <c r="AC14" s="4" t="e">
        <f>Harvest!#REF!</f>
        <v>#REF!</v>
      </c>
      <c r="AD14" s="4" t="e">
        <f>Harvest!#REF!</f>
        <v>#REF!</v>
      </c>
      <c r="AE14" s="68" t="e">
        <f>Harvest!#REF!</f>
        <v>#REF!</v>
      </c>
      <c r="AF14" s="4" t="e">
        <f>Harvest!#REF!</f>
        <v>#REF!</v>
      </c>
      <c r="AG14" s="69" t="e">
        <f>Harvest!#REF!</f>
        <v>#REF!</v>
      </c>
    </row>
    <row r="15" spans="1:33" ht="13.5" thickBot="1" x14ac:dyDescent="0.25">
      <c r="A15" s="62">
        <f>Summary!A46</f>
        <v>45585</v>
      </c>
      <c r="B15" s="1"/>
      <c r="C15" s="1"/>
      <c r="D15" s="74"/>
      <c r="E15" s="67"/>
      <c r="F15" s="4"/>
      <c r="G15" s="4"/>
      <c r="H15" s="4"/>
      <c r="I15" s="68"/>
      <c r="J15" s="4"/>
      <c r="K15" s="69"/>
      <c r="L15" s="4"/>
      <c r="M15" s="4"/>
      <c r="N15" s="4"/>
      <c r="O15" s="550"/>
      <c r="P15" s="551"/>
      <c r="Q15" s="4"/>
      <c r="R15" s="69"/>
      <c r="T15" s="67"/>
      <c r="U15" s="4"/>
      <c r="V15" s="4"/>
      <c r="W15" s="4"/>
      <c r="X15" s="68"/>
      <c r="Y15" s="4"/>
      <c r="Z15" s="69"/>
      <c r="AA15" s="4"/>
      <c r="AB15" s="4"/>
      <c r="AC15" s="4"/>
      <c r="AD15" s="4"/>
      <c r="AE15" s="68"/>
      <c r="AF15" s="4"/>
      <c r="AG15" s="69"/>
    </row>
    <row r="16" spans="1:33" ht="13.5" thickBot="1" x14ac:dyDescent="0.25">
      <c r="A16" s="60" t="s">
        <v>6</v>
      </c>
      <c r="B16" s="58"/>
      <c r="C16" s="58"/>
      <c r="D16" s="59"/>
      <c r="E16" s="70">
        <f t="shared" ref="E16:R16" si="0">SUM(E7:E15)</f>
        <v>1</v>
      </c>
      <c r="F16" s="71">
        <f t="shared" si="0"/>
        <v>2</v>
      </c>
      <c r="G16" s="71">
        <f t="shared" si="0"/>
        <v>7</v>
      </c>
      <c r="H16" s="71">
        <f t="shared" si="0"/>
        <v>1</v>
      </c>
      <c r="I16" s="72">
        <f t="shared" si="0"/>
        <v>1</v>
      </c>
      <c r="J16" s="71">
        <f t="shared" si="0"/>
        <v>0</v>
      </c>
      <c r="K16" s="73">
        <f t="shared" si="0"/>
        <v>0</v>
      </c>
      <c r="L16" s="71">
        <f t="shared" si="0"/>
        <v>0</v>
      </c>
      <c r="M16" s="71">
        <f t="shared" si="0"/>
        <v>0</v>
      </c>
      <c r="N16" s="71">
        <f t="shared" si="0"/>
        <v>0</v>
      </c>
      <c r="O16" s="71">
        <f t="shared" si="0"/>
        <v>0</v>
      </c>
      <c r="P16" s="72">
        <f t="shared" si="0"/>
        <v>0</v>
      </c>
      <c r="Q16" s="71">
        <f t="shared" si="0"/>
        <v>0</v>
      </c>
      <c r="R16" s="73">
        <f t="shared" si="0"/>
        <v>0</v>
      </c>
      <c r="T16" s="70">
        <f t="shared" ref="T16:AG16" si="1">SUM(T7:T15)</f>
        <v>0</v>
      </c>
      <c r="U16" s="71">
        <f t="shared" si="1"/>
        <v>0</v>
      </c>
      <c r="V16" s="71">
        <f t="shared" si="1"/>
        <v>0</v>
      </c>
      <c r="W16" s="71">
        <f t="shared" si="1"/>
        <v>0</v>
      </c>
      <c r="X16" s="72">
        <f t="shared" si="1"/>
        <v>0</v>
      </c>
      <c r="Y16" s="71">
        <f t="shared" si="1"/>
        <v>0</v>
      </c>
      <c r="Z16" s="73">
        <f t="shared" si="1"/>
        <v>0</v>
      </c>
      <c r="AA16" s="71" t="e">
        <f t="shared" si="1"/>
        <v>#REF!</v>
      </c>
      <c r="AB16" s="71" t="e">
        <f t="shared" si="1"/>
        <v>#REF!</v>
      </c>
      <c r="AC16" s="71" t="e">
        <f t="shared" si="1"/>
        <v>#REF!</v>
      </c>
      <c r="AD16" s="71" t="e">
        <f t="shared" si="1"/>
        <v>#REF!</v>
      </c>
      <c r="AE16" s="72" t="e">
        <f t="shared" si="1"/>
        <v>#REF!</v>
      </c>
      <c r="AF16" s="71" t="e">
        <f t="shared" si="1"/>
        <v>#REF!</v>
      </c>
      <c r="AG16" s="73" t="e">
        <f t="shared" si="1"/>
        <v>#REF!</v>
      </c>
    </row>
    <row r="18" spans="1:33" ht="13.5" thickBot="1" x14ac:dyDescent="0.25">
      <c r="A18" s="3" t="s">
        <v>124</v>
      </c>
      <c r="T18" s="3" t="s">
        <v>124</v>
      </c>
    </row>
    <row r="19" spans="1:33" ht="16.5" thickBot="1" x14ac:dyDescent="0.3">
      <c r="A19" s="64"/>
      <c r="B19" s="22"/>
      <c r="C19" s="22"/>
      <c r="D19" s="23"/>
      <c r="E19" s="658" t="s">
        <v>103</v>
      </c>
      <c r="F19" s="659"/>
      <c r="G19" s="659"/>
      <c r="H19" s="659"/>
      <c r="I19" s="659"/>
      <c r="J19" s="659"/>
      <c r="K19" s="659"/>
      <c r="L19" s="659"/>
      <c r="M19" s="659"/>
      <c r="N19" s="659"/>
      <c r="O19" s="659"/>
      <c r="P19" s="659"/>
      <c r="Q19" s="659"/>
      <c r="R19" s="660"/>
      <c r="T19" s="658" t="s">
        <v>103</v>
      </c>
      <c r="U19" s="659"/>
      <c r="V19" s="659"/>
      <c r="W19" s="659"/>
      <c r="X19" s="659"/>
      <c r="Y19" s="659"/>
      <c r="Z19" s="659"/>
      <c r="AA19" s="659"/>
      <c r="AB19" s="659"/>
      <c r="AC19" s="659"/>
      <c r="AD19" s="659"/>
      <c r="AE19" s="659"/>
      <c r="AF19" s="659"/>
      <c r="AG19" s="660"/>
    </row>
    <row r="20" spans="1:33" x14ac:dyDescent="0.2">
      <c r="A20" s="61" t="s">
        <v>69</v>
      </c>
      <c r="D20" s="11"/>
      <c r="E20" s="725" t="s">
        <v>112</v>
      </c>
      <c r="F20" s="726"/>
      <c r="G20" s="726"/>
      <c r="H20" s="726"/>
      <c r="I20" s="727" t="s">
        <v>107</v>
      </c>
      <c r="J20" s="726"/>
      <c r="K20" s="728"/>
      <c r="L20" s="729" t="s">
        <v>113</v>
      </c>
      <c r="M20" s="729"/>
      <c r="N20" s="729"/>
      <c r="O20" s="729"/>
      <c r="P20" s="730" t="s">
        <v>114</v>
      </c>
      <c r="Q20" s="729"/>
      <c r="R20" s="731"/>
      <c r="T20" s="725" t="s">
        <v>112</v>
      </c>
      <c r="U20" s="726"/>
      <c r="V20" s="726"/>
      <c r="W20" s="726"/>
      <c r="X20" s="727" t="s">
        <v>107</v>
      </c>
      <c r="Y20" s="726"/>
      <c r="Z20" s="728"/>
      <c r="AA20" s="729" t="s">
        <v>113</v>
      </c>
      <c r="AB20" s="729"/>
      <c r="AC20" s="729"/>
      <c r="AD20" s="729"/>
      <c r="AE20" s="730" t="s">
        <v>114</v>
      </c>
      <c r="AF20" s="729"/>
      <c r="AG20" s="731"/>
    </row>
    <row r="21" spans="1:33" x14ac:dyDescent="0.2">
      <c r="A21" s="65" t="s">
        <v>108</v>
      </c>
      <c r="B21" s="2"/>
      <c r="C21" s="2"/>
      <c r="D21" s="66"/>
      <c r="E21" s="17" t="s">
        <v>111</v>
      </c>
      <c r="F21" s="18" t="s">
        <v>110</v>
      </c>
      <c r="G21" s="18" t="s">
        <v>96</v>
      </c>
      <c r="H21" s="18" t="s">
        <v>104</v>
      </c>
      <c r="I21" s="10" t="s">
        <v>111</v>
      </c>
      <c r="J21" s="18" t="s">
        <v>110</v>
      </c>
      <c r="K21" s="19" t="s">
        <v>96</v>
      </c>
      <c r="L21" s="14" t="s">
        <v>111</v>
      </c>
      <c r="M21" s="14" t="s">
        <v>110</v>
      </c>
      <c r="N21" s="14" t="s">
        <v>96</v>
      </c>
      <c r="O21" s="14" t="s">
        <v>104</v>
      </c>
      <c r="P21" s="15" t="s">
        <v>111</v>
      </c>
      <c r="Q21" s="14" t="s">
        <v>110</v>
      </c>
      <c r="R21" s="16" t="s">
        <v>96</v>
      </c>
      <c r="T21" s="17" t="s">
        <v>111</v>
      </c>
      <c r="U21" s="18" t="s">
        <v>110</v>
      </c>
      <c r="V21" s="18" t="s">
        <v>96</v>
      </c>
      <c r="W21" s="18" t="s">
        <v>104</v>
      </c>
      <c r="X21" s="10" t="s">
        <v>111</v>
      </c>
      <c r="Y21" s="18" t="s">
        <v>110</v>
      </c>
      <c r="Z21" s="19" t="s">
        <v>96</v>
      </c>
      <c r="AA21" s="14" t="s">
        <v>111</v>
      </c>
      <c r="AB21" s="14" t="s">
        <v>110</v>
      </c>
      <c r="AC21" s="14" t="s">
        <v>96</v>
      </c>
      <c r="AD21" s="14" t="s">
        <v>104</v>
      </c>
      <c r="AE21" s="15" t="s">
        <v>111</v>
      </c>
      <c r="AF21" s="14" t="s">
        <v>110</v>
      </c>
      <c r="AG21" s="16" t="s">
        <v>96</v>
      </c>
    </row>
    <row r="22" spans="1:33" x14ac:dyDescent="0.2">
      <c r="A22" s="62">
        <f>A7</f>
        <v>45529</v>
      </c>
      <c r="D22" s="11"/>
      <c r="E22" s="12">
        <f>Harvest!BE31</f>
        <v>0</v>
      </c>
      <c r="F22" s="5">
        <f>Harvest!BF31</f>
        <v>0</v>
      </c>
      <c r="G22" s="5">
        <f>Harvest!BG31</f>
        <v>0</v>
      </c>
      <c r="H22" s="5">
        <f>Harvest!BH31</f>
        <v>0</v>
      </c>
      <c r="I22" s="9">
        <f>Harvest!BI31</f>
        <v>0</v>
      </c>
      <c r="J22" s="5">
        <f>Harvest!BJ31</f>
        <v>0</v>
      </c>
      <c r="K22" s="13">
        <f>Harvest!BK31</f>
        <v>0</v>
      </c>
      <c r="L22" s="78" t="e">
        <f>Harvest!#REF!</f>
        <v>#REF!</v>
      </c>
      <c r="M22" s="79" t="e">
        <f>Harvest!#REF!</f>
        <v>#REF!</v>
      </c>
      <c r="N22" s="79" t="e">
        <f>Harvest!#REF!</f>
        <v>#REF!</v>
      </c>
      <c r="O22" s="79" t="e">
        <f>Harvest!#REF!</f>
        <v>#REF!</v>
      </c>
      <c r="P22" s="80" t="e">
        <f>Harvest!#REF!</f>
        <v>#REF!</v>
      </c>
      <c r="Q22" s="79" t="e">
        <f>Harvest!#REF!</f>
        <v>#REF!</v>
      </c>
      <c r="R22" s="81" t="e">
        <f>Harvest!#REF!</f>
        <v>#REF!</v>
      </c>
      <c r="T22" s="12">
        <f>Harvest!CC31</f>
        <v>0</v>
      </c>
      <c r="U22" s="5">
        <f>Harvest!CD31</f>
        <v>0</v>
      </c>
      <c r="V22" s="5">
        <f>Harvest!CE31</f>
        <v>0</v>
      </c>
      <c r="W22" s="5">
        <f>Harvest!CF31</f>
        <v>0</v>
      </c>
      <c r="X22" s="9">
        <f>Harvest!CG31</f>
        <v>0</v>
      </c>
      <c r="Y22" s="5">
        <f>Harvest!CH31</f>
        <v>0</v>
      </c>
      <c r="Z22" s="13">
        <f>Harvest!CI31</f>
        <v>0</v>
      </c>
      <c r="AA22" s="78" t="e">
        <f>Harvest!#REF!</f>
        <v>#REF!</v>
      </c>
      <c r="AB22" s="79" t="e">
        <f>Harvest!#REF!</f>
        <v>#REF!</v>
      </c>
      <c r="AC22" s="79" t="e">
        <f>Harvest!#REF!</f>
        <v>#REF!</v>
      </c>
      <c r="AD22" s="79" t="e">
        <f>Harvest!#REF!</f>
        <v>#REF!</v>
      </c>
      <c r="AE22" s="80" t="e">
        <f>Harvest!#REF!</f>
        <v>#REF!</v>
      </c>
      <c r="AF22" s="79" t="e">
        <f>Harvest!#REF!</f>
        <v>#REF!</v>
      </c>
      <c r="AG22" s="81" t="e">
        <f>Harvest!#REF!</f>
        <v>#REF!</v>
      </c>
    </row>
    <row r="23" spans="1:33" x14ac:dyDescent="0.2">
      <c r="A23" s="62">
        <f t="shared" ref="A23:A30" si="2">A8</f>
        <v>45536</v>
      </c>
      <c r="D23" s="11"/>
      <c r="E23" s="82">
        <f>Harvest!BE41</f>
        <v>0</v>
      </c>
      <c r="F23" s="83">
        <f>Harvest!BF41</f>
        <v>0</v>
      </c>
      <c r="G23" s="83">
        <f>Harvest!BG41</f>
        <v>0</v>
      </c>
      <c r="H23" s="83">
        <f>Harvest!BH41</f>
        <v>0</v>
      </c>
      <c r="I23" s="84">
        <f>Harvest!BI41</f>
        <v>0</v>
      </c>
      <c r="J23" s="83">
        <f>Harvest!BJ41</f>
        <v>0</v>
      </c>
      <c r="K23" s="85">
        <f>Harvest!BK41</f>
        <v>0</v>
      </c>
      <c r="L23" s="78" t="e">
        <f>Harvest!#REF!</f>
        <v>#REF!</v>
      </c>
      <c r="M23" s="79" t="e">
        <f>Harvest!#REF!</f>
        <v>#REF!</v>
      </c>
      <c r="N23" s="79" t="e">
        <f>Harvest!#REF!</f>
        <v>#REF!</v>
      </c>
      <c r="O23" s="79" t="e">
        <f>Harvest!#REF!</f>
        <v>#REF!</v>
      </c>
      <c r="P23" s="80" t="e">
        <f>Harvest!#REF!</f>
        <v>#REF!</v>
      </c>
      <c r="Q23" s="79" t="e">
        <f>Harvest!#REF!</f>
        <v>#REF!</v>
      </c>
      <c r="R23" s="81" t="e">
        <f>Harvest!#REF!</f>
        <v>#REF!</v>
      </c>
      <c r="T23" s="82">
        <f>Harvest!CC41</f>
        <v>0</v>
      </c>
      <c r="U23" s="83">
        <f>Harvest!CD41</f>
        <v>0</v>
      </c>
      <c r="V23" s="83">
        <f>Harvest!CE41</f>
        <v>0</v>
      </c>
      <c r="W23" s="83">
        <f>Harvest!CF41</f>
        <v>0</v>
      </c>
      <c r="X23" s="84">
        <f>Harvest!CG41</f>
        <v>0</v>
      </c>
      <c r="Y23" s="83">
        <f>Harvest!CH41</f>
        <v>0</v>
      </c>
      <c r="Z23" s="85">
        <f>Harvest!CI41</f>
        <v>0</v>
      </c>
      <c r="AA23" s="78" t="e">
        <f>Harvest!#REF!</f>
        <v>#REF!</v>
      </c>
      <c r="AB23" s="79" t="e">
        <f>Harvest!#REF!</f>
        <v>#REF!</v>
      </c>
      <c r="AC23" s="79" t="e">
        <f>Harvest!#REF!</f>
        <v>#REF!</v>
      </c>
      <c r="AD23" s="79" t="e">
        <f>Harvest!#REF!</f>
        <v>#REF!</v>
      </c>
      <c r="AE23" s="80" t="e">
        <f>Harvest!#REF!</f>
        <v>#REF!</v>
      </c>
      <c r="AF23" s="79" t="e">
        <f>Harvest!#REF!</f>
        <v>#REF!</v>
      </c>
      <c r="AG23" s="81" t="e">
        <f>Harvest!#REF!</f>
        <v>#REF!</v>
      </c>
    </row>
    <row r="24" spans="1:33" x14ac:dyDescent="0.2">
      <c r="A24" s="62">
        <f t="shared" si="2"/>
        <v>45543</v>
      </c>
      <c r="D24" s="11"/>
      <c r="E24" s="82">
        <f>Harvest!BE51</f>
        <v>0</v>
      </c>
      <c r="F24" s="83">
        <f>Harvest!BF51</f>
        <v>0</v>
      </c>
      <c r="G24" s="83">
        <f>Harvest!BG51</f>
        <v>0</v>
      </c>
      <c r="H24" s="83">
        <f>Harvest!BH51</f>
        <v>0</v>
      </c>
      <c r="I24" s="84">
        <f>Harvest!BI51</f>
        <v>0</v>
      </c>
      <c r="J24" s="83">
        <f>Harvest!BJ51</f>
        <v>0</v>
      </c>
      <c r="K24" s="85">
        <f>Harvest!BK51</f>
        <v>0</v>
      </c>
      <c r="L24" s="78" t="e">
        <f>Harvest!#REF!</f>
        <v>#REF!</v>
      </c>
      <c r="M24" s="79" t="e">
        <f>Harvest!#REF!</f>
        <v>#REF!</v>
      </c>
      <c r="N24" s="79" t="e">
        <f>Harvest!#REF!</f>
        <v>#REF!</v>
      </c>
      <c r="O24" s="79" t="e">
        <f>Harvest!#REF!</f>
        <v>#REF!</v>
      </c>
      <c r="P24" s="80" t="e">
        <f>Harvest!#REF!</f>
        <v>#REF!</v>
      </c>
      <c r="Q24" s="79" t="e">
        <f>Harvest!#REF!</f>
        <v>#REF!</v>
      </c>
      <c r="R24" s="81" t="e">
        <f>Harvest!#REF!</f>
        <v>#REF!</v>
      </c>
      <c r="T24" s="82">
        <f>Harvest!CC51</f>
        <v>0</v>
      </c>
      <c r="U24" s="83">
        <f>Harvest!CD51</f>
        <v>0</v>
      </c>
      <c r="V24" s="83">
        <f>Harvest!CE51</f>
        <v>0</v>
      </c>
      <c r="W24" s="83">
        <f>Harvest!CF51</f>
        <v>0</v>
      </c>
      <c r="X24" s="84">
        <f>Harvest!CG51</f>
        <v>0</v>
      </c>
      <c r="Y24" s="83">
        <f>Harvest!CH51</f>
        <v>0</v>
      </c>
      <c r="Z24" s="85">
        <f>Harvest!CI51</f>
        <v>0</v>
      </c>
      <c r="AA24" s="78" t="e">
        <f>Harvest!#REF!</f>
        <v>#REF!</v>
      </c>
      <c r="AB24" s="79" t="e">
        <f>Harvest!#REF!</f>
        <v>#REF!</v>
      </c>
      <c r="AC24" s="79" t="e">
        <f>Harvest!#REF!</f>
        <v>#REF!</v>
      </c>
      <c r="AD24" s="79" t="e">
        <f>Harvest!#REF!</f>
        <v>#REF!</v>
      </c>
      <c r="AE24" s="80" t="e">
        <f>Harvest!#REF!</f>
        <v>#REF!</v>
      </c>
      <c r="AF24" s="79" t="e">
        <f>Harvest!#REF!</f>
        <v>#REF!</v>
      </c>
      <c r="AG24" s="81" t="e">
        <f>Harvest!#REF!</f>
        <v>#REF!</v>
      </c>
    </row>
    <row r="25" spans="1:33" x14ac:dyDescent="0.2">
      <c r="A25" s="62">
        <f t="shared" si="2"/>
        <v>45550</v>
      </c>
      <c r="D25" s="11"/>
      <c r="E25" s="82">
        <f>Harvest!BE61</f>
        <v>0</v>
      </c>
      <c r="F25" s="83">
        <f>Harvest!BF61</f>
        <v>1</v>
      </c>
      <c r="G25" s="83">
        <f>Harvest!BG61</f>
        <v>1</v>
      </c>
      <c r="H25" s="83">
        <f>Harvest!BH61</f>
        <v>0</v>
      </c>
      <c r="I25" s="84">
        <f>Harvest!BI61</f>
        <v>0</v>
      </c>
      <c r="J25" s="83">
        <f>Harvest!BJ61</f>
        <v>0</v>
      </c>
      <c r="K25" s="85">
        <f>Harvest!BK61</f>
        <v>0</v>
      </c>
      <c r="L25" s="78" t="e">
        <f>Harvest!#REF!</f>
        <v>#REF!</v>
      </c>
      <c r="M25" s="79" t="e">
        <f>Harvest!#REF!</f>
        <v>#REF!</v>
      </c>
      <c r="N25" s="79" t="e">
        <f>Harvest!#REF!</f>
        <v>#REF!</v>
      </c>
      <c r="O25" s="79" t="e">
        <f>Harvest!#REF!</f>
        <v>#REF!</v>
      </c>
      <c r="P25" s="80" t="e">
        <f>Harvest!#REF!</f>
        <v>#REF!</v>
      </c>
      <c r="Q25" s="79" t="e">
        <f>Harvest!#REF!</f>
        <v>#REF!</v>
      </c>
      <c r="R25" s="81" t="e">
        <f>Harvest!#REF!</f>
        <v>#REF!</v>
      </c>
      <c r="T25" s="82">
        <f>Harvest!CC61</f>
        <v>0</v>
      </c>
      <c r="U25" s="83">
        <f>Harvest!CD61</f>
        <v>0</v>
      </c>
      <c r="V25" s="83">
        <f>Harvest!CE61</f>
        <v>0</v>
      </c>
      <c r="W25" s="83">
        <f>Harvest!CF61</f>
        <v>0</v>
      </c>
      <c r="X25" s="84">
        <f>Harvest!CG61</f>
        <v>0</v>
      </c>
      <c r="Y25" s="83">
        <f>Harvest!CH61</f>
        <v>0</v>
      </c>
      <c r="Z25" s="85">
        <f>Harvest!CI61</f>
        <v>0</v>
      </c>
      <c r="AA25" s="78" t="e">
        <f>Harvest!#REF!</f>
        <v>#REF!</v>
      </c>
      <c r="AB25" s="79" t="e">
        <f>Harvest!#REF!</f>
        <v>#REF!</v>
      </c>
      <c r="AC25" s="79" t="e">
        <f>Harvest!#REF!</f>
        <v>#REF!</v>
      </c>
      <c r="AD25" s="79" t="e">
        <f>Harvest!#REF!</f>
        <v>#REF!</v>
      </c>
      <c r="AE25" s="80" t="e">
        <f>Harvest!#REF!</f>
        <v>#REF!</v>
      </c>
      <c r="AF25" s="79" t="e">
        <f>Harvest!#REF!</f>
        <v>#REF!</v>
      </c>
      <c r="AG25" s="81" t="e">
        <f>Harvest!#REF!</f>
        <v>#REF!</v>
      </c>
    </row>
    <row r="26" spans="1:33" x14ac:dyDescent="0.2">
      <c r="A26" s="62">
        <f t="shared" si="2"/>
        <v>45557</v>
      </c>
      <c r="D26" s="11"/>
      <c r="E26" s="82">
        <f>Harvest!BE71</f>
        <v>0</v>
      </c>
      <c r="F26" s="83">
        <f>Harvest!BF71</f>
        <v>0</v>
      </c>
      <c r="G26" s="83">
        <f>Harvest!BG71</f>
        <v>1</v>
      </c>
      <c r="H26" s="83">
        <f>Harvest!BH71</f>
        <v>0</v>
      </c>
      <c r="I26" s="84">
        <f>Harvest!BI71</f>
        <v>0</v>
      </c>
      <c r="J26" s="83">
        <f>Harvest!BJ71</f>
        <v>0</v>
      </c>
      <c r="K26" s="85">
        <f>Harvest!BK71</f>
        <v>0</v>
      </c>
      <c r="L26" s="78" t="e">
        <f>Harvest!#REF!</f>
        <v>#REF!</v>
      </c>
      <c r="M26" s="79" t="e">
        <f>Harvest!#REF!</f>
        <v>#REF!</v>
      </c>
      <c r="N26" s="79" t="e">
        <f>Harvest!#REF!</f>
        <v>#REF!</v>
      </c>
      <c r="O26" s="79" t="e">
        <f>Harvest!#REF!</f>
        <v>#REF!</v>
      </c>
      <c r="P26" s="80" t="e">
        <f>Harvest!#REF!</f>
        <v>#REF!</v>
      </c>
      <c r="Q26" s="79" t="e">
        <f>Harvest!#REF!</f>
        <v>#REF!</v>
      </c>
      <c r="R26" s="81" t="e">
        <f>Harvest!#REF!</f>
        <v>#REF!</v>
      </c>
      <c r="T26" s="82">
        <f>Harvest!CC71</f>
        <v>0</v>
      </c>
      <c r="U26" s="83">
        <f>Harvest!CD71</f>
        <v>0</v>
      </c>
      <c r="V26" s="83">
        <f>Harvest!CE71</f>
        <v>0</v>
      </c>
      <c r="W26" s="83">
        <f>Harvest!CF71</f>
        <v>0</v>
      </c>
      <c r="X26" s="84">
        <f>Harvest!CG71</f>
        <v>0</v>
      </c>
      <c r="Y26" s="83">
        <f>Harvest!CH71</f>
        <v>0</v>
      </c>
      <c r="Z26" s="85">
        <f>Harvest!CI71</f>
        <v>0</v>
      </c>
      <c r="AA26" s="78" t="e">
        <f>Harvest!#REF!</f>
        <v>#REF!</v>
      </c>
      <c r="AB26" s="79" t="e">
        <f>Harvest!#REF!</f>
        <v>#REF!</v>
      </c>
      <c r="AC26" s="79" t="e">
        <f>Harvest!#REF!</f>
        <v>#REF!</v>
      </c>
      <c r="AD26" s="79" t="e">
        <f>Harvest!#REF!</f>
        <v>#REF!</v>
      </c>
      <c r="AE26" s="80" t="e">
        <f>Harvest!#REF!</f>
        <v>#REF!</v>
      </c>
      <c r="AF26" s="79" t="e">
        <f>Harvest!#REF!</f>
        <v>#REF!</v>
      </c>
      <c r="AG26" s="81" t="e">
        <f>Harvest!#REF!</f>
        <v>#REF!</v>
      </c>
    </row>
    <row r="27" spans="1:33" x14ac:dyDescent="0.2">
      <c r="A27" s="62">
        <f t="shared" si="2"/>
        <v>45564</v>
      </c>
      <c r="D27" s="11"/>
      <c r="E27" s="82">
        <f>Harvest!BE81</f>
        <v>0</v>
      </c>
      <c r="F27" s="83">
        <f>Harvest!BF81</f>
        <v>0</v>
      </c>
      <c r="G27" s="83">
        <f>Harvest!BG81</f>
        <v>2</v>
      </c>
      <c r="H27" s="83">
        <f>Harvest!BH81</f>
        <v>1</v>
      </c>
      <c r="I27" s="84">
        <f>Harvest!BI81</f>
        <v>0</v>
      </c>
      <c r="J27" s="83">
        <f>Harvest!BJ81</f>
        <v>0</v>
      </c>
      <c r="K27" s="85">
        <f>Harvest!BK81</f>
        <v>0</v>
      </c>
      <c r="L27" s="78" t="e">
        <f>Harvest!#REF!</f>
        <v>#REF!</v>
      </c>
      <c r="M27" s="79" t="e">
        <f>Harvest!#REF!</f>
        <v>#REF!</v>
      </c>
      <c r="N27" s="79" t="e">
        <f>Harvest!#REF!</f>
        <v>#REF!</v>
      </c>
      <c r="O27" s="79" t="e">
        <f>Harvest!#REF!</f>
        <v>#REF!</v>
      </c>
      <c r="P27" s="80" t="e">
        <f>Harvest!#REF!</f>
        <v>#REF!</v>
      </c>
      <c r="Q27" s="79" t="e">
        <f>Harvest!#REF!</f>
        <v>#REF!</v>
      </c>
      <c r="R27" s="81" t="e">
        <f>Harvest!#REF!</f>
        <v>#REF!</v>
      </c>
      <c r="T27" s="82">
        <f>Harvest!CC81</f>
        <v>0</v>
      </c>
      <c r="U27" s="83">
        <f>Harvest!CD81</f>
        <v>0</v>
      </c>
      <c r="V27" s="83">
        <f>Harvest!CE81</f>
        <v>0</v>
      </c>
      <c r="W27" s="83">
        <f>Harvest!CF81</f>
        <v>0</v>
      </c>
      <c r="X27" s="84">
        <f>Harvest!CG81</f>
        <v>0</v>
      </c>
      <c r="Y27" s="83">
        <f>Harvest!CH81</f>
        <v>0</v>
      </c>
      <c r="Z27" s="85">
        <f>Harvest!CI81</f>
        <v>0</v>
      </c>
      <c r="AA27" s="78" t="e">
        <f>Harvest!#REF!</f>
        <v>#REF!</v>
      </c>
      <c r="AB27" s="79" t="e">
        <f>Harvest!#REF!</f>
        <v>#REF!</v>
      </c>
      <c r="AC27" s="79" t="e">
        <f>Harvest!#REF!</f>
        <v>#REF!</v>
      </c>
      <c r="AD27" s="79" t="e">
        <f>Harvest!#REF!</f>
        <v>#REF!</v>
      </c>
      <c r="AE27" s="80" t="e">
        <f>Harvest!#REF!</f>
        <v>#REF!</v>
      </c>
      <c r="AF27" s="79" t="e">
        <f>Harvest!#REF!</f>
        <v>#REF!</v>
      </c>
      <c r="AG27" s="81" t="e">
        <f>Harvest!#REF!</f>
        <v>#REF!</v>
      </c>
    </row>
    <row r="28" spans="1:33" x14ac:dyDescent="0.2">
      <c r="A28" s="62">
        <f t="shared" si="2"/>
        <v>45571</v>
      </c>
      <c r="D28" s="11"/>
      <c r="E28" s="82">
        <f>Harvest!BE91</f>
        <v>0</v>
      </c>
      <c r="F28" s="83">
        <f>Harvest!BF91</f>
        <v>1</v>
      </c>
      <c r="G28" s="83">
        <f>Harvest!BG91</f>
        <v>2</v>
      </c>
      <c r="H28" s="83">
        <f>Harvest!BH91</f>
        <v>0</v>
      </c>
      <c r="I28" s="84">
        <f>Harvest!BI91</f>
        <v>0</v>
      </c>
      <c r="J28" s="83">
        <f>Harvest!BJ91</f>
        <v>0</v>
      </c>
      <c r="K28" s="85">
        <f>Harvest!BK91</f>
        <v>0</v>
      </c>
      <c r="L28" s="78" t="e">
        <f>Harvest!#REF!</f>
        <v>#REF!</v>
      </c>
      <c r="M28" s="79" t="e">
        <f>Harvest!#REF!</f>
        <v>#REF!</v>
      </c>
      <c r="N28" s="79" t="e">
        <f>Harvest!#REF!</f>
        <v>#REF!</v>
      </c>
      <c r="O28" s="79" t="e">
        <f>Harvest!#REF!</f>
        <v>#REF!</v>
      </c>
      <c r="P28" s="80" t="e">
        <f>Harvest!#REF!</f>
        <v>#REF!</v>
      </c>
      <c r="Q28" s="79" t="e">
        <f>Harvest!#REF!</f>
        <v>#REF!</v>
      </c>
      <c r="R28" s="81" t="e">
        <f>Harvest!#REF!</f>
        <v>#REF!</v>
      </c>
      <c r="T28" s="82">
        <f>Harvest!CC91</f>
        <v>0</v>
      </c>
      <c r="U28" s="83">
        <f>Harvest!CD91</f>
        <v>0</v>
      </c>
      <c r="V28" s="83">
        <f>Harvest!CE91</f>
        <v>0</v>
      </c>
      <c r="W28" s="83">
        <f>Harvest!CF91</f>
        <v>0</v>
      </c>
      <c r="X28" s="84">
        <f>Harvest!CG91</f>
        <v>0</v>
      </c>
      <c r="Y28" s="83">
        <f>Harvest!CH91</f>
        <v>0</v>
      </c>
      <c r="Z28" s="85">
        <f>Harvest!CI91</f>
        <v>0</v>
      </c>
      <c r="AA28" s="78" t="e">
        <f>Harvest!#REF!</f>
        <v>#REF!</v>
      </c>
      <c r="AB28" s="79" t="e">
        <f>Harvest!#REF!</f>
        <v>#REF!</v>
      </c>
      <c r="AC28" s="79" t="e">
        <f>Harvest!#REF!</f>
        <v>#REF!</v>
      </c>
      <c r="AD28" s="79" t="e">
        <f>Harvest!#REF!</f>
        <v>#REF!</v>
      </c>
      <c r="AE28" s="80" t="e">
        <f>Harvest!#REF!</f>
        <v>#REF!</v>
      </c>
      <c r="AF28" s="79" t="e">
        <f>Harvest!#REF!</f>
        <v>#REF!</v>
      </c>
      <c r="AG28" s="81" t="e">
        <f>Harvest!#REF!</f>
        <v>#REF!</v>
      </c>
    </row>
    <row r="29" spans="1:33" x14ac:dyDescent="0.2">
      <c r="A29" s="62">
        <f t="shared" si="2"/>
        <v>45578</v>
      </c>
      <c r="D29" s="11"/>
      <c r="E29" s="82">
        <f>Harvest!BE101</f>
        <v>1</v>
      </c>
      <c r="F29" s="83">
        <f>Harvest!BF101</f>
        <v>0</v>
      </c>
      <c r="G29" s="83">
        <f>Harvest!BG101</f>
        <v>1</v>
      </c>
      <c r="H29" s="83">
        <f>Harvest!BH101</f>
        <v>0</v>
      </c>
      <c r="I29" s="84">
        <f>Harvest!BI101</f>
        <v>1</v>
      </c>
      <c r="J29" s="83">
        <f>Harvest!BJ101</f>
        <v>0</v>
      </c>
      <c r="K29" s="85">
        <f>Harvest!BK101</f>
        <v>0</v>
      </c>
      <c r="L29" s="78" t="e">
        <f>Harvest!#REF!</f>
        <v>#REF!</v>
      </c>
      <c r="M29" s="79" t="e">
        <f>Harvest!#REF!</f>
        <v>#REF!</v>
      </c>
      <c r="N29" s="79" t="e">
        <f>Harvest!#REF!</f>
        <v>#REF!</v>
      </c>
      <c r="O29" s="79" t="e">
        <f>Harvest!#REF!</f>
        <v>#REF!</v>
      </c>
      <c r="P29" s="80" t="e">
        <f>Harvest!#REF!</f>
        <v>#REF!</v>
      </c>
      <c r="Q29" s="79" t="e">
        <f>Harvest!#REF!</f>
        <v>#REF!</v>
      </c>
      <c r="R29" s="81" t="e">
        <f>Harvest!#REF!</f>
        <v>#REF!</v>
      </c>
      <c r="T29" s="82">
        <f>Harvest!CC101</f>
        <v>0</v>
      </c>
      <c r="U29" s="83">
        <f>Harvest!CD101</f>
        <v>0</v>
      </c>
      <c r="V29" s="83">
        <f>Harvest!CE101</f>
        <v>0</v>
      </c>
      <c r="W29" s="83">
        <f>Harvest!CF101</f>
        <v>0</v>
      </c>
      <c r="X29" s="84">
        <f>Harvest!CG101</f>
        <v>0</v>
      </c>
      <c r="Y29" s="83">
        <f>Harvest!CH101</f>
        <v>0</v>
      </c>
      <c r="Z29" s="85">
        <f>Harvest!CI101</f>
        <v>0</v>
      </c>
      <c r="AA29" s="78" t="e">
        <f>Harvest!#REF!</f>
        <v>#REF!</v>
      </c>
      <c r="AB29" s="79" t="e">
        <f>Harvest!#REF!</f>
        <v>#REF!</v>
      </c>
      <c r="AC29" s="79" t="e">
        <f>Harvest!#REF!</f>
        <v>#REF!</v>
      </c>
      <c r="AD29" s="79" t="e">
        <f>Harvest!#REF!</f>
        <v>#REF!</v>
      </c>
      <c r="AE29" s="80" t="e">
        <f>Harvest!#REF!</f>
        <v>#REF!</v>
      </c>
      <c r="AF29" s="79" t="e">
        <f>Harvest!#REF!</f>
        <v>#REF!</v>
      </c>
      <c r="AG29" s="81" t="e">
        <f>Harvest!#REF!</f>
        <v>#REF!</v>
      </c>
    </row>
    <row r="30" spans="1:33" ht="13.5" thickBot="1" x14ac:dyDescent="0.25">
      <c r="A30" s="62">
        <f t="shared" si="2"/>
        <v>45585</v>
      </c>
      <c r="B30" s="1"/>
      <c r="C30" s="1"/>
      <c r="D30" s="63"/>
      <c r="E30" s="67"/>
      <c r="F30" s="4"/>
      <c r="G30" s="4"/>
      <c r="H30" s="4"/>
      <c r="I30" s="68"/>
      <c r="J30" s="4"/>
      <c r="K30" s="69"/>
      <c r="L30" s="4"/>
      <c r="M30" s="4"/>
      <c r="N30" s="4"/>
      <c r="O30" s="4"/>
      <c r="P30" s="68"/>
      <c r="Q30" s="4"/>
      <c r="R30" s="69"/>
      <c r="T30" s="67"/>
      <c r="U30" s="4"/>
      <c r="V30" s="4"/>
      <c r="W30" s="4"/>
      <c r="X30" s="68"/>
      <c r="Y30" s="4"/>
      <c r="Z30" s="69"/>
      <c r="AA30" s="4"/>
      <c r="AB30" s="4"/>
      <c r="AC30" s="4"/>
      <c r="AD30" s="4"/>
      <c r="AE30" s="68"/>
      <c r="AF30" s="4"/>
      <c r="AG30" s="69"/>
    </row>
    <row r="31" spans="1:33" ht="13.5" thickBot="1" x14ac:dyDescent="0.25">
      <c r="A31" s="60" t="s">
        <v>6</v>
      </c>
      <c r="B31" s="58"/>
      <c r="C31" s="58"/>
      <c r="D31" s="59"/>
      <c r="E31" s="70">
        <f t="shared" ref="E31:R31" si="3">SUM(E22:E30)</f>
        <v>1</v>
      </c>
      <c r="F31" s="71">
        <f t="shared" si="3"/>
        <v>2</v>
      </c>
      <c r="G31" s="71">
        <f t="shared" si="3"/>
        <v>7</v>
      </c>
      <c r="H31" s="71">
        <f t="shared" si="3"/>
        <v>1</v>
      </c>
      <c r="I31" s="72">
        <f t="shared" si="3"/>
        <v>1</v>
      </c>
      <c r="J31" s="71">
        <f t="shared" si="3"/>
        <v>0</v>
      </c>
      <c r="K31" s="73">
        <f t="shared" si="3"/>
        <v>0</v>
      </c>
      <c r="L31" s="71" t="e">
        <f t="shared" si="3"/>
        <v>#REF!</v>
      </c>
      <c r="M31" s="71" t="e">
        <f t="shared" si="3"/>
        <v>#REF!</v>
      </c>
      <c r="N31" s="71" t="e">
        <f t="shared" si="3"/>
        <v>#REF!</v>
      </c>
      <c r="O31" s="71" t="e">
        <f t="shared" si="3"/>
        <v>#REF!</v>
      </c>
      <c r="P31" s="72" t="e">
        <f t="shared" si="3"/>
        <v>#REF!</v>
      </c>
      <c r="Q31" s="71" t="e">
        <f t="shared" si="3"/>
        <v>#REF!</v>
      </c>
      <c r="R31" s="73" t="e">
        <f t="shared" si="3"/>
        <v>#REF!</v>
      </c>
      <c r="T31" s="70">
        <f t="shared" ref="T31:AG31" si="4">SUM(T22:T30)</f>
        <v>0</v>
      </c>
      <c r="U31" s="71">
        <f t="shared" si="4"/>
        <v>0</v>
      </c>
      <c r="V31" s="71">
        <f t="shared" si="4"/>
        <v>0</v>
      </c>
      <c r="W31" s="71">
        <f t="shared" si="4"/>
        <v>0</v>
      </c>
      <c r="X31" s="72">
        <f t="shared" si="4"/>
        <v>0</v>
      </c>
      <c r="Y31" s="71">
        <f t="shared" si="4"/>
        <v>0</v>
      </c>
      <c r="Z31" s="73">
        <f t="shared" si="4"/>
        <v>0</v>
      </c>
      <c r="AA31" s="71" t="e">
        <f t="shared" si="4"/>
        <v>#REF!</v>
      </c>
      <c r="AB31" s="71" t="e">
        <f t="shared" si="4"/>
        <v>#REF!</v>
      </c>
      <c r="AC31" s="71" t="e">
        <f t="shared" si="4"/>
        <v>#REF!</v>
      </c>
      <c r="AD31" s="71" t="e">
        <f t="shared" si="4"/>
        <v>#REF!</v>
      </c>
      <c r="AE31" s="72" t="e">
        <f t="shared" si="4"/>
        <v>#REF!</v>
      </c>
      <c r="AF31" s="71" t="e">
        <f t="shared" si="4"/>
        <v>#REF!</v>
      </c>
      <c r="AG31" s="73" t="e">
        <f t="shared" si="4"/>
        <v>#REF!</v>
      </c>
    </row>
    <row r="33" spans="1:33" ht="13.5" thickBot="1" x14ac:dyDescent="0.25">
      <c r="A33" s="3" t="s">
        <v>125</v>
      </c>
      <c r="T33" s="3" t="s">
        <v>125</v>
      </c>
    </row>
    <row r="34" spans="1:33" ht="16.5" thickBot="1" x14ac:dyDescent="0.3">
      <c r="A34" s="21"/>
      <c r="B34" s="22"/>
      <c r="C34" s="22"/>
      <c r="D34" s="23"/>
      <c r="E34" s="658" t="s">
        <v>103</v>
      </c>
      <c r="F34" s="659"/>
      <c r="G34" s="659"/>
      <c r="H34" s="659"/>
      <c r="I34" s="659"/>
      <c r="J34" s="659"/>
      <c r="K34" s="659"/>
      <c r="L34" s="659"/>
      <c r="M34" s="659"/>
      <c r="N34" s="659"/>
      <c r="O34" s="659"/>
      <c r="P34" s="659"/>
      <c r="Q34" s="659"/>
      <c r="R34" s="660"/>
      <c r="T34" s="658" t="s">
        <v>103</v>
      </c>
      <c r="U34" s="659"/>
      <c r="V34" s="659"/>
      <c r="W34" s="659"/>
      <c r="X34" s="659"/>
      <c r="Y34" s="659"/>
      <c r="Z34" s="659"/>
      <c r="AA34" s="659"/>
      <c r="AB34" s="659"/>
      <c r="AC34" s="659"/>
      <c r="AD34" s="659"/>
      <c r="AE34" s="659"/>
      <c r="AF34" s="659"/>
      <c r="AG34" s="660"/>
    </row>
    <row r="35" spans="1:33" x14ac:dyDescent="0.2">
      <c r="A35" s="61" t="s">
        <v>69</v>
      </c>
      <c r="D35" s="11"/>
      <c r="E35" s="725" t="s">
        <v>112</v>
      </c>
      <c r="F35" s="726"/>
      <c r="G35" s="726"/>
      <c r="H35" s="726"/>
      <c r="I35" s="727" t="s">
        <v>107</v>
      </c>
      <c r="J35" s="726"/>
      <c r="K35" s="728"/>
      <c r="L35" s="729" t="s">
        <v>113</v>
      </c>
      <c r="M35" s="729"/>
      <c r="N35" s="729"/>
      <c r="O35" s="729"/>
      <c r="P35" s="730" t="s">
        <v>114</v>
      </c>
      <c r="Q35" s="729"/>
      <c r="R35" s="731"/>
      <c r="T35" s="725" t="s">
        <v>112</v>
      </c>
      <c r="U35" s="726"/>
      <c r="V35" s="726"/>
      <c r="W35" s="726"/>
      <c r="X35" s="727" t="s">
        <v>107</v>
      </c>
      <c r="Y35" s="726"/>
      <c r="Z35" s="728"/>
      <c r="AA35" s="729" t="s">
        <v>113</v>
      </c>
      <c r="AB35" s="729"/>
      <c r="AC35" s="729"/>
      <c r="AD35" s="729"/>
      <c r="AE35" s="730" t="s">
        <v>114</v>
      </c>
      <c r="AF35" s="729"/>
      <c r="AG35" s="731"/>
    </row>
    <row r="36" spans="1:33" x14ac:dyDescent="0.2">
      <c r="A36" s="65" t="s">
        <v>108</v>
      </c>
      <c r="B36" s="2"/>
      <c r="C36" s="2"/>
      <c r="D36" s="66"/>
      <c r="E36" s="17" t="s">
        <v>111</v>
      </c>
      <c r="F36" s="18" t="s">
        <v>110</v>
      </c>
      <c r="G36" s="18" t="s">
        <v>96</v>
      </c>
      <c r="H36" s="18" t="s">
        <v>104</v>
      </c>
      <c r="I36" s="10" t="s">
        <v>111</v>
      </c>
      <c r="J36" s="18" t="s">
        <v>110</v>
      </c>
      <c r="K36" s="19" t="s">
        <v>96</v>
      </c>
      <c r="L36" s="14" t="s">
        <v>111</v>
      </c>
      <c r="M36" s="14" t="s">
        <v>110</v>
      </c>
      <c r="N36" s="14" t="s">
        <v>96</v>
      </c>
      <c r="O36" s="14" t="s">
        <v>104</v>
      </c>
      <c r="P36" s="15" t="s">
        <v>111</v>
      </c>
      <c r="Q36" s="14" t="s">
        <v>110</v>
      </c>
      <c r="R36" s="16" t="s">
        <v>96</v>
      </c>
      <c r="T36" s="17" t="s">
        <v>111</v>
      </c>
      <c r="U36" s="18" t="s">
        <v>110</v>
      </c>
      <c r="V36" s="18" t="s">
        <v>96</v>
      </c>
      <c r="W36" s="18" t="s">
        <v>104</v>
      </c>
      <c r="X36" s="10" t="s">
        <v>111</v>
      </c>
      <c r="Y36" s="18" t="s">
        <v>110</v>
      </c>
      <c r="Z36" s="19" t="s">
        <v>96</v>
      </c>
      <c r="AA36" s="14" t="s">
        <v>111</v>
      </c>
      <c r="AB36" s="14" t="s">
        <v>110</v>
      </c>
      <c r="AC36" s="14" t="s">
        <v>96</v>
      </c>
      <c r="AD36" s="14" t="s">
        <v>104</v>
      </c>
      <c r="AE36" s="15" t="s">
        <v>111</v>
      </c>
      <c r="AF36" s="14" t="s">
        <v>110</v>
      </c>
      <c r="AG36" s="16" t="s">
        <v>96</v>
      </c>
    </row>
    <row r="37" spans="1:33" x14ac:dyDescent="0.2">
      <c r="A37" s="62">
        <f>A7</f>
        <v>45529</v>
      </c>
      <c r="D37" s="11"/>
      <c r="E37" s="12">
        <f>Harvest!BM31</f>
        <v>0</v>
      </c>
      <c r="F37" s="5">
        <f>Harvest!BN31</f>
        <v>0</v>
      </c>
      <c r="G37" s="5">
        <f>Harvest!BO31</f>
        <v>0</v>
      </c>
      <c r="H37" s="5">
        <f>Harvest!BP31</f>
        <v>0</v>
      </c>
      <c r="I37" s="9">
        <f>Harvest!BQ31</f>
        <v>0</v>
      </c>
      <c r="J37" s="5">
        <f>Harvest!BR31</f>
        <v>0</v>
      </c>
      <c r="K37" s="13">
        <f>Harvest!BS31</f>
        <v>0</v>
      </c>
      <c r="L37" s="78" t="e">
        <f>Harvest!#REF!</f>
        <v>#REF!</v>
      </c>
      <c r="M37" s="79" t="e">
        <f>Harvest!#REF!</f>
        <v>#REF!</v>
      </c>
      <c r="N37" s="79" t="e">
        <f>Harvest!#REF!</f>
        <v>#REF!</v>
      </c>
      <c r="O37" s="79" t="e">
        <f>Harvest!#REF!</f>
        <v>#REF!</v>
      </c>
      <c r="P37" s="80" t="e">
        <f>Harvest!#REF!</f>
        <v>#REF!</v>
      </c>
      <c r="Q37" s="79" t="e">
        <f>Harvest!#REF!</f>
        <v>#REF!</v>
      </c>
      <c r="R37" s="81" t="e">
        <f>Harvest!#REF!</f>
        <v>#REF!</v>
      </c>
      <c r="T37" s="12">
        <f>Harvest!CK31</f>
        <v>0</v>
      </c>
      <c r="U37" s="5">
        <f>Harvest!CL31</f>
        <v>0</v>
      </c>
      <c r="V37" s="5">
        <f>Harvest!CM31</f>
        <v>0</v>
      </c>
      <c r="W37" s="5">
        <f>Harvest!CN31</f>
        <v>0</v>
      </c>
      <c r="X37" s="9">
        <f>Harvest!CO31</f>
        <v>0</v>
      </c>
      <c r="Y37" s="5">
        <f>Harvest!CP31</f>
        <v>0</v>
      </c>
      <c r="Z37" s="13">
        <f>Harvest!CQ31</f>
        <v>0</v>
      </c>
      <c r="AA37" s="78" t="e">
        <f>Harvest!#REF!</f>
        <v>#REF!</v>
      </c>
      <c r="AB37" s="79" t="e">
        <f>Harvest!#REF!</f>
        <v>#REF!</v>
      </c>
      <c r="AC37" s="79" t="e">
        <f>Harvest!#REF!</f>
        <v>#REF!</v>
      </c>
      <c r="AD37" s="79" t="e">
        <f>Harvest!#REF!</f>
        <v>#REF!</v>
      </c>
      <c r="AE37" s="80" t="e">
        <f>Harvest!#REF!</f>
        <v>#REF!</v>
      </c>
      <c r="AF37" s="79" t="e">
        <f>Harvest!#REF!</f>
        <v>#REF!</v>
      </c>
      <c r="AG37" s="81" t="e">
        <f>Harvest!#REF!</f>
        <v>#REF!</v>
      </c>
    </row>
    <row r="38" spans="1:33" x14ac:dyDescent="0.2">
      <c r="A38" s="62">
        <f t="shared" ref="A38:A45" si="5">A8</f>
        <v>45536</v>
      </c>
      <c r="D38" s="11"/>
      <c r="E38" s="82">
        <f>Harvest!BM41</f>
        <v>0</v>
      </c>
      <c r="F38" s="83">
        <f>Harvest!BN41</f>
        <v>0</v>
      </c>
      <c r="G38" s="83">
        <f>Harvest!BO41</f>
        <v>0</v>
      </c>
      <c r="H38" s="83">
        <f>Harvest!BP41</f>
        <v>0</v>
      </c>
      <c r="I38" s="84">
        <f>Harvest!BQ41</f>
        <v>0</v>
      </c>
      <c r="J38" s="83">
        <f>Harvest!BR41</f>
        <v>0</v>
      </c>
      <c r="K38" s="85">
        <f>Harvest!BS41</f>
        <v>0</v>
      </c>
      <c r="L38" s="78" t="e">
        <f>Harvest!#REF!</f>
        <v>#REF!</v>
      </c>
      <c r="M38" s="79" t="e">
        <f>Harvest!#REF!</f>
        <v>#REF!</v>
      </c>
      <c r="N38" s="79" t="e">
        <f>Harvest!#REF!</f>
        <v>#REF!</v>
      </c>
      <c r="O38" s="79" t="e">
        <f>Harvest!#REF!</f>
        <v>#REF!</v>
      </c>
      <c r="P38" s="80" t="e">
        <f>Harvest!#REF!</f>
        <v>#REF!</v>
      </c>
      <c r="Q38" s="79" t="e">
        <f>Harvest!#REF!</f>
        <v>#REF!</v>
      </c>
      <c r="R38" s="81" t="e">
        <f>Harvest!#REF!</f>
        <v>#REF!</v>
      </c>
      <c r="T38" s="82">
        <f>Harvest!CK41</f>
        <v>0</v>
      </c>
      <c r="U38" s="83">
        <f>Harvest!CL41</f>
        <v>0</v>
      </c>
      <c r="V38" s="83">
        <f>Harvest!CM41</f>
        <v>0</v>
      </c>
      <c r="W38" s="83">
        <f>Harvest!CN41</f>
        <v>0</v>
      </c>
      <c r="X38" s="84">
        <f>Harvest!CO41</f>
        <v>0</v>
      </c>
      <c r="Y38" s="83">
        <f>Harvest!CP41</f>
        <v>0</v>
      </c>
      <c r="Z38" s="85">
        <f>Harvest!CQ41</f>
        <v>0</v>
      </c>
      <c r="AA38" s="78" t="e">
        <f>Harvest!#REF!</f>
        <v>#REF!</v>
      </c>
      <c r="AB38" s="79" t="e">
        <f>Harvest!#REF!</f>
        <v>#REF!</v>
      </c>
      <c r="AC38" s="79" t="e">
        <f>Harvest!#REF!</f>
        <v>#REF!</v>
      </c>
      <c r="AD38" s="79" t="e">
        <f>Harvest!#REF!</f>
        <v>#REF!</v>
      </c>
      <c r="AE38" s="80" t="e">
        <f>Harvest!#REF!</f>
        <v>#REF!</v>
      </c>
      <c r="AF38" s="79" t="e">
        <f>Harvest!#REF!</f>
        <v>#REF!</v>
      </c>
      <c r="AG38" s="81" t="e">
        <f>Harvest!#REF!</f>
        <v>#REF!</v>
      </c>
    </row>
    <row r="39" spans="1:33" x14ac:dyDescent="0.2">
      <c r="A39" s="62">
        <f t="shared" si="5"/>
        <v>45543</v>
      </c>
      <c r="D39" s="11"/>
      <c r="E39" s="82">
        <f>Harvest!BM51</f>
        <v>0</v>
      </c>
      <c r="F39" s="83">
        <f>Harvest!BN51</f>
        <v>0</v>
      </c>
      <c r="G39" s="83">
        <f>Harvest!BO51</f>
        <v>0</v>
      </c>
      <c r="H39" s="83">
        <f>Harvest!BP51</f>
        <v>0</v>
      </c>
      <c r="I39" s="84">
        <f>Harvest!BQ51</f>
        <v>0</v>
      </c>
      <c r="J39" s="83">
        <f>Harvest!BR51</f>
        <v>0</v>
      </c>
      <c r="K39" s="85">
        <f>Harvest!BS51</f>
        <v>0</v>
      </c>
      <c r="L39" s="78" t="e">
        <f>Harvest!#REF!</f>
        <v>#REF!</v>
      </c>
      <c r="M39" s="79" t="e">
        <f>Harvest!#REF!</f>
        <v>#REF!</v>
      </c>
      <c r="N39" s="79" t="e">
        <f>Harvest!#REF!</f>
        <v>#REF!</v>
      </c>
      <c r="O39" s="79" t="e">
        <f>Harvest!#REF!</f>
        <v>#REF!</v>
      </c>
      <c r="P39" s="80" t="e">
        <f>Harvest!#REF!</f>
        <v>#REF!</v>
      </c>
      <c r="Q39" s="79" t="e">
        <f>Harvest!#REF!</f>
        <v>#REF!</v>
      </c>
      <c r="R39" s="81" t="e">
        <f>Harvest!#REF!</f>
        <v>#REF!</v>
      </c>
      <c r="T39" s="82">
        <f>Harvest!CK51</f>
        <v>0</v>
      </c>
      <c r="U39" s="83">
        <f>Harvest!CL51</f>
        <v>0</v>
      </c>
      <c r="V39" s="83">
        <f>Harvest!CM51</f>
        <v>0</v>
      </c>
      <c r="W39" s="83">
        <f>Harvest!CN51</f>
        <v>0</v>
      </c>
      <c r="X39" s="84">
        <f>Harvest!CO51</f>
        <v>0</v>
      </c>
      <c r="Y39" s="83">
        <f>Harvest!CP51</f>
        <v>0</v>
      </c>
      <c r="Z39" s="85">
        <f>Harvest!CQ51</f>
        <v>0</v>
      </c>
      <c r="AA39" s="78" t="e">
        <f>Harvest!#REF!</f>
        <v>#REF!</v>
      </c>
      <c r="AB39" s="79" t="e">
        <f>Harvest!#REF!</f>
        <v>#REF!</v>
      </c>
      <c r="AC39" s="79" t="e">
        <f>Harvest!#REF!</f>
        <v>#REF!</v>
      </c>
      <c r="AD39" s="79" t="e">
        <f>Harvest!#REF!</f>
        <v>#REF!</v>
      </c>
      <c r="AE39" s="80" t="e">
        <f>Harvest!#REF!</f>
        <v>#REF!</v>
      </c>
      <c r="AF39" s="79" t="e">
        <f>Harvest!#REF!</f>
        <v>#REF!</v>
      </c>
      <c r="AG39" s="81" t="e">
        <f>Harvest!#REF!</f>
        <v>#REF!</v>
      </c>
    </row>
    <row r="40" spans="1:33" x14ac:dyDescent="0.2">
      <c r="A40" s="62">
        <f t="shared" si="5"/>
        <v>45550</v>
      </c>
      <c r="D40" s="11"/>
      <c r="E40" s="82">
        <f>Harvest!BM61</f>
        <v>0</v>
      </c>
      <c r="F40" s="83">
        <f>Harvest!BN61</f>
        <v>0</v>
      </c>
      <c r="G40" s="83">
        <f>Harvest!BO61</f>
        <v>0</v>
      </c>
      <c r="H40" s="83">
        <f>Harvest!BP61</f>
        <v>0</v>
      </c>
      <c r="I40" s="84">
        <f>Harvest!BQ61</f>
        <v>0</v>
      </c>
      <c r="J40" s="83">
        <f>Harvest!BR61</f>
        <v>0</v>
      </c>
      <c r="K40" s="85">
        <f>Harvest!BS61</f>
        <v>0</v>
      </c>
      <c r="L40" s="78" t="e">
        <f>Harvest!#REF!</f>
        <v>#REF!</v>
      </c>
      <c r="M40" s="79" t="e">
        <f>Harvest!#REF!</f>
        <v>#REF!</v>
      </c>
      <c r="N40" s="79" t="e">
        <f>Harvest!#REF!</f>
        <v>#REF!</v>
      </c>
      <c r="O40" s="79" t="e">
        <f>Harvest!#REF!</f>
        <v>#REF!</v>
      </c>
      <c r="P40" s="80" t="e">
        <f>Harvest!#REF!</f>
        <v>#REF!</v>
      </c>
      <c r="Q40" s="79" t="e">
        <f>Harvest!#REF!</f>
        <v>#REF!</v>
      </c>
      <c r="R40" s="81" t="e">
        <f>Harvest!#REF!</f>
        <v>#REF!</v>
      </c>
      <c r="T40" s="82">
        <f>Harvest!CK61</f>
        <v>0</v>
      </c>
      <c r="U40" s="83">
        <f>Harvest!CL61</f>
        <v>0</v>
      </c>
      <c r="V40" s="83">
        <f>Harvest!CM61</f>
        <v>0</v>
      </c>
      <c r="W40" s="83">
        <f>Harvest!CN61</f>
        <v>0</v>
      </c>
      <c r="X40" s="84">
        <f>Harvest!CO61</f>
        <v>0</v>
      </c>
      <c r="Y40" s="83">
        <f>Harvest!CP61</f>
        <v>0</v>
      </c>
      <c r="Z40" s="85">
        <f>Harvest!CQ61</f>
        <v>0</v>
      </c>
      <c r="AA40" s="78" t="e">
        <f>Harvest!#REF!</f>
        <v>#REF!</v>
      </c>
      <c r="AB40" s="79" t="e">
        <f>Harvest!#REF!</f>
        <v>#REF!</v>
      </c>
      <c r="AC40" s="79" t="e">
        <f>Harvest!#REF!</f>
        <v>#REF!</v>
      </c>
      <c r="AD40" s="79" t="e">
        <f>Harvest!#REF!</f>
        <v>#REF!</v>
      </c>
      <c r="AE40" s="80" t="e">
        <f>Harvest!#REF!</f>
        <v>#REF!</v>
      </c>
      <c r="AF40" s="79" t="e">
        <f>Harvest!#REF!</f>
        <v>#REF!</v>
      </c>
      <c r="AG40" s="81" t="e">
        <f>Harvest!#REF!</f>
        <v>#REF!</v>
      </c>
    </row>
    <row r="41" spans="1:33" x14ac:dyDescent="0.2">
      <c r="A41" s="62">
        <f t="shared" si="5"/>
        <v>45557</v>
      </c>
      <c r="D41" s="11"/>
      <c r="E41" s="82">
        <f>Harvest!BM71</f>
        <v>0</v>
      </c>
      <c r="F41" s="83">
        <f>Harvest!BN71</f>
        <v>0</v>
      </c>
      <c r="G41" s="83">
        <f>Harvest!BO71</f>
        <v>0</v>
      </c>
      <c r="H41" s="83">
        <f>Harvest!BP71</f>
        <v>0</v>
      </c>
      <c r="I41" s="84">
        <f>Harvest!BQ71</f>
        <v>0</v>
      </c>
      <c r="J41" s="83">
        <f>Harvest!BR71</f>
        <v>0</v>
      </c>
      <c r="K41" s="85">
        <f>Harvest!BS71</f>
        <v>0</v>
      </c>
      <c r="L41" s="78" t="e">
        <f>Harvest!#REF!</f>
        <v>#REF!</v>
      </c>
      <c r="M41" s="79" t="e">
        <f>Harvest!#REF!</f>
        <v>#REF!</v>
      </c>
      <c r="N41" s="79" t="e">
        <f>Harvest!#REF!</f>
        <v>#REF!</v>
      </c>
      <c r="O41" s="79" t="e">
        <f>Harvest!#REF!</f>
        <v>#REF!</v>
      </c>
      <c r="P41" s="80" t="e">
        <f>Harvest!#REF!</f>
        <v>#REF!</v>
      </c>
      <c r="Q41" s="79" t="e">
        <f>Harvest!#REF!</f>
        <v>#REF!</v>
      </c>
      <c r="R41" s="81" t="e">
        <f>Harvest!#REF!</f>
        <v>#REF!</v>
      </c>
      <c r="T41" s="82">
        <f>Harvest!CK71</f>
        <v>0</v>
      </c>
      <c r="U41" s="83">
        <f>Harvest!CL71</f>
        <v>0</v>
      </c>
      <c r="V41" s="83">
        <f>Harvest!CM71</f>
        <v>0</v>
      </c>
      <c r="W41" s="83">
        <f>Harvest!CN71</f>
        <v>0</v>
      </c>
      <c r="X41" s="84">
        <f>Harvest!CO71</f>
        <v>0</v>
      </c>
      <c r="Y41" s="83">
        <f>Harvest!CP71</f>
        <v>0</v>
      </c>
      <c r="Z41" s="85">
        <f>Harvest!CQ71</f>
        <v>0</v>
      </c>
      <c r="AA41" s="78" t="e">
        <f>Harvest!#REF!</f>
        <v>#REF!</v>
      </c>
      <c r="AB41" s="79" t="e">
        <f>Harvest!#REF!</f>
        <v>#REF!</v>
      </c>
      <c r="AC41" s="79" t="e">
        <f>Harvest!#REF!</f>
        <v>#REF!</v>
      </c>
      <c r="AD41" s="79" t="e">
        <f>Harvest!#REF!</f>
        <v>#REF!</v>
      </c>
      <c r="AE41" s="80" t="e">
        <f>Harvest!#REF!</f>
        <v>#REF!</v>
      </c>
      <c r="AF41" s="79" t="e">
        <f>Harvest!#REF!</f>
        <v>#REF!</v>
      </c>
      <c r="AG41" s="81" t="e">
        <f>Harvest!#REF!</f>
        <v>#REF!</v>
      </c>
    </row>
    <row r="42" spans="1:33" x14ac:dyDescent="0.2">
      <c r="A42" s="62">
        <f t="shared" si="5"/>
        <v>45564</v>
      </c>
      <c r="D42" s="11"/>
      <c r="E42" s="82">
        <f>Harvest!BM81</f>
        <v>0</v>
      </c>
      <c r="F42" s="83">
        <f>Harvest!BN81</f>
        <v>0</v>
      </c>
      <c r="G42" s="83">
        <f>Harvest!BO81</f>
        <v>0</v>
      </c>
      <c r="H42" s="83">
        <f>Harvest!BP81</f>
        <v>0</v>
      </c>
      <c r="I42" s="84">
        <f>Harvest!BQ81</f>
        <v>0</v>
      </c>
      <c r="J42" s="83">
        <f>Harvest!BR81</f>
        <v>0</v>
      </c>
      <c r="K42" s="85">
        <f>Harvest!BS81</f>
        <v>0</v>
      </c>
      <c r="L42" s="78" t="e">
        <f>Harvest!#REF!</f>
        <v>#REF!</v>
      </c>
      <c r="M42" s="79" t="e">
        <f>Harvest!#REF!</f>
        <v>#REF!</v>
      </c>
      <c r="N42" s="79" t="e">
        <f>Harvest!#REF!</f>
        <v>#REF!</v>
      </c>
      <c r="O42" s="79" t="e">
        <f>Harvest!#REF!</f>
        <v>#REF!</v>
      </c>
      <c r="P42" s="80" t="e">
        <f>Harvest!#REF!</f>
        <v>#REF!</v>
      </c>
      <c r="Q42" s="79" t="e">
        <f>Harvest!#REF!</f>
        <v>#REF!</v>
      </c>
      <c r="R42" s="81" t="e">
        <f>Harvest!#REF!</f>
        <v>#REF!</v>
      </c>
      <c r="T42" s="82">
        <f>Harvest!CK81</f>
        <v>0</v>
      </c>
      <c r="U42" s="83">
        <f>Harvest!CL81</f>
        <v>0</v>
      </c>
      <c r="V42" s="83">
        <f>Harvest!CM81</f>
        <v>0</v>
      </c>
      <c r="W42" s="83">
        <f>Harvest!CN81</f>
        <v>0</v>
      </c>
      <c r="X42" s="84">
        <f>Harvest!CO81</f>
        <v>0</v>
      </c>
      <c r="Y42" s="83">
        <f>Harvest!CP81</f>
        <v>0</v>
      </c>
      <c r="Z42" s="85">
        <f>Harvest!CQ81</f>
        <v>0</v>
      </c>
      <c r="AA42" s="78" t="e">
        <f>Harvest!#REF!</f>
        <v>#REF!</v>
      </c>
      <c r="AB42" s="79" t="e">
        <f>Harvest!#REF!</f>
        <v>#REF!</v>
      </c>
      <c r="AC42" s="79" t="e">
        <f>Harvest!#REF!</f>
        <v>#REF!</v>
      </c>
      <c r="AD42" s="79" t="e">
        <f>Harvest!#REF!</f>
        <v>#REF!</v>
      </c>
      <c r="AE42" s="80" t="e">
        <f>Harvest!#REF!</f>
        <v>#REF!</v>
      </c>
      <c r="AF42" s="79" t="e">
        <f>Harvest!#REF!</f>
        <v>#REF!</v>
      </c>
      <c r="AG42" s="81" t="e">
        <f>Harvest!#REF!</f>
        <v>#REF!</v>
      </c>
    </row>
    <row r="43" spans="1:33" x14ac:dyDescent="0.2">
      <c r="A43" s="62">
        <f t="shared" si="5"/>
        <v>45571</v>
      </c>
      <c r="D43" s="11"/>
      <c r="E43" s="82">
        <f>Harvest!BM91</f>
        <v>0</v>
      </c>
      <c r="F43" s="83">
        <f>Harvest!BN91</f>
        <v>0</v>
      </c>
      <c r="G43" s="83">
        <f>Harvest!BO91</f>
        <v>0</v>
      </c>
      <c r="H43" s="83">
        <f>Harvest!BP91</f>
        <v>0</v>
      </c>
      <c r="I43" s="84">
        <f>Harvest!BQ91</f>
        <v>0</v>
      </c>
      <c r="J43" s="83">
        <f>Harvest!BR91</f>
        <v>0</v>
      </c>
      <c r="K43" s="85">
        <f>Harvest!BS91</f>
        <v>0</v>
      </c>
      <c r="L43" s="78" t="e">
        <f>Harvest!#REF!</f>
        <v>#REF!</v>
      </c>
      <c r="M43" s="79" t="e">
        <f>Harvest!#REF!</f>
        <v>#REF!</v>
      </c>
      <c r="N43" s="79" t="e">
        <f>Harvest!#REF!</f>
        <v>#REF!</v>
      </c>
      <c r="O43" s="79" t="e">
        <f>Harvest!#REF!</f>
        <v>#REF!</v>
      </c>
      <c r="P43" s="80" t="e">
        <f>Harvest!#REF!</f>
        <v>#REF!</v>
      </c>
      <c r="Q43" s="79" t="e">
        <f>Harvest!#REF!</f>
        <v>#REF!</v>
      </c>
      <c r="R43" s="81" t="e">
        <f>Harvest!#REF!</f>
        <v>#REF!</v>
      </c>
      <c r="T43" s="82">
        <f>Harvest!CK91</f>
        <v>0</v>
      </c>
      <c r="U43" s="83">
        <f>Harvest!CL91</f>
        <v>0</v>
      </c>
      <c r="V43" s="83">
        <f>Harvest!CM91</f>
        <v>0</v>
      </c>
      <c r="W43" s="83">
        <f>Harvest!CN91</f>
        <v>0</v>
      </c>
      <c r="X43" s="84">
        <f>Harvest!CO91</f>
        <v>0</v>
      </c>
      <c r="Y43" s="83">
        <f>Harvest!CP91</f>
        <v>0</v>
      </c>
      <c r="Z43" s="85">
        <f>Harvest!CQ91</f>
        <v>0</v>
      </c>
      <c r="AA43" s="78" t="e">
        <f>Harvest!#REF!</f>
        <v>#REF!</v>
      </c>
      <c r="AB43" s="79" t="e">
        <f>Harvest!#REF!</f>
        <v>#REF!</v>
      </c>
      <c r="AC43" s="79" t="e">
        <f>Harvest!#REF!</f>
        <v>#REF!</v>
      </c>
      <c r="AD43" s="79" t="e">
        <f>Harvest!#REF!</f>
        <v>#REF!</v>
      </c>
      <c r="AE43" s="80" t="e">
        <f>Harvest!#REF!</f>
        <v>#REF!</v>
      </c>
      <c r="AF43" s="79" t="e">
        <f>Harvest!#REF!</f>
        <v>#REF!</v>
      </c>
      <c r="AG43" s="81" t="e">
        <f>Harvest!#REF!</f>
        <v>#REF!</v>
      </c>
    </row>
    <row r="44" spans="1:33" x14ac:dyDescent="0.2">
      <c r="A44" s="62">
        <f t="shared" si="5"/>
        <v>45578</v>
      </c>
      <c r="D44" s="11"/>
      <c r="E44" s="82">
        <f>Harvest!BM101</f>
        <v>0</v>
      </c>
      <c r="F44" s="83">
        <f>Harvest!BN101</f>
        <v>0</v>
      </c>
      <c r="G44" s="83">
        <f>Harvest!BO101</f>
        <v>0</v>
      </c>
      <c r="H44" s="83">
        <f>Harvest!BP101</f>
        <v>0</v>
      </c>
      <c r="I44" s="84">
        <f>Harvest!BQ101</f>
        <v>0</v>
      </c>
      <c r="J44" s="83">
        <f>Harvest!BR101</f>
        <v>0</v>
      </c>
      <c r="K44" s="85">
        <f>Harvest!BS101</f>
        <v>0</v>
      </c>
      <c r="L44" s="78" t="e">
        <f>Harvest!#REF!</f>
        <v>#REF!</v>
      </c>
      <c r="M44" s="79" t="e">
        <f>Harvest!#REF!</f>
        <v>#REF!</v>
      </c>
      <c r="N44" s="79" t="e">
        <f>Harvest!#REF!</f>
        <v>#REF!</v>
      </c>
      <c r="O44" s="79" t="e">
        <f>Harvest!#REF!</f>
        <v>#REF!</v>
      </c>
      <c r="P44" s="80" t="e">
        <f>Harvest!#REF!</f>
        <v>#REF!</v>
      </c>
      <c r="Q44" s="79" t="e">
        <f>Harvest!#REF!</f>
        <v>#REF!</v>
      </c>
      <c r="R44" s="81" t="e">
        <f>Harvest!#REF!</f>
        <v>#REF!</v>
      </c>
      <c r="T44" s="82">
        <f>Harvest!CK101</f>
        <v>0</v>
      </c>
      <c r="U44" s="83">
        <f>Harvest!CL101</f>
        <v>0</v>
      </c>
      <c r="V44" s="83">
        <f>Harvest!CM101</f>
        <v>0</v>
      </c>
      <c r="W44" s="83">
        <f>Harvest!CN101</f>
        <v>0</v>
      </c>
      <c r="X44" s="84">
        <f>Harvest!CO101</f>
        <v>0</v>
      </c>
      <c r="Y44" s="83">
        <f>Harvest!CP101</f>
        <v>0</v>
      </c>
      <c r="Z44" s="85">
        <f>Harvest!CQ101</f>
        <v>0</v>
      </c>
      <c r="AA44" s="78" t="e">
        <f>Harvest!#REF!</f>
        <v>#REF!</v>
      </c>
      <c r="AB44" s="79" t="e">
        <f>Harvest!#REF!</f>
        <v>#REF!</v>
      </c>
      <c r="AC44" s="79" t="e">
        <f>Harvest!#REF!</f>
        <v>#REF!</v>
      </c>
      <c r="AD44" s="79" t="e">
        <f>Harvest!#REF!</f>
        <v>#REF!</v>
      </c>
      <c r="AE44" s="80" t="e">
        <f>Harvest!#REF!</f>
        <v>#REF!</v>
      </c>
      <c r="AF44" s="79" t="e">
        <f>Harvest!#REF!</f>
        <v>#REF!</v>
      </c>
      <c r="AG44" s="81" t="e">
        <f>Harvest!#REF!</f>
        <v>#REF!</v>
      </c>
    </row>
    <row r="45" spans="1:33" ht="13.5" thickBot="1" x14ac:dyDescent="0.25">
      <c r="A45" s="62">
        <f t="shared" si="5"/>
        <v>45585</v>
      </c>
      <c r="B45" s="1"/>
      <c r="C45" s="1"/>
      <c r="D45" s="63"/>
      <c r="E45" s="67"/>
      <c r="F45" s="4"/>
      <c r="G45" s="4"/>
      <c r="H45" s="4"/>
      <c r="I45" s="68"/>
      <c r="J45" s="4"/>
      <c r="K45" s="69"/>
      <c r="L45" s="4"/>
      <c r="M45" s="4"/>
      <c r="N45" s="4"/>
      <c r="O45" s="4"/>
      <c r="P45" s="68"/>
      <c r="Q45" s="4"/>
      <c r="R45" s="69"/>
      <c r="T45" s="67"/>
      <c r="U45" s="4"/>
      <c r="V45" s="4"/>
      <c r="W45" s="4"/>
      <c r="X45" s="68"/>
      <c r="Y45" s="4"/>
      <c r="Z45" s="69"/>
      <c r="AA45" s="4"/>
      <c r="AB45" s="4"/>
      <c r="AC45" s="4"/>
      <c r="AD45" s="4"/>
      <c r="AE45" s="68"/>
      <c r="AF45" s="4"/>
      <c r="AG45" s="69"/>
    </row>
    <row r="46" spans="1:33" ht="13.5" thickBot="1" x14ac:dyDescent="0.25">
      <c r="A46" s="60" t="s">
        <v>6</v>
      </c>
      <c r="B46" s="58"/>
      <c r="C46" s="58"/>
      <c r="D46" s="59"/>
      <c r="E46" s="70">
        <f t="shared" ref="E46:R46" si="6">SUM(E37:E45)</f>
        <v>0</v>
      </c>
      <c r="F46" s="71">
        <f t="shared" si="6"/>
        <v>0</v>
      </c>
      <c r="G46" s="71">
        <f t="shared" si="6"/>
        <v>0</v>
      </c>
      <c r="H46" s="71">
        <f t="shared" si="6"/>
        <v>0</v>
      </c>
      <c r="I46" s="72">
        <f t="shared" si="6"/>
        <v>0</v>
      </c>
      <c r="J46" s="71">
        <f t="shared" si="6"/>
        <v>0</v>
      </c>
      <c r="K46" s="73">
        <f t="shared" si="6"/>
        <v>0</v>
      </c>
      <c r="L46" s="71" t="e">
        <f t="shared" si="6"/>
        <v>#REF!</v>
      </c>
      <c r="M46" s="71" t="e">
        <f t="shared" si="6"/>
        <v>#REF!</v>
      </c>
      <c r="N46" s="71" t="e">
        <f t="shared" si="6"/>
        <v>#REF!</v>
      </c>
      <c r="O46" s="71" t="e">
        <f t="shared" si="6"/>
        <v>#REF!</v>
      </c>
      <c r="P46" s="72" t="e">
        <f t="shared" si="6"/>
        <v>#REF!</v>
      </c>
      <c r="Q46" s="71" t="e">
        <f t="shared" si="6"/>
        <v>#REF!</v>
      </c>
      <c r="R46" s="73" t="e">
        <f t="shared" si="6"/>
        <v>#REF!</v>
      </c>
      <c r="T46" s="70">
        <f t="shared" ref="T46:AG46" si="7">SUM(T37:T45)</f>
        <v>0</v>
      </c>
      <c r="U46" s="71">
        <f t="shared" si="7"/>
        <v>0</v>
      </c>
      <c r="V46" s="71">
        <f t="shared" si="7"/>
        <v>0</v>
      </c>
      <c r="W46" s="71">
        <f t="shared" si="7"/>
        <v>0</v>
      </c>
      <c r="X46" s="72">
        <f t="shared" si="7"/>
        <v>0</v>
      </c>
      <c r="Y46" s="71">
        <f t="shared" si="7"/>
        <v>0</v>
      </c>
      <c r="Z46" s="73">
        <f t="shared" si="7"/>
        <v>0</v>
      </c>
      <c r="AA46" s="71" t="e">
        <f t="shared" si="7"/>
        <v>#REF!</v>
      </c>
      <c r="AB46" s="71" t="e">
        <f t="shared" si="7"/>
        <v>#REF!</v>
      </c>
      <c r="AC46" s="71" t="e">
        <f t="shared" si="7"/>
        <v>#REF!</v>
      </c>
      <c r="AD46" s="71" t="e">
        <f t="shared" si="7"/>
        <v>#REF!</v>
      </c>
      <c r="AE46" s="72" t="e">
        <f t="shared" si="7"/>
        <v>#REF!</v>
      </c>
      <c r="AF46" s="71" t="e">
        <f t="shared" si="7"/>
        <v>#REF!</v>
      </c>
      <c r="AG46" s="73" t="e">
        <f t="shared" si="7"/>
        <v>#REF!</v>
      </c>
    </row>
  </sheetData>
  <mergeCells count="30">
    <mergeCell ref="E35:H35"/>
    <mergeCell ref="I35:K35"/>
    <mergeCell ref="L35:O35"/>
    <mergeCell ref="P35:R35"/>
    <mergeCell ref="E19:R19"/>
    <mergeCell ref="E20:H20"/>
    <mergeCell ref="I20:K20"/>
    <mergeCell ref="L20:O20"/>
    <mergeCell ref="P20:R20"/>
    <mergeCell ref="E34:R34"/>
    <mergeCell ref="E4:R4"/>
    <mergeCell ref="E5:H5"/>
    <mergeCell ref="I5:K5"/>
    <mergeCell ref="L5:O5"/>
    <mergeCell ref="T34:AG34"/>
    <mergeCell ref="T4:AG4"/>
    <mergeCell ref="T5:W5"/>
    <mergeCell ref="X5:Z5"/>
    <mergeCell ref="AA5:AD5"/>
    <mergeCell ref="AE5:AG5"/>
    <mergeCell ref="P5:R5"/>
    <mergeCell ref="T35:W35"/>
    <mergeCell ref="X35:Z35"/>
    <mergeCell ref="AA35:AD35"/>
    <mergeCell ref="AE35:AG35"/>
    <mergeCell ref="T19:AG19"/>
    <mergeCell ref="T20:W20"/>
    <mergeCell ref="X20:Z20"/>
    <mergeCell ref="AA20:AD20"/>
    <mergeCell ref="AE20:AG20"/>
  </mergeCells>
  <phoneticPr fontId="0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T26"/>
  <sheetViews>
    <sheetView zoomScale="75" zoomScaleNormal="75" workbookViewId="0">
      <selection activeCell="Y17" sqref="Y17:AE37"/>
    </sheetView>
  </sheetViews>
  <sheetFormatPr defaultRowHeight="12.75" x14ac:dyDescent="0.2"/>
  <cols>
    <col min="2" max="2" width="13" customWidth="1"/>
  </cols>
  <sheetData>
    <row r="1" spans="2:20" ht="13.5" thickBot="1" x14ac:dyDescent="0.25"/>
    <row r="2" spans="2:20" ht="15.75" x14ac:dyDescent="0.25">
      <c r="O2" s="699" t="s">
        <v>209</v>
      </c>
      <c r="P2" s="700"/>
      <c r="Q2" s="700"/>
      <c r="R2" s="700"/>
      <c r="S2" s="700"/>
      <c r="T2" s="701"/>
    </row>
    <row r="3" spans="2:20" ht="15.75" x14ac:dyDescent="0.25">
      <c r="D3" s="733" t="s">
        <v>118</v>
      </c>
      <c r="E3" s="734"/>
      <c r="F3" s="734"/>
      <c r="G3" s="734"/>
      <c r="H3" s="735"/>
      <c r="I3" s="733" t="s">
        <v>119</v>
      </c>
      <c r="J3" s="734"/>
      <c r="K3" s="734"/>
      <c r="L3" s="734"/>
      <c r="M3" s="735"/>
      <c r="O3" s="702" t="s">
        <v>118</v>
      </c>
      <c r="P3" s="703"/>
      <c r="Q3" s="704" t="s">
        <v>119</v>
      </c>
      <c r="R3" s="704"/>
      <c r="S3" s="705" t="s">
        <v>6</v>
      </c>
      <c r="T3" s="706"/>
    </row>
    <row r="4" spans="2:20" ht="32.25" thickBot="1" x14ac:dyDescent="0.3">
      <c r="D4" s="181" t="s">
        <v>118</v>
      </c>
      <c r="E4" s="182" t="s">
        <v>165</v>
      </c>
      <c r="F4" s="182" t="s">
        <v>160</v>
      </c>
      <c r="G4" s="182" t="s">
        <v>161</v>
      </c>
      <c r="H4" s="184" t="s">
        <v>162</v>
      </c>
      <c r="I4" s="313" t="s">
        <v>90</v>
      </c>
      <c r="J4" s="182" t="s">
        <v>165</v>
      </c>
      <c r="K4" s="182" t="s">
        <v>160</v>
      </c>
      <c r="L4" s="182" t="s">
        <v>161</v>
      </c>
      <c r="M4" s="184" t="s">
        <v>162</v>
      </c>
      <c r="O4" s="329" t="s">
        <v>165</v>
      </c>
      <c r="P4" s="330" t="s">
        <v>120</v>
      </c>
      <c r="Q4" s="331" t="s">
        <v>165</v>
      </c>
      <c r="R4" s="331" t="s">
        <v>120</v>
      </c>
      <c r="S4" s="332" t="s">
        <v>118</v>
      </c>
      <c r="T4" s="333" t="s">
        <v>119</v>
      </c>
    </row>
    <row r="5" spans="2:20" x14ac:dyDescent="0.2">
      <c r="B5" s="732" t="s">
        <v>122</v>
      </c>
      <c r="C5" t="s">
        <v>177</v>
      </c>
      <c r="D5" s="4">
        <v>0</v>
      </c>
      <c r="E5" s="4">
        <v>0</v>
      </c>
      <c r="F5" s="4">
        <v>0</v>
      </c>
      <c r="G5" s="4">
        <v>0</v>
      </c>
      <c r="H5" s="4">
        <v>0</v>
      </c>
      <c r="I5" s="4">
        <v>1</v>
      </c>
      <c r="J5" s="4">
        <v>1</v>
      </c>
      <c r="K5" s="4">
        <v>0</v>
      </c>
      <c r="L5" s="4">
        <v>0</v>
      </c>
      <c r="M5" s="4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 spans="2:20" x14ac:dyDescent="0.2">
      <c r="B6" s="732"/>
      <c r="C6" t="s">
        <v>171</v>
      </c>
      <c r="D6" s="4">
        <v>30</v>
      </c>
      <c r="E6" s="4">
        <v>17</v>
      </c>
      <c r="F6" s="4">
        <v>11</v>
      </c>
      <c r="G6" s="4">
        <v>2</v>
      </c>
      <c r="H6" s="4">
        <v>0</v>
      </c>
      <c r="I6" s="4">
        <v>7</v>
      </c>
      <c r="J6" s="4">
        <v>5</v>
      </c>
      <c r="K6" s="4">
        <v>2</v>
      </c>
      <c r="L6" s="4">
        <v>0</v>
      </c>
      <c r="M6" s="4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</row>
    <row r="7" spans="2:20" x14ac:dyDescent="0.2">
      <c r="B7" s="732"/>
      <c r="C7" t="s">
        <v>172</v>
      </c>
      <c r="D7" s="4">
        <v>15</v>
      </c>
      <c r="E7" s="4">
        <v>4</v>
      </c>
      <c r="F7" s="4">
        <v>10</v>
      </c>
      <c r="G7" s="4">
        <v>1</v>
      </c>
      <c r="H7" s="4">
        <v>0</v>
      </c>
      <c r="I7" s="4">
        <v>2</v>
      </c>
      <c r="J7" s="4">
        <v>2</v>
      </c>
      <c r="K7" s="4">
        <v>0</v>
      </c>
      <c r="L7" s="4">
        <v>0</v>
      </c>
      <c r="M7" s="4">
        <v>0</v>
      </c>
      <c r="O7">
        <v>0</v>
      </c>
      <c r="P7">
        <v>0</v>
      </c>
      <c r="Q7">
        <v>1</v>
      </c>
      <c r="R7">
        <v>0</v>
      </c>
      <c r="S7">
        <v>0</v>
      </c>
      <c r="T7">
        <v>1</v>
      </c>
    </row>
    <row r="8" spans="2:20" ht="15.75" x14ac:dyDescent="0.25">
      <c r="D8" s="4"/>
      <c r="E8" s="4"/>
      <c r="F8" s="4"/>
      <c r="G8" s="4"/>
      <c r="H8" s="4"/>
      <c r="I8" s="4"/>
      <c r="J8" s="4"/>
      <c r="K8" s="4"/>
      <c r="L8" s="4"/>
      <c r="M8" s="4"/>
      <c r="O8" s="328"/>
      <c r="P8" s="328"/>
      <c r="Q8" s="328"/>
      <c r="R8" s="328"/>
      <c r="S8" s="328"/>
      <c r="T8" s="328"/>
    </row>
    <row r="9" spans="2:20" x14ac:dyDescent="0.2">
      <c r="B9" s="732" t="s">
        <v>208</v>
      </c>
      <c r="C9" t="s">
        <v>177</v>
      </c>
      <c r="D9" s="4">
        <v>28</v>
      </c>
      <c r="E9" s="4">
        <v>15</v>
      </c>
      <c r="F9" s="4">
        <v>9</v>
      </c>
      <c r="G9" s="4">
        <v>2</v>
      </c>
      <c r="H9" s="4">
        <v>2</v>
      </c>
      <c r="I9" s="4">
        <v>4</v>
      </c>
      <c r="J9" s="4">
        <v>3</v>
      </c>
      <c r="K9" s="4">
        <v>0</v>
      </c>
      <c r="L9" s="4">
        <v>0</v>
      </c>
      <c r="M9" s="4">
        <v>1</v>
      </c>
      <c r="O9">
        <v>2</v>
      </c>
      <c r="P9">
        <v>1</v>
      </c>
      <c r="Q9">
        <v>3</v>
      </c>
      <c r="R9">
        <v>0</v>
      </c>
      <c r="S9">
        <v>3</v>
      </c>
      <c r="T9">
        <v>3</v>
      </c>
    </row>
    <row r="10" spans="2:20" x14ac:dyDescent="0.2">
      <c r="B10" s="732"/>
      <c r="C10" t="s">
        <v>171</v>
      </c>
      <c r="D10" s="4">
        <v>2885</v>
      </c>
      <c r="E10" s="4">
        <v>2372</v>
      </c>
      <c r="F10" s="4">
        <v>377</v>
      </c>
      <c r="G10" s="4">
        <v>72</v>
      </c>
      <c r="H10" s="4">
        <v>64</v>
      </c>
      <c r="I10" s="4">
        <v>205</v>
      </c>
      <c r="J10" s="4">
        <v>172</v>
      </c>
      <c r="K10" s="4">
        <v>18</v>
      </c>
      <c r="L10" s="4">
        <v>10</v>
      </c>
      <c r="M10" s="4">
        <v>5</v>
      </c>
      <c r="O10">
        <v>141</v>
      </c>
      <c r="P10">
        <v>13</v>
      </c>
      <c r="Q10">
        <v>9</v>
      </c>
      <c r="R10">
        <v>1</v>
      </c>
      <c r="S10">
        <v>154</v>
      </c>
      <c r="T10">
        <v>10</v>
      </c>
    </row>
    <row r="11" spans="2:20" x14ac:dyDescent="0.2">
      <c r="B11" s="732"/>
      <c r="C11" t="s">
        <v>172</v>
      </c>
      <c r="D11" s="4">
        <v>2252</v>
      </c>
      <c r="E11" s="4">
        <v>1948</v>
      </c>
      <c r="F11" s="4">
        <v>221</v>
      </c>
      <c r="G11" s="4">
        <v>61</v>
      </c>
      <c r="H11" s="4">
        <v>22</v>
      </c>
      <c r="I11" s="4">
        <v>108</v>
      </c>
      <c r="J11" s="4">
        <v>95</v>
      </c>
      <c r="K11" s="4">
        <v>7</v>
      </c>
      <c r="L11" s="4">
        <v>6</v>
      </c>
      <c r="M11" s="4">
        <v>0</v>
      </c>
      <c r="O11">
        <v>110</v>
      </c>
      <c r="P11">
        <v>14</v>
      </c>
      <c r="Q11">
        <v>7</v>
      </c>
      <c r="R11">
        <v>0</v>
      </c>
      <c r="S11">
        <v>124</v>
      </c>
      <c r="T11">
        <v>7</v>
      </c>
    </row>
    <row r="12" spans="2:20" x14ac:dyDescent="0.2">
      <c r="D12" s="4"/>
      <c r="E12" s="4"/>
      <c r="F12" s="4"/>
      <c r="G12" s="4"/>
      <c r="H12" s="4"/>
      <c r="I12" s="4"/>
      <c r="J12" s="4"/>
      <c r="K12" s="4"/>
      <c r="L12" s="4"/>
      <c r="M12" s="4"/>
    </row>
    <row r="13" spans="2:20" x14ac:dyDescent="0.2">
      <c r="B13" s="732" t="s">
        <v>210</v>
      </c>
      <c r="C13" t="s">
        <v>177</v>
      </c>
      <c r="D13" s="4">
        <f>D9+D5</f>
        <v>28</v>
      </c>
      <c r="E13" s="4">
        <f t="shared" ref="E13:M13" si="0">E9+E5</f>
        <v>15</v>
      </c>
      <c r="F13" s="4">
        <f t="shared" si="0"/>
        <v>9</v>
      </c>
      <c r="G13" s="4">
        <f t="shared" si="0"/>
        <v>2</v>
      </c>
      <c r="H13" s="4">
        <f t="shared" si="0"/>
        <v>2</v>
      </c>
      <c r="I13" s="4">
        <f t="shared" si="0"/>
        <v>5</v>
      </c>
      <c r="J13" s="4">
        <f t="shared" si="0"/>
        <v>4</v>
      </c>
      <c r="K13" s="4">
        <f t="shared" si="0"/>
        <v>0</v>
      </c>
      <c r="L13" s="4">
        <f t="shared" si="0"/>
        <v>0</v>
      </c>
      <c r="M13" s="4">
        <f t="shared" si="0"/>
        <v>1</v>
      </c>
      <c r="O13" s="4">
        <f t="shared" ref="O13:T15" si="1">O9+O5</f>
        <v>2</v>
      </c>
      <c r="P13" s="4">
        <f t="shared" si="1"/>
        <v>1</v>
      </c>
      <c r="Q13" s="4">
        <f t="shared" si="1"/>
        <v>3</v>
      </c>
      <c r="R13" s="4">
        <f t="shared" si="1"/>
        <v>0</v>
      </c>
      <c r="S13" s="4">
        <f t="shared" si="1"/>
        <v>3</v>
      </c>
      <c r="T13" s="4">
        <f t="shared" si="1"/>
        <v>3</v>
      </c>
    </row>
    <row r="14" spans="2:20" x14ac:dyDescent="0.2">
      <c r="B14" s="732"/>
      <c r="C14" t="s">
        <v>171</v>
      </c>
      <c r="D14" s="4">
        <f>D10+D6</f>
        <v>2915</v>
      </c>
      <c r="E14" s="4">
        <f t="shared" ref="E14:M14" si="2">E10+E6</f>
        <v>2389</v>
      </c>
      <c r="F14" s="4">
        <f t="shared" si="2"/>
        <v>388</v>
      </c>
      <c r="G14" s="4">
        <f t="shared" si="2"/>
        <v>74</v>
      </c>
      <c r="H14" s="4">
        <f t="shared" si="2"/>
        <v>64</v>
      </c>
      <c r="I14" s="4">
        <f t="shared" si="2"/>
        <v>212</v>
      </c>
      <c r="J14" s="4">
        <f t="shared" si="2"/>
        <v>177</v>
      </c>
      <c r="K14" s="4">
        <f t="shared" si="2"/>
        <v>20</v>
      </c>
      <c r="L14" s="4">
        <f t="shared" si="2"/>
        <v>10</v>
      </c>
      <c r="M14" s="4">
        <f t="shared" si="2"/>
        <v>5</v>
      </c>
      <c r="O14" s="4">
        <f t="shared" si="1"/>
        <v>141</v>
      </c>
      <c r="P14" s="4">
        <f t="shared" si="1"/>
        <v>13</v>
      </c>
      <c r="Q14" s="4">
        <f t="shared" si="1"/>
        <v>9</v>
      </c>
      <c r="R14" s="4">
        <f t="shared" si="1"/>
        <v>1</v>
      </c>
      <c r="S14" s="4">
        <f t="shared" si="1"/>
        <v>154</v>
      </c>
      <c r="T14" s="4">
        <f t="shared" si="1"/>
        <v>10</v>
      </c>
    </row>
    <row r="15" spans="2:20" x14ac:dyDescent="0.2">
      <c r="B15" s="732"/>
      <c r="C15" t="s">
        <v>172</v>
      </c>
      <c r="D15" s="4">
        <f>D11+D7</f>
        <v>2267</v>
      </c>
      <c r="E15" s="4">
        <f t="shared" ref="E15:M15" si="3">E11+E7</f>
        <v>1952</v>
      </c>
      <c r="F15" s="4">
        <f t="shared" si="3"/>
        <v>231</v>
      </c>
      <c r="G15" s="4">
        <f t="shared" si="3"/>
        <v>62</v>
      </c>
      <c r="H15" s="4">
        <f t="shared" si="3"/>
        <v>22</v>
      </c>
      <c r="I15" s="4">
        <f t="shared" si="3"/>
        <v>110</v>
      </c>
      <c r="J15" s="4">
        <f t="shared" si="3"/>
        <v>97</v>
      </c>
      <c r="K15" s="4">
        <f t="shared" si="3"/>
        <v>7</v>
      </c>
      <c r="L15" s="4">
        <f t="shared" si="3"/>
        <v>6</v>
      </c>
      <c r="M15" s="4">
        <f t="shared" si="3"/>
        <v>0</v>
      </c>
      <c r="O15" s="4">
        <f t="shared" si="1"/>
        <v>110</v>
      </c>
      <c r="P15" s="4">
        <f t="shared" si="1"/>
        <v>14</v>
      </c>
      <c r="Q15" s="4">
        <f t="shared" si="1"/>
        <v>8</v>
      </c>
      <c r="R15" s="4">
        <f t="shared" si="1"/>
        <v>0</v>
      </c>
      <c r="S15" s="4">
        <f t="shared" si="1"/>
        <v>124</v>
      </c>
      <c r="T15" s="4">
        <f t="shared" si="1"/>
        <v>8</v>
      </c>
    </row>
    <row r="16" spans="2:20" x14ac:dyDescent="0.2">
      <c r="D16" s="4"/>
      <c r="E16" s="4"/>
      <c r="F16" s="4"/>
      <c r="G16" s="4"/>
      <c r="H16" s="4"/>
      <c r="I16" s="4"/>
      <c r="J16" s="4"/>
      <c r="K16" s="4"/>
      <c r="L16" s="4"/>
      <c r="M16" s="4"/>
    </row>
    <row r="17" spans="2:13" x14ac:dyDescent="0.2">
      <c r="B17" s="732" t="s">
        <v>208</v>
      </c>
      <c r="C17" t="s">
        <v>177</v>
      </c>
      <c r="D17" s="4">
        <f t="shared" ref="D17:H19" si="4">D13+I13</f>
        <v>33</v>
      </c>
      <c r="E17" s="4">
        <f t="shared" si="4"/>
        <v>19</v>
      </c>
      <c r="F17" s="4">
        <f t="shared" si="4"/>
        <v>9</v>
      </c>
      <c r="G17" s="4">
        <f t="shared" si="4"/>
        <v>2</v>
      </c>
      <c r="H17" s="4">
        <f t="shared" si="4"/>
        <v>3</v>
      </c>
      <c r="I17" s="4"/>
      <c r="J17" s="4"/>
      <c r="K17" s="4"/>
      <c r="L17" s="4"/>
      <c r="M17" s="4"/>
    </row>
    <row r="18" spans="2:13" x14ac:dyDescent="0.2">
      <c r="B18" s="732"/>
      <c r="C18" t="s">
        <v>171</v>
      </c>
      <c r="D18" s="4">
        <f t="shared" si="4"/>
        <v>3127</v>
      </c>
      <c r="E18" s="4">
        <f t="shared" si="4"/>
        <v>2566</v>
      </c>
      <c r="F18" s="4">
        <f t="shared" si="4"/>
        <v>408</v>
      </c>
      <c r="G18" s="4">
        <f t="shared" si="4"/>
        <v>84</v>
      </c>
      <c r="H18" s="4">
        <f t="shared" si="4"/>
        <v>69</v>
      </c>
      <c r="I18" s="4"/>
      <c r="J18" s="4"/>
      <c r="K18" s="4"/>
      <c r="L18" s="4"/>
      <c r="M18" s="4"/>
    </row>
    <row r="19" spans="2:13" x14ac:dyDescent="0.2">
      <c r="B19" s="732"/>
      <c r="C19" t="s">
        <v>172</v>
      </c>
      <c r="D19" s="4">
        <f t="shared" si="4"/>
        <v>2377</v>
      </c>
      <c r="E19" s="4">
        <f t="shared" si="4"/>
        <v>2049</v>
      </c>
      <c r="F19" s="4">
        <f t="shared" si="4"/>
        <v>238</v>
      </c>
      <c r="G19" s="4">
        <f t="shared" si="4"/>
        <v>68</v>
      </c>
      <c r="H19" s="4">
        <f t="shared" si="4"/>
        <v>22</v>
      </c>
      <c r="I19" s="4"/>
      <c r="J19" s="4"/>
      <c r="K19" s="4"/>
      <c r="L19" s="4"/>
      <c r="M19" s="4"/>
    </row>
    <row r="20" spans="2:13" x14ac:dyDescent="0.2"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2:13" x14ac:dyDescent="0.2">
      <c r="B21" s="732" t="s">
        <v>208</v>
      </c>
      <c r="C21" t="s">
        <v>177</v>
      </c>
      <c r="D21" s="8">
        <f>SUM(E21:H21)</f>
        <v>27</v>
      </c>
      <c r="E21" s="4">
        <f t="shared" ref="E21:F23" si="5">E17-O13-Q13</f>
        <v>14</v>
      </c>
      <c r="F21" s="4">
        <f t="shared" si="5"/>
        <v>8</v>
      </c>
      <c r="G21" s="4">
        <f t="shared" ref="G21:H23" si="6">G17</f>
        <v>2</v>
      </c>
      <c r="H21" s="4">
        <f t="shared" si="6"/>
        <v>3</v>
      </c>
      <c r="I21" s="4"/>
      <c r="J21" s="4"/>
      <c r="K21" s="4"/>
      <c r="L21" s="4"/>
      <c r="M21" s="4"/>
    </row>
    <row r="22" spans="2:13" x14ac:dyDescent="0.2">
      <c r="B22" s="732"/>
      <c r="C22" t="s">
        <v>171</v>
      </c>
      <c r="D22" s="8">
        <f>SUM(E22:H22)</f>
        <v>2963</v>
      </c>
      <c r="E22" s="4">
        <f t="shared" si="5"/>
        <v>2416</v>
      </c>
      <c r="F22" s="4">
        <f t="shared" si="5"/>
        <v>394</v>
      </c>
      <c r="G22" s="4">
        <f t="shared" si="6"/>
        <v>84</v>
      </c>
      <c r="H22" s="4">
        <f t="shared" si="6"/>
        <v>69</v>
      </c>
      <c r="I22" s="4"/>
      <c r="J22" s="4"/>
      <c r="K22" s="4"/>
      <c r="L22" s="4"/>
      <c r="M22" s="4"/>
    </row>
    <row r="23" spans="2:13" x14ac:dyDescent="0.2">
      <c r="B23" s="732"/>
      <c r="C23" t="s">
        <v>172</v>
      </c>
      <c r="D23" s="8">
        <f>SUM(E23:H23)</f>
        <v>2245</v>
      </c>
      <c r="E23" s="4">
        <f t="shared" si="5"/>
        <v>1931</v>
      </c>
      <c r="F23" s="4">
        <f t="shared" si="5"/>
        <v>224</v>
      </c>
      <c r="G23" s="4">
        <f t="shared" si="6"/>
        <v>68</v>
      </c>
      <c r="H23" s="4">
        <f t="shared" si="6"/>
        <v>22</v>
      </c>
      <c r="I23" s="4"/>
      <c r="J23" s="4"/>
      <c r="K23" s="4"/>
      <c r="L23" s="4"/>
      <c r="M23" s="4"/>
    </row>
    <row r="24" spans="2:13" x14ac:dyDescent="0.2">
      <c r="D24" s="8">
        <f>SUM(E24:H24)</f>
        <v>5235</v>
      </c>
      <c r="E24" s="4">
        <f>SUM(E21:E23)</f>
        <v>4361</v>
      </c>
      <c r="F24" s="4">
        <f>SUM(F21:F23)</f>
        <v>626</v>
      </c>
      <c r="G24" s="4">
        <f>SUM(G21:G23)</f>
        <v>154</v>
      </c>
      <c r="H24" s="4">
        <f>SUM(H21:H23)</f>
        <v>94</v>
      </c>
      <c r="I24" s="4"/>
      <c r="J24" s="4"/>
      <c r="K24" s="4"/>
      <c r="L24" s="4"/>
      <c r="M24" s="4"/>
    </row>
    <row r="25" spans="2:13" x14ac:dyDescent="0.2"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2:13" x14ac:dyDescent="0.2">
      <c r="D26" s="4"/>
      <c r="E26" s="4"/>
      <c r="F26" s="4"/>
      <c r="G26" s="4"/>
      <c r="H26" s="4"/>
      <c r="I26" s="4"/>
      <c r="J26" s="4"/>
      <c r="K26" s="4"/>
      <c r="L26" s="4"/>
      <c r="M26" s="4"/>
    </row>
  </sheetData>
  <mergeCells count="11">
    <mergeCell ref="B21:B23"/>
    <mergeCell ref="O2:T2"/>
    <mergeCell ref="O3:P3"/>
    <mergeCell ref="Q3:R3"/>
    <mergeCell ref="S3:T3"/>
    <mergeCell ref="B5:B7"/>
    <mergeCell ref="B9:B11"/>
    <mergeCell ref="D3:H3"/>
    <mergeCell ref="I3:M3"/>
    <mergeCell ref="B13:B15"/>
    <mergeCell ref="B17:B19"/>
  </mergeCells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5011977-b912-4387-97a4-f4c94a801377}" enabled="1" method="Standard" siteId="{11d0e217-264e-400a-8ba0-57dcc127d72d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Factors</vt:lpstr>
      <vt:lpstr>Harvest</vt:lpstr>
      <vt:lpstr>Boats</vt:lpstr>
      <vt:lpstr>Bank</vt:lpstr>
      <vt:lpstr>Other</vt:lpstr>
      <vt:lpstr>Summary</vt:lpstr>
      <vt:lpstr>Summary Print</vt:lpstr>
      <vt:lpstr>Steelhead</vt:lpstr>
      <vt:lpstr>Sheet2</vt:lpstr>
      <vt:lpstr>Harvest!Print_Area</vt:lpstr>
    </vt:vector>
  </TitlesOfParts>
  <Company>DIS Leased System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Test</dc:creator>
  <cp:lastModifiedBy>Miller, Todd L (DFW)</cp:lastModifiedBy>
  <cp:lastPrinted>2017-10-18T16:16:08Z</cp:lastPrinted>
  <dcterms:created xsi:type="dcterms:W3CDTF">2004-10-18T19:33:14Z</dcterms:created>
  <dcterms:modified xsi:type="dcterms:W3CDTF">2026-02-04T21:28:50Z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5011977-b912-4387-97a4-f4c94a801377_Enabled">
    <vt:lpwstr>true</vt:lpwstr>
  </property>
  <property fmtid="{D5CDD505-2E9C-101B-9397-08002B2CF9AE}" pid="3" name="MSIP_Label_45011977-b912-4387-97a4-f4c94a801377_SetDate">
    <vt:lpwstr>2022-10-08T17:42:45Z</vt:lpwstr>
  </property>
  <property fmtid="{D5CDD505-2E9C-101B-9397-08002B2CF9AE}" pid="4" name="MSIP_Label_45011977-b912-4387-97a4-f4c94a801377_Method">
    <vt:lpwstr>Standard</vt:lpwstr>
  </property>
  <property fmtid="{D5CDD505-2E9C-101B-9397-08002B2CF9AE}" pid="5" name="MSIP_Label_45011977-b912-4387-97a4-f4c94a801377_Name">
    <vt:lpwstr>Uncategorized Data</vt:lpwstr>
  </property>
  <property fmtid="{D5CDD505-2E9C-101B-9397-08002B2CF9AE}" pid="6" name="MSIP_Label_45011977-b912-4387-97a4-f4c94a801377_SiteId">
    <vt:lpwstr>11d0e217-264e-400a-8ba0-57dcc127d72d</vt:lpwstr>
  </property>
  <property fmtid="{D5CDD505-2E9C-101B-9397-08002B2CF9AE}" pid="7" name="MSIP_Label_45011977-b912-4387-97a4-f4c94a801377_ActionId">
    <vt:lpwstr>b83664e6-ef45-4678-b40d-992c77855222</vt:lpwstr>
  </property>
  <property fmtid="{D5CDD505-2E9C-101B-9397-08002B2CF9AE}" pid="8" name="MSIP_Label_45011977-b912-4387-97a4-f4c94a801377_ContentBits">
    <vt:lpwstr>0</vt:lpwstr>
  </property>
</Properties>
</file>