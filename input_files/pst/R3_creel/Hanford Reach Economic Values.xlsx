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e1477\Desktop\"/>
    </mc:Choice>
  </mc:AlternateContent>
  <xr:revisionPtr revIDLastSave="0" documentId="8_{EB1E63BA-F767-4499-BBB1-EC9B05B48F09}" xr6:coauthVersionLast="47" xr6:coauthVersionMax="47" xr10:uidLastSave="{00000000-0000-0000-0000-000000000000}"/>
  <bookViews>
    <workbookView xWindow="-28920" yWindow="-120" windowWidth="29040" windowHeight="15720" xr2:uid="{727DB0EE-F66C-4E27-A1B0-66C59020C6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8" i="1" l="1"/>
  <c r="F18" i="1"/>
  <c r="E18" i="1"/>
  <c r="D18" i="1"/>
  <c r="C18" i="1"/>
  <c r="B18" i="1"/>
  <c r="J17" i="1"/>
  <c r="O17" i="1" s="1"/>
  <c r="L15" i="1"/>
  <c r="K15" i="1"/>
  <c r="J15" i="1"/>
  <c r="O15" i="1" s="1"/>
  <c r="H15" i="1"/>
  <c r="O14" i="1"/>
  <c r="L14" i="1"/>
  <c r="K14" i="1"/>
  <c r="J14" i="1"/>
  <c r="I14" i="1"/>
  <c r="H14" i="1"/>
  <c r="L13" i="1"/>
  <c r="K13" i="1"/>
  <c r="J13" i="1"/>
  <c r="I13" i="1"/>
  <c r="O13" i="1" s="1"/>
  <c r="H13" i="1"/>
  <c r="O12" i="1"/>
  <c r="L12" i="1"/>
  <c r="K12" i="1"/>
  <c r="J12" i="1"/>
  <c r="H12" i="1"/>
  <c r="M11" i="1"/>
  <c r="L11" i="1"/>
  <c r="K11" i="1"/>
  <c r="J11" i="1"/>
  <c r="O11" i="1" s="1"/>
  <c r="H11" i="1"/>
  <c r="L10" i="1"/>
  <c r="K10" i="1"/>
  <c r="O10" i="1" s="1"/>
  <c r="H10" i="1"/>
  <c r="N9" i="1"/>
  <c r="O9" i="1" s="1"/>
  <c r="M9" i="1"/>
  <c r="L9" i="1"/>
  <c r="K9" i="1"/>
  <c r="J9" i="1"/>
  <c r="I9" i="1"/>
  <c r="H9" i="1"/>
  <c r="N8" i="1"/>
  <c r="M8" i="1"/>
  <c r="L8" i="1"/>
  <c r="K8" i="1"/>
  <c r="J8" i="1"/>
  <c r="I8" i="1"/>
  <c r="O8" i="1" s="1"/>
  <c r="H8" i="1"/>
  <c r="N7" i="1"/>
  <c r="M7" i="1"/>
  <c r="L7" i="1"/>
  <c r="K7" i="1"/>
  <c r="J7" i="1"/>
  <c r="I7" i="1"/>
  <c r="O7" i="1" s="1"/>
  <c r="H7" i="1"/>
  <c r="N6" i="1"/>
  <c r="N18" i="1" s="1"/>
  <c r="M6" i="1"/>
  <c r="L6" i="1"/>
  <c r="L18" i="1" s="1"/>
  <c r="K6" i="1"/>
  <c r="J6" i="1"/>
  <c r="I6" i="1"/>
  <c r="O6" i="1" s="1"/>
  <c r="H6" i="1"/>
  <c r="N5" i="1"/>
  <c r="M5" i="1"/>
  <c r="M18" i="1" s="1"/>
  <c r="L5" i="1"/>
  <c r="K5" i="1"/>
  <c r="K18" i="1" s="1"/>
  <c r="J5" i="1"/>
  <c r="J18" i="1" s="1"/>
  <c r="I5" i="1"/>
  <c r="I18" i="1" s="1"/>
  <c r="H5" i="1"/>
  <c r="H18" i="1" s="1"/>
  <c r="O5" i="1" l="1"/>
  <c r="O18" i="1" s="1"/>
</calcChain>
</file>

<file path=xl/sharedStrings.xml><?xml version="1.0" encoding="utf-8"?>
<sst xmlns="http://schemas.openxmlformats.org/spreadsheetml/2006/main" count="54" uniqueCount="15">
  <si>
    <t>Annual summary of angler trips and economic value of District 4 salmon and Steelhead fisheries.</t>
  </si>
  <si>
    <t>Year</t>
  </si>
  <si>
    <t>Angler Trips</t>
  </si>
  <si>
    <t>Economic Value*</t>
  </si>
  <si>
    <t>Spring</t>
  </si>
  <si>
    <t>Summer</t>
  </si>
  <si>
    <t>Fall</t>
  </si>
  <si>
    <t>Steelhead</t>
  </si>
  <si>
    <t>Combined</t>
  </si>
  <si>
    <t>Yakima River</t>
  </si>
  <si>
    <t>Hanford Reach</t>
  </si>
  <si>
    <t>McNary- Hwy 395</t>
  </si>
  <si>
    <t>No Fishery</t>
  </si>
  <si>
    <t>*</t>
  </si>
  <si>
    <r>
      <t>Mean</t>
    </r>
    <r>
      <rPr>
        <sz val="11"/>
        <color rgb="FF000000"/>
        <rFont val="Times New Roman"/>
        <family val="1"/>
      </rPr>
      <t xml:space="preserve"> (2014-26)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</si>
</sst>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3" fontId="4" fillId="0" borderId="6" xfId="0" applyNumberFormat="1" applyFont="1" applyBorder="1" applyAlignment="1">
      <alignment horizontal="right" vertical="center" wrapText="1"/>
    </xf>
    <xf numFmtId="3" fontId="5" fillId="0" borderId="7" xfId="0" applyNumberFormat="1" applyFont="1" applyBorder="1" applyAlignment="1">
      <alignment horizontal="right" vertical="center" wrapText="1"/>
    </xf>
    <xf numFmtId="3" fontId="4" fillId="0" borderId="7" xfId="0" applyNumberFormat="1" applyFont="1" applyBorder="1" applyAlignment="1">
      <alignment horizontal="right" vertical="center" wrapText="1"/>
    </xf>
    <xf numFmtId="3" fontId="4" fillId="0" borderId="8" xfId="0" applyNumberFormat="1" applyFont="1" applyBorder="1" applyAlignment="1">
      <alignment horizontal="right" vertical="center" wrapText="1"/>
    </xf>
    <xf numFmtId="6" fontId="4" fillId="0" borderId="6" xfId="0" applyNumberFormat="1" applyFont="1" applyBorder="1" applyAlignment="1">
      <alignment horizontal="right" vertical="center" wrapText="1"/>
    </xf>
    <xf numFmtId="6" fontId="4" fillId="0" borderId="7" xfId="0" applyNumberFormat="1" applyFont="1" applyBorder="1" applyAlignment="1">
      <alignment horizontal="right" vertical="center" wrapText="1"/>
    </xf>
    <xf numFmtId="6" fontId="4" fillId="0" borderId="10" xfId="0" applyNumberFormat="1" applyFont="1" applyBorder="1" applyAlignment="1">
      <alignment horizontal="right" vertical="center" wrapText="1"/>
    </xf>
    <xf numFmtId="0" fontId="4" fillId="0" borderId="13" xfId="0" applyFont="1" applyBorder="1" applyAlignment="1">
      <alignment horizontal="left" vertical="center" wrapText="1"/>
    </xf>
    <xf numFmtId="3" fontId="5" fillId="0" borderId="6" xfId="0" applyNumberFormat="1" applyFont="1" applyBorder="1" applyAlignment="1">
      <alignment horizontal="right" vertical="center" wrapText="1"/>
    </xf>
    <xf numFmtId="3" fontId="4" fillId="0" borderId="7" xfId="0" quotePrefix="1" applyNumberFormat="1" applyFont="1" applyBorder="1" applyAlignment="1">
      <alignment horizontal="center" vertical="center" wrapText="1"/>
    </xf>
    <xf numFmtId="3" fontId="5" fillId="0" borderId="14" xfId="0" applyNumberFormat="1" applyFont="1" applyBorder="1" applyAlignment="1">
      <alignment horizontal="right" vertical="center" wrapText="1"/>
    </xf>
    <xf numFmtId="3" fontId="4" fillId="0" borderId="14" xfId="0" applyNumberFormat="1" applyFont="1" applyBorder="1" applyAlignment="1">
      <alignment horizontal="right" vertical="center" wrapText="1"/>
    </xf>
    <xf numFmtId="6" fontId="4" fillId="0" borderId="14" xfId="0" applyNumberFormat="1" applyFont="1" applyBorder="1" applyAlignment="1">
      <alignment horizontal="right" vertical="center" wrapText="1"/>
    </xf>
    <xf numFmtId="3" fontId="5" fillId="0" borderId="15" xfId="0" applyNumberFormat="1" applyFont="1" applyBorder="1" applyAlignment="1">
      <alignment horizontal="right" vertical="center" wrapText="1"/>
    </xf>
    <xf numFmtId="3" fontId="4" fillId="0" borderId="14" xfId="0" quotePrefix="1" applyNumberFormat="1" applyFont="1" applyBorder="1" applyAlignment="1">
      <alignment horizontal="center" vertical="center" wrapText="1"/>
    </xf>
    <xf numFmtId="3" fontId="4" fillId="0" borderId="14" xfId="0" quotePrefix="1" applyNumberFormat="1" applyFont="1" applyBorder="1" applyAlignment="1">
      <alignment horizontal="right" vertical="center" wrapText="1"/>
    </xf>
    <xf numFmtId="3" fontId="4" fillId="0" borderId="10" xfId="0" applyNumberFormat="1" applyFont="1" applyBorder="1" applyAlignment="1">
      <alignment horizontal="right" vertical="center" wrapText="1"/>
    </xf>
    <xf numFmtId="6" fontId="4" fillId="0" borderId="15" xfId="0" applyNumberFormat="1" applyFont="1" applyBorder="1" applyAlignment="1">
      <alignment horizontal="right" vertical="center" wrapText="1"/>
    </xf>
    <xf numFmtId="3" fontId="4" fillId="0" borderId="16" xfId="0" applyNumberFormat="1" applyFont="1" applyBorder="1" applyAlignment="1">
      <alignment horizontal="right" vertical="center" wrapText="1"/>
    </xf>
    <xf numFmtId="0" fontId="4" fillId="0" borderId="17" xfId="0" applyFont="1" applyBorder="1" applyAlignment="1">
      <alignment horizontal="left" vertical="center" wrapText="1"/>
    </xf>
    <xf numFmtId="3" fontId="4" fillId="0" borderId="18" xfId="0" applyNumberFormat="1" applyFont="1" applyBorder="1" applyAlignment="1">
      <alignment horizontal="right" vertical="center" wrapText="1"/>
    </xf>
    <xf numFmtId="3" fontId="4" fillId="0" borderId="19" xfId="0" applyNumberFormat="1" applyFont="1" applyBorder="1" applyAlignment="1">
      <alignment horizontal="right" vertical="center" wrapText="1"/>
    </xf>
    <xf numFmtId="3" fontId="4" fillId="2" borderId="19" xfId="0" applyNumberFormat="1" applyFont="1" applyFill="1" applyBorder="1" applyAlignment="1">
      <alignment horizontal="right" vertical="center" wrapText="1"/>
    </xf>
    <xf numFmtId="3" fontId="4" fillId="2" borderId="19" xfId="0" applyNumberFormat="1" applyFont="1" applyFill="1" applyBorder="1" applyAlignment="1">
      <alignment horizontal="center" vertical="center" wrapText="1"/>
    </xf>
    <xf numFmtId="3" fontId="4" fillId="2" borderId="20" xfId="0" applyNumberFormat="1" applyFont="1" applyFill="1" applyBorder="1" applyAlignment="1">
      <alignment horizontal="right" vertical="center" wrapText="1"/>
    </xf>
    <xf numFmtId="6" fontId="4" fillId="0" borderId="19" xfId="0" applyNumberFormat="1" applyFont="1" applyBorder="1" applyAlignment="1">
      <alignment horizontal="right" vertical="center" wrapText="1"/>
    </xf>
    <xf numFmtId="6" fontId="4" fillId="2" borderId="19" xfId="0" applyNumberFormat="1" applyFont="1" applyFill="1" applyBorder="1" applyAlignment="1">
      <alignment horizontal="right" vertical="center" wrapText="1"/>
    </xf>
    <xf numFmtId="0" fontId="2" fillId="0" borderId="21" xfId="0" applyFont="1" applyBorder="1" applyAlignment="1">
      <alignment horizontal="left" vertical="center" wrapText="1"/>
    </xf>
    <xf numFmtId="3" fontId="2" fillId="0" borderId="22" xfId="0" applyNumberFormat="1" applyFont="1" applyBorder="1" applyAlignment="1">
      <alignment horizontal="right" vertical="center" wrapText="1"/>
    </xf>
    <xf numFmtId="3" fontId="2" fillId="0" borderId="23" xfId="0" applyNumberFormat="1" applyFont="1" applyBorder="1" applyAlignment="1">
      <alignment horizontal="right" vertical="center" wrapText="1"/>
    </xf>
    <xf numFmtId="6" fontId="2" fillId="0" borderId="24" xfId="0" applyNumberFormat="1" applyFont="1" applyBorder="1" applyAlignment="1">
      <alignment horizontal="right" vertical="center" wrapText="1"/>
    </xf>
    <xf numFmtId="6" fontId="2" fillId="0" borderId="25" xfId="0" applyNumberFormat="1" applyFont="1" applyBorder="1" applyAlignment="1">
      <alignment horizontal="right" vertical="center" wrapText="1"/>
    </xf>
    <xf numFmtId="6" fontId="2" fillId="0" borderId="26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F50DF-9FA5-44FE-959D-968D7922A2E0}">
  <dimension ref="A1:O18"/>
  <sheetViews>
    <sheetView tabSelected="1" workbookViewId="0">
      <selection activeCell="L24" sqref="L24"/>
    </sheetView>
  </sheetViews>
  <sheetFormatPr defaultRowHeight="14.5" x14ac:dyDescent="0.35"/>
  <cols>
    <col min="2" max="2" width="13.08984375" customWidth="1"/>
    <col min="3" max="3" width="14.1796875" customWidth="1"/>
    <col min="4" max="4" width="12.26953125" customWidth="1"/>
    <col min="5" max="5" width="13" customWidth="1"/>
    <col min="6" max="6" width="11.90625" customWidth="1"/>
    <col min="7" max="7" width="18.08984375" customWidth="1"/>
    <col min="8" max="8" width="14.453125" customWidth="1"/>
    <col min="9" max="9" width="13.54296875" customWidth="1"/>
    <col min="10" max="10" width="14.08984375" customWidth="1"/>
    <col min="11" max="11" width="18.26953125" customWidth="1"/>
    <col min="12" max="12" width="17.36328125" customWidth="1"/>
    <col min="13" max="13" width="17.1796875" customWidth="1"/>
    <col min="14" max="14" width="16.54296875" customWidth="1"/>
    <col min="15" max="15" width="15.453125" customWidth="1"/>
  </cols>
  <sheetData>
    <row r="1" spans="1:15" ht="18" thickBot="1" x14ac:dyDescent="0.4">
      <c r="A1" s="1" t="s">
        <v>0</v>
      </c>
    </row>
    <row r="2" spans="1:15" x14ac:dyDescent="0.35">
      <c r="A2" s="2" t="s">
        <v>1</v>
      </c>
      <c r="B2" s="3" t="s">
        <v>2</v>
      </c>
      <c r="C2" s="4"/>
      <c r="D2" s="4"/>
      <c r="E2" s="4"/>
      <c r="F2" s="4"/>
      <c r="G2" s="4"/>
      <c r="H2" s="4"/>
      <c r="I2" s="3" t="s">
        <v>3</v>
      </c>
      <c r="J2" s="4"/>
      <c r="K2" s="4"/>
      <c r="L2" s="4"/>
      <c r="M2" s="4"/>
      <c r="N2" s="4"/>
      <c r="O2" s="5"/>
    </row>
    <row r="3" spans="1:15" x14ac:dyDescent="0.35">
      <c r="A3" s="6"/>
      <c r="B3" s="7" t="s">
        <v>4</v>
      </c>
      <c r="C3" s="8" t="s">
        <v>5</v>
      </c>
      <c r="D3" s="9" t="s">
        <v>6</v>
      </c>
      <c r="E3" s="9"/>
      <c r="F3" s="10" t="s">
        <v>7</v>
      </c>
      <c r="G3" s="11"/>
      <c r="H3" s="10" t="s">
        <v>8</v>
      </c>
      <c r="I3" s="7" t="s">
        <v>4</v>
      </c>
      <c r="J3" s="8" t="s">
        <v>5</v>
      </c>
      <c r="K3" s="9" t="s">
        <v>6</v>
      </c>
      <c r="L3" s="9"/>
      <c r="M3" s="10" t="s">
        <v>7</v>
      </c>
      <c r="N3" s="11"/>
      <c r="O3" s="12" t="s">
        <v>8</v>
      </c>
    </row>
    <row r="4" spans="1:15" ht="28" x14ac:dyDescent="0.35">
      <c r="A4" s="13"/>
      <c r="B4" s="14" t="s">
        <v>9</v>
      </c>
      <c r="C4" s="15" t="s">
        <v>10</v>
      </c>
      <c r="D4" s="15" t="s">
        <v>10</v>
      </c>
      <c r="E4" s="15" t="s">
        <v>9</v>
      </c>
      <c r="F4" s="15" t="s">
        <v>10</v>
      </c>
      <c r="G4" s="16" t="s">
        <v>11</v>
      </c>
      <c r="H4" s="17"/>
      <c r="I4" s="14" t="s">
        <v>9</v>
      </c>
      <c r="J4" s="15" t="s">
        <v>10</v>
      </c>
      <c r="K4" s="15" t="s">
        <v>10</v>
      </c>
      <c r="L4" s="15" t="s">
        <v>9</v>
      </c>
      <c r="M4" s="15" t="s">
        <v>10</v>
      </c>
      <c r="N4" s="16" t="s">
        <v>11</v>
      </c>
      <c r="O4" s="18"/>
    </row>
    <row r="5" spans="1:15" x14ac:dyDescent="0.35">
      <c r="A5" s="19">
        <v>2014</v>
      </c>
      <c r="B5" s="20">
        <v>6127</v>
      </c>
      <c r="C5" s="21">
        <v>8556</v>
      </c>
      <c r="D5" s="22">
        <v>45205.316566003021</v>
      </c>
      <c r="E5" s="22">
        <v>6232</v>
      </c>
      <c r="F5" s="22">
        <v>7116</v>
      </c>
      <c r="G5" s="22">
        <v>31975.308641975309</v>
      </c>
      <c r="H5" s="23">
        <f t="shared" ref="H5:H15" si="0">SUM(B5:G5)</f>
        <v>105211.62520797833</v>
      </c>
      <c r="I5" s="24">
        <f t="shared" ref="I5:N15" si="1">B5*58</f>
        <v>355366</v>
      </c>
      <c r="J5" s="25">
        <f t="shared" si="1"/>
        <v>496248</v>
      </c>
      <c r="K5" s="25">
        <f t="shared" si="1"/>
        <v>2621908.3608281752</v>
      </c>
      <c r="L5" s="25">
        <f t="shared" si="1"/>
        <v>361456</v>
      </c>
      <c r="M5" s="25">
        <f t="shared" si="1"/>
        <v>412728</v>
      </c>
      <c r="N5" s="25">
        <f t="shared" si="1"/>
        <v>1854567.9012345679</v>
      </c>
      <c r="O5" s="26">
        <f t="shared" ref="O5:O14" si="2">SUM(I5:N5)</f>
        <v>6102274.2620627433</v>
      </c>
    </row>
    <row r="6" spans="1:15" x14ac:dyDescent="0.35">
      <c r="A6" s="19">
        <v>2015</v>
      </c>
      <c r="B6" s="20">
        <v>4148</v>
      </c>
      <c r="C6" s="21">
        <v>5110</v>
      </c>
      <c r="D6" s="22">
        <v>48867.802151495416</v>
      </c>
      <c r="E6" s="22">
        <v>5194</v>
      </c>
      <c r="F6" s="22">
        <v>6416</v>
      </c>
      <c r="G6" s="22">
        <v>54716.049382716046</v>
      </c>
      <c r="H6" s="23">
        <f t="shared" si="0"/>
        <v>124451.85153421146</v>
      </c>
      <c r="I6" s="24">
        <f t="shared" si="1"/>
        <v>240584</v>
      </c>
      <c r="J6" s="25">
        <f t="shared" si="1"/>
        <v>296380</v>
      </c>
      <c r="K6" s="25">
        <f t="shared" si="1"/>
        <v>2834332.524786734</v>
      </c>
      <c r="L6" s="25">
        <f t="shared" si="1"/>
        <v>301252</v>
      </c>
      <c r="M6" s="25">
        <f t="shared" si="1"/>
        <v>372128</v>
      </c>
      <c r="N6" s="25">
        <f t="shared" si="1"/>
        <v>3173530.8641975308</v>
      </c>
      <c r="O6" s="26">
        <f t="shared" si="2"/>
        <v>7218207.3889842648</v>
      </c>
    </row>
    <row r="7" spans="1:15" x14ac:dyDescent="0.35">
      <c r="A7" s="19">
        <v>2016</v>
      </c>
      <c r="B7" s="20">
        <v>2077</v>
      </c>
      <c r="C7" s="21">
        <v>4434</v>
      </c>
      <c r="D7" s="22">
        <v>44065.993941489556</v>
      </c>
      <c r="E7" s="22">
        <v>6005</v>
      </c>
      <c r="F7" s="22">
        <v>3889</v>
      </c>
      <c r="G7" s="22">
        <v>31987.654320987655</v>
      </c>
      <c r="H7" s="23">
        <f t="shared" si="0"/>
        <v>92458.648262477218</v>
      </c>
      <c r="I7" s="24">
        <f t="shared" si="1"/>
        <v>120466</v>
      </c>
      <c r="J7" s="25">
        <f t="shared" si="1"/>
        <v>257172</v>
      </c>
      <c r="K7" s="25">
        <f t="shared" si="1"/>
        <v>2555827.6486063944</v>
      </c>
      <c r="L7" s="25">
        <f t="shared" si="1"/>
        <v>348290</v>
      </c>
      <c r="M7" s="25">
        <f t="shared" si="1"/>
        <v>225562</v>
      </c>
      <c r="N7" s="25">
        <f t="shared" si="1"/>
        <v>1855283.950617284</v>
      </c>
      <c r="O7" s="26">
        <f t="shared" si="2"/>
        <v>5362601.5992236789</v>
      </c>
    </row>
    <row r="8" spans="1:15" x14ac:dyDescent="0.35">
      <c r="A8" s="19">
        <v>2017</v>
      </c>
      <c r="B8" s="20">
        <v>3081</v>
      </c>
      <c r="C8" s="21">
        <v>2606</v>
      </c>
      <c r="D8" s="22">
        <v>30100</v>
      </c>
      <c r="E8" s="22">
        <v>5188</v>
      </c>
      <c r="F8" s="22">
        <v>3116</v>
      </c>
      <c r="G8" s="22">
        <v>10000</v>
      </c>
      <c r="H8" s="23">
        <f t="shared" si="0"/>
        <v>54091</v>
      </c>
      <c r="I8" s="24">
        <f t="shared" si="1"/>
        <v>178698</v>
      </c>
      <c r="J8" s="25">
        <f t="shared" si="1"/>
        <v>151148</v>
      </c>
      <c r="K8" s="25">
        <f t="shared" si="1"/>
        <v>1745800</v>
      </c>
      <c r="L8" s="25">
        <f t="shared" si="1"/>
        <v>300904</v>
      </c>
      <c r="M8" s="25">
        <f t="shared" si="1"/>
        <v>180728</v>
      </c>
      <c r="N8" s="25">
        <f>G8*58</f>
        <v>580000</v>
      </c>
      <c r="O8" s="26">
        <f t="shared" si="2"/>
        <v>3137278</v>
      </c>
    </row>
    <row r="9" spans="1:15" x14ac:dyDescent="0.35">
      <c r="A9" s="27">
        <v>2018</v>
      </c>
      <c r="B9" s="20">
        <v>1493</v>
      </c>
      <c r="C9" s="21">
        <v>2642</v>
      </c>
      <c r="D9" s="22">
        <v>24011.383251849573</v>
      </c>
      <c r="E9" s="22">
        <v>3850</v>
      </c>
      <c r="F9" s="22">
        <v>757</v>
      </c>
      <c r="G9" s="22">
        <v>1431</v>
      </c>
      <c r="H9" s="23">
        <f t="shared" si="0"/>
        <v>34184.383251849576</v>
      </c>
      <c r="I9" s="24">
        <f t="shared" si="1"/>
        <v>86594</v>
      </c>
      <c r="J9" s="25">
        <f t="shared" si="1"/>
        <v>153236</v>
      </c>
      <c r="K9" s="25">
        <f t="shared" si="1"/>
        <v>1392660.2286072753</v>
      </c>
      <c r="L9" s="25">
        <f t="shared" si="1"/>
        <v>223300</v>
      </c>
      <c r="M9" s="25">
        <f t="shared" si="1"/>
        <v>43906</v>
      </c>
      <c r="N9" s="25">
        <f>G9*58</f>
        <v>82998</v>
      </c>
      <c r="O9" s="26">
        <f t="shared" si="2"/>
        <v>1982694.2286072753</v>
      </c>
    </row>
    <row r="10" spans="1:15" ht="28" x14ac:dyDescent="0.35">
      <c r="A10" s="19">
        <v>2019</v>
      </c>
      <c r="B10" s="28" t="s">
        <v>12</v>
      </c>
      <c r="C10" s="21" t="s">
        <v>12</v>
      </c>
      <c r="D10" s="22">
        <v>30678.495642498619</v>
      </c>
      <c r="E10" s="22">
        <v>4432</v>
      </c>
      <c r="F10" s="21" t="s">
        <v>12</v>
      </c>
      <c r="G10" s="29" t="s">
        <v>13</v>
      </c>
      <c r="H10" s="23">
        <f t="shared" si="0"/>
        <v>35110.495642498616</v>
      </c>
      <c r="I10" s="28" t="s">
        <v>12</v>
      </c>
      <c r="J10" s="21" t="s">
        <v>12</v>
      </c>
      <c r="K10" s="25">
        <f t="shared" si="1"/>
        <v>1779352.74726492</v>
      </c>
      <c r="L10" s="25">
        <f t="shared" si="1"/>
        <v>257056</v>
      </c>
      <c r="M10" s="21" t="s">
        <v>12</v>
      </c>
      <c r="N10" s="21" t="s">
        <v>12</v>
      </c>
      <c r="O10" s="26">
        <f t="shared" si="2"/>
        <v>2036408.74726492</v>
      </c>
    </row>
    <row r="11" spans="1:15" ht="28" x14ac:dyDescent="0.35">
      <c r="A11" s="19">
        <v>2020</v>
      </c>
      <c r="B11" s="28" t="s">
        <v>12</v>
      </c>
      <c r="C11" s="21">
        <v>11054</v>
      </c>
      <c r="D11" s="22">
        <v>39031</v>
      </c>
      <c r="E11" s="22">
        <v>2074</v>
      </c>
      <c r="F11" s="22">
        <v>1886</v>
      </c>
      <c r="G11" s="29" t="s">
        <v>13</v>
      </c>
      <c r="H11" s="23">
        <f t="shared" si="0"/>
        <v>54045</v>
      </c>
      <c r="I11" s="28" t="s">
        <v>12</v>
      </c>
      <c r="J11" s="25">
        <f t="shared" ref="J11:J15" si="3">C11*58</f>
        <v>641132</v>
      </c>
      <c r="K11" s="25">
        <f t="shared" si="1"/>
        <v>2263798</v>
      </c>
      <c r="L11" s="25">
        <f t="shared" si="1"/>
        <v>120292</v>
      </c>
      <c r="M11" s="25">
        <f>F11*58</f>
        <v>109388</v>
      </c>
      <c r="N11" s="21" t="s">
        <v>12</v>
      </c>
      <c r="O11" s="26">
        <f t="shared" si="2"/>
        <v>3134610</v>
      </c>
    </row>
    <row r="12" spans="1:15" ht="28" x14ac:dyDescent="0.35">
      <c r="A12" s="27">
        <v>2021</v>
      </c>
      <c r="B12" s="28" t="s">
        <v>12</v>
      </c>
      <c r="C12" s="30">
        <v>7016</v>
      </c>
      <c r="D12" s="31">
        <v>33354</v>
      </c>
      <c r="E12" s="31">
        <v>3198</v>
      </c>
      <c r="F12" s="21" t="s">
        <v>12</v>
      </c>
      <c r="G12" s="29" t="s">
        <v>13</v>
      </c>
      <c r="H12" s="23">
        <f t="shared" si="0"/>
        <v>43568</v>
      </c>
      <c r="I12" s="28" t="s">
        <v>12</v>
      </c>
      <c r="J12" s="32">
        <f t="shared" si="3"/>
        <v>406928</v>
      </c>
      <c r="K12" s="32">
        <f t="shared" si="1"/>
        <v>1934532</v>
      </c>
      <c r="L12" s="32">
        <f t="shared" si="1"/>
        <v>185484</v>
      </c>
      <c r="M12" s="21" t="s">
        <v>12</v>
      </c>
      <c r="N12" s="21" t="s">
        <v>12</v>
      </c>
      <c r="O12" s="26">
        <f t="shared" si="2"/>
        <v>2526944</v>
      </c>
    </row>
    <row r="13" spans="1:15" ht="28" x14ac:dyDescent="0.35">
      <c r="A13" s="27">
        <v>2022</v>
      </c>
      <c r="B13" s="33">
        <v>2400</v>
      </c>
      <c r="C13" s="30">
        <v>13201</v>
      </c>
      <c r="D13" s="31">
        <v>28844</v>
      </c>
      <c r="E13" s="31">
        <v>2756</v>
      </c>
      <c r="F13" s="30"/>
      <c r="G13" s="34" t="s">
        <v>13</v>
      </c>
      <c r="H13" s="23">
        <f t="shared" si="0"/>
        <v>47201</v>
      </c>
      <c r="I13" s="24">
        <f>B13*58</f>
        <v>139200</v>
      </c>
      <c r="J13" s="32">
        <f t="shared" si="3"/>
        <v>765658</v>
      </c>
      <c r="K13" s="32">
        <f t="shared" si="1"/>
        <v>1672952</v>
      </c>
      <c r="L13" s="32">
        <f t="shared" si="1"/>
        <v>159848</v>
      </c>
      <c r="M13" s="32"/>
      <c r="N13" s="21" t="s">
        <v>12</v>
      </c>
      <c r="O13" s="26">
        <f t="shared" si="2"/>
        <v>2737658</v>
      </c>
    </row>
    <row r="14" spans="1:15" ht="28" x14ac:dyDescent="0.35">
      <c r="A14" s="27">
        <v>2023</v>
      </c>
      <c r="B14" s="33">
        <v>1504</v>
      </c>
      <c r="C14" s="30">
        <v>8736</v>
      </c>
      <c r="D14" s="31">
        <v>27098</v>
      </c>
      <c r="E14" s="31">
        <v>3854</v>
      </c>
      <c r="F14" s="30"/>
      <c r="G14" s="34" t="s">
        <v>12</v>
      </c>
      <c r="H14" s="23">
        <f t="shared" si="0"/>
        <v>41192</v>
      </c>
      <c r="I14" s="24">
        <f>B14*58</f>
        <v>87232</v>
      </c>
      <c r="J14" s="32">
        <f t="shared" si="3"/>
        <v>506688</v>
      </c>
      <c r="K14" s="32">
        <f t="shared" si="1"/>
        <v>1571684</v>
      </c>
      <c r="L14" s="32">
        <f t="shared" si="1"/>
        <v>223532</v>
      </c>
      <c r="M14" s="32"/>
      <c r="N14" s="30"/>
      <c r="O14" s="26">
        <f t="shared" si="2"/>
        <v>2389136</v>
      </c>
    </row>
    <row r="15" spans="1:15" ht="28" x14ac:dyDescent="0.35">
      <c r="A15" s="27">
        <v>2024</v>
      </c>
      <c r="B15" s="33" t="s">
        <v>12</v>
      </c>
      <c r="C15" s="30">
        <v>12696</v>
      </c>
      <c r="D15" s="31">
        <v>27183</v>
      </c>
      <c r="E15" s="31">
        <v>3634</v>
      </c>
      <c r="F15" s="30">
        <v>1060</v>
      </c>
      <c r="G15" s="35">
        <v>559</v>
      </c>
      <c r="H15" s="36">
        <f t="shared" si="0"/>
        <v>45132</v>
      </c>
      <c r="I15" s="37"/>
      <c r="J15" s="32">
        <f t="shared" si="3"/>
        <v>736368</v>
      </c>
      <c r="K15" s="32">
        <f t="shared" si="1"/>
        <v>1576614</v>
      </c>
      <c r="L15" s="32">
        <f t="shared" si="1"/>
        <v>210772</v>
      </c>
      <c r="M15" s="32"/>
      <c r="N15" s="30"/>
      <c r="O15" s="26">
        <f>SUM(I15:N15)</f>
        <v>2523754</v>
      </c>
    </row>
    <row r="16" spans="1:15" ht="28" x14ac:dyDescent="0.35">
      <c r="A16" s="27">
        <v>2025</v>
      </c>
      <c r="B16" s="33" t="s">
        <v>12</v>
      </c>
      <c r="C16" s="30">
        <v>8298</v>
      </c>
      <c r="D16" s="31">
        <v>18503</v>
      </c>
      <c r="E16" s="31">
        <v>3675</v>
      </c>
      <c r="F16" s="30"/>
      <c r="G16" s="35" t="s">
        <v>13</v>
      </c>
      <c r="H16" s="38">
        <v>30476</v>
      </c>
      <c r="I16" s="37" t="s">
        <v>12</v>
      </c>
      <c r="J16" s="32">
        <v>481284</v>
      </c>
      <c r="K16" s="32">
        <v>1073174</v>
      </c>
      <c r="L16" s="32">
        <v>213150</v>
      </c>
      <c r="M16" s="32"/>
      <c r="N16" s="30"/>
      <c r="O16" s="26">
        <v>1767608</v>
      </c>
    </row>
    <row r="17" spans="1:15" ht="28.5" thickBot="1" x14ac:dyDescent="0.4">
      <c r="A17" s="39">
        <v>2026</v>
      </c>
      <c r="B17" s="40" t="s">
        <v>12</v>
      </c>
      <c r="C17" s="41">
        <v>73</v>
      </c>
      <c r="D17" s="42"/>
      <c r="E17" s="42"/>
      <c r="F17" s="42"/>
      <c r="G17" s="43"/>
      <c r="H17" s="44"/>
      <c r="I17" s="40" t="s">
        <v>12</v>
      </c>
      <c r="J17" s="45">
        <f>C17*58</f>
        <v>4234</v>
      </c>
      <c r="K17" s="46"/>
      <c r="L17" s="46"/>
      <c r="M17" s="46"/>
      <c r="N17" s="46"/>
      <c r="O17" s="26">
        <f>SUM(I17:N17)</f>
        <v>4234</v>
      </c>
    </row>
    <row r="18" spans="1:15" ht="43" thickTop="1" thickBot="1" x14ac:dyDescent="0.4">
      <c r="A18" s="47" t="s">
        <v>14</v>
      </c>
      <c r="B18" s="48">
        <f t="shared" ref="B18:O18" si="4">AVERAGE(B5:B17)</f>
        <v>2975.7142857142858</v>
      </c>
      <c r="C18" s="48">
        <f t="shared" si="4"/>
        <v>7035.166666666667</v>
      </c>
      <c r="D18" s="48">
        <f t="shared" si="4"/>
        <v>33078.499296111346</v>
      </c>
      <c r="E18" s="48">
        <f t="shared" si="4"/>
        <v>4174.333333333333</v>
      </c>
      <c r="F18" s="48">
        <f t="shared" si="4"/>
        <v>3462.8571428571427</v>
      </c>
      <c r="G18" s="48">
        <f t="shared" si="4"/>
        <v>21778.168724279833</v>
      </c>
      <c r="H18" s="49">
        <f t="shared" si="4"/>
        <v>58926.833658251264</v>
      </c>
      <c r="I18" s="50">
        <f t="shared" si="4"/>
        <v>172591.42857142858</v>
      </c>
      <c r="J18" s="51">
        <f t="shared" si="4"/>
        <v>408039.66666666669</v>
      </c>
      <c r="K18" s="51">
        <f t="shared" si="4"/>
        <v>1918552.9591744579</v>
      </c>
      <c r="L18" s="51">
        <f t="shared" si="4"/>
        <v>242111.33333333334</v>
      </c>
      <c r="M18" s="51">
        <f t="shared" si="4"/>
        <v>224073.33333333334</v>
      </c>
      <c r="N18" s="51">
        <f t="shared" si="4"/>
        <v>1509276.1432098765</v>
      </c>
      <c r="O18" s="52">
        <f t="shared" si="4"/>
        <v>3147954.4789340678</v>
      </c>
    </row>
  </sheetData>
  <mergeCells count="9">
    <mergeCell ref="A2:A4"/>
    <mergeCell ref="B2:H2"/>
    <mergeCell ref="I2:O2"/>
    <mergeCell ref="D3:E3"/>
    <mergeCell ref="F3:G3"/>
    <mergeCell ref="H3:H4"/>
    <mergeCell ref="K3:L3"/>
    <mergeCell ref="M3:N3"/>
    <mergeCell ref="O3:O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Schumacher, Emma (DFW)</dc:creator>
  <cp:lastModifiedBy>Schumacher, Emma (DFW)</cp:lastModifiedBy>
  <dcterms:created xsi:type="dcterms:W3CDTF">2026-08-12T18:05:24Z</dcterms:created>
  <dcterms:modified xsi:type="dcterms:W3CDTF">2026-08-12T18:07:19Z</dcterms:modified>
</cp:coreProperties>
</file>