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nathanael_overman_dfw_wa_gov/Documents/DESKTOP/"/>
    </mc:Choice>
  </mc:AlternateContent>
  <xr:revisionPtr revIDLastSave="152" documentId="8_{2EB839C2-85E0-4969-9DBD-6E290204EB2C}" xr6:coauthVersionLast="47" xr6:coauthVersionMax="47" xr10:uidLastSave="{CAA3C943-FC78-4D26-9F0E-B35DC8F215F0}"/>
  <bookViews>
    <workbookView xWindow="-108" yWindow="-108" windowWidth="23256" windowHeight="12456" xr2:uid="{B7F61A0F-2FFC-4D14-BFF6-3F2B239C4DA2}"/>
  </bookViews>
  <sheets>
    <sheet name="Creel Surv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7" i="1" l="1"/>
  <c r="K17" i="1"/>
  <c r="K11" i="1"/>
  <c r="J11" i="1"/>
  <c r="D20" i="1"/>
  <c r="D19" i="1"/>
  <c r="D18" i="1"/>
  <c r="H17" i="1"/>
  <c r="D17" i="1"/>
  <c r="D11" i="1"/>
  <c r="D12" i="1"/>
  <c r="D14" i="1"/>
  <c r="L17" i="1" l="1"/>
  <c r="H11" i="1" l="1"/>
  <c r="L11" i="1" s="1"/>
  <c r="D13" i="1" l="1"/>
</calcChain>
</file>

<file path=xl/sharedStrings.xml><?xml version="1.0" encoding="utf-8"?>
<sst xmlns="http://schemas.openxmlformats.org/spreadsheetml/2006/main" count="34" uniqueCount="13">
  <si>
    <t>Aug 20-Oct 31</t>
  </si>
  <si>
    <t>Boat</t>
  </si>
  <si>
    <t>Shore</t>
  </si>
  <si>
    <t>Total</t>
  </si>
  <si>
    <t>ANGLER HOURS</t>
  </si>
  <si>
    <t>ANGLERS</t>
  </si>
  <si>
    <t>Nov 1-Dec 31</t>
  </si>
  <si>
    <t>Not surveyed</t>
  </si>
  <si>
    <t>In 2025, the creel was expanded to Dec 31 and the areas surveyed expanded to Flaming Geyser State Park.</t>
  </si>
  <si>
    <t>This fishery is open Aug 20-Dec 31, athough the creel was only conducted through Oct 31 and was limited to the area below the Hwy 18 Eastbound bridge.</t>
  </si>
  <si>
    <t>Note that the 100-year flood occurred in Dec 2025, which limited angler participation in the Nov1-Dec31 portion of the creel.</t>
  </si>
  <si>
    <t>Green/Duwamish Salmon Fishery</t>
  </si>
  <si>
    <t>Creel Survey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</si>
</sst>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E0D5-F181-4C1D-80B5-83C4314D4FFB}">
  <dimension ref="A1:O20"/>
  <sheetViews>
    <sheetView tabSelected="1" workbookViewId="0">
      <selection activeCell="A22" sqref="A22"/>
    </sheetView>
  </sheetViews>
  <sheetFormatPr defaultRowHeight="14.4" x14ac:dyDescent="0.3"/>
  <cols>
    <col min="1" max="1" width="13.88671875" customWidth="1"/>
    <col min="2" max="2" width="6.5546875" customWidth="1"/>
    <col min="3" max="4" width="6.5546875" bestFit="1" customWidth="1"/>
    <col min="5" max="5" width="2.88671875" customWidth="1"/>
    <col min="6" max="8" width="6.5546875" bestFit="1" customWidth="1"/>
    <col min="9" max="9" width="4.109375" customWidth="1"/>
    <col min="10" max="10" width="5.5546875" bestFit="1" customWidth="1"/>
    <col min="11" max="12" width="6.5546875" bestFit="1" customWidth="1"/>
  </cols>
  <sheetData>
    <row r="1" spans="1:15" x14ac:dyDescent="0.3">
      <c r="A1" s="5" t="s">
        <v>11</v>
      </c>
    </row>
    <row r="2" spans="1:15" x14ac:dyDescent="0.3">
      <c r="A2" s="5" t="s">
        <v>12</v>
      </c>
    </row>
    <row r="4" spans="1:15" x14ac:dyDescent="0.3">
      <c r="A4" t="s">
        <v>9</v>
      </c>
    </row>
    <row r="5" spans="1:15" x14ac:dyDescent="0.3">
      <c r="A5" t="s">
        <v>8</v>
      </c>
    </row>
    <row r="6" spans="1:15" x14ac:dyDescent="0.3">
      <c r="A6" t="s">
        <v>10</v>
      </c>
    </row>
    <row r="8" spans="1:15" x14ac:dyDescent="0.3">
      <c r="B8" s="5" t="s">
        <v>0</v>
      </c>
      <c r="F8" s="5" t="s">
        <v>6</v>
      </c>
      <c r="J8" s="5" t="s">
        <v>3</v>
      </c>
    </row>
    <row r="10" spans="1:15" x14ac:dyDescent="0.3">
      <c r="A10" s="4" t="s">
        <v>5</v>
      </c>
      <c r="B10" s="1" t="s">
        <v>1</v>
      </c>
      <c r="C10" s="1" t="s">
        <v>2</v>
      </c>
      <c r="D10" s="1" t="s">
        <v>3</v>
      </c>
      <c r="E10" s="1"/>
      <c r="F10" s="1" t="s">
        <v>1</v>
      </c>
      <c r="G10" s="1" t="s">
        <v>2</v>
      </c>
      <c r="H10" s="1" t="s">
        <v>3</v>
      </c>
      <c r="I10" s="1"/>
      <c r="J10" s="1" t="s">
        <v>1</v>
      </c>
      <c r="K10" s="1" t="s">
        <v>2</v>
      </c>
      <c r="L10" s="1" t="s">
        <v>3</v>
      </c>
    </row>
    <row r="11" spans="1:15" x14ac:dyDescent="0.3">
      <c r="A11">
        <v>2025</v>
      </c>
      <c r="B11" s="2">
        <v>2284.993125</v>
      </c>
      <c r="C11" s="2">
        <v>27294.125511391234</v>
      </c>
      <c r="D11" s="2">
        <f>B11+C11</f>
        <v>29579.118636391235</v>
      </c>
      <c r="E11" s="2"/>
      <c r="F11" s="2">
        <v>17.5</v>
      </c>
      <c r="G11" s="2">
        <v>5414.64</v>
      </c>
      <c r="H11" s="2">
        <f>F11+G11</f>
        <v>5432.14</v>
      </c>
      <c r="I11" s="2"/>
      <c r="J11" s="2">
        <f>F11+B11</f>
        <v>2302.493125</v>
      </c>
      <c r="K11" s="2">
        <f>G11+C11</f>
        <v>32708.765511391233</v>
      </c>
      <c r="L11" s="2">
        <f>D11+H11</f>
        <v>35011.258636391234</v>
      </c>
    </row>
    <row r="12" spans="1:15" x14ac:dyDescent="0.3">
      <c r="A12">
        <v>2024</v>
      </c>
      <c r="B12" s="2">
        <v>2572</v>
      </c>
      <c r="C12" s="2">
        <v>18181</v>
      </c>
      <c r="D12" s="2">
        <f>B12+C12</f>
        <v>20753</v>
      </c>
      <c r="E12" s="2"/>
      <c r="F12" t="s">
        <v>7</v>
      </c>
      <c r="I12" s="3"/>
      <c r="J12" s="3"/>
      <c r="K12" s="2"/>
      <c r="L12" s="2"/>
      <c r="M12" s="2"/>
      <c r="N12" s="2"/>
      <c r="O12" s="2"/>
    </row>
    <row r="13" spans="1:15" x14ac:dyDescent="0.3">
      <c r="A13">
        <v>2023</v>
      </c>
      <c r="B13" s="2">
        <v>3565.8771428999999</v>
      </c>
      <c r="C13" s="2">
        <v>25251.487109999998</v>
      </c>
      <c r="D13" s="2">
        <f>B13+C13</f>
        <v>28817.364252899999</v>
      </c>
      <c r="E13" s="2"/>
      <c r="F13" t="s">
        <v>7</v>
      </c>
      <c r="I13" s="2"/>
      <c r="J13" s="2"/>
      <c r="K13" s="2"/>
      <c r="L13" s="2"/>
      <c r="M13" s="2"/>
      <c r="N13" s="2"/>
      <c r="O13" s="2"/>
    </row>
    <row r="14" spans="1:15" x14ac:dyDescent="0.3">
      <c r="A14">
        <v>2022</v>
      </c>
      <c r="B14" s="2">
        <v>2402.005423704135</v>
      </c>
      <c r="C14" s="2">
        <v>7640.7373830727838</v>
      </c>
      <c r="D14" s="2">
        <f>B14+C14</f>
        <v>10042.742806776918</v>
      </c>
      <c r="E14" s="2"/>
      <c r="F14" t="s">
        <v>7</v>
      </c>
    </row>
    <row r="16" spans="1:15" x14ac:dyDescent="0.3">
      <c r="A16" s="4" t="s">
        <v>4</v>
      </c>
      <c r="B16" s="1" t="s">
        <v>1</v>
      </c>
      <c r="C16" s="1" t="s">
        <v>2</v>
      </c>
      <c r="D16" s="1" t="s">
        <v>3</v>
      </c>
      <c r="E16" s="1"/>
      <c r="F16" s="1" t="s">
        <v>1</v>
      </c>
      <c r="G16" s="1" t="s">
        <v>2</v>
      </c>
      <c r="H16" s="1" t="s">
        <v>3</v>
      </c>
      <c r="J16" s="1" t="s">
        <v>1</v>
      </c>
      <c r="K16" s="1" t="s">
        <v>2</v>
      </c>
      <c r="L16" s="1" t="s">
        <v>3</v>
      </c>
      <c r="M16" s="1"/>
      <c r="N16" s="1"/>
      <c r="O16" s="1"/>
    </row>
    <row r="17" spans="1:15" x14ac:dyDescent="0.3">
      <c r="A17">
        <v>2025</v>
      </c>
      <c r="B17" s="2">
        <v>9691.4370664818216</v>
      </c>
      <c r="C17" s="2">
        <v>67937.352806913666</v>
      </c>
      <c r="D17" s="2">
        <f>B17+C17</f>
        <v>77628.789873395493</v>
      </c>
      <c r="E17" s="2"/>
      <c r="F17" s="2">
        <v>93.931249999999991</v>
      </c>
      <c r="G17" s="2">
        <v>14448.033851054535</v>
      </c>
      <c r="H17" s="2">
        <f>F17+G17</f>
        <v>14541.965101054535</v>
      </c>
      <c r="J17" s="2">
        <f>F17+B17</f>
        <v>9785.3683164818212</v>
      </c>
      <c r="K17" s="2">
        <f>G17+C17</f>
        <v>82385.386657968207</v>
      </c>
      <c r="L17" s="2">
        <f>D17+H17</f>
        <v>92170.754974450028</v>
      </c>
      <c r="M17" s="2"/>
      <c r="N17" s="2"/>
      <c r="O17" s="2"/>
    </row>
    <row r="18" spans="1:15" x14ac:dyDescent="0.3">
      <c r="A18">
        <v>2024</v>
      </c>
      <c r="B18" s="3">
        <v>12160</v>
      </c>
      <c r="C18" s="3">
        <v>42313</v>
      </c>
      <c r="D18" s="2">
        <f>B18+C18</f>
        <v>54473</v>
      </c>
      <c r="E18" s="2"/>
      <c r="F18" t="s">
        <v>7</v>
      </c>
      <c r="G18" s="2"/>
      <c r="I18" s="3"/>
      <c r="J18" s="3"/>
      <c r="K18" s="2"/>
      <c r="L18" s="2"/>
      <c r="M18" s="2"/>
      <c r="N18" s="2"/>
      <c r="O18" s="2"/>
    </row>
    <row r="19" spans="1:15" x14ac:dyDescent="0.3">
      <c r="A19">
        <v>2023</v>
      </c>
      <c r="B19" s="2">
        <v>14379.940453935469</v>
      </c>
      <c r="C19" s="2">
        <v>73494.967289284454</v>
      </c>
      <c r="D19" s="2">
        <f>B19+C19</f>
        <v>87874.907743219926</v>
      </c>
      <c r="E19" s="2"/>
      <c r="F19" t="s">
        <v>7</v>
      </c>
      <c r="G19" s="2"/>
      <c r="I19" s="2"/>
      <c r="J19" s="2"/>
      <c r="K19" s="2"/>
      <c r="L19" s="2"/>
      <c r="M19" s="2"/>
      <c r="N19" s="2"/>
      <c r="O19" s="2"/>
    </row>
    <row r="20" spans="1:15" x14ac:dyDescent="0.3">
      <c r="A20">
        <v>2022</v>
      </c>
      <c r="B20" s="2">
        <v>12430.826930287338</v>
      </c>
      <c r="C20" s="2">
        <v>17486.630101637929</v>
      </c>
      <c r="D20" s="2">
        <f>B20+C20</f>
        <v>29917.457031925267</v>
      </c>
      <c r="E20" s="2"/>
      <c r="F20" t="s">
        <v>7</v>
      </c>
      <c r="G20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Creel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Overman, Nathanael C (DFW)</dc:creator>
  <cp:lastModifiedBy>Overman, Nathanael C (DFW)</cp:lastModifiedBy>
  <dcterms:created xsi:type="dcterms:W3CDTF">2026-08-19T20:56:28Z</dcterms:created>
  <dcterms:modified xsi:type="dcterms:W3CDTF">2026-08-19T21:45:57Z</dcterms:modified>
</cp:coreProperties>
</file>